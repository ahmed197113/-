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9.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_rels/drawing1.xml.rels" ContentType="application/vnd.openxmlformats-package.relationships+xml"/>
  <Override PartName="/xl/drawings/_rels/drawing16.xml.rels" ContentType="application/vnd.openxmlformats-package.relationships+xml"/>
  <Override PartName="/xl/drawings/drawing1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drawings/drawing13.xml" ContentType="application/vnd.openxmlformats-officedocument.drawing+xml"/>
  <Override PartName="/xl/drawings/vmlDrawing3.vml" ContentType="application/vnd.openxmlformats-officedocument.vmlDrawing"/>
  <Override PartName="/xl/drawings/drawing4.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لرئيسية" sheetId="1" state="visible" r:id="rId3"/>
    <sheet name="لوحة التحكم" sheetId="2" state="visible" r:id="rId4"/>
    <sheet name="الإعدادات" sheetId="3" state="visible" r:id="rId5"/>
    <sheet name="الموظفون" sheetId="4" state="visible" r:id="rId6"/>
    <sheet name="الحركات الشهرية" sheetId="5" state="visible" r:id="rId7"/>
    <sheet name="مسير يناير" sheetId="6" state="visible" r:id="rId8"/>
    <sheet name="مسير فبراير" sheetId="7" state="visible" r:id="rId9"/>
    <sheet name="مسير مارس" sheetId="8" state="visible" r:id="rId10"/>
    <sheet name="مسير أبريل" sheetId="9" state="visible" r:id="rId11"/>
    <sheet name="مسير مايو" sheetId="10" state="visible" r:id="rId12"/>
    <sheet name="مسير يونيو" sheetId="11" state="visible" r:id="rId13"/>
    <sheet name="مسير يوليو" sheetId="12" state="visible" r:id="rId14"/>
    <sheet name="مسير أغسطس" sheetId="13" state="visible" r:id="rId15"/>
    <sheet name="مسير سبتمبر" sheetId="14" state="visible" r:id="rId16"/>
    <sheet name="مسير أكتوبر" sheetId="15" state="visible" r:id="rId17"/>
    <sheet name="مسير نوفمبر" sheetId="16" state="visible" r:id="rId18"/>
    <sheet name="مسير ديسمبر" sheetId="17" state="visible" r:id="rId19"/>
    <sheet name="الملخص الشهري" sheetId="18" state="visible" r:id="rId20"/>
    <sheet name="ملخص الموظفين السنوي" sheetId="19" state="visible" r:id="rId21"/>
    <sheet name="مخصص نهاية الخدمة" sheetId="20" state="visible" r:id="rId22"/>
    <sheet name="مخصص الإجازات" sheetId="21" state="visible" r:id="rId23"/>
    <sheet name="مخصص التذاكر" sheetId="22" state="visible" r:id="rId24"/>
    <sheet name="قيود الرواتب" sheetId="23" state="visible" r:id="rId25"/>
    <sheet name="قسيمة الراتب" sheetId="24" state="visible" r:id="rId26"/>
  </sheets>
  <definedNames>
    <definedName function="false" hidden="true" localSheetId="4" name="_xlnm._FilterDatabase" vbProcedure="false">'الحركات الشهرية'!$A$5:$O$1005</definedName>
    <definedName function="false" hidden="true" localSheetId="3" name="_xlnm._FilterDatabase" vbProcedure="false">الموظفون!$A$5:$AC$105</definedName>
    <definedName function="false" hidden="false" localSheetId="23" name="_xlnm.Print_Area" vbProcedure="false">'قسيمة الراتب'!$B$1:$F$35</definedName>
    <definedName function="false" hidden="false" localSheetId="8" name="_xlnm.Print_Titles" vbProcedure="false">'مسير أبريل'!$5:$5</definedName>
    <definedName function="false" hidden="true" localSheetId="8" name="_xlnm._FilterDatabase" vbProcedure="false">'مسير أبريل'!$A$5:$AE$105</definedName>
    <definedName function="false" hidden="false" localSheetId="12" name="_xlnm.Print_Titles" vbProcedure="false">'مسير أغسطس'!$5:$5</definedName>
    <definedName function="false" hidden="true" localSheetId="12" name="_xlnm._FilterDatabase" vbProcedure="false">'مسير أغسطس'!$A$5:$AE$105</definedName>
    <definedName function="false" hidden="false" localSheetId="14" name="_xlnm.Print_Titles" vbProcedure="false">'مسير أكتوبر'!$5:$5</definedName>
    <definedName function="false" hidden="true" localSheetId="14" name="_xlnm._FilterDatabase" vbProcedure="false">'مسير أكتوبر'!$A$5:$AE$105</definedName>
    <definedName function="false" hidden="false" localSheetId="16" name="_xlnm.Print_Titles" vbProcedure="false">'مسير ديسمبر'!$5:$5</definedName>
    <definedName function="false" hidden="true" localSheetId="16" name="_xlnm._FilterDatabase" vbProcedure="false">'مسير ديسمبر'!$A$5:$AE$105</definedName>
    <definedName function="false" hidden="false" localSheetId="13" name="_xlnm.Print_Titles" vbProcedure="false">'مسير سبتمبر'!$5:$5</definedName>
    <definedName function="false" hidden="true" localSheetId="13" name="_xlnm._FilterDatabase" vbProcedure="false">'مسير سبتمبر'!$A$5:$AE$105</definedName>
    <definedName function="false" hidden="false" localSheetId="6" name="_xlnm.Print_Titles" vbProcedure="false">'مسير فبراير'!$5:$5</definedName>
    <definedName function="false" hidden="true" localSheetId="6" name="_xlnm._FilterDatabase" vbProcedure="false">'مسير فبراير'!$A$5:$AE$105</definedName>
    <definedName function="false" hidden="false" localSheetId="7" name="_xlnm.Print_Titles" vbProcedure="false">'مسير مارس'!$5:$5</definedName>
    <definedName function="false" hidden="true" localSheetId="7" name="_xlnm._FilterDatabase" vbProcedure="false">'مسير مارس'!$A$5:$AE$105</definedName>
    <definedName function="false" hidden="false" localSheetId="9" name="_xlnm.Print_Titles" vbProcedure="false">'مسير مايو'!$5:$5</definedName>
    <definedName function="false" hidden="true" localSheetId="9" name="_xlnm._FilterDatabase" vbProcedure="false">'مسير مايو'!$A$5:$AE$105</definedName>
    <definedName function="false" hidden="false" localSheetId="15" name="_xlnm.Print_Titles" vbProcedure="false">'مسير نوفمبر'!$5:$5</definedName>
    <definedName function="false" hidden="true" localSheetId="15" name="_xlnm._FilterDatabase" vbProcedure="false">'مسير نوفمبر'!$A$5:$AE$105</definedName>
    <definedName function="false" hidden="false" localSheetId="5" name="_xlnm.Print_Titles" vbProcedure="false">'مسير يناير'!$5:$5</definedName>
    <definedName function="false" hidden="true" localSheetId="5" name="_xlnm._FilterDatabase" vbProcedure="false">'مسير يناير'!$A$5:$AE$105</definedName>
    <definedName function="false" hidden="false" localSheetId="11" name="_xlnm.Print_Titles" vbProcedure="false">'مسير يوليو'!$5:$5</definedName>
    <definedName function="false" hidden="true" localSheetId="11" name="_xlnm._FilterDatabase" vbProcedure="false">'مسير يوليو'!$A$5:$AE$105</definedName>
    <definedName function="false" hidden="false" localSheetId="10" name="_xlnm.Print_Titles" vbProcedure="false">'مسير يونيو'!$5:$5</definedName>
    <definedName function="false" hidden="true" localSheetId="10" name="_xlnm._FilterDatabase" vbProcedure="false">'مسير يونيو'!$A$5:$AE$105</definedName>
    <definedName function="false" hidden="false" name="cfg_CO" vbProcedure="false">الإعدادات!$C$6</definedName>
    <definedName function="false" hidden="false" name="cfg_CUR" vbProcedure="false">الإعدادات!$C$8</definedName>
    <definedName function="false" hidden="false" name="cfg_DAYS_M" vbProcedure="false">الإعدادات!$C$13</definedName>
    <definedName function="false" hidden="false" name="cfg_DAYS_Y" vbProcedure="false">الإعدادات!$C$36</definedName>
    <definedName function="false" hidden="false" name="cfg_EOS_H" vbProcedure="false">الإعدادات!$C$26</definedName>
    <definedName function="false" hidden="false" name="cfg_EOS_O" vbProcedure="false">الإعدادات!$C$28</definedName>
    <definedName function="false" hidden="false" name="cfg_EOS_R1" vbProcedure="false">الإعدادات!$C$24</definedName>
    <definedName function="false" hidden="false" name="cfg_EOS_R2" vbProcedure="false">الإعدادات!$C$25</definedName>
    <definedName function="false" hidden="false" name="cfg_EOS_T" vbProcedure="false">الإعدادات!$C$27</definedName>
    <definedName function="false" hidden="false" name="cfg_EOS_TH" vbProcedure="false">الإعدادات!$C$23</definedName>
    <definedName function="false" hidden="false" name="cfg_FY" vbProcedure="false">الإعدادات!$C$7</definedName>
    <definedName function="false" hidden="false" name="cfg_G_CAP" vbProcedure="false">الإعدادات!$C$21</definedName>
    <definedName function="false" hidden="false" name="cfg_G_NE" vbProcedure="false">الإعدادات!$C$19</definedName>
    <definedName function="false" hidden="false" name="cfg_G_NR" vbProcedure="false">الإعدادات!$C$20</definedName>
    <definedName function="false" hidden="false" name="cfg_G_SE" vbProcedure="false">الإعدادات!$C$17</definedName>
    <definedName function="false" hidden="false" name="cfg_G_SR" vbProcedure="false">الإعدادات!$C$18</definedName>
    <definedName function="false" hidden="false" name="cfg_HRS" vbProcedure="false">الإعدادات!$C$14</definedName>
    <definedName function="false" hidden="false" name="cfg_LV_D1" vbProcedure="false">الإعدادات!$C$30</definedName>
    <definedName function="false" hidden="false" name="cfg_LV_D2" vbProcedure="false">الإعدادات!$C$31</definedName>
    <definedName function="false" hidden="false" name="cfg_LV_H" vbProcedure="false">الإعدادات!$C$33</definedName>
    <definedName function="false" hidden="false" name="cfg_LV_O" vbProcedure="false">الإعدادات!$C$35</definedName>
    <definedName function="false" hidden="false" name="cfg_LV_T" vbProcedure="false">الإعدادات!$C$34</definedName>
    <definedName function="false" hidden="false" name="cfg_LV_TH" vbProcedure="false">الإعدادات!$C$32</definedName>
    <definedName function="false" hidden="false" name="cfg_OT_P" vbProcedure="false">الإعدادات!$C$15</definedName>
    <definedName function="false" hidden="false" name="cfg_RES" vbProcedure="false">الإعدادات!$B$39:$C$42</definedName>
    <definedName function="false" hidden="false" name="cfg_VAL_DATE" vbProcedure="false">الإعدادات!$C$11</definedName>
    <definedName function="false" hidden="false" name="cfg_VAL_M" vbProcedure="false">الإعدادات!$C$9</definedName>
    <definedName function="false" hidden="false" name="cfg_Y_START" vbProcedure="false">الإعدادات!$C$10</definedName>
    <definedName function="false" hidden="false" name="L_CAT" vbProcedure="false">الإعدادات!$I$6:$I$7</definedName>
    <definedName function="false" hidden="false" name="L_DEPT" vbProcedure="false">الإعدادات!$F$6:$F$20</definedName>
    <definedName function="false" hidden="false" name="L_EMPID" vbProcedure="false">الموظفون!$B$6:$B$105</definedName>
    <definedName function="false" hidden="false" name="L_MONTH" vbProcedure="false">الإعدادات!$J$6:$J$17</definedName>
    <definedName function="false" hidden="false" name="L_MSHEET" vbProcedure="false">الإعدادات!$K$6:$K$17</definedName>
    <definedName function="false" hidden="false" name="L_REASON" vbProcedure="false">الإعدادات!$G$6:$G$10</definedName>
    <definedName function="false" hidden="false" name="L_YN" vbProcedure="false">الإعدادات!$H$6:$H$7</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F5" authorId="0">
      <text>
        <r>
          <rPr>
            <sz val="10"/>
            <rFont val="FreeSans"/>
            <family val="2"/>
          </rPr>
          <t xml:space="preserve">أضف أقسامك في الخانات الفارغة (حتى </t>
        </r>
        <r>
          <rPr>
            <sz val="10"/>
            <rFont val="Arial"/>
            <family val="2"/>
          </rPr>
          <t xml:space="preserve">15 قسماً).</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I5" authorId="0">
      <text>
        <r>
          <rPr>
            <sz val="10"/>
            <rFont val="FreeSans"/>
            <family val="2"/>
          </rPr>
          <t xml:space="preserve">تُلوَّن بالأحمر إذا انتهت أو ستنتهي خلال </t>
        </r>
        <r>
          <rPr>
            <sz val="10"/>
            <rFont val="Arial"/>
            <family val="2"/>
          </rPr>
          <t xml:space="preserve">60 يوماً من تاريخ التقرير.</t>
        </r>
      </text>
    </comment>
    <comment ref="R5" authorId="0">
      <text>
        <r>
          <rPr>
            <sz val="10"/>
            <rFont val="FreeSans"/>
            <family val="2"/>
          </rPr>
          <t xml:space="preserve">اتركها فارغة ليحسبها النظام آلياً (</t>
        </r>
        <r>
          <rPr>
            <sz val="10"/>
            <rFont val="Arial"/>
            <family val="2"/>
          </rPr>
          <t xml:space="preserve">21 يوماً ثم 30 بعد 5 سنوات). اكتب رقماً إذا كان العقد يمنح أياماً أكثر.</t>
        </r>
      </text>
    </comment>
    <comment ref="V5" authorId="0">
      <text>
        <r>
          <rPr>
            <sz val="10"/>
            <rFont val="FreeSans"/>
            <family val="2"/>
          </rPr>
          <t xml:space="preserve">رصيد الأيام غير المستخدمة كما في </t>
        </r>
        <r>
          <rPr>
            <sz val="10"/>
            <rFont val="Arial"/>
            <family val="2"/>
          </rPr>
          <t xml:space="preserve">1 يناير من السنة المالية (للموظف المعين خلال السنة: صفر).</t>
        </r>
      </text>
    </comment>
    <comment ref="X5" authorId="0">
      <text>
        <r>
          <rPr>
            <sz val="10"/>
            <rFont val="FreeSans"/>
            <family val="2"/>
          </rPr>
          <t xml:space="preserve">اتركه فارغاً للموظف على رأس العمل. عند إدخاله يتوقف الراتب والمخصصات بعد هذا التاريخ</t>
        </r>
        <r>
          <rPr>
            <sz val="10"/>
            <rFont val="Arial"/>
            <family val="2"/>
          </rPr>
          <t xml:space="preserve">.</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5" authorId="0">
      <text>
        <r>
          <rPr>
            <sz val="10"/>
            <rFont val="FreeSans"/>
            <family val="2"/>
          </rPr>
          <t xml:space="preserve">سجّل كل حركة في سطر: الشهر + رقم الموظف + القيم. يمكن تكرار الموظف في نفس الشهر؛ المسير يجمع كل الحركات تلقائياً</t>
        </r>
        <r>
          <rPr>
            <sz val="10"/>
            <rFont val="Arial"/>
            <family val="2"/>
          </rPr>
          <t xml:space="preserve">.</t>
        </r>
      </text>
    </comment>
    <comment ref="L5" authorId="0">
      <text>
        <r>
          <rPr>
            <sz val="10"/>
            <rFont val="FreeSans"/>
            <family val="2"/>
          </rPr>
          <t xml:space="preserve">أيام الإجازة التي صُرفت نقداً (تُخصم من رصيد الإجازات). أدخل مبلغها في «إضافات أخرى» ليُصرف مع الراتب</t>
        </r>
        <r>
          <rPr>
            <sz val="10"/>
            <rFont val="Arial"/>
            <family val="2"/>
          </rPr>
          <t xml:space="preserve">.</t>
        </r>
      </text>
    </comment>
  </commentList>
</comments>
</file>

<file path=xl/sharedStrings.xml><?xml version="1.0" encoding="utf-8"?>
<sst xmlns="http://schemas.openxmlformats.org/spreadsheetml/2006/main" count="1275" uniqueCount="479">
  <si>
    <t xml:space="preserve">🏢 نظام الرواتب والمخصصات المتكامل</t>
  </si>
  <si>
    <t xml:space="preserve">مسير رواتب 12 شهراً • مكافأة نهاية الخدمة • مخصص الإجازات • مخصص تذاكر السفر • التأمينات الاجتماعية • القيود المحاسبية • قسيمة الراتب • لوحة التحكم</t>
  </si>
  <si>
    <t xml:space="preserve">🧭 خطوات العمل الشهرية</t>
  </si>
  <si>
    <t xml:space="preserve">📅 مسيرات الأشهر</t>
  </si>
  <si>
    <t xml:space="preserve">#</t>
  </si>
  <si>
    <t xml:space="preserve">الورقة</t>
  </si>
  <si>
    <t xml:space="preserve">ماذا تفعل</t>
  </si>
  <si>
    <t xml:space="preserve">مسير يناير</t>
  </si>
  <si>
    <t xml:space="preserve">مسير يوليو</t>
  </si>
  <si>
    <t xml:space="preserve">1</t>
  </si>
  <si>
    <t xml:space="preserve">الإعدادات</t>
  </si>
  <si>
    <t xml:space="preserve">أدخل اسم المنشأة والسنة المالية وشهر التقرير وراجع النسب النظامية (مرة واحدة).</t>
  </si>
  <si>
    <t xml:space="preserve">مسير فبراير</t>
  </si>
  <si>
    <t xml:space="preserve">مسير أغسطس</t>
  </si>
  <si>
    <t xml:space="preserve">2</t>
  </si>
  <si>
    <t xml:space="preserve">الموظفون</t>
  </si>
  <si>
    <t xml:space="preserve">سجّل الموظفين: الرواتب والبدلات، تاريخ التعيين، التذاكر، والأرصدة الافتتاحية في 1/1.</t>
  </si>
  <si>
    <t xml:space="preserve">مسير مارس</t>
  </si>
  <si>
    <t xml:space="preserve">مسير سبتمبر</t>
  </si>
  <si>
    <t xml:space="preserve">3</t>
  </si>
  <si>
    <t xml:space="preserve">الحركات الشهرية</t>
  </si>
  <si>
    <t xml:space="preserve">كل شهر: سجّل الغياب والإضافي والمكافآت والسلف والإجازات والتذاكر ومستحقات نهاية الخدمة.</t>
  </si>
  <si>
    <t xml:space="preserve">مسير أبريل</t>
  </si>
  <si>
    <t xml:space="preserve">مسير أكتوبر</t>
  </si>
  <si>
    <t xml:space="preserve">4</t>
  </si>
  <si>
    <t xml:space="preserve">راجع مسير الشهر (12 ورقة جاهزة يناير ← ديسمبر) — كل شيء محسوب آلياً.</t>
  </si>
  <si>
    <t xml:space="preserve">مسير مايو</t>
  </si>
  <si>
    <t xml:space="preserve">مسير نوفمبر</t>
  </si>
  <si>
    <t xml:space="preserve">5</t>
  </si>
  <si>
    <t xml:space="preserve">مخصص نهاية الخدمة</t>
  </si>
  <si>
    <t xml:space="preserve">المخصصات كما في شهر التقرير: نهاية الخدمة ← الإجازات ← التذاكر مع الفحوصات.</t>
  </si>
  <si>
    <t xml:space="preserve">مسير يونيو</t>
  </si>
  <si>
    <t xml:space="preserve">مسير ديسمبر</t>
  </si>
  <si>
    <t xml:space="preserve">6</t>
  </si>
  <si>
    <t xml:space="preserve">قيود الرواتب</t>
  </si>
  <si>
    <t xml:space="preserve">انسخ القيود الشهرية المتوازنة إلى نظامك المحاسبي.</t>
  </si>
  <si>
    <t xml:space="preserve">7</t>
  </si>
  <si>
    <t xml:space="preserve">قسيمة الراتب</t>
  </si>
  <si>
    <t xml:space="preserve">اطبع قسيمة راتب أي موظف لأي شهر.</t>
  </si>
  <si>
    <t xml:space="preserve">📅 الملخص الشهري</t>
  </si>
  <si>
    <t xml:space="preserve">📑 ملخص الموظفين</t>
  </si>
  <si>
    <t xml:space="preserve">8</t>
  </si>
  <si>
    <t xml:space="preserve">لوحة التحكم</t>
  </si>
  <si>
    <t xml:space="preserve">تابع المؤشرات والتنبيهات والرسوم البيانية.</t>
  </si>
  <si>
    <t xml:space="preserve">🌴 مخصص الإجازات</t>
  </si>
  <si>
    <t xml:space="preserve">✈ مخصص التذاكر</t>
  </si>
  <si>
    <t xml:space="preserve">🎨 دليل الألوان</t>
  </si>
  <si>
    <t xml:space="preserve">123</t>
  </si>
  <si>
    <t xml:space="preserve">خلية إدخال — اكتب فيها (خط أزرق على خلفية صفراء).</t>
  </si>
  <si>
    <t xml:space="preserve">ƒx معادلة</t>
  </si>
  <si>
    <t xml:space="preserve">خلية معادلة — لا تعدّلها؛ تتحدث تلقائياً.</t>
  </si>
  <si>
    <t xml:space="preserve">✔ سليم</t>
  </si>
  <si>
    <t xml:space="preserve">فحص ناجح.</t>
  </si>
  <si>
    <t xml:space="preserve">⚠ تنبيه</t>
  </si>
  <si>
    <t xml:space="preserve">يحتاج مراجعة.</t>
  </si>
  <si>
    <t xml:space="preserve">✖ خطأ</t>
  </si>
  <si>
    <t xml:space="preserve">خطأ يجب تصحيحه.</t>
  </si>
  <si>
    <t xml:space="preserve">🔗 خريطة الترابط</t>
  </si>
  <si>
    <t xml:space="preserve">الإعدادات ➜ الموظفون ➜ الحركات الشهرية ➜ مسيرات 12 شهراً ➜ الملخص الشهري + ملخص الموظفين ➜ المخصصات (نهاية الخدمة / الإجازات / التذاكر) ➜ القيود المحاسبية ➜ قسيمة الراتب + لوحة التحكم</t>
  </si>
  <si>
    <t xml:space="preserve">البيانات الحالية (12 موظفاً وحركاتهم) أمثلة توضيحية لإظهار طريقة العمل — امسح خلايا الإدخال الصفراء في «الموظفون» و«الحركات الشهرية» وأدخل بياناتك. يستوعب الملف 100 موظف و1,000 حركة. الأحكام مبنية على نظام العمل السعودي (المواد 84، 85، 98، 107، 109) ونظام التأمينات الاجتماعية، وجميع النسب قابلة للتعديل من الإعدادات.</t>
  </si>
  <si>
    <t xml:space="preserve">📊 لوحة التحكم — الرواتب والمخصصات</t>
  </si>
  <si>
    <t xml:space="preserve">🏠 الرئيسية</t>
  </si>
  <si>
    <t xml:space="preserve">⚙ الإعدادات</t>
  </si>
  <si>
    <t xml:space="preserve">👥 الموظفون</t>
  </si>
  <si>
    <t xml:space="preserve">✍ الحركات</t>
  </si>
  <si>
    <t xml:space="preserve">🧾 القيود</t>
  </si>
  <si>
    <t xml:space="preserve">💳 القسيمة</t>
  </si>
  <si>
    <t xml:space="preserve">شهر التقرير ←</t>
  </si>
  <si>
    <t xml:space="preserve">⚙ تغيير الشهر</t>
  </si>
  <si>
    <t xml:space="preserve">👥 القوى العاملة</t>
  </si>
  <si>
    <t xml:space="preserve">الموظفون على رأس العمل</t>
  </si>
  <si>
    <t xml:space="preserve">نسبة التوطين (السعودة)</t>
  </si>
  <si>
    <t xml:space="preserve">متوسط إجمالي الراتب الشهري</t>
  </si>
  <si>
    <t xml:space="preserve">إجمالي الرواتب الشهرية الثابتة</t>
  </si>
  <si>
    <t xml:space="preserve">إجمالي المستحقات</t>
  </si>
  <si>
    <t xml:space="preserve">صافي الرواتب المدفوعة</t>
  </si>
  <si>
    <t xml:space="preserve">التأمينات (موظف + منشأة)</t>
  </si>
  <si>
    <t xml:space="preserve">إجمالي تكلفة العمالة</t>
  </si>
  <si>
    <t xml:space="preserve">مخصص الإجازات</t>
  </si>
  <si>
    <t xml:space="preserve">مخصص تذاكر السفر</t>
  </si>
  <si>
    <t xml:space="preserve">إجمالي المخصصات</t>
  </si>
  <si>
    <t xml:space="preserve">🔔 تنبيهات وفحوصات الترابط</t>
  </si>
  <si>
    <t xml:space="preserve">🌍 التوزيع حسب الفئة</t>
  </si>
  <si>
    <t xml:space="preserve">هويات / إقامات منتهية أو تنتهي خلال 60 يوماً</t>
  </si>
  <si>
    <t xml:space="preserve">الفئة</t>
  </si>
  <si>
    <t xml:space="preserve">العدد</t>
  </si>
  <si>
    <t xml:space="preserve">النسبة</t>
  </si>
  <si>
    <t xml:space="preserve">الرواتب الشهرية</t>
  </si>
  <si>
    <t xml:space="preserve">موظفون منتهية خدماتهم بمستحقات لم تُصرف</t>
  </si>
  <si>
    <t xml:space="preserve">سعودي</t>
  </si>
  <si>
    <t xml:space="preserve">أرصدة إجازات سالبة أو مرتفعة</t>
  </si>
  <si>
    <t xml:space="preserve">غير سعودي</t>
  </si>
  <si>
    <t xml:space="preserve">تذاكر مستحقة للصرف</t>
  </si>
  <si>
    <t xml:space="preserve">حركات برقم وظيفي غير صحيح</t>
  </si>
  <si>
    <t xml:space="preserve">رواتب صافية بالسالب (كل الأشهر)</t>
  </si>
  <si>
    <t xml:space="preserve">توازن قيود الرواتب (حتى شهر التقرير)</t>
  </si>
  <si>
    <t xml:space="preserve">القسم</t>
  </si>
  <si>
    <t xml:space="preserve">عدد الموظفين</t>
  </si>
  <si>
    <t xml:space="preserve">المستحقات حتى تاريخه</t>
  </si>
  <si>
    <t xml:space="preserve">التكلفة الكاملة حتى تاريخه</t>
  </si>
  <si>
    <t xml:space="preserve">النسبة من التكلفة</t>
  </si>
  <si>
    <t xml:space="preserve">الإجمالي</t>
  </si>
  <si>
    <t xml:space="preserve">📈 الاتجاه الشهري لمكونات تكلفة العمالة (12 شهراً)</t>
  </si>
  <si>
    <t xml:space="preserve">الشهر</t>
  </si>
  <si>
    <t xml:space="preserve">صافي الرواتب</t>
  </si>
  <si>
    <t xml:space="preserve">سلف وخصومات</t>
  </si>
  <si>
    <t xml:space="preserve">المخصصات (نهاية خدمة + إجازات + تذاكر)</t>
  </si>
  <si>
    <t xml:space="preserve">إجمالي التكلفة</t>
  </si>
  <si>
    <t xml:space="preserve">إجمالي السنة</t>
  </si>
  <si>
    <t xml:space="preserve">كل الأرقام في هذه اللوحة معادلات مرتبطة بالأوراق الأخرى — لا تُدخل فيها أي بيانات. غيّر «شهر التقرير» من الإعدادات لتتحدث اللوحة والمخصصات والقيود. الصف المظلل في جدول الاتجاه = شهر التقرير.</t>
  </si>
  <si>
    <t xml:space="preserve">⚙ الإعدادات والثوابت النظامية</t>
  </si>
  <si>
    <t xml:space="preserve">📊 لوحة التحكم</t>
  </si>
  <si>
    <t xml:space="preserve">البند</t>
  </si>
  <si>
    <t xml:space="preserve">القيمة</t>
  </si>
  <si>
    <t xml:space="preserve">الشرح / المصدر</t>
  </si>
  <si>
    <t xml:space="preserve">الأقسام</t>
  </si>
  <si>
    <t xml:space="preserve">أسباب انتهاء الخدمة</t>
  </si>
  <si>
    <t xml:space="preserve">نعم / لا</t>
  </si>
  <si>
    <t xml:space="preserve">فئة التأمينات</t>
  </si>
  <si>
    <t xml:space="preserve">الأشهر</t>
  </si>
  <si>
    <t xml:space="preserve">أوراق المسير</t>
  </si>
  <si>
    <t xml:space="preserve">اسم المنشأة</t>
  </si>
  <si>
    <t xml:space="preserve">شركة النخبة للتجارة والمقاولات</t>
  </si>
  <si>
    <t xml:space="preserve">يظهر في رؤوس جميع الأوراق والقسائم.</t>
  </si>
  <si>
    <t xml:space="preserve">الإدارة العليا</t>
  </si>
  <si>
    <t xml:space="preserve">استقالة</t>
  </si>
  <si>
    <t xml:space="preserve">نعم</t>
  </si>
  <si>
    <t xml:space="preserve">يناير</t>
  </si>
  <si>
    <t xml:space="preserve">السنة المالية</t>
  </si>
  <si>
    <t xml:space="preserve">كل التواريخ الشهرية تُبنى على هذه السنة.</t>
  </si>
  <si>
    <t xml:space="preserve">المالية</t>
  </si>
  <si>
    <t xml:space="preserve">إنهاء من صاحب العمل</t>
  </si>
  <si>
    <t xml:space="preserve">لا</t>
  </si>
  <si>
    <t xml:space="preserve">فبراير</t>
  </si>
  <si>
    <t xml:space="preserve">العملة</t>
  </si>
  <si>
    <t xml:space="preserve">ريال سعودي</t>
  </si>
  <si>
    <t xml:space="preserve">الموارد البشرية</t>
  </si>
  <si>
    <t xml:space="preserve">انتهاء مدة العقد</t>
  </si>
  <si>
    <t xml:space="preserve">مارس</t>
  </si>
  <si>
    <t xml:space="preserve">شهر التقرير (1-12)</t>
  </si>
  <si>
    <t xml:space="preserve">يتحكم في: المخصصات كما في نهاية الشهر، مؤشرات لوحة التحكم (من بداية السنة حتى هذا الشهر)، وتمييز الأشهر الفعلية عن المتوقعة.</t>
  </si>
  <si>
    <t xml:space="preserve">المبيعات</t>
  </si>
  <si>
    <t xml:space="preserve">اتفاق الطرفين</t>
  </si>
  <si>
    <t xml:space="preserve">أبريل</t>
  </si>
  <si>
    <t xml:space="preserve">بداية السنة المالية</t>
  </si>
  <si>
    <t xml:space="preserve">معادلة — لا تعدّل.</t>
  </si>
  <si>
    <t xml:space="preserve">العمليات</t>
  </si>
  <si>
    <t xml:space="preserve">وفاة أو عجز</t>
  </si>
  <si>
    <t xml:space="preserve">مايو</t>
  </si>
  <si>
    <t xml:space="preserve">تاريخ التقرير (نهاية شهر التقرير)</t>
  </si>
  <si>
    <t xml:space="preserve">تقنية المعلومات</t>
  </si>
  <si>
    <t xml:space="preserve">يونيو</t>
  </si>
  <si>
    <t xml:space="preserve">💰 الرواتب والعمل الإضافي</t>
  </si>
  <si>
    <t xml:space="preserve">المشاريع</t>
  </si>
  <si>
    <t xml:space="preserve">يوليو</t>
  </si>
  <si>
    <t xml:space="preserve">أساس أيام الشهر</t>
  </si>
  <si>
    <t xml:space="preserve">الأجر اليومي = الأجر الشهري ÷ 30 (العرف المحاسبي ونظام العمل).</t>
  </si>
  <si>
    <t xml:space="preserve">أغسطس</t>
  </si>
  <si>
    <t xml:space="preserve">ساعات العمل اليومية</t>
  </si>
  <si>
    <t xml:space="preserve">المادة 98 من نظام العمل: 8 ساعات يومياً.</t>
  </si>
  <si>
    <t xml:space="preserve">سبتمبر</t>
  </si>
  <si>
    <t xml:space="preserve">علاوة العمل الإضافي على الأجر الأساسي</t>
  </si>
  <si>
    <t xml:space="preserve">المادة 107: أجر الساعة + 50% من الأجر الأساسي للساعة.</t>
  </si>
  <si>
    <t xml:space="preserve">أكتوبر</t>
  </si>
  <si>
    <t xml:space="preserve">🏛 التأمينات الاجتماعية (GOSI)</t>
  </si>
  <si>
    <t xml:space="preserve">نوفمبر</t>
  </si>
  <si>
    <t xml:space="preserve">سعودي — حصة الموظف</t>
  </si>
  <si>
    <t xml:space="preserve">معاشات 9% + ساند 0.75%. المشتركون الجدد بعد 3/7/2025 تتدرج نسبتهم سنوياً — عدّل عند الحاجة.</t>
  </si>
  <si>
    <t xml:space="preserve">ديسمبر</t>
  </si>
  <si>
    <t xml:space="preserve">سعودي — حصة المنشأة</t>
  </si>
  <si>
    <t xml:space="preserve">معاشات 9% + ساند 0.75% + أخطار مهنية 2%.</t>
  </si>
  <si>
    <t xml:space="preserve">غير سعودي — حصة الموظف</t>
  </si>
  <si>
    <t xml:space="preserve">لا يُستقطع من غير السعودي.</t>
  </si>
  <si>
    <t xml:space="preserve">غير سعودي — حصة المنشأة</t>
  </si>
  <si>
    <t xml:space="preserve">أخطار مهنية 2%.</t>
  </si>
  <si>
    <t xml:space="preserve">الحد الأعلى لأجر الاشتراك</t>
  </si>
  <si>
    <t xml:space="preserve">أجر الاشتراك = الأساسي + السكن بحد أقصى 45,000.</t>
  </si>
  <si>
    <t xml:space="preserve">🎁 مكافأة نهاية الخدمة</t>
  </si>
  <si>
    <t xml:space="preserve">عدد السنوات الأولى</t>
  </si>
  <si>
    <t xml:space="preserve">المادة 84: نصف شهر عن كل سنة من السنوات الخمس الأولى.</t>
  </si>
  <si>
    <t xml:space="preserve">أجر كل سنة من السنوات الأولى (بالأشهر)</t>
  </si>
  <si>
    <t xml:space="preserve">أجر كل سنة بعدها (بالأشهر)</t>
  </si>
  <si>
    <t xml:space="preserve">أجر شهر كامل عن كل سنة تالية.</t>
  </si>
  <si>
    <t xml:space="preserve">يدخل بدل السكن في أجر نهاية الخدمة؟</t>
  </si>
  <si>
    <t xml:space="preserve">الأجر الفعلي حسب المادة 2: الأساسي + البدلات الثابتة.</t>
  </si>
  <si>
    <t xml:space="preserve">يدخل بدل النقل في أجر نهاية الخدمة؟</t>
  </si>
  <si>
    <t xml:space="preserve">تدخل البدلات الأخرى في أجر نهاية الخدمة؟</t>
  </si>
  <si>
    <t xml:space="preserve">🌴 الإجازات السنوية</t>
  </si>
  <si>
    <t xml:space="preserve">أيام الإجازة السنوية (قبل الحد)</t>
  </si>
  <si>
    <t xml:space="preserve">المادة 109: 21 يوماً.</t>
  </si>
  <si>
    <t xml:space="preserve">أيام الإجازة السنوية (بعد الحد)</t>
  </si>
  <si>
    <t xml:space="preserve">30 يوماً بعد إتمام 5 سنوات متصلة.</t>
  </si>
  <si>
    <t xml:space="preserve">عدد سنوات الحد للإجازة</t>
  </si>
  <si>
    <t xml:space="preserve">يدخل السكن في أجر الإجازة؟</t>
  </si>
  <si>
    <t xml:space="preserve">يدخل النقل في أجر الإجازة؟</t>
  </si>
  <si>
    <t xml:space="preserve">تدخل البدلات الأخرى في أجر الإجازة؟</t>
  </si>
  <si>
    <t xml:space="preserve">عدد أيام السنة لاحتساب مدة الخدمة</t>
  </si>
  <si>
    <t xml:space="preserve">📐 نسب استحقاق مكافأة نهاية الخدمة عند الاستقالة (المادة 85)</t>
  </si>
  <si>
    <t xml:space="preserve">مدة الخدمة من (سنة)</t>
  </si>
  <si>
    <t xml:space="preserve">نسبة الاستحقاق</t>
  </si>
  <si>
    <t xml:space="preserve">الشرح</t>
  </si>
  <si>
    <t xml:space="preserve">أقل من سنتين: لا يستحق</t>
  </si>
  <si>
    <t xml:space="preserve">من سنتين إلى أقل من 5: ثلث المكافأة</t>
  </si>
  <si>
    <t xml:space="preserve">من 5 إلى أقل من 10: ثلثا المكافأة</t>
  </si>
  <si>
    <t xml:space="preserve">10 سنوات فأكثر: المكافأة كاملة</t>
  </si>
  <si>
    <t xml:space="preserve">الخلايا الصفراء بالخط الأزرق = مدخلات قابلة للتعديل. الخلايا الرمادية = معادلات. النسب والحدود مأخوذة من نظام العمل السعودي ونظام التأمينات الاجتماعية — راجعها عند صدور أي تعديل نظامي.</t>
  </si>
  <si>
    <t xml:space="preserve">👥 سجل بيانات الموظفين الرئيسي</t>
  </si>
  <si>
    <t xml:space="preserve">م</t>
  </si>
  <si>
    <t xml:space="preserve">الرقم الوظيفي</t>
  </si>
  <si>
    <t xml:space="preserve">اسم الموظف</t>
  </si>
  <si>
    <t xml:space="preserve">الجنسية</t>
  </si>
  <si>
    <t xml:space="preserve">المسمى الوظيفي</t>
  </si>
  <si>
    <t xml:space="preserve">تاريخ التعيين</t>
  </si>
  <si>
    <t xml:space="preserve">انتهاء الهوية / الإقامة</t>
  </si>
  <si>
    <t xml:space="preserve">الراتب الأساسي</t>
  </si>
  <si>
    <t xml:space="preserve">بدل السكن</t>
  </si>
  <si>
    <t xml:space="preserve">بدل النقل</t>
  </si>
  <si>
    <t xml:space="preserve">بدلات أخرى</t>
  </si>
  <si>
    <t xml:space="preserve">إجمالي الراتب الشهري</t>
  </si>
  <si>
    <t xml:space="preserve">أجر احتساب نهاية الخدمة</t>
  </si>
  <si>
    <t xml:space="preserve">أجر احتساب الإجازة</t>
  </si>
  <si>
    <t xml:space="preserve">أجر الاشتراك في التأمينات</t>
  </si>
  <si>
    <t xml:space="preserve">أيام الإجازة السنوية (اختياري — يلغي الآلي)</t>
  </si>
  <si>
    <t xml:space="preserve">يستحق تذكرة سفر؟</t>
  </si>
  <si>
    <t xml:space="preserve">قيمة التذكرة (له ولمن يعول)</t>
  </si>
  <si>
    <t xml:space="preserve">دورية التذكرة (شهر)</t>
  </si>
  <si>
    <t xml:space="preserve">رصيد إجازات افتتاحي (يوم) في 1/1</t>
  </si>
  <si>
    <t xml:space="preserve">رصيد مخصص تذاكر افتتاحي في 1/1</t>
  </si>
  <si>
    <t xml:space="preserve">تاريخ انتهاء الخدمة</t>
  </si>
  <si>
    <t xml:space="preserve">سبب انتهاء الخدمة</t>
  </si>
  <si>
    <t xml:space="preserve">الحالة في تاريخ التقرير</t>
  </si>
  <si>
    <t xml:space="preserve">البنك</t>
  </si>
  <si>
    <t xml:space="preserve">رقم الآيبان IBAN</t>
  </si>
  <si>
    <t xml:space="preserve">ملاحظات</t>
  </si>
  <si>
    <t xml:space="preserve">E001</t>
  </si>
  <si>
    <t xml:space="preserve">عبدالله محمد العتيبي</t>
  </si>
  <si>
    <t xml:space="preserve">المدير العام</t>
  </si>
  <si>
    <t xml:space="preserve">الراجحي</t>
  </si>
  <si>
    <t xml:space="preserve">SA0380000000608010167519</t>
  </si>
  <si>
    <t xml:space="preserve">E002</t>
  </si>
  <si>
    <t xml:space="preserve">أحمد سعيد القحطاني</t>
  </si>
  <si>
    <t xml:space="preserve">مدير مالي</t>
  </si>
  <si>
    <t xml:space="preserve">الأهلي</t>
  </si>
  <si>
    <t xml:space="preserve">SA4410000011100000000001</t>
  </si>
  <si>
    <t xml:space="preserve">E003</t>
  </si>
  <si>
    <t xml:space="preserve">محمد علي حسن</t>
  </si>
  <si>
    <t xml:space="preserve">مصري</t>
  </si>
  <si>
    <t xml:space="preserve">محاسب أول</t>
  </si>
  <si>
    <t xml:space="preserve">SA0380000000608010167520</t>
  </si>
  <si>
    <t xml:space="preserve">E004</t>
  </si>
  <si>
    <t xml:space="preserve">نورة خالد الدوسري</t>
  </si>
  <si>
    <t xml:space="preserve">سعودية</t>
  </si>
  <si>
    <t xml:space="preserve">مديرة موارد بشرية</t>
  </si>
  <si>
    <t xml:space="preserve">الإنماء</t>
  </si>
  <si>
    <t xml:space="preserve">SA6005000068200000000002</t>
  </si>
  <si>
    <t xml:space="preserve">E005</t>
  </si>
  <si>
    <t xml:space="preserve">راجيش كومار</t>
  </si>
  <si>
    <t xml:space="preserve">هندي</t>
  </si>
  <si>
    <t xml:space="preserve">مهندس شبكات</t>
  </si>
  <si>
    <t xml:space="preserve">SA4410000011100000000003</t>
  </si>
  <si>
    <t xml:space="preserve">E006</t>
  </si>
  <si>
    <t xml:space="preserve">فهد ناصر الشمري</t>
  </si>
  <si>
    <t xml:space="preserve">مدير مبيعات</t>
  </si>
  <si>
    <t xml:space="preserve">SA0380000000608010167521</t>
  </si>
  <si>
    <t xml:space="preserve">E007</t>
  </si>
  <si>
    <t xml:space="preserve">خالد يوسف الأحمد</t>
  </si>
  <si>
    <t xml:space="preserve">أردني</t>
  </si>
  <si>
    <t xml:space="preserve">مهندس مشاريع</t>
  </si>
  <si>
    <t xml:space="preserve">البلاد</t>
  </si>
  <si>
    <t xml:space="preserve">SA1515000999100000000004</t>
  </si>
  <si>
    <t xml:space="preserve">E008</t>
  </si>
  <si>
    <t xml:space="preserve">سارة عبدالرحمن الزهراني</t>
  </si>
  <si>
    <t xml:space="preserve">محاسبة</t>
  </si>
  <si>
    <t xml:space="preserve">SA6005000068200000000005</t>
  </si>
  <si>
    <t xml:space="preserve">E009</t>
  </si>
  <si>
    <t xml:space="preserve">محمد رفيق</t>
  </si>
  <si>
    <t xml:space="preserve">باكستاني</t>
  </si>
  <si>
    <t xml:space="preserve">مشرف عمليات</t>
  </si>
  <si>
    <t xml:space="preserve">SA0380000000608010167522</t>
  </si>
  <si>
    <t xml:space="preserve">E010</t>
  </si>
  <si>
    <t xml:space="preserve">ريم سلطان المطيري</t>
  </si>
  <si>
    <t xml:space="preserve">أخصائية تسويق</t>
  </si>
  <si>
    <t xml:space="preserve">SA4410000011100000000006</t>
  </si>
  <si>
    <t xml:space="preserve">E011</t>
  </si>
  <si>
    <t xml:space="preserve">جون ماتيو</t>
  </si>
  <si>
    <t xml:space="preserve">فلبيني</t>
  </si>
  <si>
    <t xml:space="preserve">فني صيانة</t>
  </si>
  <si>
    <t xml:space="preserve">SA0380000000608010167523</t>
  </si>
  <si>
    <t xml:space="preserve">E012</t>
  </si>
  <si>
    <t xml:space="preserve">عمر حسين البيشي</t>
  </si>
  <si>
    <t xml:space="preserve">مطور برمجيات</t>
  </si>
  <si>
    <t xml:space="preserve">SA1515000999100000000007</t>
  </si>
  <si>
    <t xml:space="preserve">✍ الحركات الشهرية المتغيرة (غياب — إضافي — مكافآت — سلف — إجازات — تذاكر)</t>
  </si>
  <si>
    <t xml:space="preserve">الشهر (1-12)</t>
  </si>
  <si>
    <t xml:space="preserve">اسم الموظف (تلقائي)</t>
  </si>
  <si>
    <t xml:space="preserve">أيام غياب</t>
  </si>
  <si>
    <t xml:space="preserve">إجازة بدون راتب (يوم)</t>
  </si>
  <si>
    <t xml:space="preserve">ساعات عمل إضافي</t>
  </si>
  <si>
    <t xml:space="preserve">مكافآت وعمولات</t>
  </si>
  <si>
    <t xml:space="preserve">إضافات أخرى / فروقات</t>
  </si>
  <si>
    <t xml:space="preserve">أقساط سلف</t>
  </si>
  <si>
    <t xml:space="preserve">خصومات وجزاءات</t>
  </si>
  <si>
    <t xml:space="preserve">إجازة سنوية مأخوذة (يوم)</t>
  </si>
  <si>
    <t xml:space="preserve">إجازة مصروفة نقداً (يوم)</t>
  </si>
  <si>
    <t xml:space="preserve">قيمة تذاكر مستخدمة</t>
  </si>
  <si>
    <t xml:space="preserve">مكافأة نهاية خدمة مدفوعة</t>
  </si>
  <si>
    <t xml:space="preserve">قسط سلفة 1/5</t>
  </si>
  <si>
    <t xml:space="preserve">غياب يوم</t>
  </si>
  <si>
    <t xml:space="preserve">قسط سلفة 2/5</t>
  </si>
  <si>
    <t xml:space="preserve">عمولة مبيعات الربع الرابع</t>
  </si>
  <si>
    <t xml:space="preserve">قسط سلفة 3/5</t>
  </si>
  <si>
    <t xml:space="preserve">إجازة سنوية</t>
  </si>
  <si>
    <t xml:space="preserve">إجازة سنوية + تذكرة</t>
  </si>
  <si>
    <t xml:space="preserve">قسط سلفة 4/5</t>
  </si>
  <si>
    <t xml:space="preserve">غياب يومين</t>
  </si>
  <si>
    <t xml:space="preserve">قسط سلفة 5/5</t>
  </si>
  <si>
    <t xml:space="preserve">عمولة مبيعات</t>
  </si>
  <si>
    <t xml:space="preserve">آخر يوم عمل 30/06</t>
  </si>
  <si>
    <t xml:space="preserve">تسوية نهاية خدمة: المكافأة + صرف رصيد الإجازات نقداً (في الإضافات)</t>
  </si>
  <si>
    <t xml:space="preserve">إجازة بدون راتب</t>
  </si>
  <si>
    <t xml:space="preserve">بدل مهمة عمل</t>
  </si>
  <si>
    <t xml:space="preserve">جزاء تأخير</t>
  </si>
  <si>
    <t xml:space="preserve">من</t>
  </si>
  <si>
    <t xml:space="preserve">إلى</t>
  </si>
  <si>
    <t xml:space="preserve">الشهر التالي ▶</t>
  </si>
  <si>
    <t xml:space="preserve">أيام الاستحقاق</t>
  </si>
  <si>
    <t xml:space="preserve">أيام الغياب</t>
  </si>
  <si>
    <t xml:space="preserve">بدون راتب</t>
  </si>
  <si>
    <t xml:space="preserve">أيام مدفوعة</t>
  </si>
  <si>
    <t xml:space="preserve">الأساسي</t>
  </si>
  <si>
    <t xml:space="preserve">السكن</t>
  </si>
  <si>
    <t xml:space="preserve">النقل</t>
  </si>
  <si>
    <t xml:space="preserve">أخرى</t>
  </si>
  <si>
    <t xml:space="preserve">ساعات إضافي</t>
  </si>
  <si>
    <t xml:space="preserve">قيمة الإضافي</t>
  </si>
  <si>
    <t xml:space="preserve">إضافات أخرى</t>
  </si>
  <si>
    <t xml:space="preserve">تأمينات (حصة الموظف)</t>
  </si>
  <si>
    <t xml:space="preserve">إجمالي الاستقطاعات</t>
  </si>
  <si>
    <t xml:space="preserve">صافي الراتب</t>
  </si>
  <si>
    <t xml:space="preserve">تأمينات (حصة المنشأة)</t>
  </si>
  <si>
    <t xml:space="preserve">مخصص نهاية الخدمة للشهر</t>
  </si>
  <si>
    <t xml:space="preserve">مخصص الإجازات للشهر</t>
  </si>
  <si>
    <t xml:space="preserve">مخصص التذاكر للشهر</t>
  </si>
  <si>
    <t xml:space="preserve">إجمالي تكلفة الموظف</t>
  </si>
  <si>
    <t xml:space="preserve">سنوات الخدمة نهاية الشهر</t>
  </si>
  <si>
    <t xml:space="preserve">سنوات الخدمة نهاية الشهر السابق</t>
  </si>
  <si>
    <t xml:space="preserve">أيام العمل الفعلية (تقويمي)</t>
  </si>
  <si>
    <t xml:space="preserve">المعادلات: أيام الاستحقاق = 30 للشهر الكامل أو الأيام الفعلية للتعيين/الانتهاء خلال الشهر • الإضافي = الساعات × (إجمالي الأجر + 50% من الأساسي) ÷ 30 ÷ 8 • التأمينات على (الأساسي + السكن) بحد 45,000 • مخصص نهاية الخدمة = الاستحقاق التراكمي نهاية الشهر − نهاية الشهر السابق • الإجازات = (أيام الاستحقاق السنوي ÷ 365) × أيام العمل × أجر اليوم • التذاكر = قيمة التذكرة ÷ الدورية × 12 ÷ 365 × أيام العمل. الأعمدة الرمادية الأخيرة مساعدة للاحتساب.</t>
  </si>
  <si>
    <t xml:space="preserve">◀ الشهر السابق</t>
  </si>
  <si>
    <t xml:space="preserve">📅 الملخص الشهري للرواتب والمخصصات — 12 شهراً</t>
  </si>
  <si>
    <t xml:space="preserve">رقم</t>
  </si>
  <si>
    <t xml:space="preserve">الرواتب الأساسية</t>
  </si>
  <si>
    <t xml:space="preserve">البدلات</t>
  </si>
  <si>
    <t xml:space="preserve">العمل الإضافي</t>
  </si>
  <si>
    <t xml:space="preserve">مكافآت وإضافات</t>
  </si>
  <si>
    <t xml:space="preserve">تأمينات الموظف</t>
  </si>
  <si>
    <t xml:space="preserve">تأمينات المنشأة</t>
  </si>
  <si>
    <t xml:space="preserve">مخصص التذاكر</t>
  </si>
  <si>
    <t xml:space="preserve">الحالة</t>
  </si>
  <si>
    <t xml:space="preserve">الصف المظلل بالأصفر = شهر التقرير. الأشهر «المتوقعة» محسوبة على الرواتب الثابتة الحالية (موازنة تقديرية) وتتحول لفعلية بإدخال حركاتها. اضغط اسم الشهر للانتقال إلى مسيره.</t>
  </si>
  <si>
    <t xml:space="preserve">📑 ملخص الموظفين السنوي — المستحقات والتكلفة شهراً بشهر</t>
  </si>
  <si>
    <t xml:space="preserve">إجمالي المستحقات الشهرية</t>
  </si>
  <si>
    <t xml:space="preserve">إجمالي تكلفة الموظف على المنشأة (راتب + تأمينات + مخصصات)</t>
  </si>
  <si>
    <t xml:space="preserve">الرقم</t>
  </si>
  <si>
    <t xml:space="preserve">المستحقات حتى شهر التقرير</t>
  </si>
  <si>
    <t xml:space="preserve">التكلفة حتى شهر التقرير</t>
  </si>
  <si>
    <t xml:space="preserve">صافي المدفوع حتى شهر التقرير</t>
  </si>
  <si>
    <t xml:space="preserve">متوسط التكلفة الشهرية</t>
  </si>
  <si>
    <t xml:space="preserve">تاريخ الاحتساب</t>
  </si>
  <si>
    <t xml:space="preserve">مدة الخدمة</t>
  </si>
  <si>
    <t xml:space="preserve">سنوات الخدمة</t>
  </si>
  <si>
    <t xml:space="preserve">أجر الاحتساب</t>
  </si>
  <si>
    <t xml:space="preserve">استحقاق السنوات الأولى</t>
  </si>
  <si>
    <t xml:space="preserve">استحقاق ما بعدها</t>
  </si>
  <si>
    <t xml:space="preserve">الاستحقاق الكامل (م 84)</t>
  </si>
  <si>
    <t xml:space="preserve">الحالة / سبب الانتهاء</t>
  </si>
  <si>
    <t xml:space="preserve">نسبة الاستحقاق عند الاستقالة (م 85)</t>
  </si>
  <si>
    <t xml:space="preserve">المستحق لو استقال</t>
  </si>
  <si>
    <t xml:space="preserve">الاستحقاق النظامي (رصيد المخصص المطلوب)</t>
  </si>
  <si>
    <t xml:space="preserve">الرصيد الافتتاحي 1/1</t>
  </si>
  <si>
    <t xml:space="preserve">المكوّن خلال الفترة</t>
  </si>
  <si>
    <t xml:space="preserve">المدفوع خلال الفترة</t>
  </si>
  <si>
    <t xml:space="preserve">الرصيد الختامي</t>
  </si>
  <si>
    <t xml:space="preserve">الفحص</t>
  </si>
  <si>
    <t xml:space="preserve">أساس المخصص: الاستحقاق الكامل وفق المادة 84 للموظف على رأس العمل (الأحوط محاسبياً)، وللمستقيل نسبة المادة 85. الرصيد الافتتاحي = الاستحقاق في 31/12 من السنة السابقة بالأجر الحالي. المكوّن خلال الفترة = الاستحقاق النظامي − الافتتاحي (يشمل أثر تغير الأجر وردّ الفرق للمستقيل). المدفوع يُسحب تلقائياً من عمود «مكافأة نهاية خدمة مدفوعة» في الحركات الشهرية.</t>
  </si>
  <si>
    <t xml:space="preserve">الاستحقاق السنوي (يوم)</t>
  </si>
  <si>
    <t xml:space="preserve">أجر اليوم</t>
  </si>
  <si>
    <t xml:space="preserve">رصيد افتتاحي (يوم)</t>
  </si>
  <si>
    <t xml:space="preserve">بداية الاستحقاق هذه السنة</t>
  </si>
  <si>
    <t xml:space="preserve">نهاية الاستحقاق</t>
  </si>
  <si>
    <t xml:space="preserve">أيام العمل خلال الفترة</t>
  </si>
  <si>
    <t xml:space="preserve">أيام مكتسبة</t>
  </si>
  <si>
    <t xml:space="preserve">أيام مأخوذة</t>
  </si>
  <si>
    <t xml:space="preserve">أيام مصروفة نقداً</t>
  </si>
  <si>
    <t xml:space="preserve">الرصيد الختامي (يوم)</t>
  </si>
  <si>
    <t xml:space="preserve">قيمة المخصص الختامي</t>
  </si>
  <si>
    <t xml:space="preserve">قيمة الرصيد الافتتاحي</t>
  </si>
  <si>
    <t xml:space="preserve">تكلفة الإجازات المأخوذة</t>
  </si>
  <si>
    <t xml:space="preserve">الرصيد (يوم) = الافتتاحي + المكتسب (الاستحقاق السنوي ÷ 365 × أيام العمل) − المأخوذ − المصروف نقداً. قيمة المخصص = الرصيد × أجر اليوم الحالي (إعادة تقييم تلقائية عند تغير الراتب). الأيام المأخوذة تُسحب من الحركات الشهرية.</t>
  </si>
  <si>
    <t xml:space="preserve">يستحق تذكرة؟</t>
  </si>
  <si>
    <t xml:space="preserve">قيمة التذكرة</t>
  </si>
  <si>
    <t xml:space="preserve">الدورية (شهر)</t>
  </si>
  <si>
    <t xml:space="preserve">التكلفة الشهرية</t>
  </si>
  <si>
    <t xml:space="preserve">أيام العمل</t>
  </si>
  <si>
    <t xml:space="preserve">الرصيد الافتتاحي</t>
  </si>
  <si>
    <t xml:space="preserve">المستخدم خلال الفترة</t>
  </si>
  <si>
    <t xml:space="preserve">ما يعادله من تذاكر</t>
  </si>
  <si>
    <t xml:space="preserve">المكوّن = (قيمة التذكرة ÷ دورية الاستحقاق × 12 ÷ 365) × أيام العمل خلال السنة حتى تاريخ التقرير. المستخدم يُسحب من عمود «قيمة تذاكر مستخدمة» في الحركات الشهرية. «ما يعادله من تذاكر» ≥ 1 يعني أن الموظف استحق تذكرة كاملة.</t>
  </si>
  <si>
    <t xml:space="preserve">🧾 القيود المحاسبية الشهرية للرواتب والمخصصات (جاهزة للترحيل)</t>
  </si>
  <si>
    <t xml:space="preserve">رقم الشهر ←</t>
  </si>
  <si>
    <t xml:space="preserve">رمز الحساب</t>
  </si>
  <si>
    <t xml:space="preserve">اسم الحساب</t>
  </si>
  <si>
    <t xml:space="preserve">الطبيعة</t>
  </si>
  <si>
    <t xml:space="preserve">حتى شهر التقرير</t>
  </si>
  <si>
    <t xml:space="preserve">① قيد استحقاق رواتب الشهر</t>
  </si>
  <si>
    <t xml:space="preserve">5101</t>
  </si>
  <si>
    <t xml:space="preserve">مصروف الرواتب الأساسية</t>
  </si>
  <si>
    <t xml:space="preserve">مدين</t>
  </si>
  <si>
    <t xml:space="preserve">5102</t>
  </si>
  <si>
    <t xml:space="preserve">مصروف بدل السكن</t>
  </si>
  <si>
    <t xml:space="preserve">5103</t>
  </si>
  <si>
    <t xml:space="preserve">مصروف بدل النقل</t>
  </si>
  <si>
    <t xml:space="preserve">5104</t>
  </si>
  <si>
    <t xml:space="preserve">مصروف بدلات أخرى</t>
  </si>
  <si>
    <t xml:space="preserve">5105</t>
  </si>
  <si>
    <t xml:space="preserve">مصروف العمل الإضافي</t>
  </si>
  <si>
    <t xml:space="preserve">5106</t>
  </si>
  <si>
    <t xml:space="preserve">مصروف المكافآت والعمولات والإضافات</t>
  </si>
  <si>
    <t xml:space="preserve">5107</t>
  </si>
  <si>
    <t xml:space="preserve">مصروف التأمينات الاجتماعية (حصة المنشأة)</t>
  </si>
  <si>
    <t xml:space="preserve">2105</t>
  </si>
  <si>
    <t xml:space="preserve">      المؤسسة العامة للتأمينات الاجتماعية — مستحق</t>
  </si>
  <si>
    <t xml:space="preserve">دائن</t>
  </si>
  <si>
    <t xml:space="preserve">1106</t>
  </si>
  <si>
    <t xml:space="preserve">      سلف الموظفين</t>
  </si>
  <si>
    <t xml:space="preserve">4901</t>
  </si>
  <si>
    <t xml:space="preserve">      إيرادات خصومات وجزاءات الموظفين</t>
  </si>
  <si>
    <t xml:space="preserve">2104</t>
  </si>
  <si>
    <t xml:space="preserve">      رواتب مستحقة الدفع</t>
  </si>
  <si>
    <t xml:space="preserve">② قيد تكوين المخصصات</t>
  </si>
  <si>
    <t xml:space="preserve">5108</t>
  </si>
  <si>
    <t xml:space="preserve">مصروف مكافأة نهاية الخدمة</t>
  </si>
  <si>
    <t xml:space="preserve">2202</t>
  </si>
  <si>
    <t xml:space="preserve">      مخصص مكافأة نهاية الخدمة</t>
  </si>
  <si>
    <t xml:space="preserve">5109</t>
  </si>
  <si>
    <t xml:space="preserve">مصروف الإجازات السنوية</t>
  </si>
  <si>
    <t xml:space="preserve">2106</t>
  </si>
  <si>
    <t xml:space="preserve">      مخصص الإجازات السنوية</t>
  </si>
  <si>
    <t xml:space="preserve">5110</t>
  </si>
  <si>
    <t xml:space="preserve">مصروف تذاكر السفر</t>
  </si>
  <si>
    <t xml:space="preserve">2107</t>
  </si>
  <si>
    <t xml:space="preserve">      مخصص تذاكر السفر</t>
  </si>
  <si>
    <t xml:space="preserve">③ قيد صرف الرواتب (تحويل بنكي / حماية الأجور)</t>
  </si>
  <si>
    <t xml:space="preserve">رواتب مستحقة الدفع</t>
  </si>
  <si>
    <t xml:space="preserve">1102</t>
  </si>
  <si>
    <t xml:space="preserve">      البنك</t>
  </si>
  <si>
    <t xml:space="preserve">إجمالي المدين</t>
  </si>
  <si>
    <t xml:space="preserve">إجمالي الدائن</t>
  </si>
  <si>
    <t xml:space="preserve">التوازن</t>
  </si>
  <si>
    <t xml:space="preserve">رموز الحسابات استرشادية — طابقها مع دليل حساباتك (مثلاً 2202 مخصص نهاية الخدمة كما في ملف النظام المحاسبي). كل خلية مرتبطة مباشرة بصف الإجمالي في مسير الشهر المقابل؛ أي تعديل في الموظفين أو الحركات ينعكس فوراً على القيود.</t>
  </si>
  <si>
    <t xml:space="preserve">اختر الشهر (1-12):</t>
  </si>
  <si>
    <t xml:space="preserve">اختر الرقم الوظيفي:</t>
  </si>
  <si>
    <t xml:space="preserve">صف الموظف</t>
  </si>
  <si>
    <t xml:space="preserve">ورقة المسير</t>
  </si>
  <si>
    <t xml:space="preserve">رقم الآيبان</t>
  </si>
  <si>
    <t xml:space="preserve">أيام الغياب + بدون راتب</t>
  </si>
  <si>
    <t xml:space="preserve">المستحقات</t>
  </si>
  <si>
    <t xml:space="preserve">الاستقطاعات</t>
  </si>
  <si>
    <t xml:space="preserve">التأمينات الاجتماعية</t>
  </si>
  <si>
    <t xml:space="preserve">أقساط السلف</t>
  </si>
  <si>
    <t xml:space="preserve">صافي الراتب المستحق</t>
  </si>
  <si>
    <t xml:space="preserve">معلومات للمنشأة: التكلفة الكاملة والأرصدة (كما في تاريخ التقرير)</t>
  </si>
  <si>
    <t xml:space="preserve">تأمينات حصة المنشأة</t>
  </si>
  <si>
    <t xml:space="preserve">إجمالي تكلفة الموظف للشهر</t>
  </si>
  <si>
    <t xml:space="preserve">رصيد الإجازات (يوم)</t>
  </si>
  <si>
    <t xml:space="preserve">رصيد مكافأة نهاية الخدمة</t>
  </si>
  <si>
    <t xml:space="preserve">رصيد مخصص التذاكر</t>
  </si>
  <si>
    <t xml:space="preserve">توقيع المحاسب: ....................</t>
  </si>
  <si>
    <t xml:space="preserve">توقيع الموظف: ....................</t>
  </si>
</sst>
</file>

<file path=xl/styles.xml><?xml version="1.0" encoding="utf-8"?>
<styleSheet xmlns="http://schemas.openxmlformats.org/spreadsheetml/2006/main">
  <numFmts count="12">
    <numFmt numFmtId="164" formatCode="General"/>
    <numFmt numFmtId="165" formatCode="0;[RED]\-0;\-"/>
    <numFmt numFmtId="166" formatCode="0.00%;[RED]\-0.00%;\-"/>
    <numFmt numFmtId="167" formatCode="_-* #,##0_-;[RED]_-* \(#,##0\)_-;_-* \-??_-;_-@_-"/>
    <numFmt numFmtId="168" formatCode="0"/>
    <numFmt numFmtId="169" formatCode="#,##0"/>
    <numFmt numFmtId="170" formatCode="yyyy/mm/dd"/>
    <numFmt numFmtId="171" formatCode="0.00"/>
    <numFmt numFmtId="172" formatCode="_-* #,##0.00_-;[RED]_-* \(#,##0.00\)_-;_-* \-??_-;_-@_-"/>
    <numFmt numFmtId="173" formatCode="0.00;[RED]\-0.00;\-"/>
    <numFmt numFmtId="174" formatCode="0.000"/>
    <numFmt numFmtId="175" formatCode="General"/>
  </numFmts>
  <fonts count="50">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FFFFFF"/>
      <name val="Arial"/>
      <family val="0"/>
      <charset val="1"/>
    </font>
    <font>
      <b val="true"/>
      <sz val="10"/>
      <color rgb="FF2E7D7A"/>
      <name val="Arial"/>
      <family val="0"/>
      <charset val="1"/>
    </font>
    <font>
      <b val="true"/>
      <sz val="11"/>
      <color rgb="FFFFFFFF"/>
      <name val="Arial"/>
      <family val="0"/>
      <charset val="1"/>
    </font>
    <font>
      <b val="true"/>
      <sz val="10"/>
      <color rgb="FFFFFFFF"/>
      <name val="Arial"/>
      <family val="0"/>
      <charset val="1"/>
    </font>
    <font>
      <b val="true"/>
      <sz val="12"/>
      <color rgb="FFFFFFFF"/>
      <name val="Arial"/>
      <family val="0"/>
      <charset val="1"/>
    </font>
    <font>
      <sz val="10"/>
      <color rgb="FF1F2933"/>
      <name val="Arial"/>
      <family val="0"/>
      <charset val="1"/>
    </font>
    <font>
      <b val="true"/>
      <sz val="10"/>
      <color rgb="FF1A4FA0"/>
      <name val="Arial"/>
      <family val="0"/>
      <charset val="1"/>
    </font>
    <font>
      <b val="true"/>
      <sz val="10"/>
      <color rgb="FF1F2933"/>
      <name val="Arial"/>
      <family val="0"/>
      <charset val="1"/>
    </font>
    <font>
      <b val="true"/>
      <sz val="10"/>
      <color rgb="FF2E7D32"/>
      <name val="Arial"/>
      <family val="0"/>
      <charset val="1"/>
    </font>
    <font>
      <b val="true"/>
      <sz val="10"/>
      <color rgb="FF9A6B00"/>
      <name val="Arial"/>
      <family val="0"/>
      <charset val="1"/>
    </font>
    <font>
      <b val="true"/>
      <sz val="10"/>
      <color rgb="FFC62828"/>
      <name val="Arial"/>
      <family val="0"/>
      <charset val="1"/>
    </font>
    <font>
      <b val="true"/>
      <sz val="11"/>
      <color rgb="FF1F3A5F"/>
      <name val="Arial"/>
      <family val="0"/>
      <charset val="1"/>
    </font>
    <font>
      <i val="true"/>
      <sz val="9"/>
      <color rgb="FF5A6772"/>
      <name val="Arial"/>
      <family val="0"/>
      <charset val="1"/>
    </font>
    <font>
      <b val="true"/>
      <sz val="10"/>
      <color rgb="FF5A6772"/>
      <name val="Arial"/>
      <family val="0"/>
      <charset val="1"/>
    </font>
    <font>
      <b val="true"/>
      <sz val="9"/>
      <color rgb="FF5A6772"/>
      <name val="Arial"/>
      <family val="0"/>
      <charset val="1"/>
    </font>
    <font>
      <b val="true"/>
      <sz val="15"/>
      <color rgb="FF1F3A5F"/>
      <name val="Arial"/>
      <family val="0"/>
      <charset val="1"/>
    </font>
    <font>
      <b val="true"/>
      <sz val="15"/>
      <color rgb="FF2E7D32"/>
      <name val="Arial"/>
      <family val="0"/>
      <charset val="1"/>
    </font>
    <font>
      <b val="true"/>
      <sz val="15"/>
      <color rgb="FF2E7D7A"/>
      <name val="Arial"/>
      <family val="0"/>
      <charset val="1"/>
    </font>
    <font>
      <b val="true"/>
      <sz val="15"/>
      <color rgb="FF2C5282"/>
      <name val="Arial"/>
      <family val="0"/>
      <charset val="1"/>
    </font>
    <font>
      <b val="true"/>
      <sz val="15"/>
      <color rgb="FFC62828"/>
      <name val="Arial"/>
      <family val="0"/>
      <charset val="1"/>
    </font>
    <font>
      <b val="true"/>
      <sz val="15"/>
      <color rgb="FF5E35B1"/>
      <name val="Arial"/>
      <family val="0"/>
      <charset val="1"/>
    </font>
    <font>
      <b val="true"/>
      <sz val="15"/>
      <color rgb="FF9A6B00"/>
      <name val="Arial"/>
      <family val="0"/>
      <charset val="1"/>
    </font>
    <font>
      <b val="true"/>
      <sz val="15"/>
      <color rgb="FF1A73E8"/>
      <name val="Arial"/>
      <family val="0"/>
      <charset val="1"/>
    </font>
    <font>
      <b val="true"/>
      <sz val="11"/>
      <color rgb="FF1F2933"/>
      <name val="Arial"/>
      <family val="0"/>
      <charset val="1"/>
    </font>
    <font>
      <b val="true"/>
      <sz val="9"/>
      <color rgb="FF1F2933"/>
      <name val="Arial"/>
      <family val="0"/>
      <charset val="1"/>
    </font>
    <font>
      <b val="true"/>
      <sz val="18"/>
      <color rgb="FF000000"/>
      <name val="FreeSans"/>
      <family val="2"/>
    </font>
    <font>
      <sz val="10"/>
      <color rgb="FF000000"/>
      <name val="Calibri"/>
      <family val="2"/>
    </font>
    <font>
      <b val="true"/>
      <sz val="11"/>
      <color rgb="FF1A4FA0"/>
      <name val="Arial"/>
      <family val="0"/>
      <charset val="1"/>
    </font>
    <font>
      <sz val="9"/>
      <color rgb="FF5A6772"/>
      <name val="Arial"/>
      <family val="0"/>
      <charset val="1"/>
    </font>
    <font>
      <sz val="10"/>
      <color rgb="FF1A4FA0"/>
      <name val="Arial"/>
      <family val="0"/>
      <charset val="1"/>
    </font>
    <font>
      <sz val="10"/>
      <name val="FreeSans"/>
      <family val="2"/>
    </font>
    <font>
      <sz val="10"/>
      <name val="Arial"/>
      <family val="2"/>
    </font>
    <font>
      <b val="true"/>
      <sz val="12"/>
      <color rgb="FF1F3A5F"/>
      <name val="Arial"/>
      <family val="0"/>
      <charset val="1"/>
    </font>
    <font>
      <b val="true"/>
      <sz val="10"/>
      <color rgb="FF1F3A5F"/>
      <name val="Arial"/>
      <family val="0"/>
      <charset val="1"/>
    </font>
    <font>
      <b val="true"/>
      <sz val="9"/>
      <color rgb="FFFFFFFF"/>
      <name val="Arial"/>
      <family val="0"/>
      <charset val="1"/>
    </font>
    <font>
      <b val="true"/>
      <sz val="10"/>
      <color rgb="FF5E35B1"/>
      <name val="Arial"/>
      <family val="0"/>
      <charset val="1"/>
    </font>
    <font>
      <b val="true"/>
      <sz val="10"/>
      <color rgb="FF1A73E8"/>
      <name val="Arial"/>
      <family val="0"/>
      <charset val="1"/>
    </font>
    <font>
      <sz val="8"/>
      <color rgb="FF5A6772"/>
      <name val="Arial"/>
      <family val="0"/>
      <charset val="1"/>
    </font>
    <font>
      <sz val="10"/>
      <color rgb="FF9A6B00"/>
      <name val="Arial"/>
      <family val="0"/>
      <charset val="1"/>
    </font>
    <font>
      <b val="true"/>
      <sz val="9"/>
      <color rgb="FF9A6B00"/>
      <name val="Arial"/>
      <family val="0"/>
      <charset val="1"/>
    </font>
    <font>
      <b val="true"/>
      <sz val="12"/>
      <color rgb="FF1A4FA0"/>
      <name val="Arial"/>
      <family val="0"/>
      <charset val="1"/>
    </font>
    <font>
      <b val="true"/>
      <sz val="13"/>
      <color rgb="FFFFFFFF"/>
      <name val="Arial"/>
      <family val="0"/>
      <charset val="1"/>
    </font>
    <font>
      <b val="true"/>
      <sz val="8"/>
      <color rgb="FF1F2933"/>
      <name val="Arial"/>
      <family val="0"/>
      <charset val="1"/>
    </font>
    <font>
      <b val="true"/>
      <sz val="14"/>
      <color rgb="FFFFFFFF"/>
      <name val="Arial"/>
      <family val="0"/>
      <charset val="1"/>
    </font>
    <font>
      <b val="true"/>
      <sz val="16"/>
      <color rgb="FFFFFFFF"/>
      <name val="Arial"/>
      <family val="0"/>
      <charset val="1"/>
    </font>
  </fonts>
  <fills count="22">
    <fill>
      <patternFill patternType="none"/>
    </fill>
    <fill>
      <patternFill patternType="gray125"/>
    </fill>
    <fill>
      <patternFill patternType="solid">
        <fgColor rgb="FF1F3A5F"/>
        <bgColor rgb="FF1F2933"/>
      </patternFill>
    </fill>
    <fill>
      <patternFill patternType="solid">
        <fgColor rgb="FF2C5282"/>
        <bgColor rgb="FF1A4FA0"/>
      </patternFill>
    </fill>
    <fill>
      <patternFill patternType="solid">
        <fgColor rgb="FF9A6B00"/>
        <bgColor rgb="FFB7791F"/>
      </patternFill>
    </fill>
    <fill>
      <patternFill patternType="solid">
        <fgColor rgb="FFB7791F"/>
        <bgColor rgb="FF9A6B00"/>
      </patternFill>
    </fill>
    <fill>
      <patternFill patternType="solid">
        <fgColor rgb="FF2E7D7A"/>
        <bgColor rgb="FF2E7D32"/>
      </patternFill>
    </fill>
    <fill>
      <patternFill patternType="solid">
        <fgColor rgb="FFFFFFFF"/>
        <bgColor rgb="FFF5F8FB"/>
      </patternFill>
    </fill>
    <fill>
      <patternFill patternType="solid">
        <fgColor rgb="FFC05621"/>
        <bgColor rgb="FFC0504D"/>
      </patternFill>
    </fill>
    <fill>
      <patternFill patternType="solid">
        <fgColor rgb="FF5E35B1"/>
        <bgColor rgb="FF4A5568"/>
      </patternFill>
    </fill>
    <fill>
      <patternFill patternType="solid">
        <fgColor rgb="FFFFF8E1"/>
        <bgColor rgb="FFFFF3CD"/>
      </patternFill>
    </fill>
    <fill>
      <patternFill patternType="solid">
        <fgColor rgb="FFF2F4F7"/>
        <bgColor rgb="FFF5F8FB"/>
      </patternFill>
    </fill>
    <fill>
      <patternFill patternType="solid">
        <fgColor rgb="FFE8F5E9"/>
        <bgColor rgb="FFF2F4F7"/>
      </patternFill>
    </fill>
    <fill>
      <patternFill patternType="solid">
        <fgColor rgb="FFFFF3CD"/>
        <bgColor rgb="FFFFF8E1"/>
      </patternFill>
    </fill>
    <fill>
      <patternFill patternType="solid">
        <fgColor rgb="FFFDECEA"/>
        <bgColor rgb="FFF2F4F7"/>
      </patternFill>
    </fill>
    <fill>
      <patternFill patternType="solid">
        <fgColor rgb="FFDCEFEE"/>
        <bgColor rgb="FFE8F5E9"/>
      </patternFill>
    </fill>
    <fill>
      <patternFill patternType="solid">
        <fgColor rgb="FFC62828"/>
        <bgColor rgb="FF993366"/>
      </patternFill>
    </fill>
    <fill>
      <patternFill patternType="solid">
        <fgColor rgb="FF2E7D32"/>
        <bgColor rgb="FF2E7D7A"/>
      </patternFill>
    </fill>
    <fill>
      <patternFill patternType="solid">
        <fgColor rgb="FFF5F8FB"/>
        <bgColor rgb="FFF2F4F7"/>
      </patternFill>
    </fill>
    <fill>
      <patternFill patternType="solid">
        <fgColor rgb="FF4A5568"/>
        <bgColor rgb="FF5A6772"/>
      </patternFill>
    </fill>
    <fill>
      <patternFill patternType="solid">
        <fgColor rgb="FF8795A1"/>
        <bgColor rgb="FF878787"/>
      </patternFill>
    </fill>
    <fill>
      <patternFill patternType="solid">
        <fgColor rgb="FF1A73E8"/>
        <bgColor rgb="FF4F81BD"/>
      </patternFill>
    </fill>
  </fills>
  <borders count="12">
    <border diagonalUp="false" diagonalDown="false">
      <left/>
      <right/>
      <top/>
      <bottom/>
      <diagonal/>
    </border>
    <border diagonalUp="false" diagonalDown="false">
      <left style="thin">
        <color rgb="FFC9D3DD"/>
      </left>
      <right style="thin">
        <color rgb="FFC9D3DD"/>
      </right>
      <top style="thin">
        <color rgb="FFC9D3DD"/>
      </top>
      <bottom style="thin">
        <color rgb="FFC9D3DD"/>
      </bottom>
      <diagonal/>
    </border>
    <border diagonalUp="false" diagonalDown="false">
      <left style="thin">
        <color rgb="FFFFFFFF"/>
      </left>
      <right style="thin">
        <color rgb="FFFFFFFF"/>
      </right>
      <top style="thin">
        <color rgb="FFFFFFFF"/>
      </top>
      <bottom style="medium">
        <color rgb="FF1F3A5F"/>
      </bottom>
      <diagonal/>
    </border>
    <border diagonalUp="false" diagonalDown="false">
      <left style="thin">
        <color rgb="FFC9D3DD"/>
      </left>
      <right style="thin">
        <color rgb="FFC9D3DD"/>
      </right>
      <top style="medium">
        <color rgb="FF1F3A5F"/>
      </top>
      <bottom/>
      <diagonal/>
    </border>
    <border diagonalUp="false" diagonalDown="false">
      <left style="thin">
        <color rgb="FFC9D3DD"/>
      </left>
      <right style="thin">
        <color rgb="FFC9D3DD"/>
      </right>
      <top style="medium">
        <color rgb="FF2E7D32"/>
      </top>
      <bottom/>
      <diagonal/>
    </border>
    <border diagonalUp="false" diagonalDown="false">
      <left style="thin">
        <color rgb="FFC9D3DD"/>
      </left>
      <right style="thin">
        <color rgb="FFC9D3DD"/>
      </right>
      <top style="medium">
        <color rgb="FF2E7D7A"/>
      </top>
      <bottom/>
      <diagonal/>
    </border>
    <border diagonalUp="false" diagonalDown="false">
      <left style="thin">
        <color rgb="FFC9D3DD"/>
      </left>
      <right style="thin">
        <color rgb="FFC9D3DD"/>
      </right>
      <top style="medium">
        <color rgb="FF2C5282"/>
      </top>
      <bottom/>
      <diagonal/>
    </border>
    <border diagonalUp="false" diagonalDown="false">
      <left style="thin">
        <color rgb="FFC9D3DD"/>
      </left>
      <right style="thin">
        <color rgb="FFC9D3DD"/>
      </right>
      <top/>
      <bottom style="thin">
        <color rgb="FFC9D3DD"/>
      </bottom>
      <diagonal/>
    </border>
    <border diagonalUp="false" diagonalDown="false">
      <left style="thin">
        <color rgb="FFC9D3DD"/>
      </left>
      <right style="thin">
        <color rgb="FFC9D3DD"/>
      </right>
      <top style="medium">
        <color rgb="FFC62828"/>
      </top>
      <bottom/>
      <diagonal/>
    </border>
    <border diagonalUp="false" diagonalDown="false">
      <left style="thin">
        <color rgb="FFC9D3DD"/>
      </left>
      <right style="thin">
        <color rgb="FFC9D3DD"/>
      </right>
      <top style="medium">
        <color rgb="FF5E35B1"/>
      </top>
      <bottom/>
      <diagonal/>
    </border>
    <border diagonalUp="false" diagonalDown="false">
      <left style="thin">
        <color rgb="FFC9D3DD"/>
      </left>
      <right style="thin">
        <color rgb="FFC9D3DD"/>
      </right>
      <top style="medium">
        <color rgb="FF9A6B00"/>
      </top>
      <bottom/>
      <diagonal/>
    </border>
    <border diagonalUp="false" diagonalDown="false">
      <left style="thin">
        <color rgb="FFC9D3DD"/>
      </left>
      <right style="thin">
        <color rgb="FFC9D3DD"/>
      </right>
      <top style="medium">
        <color rgb="FF1A73E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readingOrder="2"/>
      <protection locked="true" hidden="false"/>
    </xf>
    <xf numFmtId="164" fontId="5" fillId="3" borderId="0" xfId="0" applyFont="true" applyBorder="true" applyAlignment="true" applyProtection="false">
      <alignment horizontal="center" vertical="center" textRotation="0" wrapText="false" indent="0" shrinkToFit="false" readingOrder="2"/>
      <protection locked="true" hidden="false"/>
    </xf>
    <xf numFmtId="164" fontId="6" fillId="0" borderId="0" xfId="0" applyFont="true" applyBorder="true" applyAlignment="true" applyProtection="false">
      <alignment horizontal="center" vertical="center" textRotation="0" wrapText="true" indent="0" shrinkToFit="false" readingOrder="2"/>
      <protection locked="true" hidden="false"/>
    </xf>
    <xf numFmtId="164" fontId="7" fillId="2" borderId="0" xfId="0" applyFont="true" applyBorder="true" applyAlignment="true" applyProtection="false">
      <alignment horizontal="right" vertical="center" textRotation="0" wrapText="false" indent="1" shrinkToFit="false" readingOrder="2"/>
      <protection locked="true" hidden="false"/>
    </xf>
    <xf numFmtId="164" fontId="7" fillId="4" borderId="0" xfId="0" applyFont="true" applyBorder="true" applyAlignment="true" applyProtection="false">
      <alignment horizontal="right" vertical="center" textRotation="0" wrapText="false" indent="1" shrinkToFit="false" readingOrder="2"/>
      <protection locked="true" hidden="false"/>
    </xf>
    <xf numFmtId="164" fontId="8" fillId="2" borderId="1" xfId="0" applyFont="true" applyBorder="true" applyAlignment="true" applyProtection="false">
      <alignment horizontal="center" vertical="center" textRotation="0" wrapText="true" indent="0" shrinkToFit="false" readingOrder="2"/>
      <protection locked="true" hidden="false"/>
    </xf>
    <xf numFmtId="164" fontId="8" fillId="5" borderId="2" xfId="0" applyFont="true" applyBorder="true" applyAlignment="true" applyProtection="false">
      <alignment horizontal="center" vertical="center" textRotation="0" wrapText="false" indent="0" shrinkToFit="false" readingOrder="2"/>
      <protection locked="true" hidden="false"/>
    </xf>
    <xf numFmtId="164" fontId="9" fillId="6" borderId="1" xfId="0" applyFont="true" applyBorder="true" applyAlignment="true" applyProtection="false">
      <alignment horizontal="center" vertical="center" textRotation="0" wrapText="false" indent="0" shrinkToFit="false" readingOrder="2"/>
      <protection locked="true" hidden="false"/>
    </xf>
    <xf numFmtId="164" fontId="8" fillId="3" borderId="2" xfId="0" applyFont="true" applyBorder="true" applyAlignment="true" applyProtection="false">
      <alignment horizontal="center" vertical="center" textRotation="0" wrapText="false" indent="0" shrinkToFit="false" readingOrder="2"/>
      <protection locked="true" hidden="false"/>
    </xf>
    <xf numFmtId="164" fontId="10" fillId="7" borderId="1" xfId="0" applyFont="true" applyBorder="true" applyAlignment="true" applyProtection="false">
      <alignment horizontal="right" vertical="center" textRotation="0" wrapText="true" indent="0" shrinkToFit="false" readingOrder="2"/>
      <protection locked="true" hidden="false"/>
    </xf>
    <xf numFmtId="164" fontId="8" fillId="8" borderId="2" xfId="0" applyFont="true" applyBorder="true" applyAlignment="true" applyProtection="false">
      <alignment horizontal="center" vertical="center" textRotation="0" wrapText="false" indent="0" shrinkToFit="false" readingOrder="2"/>
      <protection locked="true" hidden="false"/>
    </xf>
    <xf numFmtId="164" fontId="8" fillId="9" borderId="2" xfId="0" applyFont="true" applyBorder="true" applyAlignment="true" applyProtection="false">
      <alignment horizontal="center" vertical="center" textRotation="0" wrapText="false" indent="0" shrinkToFit="false" readingOrder="2"/>
      <protection locked="true" hidden="false"/>
    </xf>
    <xf numFmtId="164" fontId="11" fillId="10" borderId="1" xfId="0" applyFont="true" applyBorder="true" applyAlignment="true" applyProtection="false">
      <alignment horizontal="center" vertical="center" textRotation="0" wrapText="false" indent="0" shrinkToFit="false" readingOrder="2"/>
      <protection locked="true" hidden="false"/>
    </xf>
    <xf numFmtId="164" fontId="10" fillId="7" borderId="1" xfId="0" applyFont="true" applyBorder="true" applyAlignment="true" applyProtection="false">
      <alignment horizontal="right" vertical="center" textRotation="0" wrapText="false" indent="0" shrinkToFit="false" readingOrder="2"/>
      <protection locked="true" hidden="false"/>
    </xf>
    <xf numFmtId="164" fontId="12" fillId="11" borderId="1" xfId="0" applyFont="true" applyBorder="true" applyAlignment="true" applyProtection="false">
      <alignment horizontal="center" vertical="center" textRotation="0" wrapText="false" indent="0" shrinkToFit="false" readingOrder="2"/>
      <protection locked="true" hidden="false"/>
    </xf>
    <xf numFmtId="164" fontId="13" fillId="12" borderId="1" xfId="0" applyFont="true" applyBorder="true" applyAlignment="true" applyProtection="false">
      <alignment horizontal="center" vertical="center" textRotation="0" wrapText="false" indent="0" shrinkToFit="false" readingOrder="2"/>
      <protection locked="true" hidden="false"/>
    </xf>
    <xf numFmtId="164" fontId="14" fillId="13" borderId="1" xfId="0" applyFont="true" applyBorder="true" applyAlignment="true" applyProtection="false">
      <alignment horizontal="center" vertical="center" textRotation="0" wrapText="false" indent="0" shrinkToFit="false" readingOrder="2"/>
      <protection locked="true" hidden="false"/>
    </xf>
    <xf numFmtId="164" fontId="15" fillId="14" borderId="1" xfId="0" applyFont="true" applyBorder="true" applyAlignment="true" applyProtection="false">
      <alignment horizontal="center" vertical="center" textRotation="0" wrapText="false" indent="0" shrinkToFit="false" readingOrder="2"/>
      <protection locked="true" hidden="false"/>
    </xf>
    <xf numFmtId="164" fontId="7" fillId="6" borderId="0" xfId="0" applyFont="true" applyBorder="true" applyAlignment="true" applyProtection="false">
      <alignment horizontal="right" vertical="center" textRotation="0" wrapText="false" indent="1" shrinkToFit="false" readingOrder="2"/>
      <protection locked="true" hidden="false"/>
    </xf>
    <xf numFmtId="164" fontId="16" fillId="15" borderId="0" xfId="0" applyFont="true" applyBorder="true" applyAlignment="true" applyProtection="false">
      <alignment horizontal="center" vertical="center" textRotation="0" wrapText="true" indent="0" shrinkToFit="false" readingOrder="2"/>
      <protection locked="true" hidden="false"/>
    </xf>
    <xf numFmtId="164" fontId="17" fillId="0" borderId="0" xfId="0" applyFont="true" applyBorder="true" applyAlignment="true" applyProtection="false">
      <alignment horizontal="right" vertical="center" textRotation="0" wrapText="true" indent="0" shrinkToFit="false" readingOrder="2"/>
      <protection locked="true" hidden="false"/>
    </xf>
    <xf numFmtId="164" fontId="8" fillId="2" borderId="2" xfId="0" applyFont="true" applyBorder="true" applyAlignment="true" applyProtection="false">
      <alignment horizontal="center" vertical="center" textRotation="0" wrapText="false" indent="0" shrinkToFit="false" readingOrder="2"/>
      <protection locked="true" hidden="false"/>
    </xf>
    <xf numFmtId="164" fontId="8" fillId="6" borderId="2" xfId="0" applyFont="true" applyBorder="true" applyAlignment="true" applyProtection="false">
      <alignment horizontal="center" vertical="center" textRotation="0" wrapText="false" indent="0" shrinkToFit="false" readingOrder="2"/>
      <protection locked="true" hidden="false"/>
    </xf>
    <xf numFmtId="164" fontId="18" fillId="0" borderId="0" xfId="0" applyFont="true" applyBorder="false" applyAlignment="true" applyProtection="false">
      <alignment horizontal="left" vertical="center" textRotation="0" wrapText="false" indent="0" shrinkToFit="false" readingOrder="2"/>
      <protection locked="true" hidden="false"/>
    </xf>
    <xf numFmtId="164" fontId="16" fillId="10" borderId="1" xfId="0" applyFont="true" applyBorder="true" applyAlignment="true" applyProtection="false">
      <alignment horizontal="center" vertical="center" textRotation="0" wrapText="false" indent="0" shrinkToFit="false" readingOrder="2"/>
      <protection locked="true" hidden="false"/>
    </xf>
    <xf numFmtId="164" fontId="8" fillId="4" borderId="2" xfId="0" applyFont="true" applyBorder="true" applyAlignment="true" applyProtection="false">
      <alignment horizontal="center" vertical="center" textRotation="0" wrapText="false" indent="0" shrinkToFit="false" readingOrder="2"/>
      <protection locked="true" hidden="false"/>
    </xf>
    <xf numFmtId="164" fontId="19" fillId="7" borderId="3" xfId="0" applyFont="true" applyBorder="true" applyAlignment="true" applyProtection="false">
      <alignment horizontal="center" vertical="center" textRotation="0" wrapText="true" indent="0" shrinkToFit="false" readingOrder="2"/>
      <protection locked="true" hidden="false"/>
    </xf>
    <xf numFmtId="164" fontId="19" fillId="7" borderId="4" xfId="0" applyFont="true" applyBorder="true" applyAlignment="true" applyProtection="false">
      <alignment horizontal="center" vertical="center" textRotation="0" wrapText="true" indent="0" shrinkToFit="false" readingOrder="2"/>
      <protection locked="true" hidden="false"/>
    </xf>
    <xf numFmtId="164" fontId="19" fillId="7" borderId="5" xfId="0" applyFont="true" applyBorder="true" applyAlignment="true" applyProtection="false">
      <alignment horizontal="center" vertical="center" textRotation="0" wrapText="true" indent="0" shrinkToFit="false" readingOrder="2"/>
      <protection locked="true" hidden="false"/>
    </xf>
    <xf numFmtId="164" fontId="19" fillId="7" borderId="6" xfId="0" applyFont="true" applyBorder="true" applyAlignment="true" applyProtection="false">
      <alignment horizontal="center" vertical="center" textRotation="0" wrapText="true" indent="0" shrinkToFit="false" readingOrder="2"/>
      <protection locked="true" hidden="false"/>
    </xf>
    <xf numFmtId="165" fontId="20" fillId="7" borderId="7" xfId="0" applyFont="true" applyBorder="true" applyAlignment="true" applyProtection="false">
      <alignment horizontal="center" vertical="center" textRotation="0" wrapText="false" indent="0" shrinkToFit="false" readingOrder="2"/>
      <protection locked="true" hidden="false"/>
    </xf>
    <xf numFmtId="166" fontId="21" fillId="7" borderId="7" xfId="0" applyFont="true" applyBorder="true" applyAlignment="true" applyProtection="false">
      <alignment horizontal="center" vertical="center" textRotation="0" wrapText="false" indent="0" shrinkToFit="false" readingOrder="2"/>
      <protection locked="true" hidden="false"/>
    </xf>
    <xf numFmtId="167" fontId="22" fillId="7" borderId="7" xfId="0" applyFont="true" applyBorder="true" applyAlignment="true" applyProtection="false">
      <alignment horizontal="center" vertical="center" textRotation="0" wrapText="false" indent="0" shrinkToFit="false" readingOrder="2"/>
      <protection locked="true" hidden="false"/>
    </xf>
    <xf numFmtId="167" fontId="23" fillId="7" borderId="7" xfId="0" applyFont="true" applyBorder="true" applyAlignment="true" applyProtection="false">
      <alignment horizontal="center" vertical="center" textRotation="0" wrapText="false" indent="0" shrinkToFit="false" readingOrder="2"/>
      <protection locked="true" hidden="false"/>
    </xf>
    <xf numFmtId="164" fontId="19" fillId="7" borderId="8" xfId="0" applyFont="true" applyBorder="true" applyAlignment="true" applyProtection="false">
      <alignment horizontal="center" vertical="center" textRotation="0" wrapText="true" indent="0" shrinkToFit="false" readingOrder="2"/>
      <protection locked="true" hidden="false"/>
    </xf>
    <xf numFmtId="164" fontId="19" fillId="7" borderId="9" xfId="0" applyFont="true" applyBorder="true" applyAlignment="true" applyProtection="false">
      <alignment horizontal="center" vertical="center" textRotation="0" wrapText="true" indent="0" shrinkToFit="false" readingOrder="2"/>
      <protection locked="true" hidden="false"/>
    </xf>
    <xf numFmtId="167" fontId="21" fillId="7" borderId="7" xfId="0" applyFont="true" applyBorder="true" applyAlignment="true" applyProtection="false">
      <alignment horizontal="center" vertical="center" textRotation="0" wrapText="false" indent="0" shrinkToFit="false" readingOrder="2"/>
      <protection locked="true" hidden="false"/>
    </xf>
    <xf numFmtId="167" fontId="24" fillId="7" borderId="7" xfId="0" applyFont="true" applyBorder="true" applyAlignment="true" applyProtection="false">
      <alignment horizontal="center" vertical="center" textRotation="0" wrapText="false" indent="0" shrinkToFit="false" readingOrder="2"/>
      <protection locked="true" hidden="false"/>
    </xf>
    <xf numFmtId="167" fontId="25" fillId="7" borderId="7" xfId="0" applyFont="true" applyBorder="true" applyAlignment="true" applyProtection="false">
      <alignment horizontal="center" vertical="center" textRotation="0" wrapText="false" indent="0" shrinkToFit="false" readingOrder="2"/>
      <protection locked="true" hidden="false"/>
    </xf>
    <xf numFmtId="164" fontId="19" fillId="7" borderId="10" xfId="0" applyFont="true" applyBorder="true" applyAlignment="true" applyProtection="false">
      <alignment horizontal="center" vertical="center" textRotation="0" wrapText="true" indent="0" shrinkToFit="false" readingOrder="2"/>
      <protection locked="true" hidden="false"/>
    </xf>
    <xf numFmtId="164" fontId="19" fillId="7" borderId="11" xfId="0" applyFont="true" applyBorder="true" applyAlignment="true" applyProtection="false">
      <alignment horizontal="center" vertical="center" textRotation="0" wrapText="true" indent="0" shrinkToFit="false" readingOrder="2"/>
      <protection locked="true" hidden="false"/>
    </xf>
    <xf numFmtId="167" fontId="26" fillId="7" borderId="7" xfId="0" applyFont="true" applyBorder="true" applyAlignment="true" applyProtection="false">
      <alignment horizontal="center" vertical="center" textRotation="0" wrapText="false" indent="0" shrinkToFit="false" readingOrder="2"/>
      <protection locked="true" hidden="false"/>
    </xf>
    <xf numFmtId="167" fontId="27" fillId="7" borderId="7" xfId="0" applyFont="true" applyBorder="true" applyAlignment="true" applyProtection="false">
      <alignment horizontal="center" vertical="center" textRotation="0" wrapText="false" indent="0" shrinkToFit="false" readingOrder="2"/>
      <protection locked="true" hidden="false"/>
    </xf>
    <xf numFmtId="167" fontId="20" fillId="7" borderId="7" xfId="0" applyFont="true" applyBorder="true" applyAlignment="true" applyProtection="false">
      <alignment horizontal="center" vertical="center" textRotation="0" wrapText="false" indent="0" shrinkToFit="false" readingOrder="2"/>
      <protection locked="true" hidden="false"/>
    </xf>
    <xf numFmtId="164" fontId="7" fillId="16" borderId="0" xfId="0" applyFont="true" applyBorder="true" applyAlignment="true" applyProtection="false">
      <alignment horizontal="right" vertical="center" textRotation="0" wrapText="false" indent="1" shrinkToFit="false" readingOrder="2"/>
      <protection locked="true" hidden="false"/>
    </xf>
    <xf numFmtId="164" fontId="7" fillId="17" borderId="0" xfId="0" applyFont="true" applyBorder="true" applyAlignment="true" applyProtection="false">
      <alignment horizontal="right" vertical="center" textRotation="0" wrapText="false" indent="1" shrinkToFit="false" readingOrder="2"/>
      <protection locked="true" hidden="false"/>
    </xf>
    <xf numFmtId="168" fontId="28" fillId="7" borderId="1" xfId="0" applyFont="true" applyBorder="true" applyAlignment="true" applyProtection="false">
      <alignment horizontal="center" vertical="center" textRotation="0" wrapText="false" indent="0" shrinkToFit="false" readingOrder="2"/>
      <protection locked="true" hidden="false"/>
    </xf>
    <xf numFmtId="164" fontId="28" fillId="7" borderId="1" xfId="0" applyFont="true" applyBorder="true" applyAlignment="true" applyProtection="false">
      <alignment horizontal="center" vertical="center" textRotation="0" wrapText="false" indent="0" shrinkToFit="false" readingOrder="2"/>
      <protection locked="true" hidden="false"/>
    </xf>
    <xf numFmtId="164" fontId="8" fillId="17" borderId="1" xfId="0" applyFont="true" applyBorder="true" applyAlignment="true" applyProtection="false">
      <alignment horizontal="center" vertical="center" textRotation="0" wrapText="true" indent="0" shrinkToFit="false" readingOrder="2"/>
      <protection locked="true" hidden="false"/>
    </xf>
    <xf numFmtId="164" fontId="12" fillId="7" borderId="1" xfId="0" applyFont="true" applyBorder="true" applyAlignment="true" applyProtection="false">
      <alignment horizontal="center" vertical="center" textRotation="0" wrapText="false" indent="0" shrinkToFit="false" readingOrder="2"/>
      <protection locked="true" hidden="false"/>
    </xf>
    <xf numFmtId="165" fontId="10" fillId="7" borderId="1" xfId="0" applyFont="true" applyBorder="true" applyAlignment="true" applyProtection="false">
      <alignment horizontal="center" vertical="center" textRotation="0" wrapText="false" indent="0" shrinkToFit="false" readingOrder="2"/>
      <protection locked="true" hidden="false"/>
    </xf>
    <xf numFmtId="166" fontId="10" fillId="7" borderId="1" xfId="0" applyFont="true" applyBorder="true" applyAlignment="true" applyProtection="false">
      <alignment horizontal="center" vertical="center" textRotation="0" wrapText="false" indent="0" shrinkToFit="false" readingOrder="2"/>
      <protection locked="true" hidden="false"/>
    </xf>
    <xf numFmtId="167" fontId="10" fillId="7" borderId="1" xfId="0" applyFont="true" applyBorder="true" applyAlignment="true" applyProtection="false">
      <alignment horizontal="center" vertical="center" textRotation="0" wrapText="false" indent="0" shrinkToFit="false" readingOrder="2"/>
      <protection locked="true" hidden="false"/>
    </xf>
    <xf numFmtId="164" fontId="7" fillId="3" borderId="0" xfId="0" applyFont="true" applyBorder="true" applyAlignment="true" applyProtection="false">
      <alignment horizontal="right" vertical="center" textRotation="0" wrapText="false" indent="1" shrinkToFit="false" readingOrder="2"/>
      <protection locked="true" hidden="false"/>
    </xf>
    <xf numFmtId="164" fontId="8" fillId="3" borderId="1" xfId="0" applyFont="true" applyBorder="true" applyAlignment="true" applyProtection="false">
      <alignment horizontal="center" vertical="center" textRotation="0" wrapText="true" indent="0" shrinkToFit="false" readingOrder="2"/>
      <protection locked="true" hidden="false"/>
    </xf>
    <xf numFmtId="164" fontId="12" fillId="7" borderId="1" xfId="0" applyFont="true" applyBorder="true" applyAlignment="true" applyProtection="false">
      <alignment horizontal="right" vertical="center" textRotation="0" wrapText="false" indent="0" shrinkToFit="false" readingOrder="2"/>
      <protection locked="true" hidden="false"/>
    </xf>
    <xf numFmtId="167" fontId="12" fillId="7" borderId="1" xfId="0" applyFont="true" applyBorder="true" applyAlignment="true" applyProtection="false">
      <alignment horizontal="center" vertical="center" textRotation="0" wrapText="false" indent="0" shrinkToFit="false" readingOrder="2"/>
      <protection locked="true" hidden="false"/>
    </xf>
    <xf numFmtId="164" fontId="8" fillId="3" borderId="1" xfId="0" applyFont="true" applyBorder="true" applyAlignment="true" applyProtection="false">
      <alignment horizontal="center" vertical="center" textRotation="0" wrapText="false" indent="0" shrinkToFit="false" readingOrder="2"/>
      <protection locked="true" hidden="false"/>
    </xf>
    <xf numFmtId="165" fontId="8" fillId="3" borderId="1" xfId="0" applyFont="true" applyBorder="true" applyAlignment="true" applyProtection="false">
      <alignment horizontal="center" vertical="center" textRotation="0" wrapText="false" indent="0" shrinkToFit="false" readingOrder="2"/>
      <protection locked="true" hidden="false"/>
    </xf>
    <xf numFmtId="167" fontId="8" fillId="3" borderId="1" xfId="0" applyFont="true" applyBorder="true" applyAlignment="true" applyProtection="false">
      <alignment horizontal="center" vertical="center" textRotation="0" wrapText="false" indent="0" shrinkToFit="false" readingOrder="2"/>
      <protection locked="true" hidden="false"/>
    </xf>
    <xf numFmtId="166" fontId="8" fillId="3" borderId="1" xfId="0" applyFont="true" applyBorder="true" applyAlignment="true" applyProtection="false">
      <alignment horizontal="center" vertical="center" textRotation="0" wrapText="false" indent="0" shrinkToFit="false" readingOrder="2"/>
      <protection locked="true" hidden="false"/>
    </xf>
    <xf numFmtId="164" fontId="29" fillId="0" borderId="0" xfId="0" applyFont="true" applyBorder="true" applyAlignment="true" applyProtection="false">
      <alignment horizontal="right" vertical="center" textRotation="0" wrapText="false" indent="0" shrinkToFit="false" readingOrder="2"/>
      <protection locked="true" hidden="false"/>
    </xf>
    <xf numFmtId="164" fontId="7" fillId="9" borderId="0" xfId="0" applyFont="true" applyBorder="true" applyAlignment="true" applyProtection="false">
      <alignment horizontal="right" vertical="center" textRotation="0" wrapText="false" indent="1" shrinkToFit="false" readingOrder="2"/>
      <protection locked="true" hidden="false"/>
    </xf>
    <xf numFmtId="164" fontId="8" fillId="9" borderId="1" xfId="0" applyFont="true" applyBorder="true" applyAlignment="true" applyProtection="false">
      <alignment horizontal="center" vertical="center" textRotation="0" wrapText="true" indent="0" shrinkToFit="false" readingOrder="2"/>
      <protection locked="true" hidden="false"/>
    </xf>
    <xf numFmtId="164" fontId="12" fillId="18" borderId="1" xfId="0" applyFont="true" applyBorder="true" applyAlignment="true" applyProtection="false">
      <alignment horizontal="center" vertical="center" textRotation="0" wrapText="false" indent="0" shrinkToFit="false" readingOrder="2"/>
      <protection locked="true" hidden="false"/>
    </xf>
    <xf numFmtId="167" fontId="10" fillId="18" borderId="1" xfId="0" applyFont="true" applyBorder="true" applyAlignment="true" applyProtection="false">
      <alignment horizontal="center" vertical="center" textRotation="0" wrapText="false" indent="0" shrinkToFit="false" readingOrder="2"/>
      <protection locked="true" hidden="false"/>
    </xf>
    <xf numFmtId="167" fontId="12" fillId="18" borderId="1" xfId="0" applyFont="true" applyBorder="true" applyAlignment="true" applyProtection="false">
      <alignment horizontal="center" vertical="center" textRotation="0" wrapText="false" indent="0" shrinkToFit="false" readingOrder="2"/>
      <protection locked="true" hidden="false"/>
    </xf>
    <xf numFmtId="164" fontId="8" fillId="9" borderId="1" xfId="0" applyFont="true" applyBorder="true" applyAlignment="true" applyProtection="false">
      <alignment horizontal="center" vertical="center" textRotation="0" wrapText="false" indent="0" shrinkToFit="false" readingOrder="2"/>
      <protection locked="true" hidden="false"/>
    </xf>
    <xf numFmtId="167" fontId="8" fillId="9" borderId="1" xfId="0" applyFont="true" applyBorder="true" applyAlignment="true" applyProtection="false">
      <alignment horizontal="center" vertical="center" textRotation="0" wrapText="false" indent="0" shrinkToFit="false" readingOrder="2"/>
      <protection locked="true" hidden="false"/>
    </xf>
    <xf numFmtId="164" fontId="8" fillId="6" borderId="1" xfId="0" applyFont="true" applyBorder="true" applyAlignment="true" applyProtection="false">
      <alignment horizontal="center" vertical="center" textRotation="0" wrapText="true" indent="0" shrinkToFit="false" readingOrder="2"/>
      <protection locked="true" hidden="false"/>
    </xf>
    <xf numFmtId="164" fontId="32" fillId="10" borderId="1" xfId="0" applyFont="true" applyBorder="true" applyAlignment="true" applyProtection="false">
      <alignment horizontal="center" vertical="center" textRotation="0" wrapText="false" indent="0" shrinkToFit="false" readingOrder="2"/>
      <protection locked="true" hidden="false"/>
    </xf>
    <xf numFmtId="164" fontId="33" fillId="7" borderId="1" xfId="0" applyFont="true" applyBorder="true" applyAlignment="true" applyProtection="false">
      <alignment horizontal="right" vertical="center" textRotation="0" wrapText="true" indent="0" shrinkToFit="false" readingOrder="2"/>
      <protection locked="true" hidden="false"/>
    </xf>
    <xf numFmtId="164" fontId="34" fillId="10" borderId="1" xfId="0" applyFont="true" applyBorder="true" applyAlignment="true" applyProtection="false">
      <alignment horizontal="center" vertical="center" textRotation="0" wrapText="false" indent="0" shrinkToFit="false" readingOrder="2"/>
      <protection locked="true" hidden="false"/>
    </xf>
    <xf numFmtId="164" fontId="10" fillId="7" borderId="1" xfId="0" applyFont="true" applyBorder="true" applyAlignment="true" applyProtection="false">
      <alignment horizontal="center" vertical="center" textRotation="0" wrapText="false" indent="0" shrinkToFit="false" readingOrder="2"/>
      <protection locked="true" hidden="false"/>
    </xf>
    <xf numFmtId="168" fontId="32" fillId="10" borderId="1" xfId="0" applyFont="true" applyBorder="true" applyAlignment="true" applyProtection="false">
      <alignment horizontal="center" vertical="center" textRotation="0" wrapText="false" indent="0" shrinkToFit="false" readingOrder="2"/>
      <protection locked="true" hidden="false"/>
    </xf>
    <xf numFmtId="170" fontId="16" fillId="11" borderId="1" xfId="0" applyFont="true" applyBorder="true" applyAlignment="true" applyProtection="false">
      <alignment horizontal="center" vertical="center" textRotation="0" wrapText="false" indent="0" shrinkToFit="false" readingOrder="2"/>
      <protection locked="true" hidden="false"/>
    </xf>
    <xf numFmtId="166" fontId="32" fillId="10" borderId="1" xfId="0" applyFont="true" applyBorder="true" applyAlignment="true" applyProtection="false">
      <alignment horizontal="center" vertical="center" textRotation="0" wrapText="false" indent="0" shrinkToFit="false" readingOrder="2"/>
      <protection locked="true" hidden="false"/>
    </xf>
    <xf numFmtId="167" fontId="32" fillId="10" borderId="1" xfId="0" applyFont="true" applyBorder="true" applyAlignment="true" applyProtection="false">
      <alignment horizontal="center" vertical="center" textRotation="0" wrapText="false" indent="0" shrinkToFit="false" readingOrder="2"/>
      <protection locked="true" hidden="false"/>
    </xf>
    <xf numFmtId="171" fontId="32" fillId="10" borderId="1" xfId="0" applyFont="true" applyBorder="true" applyAlignment="true" applyProtection="false">
      <alignment horizontal="center" vertical="center" textRotation="0" wrapText="false" indent="0" shrinkToFit="false" readingOrder="2"/>
      <protection locked="true" hidden="false"/>
    </xf>
    <xf numFmtId="168" fontId="11" fillId="10" borderId="1" xfId="0" applyFont="true" applyBorder="true" applyAlignment="true" applyProtection="false">
      <alignment horizontal="center" vertical="center" textRotation="0" wrapText="false" indent="0" shrinkToFit="false" readingOrder="2"/>
      <protection locked="true" hidden="false"/>
    </xf>
    <xf numFmtId="166" fontId="11" fillId="10" borderId="1" xfId="0" applyFont="true" applyBorder="true" applyAlignment="true" applyProtection="false">
      <alignment horizontal="center" vertical="center" textRotation="0" wrapText="false" indent="0" shrinkToFit="false" readingOrder="2"/>
      <protection locked="true" hidden="false"/>
    </xf>
    <xf numFmtId="164" fontId="33" fillId="7" borderId="1" xfId="0" applyFont="true" applyBorder="true" applyAlignment="true" applyProtection="false">
      <alignment horizontal="right" vertical="center" textRotation="0" wrapText="false" indent="0" shrinkToFit="false" readingOrder="2"/>
      <protection locked="true" hidden="false"/>
    </xf>
    <xf numFmtId="168" fontId="10" fillId="7" borderId="1" xfId="0" applyFont="true" applyBorder="true" applyAlignment="true" applyProtection="false">
      <alignment horizontal="center" vertical="center" textRotation="0" wrapText="false" indent="0" shrinkToFit="false" readingOrder="2"/>
      <protection locked="true" hidden="false"/>
    </xf>
    <xf numFmtId="170" fontId="34" fillId="10" borderId="1" xfId="0" applyFont="true" applyBorder="true" applyAlignment="true" applyProtection="false">
      <alignment horizontal="center" vertical="center" textRotation="0" wrapText="false" indent="0" shrinkToFit="false" readingOrder="2"/>
      <protection locked="true" hidden="false"/>
    </xf>
    <xf numFmtId="172" fontId="34" fillId="10" borderId="1" xfId="0" applyFont="true" applyBorder="true" applyAlignment="true" applyProtection="false">
      <alignment horizontal="center" vertical="center" textRotation="0" wrapText="false" indent="0" shrinkToFit="false" readingOrder="2"/>
      <protection locked="true" hidden="false"/>
    </xf>
    <xf numFmtId="172" fontId="10" fillId="7" borderId="1" xfId="0" applyFont="true" applyBorder="true" applyAlignment="true" applyProtection="false">
      <alignment horizontal="center" vertical="center" textRotation="0" wrapText="false" indent="0" shrinkToFit="false" readingOrder="2"/>
      <protection locked="true" hidden="false"/>
    </xf>
    <xf numFmtId="168" fontId="34" fillId="10" borderId="1" xfId="0" applyFont="true" applyBorder="true" applyAlignment="true" applyProtection="false">
      <alignment horizontal="center" vertical="center" textRotation="0" wrapText="false" indent="0" shrinkToFit="false" readingOrder="2"/>
      <protection locked="true" hidden="false"/>
    </xf>
    <xf numFmtId="173" fontId="34" fillId="10" borderId="1" xfId="0" applyFont="true" applyBorder="true" applyAlignment="true" applyProtection="false">
      <alignment horizontal="center" vertical="center" textRotation="0" wrapText="false" indent="0" shrinkToFit="false" readingOrder="2"/>
      <protection locked="true" hidden="false"/>
    </xf>
    <xf numFmtId="168" fontId="10" fillId="18" borderId="1" xfId="0" applyFont="true" applyBorder="true" applyAlignment="true" applyProtection="false">
      <alignment horizontal="center" vertical="center" textRotation="0" wrapText="false" indent="0" shrinkToFit="false" readingOrder="2"/>
      <protection locked="true" hidden="false"/>
    </xf>
    <xf numFmtId="172" fontId="10" fillId="18" borderId="1" xfId="0" applyFont="true" applyBorder="true" applyAlignment="true" applyProtection="false">
      <alignment horizontal="center" vertical="center" textRotation="0" wrapText="false" indent="0" shrinkToFit="false" readingOrder="2"/>
      <protection locked="true" hidden="false"/>
    </xf>
    <xf numFmtId="164" fontId="10" fillId="18" borderId="1" xfId="0" applyFont="true" applyBorder="true" applyAlignment="true" applyProtection="false">
      <alignment horizontal="center" vertical="center" textRotation="0" wrapText="false" indent="0" shrinkToFit="false" readingOrder="2"/>
      <protection locked="true" hidden="false"/>
    </xf>
    <xf numFmtId="172" fontId="8" fillId="2" borderId="1" xfId="0" applyFont="true" applyBorder="true" applyAlignment="true" applyProtection="false">
      <alignment horizontal="center" vertical="center" textRotation="0" wrapText="false" indent="0" shrinkToFit="false" readingOrder="2"/>
      <protection locked="true" hidden="false"/>
    </xf>
    <xf numFmtId="164" fontId="18" fillId="0" borderId="0" xfId="0" applyFont="true" applyBorder="false" applyAlignment="true" applyProtection="false">
      <alignment horizontal="center" vertical="center" textRotation="0" wrapText="false" indent="0" shrinkToFit="false" readingOrder="2"/>
      <protection locked="true" hidden="false"/>
    </xf>
    <xf numFmtId="168" fontId="37" fillId="11" borderId="1" xfId="0" applyFont="true" applyBorder="true" applyAlignment="true" applyProtection="false">
      <alignment horizontal="center" vertical="center" textRotation="0" wrapText="false" indent="0" shrinkToFit="false" readingOrder="2"/>
      <protection locked="true" hidden="false"/>
    </xf>
    <xf numFmtId="170" fontId="38" fillId="11" borderId="1" xfId="0" applyFont="true" applyBorder="true" applyAlignment="true" applyProtection="false">
      <alignment horizontal="center" vertical="center" textRotation="0" wrapText="false" indent="0" shrinkToFit="false" readingOrder="2"/>
      <protection locked="true" hidden="false"/>
    </xf>
    <xf numFmtId="164" fontId="12" fillId="0" borderId="1" xfId="0" applyFont="true" applyBorder="true" applyAlignment="true" applyProtection="false">
      <alignment horizontal="center" vertical="center" textRotation="0" wrapText="false" indent="0" shrinkToFit="false" readingOrder="2"/>
      <protection locked="true" hidden="false"/>
    </xf>
    <xf numFmtId="164" fontId="8" fillId="19" borderId="2" xfId="0" applyFont="true" applyBorder="true" applyAlignment="true" applyProtection="false">
      <alignment horizontal="center" vertical="center" textRotation="0" wrapText="false" indent="0" shrinkToFit="false" readingOrder="2"/>
      <protection locked="true" hidden="false"/>
    </xf>
    <xf numFmtId="164" fontId="39" fillId="2" borderId="1" xfId="0" applyFont="true" applyBorder="true" applyAlignment="true" applyProtection="false">
      <alignment horizontal="center" vertical="center" textRotation="0" wrapText="true" indent="0" shrinkToFit="false" readingOrder="2"/>
      <protection locked="true" hidden="false"/>
    </xf>
    <xf numFmtId="164" fontId="39" fillId="19" borderId="1" xfId="0" applyFont="true" applyBorder="true" applyAlignment="true" applyProtection="false">
      <alignment horizontal="center" vertical="center" textRotation="0" wrapText="true" indent="0" shrinkToFit="false" readingOrder="2"/>
      <protection locked="true" hidden="false"/>
    </xf>
    <xf numFmtId="164" fontId="39" fillId="6" borderId="1" xfId="0" applyFont="true" applyBorder="true" applyAlignment="true" applyProtection="false">
      <alignment horizontal="center" vertical="center" textRotation="0" wrapText="true" indent="0" shrinkToFit="false" readingOrder="2"/>
      <protection locked="true" hidden="false"/>
    </xf>
    <xf numFmtId="164" fontId="39" fillId="16" borderId="1" xfId="0" applyFont="true" applyBorder="true" applyAlignment="true" applyProtection="false">
      <alignment horizontal="center" vertical="center" textRotation="0" wrapText="true" indent="0" shrinkToFit="false" readingOrder="2"/>
      <protection locked="true" hidden="false"/>
    </xf>
    <xf numFmtId="164" fontId="39" fillId="17" borderId="1" xfId="0" applyFont="true" applyBorder="true" applyAlignment="true" applyProtection="false">
      <alignment horizontal="center" vertical="center" textRotation="0" wrapText="true" indent="0" shrinkToFit="false" readingOrder="2"/>
      <protection locked="true" hidden="false"/>
    </xf>
    <xf numFmtId="164" fontId="39" fillId="9" borderId="1" xfId="0" applyFont="true" applyBorder="true" applyAlignment="true" applyProtection="false">
      <alignment horizontal="center" vertical="center" textRotation="0" wrapText="true" indent="0" shrinkToFit="false" readingOrder="2"/>
      <protection locked="true" hidden="false"/>
    </xf>
    <xf numFmtId="164" fontId="39" fillId="20" borderId="1" xfId="0" applyFont="true" applyBorder="true" applyAlignment="true" applyProtection="false">
      <alignment horizontal="center" vertical="center" textRotation="0" wrapText="true" indent="0" shrinkToFit="false" readingOrder="2"/>
      <protection locked="true" hidden="false"/>
    </xf>
    <xf numFmtId="173" fontId="10" fillId="7" borderId="1" xfId="0" applyFont="true" applyBorder="true" applyAlignment="true" applyProtection="false">
      <alignment horizontal="center" vertical="center" textRotation="0" wrapText="false" indent="0" shrinkToFit="false" readingOrder="2"/>
      <protection locked="true" hidden="false"/>
    </xf>
    <xf numFmtId="172" fontId="12" fillId="7" borderId="1" xfId="0" applyFont="true" applyBorder="true" applyAlignment="true" applyProtection="false">
      <alignment horizontal="center" vertical="center" textRotation="0" wrapText="false" indent="0" shrinkToFit="false" readingOrder="2"/>
      <protection locked="true" hidden="false"/>
    </xf>
    <xf numFmtId="172" fontId="13" fillId="7" borderId="1" xfId="0" applyFont="true" applyBorder="true" applyAlignment="true" applyProtection="false">
      <alignment horizontal="center" vertical="center" textRotation="0" wrapText="false" indent="0" shrinkToFit="false" readingOrder="2"/>
      <protection locked="true" hidden="false"/>
    </xf>
    <xf numFmtId="172" fontId="40" fillId="7" borderId="1" xfId="0" applyFont="true" applyBorder="true" applyAlignment="true" applyProtection="false">
      <alignment horizontal="center" vertical="center" textRotation="0" wrapText="false" indent="0" shrinkToFit="false" readingOrder="2"/>
      <protection locked="true" hidden="false"/>
    </xf>
    <xf numFmtId="174" fontId="10" fillId="7" borderId="1" xfId="0" applyFont="true" applyBorder="true" applyAlignment="true" applyProtection="false">
      <alignment horizontal="center" vertical="center" textRotation="0" wrapText="false" indent="0" shrinkToFit="false" readingOrder="2"/>
      <protection locked="true" hidden="false"/>
    </xf>
    <xf numFmtId="173" fontId="10" fillId="18" borderId="1" xfId="0" applyFont="true" applyBorder="true" applyAlignment="true" applyProtection="false">
      <alignment horizontal="center" vertical="center" textRotation="0" wrapText="false" indent="0" shrinkToFit="false" readingOrder="2"/>
      <protection locked="true" hidden="false"/>
    </xf>
    <xf numFmtId="172" fontId="12" fillId="18" borderId="1" xfId="0" applyFont="true" applyBorder="true" applyAlignment="true" applyProtection="false">
      <alignment horizontal="center" vertical="center" textRotation="0" wrapText="false" indent="0" shrinkToFit="false" readingOrder="2"/>
      <protection locked="true" hidden="false"/>
    </xf>
    <xf numFmtId="172" fontId="13" fillId="18" borderId="1" xfId="0" applyFont="true" applyBorder="true" applyAlignment="true" applyProtection="false">
      <alignment horizontal="center" vertical="center" textRotation="0" wrapText="false" indent="0" shrinkToFit="false" readingOrder="2"/>
      <protection locked="true" hidden="false"/>
    </xf>
    <xf numFmtId="172" fontId="40" fillId="18" borderId="1" xfId="0" applyFont="true" applyBorder="true" applyAlignment="true" applyProtection="false">
      <alignment horizontal="center" vertical="center" textRotation="0" wrapText="false" indent="0" shrinkToFit="false" readingOrder="2"/>
      <protection locked="true" hidden="false"/>
    </xf>
    <xf numFmtId="174" fontId="10" fillId="18" borderId="1" xfId="0" applyFont="true" applyBorder="true" applyAlignment="true" applyProtection="false">
      <alignment horizontal="center" vertical="center" textRotation="0" wrapText="false" indent="0" shrinkToFit="false" readingOrder="2"/>
      <protection locked="true" hidden="false"/>
    </xf>
    <xf numFmtId="165" fontId="10" fillId="18" borderId="1" xfId="0" applyFont="true" applyBorder="true" applyAlignment="true" applyProtection="false">
      <alignment horizontal="center" vertical="center" textRotation="0" wrapText="false" indent="0" shrinkToFit="false" readingOrder="2"/>
      <protection locked="true" hidden="false"/>
    </xf>
    <xf numFmtId="173" fontId="8" fillId="2" borderId="1" xfId="0" applyFont="true" applyBorder="true" applyAlignment="true" applyProtection="false">
      <alignment horizontal="center" vertical="center" textRotation="0" wrapText="false" indent="0" shrinkToFit="false" readingOrder="2"/>
      <protection locked="true" hidden="false"/>
    </xf>
    <xf numFmtId="164" fontId="11" fillId="7" borderId="1" xfId="0" applyFont="true" applyBorder="true" applyAlignment="true" applyProtection="false">
      <alignment horizontal="center" vertical="center" textRotation="0" wrapText="false" indent="0" shrinkToFit="false" readingOrder="2"/>
      <protection locked="true" hidden="false"/>
    </xf>
    <xf numFmtId="164" fontId="11" fillId="18" borderId="1" xfId="0" applyFont="true" applyBorder="true" applyAlignment="true" applyProtection="false">
      <alignment horizontal="center" vertical="center" textRotation="0" wrapText="false" indent="0" shrinkToFit="false" readingOrder="2"/>
      <protection locked="true" hidden="false"/>
    </xf>
    <xf numFmtId="164" fontId="8" fillId="6" borderId="1" xfId="0" applyFont="true" applyBorder="true" applyAlignment="true" applyProtection="false">
      <alignment horizontal="center" vertical="center" textRotation="0" wrapText="false" indent="0" shrinkToFit="false" readingOrder="2"/>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5" fontId="0" fillId="6" borderId="1" xfId="0" applyFont="false" applyBorder="true" applyAlignment="false" applyProtection="false">
      <alignment horizontal="general" vertical="bottom" textRotation="0" wrapText="false" indent="0" shrinkToFit="false"/>
      <protection locked="true" hidden="false"/>
    </xf>
    <xf numFmtId="172" fontId="8" fillId="6" borderId="1" xfId="0" applyFont="true" applyBorder="true" applyAlignment="true" applyProtection="false">
      <alignment horizontal="center" vertical="center" textRotation="0" wrapText="false" indent="0" shrinkToFit="false" readingOrder="2"/>
      <protection locked="true" hidden="false"/>
    </xf>
    <xf numFmtId="172" fontId="38" fillId="7" borderId="1" xfId="0" applyFont="true" applyBorder="true" applyAlignment="true" applyProtection="false">
      <alignment horizontal="center" vertical="center" textRotation="0" wrapText="false" indent="0" shrinkToFit="false" readingOrder="2"/>
      <protection locked="true" hidden="false"/>
    </xf>
    <xf numFmtId="172" fontId="38" fillId="18" borderId="1" xfId="0" applyFont="true" applyBorder="true" applyAlignment="true" applyProtection="false">
      <alignment horizontal="center" vertical="center" textRotation="0" wrapText="false" indent="0" shrinkToFit="false" readingOrder="2"/>
      <protection locked="true" hidden="false"/>
    </xf>
    <xf numFmtId="172" fontId="8" fillId="7" borderId="1" xfId="0" applyFont="true" applyBorder="true" applyAlignment="true" applyProtection="false">
      <alignment horizontal="center" vertical="center" textRotation="0" wrapText="false" indent="0" shrinkToFit="false" readingOrder="2"/>
      <protection locked="true" hidden="false"/>
    </xf>
    <xf numFmtId="164" fontId="8" fillId="4" borderId="1" xfId="0" applyFont="true" applyBorder="true" applyAlignment="true" applyProtection="false">
      <alignment horizontal="center" vertical="center" textRotation="0" wrapText="true" indent="0" shrinkToFit="false" readingOrder="2"/>
      <protection locked="true" hidden="false"/>
    </xf>
    <xf numFmtId="170" fontId="10" fillId="7" borderId="1" xfId="0" applyFont="true" applyBorder="true" applyAlignment="true" applyProtection="false">
      <alignment horizontal="center" vertical="center" textRotation="0" wrapText="false" indent="0" shrinkToFit="false" readingOrder="2"/>
      <protection locked="true" hidden="false"/>
    </xf>
    <xf numFmtId="172" fontId="14" fillId="7" borderId="1" xfId="0" applyFont="true" applyBorder="true" applyAlignment="true" applyProtection="false">
      <alignment horizontal="center" vertical="center" textRotation="0" wrapText="false" indent="0" shrinkToFit="false" readingOrder="2"/>
      <protection locked="true" hidden="false"/>
    </xf>
    <xf numFmtId="170" fontId="10" fillId="18" borderId="1" xfId="0" applyFont="true" applyBorder="true" applyAlignment="true" applyProtection="false">
      <alignment horizontal="center" vertical="center" textRotation="0" wrapText="false" indent="0" shrinkToFit="false" readingOrder="2"/>
      <protection locked="true" hidden="false"/>
    </xf>
    <xf numFmtId="166" fontId="10" fillId="18" borderId="1" xfId="0" applyFont="true" applyBorder="true" applyAlignment="true" applyProtection="false">
      <alignment horizontal="center" vertical="center" textRotation="0" wrapText="false" indent="0" shrinkToFit="false" readingOrder="2"/>
      <protection locked="true" hidden="false"/>
    </xf>
    <xf numFmtId="172" fontId="14" fillId="18" borderId="1" xfId="0" applyFont="true" applyBorder="true" applyAlignment="true" applyProtection="false">
      <alignment horizontal="center" vertical="center" textRotation="0" wrapText="false" indent="0" shrinkToFit="false" readingOrder="2"/>
      <protection locked="true" hidden="false"/>
    </xf>
    <xf numFmtId="171" fontId="10" fillId="7" borderId="1" xfId="0" applyFont="true" applyBorder="true" applyAlignment="true" applyProtection="false">
      <alignment horizontal="center" vertical="center" textRotation="0" wrapText="false" indent="0" shrinkToFit="false" readingOrder="2"/>
      <protection locked="true" hidden="false"/>
    </xf>
    <xf numFmtId="171" fontId="10" fillId="18" borderId="1" xfId="0" applyFont="true" applyBorder="true" applyAlignment="true" applyProtection="false">
      <alignment horizontal="center" vertical="center" textRotation="0" wrapText="false" indent="0" shrinkToFit="false" readingOrder="2"/>
      <protection locked="true" hidden="false"/>
    </xf>
    <xf numFmtId="164" fontId="8" fillId="21" borderId="1" xfId="0" applyFont="true" applyBorder="true" applyAlignment="true" applyProtection="false">
      <alignment horizontal="center" vertical="center" textRotation="0" wrapText="true" indent="0" shrinkToFit="false" readingOrder="2"/>
      <protection locked="true" hidden="false"/>
    </xf>
    <xf numFmtId="172" fontId="41" fillId="7" borderId="1" xfId="0" applyFont="true" applyBorder="true" applyAlignment="true" applyProtection="false">
      <alignment horizontal="center" vertical="center" textRotation="0" wrapText="false" indent="0" shrinkToFit="false" readingOrder="2"/>
      <protection locked="true" hidden="false"/>
    </xf>
    <xf numFmtId="172" fontId="41" fillId="18" borderId="1" xfId="0" applyFont="true" applyBorder="true" applyAlignment="true" applyProtection="false">
      <alignment horizontal="center" vertical="center" textRotation="0" wrapText="false" indent="0" shrinkToFit="false" readingOrder="2"/>
      <protection locked="true" hidden="false"/>
    </xf>
    <xf numFmtId="164" fontId="42" fillId="0" borderId="0" xfId="0" applyFont="true" applyBorder="false" applyAlignment="true" applyProtection="false">
      <alignment horizontal="left" vertical="center" textRotation="0" wrapText="false" indent="0" shrinkToFit="false" readingOrder="2"/>
      <protection locked="true" hidden="false"/>
    </xf>
    <xf numFmtId="168" fontId="42" fillId="0" borderId="0" xfId="0" applyFont="true" applyBorder="false" applyAlignment="true" applyProtection="false">
      <alignment horizontal="center" vertical="center" textRotation="0" wrapText="false" indent="0" shrinkToFit="false" readingOrder="2"/>
      <protection locked="true" hidden="false"/>
    </xf>
    <xf numFmtId="164" fontId="29" fillId="7" borderId="1" xfId="0" applyFont="true" applyBorder="true" applyAlignment="true" applyProtection="false">
      <alignment horizontal="center" vertical="center" textRotation="0" wrapText="false" indent="0" shrinkToFit="false" readingOrder="2"/>
      <protection locked="true" hidden="false"/>
    </xf>
    <xf numFmtId="172" fontId="12" fillId="11" borderId="1" xfId="0" applyFont="true" applyBorder="true" applyAlignment="true" applyProtection="false">
      <alignment horizontal="center" vertical="center" textRotation="0" wrapText="false" indent="0" shrinkToFit="false" readingOrder="2"/>
      <protection locked="true" hidden="false"/>
    </xf>
    <xf numFmtId="172" fontId="38" fillId="11" borderId="1" xfId="0" applyFont="true" applyBorder="true" applyAlignment="true" applyProtection="false">
      <alignment horizontal="center" vertical="center" textRotation="0" wrapText="false" indent="0" shrinkToFit="false" readingOrder="2"/>
      <protection locked="true" hidden="false"/>
    </xf>
    <xf numFmtId="164" fontId="43" fillId="7" borderId="1" xfId="0" applyFont="true" applyBorder="true" applyAlignment="true" applyProtection="false">
      <alignment horizontal="right" vertical="center" textRotation="0" wrapText="false" indent="0" shrinkToFit="false" readingOrder="2"/>
      <protection locked="true" hidden="false"/>
    </xf>
    <xf numFmtId="164" fontId="44" fillId="7" borderId="1" xfId="0" applyFont="true" applyBorder="true" applyAlignment="true" applyProtection="false">
      <alignment horizontal="center" vertical="center" textRotation="0" wrapText="false" indent="0" shrinkToFit="false" readingOrder="2"/>
      <protection locked="true" hidden="false"/>
    </xf>
    <xf numFmtId="164" fontId="8" fillId="2" borderId="1" xfId="0" applyFont="true" applyBorder="true" applyAlignment="true" applyProtection="false">
      <alignment horizontal="center" vertical="center" textRotation="0" wrapText="false" indent="0" shrinkToFit="false" readingOrder="2"/>
      <protection locked="true" hidden="false"/>
    </xf>
    <xf numFmtId="164" fontId="8" fillId="4" borderId="1" xfId="0" applyFont="true" applyBorder="true" applyAlignment="true" applyProtection="false">
      <alignment horizontal="center" vertical="center" textRotation="0" wrapText="false" indent="0" shrinkToFit="false" readingOrder="2"/>
      <protection locked="true" hidden="false"/>
    </xf>
    <xf numFmtId="172" fontId="8" fillId="4" borderId="1" xfId="0" applyFont="true" applyBorder="true" applyAlignment="true" applyProtection="false">
      <alignment horizontal="center" vertical="center" textRotation="0" wrapText="false" indent="0" shrinkToFit="false" readingOrder="2"/>
      <protection locked="true" hidden="false"/>
    </xf>
    <xf numFmtId="168" fontId="45" fillId="10" borderId="1" xfId="0" applyFont="true" applyBorder="true" applyAlignment="true" applyProtection="false">
      <alignment horizontal="center" vertical="center" textRotation="0" wrapText="false" indent="0" shrinkToFit="false" readingOrder="2"/>
      <protection locked="true" hidden="false"/>
    </xf>
    <xf numFmtId="164" fontId="45" fillId="10" borderId="1" xfId="0" applyFont="true" applyBorder="true" applyAlignment="true" applyProtection="false">
      <alignment horizontal="center" vertical="center" textRotation="0" wrapText="false" indent="0" shrinkToFit="false" readingOrder="2"/>
      <protection locked="true" hidden="false"/>
    </xf>
    <xf numFmtId="164" fontId="42" fillId="0" borderId="0" xfId="0" applyFont="true" applyBorder="false" applyAlignment="true" applyProtection="false">
      <alignment horizontal="right" vertical="center" textRotation="0" wrapText="false" indent="0" shrinkToFit="false" readingOrder="2"/>
      <protection locked="true" hidden="false"/>
    </xf>
    <xf numFmtId="175" fontId="42" fillId="0" borderId="0" xfId="0" applyFont="true" applyBorder="false" applyAlignment="false" applyProtection="false">
      <alignment horizontal="general" vertical="bottom" textRotation="0" wrapText="false" indent="0" shrinkToFit="false"/>
      <protection locked="true" hidden="false"/>
    </xf>
    <xf numFmtId="164" fontId="46" fillId="6" borderId="0" xfId="0" applyFont="true" applyBorder="true" applyAlignment="true" applyProtection="false">
      <alignment horizontal="center" vertical="center" textRotation="0" wrapText="false" indent="0" shrinkToFit="false" readingOrder="2"/>
      <protection locked="true" hidden="false"/>
    </xf>
    <xf numFmtId="164" fontId="18" fillId="18" borderId="1" xfId="0" applyFont="true" applyBorder="true" applyAlignment="true" applyProtection="false">
      <alignment horizontal="right" vertical="center" textRotation="0" wrapText="false" indent="0" shrinkToFit="false" readingOrder="2"/>
      <protection locked="true" hidden="false"/>
    </xf>
    <xf numFmtId="170" fontId="12" fillId="7" borderId="1" xfId="0" applyFont="true" applyBorder="true" applyAlignment="true" applyProtection="false">
      <alignment horizontal="center" vertical="center" textRotation="0" wrapText="false" indent="0" shrinkToFit="false" readingOrder="2"/>
      <protection locked="true" hidden="false"/>
    </xf>
    <xf numFmtId="164" fontId="47" fillId="7" borderId="1" xfId="0" applyFont="true" applyBorder="true" applyAlignment="true" applyProtection="false">
      <alignment horizontal="center" vertical="center" textRotation="0" wrapText="false" indent="0" shrinkToFit="false" readingOrder="2"/>
      <protection locked="true" hidden="false"/>
    </xf>
    <xf numFmtId="173" fontId="12" fillId="7" borderId="1" xfId="0" applyFont="true" applyBorder="true" applyAlignment="true" applyProtection="false">
      <alignment horizontal="center" vertical="center" textRotation="0" wrapText="false" indent="0" shrinkToFit="false" readingOrder="2"/>
      <protection locked="true" hidden="false"/>
    </xf>
    <xf numFmtId="164" fontId="7" fillId="6" borderId="1" xfId="0" applyFont="true" applyBorder="true" applyAlignment="true" applyProtection="false">
      <alignment horizontal="right" vertical="center" textRotation="0" wrapText="false" indent="0" shrinkToFit="false" readingOrder="2"/>
      <protection locked="true" hidden="false"/>
    </xf>
    <xf numFmtId="172" fontId="7" fillId="6" borderId="1" xfId="0" applyFont="true" applyBorder="true" applyAlignment="true" applyProtection="false">
      <alignment horizontal="center" vertical="center" textRotation="0" wrapText="false" indent="0" shrinkToFit="false" readingOrder="2"/>
      <protection locked="true" hidden="false"/>
    </xf>
    <xf numFmtId="164" fontId="7" fillId="16" borderId="1" xfId="0" applyFont="true" applyBorder="true" applyAlignment="true" applyProtection="false">
      <alignment horizontal="right" vertical="center" textRotation="0" wrapText="false" indent="0" shrinkToFit="false" readingOrder="2"/>
      <protection locked="true" hidden="false"/>
    </xf>
    <xf numFmtId="172" fontId="7" fillId="16" borderId="1" xfId="0" applyFont="true" applyBorder="true" applyAlignment="true" applyProtection="false">
      <alignment horizontal="center" vertical="center" textRotation="0" wrapText="false" indent="0" shrinkToFit="false" readingOrder="2"/>
      <protection locked="true" hidden="false"/>
    </xf>
    <xf numFmtId="164" fontId="48" fillId="17" borderId="0" xfId="0" applyFont="true" applyBorder="true" applyAlignment="true" applyProtection="false">
      <alignment horizontal="center" vertical="center" textRotation="0" wrapText="false" indent="0" shrinkToFit="false" readingOrder="2"/>
      <protection locked="true" hidden="false"/>
    </xf>
    <xf numFmtId="172" fontId="49" fillId="17" borderId="0" xfId="0" applyFont="true" applyBorder="true" applyAlignment="true" applyProtection="false">
      <alignment horizontal="center" vertical="center" textRotation="0" wrapText="false" indent="0" shrinkToFit="false" readingOrder="2"/>
      <protection locked="true" hidden="false"/>
    </xf>
    <xf numFmtId="164" fontId="29" fillId="0" borderId="0" xfId="0" applyFont="true" applyBorder="true" applyAlignment="true" applyProtection="false">
      <alignment horizontal="center" vertical="center" textRotation="0" wrapText="false" indent="0" shrinkToFit="false" readingOrder="2"/>
      <protection locked="true" hidden="false"/>
    </xf>
    <xf numFmtId="173" fontId="40" fillId="7" borderId="1" xfId="0" applyFont="true" applyBorder="true" applyAlignment="true" applyProtection="false">
      <alignment horizontal="center" vertical="center" textRotation="0" wrapText="false" indent="0" shrinkToFit="false" readingOrder="2"/>
      <protection locked="true" hidden="false"/>
    </xf>
    <xf numFmtId="164" fontId="10" fillId="0" borderId="0" xfId="0" applyFont="true" applyBorder="false" applyAlignment="true" applyProtection="false">
      <alignment horizontal="right" vertical="center" textRotation="0" wrapText="fals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ont>
        <b val="1"/>
        <color rgb="FF2E7D32"/>
      </font>
      <fill>
        <patternFill>
          <bgColor rgb="FFE8F5E9"/>
        </patternFill>
      </fill>
    </dxf>
    <dxf>
      <font>
        <b val="1"/>
        <color rgb="FFC62828"/>
      </font>
      <fill>
        <patternFill>
          <bgColor rgb="FFFDECEA"/>
        </patternFill>
      </fill>
    </dxf>
    <dxf>
      <font>
        <b val="1"/>
        <color rgb="FF9A6B00"/>
      </font>
      <fill>
        <patternFill>
          <bgColor rgb="FFFFF3CD"/>
        </patternFill>
      </fill>
    </dxf>
    <dxf>
      <fill>
        <patternFill>
          <bgColor rgb="FFFFF3CD"/>
        </patternFill>
      </fill>
    </dxf>
    <dxf>
      <fill>
        <patternFill patternType="solid">
          <fgColor rgb="FF1F3A5F"/>
          <bgColor rgb="FF000000"/>
        </patternFill>
      </fill>
    </dxf>
    <dxf>
      <fill>
        <patternFill patternType="solid">
          <fgColor rgb="FFF5F8FB"/>
          <bgColor rgb="FF000000"/>
        </patternFill>
      </fill>
    </dxf>
    <dxf>
      <fill>
        <patternFill patternType="solid">
          <fgColor rgb="FFFFFFFF"/>
          <bgColor rgb="FF000000"/>
        </patternFill>
      </fill>
    </dxf>
    <dxf>
      <fill>
        <patternFill patternType="solid">
          <fgColor rgb="FF1F2933"/>
          <bgColor rgb="FF000000"/>
        </patternFill>
      </fill>
    </dxf>
    <dxf>
      <fill>
        <patternFill patternType="solid">
          <fgColor rgb="FFFFF8E1"/>
          <bgColor rgb="FF000000"/>
        </patternFill>
      </fill>
    </dxf>
    <dxf>
      <fill>
        <patternFill patternType="solid">
          <fgColor rgb="FF1A4FA0"/>
          <bgColor rgb="FF000000"/>
        </patternFill>
      </fill>
    </dxf>
    <dxf>
      <fill>
        <patternFill patternType="solid">
          <fgColor rgb="FFFDECEA"/>
          <bgColor rgb="FF000000"/>
        </patternFill>
      </fill>
    </dxf>
    <dxf>
      <fill>
        <patternFill patternType="solid">
          <fgColor rgb="FFC62828"/>
          <bgColor rgb="FF000000"/>
        </patternFill>
      </fill>
    </dxf>
    <dxf>
      <fill>
        <patternFill patternType="solid">
          <fgColor rgb="FFE8F5E9"/>
          <bgColor rgb="FF000000"/>
        </patternFill>
      </fill>
    </dxf>
    <dxf>
      <fill>
        <patternFill patternType="solid">
          <fgColor rgb="FF2E7D32"/>
          <bgColor rgb="FF000000"/>
        </patternFill>
      </fill>
    </dxf>
    <dxf>
      <fill>
        <patternFill>
          <bgColor rgb="FFFDECEA"/>
        </patternFill>
      </fill>
    </dxf>
    <dxf>
      <fill>
        <patternFill patternType="solid">
          <fgColor rgb="FFA0AEC0"/>
          <bgColor rgb="FF000000"/>
        </patternFill>
      </fill>
    </dxf>
    <dxf>
      <fill>
        <patternFill patternType="solid">
          <fgColor rgb="FF4A5568"/>
          <bgColor rgb="FF000000"/>
        </patternFill>
      </fill>
    </dxf>
    <dxf>
      <fill>
        <patternFill patternType="solid">
          <fgColor rgb="FF2E7D7A"/>
          <bgColor rgb="FF000000"/>
        </patternFill>
      </fill>
    </dxf>
    <dxf>
      <fill>
        <patternFill patternType="solid">
          <fgColor rgb="FF5E35B1"/>
          <bgColor rgb="FF000000"/>
        </patternFill>
      </fill>
    </dxf>
    <dxf>
      <fill>
        <patternFill patternType="solid">
          <fgColor rgb="FF8795A1"/>
          <bgColor rgb="FF000000"/>
        </patternFill>
      </fill>
    </dxf>
    <dxf>
      <font>
        <i val="1"/>
        <color rgb="FFA0AEC0"/>
      </font>
    </dxf>
  </dxfs>
  <colors>
    <indexedColors>
      <rgbColor rgb="FF000000"/>
      <rgbColor rgb="FFFFFFFF"/>
      <rgbColor rgb="FFFF0000"/>
      <rgbColor rgb="FF00FF00"/>
      <rgbColor rgb="FF0000FF"/>
      <rgbColor rgb="FFFFFF00"/>
      <rgbColor rgb="FFFF00FF"/>
      <rgbColor rgb="FF00FFFF"/>
      <rgbColor rgb="FF800000"/>
      <rgbColor rgb="FF2E7D32"/>
      <rgbColor rgb="FF000080"/>
      <rgbColor rgb="FF9A6B00"/>
      <rgbColor rgb="FF800080"/>
      <rgbColor rgb="FF2C5282"/>
      <rgbColor rgb="FFA0AEC0"/>
      <rgbColor rgb="FF878787"/>
      <rgbColor rgb="FF9999FF"/>
      <rgbColor rgb="FFC0504D"/>
      <rgbColor rgb="FFFFF8E1"/>
      <rgbColor rgb="FFDCEFEE"/>
      <rgbColor rgb="FF660066"/>
      <rgbColor rgb="FFB7791F"/>
      <rgbColor rgb="FF1A4FA0"/>
      <rgbColor rgb="FFC9D3DD"/>
      <rgbColor rgb="FF000080"/>
      <rgbColor rgb="FFFF00FF"/>
      <rgbColor rgb="FFFFFF00"/>
      <rgbColor rgb="FF00FFFF"/>
      <rgbColor rgb="FF800080"/>
      <rgbColor rgb="FF800000"/>
      <rgbColor rgb="FF4F81BD"/>
      <rgbColor rgb="FF0000FF"/>
      <rgbColor rgb="FF00CCFF"/>
      <rgbColor rgb="FFE8F5E9"/>
      <rgbColor rgb="FFF2F4F7"/>
      <rgbColor rgb="FFFFF3CD"/>
      <rgbColor rgb="FFFDECEA"/>
      <rgbColor rgb="FFF5F8FB"/>
      <rgbColor rgb="FFCC99FF"/>
      <rgbColor rgb="FFD9D9D9"/>
      <rgbColor rgb="FF1A73E8"/>
      <rgbColor rgb="FF33CCCC"/>
      <rgbColor rgb="FF99CC00"/>
      <rgbColor rgb="FFFFCC00"/>
      <rgbColor rgb="FFF6AD55"/>
      <rgbColor rgb="FFC05621"/>
      <rgbColor rgb="FF5A6772"/>
      <rgbColor rgb="FF8795A1"/>
      <rgbColor rgb="FF1F3A5F"/>
      <rgbColor rgb="FF2E7D7A"/>
      <rgbColor rgb="FF003300"/>
      <rgbColor rgb="FF4A5568"/>
      <rgbColor rgb="FFC62828"/>
      <rgbColor rgb="FF993366"/>
      <rgbColor rgb="FF5E35B1"/>
      <rgbColor rgb="FF1F29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الموظفون حسب الفئة</a:t>
            </a:r>
          </a:p>
        </c:rich>
      </c:tx>
      <c:overlay val="0"/>
      <c:spPr>
        <a:noFill/>
        <a:ln w="0">
          <a:noFill/>
        </a:ln>
      </c:spPr>
    </c:title>
    <c:autoTitleDeleted val="0"/>
    <c:plotArea>
      <c:pieChart>
        <c:varyColors val="1"/>
        <c:ser>
          <c:idx val="0"/>
          <c:order val="0"/>
          <c:tx>
            <c:strRef>
              <c:f>'لوحة التحكم'!J18</c:f>
              <c:strCache>
                <c:ptCount val="1"/>
                <c:pt idx="0">
                  <c:v>العدد</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1"/>
            <c:showVal val="0"/>
            <c:showCatName val="0"/>
            <c:showSerName val="0"/>
            <c:showPercent val="1"/>
            <c:separator>
</c:separator>
            <c:showLeaderLines val="0"/>
          </c:dLbls>
          <c:cat>
            <c:strRef>
              <c:f>'لوحة التحكم'!$I$19:$I$20</c:f>
              <c:strCache>
                <c:ptCount val="2"/>
                <c:pt idx="0">
                  <c:v>سعودي</c:v>
                </c:pt>
                <c:pt idx="1">
                  <c:v>غير سعودي</c:v>
                </c:pt>
              </c:strCache>
            </c:strRef>
          </c:cat>
          <c:val>
            <c:numRef>
              <c:f>'لوحة التحكم'!$J$19:$J$20</c:f>
              <c:numCache>
                <c:formatCode>0;[RED]\-0;\-</c:formatCode>
                <c:ptCount val="2"/>
                <c:pt idx="0">
                  <c:v>7</c:v>
                </c:pt>
                <c:pt idx="1">
                  <c:v>4</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التكلفة الكاملة حسب القسم</a:t>
            </a:r>
          </a:p>
        </c:rich>
      </c:tx>
      <c:overlay val="0"/>
      <c:spPr>
        <a:noFill/>
        <a:ln w="0">
          <a:noFill/>
        </a:ln>
      </c:spPr>
    </c:title>
    <c:autoTitleDeleted val="0"/>
    <c:plotArea>
      <c:barChart>
        <c:barDir val="bar"/>
        <c:grouping val="clustered"/>
        <c:varyColors val="0"/>
        <c:ser>
          <c:idx val="0"/>
          <c:order val="0"/>
          <c:tx>
            <c:strRef>
              <c:f>'لوحة التحكم'!F35</c:f>
              <c:strCache>
                <c:ptCount val="1"/>
                <c:pt idx="0">
                  <c:v>التكلفة الكاملة حتى تاريخه</c:v>
                </c:pt>
              </c:strCache>
            </c:strRef>
          </c:tx>
          <c:spPr>
            <a:solidFill>
              <a:srgbClr val="2c528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'لوحة التحكم'!$B$36:$B$42</c:f>
              <c:strCache>
                <c:ptCount val="7"/>
                <c:pt idx="0">
                  <c:v>الإدارة العليا</c:v>
                </c:pt>
                <c:pt idx="1">
                  <c:v>المالية</c:v>
                </c:pt>
                <c:pt idx="2">
                  <c:v>الموارد البشرية</c:v>
                </c:pt>
                <c:pt idx="3">
                  <c:v>المبيعات</c:v>
                </c:pt>
                <c:pt idx="4">
                  <c:v>العمليات</c:v>
                </c:pt>
                <c:pt idx="5">
                  <c:v>تقنية المعلومات</c:v>
                </c:pt>
                <c:pt idx="6">
                  <c:v>المشاريع</c:v>
                </c:pt>
              </c:strCache>
            </c:strRef>
          </c:cat>
          <c:val>
            <c:numRef>
              <c:f>'لوحة التحكم'!$F$36:$F$42</c:f>
              <c:numCache>
                <c:formatCode>_-* #,##0_-;[RED]_-* \(#,##0\)_-;_-* \-??_-;_-@_-</c:formatCode>
                <c:ptCount val="7"/>
                <c:pt idx="0">
                  <c:v>460757.157534247</c:v>
                </c:pt>
                <c:pt idx="1">
                  <c:v>526359.621860731</c:v>
                </c:pt>
                <c:pt idx="2">
                  <c:v>216878.578767123</c:v>
                </c:pt>
                <c:pt idx="3">
                  <c:v>318598.616438356</c:v>
                </c:pt>
                <c:pt idx="4">
                  <c:v>154697.699771689</c:v>
                </c:pt>
                <c:pt idx="5">
                  <c:v>327623.53652968</c:v>
                </c:pt>
                <c:pt idx="6">
                  <c:v>169419.811643836</c:v>
                </c:pt>
              </c:numCache>
            </c:numRef>
          </c:val>
        </c:ser>
        <c:gapWidth val="150"/>
        <c:overlap val="0"/>
        <c:axId val="70835543"/>
        <c:axId val="86475947"/>
      </c:barChart>
      <c:catAx>
        <c:axId val="70835543"/>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475947"/>
        <c:crosses val="autoZero"/>
        <c:auto val="1"/>
        <c:lblAlgn val="ctr"/>
        <c:lblOffset val="100"/>
        <c:noMultiLvlLbl val="0"/>
      </c:catAx>
      <c:valAx>
        <c:axId val="86475947"/>
        <c:scaling>
          <c:orientation val="minMax"/>
        </c:scaling>
        <c:delete val="0"/>
        <c:axPos val="l"/>
        <c:majorGridlines>
          <c:spPr>
            <a:ln w="9360">
              <a:solidFill>
                <a:srgbClr val="878787"/>
              </a:solidFill>
              <a:round/>
            </a:ln>
          </c:spPr>
        </c:majorGridlines>
        <c:numFmt formatCode="_-* #,##0_-;[RED]_-* \(#,##0\)_-;_-* \-??_-;_-@_-"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83554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مكونات تكلفة العمالة شهرياً</a:t>
            </a:r>
          </a:p>
        </c:rich>
      </c:tx>
      <c:overlay val="0"/>
      <c:spPr>
        <a:noFill/>
        <a:ln w="0">
          <a:noFill/>
        </a:ln>
      </c:spPr>
    </c:title>
    <c:autoTitleDeleted val="0"/>
    <c:plotArea>
      <c:barChart>
        <c:barDir val="col"/>
        <c:grouping val="stacked"/>
        <c:varyColors val="0"/>
        <c:ser>
          <c:idx val="0"/>
          <c:order val="0"/>
          <c:tx>
            <c:strRef>
              <c:f>'لوحة التحكم'!C55</c:f>
              <c:strCache>
                <c:ptCount val="1"/>
                <c:pt idx="0">
                  <c:v>صافي الرواتب</c:v>
                </c:pt>
              </c:strCache>
            </c:strRef>
          </c:tx>
          <c:spPr>
            <a:solidFill>
              <a:srgbClr val="2e7d3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'لوحة التحكم'!$B$56:$B$67</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'لوحة التحكم'!$C$56:$C$67</c:f>
              <c:numCache>
                <c:formatCode>_-* #,##0_-;[RED]_-* \(#,##0\)_-;_-* \-??_-;_-@_-</c:formatCode>
                <c:ptCount val="12"/>
                <c:pt idx="0">
                  <c:v>178337.395833333</c:v>
                </c:pt>
                <c:pt idx="1">
                  <c:v>182442.395833333</c:v>
                </c:pt>
                <c:pt idx="2">
                  <c:v>177782.8125</c:v>
                </c:pt>
                <c:pt idx="3">
                  <c:v>181616.5625</c:v>
                </c:pt>
                <c:pt idx="4">
                  <c:v>189111.354166667</c:v>
                </c:pt>
                <c:pt idx="5">
                  <c:v>195454.6875</c:v>
                </c:pt>
                <c:pt idx="6">
                  <c:v>190501.947773973</c:v>
                </c:pt>
                <c:pt idx="7">
                  <c:v>181192.1875</c:v>
                </c:pt>
                <c:pt idx="8">
                  <c:v>183870.9375</c:v>
                </c:pt>
                <c:pt idx="9">
                  <c:v>182204.6875</c:v>
                </c:pt>
                <c:pt idx="10">
                  <c:v>182204.6875</c:v>
                </c:pt>
                <c:pt idx="11">
                  <c:v>182204.6875</c:v>
                </c:pt>
              </c:numCache>
            </c:numRef>
          </c:val>
        </c:ser>
        <c:ser>
          <c:idx val="1"/>
          <c:order val="1"/>
          <c:tx>
            <c:strRef>
              <c:f>'لوحة التحكم'!D55</c:f>
              <c:strCache>
                <c:ptCount val="1"/>
                <c:pt idx="0">
                  <c:v>التأمينات (موظف + منشأة)</c:v>
                </c:pt>
              </c:strCache>
            </c:strRef>
          </c:tx>
          <c:spPr>
            <a:solidFill>
              <a:srgbClr val="c6282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'لوحة التحكم'!$B$56:$B$67</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'لوحة التحكم'!$D$56:$D$67</c:f>
              <c:numCache>
                <c:formatCode>_-* #,##0_-;[RED]_-* \(#,##0\)_-;_-* \-??_-;_-@_-</c:formatCode>
                <c:ptCount val="12"/>
                <c:pt idx="0">
                  <c:v>25859.375</c:v>
                </c:pt>
                <c:pt idx="1">
                  <c:v>25859.375</c:v>
                </c:pt>
                <c:pt idx="2">
                  <c:v>25859.375</c:v>
                </c:pt>
                <c:pt idx="3">
                  <c:v>27149.375</c:v>
                </c:pt>
                <c:pt idx="4">
                  <c:v>28278.125</c:v>
                </c:pt>
                <c:pt idx="5">
                  <c:v>28278.125</c:v>
                </c:pt>
                <c:pt idx="6">
                  <c:v>28153.125</c:v>
                </c:pt>
                <c:pt idx="7">
                  <c:v>28153.125</c:v>
                </c:pt>
                <c:pt idx="8">
                  <c:v>28153.125</c:v>
                </c:pt>
                <c:pt idx="9">
                  <c:v>28153.125</c:v>
                </c:pt>
                <c:pt idx="10">
                  <c:v>28153.125</c:v>
                </c:pt>
                <c:pt idx="11">
                  <c:v>28153.125</c:v>
                </c:pt>
              </c:numCache>
            </c:numRef>
          </c:val>
        </c:ser>
        <c:ser>
          <c:idx val="2"/>
          <c:order val="2"/>
          <c:tx>
            <c:strRef>
              <c:f>'لوحة التحكم'!E55</c:f>
              <c:strCache>
                <c:ptCount val="1"/>
                <c:pt idx="0">
                  <c:v>سلف وخصومات</c:v>
                </c:pt>
              </c:strCache>
            </c:strRef>
          </c:tx>
          <c:spPr>
            <a:solidFill>
              <a:srgbClr val="f6ad5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'لوحة التحكم'!$B$56:$B$67</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'لوحة التحكم'!$E$56:$E$67</c:f>
              <c:numCache>
                <c:formatCode>_-* #,##0_-;[RED]_-* \(#,##0\)_-;_-* \-??_-;_-@_-</c:formatCode>
                <c:ptCount val="12"/>
                <c:pt idx="0">
                  <c:v>1100</c:v>
                </c:pt>
                <c:pt idx="1">
                  <c:v>1000</c:v>
                </c:pt>
                <c:pt idx="2">
                  <c:v>1000</c:v>
                </c:pt>
                <c:pt idx="3">
                  <c:v>1000</c:v>
                </c:pt>
                <c:pt idx="4">
                  <c:v>1000</c:v>
                </c:pt>
                <c:pt idx="5">
                  <c:v>0</c:v>
                </c:pt>
                <c:pt idx="6">
                  <c:v>0</c:v>
                </c:pt>
                <c:pt idx="7">
                  <c:v>0</c:v>
                </c:pt>
                <c:pt idx="8">
                  <c:v>250</c:v>
                </c:pt>
                <c:pt idx="9">
                  <c:v>0</c:v>
                </c:pt>
                <c:pt idx="10">
                  <c:v>0</c:v>
                </c:pt>
                <c:pt idx="11">
                  <c:v>0</c:v>
                </c:pt>
              </c:numCache>
            </c:numRef>
          </c:val>
        </c:ser>
        <c:ser>
          <c:idx val="3"/>
          <c:order val="3"/>
          <c:tx>
            <c:strRef>
              <c:f>'لوحة التحكم'!F55</c:f>
              <c:strCache>
                <c:ptCount val="1"/>
                <c:pt idx="0">
                  <c:v>المخصصات (نهاية خدمة + إجازات + تذاكر)</c:v>
                </c:pt>
              </c:strCache>
            </c:strRef>
          </c:tx>
          <c:spPr>
            <a:solidFill>
              <a:srgbClr val="9a6b0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'لوحة التحكم'!$B$56:$B$67</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'لوحة التحكم'!$F$56:$F$67</c:f>
              <c:numCache>
                <c:formatCode>_-* #,##0_-;[RED]_-* \(#,##0\)_-;_-* \-??_-;_-@_-</c:formatCode>
                <c:ptCount val="12"/>
                <c:pt idx="0">
                  <c:v>29189.1506849315</c:v>
                </c:pt>
                <c:pt idx="1">
                  <c:v>26695.1232876712</c:v>
                </c:pt>
                <c:pt idx="2">
                  <c:v>29555.3150684932</c:v>
                </c:pt>
                <c:pt idx="3">
                  <c:v>29241.0410958904</c:v>
                </c:pt>
                <c:pt idx="4">
                  <c:v>30793.6164383562</c:v>
                </c:pt>
                <c:pt idx="5">
                  <c:v>29800.2739726027</c:v>
                </c:pt>
                <c:pt idx="6">
                  <c:v>29536.6301369863</c:v>
                </c:pt>
                <c:pt idx="7">
                  <c:v>29536.6301369863</c:v>
                </c:pt>
                <c:pt idx="8">
                  <c:v>28583.8356164384</c:v>
                </c:pt>
                <c:pt idx="9">
                  <c:v>29536.6301369863</c:v>
                </c:pt>
                <c:pt idx="10">
                  <c:v>28583.8356164384</c:v>
                </c:pt>
                <c:pt idx="11">
                  <c:v>29536.6301369863</c:v>
                </c:pt>
              </c:numCache>
            </c:numRef>
          </c:val>
        </c:ser>
        <c:gapWidth val="150"/>
        <c:overlap val="100"/>
        <c:axId val="1709486"/>
        <c:axId val="41816657"/>
      </c:barChart>
      <c:catAx>
        <c:axId val="170948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816657"/>
        <c:crosses val="autoZero"/>
        <c:auto val="1"/>
        <c:lblAlgn val="ctr"/>
        <c:lblOffset val="100"/>
        <c:noMultiLvlLbl val="0"/>
      </c:catAx>
      <c:valAx>
        <c:axId val="41816657"/>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0948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إجمالي المستحقات مقابل إجمالي تكلفة العمالة شهرياً</a:t>
            </a:r>
          </a:p>
        </c:rich>
      </c:tx>
      <c:overlay val="0"/>
      <c:spPr>
        <a:noFill/>
        <a:ln w="0">
          <a:noFill/>
        </a:ln>
      </c:spPr>
    </c:title>
    <c:autoTitleDeleted val="0"/>
    <c:plotArea>
      <c:barChart>
        <c:barDir val="col"/>
        <c:grouping val="clustered"/>
        <c:varyColors val="0"/>
        <c:ser>
          <c:idx val="0"/>
          <c:order val="0"/>
          <c:tx>
            <c:strRef>
              <c:f>'الملخص الشهري'!I5</c:f>
              <c:strCache>
                <c:ptCount val="1"/>
                <c:pt idx="0">
                  <c:v>إجمالي المستحقات</c:v>
                </c:pt>
              </c:strCache>
            </c:strRef>
          </c:tx>
          <c:spPr>
            <a:solidFill>
              <a:srgbClr val="2e7d7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'الملخص الشهري'!$B$6:$B$17</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'الملخص الشهري'!$I$6:$I$17</c:f>
              <c:numCache>
                <c:formatCode>_-* #,##0.00_-;[RED]_-* \(#,##0.00\)_-;_-* \-??_-;_-@_-</c:formatCode>
                <c:ptCount val="12"/>
                <c:pt idx="0">
                  <c:v>190710.833333333</c:v>
                </c:pt>
                <c:pt idx="1">
                  <c:v>194715.833333333</c:v>
                </c:pt>
                <c:pt idx="2">
                  <c:v>190056.25</c:v>
                </c:pt>
                <c:pt idx="3">
                  <c:v>194475</c:v>
                </c:pt>
                <c:pt idx="4">
                  <c:v>202481.666666667</c:v>
                </c:pt>
                <c:pt idx="5">
                  <c:v>207825</c:v>
                </c:pt>
                <c:pt idx="6">
                  <c:v>202872.260273973</c:v>
                </c:pt>
                <c:pt idx="7">
                  <c:v>193562.5</c:v>
                </c:pt>
                <c:pt idx="8">
                  <c:v>196491.25</c:v>
                </c:pt>
                <c:pt idx="9">
                  <c:v>194575</c:v>
                </c:pt>
                <c:pt idx="10">
                  <c:v>194575</c:v>
                </c:pt>
                <c:pt idx="11">
                  <c:v>194575</c:v>
                </c:pt>
              </c:numCache>
            </c:numRef>
          </c:val>
        </c:ser>
        <c:ser>
          <c:idx val="1"/>
          <c:order val="1"/>
          <c:tx>
            <c:strRef>
              <c:f>'الملخص الشهري'!Q5</c:f>
              <c:strCache>
                <c:ptCount val="1"/>
                <c:pt idx="0">
                  <c:v>إجمالي تكلفة العمالة</c:v>
                </c:pt>
              </c:strCache>
            </c:strRef>
          </c:tx>
          <c:spPr>
            <a:solidFill>
              <a:srgbClr val="5e35b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'الملخص الشهري'!$B$6:$B$17</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'الملخص الشهري'!$Q$6:$Q$17</c:f>
              <c:numCache>
                <c:formatCode>_-* #,##0.00_-;[RED]_-* \(#,##0.00\)_-;_-* \-??_-;_-@_-</c:formatCode>
                <c:ptCount val="12"/>
                <c:pt idx="0">
                  <c:v>234485.921518265</c:v>
                </c:pt>
                <c:pt idx="1">
                  <c:v>235996.894121005</c:v>
                </c:pt>
                <c:pt idx="2">
                  <c:v>234197.502568493</c:v>
                </c:pt>
                <c:pt idx="3">
                  <c:v>239006.97859589</c:v>
                </c:pt>
                <c:pt idx="4">
                  <c:v>249183.095605023</c:v>
                </c:pt>
                <c:pt idx="5">
                  <c:v>253533.086472603</c:v>
                </c:pt>
                <c:pt idx="6">
                  <c:v>248191.702910959</c:v>
                </c:pt>
                <c:pt idx="7">
                  <c:v>238881.942636986</c:v>
                </c:pt>
                <c:pt idx="8">
                  <c:v>240857.898116438</c:v>
                </c:pt>
                <c:pt idx="9">
                  <c:v>239894.442636986</c:v>
                </c:pt>
                <c:pt idx="10">
                  <c:v>238941.648116438</c:v>
                </c:pt>
                <c:pt idx="11">
                  <c:v>239894.442636986</c:v>
                </c:pt>
              </c:numCache>
            </c:numRef>
          </c:val>
        </c:ser>
        <c:gapWidth val="150"/>
        <c:overlap val="0"/>
        <c:axId val="22478486"/>
        <c:axId val="77868099"/>
      </c:barChart>
      <c:catAx>
        <c:axId val="2247848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868099"/>
        <c:crosses val="autoZero"/>
        <c:auto val="1"/>
        <c:lblAlgn val="ctr"/>
        <c:lblOffset val="100"/>
        <c:noMultiLvlLbl val="0"/>
      </c:catAx>
      <c:valAx>
        <c:axId val="7786809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47848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_rels/drawing16.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-86040</xdr:colOff>
      <xdr:row>20</xdr:row>
      <xdr:rowOff>0</xdr:rowOff>
    </xdr:from>
    <xdr:to>
      <xdr:col>11</xdr:col>
      <xdr:colOff>0</xdr:colOff>
      <xdr:row>31</xdr:row>
      <xdr:rowOff>136080</xdr:rowOff>
    </xdr:to>
    <xdr:graphicFrame>
      <xdr:nvGraphicFramePr>
        <xdr:cNvPr id="0" name="Chart 1"/>
        <xdr:cNvGraphicFramePr/>
      </xdr:nvGraphicFramePr>
      <xdr:xfrm>
        <a:off x="-11376360" y="5505480"/>
        <a:ext cx="3419640" cy="223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-234720</xdr:colOff>
      <xdr:row>33</xdr:row>
      <xdr:rowOff>0</xdr:rowOff>
    </xdr:from>
    <xdr:to>
      <xdr:col>12</xdr:col>
      <xdr:colOff>0</xdr:colOff>
      <xdr:row>48</xdr:row>
      <xdr:rowOff>29520</xdr:rowOff>
    </xdr:to>
    <xdr:graphicFrame>
      <xdr:nvGraphicFramePr>
        <xdr:cNvPr id="1" name="Chart 2"/>
        <xdr:cNvGraphicFramePr/>
      </xdr:nvGraphicFramePr>
      <xdr:xfrm>
        <a:off x="-12636360" y="7981920"/>
        <a:ext cx="46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-203400</xdr:colOff>
      <xdr:row>54</xdr:row>
      <xdr:rowOff>0</xdr:rowOff>
    </xdr:from>
    <xdr:to>
      <xdr:col>13</xdr:col>
      <xdr:colOff>0</xdr:colOff>
      <xdr:row>68</xdr:row>
      <xdr:rowOff>30960</xdr:rowOff>
    </xdr:to>
    <xdr:graphicFrame>
      <xdr:nvGraphicFramePr>
        <xdr:cNvPr id="2" name="Chart 3"/>
        <xdr:cNvGraphicFramePr/>
      </xdr:nvGraphicFramePr>
      <xdr:xfrm>
        <a:off x="-13716360" y="12420720"/>
        <a:ext cx="5759640" cy="30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-1002960</xdr:colOff>
      <xdr:row>21</xdr:row>
      <xdr:rowOff>0</xdr:rowOff>
    </xdr:from>
    <xdr:to>
      <xdr:col>9</xdr:col>
      <xdr:colOff>0</xdr:colOff>
      <xdr:row>38</xdr:row>
      <xdr:rowOff>1440</xdr:rowOff>
    </xdr:to>
    <xdr:graphicFrame>
      <xdr:nvGraphicFramePr>
        <xdr:cNvPr id="3" name="Chart 1"/>
        <xdr:cNvGraphicFramePr/>
      </xdr:nvGraphicFramePr>
      <xdr:xfrm>
        <a:off x="-9537480" y="5000760"/>
        <a:ext cx="93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_rels/sheet12.xml.rels><?xml version="1.0" encoding="UTF-8"?>
<Relationships xmlns="http://schemas.openxmlformats.org/package/2006/relationships"><Relationship Id="rId1" Type="http://schemas.openxmlformats.org/officeDocument/2006/relationships/drawing" Target="../drawings/drawing10.xml"/>
</Relationships>
</file>

<file path=xl/worksheets/_rels/sheet13.xml.rels><?xml version="1.0" encoding="UTF-8"?>
<Relationships xmlns="http://schemas.openxmlformats.org/package/2006/relationships"><Relationship Id="rId1" Type="http://schemas.openxmlformats.org/officeDocument/2006/relationships/drawing" Target="../drawings/drawing11.xml"/>
</Relationships>
</file>

<file path=xl/worksheets/_rels/sheet14.xml.rels><?xml version="1.0" encoding="UTF-8"?>
<Relationships xmlns="http://schemas.openxmlformats.org/package/2006/relationships"><Relationship Id="rId1" Type="http://schemas.openxmlformats.org/officeDocument/2006/relationships/drawing" Target="../drawings/drawing12.xml"/>
</Relationships>
</file>

<file path=xl/worksheets/_rels/sheet15.xml.rels><?xml version="1.0" encoding="UTF-8"?>
<Relationships xmlns="http://schemas.openxmlformats.org/package/2006/relationships"><Relationship Id="rId1" Type="http://schemas.openxmlformats.org/officeDocument/2006/relationships/drawing" Target="../drawings/drawing13.xml"/>
</Relationships>
</file>

<file path=xl/worksheets/_rels/sheet16.xml.rels><?xml version="1.0" encoding="UTF-8"?>
<Relationships xmlns="http://schemas.openxmlformats.org/package/2006/relationships"><Relationship Id="rId1" Type="http://schemas.openxmlformats.org/officeDocument/2006/relationships/drawing" Target="../drawings/drawing14.xml"/>
</Relationships>
</file>

<file path=xl/worksheets/_rels/sheet17.xml.rels><?xml version="1.0" encoding="UTF-8"?>
<Relationships xmlns="http://schemas.openxmlformats.org/package/2006/relationships"><Relationship Id="rId1" Type="http://schemas.openxmlformats.org/officeDocument/2006/relationships/drawing" Target="../drawings/drawing15.xml"/>
</Relationships>
</file>

<file path=xl/worksheets/_rels/sheet18.xml.rels><?xml version="1.0" encoding="UTF-8"?>
<Relationships xmlns="http://schemas.openxmlformats.org/package/2006/relationships"><Relationship Id="rId1" Type="http://schemas.openxmlformats.org/officeDocument/2006/relationships/drawing" Target="../drawings/drawing1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true"/>
  </sheetPr>
  <dimension ref="B1:G26"/>
  <sheetViews>
    <sheetView showFormulas="false" showGridLines="false" showRowColHeaders="true" showZeros="true" rightToLeft="true" tabSelected="tru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30"/>
    <col collapsed="false" customWidth="true" hidden="false" outlineLevel="0" max="4" min="4" style="0" width="62"/>
    <col collapsed="false" customWidth="true" hidden="false" outlineLevel="0" max="5" min="5" style="0" width="3"/>
    <col collapsed="false" customWidth="true" hidden="false" outlineLevel="0" max="7" min="6" style="0" width="22"/>
  </cols>
  <sheetData>
    <row r="1" customFormat="false" ht="37.5" hidden="false" customHeight="true" outlineLevel="0" collapsed="false">
      <c r="B1" s="1" t="s">
        <v>0</v>
      </c>
      <c r="C1" s="1"/>
      <c r="D1" s="1"/>
      <c r="E1" s="1"/>
      <c r="F1" s="1"/>
      <c r="G1" s="1"/>
    </row>
    <row r="2" customFormat="false" ht="19.5" hidden="false" customHeight="true" outlineLevel="0" collapsed="false">
      <c r="B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C2" s="2"/>
      <c r="D2" s="2"/>
      <c r="E2" s="2"/>
      <c r="F2" s="2"/>
      <c r="G2" s="2"/>
    </row>
    <row r="3" customFormat="false" ht="30" hidden="false" customHeight="true" outlineLevel="0" collapsed="false">
      <c r="B3" s="3" t="s">
        <v>1</v>
      </c>
      <c r="C3" s="3"/>
      <c r="D3" s="3"/>
      <c r="E3" s="3"/>
      <c r="F3" s="3"/>
      <c r="G3" s="3"/>
    </row>
    <row r="4" customFormat="false" ht="7.5" hidden="false" customHeight="true" outlineLevel="0" collapsed="false"/>
    <row r="5" customFormat="false" ht="21.75" hidden="false" customHeight="true" outlineLevel="0" collapsed="false">
      <c r="B5" s="4" t="s">
        <v>2</v>
      </c>
      <c r="C5" s="4"/>
      <c r="D5" s="4"/>
      <c r="F5" s="5" t="s">
        <v>3</v>
      </c>
      <c r="G5" s="5"/>
    </row>
    <row r="6" customFormat="false" ht="24" hidden="false" customHeight="true" outlineLevel="0" collapsed="false">
      <c r="B6" s="6" t="s">
        <v>4</v>
      </c>
      <c r="C6" s="6" t="s">
        <v>5</v>
      </c>
      <c r="D6" s="6" t="s">
        <v>6</v>
      </c>
      <c r="F6" s="7" t="s">
        <v>7</v>
      </c>
      <c r="G6" s="7" t="s">
        <v>8</v>
      </c>
    </row>
    <row r="7" customFormat="false" ht="30" hidden="false" customHeight="true" outlineLevel="0" collapsed="false">
      <c r="B7" s="8" t="s">
        <v>9</v>
      </c>
      <c r="C7" s="9" t="s">
        <v>10</v>
      </c>
      <c r="D7" s="10" t="s">
        <v>11</v>
      </c>
      <c r="F7" s="11" t="s">
        <v>12</v>
      </c>
      <c r="G7" s="11" t="s">
        <v>13</v>
      </c>
    </row>
    <row r="8" customFormat="false" ht="30" hidden="false" customHeight="true" outlineLevel="0" collapsed="false">
      <c r="B8" s="8" t="s">
        <v>14</v>
      </c>
      <c r="C8" s="9" t="s">
        <v>15</v>
      </c>
      <c r="D8" s="10" t="s">
        <v>16</v>
      </c>
      <c r="F8" s="7" t="s">
        <v>17</v>
      </c>
      <c r="G8" s="7" t="s">
        <v>18</v>
      </c>
    </row>
    <row r="9" customFormat="false" ht="30" hidden="false" customHeight="true" outlineLevel="0" collapsed="false">
      <c r="B9" s="8" t="s">
        <v>19</v>
      </c>
      <c r="C9" s="9" t="s">
        <v>20</v>
      </c>
      <c r="D9" s="10" t="s">
        <v>21</v>
      </c>
      <c r="F9" s="11" t="s">
        <v>22</v>
      </c>
      <c r="G9" s="11" t="s">
        <v>23</v>
      </c>
    </row>
    <row r="10" customFormat="false" ht="30" hidden="false" customHeight="true" outlineLevel="0" collapsed="false">
      <c r="B10" s="8" t="s">
        <v>24</v>
      </c>
      <c r="C10" s="9" t="s">
        <v>7</v>
      </c>
      <c r="D10" s="10" t="s">
        <v>25</v>
      </c>
      <c r="F10" s="7" t="s">
        <v>26</v>
      </c>
      <c r="G10" s="7" t="s">
        <v>27</v>
      </c>
    </row>
    <row r="11" customFormat="false" ht="30" hidden="false" customHeight="true" outlineLevel="0" collapsed="false">
      <c r="B11" s="8" t="s">
        <v>28</v>
      </c>
      <c r="C11" s="9" t="s">
        <v>29</v>
      </c>
      <c r="D11" s="10" t="s">
        <v>30</v>
      </c>
      <c r="F11" s="11" t="s">
        <v>31</v>
      </c>
      <c r="G11" s="11" t="s">
        <v>32</v>
      </c>
    </row>
    <row r="12" customFormat="false" ht="30" hidden="false" customHeight="true" outlineLevel="0" collapsed="false">
      <c r="B12" s="8" t="s">
        <v>33</v>
      </c>
      <c r="C12" s="9" t="s">
        <v>34</v>
      </c>
      <c r="D12" s="10" t="s">
        <v>35</v>
      </c>
    </row>
    <row r="13" customFormat="false" ht="30" hidden="false" customHeight="true" outlineLevel="0" collapsed="false">
      <c r="B13" s="8" t="s">
        <v>36</v>
      </c>
      <c r="C13" s="9" t="s">
        <v>37</v>
      </c>
      <c r="D13" s="10" t="s">
        <v>38</v>
      </c>
      <c r="F13" s="12" t="s">
        <v>39</v>
      </c>
      <c r="G13" s="12" t="s">
        <v>40</v>
      </c>
    </row>
    <row r="14" customFormat="false" ht="30" hidden="false" customHeight="true" outlineLevel="0" collapsed="false">
      <c r="B14" s="8" t="s">
        <v>41</v>
      </c>
      <c r="C14" s="9" t="s">
        <v>42</v>
      </c>
      <c r="D14" s="10" t="s">
        <v>43</v>
      </c>
      <c r="F14" s="12" t="s">
        <v>44</v>
      </c>
      <c r="G14" s="12" t="s">
        <v>45</v>
      </c>
    </row>
    <row r="16" customFormat="false" ht="21.75" hidden="false" customHeight="true" outlineLevel="0" collapsed="false">
      <c r="B16" s="4" t="s">
        <v>46</v>
      </c>
      <c r="C16" s="4"/>
      <c r="D16" s="4"/>
    </row>
    <row r="17" customFormat="false" ht="15" hidden="false" customHeight="false" outlineLevel="0" collapsed="false">
      <c r="C17" s="13" t="s">
        <v>47</v>
      </c>
      <c r="D17" s="14" t="s">
        <v>48</v>
      </c>
    </row>
    <row r="18" customFormat="false" ht="15" hidden="false" customHeight="false" outlineLevel="0" collapsed="false">
      <c r="C18" s="15" t="s">
        <v>49</v>
      </c>
      <c r="D18" s="14" t="s">
        <v>50</v>
      </c>
    </row>
    <row r="19" customFormat="false" ht="15" hidden="false" customHeight="false" outlineLevel="0" collapsed="false">
      <c r="C19" s="16" t="s">
        <v>51</v>
      </c>
      <c r="D19" s="14" t="s">
        <v>52</v>
      </c>
    </row>
    <row r="20" customFormat="false" ht="15" hidden="false" customHeight="false" outlineLevel="0" collapsed="false">
      <c r="C20" s="17" t="s">
        <v>53</v>
      </c>
      <c r="D20" s="14" t="s">
        <v>54</v>
      </c>
    </row>
    <row r="21" customFormat="false" ht="15" hidden="false" customHeight="false" outlineLevel="0" collapsed="false">
      <c r="C21" s="18" t="s">
        <v>55</v>
      </c>
      <c r="D21" s="14" t="s">
        <v>56</v>
      </c>
    </row>
    <row r="23" customFormat="false" ht="21.75" hidden="false" customHeight="true" outlineLevel="0" collapsed="false">
      <c r="B23" s="19" t="s">
        <v>57</v>
      </c>
      <c r="C23" s="19"/>
      <c r="D23" s="19"/>
      <c r="E23" s="19"/>
      <c r="F23" s="19"/>
      <c r="G23" s="19"/>
    </row>
    <row r="24" customFormat="false" ht="43.5" hidden="false" customHeight="true" outlineLevel="0" collapsed="false">
      <c r="B24" s="20" t="s">
        <v>58</v>
      </c>
      <c r="C24" s="20"/>
      <c r="D24" s="20"/>
      <c r="E24" s="20"/>
      <c r="F24" s="20"/>
      <c r="G24" s="20"/>
    </row>
    <row r="26" customFormat="false" ht="45.75" hidden="false" customHeight="true" outlineLevel="0" collapsed="false">
      <c r="B26" s="21" t="s">
        <v>59</v>
      </c>
      <c r="C26" s="21"/>
      <c r="D26" s="21"/>
      <c r="E26" s="21"/>
      <c r="F26" s="21"/>
      <c r="G26" s="21"/>
    </row>
  </sheetData>
  <mergeCells count="9">
    <mergeCell ref="B1:G1"/>
    <mergeCell ref="B2:G2"/>
    <mergeCell ref="B3:G3"/>
    <mergeCell ref="B5:D5"/>
    <mergeCell ref="F5:G5"/>
    <mergeCell ref="B16:D16"/>
    <mergeCell ref="B23:G23"/>
    <mergeCell ref="B24:G24"/>
    <mergeCell ref="B26:G26"/>
  </mergeCells>
  <hyperlinks>
    <hyperlink ref="F6" location="'مسير يناير'!A1" display="مسير يناير"/>
    <hyperlink ref="G6" location="'مسير يوليو'!A1" display="مسير يوليو"/>
    <hyperlink ref="C7" location="'الإعدادات'!A1" display="الإعدادات"/>
    <hyperlink ref="F7" location="'مسير فبراير'!A1" display="مسير فبراير"/>
    <hyperlink ref="G7" location="'مسير أغسطس'!A1" display="مسير أغسطس"/>
    <hyperlink ref="C8" location="'الموظفون'!A1" display="الموظفون"/>
    <hyperlink ref="F8" location="'مسير مارس'!A1" display="مسير مارس"/>
    <hyperlink ref="G8" location="'مسير سبتمبر'!A1" display="مسير سبتمبر"/>
    <hyperlink ref="C9" location="'الحركات الشهرية'!A1" display="الحركات الشهرية"/>
    <hyperlink ref="F9" location="'مسير أبريل'!A1" display="مسير أبريل"/>
    <hyperlink ref="G9" location="'مسير أكتوبر'!A1" display="مسير أكتوبر"/>
    <hyperlink ref="C10" location="'مسير يناير'!A1" display="مسير يناير"/>
    <hyperlink ref="F10" location="'مسير مايو'!A1" display="مسير مايو"/>
    <hyperlink ref="G10" location="'مسير نوفمبر'!A1" display="مسير نوفمبر"/>
    <hyperlink ref="C11" location="'مخصص نهاية الخدمة'!A1" display="مخصص نهاية الخدمة"/>
    <hyperlink ref="F11" location="'مسير يونيو'!A1" display="مسير يونيو"/>
    <hyperlink ref="G11" location="'مسير ديسمبر'!A1" display="مسير ديسمبر"/>
    <hyperlink ref="C12" location="'قيود الرواتب'!A1" display="قيود الرواتب"/>
    <hyperlink ref="C13" location="'قسيمة الراتب'!A1" display="قسيمة الراتب"/>
    <hyperlink ref="F13" location="'الملخص الشهري'!A1" display="📅 الملخص الشهري"/>
    <hyperlink ref="G13" location="'ملخص الموظفين السنوي'!A1" display="📑 ملخص الموظفين"/>
    <hyperlink ref="C14" location="'لوحة التحكم'!A1" display="لوحة التحكم"/>
    <hyperlink ref="F14" location="'مخصص الإجازات'!A1" display="🌴 مخصص الإجازات"/>
    <hyperlink ref="G14" location="'مخصص التذاكر'!A1" display="✈ مخصص التذاكر"/>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35B1"/>
    <pageSetUpPr fitToPage="true"/>
  </sheetPr>
  <dimension ref="B1:N71"/>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14" min="2" style="0" width="12.5"/>
  </cols>
  <sheetData>
    <row r="1" customFormat="false" ht="37.5" hidden="false" customHeight="true" outlineLevel="0" collapsed="false">
      <c r="B1" s="1" t="s">
        <v>60</v>
      </c>
      <c r="C1" s="1"/>
      <c r="D1" s="1"/>
      <c r="E1" s="1"/>
      <c r="F1" s="1"/>
      <c r="G1" s="1"/>
      <c r="H1" s="1"/>
      <c r="I1" s="1"/>
      <c r="J1" s="1"/>
      <c r="K1" s="1"/>
      <c r="L1" s="1"/>
      <c r="M1" s="1"/>
      <c r="N1" s="1"/>
    </row>
    <row r="2" customFormat="false" ht="19.5" hidden="false" customHeight="true" outlineLevel="0" collapsed="false">
      <c r="B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C2" s="2"/>
      <c r="D2" s="2"/>
      <c r="E2" s="2"/>
      <c r="F2" s="2"/>
      <c r="G2" s="2"/>
      <c r="H2" s="2"/>
      <c r="I2" s="2"/>
      <c r="J2" s="2"/>
      <c r="K2" s="2"/>
      <c r="L2" s="2"/>
      <c r="M2" s="2"/>
      <c r="N2" s="2"/>
    </row>
    <row r="3" customFormat="false" ht="25.5" hidden="false" customHeight="true" outlineLevel="0" collapsed="false">
      <c r="B3" s="22" t="s">
        <v>61</v>
      </c>
      <c r="C3" s="23" t="s">
        <v>62</v>
      </c>
      <c r="D3" s="23" t="s">
        <v>63</v>
      </c>
      <c r="E3" s="23" t="s">
        <v>64</v>
      </c>
      <c r="F3" s="23" t="s">
        <v>39</v>
      </c>
      <c r="G3" s="23" t="s">
        <v>65</v>
      </c>
      <c r="H3" s="23" t="s">
        <v>66</v>
      </c>
      <c r="J3" s="24" t="s">
        <v>67</v>
      </c>
      <c r="K3" s="25" t="str">
        <f aca="false">INDEX(L_MONTH,cfg_VAL_M)&amp;" "&amp;cfg_FY</f>
        <v>سبتمبر 2026</v>
      </c>
      <c r="L3" s="25"/>
      <c r="M3" s="26" t="s">
        <v>68</v>
      </c>
      <c r="N3" s="26"/>
    </row>
    <row r="4" customFormat="false" ht="7.5" hidden="false" customHeight="true" outlineLevel="0" collapsed="false"/>
    <row r="5" customFormat="false" ht="21.75" hidden="false" customHeight="true" outlineLevel="0" collapsed="false">
      <c r="B5" s="4" t="s">
        <v>69</v>
      </c>
      <c r="C5" s="4"/>
      <c r="D5" s="4"/>
      <c r="E5" s="4"/>
      <c r="F5" s="4"/>
      <c r="G5" s="4"/>
      <c r="H5" s="4"/>
      <c r="I5" s="4"/>
      <c r="J5" s="4"/>
      <c r="K5" s="4"/>
      <c r="L5" s="4"/>
      <c r="M5" s="4"/>
      <c r="N5" s="4"/>
    </row>
    <row r="6" customFormat="false" ht="21.75" hidden="false" customHeight="true" outlineLevel="0" collapsed="false">
      <c r="B6" s="27" t="s">
        <v>70</v>
      </c>
      <c r="C6" s="27"/>
      <c r="D6" s="27"/>
      <c r="E6" s="28" t="s">
        <v>71</v>
      </c>
      <c r="F6" s="28"/>
      <c r="G6" s="28"/>
      <c r="H6" s="29" t="s">
        <v>72</v>
      </c>
      <c r="I6" s="29"/>
      <c r="J6" s="29"/>
      <c r="K6" s="30" t="s">
        <v>73</v>
      </c>
      <c r="L6" s="30"/>
      <c r="M6" s="30"/>
      <c r="N6" s="30"/>
    </row>
    <row r="7" customFormat="false" ht="31.5" hidden="false" customHeight="true" outlineLevel="0" collapsed="false">
      <c r="B7" s="31" t="n">
        <f aca="false">COUNTIF(الموظفون!$Z$6:$Z$105,"✔ على رأس العمل")</f>
        <v>11</v>
      </c>
      <c r="C7" s="31"/>
      <c r="D7" s="31"/>
      <c r="E7" s="32" t="n">
        <f aca="false">IFERROR(COUNTIFS(الموظفون!$Z$6:$Z$105,"✔ على رأس العمل",الموظفون!$E$6:$E$105,"سعودي")/B7,0)</f>
        <v>0.636363636363636</v>
      </c>
      <c r="F7" s="32"/>
      <c r="G7" s="32"/>
      <c r="H7" s="33" t="n">
        <f aca="false">IFERROR(AVERAGEIF(الموظفون!$Z$6:$Z$105,"✔ على رأس العمل",الموظفون!$N$6:$N$105),0)</f>
        <v>17688.6363636364</v>
      </c>
      <c r="I7" s="33"/>
      <c r="J7" s="33"/>
      <c r="K7" s="34" t="n">
        <f aca="false">SUMIF(الموظفون!$Z$6:$Z$105,"✔ على رأس العمل",الموظفون!$N$6:$N$105)</f>
        <v>194575</v>
      </c>
      <c r="L7" s="34"/>
      <c r="M7" s="34"/>
      <c r="N7" s="34"/>
    </row>
    <row r="9" customFormat="false" ht="21.75" hidden="false" customHeight="true" outlineLevel="0" collapsed="false">
      <c r="B9" s="19" t="str">
        <f aca="false">"💵 الرواتب من بداية السنة حتى "&amp;INDEX(L_MONTH,cfg_VAL_M)</f>
        <v>💵 الرواتب من بداية السنة حتى سبتمبر</v>
      </c>
      <c r="C9" s="19"/>
      <c r="D9" s="19"/>
      <c r="E9" s="19"/>
      <c r="F9" s="19"/>
      <c r="G9" s="19"/>
      <c r="H9" s="19"/>
      <c r="I9" s="19"/>
      <c r="J9" s="19"/>
      <c r="K9" s="19"/>
      <c r="L9" s="19"/>
      <c r="M9" s="19"/>
      <c r="N9" s="19"/>
    </row>
    <row r="10" customFormat="false" ht="21.75" hidden="false" customHeight="true" outlineLevel="0" collapsed="false">
      <c r="B10" s="29" t="s">
        <v>74</v>
      </c>
      <c r="C10" s="29"/>
      <c r="D10" s="29"/>
      <c r="E10" s="28" t="s">
        <v>75</v>
      </c>
      <c r="F10" s="28"/>
      <c r="G10" s="28"/>
      <c r="H10" s="35" t="s">
        <v>76</v>
      </c>
      <c r="I10" s="35"/>
      <c r="J10" s="35"/>
      <c r="K10" s="36" t="s">
        <v>77</v>
      </c>
      <c r="L10" s="36"/>
      <c r="M10" s="36"/>
      <c r="N10" s="36"/>
    </row>
    <row r="11" customFormat="false" ht="31.5" hidden="false" customHeight="true" outlineLevel="0" collapsed="false">
      <c r="B11" s="33" t="n">
        <f aca="false">'الملخص الشهري'!I19</f>
        <v>1773190.59360731</v>
      </c>
      <c r="C11" s="33"/>
      <c r="D11" s="33"/>
      <c r="E11" s="37" t="n">
        <f aca="false">'الملخص الشهري'!L19</f>
        <v>1660310.28110731</v>
      </c>
      <c r="F11" s="37"/>
      <c r="G11" s="37"/>
      <c r="H11" s="38" t="n">
        <f aca="false">'الملخص الشهري'!J19+'الملخص الشهري'!M19</f>
        <v>245743.125</v>
      </c>
      <c r="I11" s="38"/>
      <c r="J11" s="38"/>
      <c r="K11" s="39" t="n">
        <f aca="false">'الملخص الشهري'!Q19</f>
        <v>2174335.02254566</v>
      </c>
      <c r="L11" s="39"/>
      <c r="M11" s="39"/>
      <c r="N11" s="39"/>
    </row>
    <row r="13" customFormat="false" ht="21.75" hidden="false" customHeight="true" outlineLevel="0" collapsed="false">
      <c r="B13" s="5" t="str">
        <f aca="false">"🏦 أرصدة المخصصات كما في "&amp;TEXT(cfg_VAL_DATE,"yyyy/mm/dd")</f>
        <v>🏦 أرصدة المخصصات كما في 2026/09/30</v>
      </c>
      <c r="C13" s="5"/>
      <c r="D13" s="5"/>
      <c r="E13" s="5"/>
      <c r="F13" s="5"/>
      <c r="G13" s="5"/>
      <c r="H13" s="5"/>
      <c r="I13" s="5"/>
      <c r="J13" s="5"/>
      <c r="K13" s="5"/>
      <c r="L13" s="5"/>
      <c r="M13" s="5"/>
      <c r="N13" s="5"/>
    </row>
    <row r="14" customFormat="false" ht="21.75" hidden="false" customHeight="true" outlineLevel="0" collapsed="false">
      <c r="B14" s="40" t="s">
        <v>29</v>
      </c>
      <c r="C14" s="40"/>
      <c r="D14" s="40"/>
      <c r="E14" s="28" t="s">
        <v>78</v>
      </c>
      <c r="F14" s="28"/>
      <c r="G14" s="28"/>
      <c r="H14" s="41" t="s">
        <v>79</v>
      </c>
      <c r="I14" s="41"/>
      <c r="J14" s="41"/>
      <c r="K14" s="27" t="s">
        <v>80</v>
      </c>
      <c r="L14" s="27"/>
      <c r="M14" s="27"/>
      <c r="N14" s="27"/>
    </row>
    <row r="15" customFormat="false" ht="31.5" hidden="false" customHeight="true" outlineLevel="0" collapsed="false">
      <c r="B15" s="42" t="n">
        <f aca="false">'مخصص نهاية الخدمة'!S106</f>
        <v>1161972.73972603</v>
      </c>
      <c r="C15" s="42"/>
      <c r="D15" s="42"/>
      <c r="E15" s="37" t="n">
        <f aca="false">'مخصص الإجازات'!P106</f>
        <v>152443.602739726</v>
      </c>
      <c r="F15" s="37"/>
      <c r="G15" s="37"/>
      <c r="H15" s="43" t="n">
        <f aca="false">'مخصص التذاكر'!N106</f>
        <v>7324.1095890411</v>
      </c>
      <c r="I15" s="43"/>
      <c r="J15" s="43"/>
      <c r="K15" s="44" t="n">
        <f aca="false">B15+E15+H15</f>
        <v>1321740.45205479</v>
      </c>
      <c r="L15" s="44"/>
      <c r="M15" s="44"/>
      <c r="N15" s="44"/>
    </row>
    <row r="17" customFormat="false" ht="21.75" hidden="false" customHeight="true" outlineLevel="0" collapsed="false">
      <c r="B17" s="45" t="s">
        <v>81</v>
      </c>
      <c r="C17" s="45"/>
      <c r="D17" s="45"/>
      <c r="E17" s="45"/>
      <c r="F17" s="45"/>
      <c r="G17" s="45"/>
      <c r="I17" s="46" t="s">
        <v>82</v>
      </c>
      <c r="J17" s="46"/>
      <c r="K17" s="46"/>
      <c r="L17" s="46"/>
      <c r="M17" s="46"/>
      <c r="N17" s="46"/>
    </row>
    <row r="18" customFormat="false" ht="21.75" hidden="false" customHeight="true" outlineLevel="0" collapsed="false">
      <c r="B18" s="14" t="s">
        <v>83</v>
      </c>
      <c r="C18" s="14"/>
      <c r="D18" s="14"/>
      <c r="E18" s="14"/>
      <c r="F18" s="47" t="n">
        <f aca="false">COUNTIFS(الموظفون!$I$6:$I$105,"&lt;="&amp;(cfg_VAL_DATE+60),الموظفون!$Z$6:$Z$105,"✔ على رأس العمل")</f>
        <v>2</v>
      </c>
      <c r="G18" s="48" t="str">
        <f aca="false">IF(F18=0,"✔","⚠")</f>
        <v>⚠</v>
      </c>
      <c r="I18" s="49" t="s">
        <v>84</v>
      </c>
      <c r="J18" s="49" t="s">
        <v>85</v>
      </c>
      <c r="K18" s="49" t="s">
        <v>86</v>
      </c>
      <c r="L18" s="49" t="s">
        <v>87</v>
      </c>
      <c r="M18" s="49"/>
      <c r="N18" s="49"/>
    </row>
    <row r="19" customFormat="false" ht="15" hidden="false" customHeight="false" outlineLevel="0" collapsed="false">
      <c r="B19" s="14" t="s">
        <v>88</v>
      </c>
      <c r="C19" s="14"/>
      <c r="D19" s="14"/>
      <c r="E19" s="14"/>
      <c r="F19" s="47" t="n">
        <f aca="false">COUNTIF('مخصص نهاية الخدمة'!$T$6:$T$105,"⚠*")</f>
        <v>0</v>
      </c>
      <c r="G19" s="48" t="str">
        <f aca="false">IF(F19=0,"✔","⚠")</f>
        <v>✔</v>
      </c>
      <c r="I19" s="50" t="s">
        <v>89</v>
      </c>
      <c r="J19" s="51" t="n">
        <f aca="false">COUNTIFS(الموظفون!$Z$6:$Z$105,"✔ على رأس العمل",الموظفون!$E$6:$E$105,I19)</f>
        <v>7</v>
      </c>
      <c r="K19" s="52" t="n">
        <f aca="false">IFERROR(J19/SUM($J$19:$J$20),0)</f>
        <v>0.636363636363636</v>
      </c>
      <c r="L19" s="53" t="n">
        <f aca="false">SUMIFS(الموظفون!$N$6:$N$105,الموظفون!$Z$6:$Z$105,"✔ على رأس العمل",الموظفون!$E$6:$E$105,I19)</f>
        <v>145025</v>
      </c>
      <c r="M19" s="53"/>
      <c r="N19" s="53"/>
    </row>
    <row r="20" customFormat="false" ht="15" hidden="false" customHeight="false" outlineLevel="0" collapsed="false">
      <c r="B20" s="14" t="s">
        <v>90</v>
      </c>
      <c r="C20" s="14"/>
      <c r="D20" s="14"/>
      <c r="E20" s="14"/>
      <c r="F20" s="47" t="n">
        <f aca="false">COUNTIF('مخصص الإجازات'!$S$6:$S$105,"✖*")+COUNTIF('مخصص الإجازات'!$S$6:$S$105,"⚠ رصيد مرتفع*")</f>
        <v>0</v>
      </c>
      <c r="G20" s="48" t="str">
        <f aca="false">IF(F20=0,"✔","⚠")</f>
        <v>✔</v>
      </c>
      <c r="I20" s="50" t="s">
        <v>91</v>
      </c>
      <c r="J20" s="51" t="n">
        <f aca="false">COUNTIFS(الموظفون!$Z$6:$Z$105,"✔ على رأس العمل",الموظفون!$E$6:$E$105,I20)</f>
        <v>4</v>
      </c>
      <c r="K20" s="52" t="n">
        <f aca="false">IFERROR(J20/SUM($J$19:$J$20),0)</f>
        <v>0.363636363636364</v>
      </c>
      <c r="L20" s="53" t="n">
        <f aca="false">SUMIFS(الموظفون!$N$6:$N$105,الموظفون!$Z$6:$Z$105,"✔ على رأس العمل",الموظفون!$E$6:$E$105,I20)</f>
        <v>49550</v>
      </c>
      <c r="M20" s="53"/>
      <c r="N20" s="53"/>
    </row>
    <row r="21" customFormat="false" ht="15" hidden="false" customHeight="false" outlineLevel="0" collapsed="false">
      <c r="B21" s="14" t="s">
        <v>92</v>
      </c>
      <c r="C21" s="14"/>
      <c r="D21" s="14"/>
      <c r="E21" s="14"/>
      <c r="F21" s="47" t="n">
        <f aca="false">COUNTIF('مخصص التذاكر'!$P$6:$P$105,"⚠ تذكرة*")</f>
        <v>0</v>
      </c>
      <c r="G21" s="48" t="str">
        <f aca="false">IF(F21=0,"✔","⚠")</f>
        <v>✔</v>
      </c>
    </row>
    <row r="22" customFormat="false" ht="15" hidden="false" customHeight="false" outlineLevel="0" collapsed="false">
      <c r="B22" s="14" t="s">
        <v>93</v>
      </c>
      <c r="C22" s="14"/>
      <c r="D22" s="14"/>
      <c r="E22" s="14"/>
      <c r="F22" s="47" t="n">
        <f aca="false">COUNTIF('الحركات الشهرية'!$C$6:$C$1005,"✖*")</f>
        <v>0</v>
      </c>
      <c r="G22" s="48" t="str">
        <f aca="false">IF(F22=0,"✔","⚠")</f>
        <v>✔</v>
      </c>
    </row>
    <row r="23" customFormat="false" ht="15" hidden="false" customHeight="false" outlineLevel="0" collapsed="false">
      <c r="B23" s="14" t="s">
        <v>94</v>
      </c>
      <c r="C23" s="14"/>
      <c r="D23" s="14"/>
      <c r="E23" s="14"/>
      <c r="F23" s="47" t="n">
        <f aca="false">COUNTIF('مسير يناير'!$W$6:$W$105,"&lt;0")+COUNTIF('مسير فبراير'!$W$6:$W$105,"&lt;0")+COUNTIF('مسير مارس'!$W$6:$W$105,"&lt;0")+COUNTIF('مسير أبريل'!$W$6:$W$105,"&lt;0")+COUNTIF('مسير مايو'!$W$6:$W$105,"&lt;0")+COUNTIF('مسير يونيو'!$W$6:$W$105,"&lt;0")+COUNTIF('مسير يوليو'!$W$6:$W$105,"&lt;0")+COUNTIF('مسير أغسطس'!$W$6:$W$105,"&lt;0")+COUNTIF('مسير سبتمبر'!$W$6:$W$105,"&lt;0")+COUNTIF('مسير أكتوبر'!$W$6:$W$105,"&lt;0")+COUNTIF('مسير نوفمبر'!$W$6:$W$105,"&lt;0")+COUNTIF('مسير ديسمبر'!$W$6:$W$105,"&lt;0")</f>
        <v>0</v>
      </c>
      <c r="G23" s="48" t="str">
        <f aca="false">IF(F23=0,"✔","⚠")</f>
        <v>✔</v>
      </c>
    </row>
    <row r="24" customFormat="false" ht="15" hidden="false" customHeight="false" outlineLevel="0" collapsed="false">
      <c r="B24" s="14" t="s">
        <v>95</v>
      </c>
      <c r="C24" s="14"/>
      <c r="D24" s="14"/>
      <c r="E24" s="14"/>
      <c r="F24" s="50" t="str">
        <f aca="false">'قيود الرواتب'!$R$31</f>
        <v>✔ متوازن</v>
      </c>
      <c r="G24" s="50"/>
    </row>
    <row r="34" customFormat="false" ht="21.75" hidden="false" customHeight="true" outlineLevel="0" collapsed="false">
      <c r="B34" s="54" t="str">
        <f aca="false">"🏢 تحليل التكلفة حسب القسم حتى "&amp;INDEX(L_MONTH,cfg_VAL_M)</f>
        <v>🏢 تحليل التكلفة حسب القسم حتى سبتمبر</v>
      </c>
      <c r="C34" s="54"/>
      <c r="D34" s="54"/>
      <c r="E34" s="54"/>
      <c r="F34" s="54"/>
      <c r="G34" s="54"/>
    </row>
    <row r="35" customFormat="false" ht="36" hidden="false" customHeight="true" outlineLevel="0" collapsed="false">
      <c r="B35" s="55" t="s">
        <v>96</v>
      </c>
      <c r="C35" s="55" t="s">
        <v>97</v>
      </c>
      <c r="D35" s="55" t="s">
        <v>87</v>
      </c>
      <c r="E35" s="55" t="s">
        <v>98</v>
      </c>
      <c r="F35" s="55" t="s">
        <v>99</v>
      </c>
      <c r="G35" s="55" t="s">
        <v>100</v>
      </c>
    </row>
    <row r="36" customFormat="false" ht="15" hidden="false" customHeight="false" outlineLevel="0" collapsed="false">
      <c r="B36" s="56" t="str">
        <f aca="false">IF(INDEX(L_DEPT,1)="","",INDEX(L_DEPT,1))</f>
        <v>الإدارة العليا</v>
      </c>
      <c r="C36" s="51" t="n">
        <f aca="false">IF(B36="","",COUNTIFS(الموظفون!$Z$6:$Z$105,"✔ على رأس العمل",الموظفون!$F$6:$F$105,B36))</f>
        <v>1</v>
      </c>
      <c r="D36" s="53" t="n">
        <f aca="false">IF(B36="","",SUMIFS(الموظفون!$N$6:$N$105,الموظفون!$Z$6:$Z$105,"✔ على رأس العمل",الموظفون!$F$6:$F$105,B36))</f>
        <v>40800</v>
      </c>
      <c r="E36" s="53" t="n">
        <f aca="false">IF(B36="","",SUMIF('ملخص الموظفين السنوي'!$D$6:$D$105,B36,'ملخص الموظفين السنوي'!$R$6:$R$105))</f>
        <v>367200</v>
      </c>
      <c r="F36" s="57" t="n">
        <f aca="false">IF(B36="","",SUMIF('ملخص الموظفين السنوي'!$D$6:$D$105,B36,'ملخص الموظفين السنوي'!$AF$6:$AF$105))</f>
        <v>460757.157534247</v>
      </c>
      <c r="G36" s="52" t="n">
        <f aca="false">IF(B36="","",IFERROR(F36/SUM($F$36:$F$50),0))</f>
        <v>0.211907159088484</v>
      </c>
    </row>
    <row r="37" customFormat="false" ht="15" hidden="false" customHeight="false" outlineLevel="0" collapsed="false">
      <c r="B37" s="56" t="str">
        <f aca="false">IF(INDEX(L_DEPT,2)="","",INDEX(L_DEPT,2))</f>
        <v>المالية</v>
      </c>
      <c r="C37" s="51" t="n">
        <f aca="false">IF(B37="","",COUNTIFS(الموظفون!$Z$6:$Z$105,"✔ على رأس العمل",الموظفون!$F$6:$F$105,B37))</f>
        <v>3</v>
      </c>
      <c r="D37" s="53" t="n">
        <f aca="false">IF(B37="","",SUMIFS(الموظفون!$N$6:$N$105,الموظفون!$Z$6:$Z$105,"✔ على رأس العمل",الموظفون!$F$6:$F$105,B37))</f>
        <v>47400</v>
      </c>
      <c r="E37" s="53" t="n">
        <f aca="false">IF(B37="","",SUMIF('ملخص الموظفين السنوي'!$D$6:$D$105,B37,'ملخص الموظفين السنوي'!$R$6:$R$105))</f>
        <v>426939.583333333</v>
      </c>
      <c r="F37" s="57" t="n">
        <f aca="false">IF(B37="","",SUMIF('ملخص الموظفين السنوي'!$D$6:$D$105,B37,'ملخص الموظفين السنوي'!$AF$6:$AF$105))</f>
        <v>526359.621860731</v>
      </c>
      <c r="G37" s="52" t="n">
        <f aca="false">IF(B37="","",IFERROR(F37/SUM($F$36:$F$50),0))</f>
        <v>0.242078436120888</v>
      </c>
    </row>
    <row r="38" customFormat="false" ht="15" hidden="false" customHeight="false" outlineLevel="0" collapsed="false">
      <c r="B38" s="56" t="str">
        <f aca="false">IF(INDEX(L_DEPT,3)="","",INDEX(L_DEPT,3))</f>
        <v>الموارد البشرية</v>
      </c>
      <c r="C38" s="51" t="n">
        <f aca="false">IF(B38="","",COUNTIFS(الموظفون!$Z$6:$Z$105,"✔ على رأس العمل",الموظفون!$F$6:$F$105,B38))</f>
        <v>1</v>
      </c>
      <c r="D38" s="53" t="n">
        <f aca="false">IF(B38="","",SUMIFS(الموظفون!$N$6:$N$105,الموظفون!$Z$6:$Z$105,"✔ على رأس العمل",الموظفون!$F$6:$F$105,B38))</f>
        <v>18900</v>
      </c>
      <c r="E38" s="53" t="n">
        <f aca="false">IF(B38="","",SUMIF('ملخص الموظفين السنوي'!$D$6:$D$105,B38,'ملخص الموظفين السنوي'!$R$6:$R$105))</f>
        <v>170100</v>
      </c>
      <c r="F38" s="57" t="n">
        <f aca="false">IF(B38="","",SUMIF('ملخص الموظفين السنوي'!$D$6:$D$105,B38,'ملخص الموظفين السنوي'!$AF$6:$AF$105))</f>
        <v>216878.578767123</v>
      </c>
      <c r="G38" s="52" t="n">
        <f aca="false">IF(B38="","",IFERROR(F38/SUM($F$36:$F$50),0))</f>
        <v>0.0997447847357059</v>
      </c>
    </row>
    <row r="39" customFormat="false" ht="15" hidden="false" customHeight="false" outlineLevel="0" collapsed="false">
      <c r="B39" s="56" t="str">
        <f aca="false">IF(INDEX(L_DEPT,4)="","",INDEX(L_DEPT,4))</f>
        <v>المبيعات</v>
      </c>
      <c r="C39" s="51" t="n">
        <f aca="false">IF(B39="","",COUNTIFS(الموظفون!$Z$6:$Z$105,"✔ على رأس العمل",الموظفون!$F$6:$F$105,B39))</f>
        <v>2</v>
      </c>
      <c r="D39" s="53" t="n">
        <f aca="false">IF(B39="","",SUMIFS(الموظفون!$N$6:$N$105,الموظفون!$Z$6:$Z$105,"✔ على رأس العمل",الموظفون!$F$6:$F$105,B39))</f>
        <v>32200</v>
      </c>
      <c r="E39" s="53" t="n">
        <f aca="false">IF(B39="","",SUMIF('ملخص الموظفين السنوي'!$D$6:$D$105,B39,'ملخص الموظفين السنوي'!$R$6:$R$105))</f>
        <v>261096.25</v>
      </c>
      <c r="F39" s="57" t="n">
        <f aca="false">IF(B39="","",SUMIF('ملخص الموظفين السنوي'!$D$6:$D$105,B39,'ملخص الموظفين السنوي'!$AF$6:$AF$105))</f>
        <v>318598.616438356</v>
      </c>
      <c r="G39" s="52" t="n">
        <f aca="false">IF(B39="","",IFERROR(F39/SUM($F$36:$F$50),0))</f>
        <v>0.146526921166614</v>
      </c>
    </row>
    <row r="40" customFormat="false" ht="15" hidden="false" customHeight="false" outlineLevel="0" collapsed="false">
      <c r="B40" s="56" t="str">
        <f aca="false">IF(INDEX(L_DEPT,5)="","",INDEX(L_DEPT,5))</f>
        <v>العمليات</v>
      </c>
      <c r="C40" s="51" t="n">
        <f aca="false">IF(B40="","",COUNTIFS(الموظفون!$Z$6:$Z$105,"✔ على رأس العمل",الموظفون!$F$6:$F$105,B40))</f>
        <v>1</v>
      </c>
      <c r="D40" s="53" t="n">
        <f aca="false">IF(B40="","",SUMIFS(الموظفون!$N$6:$N$105,الموظفون!$Z$6:$Z$105,"✔ على رأس العمل",الموظفون!$F$6:$F$105,B40))</f>
        <v>9075</v>
      </c>
      <c r="E40" s="53" t="n">
        <f aca="false">IF(B40="","",SUMIF('ملخص الموظفين السنوي'!$D$6:$D$105,B40,'ملخص الموظفين السنوي'!$R$6:$R$105))</f>
        <v>131196.843607306</v>
      </c>
      <c r="F40" s="57" t="n">
        <f aca="false">IF(B40="","",SUMIF('ملخص الموظفين السنوي'!$D$6:$D$105,B40,'ملخص الموظفين السنوي'!$AF$6:$AF$105))</f>
        <v>154697.699771689</v>
      </c>
      <c r="G40" s="52" t="n">
        <f aca="false">IF(B40="","",IFERROR(F40/SUM($F$36:$F$50),0))</f>
        <v>0.071147131498886</v>
      </c>
    </row>
    <row r="41" customFormat="false" ht="15" hidden="false" customHeight="false" outlineLevel="0" collapsed="false">
      <c r="B41" s="56" t="str">
        <f aca="false">IF(INDEX(L_DEPT,6)="","",INDEX(L_DEPT,6))</f>
        <v>تقنية المعلومات</v>
      </c>
      <c r="C41" s="51" t="n">
        <f aca="false">IF(B41="","",COUNTIFS(الموظفون!$Z$6:$Z$105,"✔ على رأس العمل",الموظفون!$F$6:$F$105,B41))</f>
        <v>2</v>
      </c>
      <c r="D41" s="53" t="n">
        <f aca="false">IF(B41="","",SUMIFS(الموظفون!$N$6:$N$105,الموظفون!$Z$6:$Z$105,"✔ على رأس العمل",الموظفون!$F$6:$F$105,B41))</f>
        <v>30550</v>
      </c>
      <c r="E41" s="53" t="n">
        <f aca="false">IF(B41="","",SUMIF('ملخص الموظفين السنوي'!$D$6:$D$105,B41,'ملخص الموظفين السنوي'!$R$6:$R$105))</f>
        <v>274926.666666667</v>
      </c>
      <c r="F41" s="57" t="n">
        <f aca="false">IF(B41="","",SUMIF('ملخص الموظفين السنوي'!$D$6:$D$105,B41,'ملخص الموظفين السنوي'!$AF$6:$AF$105))</f>
        <v>327623.53652968</v>
      </c>
      <c r="G41" s="52" t="n">
        <f aca="false">IF(B41="","",IFERROR(F41/SUM($F$36:$F$50),0))</f>
        <v>0.150677578722945</v>
      </c>
    </row>
    <row r="42" customFormat="false" ht="15" hidden="false" customHeight="false" outlineLevel="0" collapsed="false">
      <c r="B42" s="56" t="str">
        <f aca="false">IF(INDEX(L_DEPT,7)="","",INDEX(L_DEPT,7))</f>
        <v>المشاريع</v>
      </c>
      <c r="C42" s="51" t="n">
        <f aca="false">IF(B42="","",COUNTIFS(الموظفون!$Z$6:$Z$105,"✔ على رأس العمل",الموظفون!$F$6:$F$105,B42))</f>
        <v>1</v>
      </c>
      <c r="D42" s="53" t="n">
        <f aca="false">IF(B42="","",SUMIFS(الموظفون!$N$6:$N$105,الموظفون!$Z$6:$Z$105,"✔ على رأس العمل",الموظفون!$F$6:$F$105,B42))</f>
        <v>15650</v>
      </c>
      <c r="E42" s="53" t="n">
        <f aca="false">IF(B42="","",SUMIF('ملخص الموظفين السنوي'!$D$6:$D$105,B42,'ملخص الموظفين السنوي'!$R$6:$R$105))</f>
        <v>141731.25</v>
      </c>
      <c r="F42" s="57" t="n">
        <f aca="false">IF(B42="","",SUMIF('ملخص الموظفين السنوي'!$D$6:$D$105,B42,'ملخص الموظفين السنوي'!$AF$6:$AF$105))</f>
        <v>169419.811643836</v>
      </c>
      <c r="G42" s="52" t="n">
        <f aca="false">IF(B42="","",IFERROR(F42/SUM($F$36:$F$50),0))</f>
        <v>0.0779179886664764</v>
      </c>
    </row>
    <row r="43" customFormat="false" ht="15" hidden="false" customHeight="false" outlineLevel="0" collapsed="false">
      <c r="B43" s="56" t="str">
        <f aca="false">IF(INDEX(L_DEPT,8)="","",INDEX(L_DEPT,8))</f>
        <v/>
      </c>
      <c r="C43" s="51" t="str">
        <f aca="false">IF(B43="","",COUNTIFS(الموظفون!$Z$6:$Z$105,"✔ على رأس العمل",الموظفون!$F$6:$F$105,B43))</f>
        <v/>
      </c>
      <c r="D43" s="53" t="str">
        <f aca="false">IF(B43="","",SUMIFS(الموظفون!$N$6:$N$105,الموظفون!$Z$6:$Z$105,"✔ على رأس العمل",الموظفون!$F$6:$F$105,B43))</f>
        <v/>
      </c>
      <c r="E43" s="53" t="str">
        <f aca="false">IF(B43="","",SUMIF('ملخص الموظفين السنوي'!$D$6:$D$105,B43,'ملخص الموظفين السنوي'!$R$6:$R$105))</f>
        <v/>
      </c>
      <c r="F43" s="57" t="str">
        <f aca="false">IF(B43="","",SUMIF('ملخص الموظفين السنوي'!$D$6:$D$105,B43,'ملخص الموظفين السنوي'!$AF$6:$AF$105))</f>
        <v/>
      </c>
      <c r="G43" s="52" t="str">
        <f aca="false">IF(B43="","",IFERROR(F43/SUM($F$36:$F$50),0))</f>
        <v/>
      </c>
    </row>
    <row r="44" customFormat="false" ht="15" hidden="false" customHeight="false" outlineLevel="0" collapsed="false">
      <c r="B44" s="56" t="str">
        <f aca="false">IF(INDEX(L_DEPT,9)="","",INDEX(L_DEPT,9))</f>
        <v/>
      </c>
      <c r="C44" s="51" t="str">
        <f aca="false">IF(B44="","",COUNTIFS(الموظفون!$Z$6:$Z$105,"✔ على رأس العمل",الموظفون!$F$6:$F$105,B44))</f>
        <v/>
      </c>
      <c r="D44" s="53" t="str">
        <f aca="false">IF(B44="","",SUMIFS(الموظفون!$N$6:$N$105,الموظفون!$Z$6:$Z$105,"✔ على رأس العمل",الموظفون!$F$6:$F$105,B44))</f>
        <v/>
      </c>
      <c r="E44" s="53" t="str">
        <f aca="false">IF(B44="","",SUMIF('ملخص الموظفين السنوي'!$D$6:$D$105,B44,'ملخص الموظفين السنوي'!$R$6:$R$105))</f>
        <v/>
      </c>
      <c r="F44" s="57" t="str">
        <f aca="false">IF(B44="","",SUMIF('ملخص الموظفين السنوي'!$D$6:$D$105,B44,'ملخص الموظفين السنوي'!$AF$6:$AF$105))</f>
        <v/>
      </c>
      <c r="G44" s="52" t="str">
        <f aca="false">IF(B44="","",IFERROR(F44/SUM($F$36:$F$50),0))</f>
        <v/>
      </c>
    </row>
    <row r="45" customFormat="false" ht="15" hidden="false" customHeight="false" outlineLevel="0" collapsed="false">
      <c r="B45" s="56" t="str">
        <f aca="false">IF(INDEX(L_DEPT,10)="","",INDEX(L_DEPT,10))</f>
        <v/>
      </c>
      <c r="C45" s="51" t="str">
        <f aca="false">IF(B45="","",COUNTIFS(الموظفون!$Z$6:$Z$105,"✔ على رأس العمل",الموظفون!$F$6:$F$105,B45))</f>
        <v/>
      </c>
      <c r="D45" s="53" t="str">
        <f aca="false">IF(B45="","",SUMIFS(الموظفون!$N$6:$N$105,الموظفون!$Z$6:$Z$105,"✔ على رأس العمل",الموظفون!$F$6:$F$105,B45))</f>
        <v/>
      </c>
      <c r="E45" s="53" t="str">
        <f aca="false">IF(B45="","",SUMIF('ملخص الموظفين السنوي'!$D$6:$D$105,B45,'ملخص الموظفين السنوي'!$R$6:$R$105))</f>
        <v/>
      </c>
      <c r="F45" s="57" t="str">
        <f aca="false">IF(B45="","",SUMIF('ملخص الموظفين السنوي'!$D$6:$D$105,B45,'ملخص الموظفين السنوي'!$AF$6:$AF$105))</f>
        <v/>
      </c>
      <c r="G45" s="52" t="str">
        <f aca="false">IF(B45="","",IFERROR(F45/SUM($F$36:$F$50),0))</f>
        <v/>
      </c>
    </row>
    <row r="46" customFormat="false" ht="15" hidden="false" customHeight="false" outlineLevel="0" collapsed="false">
      <c r="B46" s="56" t="str">
        <f aca="false">IF(INDEX(L_DEPT,11)="","",INDEX(L_DEPT,11))</f>
        <v/>
      </c>
      <c r="C46" s="51" t="str">
        <f aca="false">IF(B46="","",COUNTIFS(الموظفون!$Z$6:$Z$105,"✔ على رأس العمل",الموظفون!$F$6:$F$105,B46))</f>
        <v/>
      </c>
      <c r="D46" s="53" t="str">
        <f aca="false">IF(B46="","",SUMIFS(الموظفون!$N$6:$N$105,الموظفون!$Z$6:$Z$105,"✔ على رأس العمل",الموظفون!$F$6:$F$105,B46))</f>
        <v/>
      </c>
      <c r="E46" s="53" t="str">
        <f aca="false">IF(B46="","",SUMIF('ملخص الموظفين السنوي'!$D$6:$D$105,B46,'ملخص الموظفين السنوي'!$R$6:$R$105))</f>
        <v/>
      </c>
      <c r="F46" s="57" t="str">
        <f aca="false">IF(B46="","",SUMIF('ملخص الموظفين السنوي'!$D$6:$D$105,B46,'ملخص الموظفين السنوي'!$AF$6:$AF$105))</f>
        <v/>
      </c>
      <c r="G46" s="52" t="str">
        <f aca="false">IF(B46="","",IFERROR(F46/SUM($F$36:$F$50),0))</f>
        <v/>
      </c>
    </row>
    <row r="47" customFormat="false" ht="15" hidden="false" customHeight="false" outlineLevel="0" collapsed="false">
      <c r="B47" s="56" t="str">
        <f aca="false">IF(INDEX(L_DEPT,12)="","",INDEX(L_DEPT,12))</f>
        <v/>
      </c>
      <c r="C47" s="51" t="str">
        <f aca="false">IF(B47="","",COUNTIFS(الموظفون!$Z$6:$Z$105,"✔ على رأس العمل",الموظفون!$F$6:$F$105,B47))</f>
        <v/>
      </c>
      <c r="D47" s="53" t="str">
        <f aca="false">IF(B47="","",SUMIFS(الموظفون!$N$6:$N$105,الموظفون!$Z$6:$Z$105,"✔ على رأس العمل",الموظفون!$F$6:$F$105,B47))</f>
        <v/>
      </c>
      <c r="E47" s="53" t="str">
        <f aca="false">IF(B47="","",SUMIF('ملخص الموظفين السنوي'!$D$6:$D$105,B47,'ملخص الموظفين السنوي'!$R$6:$R$105))</f>
        <v/>
      </c>
      <c r="F47" s="57" t="str">
        <f aca="false">IF(B47="","",SUMIF('ملخص الموظفين السنوي'!$D$6:$D$105,B47,'ملخص الموظفين السنوي'!$AF$6:$AF$105))</f>
        <v/>
      </c>
      <c r="G47" s="52" t="str">
        <f aca="false">IF(B47="","",IFERROR(F47/SUM($F$36:$F$50),0))</f>
        <v/>
      </c>
    </row>
    <row r="48" customFormat="false" ht="15" hidden="false" customHeight="false" outlineLevel="0" collapsed="false">
      <c r="B48" s="56" t="str">
        <f aca="false">IF(INDEX(L_DEPT,13)="","",INDEX(L_DEPT,13))</f>
        <v/>
      </c>
      <c r="C48" s="51" t="str">
        <f aca="false">IF(B48="","",COUNTIFS(الموظفون!$Z$6:$Z$105,"✔ على رأس العمل",الموظفون!$F$6:$F$105,B48))</f>
        <v/>
      </c>
      <c r="D48" s="53" t="str">
        <f aca="false">IF(B48="","",SUMIFS(الموظفون!$N$6:$N$105,الموظفون!$Z$6:$Z$105,"✔ على رأس العمل",الموظفون!$F$6:$F$105,B48))</f>
        <v/>
      </c>
      <c r="E48" s="53" t="str">
        <f aca="false">IF(B48="","",SUMIF('ملخص الموظفين السنوي'!$D$6:$D$105,B48,'ملخص الموظفين السنوي'!$R$6:$R$105))</f>
        <v/>
      </c>
      <c r="F48" s="57" t="str">
        <f aca="false">IF(B48="","",SUMIF('ملخص الموظفين السنوي'!$D$6:$D$105,B48,'ملخص الموظفين السنوي'!$AF$6:$AF$105))</f>
        <v/>
      </c>
      <c r="G48" s="52" t="str">
        <f aca="false">IF(B48="","",IFERROR(F48/SUM($F$36:$F$50),0))</f>
        <v/>
      </c>
    </row>
    <row r="49" customFormat="false" ht="15" hidden="false" customHeight="false" outlineLevel="0" collapsed="false">
      <c r="B49" s="56" t="str">
        <f aca="false">IF(INDEX(L_DEPT,14)="","",INDEX(L_DEPT,14))</f>
        <v/>
      </c>
      <c r="C49" s="51" t="str">
        <f aca="false">IF(B49="","",COUNTIFS(الموظفون!$Z$6:$Z$105,"✔ على رأس العمل",الموظفون!$F$6:$F$105,B49))</f>
        <v/>
      </c>
      <c r="D49" s="53" t="str">
        <f aca="false">IF(B49="","",SUMIFS(الموظفون!$N$6:$N$105,الموظفون!$Z$6:$Z$105,"✔ على رأس العمل",الموظفون!$F$6:$F$105,B49))</f>
        <v/>
      </c>
      <c r="E49" s="53" t="str">
        <f aca="false">IF(B49="","",SUMIF('ملخص الموظفين السنوي'!$D$6:$D$105,B49,'ملخص الموظفين السنوي'!$R$6:$R$105))</f>
        <v/>
      </c>
      <c r="F49" s="57" t="str">
        <f aca="false">IF(B49="","",SUMIF('ملخص الموظفين السنوي'!$D$6:$D$105,B49,'ملخص الموظفين السنوي'!$AF$6:$AF$105))</f>
        <v/>
      </c>
      <c r="G49" s="52" t="str">
        <f aca="false">IF(B49="","",IFERROR(F49/SUM($F$36:$F$50),0))</f>
        <v/>
      </c>
    </row>
    <row r="50" customFormat="false" ht="15" hidden="false" customHeight="false" outlineLevel="0" collapsed="false">
      <c r="B50" s="56" t="str">
        <f aca="false">IF(INDEX(L_DEPT,15)="","",INDEX(L_DEPT,15))</f>
        <v/>
      </c>
      <c r="C50" s="51" t="str">
        <f aca="false">IF(B50="","",COUNTIFS(الموظفون!$Z$6:$Z$105,"✔ على رأس العمل",الموظفون!$F$6:$F$105,B50))</f>
        <v/>
      </c>
      <c r="D50" s="53" t="str">
        <f aca="false">IF(B50="","",SUMIFS(الموظفون!$N$6:$N$105,الموظفون!$Z$6:$Z$105,"✔ على رأس العمل",الموظفون!$F$6:$F$105,B50))</f>
        <v/>
      </c>
      <c r="E50" s="53" t="str">
        <f aca="false">IF(B50="","",SUMIF('ملخص الموظفين السنوي'!$D$6:$D$105,B50,'ملخص الموظفين السنوي'!$R$6:$R$105))</f>
        <v/>
      </c>
      <c r="F50" s="57" t="str">
        <f aca="false">IF(B50="","",SUMIF('ملخص الموظفين السنوي'!$D$6:$D$105,B50,'ملخص الموظفين السنوي'!$AF$6:$AF$105))</f>
        <v/>
      </c>
      <c r="G50" s="52" t="str">
        <f aca="false">IF(B50="","",IFERROR(F50/SUM($F$36:$F$50),0))</f>
        <v/>
      </c>
    </row>
    <row r="51" customFormat="false" ht="15" hidden="false" customHeight="false" outlineLevel="0" collapsed="false">
      <c r="B51" s="58" t="s">
        <v>101</v>
      </c>
      <c r="C51" s="59" t="n">
        <f aca="false">SUM(C36:C50)</f>
        <v>11</v>
      </c>
      <c r="D51" s="60" t="n">
        <f aca="false">SUM(D36:D50)</f>
        <v>194575</v>
      </c>
      <c r="E51" s="60" t="n">
        <f aca="false">SUM(E36:E50)</f>
        <v>1773190.59360731</v>
      </c>
      <c r="F51" s="60" t="n">
        <f aca="false">SUM(F36:F50)</f>
        <v>2174335.02254566</v>
      </c>
      <c r="G51" s="61" t="n">
        <f aca="false">SUM(G36:G50)</f>
        <v>1</v>
      </c>
    </row>
    <row r="52" customFormat="false" ht="15" hidden="false" customHeight="false" outlineLevel="0" collapsed="false">
      <c r="B52" s="62" t="str">
        <f aca="false">IF(ROUND(F51-'الملخص الشهري'!Q19,0)=0,"✔ مطابق للملخص الشهري","⚠ يوجد موظفون بدون قسم أو قسم غير مدرج")</f>
        <v>✔ مطابق للملخص الشهري</v>
      </c>
      <c r="C52" s="62"/>
      <c r="D52" s="62"/>
      <c r="E52" s="62"/>
      <c r="F52" s="62"/>
      <c r="G52" s="62"/>
    </row>
    <row r="54" customFormat="false" ht="21.75" hidden="false" customHeight="true" outlineLevel="0" collapsed="false">
      <c r="B54" s="63" t="s">
        <v>102</v>
      </c>
      <c r="C54" s="63"/>
      <c r="D54" s="63"/>
      <c r="E54" s="63"/>
      <c r="F54" s="63"/>
      <c r="G54" s="63"/>
      <c r="H54" s="63"/>
      <c r="I54" s="63"/>
      <c r="J54" s="63"/>
      <c r="K54" s="63"/>
      <c r="L54" s="63"/>
      <c r="M54" s="63"/>
      <c r="N54" s="63"/>
    </row>
    <row r="55" customFormat="false" ht="43.5" hidden="false" customHeight="true" outlineLevel="0" collapsed="false">
      <c r="B55" s="64" t="s">
        <v>103</v>
      </c>
      <c r="C55" s="64" t="s">
        <v>104</v>
      </c>
      <c r="D55" s="64" t="s">
        <v>76</v>
      </c>
      <c r="E55" s="64" t="s">
        <v>105</v>
      </c>
      <c r="F55" s="64" t="s">
        <v>106</v>
      </c>
      <c r="G55" s="64" t="s">
        <v>107</v>
      </c>
    </row>
    <row r="56" customFormat="false" ht="15" hidden="false" customHeight="false" outlineLevel="0" collapsed="false">
      <c r="B56" s="50" t="str">
        <f aca="false">'الملخص الشهري'!B6</f>
        <v>يناير</v>
      </c>
      <c r="C56" s="53" t="n">
        <f aca="false">'الملخص الشهري'!L6</f>
        <v>178337.395833333</v>
      </c>
      <c r="D56" s="53" t="n">
        <f aca="false">'الملخص الشهري'!J6+'الملخص الشهري'!M6</f>
        <v>25859.375</v>
      </c>
      <c r="E56" s="53" t="n">
        <f aca="false">'الملخص الشهري'!K6</f>
        <v>1100</v>
      </c>
      <c r="F56" s="53" t="n">
        <f aca="false">'الملخص الشهري'!N6+'الملخص الشهري'!O6+'الملخص الشهري'!P6</f>
        <v>29189.1506849315</v>
      </c>
      <c r="G56" s="57" t="n">
        <f aca="false">SUM(C56:F56)</f>
        <v>234485.921518265</v>
      </c>
    </row>
    <row r="57" customFormat="false" ht="15" hidden="false" customHeight="false" outlineLevel="0" collapsed="false">
      <c r="B57" s="65" t="str">
        <f aca="false">'الملخص الشهري'!B7</f>
        <v>فبراير</v>
      </c>
      <c r="C57" s="66" t="n">
        <f aca="false">'الملخص الشهري'!L7</f>
        <v>182442.395833333</v>
      </c>
      <c r="D57" s="66" t="n">
        <f aca="false">'الملخص الشهري'!J7+'الملخص الشهري'!M7</f>
        <v>25859.375</v>
      </c>
      <c r="E57" s="66" t="n">
        <f aca="false">'الملخص الشهري'!K7</f>
        <v>1000</v>
      </c>
      <c r="F57" s="66" t="n">
        <f aca="false">'الملخص الشهري'!N7+'الملخص الشهري'!O7+'الملخص الشهري'!P7</f>
        <v>26695.1232876712</v>
      </c>
      <c r="G57" s="67" t="n">
        <f aca="false">SUM(C57:F57)</f>
        <v>235996.894121005</v>
      </c>
    </row>
    <row r="58" customFormat="false" ht="15" hidden="false" customHeight="false" outlineLevel="0" collapsed="false">
      <c r="B58" s="50" t="str">
        <f aca="false">'الملخص الشهري'!B8</f>
        <v>مارس</v>
      </c>
      <c r="C58" s="53" t="n">
        <f aca="false">'الملخص الشهري'!L8</f>
        <v>177782.8125</v>
      </c>
      <c r="D58" s="53" t="n">
        <f aca="false">'الملخص الشهري'!J8+'الملخص الشهري'!M8</f>
        <v>25859.375</v>
      </c>
      <c r="E58" s="53" t="n">
        <f aca="false">'الملخص الشهري'!K8</f>
        <v>1000</v>
      </c>
      <c r="F58" s="53" t="n">
        <f aca="false">'الملخص الشهري'!N8+'الملخص الشهري'!O8+'الملخص الشهري'!P8</f>
        <v>29555.3150684932</v>
      </c>
      <c r="G58" s="57" t="n">
        <f aca="false">SUM(C58:F58)</f>
        <v>234197.502568493</v>
      </c>
    </row>
    <row r="59" customFormat="false" ht="15" hidden="false" customHeight="false" outlineLevel="0" collapsed="false">
      <c r="B59" s="65" t="str">
        <f aca="false">'الملخص الشهري'!B9</f>
        <v>أبريل</v>
      </c>
      <c r="C59" s="66" t="n">
        <f aca="false">'الملخص الشهري'!L9</f>
        <v>181616.5625</v>
      </c>
      <c r="D59" s="66" t="n">
        <f aca="false">'الملخص الشهري'!J9+'الملخص الشهري'!M9</f>
        <v>27149.375</v>
      </c>
      <c r="E59" s="66" t="n">
        <f aca="false">'الملخص الشهري'!K9</f>
        <v>1000</v>
      </c>
      <c r="F59" s="66" t="n">
        <f aca="false">'الملخص الشهري'!N9+'الملخص الشهري'!O9+'الملخص الشهري'!P9</f>
        <v>29241.0410958904</v>
      </c>
      <c r="G59" s="67" t="n">
        <f aca="false">SUM(C59:F59)</f>
        <v>239006.97859589</v>
      </c>
    </row>
    <row r="60" customFormat="false" ht="15" hidden="false" customHeight="false" outlineLevel="0" collapsed="false">
      <c r="B60" s="50" t="str">
        <f aca="false">'الملخص الشهري'!B10</f>
        <v>مايو</v>
      </c>
      <c r="C60" s="53" t="n">
        <f aca="false">'الملخص الشهري'!L10</f>
        <v>189111.354166667</v>
      </c>
      <c r="D60" s="53" t="n">
        <f aca="false">'الملخص الشهري'!J10+'الملخص الشهري'!M10</f>
        <v>28278.125</v>
      </c>
      <c r="E60" s="53" t="n">
        <f aca="false">'الملخص الشهري'!K10</f>
        <v>1000</v>
      </c>
      <c r="F60" s="53" t="n">
        <f aca="false">'الملخص الشهري'!N10+'الملخص الشهري'!O10+'الملخص الشهري'!P10</f>
        <v>30793.6164383562</v>
      </c>
      <c r="G60" s="57" t="n">
        <f aca="false">SUM(C60:F60)</f>
        <v>249183.095605023</v>
      </c>
    </row>
    <row r="61" customFormat="false" ht="15" hidden="false" customHeight="false" outlineLevel="0" collapsed="false">
      <c r="B61" s="65" t="str">
        <f aca="false">'الملخص الشهري'!B11</f>
        <v>يونيو</v>
      </c>
      <c r="C61" s="66" t="n">
        <f aca="false">'الملخص الشهري'!L11</f>
        <v>195454.6875</v>
      </c>
      <c r="D61" s="66" t="n">
        <f aca="false">'الملخص الشهري'!J11+'الملخص الشهري'!M11</f>
        <v>28278.125</v>
      </c>
      <c r="E61" s="66" t="n">
        <f aca="false">'الملخص الشهري'!K11</f>
        <v>0</v>
      </c>
      <c r="F61" s="66" t="n">
        <f aca="false">'الملخص الشهري'!N11+'الملخص الشهري'!O11+'الملخص الشهري'!P11</f>
        <v>29800.2739726027</v>
      </c>
      <c r="G61" s="67" t="n">
        <f aca="false">SUM(C61:F61)</f>
        <v>253533.086472603</v>
      </c>
    </row>
    <row r="62" customFormat="false" ht="15" hidden="false" customHeight="false" outlineLevel="0" collapsed="false">
      <c r="B62" s="50" t="str">
        <f aca="false">'الملخص الشهري'!B12</f>
        <v>يوليو</v>
      </c>
      <c r="C62" s="53" t="n">
        <f aca="false">'الملخص الشهري'!L12</f>
        <v>190501.947773973</v>
      </c>
      <c r="D62" s="53" t="n">
        <f aca="false">'الملخص الشهري'!J12+'الملخص الشهري'!M12</f>
        <v>28153.125</v>
      </c>
      <c r="E62" s="53" t="n">
        <f aca="false">'الملخص الشهري'!K12</f>
        <v>0</v>
      </c>
      <c r="F62" s="53" t="n">
        <f aca="false">'الملخص الشهري'!N12+'الملخص الشهري'!O12+'الملخص الشهري'!P12</f>
        <v>29536.6301369863</v>
      </c>
      <c r="G62" s="57" t="n">
        <f aca="false">SUM(C62:F62)</f>
        <v>248191.702910959</v>
      </c>
    </row>
    <row r="63" customFormat="false" ht="15" hidden="false" customHeight="false" outlineLevel="0" collapsed="false">
      <c r="B63" s="65" t="str">
        <f aca="false">'الملخص الشهري'!B13</f>
        <v>أغسطس</v>
      </c>
      <c r="C63" s="66" t="n">
        <f aca="false">'الملخص الشهري'!L13</f>
        <v>181192.1875</v>
      </c>
      <c r="D63" s="66" t="n">
        <f aca="false">'الملخص الشهري'!J13+'الملخص الشهري'!M13</f>
        <v>28153.125</v>
      </c>
      <c r="E63" s="66" t="n">
        <f aca="false">'الملخص الشهري'!K13</f>
        <v>0</v>
      </c>
      <c r="F63" s="66" t="n">
        <f aca="false">'الملخص الشهري'!N13+'الملخص الشهري'!O13+'الملخص الشهري'!P13</f>
        <v>29536.6301369863</v>
      </c>
      <c r="G63" s="67" t="n">
        <f aca="false">SUM(C63:F63)</f>
        <v>238881.942636986</v>
      </c>
    </row>
    <row r="64" customFormat="false" ht="15" hidden="false" customHeight="false" outlineLevel="0" collapsed="false">
      <c r="B64" s="50" t="str">
        <f aca="false">'الملخص الشهري'!B14</f>
        <v>سبتمبر</v>
      </c>
      <c r="C64" s="53" t="n">
        <f aca="false">'الملخص الشهري'!L14</f>
        <v>183870.9375</v>
      </c>
      <c r="D64" s="53" t="n">
        <f aca="false">'الملخص الشهري'!J14+'الملخص الشهري'!M14</f>
        <v>28153.125</v>
      </c>
      <c r="E64" s="53" t="n">
        <f aca="false">'الملخص الشهري'!K14</f>
        <v>250</v>
      </c>
      <c r="F64" s="53" t="n">
        <f aca="false">'الملخص الشهري'!N14+'الملخص الشهري'!O14+'الملخص الشهري'!P14</f>
        <v>28583.8356164384</v>
      </c>
      <c r="G64" s="57" t="n">
        <f aca="false">SUM(C64:F64)</f>
        <v>240857.898116438</v>
      </c>
    </row>
    <row r="65" customFormat="false" ht="15" hidden="false" customHeight="false" outlineLevel="0" collapsed="false">
      <c r="B65" s="65" t="str">
        <f aca="false">'الملخص الشهري'!B15</f>
        <v>أكتوبر</v>
      </c>
      <c r="C65" s="66" t="n">
        <f aca="false">'الملخص الشهري'!L15</f>
        <v>182204.6875</v>
      </c>
      <c r="D65" s="66" t="n">
        <f aca="false">'الملخص الشهري'!J15+'الملخص الشهري'!M15</f>
        <v>28153.125</v>
      </c>
      <c r="E65" s="66" t="n">
        <f aca="false">'الملخص الشهري'!K15</f>
        <v>0</v>
      </c>
      <c r="F65" s="66" t="n">
        <f aca="false">'الملخص الشهري'!N15+'الملخص الشهري'!O15+'الملخص الشهري'!P15</f>
        <v>29536.6301369863</v>
      </c>
      <c r="G65" s="67" t="n">
        <f aca="false">SUM(C65:F65)</f>
        <v>239894.442636986</v>
      </c>
    </row>
    <row r="66" customFormat="false" ht="15" hidden="false" customHeight="false" outlineLevel="0" collapsed="false">
      <c r="B66" s="50" t="str">
        <f aca="false">'الملخص الشهري'!B16</f>
        <v>نوفمبر</v>
      </c>
      <c r="C66" s="53" t="n">
        <f aca="false">'الملخص الشهري'!L16</f>
        <v>182204.6875</v>
      </c>
      <c r="D66" s="53" t="n">
        <f aca="false">'الملخص الشهري'!J16+'الملخص الشهري'!M16</f>
        <v>28153.125</v>
      </c>
      <c r="E66" s="53" t="n">
        <f aca="false">'الملخص الشهري'!K16</f>
        <v>0</v>
      </c>
      <c r="F66" s="53" t="n">
        <f aca="false">'الملخص الشهري'!N16+'الملخص الشهري'!O16+'الملخص الشهري'!P16</f>
        <v>28583.8356164384</v>
      </c>
      <c r="G66" s="57" t="n">
        <f aca="false">SUM(C66:F66)</f>
        <v>238941.648116438</v>
      </c>
    </row>
    <row r="67" customFormat="false" ht="15" hidden="false" customHeight="false" outlineLevel="0" collapsed="false">
      <c r="B67" s="65" t="str">
        <f aca="false">'الملخص الشهري'!B17</f>
        <v>ديسمبر</v>
      </c>
      <c r="C67" s="66" t="n">
        <f aca="false">'الملخص الشهري'!L17</f>
        <v>182204.6875</v>
      </c>
      <c r="D67" s="66" t="n">
        <f aca="false">'الملخص الشهري'!J17+'الملخص الشهري'!M17</f>
        <v>28153.125</v>
      </c>
      <c r="E67" s="66" t="n">
        <f aca="false">'الملخص الشهري'!K17</f>
        <v>0</v>
      </c>
      <c r="F67" s="66" t="n">
        <f aca="false">'الملخص الشهري'!N17+'الملخص الشهري'!O17+'الملخص الشهري'!P17</f>
        <v>29536.6301369863</v>
      </c>
      <c r="G67" s="67" t="n">
        <f aca="false">SUM(C67:F67)</f>
        <v>239894.442636986</v>
      </c>
    </row>
    <row r="68" customFormat="false" ht="15" hidden="false" customHeight="false" outlineLevel="0" collapsed="false">
      <c r="B68" s="68" t="s">
        <v>108</v>
      </c>
      <c r="C68" s="69" t="n">
        <f aca="false">SUM(C56:C67)</f>
        <v>2206924.34360731</v>
      </c>
      <c r="D68" s="69" t="n">
        <f aca="false">SUM(D56:D67)</f>
        <v>330202.5</v>
      </c>
      <c r="E68" s="69" t="n">
        <f aca="false">SUM(E56:E67)</f>
        <v>5350</v>
      </c>
      <c r="F68" s="69" t="n">
        <f aca="false">SUM(F56:F67)</f>
        <v>350588.712328767</v>
      </c>
      <c r="G68" s="69" t="n">
        <f aca="false">SUM(G56:G67)</f>
        <v>2893065.55593607</v>
      </c>
    </row>
    <row r="69" customFormat="false" ht="15" hidden="false" customHeight="false" outlineLevel="0" collapsed="false">
      <c r="B69" s="62" t="str">
        <f aca="false">IF(ROUND(G68-'الملخص الشهري'!Q18,0)=0,"✔ مطابق لإجمالي تكلفة العمالة في الملخص الشهري","✖ غير مطابق")</f>
        <v>✔ مطابق لإجمالي تكلفة العمالة في الملخص الشهري</v>
      </c>
      <c r="C69" s="62"/>
      <c r="D69" s="62"/>
      <c r="E69" s="62"/>
      <c r="F69" s="62"/>
      <c r="G69" s="62"/>
    </row>
    <row r="71" customFormat="false" ht="25.5" hidden="false" customHeight="true" outlineLevel="0" collapsed="false">
      <c r="B71" s="21" t="s">
        <v>109</v>
      </c>
      <c r="C71" s="21"/>
      <c r="D71" s="21"/>
      <c r="E71" s="21"/>
      <c r="F71" s="21"/>
      <c r="G71" s="21"/>
      <c r="H71" s="21"/>
      <c r="I71" s="21"/>
      <c r="J71" s="21"/>
      <c r="K71" s="21"/>
      <c r="L71" s="21"/>
      <c r="M71" s="21"/>
      <c r="N71" s="21"/>
    </row>
  </sheetData>
  <mergeCells count="49">
    <mergeCell ref="B1:N1"/>
    <mergeCell ref="B2:N2"/>
    <mergeCell ref="K3:L3"/>
    <mergeCell ref="M3:N3"/>
    <mergeCell ref="B5:N5"/>
    <mergeCell ref="B6:D6"/>
    <mergeCell ref="E6:G6"/>
    <mergeCell ref="H6:J6"/>
    <mergeCell ref="K6:N6"/>
    <mergeCell ref="B7:D7"/>
    <mergeCell ref="E7:G7"/>
    <mergeCell ref="H7:J7"/>
    <mergeCell ref="K7:N7"/>
    <mergeCell ref="B9:N9"/>
    <mergeCell ref="B10:D10"/>
    <mergeCell ref="E10:G10"/>
    <mergeCell ref="H10:J10"/>
    <mergeCell ref="K10:N10"/>
    <mergeCell ref="B11:D11"/>
    <mergeCell ref="E11:G11"/>
    <mergeCell ref="H11:J11"/>
    <mergeCell ref="K11:N11"/>
    <mergeCell ref="B13:N13"/>
    <mergeCell ref="B14:D14"/>
    <mergeCell ref="E14:G14"/>
    <mergeCell ref="H14:J14"/>
    <mergeCell ref="K14:N14"/>
    <mergeCell ref="B15:D15"/>
    <mergeCell ref="E15:G15"/>
    <mergeCell ref="H15:J15"/>
    <mergeCell ref="K15:N15"/>
    <mergeCell ref="B17:G17"/>
    <mergeCell ref="I17:N17"/>
    <mergeCell ref="B18:E18"/>
    <mergeCell ref="L18:N18"/>
    <mergeCell ref="B19:E19"/>
    <mergeCell ref="L19:N19"/>
    <mergeCell ref="B20:E20"/>
    <mergeCell ref="L20:N20"/>
    <mergeCell ref="B21:E21"/>
    <mergeCell ref="B22:E22"/>
    <mergeCell ref="B23:E23"/>
    <mergeCell ref="B24:E24"/>
    <mergeCell ref="F24:G24"/>
    <mergeCell ref="B34:G34"/>
    <mergeCell ref="B52:G52"/>
    <mergeCell ref="B54:N54"/>
    <mergeCell ref="B69:G69"/>
    <mergeCell ref="B71:N71"/>
  </mergeCells>
  <conditionalFormatting sqref="F18:G24">
    <cfRule type="expression" priority="2" aboveAverage="0" equalAverage="0" bottom="0" percent="0" rank="0" text="" dxfId="0">
      <formula>ISNUMBER(SEARCH("✔",G18))</formula>
    </cfRule>
    <cfRule type="expression" priority="3" aboveAverage="0" equalAverage="0" bottom="0" percent="0" rank="0" text="" dxfId="1">
      <formula>ISNUMBER(SEARCH("✖",G18))</formula>
    </cfRule>
    <cfRule type="expression" priority="4" aboveAverage="0" equalAverage="0" bottom="0" percent="0" rank="0" text="" dxfId="2">
      <formula>ISNUMBER(SEARCH("⚠",G18))</formula>
    </cfRule>
  </conditionalFormatting>
  <conditionalFormatting sqref="F24">
    <cfRule type="expression" priority="5" aboveAverage="0" equalAverage="0" bottom="0" percent="0" rank="0" text="" dxfId="0">
      <formula>ISNUMBER(SEARCH("✔",F24))</formula>
    </cfRule>
    <cfRule type="expression" priority="6" aboveAverage="0" equalAverage="0" bottom="0" percent="0" rank="0" text="" dxfId="1">
      <formula>ISNUMBER(SEARCH("✖",F24))</formula>
    </cfRule>
    <cfRule type="expression" priority="7" aboveAverage="0" equalAverage="0" bottom="0" percent="0" rank="0" text="" dxfId="2">
      <formula>ISNUMBER(SEARCH("⚠",F24))</formula>
    </cfRule>
  </conditionalFormatting>
  <conditionalFormatting sqref="G18:G23">
    <cfRule type="expression" priority="8" aboveAverage="0" equalAverage="0" bottom="0" percent="0" rank="0" text="" dxfId="0">
      <formula>G18="✔"</formula>
    </cfRule>
    <cfRule type="expression" priority="9" aboveAverage="0" equalAverage="0" bottom="0" percent="0" rank="0" text="" dxfId="2">
      <formula>G18="⚠"</formula>
    </cfRule>
  </conditionalFormatting>
  <conditionalFormatting sqref="B52">
    <cfRule type="expression" priority="10" aboveAverage="0" equalAverage="0" bottom="0" percent="0" rank="0" text="" dxfId="0">
      <formula>ISNUMBER(SEARCH("✔",B52))</formula>
    </cfRule>
    <cfRule type="expression" priority="11" aboveAverage="0" equalAverage="0" bottom="0" percent="0" rank="0" text="" dxfId="1">
      <formula>ISNUMBER(SEARCH("✖",B52))</formula>
    </cfRule>
    <cfRule type="expression" priority="12" aboveAverage="0" equalAverage="0" bottom="0" percent="0" rank="0" text="" dxfId="2">
      <formula>ISNUMBER(SEARCH("⚠",B52))</formula>
    </cfRule>
  </conditionalFormatting>
  <conditionalFormatting sqref="B56:G67">
    <cfRule type="expression" priority="13" aboveAverage="0" equalAverage="0" bottom="0" percent="0" rank="0" text="" dxfId="3">
      <formula>ROW()-55=cfg_VAL_M</formula>
    </cfRule>
  </conditionalFormatting>
  <conditionalFormatting sqref="B69">
    <cfRule type="expression" priority="14" aboveAverage="0" equalAverage="0" bottom="0" percent="0" rank="0" text="" dxfId="0">
      <formula>ISNUMBER(SEARCH("✔",B69))</formula>
    </cfRule>
    <cfRule type="expression" priority="15" aboveAverage="0" equalAverage="0" bottom="0" percent="0" rank="0" text="" dxfId="1">
      <formula>ISNUMBER(SEARCH("✖",B69))</formula>
    </cfRule>
    <cfRule type="expression" priority="16" aboveAverage="0" equalAverage="0" bottom="0" percent="0" rank="0" text="" dxfId="2">
      <formula>ISNUMBER(SEARCH("⚠",B69))</formula>
    </cfRule>
  </conditionalFormatting>
  <hyperlinks>
    <hyperlink ref="B3" location="'الرئيسية'!A1" display="🏠 الرئيسية"/>
    <hyperlink ref="C3" location="'الإعدادات'!A1" display="⚙ الإعدادات"/>
    <hyperlink ref="D3" location="'الموظفون'!A1" display="👥 الموظفون"/>
    <hyperlink ref="E3" location="'الحركات الشهرية'!A1" display="✍ الحركات"/>
    <hyperlink ref="F3" location="'الملخص الشهري'!A1" display="📅 الملخص الشهري"/>
    <hyperlink ref="G3" location="'قيود الرواتب'!A1" display="🧾 القيود"/>
    <hyperlink ref="H3" location="'قسيمة الراتب'!A1" display="💳 القسيمة"/>
    <hyperlink ref="M3" location="'الإعدادات'!A1" display="⚙ تغيير الشهر"/>
    <hyperlink ref="B14" location="'مخصص نهاية الخدمة'!A1" display="مخصص نهاية الخدمة"/>
    <hyperlink ref="E14" location="'مخصص الإجازات'!A1" display="مخصص الإجازات"/>
    <hyperlink ref="H14" location="'مخصص التذاكر'!A1" display="مخصص تذاكر السفر"/>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7A"/>
    <pageSetUpPr fitToPage="true"/>
  </sheetPr>
  <dimension ref="B1:K44"/>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18"/>
    <col collapsed="false" customWidth="true" hidden="false" outlineLevel="0" max="4" min="4" style="0" width="58"/>
    <col collapsed="false" customWidth="true" hidden="false" outlineLevel="0" max="5" min="5" style="0" width="3"/>
    <col collapsed="false" customWidth="true" hidden="false" outlineLevel="0" max="6" min="6" style="0" width="20"/>
    <col collapsed="false" customWidth="true" hidden="false" outlineLevel="0" max="7" min="7" style="0" width="22"/>
    <col collapsed="false" customWidth="true" hidden="false" outlineLevel="0" max="8" min="8" style="0" width="9"/>
    <col collapsed="false" customWidth="true" hidden="false" outlineLevel="0" max="9" min="9" style="0" width="14"/>
    <col collapsed="false" customWidth="true" hidden="false" outlineLevel="0" max="10" min="10" style="0" width="11"/>
    <col collapsed="false" customWidth="true" hidden="false" outlineLevel="0" max="11" min="11" style="0" width="16"/>
  </cols>
  <sheetData>
    <row r="1" customFormat="false" ht="37.5" hidden="false" customHeight="true" outlineLevel="0" collapsed="false">
      <c r="B1" s="1" t="s">
        <v>110</v>
      </c>
      <c r="C1" s="1"/>
      <c r="D1" s="1"/>
      <c r="E1" s="1"/>
      <c r="F1" s="1"/>
      <c r="G1" s="1"/>
      <c r="H1" s="1"/>
      <c r="I1" s="1"/>
      <c r="J1" s="1"/>
      <c r="K1" s="1"/>
    </row>
    <row r="2" customFormat="false" ht="19.5" hidden="false" customHeight="true" outlineLevel="0" collapsed="false">
      <c r="B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C2" s="2"/>
      <c r="D2" s="2"/>
      <c r="E2" s="2"/>
      <c r="F2" s="2"/>
      <c r="G2" s="2"/>
      <c r="H2" s="2"/>
      <c r="I2" s="2"/>
      <c r="J2" s="2"/>
      <c r="K2" s="2"/>
    </row>
    <row r="3" customFormat="false" ht="25.5" hidden="false" customHeight="true" outlineLevel="0" collapsed="false">
      <c r="B3" s="22" t="s">
        <v>61</v>
      </c>
      <c r="C3" s="12" t="s">
        <v>111</v>
      </c>
      <c r="D3" s="23" t="s">
        <v>63</v>
      </c>
      <c r="F3" s="23" t="s">
        <v>64</v>
      </c>
      <c r="G3" s="23" t="s">
        <v>39</v>
      </c>
      <c r="H3" s="23" t="s">
        <v>65</v>
      </c>
      <c r="I3" s="23" t="s">
        <v>66</v>
      </c>
    </row>
    <row r="4" customFormat="false" ht="7.5" hidden="false" customHeight="true" outlineLevel="0" collapsed="false"/>
    <row r="5" customFormat="false" ht="25.5" hidden="false" customHeight="true" outlineLevel="0" collapsed="false">
      <c r="B5" s="6" t="s">
        <v>112</v>
      </c>
      <c r="C5" s="6" t="s">
        <v>113</v>
      </c>
      <c r="D5" s="6" t="s">
        <v>114</v>
      </c>
      <c r="F5" s="70" t="s">
        <v>115</v>
      </c>
      <c r="G5" s="70" t="s">
        <v>116</v>
      </c>
      <c r="H5" s="70" t="s">
        <v>117</v>
      </c>
      <c r="I5" s="70" t="s">
        <v>118</v>
      </c>
      <c r="J5" s="70" t="s">
        <v>119</v>
      </c>
      <c r="K5" s="70" t="s">
        <v>120</v>
      </c>
    </row>
    <row r="6" customFormat="false" ht="21.75" hidden="false" customHeight="true" outlineLevel="0" collapsed="false">
      <c r="B6" s="56" t="s">
        <v>121</v>
      </c>
      <c r="C6" s="71" t="s">
        <v>122</v>
      </c>
      <c r="D6" s="72" t="s">
        <v>123</v>
      </c>
      <c r="F6" s="73" t="s">
        <v>124</v>
      </c>
      <c r="G6" s="74" t="s">
        <v>125</v>
      </c>
      <c r="H6" s="74" t="s">
        <v>126</v>
      </c>
      <c r="I6" s="74" t="s">
        <v>89</v>
      </c>
      <c r="J6" s="74" t="s">
        <v>127</v>
      </c>
      <c r="K6" s="74" t="s">
        <v>7</v>
      </c>
    </row>
    <row r="7" customFormat="false" ht="21.75" hidden="false" customHeight="true" outlineLevel="0" collapsed="false">
      <c r="B7" s="56" t="s">
        <v>128</v>
      </c>
      <c r="C7" s="75" t="n">
        <v>2026</v>
      </c>
      <c r="D7" s="72" t="s">
        <v>129</v>
      </c>
      <c r="F7" s="73" t="s">
        <v>130</v>
      </c>
      <c r="G7" s="74" t="s">
        <v>131</v>
      </c>
      <c r="H7" s="74" t="s">
        <v>132</v>
      </c>
      <c r="I7" s="74" t="s">
        <v>91</v>
      </c>
      <c r="J7" s="74" t="s">
        <v>133</v>
      </c>
      <c r="K7" s="74" t="s">
        <v>12</v>
      </c>
    </row>
    <row r="8" customFormat="false" ht="21.75" hidden="false" customHeight="true" outlineLevel="0" collapsed="false">
      <c r="B8" s="56" t="s">
        <v>134</v>
      </c>
      <c r="C8" s="71" t="s">
        <v>135</v>
      </c>
      <c r="D8" s="72"/>
      <c r="F8" s="73" t="s">
        <v>136</v>
      </c>
      <c r="G8" s="74" t="s">
        <v>137</v>
      </c>
      <c r="J8" s="74" t="s">
        <v>138</v>
      </c>
      <c r="K8" s="74" t="s">
        <v>17</v>
      </c>
    </row>
    <row r="9" customFormat="false" ht="30" hidden="false" customHeight="true" outlineLevel="0" collapsed="false">
      <c r="B9" s="56" t="s">
        <v>139</v>
      </c>
      <c r="C9" s="75" t="n">
        <v>9</v>
      </c>
      <c r="D9" s="72" t="s">
        <v>140</v>
      </c>
      <c r="F9" s="73" t="s">
        <v>141</v>
      </c>
      <c r="G9" s="74" t="s">
        <v>142</v>
      </c>
      <c r="J9" s="74" t="s">
        <v>143</v>
      </c>
      <c r="K9" s="74" t="s">
        <v>22</v>
      </c>
    </row>
    <row r="10" customFormat="false" ht="21.75" hidden="false" customHeight="true" outlineLevel="0" collapsed="false">
      <c r="B10" s="56" t="s">
        <v>144</v>
      </c>
      <c r="C10" s="76" t="n">
        <f aca="false">DATE(cfg_FY,1,1)</f>
        <v>46023</v>
      </c>
      <c r="D10" s="72" t="s">
        <v>145</v>
      </c>
      <c r="F10" s="73" t="s">
        <v>146</v>
      </c>
      <c r="G10" s="74" t="s">
        <v>147</v>
      </c>
      <c r="J10" s="74" t="s">
        <v>148</v>
      </c>
      <c r="K10" s="74" t="s">
        <v>26</v>
      </c>
    </row>
    <row r="11" customFormat="false" ht="21.75" hidden="false" customHeight="true" outlineLevel="0" collapsed="false">
      <c r="B11" s="56" t="s">
        <v>149</v>
      </c>
      <c r="C11" s="76" t="n">
        <f aca="false">EOMONTH(DATE(cfg_FY,cfg_VAL_M,1),0)</f>
        <v>46295</v>
      </c>
      <c r="D11" s="72" t="s">
        <v>145</v>
      </c>
      <c r="F11" s="73" t="s">
        <v>150</v>
      </c>
      <c r="J11" s="74" t="s">
        <v>151</v>
      </c>
      <c r="K11" s="74" t="s">
        <v>31</v>
      </c>
    </row>
    <row r="12" customFormat="false" ht="21.75" hidden="false" customHeight="true" outlineLevel="0" collapsed="false">
      <c r="B12" s="19" t="s">
        <v>152</v>
      </c>
      <c r="C12" s="19"/>
      <c r="D12" s="19"/>
      <c r="F12" s="73" t="s">
        <v>153</v>
      </c>
      <c r="J12" s="74" t="s">
        <v>154</v>
      </c>
      <c r="K12" s="74" t="s">
        <v>8</v>
      </c>
    </row>
    <row r="13" customFormat="false" ht="30" hidden="false" customHeight="true" outlineLevel="0" collapsed="false">
      <c r="B13" s="56" t="s">
        <v>155</v>
      </c>
      <c r="C13" s="75" t="n">
        <v>30</v>
      </c>
      <c r="D13" s="72" t="s">
        <v>156</v>
      </c>
      <c r="F13" s="73"/>
      <c r="J13" s="74" t="s">
        <v>157</v>
      </c>
      <c r="K13" s="74" t="s">
        <v>13</v>
      </c>
    </row>
    <row r="14" customFormat="false" ht="21.75" hidden="false" customHeight="true" outlineLevel="0" collapsed="false">
      <c r="B14" s="56" t="s">
        <v>158</v>
      </c>
      <c r="C14" s="75" t="n">
        <v>8</v>
      </c>
      <c r="D14" s="72" t="s">
        <v>159</v>
      </c>
      <c r="F14" s="73"/>
      <c r="J14" s="74" t="s">
        <v>160</v>
      </c>
      <c r="K14" s="74" t="s">
        <v>18</v>
      </c>
    </row>
    <row r="15" customFormat="false" ht="21.75" hidden="false" customHeight="true" outlineLevel="0" collapsed="false">
      <c r="B15" s="56" t="s">
        <v>161</v>
      </c>
      <c r="C15" s="77" t="n">
        <v>0.5</v>
      </c>
      <c r="D15" s="72" t="s">
        <v>162</v>
      </c>
      <c r="F15" s="73"/>
      <c r="J15" s="74" t="s">
        <v>163</v>
      </c>
      <c r="K15" s="74" t="s">
        <v>23</v>
      </c>
    </row>
    <row r="16" customFormat="false" ht="21.75" hidden="false" customHeight="true" outlineLevel="0" collapsed="false">
      <c r="B16" s="19" t="s">
        <v>164</v>
      </c>
      <c r="C16" s="19"/>
      <c r="D16" s="19"/>
      <c r="F16" s="73"/>
      <c r="J16" s="74" t="s">
        <v>165</v>
      </c>
      <c r="K16" s="74" t="s">
        <v>27</v>
      </c>
    </row>
    <row r="17" customFormat="false" ht="30" hidden="false" customHeight="true" outlineLevel="0" collapsed="false">
      <c r="B17" s="56" t="s">
        <v>166</v>
      </c>
      <c r="C17" s="77" t="n">
        <v>0.0975</v>
      </c>
      <c r="D17" s="72" t="s">
        <v>167</v>
      </c>
      <c r="F17" s="73"/>
      <c r="J17" s="74" t="s">
        <v>168</v>
      </c>
      <c r="K17" s="74" t="s">
        <v>32</v>
      </c>
    </row>
    <row r="18" customFormat="false" ht="21.75" hidden="false" customHeight="true" outlineLevel="0" collapsed="false">
      <c r="B18" s="56" t="s">
        <v>169</v>
      </c>
      <c r="C18" s="77" t="n">
        <v>0.1175</v>
      </c>
      <c r="D18" s="72" t="s">
        <v>170</v>
      </c>
      <c r="F18" s="73"/>
    </row>
    <row r="19" customFormat="false" ht="21.75" hidden="false" customHeight="true" outlineLevel="0" collapsed="false">
      <c r="B19" s="56" t="s">
        <v>171</v>
      </c>
      <c r="C19" s="77" t="n">
        <v>0</v>
      </c>
      <c r="D19" s="72" t="s">
        <v>172</v>
      </c>
      <c r="F19" s="73"/>
    </row>
    <row r="20" customFormat="false" ht="21.75" hidden="false" customHeight="true" outlineLevel="0" collapsed="false">
      <c r="B20" s="56" t="s">
        <v>173</v>
      </c>
      <c r="C20" s="77" t="n">
        <v>0.02</v>
      </c>
      <c r="D20" s="72" t="s">
        <v>174</v>
      </c>
      <c r="F20" s="73"/>
    </row>
    <row r="21" customFormat="false" ht="21.75" hidden="false" customHeight="true" outlineLevel="0" collapsed="false">
      <c r="B21" s="56" t="s">
        <v>175</v>
      </c>
      <c r="C21" s="78" t="n">
        <v>45000</v>
      </c>
      <c r="D21" s="72" t="s">
        <v>176</v>
      </c>
    </row>
    <row r="22" customFormat="false" ht="21.75" hidden="false" customHeight="true" outlineLevel="0" collapsed="false">
      <c r="B22" s="19" t="s">
        <v>177</v>
      </c>
      <c r="C22" s="19"/>
      <c r="D22" s="19"/>
    </row>
    <row r="23" customFormat="false" ht="21.75" hidden="false" customHeight="true" outlineLevel="0" collapsed="false">
      <c r="B23" s="56" t="s">
        <v>178</v>
      </c>
      <c r="C23" s="75" t="n">
        <v>5</v>
      </c>
      <c r="D23" s="72" t="s">
        <v>179</v>
      </c>
    </row>
    <row r="24" customFormat="false" ht="21.75" hidden="false" customHeight="true" outlineLevel="0" collapsed="false">
      <c r="B24" s="56" t="s">
        <v>180</v>
      </c>
      <c r="C24" s="79" t="n">
        <v>0.5</v>
      </c>
      <c r="D24" s="72"/>
    </row>
    <row r="25" customFormat="false" ht="21.75" hidden="false" customHeight="true" outlineLevel="0" collapsed="false">
      <c r="B25" s="56" t="s">
        <v>181</v>
      </c>
      <c r="C25" s="79" t="n">
        <v>1</v>
      </c>
      <c r="D25" s="72" t="s">
        <v>182</v>
      </c>
    </row>
    <row r="26" customFormat="false" ht="21.75" hidden="false" customHeight="true" outlineLevel="0" collapsed="false">
      <c r="B26" s="56" t="s">
        <v>183</v>
      </c>
      <c r="C26" s="71" t="s">
        <v>126</v>
      </c>
      <c r="D26" s="72" t="s">
        <v>184</v>
      </c>
    </row>
    <row r="27" customFormat="false" ht="21.75" hidden="false" customHeight="true" outlineLevel="0" collapsed="false">
      <c r="B27" s="56" t="s">
        <v>185</v>
      </c>
      <c r="C27" s="71" t="s">
        <v>126</v>
      </c>
      <c r="D27" s="72"/>
    </row>
    <row r="28" customFormat="false" ht="21.75" hidden="false" customHeight="true" outlineLevel="0" collapsed="false">
      <c r="B28" s="56" t="s">
        <v>186</v>
      </c>
      <c r="C28" s="71" t="s">
        <v>132</v>
      </c>
      <c r="D28" s="72"/>
    </row>
    <row r="29" customFormat="false" ht="21.75" hidden="false" customHeight="true" outlineLevel="0" collapsed="false">
      <c r="B29" s="19" t="s">
        <v>187</v>
      </c>
      <c r="C29" s="19"/>
      <c r="D29" s="19"/>
    </row>
    <row r="30" customFormat="false" ht="21.75" hidden="false" customHeight="true" outlineLevel="0" collapsed="false">
      <c r="B30" s="56" t="s">
        <v>188</v>
      </c>
      <c r="C30" s="75" t="n">
        <v>21</v>
      </c>
      <c r="D30" s="72" t="s">
        <v>189</v>
      </c>
    </row>
    <row r="31" customFormat="false" ht="21.75" hidden="false" customHeight="true" outlineLevel="0" collapsed="false">
      <c r="B31" s="56" t="s">
        <v>190</v>
      </c>
      <c r="C31" s="75" t="n">
        <v>30</v>
      </c>
      <c r="D31" s="72" t="s">
        <v>191</v>
      </c>
    </row>
    <row r="32" customFormat="false" ht="21.75" hidden="false" customHeight="true" outlineLevel="0" collapsed="false">
      <c r="B32" s="56" t="s">
        <v>192</v>
      </c>
      <c r="C32" s="75" t="n">
        <v>5</v>
      </c>
      <c r="D32" s="72"/>
    </row>
    <row r="33" customFormat="false" ht="21.75" hidden="false" customHeight="true" outlineLevel="0" collapsed="false">
      <c r="B33" s="56" t="s">
        <v>193</v>
      </c>
      <c r="C33" s="71" t="s">
        <v>126</v>
      </c>
      <c r="D33" s="72"/>
    </row>
    <row r="34" customFormat="false" ht="21.75" hidden="false" customHeight="true" outlineLevel="0" collapsed="false">
      <c r="B34" s="56" t="s">
        <v>194</v>
      </c>
      <c r="C34" s="71" t="s">
        <v>126</v>
      </c>
      <c r="D34" s="72"/>
    </row>
    <row r="35" customFormat="false" ht="21.75" hidden="false" customHeight="true" outlineLevel="0" collapsed="false">
      <c r="B35" s="56" t="s">
        <v>195</v>
      </c>
      <c r="C35" s="71" t="s">
        <v>132</v>
      </c>
      <c r="D35" s="72"/>
    </row>
    <row r="36" customFormat="false" ht="21.75" hidden="false" customHeight="true" outlineLevel="0" collapsed="false">
      <c r="B36" s="56" t="s">
        <v>196</v>
      </c>
      <c r="C36" s="75" t="n">
        <v>365</v>
      </c>
      <c r="D36" s="72"/>
    </row>
    <row r="37" customFormat="false" ht="21.75" hidden="false" customHeight="true" outlineLevel="0" collapsed="false">
      <c r="B37" s="19" t="s">
        <v>197</v>
      </c>
      <c r="C37" s="19"/>
      <c r="D37" s="19"/>
    </row>
    <row r="38" customFormat="false" ht="24" hidden="false" customHeight="true" outlineLevel="0" collapsed="false">
      <c r="B38" s="6" t="s">
        <v>198</v>
      </c>
      <c r="C38" s="6" t="s">
        <v>199</v>
      </c>
      <c r="D38" s="6" t="s">
        <v>200</v>
      </c>
    </row>
    <row r="39" customFormat="false" ht="15" hidden="false" customHeight="false" outlineLevel="0" collapsed="false">
      <c r="B39" s="80" t="n">
        <v>0</v>
      </c>
      <c r="C39" s="81" t="n">
        <v>0</v>
      </c>
      <c r="D39" s="82" t="s">
        <v>201</v>
      </c>
    </row>
    <row r="40" customFormat="false" ht="15" hidden="false" customHeight="false" outlineLevel="0" collapsed="false">
      <c r="B40" s="80" t="n">
        <v>2</v>
      </c>
      <c r="C40" s="81" t="n">
        <f aca="false">1/3</f>
        <v>0.333333333333333</v>
      </c>
      <c r="D40" s="82" t="s">
        <v>202</v>
      </c>
    </row>
    <row r="41" customFormat="false" ht="15" hidden="false" customHeight="false" outlineLevel="0" collapsed="false">
      <c r="B41" s="80" t="n">
        <v>5</v>
      </c>
      <c r="C41" s="81" t="n">
        <f aca="false">2/3</f>
        <v>0.666666666666667</v>
      </c>
      <c r="D41" s="82" t="s">
        <v>203</v>
      </c>
    </row>
    <row r="42" customFormat="false" ht="15" hidden="false" customHeight="false" outlineLevel="0" collapsed="false">
      <c r="B42" s="80" t="n">
        <v>10</v>
      </c>
      <c r="C42" s="81" t="n">
        <v>1</v>
      </c>
      <c r="D42" s="82" t="s">
        <v>204</v>
      </c>
    </row>
    <row r="44" customFormat="false" ht="33.75" hidden="false" customHeight="true" outlineLevel="0" collapsed="false">
      <c r="B44" s="21" t="s">
        <v>205</v>
      </c>
      <c r="C44" s="21"/>
      <c r="D44" s="21"/>
    </row>
  </sheetData>
  <mergeCells count="8">
    <mergeCell ref="B1:K1"/>
    <mergeCell ref="B2:K2"/>
    <mergeCell ref="B12:D12"/>
    <mergeCell ref="B16:D16"/>
    <mergeCell ref="B22:D22"/>
    <mergeCell ref="B29:D29"/>
    <mergeCell ref="B37:D37"/>
    <mergeCell ref="B44:D44"/>
  </mergeCells>
  <dataValidations count="4">
    <dataValidation allowBlank="true" error="من فضلك اختر قيمة من القائمة المنسدلة." errorStyle="stop" errorTitle="قيمة غير مسموحة" operator="between" showDropDown="false" showErrorMessage="true" showInputMessage="false" sqref="C26:C28" type="list">
      <formula1>L_YN</formula1>
      <formula2>0</formula2>
    </dataValidation>
    <dataValidation allowBlank="true" error="من فضلك اختر قيمة من القائمة المنسدلة." errorStyle="stop" errorTitle="قيمة غير مسموحة" operator="between" showDropDown="false" showErrorMessage="true" showInputMessage="false" sqref="C33:C35" type="list">
      <formula1>L_YN</formula1>
      <formula2>0</formula2>
    </dataValidation>
    <dataValidation allowBlank="true" error="شهر التقرير من 1 إلى 12" errorStyle="stop" errorTitle="قيمة غير صحيحة" operator="between" showDropDown="false" showErrorMessage="true" showInputMessage="false" sqref="C9" type="whole">
      <formula1>1</formula1>
      <formula2>12</formula2>
    </dataValidation>
    <dataValidation allowBlank="true" error="القيمة المدخلة خارج النطاق المسموح." errorStyle="stop" errorTitle="قيمة غير صحيحة" operator="between" showDropDown="false" showErrorMessage="true" showInputMessage="false" sqref="C7" type="whole">
      <formula1>2000</formula1>
      <formula2>2100</formula2>
    </dataValidation>
  </dataValidations>
  <hyperlinks>
    <hyperlink ref="B3" location="'الرئيسية'!A1" display="🏠 الرئيسية"/>
    <hyperlink ref="C3" location="'لوحة التحكم'!A1" display="📊 لوحة التحكم"/>
    <hyperlink ref="D3" location="'الموظفون'!A1" display="👥 الموظفون"/>
    <hyperlink ref="F3" location="'الحركات الشهرية'!A1" display="✍ الحركات"/>
    <hyperlink ref="G3" location="'الملخص الشهري'!A1" display="📅 الملخص الشهري"/>
    <hyperlink ref="H3" location="'قيود الرواتب'!A1" display="🧾 القيود"/>
    <hyperlink ref="I3" location="'قسيمة الراتب'!A1" display="💳 القسيمة"/>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true"/>
  </sheetPr>
  <dimension ref="A1:AC106"/>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26"/>
    <col collapsed="false" customWidth="true" hidden="false" outlineLevel="0" max="4" min="4" style="0" width="11"/>
    <col collapsed="false" customWidth="true" hidden="false" outlineLevel="0" max="5" min="5" style="0" width="12"/>
    <col collapsed="false" customWidth="true" hidden="false" outlineLevel="0" max="6" min="6" style="0" width="16"/>
    <col collapsed="false" customWidth="true" hidden="false" outlineLevel="0" max="7" min="7" style="0" width="18"/>
    <col collapsed="false" customWidth="true" hidden="false" outlineLevel="0" max="9" min="8" style="0" width="12"/>
    <col collapsed="false" customWidth="true" hidden="false" outlineLevel="0" max="10" min="10" style="0" width="13"/>
    <col collapsed="false" customWidth="true" hidden="false" outlineLevel="0" max="11" min="11" style="0" width="12"/>
    <col collapsed="false" customWidth="true" hidden="false" outlineLevel="0" max="13" min="12" style="0" width="11"/>
    <col collapsed="false" customWidth="true" hidden="false" outlineLevel="0" max="15" min="14" style="0" width="14"/>
    <col collapsed="false" customWidth="true" hidden="false" outlineLevel="0" max="18" min="16" style="0" width="13"/>
    <col collapsed="false" customWidth="true" hidden="false" outlineLevel="0" max="19" min="19" style="0" width="10"/>
    <col collapsed="false" customWidth="true" hidden="false" outlineLevel="0" max="20" min="20" style="0" width="13"/>
    <col collapsed="false" customWidth="true" hidden="false" outlineLevel="0" max="21" min="21" style="0" width="10"/>
    <col collapsed="false" customWidth="true" hidden="false" outlineLevel="0" max="22" min="22" style="0" width="12"/>
    <col collapsed="false" customWidth="true" hidden="false" outlineLevel="0" max="23" min="23" style="0" width="13"/>
    <col collapsed="false" customWidth="true" hidden="false" outlineLevel="0" max="24" min="24" style="0" width="12"/>
    <col collapsed="false" customWidth="true" hidden="false" outlineLevel="0" max="25" min="25" style="0" width="16"/>
    <col collapsed="false" customWidth="true" hidden="false" outlineLevel="0" max="26" min="26" style="0" width="14"/>
    <col collapsed="false" customWidth="true" hidden="false" outlineLevel="0" max="27" min="27" style="0" width="10"/>
    <col collapsed="false" customWidth="true" hidden="false" outlineLevel="0" max="28" min="28" style="0" width="27"/>
    <col collapsed="false" customWidth="true" hidden="false" outlineLevel="0" max="29" min="29" style="0" width="20"/>
  </cols>
  <sheetData>
    <row r="1" customFormat="false" ht="37.5" hidden="false" customHeight="true" outlineLevel="0" collapsed="false">
      <c r="A1" s="1" t="s">
        <v>206</v>
      </c>
      <c r="B1" s="1"/>
      <c r="C1" s="1"/>
      <c r="D1" s="1"/>
      <c r="E1" s="1"/>
      <c r="F1" s="1"/>
      <c r="G1" s="1"/>
      <c r="H1" s="1"/>
      <c r="I1" s="1"/>
      <c r="J1" s="1"/>
      <c r="K1" s="1"/>
      <c r="L1" s="1"/>
      <c r="M1" s="1"/>
      <c r="N1" s="1"/>
      <c r="O1" s="1"/>
      <c r="P1" s="1"/>
      <c r="Q1" s="1"/>
      <c r="R1" s="1"/>
      <c r="S1" s="1"/>
      <c r="T1" s="1"/>
      <c r="U1" s="1"/>
      <c r="V1" s="1"/>
      <c r="W1" s="1"/>
      <c r="X1" s="1"/>
      <c r="Y1" s="1"/>
      <c r="Z1" s="1"/>
    </row>
    <row r="2" customFormat="false" ht="19.5" hidden="false" customHeight="true" outlineLevel="0" collapsed="false">
      <c r="A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row>
    <row r="3" customFormat="false" ht="25.5" hidden="false" customHeight="true" outlineLevel="0" collapsed="false">
      <c r="B3" s="22" t="s">
        <v>61</v>
      </c>
      <c r="C3" s="12" t="s">
        <v>111</v>
      </c>
      <c r="E3" s="23" t="s">
        <v>62</v>
      </c>
      <c r="F3" s="23" t="s">
        <v>64</v>
      </c>
      <c r="G3" s="23" t="s">
        <v>39</v>
      </c>
      <c r="H3" s="23" t="s">
        <v>65</v>
      </c>
      <c r="J3" s="23" t="s">
        <v>66</v>
      </c>
    </row>
    <row r="4" customFormat="false" ht="7.5" hidden="false" customHeight="true" outlineLevel="0" collapsed="false"/>
    <row r="5" customFormat="false" ht="57.75" hidden="false" customHeight="true" outlineLevel="0" collapsed="false">
      <c r="A5" s="6" t="s">
        <v>207</v>
      </c>
      <c r="B5" s="6" t="s">
        <v>208</v>
      </c>
      <c r="C5" s="6" t="s">
        <v>209</v>
      </c>
      <c r="D5" s="6" t="s">
        <v>210</v>
      </c>
      <c r="E5" s="6" t="s">
        <v>118</v>
      </c>
      <c r="F5" s="6" t="s">
        <v>96</v>
      </c>
      <c r="G5" s="6" t="s">
        <v>211</v>
      </c>
      <c r="H5" s="6" t="s">
        <v>212</v>
      </c>
      <c r="I5" s="6" t="s">
        <v>213</v>
      </c>
      <c r="J5" s="6" t="s">
        <v>214</v>
      </c>
      <c r="K5" s="6" t="s">
        <v>215</v>
      </c>
      <c r="L5" s="6" t="s">
        <v>216</v>
      </c>
      <c r="M5" s="6" t="s">
        <v>217</v>
      </c>
      <c r="N5" s="6" t="s">
        <v>218</v>
      </c>
      <c r="O5" s="6" t="s">
        <v>219</v>
      </c>
      <c r="P5" s="6" t="s">
        <v>220</v>
      </c>
      <c r="Q5" s="6" t="s">
        <v>221</v>
      </c>
      <c r="R5" s="6" t="s">
        <v>222</v>
      </c>
      <c r="S5" s="6" t="s">
        <v>223</v>
      </c>
      <c r="T5" s="6" t="s">
        <v>224</v>
      </c>
      <c r="U5" s="6" t="s">
        <v>225</v>
      </c>
      <c r="V5" s="6" t="s">
        <v>226</v>
      </c>
      <c r="W5" s="6" t="s">
        <v>227</v>
      </c>
      <c r="X5" s="6" t="s">
        <v>228</v>
      </c>
      <c r="Y5" s="6" t="s">
        <v>229</v>
      </c>
      <c r="Z5" s="6" t="s">
        <v>230</v>
      </c>
      <c r="AA5" s="6" t="s">
        <v>231</v>
      </c>
      <c r="AB5" s="6" t="s">
        <v>232</v>
      </c>
      <c r="AC5" s="6" t="s">
        <v>233</v>
      </c>
    </row>
    <row r="6" customFormat="false" ht="15" hidden="false" customHeight="false" outlineLevel="0" collapsed="false">
      <c r="A6" s="83" t="n">
        <f aca="false">IF(B6="","",ROW()-5)</f>
        <v>1</v>
      </c>
      <c r="B6" s="73" t="s">
        <v>234</v>
      </c>
      <c r="C6" s="73" t="s">
        <v>235</v>
      </c>
      <c r="D6" s="73" t="s">
        <v>89</v>
      </c>
      <c r="E6" s="73" t="s">
        <v>89</v>
      </c>
      <c r="F6" s="73" t="s">
        <v>124</v>
      </c>
      <c r="G6" s="73" t="s">
        <v>236</v>
      </c>
      <c r="H6" s="84" t="n">
        <v>40923</v>
      </c>
      <c r="I6" s="84" t="n">
        <v>47248</v>
      </c>
      <c r="J6" s="85" t="n">
        <v>28000</v>
      </c>
      <c r="K6" s="85" t="n">
        <v>7000</v>
      </c>
      <c r="L6" s="85" t="n">
        <v>2800</v>
      </c>
      <c r="M6" s="85" t="n">
        <v>3000</v>
      </c>
      <c r="N6" s="86" t="n">
        <f aca="false">IF(B6="","",SUM(J6:M6))</f>
        <v>40800</v>
      </c>
      <c r="O6" s="86" t="n">
        <f aca="false">IF(B6="","",J6+IF(cfg_EOS_H="نعم",K6,0)+IF(cfg_EOS_T="نعم",L6,0)+IF(cfg_EOS_O="نعم",M6,0))</f>
        <v>37800</v>
      </c>
      <c r="P6" s="86" t="n">
        <f aca="false">IF(B6="","",J6+IF(cfg_LV_H="نعم",K6,0)+IF(cfg_LV_T="نعم",L6,0)+IF(cfg_LV_O="نعم",M6,0))</f>
        <v>37800</v>
      </c>
      <c r="Q6" s="86" t="n">
        <f aca="false">IF(B6="","",MIN(cfg_G_CAP,J6+K6))</f>
        <v>35000</v>
      </c>
      <c r="R6" s="87"/>
      <c r="S6" s="73" t="s">
        <v>132</v>
      </c>
      <c r="T6" s="85" t="n">
        <v>0</v>
      </c>
      <c r="U6" s="87" t="n">
        <v>12</v>
      </c>
      <c r="V6" s="88" t="n">
        <v>18</v>
      </c>
      <c r="W6" s="85" t="n">
        <v>0</v>
      </c>
      <c r="X6" s="84"/>
      <c r="Y6" s="73"/>
      <c r="Z6" s="74" t="str">
        <f aca="false">IF(B6="","",IF(AND(X6&lt;&gt;"",X6&lt;=cfg_VAL_DATE),"✖ منتهي الخدمة",IF(H6&gt;cfg_VAL_DATE,"⚠ لم يباشر بعد","✔ على رأس العمل")))</f>
        <v>✔ على رأس العمل</v>
      </c>
      <c r="AA6" s="73" t="s">
        <v>237</v>
      </c>
      <c r="AB6" s="73" t="s">
        <v>238</v>
      </c>
      <c r="AC6" s="73"/>
    </row>
    <row r="7" customFormat="false" ht="15" hidden="false" customHeight="false" outlineLevel="0" collapsed="false">
      <c r="A7" s="89" t="n">
        <f aca="false">IF(B7="","",ROW()-5)</f>
        <v>2</v>
      </c>
      <c r="B7" s="73" t="s">
        <v>239</v>
      </c>
      <c r="C7" s="73" t="s">
        <v>240</v>
      </c>
      <c r="D7" s="73" t="s">
        <v>89</v>
      </c>
      <c r="E7" s="73" t="s">
        <v>89</v>
      </c>
      <c r="F7" s="73" t="s">
        <v>130</v>
      </c>
      <c r="G7" s="73" t="s">
        <v>241</v>
      </c>
      <c r="H7" s="84" t="n">
        <v>42522</v>
      </c>
      <c r="I7" s="84" t="n">
        <v>46786</v>
      </c>
      <c r="J7" s="85" t="n">
        <v>18000</v>
      </c>
      <c r="K7" s="85" t="n">
        <v>4500</v>
      </c>
      <c r="L7" s="85" t="n">
        <v>1800</v>
      </c>
      <c r="M7" s="85" t="n">
        <v>1000</v>
      </c>
      <c r="N7" s="90" t="n">
        <f aca="false">IF(B7="","",SUM(J7:M7))</f>
        <v>25300</v>
      </c>
      <c r="O7" s="90" t="n">
        <f aca="false">IF(B7="","",J7+IF(cfg_EOS_H="نعم",K7,0)+IF(cfg_EOS_T="نعم",L7,0)+IF(cfg_EOS_O="نعم",M7,0))</f>
        <v>24300</v>
      </c>
      <c r="P7" s="90" t="n">
        <f aca="false">IF(B7="","",J7+IF(cfg_LV_H="نعم",K7,0)+IF(cfg_LV_T="نعم",L7,0)+IF(cfg_LV_O="نعم",M7,0))</f>
        <v>24300</v>
      </c>
      <c r="Q7" s="90" t="n">
        <f aca="false">IF(B7="","",MIN(cfg_G_CAP,J7+K7))</f>
        <v>22500</v>
      </c>
      <c r="R7" s="87"/>
      <c r="S7" s="73" t="s">
        <v>132</v>
      </c>
      <c r="T7" s="85" t="n">
        <v>0</v>
      </c>
      <c r="U7" s="87" t="n">
        <v>12</v>
      </c>
      <c r="V7" s="88" t="n">
        <v>12</v>
      </c>
      <c r="W7" s="85" t="n">
        <v>0</v>
      </c>
      <c r="X7" s="84"/>
      <c r="Y7" s="73"/>
      <c r="Z7" s="91" t="str">
        <f aca="false">IF(B7="","",IF(AND(X7&lt;&gt;"",X7&lt;=cfg_VAL_DATE),"✖ منتهي الخدمة",IF(H7&gt;cfg_VAL_DATE,"⚠ لم يباشر بعد","✔ على رأس العمل")))</f>
        <v>✔ على رأس العمل</v>
      </c>
      <c r="AA7" s="73" t="s">
        <v>242</v>
      </c>
      <c r="AB7" s="73" t="s">
        <v>243</v>
      </c>
      <c r="AC7" s="73"/>
    </row>
    <row r="8" customFormat="false" ht="15" hidden="false" customHeight="false" outlineLevel="0" collapsed="false">
      <c r="A8" s="83" t="n">
        <f aca="false">IF(B8="","",ROW()-5)</f>
        <v>3</v>
      </c>
      <c r="B8" s="73" t="s">
        <v>244</v>
      </c>
      <c r="C8" s="73" t="s">
        <v>245</v>
      </c>
      <c r="D8" s="73" t="s">
        <v>246</v>
      </c>
      <c r="E8" s="73" t="s">
        <v>91</v>
      </c>
      <c r="F8" s="73" t="s">
        <v>130</v>
      </c>
      <c r="G8" s="73" t="s">
        <v>247</v>
      </c>
      <c r="H8" s="84" t="n">
        <v>43353</v>
      </c>
      <c r="I8" s="84" t="n">
        <v>46346</v>
      </c>
      <c r="J8" s="85" t="n">
        <v>8500</v>
      </c>
      <c r="K8" s="85" t="n">
        <v>2125</v>
      </c>
      <c r="L8" s="85" t="n">
        <v>850</v>
      </c>
      <c r="M8" s="85" t="n">
        <v>500</v>
      </c>
      <c r="N8" s="86" t="n">
        <f aca="false">IF(B8="","",SUM(J8:M8))</f>
        <v>11975</v>
      </c>
      <c r="O8" s="86" t="n">
        <f aca="false">IF(B8="","",J8+IF(cfg_EOS_H="نعم",K8,0)+IF(cfg_EOS_T="نعم",L8,0)+IF(cfg_EOS_O="نعم",M8,0))</f>
        <v>11475</v>
      </c>
      <c r="P8" s="86" t="n">
        <f aca="false">IF(B8="","",J8+IF(cfg_LV_H="نعم",K8,0)+IF(cfg_LV_T="نعم",L8,0)+IF(cfg_LV_O="نعم",M8,0))</f>
        <v>11475</v>
      </c>
      <c r="Q8" s="86" t="n">
        <f aca="false">IF(B8="","",MIN(cfg_G_CAP,J8+K8))</f>
        <v>10625</v>
      </c>
      <c r="R8" s="87"/>
      <c r="S8" s="73" t="s">
        <v>126</v>
      </c>
      <c r="T8" s="85" t="n">
        <v>3200</v>
      </c>
      <c r="U8" s="87" t="n">
        <v>24</v>
      </c>
      <c r="V8" s="88" t="n">
        <v>20</v>
      </c>
      <c r="W8" s="85" t="n">
        <v>1600</v>
      </c>
      <c r="X8" s="84"/>
      <c r="Y8" s="73"/>
      <c r="Z8" s="74" t="str">
        <f aca="false">IF(B8="","",IF(AND(X8&lt;&gt;"",X8&lt;=cfg_VAL_DATE),"✖ منتهي الخدمة",IF(H8&gt;cfg_VAL_DATE,"⚠ لم يباشر بعد","✔ على رأس العمل")))</f>
        <v>✔ على رأس العمل</v>
      </c>
      <c r="AA8" s="73" t="s">
        <v>237</v>
      </c>
      <c r="AB8" s="73" t="s">
        <v>248</v>
      </c>
      <c r="AC8" s="73"/>
    </row>
    <row r="9" customFormat="false" ht="15" hidden="false" customHeight="false" outlineLevel="0" collapsed="false">
      <c r="A9" s="89" t="n">
        <f aca="false">IF(B9="","",ROW()-5)</f>
        <v>4</v>
      </c>
      <c r="B9" s="73" t="s">
        <v>249</v>
      </c>
      <c r="C9" s="73" t="s">
        <v>250</v>
      </c>
      <c r="D9" s="73" t="s">
        <v>251</v>
      </c>
      <c r="E9" s="73" t="s">
        <v>89</v>
      </c>
      <c r="F9" s="73" t="s">
        <v>136</v>
      </c>
      <c r="G9" s="73" t="s">
        <v>252</v>
      </c>
      <c r="H9" s="84" t="n">
        <v>43497</v>
      </c>
      <c r="I9" s="84" t="n">
        <v>47678</v>
      </c>
      <c r="J9" s="85" t="n">
        <v>14000</v>
      </c>
      <c r="K9" s="85" t="n">
        <v>3500</v>
      </c>
      <c r="L9" s="85" t="n">
        <v>1400</v>
      </c>
      <c r="M9" s="85" t="n">
        <v>0</v>
      </c>
      <c r="N9" s="90" t="n">
        <f aca="false">IF(B9="","",SUM(J9:M9))</f>
        <v>18900</v>
      </c>
      <c r="O9" s="90" t="n">
        <f aca="false">IF(B9="","",J9+IF(cfg_EOS_H="نعم",K9,0)+IF(cfg_EOS_T="نعم",L9,0)+IF(cfg_EOS_O="نعم",M9,0))</f>
        <v>18900</v>
      </c>
      <c r="P9" s="90" t="n">
        <f aca="false">IF(B9="","",J9+IF(cfg_LV_H="نعم",K9,0)+IF(cfg_LV_T="نعم",L9,0)+IF(cfg_LV_O="نعم",M9,0))</f>
        <v>18900</v>
      </c>
      <c r="Q9" s="90" t="n">
        <f aca="false">IF(B9="","",MIN(cfg_G_CAP,J9+K9))</f>
        <v>17500</v>
      </c>
      <c r="R9" s="87"/>
      <c r="S9" s="73" t="s">
        <v>132</v>
      </c>
      <c r="T9" s="85" t="n">
        <v>0</v>
      </c>
      <c r="U9" s="87" t="n">
        <v>12</v>
      </c>
      <c r="V9" s="88" t="n">
        <v>9</v>
      </c>
      <c r="W9" s="85" t="n">
        <v>0</v>
      </c>
      <c r="X9" s="84"/>
      <c r="Y9" s="73"/>
      <c r="Z9" s="91" t="str">
        <f aca="false">IF(B9="","",IF(AND(X9&lt;&gt;"",X9&lt;=cfg_VAL_DATE),"✖ منتهي الخدمة",IF(H9&gt;cfg_VAL_DATE,"⚠ لم يباشر بعد","✔ على رأس العمل")))</f>
        <v>✔ على رأس العمل</v>
      </c>
      <c r="AA9" s="73" t="s">
        <v>253</v>
      </c>
      <c r="AB9" s="73" t="s">
        <v>254</v>
      </c>
      <c r="AC9" s="73"/>
    </row>
    <row r="10" customFormat="false" ht="15" hidden="false" customHeight="false" outlineLevel="0" collapsed="false">
      <c r="A10" s="83" t="n">
        <f aca="false">IF(B10="","",ROW()-5)</f>
        <v>5</v>
      </c>
      <c r="B10" s="73" t="s">
        <v>255</v>
      </c>
      <c r="C10" s="73" t="s">
        <v>256</v>
      </c>
      <c r="D10" s="73" t="s">
        <v>257</v>
      </c>
      <c r="E10" s="73" t="s">
        <v>91</v>
      </c>
      <c r="F10" s="73" t="s">
        <v>150</v>
      </c>
      <c r="G10" s="73" t="s">
        <v>258</v>
      </c>
      <c r="H10" s="84" t="n">
        <v>43933</v>
      </c>
      <c r="I10" s="84" t="n">
        <v>46417</v>
      </c>
      <c r="J10" s="85" t="n">
        <v>9000</v>
      </c>
      <c r="K10" s="85" t="n">
        <v>2250</v>
      </c>
      <c r="L10" s="85" t="n">
        <v>900</v>
      </c>
      <c r="M10" s="85" t="n">
        <v>700</v>
      </c>
      <c r="N10" s="86" t="n">
        <f aca="false">IF(B10="","",SUM(J10:M10))</f>
        <v>12850</v>
      </c>
      <c r="O10" s="86" t="n">
        <f aca="false">IF(B10="","",J10+IF(cfg_EOS_H="نعم",K10,0)+IF(cfg_EOS_T="نعم",L10,0)+IF(cfg_EOS_O="نعم",M10,0))</f>
        <v>12150</v>
      </c>
      <c r="P10" s="86" t="n">
        <f aca="false">IF(B10="","",J10+IF(cfg_LV_H="نعم",K10,0)+IF(cfg_LV_T="نعم",L10,0)+IF(cfg_LV_O="نعم",M10,0))</f>
        <v>12150</v>
      </c>
      <c r="Q10" s="86" t="n">
        <f aca="false">IF(B10="","",MIN(cfg_G_CAP,J10+K10))</f>
        <v>11250</v>
      </c>
      <c r="R10" s="87"/>
      <c r="S10" s="73" t="s">
        <v>126</v>
      </c>
      <c r="T10" s="85" t="n">
        <v>2800</v>
      </c>
      <c r="U10" s="87" t="n">
        <v>12</v>
      </c>
      <c r="V10" s="88" t="n">
        <v>14</v>
      </c>
      <c r="W10" s="85" t="n">
        <v>900</v>
      </c>
      <c r="X10" s="84"/>
      <c r="Y10" s="73"/>
      <c r="Z10" s="74" t="str">
        <f aca="false">IF(B10="","",IF(AND(X10&lt;&gt;"",X10&lt;=cfg_VAL_DATE),"✖ منتهي الخدمة",IF(H10&gt;cfg_VAL_DATE,"⚠ لم يباشر بعد","✔ على رأس العمل")))</f>
        <v>✔ على رأس العمل</v>
      </c>
      <c r="AA10" s="73" t="s">
        <v>242</v>
      </c>
      <c r="AB10" s="73" t="s">
        <v>259</v>
      </c>
      <c r="AC10" s="73"/>
    </row>
    <row r="11" customFormat="false" ht="15" hidden="false" customHeight="false" outlineLevel="0" collapsed="false">
      <c r="A11" s="89" t="n">
        <f aca="false">IF(B11="","",ROW()-5)</f>
        <v>6</v>
      </c>
      <c r="B11" s="73" t="s">
        <v>260</v>
      </c>
      <c r="C11" s="73" t="s">
        <v>261</v>
      </c>
      <c r="D11" s="73" t="s">
        <v>89</v>
      </c>
      <c r="E11" s="73" t="s">
        <v>89</v>
      </c>
      <c r="F11" s="73" t="s">
        <v>141</v>
      </c>
      <c r="G11" s="73" t="s">
        <v>262</v>
      </c>
      <c r="H11" s="84" t="n">
        <v>43044</v>
      </c>
      <c r="I11" s="84" t="n">
        <v>47929</v>
      </c>
      <c r="J11" s="85" t="n">
        <v>13000</v>
      </c>
      <c r="K11" s="85" t="n">
        <v>3250</v>
      </c>
      <c r="L11" s="85" t="n">
        <v>1300</v>
      </c>
      <c r="M11" s="85" t="n">
        <v>2500</v>
      </c>
      <c r="N11" s="90" t="n">
        <f aca="false">IF(B11="","",SUM(J11:M11))</f>
        <v>20050</v>
      </c>
      <c r="O11" s="90" t="n">
        <f aca="false">IF(B11="","",J11+IF(cfg_EOS_H="نعم",K11,0)+IF(cfg_EOS_T="نعم",L11,0)+IF(cfg_EOS_O="نعم",M11,0))</f>
        <v>17550</v>
      </c>
      <c r="P11" s="90" t="n">
        <f aca="false">IF(B11="","",J11+IF(cfg_LV_H="نعم",K11,0)+IF(cfg_LV_T="نعم",L11,0)+IF(cfg_LV_O="نعم",M11,0))</f>
        <v>17550</v>
      </c>
      <c r="Q11" s="90" t="n">
        <f aca="false">IF(B11="","",MIN(cfg_G_CAP,J11+K11))</f>
        <v>16250</v>
      </c>
      <c r="R11" s="87"/>
      <c r="S11" s="73" t="s">
        <v>132</v>
      </c>
      <c r="T11" s="85" t="n">
        <v>0</v>
      </c>
      <c r="U11" s="87" t="n">
        <v>12</v>
      </c>
      <c r="V11" s="88" t="n">
        <v>25</v>
      </c>
      <c r="W11" s="85" t="n">
        <v>0</v>
      </c>
      <c r="X11" s="84"/>
      <c r="Y11" s="73"/>
      <c r="Z11" s="91" t="str">
        <f aca="false">IF(B11="","",IF(AND(X11&lt;&gt;"",X11&lt;=cfg_VAL_DATE),"✖ منتهي الخدمة",IF(H11&gt;cfg_VAL_DATE,"⚠ لم يباشر بعد","✔ على رأس العمل")))</f>
        <v>✔ على رأس العمل</v>
      </c>
      <c r="AA11" s="73" t="s">
        <v>237</v>
      </c>
      <c r="AB11" s="73" t="s">
        <v>263</v>
      </c>
      <c r="AC11" s="73"/>
    </row>
    <row r="12" customFormat="false" ht="15" hidden="false" customHeight="false" outlineLevel="0" collapsed="false">
      <c r="A12" s="83" t="n">
        <f aca="false">IF(B12="","",ROW()-5)</f>
        <v>7</v>
      </c>
      <c r="B12" s="73" t="s">
        <v>264</v>
      </c>
      <c r="C12" s="73" t="s">
        <v>265</v>
      </c>
      <c r="D12" s="73" t="s">
        <v>266</v>
      </c>
      <c r="E12" s="73" t="s">
        <v>91</v>
      </c>
      <c r="F12" s="73" t="s">
        <v>153</v>
      </c>
      <c r="G12" s="73" t="s">
        <v>267</v>
      </c>
      <c r="H12" s="84" t="n">
        <v>44216</v>
      </c>
      <c r="I12" s="84" t="n">
        <v>46320</v>
      </c>
      <c r="J12" s="85" t="n">
        <v>11000</v>
      </c>
      <c r="K12" s="85" t="n">
        <v>2750</v>
      </c>
      <c r="L12" s="85" t="n">
        <v>1100</v>
      </c>
      <c r="M12" s="85" t="n">
        <v>800</v>
      </c>
      <c r="N12" s="86" t="n">
        <f aca="false">IF(B12="","",SUM(J12:M12))</f>
        <v>15650</v>
      </c>
      <c r="O12" s="86" t="n">
        <f aca="false">IF(B12="","",J12+IF(cfg_EOS_H="نعم",K12,0)+IF(cfg_EOS_T="نعم",L12,0)+IF(cfg_EOS_O="نعم",M12,0))</f>
        <v>14850</v>
      </c>
      <c r="P12" s="86" t="n">
        <f aca="false">IF(B12="","",J12+IF(cfg_LV_H="نعم",K12,0)+IF(cfg_LV_T="نعم",L12,0)+IF(cfg_LV_O="نعم",M12,0))</f>
        <v>14850</v>
      </c>
      <c r="Q12" s="86" t="n">
        <f aca="false">IF(B12="","",MIN(cfg_G_CAP,J12+K12))</f>
        <v>13750</v>
      </c>
      <c r="R12" s="87"/>
      <c r="S12" s="73" t="s">
        <v>126</v>
      </c>
      <c r="T12" s="85" t="n">
        <v>4500</v>
      </c>
      <c r="U12" s="87" t="n">
        <v>12</v>
      </c>
      <c r="V12" s="88" t="n">
        <v>16</v>
      </c>
      <c r="W12" s="85" t="n">
        <v>2400</v>
      </c>
      <c r="X12" s="84"/>
      <c r="Y12" s="73"/>
      <c r="Z12" s="74" t="str">
        <f aca="false">IF(B12="","",IF(AND(X12&lt;&gt;"",X12&lt;=cfg_VAL_DATE),"✖ منتهي الخدمة",IF(H12&gt;cfg_VAL_DATE,"⚠ لم يباشر بعد","✔ على رأس العمل")))</f>
        <v>✔ على رأس العمل</v>
      </c>
      <c r="AA12" s="73" t="s">
        <v>268</v>
      </c>
      <c r="AB12" s="73" t="s">
        <v>269</v>
      </c>
      <c r="AC12" s="73"/>
    </row>
    <row r="13" customFormat="false" ht="15" hidden="false" customHeight="false" outlineLevel="0" collapsed="false">
      <c r="A13" s="89" t="n">
        <f aca="false">IF(B13="","",ROW()-5)</f>
        <v>8</v>
      </c>
      <c r="B13" s="73" t="s">
        <v>270</v>
      </c>
      <c r="C13" s="73" t="s">
        <v>271</v>
      </c>
      <c r="D13" s="73" t="s">
        <v>251</v>
      </c>
      <c r="E13" s="73" t="s">
        <v>89</v>
      </c>
      <c r="F13" s="73" t="s">
        <v>130</v>
      </c>
      <c r="G13" s="73" t="s">
        <v>272</v>
      </c>
      <c r="H13" s="84" t="n">
        <v>44986</v>
      </c>
      <c r="I13" s="84" t="n">
        <v>48466</v>
      </c>
      <c r="J13" s="85" t="n">
        <v>7500</v>
      </c>
      <c r="K13" s="85" t="n">
        <v>1875</v>
      </c>
      <c r="L13" s="85" t="n">
        <v>750</v>
      </c>
      <c r="M13" s="85" t="n">
        <v>0</v>
      </c>
      <c r="N13" s="90" t="n">
        <f aca="false">IF(B13="","",SUM(J13:M13))</f>
        <v>10125</v>
      </c>
      <c r="O13" s="90" t="n">
        <f aca="false">IF(B13="","",J13+IF(cfg_EOS_H="نعم",K13,0)+IF(cfg_EOS_T="نعم",L13,0)+IF(cfg_EOS_O="نعم",M13,0))</f>
        <v>10125</v>
      </c>
      <c r="P13" s="90" t="n">
        <f aca="false">IF(B13="","",J13+IF(cfg_LV_H="نعم",K13,0)+IF(cfg_LV_T="نعم",L13,0)+IF(cfg_LV_O="نعم",M13,0))</f>
        <v>10125</v>
      </c>
      <c r="Q13" s="90" t="n">
        <f aca="false">IF(B13="","",MIN(cfg_G_CAP,J13+K13))</f>
        <v>9375</v>
      </c>
      <c r="R13" s="87"/>
      <c r="S13" s="73" t="s">
        <v>132</v>
      </c>
      <c r="T13" s="85" t="n">
        <v>0</v>
      </c>
      <c r="U13" s="87" t="n">
        <v>12</v>
      </c>
      <c r="V13" s="88" t="n">
        <v>6</v>
      </c>
      <c r="W13" s="85" t="n">
        <v>0</v>
      </c>
      <c r="X13" s="84"/>
      <c r="Y13" s="73"/>
      <c r="Z13" s="91" t="str">
        <f aca="false">IF(B13="","",IF(AND(X13&lt;&gt;"",X13&lt;=cfg_VAL_DATE),"✖ منتهي الخدمة",IF(H13&gt;cfg_VAL_DATE,"⚠ لم يباشر بعد","✔ على رأس العمل")))</f>
        <v>✔ على رأس العمل</v>
      </c>
      <c r="AA13" s="73" t="s">
        <v>253</v>
      </c>
      <c r="AB13" s="73" t="s">
        <v>273</v>
      </c>
      <c r="AC13" s="73"/>
    </row>
    <row r="14" customFormat="false" ht="15" hidden="false" customHeight="false" outlineLevel="0" collapsed="false">
      <c r="A14" s="83" t="n">
        <f aca="false">IF(B14="","",ROW()-5)</f>
        <v>9</v>
      </c>
      <c r="B14" s="73" t="s">
        <v>274</v>
      </c>
      <c r="C14" s="73" t="s">
        <v>275</v>
      </c>
      <c r="D14" s="73" t="s">
        <v>276</v>
      </c>
      <c r="E14" s="73" t="s">
        <v>91</v>
      </c>
      <c r="F14" s="73" t="s">
        <v>146</v>
      </c>
      <c r="G14" s="73" t="s">
        <v>277</v>
      </c>
      <c r="H14" s="84" t="n">
        <v>41869</v>
      </c>
      <c r="I14" s="84" t="n">
        <v>46539</v>
      </c>
      <c r="J14" s="85" t="n">
        <v>6500</v>
      </c>
      <c r="K14" s="85" t="n">
        <v>1625</v>
      </c>
      <c r="L14" s="85" t="n">
        <v>650</v>
      </c>
      <c r="M14" s="85" t="n">
        <v>300</v>
      </c>
      <c r="N14" s="86" t="n">
        <f aca="false">IF(B14="","",SUM(J14:M14))</f>
        <v>9075</v>
      </c>
      <c r="O14" s="86" t="n">
        <f aca="false">IF(B14="","",J14+IF(cfg_EOS_H="نعم",K14,0)+IF(cfg_EOS_T="نعم",L14,0)+IF(cfg_EOS_O="نعم",M14,0))</f>
        <v>8775</v>
      </c>
      <c r="P14" s="86" t="n">
        <f aca="false">IF(B14="","",J14+IF(cfg_LV_H="نعم",K14,0)+IF(cfg_LV_T="نعم",L14,0)+IF(cfg_LV_O="نعم",M14,0))</f>
        <v>8775</v>
      </c>
      <c r="Q14" s="86" t="n">
        <f aca="false">IF(B14="","",MIN(cfg_G_CAP,J14+K14))</f>
        <v>8125</v>
      </c>
      <c r="R14" s="87" t="n">
        <v>30</v>
      </c>
      <c r="S14" s="73" t="s">
        <v>126</v>
      </c>
      <c r="T14" s="85" t="n">
        <v>2200</v>
      </c>
      <c r="U14" s="87" t="n">
        <v>24</v>
      </c>
      <c r="V14" s="88" t="n">
        <v>35</v>
      </c>
      <c r="W14" s="85" t="n">
        <v>2000</v>
      </c>
      <c r="X14" s="84"/>
      <c r="Y14" s="73"/>
      <c r="Z14" s="74" t="str">
        <f aca="false">IF(B14="","",IF(AND(X14&lt;&gt;"",X14&lt;=cfg_VAL_DATE),"✖ منتهي الخدمة",IF(H14&gt;cfg_VAL_DATE,"⚠ لم يباشر بعد","✔ على رأس العمل")))</f>
        <v>✔ على رأس العمل</v>
      </c>
      <c r="AA14" s="73" t="s">
        <v>237</v>
      </c>
      <c r="AB14" s="73" t="s">
        <v>278</v>
      </c>
      <c r="AC14" s="73"/>
    </row>
    <row r="15" customFormat="false" ht="15" hidden="false" customHeight="false" outlineLevel="0" collapsed="false">
      <c r="A15" s="89" t="n">
        <f aca="false">IF(B15="","",ROW()-5)</f>
        <v>10</v>
      </c>
      <c r="B15" s="73" t="s">
        <v>279</v>
      </c>
      <c r="C15" s="73" t="s">
        <v>280</v>
      </c>
      <c r="D15" s="73" t="s">
        <v>251</v>
      </c>
      <c r="E15" s="73" t="s">
        <v>89</v>
      </c>
      <c r="F15" s="73" t="s">
        <v>141</v>
      </c>
      <c r="G15" s="73" t="s">
        <v>281</v>
      </c>
      <c r="H15" s="84" t="n">
        <v>46127</v>
      </c>
      <c r="I15" s="84" t="n">
        <v>48580</v>
      </c>
      <c r="J15" s="85" t="n">
        <v>9000</v>
      </c>
      <c r="K15" s="85" t="n">
        <v>2250</v>
      </c>
      <c r="L15" s="85" t="n">
        <v>900</v>
      </c>
      <c r="M15" s="85" t="n">
        <v>0</v>
      </c>
      <c r="N15" s="90" t="n">
        <f aca="false">IF(B15="","",SUM(J15:M15))</f>
        <v>12150</v>
      </c>
      <c r="O15" s="90" t="n">
        <f aca="false">IF(B15="","",J15+IF(cfg_EOS_H="نعم",K15,0)+IF(cfg_EOS_T="نعم",L15,0)+IF(cfg_EOS_O="نعم",M15,0))</f>
        <v>12150</v>
      </c>
      <c r="P15" s="90" t="n">
        <f aca="false">IF(B15="","",J15+IF(cfg_LV_H="نعم",K15,0)+IF(cfg_LV_T="نعم",L15,0)+IF(cfg_LV_O="نعم",M15,0))</f>
        <v>12150</v>
      </c>
      <c r="Q15" s="90" t="n">
        <f aca="false">IF(B15="","",MIN(cfg_G_CAP,J15+K15))</f>
        <v>11250</v>
      </c>
      <c r="R15" s="87"/>
      <c r="S15" s="73" t="s">
        <v>132</v>
      </c>
      <c r="T15" s="85" t="n">
        <v>0</v>
      </c>
      <c r="U15" s="87" t="n">
        <v>12</v>
      </c>
      <c r="V15" s="88" t="n">
        <v>0</v>
      </c>
      <c r="W15" s="85" t="n">
        <v>0</v>
      </c>
      <c r="X15" s="84"/>
      <c r="Y15" s="73"/>
      <c r="Z15" s="91" t="str">
        <f aca="false">IF(B15="","",IF(AND(X15&lt;&gt;"",X15&lt;=cfg_VAL_DATE),"✖ منتهي الخدمة",IF(H15&gt;cfg_VAL_DATE,"⚠ لم يباشر بعد","✔ على رأس العمل")))</f>
        <v>✔ على رأس العمل</v>
      </c>
      <c r="AA15" s="73" t="s">
        <v>242</v>
      </c>
      <c r="AB15" s="73" t="s">
        <v>282</v>
      </c>
      <c r="AC15" s="73"/>
    </row>
    <row r="16" customFormat="false" ht="15" hidden="false" customHeight="false" outlineLevel="0" collapsed="false">
      <c r="A16" s="83" t="n">
        <f aca="false">IF(B16="","",ROW()-5)</f>
        <v>11</v>
      </c>
      <c r="B16" s="73" t="s">
        <v>283</v>
      </c>
      <c r="C16" s="73" t="s">
        <v>284</v>
      </c>
      <c r="D16" s="73" t="s">
        <v>285</v>
      </c>
      <c r="E16" s="73" t="s">
        <v>91</v>
      </c>
      <c r="F16" s="73" t="s">
        <v>146</v>
      </c>
      <c r="G16" s="73" t="s">
        <v>286</v>
      </c>
      <c r="H16" s="84" t="n">
        <v>43525</v>
      </c>
      <c r="I16" s="84" t="n">
        <v>46481</v>
      </c>
      <c r="J16" s="85" t="n">
        <v>5000</v>
      </c>
      <c r="K16" s="85" t="n">
        <v>1250</v>
      </c>
      <c r="L16" s="85" t="n">
        <v>500</v>
      </c>
      <c r="M16" s="85" t="n">
        <v>0</v>
      </c>
      <c r="N16" s="86" t="n">
        <f aca="false">IF(B16="","",SUM(J16:M16))</f>
        <v>6750</v>
      </c>
      <c r="O16" s="86" t="n">
        <f aca="false">IF(B16="","",J16+IF(cfg_EOS_H="نعم",K16,0)+IF(cfg_EOS_T="نعم",L16,0)+IF(cfg_EOS_O="نعم",M16,0))</f>
        <v>6750</v>
      </c>
      <c r="P16" s="86" t="n">
        <f aca="false">IF(B16="","",J16+IF(cfg_LV_H="نعم",K16,0)+IF(cfg_LV_T="نعم",L16,0)+IF(cfg_LV_O="نعم",M16,0))</f>
        <v>6750</v>
      </c>
      <c r="Q16" s="86" t="n">
        <f aca="false">IF(B16="","",MIN(cfg_G_CAP,J16+K16))</f>
        <v>6250</v>
      </c>
      <c r="R16" s="87"/>
      <c r="S16" s="73" t="s">
        <v>126</v>
      </c>
      <c r="T16" s="85" t="n">
        <v>2600</v>
      </c>
      <c r="U16" s="87" t="n">
        <v>24</v>
      </c>
      <c r="V16" s="88" t="n">
        <v>22</v>
      </c>
      <c r="W16" s="85" t="n">
        <v>1800</v>
      </c>
      <c r="X16" s="84" t="n">
        <v>46203</v>
      </c>
      <c r="Y16" s="73" t="s">
        <v>125</v>
      </c>
      <c r="Z16" s="74" t="str">
        <f aca="false">IF(B16="","",IF(AND(X16&lt;&gt;"",X16&lt;=cfg_VAL_DATE),"✖ منتهي الخدمة",IF(H16&gt;cfg_VAL_DATE,"⚠ لم يباشر بعد","✔ على رأس العمل")))</f>
        <v>✖ منتهي الخدمة</v>
      </c>
      <c r="AA16" s="73" t="s">
        <v>237</v>
      </c>
      <c r="AB16" s="73" t="s">
        <v>287</v>
      </c>
      <c r="AC16" s="73"/>
    </row>
    <row r="17" customFormat="false" ht="15" hidden="false" customHeight="false" outlineLevel="0" collapsed="false">
      <c r="A17" s="89" t="n">
        <f aca="false">IF(B17="","",ROW()-5)</f>
        <v>12</v>
      </c>
      <c r="B17" s="73" t="s">
        <v>288</v>
      </c>
      <c r="C17" s="73" t="s">
        <v>289</v>
      </c>
      <c r="D17" s="73" t="s">
        <v>89</v>
      </c>
      <c r="E17" s="73" t="s">
        <v>89</v>
      </c>
      <c r="F17" s="73" t="s">
        <v>150</v>
      </c>
      <c r="G17" s="73" t="s">
        <v>290</v>
      </c>
      <c r="H17" s="84" t="n">
        <v>44752</v>
      </c>
      <c r="I17" s="84" t="n">
        <v>47464</v>
      </c>
      <c r="J17" s="85" t="n">
        <v>12000</v>
      </c>
      <c r="K17" s="85" t="n">
        <v>3000</v>
      </c>
      <c r="L17" s="85" t="n">
        <v>1200</v>
      </c>
      <c r="M17" s="85" t="n">
        <v>1500</v>
      </c>
      <c r="N17" s="90" t="n">
        <f aca="false">IF(B17="","",SUM(J17:M17))</f>
        <v>17700</v>
      </c>
      <c r="O17" s="90" t="n">
        <f aca="false">IF(B17="","",J17+IF(cfg_EOS_H="نعم",K17,0)+IF(cfg_EOS_T="نعم",L17,0)+IF(cfg_EOS_O="نعم",M17,0))</f>
        <v>16200</v>
      </c>
      <c r="P17" s="90" t="n">
        <f aca="false">IF(B17="","",J17+IF(cfg_LV_H="نعم",K17,0)+IF(cfg_LV_T="نعم",L17,0)+IF(cfg_LV_O="نعم",M17,0))</f>
        <v>16200</v>
      </c>
      <c r="Q17" s="90" t="n">
        <f aca="false">IF(B17="","",MIN(cfg_G_CAP,J17+K17))</f>
        <v>15000</v>
      </c>
      <c r="R17" s="87"/>
      <c r="S17" s="73" t="s">
        <v>132</v>
      </c>
      <c r="T17" s="85" t="n">
        <v>0</v>
      </c>
      <c r="U17" s="87" t="n">
        <v>12</v>
      </c>
      <c r="V17" s="88" t="n">
        <v>10</v>
      </c>
      <c r="W17" s="85" t="n">
        <v>0</v>
      </c>
      <c r="X17" s="84"/>
      <c r="Y17" s="73"/>
      <c r="Z17" s="91" t="str">
        <f aca="false">IF(B17="","",IF(AND(X17&lt;&gt;"",X17&lt;=cfg_VAL_DATE),"✖ منتهي الخدمة",IF(H17&gt;cfg_VAL_DATE,"⚠ لم يباشر بعد","✔ على رأس العمل")))</f>
        <v>✔ على رأس العمل</v>
      </c>
      <c r="AA17" s="73" t="s">
        <v>268</v>
      </c>
      <c r="AB17" s="73" t="s">
        <v>291</v>
      </c>
      <c r="AC17" s="73"/>
    </row>
    <row r="18" customFormat="false" ht="15" hidden="false" customHeight="false" outlineLevel="0" collapsed="false">
      <c r="A18" s="83" t="str">
        <f aca="false">IF(B18="","",ROW()-5)</f>
        <v/>
      </c>
      <c r="B18" s="73"/>
      <c r="C18" s="73"/>
      <c r="D18" s="73"/>
      <c r="E18" s="73"/>
      <c r="F18" s="73"/>
      <c r="G18" s="73"/>
      <c r="H18" s="84"/>
      <c r="I18" s="84"/>
      <c r="J18" s="85"/>
      <c r="K18" s="85"/>
      <c r="L18" s="85"/>
      <c r="M18" s="85"/>
      <c r="N18" s="86" t="str">
        <f aca="false">IF(B18="","",SUM(J18:M18))</f>
        <v/>
      </c>
      <c r="O18" s="86" t="str">
        <f aca="false">IF(B18="","",J18+IF(cfg_EOS_H="نعم",K18,0)+IF(cfg_EOS_T="نعم",L18,0)+IF(cfg_EOS_O="نعم",M18,0))</f>
        <v/>
      </c>
      <c r="P18" s="86" t="str">
        <f aca="false">IF(B18="","",J18+IF(cfg_LV_H="نعم",K18,0)+IF(cfg_LV_T="نعم",L18,0)+IF(cfg_LV_O="نعم",M18,0))</f>
        <v/>
      </c>
      <c r="Q18" s="86" t="str">
        <f aca="false">IF(B18="","",MIN(cfg_G_CAP,J18+K18))</f>
        <v/>
      </c>
      <c r="R18" s="87"/>
      <c r="S18" s="73"/>
      <c r="T18" s="85"/>
      <c r="U18" s="87"/>
      <c r="V18" s="88"/>
      <c r="W18" s="85"/>
      <c r="X18" s="84"/>
      <c r="Y18" s="73"/>
      <c r="Z18" s="74" t="str">
        <f aca="false">IF(B18="","",IF(AND(X18&lt;&gt;"",X18&lt;=cfg_VAL_DATE),"✖ منتهي الخدمة",IF(H18&gt;cfg_VAL_DATE,"⚠ لم يباشر بعد","✔ على رأس العمل")))</f>
        <v/>
      </c>
      <c r="AA18" s="73"/>
      <c r="AB18" s="73"/>
      <c r="AC18" s="73"/>
    </row>
    <row r="19" customFormat="false" ht="15" hidden="false" customHeight="false" outlineLevel="0" collapsed="false">
      <c r="A19" s="89" t="str">
        <f aca="false">IF(B19="","",ROW()-5)</f>
        <v/>
      </c>
      <c r="B19" s="73"/>
      <c r="C19" s="73"/>
      <c r="D19" s="73"/>
      <c r="E19" s="73"/>
      <c r="F19" s="73"/>
      <c r="G19" s="73"/>
      <c r="H19" s="84"/>
      <c r="I19" s="84"/>
      <c r="J19" s="85"/>
      <c r="K19" s="85"/>
      <c r="L19" s="85"/>
      <c r="M19" s="85"/>
      <c r="N19" s="90" t="str">
        <f aca="false">IF(B19="","",SUM(J19:M19))</f>
        <v/>
      </c>
      <c r="O19" s="90" t="str">
        <f aca="false">IF(B19="","",J19+IF(cfg_EOS_H="نعم",K19,0)+IF(cfg_EOS_T="نعم",L19,0)+IF(cfg_EOS_O="نعم",M19,0))</f>
        <v/>
      </c>
      <c r="P19" s="90" t="str">
        <f aca="false">IF(B19="","",J19+IF(cfg_LV_H="نعم",K19,0)+IF(cfg_LV_T="نعم",L19,0)+IF(cfg_LV_O="نعم",M19,0))</f>
        <v/>
      </c>
      <c r="Q19" s="90" t="str">
        <f aca="false">IF(B19="","",MIN(cfg_G_CAP,J19+K19))</f>
        <v/>
      </c>
      <c r="R19" s="87"/>
      <c r="S19" s="73"/>
      <c r="T19" s="85"/>
      <c r="U19" s="87"/>
      <c r="V19" s="88"/>
      <c r="W19" s="85"/>
      <c r="X19" s="84"/>
      <c r="Y19" s="73"/>
      <c r="Z19" s="91" t="str">
        <f aca="false">IF(B19="","",IF(AND(X19&lt;&gt;"",X19&lt;=cfg_VAL_DATE),"✖ منتهي الخدمة",IF(H19&gt;cfg_VAL_DATE,"⚠ لم يباشر بعد","✔ على رأس العمل")))</f>
        <v/>
      </c>
      <c r="AA19" s="73"/>
      <c r="AB19" s="73"/>
      <c r="AC19" s="73"/>
    </row>
    <row r="20" customFormat="false" ht="15" hidden="false" customHeight="false" outlineLevel="0" collapsed="false">
      <c r="A20" s="83" t="str">
        <f aca="false">IF(B20="","",ROW()-5)</f>
        <v/>
      </c>
      <c r="B20" s="73"/>
      <c r="C20" s="73"/>
      <c r="D20" s="73"/>
      <c r="E20" s="73"/>
      <c r="F20" s="73"/>
      <c r="G20" s="73"/>
      <c r="H20" s="84"/>
      <c r="I20" s="84"/>
      <c r="J20" s="85"/>
      <c r="K20" s="85"/>
      <c r="L20" s="85"/>
      <c r="M20" s="85"/>
      <c r="N20" s="86" t="str">
        <f aca="false">IF(B20="","",SUM(J20:M20))</f>
        <v/>
      </c>
      <c r="O20" s="86" t="str">
        <f aca="false">IF(B20="","",J20+IF(cfg_EOS_H="نعم",K20,0)+IF(cfg_EOS_T="نعم",L20,0)+IF(cfg_EOS_O="نعم",M20,0))</f>
        <v/>
      </c>
      <c r="P20" s="86" t="str">
        <f aca="false">IF(B20="","",J20+IF(cfg_LV_H="نعم",K20,0)+IF(cfg_LV_T="نعم",L20,0)+IF(cfg_LV_O="نعم",M20,0))</f>
        <v/>
      </c>
      <c r="Q20" s="86" t="str">
        <f aca="false">IF(B20="","",MIN(cfg_G_CAP,J20+K20))</f>
        <v/>
      </c>
      <c r="R20" s="87"/>
      <c r="S20" s="73"/>
      <c r="T20" s="85"/>
      <c r="U20" s="87"/>
      <c r="V20" s="88"/>
      <c r="W20" s="85"/>
      <c r="X20" s="84"/>
      <c r="Y20" s="73"/>
      <c r="Z20" s="74" t="str">
        <f aca="false">IF(B20="","",IF(AND(X20&lt;&gt;"",X20&lt;=cfg_VAL_DATE),"✖ منتهي الخدمة",IF(H20&gt;cfg_VAL_DATE,"⚠ لم يباشر بعد","✔ على رأس العمل")))</f>
        <v/>
      </c>
      <c r="AA20" s="73"/>
      <c r="AB20" s="73"/>
      <c r="AC20" s="73"/>
    </row>
    <row r="21" customFormat="false" ht="15" hidden="false" customHeight="false" outlineLevel="0" collapsed="false">
      <c r="A21" s="89" t="str">
        <f aca="false">IF(B21="","",ROW()-5)</f>
        <v/>
      </c>
      <c r="B21" s="73"/>
      <c r="C21" s="73"/>
      <c r="D21" s="73"/>
      <c r="E21" s="73"/>
      <c r="F21" s="73"/>
      <c r="G21" s="73"/>
      <c r="H21" s="84"/>
      <c r="I21" s="84"/>
      <c r="J21" s="85"/>
      <c r="K21" s="85"/>
      <c r="L21" s="85"/>
      <c r="M21" s="85"/>
      <c r="N21" s="90" t="str">
        <f aca="false">IF(B21="","",SUM(J21:M21))</f>
        <v/>
      </c>
      <c r="O21" s="90" t="str">
        <f aca="false">IF(B21="","",J21+IF(cfg_EOS_H="نعم",K21,0)+IF(cfg_EOS_T="نعم",L21,0)+IF(cfg_EOS_O="نعم",M21,0))</f>
        <v/>
      </c>
      <c r="P21" s="90" t="str">
        <f aca="false">IF(B21="","",J21+IF(cfg_LV_H="نعم",K21,0)+IF(cfg_LV_T="نعم",L21,0)+IF(cfg_LV_O="نعم",M21,0))</f>
        <v/>
      </c>
      <c r="Q21" s="90" t="str">
        <f aca="false">IF(B21="","",MIN(cfg_G_CAP,J21+K21))</f>
        <v/>
      </c>
      <c r="R21" s="87"/>
      <c r="S21" s="73"/>
      <c r="T21" s="85"/>
      <c r="U21" s="87"/>
      <c r="V21" s="88"/>
      <c r="W21" s="85"/>
      <c r="X21" s="84"/>
      <c r="Y21" s="73"/>
      <c r="Z21" s="91" t="str">
        <f aca="false">IF(B21="","",IF(AND(X21&lt;&gt;"",X21&lt;=cfg_VAL_DATE),"✖ منتهي الخدمة",IF(H21&gt;cfg_VAL_DATE,"⚠ لم يباشر بعد","✔ على رأس العمل")))</f>
        <v/>
      </c>
      <c r="AA21" s="73"/>
      <c r="AB21" s="73"/>
      <c r="AC21" s="73"/>
    </row>
    <row r="22" customFormat="false" ht="15" hidden="false" customHeight="false" outlineLevel="0" collapsed="false">
      <c r="A22" s="83" t="str">
        <f aca="false">IF(B22="","",ROW()-5)</f>
        <v/>
      </c>
      <c r="B22" s="73"/>
      <c r="C22" s="73"/>
      <c r="D22" s="73"/>
      <c r="E22" s="73"/>
      <c r="F22" s="73"/>
      <c r="G22" s="73"/>
      <c r="H22" s="84"/>
      <c r="I22" s="84"/>
      <c r="J22" s="85"/>
      <c r="K22" s="85"/>
      <c r="L22" s="85"/>
      <c r="M22" s="85"/>
      <c r="N22" s="86" t="str">
        <f aca="false">IF(B22="","",SUM(J22:M22))</f>
        <v/>
      </c>
      <c r="O22" s="86" t="str">
        <f aca="false">IF(B22="","",J22+IF(cfg_EOS_H="نعم",K22,0)+IF(cfg_EOS_T="نعم",L22,0)+IF(cfg_EOS_O="نعم",M22,0))</f>
        <v/>
      </c>
      <c r="P22" s="86" t="str">
        <f aca="false">IF(B22="","",J22+IF(cfg_LV_H="نعم",K22,0)+IF(cfg_LV_T="نعم",L22,0)+IF(cfg_LV_O="نعم",M22,0))</f>
        <v/>
      </c>
      <c r="Q22" s="86" t="str">
        <f aca="false">IF(B22="","",MIN(cfg_G_CAP,J22+K22))</f>
        <v/>
      </c>
      <c r="R22" s="87"/>
      <c r="S22" s="73"/>
      <c r="T22" s="85"/>
      <c r="U22" s="87"/>
      <c r="V22" s="88"/>
      <c r="W22" s="85"/>
      <c r="X22" s="84"/>
      <c r="Y22" s="73"/>
      <c r="Z22" s="74" t="str">
        <f aca="false">IF(B22="","",IF(AND(X22&lt;&gt;"",X22&lt;=cfg_VAL_DATE),"✖ منتهي الخدمة",IF(H22&gt;cfg_VAL_DATE,"⚠ لم يباشر بعد","✔ على رأس العمل")))</f>
        <v/>
      </c>
      <c r="AA22" s="73"/>
      <c r="AB22" s="73"/>
      <c r="AC22" s="73"/>
    </row>
    <row r="23" customFormat="false" ht="15" hidden="false" customHeight="false" outlineLevel="0" collapsed="false">
      <c r="A23" s="89" t="str">
        <f aca="false">IF(B23="","",ROW()-5)</f>
        <v/>
      </c>
      <c r="B23" s="73"/>
      <c r="C23" s="73"/>
      <c r="D23" s="73"/>
      <c r="E23" s="73"/>
      <c r="F23" s="73"/>
      <c r="G23" s="73"/>
      <c r="H23" s="84"/>
      <c r="I23" s="84"/>
      <c r="J23" s="85"/>
      <c r="K23" s="85"/>
      <c r="L23" s="85"/>
      <c r="M23" s="85"/>
      <c r="N23" s="90" t="str">
        <f aca="false">IF(B23="","",SUM(J23:M23))</f>
        <v/>
      </c>
      <c r="O23" s="90" t="str">
        <f aca="false">IF(B23="","",J23+IF(cfg_EOS_H="نعم",K23,0)+IF(cfg_EOS_T="نعم",L23,0)+IF(cfg_EOS_O="نعم",M23,0))</f>
        <v/>
      </c>
      <c r="P23" s="90" t="str">
        <f aca="false">IF(B23="","",J23+IF(cfg_LV_H="نعم",K23,0)+IF(cfg_LV_T="نعم",L23,0)+IF(cfg_LV_O="نعم",M23,0))</f>
        <v/>
      </c>
      <c r="Q23" s="90" t="str">
        <f aca="false">IF(B23="","",MIN(cfg_G_CAP,J23+K23))</f>
        <v/>
      </c>
      <c r="R23" s="87"/>
      <c r="S23" s="73"/>
      <c r="T23" s="85"/>
      <c r="U23" s="87"/>
      <c r="V23" s="88"/>
      <c r="W23" s="85"/>
      <c r="X23" s="84"/>
      <c r="Y23" s="73"/>
      <c r="Z23" s="91" t="str">
        <f aca="false">IF(B23="","",IF(AND(X23&lt;&gt;"",X23&lt;=cfg_VAL_DATE),"✖ منتهي الخدمة",IF(H23&gt;cfg_VAL_DATE,"⚠ لم يباشر بعد","✔ على رأس العمل")))</f>
        <v/>
      </c>
      <c r="AA23" s="73"/>
      <c r="AB23" s="73"/>
      <c r="AC23" s="73"/>
    </row>
    <row r="24" customFormat="false" ht="15" hidden="false" customHeight="false" outlineLevel="0" collapsed="false">
      <c r="A24" s="83" t="str">
        <f aca="false">IF(B24="","",ROW()-5)</f>
        <v/>
      </c>
      <c r="B24" s="73"/>
      <c r="C24" s="73"/>
      <c r="D24" s="73"/>
      <c r="E24" s="73"/>
      <c r="F24" s="73"/>
      <c r="G24" s="73"/>
      <c r="H24" s="84"/>
      <c r="I24" s="84"/>
      <c r="J24" s="85"/>
      <c r="K24" s="85"/>
      <c r="L24" s="85"/>
      <c r="M24" s="85"/>
      <c r="N24" s="86" t="str">
        <f aca="false">IF(B24="","",SUM(J24:M24))</f>
        <v/>
      </c>
      <c r="O24" s="86" t="str">
        <f aca="false">IF(B24="","",J24+IF(cfg_EOS_H="نعم",K24,0)+IF(cfg_EOS_T="نعم",L24,0)+IF(cfg_EOS_O="نعم",M24,0))</f>
        <v/>
      </c>
      <c r="P24" s="86" t="str">
        <f aca="false">IF(B24="","",J24+IF(cfg_LV_H="نعم",K24,0)+IF(cfg_LV_T="نعم",L24,0)+IF(cfg_LV_O="نعم",M24,0))</f>
        <v/>
      </c>
      <c r="Q24" s="86" t="str">
        <f aca="false">IF(B24="","",MIN(cfg_G_CAP,J24+K24))</f>
        <v/>
      </c>
      <c r="R24" s="87"/>
      <c r="S24" s="73"/>
      <c r="T24" s="85"/>
      <c r="U24" s="87"/>
      <c r="V24" s="88"/>
      <c r="W24" s="85"/>
      <c r="X24" s="84"/>
      <c r="Y24" s="73"/>
      <c r="Z24" s="74" t="str">
        <f aca="false">IF(B24="","",IF(AND(X24&lt;&gt;"",X24&lt;=cfg_VAL_DATE),"✖ منتهي الخدمة",IF(H24&gt;cfg_VAL_DATE,"⚠ لم يباشر بعد","✔ على رأس العمل")))</f>
        <v/>
      </c>
      <c r="AA24" s="73"/>
      <c r="AB24" s="73"/>
      <c r="AC24" s="73"/>
    </row>
    <row r="25" customFormat="false" ht="15" hidden="false" customHeight="false" outlineLevel="0" collapsed="false">
      <c r="A25" s="89" t="str">
        <f aca="false">IF(B25="","",ROW()-5)</f>
        <v/>
      </c>
      <c r="B25" s="73"/>
      <c r="C25" s="73"/>
      <c r="D25" s="73"/>
      <c r="E25" s="73"/>
      <c r="F25" s="73"/>
      <c r="G25" s="73"/>
      <c r="H25" s="84"/>
      <c r="I25" s="84"/>
      <c r="J25" s="85"/>
      <c r="K25" s="85"/>
      <c r="L25" s="85"/>
      <c r="M25" s="85"/>
      <c r="N25" s="90" t="str">
        <f aca="false">IF(B25="","",SUM(J25:M25))</f>
        <v/>
      </c>
      <c r="O25" s="90" t="str">
        <f aca="false">IF(B25="","",J25+IF(cfg_EOS_H="نعم",K25,0)+IF(cfg_EOS_T="نعم",L25,0)+IF(cfg_EOS_O="نعم",M25,0))</f>
        <v/>
      </c>
      <c r="P25" s="90" t="str">
        <f aca="false">IF(B25="","",J25+IF(cfg_LV_H="نعم",K25,0)+IF(cfg_LV_T="نعم",L25,0)+IF(cfg_LV_O="نعم",M25,0))</f>
        <v/>
      </c>
      <c r="Q25" s="90" t="str">
        <f aca="false">IF(B25="","",MIN(cfg_G_CAP,J25+K25))</f>
        <v/>
      </c>
      <c r="R25" s="87"/>
      <c r="S25" s="73"/>
      <c r="T25" s="85"/>
      <c r="U25" s="87"/>
      <c r="V25" s="88"/>
      <c r="W25" s="85"/>
      <c r="X25" s="84"/>
      <c r="Y25" s="73"/>
      <c r="Z25" s="91" t="str">
        <f aca="false">IF(B25="","",IF(AND(X25&lt;&gt;"",X25&lt;=cfg_VAL_DATE),"✖ منتهي الخدمة",IF(H25&gt;cfg_VAL_DATE,"⚠ لم يباشر بعد","✔ على رأس العمل")))</f>
        <v/>
      </c>
      <c r="AA25" s="73"/>
      <c r="AB25" s="73"/>
      <c r="AC25" s="73"/>
    </row>
    <row r="26" customFormat="false" ht="15" hidden="false" customHeight="false" outlineLevel="0" collapsed="false">
      <c r="A26" s="83" t="str">
        <f aca="false">IF(B26="","",ROW()-5)</f>
        <v/>
      </c>
      <c r="B26" s="73"/>
      <c r="C26" s="73"/>
      <c r="D26" s="73"/>
      <c r="E26" s="73"/>
      <c r="F26" s="73"/>
      <c r="G26" s="73"/>
      <c r="H26" s="84"/>
      <c r="I26" s="84"/>
      <c r="J26" s="85"/>
      <c r="K26" s="85"/>
      <c r="L26" s="85"/>
      <c r="M26" s="85"/>
      <c r="N26" s="86" t="str">
        <f aca="false">IF(B26="","",SUM(J26:M26))</f>
        <v/>
      </c>
      <c r="O26" s="86" t="str">
        <f aca="false">IF(B26="","",J26+IF(cfg_EOS_H="نعم",K26,0)+IF(cfg_EOS_T="نعم",L26,0)+IF(cfg_EOS_O="نعم",M26,0))</f>
        <v/>
      </c>
      <c r="P26" s="86" t="str">
        <f aca="false">IF(B26="","",J26+IF(cfg_LV_H="نعم",K26,0)+IF(cfg_LV_T="نعم",L26,0)+IF(cfg_LV_O="نعم",M26,0))</f>
        <v/>
      </c>
      <c r="Q26" s="86" t="str">
        <f aca="false">IF(B26="","",MIN(cfg_G_CAP,J26+K26))</f>
        <v/>
      </c>
      <c r="R26" s="87"/>
      <c r="S26" s="73"/>
      <c r="T26" s="85"/>
      <c r="U26" s="87"/>
      <c r="V26" s="88"/>
      <c r="W26" s="85"/>
      <c r="X26" s="84"/>
      <c r="Y26" s="73"/>
      <c r="Z26" s="74" t="str">
        <f aca="false">IF(B26="","",IF(AND(X26&lt;&gt;"",X26&lt;=cfg_VAL_DATE),"✖ منتهي الخدمة",IF(H26&gt;cfg_VAL_DATE,"⚠ لم يباشر بعد","✔ على رأس العمل")))</f>
        <v/>
      </c>
      <c r="AA26" s="73"/>
      <c r="AB26" s="73"/>
      <c r="AC26" s="73"/>
    </row>
    <row r="27" customFormat="false" ht="15" hidden="false" customHeight="false" outlineLevel="0" collapsed="false">
      <c r="A27" s="89" t="str">
        <f aca="false">IF(B27="","",ROW()-5)</f>
        <v/>
      </c>
      <c r="B27" s="73"/>
      <c r="C27" s="73"/>
      <c r="D27" s="73"/>
      <c r="E27" s="73"/>
      <c r="F27" s="73"/>
      <c r="G27" s="73"/>
      <c r="H27" s="84"/>
      <c r="I27" s="84"/>
      <c r="J27" s="85"/>
      <c r="K27" s="85"/>
      <c r="L27" s="85"/>
      <c r="M27" s="85"/>
      <c r="N27" s="90" t="str">
        <f aca="false">IF(B27="","",SUM(J27:M27))</f>
        <v/>
      </c>
      <c r="O27" s="90" t="str">
        <f aca="false">IF(B27="","",J27+IF(cfg_EOS_H="نعم",K27,0)+IF(cfg_EOS_T="نعم",L27,0)+IF(cfg_EOS_O="نعم",M27,0))</f>
        <v/>
      </c>
      <c r="P27" s="90" t="str">
        <f aca="false">IF(B27="","",J27+IF(cfg_LV_H="نعم",K27,0)+IF(cfg_LV_T="نعم",L27,0)+IF(cfg_LV_O="نعم",M27,0))</f>
        <v/>
      </c>
      <c r="Q27" s="90" t="str">
        <f aca="false">IF(B27="","",MIN(cfg_G_CAP,J27+K27))</f>
        <v/>
      </c>
      <c r="R27" s="87"/>
      <c r="S27" s="73"/>
      <c r="T27" s="85"/>
      <c r="U27" s="87"/>
      <c r="V27" s="88"/>
      <c r="W27" s="85"/>
      <c r="X27" s="84"/>
      <c r="Y27" s="73"/>
      <c r="Z27" s="91" t="str">
        <f aca="false">IF(B27="","",IF(AND(X27&lt;&gt;"",X27&lt;=cfg_VAL_DATE),"✖ منتهي الخدمة",IF(H27&gt;cfg_VAL_DATE,"⚠ لم يباشر بعد","✔ على رأس العمل")))</f>
        <v/>
      </c>
      <c r="AA27" s="73"/>
      <c r="AB27" s="73"/>
      <c r="AC27" s="73"/>
    </row>
    <row r="28" customFormat="false" ht="15" hidden="false" customHeight="false" outlineLevel="0" collapsed="false">
      <c r="A28" s="83" t="str">
        <f aca="false">IF(B28="","",ROW()-5)</f>
        <v/>
      </c>
      <c r="B28" s="73"/>
      <c r="C28" s="73"/>
      <c r="D28" s="73"/>
      <c r="E28" s="73"/>
      <c r="F28" s="73"/>
      <c r="G28" s="73"/>
      <c r="H28" s="84"/>
      <c r="I28" s="84"/>
      <c r="J28" s="85"/>
      <c r="K28" s="85"/>
      <c r="L28" s="85"/>
      <c r="M28" s="85"/>
      <c r="N28" s="86" t="str">
        <f aca="false">IF(B28="","",SUM(J28:M28))</f>
        <v/>
      </c>
      <c r="O28" s="86" t="str">
        <f aca="false">IF(B28="","",J28+IF(cfg_EOS_H="نعم",K28,0)+IF(cfg_EOS_T="نعم",L28,0)+IF(cfg_EOS_O="نعم",M28,0))</f>
        <v/>
      </c>
      <c r="P28" s="86" t="str">
        <f aca="false">IF(B28="","",J28+IF(cfg_LV_H="نعم",K28,0)+IF(cfg_LV_T="نعم",L28,0)+IF(cfg_LV_O="نعم",M28,0))</f>
        <v/>
      </c>
      <c r="Q28" s="86" t="str">
        <f aca="false">IF(B28="","",MIN(cfg_G_CAP,J28+K28))</f>
        <v/>
      </c>
      <c r="R28" s="87"/>
      <c r="S28" s="73"/>
      <c r="T28" s="85"/>
      <c r="U28" s="87"/>
      <c r="V28" s="88"/>
      <c r="W28" s="85"/>
      <c r="X28" s="84"/>
      <c r="Y28" s="73"/>
      <c r="Z28" s="74" t="str">
        <f aca="false">IF(B28="","",IF(AND(X28&lt;&gt;"",X28&lt;=cfg_VAL_DATE),"✖ منتهي الخدمة",IF(H28&gt;cfg_VAL_DATE,"⚠ لم يباشر بعد","✔ على رأس العمل")))</f>
        <v/>
      </c>
      <c r="AA28" s="73"/>
      <c r="AB28" s="73"/>
      <c r="AC28" s="73"/>
    </row>
    <row r="29" customFormat="false" ht="15" hidden="false" customHeight="false" outlineLevel="0" collapsed="false">
      <c r="A29" s="89" t="str">
        <f aca="false">IF(B29="","",ROW()-5)</f>
        <v/>
      </c>
      <c r="B29" s="73"/>
      <c r="C29" s="73"/>
      <c r="D29" s="73"/>
      <c r="E29" s="73"/>
      <c r="F29" s="73"/>
      <c r="G29" s="73"/>
      <c r="H29" s="84"/>
      <c r="I29" s="84"/>
      <c r="J29" s="85"/>
      <c r="K29" s="85"/>
      <c r="L29" s="85"/>
      <c r="M29" s="85"/>
      <c r="N29" s="90" t="str">
        <f aca="false">IF(B29="","",SUM(J29:M29))</f>
        <v/>
      </c>
      <c r="O29" s="90" t="str">
        <f aca="false">IF(B29="","",J29+IF(cfg_EOS_H="نعم",K29,0)+IF(cfg_EOS_T="نعم",L29,0)+IF(cfg_EOS_O="نعم",M29,0))</f>
        <v/>
      </c>
      <c r="P29" s="90" t="str">
        <f aca="false">IF(B29="","",J29+IF(cfg_LV_H="نعم",K29,0)+IF(cfg_LV_T="نعم",L29,0)+IF(cfg_LV_O="نعم",M29,0))</f>
        <v/>
      </c>
      <c r="Q29" s="90" t="str">
        <f aca="false">IF(B29="","",MIN(cfg_G_CAP,J29+K29))</f>
        <v/>
      </c>
      <c r="R29" s="87"/>
      <c r="S29" s="73"/>
      <c r="T29" s="85"/>
      <c r="U29" s="87"/>
      <c r="V29" s="88"/>
      <c r="W29" s="85"/>
      <c r="X29" s="84"/>
      <c r="Y29" s="73"/>
      <c r="Z29" s="91" t="str">
        <f aca="false">IF(B29="","",IF(AND(X29&lt;&gt;"",X29&lt;=cfg_VAL_DATE),"✖ منتهي الخدمة",IF(H29&gt;cfg_VAL_DATE,"⚠ لم يباشر بعد","✔ على رأس العمل")))</f>
        <v/>
      </c>
      <c r="AA29" s="73"/>
      <c r="AB29" s="73"/>
      <c r="AC29" s="73"/>
    </row>
    <row r="30" customFormat="false" ht="15" hidden="false" customHeight="false" outlineLevel="0" collapsed="false">
      <c r="A30" s="83" t="str">
        <f aca="false">IF(B30="","",ROW()-5)</f>
        <v/>
      </c>
      <c r="B30" s="73"/>
      <c r="C30" s="73"/>
      <c r="D30" s="73"/>
      <c r="E30" s="73"/>
      <c r="F30" s="73"/>
      <c r="G30" s="73"/>
      <c r="H30" s="84"/>
      <c r="I30" s="84"/>
      <c r="J30" s="85"/>
      <c r="K30" s="85"/>
      <c r="L30" s="85"/>
      <c r="M30" s="85"/>
      <c r="N30" s="86" t="str">
        <f aca="false">IF(B30="","",SUM(J30:M30))</f>
        <v/>
      </c>
      <c r="O30" s="86" t="str">
        <f aca="false">IF(B30="","",J30+IF(cfg_EOS_H="نعم",K30,0)+IF(cfg_EOS_T="نعم",L30,0)+IF(cfg_EOS_O="نعم",M30,0))</f>
        <v/>
      </c>
      <c r="P30" s="86" t="str">
        <f aca="false">IF(B30="","",J30+IF(cfg_LV_H="نعم",K30,0)+IF(cfg_LV_T="نعم",L30,0)+IF(cfg_LV_O="نعم",M30,0))</f>
        <v/>
      </c>
      <c r="Q30" s="86" t="str">
        <f aca="false">IF(B30="","",MIN(cfg_G_CAP,J30+K30))</f>
        <v/>
      </c>
      <c r="R30" s="87"/>
      <c r="S30" s="73"/>
      <c r="T30" s="85"/>
      <c r="U30" s="87"/>
      <c r="V30" s="88"/>
      <c r="W30" s="85"/>
      <c r="X30" s="84"/>
      <c r="Y30" s="73"/>
      <c r="Z30" s="74" t="str">
        <f aca="false">IF(B30="","",IF(AND(X30&lt;&gt;"",X30&lt;=cfg_VAL_DATE),"✖ منتهي الخدمة",IF(H30&gt;cfg_VAL_DATE,"⚠ لم يباشر بعد","✔ على رأس العمل")))</f>
        <v/>
      </c>
      <c r="AA30" s="73"/>
      <c r="AB30" s="73"/>
      <c r="AC30" s="73"/>
    </row>
    <row r="31" customFormat="false" ht="15" hidden="false" customHeight="false" outlineLevel="0" collapsed="false">
      <c r="A31" s="89" t="str">
        <f aca="false">IF(B31="","",ROW()-5)</f>
        <v/>
      </c>
      <c r="B31" s="73"/>
      <c r="C31" s="73"/>
      <c r="D31" s="73"/>
      <c r="E31" s="73"/>
      <c r="F31" s="73"/>
      <c r="G31" s="73"/>
      <c r="H31" s="84"/>
      <c r="I31" s="84"/>
      <c r="J31" s="85"/>
      <c r="K31" s="85"/>
      <c r="L31" s="85"/>
      <c r="M31" s="85"/>
      <c r="N31" s="90" t="str">
        <f aca="false">IF(B31="","",SUM(J31:M31))</f>
        <v/>
      </c>
      <c r="O31" s="90" t="str">
        <f aca="false">IF(B31="","",J31+IF(cfg_EOS_H="نعم",K31,0)+IF(cfg_EOS_T="نعم",L31,0)+IF(cfg_EOS_O="نعم",M31,0))</f>
        <v/>
      </c>
      <c r="P31" s="90" t="str">
        <f aca="false">IF(B31="","",J31+IF(cfg_LV_H="نعم",K31,0)+IF(cfg_LV_T="نعم",L31,0)+IF(cfg_LV_O="نعم",M31,0))</f>
        <v/>
      </c>
      <c r="Q31" s="90" t="str">
        <f aca="false">IF(B31="","",MIN(cfg_G_CAP,J31+K31))</f>
        <v/>
      </c>
      <c r="R31" s="87"/>
      <c r="S31" s="73"/>
      <c r="T31" s="85"/>
      <c r="U31" s="87"/>
      <c r="V31" s="88"/>
      <c r="W31" s="85"/>
      <c r="X31" s="84"/>
      <c r="Y31" s="73"/>
      <c r="Z31" s="91" t="str">
        <f aca="false">IF(B31="","",IF(AND(X31&lt;&gt;"",X31&lt;=cfg_VAL_DATE),"✖ منتهي الخدمة",IF(H31&gt;cfg_VAL_DATE,"⚠ لم يباشر بعد","✔ على رأس العمل")))</f>
        <v/>
      </c>
      <c r="AA31" s="73"/>
      <c r="AB31" s="73"/>
      <c r="AC31" s="73"/>
    </row>
    <row r="32" customFormat="false" ht="15" hidden="false" customHeight="false" outlineLevel="0" collapsed="false">
      <c r="A32" s="83" t="str">
        <f aca="false">IF(B32="","",ROW()-5)</f>
        <v/>
      </c>
      <c r="B32" s="73"/>
      <c r="C32" s="73"/>
      <c r="D32" s="73"/>
      <c r="E32" s="73"/>
      <c r="F32" s="73"/>
      <c r="G32" s="73"/>
      <c r="H32" s="84"/>
      <c r="I32" s="84"/>
      <c r="J32" s="85"/>
      <c r="K32" s="85"/>
      <c r="L32" s="85"/>
      <c r="M32" s="85"/>
      <c r="N32" s="86" t="str">
        <f aca="false">IF(B32="","",SUM(J32:M32))</f>
        <v/>
      </c>
      <c r="O32" s="86" t="str">
        <f aca="false">IF(B32="","",J32+IF(cfg_EOS_H="نعم",K32,0)+IF(cfg_EOS_T="نعم",L32,0)+IF(cfg_EOS_O="نعم",M32,0))</f>
        <v/>
      </c>
      <c r="P32" s="86" t="str">
        <f aca="false">IF(B32="","",J32+IF(cfg_LV_H="نعم",K32,0)+IF(cfg_LV_T="نعم",L32,0)+IF(cfg_LV_O="نعم",M32,0))</f>
        <v/>
      </c>
      <c r="Q32" s="86" t="str">
        <f aca="false">IF(B32="","",MIN(cfg_G_CAP,J32+K32))</f>
        <v/>
      </c>
      <c r="R32" s="87"/>
      <c r="S32" s="73"/>
      <c r="T32" s="85"/>
      <c r="U32" s="87"/>
      <c r="V32" s="88"/>
      <c r="W32" s="85"/>
      <c r="X32" s="84"/>
      <c r="Y32" s="73"/>
      <c r="Z32" s="74" t="str">
        <f aca="false">IF(B32="","",IF(AND(X32&lt;&gt;"",X32&lt;=cfg_VAL_DATE),"✖ منتهي الخدمة",IF(H32&gt;cfg_VAL_DATE,"⚠ لم يباشر بعد","✔ على رأس العمل")))</f>
        <v/>
      </c>
      <c r="AA32" s="73"/>
      <c r="AB32" s="73"/>
      <c r="AC32" s="73"/>
    </row>
    <row r="33" customFormat="false" ht="15" hidden="false" customHeight="false" outlineLevel="0" collapsed="false">
      <c r="A33" s="89" t="str">
        <f aca="false">IF(B33="","",ROW()-5)</f>
        <v/>
      </c>
      <c r="B33" s="73"/>
      <c r="C33" s="73"/>
      <c r="D33" s="73"/>
      <c r="E33" s="73"/>
      <c r="F33" s="73"/>
      <c r="G33" s="73"/>
      <c r="H33" s="84"/>
      <c r="I33" s="84"/>
      <c r="J33" s="85"/>
      <c r="K33" s="85"/>
      <c r="L33" s="85"/>
      <c r="M33" s="85"/>
      <c r="N33" s="90" t="str">
        <f aca="false">IF(B33="","",SUM(J33:M33))</f>
        <v/>
      </c>
      <c r="O33" s="90" t="str">
        <f aca="false">IF(B33="","",J33+IF(cfg_EOS_H="نعم",K33,0)+IF(cfg_EOS_T="نعم",L33,0)+IF(cfg_EOS_O="نعم",M33,0))</f>
        <v/>
      </c>
      <c r="P33" s="90" t="str">
        <f aca="false">IF(B33="","",J33+IF(cfg_LV_H="نعم",K33,0)+IF(cfg_LV_T="نعم",L33,0)+IF(cfg_LV_O="نعم",M33,0))</f>
        <v/>
      </c>
      <c r="Q33" s="90" t="str">
        <f aca="false">IF(B33="","",MIN(cfg_G_CAP,J33+K33))</f>
        <v/>
      </c>
      <c r="R33" s="87"/>
      <c r="S33" s="73"/>
      <c r="T33" s="85"/>
      <c r="U33" s="87"/>
      <c r="V33" s="88"/>
      <c r="W33" s="85"/>
      <c r="X33" s="84"/>
      <c r="Y33" s="73"/>
      <c r="Z33" s="91" t="str">
        <f aca="false">IF(B33="","",IF(AND(X33&lt;&gt;"",X33&lt;=cfg_VAL_DATE),"✖ منتهي الخدمة",IF(H33&gt;cfg_VAL_DATE,"⚠ لم يباشر بعد","✔ على رأس العمل")))</f>
        <v/>
      </c>
      <c r="AA33" s="73"/>
      <c r="AB33" s="73"/>
      <c r="AC33" s="73"/>
    </row>
    <row r="34" customFormat="false" ht="15" hidden="false" customHeight="false" outlineLevel="0" collapsed="false">
      <c r="A34" s="83" t="str">
        <f aca="false">IF(B34="","",ROW()-5)</f>
        <v/>
      </c>
      <c r="B34" s="73"/>
      <c r="C34" s="73"/>
      <c r="D34" s="73"/>
      <c r="E34" s="73"/>
      <c r="F34" s="73"/>
      <c r="G34" s="73"/>
      <c r="H34" s="84"/>
      <c r="I34" s="84"/>
      <c r="J34" s="85"/>
      <c r="K34" s="85"/>
      <c r="L34" s="85"/>
      <c r="M34" s="85"/>
      <c r="N34" s="86" t="str">
        <f aca="false">IF(B34="","",SUM(J34:M34))</f>
        <v/>
      </c>
      <c r="O34" s="86" t="str">
        <f aca="false">IF(B34="","",J34+IF(cfg_EOS_H="نعم",K34,0)+IF(cfg_EOS_T="نعم",L34,0)+IF(cfg_EOS_O="نعم",M34,0))</f>
        <v/>
      </c>
      <c r="P34" s="86" t="str">
        <f aca="false">IF(B34="","",J34+IF(cfg_LV_H="نعم",K34,0)+IF(cfg_LV_T="نعم",L34,0)+IF(cfg_LV_O="نعم",M34,0))</f>
        <v/>
      </c>
      <c r="Q34" s="86" t="str">
        <f aca="false">IF(B34="","",MIN(cfg_G_CAP,J34+K34))</f>
        <v/>
      </c>
      <c r="R34" s="87"/>
      <c r="S34" s="73"/>
      <c r="T34" s="85"/>
      <c r="U34" s="87"/>
      <c r="V34" s="88"/>
      <c r="W34" s="85"/>
      <c r="X34" s="84"/>
      <c r="Y34" s="73"/>
      <c r="Z34" s="74" t="str">
        <f aca="false">IF(B34="","",IF(AND(X34&lt;&gt;"",X34&lt;=cfg_VAL_DATE),"✖ منتهي الخدمة",IF(H34&gt;cfg_VAL_DATE,"⚠ لم يباشر بعد","✔ على رأس العمل")))</f>
        <v/>
      </c>
      <c r="AA34" s="73"/>
      <c r="AB34" s="73"/>
      <c r="AC34" s="73"/>
    </row>
    <row r="35" customFormat="false" ht="15" hidden="false" customHeight="false" outlineLevel="0" collapsed="false">
      <c r="A35" s="89" t="str">
        <f aca="false">IF(B35="","",ROW()-5)</f>
        <v/>
      </c>
      <c r="B35" s="73"/>
      <c r="C35" s="73"/>
      <c r="D35" s="73"/>
      <c r="E35" s="73"/>
      <c r="F35" s="73"/>
      <c r="G35" s="73"/>
      <c r="H35" s="84"/>
      <c r="I35" s="84"/>
      <c r="J35" s="85"/>
      <c r="K35" s="85"/>
      <c r="L35" s="85"/>
      <c r="M35" s="85"/>
      <c r="N35" s="90" t="str">
        <f aca="false">IF(B35="","",SUM(J35:M35))</f>
        <v/>
      </c>
      <c r="O35" s="90" t="str">
        <f aca="false">IF(B35="","",J35+IF(cfg_EOS_H="نعم",K35,0)+IF(cfg_EOS_T="نعم",L35,0)+IF(cfg_EOS_O="نعم",M35,0))</f>
        <v/>
      </c>
      <c r="P35" s="90" t="str">
        <f aca="false">IF(B35="","",J35+IF(cfg_LV_H="نعم",K35,0)+IF(cfg_LV_T="نعم",L35,0)+IF(cfg_LV_O="نعم",M35,0))</f>
        <v/>
      </c>
      <c r="Q35" s="90" t="str">
        <f aca="false">IF(B35="","",MIN(cfg_G_CAP,J35+K35))</f>
        <v/>
      </c>
      <c r="R35" s="87"/>
      <c r="S35" s="73"/>
      <c r="T35" s="85"/>
      <c r="U35" s="87"/>
      <c r="V35" s="88"/>
      <c r="W35" s="85"/>
      <c r="X35" s="84"/>
      <c r="Y35" s="73"/>
      <c r="Z35" s="91" t="str">
        <f aca="false">IF(B35="","",IF(AND(X35&lt;&gt;"",X35&lt;=cfg_VAL_DATE),"✖ منتهي الخدمة",IF(H35&gt;cfg_VAL_DATE,"⚠ لم يباشر بعد","✔ على رأس العمل")))</f>
        <v/>
      </c>
      <c r="AA35" s="73"/>
      <c r="AB35" s="73"/>
      <c r="AC35" s="73"/>
    </row>
    <row r="36" customFormat="false" ht="15" hidden="false" customHeight="false" outlineLevel="0" collapsed="false">
      <c r="A36" s="83" t="str">
        <f aca="false">IF(B36="","",ROW()-5)</f>
        <v/>
      </c>
      <c r="B36" s="73"/>
      <c r="C36" s="73"/>
      <c r="D36" s="73"/>
      <c r="E36" s="73"/>
      <c r="F36" s="73"/>
      <c r="G36" s="73"/>
      <c r="H36" s="84"/>
      <c r="I36" s="84"/>
      <c r="J36" s="85"/>
      <c r="K36" s="85"/>
      <c r="L36" s="85"/>
      <c r="M36" s="85"/>
      <c r="N36" s="86" t="str">
        <f aca="false">IF(B36="","",SUM(J36:M36))</f>
        <v/>
      </c>
      <c r="O36" s="86" t="str">
        <f aca="false">IF(B36="","",J36+IF(cfg_EOS_H="نعم",K36,0)+IF(cfg_EOS_T="نعم",L36,0)+IF(cfg_EOS_O="نعم",M36,0))</f>
        <v/>
      </c>
      <c r="P36" s="86" t="str">
        <f aca="false">IF(B36="","",J36+IF(cfg_LV_H="نعم",K36,0)+IF(cfg_LV_T="نعم",L36,0)+IF(cfg_LV_O="نعم",M36,0))</f>
        <v/>
      </c>
      <c r="Q36" s="86" t="str">
        <f aca="false">IF(B36="","",MIN(cfg_G_CAP,J36+K36))</f>
        <v/>
      </c>
      <c r="R36" s="87"/>
      <c r="S36" s="73"/>
      <c r="T36" s="85"/>
      <c r="U36" s="87"/>
      <c r="V36" s="88"/>
      <c r="W36" s="85"/>
      <c r="X36" s="84"/>
      <c r="Y36" s="73"/>
      <c r="Z36" s="74" t="str">
        <f aca="false">IF(B36="","",IF(AND(X36&lt;&gt;"",X36&lt;=cfg_VAL_DATE),"✖ منتهي الخدمة",IF(H36&gt;cfg_VAL_DATE,"⚠ لم يباشر بعد","✔ على رأس العمل")))</f>
        <v/>
      </c>
      <c r="AA36" s="73"/>
      <c r="AB36" s="73"/>
      <c r="AC36" s="73"/>
    </row>
    <row r="37" customFormat="false" ht="15" hidden="false" customHeight="false" outlineLevel="0" collapsed="false">
      <c r="A37" s="89" t="str">
        <f aca="false">IF(B37="","",ROW()-5)</f>
        <v/>
      </c>
      <c r="B37" s="73"/>
      <c r="C37" s="73"/>
      <c r="D37" s="73"/>
      <c r="E37" s="73"/>
      <c r="F37" s="73"/>
      <c r="G37" s="73"/>
      <c r="H37" s="84"/>
      <c r="I37" s="84"/>
      <c r="J37" s="85"/>
      <c r="K37" s="85"/>
      <c r="L37" s="85"/>
      <c r="M37" s="85"/>
      <c r="N37" s="90" t="str">
        <f aca="false">IF(B37="","",SUM(J37:M37))</f>
        <v/>
      </c>
      <c r="O37" s="90" t="str">
        <f aca="false">IF(B37="","",J37+IF(cfg_EOS_H="نعم",K37,0)+IF(cfg_EOS_T="نعم",L37,0)+IF(cfg_EOS_O="نعم",M37,0))</f>
        <v/>
      </c>
      <c r="P37" s="90" t="str">
        <f aca="false">IF(B37="","",J37+IF(cfg_LV_H="نعم",K37,0)+IF(cfg_LV_T="نعم",L37,0)+IF(cfg_LV_O="نعم",M37,0))</f>
        <v/>
      </c>
      <c r="Q37" s="90" t="str">
        <f aca="false">IF(B37="","",MIN(cfg_G_CAP,J37+K37))</f>
        <v/>
      </c>
      <c r="R37" s="87"/>
      <c r="S37" s="73"/>
      <c r="T37" s="85"/>
      <c r="U37" s="87"/>
      <c r="V37" s="88"/>
      <c r="W37" s="85"/>
      <c r="X37" s="84"/>
      <c r="Y37" s="73"/>
      <c r="Z37" s="91" t="str">
        <f aca="false">IF(B37="","",IF(AND(X37&lt;&gt;"",X37&lt;=cfg_VAL_DATE),"✖ منتهي الخدمة",IF(H37&gt;cfg_VAL_DATE,"⚠ لم يباشر بعد","✔ على رأس العمل")))</f>
        <v/>
      </c>
      <c r="AA37" s="73"/>
      <c r="AB37" s="73"/>
      <c r="AC37" s="73"/>
    </row>
    <row r="38" customFormat="false" ht="15" hidden="false" customHeight="false" outlineLevel="0" collapsed="false">
      <c r="A38" s="83" t="str">
        <f aca="false">IF(B38="","",ROW()-5)</f>
        <v/>
      </c>
      <c r="B38" s="73"/>
      <c r="C38" s="73"/>
      <c r="D38" s="73"/>
      <c r="E38" s="73"/>
      <c r="F38" s="73"/>
      <c r="G38" s="73"/>
      <c r="H38" s="84"/>
      <c r="I38" s="84"/>
      <c r="J38" s="85"/>
      <c r="K38" s="85"/>
      <c r="L38" s="85"/>
      <c r="M38" s="85"/>
      <c r="N38" s="86" t="str">
        <f aca="false">IF(B38="","",SUM(J38:M38))</f>
        <v/>
      </c>
      <c r="O38" s="86" t="str">
        <f aca="false">IF(B38="","",J38+IF(cfg_EOS_H="نعم",K38,0)+IF(cfg_EOS_T="نعم",L38,0)+IF(cfg_EOS_O="نعم",M38,0))</f>
        <v/>
      </c>
      <c r="P38" s="86" t="str">
        <f aca="false">IF(B38="","",J38+IF(cfg_LV_H="نعم",K38,0)+IF(cfg_LV_T="نعم",L38,0)+IF(cfg_LV_O="نعم",M38,0))</f>
        <v/>
      </c>
      <c r="Q38" s="86" t="str">
        <f aca="false">IF(B38="","",MIN(cfg_G_CAP,J38+K38))</f>
        <v/>
      </c>
      <c r="R38" s="87"/>
      <c r="S38" s="73"/>
      <c r="T38" s="85"/>
      <c r="U38" s="87"/>
      <c r="V38" s="88"/>
      <c r="W38" s="85"/>
      <c r="X38" s="84"/>
      <c r="Y38" s="73"/>
      <c r="Z38" s="74" t="str">
        <f aca="false">IF(B38="","",IF(AND(X38&lt;&gt;"",X38&lt;=cfg_VAL_DATE),"✖ منتهي الخدمة",IF(H38&gt;cfg_VAL_DATE,"⚠ لم يباشر بعد","✔ على رأس العمل")))</f>
        <v/>
      </c>
      <c r="AA38" s="73"/>
      <c r="AB38" s="73"/>
      <c r="AC38" s="73"/>
    </row>
    <row r="39" customFormat="false" ht="15" hidden="false" customHeight="false" outlineLevel="0" collapsed="false">
      <c r="A39" s="89" t="str">
        <f aca="false">IF(B39="","",ROW()-5)</f>
        <v/>
      </c>
      <c r="B39" s="73"/>
      <c r="C39" s="73"/>
      <c r="D39" s="73"/>
      <c r="E39" s="73"/>
      <c r="F39" s="73"/>
      <c r="G39" s="73"/>
      <c r="H39" s="84"/>
      <c r="I39" s="84"/>
      <c r="J39" s="85"/>
      <c r="K39" s="85"/>
      <c r="L39" s="85"/>
      <c r="M39" s="85"/>
      <c r="N39" s="90" t="str">
        <f aca="false">IF(B39="","",SUM(J39:M39))</f>
        <v/>
      </c>
      <c r="O39" s="90" t="str">
        <f aca="false">IF(B39="","",J39+IF(cfg_EOS_H="نعم",K39,0)+IF(cfg_EOS_T="نعم",L39,0)+IF(cfg_EOS_O="نعم",M39,0))</f>
        <v/>
      </c>
      <c r="P39" s="90" t="str">
        <f aca="false">IF(B39="","",J39+IF(cfg_LV_H="نعم",K39,0)+IF(cfg_LV_T="نعم",L39,0)+IF(cfg_LV_O="نعم",M39,0))</f>
        <v/>
      </c>
      <c r="Q39" s="90" t="str">
        <f aca="false">IF(B39="","",MIN(cfg_G_CAP,J39+K39))</f>
        <v/>
      </c>
      <c r="R39" s="87"/>
      <c r="S39" s="73"/>
      <c r="T39" s="85"/>
      <c r="U39" s="87"/>
      <c r="V39" s="88"/>
      <c r="W39" s="85"/>
      <c r="X39" s="84"/>
      <c r="Y39" s="73"/>
      <c r="Z39" s="91" t="str">
        <f aca="false">IF(B39="","",IF(AND(X39&lt;&gt;"",X39&lt;=cfg_VAL_DATE),"✖ منتهي الخدمة",IF(H39&gt;cfg_VAL_DATE,"⚠ لم يباشر بعد","✔ على رأس العمل")))</f>
        <v/>
      </c>
      <c r="AA39" s="73"/>
      <c r="AB39" s="73"/>
      <c r="AC39" s="73"/>
    </row>
    <row r="40" customFormat="false" ht="15" hidden="false" customHeight="false" outlineLevel="0" collapsed="false">
      <c r="A40" s="83" t="str">
        <f aca="false">IF(B40="","",ROW()-5)</f>
        <v/>
      </c>
      <c r="B40" s="73"/>
      <c r="C40" s="73"/>
      <c r="D40" s="73"/>
      <c r="E40" s="73"/>
      <c r="F40" s="73"/>
      <c r="G40" s="73"/>
      <c r="H40" s="84"/>
      <c r="I40" s="84"/>
      <c r="J40" s="85"/>
      <c r="K40" s="85"/>
      <c r="L40" s="85"/>
      <c r="M40" s="85"/>
      <c r="N40" s="86" t="str">
        <f aca="false">IF(B40="","",SUM(J40:M40))</f>
        <v/>
      </c>
      <c r="O40" s="86" t="str">
        <f aca="false">IF(B40="","",J40+IF(cfg_EOS_H="نعم",K40,0)+IF(cfg_EOS_T="نعم",L40,0)+IF(cfg_EOS_O="نعم",M40,0))</f>
        <v/>
      </c>
      <c r="P40" s="86" t="str">
        <f aca="false">IF(B40="","",J40+IF(cfg_LV_H="نعم",K40,0)+IF(cfg_LV_T="نعم",L40,0)+IF(cfg_LV_O="نعم",M40,0))</f>
        <v/>
      </c>
      <c r="Q40" s="86" t="str">
        <f aca="false">IF(B40="","",MIN(cfg_G_CAP,J40+K40))</f>
        <v/>
      </c>
      <c r="R40" s="87"/>
      <c r="S40" s="73"/>
      <c r="T40" s="85"/>
      <c r="U40" s="87"/>
      <c r="V40" s="88"/>
      <c r="W40" s="85"/>
      <c r="X40" s="84"/>
      <c r="Y40" s="73"/>
      <c r="Z40" s="74" t="str">
        <f aca="false">IF(B40="","",IF(AND(X40&lt;&gt;"",X40&lt;=cfg_VAL_DATE),"✖ منتهي الخدمة",IF(H40&gt;cfg_VAL_DATE,"⚠ لم يباشر بعد","✔ على رأس العمل")))</f>
        <v/>
      </c>
      <c r="AA40" s="73"/>
      <c r="AB40" s="73"/>
      <c r="AC40" s="73"/>
    </row>
    <row r="41" customFormat="false" ht="15" hidden="false" customHeight="false" outlineLevel="0" collapsed="false">
      <c r="A41" s="89" t="str">
        <f aca="false">IF(B41="","",ROW()-5)</f>
        <v/>
      </c>
      <c r="B41" s="73"/>
      <c r="C41" s="73"/>
      <c r="D41" s="73"/>
      <c r="E41" s="73"/>
      <c r="F41" s="73"/>
      <c r="G41" s="73"/>
      <c r="H41" s="84"/>
      <c r="I41" s="84"/>
      <c r="J41" s="85"/>
      <c r="K41" s="85"/>
      <c r="L41" s="85"/>
      <c r="M41" s="85"/>
      <c r="N41" s="90" t="str">
        <f aca="false">IF(B41="","",SUM(J41:M41))</f>
        <v/>
      </c>
      <c r="O41" s="90" t="str">
        <f aca="false">IF(B41="","",J41+IF(cfg_EOS_H="نعم",K41,0)+IF(cfg_EOS_T="نعم",L41,0)+IF(cfg_EOS_O="نعم",M41,0))</f>
        <v/>
      </c>
      <c r="P41" s="90" t="str">
        <f aca="false">IF(B41="","",J41+IF(cfg_LV_H="نعم",K41,0)+IF(cfg_LV_T="نعم",L41,0)+IF(cfg_LV_O="نعم",M41,0))</f>
        <v/>
      </c>
      <c r="Q41" s="90" t="str">
        <f aca="false">IF(B41="","",MIN(cfg_G_CAP,J41+K41))</f>
        <v/>
      </c>
      <c r="R41" s="87"/>
      <c r="S41" s="73"/>
      <c r="T41" s="85"/>
      <c r="U41" s="87"/>
      <c r="V41" s="88"/>
      <c r="W41" s="85"/>
      <c r="X41" s="84"/>
      <c r="Y41" s="73"/>
      <c r="Z41" s="91" t="str">
        <f aca="false">IF(B41="","",IF(AND(X41&lt;&gt;"",X41&lt;=cfg_VAL_DATE),"✖ منتهي الخدمة",IF(H41&gt;cfg_VAL_DATE,"⚠ لم يباشر بعد","✔ على رأس العمل")))</f>
        <v/>
      </c>
      <c r="AA41" s="73"/>
      <c r="AB41" s="73"/>
      <c r="AC41" s="73"/>
    </row>
    <row r="42" customFormat="false" ht="15" hidden="false" customHeight="false" outlineLevel="0" collapsed="false">
      <c r="A42" s="83" t="str">
        <f aca="false">IF(B42="","",ROW()-5)</f>
        <v/>
      </c>
      <c r="B42" s="73"/>
      <c r="C42" s="73"/>
      <c r="D42" s="73"/>
      <c r="E42" s="73"/>
      <c r="F42" s="73"/>
      <c r="G42" s="73"/>
      <c r="H42" s="84"/>
      <c r="I42" s="84"/>
      <c r="J42" s="85"/>
      <c r="K42" s="85"/>
      <c r="L42" s="85"/>
      <c r="M42" s="85"/>
      <c r="N42" s="86" t="str">
        <f aca="false">IF(B42="","",SUM(J42:M42))</f>
        <v/>
      </c>
      <c r="O42" s="86" t="str">
        <f aca="false">IF(B42="","",J42+IF(cfg_EOS_H="نعم",K42,0)+IF(cfg_EOS_T="نعم",L42,0)+IF(cfg_EOS_O="نعم",M42,0))</f>
        <v/>
      </c>
      <c r="P42" s="86" t="str">
        <f aca="false">IF(B42="","",J42+IF(cfg_LV_H="نعم",K42,0)+IF(cfg_LV_T="نعم",L42,0)+IF(cfg_LV_O="نعم",M42,0))</f>
        <v/>
      </c>
      <c r="Q42" s="86" t="str">
        <f aca="false">IF(B42="","",MIN(cfg_G_CAP,J42+K42))</f>
        <v/>
      </c>
      <c r="R42" s="87"/>
      <c r="S42" s="73"/>
      <c r="T42" s="85"/>
      <c r="U42" s="87"/>
      <c r="V42" s="88"/>
      <c r="W42" s="85"/>
      <c r="X42" s="84"/>
      <c r="Y42" s="73"/>
      <c r="Z42" s="74" t="str">
        <f aca="false">IF(B42="","",IF(AND(X42&lt;&gt;"",X42&lt;=cfg_VAL_DATE),"✖ منتهي الخدمة",IF(H42&gt;cfg_VAL_DATE,"⚠ لم يباشر بعد","✔ على رأس العمل")))</f>
        <v/>
      </c>
      <c r="AA42" s="73"/>
      <c r="AB42" s="73"/>
      <c r="AC42" s="73"/>
    </row>
    <row r="43" customFormat="false" ht="15" hidden="false" customHeight="false" outlineLevel="0" collapsed="false">
      <c r="A43" s="89" t="str">
        <f aca="false">IF(B43="","",ROW()-5)</f>
        <v/>
      </c>
      <c r="B43" s="73"/>
      <c r="C43" s="73"/>
      <c r="D43" s="73"/>
      <c r="E43" s="73"/>
      <c r="F43" s="73"/>
      <c r="G43" s="73"/>
      <c r="H43" s="84"/>
      <c r="I43" s="84"/>
      <c r="J43" s="85"/>
      <c r="K43" s="85"/>
      <c r="L43" s="85"/>
      <c r="M43" s="85"/>
      <c r="N43" s="90" t="str">
        <f aca="false">IF(B43="","",SUM(J43:M43))</f>
        <v/>
      </c>
      <c r="O43" s="90" t="str">
        <f aca="false">IF(B43="","",J43+IF(cfg_EOS_H="نعم",K43,0)+IF(cfg_EOS_T="نعم",L43,0)+IF(cfg_EOS_O="نعم",M43,0))</f>
        <v/>
      </c>
      <c r="P43" s="90" t="str">
        <f aca="false">IF(B43="","",J43+IF(cfg_LV_H="نعم",K43,0)+IF(cfg_LV_T="نعم",L43,0)+IF(cfg_LV_O="نعم",M43,0))</f>
        <v/>
      </c>
      <c r="Q43" s="90" t="str">
        <f aca="false">IF(B43="","",MIN(cfg_G_CAP,J43+K43))</f>
        <v/>
      </c>
      <c r="R43" s="87"/>
      <c r="S43" s="73"/>
      <c r="T43" s="85"/>
      <c r="U43" s="87"/>
      <c r="V43" s="88"/>
      <c r="W43" s="85"/>
      <c r="X43" s="84"/>
      <c r="Y43" s="73"/>
      <c r="Z43" s="91" t="str">
        <f aca="false">IF(B43="","",IF(AND(X43&lt;&gt;"",X43&lt;=cfg_VAL_DATE),"✖ منتهي الخدمة",IF(H43&gt;cfg_VAL_DATE,"⚠ لم يباشر بعد","✔ على رأس العمل")))</f>
        <v/>
      </c>
      <c r="AA43" s="73"/>
      <c r="AB43" s="73"/>
      <c r="AC43" s="73"/>
    </row>
    <row r="44" customFormat="false" ht="15" hidden="false" customHeight="false" outlineLevel="0" collapsed="false">
      <c r="A44" s="83" t="str">
        <f aca="false">IF(B44="","",ROW()-5)</f>
        <v/>
      </c>
      <c r="B44" s="73"/>
      <c r="C44" s="73"/>
      <c r="D44" s="73"/>
      <c r="E44" s="73"/>
      <c r="F44" s="73"/>
      <c r="G44" s="73"/>
      <c r="H44" s="84"/>
      <c r="I44" s="84"/>
      <c r="J44" s="85"/>
      <c r="K44" s="85"/>
      <c r="L44" s="85"/>
      <c r="M44" s="85"/>
      <c r="N44" s="86" t="str">
        <f aca="false">IF(B44="","",SUM(J44:M44))</f>
        <v/>
      </c>
      <c r="O44" s="86" t="str">
        <f aca="false">IF(B44="","",J44+IF(cfg_EOS_H="نعم",K44,0)+IF(cfg_EOS_T="نعم",L44,0)+IF(cfg_EOS_O="نعم",M44,0))</f>
        <v/>
      </c>
      <c r="P44" s="86" t="str">
        <f aca="false">IF(B44="","",J44+IF(cfg_LV_H="نعم",K44,0)+IF(cfg_LV_T="نعم",L44,0)+IF(cfg_LV_O="نعم",M44,0))</f>
        <v/>
      </c>
      <c r="Q44" s="86" t="str">
        <f aca="false">IF(B44="","",MIN(cfg_G_CAP,J44+K44))</f>
        <v/>
      </c>
      <c r="R44" s="87"/>
      <c r="S44" s="73"/>
      <c r="T44" s="85"/>
      <c r="U44" s="87"/>
      <c r="V44" s="88"/>
      <c r="W44" s="85"/>
      <c r="X44" s="84"/>
      <c r="Y44" s="73"/>
      <c r="Z44" s="74" t="str">
        <f aca="false">IF(B44="","",IF(AND(X44&lt;&gt;"",X44&lt;=cfg_VAL_DATE),"✖ منتهي الخدمة",IF(H44&gt;cfg_VAL_DATE,"⚠ لم يباشر بعد","✔ على رأس العمل")))</f>
        <v/>
      </c>
      <c r="AA44" s="73"/>
      <c r="AB44" s="73"/>
      <c r="AC44" s="73"/>
    </row>
    <row r="45" customFormat="false" ht="15" hidden="false" customHeight="false" outlineLevel="0" collapsed="false">
      <c r="A45" s="89" t="str">
        <f aca="false">IF(B45="","",ROW()-5)</f>
        <v/>
      </c>
      <c r="B45" s="73"/>
      <c r="C45" s="73"/>
      <c r="D45" s="73"/>
      <c r="E45" s="73"/>
      <c r="F45" s="73"/>
      <c r="G45" s="73"/>
      <c r="H45" s="84"/>
      <c r="I45" s="84"/>
      <c r="J45" s="85"/>
      <c r="K45" s="85"/>
      <c r="L45" s="85"/>
      <c r="M45" s="85"/>
      <c r="N45" s="90" t="str">
        <f aca="false">IF(B45="","",SUM(J45:M45))</f>
        <v/>
      </c>
      <c r="O45" s="90" t="str">
        <f aca="false">IF(B45="","",J45+IF(cfg_EOS_H="نعم",K45,0)+IF(cfg_EOS_T="نعم",L45,0)+IF(cfg_EOS_O="نعم",M45,0))</f>
        <v/>
      </c>
      <c r="P45" s="90" t="str">
        <f aca="false">IF(B45="","",J45+IF(cfg_LV_H="نعم",K45,0)+IF(cfg_LV_T="نعم",L45,0)+IF(cfg_LV_O="نعم",M45,0))</f>
        <v/>
      </c>
      <c r="Q45" s="90" t="str">
        <f aca="false">IF(B45="","",MIN(cfg_G_CAP,J45+K45))</f>
        <v/>
      </c>
      <c r="R45" s="87"/>
      <c r="S45" s="73"/>
      <c r="T45" s="85"/>
      <c r="U45" s="87"/>
      <c r="V45" s="88"/>
      <c r="W45" s="85"/>
      <c r="X45" s="84"/>
      <c r="Y45" s="73"/>
      <c r="Z45" s="91" t="str">
        <f aca="false">IF(B45="","",IF(AND(X45&lt;&gt;"",X45&lt;=cfg_VAL_DATE),"✖ منتهي الخدمة",IF(H45&gt;cfg_VAL_DATE,"⚠ لم يباشر بعد","✔ على رأس العمل")))</f>
        <v/>
      </c>
      <c r="AA45" s="73"/>
      <c r="AB45" s="73"/>
      <c r="AC45" s="73"/>
    </row>
    <row r="46" customFormat="false" ht="15" hidden="false" customHeight="false" outlineLevel="0" collapsed="false">
      <c r="A46" s="83" t="str">
        <f aca="false">IF(B46="","",ROW()-5)</f>
        <v/>
      </c>
      <c r="B46" s="73"/>
      <c r="C46" s="73"/>
      <c r="D46" s="73"/>
      <c r="E46" s="73"/>
      <c r="F46" s="73"/>
      <c r="G46" s="73"/>
      <c r="H46" s="84"/>
      <c r="I46" s="84"/>
      <c r="J46" s="85"/>
      <c r="K46" s="85"/>
      <c r="L46" s="85"/>
      <c r="M46" s="85"/>
      <c r="N46" s="86" t="str">
        <f aca="false">IF(B46="","",SUM(J46:M46))</f>
        <v/>
      </c>
      <c r="O46" s="86" t="str">
        <f aca="false">IF(B46="","",J46+IF(cfg_EOS_H="نعم",K46,0)+IF(cfg_EOS_T="نعم",L46,0)+IF(cfg_EOS_O="نعم",M46,0))</f>
        <v/>
      </c>
      <c r="P46" s="86" t="str">
        <f aca="false">IF(B46="","",J46+IF(cfg_LV_H="نعم",K46,0)+IF(cfg_LV_T="نعم",L46,0)+IF(cfg_LV_O="نعم",M46,0))</f>
        <v/>
      </c>
      <c r="Q46" s="86" t="str">
        <f aca="false">IF(B46="","",MIN(cfg_G_CAP,J46+K46))</f>
        <v/>
      </c>
      <c r="R46" s="87"/>
      <c r="S46" s="73"/>
      <c r="T46" s="85"/>
      <c r="U46" s="87"/>
      <c r="V46" s="88"/>
      <c r="W46" s="85"/>
      <c r="X46" s="84"/>
      <c r="Y46" s="73"/>
      <c r="Z46" s="74" t="str">
        <f aca="false">IF(B46="","",IF(AND(X46&lt;&gt;"",X46&lt;=cfg_VAL_DATE),"✖ منتهي الخدمة",IF(H46&gt;cfg_VAL_DATE,"⚠ لم يباشر بعد","✔ على رأس العمل")))</f>
        <v/>
      </c>
      <c r="AA46" s="73"/>
      <c r="AB46" s="73"/>
      <c r="AC46" s="73"/>
    </row>
    <row r="47" customFormat="false" ht="15" hidden="false" customHeight="false" outlineLevel="0" collapsed="false">
      <c r="A47" s="89" t="str">
        <f aca="false">IF(B47="","",ROW()-5)</f>
        <v/>
      </c>
      <c r="B47" s="73"/>
      <c r="C47" s="73"/>
      <c r="D47" s="73"/>
      <c r="E47" s="73"/>
      <c r="F47" s="73"/>
      <c r="G47" s="73"/>
      <c r="H47" s="84"/>
      <c r="I47" s="84"/>
      <c r="J47" s="85"/>
      <c r="K47" s="85"/>
      <c r="L47" s="85"/>
      <c r="M47" s="85"/>
      <c r="N47" s="90" t="str">
        <f aca="false">IF(B47="","",SUM(J47:M47))</f>
        <v/>
      </c>
      <c r="O47" s="90" t="str">
        <f aca="false">IF(B47="","",J47+IF(cfg_EOS_H="نعم",K47,0)+IF(cfg_EOS_T="نعم",L47,0)+IF(cfg_EOS_O="نعم",M47,0))</f>
        <v/>
      </c>
      <c r="P47" s="90" t="str">
        <f aca="false">IF(B47="","",J47+IF(cfg_LV_H="نعم",K47,0)+IF(cfg_LV_T="نعم",L47,0)+IF(cfg_LV_O="نعم",M47,0))</f>
        <v/>
      </c>
      <c r="Q47" s="90" t="str">
        <f aca="false">IF(B47="","",MIN(cfg_G_CAP,J47+K47))</f>
        <v/>
      </c>
      <c r="R47" s="87"/>
      <c r="S47" s="73"/>
      <c r="T47" s="85"/>
      <c r="U47" s="87"/>
      <c r="V47" s="88"/>
      <c r="W47" s="85"/>
      <c r="X47" s="84"/>
      <c r="Y47" s="73"/>
      <c r="Z47" s="91" t="str">
        <f aca="false">IF(B47="","",IF(AND(X47&lt;&gt;"",X47&lt;=cfg_VAL_DATE),"✖ منتهي الخدمة",IF(H47&gt;cfg_VAL_DATE,"⚠ لم يباشر بعد","✔ على رأس العمل")))</f>
        <v/>
      </c>
      <c r="AA47" s="73"/>
      <c r="AB47" s="73"/>
      <c r="AC47" s="73"/>
    </row>
    <row r="48" customFormat="false" ht="15" hidden="false" customHeight="false" outlineLevel="0" collapsed="false">
      <c r="A48" s="83" t="str">
        <f aca="false">IF(B48="","",ROW()-5)</f>
        <v/>
      </c>
      <c r="B48" s="73"/>
      <c r="C48" s="73"/>
      <c r="D48" s="73"/>
      <c r="E48" s="73"/>
      <c r="F48" s="73"/>
      <c r="G48" s="73"/>
      <c r="H48" s="84"/>
      <c r="I48" s="84"/>
      <c r="J48" s="85"/>
      <c r="K48" s="85"/>
      <c r="L48" s="85"/>
      <c r="M48" s="85"/>
      <c r="N48" s="86" t="str">
        <f aca="false">IF(B48="","",SUM(J48:M48))</f>
        <v/>
      </c>
      <c r="O48" s="86" t="str">
        <f aca="false">IF(B48="","",J48+IF(cfg_EOS_H="نعم",K48,0)+IF(cfg_EOS_T="نعم",L48,0)+IF(cfg_EOS_O="نعم",M48,0))</f>
        <v/>
      </c>
      <c r="P48" s="86" t="str">
        <f aca="false">IF(B48="","",J48+IF(cfg_LV_H="نعم",K48,0)+IF(cfg_LV_T="نعم",L48,0)+IF(cfg_LV_O="نعم",M48,0))</f>
        <v/>
      </c>
      <c r="Q48" s="86" t="str">
        <f aca="false">IF(B48="","",MIN(cfg_G_CAP,J48+K48))</f>
        <v/>
      </c>
      <c r="R48" s="87"/>
      <c r="S48" s="73"/>
      <c r="T48" s="85"/>
      <c r="U48" s="87"/>
      <c r="V48" s="88"/>
      <c r="W48" s="85"/>
      <c r="X48" s="84"/>
      <c r="Y48" s="73"/>
      <c r="Z48" s="74" t="str">
        <f aca="false">IF(B48="","",IF(AND(X48&lt;&gt;"",X48&lt;=cfg_VAL_DATE),"✖ منتهي الخدمة",IF(H48&gt;cfg_VAL_DATE,"⚠ لم يباشر بعد","✔ على رأس العمل")))</f>
        <v/>
      </c>
      <c r="AA48" s="73"/>
      <c r="AB48" s="73"/>
      <c r="AC48" s="73"/>
    </row>
    <row r="49" customFormat="false" ht="15" hidden="false" customHeight="false" outlineLevel="0" collapsed="false">
      <c r="A49" s="89" t="str">
        <f aca="false">IF(B49="","",ROW()-5)</f>
        <v/>
      </c>
      <c r="B49" s="73"/>
      <c r="C49" s="73"/>
      <c r="D49" s="73"/>
      <c r="E49" s="73"/>
      <c r="F49" s="73"/>
      <c r="G49" s="73"/>
      <c r="H49" s="84"/>
      <c r="I49" s="84"/>
      <c r="J49" s="85"/>
      <c r="K49" s="85"/>
      <c r="L49" s="85"/>
      <c r="M49" s="85"/>
      <c r="N49" s="90" t="str">
        <f aca="false">IF(B49="","",SUM(J49:M49))</f>
        <v/>
      </c>
      <c r="O49" s="90" t="str">
        <f aca="false">IF(B49="","",J49+IF(cfg_EOS_H="نعم",K49,0)+IF(cfg_EOS_T="نعم",L49,0)+IF(cfg_EOS_O="نعم",M49,0))</f>
        <v/>
      </c>
      <c r="P49" s="90" t="str">
        <f aca="false">IF(B49="","",J49+IF(cfg_LV_H="نعم",K49,0)+IF(cfg_LV_T="نعم",L49,0)+IF(cfg_LV_O="نعم",M49,0))</f>
        <v/>
      </c>
      <c r="Q49" s="90" t="str">
        <f aca="false">IF(B49="","",MIN(cfg_G_CAP,J49+K49))</f>
        <v/>
      </c>
      <c r="R49" s="87"/>
      <c r="S49" s="73"/>
      <c r="T49" s="85"/>
      <c r="U49" s="87"/>
      <c r="V49" s="88"/>
      <c r="W49" s="85"/>
      <c r="X49" s="84"/>
      <c r="Y49" s="73"/>
      <c r="Z49" s="91" t="str">
        <f aca="false">IF(B49="","",IF(AND(X49&lt;&gt;"",X49&lt;=cfg_VAL_DATE),"✖ منتهي الخدمة",IF(H49&gt;cfg_VAL_DATE,"⚠ لم يباشر بعد","✔ على رأس العمل")))</f>
        <v/>
      </c>
      <c r="AA49" s="73"/>
      <c r="AB49" s="73"/>
      <c r="AC49" s="73"/>
    </row>
    <row r="50" customFormat="false" ht="15" hidden="false" customHeight="false" outlineLevel="0" collapsed="false">
      <c r="A50" s="83" t="str">
        <f aca="false">IF(B50="","",ROW()-5)</f>
        <v/>
      </c>
      <c r="B50" s="73"/>
      <c r="C50" s="73"/>
      <c r="D50" s="73"/>
      <c r="E50" s="73"/>
      <c r="F50" s="73"/>
      <c r="G50" s="73"/>
      <c r="H50" s="84"/>
      <c r="I50" s="84"/>
      <c r="J50" s="85"/>
      <c r="K50" s="85"/>
      <c r="L50" s="85"/>
      <c r="M50" s="85"/>
      <c r="N50" s="86" t="str">
        <f aca="false">IF(B50="","",SUM(J50:M50))</f>
        <v/>
      </c>
      <c r="O50" s="86" t="str">
        <f aca="false">IF(B50="","",J50+IF(cfg_EOS_H="نعم",K50,0)+IF(cfg_EOS_T="نعم",L50,0)+IF(cfg_EOS_O="نعم",M50,0))</f>
        <v/>
      </c>
      <c r="P50" s="86" t="str">
        <f aca="false">IF(B50="","",J50+IF(cfg_LV_H="نعم",K50,0)+IF(cfg_LV_T="نعم",L50,0)+IF(cfg_LV_O="نعم",M50,0))</f>
        <v/>
      </c>
      <c r="Q50" s="86" t="str">
        <f aca="false">IF(B50="","",MIN(cfg_G_CAP,J50+K50))</f>
        <v/>
      </c>
      <c r="R50" s="87"/>
      <c r="S50" s="73"/>
      <c r="T50" s="85"/>
      <c r="U50" s="87"/>
      <c r="V50" s="88"/>
      <c r="W50" s="85"/>
      <c r="X50" s="84"/>
      <c r="Y50" s="73"/>
      <c r="Z50" s="74" t="str">
        <f aca="false">IF(B50="","",IF(AND(X50&lt;&gt;"",X50&lt;=cfg_VAL_DATE),"✖ منتهي الخدمة",IF(H50&gt;cfg_VAL_DATE,"⚠ لم يباشر بعد","✔ على رأس العمل")))</f>
        <v/>
      </c>
      <c r="AA50" s="73"/>
      <c r="AB50" s="73"/>
      <c r="AC50" s="73"/>
    </row>
    <row r="51" customFormat="false" ht="15" hidden="false" customHeight="false" outlineLevel="0" collapsed="false">
      <c r="A51" s="89" t="str">
        <f aca="false">IF(B51="","",ROW()-5)</f>
        <v/>
      </c>
      <c r="B51" s="73"/>
      <c r="C51" s="73"/>
      <c r="D51" s="73"/>
      <c r="E51" s="73"/>
      <c r="F51" s="73"/>
      <c r="G51" s="73"/>
      <c r="H51" s="84"/>
      <c r="I51" s="84"/>
      <c r="J51" s="85"/>
      <c r="K51" s="85"/>
      <c r="L51" s="85"/>
      <c r="M51" s="85"/>
      <c r="N51" s="90" t="str">
        <f aca="false">IF(B51="","",SUM(J51:M51))</f>
        <v/>
      </c>
      <c r="O51" s="90" t="str">
        <f aca="false">IF(B51="","",J51+IF(cfg_EOS_H="نعم",K51,0)+IF(cfg_EOS_T="نعم",L51,0)+IF(cfg_EOS_O="نعم",M51,0))</f>
        <v/>
      </c>
      <c r="P51" s="90" t="str">
        <f aca="false">IF(B51="","",J51+IF(cfg_LV_H="نعم",K51,0)+IF(cfg_LV_T="نعم",L51,0)+IF(cfg_LV_O="نعم",M51,0))</f>
        <v/>
      </c>
      <c r="Q51" s="90" t="str">
        <f aca="false">IF(B51="","",MIN(cfg_G_CAP,J51+K51))</f>
        <v/>
      </c>
      <c r="R51" s="87"/>
      <c r="S51" s="73"/>
      <c r="T51" s="85"/>
      <c r="U51" s="87"/>
      <c r="V51" s="88"/>
      <c r="W51" s="85"/>
      <c r="X51" s="84"/>
      <c r="Y51" s="73"/>
      <c r="Z51" s="91" t="str">
        <f aca="false">IF(B51="","",IF(AND(X51&lt;&gt;"",X51&lt;=cfg_VAL_DATE),"✖ منتهي الخدمة",IF(H51&gt;cfg_VAL_DATE,"⚠ لم يباشر بعد","✔ على رأس العمل")))</f>
        <v/>
      </c>
      <c r="AA51" s="73"/>
      <c r="AB51" s="73"/>
      <c r="AC51" s="73"/>
    </row>
    <row r="52" customFormat="false" ht="15" hidden="false" customHeight="false" outlineLevel="0" collapsed="false">
      <c r="A52" s="83" t="str">
        <f aca="false">IF(B52="","",ROW()-5)</f>
        <v/>
      </c>
      <c r="B52" s="73"/>
      <c r="C52" s="73"/>
      <c r="D52" s="73"/>
      <c r="E52" s="73"/>
      <c r="F52" s="73"/>
      <c r="G52" s="73"/>
      <c r="H52" s="84"/>
      <c r="I52" s="84"/>
      <c r="J52" s="85"/>
      <c r="K52" s="85"/>
      <c r="L52" s="85"/>
      <c r="M52" s="85"/>
      <c r="N52" s="86" t="str">
        <f aca="false">IF(B52="","",SUM(J52:M52))</f>
        <v/>
      </c>
      <c r="O52" s="86" t="str">
        <f aca="false">IF(B52="","",J52+IF(cfg_EOS_H="نعم",K52,0)+IF(cfg_EOS_T="نعم",L52,0)+IF(cfg_EOS_O="نعم",M52,0))</f>
        <v/>
      </c>
      <c r="P52" s="86" t="str">
        <f aca="false">IF(B52="","",J52+IF(cfg_LV_H="نعم",K52,0)+IF(cfg_LV_T="نعم",L52,0)+IF(cfg_LV_O="نعم",M52,0))</f>
        <v/>
      </c>
      <c r="Q52" s="86" t="str">
        <f aca="false">IF(B52="","",MIN(cfg_G_CAP,J52+K52))</f>
        <v/>
      </c>
      <c r="R52" s="87"/>
      <c r="S52" s="73"/>
      <c r="T52" s="85"/>
      <c r="U52" s="87"/>
      <c r="V52" s="88"/>
      <c r="W52" s="85"/>
      <c r="X52" s="84"/>
      <c r="Y52" s="73"/>
      <c r="Z52" s="74" t="str">
        <f aca="false">IF(B52="","",IF(AND(X52&lt;&gt;"",X52&lt;=cfg_VAL_DATE),"✖ منتهي الخدمة",IF(H52&gt;cfg_VAL_DATE,"⚠ لم يباشر بعد","✔ على رأس العمل")))</f>
        <v/>
      </c>
      <c r="AA52" s="73"/>
      <c r="AB52" s="73"/>
      <c r="AC52" s="73"/>
    </row>
    <row r="53" customFormat="false" ht="15" hidden="false" customHeight="false" outlineLevel="0" collapsed="false">
      <c r="A53" s="89" t="str">
        <f aca="false">IF(B53="","",ROW()-5)</f>
        <v/>
      </c>
      <c r="B53" s="73"/>
      <c r="C53" s="73"/>
      <c r="D53" s="73"/>
      <c r="E53" s="73"/>
      <c r="F53" s="73"/>
      <c r="G53" s="73"/>
      <c r="H53" s="84"/>
      <c r="I53" s="84"/>
      <c r="J53" s="85"/>
      <c r="K53" s="85"/>
      <c r="L53" s="85"/>
      <c r="M53" s="85"/>
      <c r="N53" s="90" t="str">
        <f aca="false">IF(B53="","",SUM(J53:M53))</f>
        <v/>
      </c>
      <c r="O53" s="90" t="str">
        <f aca="false">IF(B53="","",J53+IF(cfg_EOS_H="نعم",K53,0)+IF(cfg_EOS_T="نعم",L53,0)+IF(cfg_EOS_O="نعم",M53,0))</f>
        <v/>
      </c>
      <c r="P53" s="90" t="str">
        <f aca="false">IF(B53="","",J53+IF(cfg_LV_H="نعم",K53,0)+IF(cfg_LV_T="نعم",L53,0)+IF(cfg_LV_O="نعم",M53,0))</f>
        <v/>
      </c>
      <c r="Q53" s="90" t="str">
        <f aca="false">IF(B53="","",MIN(cfg_G_CAP,J53+K53))</f>
        <v/>
      </c>
      <c r="R53" s="87"/>
      <c r="S53" s="73"/>
      <c r="T53" s="85"/>
      <c r="U53" s="87"/>
      <c r="V53" s="88"/>
      <c r="W53" s="85"/>
      <c r="X53" s="84"/>
      <c r="Y53" s="73"/>
      <c r="Z53" s="91" t="str">
        <f aca="false">IF(B53="","",IF(AND(X53&lt;&gt;"",X53&lt;=cfg_VAL_DATE),"✖ منتهي الخدمة",IF(H53&gt;cfg_VAL_DATE,"⚠ لم يباشر بعد","✔ على رأس العمل")))</f>
        <v/>
      </c>
      <c r="AA53" s="73"/>
      <c r="AB53" s="73"/>
      <c r="AC53" s="73"/>
    </row>
    <row r="54" customFormat="false" ht="15" hidden="false" customHeight="false" outlineLevel="0" collapsed="false">
      <c r="A54" s="83" t="str">
        <f aca="false">IF(B54="","",ROW()-5)</f>
        <v/>
      </c>
      <c r="B54" s="73"/>
      <c r="C54" s="73"/>
      <c r="D54" s="73"/>
      <c r="E54" s="73"/>
      <c r="F54" s="73"/>
      <c r="G54" s="73"/>
      <c r="H54" s="84"/>
      <c r="I54" s="84"/>
      <c r="J54" s="85"/>
      <c r="K54" s="85"/>
      <c r="L54" s="85"/>
      <c r="M54" s="85"/>
      <c r="N54" s="86" t="str">
        <f aca="false">IF(B54="","",SUM(J54:M54))</f>
        <v/>
      </c>
      <c r="O54" s="86" t="str">
        <f aca="false">IF(B54="","",J54+IF(cfg_EOS_H="نعم",K54,0)+IF(cfg_EOS_T="نعم",L54,0)+IF(cfg_EOS_O="نعم",M54,0))</f>
        <v/>
      </c>
      <c r="P54" s="86" t="str">
        <f aca="false">IF(B54="","",J54+IF(cfg_LV_H="نعم",K54,0)+IF(cfg_LV_T="نعم",L54,0)+IF(cfg_LV_O="نعم",M54,0))</f>
        <v/>
      </c>
      <c r="Q54" s="86" t="str">
        <f aca="false">IF(B54="","",MIN(cfg_G_CAP,J54+K54))</f>
        <v/>
      </c>
      <c r="R54" s="87"/>
      <c r="S54" s="73"/>
      <c r="T54" s="85"/>
      <c r="U54" s="87"/>
      <c r="V54" s="88"/>
      <c r="W54" s="85"/>
      <c r="X54" s="84"/>
      <c r="Y54" s="73"/>
      <c r="Z54" s="74" t="str">
        <f aca="false">IF(B54="","",IF(AND(X54&lt;&gt;"",X54&lt;=cfg_VAL_DATE),"✖ منتهي الخدمة",IF(H54&gt;cfg_VAL_DATE,"⚠ لم يباشر بعد","✔ على رأس العمل")))</f>
        <v/>
      </c>
      <c r="AA54" s="73"/>
      <c r="AB54" s="73"/>
      <c r="AC54" s="73"/>
    </row>
    <row r="55" customFormat="false" ht="15" hidden="false" customHeight="false" outlineLevel="0" collapsed="false">
      <c r="A55" s="89" t="str">
        <f aca="false">IF(B55="","",ROW()-5)</f>
        <v/>
      </c>
      <c r="B55" s="73"/>
      <c r="C55" s="73"/>
      <c r="D55" s="73"/>
      <c r="E55" s="73"/>
      <c r="F55" s="73"/>
      <c r="G55" s="73"/>
      <c r="H55" s="84"/>
      <c r="I55" s="84"/>
      <c r="J55" s="85"/>
      <c r="K55" s="85"/>
      <c r="L55" s="85"/>
      <c r="M55" s="85"/>
      <c r="N55" s="90" t="str">
        <f aca="false">IF(B55="","",SUM(J55:M55))</f>
        <v/>
      </c>
      <c r="O55" s="90" t="str">
        <f aca="false">IF(B55="","",J55+IF(cfg_EOS_H="نعم",K55,0)+IF(cfg_EOS_T="نعم",L55,0)+IF(cfg_EOS_O="نعم",M55,0))</f>
        <v/>
      </c>
      <c r="P55" s="90" t="str">
        <f aca="false">IF(B55="","",J55+IF(cfg_LV_H="نعم",K55,0)+IF(cfg_LV_T="نعم",L55,0)+IF(cfg_LV_O="نعم",M55,0))</f>
        <v/>
      </c>
      <c r="Q55" s="90" t="str">
        <f aca="false">IF(B55="","",MIN(cfg_G_CAP,J55+K55))</f>
        <v/>
      </c>
      <c r="R55" s="87"/>
      <c r="S55" s="73"/>
      <c r="T55" s="85"/>
      <c r="U55" s="87"/>
      <c r="V55" s="88"/>
      <c r="W55" s="85"/>
      <c r="X55" s="84"/>
      <c r="Y55" s="73"/>
      <c r="Z55" s="91" t="str">
        <f aca="false">IF(B55="","",IF(AND(X55&lt;&gt;"",X55&lt;=cfg_VAL_DATE),"✖ منتهي الخدمة",IF(H55&gt;cfg_VAL_DATE,"⚠ لم يباشر بعد","✔ على رأس العمل")))</f>
        <v/>
      </c>
      <c r="AA55" s="73"/>
      <c r="AB55" s="73"/>
      <c r="AC55" s="73"/>
    </row>
    <row r="56" customFormat="false" ht="15" hidden="false" customHeight="false" outlineLevel="0" collapsed="false">
      <c r="A56" s="83" t="str">
        <f aca="false">IF(B56="","",ROW()-5)</f>
        <v/>
      </c>
      <c r="B56" s="73"/>
      <c r="C56" s="73"/>
      <c r="D56" s="73"/>
      <c r="E56" s="73"/>
      <c r="F56" s="73"/>
      <c r="G56" s="73"/>
      <c r="H56" s="84"/>
      <c r="I56" s="84"/>
      <c r="J56" s="85"/>
      <c r="K56" s="85"/>
      <c r="L56" s="85"/>
      <c r="M56" s="85"/>
      <c r="N56" s="86" t="str">
        <f aca="false">IF(B56="","",SUM(J56:M56))</f>
        <v/>
      </c>
      <c r="O56" s="86" t="str">
        <f aca="false">IF(B56="","",J56+IF(cfg_EOS_H="نعم",K56,0)+IF(cfg_EOS_T="نعم",L56,0)+IF(cfg_EOS_O="نعم",M56,0))</f>
        <v/>
      </c>
      <c r="P56" s="86" t="str">
        <f aca="false">IF(B56="","",J56+IF(cfg_LV_H="نعم",K56,0)+IF(cfg_LV_T="نعم",L56,0)+IF(cfg_LV_O="نعم",M56,0))</f>
        <v/>
      </c>
      <c r="Q56" s="86" t="str">
        <f aca="false">IF(B56="","",MIN(cfg_G_CAP,J56+K56))</f>
        <v/>
      </c>
      <c r="R56" s="87"/>
      <c r="S56" s="73"/>
      <c r="T56" s="85"/>
      <c r="U56" s="87"/>
      <c r="V56" s="88"/>
      <c r="W56" s="85"/>
      <c r="X56" s="84"/>
      <c r="Y56" s="73"/>
      <c r="Z56" s="74" t="str">
        <f aca="false">IF(B56="","",IF(AND(X56&lt;&gt;"",X56&lt;=cfg_VAL_DATE),"✖ منتهي الخدمة",IF(H56&gt;cfg_VAL_DATE,"⚠ لم يباشر بعد","✔ على رأس العمل")))</f>
        <v/>
      </c>
      <c r="AA56" s="73"/>
      <c r="AB56" s="73"/>
      <c r="AC56" s="73"/>
    </row>
    <row r="57" customFormat="false" ht="15" hidden="false" customHeight="false" outlineLevel="0" collapsed="false">
      <c r="A57" s="89" t="str">
        <f aca="false">IF(B57="","",ROW()-5)</f>
        <v/>
      </c>
      <c r="B57" s="73"/>
      <c r="C57" s="73"/>
      <c r="D57" s="73"/>
      <c r="E57" s="73"/>
      <c r="F57" s="73"/>
      <c r="G57" s="73"/>
      <c r="H57" s="84"/>
      <c r="I57" s="84"/>
      <c r="J57" s="85"/>
      <c r="K57" s="85"/>
      <c r="L57" s="85"/>
      <c r="M57" s="85"/>
      <c r="N57" s="90" t="str">
        <f aca="false">IF(B57="","",SUM(J57:M57))</f>
        <v/>
      </c>
      <c r="O57" s="90" t="str">
        <f aca="false">IF(B57="","",J57+IF(cfg_EOS_H="نعم",K57,0)+IF(cfg_EOS_T="نعم",L57,0)+IF(cfg_EOS_O="نعم",M57,0))</f>
        <v/>
      </c>
      <c r="P57" s="90" t="str">
        <f aca="false">IF(B57="","",J57+IF(cfg_LV_H="نعم",K57,0)+IF(cfg_LV_T="نعم",L57,0)+IF(cfg_LV_O="نعم",M57,0))</f>
        <v/>
      </c>
      <c r="Q57" s="90" t="str">
        <f aca="false">IF(B57="","",MIN(cfg_G_CAP,J57+K57))</f>
        <v/>
      </c>
      <c r="R57" s="87"/>
      <c r="S57" s="73"/>
      <c r="T57" s="85"/>
      <c r="U57" s="87"/>
      <c r="V57" s="88"/>
      <c r="W57" s="85"/>
      <c r="X57" s="84"/>
      <c r="Y57" s="73"/>
      <c r="Z57" s="91" t="str">
        <f aca="false">IF(B57="","",IF(AND(X57&lt;&gt;"",X57&lt;=cfg_VAL_DATE),"✖ منتهي الخدمة",IF(H57&gt;cfg_VAL_DATE,"⚠ لم يباشر بعد","✔ على رأس العمل")))</f>
        <v/>
      </c>
      <c r="AA57" s="73"/>
      <c r="AB57" s="73"/>
      <c r="AC57" s="73"/>
    </row>
    <row r="58" customFormat="false" ht="15" hidden="false" customHeight="false" outlineLevel="0" collapsed="false">
      <c r="A58" s="83" t="str">
        <f aca="false">IF(B58="","",ROW()-5)</f>
        <v/>
      </c>
      <c r="B58" s="73"/>
      <c r="C58" s="73"/>
      <c r="D58" s="73"/>
      <c r="E58" s="73"/>
      <c r="F58" s="73"/>
      <c r="G58" s="73"/>
      <c r="H58" s="84"/>
      <c r="I58" s="84"/>
      <c r="J58" s="85"/>
      <c r="K58" s="85"/>
      <c r="L58" s="85"/>
      <c r="M58" s="85"/>
      <c r="N58" s="86" t="str">
        <f aca="false">IF(B58="","",SUM(J58:M58))</f>
        <v/>
      </c>
      <c r="O58" s="86" t="str">
        <f aca="false">IF(B58="","",J58+IF(cfg_EOS_H="نعم",K58,0)+IF(cfg_EOS_T="نعم",L58,0)+IF(cfg_EOS_O="نعم",M58,0))</f>
        <v/>
      </c>
      <c r="P58" s="86" t="str">
        <f aca="false">IF(B58="","",J58+IF(cfg_LV_H="نعم",K58,0)+IF(cfg_LV_T="نعم",L58,0)+IF(cfg_LV_O="نعم",M58,0))</f>
        <v/>
      </c>
      <c r="Q58" s="86" t="str">
        <f aca="false">IF(B58="","",MIN(cfg_G_CAP,J58+K58))</f>
        <v/>
      </c>
      <c r="R58" s="87"/>
      <c r="S58" s="73"/>
      <c r="T58" s="85"/>
      <c r="U58" s="87"/>
      <c r="V58" s="88"/>
      <c r="W58" s="85"/>
      <c r="X58" s="84"/>
      <c r="Y58" s="73"/>
      <c r="Z58" s="74" t="str">
        <f aca="false">IF(B58="","",IF(AND(X58&lt;&gt;"",X58&lt;=cfg_VAL_DATE),"✖ منتهي الخدمة",IF(H58&gt;cfg_VAL_DATE,"⚠ لم يباشر بعد","✔ على رأس العمل")))</f>
        <v/>
      </c>
      <c r="AA58" s="73"/>
      <c r="AB58" s="73"/>
      <c r="AC58" s="73"/>
    </row>
    <row r="59" customFormat="false" ht="15" hidden="false" customHeight="false" outlineLevel="0" collapsed="false">
      <c r="A59" s="89" t="str">
        <f aca="false">IF(B59="","",ROW()-5)</f>
        <v/>
      </c>
      <c r="B59" s="73"/>
      <c r="C59" s="73"/>
      <c r="D59" s="73"/>
      <c r="E59" s="73"/>
      <c r="F59" s="73"/>
      <c r="G59" s="73"/>
      <c r="H59" s="84"/>
      <c r="I59" s="84"/>
      <c r="J59" s="85"/>
      <c r="K59" s="85"/>
      <c r="L59" s="85"/>
      <c r="M59" s="85"/>
      <c r="N59" s="90" t="str">
        <f aca="false">IF(B59="","",SUM(J59:M59))</f>
        <v/>
      </c>
      <c r="O59" s="90" t="str">
        <f aca="false">IF(B59="","",J59+IF(cfg_EOS_H="نعم",K59,0)+IF(cfg_EOS_T="نعم",L59,0)+IF(cfg_EOS_O="نعم",M59,0))</f>
        <v/>
      </c>
      <c r="P59" s="90" t="str">
        <f aca="false">IF(B59="","",J59+IF(cfg_LV_H="نعم",K59,0)+IF(cfg_LV_T="نعم",L59,0)+IF(cfg_LV_O="نعم",M59,0))</f>
        <v/>
      </c>
      <c r="Q59" s="90" t="str">
        <f aca="false">IF(B59="","",MIN(cfg_G_CAP,J59+K59))</f>
        <v/>
      </c>
      <c r="R59" s="87"/>
      <c r="S59" s="73"/>
      <c r="T59" s="85"/>
      <c r="U59" s="87"/>
      <c r="V59" s="88"/>
      <c r="W59" s="85"/>
      <c r="X59" s="84"/>
      <c r="Y59" s="73"/>
      <c r="Z59" s="91" t="str">
        <f aca="false">IF(B59="","",IF(AND(X59&lt;&gt;"",X59&lt;=cfg_VAL_DATE),"✖ منتهي الخدمة",IF(H59&gt;cfg_VAL_DATE,"⚠ لم يباشر بعد","✔ على رأس العمل")))</f>
        <v/>
      </c>
      <c r="AA59" s="73"/>
      <c r="AB59" s="73"/>
      <c r="AC59" s="73"/>
    </row>
    <row r="60" customFormat="false" ht="15" hidden="false" customHeight="false" outlineLevel="0" collapsed="false">
      <c r="A60" s="83" t="str">
        <f aca="false">IF(B60="","",ROW()-5)</f>
        <v/>
      </c>
      <c r="B60" s="73"/>
      <c r="C60" s="73"/>
      <c r="D60" s="73"/>
      <c r="E60" s="73"/>
      <c r="F60" s="73"/>
      <c r="G60" s="73"/>
      <c r="H60" s="84"/>
      <c r="I60" s="84"/>
      <c r="J60" s="85"/>
      <c r="K60" s="85"/>
      <c r="L60" s="85"/>
      <c r="M60" s="85"/>
      <c r="N60" s="86" t="str">
        <f aca="false">IF(B60="","",SUM(J60:M60))</f>
        <v/>
      </c>
      <c r="O60" s="86" t="str">
        <f aca="false">IF(B60="","",J60+IF(cfg_EOS_H="نعم",K60,0)+IF(cfg_EOS_T="نعم",L60,0)+IF(cfg_EOS_O="نعم",M60,0))</f>
        <v/>
      </c>
      <c r="P60" s="86" t="str">
        <f aca="false">IF(B60="","",J60+IF(cfg_LV_H="نعم",K60,0)+IF(cfg_LV_T="نعم",L60,0)+IF(cfg_LV_O="نعم",M60,0))</f>
        <v/>
      </c>
      <c r="Q60" s="86" t="str">
        <f aca="false">IF(B60="","",MIN(cfg_G_CAP,J60+K60))</f>
        <v/>
      </c>
      <c r="R60" s="87"/>
      <c r="S60" s="73"/>
      <c r="T60" s="85"/>
      <c r="U60" s="87"/>
      <c r="V60" s="88"/>
      <c r="W60" s="85"/>
      <c r="X60" s="84"/>
      <c r="Y60" s="73"/>
      <c r="Z60" s="74" t="str">
        <f aca="false">IF(B60="","",IF(AND(X60&lt;&gt;"",X60&lt;=cfg_VAL_DATE),"✖ منتهي الخدمة",IF(H60&gt;cfg_VAL_DATE,"⚠ لم يباشر بعد","✔ على رأس العمل")))</f>
        <v/>
      </c>
      <c r="AA60" s="73"/>
      <c r="AB60" s="73"/>
      <c r="AC60" s="73"/>
    </row>
    <row r="61" customFormat="false" ht="15" hidden="false" customHeight="false" outlineLevel="0" collapsed="false">
      <c r="A61" s="89" t="str">
        <f aca="false">IF(B61="","",ROW()-5)</f>
        <v/>
      </c>
      <c r="B61" s="73"/>
      <c r="C61" s="73"/>
      <c r="D61" s="73"/>
      <c r="E61" s="73"/>
      <c r="F61" s="73"/>
      <c r="G61" s="73"/>
      <c r="H61" s="84"/>
      <c r="I61" s="84"/>
      <c r="J61" s="85"/>
      <c r="K61" s="85"/>
      <c r="L61" s="85"/>
      <c r="M61" s="85"/>
      <c r="N61" s="90" t="str">
        <f aca="false">IF(B61="","",SUM(J61:M61))</f>
        <v/>
      </c>
      <c r="O61" s="90" t="str">
        <f aca="false">IF(B61="","",J61+IF(cfg_EOS_H="نعم",K61,0)+IF(cfg_EOS_T="نعم",L61,0)+IF(cfg_EOS_O="نعم",M61,0))</f>
        <v/>
      </c>
      <c r="P61" s="90" t="str">
        <f aca="false">IF(B61="","",J61+IF(cfg_LV_H="نعم",K61,0)+IF(cfg_LV_T="نعم",L61,0)+IF(cfg_LV_O="نعم",M61,0))</f>
        <v/>
      </c>
      <c r="Q61" s="90" t="str">
        <f aca="false">IF(B61="","",MIN(cfg_G_CAP,J61+K61))</f>
        <v/>
      </c>
      <c r="R61" s="87"/>
      <c r="S61" s="73"/>
      <c r="T61" s="85"/>
      <c r="U61" s="87"/>
      <c r="V61" s="88"/>
      <c r="W61" s="85"/>
      <c r="X61" s="84"/>
      <c r="Y61" s="73"/>
      <c r="Z61" s="91" t="str">
        <f aca="false">IF(B61="","",IF(AND(X61&lt;&gt;"",X61&lt;=cfg_VAL_DATE),"✖ منتهي الخدمة",IF(H61&gt;cfg_VAL_DATE,"⚠ لم يباشر بعد","✔ على رأس العمل")))</f>
        <v/>
      </c>
      <c r="AA61" s="73"/>
      <c r="AB61" s="73"/>
      <c r="AC61" s="73"/>
    </row>
    <row r="62" customFormat="false" ht="15" hidden="false" customHeight="false" outlineLevel="0" collapsed="false">
      <c r="A62" s="83" t="str">
        <f aca="false">IF(B62="","",ROW()-5)</f>
        <v/>
      </c>
      <c r="B62" s="73"/>
      <c r="C62" s="73"/>
      <c r="D62" s="73"/>
      <c r="E62" s="73"/>
      <c r="F62" s="73"/>
      <c r="G62" s="73"/>
      <c r="H62" s="84"/>
      <c r="I62" s="84"/>
      <c r="J62" s="85"/>
      <c r="K62" s="85"/>
      <c r="L62" s="85"/>
      <c r="M62" s="85"/>
      <c r="N62" s="86" t="str">
        <f aca="false">IF(B62="","",SUM(J62:M62))</f>
        <v/>
      </c>
      <c r="O62" s="86" t="str">
        <f aca="false">IF(B62="","",J62+IF(cfg_EOS_H="نعم",K62,0)+IF(cfg_EOS_T="نعم",L62,0)+IF(cfg_EOS_O="نعم",M62,0))</f>
        <v/>
      </c>
      <c r="P62" s="86" t="str">
        <f aca="false">IF(B62="","",J62+IF(cfg_LV_H="نعم",K62,0)+IF(cfg_LV_T="نعم",L62,0)+IF(cfg_LV_O="نعم",M62,0))</f>
        <v/>
      </c>
      <c r="Q62" s="86" t="str">
        <f aca="false">IF(B62="","",MIN(cfg_G_CAP,J62+K62))</f>
        <v/>
      </c>
      <c r="R62" s="87"/>
      <c r="S62" s="73"/>
      <c r="T62" s="85"/>
      <c r="U62" s="87"/>
      <c r="V62" s="88"/>
      <c r="W62" s="85"/>
      <c r="X62" s="84"/>
      <c r="Y62" s="73"/>
      <c r="Z62" s="74" t="str">
        <f aca="false">IF(B62="","",IF(AND(X62&lt;&gt;"",X62&lt;=cfg_VAL_DATE),"✖ منتهي الخدمة",IF(H62&gt;cfg_VAL_DATE,"⚠ لم يباشر بعد","✔ على رأس العمل")))</f>
        <v/>
      </c>
      <c r="AA62" s="73"/>
      <c r="AB62" s="73"/>
      <c r="AC62" s="73"/>
    </row>
    <row r="63" customFormat="false" ht="15" hidden="false" customHeight="false" outlineLevel="0" collapsed="false">
      <c r="A63" s="89" t="str">
        <f aca="false">IF(B63="","",ROW()-5)</f>
        <v/>
      </c>
      <c r="B63" s="73"/>
      <c r="C63" s="73"/>
      <c r="D63" s="73"/>
      <c r="E63" s="73"/>
      <c r="F63" s="73"/>
      <c r="G63" s="73"/>
      <c r="H63" s="84"/>
      <c r="I63" s="84"/>
      <c r="J63" s="85"/>
      <c r="K63" s="85"/>
      <c r="L63" s="85"/>
      <c r="M63" s="85"/>
      <c r="N63" s="90" t="str">
        <f aca="false">IF(B63="","",SUM(J63:M63))</f>
        <v/>
      </c>
      <c r="O63" s="90" t="str">
        <f aca="false">IF(B63="","",J63+IF(cfg_EOS_H="نعم",K63,0)+IF(cfg_EOS_T="نعم",L63,0)+IF(cfg_EOS_O="نعم",M63,0))</f>
        <v/>
      </c>
      <c r="P63" s="90" t="str">
        <f aca="false">IF(B63="","",J63+IF(cfg_LV_H="نعم",K63,0)+IF(cfg_LV_T="نعم",L63,0)+IF(cfg_LV_O="نعم",M63,0))</f>
        <v/>
      </c>
      <c r="Q63" s="90" t="str">
        <f aca="false">IF(B63="","",MIN(cfg_G_CAP,J63+K63))</f>
        <v/>
      </c>
      <c r="R63" s="87"/>
      <c r="S63" s="73"/>
      <c r="T63" s="85"/>
      <c r="U63" s="87"/>
      <c r="V63" s="88"/>
      <c r="W63" s="85"/>
      <c r="X63" s="84"/>
      <c r="Y63" s="73"/>
      <c r="Z63" s="91" t="str">
        <f aca="false">IF(B63="","",IF(AND(X63&lt;&gt;"",X63&lt;=cfg_VAL_DATE),"✖ منتهي الخدمة",IF(H63&gt;cfg_VAL_DATE,"⚠ لم يباشر بعد","✔ على رأس العمل")))</f>
        <v/>
      </c>
      <c r="AA63" s="73"/>
      <c r="AB63" s="73"/>
      <c r="AC63" s="73"/>
    </row>
    <row r="64" customFormat="false" ht="15" hidden="false" customHeight="false" outlineLevel="0" collapsed="false">
      <c r="A64" s="83" t="str">
        <f aca="false">IF(B64="","",ROW()-5)</f>
        <v/>
      </c>
      <c r="B64" s="73"/>
      <c r="C64" s="73"/>
      <c r="D64" s="73"/>
      <c r="E64" s="73"/>
      <c r="F64" s="73"/>
      <c r="G64" s="73"/>
      <c r="H64" s="84"/>
      <c r="I64" s="84"/>
      <c r="J64" s="85"/>
      <c r="K64" s="85"/>
      <c r="L64" s="85"/>
      <c r="M64" s="85"/>
      <c r="N64" s="86" t="str">
        <f aca="false">IF(B64="","",SUM(J64:M64))</f>
        <v/>
      </c>
      <c r="O64" s="86" t="str">
        <f aca="false">IF(B64="","",J64+IF(cfg_EOS_H="نعم",K64,0)+IF(cfg_EOS_T="نعم",L64,0)+IF(cfg_EOS_O="نعم",M64,0))</f>
        <v/>
      </c>
      <c r="P64" s="86" t="str">
        <f aca="false">IF(B64="","",J64+IF(cfg_LV_H="نعم",K64,0)+IF(cfg_LV_T="نعم",L64,0)+IF(cfg_LV_O="نعم",M64,0))</f>
        <v/>
      </c>
      <c r="Q64" s="86" t="str">
        <f aca="false">IF(B64="","",MIN(cfg_G_CAP,J64+K64))</f>
        <v/>
      </c>
      <c r="R64" s="87"/>
      <c r="S64" s="73"/>
      <c r="T64" s="85"/>
      <c r="U64" s="87"/>
      <c r="V64" s="88"/>
      <c r="W64" s="85"/>
      <c r="X64" s="84"/>
      <c r="Y64" s="73"/>
      <c r="Z64" s="74" t="str">
        <f aca="false">IF(B64="","",IF(AND(X64&lt;&gt;"",X64&lt;=cfg_VAL_DATE),"✖ منتهي الخدمة",IF(H64&gt;cfg_VAL_DATE,"⚠ لم يباشر بعد","✔ على رأس العمل")))</f>
        <v/>
      </c>
      <c r="AA64" s="73"/>
      <c r="AB64" s="73"/>
      <c r="AC64" s="73"/>
    </row>
    <row r="65" customFormat="false" ht="15" hidden="false" customHeight="false" outlineLevel="0" collapsed="false">
      <c r="A65" s="89" t="str">
        <f aca="false">IF(B65="","",ROW()-5)</f>
        <v/>
      </c>
      <c r="B65" s="73"/>
      <c r="C65" s="73"/>
      <c r="D65" s="73"/>
      <c r="E65" s="73"/>
      <c r="F65" s="73"/>
      <c r="G65" s="73"/>
      <c r="H65" s="84"/>
      <c r="I65" s="84"/>
      <c r="J65" s="85"/>
      <c r="K65" s="85"/>
      <c r="L65" s="85"/>
      <c r="M65" s="85"/>
      <c r="N65" s="90" t="str">
        <f aca="false">IF(B65="","",SUM(J65:M65))</f>
        <v/>
      </c>
      <c r="O65" s="90" t="str">
        <f aca="false">IF(B65="","",J65+IF(cfg_EOS_H="نعم",K65,0)+IF(cfg_EOS_T="نعم",L65,0)+IF(cfg_EOS_O="نعم",M65,0))</f>
        <v/>
      </c>
      <c r="P65" s="90" t="str">
        <f aca="false">IF(B65="","",J65+IF(cfg_LV_H="نعم",K65,0)+IF(cfg_LV_T="نعم",L65,0)+IF(cfg_LV_O="نعم",M65,0))</f>
        <v/>
      </c>
      <c r="Q65" s="90" t="str">
        <f aca="false">IF(B65="","",MIN(cfg_G_CAP,J65+K65))</f>
        <v/>
      </c>
      <c r="R65" s="87"/>
      <c r="S65" s="73"/>
      <c r="T65" s="85"/>
      <c r="U65" s="87"/>
      <c r="V65" s="88"/>
      <c r="W65" s="85"/>
      <c r="X65" s="84"/>
      <c r="Y65" s="73"/>
      <c r="Z65" s="91" t="str">
        <f aca="false">IF(B65="","",IF(AND(X65&lt;&gt;"",X65&lt;=cfg_VAL_DATE),"✖ منتهي الخدمة",IF(H65&gt;cfg_VAL_DATE,"⚠ لم يباشر بعد","✔ على رأس العمل")))</f>
        <v/>
      </c>
      <c r="AA65" s="73"/>
      <c r="AB65" s="73"/>
      <c r="AC65" s="73"/>
    </row>
    <row r="66" customFormat="false" ht="15" hidden="false" customHeight="false" outlineLevel="0" collapsed="false">
      <c r="A66" s="83" t="str">
        <f aca="false">IF(B66="","",ROW()-5)</f>
        <v/>
      </c>
      <c r="B66" s="73"/>
      <c r="C66" s="73"/>
      <c r="D66" s="73"/>
      <c r="E66" s="73"/>
      <c r="F66" s="73"/>
      <c r="G66" s="73"/>
      <c r="H66" s="84"/>
      <c r="I66" s="84"/>
      <c r="J66" s="85"/>
      <c r="K66" s="85"/>
      <c r="L66" s="85"/>
      <c r="M66" s="85"/>
      <c r="N66" s="86" t="str">
        <f aca="false">IF(B66="","",SUM(J66:M66))</f>
        <v/>
      </c>
      <c r="O66" s="86" t="str">
        <f aca="false">IF(B66="","",J66+IF(cfg_EOS_H="نعم",K66,0)+IF(cfg_EOS_T="نعم",L66,0)+IF(cfg_EOS_O="نعم",M66,0))</f>
        <v/>
      </c>
      <c r="P66" s="86" t="str">
        <f aca="false">IF(B66="","",J66+IF(cfg_LV_H="نعم",K66,0)+IF(cfg_LV_T="نعم",L66,0)+IF(cfg_LV_O="نعم",M66,0))</f>
        <v/>
      </c>
      <c r="Q66" s="86" t="str">
        <f aca="false">IF(B66="","",MIN(cfg_G_CAP,J66+K66))</f>
        <v/>
      </c>
      <c r="R66" s="87"/>
      <c r="S66" s="73"/>
      <c r="T66" s="85"/>
      <c r="U66" s="87"/>
      <c r="V66" s="88"/>
      <c r="W66" s="85"/>
      <c r="X66" s="84"/>
      <c r="Y66" s="73"/>
      <c r="Z66" s="74" t="str">
        <f aca="false">IF(B66="","",IF(AND(X66&lt;&gt;"",X66&lt;=cfg_VAL_DATE),"✖ منتهي الخدمة",IF(H66&gt;cfg_VAL_DATE,"⚠ لم يباشر بعد","✔ على رأس العمل")))</f>
        <v/>
      </c>
      <c r="AA66" s="73"/>
      <c r="AB66" s="73"/>
      <c r="AC66" s="73"/>
    </row>
    <row r="67" customFormat="false" ht="15" hidden="false" customHeight="false" outlineLevel="0" collapsed="false">
      <c r="A67" s="89" t="str">
        <f aca="false">IF(B67="","",ROW()-5)</f>
        <v/>
      </c>
      <c r="B67" s="73"/>
      <c r="C67" s="73"/>
      <c r="D67" s="73"/>
      <c r="E67" s="73"/>
      <c r="F67" s="73"/>
      <c r="G67" s="73"/>
      <c r="H67" s="84"/>
      <c r="I67" s="84"/>
      <c r="J67" s="85"/>
      <c r="K67" s="85"/>
      <c r="L67" s="85"/>
      <c r="M67" s="85"/>
      <c r="N67" s="90" t="str">
        <f aca="false">IF(B67="","",SUM(J67:M67))</f>
        <v/>
      </c>
      <c r="O67" s="90" t="str">
        <f aca="false">IF(B67="","",J67+IF(cfg_EOS_H="نعم",K67,0)+IF(cfg_EOS_T="نعم",L67,0)+IF(cfg_EOS_O="نعم",M67,0))</f>
        <v/>
      </c>
      <c r="P67" s="90" t="str">
        <f aca="false">IF(B67="","",J67+IF(cfg_LV_H="نعم",K67,0)+IF(cfg_LV_T="نعم",L67,0)+IF(cfg_LV_O="نعم",M67,0))</f>
        <v/>
      </c>
      <c r="Q67" s="90" t="str">
        <f aca="false">IF(B67="","",MIN(cfg_G_CAP,J67+K67))</f>
        <v/>
      </c>
      <c r="R67" s="87"/>
      <c r="S67" s="73"/>
      <c r="T67" s="85"/>
      <c r="U67" s="87"/>
      <c r="V67" s="88"/>
      <c r="W67" s="85"/>
      <c r="X67" s="84"/>
      <c r="Y67" s="73"/>
      <c r="Z67" s="91" t="str">
        <f aca="false">IF(B67="","",IF(AND(X67&lt;&gt;"",X67&lt;=cfg_VAL_DATE),"✖ منتهي الخدمة",IF(H67&gt;cfg_VAL_DATE,"⚠ لم يباشر بعد","✔ على رأس العمل")))</f>
        <v/>
      </c>
      <c r="AA67" s="73"/>
      <c r="AB67" s="73"/>
      <c r="AC67" s="73"/>
    </row>
    <row r="68" customFormat="false" ht="15" hidden="false" customHeight="false" outlineLevel="0" collapsed="false">
      <c r="A68" s="83" t="str">
        <f aca="false">IF(B68="","",ROW()-5)</f>
        <v/>
      </c>
      <c r="B68" s="73"/>
      <c r="C68" s="73"/>
      <c r="D68" s="73"/>
      <c r="E68" s="73"/>
      <c r="F68" s="73"/>
      <c r="G68" s="73"/>
      <c r="H68" s="84"/>
      <c r="I68" s="84"/>
      <c r="J68" s="85"/>
      <c r="K68" s="85"/>
      <c r="L68" s="85"/>
      <c r="M68" s="85"/>
      <c r="N68" s="86" t="str">
        <f aca="false">IF(B68="","",SUM(J68:M68))</f>
        <v/>
      </c>
      <c r="O68" s="86" t="str">
        <f aca="false">IF(B68="","",J68+IF(cfg_EOS_H="نعم",K68,0)+IF(cfg_EOS_T="نعم",L68,0)+IF(cfg_EOS_O="نعم",M68,0))</f>
        <v/>
      </c>
      <c r="P68" s="86" t="str">
        <f aca="false">IF(B68="","",J68+IF(cfg_LV_H="نعم",K68,0)+IF(cfg_LV_T="نعم",L68,0)+IF(cfg_LV_O="نعم",M68,0))</f>
        <v/>
      </c>
      <c r="Q68" s="86" t="str">
        <f aca="false">IF(B68="","",MIN(cfg_G_CAP,J68+K68))</f>
        <v/>
      </c>
      <c r="R68" s="87"/>
      <c r="S68" s="73"/>
      <c r="T68" s="85"/>
      <c r="U68" s="87"/>
      <c r="V68" s="88"/>
      <c r="W68" s="85"/>
      <c r="X68" s="84"/>
      <c r="Y68" s="73"/>
      <c r="Z68" s="74" t="str">
        <f aca="false">IF(B68="","",IF(AND(X68&lt;&gt;"",X68&lt;=cfg_VAL_DATE),"✖ منتهي الخدمة",IF(H68&gt;cfg_VAL_DATE,"⚠ لم يباشر بعد","✔ على رأس العمل")))</f>
        <v/>
      </c>
      <c r="AA68" s="73"/>
      <c r="AB68" s="73"/>
      <c r="AC68" s="73"/>
    </row>
    <row r="69" customFormat="false" ht="15" hidden="false" customHeight="false" outlineLevel="0" collapsed="false">
      <c r="A69" s="89" t="str">
        <f aca="false">IF(B69="","",ROW()-5)</f>
        <v/>
      </c>
      <c r="B69" s="73"/>
      <c r="C69" s="73"/>
      <c r="D69" s="73"/>
      <c r="E69" s="73"/>
      <c r="F69" s="73"/>
      <c r="G69" s="73"/>
      <c r="H69" s="84"/>
      <c r="I69" s="84"/>
      <c r="J69" s="85"/>
      <c r="K69" s="85"/>
      <c r="L69" s="85"/>
      <c r="M69" s="85"/>
      <c r="N69" s="90" t="str">
        <f aca="false">IF(B69="","",SUM(J69:M69))</f>
        <v/>
      </c>
      <c r="O69" s="90" t="str">
        <f aca="false">IF(B69="","",J69+IF(cfg_EOS_H="نعم",K69,0)+IF(cfg_EOS_T="نعم",L69,0)+IF(cfg_EOS_O="نعم",M69,0))</f>
        <v/>
      </c>
      <c r="P69" s="90" t="str">
        <f aca="false">IF(B69="","",J69+IF(cfg_LV_H="نعم",K69,0)+IF(cfg_LV_T="نعم",L69,0)+IF(cfg_LV_O="نعم",M69,0))</f>
        <v/>
      </c>
      <c r="Q69" s="90" t="str">
        <f aca="false">IF(B69="","",MIN(cfg_G_CAP,J69+K69))</f>
        <v/>
      </c>
      <c r="R69" s="87"/>
      <c r="S69" s="73"/>
      <c r="T69" s="85"/>
      <c r="U69" s="87"/>
      <c r="V69" s="88"/>
      <c r="W69" s="85"/>
      <c r="X69" s="84"/>
      <c r="Y69" s="73"/>
      <c r="Z69" s="91" t="str">
        <f aca="false">IF(B69="","",IF(AND(X69&lt;&gt;"",X69&lt;=cfg_VAL_DATE),"✖ منتهي الخدمة",IF(H69&gt;cfg_VAL_DATE,"⚠ لم يباشر بعد","✔ على رأس العمل")))</f>
        <v/>
      </c>
      <c r="AA69" s="73"/>
      <c r="AB69" s="73"/>
      <c r="AC69" s="73"/>
    </row>
    <row r="70" customFormat="false" ht="15" hidden="false" customHeight="false" outlineLevel="0" collapsed="false">
      <c r="A70" s="83" t="str">
        <f aca="false">IF(B70="","",ROW()-5)</f>
        <v/>
      </c>
      <c r="B70" s="73"/>
      <c r="C70" s="73"/>
      <c r="D70" s="73"/>
      <c r="E70" s="73"/>
      <c r="F70" s="73"/>
      <c r="G70" s="73"/>
      <c r="H70" s="84"/>
      <c r="I70" s="84"/>
      <c r="J70" s="85"/>
      <c r="K70" s="85"/>
      <c r="L70" s="85"/>
      <c r="M70" s="85"/>
      <c r="N70" s="86" t="str">
        <f aca="false">IF(B70="","",SUM(J70:M70))</f>
        <v/>
      </c>
      <c r="O70" s="86" t="str">
        <f aca="false">IF(B70="","",J70+IF(cfg_EOS_H="نعم",K70,0)+IF(cfg_EOS_T="نعم",L70,0)+IF(cfg_EOS_O="نعم",M70,0))</f>
        <v/>
      </c>
      <c r="P70" s="86" t="str">
        <f aca="false">IF(B70="","",J70+IF(cfg_LV_H="نعم",K70,0)+IF(cfg_LV_T="نعم",L70,0)+IF(cfg_LV_O="نعم",M70,0))</f>
        <v/>
      </c>
      <c r="Q70" s="86" t="str">
        <f aca="false">IF(B70="","",MIN(cfg_G_CAP,J70+K70))</f>
        <v/>
      </c>
      <c r="R70" s="87"/>
      <c r="S70" s="73"/>
      <c r="T70" s="85"/>
      <c r="U70" s="87"/>
      <c r="V70" s="88"/>
      <c r="W70" s="85"/>
      <c r="X70" s="84"/>
      <c r="Y70" s="73"/>
      <c r="Z70" s="74" t="str">
        <f aca="false">IF(B70="","",IF(AND(X70&lt;&gt;"",X70&lt;=cfg_VAL_DATE),"✖ منتهي الخدمة",IF(H70&gt;cfg_VAL_DATE,"⚠ لم يباشر بعد","✔ على رأس العمل")))</f>
        <v/>
      </c>
      <c r="AA70" s="73"/>
      <c r="AB70" s="73"/>
      <c r="AC70" s="73"/>
    </row>
    <row r="71" customFormat="false" ht="15" hidden="false" customHeight="false" outlineLevel="0" collapsed="false">
      <c r="A71" s="89" t="str">
        <f aca="false">IF(B71="","",ROW()-5)</f>
        <v/>
      </c>
      <c r="B71" s="73"/>
      <c r="C71" s="73"/>
      <c r="D71" s="73"/>
      <c r="E71" s="73"/>
      <c r="F71" s="73"/>
      <c r="G71" s="73"/>
      <c r="H71" s="84"/>
      <c r="I71" s="84"/>
      <c r="J71" s="85"/>
      <c r="K71" s="85"/>
      <c r="L71" s="85"/>
      <c r="M71" s="85"/>
      <c r="N71" s="90" t="str">
        <f aca="false">IF(B71="","",SUM(J71:M71))</f>
        <v/>
      </c>
      <c r="O71" s="90" t="str">
        <f aca="false">IF(B71="","",J71+IF(cfg_EOS_H="نعم",K71,0)+IF(cfg_EOS_T="نعم",L71,0)+IF(cfg_EOS_O="نعم",M71,0))</f>
        <v/>
      </c>
      <c r="P71" s="90" t="str">
        <f aca="false">IF(B71="","",J71+IF(cfg_LV_H="نعم",K71,0)+IF(cfg_LV_T="نعم",L71,0)+IF(cfg_LV_O="نعم",M71,0))</f>
        <v/>
      </c>
      <c r="Q71" s="90" t="str">
        <f aca="false">IF(B71="","",MIN(cfg_G_CAP,J71+K71))</f>
        <v/>
      </c>
      <c r="R71" s="87"/>
      <c r="S71" s="73"/>
      <c r="T71" s="85"/>
      <c r="U71" s="87"/>
      <c r="V71" s="88"/>
      <c r="W71" s="85"/>
      <c r="X71" s="84"/>
      <c r="Y71" s="73"/>
      <c r="Z71" s="91" t="str">
        <f aca="false">IF(B71="","",IF(AND(X71&lt;&gt;"",X71&lt;=cfg_VAL_DATE),"✖ منتهي الخدمة",IF(H71&gt;cfg_VAL_DATE,"⚠ لم يباشر بعد","✔ على رأس العمل")))</f>
        <v/>
      </c>
      <c r="AA71" s="73"/>
      <c r="AB71" s="73"/>
      <c r="AC71" s="73"/>
    </row>
    <row r="72" customFormat="false" ht="15" hidden="false" customHeight="false" outlineLevel="0" collapsed="false">
      <c r="A72" s="83" t="str">
        <f aca="false">IF(B72="","",ROW()-5)</f>
        <v/>
      </c>
      <c r="B72" s="73"/>
      <c r="C72" s="73"/>
      <c r="D72" s="73"/>
      <c r="E72" s="73"/>
      <c r="F72" s="73"/>
      <c r="G72" s="73"/>
      <c r="H72" s="84"/>
      <c r="I72" s="84"/>
      <c r="J72" s="85"/>
      <c r="K72" s="85"/>
      <c r="L72" s="85"/>
      <c r="M72" s="85"/>
      <c r="N72" s="86" t="str">
        <f aca="false">IF(B72="","",SUM(J72:M72))</f>
        <v/>
      </c>
      <c r="O72" s="86" t="str">
        <f aca="false">IF(B72="","",J72+IF(cfg_EOS_H="نعم",K72,0)+IF(cfg_EOS_T="نعم",L72,0)+IF(cfg_EOS_O="نعم",M72,0))</f>
        <v/>
      </c>
      <c r="P72" s="86" t="str">
        <f aca="false">IF(B72="","",J72+IF(cfg_LV_H="نعم",K72,0)+IF(cfg_LV_T="نعم",L72,0)+IF(cfg_LV_O="نعم",M72,0))</f>
        <v/>
      </c>
      <c r="Q72" s="86" t="str">
        <f aca="false">IF(B72="","",MIN(cfg_G_CAP,J72+K72))</f>
        <v/>
      </c>
      <c r="R72" s="87"/>
      <c r="S72" s="73"/>
      <c r="T72" s="85"/>
      <c r="U72" s="87"/>
      <c r="V72" s="88"/>
      <c r="W72" s="85"/>
      <c r="X72" s="84"/>
      <c r="Y72" s="73"/>
      <c r="Z72" s="74" t="str">
        <f aca="false">IF(B72="","",IF(AND(X72&lt;&gt;"",X72&lt;=cfg_VAL_DATE),"✖ منتهي الخدمة",IF(H72&gt;cfg_VAL_DATE,"⚠ لم يباشر بعد","✔ على رأس العمل")))</f>
        <v/>
      </c>
      <c r="AA72" s="73"/>
      <c r="AB72" s="73"/>
      <c r="AC72" s="73"/>
    </row>
    <row r="73" customFormat="false" ht="15" hidden="false" customHeight="false" outlineLevel="0" collapsed="false">
      <c r="A73" s="89" t="str">
        <f aca="false">IF(B73="","",ROW()-5)</f>
        <v/>
      </c>
      <c r="B73" s="73"/>
      <c r="C73" s="73"/>
      <c r="D73" s="73"/>
      <c r="E73" s="73"/>
      <c r="F73" s="73"/>
      <c r="G73" s="73"/>
      <c r="H73" s="84"/>
      <c r="I73" s="84"/>
      <c r="J73" s="85"/>
      <c r="K73" s="85"/>
      <c r="L73" s="85"/>
      <c r="M73" s="85"/>
      <c r="N73" s="90" t="str">
        <f aca="false">IF(B73="","",SUM(J73:M73))</f>
        <v/>
      </c>
      <c r="O73" s="90" t="str">
        <f aca="false">IF(B73="","",J73+IF(cfg_EOS_H="نعم",K73,0)+IF(cfg_EOS_T="نعم",L73,0)+IF(cfg_EOS_O="نعم",M73,0))</f>
        <v/>
      </c>
      <c r="P73" s="90" t="str">
        <f aca="false">IF(B73="","",J73+IF(cfg_LV_H="نعم",K73,0)+IF(cfg_LV_T="نعم",L73,0)+IF(cfg_LV_O="نعم",M73,0))</f>
        <v/>
      </c>
      <c r="Q73" s="90" t="str">
        <f aca="false">IF(B73="","",MIN(cfg_G_CAP,J73+K73))</f>
        <v/>
      </c>
      <c r="R73" s="87"/>
      <c r="S73" s="73"/>
      <c r="T73" s="85"/>
      <c r="U73" s="87"/>
      <c r="V73" s="88"/>
      <c r="W73" s="85"/>
      <c r="X73" s="84"/>
      <c r="Y73" s="73"/>
      <c r="Z73" s="91" t="str">
        <f aca="false">IF(B73="","",IF(AND(X73&lt;&gt;"",X73&lt;=cfg_VAL_DATE),"✖ منتهي الخدمة",IF(H73&gt;cfg_VAL_DATE,"⚠ لم يباشر بعد","✔ على رأس العمل")))</f>
        <v/>
      </c>
      <c r="AA73" s="73"/>
      <c r="AB73" s="73"/>
      <c r="AC73" s="73"/>
    </row>
    <row r="74" customFormat="false" ht="15" hidden="false" customHeight="false" outlineLevel="0" collapsed="false">
      <c r="A74" s="83" t="str">
        <f aca="false">IF(B74="","",ROW()-5)</f>
        <v/>
      </c>
      <c r="B74" s="73"/>
      <c r="C74" s="73"/>
      <c r="D74" s="73"/>
      <c r="E74" s="73"/>
      <c r="F74" s="73"/>
      <c r="G74" s="73"/>
      <c r="H74" s="84"/>
      <c r="I74" s="84"/>
      <c r="J74" s="85"/>
      <c r="K74" s="85"/>
      <c r="L74" s="85"/>
      <c r="M74" s="85"/>
      <c r="N74" s="86" t="str">
        <f aca="false">IF(B74="","",SUM(J74:M74))</f>
        <v/>
      </c>
      <c r="O74" s="86" t="str">
        <f aca="false">IF(B74="","",J74+IF(cfg_EOS_H="نعم",K74,0)+IF(cfg_EOS_T="نعم",L74,0)+IF(cfg_EOS_O="نعم",M74,0))</f>
        <v/>
      </c>
      <c r="P74" s="86" t="str">
        <f aca="false">IF(B74="","",J74+IF(cfg_LV_H="نعم",K74,0)+IF(cfg_LV_T="نعم",L74,0)+IF(cfg_LV_O="نعم",M74,0))</f>
        <v/>
      </c>
      <c r="Q74" s="86" t="str">
        <f aca="false">IF(B74="","",MIN(cfg_G_CAP,J74+K74))</f>
        <v/>
      </c>
      <c r="R74" s="87"/>
      <c r="S74" s="73"/>
      <c r="T74" s="85"/>
      <c r="U74" s="87"/>
      <c r="V74" s="88"/>
      <c r="W74" s="85"/>
      <c r="X74" s="84"/>
      <c r="Y74" s="73"/>
      <c r="Z74" s="74" t="str">
        <f aca="false">IF(B74="","",IF(AND(X74&lt;&gt;"",X74&lt;=cfg_VAL_DATE),"✖ منتهي الخدمة",IF(H74&gt;cfg_VAL_DATE,"⚠ لم يباشر بعد","✔ على رأس العمل")))</f>
        <v/>
      </c>
      <c r="AA74" s="73"/>
      <c r="AB74" s="73"/>
      <c r="AC74" s="73"/>
    </row>
    <row r="75" customFormat="false" ht="15" hidden="false" customHeight="false" outlineLevel="0" collapsed="false">
      <c r="A75" s="89" t="str">
        <f aca="false">IF(B75="","",ROW()-5)</f>
        <v/>
      </c>
      <c r="B75" s="73"/>
      <c r="C75" s="73"/>
      <c r="D75" s="73"/>
      <c r="E75" s="73"/>
      <c r="F75" s="73"/>
      <c r="G75" s="73"/>
      <c r="H75" s="84"/>
      <c r="I75" s="84"/>
      <c r="J75" s="85"/>
      <c r="K75" s="85"/>
      <c r="L75" s="85"/>
      <c r="M75" s="85"/>
      <c r="N75" s="90" t="str">
        <f aca="false">IF(B75="","",SUM(J75:M75))</f>
        <v/>
      </c>
      <c r="O75" s="90" t="str">
        <f aca="false">IF(B75="","",J75+IF(cfg_EOS_H="نعم",K75,0)+IF(cfg_EOS_T="نعم",L75,0)+IF(cfg_EOS_O="نعم",M75,0))</f>
        <v/>
      </c>
      <c r="P75" s="90" t="str">
        <f aca="false">IF(B75="","",J75+IF(cfg_LV_H="نعم",K75,0)+IF(cfg_LV_T="نعم",L75,0)+IF(cfg_LV_O="نعم",M75,0))</f>
        <v/>
      </c>
      <c r="Q75" s="90" t="str">
        <f aca="false">IF(B75="","",MIN(cfg_G_CAP,J75+K75))</f>
        <v/>
      </c>
      <c r="R75" s="87"/>
      <c r="S75" s="73"/>
      <c r="T75" s="85"/>
      <c r="U75" s="87"/>
      <c r="V75" s="88"/>
      <c r="W75" s="85"/>
      <c r="X75" s="84"/>
      <c r="Y75" s="73"/>
      <c r="Z75" s="91" t="str">
        <f aca="false">IF(B75="","",IF(AND(X75&lt;&gt;"",X75&lt;=cfg_VAL_DATE),"✖ منتهي الخدمة",IF(H75&gt;cfg_VAL_DATE,"⚠ لم يباشر بعد","✔ على رأس العمل")))</f>
        <v/>
      </c>
      <c r="AA75" s="73"/>
      <c r="AB75" s="73"/>
      <c r="AC75" s="73"/>
    </row>
    <row r="76" customFormat="false" ht="15" hidden="false" customHeight="false" outlineLevel="0" collapsed="false">
      <c r="A76" s="83" t="str">
        <f aca="false">IF(B76="","",ROW()-5)</f>
        <v/>
      </c>
      <c r="B76" s="73"/>
      <c r="C76" s="73"/>
      <c r="D76" s="73"/>
      <c r="E76" s="73"/>
      <c r="F76" s="73"/>
      <c r="G76" s="73"/>
      <c r="H76" s="84"/>
      <c r="I76" s="84"/>
      <c r="J76" s="85"/>
      <c r="K76" s="85"/>
      <c r="L76" s="85"/>
      <c r="M76" s="85"/>
      <c r="N76" s="86" t="str">
        <f aca="false">IF(B76="","",SUM(J76:M76))</f>
        <v/>
      </c>
      <c r="O76" s="86" t="str">
        <f aca="false">IF(B76="","",J76+IF(cfg_EOS_H="نعم",K76,0)+IF(cfg_EOS_T="نعم",L76,0)+IF(cfg_EOS_O="نعم",M76,0))</f>
        <v/>
      </c>
      <c r="P76" s="86" t="str">
        <f aca="false">IF(B76="","",J76+IF(cfg_LV_H="نعم",K76,0)+IF(cfg_LV_T="نعم",L76,0)+IF(cfg_LV_O="نعم",M76,0))</f>
        <v/>
      </c>
      <c r="Q76" s="86" t="str">
        <f aca="false">IF(B76="","",MIN(cfg_G_CAP,J76+K76))</f>
        <v/>
      </c>
      <c r="R76" s="87"/>
      <c r="S76" s="73"/>
      <c r="T76" s="85"/>
      <c r="U76" s="87"/>
      <c r="V76" s="88"/>
      <c r="W76" s="85"/>
      <c r="X76" s="84"/>
      <c r="Y76" s="73"/>
      <c r="Z76" s="74" t="str">
        <f aca="false">IF(B76="","",IF(AND(X76&lt;&gt;"",X76&lt;=cfg_VAL_DATE),"✖ منتهي الخدمة",IF(H76&gt;cfg_VAL_DATE,"⚠ لم يباشر بعد","✔ على رأس العمل")))</f>
        <v/>
      </c>
      <c r="AA76" s="73"/>
      <c r="AB76" s="73"/>
      <c r="AC76" s="73"/>
    </row>
    <row r="77" customFormat="false" ht="15" hidden="false" customHeight="false" outlineLevel="0" collapsed="false">
      <c r="A77" s="89" t="str">
        <f aca="false">IF(B77="","",ROW()-5)</f>
        <v/>
      </c>
      <c r="B77" s="73"/>
      <c r="C77" s="73"/>
      <c r="D77" s="73"/>
      <c r="E77" s="73"/>
      <c r="F77" s="73"/>
      <c r="G77" s="73"/>
      <c r="H77" s="84"/>
      <c r="I77" s="84"/>
      <c r="J77" s="85"/>
      <c r="K77" s="85"/>
      <c r="L77" s="85"/>
      <c r="M77" s="85"/>
      <c r="N77" s="90" t="str">
        <f aca="false">IF(B77="","",SUM(J77:M77))</f>
        <v/>
      </c>
      <c r="O77" s="90" t="str">
        <f aca="false">IF(B77="","",J77+IF(cfg_EOS_H="نعم",K77,0)+IF(cfg_EOS_T="نعم",L77,0)+IF(cfg_EOS_O="نعم",M77,0))</f>
        <v/>
      </c>
      <c r="P77" s="90" t="str">
        <f aca="false">IF(B77="","",J77+IF(cfg_LV_H="نعم",K77,0)+IF(cfg_LV_T="نعم",L77,0)+IF(cfg_LV_O="نعم",M77,0))</f>
        <v/>
      </c>
      <c r="Q77" s="90" t="str">
        <f aca="false">IF(B77="","",MIN(cfg_G_CAP,J77+K77))</f>
        <v/>
      </c>
      <c r="R77" s="87"/>
      <c r="S77" s="73"/>
      <c r="T77" s="85"/>
      <c r="U77" s="87"/>
      <c r="V77" s="88"/>
      <c r="W77" s="85"/>
      <c r="X77" s="84"/>
      <c r="Y77" s="73"/>
      <c r="Z77" s="91" t="str">
        <f aca="false">IF(B77="","",IF(AND(X77&lt;&gt;"",X77&lt;=cfg_VAL_DATE),"✖ منتهي الخدمة",IF(H77&gt;cfg_VAL_DATE,"⚠ لم يباشر بعد","✔ على رأس العمل")))</f>
        <v/>
      </c>
      <c r="AA77" s="73"/>
      <c r="AB77" s="73"/>
      <c r="AC77" s="73"/>
    </row>
    <row r="78" customFormat="false" ht="15" hidden="false" customHeight="false" outlineLevel="0" collapsed="false">
      <c r="A78" s="83" t="str">
        <f aca="false">IF(B78="","",ROW()-5)</f>
        <v/>
      </c>
      <c r="B78" s="73"/>
      <c r="C78" s="73"/>
      <c r="D78" s="73"/>
      <c r="E78" s="73"/>
      <c r="F78" s="73"/>
      <c r="G78" s="73"/>
      <c r="H78" s="84"/>
      <c r="I78" s="84"/>
      <c r="J78" s="85"/>
      <c r="K78" s="85"/>
      <c r="L78" s="85"/>
      <c r="M78" s="85"/>
      <c r="N78" s="86" t="str">
        <f aca="false">IF(B78="","",SUM(J78:M78))</f>
        <v/>
      </c>
      <c r="O78" s="86" t="str">
        <f aca="false">IF(B78="","",J78+IF(cfg_EOS_H="نعم",K78,0)+IF(cfg_EOS_T="نعم",L78,0)+IF(cfg_EOS_O="نعم",M78,0))</f>
        <v/>
      </c>
      <c r="P78" s="86" t="str">
        <f aca="false">IF(B78="","",J78+IF(cfg_LV_H="نعم",K78,0)+IF(cfg_LV_T="نعم",L78,0)+IF(cfg_LV_O="نعم",M78,0))</f>
        <v/>
      </c>
      <c r="Q78" s="86" t="str">
        <f aca="false">IF(B78="","",MIN(cfg_G_CAP,J78+K78))</f>
        <v/>
      </c>
      <c r="R78" s="87"/>
      <c r="S78" s="73"/>
      <c r="T78" s="85"/>
      <c r="U78" s="87"/>
      <c r="V78" s="88"/>
      <c r="W78" s="85"/>
      <c r="X78" s="84"/>
      <c r="Y78" s="73"/>
      <c r="Z78" s="74" t="str">
        <f aca="false">IF(B78="","",IF(AND(X78&lt;&gt;"",X78&lt;=cfg_VAL_DATE),"✖ منتهي الخدمة",IF(H78&gt;cfg_VAL_DATE,"⚠ لم يباشر بعد","✔ على رأس العمل")))</f>
        <v/>
      </c>
      <c r="AA78" s="73"/>
      <c r="AB78" s="73"/>
      <c r="AC78" s="73"/>
    </row>
    <row r="79" customFormat="false" ht="15" hidden="false" customHeight="false" outlineLevel="0" collapsed="false">
      <c r="A79" s="89" t="str">
        <f aca="false">IF(B79="","",ROW()-5)</f>
        <v/>
      </c>
      <c r="B79" s="73"/>
      <c r="C79" s="73"/>
      <c r="D79" s="73"/>
      <c r="E79" s="73"/>
      <c r="F79" s="73"/>
      <c r="G79" s="73"/>
      <c r="H79" s="84"/>
      <c r="I79" s="84"/>
      <c r="J79" s="85"/>
      <c r="K79" s="85"/>
      <c r="L79" s="85"/>
      <c r="M79" s="85"/>
      <c r="N79" s="90" t="str">
        <f aca="false">IF(B79="","",SUM(J79:M79))</f>
        <v/>
      </c>
      <c r="O79" s="90" t="str">
        <f aca="false">IF(B79="","",J79+IF(cfg_EOS_H="نعم",K79,0)+IF(cfg_EOS_T="نعم",L79,0)+IF(cfg_EOS_O="نعم",M79,0))</f>
        <v/>
      </c>
      <c r="P79" s="90" t="str">
        <f aca="false">IF(B79="","",J79+IF(cfg_LV_H="نعم",K79,0)+IF(cfg_LV_T="نعم",L79,0)+IF(cfg_LV_O="نعم",M79,0))</f>
        <v/>
      </c>
      <c r="Q79" s="90" t="str">
        <f aca="false">IF(B79="","",MIN(cfg_G_CAP,J79+K79))</f>
        <v/>
      </c>
      <c r="R79" s="87"/>
      <c r="S79" s="73"/>
      <c r="T79" s="85"/>
      <c r="U79" s="87"/>
      <c r="V79" s="88"/>
      <c r="W79" s="85"/>
      <c r="X79" s="84"/>
      <c r="Y79" s="73"/>
      <c r="Z79" s="91" t="str">
        <f aca="false">IF(B79="","",IF(AND(X79&lt;&gt;"",X79&lt;=cfg_VAL_DATE),"✖ منتهي الخدمة",IF(H79&gt;cfg_VAL_DATE,"⚠ لم يباشر بعد","✔ على رأس العمل")))</f>
        <v/>
      </c>
      <c r="AA79" s="73"/>
      <c r="AB79" s="73"/>
      <c r="AC79" s="73"/>
    </row>
    <row r="80" customFormat="false" ht="15" hidden="false" customHeight="false" outlineLevel="0" collapsed="false">
      <c r="A80" s="83" t="str">
        <f aca="false">IF(B80="","",ROW()-5)</f>
        <v/>
      </c>
      <c r="B80" s="73"/>
      <c r="C80" s="73"/>
      <c r="D80" s="73"/>
      <c r="E80" s="73"/>
      <c r="F80" s="73"/>
      <c r="G80" s="73"/>
      <c r="H80" s="84"/>
      <c r="I80" s="84"/>
      <c r="J80" s="85"/>
      <c r="K80" s="85"/>
      <c r="L80" s="85"/>
      <c r="M80" s="85"/>
      <c r="N80" s="86" t="str">
        <f aca="false">IF(B80="","",SUM(J80:M80))</f>
        <v/>
      </c>
      <c r="O80" s="86" t="str">
        <f aca="false">IF(B80="","",J80+IF(cfg_EOS_H="نعم",K80,0)+IF(cfg_EOS_T="نعم",L80,0)+IF(cfg_EOS_O="نعم",M80,0))</f>
        <v/>
      </c>
      <c r="P80" s="86" t="str">
        <f aca="false">IF(B80="","",J80+IF(cfg_LV_H="نعم",K80,0)+IF(cfg_LV_T="نعم",L80,0)+IF(cfg_LV_O="نعم",M80,0))</f>
        <v/>
      </c>
      <c r="Q80" s="86" t="str">
        <f aca="false">IF(B80="","",MIN(cfg_G_CAP,J80+K80))</f>
        <v/>
      </c>
      <c r="R80" s="87"/>
      <c r="S80" s="73"/>
      <c r="T80" s="85"/>
      <c r="U80" s="87"/>
      <c r="V80" s="88"/>
      <c r="W80" s="85"/>
      <c r="X80" s="84"/>
      <c r="Y80" s="73"/>
      <c r="Z80" s="74" t="str">
        <f aca="false">IF(B80="","",IF(AND(X80&lt;&gt;"",X80&lt;=cfg_VAL_DATE),"✖ منتهي الخدمة",IF(H80&gt;cfg_VAL_DATE,"⚠ لم يباشر بعد","✔ على رأس العمل")))</f>
        <v/>
      </c>
      <c r="AA80" s="73"/>
      <c r="AB80" s="73"/>
      <c r="AC80" s="73"/>
    </row>
    <row r="81" customFormat="false" ht="15" hidden="false" customHeight="false" outlineLevel="0" collapsed="false">
      <c r="A81" s="89" t="str">
        <f aca="false">IF(B81="","",ROW()-5)</f>
        <v/>
      </c>
      <c r="B81" s="73"/>
      <c r="C81" s="73"/>
      <c r="D81" s="73"/>
      <c r="E81" s="73"/>
      <c r="F81" s="73"/>
      <c r="G81" s="73"/>
      <c r="H81" s="84"/>
      <c r="I81" s="84"/>
      <c r="J81" s="85"/>
      <c r="K81" s="85"/>
      <c r="L81" s="85"/>
      <c r="M81" s="85"/>
      <c r="N81" s="90" t="str">
        <f aca="false">IF(B81="","",SUM(J81:M81))</f>
        <v/>
      </c>
      <c r="O81" s="90" t="str">
        <f aca="false">IF(B81="","",J81+IF(cfg_EOS_H="نعم",K81,0)+IF(cfg_EOS_T="نعم",L81,0)+IF(cfg_EOS_O="نعم",M81,0))</f>
        <v/>
      </c>
      <c r="P81" s="90" t="str">
        <f aca="false">IF(B81="","",J81+IF(cfg_LV_H="نعم",K81,0)+IF(cfg_LV_T="نعم",L81,0)+IF(cfg_LV_O="نعم",M81,0))</f>
        <v/>
      </c>
      <c r="Q81" s="90" t="str">
        <f aca="false">IF(B81="","",MIN(cfg_G_CAP,J81+K81))</f>
        <v/>
      </c>
      <c r="R81" s="87"/>
      <c r="S81" s="73"/>
      <c r="T81" s="85"/>
      <c r="U81" s="87"/>
      <c r="V81" s="88"/>
      <c r="W81" s="85"/>
      <c r="X81" s="84"/>
      <c r="Y81" s="73"/>
      <c r="Z81" s="91" t="str">
        <f aca="false">IF(B81="","",IF(AND(X81&lt;&gt;"",X81&lt;=cfg_VAL_DATE),"✖ منتهي الخدمة",IF(H81&gt;cfg_VAL_DATE,"⚠ لم يباشر بعد","✔ على رأس العمل")))</f>
        <v/>
      </c>
      <c r="AA81" s="73"/>
      <c r="AB81" s="73"/>
      <c r="AC81" s="73"/>
    </row>
    <row r="82" customFormat="false" ht="15" hidden="false" customHeight="false" outlineLevel="0" collapsed="false">
      <c r="A82" s="83" t="str">
        <f aca="false">IF(B82="","",ROW()-5)</f>
        <v/>
      </c>
      <c r="B82" s="73"/>
      <c r="C82" s="73"/>
      <c r="D82" s="73"/>
      <c r="E82" s="73"/>
      <c r="F82" s="73"/>
      <c r="G82" s="73"/>
      <c r="H82" s="84"/>
      <c r="I82" s="84"/>
      <c r="J82" s="85"/>
      <c r="K82" s="85"/>
      <c r="L82" s="85"/>
      <c r="M82" s="85"/>
      <c r="N82" s="86" t="str">
        <f aca="false">IF(B82="","",SUM(J82:M82))</f>
        <v/>
      </c>
      <c r="O82" s="86" t="str">
        <f aca="false">IF(B82="","",J82+IF(cfg_EOS_H="نعم",K82,0)+IF(cfg_EOS_T="نعم",L82,0)+IF(cfg_EOS_O="نعم",M82,0))</f>
        <v/>
      </c>
      <c r="P82" s="86" t="str">
        <f aca="false">IF(B82="","",J82+IF(cfg_LV_H="نعم",K82,0)+IF(cfg_LV_T="نعم",L82,0)+IF(cfg_LV_O="نعم",M82,0))</f>
        <v/>
      </c>
      <c r="Q82" s="86" t="str">
        <f aca="false">IF(B82="","",MIN(cfg_G_CAP,J82+K82))</f>
        <v/>
      </c>
      <c r="R82" s="87"/>
      <c r="S82" s="73"/>
      <c r="T82" s="85"/>
      <c r="U82" s="87"/>
      <c r="V82" s="88"/>
      <c r="W82" s="85"/>
      <c r="X82" s="84"/>
      <c r="Y82" s="73"/>
      <c r="Z82" s="74" t="str">
        <f aca="false">IF(B82="","",IF(AND(X82&lt;&gt;"",X82&lt;=cfg_VAL_DATE),"✖ منتهي الخدمة",IF(H82&gt;cfg_VAL_DATE,"⚠ لم يباشر بعد","✔ على رأس العمل")))</f>
        <v/>
      </c>
      <c r="AA82" s="73"/>
      <c r="AB82" s="73"/>
      <c r="AC82" s="73"/>
    </row>
    <row r="83" customFormat="false" ht="15" hidden="false" customHeight="false" outlineLevel="0" collapsed="false">
      <c r="A83" s="89" t="str">
        <f aca="false">IF(B83="","",ROW()-5)</f>
        <v/>
      </c>
      <c r="B83" s="73"/>
      <c r="C83" s="73"/>
      <c r="D83" s="73"/>
      <c r="E83" s="73"/>
      <c r="F83" s="73"/>
      <c r="G83" s="73"/>
      <c r="H83" s="84"/>
      <c r="I83" s="84"/>
      <c r="J83" s="85"/>
      <c r="K83" s="85"/>
      <c r="L83" s="85"/>
      <c r="M83" s="85"/>
      <c r="N83" s="90" t="str">
        <f aca="false">IF(B83="","",SUM(J83:M83))</f>
        <v/>
      </c>
      <c r="O83" s="90" t="str">
        <f aca="false">IF(B83="","",J83+IF(cfg_EOS_H="نعم",K83,0)+IF(cfg_EOS_T="نعم",L83,0)+IF(cfg_EOS_O="نعم",M83,0))</f>
        <v/>
      </c>
      <c r="P83" s="90" t="str">
        <f aca="false">IF(B83="","",J83+IF(cfg_LV_H="نعم",K83,0)+IF(cfg_LV_T="نعم",L83,0)+IF(cfg_LV_O="نعم",M83,0))</f>
        <v/>
      </c>
      <c r="Q83" s="90" t="str">
        <f aca="false">IF(B83="","",MIN(cfg_G_CAP,J83+K83))</f>
        <v/>
      </c>
      <c r="R83" s="87"/>
      <c r="S83" s="73"/>
      <c r="T83" s="85"/>
      <c r="U83" s="87"/>
      <c r="V83" s="88"/>
      <c r="W83" s="85"/>
      <c r="X83" s="84"/>
      <c r="Y83" s="73"/>
      <c r="Z83" s="91" t="str">
        <f aca="false">IF(B83="","",IF(AND(X83&lt;&gt;"",X83&lt;=cfg_VAL_DATE),"✖ منتهي الخدمة",IF(H83&gt;cfg_VAL_DATE,"⚠ لم يباشر بعد","✔ على رأس العمل")))</f>
        <v/>
      </c>
      <c r="AA83" s="73"/>
      <c r="AB83" s="73"/>
      <c r="AC83" s="73"/>
    </row>
    <row r="84" customFormat="false" ht="15" hidden="false" customHeight="false" outlineLevel="0" collapsed="false">
      <c r="A84" s="83" t="str">
        <f aca="false">IF(B84="","",ROW()-5)</f>
        <v/>
      </c>
      <c r="B84" s="73"/>
      <c r="C84" s="73"/>
      <c r="D84" s="73"/>
      <c r="E84" s="73"/>
      <c r="F84" s="73"/>
      <c r="G84" s="73"/>
      <c r="H84" s="84"/>
      <c r="I84" s="84"/>
      <c r="J84" s="85"/>
      <c r="K84" s="85"/>
      <c r="L84" s="85"/>
      <c r="M84" s="85"/>
      <c r="N84" s="86" t="str">
        <f aca="false">IF(B84="","",SUM(J84:M84))</f>
        <v/>
      </c>
      <c r="O84" s="86" t="str">
        <f aca="false">IF(B84="","",J84+IF(cfg_EOS_H="نعم",K84,0)+IF(cfg_EOS_T="نعم",L84,0)+IF(cfg_EOS_O="نعم",M84,0))</f>
        <v/>
      </c>
      <c r="P84" s="86" t="str">
        <f aca="false">IF(B84="","",J84+IF(cfg_LV_H="نعم",K84,0)+IF(cfg_LV_T="نعم",L84,0)+IF(cfg_LV_O="نعم",M84,0))</f>
        <v/>
      </c>
      <c r="Q84" s="86" t="str">
        <f aca="false">IF(B84="","",MIN(cfg_G_CAP,J84+K84))</f>
        <v/>
      </c>
      <c r="R84" s="87"/>
      <c r="S84" s="73"/>
      <c r="T84" s="85"/>
      <c r="U84" s="87"/>
      <c r="V84" s="88"/>
      <c r="W84" s="85"/>
      <c r="X84" s="84"/>
      <c r="Y84" s="73"/>
      <c r="Z84" s="74" t="str">
        <f aca="false">IF(B84="","",IF(AND(X84&lt;&gt;"",X84&lt;=cfg_VAL_DATE),"✖ منتهي الخدمة",IF(H84&gt;cfg_VAL_DATE,"⚠ لم يباشر بعد","✔ على رأس العمل")))</f>
        <v/>
      </c>
      <c r="AA84" s="73"/>
      <c r="AB84" s="73"/>
      <c r="AC84" s="73"/>
    </row>
    <row r="85" customFormat="false" ht="15" hidden="false" customHeight="false" outlineLevel="0" collapsed="false">
      <c r="A85" s="89" t="str">
        <f aca="false">IF(B85="","",ROW()-5)</f>
        <v/>
      </c>
      <c r="B85" s="73"/>
      <c r="C85" s="73"/>
      <c r="D85" s="73"/>
      <c r="E85" s="73"/>
      <c r="F85" s="73"/>
      <c r="G85" s="73"/>
      <c r="H85" s="84"/>
      <c r="I85" s="84"/>
      <c r="J85" s="85"/>
      <c r="K85" s="85"/>
      <c r="L85" s="85"/>
      <c r="M85" s="85"/>
      <c r="N85" s="90" t="str">
        <f aca="false">IF(B85="","",SUM(J85:M85))</f>
        <v/>
      </c>
      <c r="O85" s="90" t="str">
        <f aca="false">IF(B85="","",J85+IF(cfg_EOS_H="نعم",K85,0)+IF(cfg_EOS_T="نعم",L85,0)+IF(cfg_EOS_O="نعم",M85,0))</f>
        <v/>
      </c>
      <c r="P85" s="90" t="str">
        <f aca="false">IF(B85="","",J85+IF(cfg_LV_H="نعم",K85,0)+IF(cfg_LV_T="نعم",L85,0)+IF(cfg_LV_O="نعم",M85,0))</f>
        <v/>
      </c>
      <c r="Q85" s="90" t="str">
        <f aca="false">IF(B85="","",MIN(cfg_G_CAP,J85+K85))</f>
        <v/>
      </c>
      <c r="R85" s="87"/>
      <c r="S85" s="73"/>
      <c r="T85" s="85"/>
      <c r="U85" s="87"/>
      <c r="V85" s="88"/>
      <c r="W85" s="85"/>
      <c r="X85" s="84"/>
      <c r="Y85" s="73"/>
      <c r="Z85" s="91" t="str">
        <f aca="false">IF(B85="","",IF(AND(X85&lt;&gt;"",X85&lt;=cfg_VAL_DATE),"✖ منتهي الخدمة",IF(H85&gt;cfg_VAL_DATE,"⚠ لم يباشر بعد","✔ على رأس العمل")))</f>
        <v/>
      </c>
      <c r="AA85" s="73"/>
      <c r="AB85" s="73"/>
      <c r="AC85" s="73"/>
    </row>
    <row r="86" customFormat="false" ht="15" hidden="false" customHeight="false" outlineLevel="0" collapsed="false">
      <c r="A86" s="83" t="str">
        <f aca="false">IF(B86="","",ROW()-5)</f>
        <v/>
      </c>
      <c r="B86" s="73"/>
      <c r="C86" s="73"/>
      <c r="D86" s="73"/>
      <c r="E86" s="73"/>
      <c r="F86" s="73"/>
      <c r="G86" s="73"/>
      <c r="H86" s="84"/>
      <c r="I86" s="84"/>
      <c r="J86" s="85"/>
      <c r="K86" s="85"/>
      <c r="L86" s="85"/>
      <c r="M86" s="85"/>
      <c r="N86" s="86" t="str">
        <f aca="false">IF(B86="","",SUM(J86:M86))</f>
        <v/>
      </c>
      <c r="O86" s="86" t="str">
        <f aca="false">IF(B86="","",J86+IF(cfg_EOS_H="نعم",K86,0)+IF(cfg_EOS_T="نعم",L86,0)+IF(cfg_EOS_O="نعم",M86,0))</f>
        <v/>
      </c>
      <c r="P86" s="86" t="str">
        <f aca="false">IF(B86="","",J86+IF(cfg_LV_H="نعم",K86,0)+IF(cfg_LV_T="نعم",L86,0)+IF(cfg_LV_O="نعم",M86,0))</f>
        <v/>
      </c>
      <c r="Q86" s="86" t="str">
        <f aca="false">IF(B86="","",MIN(cfg_G_CAP,J86+K86))</f>
        <v/>
      </c>
      <c r="R86" s="87"/>
      <c r="S86" s="73"/>
      <c r="T86" s="85"/>
      <c r="U86" s="87"/>
      <c r="V86" s="88"/>
      <c r="W86" s="85"/>
      <c r="X86" s="84"/>
      <c r="Y86" s="73"/>
      <c r="Z86" s="74" t="str">
        <f aca="false">IF(B86="","",IF(AND(X86&lt;&gt;"",X86&lt;=cfg_VAL_DATE),"✖ منتهي الخدمة",IF(H86&gt;cfg_VAL_DATE,"⚠ لم يباشر بعد","✔ على رأس العمل")))</f>
        <v/>
      </c>
      <c r="AA86" s="73"/>
      <c r="AB86" s="73"/>
      <c r="AC86" s="73"/>
    </row>
    <row r="87" customFormat="false" ht="15" hidden="false" customHeight="false" outlineLevel="0" collapsed="false">
      <c r="A87" s="89" t="str">
        <f aca="false">IF(B87="","",ROW()-5)</f>
        <v/>
      </c>
      <c r="B87" s="73"/>
      <c r="C87" s="73"/>
      <c r="D87" s="73"/>
      <c r="E87" s="73"/>
      <c r="F87" s="73"/>
      <c r="G87" s="73"/>
      <c r="H87" s="84"/>
      <c r="I87" s="84"/>
      <c r="J87" s="85"/>
      <c r="K87" s="85"/>
      <c r="L87" s="85"/>
      <c r="M87" s="85"/>
      <c r="N87" s="90" t="str">
        <f aca="false">IF(B87="","",SUM(J87:M87))</f>
        <v/>
      </c>
      <c r="O87" s="90" t="str">
        <f aca="false">IF(B87="","",J87+IF(cfg_EOS_H="نعم",K87,0)+IF(cfg_EOS_T="نعم",L87,0)+IF(cfg_EOS_O="نعم",M87,0))</f>
        <v/>
      </c>
      <c r="P87" s="90" t="str">
        <f aca="false">IF(B87="","",J87+IF(cfg_LV_H="نعم",K87,0)+IF(cfg_LV_T="نعم",L87,0)+IF(cfg_LV_O="نعم",M87,0))</f>
        <v/>
      </c>
      <c r="Q87" s="90" t="str">
        <f aca="false">IF(B87="","",MIN(cfg_G_CAP,J87+K87))</f>
        <v/>
      </c>
      <c r="R87" s="87"/>
      <c r="S87" s="73"/>
      <c r="T87" s="85"/>
      <c r="U87" s="87"/>
      <c r="V87" s="88"/>
      <c r="W87" s="85"/>
      <c r="X87" s="84"/>
      <c r="Y87" s="73"/>
      <c r="Z87" s="91" t="str">
        <f aca="false">IF(B87="","",IF(AND(X87&lt;&gt;"",X87&lt;=cfg_VAL_DATE),"✖ منتهي الخدمة",IF(H87&gt;cfg_VAL_DATE,"⚠ لم يباشر بعد","✔ على رأس العمل")))</f>
        <v/>
      </c>
      <c r="AA87" s="73"/>
      <c r="AB87" s="73"/>
      <c r="AC87" s="73"/>
    </row>
    <row r="88" customFormat="false" ht="15" hidden="false" customHeight="false" outlineLevel="0" collapsed="false">
      <c r="A88" s="83" t="str">
        <f aca="false">IF(B88="","",ROW()-5)</f>
        <v/>
      </c>
      <c r="B88" s="73"/>
      <c r="C88" s="73"/>
      <c r="D88" s="73"/>
      <c r="E88" s="73"/>
      <c r="F88" s="73"/>
      <c r="G88" s="73"/>
      <c r="H88" s="84"/>
      <c r="I88" s="84"/>
      <c r="J88" s="85"/>
      <c r="K88" s="85"/>
      <c r="L88" s="85"/>
      <c r="M88" s="85"/>
      <c r="N88" s="86" t="str">
        <f aca="false">IF(B88="","",SUM(J88:M88))</f>
        <v/>
      </c>
      <c r="O88" s="86" t="str">
        <f aca="false">IF(B88="","",J88+IF(cfg_EOS_H="نعم",K88,0)+IF(cfg_EOS_T="نعم",L88,0)+IF(cfg_EOS_O="نعم",M88,0))</f>
        <v/>
      </c>
      <c r="P88" s="86" t="str">
        <f aca="false">IF(B88="","",J88+IF(cfg_LV_H="نعم",K88,0)+IF(cfg_LV_T="نعم",L88,0)+IF(cfg_LV_O="نعم",M88,0))</f>
        <v/>
      </c>
      <c r="Q88" s="86" t="str">
        <f aca="false">IF(B88="","",MIN(cfg_G_CAP,J88+K88))</f>
        <v/>
      </c>
      <c r="R88" s="87"/>
      <c r="S88" s="73"/>
      <c r="T88" s="85"/>
      <c r="U88" s="87"/>
      <c r="V88" s="88"/>
      <c r="W88" s="85"/>
      <c r="X88" s="84"/>
      <c r="Y88" s="73"/>
      <c r="Z88" s="74" t="str">
        <f aca="false">IF(B88="","",IF(AND(X88&lt;&gt;"",X88&lt;=cfg_VAL_DATE),"✖ منتهي الخدمة",IF(H88&gt;cfg_VAL_DATE,"⚠ لم يباشر بعد","✔ على رأس العمل")))</f>
        <v/>
      </c>
      <c r="AA88" s="73"/>
      <c r="AB88" s="73"/>
      <c r="AC88" s="73"/>
    </row>
    <row r="89" customFormat="false" ht="15" hidden="false" customHeight="false" outlineLevel="0" collapsed="false">
      <c r="A89" s="89" t="str">
        <f aca="false">IF(B89="","",ROW()-5)</f>
        <v/>
      </c>
      <c r="B89" s="73"/>
      <c r="C89" s="73"/>
      <c r="D89" s="73"/>
      <c r="E89" s="73"/>
      <c r="F89" s="73"/>
      <c r="G89" s="73"/>
      <c r="H89" s="84"/>
      <c r="I89" s="84"/>
      <c r="J89" s="85"/>
      <c r="K89" s="85"/>
      <c r="L89" s="85"/>
      <c r="M89" s="85"/>
      <c r="N89" s="90" t="str">
        <f aca="false">IF(B89="","",SUM(J89:M89))</f>
        <v/>
      </c>
      <c r="O89" s="90" t="str">
        <f aca="false">IF(B89="","",J89+IF(cfg_EOS_H="نعم",K89,0)+IF(cfg_EOS_T="نعم",L89,0)+IF(cfg_EOS_O="نعم",M89,0))</f>
        <v/>
      </c>
      <c r="P89" s="90" t="str">
        <f aca="false">IF(B89="","",J89+IF(cfg_LV_H="نعم",K89,0)+IF(cfg_LV_T="نعم",L89,0)+IF(cfg_LV_O="نعم",M89,0))</f>
        <v/>
      </c>
      <c r="Q89" s="90" t="str">
        <f aca="false">IF(B89="","",MIN(cfg_G_CAP,J89+K89))</f>
        <v/>
      </c>
      <c r="R89" s="87"/>
      <c r="S89" s="73"/>
      <c r="T89" s="85"/>
      <c r="U89" s="87"/>
      <c r="V89" s="88"/>
      <c r="W89" s="85"/>
      <c r="X89" s="84"/>
      <c r="Y89" s="73"/>
      <c r="Z89" s="91" t="str">
        <f aca="false">IF(B89="","",IF(AND(X89&lt;&gt;"",X89&lt;=cfg_VAL_DATE),"✖ منتهي الخدمة",IF(H89&gt;cfg_VAL_DATE,"⚠ لم يباشر بعد","✔ على رأس العمل")))</f>
        <v/>
      </c>
      <c r="AA89" s="73"/>
      <c r="AB89" s="73"/>
      <c r="AC89" s="73"/>
    </row>
    <row r="90" customFormat="false" ht="15" hidden="false" customHeight="false" outlineLevel="0" collapsed="false">
      <c r="A90" s="83" t="str">
        <f aca="false">IF(B90="","",ROW()-5)</f>
        <v/>
      </c>
      <c r="B90" s="73"/>
      <c r="C90" s="73"/>
      <c r="D90" s="73"/>
      <c r="E90" s="73"/>
      <c r="F90" s="73"/>
      <c r="G90" s="73"/>
      <c r="H90" s="84"/>
      <c r="I90" s="84"/>
      <c r="J90" s="85"/>
      <c r="K90" s="85"/>
      <c r="L90" s="85"/>
      <c r="M90" s="85"/>
      <c r="N90" s="86" t="str">
        <f aca="false">IF(B90="","",SUM(J90:M90))</f>
        <v/>
      </c>
      <c r="O90" s="86" t="str">
        <f aca="false">IF(B90="","",J90+IF(cfg_EOS_H="نعم",K90,0)+IF(cfg_EOS_T="نعم",L90,0)+IF(cfg_EOS_O="نعم",M90,0))</f>
        <v/>
      </c>
      <c r="P90" s="86" t="str">
        <f aca="false">IF(B90="","",J90+IF(cfg_LV_H="نعم",K90,0)+IF(cfg_LV_T="نعم",L90,0)+IF(cfg_LV_O="نعم",M90,0))</f>
        <v/>
      </c>
      <c r="Q90" s="86" t="str">
        <f aca="false">IF(B90="","",MIN(cfg_G_CAP,J90+K90))</f>
        <v/>
      </c>
      <c r="R90" s="87"/>
      <c r="S90" s="73"/>
      <c r="T90" s="85"/>
      <c r="U90" s="87"/>
      <c r="V90" s="88"/>
      <c r="W90" s="85"/>
      <c r="X90" s="84"/>
      <c r="Y90" s="73"/>
      <c r="Z90" s="74" t="str">
        <f aca="false">IF(B90="","",IF(AND(X90&lt;&gt;"",X90&lt;=cfg_VAL_DATE),"✖ منتهي الخدمة",IF(H90&gt;cfg_VAL_DATE,"⚠ لم يباشر بعد","✔ على رأس العمل")))</f>
        <v/>
      </c>
      <c r="AA90" s="73"/>
      <c r="AB90" s="73"/>
      <c r="AC90" s="73"/>
    </row>
    <row r="91" customFormat="false" ht="15" hidden="false" customHeight="false" outlineLevel="0" collapsed="false">
      <c r="A91" s="89" t="str">
        <f aca="false">IF(B91="","",ROW()-5)</f>
        <v/>
      </c>
      <c r="B91" s="73"/>
      <c r="C91" s="73"/>
      <c r="D91" s="73"/>
      <c r="E91" s="73"/>
      <c r="F91" s="73"/>
      <c r="G91" s="73"/>
      <c r="H91" s="84"/>
      <c r="I91" s="84"/>
      <c r="J91" s="85"/>
      <c r="K91" s="85"/>
      <c r="L91" s="85"/>
      <c r="M91" s="85"/>
      <c r="N91" s="90" t="str">
        <f aca="false">IF(B91="","",SUM(J91:M91))</f>
        <v/>
      </c>
      <c r="O91" s="90" t="str">
        <f aca="false">IF(B91="","",J91+IF(cfg_EOS_H="نعم",K91,0)+IF(cfg_EOS_T="نعم",L91,0)+IF(cfg_EOS_O="نعم",M91,0))</f>
        <v/>
      </c>
      <c r="P91" s="90" t="str">
        <f aca="false">IF(B91="","",J91+IF(cfg_LV_H="نعم",K91,0)+IF(cfg_LV_T="نعم",L91,0)+IF(cfg_LV_O="نعم",M91,0))</f>
        <v/>
      </c>
      <c r="Q91" s="90" t="str">
        <f aca="false">IF(B91="","",MIN(cfg_G_CAP,J91+K91))</f>
        <v/>
      </c>
      <c r="R91" s="87"/>
      <c r="S91" s="73"/>
      <c r="T91" s="85"/>
      <c r="U91" s="87"/>
      <c r="V91" s="88"/>
      <c r="W91" s="85"/>
      <c r="X91" s="84"/>
      <c r="Y91" s="73"/>
      <c r="Z91" s="91" t="str">
        <f aca="false">IF(B91="","",IF(AND(X91&lt;&gt;"",X91&lt;=cfg_VAL_DATE),"✖ منتهي الخدمة",IF(H91&gt;cfg_VAL_DATE,"⚠ لم يباشر بعد","✔ على رأس العمل")))</f>
        <v/>
      </c>
      <c r="AA91" s="73"/>
      <c r="AB91" s="73"/>
      <c r="AC91" s="73"/>
    </row>
    <row r="92" customFormat="false" ht="15" hidden="false" customHeight="false" outlineLevel="0" collapsed="false">
      <c r="A92" s="83" t="str">
        <f aca="false">IF(B92="","",ROW()-5)</f>
        <v/>
      </c>
      <c r="B92" s="73"/>
      <c r="C92" s="73"/>
      <c r="D92" s="73"/>
      <c r="E92" s="73"/>
      <c r="F92" s="73"/>
      <c r="G92" s="73"/>
      <c r="H92" s="84"/>
      <c r="I92" s="84"/>
      <c r="J92" s="85"/>
      <c r="K92" s="85"/>
      <c r="L92" s="85"/>
      <c r="M92" s="85"/>
      <c r="N92" s="86" t="str">
        <f aca="false">IF(B92="","",SUM(J92:M92))</f>
        <v/>
      </c>
      <c r="O92" s="86" t="str">
        <f aca="false">IF(B92="","",J92+IF(cfg_EOS_H="نعم",K92,0)+IF(cfg_EOS_T="نعم",L92,0)+IF(cfg_EOS_O="نعم",M92,0))</f>
        <v/>
      </c>
      <c r="P92" s="86" t="str">
        <f aca="false">IF(B92="","",J92+IF(cfg_LV_H="نعم",K92,0)+IF(cfg_LV_T="نعم",L92,0)+IF(cfg_LV_O="نعم",M92,0))</f>
        <v/>
      </c>
      <c r="Q92" s="86" t="str">
        <f aca="false">IF(B92="","",MIN(cfg_G_CAP,J92+K92))</f>
        <v/>
      </c>
      <c r="R92" s="87"/>
      <c r="S92" s="73"/>
      <c r="T92" s="85"/>
      <c r="U92" s="87"/>
      <c r="V92" s="88"/>
      <c r="W92" s="85"/>
      <c r="X92" s="84"/>
      <c r="Y92" s="73"/>
      <c r="Z92" s="74" t="str">
        <f aca="false">IF(B92="","",IF(AND(X92&lt;&gt;"",X92&lt;=cfg_VAL_DATE),"✖ منتهي الخدمة",IF(H92&gt;cfg_VAL_DATE,"⚠ لم يباشر بعد","✔ على رأس العمل")))</f>
        <v/>
      </c>
      <c r="AA92" s="73"/>
      <c r="AB92" s="73"/>
      <c r="AC92" s="73"/>
    </row>
    <row r="93" customFormat="false" ht="15" hidden="false" customHeight="false" outlineLevel="0" collapsed="false">
      <c r="A93" s="89" t="str">
        <f aca="false">IF(B93="","",ROW()-5)</f>
        <v/>
      </c>
      <c r="B93" s="73"/>
      <c r="C93" s="73"/>
      <c r="D93" s="73"/>
      <c r="E93" s="73"/>
      <c r="F93" s="73"/>
      <c r="G93" s="73"/>
      <c r="H93" s="84"/>
      <c r="I93" s="84"/>
      <c r="J93" s="85"/>
      <c r="K93" s="85"/>
      <c r="L93" s="85"/>
      <c r="M93" s="85"/>
      <c r="N93" s="90" t="str">
        <f aca="false">IF(B93="","",SUM(J93:M93))</f>
        <v/>
      </c>
      <c r="O93" s="90" t="str">
        <f aca="false">IF(B93="","",J93+IF(cfg_EOS_H="نعم",K93,0)+IF(cfg_EOS_T="نعم",L93,0)+IF(cfg_EOS_O="نعم",M93,0))</f>
        <v/>
      </c>
      <c r="P93" s="90" t="str">
        <f aca="false">IF(B93="","",J93+IF(cfg_LV_H="نعم",K93,0)+IF(cfg_LV_T="نعم",L93,0)+IF(cfg_LV_O="نعم",M93,0))</f>
        <v/>
      </c>
      <c r="Q93" s="90" t="str">
        <f aca="false">IF(B93="","",MIN(cfg_G_CAP,J93+K93))</f>
        <v/>
      </c>
      <c r="R93" s="87"/>
      <c r="S93" s="73"/>
      <c r="T93" s="85"/>
      <c r="U93" s="87"/>
      <c r="V93" s="88"/>
      <c r="W93" s="85"/>
      <c r="X93" s="84"/>
      <c r="Y93" s="73"/>
      <c r="Z93" s="91" t="str">
        <f aca="false">IF(B93="","",IF(AND(X93&lt;&gt;"",X93&lt;=cfg_VAL_DATE),"✖ منتهي الخدمة",IF(H93&gt;cfg_VAL_DATE,"⚠ لم يباشر بعد","✔ على رأس العمل")))</f>
        <v/>
      </c>
      <c r="AA93" s="73"/>
      <c r="AB93" s="73"/>
      <c r="AC93" s="73"/>
    </row>
    <row r="94" customFormat="false" ht="15" hidden="false" customHeight="false" outlineLevel="0" collapsed="false">
      <c r="A94" s="83" t="str">
        <f aca="false">IF(B94="","",ROW()-5)</f>
        <v/>
      </c>
      <c r="B94" s="73"/>
      <c r="C94" s="73"/>
      <c r="D94" s="73"/>
      <c r="E94" s="73"/>
      <c r="F94" s="73"/>
      <c r="G94" s="73"/>
      <c r="H94" s="84"/>
      <c r="I94" s="84"/>
      <c r="J94" s="85"/>
      <c r="K94" s="85"/>
      <c r="L94" s="85"/>
      <c r="M94" s="85"/>
      <c r="N94" s="86" t="str">
        <f aca="false">IF(B94="","",SUM(J94:M94))</f>
        <v/>
      </c>
      <c r="O94" s="86" t="str">
        <f aca="false">IF(B94="","",J94+IF(cfg_EOS_H="نعم",K94,0)+IF(cfg_EOS_T="نعم",L94,0)+IF(cfg_EOS_O="نعم",M94,0))</f>
        <v/>
      </c>
      <c r="P94" s="86" t="str">
        <f aca="false">IF(B94="","",J94+IF(cfg_LV_H="نعم",K94,0)+IF(cfg_LV_T="نعم",L94,0)+IF(cfg_LV_O="نعم",M94,0))</f>
        <v/>
      </c>
      <c r="Q94" s="86" t="str">
        <f aca="false">IF(B94="","",MIN(cfg_G_CAP,J94+K94))</f>
        <v/>
      </c>
      <c r="R94" s="87"/>
      <c r="S94" s="73"/>
      <c r="T94" s="85"/>
      <c r="U94" s="87"/>
      <c r="V94" s="88"/>
      <c r="W94" s="85"/>
      <c r="X94" s="84"/>
      <c r="Y94" s="73"/>
      <c r="Z94" s="74" t="str">
        <f aca="false">IF(B94="","",IF(AND(X94&lt;&gt;"",X94&lt;=cfg_VAL_DATE),"✖ منتهي الخدمة",IF(H94&gt;cfg_VAL_DATE,"⚠ لم يباشر بعد","✔ على رأس العمل")))</f>
        <v/>
      </c>
      <c r="AA94" s="73"/>
      <c r="AB94" s="73"/>
      <c r="AC94" s="73"/>
    </row>
    <row r="95" customFormat="false" ht="15" hidden="false" customHeight="false" outlineLevel="0" collapsed="false">
      <c r="A95" s="89" t="str">
        <f aca="false">IF(B95="","",ROW()-5)</f>
        <v/>
      </c>
      <c r="B95" s="73"/>
      <c r="C95" s="73"/>
      <c r="D95" s="73"/>
      <c r="E95" s="73"/>
      <c r="F95" s="73"/>
      <c r="G95" s="73"/>
      <c r="H95" s="84"/>
      <c r="I95" s="84"/>
      <c r="J95" s="85"/>
      <c r="K95" s="85"/>
      <c r="L95" s="85"/>
      <c r="M95" s="85"/>
      <c r="N95" s="90" t="str">
        <f aca="false">IF(B95="","",SUM(J95:M95))</f>
        <v/>
      </c>
      <c r="O95" s="90" t="str">
        <f aca="false">IF(B95="","",J95+IF(cfg_EOS_H="نعم",K95,0)+IF(cfg_EOS_T="نعم",L95,0)+IF(cfg_EOS_O="نعم",M95,0))</f>
        <v/>
      </c>
      <c r="P95" s="90" t="str">
        <f aca="false">IF(B95="","",J95+IF(cfg_LV_H="نعم",K95,0)+IF(cfg_LV_T="نعم",L95,0)+IF(cfg_LV_O="نعم",M95,0))</f>
        <v/>
      </c>
      <c r="Q95" s="90" t="str">
        <f aca="false">IF(B95="","",MIN(cfg_G_CAP,J95+K95))</f>
        <v/>
      </c>
      <c r="R95" s="87"/>
      <c r="S95" s="73"/>
      <c r="T95" s="85"/>
      <c r="U95" s="87"/>
      <c r="V95" s="88"/>
      <c r="W95" s="85"/>
      <c r="X95" s="84"/>
      <c r="Y95" s="73"/>
      <c r="Z95" s="91" t="str">
        <f aca="false">IF(B95="","",IF(AND(X95&lt;&gt;"",X95&lt;=cfg_VAL_DATE),"✖ منتهي الخدمة",IF(H95&gt;cfg_VAL_DATE,"⚠ لم يباشر بعد","✔ على رأس العمل")))</f>
        <v/>
      </c>
      <c r="AA95" s="73"/>
      <c r="AB95" s="73"/>
      <c r="AC95" s="73"/>
    </row>
    <row r="96" customFormat="false" ht="15" hidden="false" customHeight="false" outlineLevel="0" collapsed="false">
      <c r="A96" s="83" t="str">
        <f aca="false">IF(B96="","",ROW()-5)</f>
        <v/>
      </c>
      <c r="B96" s="73"/>
      <c r="C96" s="73"/>
      <c r="D96" s="73"/>
      <c r="E96" s="73"/>
      <c r="F96" s="73"/>
      <c r="G96" s="73"/>
      <c r="H96" s="84"/>
      <c r="I96" s="84"/>
      <c r="J96" s="85"/>
      <c r="K96" s="85"/>
      <c r="L96" s="85"/>
      <c r="M96" s="85"/>
      <c r="N96" s="86" t="str">
        <f aca="false">IF(B96="","",SUM(J96:M96))</f>
        <v/>
      </c>
      <c r="O96" s="86" t="str">
        <f aca="false">IF(B96="","",J96+IF(cfg_EOS_H="نعم",K96,0)+IF(cfg_EOS_T="نعم",L96,0)+IF(cfg_EOS_O="نعم",M96,0))</f>
        <v/>
      </c>
      <c r="P96" s="86" t="str">
        <f aca="false">IF(B96="","",J96+IF(cfg_LV_H="نعم",K96,0)+IF(cfg_LV_T="نعم",L96,0)+IF(cfg_LV_O="نعم",M96,0))</f>
        <v/>
      </c>
      <c r="Q96" s="86" t="str">
        <f aca="false">IF(B96="","",MIN(cfg_G_CAP,J96+K96))</f>
        <v/>
      </c>
      <c r="R96" s="87"/>
      <c r="S96" s="73"/>
      <c r="T96" s="85"/>
      <c r="U96" s="87"/>
      <c r="V96" s="88"/>
      <c r="W96" s="85"/>
      <c r="X96" s="84"/>
      <c r="Y96" s="73"/>
      <c r="Z96" s="74" t="str">
        <f aca="false">IF(B96="","",IF(AND(X96&lt;&gt;"",X96&lt;=cfg_VAL_DATE),"✖ منتهي الخدمة",IF(H96&gt;cfg_VAL_DATE,"⚠ لم يباشر بعد","✔ على رأس العمل")))</f>
        <v/>
      </c>
      <c r="AA96" s="73"/>
      <c r="AB96" s="73"/>
      <c r="AC96" s="73"/>
    </row>
    <row r="97" customFormat="false" ht="15" hidden="false" customHeight="false" outlineLevel="0" collapsed="false">
      <c r="A97" s="89" t="str">
        <f aca="false">IF(B97="","",ROW()-5)</f>
        <v/>
      </c>
      <c r="B97" s="73"/>
      <c r="C97" s="73"/>
      <c r="D97" s="73"/>
      <c r="E97" s="73"/>
      <c r="F97" s="73"/>
      <c r="G97" s="73"/>
      <c r="H97" s="84"/>
      <c r="I97" s="84"/>
      <c r="J97" s="85"/>
      <c r="K97" s="85"/>
      <c r="L97" s="85"/>
      <c r="M97" s="85"/>
      <c r="N97" s="90" t="str">
        <f aca="false">IF(B97="","",SUM(J97:M97))</f>
        <v/>
      </c>
      <c r="O97" s="90" t="str">
        <f aca="false">IF(B97="","",J97+IF(cfg_EOS_H="نعم",K97,0)+IF(cfg_EOS_T="نعم",L97,0)+IF(cfg_EOS_O="نعم",M97,0))</f>
        <v/>
      </c>
      <c r="P97" s="90" t="str">
        <f aca="false">IF(B97="","",J97+IF(cfg_LV_H="نعم",K97,0)+IF(cfg_LV_T="نعم",L97,0)+IF(cfg_LV_O="نعم",M97,0))</f>
        <v/>
      </c>
      <c r="Q97" s="90" t="str">
        <f aca="false">IF(B97="","",MIN(cfg_G_CAP,J97+K97))</f>
        <v/>
      </c>
      <c r="R97" s="87"/>
      <c r="S97" s="73"/>
      <c r="T97" s="85"/>
      <c r="U97" s="87"/>
      <c r="V97" s="88"/>
      <c r="W97" s="85"/>
      <c r="X97" s="84"/>
      <c r="Y97" s="73"/>
      <c r="Z97" s="91" t="str">
        <f aca="false">IF(B97="","",IF(AND(X97&lt;&gt;"",X97&lt;=cfg_VAL_DATE),"✖ منتهي الخدمة",IF(H97&gt;cfg_VAL_DATE,"⚠ لم يباشر بعد","✔ على رأس العمل")))</f>
        <v/>
      </c>
      <c r="AA97" s="73"/>
      <c r="AB97" s="73"/>
      <c r="AC97" s="73"/>
    </row>
    <row r="98" customFormat="false" ht="15" hidden="false" customHeight="false" outlineLevel="0" collapsed="false">
      <c r="A98" s="83" t="str">
        <f aca="false">IF(B98="","",ROW()-5)</f>
        <v/>
      </c>
      <c r="B98" s="73"/>
      <c r="C98" s="73"/>
      <c r="D98" s="73"/>
      <c r="E98" s="73"/>
      <c r="F98" s="73"/>
      <c r="G98" s="73"/>
      <c r="H98" s="84"/>
      <c r="I98" s="84"/>
      <c r="J98" s="85"/>
      <c r="K98" s="85"/>
      <c r="L98" s="85"/>
      <c r="M98" s="85"/>
      <c r="N98" s="86" t="str">
        <f aca="false">IF(B98="","",SUM(J98:M98))</f>
        <v/>
      </c>
      <c r="O98" s="86" t="str">
        <f aca="false">IF(B98="","",J98+IF(cfg_EOS_H="نعم",K98,0)+IF(cfg_EOS_T="نعم",L98,0)+IF(cfg_EOS_O="نعم",M98,0))</f>
        <v/>
      </c>
      <c r="P98" s="86" t="str">
        <f aca="false">IF(B98="","",J98+IF(cfg_LV_H="نعم",K98,0)+IF(cfg_LV_T="نعم",L98,0)+IF(cfg_LV_O="نعم",M98,0))</f>
        <v/>
      </c>
      <c r="Q98" s="86" t="str">
        <f aca="false">IF(B98="","",MIN(cfg_G_CAP,J98+K98))</f>
        <v/>
      </c>
      <c r="R98" s="87"/>
      <c r="S98" s="73"/>
      <c r="T98" s="85"/>
      <c r="U98" s="87"/>
      <c r="V98" s="88"/>
      <c r="W98" s="85"/>
      <c r="X98" s="84"/>
      <c r="Y98" s="73"/>
      <c r="Z98" s="74" t="str">
        <f aca="false">IF(B98="","",IF(AND(X98&lt;&gt;"",X98&lt;=cfg_VAL_DATE),"✖ منتهي الخدمة",IF(H98&gt;cfg_VAL_DATE,"⚠ لم يباشر بعد","✔ على رأس العمل")))</f>
        <v/>
      </c>
      <c r="AA98" s="73"/>
      <c r="AB98" s="73"/>
      <c r="AC98" s="73"/>
    </row>
    <row r="99" customFormat="false" ht="15" hidden="false" customHeight="false" outlineLevel="0" collapsed="false">
      <c r="A99" s="89" t="str">
        <f aca="false">IF(B99="","",ROW()-5)</f>
        <v/>
      </c>
      <c r="B99" s="73"/>
      <c r="C99" s="73"/>
      <c r="D99" s="73"/>
      <c r="E99" s="73"/>
      <c r="F99" s="73"/>
      <c r="G99" s="73"/>
      <c r="H99" s="84"/>
      <c r="I99" s="84"/>
      <c r="J99" s="85"/>
      <c r="K99" s="85"/>
      <c r="L99" s="85"/>
      <c r="M99" s="85"/>
      <c r="N99" s="90" t="str">
        <f aca="false">IF(B99="","",SUM(J99:M99))</f>
        <v/>
      </c>
      <c r="O99" s="90" t="str">
        <f aca="false">IF(B99="","",J99+IF(cfg_EOS_H="نعم",K99,0)+IF(cfg_EOS_T="نعم",L99,0)+IF(cfg_EOS_O="نعم",M99,0))</f>
        <v/>
      </c>
      <c r="P99" s="90" t="str">
        <f aca="false">IF(B99="","",J99+IF(cfg_LV_H="نعم",K99,0)+IF(cfg_LV_T="نعم",L99,0)+IF(cfg_LV_O="نعم",M99,0))</f>
        <v/>
      </c>
      <c r="Q99" s="90" t="str">
        <f aca="false">IF(B99="","",MIN(cfg_G_CAP,J99+K99))</f>
        <v/>
      </c>
      <c r="R99" s="87"/>
      <c r="S99" s="73"/>
      <c r="T99" s="85"/>
      <c r="U99" s="87"/>
      <c r="V99" s="88"/>
      <c r="W99" s="85"/>
      <c r="X99" s="84"/>
      <c r="Y99" s="73"/>
      <c r="Z99" s="91" t="str">
        <f aca="false">IF(B99="","",IF(AND(X99&lt;&gt;"",X99&lt;=cfg_VAL_DATE),"✖ منتهي الخدمة",IF(H99&gt;cfg_VAL_DATE,"⚠ لم يباشر بعد","✔ على رأس العمل")))</f>
        <v/>
      </c>
      <c r="AA99" s="73"/>
      <c r="AB99" s="73"/>
      <c r="AC99" s="73"/>
    </row>
    <row r="100" customFormat="false" ht="15" hidden="false" customHeight="false" outlineLevel="0" collapsed="false">
      <c r="A100" s="83" t="str">
        <f aca="false">IF(B100="","",ROW()-5)</f>
        <v/>
      </c>
      <c r="B100" s="73"/>
      <c r="C100" s="73"/>
      <c r="D100" s="73"/>
      <c r="E100" s="73"/>
      <c r="F100" s="73"/>
      <c r="G100" s="73"/>
      <c r="H100" s="84"/>
      <c r="I100" s="84"/>
      <c r="J100" s="85"/>
      <c r="K100" s="85"/>
      <c r="L100" s="85"/>
      <c r="M100" s="85"/>
      <c r="N100" s="86" t="str">
        <f aca="false">IF(B100="","",SUM(J100:M100))</f>
        <v/>
      </c>
      <c r="O100" s="86" t="str">
        <f aca="false">IF(B100="","",J100+IF(cfg_EOS_H="نعم",K100,0)+IF(cfg_EOS_T="نعم",L100,0)+IF(cfg_EOS_O="نعم",M100,0))</f>
        <v/>
      </c>
      <c r="P100" s="86" t="str">
        <f aca="false">IF(B100="","",J100+IF(cfg_LV_H="نعم",K100,0)+IF(cfg_LV_T="نعم",L100,0)+IF(cfg_LV_O="نعم",M100,0))</f>
        <v/>
      </c>
      <c r="Q100" s="86" t="str">
        <f aca="false">IF(B100="","",MIN(cfg_G_CAP,J100+K100))</f>
        <v/>
      </c>
      <c r="R100" s="87"/>
      <c r="S100" s="73"/>
      <c r="T100" s="85"/>
      <c r="U100" s="87"/>
      <c r="V100" s="88"/>
      <c r="W100" s="85"/>
      <c r="X100" s="84"/>
      <c r="Y100" s="73"/>
      <c r="Z100" s="74" t="str">
        <f aca="false">IF(B100="","",IF(AND(X100&lt;&gt;"",X100&lt;=cfg_VAL_DATE),"✖ منتهي الخدمة",IF(H100&gt;cfg_VAL_DATE,"⚠ لم يباشر بعد","✔ على رأس العمل")))</f>
        <v/>
      </c>
      <c r="AA100" s="73"/>
      <c r="AB100" s="73"/>
      <c r="AC100" s="73"/>
    </row>
    <row r="101" customFormat="false" ht="15" hidden="false" customHeight="false" outlineLevel="0" collapsed="false">
      <c r="A101" s="89" t="str">
        <f aca="false">IF(B101="","",ROW()-5)</f>
        <v/>
      </c>
      <c r="B101" s="73"/>
      <c r="C101" s="73"/>
      <c r="D101" s="73"/>
      <c r="E101" s="73"/>
      <c r="F101" s="73"/>
      <c r="G101" s="73"/>
      <c r="H101" s="84"/>
      <c r="I101" s="84"/>
      <c r="J101" s="85"/>
      <c r="K101" s="85"/>
      <c r="L101" s="85"/>
      <c r="M101" s="85"/>
      <c r="N101" s="90" t="str">
        <f aca="false">IF(B101="","",SUM(J101:M101))</f>
        <v/>
      </c>
      <c r="O101" s="90" t="str">
        <f aca="false">IF(B101="","",J101+IF(cfg_EOS_H="نعم",K101,0)+IF(cfg_EOS_T="نعم",L101,0)+IF(cfg_EOS_O="نعم",M101,0))</f>
        <v/>
      </c>
      <c r="P101" s="90" t="str">
        <f aca="false">IF(B101="","",J101+IF(cfg_LV_H="نعم",K101,0)+IF(cfg_LV_T="نعم",L101,0)+IF(cfg_LV_O="نعم",M101,0))</f>
        <v/>
      </c>
      <c r="Q101" s="90" t="str">
        <f aca="false">IF(B101="","",MIN(cfg_G_CAP,J101+K101))</f>
        <v/>
      </c>
      <c r="R101" s="87"/>
      <c r="S101" s="73"/>
      <c r="T101" s="85"/>
      <c r="U101" s="87"/>
      <c r="V101" s="88"/>
      <c r="W101" s="85"/>
      <c r="X101" s="84"/>
      <c r="Y101" s="73"/>
      <c r="Z101" s="91" t="str">
        <f aca="false">IF(B101="","",IF(AND(X101&lt;&gt;"",X101&lt;=cfg_VAL_DATE),"✖ منتهي الخدمة",IF(H101&gt;cfg_VAL_DATE,"⚠ لم يباشر بعد","✔ على رأس العمل")))</f>
        <v/>
      </c>
      <c r="AA101" s="73"/>
      <c r="AB101" s="73"/>
      <c r="AC101" s="73"/>
    </row>
    <row r="102" customFormat="false" ht="15" hidden="false" customHeight="false" outlineLevel="0" collapsed="false">
      <c r="A102" s="83" t="str">
        <f aca="false">IF(B102="","",ROW()-5)</f>
        <v/>
      </c>
      <c r="B102" s="73"/>
      <c r="C102" s="73"/>
      <c r="D102" s="73"/>
      <c r="E102" s="73"/>
      <c r="F102" s="73"/>
      <c r="G102" s="73"/>
      <c r="H102" s="84"/>
      <c r="I102" s="84"/>
      <c r="J102" s="85"/>
      <c r="K102" s="85"/>
      <c r="L102" s="85"/>
      <c r="M102" s="85"/>
      <c r="N102" s="86" t="str">
        <f aca="false">IF(B102="","",SUM(J102:M102))</f>
        <v/>
      </c>
      <c r="O102" s="86" t="str">
        <f aca="false">IF(B102="","",J102+IF(cfg_EOS_H="نعم",K102,0)+IF(cfg_EOS_T="نعم",L102,0)+IF(cfg_EOS_O="نعم",M102,0))</f>
        <v/>
      </c>
      <c r="P102" s="86" t="str">
        <f aca="false">IF(B102="","",J102+IF(cfg_LV_H="نعم",K102,0)+IF(cfg_LV_T="نعم",L102,0)+IF(cfg_LV_O="نعم",M102,0))</f>
        <v/>
      </c>
      <c r="Q102" s="86" t="str">
        <f aca="false">IF(B102="","",MIN(cfg_G_CAP,J102+K102))</f>
        <v/>
      </c>
      <c r="R102" s="87"/>
      <c r="S102" s="73"/>
      <c r="T102" s="85"/>
      <c r="U102" s="87"/>
      <c r="V102" s="88"/>
      <c r="W102" s="85"/>
      <c r="X102" s="84"/>
      <c r="Y102" s="73"/>
      <c r="Z102" s="74" t="str">
        <f aca="false">IF(B102="","",IF(AND(X102&lt;&gt;"",X102&lt;=cfg_VAL_DATE),"✖ منتهي الخدمة",IF(H102&gt;cfg_VAL_DATE,"⚠ لم يباشر بعد","✔ على رأس العمل")))</f>
        <v/>
      </c>
      <c r="AA102" s="73"/>
      <c r="AB102" s="73"/>
      <c r="AC102" s="73"/>
    </row>
    <row r="103" customFormat="false" ht="15" hidden="false" customHeight="false" outlineLevel="0" collapsed="false">
      <c r="A103" s="89" t="str">
        <f aca="false">IF(B103="","",ROW()-5)</f>
        <v/>
      </c>
      <c r="B103" s="73"/>
      <c r="C103" s="73"/>
      <c r="D103" s="73"/>
      <c r="E103" s="73"/>
      <c r="F103" s="73"/>
      <c r="G103" s="73"/>
      <c r="H103" s="84"/>
      <c r="I103" s="84"/>
      <c r="J103" s="85"/>
      <c r="K103" s="85"/>
      <c r="L103" s="85"/>
      <c r="M103" s="85"/>
      <c r="N103" s="90" t="str">
        <f aca="false">IF(B103="","",SUM(J103:M103))</f>
        <v/>
      </c>
      <c r="O103" s="90" t="str">
        <f aca="false">IF(B103="","",J103+IF(cfg_EOS_H="نعم",K103,0)+IF(cfg_EOS_T="نعم",L103,0)+IF(cfg_EOS_O="نعم",M103,0))</f>
        <v/>
      </c>
      <c r="P103" s="90" t="str">
        <f aca="false">IF(B103="","",J103+IF(cfg_LV_H="نعم",K103,0)+IF(cfg_LV_T="نعم",L103,0)+IF(cfg_LV_O="نعم",M103,0))</f>
        <v/>
      </c>
      <c r="Q103" s="90" t="str">
        <f aca="false">IF(B103="","",MIN(cfg_G_CAP,J103+K103))</f>
        <v/>
      </c>
      <c r="R103" s="87"/>
      <c r="S103" s="73"/>
      <c r="T103" s="85"/>
      <c r="U103" s="87"/>
      <c r="V103" s="88"/>
      <c r="W103" s="85"/>
      <c r="X103" s="84"/>
      <c r="Y103" s="73"/>
      <c r="Z103" s="91" t="str">
        <f aca="false">IF(B103="","",IF(AND(X103&lt;&gt;"",X103&lt;=cfg_VAL_DATE),"✖ منتهي الخدمة",IF(H103&gt;cfg_VAL_DATE,"⚠ لم يباشر بعد","✔ على رأس العمل")))</f>
        <v/>
      </c>
      <c r="AA103" s="73"/>
      <c r="AB103" s="73"/>
      <c r="AC103" s="73"/>
    </row>
    <row r="104" customFormat="false" ht="15" hidden="false" customHeight="false" outlineLevel="0" collapsed="false">
      <c r="A104" s="83" t="str">
        <f aca="false">IF(B104="","",ROW()-5)</f>
        <v/>
      </c>
      <c r="B104" s="73"/>
      <c r="C104" s="73"/>
      <c r="D104" s="73"/>
      <c r="E104" s="73"/>
      <c r="F104" s="73"/>
      <c r="G104" s="73"/>
      <c r="H104" s="84"/>
      <c r="I104" s="84"/>
      <c r="J104" s="85"/>
      <c r="K104" s="85"/>
      <c r="L104" s="85"/>
      <c r="M104" s="85"/>
      <c r="N104" s="86" t="str">
        <f aca="false">IF(B104="","",SUM(J104:M104))</f>
        <v/>
      </c>
      <c r="O104" s="86" t="str">
        <f aca="false">IF(B104="","",J104+IF(cfg_EOS_H="نعم",K104,0)+IF(cfg_EOS_T="نعم",L104,0)+IF(cfg_EOS_O="نعم",M104,0))</f>
        <v/>
      </c>
      <c r="P104" s="86" t="str">
        <f aca="false">IF(B104="","",J104+IF(cfg_LV_H="نعم",K104,0)+IF(cfg_LV_T="نعم",L104,0)+IF(cfg_LV_O="نعم",M104,0))</f>
        <v/>
      </c>
      <c r="Q104" s="86" t="str">
        <f aca="false">IF(B104="","",MIN(cfg_G_CAP,J104+K104))</f>
        <v/>
      </c>
      <c r="R104" s="87"/>
      <c r="S104" s="73"/>
      <c r="T104" s="85"/>
      <c r="U104" s="87"/>
      <c r="V104" s="88"/>
      <c r="W104" s="85"/>
      <c r="X104" s="84"/>
      <c r="Y104" s="73"/>
      <c r="Z104" s="74" t="str">
        <f aca="false">IF(B104="","",IF(AND(X104&lt;&gt;"",X104&lt;=cfg_VAL_DATE),"✖ منتهي الخدمة",IF(H104&gt;cfg_VAL_DATE,"⚠ لم يباشر بعد","✔ على رأس العمل")))</f>
        <v/>
      </c>
      <c r="AA104" s="73"/>
      <c r="AB104" s="73"/>
      <c r="AC104" s="73"/>
    </row>
    <row r="105" customFormat="false" ht="15" hidden="false" customHeight="false" outlineLevel="0" collapsed="false">
      <c r="A105" s="89" t="str">
        <f aca="false">IF(B105="","",ROW()-5)</f>
        <v/>
      </c>
      <c r="B105" s="73"/>
      <c r="C105" s="73"/>
      <c r="D105" s="73"/>
      <c r="E105" s="73"/>
      <c r="F105" s="73"/>
      <c r="G105" s="73"/>
      <c r="H105" s="84"/>
      <c r="I105" s="84"/>
      <c r="J105" s="85"/>
      <c r="K105" s="85"/>
      <c r="L105" s="85"/>
      <c r="M105" s="85"/>
      <c r="N105" s="90" t="str">
        <f aca="false">IF(B105="","",SUM(J105:M105))</f>
        <v/>
      </c>
      <c r="O105" s="90" t="str">
        <f aca="false">IF(B105="","",J105+IF(cfg_EOS_H="نعم",K105,0)+IF(cfg_EOS_T="نعم",L105,0)+IF(cfg_EOS_O="نعم",M105,0))</f>
        <v/>
      </c>
      <c r="P105" s="90" t="str">
        <f aca="false">IF(B105="","",J105+IF(cfg_LV_H="نعم",K105,0)+IF(cfg_LV_T="نعم",L105,0)+IF(cfg_LV_O="نعم",M105,0))</f>
        <v/>
      </c>
      <c r="Q105" s="90" t="str">
        <f aca="false">IF(B105="","",MIN(cfg_G_CAP,J105+K105))</f>
        <v/>
      </c>
      <c r="R105" s="87"/>
      <c r="S105" s="73"/>
      <c r="T105" s="85"/>
      <c r="U105" s="87"/>
      <c r="V105" s="88"/>
      <c r="W105" s="85"/>
      <c r="X105" s="84"/>
      <c r="Y105" s="73"/>
      <c r="Z105" s="91" t="str">
        <f aca="false">IF(B105="","",IF(AND(X105&lt;&gt;"",X105&lt;=cfg_VAL_DATE),"✖ منتهي الخدمة",IF(H105&gt;cfg_VAL_DATE,"⚠ لم يباشر بعد","✔ على رأس العمل")))</f>
        <v/>
      </c>
      <c r="AA105" s="73"/>
      <c r="AB105" s="73"/>
      <c r="AC105" s="73"/>
    </row>
    <row r="106" customFormat="false" ht="24" hidden="false" customHeight="true" outlineLevel="0" collapsed="false">
      <c r="A106" s="92"/>
      <c r="B106" s="92" t="str">
        <f aca="false">COUNTA(B6:B105)&amp;" موظف"</f>
        <v>12 موظف</v>
      </c>
      <c r="C106" s="92" t="s">
        <v>101</v>
      </c>
      <c r="D106" s="92"/>
      <c r="E106" s="92"/>
      <c r="F106" s="92"/>
      <c r="G106" s="92"/>
      <c r="H106" s="92"/>
      <c r="I106" s="92"/>
      <c r="J106" s="92" t="n">
        <f aca="false">SUM(J6:J105)</f>
        <v>141500</v>
      </c>
      <c r="K106" s="92" t="n">
        <f aca="false">SUM(K6:K105)</f>
        <v>35375</v>
      </c>
      <c r="L106" s="92" t="n">
        <f aca="false">SUM(L6:L105)</f>
        <v>14150</v>
      </c>
      <c r="M106" s="92" t="n">
        <f aca="false">SUM(M6:M105)</f>
        <v>10300</v>
      </c>
      <c r="N106" s="92" t="n">
        <f aca="false">SUM(N6:N105)</f>
        <v>201325</v>
      </c>
      <c r="O106" s="92" t="n">
        <f aca="false">SUM(O6:O105)</f>
        <v>191025</v>
      </c>
      <c r="P106" s="92" t="n">
        <f aca="false">SUM(P6:P105)</f>
        <v>191025</v>
      </c>
      <c r="Q106" s="92" t="n">
        <f aca="false">SUM(Q6:Q105)</f>
        <v>176875</v>
      </c>
      <c r="R106" s="92"/>
      <c r="S106" s="92"/>
      <c r="T106" s="92" t="n">
        <f aca="false">SUM(T6:T105)</f>
        <v>15300</v>
      </c>
      <c r="U106" s="92"/>
      <c r="V106" s="92"/>
      <c r="W106" s="92" t="n">
        <f aca="false">SUM(W6:W105)</f>
        <v>8700</v>
      </c>
      <c r="X106" s="92"/>
      <c r="Y106" s="92"/>
      <c r="Z106" s="92"/>
      <c r="AA106" s="92"/>
      <c r="AB106" s="92"/>
      <c r="AC106" s="92"/>
    </row>
  </sheetData>
  <autoFilter ref="A5:AC105"/>
  <mergeCells count="2">
    <mergeCell ref="A1:Z1"/>
    <mergeCell ref="A2:Z2"/>
  </mergeCells>
  <conditionalFormatting sqref="Z6:Z105">
    <cfRule type="expression" priority="2" aboveAverage="0" equalAverage="0" bottom="0" percent="0" rank="0" text="" dxfId="0">
      <formula>ISNUMBER(SEARCH("✔",Z6))</formula>
    </cfRule>
    <cfRule type="expression" priority="3" aboveAverage="0" equalAverage="0" bottom="0" percent="0" rank="0" text="" dxfId="1">
      <formula>ISNUMBER(SEARCH("✖",Z6))</formula>
    </cfRule>
    <cfRule type="expression" priority="4" aboveAverage="0" equalAverage="0" bottom="0" percent="0" rank="0" text="" dxfId="2">
      <formula>ISNUMBER(SEARCH("⚠",Z6))</formula>
    </cfRule>
  </conditionalFormatting>
  <conditionalFormatting sqref="I6:I105">
    <cfRule type="expression" priority="5" aboveAverage="0" equalAverage="0" bottom="0" percent="0" rank="0" text="" dxfId="1">
      <formula>AND(I6&lt;&gt;"",I6&lt;=cfg_VAL_DATE+60)</formula>
    </cfRule>
  </conditionalFormatting>
  <conditionalFormatting sqref="Y6:Y105">
    <cfRule type="expression" priority="6" aboveAverage="0" equalAverage="0" bottom="0" percent="0" rank="0" text="" dxfId="14">
      <formula>AND(X6&lt;&gt;"",Y6="")</formula>
    </cfRule>
  </conditionalFormatting>
  <dataValidations count="8">
    <dataValidation allowBlank="true" error="من فضلك اختر قيمة من القائمة المنسدلة." errorStyle="stop" errorTitle="قيمة غير مسموحة" operator="between" prompt="سعودي / غير سعودي — تحدد نسب التأمينات." promptTitle="فئة التأمينات" showDropDown="false" showErrorMessage="true" showInputMessage="true" sqref="E6:E105" type="list">
      <formula1>L_CAT</formula1>
      <formula2>0</formula2>
    </dataValidation>
    <dataValidation allowBlank="true" error="من فضلك اختر قيمة من القائمة المنسدلة." errorStyle="stop" errorTitle="قيمة غير مسموحة" operator="between" prompt="اختر القسم (تُضاف الأقسام من ورقة الإعدادات)." promptTitle="القسم" showDropDown="false" showErrorMessage="true" showInputMessage="true" sqref="F6:F105" type="list">
      <formula1>L_DEPT</formula1>
      <formula2>0</formula2>
    </dataValidation>
    <dataValidation allowBlank="true" error="من فضلك اختر قيمة من القائمة المنسدلة." errorStyle="stop" errorTitle="قيمة غير مسموحة" operator="between" showDropDown="false" showErrorMessage="true" showInputMessage="false" sqref="S6:S105" type="list">
      <formula1>L_YN</formula1>
      <formula2>0</formula2>
    </dataValidation>
    <dataValidation allowBlank="true" error="من فضلك اختر قيمة من القائمة المنسدلة." errorStyle="stop" errorTitle="قيمة غير مسموحة" operator="between" prompt="يحدد نسبة الاستحقاق (الاستقالة وفق المادة 85)." promptTitle="سبب انتهاء الخدمة" showDropDown="false" showErrorMessage="true" showInputMessage="true" sqref="Y6:Y105" type="list">
      <formula1>L_REASON</formula1>
      <formula2>0</formula2>
    </dataValidation>
    <dataValidation allowBlank="true" error="من فضلك اختر قيمة من القائمة المنسدلة." errorStyle="stop" errorTitle="قيمة غير مسموحة" operator="between" prompt="12 = تذكرة سنوية، 24 = كل سنتين." promptTitle="دورية التذكرة" showDropDown="false" showErrorMessage="true" showInputMessage="true" sqref="U6:U105" type="list">
      <formula1>"12,24"</formula1>
      <formula2>0</formula2>
    </dataValidation>
    <dataValidation allowBlank="false" error="الرقم الوظيفي مستخدم من قبل. كل موظف له رقم فريد." errorStyle="stop" errorTitle="رقم مكرر" operator="between" showDropDown="false" showErrorMessage="true" showInputMessage="false" sqref="B6:B105" type="custom">
      <formula1>COUNTIF($B$6:$B$105,B6)=1</formula1>
      <formula2>0</formula2>
    </dataValidation>
    <dataValidation allowBlank="true" error="القيمة المدخلة خارج النطاق المسموح." errorStyle="stop" errorTitle="قيمة غير صحيحة" operator="greaterThanOrEqual" showDropDown="false" showErrorMessage="true" showInputMessage="false" sqref="J6:M105" type="decimal">
      <formula1>0</formula1>
      <formula2>0</formula2>
    </dataValidation>
    <dataValidation allowBlank="true" error="أدخل تاريخاً صحيحاً بالصيغة yyyy/mm/dd" errorStyle="stop" errorTitle="تاريخ غير صحيح" operator="greaterThan" showDropDown="false" showErrorMessage="true" showInputMessage="false" sqref="H6:I105 X6:X105" type="date">
      <formula1>1</formula1>
      <formula2>0</formula2>
    </dataValidation>
  </dataValidations>
  <hyperlinks>
    <hyperlink ref="B3" location="'الرئيسية'!A1" display="🏠 الرئيسية"/>
    <hyperlink ref="C3" location="'لوحة التحكم'!A1" display="📊 لوحة التحكم"/>
    <hyperlink ref="E3" location="'الإعدادات'!A1" display="⚙ الإعدادات"/>
    <hyperlink ref="F3" location="'الحركات الشهرية'!A1" display="✍ الحركات"/>
    <hyperlink ref="G3" location="'الملخص الشهري'!A1" display="📅 الملخص الشهري"/>
    <hyperlink ref="H3" location="'قيود الرواتب'!A1" display="🧾 القيود"/>
    <hyperlink ref="J3" location="'قسيمة الراتب'!A1" display="💳 القسيمة"/>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73E8"/>
    <pageSetUpPr fitToPage="true"/>
  </sheetPr>
  <dimension ref="A1:O100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26"/>
    <col collapsed="false" customWidth="true" hidden="false" outlineLevel="0" max="4" min="4" style="0" width="9"/>
    <col collapsed="false" customWidth="true" hidden="false" outlineLevel="0" max="6" min="5" style="0" width="10"/>
    <col collapsed="false" customWidth="true" hidden="false" outlineLevel="0" max="10" min="7" style="0" width="12"/>
    <col collapsed="false" customWidth="true" hidden="false" outlineLevel="0" max="12" min="11" style="0" width="11"/>
    <col collapsed="false" customWidth="true" hidden="false" outlineLevel="0" max="13" min="13" style="0" width="12"/>
    <col collapsed="false" customWidth="true" hidden="false" outlineLevel="0" max="14" min="14" style="0" width="13"/>
    <col collapsed="false" customWidth="true" hidden="false" outlineLevel="0" max="15" min="15" style="0" width="28"/>
  </cols>
  <sheetData>
    <row r="1" customFormat="false" ht="37.5" hidden="false" customHeight="true" outlineLevel="0" collapsed="false">
      <c r="A1" s="1" t="s">
        <v>292</v>
      </c>
      <c r="B1" s="1"/>
      <c r="C1" s="1"/>
      <c r="D1" s="1"/>
      <c r="E1" s="1"/>
      <c r="F1" s="1"/>
      <c r="G1" s="1"/>
      <c r="H1" s="1"/>
      <c r="I1" s="1"/>
      <c r="J1" s="1"/>
      <c r="K1" s="1"/>
      <c r="L1" s="1"/>
      <c r="M1" s="1"/>
      <c r="N1" s="1"/>
      <c r="O1" s="1"/>
    </row>
    <row r="2" customFormat="false" ht="19.5" hidden="false" customHeight="true" outlineLevel="0" collapsed="false">
      <c r="A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row>
    <row r="3" customFormat="false" ht="25.5" hidden="false" customHeight="true" outlineLevel="0" collapsed="false">
      <c r="A3" s="22" t="s">
        <v>61</v>
      </c>
      <c r="B3" s="12" t="s">
        <v>111</v>
      </c>
      <c r="C3" s="23" t="s">
        <v>62</v>
      </c>
      <c r="D3" s="23" t="s">
        <v>63</v>
      </c>
      <c r="E3" s="23" t="s">
        <v>39</v>
      </c>
      <c r="F3" s="23" t="s">
        <v>65</v>
      </c>
      <c r="G3" s="23" t="s">
        <v>66</v>
      </c>
    </row>
    <row r="4" customFormat="false" ht="7.5" hidden="false" customHeight="true" outlineLevel="0" collapsed="false">
      <c r="A4" s="21"/>
      <c r="B4" s="21"/>
      <c r="C4" s="21"/>
      <c r="D4" s="21"/>
      <c r="E4" s="21"/>
      <c r="F4" s="21"/>
      <c r="G4" s="21"/>
      <c r="H4" s="21"/>
      <c r="I4" s="21"/>
      <c r="J4" s="21"/>
      <c r="K4" s="21"/>
      <c r="L4" s="21"/>
      <c r="M4" s="21"/>
      <c r="N4" s="21"/>
      <c r="O4" s="21"/>
    </row>
    <row r="5" customFormat="false" ht="48" hidden="false" customHeight="true" outlineLevel="0" collapsed="false">
      <c r="A5" s="6" t="s">
        <v>293</v>
      </c>
      <c r="B5" s="6" t="s">
        <v>208</v>
      </c>
      <c r="C5" s="6" t="s">
        <v>294</v>
      </c>
      <c r="D5" s="6" t="s">
        <v>295</v>
      </c>
      <c r="E5" s="6" t="s">
        <v>296</v>
      </c>
      <c r="F5" s="6" t="s">
        <v>297</v>
      </c>
      <c r="G5" s="6" t="s">
        <v>298</v>
      </c>
      <c r="H5" s="6" t="s">
        <v>299</v>
      </c>
      <c r="I5" s="6" t="s">
        <v>300</v>
      </c>
      <c r="J5" s="6" t="s">
        <v>301</v>
      </c>
      <c r="K5" s="6" t="s">
        <v>302</v>
      </c>
      <c r="L5" s="6" t="s">
        <v>303</v>
      </c>
      <c r="M5" s="6" t="s">
        <v>304</v>
      </c>
      <c r="N5" s="6" t="s">
        <v>305</v>
      </c>
      <c r="O5" s="6" t="s">
        <v>233</v>
      </c>
    </row>
    <row r="6" customFormat="false" ht="15" hidden="false" customHeight="false" outlineLevel="0" collapsed="false">
      <c r="A6" s="87" t="n">
        <v>1</v>
      </c>
      <c r="B6" s="73" t="s">
        <v>244</v>
      </c>
      <c r="C6" s="74" t="str">
        <f aca="false">IF(B6="","",IFERROR(INDEX(الموظفون!$C$6:$C$105,MATCH(B6,الموظفون!$B$6:$B$105,0)),"✖ رقم غير موجود"))</f>
        <v>محمد علي حسن</v>
      </c>
      <c r="D6" s="88"/>
      <c r="E6" s="88"/>
      <c r="F6" s="88" t="n">
        <v>12</v>
      </c>
      <c r="G6" s="85"/>
      <c r="H6" s="85"/>
      <c r="I6" s="85" t="n">
        <v>1000</v>
      </c>
      <c r="J6" s="85"/>
      <c r="K6" s="88"/>
      <c r="L6" s="88"/>
      <c r="M6" s="85"/>
      <c r="N6" s="85"/>
      <c r="O6" s="73" t="s">
        <v>306</v>
      </c>
    </row>
    <row r="7" customFormat="false" ht="15" hidden="false" customHeight="false" outlineLevel="0" collapsed="false">
      <c r="A7" s="87" t="n">
        <v>1</v>
      </c>
      <c r="B7" s="73" t="s">
        <v>274</v>
      </c>
      <c r="C7" s="91" t="str">
        <f aca="false">IF(B7="","",IFERROR(INDEX(الموظفون!$C$6:$C$105,MATCH(B7,الموظفون!$B$6:$B$105,0)),"✖ رقم غير موجود"))</f>
        <v>محمد رفيق</v>
      </c>
      <c r="D7" s="88" t="n">
        <v>1</v>
      </c>
      <c r="E7" s="88"/>
      <c r="F7" s="88" t="n">
        <v>20</v>
      </c>
      <c r="G7" s="85"/>
      <c r="H7" s="85"/>
      <c r="I7" s="85"/>
      <c r="J7" s="85" t="n">
        <v>100</v>
      </c>
      <c r="K7" s="88"/>
      <c r="L7" s="88"/>
      <c r="M7" s="85"/>
      <c r="N7" s="85"/>
      <c r="O7" s="73" t="s">
        <v>307</v>
      </c>
    </row>
    <row r="8" customFormat="false" ht="15" hidden="false" customHeight="false" outlineLevel="0" collapsed="false">
      <c r="A8" s="87" t="n">
        <v>2</v>
      </c>
      <c r="B8" s="73" t="s">
        <v>244</v>
      </c>
      <c r="C8" s="74" t="str">
        <f aca="false">IF(B8="","",IFERROR(INDEX(الموظفون!$C$6:$C$105,MATCH(B8,الموظفون!$B$6:$B$105,0)),"✖ رقم غير موجود"))</f>
        <v>محمد علي حسن</v>
      </c>
      <c r="D8" s="88"/>
      <c r="E8" s="88"/>
      <c r="F8" s="88" t="n">
        <v>8</v>
      </c>
      <c r="G8" s="85"/>
      <c r="H8" s="85"/>
      <c r="I8" s="85" t="n">
        <v>1000</v>
      </c>
      <c r="J8" s="85"/>
      <c r="K8" s="88"/>
      <c r="L8" s="88"/>
      <c r="M8" s="85"/>
      <c r="N8" s="85"/>
      <c r="O8" s="73" t="s">
        <v>308</v>
      </c>
    </row>
    <row r="9" customFormat="false" ht="15" hidden="false" customHeight="false" outlineLevel="0" collapsed="false">
      <c r="A9" s="87" t="n">
        <v>2</v>
      </c>
      <c r="B9" s="73" t="s">
        <v>260</v>
      </c>
      <c r="C9" s="91" t="str">
        <f aca="false">IF(B9="","",IFERROR(INDEX(الموظفون!$C$6:$C$105,MATCH(B9,الموظفون!$B$6:$B$105,0)),"✖ رقم غير موجود"))</f>
        <v>فهد ناصر الشمري</v>
      </c>
      <c r="D9" s="88"/>
      <c r="E9" s="88"/>
      <c r="F9" s="88"/>
      <c r="G9" s="85" t="n">
        <v>5000</v>
      </c>
      <c r="H9" s="85"/>
      <c r="I9" s="85"/>
      <c r="J9" s="85"/>
      <c r="K9" s="88"/>
      <c r="L9" s="88"/>
      <c r="M9" s="85"/>
      <c r="N9" s="85"/>
      <c r="O9" s="73" t="s">
        <v>309</v>
      </c>
    </row>
    <row r="10" customFormat="false" ht="15" hidden="false" customHeight="false" outlineLevel="0" collapsed="false">
      <c r="A10" s="87" t="n">
        <v>3</v>
      </c>
      <c r="B10" s="73" t="s">
        <v>244</v>
      </c>
      <c r="C10" s="74" t="str">
        <f aca="false">IF(B10="","",IFERROR(INDEX(الموظفون!$C$6:$C$105,MATCH(B10,الموظفون!$B$6:$B$105,0)),"✖ رقم غير موجود"))</f>
        <v>محمد علي حسن</v>
      </c>
      <c r="D10" s="88"/>
      <c r="E10" s="88"/>
      <c r="F10" s="88"/>
      <c r="G10" s="85"/>
      <c r="H10" s="85"/>
      <c r="I10" s="85" t="n">
        <v>1000</v>
      </c>
      <c r="J10" s="85"/>
      <c r="K10" s="88"/>
      <c r="L10" s="88"/>
      <c r="M10" s="85"/>
      <c r="N10" s="85"/>
      <c r="O10" s="73" t="s">
        <v>310</v>
      </c>
    </row>
    <row r="11" customFormat="false" ht="15" hidden="false" customHeight="false" outlineLevel="0" collapsed="false">
      <c r="A11" s="87" t="n">
        <v>3</v>
      </c>
      <c r="B11" s="73" t="s">
        <v>234</v>
      </c>
      <c r="C11" s="91" t="str">
        <f aca="false">IF(B11="","",IFERROR(INDEX(الموظفون!$C$6:$C$105,MATCH(B11,الموظفون!$B$6:$B$105,0)),"✖ رقم غير موجود"))</f>
        <v>عبدالله محمد العتيبي</v>
      </c>
      <c r="D11" s="88"/>
      <c r="E11" s="88"/>
      <c r="F11" s="88"/>
      <c r="G11" s="85"/>
      <c r="H11" s="85"/>
      <c r="I11" s="85"/>
      <c r="J11" s="85"/>
      <c r="K11" s="88" t="n">
        <v>10</v>
      </c>
      <c r="L11" s="88"/>
      <c r="M11" s="85"/>
      <c r="N11" s="85"/>
      <c r="O11" s="73" t="s">
        <v>311</v>
      </c>
    </row>
    <row r="12" customFormat="false" ht="15" hidden="false" customHeight="false" outlineLevel="0" collapsed="false">
      <c r="A12" s="87" t="n">
        <v>3</v>
      </c>
      <c r="B12" s="73" t="s">
        <v>264</v>
      </c>
      <c r="C12" s="74" t="str">
        <f aca="false">IF(B12="","",IFERROR(INDEX(الموظفون!$C$6:$C$105,MATCH(B12,الموظفون!$B$6:$B$105,0)),"✖ رقم غير موجود"))</f>
        <v>خالد يوسف الأحمد</v>
      </c>
      <c r="D12" s="88"/>
      <c r="E12" s="88"/>
      <c r="F12" s="88" t="n">
        <v>10</v>
      </c>
      <c r="G12" s="85"/>
      <c r="H12" s="85"/>
      <c r="I12" s="85"/>
      <c r="J12" s="85"/>
      <c r="K12" s="88" t="n">
        <v>21</v>
      </c>
      <c r="L12" s="88"/>
      <c r="M12" s="85" t="n">
        <v>4500</v>
      </c>
      <c r="N12" s="85"/>
      <c r="O12" s="73" t="s">
        <v>312</v>
      </c>
    </row>
    <row r="13" customFormat="false" ht="15" hidden="false" customHeight="false" outlineLevel="0" collapsed="false">
      <c r="A13" s="87" t="n">
        <v>4</v>
      </c>
      <c r="B13" s="73" t="s">
        <v>244</v>
      </c>
      <c r="C13" s="91" t="str">
        <f aca="false">IF(B13="","",IFERROR(INDEX(الموظفون!$C$6:$C$105,MATCH(B13,الموظفون!$B$6:$B$105,0)),"✖ رقم غير موجود"))</f>
        <v>محمد علي حسن</v>
      </c>
      <c r="D13" s="88"/>
      <c r="E13" s="88"/>
      <c r="F13" s="88"/>
      <c r="G13" s="85"/>
      <c r="H13" s="85"/>
      <c r="I13" s="85" t="n">
        <v>1000</v>
      </c>
      <c r="J13" s="85"/>
      <c r="K13" s="88"/>
      <c r="L13" s="88"/>
      <c r="M13" s="85"/>
      <c r="N13" s="85"/>
      <c r="O13" s="73" t="s">
        <v>313</v>
      </c>
    </row>
    <row r="14" customFormat="false" ht="15" hidden="false" customHeight="false" outlineLevel="0" collapsed="false">
      <c r="A14" s="87" t="n">
        <v>4</v>
      </c>
      <c r="B14" s="73" t="s">
        <v>288</v>
      </c>
      <c r="C14" s="74" t="str">
        <f aca="false">IF(B14="","",IFERROR(INDEX(الموظفون!$C$6:$C$105,MATCH(B14,الموظفون!$B$6:$B$105,0)),"✖ رقم غير موجود"))</f>
        <v>عمر حسين البيشي</v>
      </c>
      <c r="D14" s="88" t="n">
        <v>2</v>
      </c>
      <c r="E14" s="88"/>
      <c r="F14" s="88"/>
      <c r="G14" s="85"/>
      <c r="H14" s="85"/>
      <c r="I14" s="85"/>
      <c r="J14" s="85"/>
      <c r="K14" s="88"/>
      <c r="L14" s="88"/>
      <c r="M14" s="85"/>
      <c r="N14" s="85"/>
      <c r="O14" s="73" t="s">
        <v>314</v>
      </c>
    </row>
    <row r="15" customFormat="false" ht="15" hidden="false" customHeight="false" outlineLevel="0" collapsed="false">
      <c r="A15" s="87" t="n">
        <v>5</v>
      </c>
      <c r="B15" s="73" t="s">
        <v>244</v>
      </c>
      <c r="C15" s="91" t="str">
        <f aca="false">IF(B15="","",IFERROR(INDEX(الموظفون!$C$6:$C$105,MATCH(B15,الموظفون!$B$6:$B$105,0)),"✖ رقم غير موجود"))</f>
        <v>محمد علي حسن</v>
      </c>
      <c r="D15" s="88"/>
      <c r="E15" s="88"/>
      <c r="F15" s="88"/>
      <c r="G15" s="85"/>
      <c r="H15" s="85"/>
      <c r="I15" s="85" t="n">
        <v>1000</v>
      </c>
      <c r="J15" s="85"/>
      <c r="K15" s="88"/>
      <c r="L15" s="88"/>
      <c r="M15" s="85"/>
      <c r="N15" s="85"/>
      <c r="O15" s="73" t="s">
        <v>315</v>
      </c>
    </row>
    <row r="16" customFormat="false" ht="15" hidden="false" customHeight="false" outlineLevel="0" collapsed="false">
      <c r="A16" s="87" t="n">
        <v>5</v>
      </c>
      <c r="B16" s="73" t="s">
        <v>255</v>
      </c>
      <c r="C16" s="74" t="str">
        <f aca="false">IF(B16="","",IFERROR(INDEX(الموظفون!$C$6:$C$105,MATCH(B16,الموظفون!$B$6:$B$105,0)),"✖ رقم غير موجود"))</f>
        <v>راجيش كومار</v>
      </c>
      <c r="D16" s="88"/>
      <c r="E16" s="88"/>
      <c r="F16" s="88" t="n">
        <v>16</v>
      </c>
      <c r="G16" s="85"/>
      <c r="H16" s="85"/>
      <c r="I16" s="85"/>
      <c r="J16" s="85"/>
      <c r="K16" s="88"/>
      <c r="L16" s="88"/>
      <c r="M16" s="85"/>
      <c r="N16" s="85"/>
      <c r="O16" s="73"/>
    </row>
    <row r="17" customFormat="false" ht="15" hidden="false" customHeight="false" outlineLevel="0" collapsed="false">
      <c r="A17" s="87" t="n">
        <v>6</v>
      </c>
      <c r="B17" s="73" t="s">
        <v>274</v>
      </c>
      <c r="C17" s="91" t="str">
        <f aca="false">IF(B17="","",IFERROR(INDEX(الموظفون!$C$6:$C$105,MATCH(B17,الموظفون!$B$6:$B$105,0)),"✖ رقم غير موجود"))</f>
        <v>محمد رفيق</v>
      </c>
      <c r="D17" s="88"/>
      <c r="E17" s="88"/>
      <c r="F17" s="88"/>
      <c r="G17" s="85"/>
      <c r="H17" s="85"/>
      <c r="I17" s="85"/>
      <c r="J17" s="85"/>
      <c r="K17" s="88" t="n">
        <v>30</v>
      </c>
      <c r="L17" s="88"/>
      <c r="M17" s="85" t="n">
        <v>2200</v>
      </c>
      <c r="N17" s="85"/>
      <c r="O17" s="73" t="s">
        <v>312</v>
      </c>
    </row>
    <row r="18" customFormat="false" ht="15" hidden="false" customHeight="false" outlineLevel="0" collapsed="false">
      <c r="A18" s="87" t="n">
        <v>6</v>
      </c>
      <c r="B18" s="73" t="s">
        <v>260</v>
      </c>
      <c r="C18" s="74" t="str">
        <f aca="false">IF(B18="","",IFERROR(INDEX(الموظفون!$C$6:$C$105,MATCH(B18,الموظفون!$B$6:$B$105,0)),"✖ رقم غير موجود"))</f>
        <v>فهد ناصر الشمري</v>
      </c>
      <c r="D18" s="88"/>
      <c r="E18" s="88"/>
      <c r="F18" s="88"/>
      <c r="G18" s="85" t="n">
        <v>6500</v>
      </c>
      <c r="H18" s="85"/>
      <c r="I18" s="85"/>
      <c r="J18" s="85"/>
      <c r="K18" s="88"/>
      <c r="L18" s="88"/>
      <c r="M18" s="85"/>
      <c r="N18" s="85"/>
      <c r="O18" s="73" t="s">
        <v>316</v>
      </c>
    </row>
    <row r="19" customFormat="false" ht="15" hidden="false" customHeight="false" outlineLevel="0" collapsed="false">
      <c r="A19" s="87" t="n">
        <v>6</v>
      </c>
      <c r="B19" s="73" t="s">
        <v>283</v>
      </c>
      <c r="C19" s="91" t="str">
        <f aca="false">IF(B19="","",IFERROR(INDEX(الموظفون!$C$6:$C$105,MATCH(B19,الموظفون!$B$6:$B$105,0)),"✖ رقم غير موجود"))</f>
        <v>جون ماتيو</v>
      </c>
      <c r="D19" s="88"/>
      <c r="E19" s="88"/>
      <c r="F19" s="88"/>
      <c r="G19" s="85"/>
      <c r="H19" s="85"/>
      <c r="I19" s="85"/>
      <c r="J19" s="85"/>
      <c r="K19" s="88"/>
      <c r="L19" s="88"/>
      <c r="M19" s="85"/>
      <c r="N19" s="85"/>
      <c r="O19" s="73" t="s">
        <v>317</v>
      </c>
    </row>
    <row r="20" customFormat="false" ht="15" hidden="false" customHeight="false" outlineLevel="0" collapsed="false">
      <c r="A20" s="87" t="n">
        <v>7</v>
      </c>
      <c r="B20" s="73" t="s">
        <v>283</v>
      </c>
      <c r="C20" s="74" t="str">
        <f aca="false">IF(B20="","",IFERROR(INDEX(الموظفون!$C$6:$C$105,MATCH(B20,الموظفون!$B$6:$B$105,0)),"✖ رقم غير موجود"))</f>
        <v>جون ماتيو</v>
      </c>
      <c r="D20" s="88"/>
      <c r="E20" s="88"/>
      <c r="F20" s="88"/>
      <c r="G20" s="85"/>
      <c r="H20" s="85" t="n">
        <f aca="false">L20*INDEX('مخصص الإجازات'!$G$6:$G$105,MATCH(B20,'مخصص الإجازات'!$B$6:$B$105,0))</f>
        <v>8297.2602739726</v>
      </c>
      <c r="I20" s="85"/>
      <c r="J20" s="85"/>
      <c r="K20" s="88"/>
      <c r="L20" s="88" t="n">
        <f aca="false">INDEX('مخصص الإجازات'!$H$6:$H$105,MATCH(B20,'مخصص الإجازات'!$B$6:$B$105,0))+INDEX('مخصص الإجازات'!$L$6:$L$105,MATCH(B20,'مخصص الإجازات'!$B$6:$B$105,0))-INDEX('مخصص الإجازات'!$M$6:$M$105,MATCH(B20,'مخصص الإجازات'!$B$6:$B$105,0))</f>
        <v>36.8767123287671</v>
      </c>
      <c r="M20" s="85"/>
      <c r="N20" s="85" t="n">
        <f aca="false">INDEX('مخصص نهاية الخدمة'!$O$6:$O$105,MATCH(B20,'مخصص نهاية الخدمة'!$B$6:$B$105,0))</f>
        <v>21778.7671232877</v>
      </c>
      <c r="O20" s="73" t="s">
        <v>318</v>
      </c>
    </row>
    <row r="21" customFormat="false" ht="15" hidden="false" customHeight="false" outlineLevel="0" collapsed="false">
      <c r="A21" s="87" t="n">
        <v>7</v>
      </c>
      <c r="B21" s="73" t="s">
        <v>249</v>
      </c>
      <c r="C21" s="91" t="str">
        <f aca="false">IF(B21="","",IFERROR(INDEX(الموظفون!$C$6:$C$105,MATCH(B21,الموظفون!$B$6:$B$105,0)),"✖ رقم غير موجود"))</f>
        <v>نورة خالد الدوسري</v>
      </c>
      <c r="D21" s="88"/>
      <c r="E21" s="88"/>
      <c r="F21" s="88"/>
      <c r="G21" s="85"/>
      <c r="H21" s="85"/>
      <c r="I21" s="85"/>
      <c r="J21" s="85"/>
      <c r="K21" s="88" t="n">
        <v>15</v>
      </c>
      <c r="L21" s="88"/>
      <c r="M21" s="85"/>
      <c r="N21" s="85"/>
      <c r="O21" s="73" t="s">
        <v>311</v>
      </c>
    </row>
    <row r="22" customFormat="false" ht="15" hidden="false" customHeight="false" outlineLevel="0" collapsed="false">
      <c r="A22" s="87" t="n">
        <v>7</v>
      </c>
      <c r="B22" s="73" t="s">
        <v>239</v>
      </c>
      <c r="C22" s="74" t="str">
        <f aca="false">IF(B22="","",IFERROR(INDEX(الموظفون!$C$6:$C$105,MATCH(B22,الموظفون!$B$6:$B$105,0)),"✖ رقم غير موجود"))</f>
        <v>أحمد سعيد القحطاني</v>
      </c>
      <c r="D22" s="88"/>
      <c r="E22" s="88"/>
      <c r="F22" s="88"/>
      <c r="G22" s="85"/>
      <c r="H22" s="85"/>
      <c r="I22" s="85"/>
      <c r="J22" s="85"/>
      <c r="K22" s="88" t="n">
        <v>20</v>
      </c>
      <c r="L22" s="88"/>
      <c r="M22" s="85"/>
      <c r="N22" s="85"/>
      <c r="O22" s="73" t="s">
        <v>311</v>
      </c>
    </row>
    <row r="23" customFormat="false" ht="15" hidden="false" customHeight="false" outlineLevel="0" collapsed="false">
      <c r="A23" s="87" t="n">
        <v>8</v>
      </c>
      <c r="B23" s="73" t="s">
        <v>270</v>
      </c>
      <c r="C23" s="91" t="str">
        <f aca="false">IF(B23="","",IFERROR(INDEX(الموظفون!$C$6:$C$105,MATCH(B23,الموظفون!$B$6:$B$105,0)),"✖ رقم غير موجود"))</f>
        <v>سارة عبدالرحمن الزهراني</v>
      </c>
      <c r="D23" s="88"/>
      <c r="E23" s="88" t="n">
        <v>3</v>
      </c>
      <c r="F23" s="88"/>
      <c r="G23" s="85"/>
      <c r="H23" s="85"/>
      <c r="I23" s="85"/>
      <c r="J23" s="85"/>
      <c r="K23" s="88"/>
      <c r="L23" s="88"/>
      <c r="M23" s="85"/>
      <c r="N23" s="85"/>
      <c r="O23" s="73" t="s">
        <v>319</v>
      </c>
    </row>
    <row r="24" customFormat="false" ht="15" hidden="false" customHeight="false" outlineLevel="0" collapsed="false">
      <c r="A24" s="87" t="n">
        <v>8</v>
      </c>
      <c r="B24" s="73" t="s">
        <v>255</v>
      </c>
      <c r="C24" s="74" t="str">
        <f aca="false">IF(B24="","",IFERROR(INDEX(الموظفون!$C$6:$C$105,MATCH(B24,الموظفون!$B$6:$B$105,0)),"✖ رقم غير موجود"))</f>
        <v>راجيش كومار</v>
      </c>
      <c r="D24" s="88"/>
      <c r="E24" s="88"/>
      <c r="F24" s="88"/>
      <c r="G24" s="85"/>
      <c r="H24" s="85"/>
      <c r="I24" s="85"/>
      <c r="J24" s="85"/>
      <c r="K24" s="88" t="n">
        <v>21</v>
      </c>
      <c r="L24" s="88"/>
      <c r="M24" s="85" t="n">
        <v>2800</v>
      </c>
      <c r="N24" s="85"/>
      <c r="O24" s="73" t="s">
        <v>312</v>
      </c>
    </row>
    <row r="25" customFormat="false" ht="15" hidden="false" customHeight="false" outlineLevel="0" collapsed="false">
      <c r="A25" s="87" t="n">
        <v>9</v>
      </c>
      <c r="B25" s="73" t="s">
        <v>279</v>
      </c>
      <c r="C25" s="91" t="str">
        <f aca="false">IF(B25="","",IFERROR(INDEX(الموظفون!$C$6:$C$105,MATCH(B25,الموظفون!$B$6:$B$105,0)),"✖ رقم غير موجود"))</f>
        <v>ريم سلطان المطيري</v>
      </c>
      <c r="D25" s="88"/>
      <c r="E25" s="88"/>
      <c r="F25" s="88" t="n">
        <v>6</v>
      </c>
      <c r="G25" s="85"/>
      <c r="H25" s="85" t="n">
        <v>1500</v>
      </c>
      <c r="I25" s="85"/>
      <c r="J25" s="85"/>
      <c r="K25" s="88"/>
      <c r="L25" s="88"/>
      <c r="M25" s="85"/>
      <c r="N25" s="85"/>
      <c r="O25" s="73" t="s">
        <v>320</v>
      </c>
    </row>
    <row r="26" customFormat="false" ht="15" hidden="false" customHeight="false" outlineLevel="0" collapsed="false">
      <c r="A26" s="87" t="n">
        <v>9</v>
      </c>
      <c r="B26" s="73" t="s">
        <v>260</v>
      </c>
      <c r="C26" s="74" t="str">
        <f aca="false">IF(B26="","",IFERROR(INDEX(الموظفون!$C$6:$C$105,MATCH(B26,الموظفون!$B$6:$B$105,0)),"✖ رقم غير موجود"))</f>
        <v>فهد ناصر الشمري</v>
      </c>
      <c r="D26" s="88"/>
      <c r="E26" s="88"/>
      <c r="F26" s="88"/>
      <c r="G26" s="85"/>
      <c r="H26" s="85"/>
      <c r="I26" s="85"/>
      <c r="J26" s="85" t="n">
        <v>250</v>
      </c>
      <c r="K26" s="88"/>
      <c r="L26" s="88"/>
      <c r="M26" s="85"/>
      <c r="N26" s="85"/>
      <c r="O26" s="73" t="s">
        <v>321</v>
      </c>
    </row>
    <row r="27" customFormat="false" ht="15" hidden="false" customHeight="false" outlineLevel="0" collapsed="false">
      <c r="A27" s="87"/>
      <c r="B27" s="73"/>
      <c r="C27" s="91" t="str">
        <f aca="false">IF(B27="","",IFERROR(INDEX(الموظفون!$C$6:$C$105,MATCH(B27,الموظفون!$B$6:$B$105,0)),"✖ رقم غير موجود"))</f>
        <v/>
      </c>
      <c r="D27" s="88"/>
      <c r="E27" s="88"/>
      <c r="F27" s="88"/>
      <c r="G27" s="85"/>
      <c r="H27" s="85"/>
      <c r="I27" s="85"/>
      <c r="J27" s="85"/>
      <c r="K27" s="88"/>
      <c r="L27" s="88"/>
      <c r="M27" s="85"/>
      <c r="N27" s="85"/>
      <c r="O27" s="73"/>
    </row>
    <row r="28" customFormat="false" ht="15" hidden="false" customHeight="false" outlineLevel="0" collapsed="false">
      <c r="A28" s="87"/>
      <c r="B28" s="73"/>
      <c r="C28" s="74" t="str">
        <f aca="false">IF(B28="","",IFERROR(INDEX(الموظفون!$C$6:$C$105,MATCH(B28,الموظفون!$B$6:$B$105,0)),"✖ رقم غير موجود"))</f>
        <v/>
      </c>
      <c r="D28" s="88"/>
      <c r="E28" s="88"/>
      <c r="F28" s="88"/>
      <c r="G28" s="85"/>
      <c r="H28" s="85"/>
      <c r="I28" s="85"/>
      <c r="J28" s="85"/>
      <c r="K28" s="88"/>
      <c r="L28" s="88"/>
      <c r="M28" s="85"/>
      <c r="N28" s="85"/>
      <c r="O28" s="73"/>
    </row>
    <row r="29" customFormat="false" ht="15" hidden="false" customHeight="false" outlineLevel="0" collapsed="false">
      <c r="A29" s="87"/>
      <c r="B29" s="73"/>
      <c r="C29" s="91" t="str">
        <f aca="false">IF(B29="","",IFERROR(INDEX(الموظفون!$C$6:$C$105,MATCH(B29,الموظفون!$B$6:$B$105,0)),"✖ رقم غير موجود"))</f>
        <v/>
      </c>
      <c r="D29" s="88"/>
      <c r="E29" s="88"/>
      <c r="F29" s="88"/>
      <c r="G29" s="85"/>
      <c r="H29" s="85"/>
      <c r="I29" s="85"/>
      <c r="J29" s="85"/>
      <c r="K29" s="88"/>
      <c r="L29" s="88"/>
      <c r="M29" s="85"/>
      <c r="N29" s="85"/>
      <c r="O29" s="73"/>
    </row>
    <row r="30" customFormat="false" ht="15" hidden="false" customHeight="false" outlineLevel="0" collapsed="false">
      <c r="A30" s="87"/>
      <c r="B30" s="73"/>
      <c r="C30" s="74" t="str">
        <f aca="false">IF(B30="","",IFERROR(INDEX(الموظفون!$C$6:$C$105,MATCH(B30,الموظفون!$B$6:$B$105,0)),"✖ رقم غير موجود"))</f>
        <v/>
      </c>
      <c r="D30" s="88"/>
      <c r="E30" s="88"/>
      <c r="F30" s="88"/>
      <c r="G30" s="85"/>
      <c r="H30" s="85"/>
      <c r="I30" s="85"/>
      <c r="J30" s="85"/>
      <c r="K30" s="88"/>
      <c r="L30" s="88"/>
      <c r="M30" s="85"/>
      <c r="N30" s="85"/>
      <c r="O30" s="73"/>
    </row>
    <row r="31" customFormat="false" ht="15" hidden="false" customHeight="false" outlineLevel="0" collapsed="false">
      <c r="A31" s="87"/>
      <c r="B31" s="73"/>
      <c r="C31" s="91" t="str">
        <f aca="false">IF(B31="","",IFERROR(INDEX(الموظفون!$C$6:$C$105,MATCH(B31,الموظفون!$B$6:$B$105,0)),"✖ رقم غير موجود"))</f>
        <v/>
      </c>
      <c r="D31" s="88"/>
      <c r="E31" s="88"/>
      <c r="F31" s="88"/>
      <c r="G31" s="85"/>
      <c r="H31" s="85"/>
      <c r="I31" s="85"/>
      <c r="J31" s="85"/>
      <c r="K31" s="88"/>
      <c r="L31" s="88"/>
      <c r="M31" s="85"/>
      <c r="N31" s="85"/>
      <c r="O31" s="73"/>
    </row>
    <row r="32" customFormat="false" ht="15" hidden="false" customHeight="false" outlineLevel="0" collapsed="false">
      <c r="A32" s="87"/>
      <c r="B32" s="73"/>
      <c r="C32" s="74" t="str">
        <f aca="false">IF(B32="","",IFERROR(INDEX(الموظفون!$C$6:$C$105,MATCH(B32,الموظفون!$B$6:$B$105,0)),"✖ رقم غير موجود"))</f>
        <v/>
      </c>
      <c r="D32" s="88"/>
      <c r="E32" s="88"/>
      <c r="F32" s="88"/>
      <c r="G32" s="85"/>
      <c r="H32" s="85"/>
      <c r="I32" s="85"/>
      <c r="J32" s="85"/>
      <c r="K32" s="88"/>
      <c r="L32" s="88"/>
      <c r="M32" s="85"/>
      <c r="N32" s="85"/>
      <c r="O32" s="73"/>
    </row>
    <row r="33" customFormat="false" ht="15" hidden="false" customHeight="false" outlineLevel="0" collapsed="false">
      <c r="A33" s="87"/>
      <c r="B33" s="73"/>
      <c r="C33" s="91" t="str">
        <f aca="false">IF(B33="","",IFERROR(INDEX(الموظفون!$C$6:$C$105,MATCH(B33,الموظفون!$B$6:$B$105,0)),"✖ رقم غير موجود"))</f>
        <v/>
      </c>
      <c r="D33" s="88"/>
      <c r="E33" s="88"/>
      <c r="F33" s="88"/>
      <c r="G33" s="85"/>
      <c r="H33" s="85"/>
      <c r="I33" s="85"/>
      <c r="J33" s="85"/>
      <c r="K33" s="88"/>
      <c r="L33" s="88"/>
      <c r="M33" s="85"/>
      <c r="N33" s="85"/>
      <c r="O33" s="73"/>
    </row>
    <row r="34" customFormat="false" ht="15" hidden="false" customHeight="false" outlineLevel="0" collapsed="false">
      <c r="A34" s="87"/>
      <c r="B34" s="73"/>
      <c r="C34" s="74" t="str">
        <f aca="false">IF(B34="","",IFERROR(INDEX(الموظفون!$C$6:$C$105,MATCH(B34,الموظفون!$B$6:$B$105,0)),"✖ رقم غير موجود"))</f>
        <v/>
      </c>
      <c r="D34" s="88"/>
      <c r="E34" s="88"/>
      <c r="F34" s="88"/>
      <c r="G34" s="85"/>
      <c r="H34" s="85"/>
      <c r="I34" s="85"/>
      <c r="J34" s="85"/>
      <c r="K34" s="88"/>
      <c r="L34" s="88"/>
      <c r="M34" s="85"/>
      <c r="N34" s="85"/>
      <c r="O34" s="73"/>
    </row>
    <row r="35" customFormat="false" ht="15" hidden="false" customHeight="false" outlineLevel="0" collapsed="false">
      <c r="A35" s="87"/>
      <c r="B35" s="73"/>
      <c r="C35" s="91" t="str">
        <f aca="false">IF(B35="","",IFERROR(INDEX(الموظفون!$C$6:$C$105,MATCH(B35,الموظفون!$B$6:$B$105,0)),"✖ رقم غير موجود"))</f>
        <v/>
      </c>
      <c r="D35" s="88"/>
      <c r="E35" s="88"/>
      <c r="F35" s="88"/>
      <c r="G35" s="85"/>
      <c r="H35" s="85"/>
      <c r="I35" s="85"/>
      <c r="J35" s="85"/>
      <c r="K35" s="88"/>
      <c r="L35" s="88"/>
      <c r="M35" s="85"/>
      <c r="N35" s="85"/>
      <c r="O35" s="73"/>
    </row>
    <row r="36" customFormat="false" ht="15" hidden="false" customHeight="false" outlineLevel="0" collapsed="false">
      <c r="A36" s="87"/>
      <c r="B36" s="73"/>
      <c r="C36" s="74" t="str">
        <f aca="false">IF(B36="","",IFERROR(INDEX(الموظفون!$C$6:$C$105,MATCH(B36,الموظفون!$B$6:$B$105,0)),"✖ رقم غير موجود"))</f>
        <v/>
      </c>
      <c r="D36" s="88"/>
      <c r="E36" s="88"/>
      <c r="F36" s="88"/>
      <c r="G36" s="85"/>
      <c r="H36" s="85"/>
      <c r="I36" s="85"/>
      <c r="J36" s="85"/>
      <c r="K36" s="88"/>
      <c r="L36" s="88"/>
      <c r="M36" s="85"/>
      <c r="N36" s="85"/>
      <c r="O36" s="73"/>
    </row>
    <row r="37" customFormat="false" ht="15" hidden="false" customHeight="false" outlineLevel="0" collapsed="false">
      <c r="A37" s="87"/>
      <c r="B37" s="73"/>
      <c r="C37" s="91" t="str">
        <f aca="false">IF(B37="","",IFERROR(INDEX(الموظفون!$C$6:$C$105,MATCH(B37,الموظفون!$B$6:$B$105,0)),"✖ رقم غير موجود"))</f>
        <v/>
      </c>
      <c r="D37" s="88"/>
      <c r="E37" s="88"/>
      <c r="F37" s="88"/>
      <c r="G37" s="85"/>
      <c r="H37" s="85"/>
      <c r="I37" s="85"/>
      <c r="J37" s="85"/>
      <c r="K37" s="88"/>
      <c r="L37" s="88"/>
      <c r="M37" s="85"/>
      <c r="N37" s="85"/>
      <c r="O37" s="73"/>
    </row>
    <row r="38" customFormat="false" ht="15" hidden="false" customHeight="false" outlineLevel="0" collapsed="false">
      <c r="A38" s="87"/>
      <c r="B38" s="73"/>
      <c r="C38" s="74" t="str">
        <f aca="false">IF(B38="","",IFERROR(INDEX(الموظفون!$C$6:$C$105,MATCH(B38,الموظفون!$B$6:$B$105,0)),"✖ رقم غير موجود"))</f>
        <v/>
      </c>
      <c r="D38" s="88"/>
      <c r="E38" s="88"/>
      <c r="F38" s="88"/>
      <c r="G38" s="85"/>
      <c r="H38" s="85"/>
      <c r="I38" s="85"/>
      <c r="J38" s="85"/>
      <c r="K38" s="88"/>
      <c r="L38" s="88"/>
      <c r="M38" s="85"/>
      <c r="N38" s="85"/>
      <c r="O38" s="73"/>
    </row>
    <row r="39" customFormat="false" ht="15" hidden="false" customHeight="false" outlineLevel="0" collapsed="false">
      <c r="A39" s="87"/>
      <c r="B39" s="73"/>
      <c r="C39" s="91" t="str">
        <f aca="false">IF(B39="","",IFERROR(INDEX(الموظفون!$C$6:$C$105,MATCH(B39,الموظفون!$B$6:$B$105,0)),"✖ رقم غير موجود"))</f>
        <v/>
      </c>
      <c r="D39" s="88"/>
      <c r="E39" s="88"/>
      <c r="F39" s="88"/>
      <c r="G39" s="85"/>
      <c r="H39" s="85"/>
      <c r="I39" s="85"/>
      <c r="J39" s="85"/>
      <c r="K39" s="88"/>
      <c r="L39" s="88"/>
      <c r="M39" s="85"/>
      <c r="N39" s="85"/>
      <c r="O39" s="73"/>
    </row>
    <row r="40" customFormat="false" ht="15" hidden="false" customHeight="false" outlineLevel="0" collapsed="false">
      <c r="A40" s="87"/>
      <c r="B40" s="73"/>
      <c r="C40" s="74" t="str">
        <f aca="false">IF(B40="","",IFERROR(INDEX(الموظفون!$C$6:$C$105,MATCH(B40,الموظفون!$B$6:$B$105,0)),"✖ رقم غير موجود"))</f>
        <v/>
      </c>
      <c r="D40" s="88"/>
      <c r="E40" s="88"/>
      <c r="F40" s="88"/>
      <c r="G40" s="85"/>
      <c r="H40" s="85"/>
      <c r="I40" s="85"/>
      <c r="J40" s="85"/>
      <c r="K40" s="88"/>
      <c r="L40" s="88"/>
      <c r="M40" s="85"/>
      <c r="N40" s="85"/>
      <c r="O40" s="73"/>
    </row>
    <row r="41" customFormat="false" ht="15" hidden="false" customHeight="false" outlineLevel="0" collapsed="false">
      <c r="A41" s="87"/>
      <c r="B41" s="73"/>
      <c r="C41" s="91" t="str">
        <f aca="false">IF(B41="","",IFERROR(INDEX(الموظفون!$C$6:$C$105,MATCH(B41,الموظفون!$B$6:$B$105,0)),"✖ رقم غير موجود"))</f>
        <v/>
      </c>
      <c r="D41" s="88"/>
      <c r="E41" s="88"/>
      <c r="F41" s="88"/>
      <c r="G41" s="85"/>
      <c r="H41" s="85"/>
      <c r="I41" s="85"/>
      <c r="J41" s="85"/>
      <c r="K41" s="88"/>
      <c r="L41" s="88"/>
      <c r="M41" s="85"/>
      <c r="N41" s="85"/>
      <c r="O41" s="73"/>
    </row>
    <row r="42" customFormat="false" ht="15" hidden="false" customHeight="false" outlineLevel="0" collapsed="false">
      <c r="A42" s="87"/>
      <c r="B42" s="73"/>
      <c r="C42" s="74" t="str">
        <f aca="false">IF(B42="","",IFERROR(INDEX(الموظفون!$C$6:$C$105,MATCH(B42,الموظفون!$B$6:$B$105,0)),"✖ رقم غير موجود"))</f>
        <v/>
      </c>
      <c r="D42" s="88"/>
      <c r="E42" s="88"/>
      <c r="F42" s="88"/>
      <c r="G42" s="85"/>
      <c r="H42" s="85"/>
      <c r="I42" s="85"/>
      <c r="J42" s="85"/>
      <c r="K42" s="88"/>
      <c r="L42" s="88"/>
      <c r="M42" s="85"/>
      <c r="N42" s="85"/>
      <c r="O42" s="73"/>
    </row>
    <row r="43" customFormat="false" ht="15" hidden="false" customHeight="false" outlineLevel="0" collapsed="false">
      <c r="A43" s="87"/>
      <c r="B43" s="73"/>
      <c r="C43" s="91" t="str">
        <f aca="false">IF(B43="","",IFERROR(INDEX(الموظفون!$C$6:$C$105,MATCH(B43,الموظفون!$B$6:$B$105,0)),"✖ رقم غير موجود"))</f>
        <v/>
      </c>
      <c r="D43" s="88"/>
      <c r="E43" s="88"/>
      <c r="F43" s="88"/>
      <c r="G43" s="85"/>
      <c r="H43" s="85"/>
      <c r="I43" s="85"/>
      <c r="J43" s="85"/>
      <c r="K43" s="88"/>
      <c r="L43" s="88"/>
      <c r="M43" s="85"/>
      <c r="N43" s="85"/>
      <c r="O43" s="73"/>
    </row>
    <row r="44" customFormat="false" ht="15" hidden="false" customHeight="false" outlineLevel="0" collapsed="false">
      <c r="A44" s="87"/>
      <c r="B44" s="73"/>
      <c r="C44" s="74" t="str">
        <f aca="false">IF(B44="","",IFERROR(INDEX(الموظفون!$C$6:$C$105,MATCH(B44,الموظفون!$B$6:$B$105,0)),"✖ رقم غير موجود"))</f>
        <v/>
      </c>
      <c r="D44" s="88"/>
      <c r="E44" s="88"/>
      <c r="F44" s="88"/>
      <c r="G44" s="85"/>
      <c r="H44" s="85"/>
      <c r="I44" s="85"/>
      <c r="J44" s="85"/>
      <c r="K44" s="88"/>
      <c r="L44" s="88"/>
      <c r="M44" s="85"/>
      <c r="N44" s="85"/>
      <c r="O44" s="73"/>
    </row>
    <row r="45" customFormat="false" ht="15" hidden="false" customHeight="false" outlineLevel="0" collapsed="false">
      <c r="A45" s="87"/>
      <c r="B45" s="73"/>
      <c r="C45" s="91" t="str">
        <f aca="false">IF(B45="","",IFERROR(INDEX(الموظفون!$C$6:$C$105,MATCH(B45,الموظفون!$B$6:$B$105,0)),"✖ رقم غير موجود"))</f>
        <v/>
      </c>
      <c r="D45" s="88"/>
      <c r="E45" s="88"/>
      <c r="F45" s="88"/>
      <c r="G45" s="85"/>
      <c r="H45" s="85"/>
      <c r="I45" s="85"/>
      <c r="J45" s="85"/>
      <c r="K45" s="88"/>
      <c r="L45" s="88"/>
      <c r="M45" s="85"/>
      <c r="N45" s="85"/>
      <c r="O45" s="73"/>
    </row>
    <row r="46" customFormat="false" ht="15" hidden="false" customHeight="false" outlineLevel="0" collapsed="false">
      <c r="A46" s="87"/>
      <c r="B46" s="73"/>
      <c r="C46" s="74" t="str">
        <f aca="false">IF(B46="","",IFERROR(INDEX(الموظفون!$C$6:$C$105,MATCH(B46,الموظفون!$B$6:$B$105,0)),"✖ رقم غير موجود"))</f>
        <v/>
      </c>
      <c r="D46" s="88"/>
      <c r="E46" s="88"/>
      <c r="F46" s="88"/>
      <c r="G46" s="85"/>
      <c r="H46" s="85"/>
      <c r="I46" s="85"/>
      <c r="J46" s="85"/>
      <c r="K46" s="88"/>
      <c r="L46" s="88"/>
      <c r="M46" s="85"/>
      <c r="N46" s="85"/>
      <c r="O46" s="73"/>
    </row>
    <row r="47" customFormat="false" ht="15" hidden="false" customHeight="false" outlineLevel="0" collapsed="false">
      <c r="A47" s="87"/>
      <c r="B47" s="73"/>
      <c r="C47" s="91" t="str">
        <f aca="false">IF(B47="","",IFERROR(INDEX(الموظفون!$C$6:$C$105,MATCH(B47,الموظفون!$B$6:$B$105,0)),"✖ رقم غير موجود"))</f>
        <v/>
      </c>
      <c r="D47" s="88"/>
      <c r="E47" s="88"/>
      <c r="F47" s="88"/>
      <c r="G47" s="85"/>
      <c r="H47" s="85"/>
      <c r="I47" s="85"/>
      <c r="J47" s="85"/>
      <c r="K47" s="88"/>
      <c r="L47" s="88"/>
      <c r="M47" s="85"/>
      <c r="N47" s="85"/>
      <c r="O47" s="73"/>
    </row>
    <row r="48" customFormat="false" ht="15" hidden="false" customHeight="false" outlineLevel="0" collapsed="false">
      <c r="A48" s="87"/>
      <c r="B48" s="73"/>
      <c r="C48" s="74" t="str">
        <f aca="false">IF(B48="","",IFERROR(INDEX(الموظفون!$C$6:$C$105,MATCH(B48,الموظفون!$B$6:$B$105,0)),"✖ رقم غير موجود"))</f>
        <v/>
      </c>
      <c r="D48" s="88"/>
      <c r="E48" s="88"/>
      <c r="F48" s="88"/>
      <c r="G48" s="85"/>
      <c r="H48" s="85"/>
      <c r="I48" s="85"/>
      <c r="J48" s="85"/>
      <c r="K48" s="88"/>
      <c r="L48" s="88"/>
      <c r="M48" s="85"/>
      <c r="N48" s="85"/>
      <c r="O48" s="73"/>
    </row>
    <row r="49" customFormat="false" ht="15" hidden="false" customHeight="false" outlineLevel="0" collapsed="false">
      <c r="A49" s="87"/>
      <c r="B49" s="73"/>
      <c r="C49" s="91" t="str">
        <f aca="false">IF(B49="","",IFERROR(INDEX(الموظفون!$C$6:$C$105,MATCH(B49,الموظفون!$B$6:$B$105,0)),"✖ رقم غير موجود"))</f>
        <v/>
      </c>
      <c r="D49" s="88"/>
      <c r="E49" s="88"/>
      <c r="F49" s="88"/>
      <c r="G49" s="85"/>
      <c r="H49" s="85"/>
      <c r="I49" s="85"/>
      <c r="J49" s="85"/>
      <c r="K49" s="88"/>
      <c r="L49" s="88"/>
      <c r="M49" s="85"/>
      <c r="N49" s="85"/>
      <c r="O49" s="73"/>
    </row>
    <row r="50" customFormat="false" ht="15" hidden="false" customHeight="false" outlineLevel="0" collapsed="false">
      <c r="A50" s="87"/>
      <c r="B50" s="73"/>
      <c r="C50" s="74" t="str">
        <f aca="false">IF(B50="","",IFERROR(INDEX(الموظفون!$C$6:$C$105,MATCH(B50,الموظفون!$B$6:$B$105,0)),"✖ رقم غير موجود"))</f>
        <v/>
      </c>
      <c r="D50" s="88"/>
      <c r="E50" s="88"/>
      <c r="F50" s="88"/>
      <c r="G50" s="85"/>
      <c r="H50" s="85"/>
      <c r="I50" s="85"/>
      <c r="J50" s="85"/>
      <c r="K50" s="88"/>
      <c r="L50" s="88"/>
      <c r="M50" s="85"/>
      <c r="N50" s="85"/>
      <c r="O50" s="73"/>
    </row>
    <row r="51" customFormat="false" ht="15" hidden="false" customHeight="false" outlineLevel="0" collapsed="false">
      <c r="A51" s="87"/>
      <c r="B51" s="73"/>
      <c r="C51" s="91" t="str">
        <f aca="false">IF(B51="","",IFERROR(INDEX(الموظفون!$C$6:$C$105,MATCH(B51,الموظفون!$B$6:$B$105,0)),"✖ رقم غير موجود"))</f>
        <v/>
      </c>
      <c r="D51" s="88"/>
      <c r="E51" s="88"/>
      <c r="F51" s="88"/>
      <c r="G51" s="85"/>
      <c r="H51" s="85"/>
      <c r="I51" s="85"/>
      <c r="J51" s="85"/>
      <c r="K51" s="88"/>
      <c r="L51" s="88"/>
      <c r="M51" s="85"/>
      <c r="N51" s="85"/>
      <c r="O51" s="73"/>
    </row>
    <row r="52" customFormat="false" ht="15" hidden="false" customHeight="false" outlineLevel="0" collapsed="false">
      <c r="A52" s="87"/>
      <c r="B52" s="73"/>
      <c r="C52" s="74" t="str">
        <f aca="false">IF(B52="","",IFERROR(INDEX(الموظفون!$C$6:$C$105,MATCH(B52,الموظفون!$B$6:$B$105,0)),"✖ رقم غير موجود"))</f>
        <v/>
      </c>
      <c r="D52" s="88"/>
      <c r="E52" s="88"/>
      <c r="F52" s="88"/>
      <c r="G52" s="85"/>
      <c r="H52" s="85"/>
      <c r="I52" s="85"/>
      <c r="J52" s="85"/>
      <c r="K52" s="88"/>
      <c r="L52" s="88"/>
      <c r="M52" s="85"/>
      <c r="N52" s="85"/>
      <c r="O52" s="73"/>
    </row>
    <row r="53" customFormat="false" ht="15" hidden="false" customHeight="false" outlineLevel="0" collapsed="false">
      <c r="A53" s="87"/>
      <c r="B53" s="73"/>
      <c r="C53" s="91" t="str">
        <f aca="false">IF(B53="","",IFERROR(INDEX(الموظفون!$C$6:$C$105,MATCH(B53,الموظفون!$B$6:$B$105,0)),"✖ رقم غير موجود"))</f>
        <v/>
      </c>
      <c r="D53" s="88"/>
      <c r="E53" s="88"/>
      <c r="F53" s="88"/>
      <c r="G53" s="85"/>
      <c r="H53" s="85"/>
      <c r="I53" s="85"/>
      <c r="J53" s="85"/>
      <c r="K53" s="88"/>
      <c r="L53" s="88"/>
      <c r="M53" s="85"/>
      <c r="N53" s="85"/>
      <c r="O53" s="73"/>
    </row>
    <row r="54" customFormat="false" ht="15" hidden="false" customHeight="false" outlineLevel="0" collapsed="false">
      <c r="A54" s="87"/>
      <c r="B54" s="73"/>
      <c r="C54" s="74" t="str">
        <f aca="false">IF(B54="","",IFERROR(INDEX(الموظفون!$C$6:$C$105,MATCH(B54,الموظفون!$B$6:$B$105,0)),"✖ رقم غير موجود"))</f>
        <v/>
      </c>
      <c r="D54" s="88"/>
      <c r="E54" s="88"/>
      <c r="F54" s="88"/>
      <c r="G54" s="85"/>
      <c r="H54" s="85"/>
      <c r="I54" s="85"/>
      <c r="J54" s="85"/>
      <c r="K54" s="88"/>
      <c r="L54" s="88"/>
      <c r="M54" s="85"/>
      <c r="N54" s="85"/>
      <c r="O54" s="73"/>
    </row>
    <row r="55" customFormat="false" ht="15" hidden="false" customHeight="false" outlineLevel="0" collapsed="false">
      <c r="A55" s="87"/>
      <c r="B55" s="73"/>
      <c r="C55" s="91" t="str">
        <f aca="false">IF(B55="","",IFERROR(INDEX(الموظفون!$C$6:$C$105,MATCH(B55,الموظفون!$B$6:$B$105,0)),"✖ رقم غير موجود"))</f>
        <v/>
      </c>
      <c r="D55" s="88"/>
      <c r="E55" s="88"/>
      <c r="F55" s="88"/>
      <c r="G55" s="85"/>
      <c r="H55" s="85"/>
      <c r="I55" s="85"/>
      <c r="J55" s="85"/>
      <c r="K55" s="88"/>
      <c r="L55" s="88"/>
      <c r="M55" s="85"/>
      <c r="N55" s="85"/>
      <c r="O55" s="73"/>
    </row>
    <row r="56" customFormat="false" ht="15" hidden="false" customHeight="false" outlineLevel="0" collapsed="false">
      <c r="A56" s="87"/>
      <c r="B56" s="73"/>
      <c r="C56" s="74" t="str">
        <f aca="false">IF(B56="","",IFERROR(INDEX(الموظفون!$C$6:$C$105,MATCH(B56,الموظفون!$B$6:$B$105,0)),"✖ رقم غير موجود"))</f>
        <v/>
      </c>
      <c r="D56" s="88"/>
      <c r="E56" s="88"/>
      <c r="F56" s="88"/>
      <c r="G56" s="85"/>
      <c r="H56" s="85"/>
      <c r="I56" s="85"/>
      <c r="J56" s="85"/>
      <c r="K56" s="88"/>
      <c r="L56" s="88"/>
      <c r="M56" s="85"/>
      <c r="N56" s="85"/>
      <c r="O56" s="73"/>
    </row>
    <row r="57" customFormat="false" ht="15" hidden="false" customHeight="false" outlineLevel="0" collapsed="false">
      <c r="A57" s="87"/>
      <c r="B57" s="73"/>
      <c r="C57" s="91" t="str">
        <f aca="false">IF(B57="","",IFERROR(INDEX(الموظفون!$C$6:$C$105,MATCH(B57,الموظفون!$B$6:$B$105,0)),"✖ رقم غير موجود"))</f>
        <v/>
      </c>
      <c r="D57" s="88"/>
      <c r="E57" s="88"/>
      <c r="F57" s="88"/>
      <c r="G57" s="85"/>
      <c r="H57" s="85"/>
      <c r="I57" s="85"/>
      <c r="J57" s="85"/>
      <c r="K57" s="88"/>
      <c r="L57" s="88"/>
      <c r="M57" s="85"/>
      <c r="N57" s="85"/>
      <c r="O57" s="73"/>
    </row>
    <row r="58" customFormat="false" ht="15" hidden="false" customHeight="false" outlineLevel="0" collapsed="false">
      <c r="A58" s="87"/>
      <c r="B58" s="73"/>
      <c r="C58" s="74" t="str">
        <f aca="false">IF(B58="","",IFERROR(INDEX(الموظفون!$C$6:$C$105,MATCH(B58,الموظفون!$B$6:$B$105,0)),"✖ رقم غير موجود"))</f>
        <v/>
      </c>
      <c r="D58" s="88"/>
      <c r="E58" s="88"/>
      <c r="F58" s="88"/>
      <c r="G58" s="85"/>
      <c r="H58" s="85"/>
      <c r="I58" s="85"/>
      <c r="J58" s="85"/>
      <c r="K58" s="88"/>
      <c r="L58" s="88"/>
      <c r="M58" s="85"/>
      <c r="N58" s="85"/>
      <c r="O58" s="73"/>
    </row>
    <row r="59" customFormat="false" ht="15" hidden="false" customHeight="false" outlineLevel="0" collapsed="false">
      <c r="A59" s="87"/>
      <c r="B59" s="73"/>
      <c r="C59" s="91" t="str">
        <f aca="false">IF(B59="","",IFERROR(INDEX(الموظفون!$C$6:$C$105,MATCH(B59,الموظفون!$B$6:$B$105,0)),"✖ رقم غير موجود"))</f>
        <v/>
      </c>
      <c r="D59" s="88"/>
      <c r="E59" s="88"/>
      <c r="F59" s="88"/>
      <c r="G59" s="85"/>
      <c r="H59" s="85"/>
      <c r="I59" s="85"/>
      <c r="J59" s="85"/>
      <c r="K59" s="88"/>
      <c r="L59" s="88"/>
      <c r="M59" s="85"/>
      <c r="N59" s="85"/>
      <c r="O59" s="73"/>
    </row>
    <row r="60" customFormat="false" ht="15" hidden="false" customHeight="false" outlineLevel="0" collapsed="false">
      <c r="A60" s="87"/>
      <c r="B60" s="73"/>
      <c r="C60" s="74" t="str">
        <f aca="false">IF(B60="","",IFERROR(INDEX(الموظفون!$C$6:$C$105,MATCH(B60,الموظفون!$B$6:$B$105,0)),"✖ رقم غير موجود"))</f>
        <v/>
      </c>
      <c r="D60" s="88"/>
      <c r="E60" s="88"/>
      <c r="F60" s="88"/>
      <c r="G60" s="85"/>
      <c r="H60" s="85"/>
      <c r="I60" s="85"/>
      <c r="J60" s="85"/>
      <c r="K60" s="88"/>
      <c r="L60" s="88"/>
      <c r="M60" s="85"/>
      <c r="N60" s="85"/>
      <c r="O60" s="73"/>
    </row>
    <row r="61" customFormat="false" ht="15" hidden="false" customHeight="false" outlineLevel="0" collapsed="false">
      <c r="A61" s="87"/>
      <c r="B61" s="73"/>
      <c r="C61" s="91" t="str">
        <f aca="false">IF(B61="","",IFERROR(INDEX(الموظفون!$C$6:$C$105,MATCH(B61,الموظفون!$B$6:$B$105,0)),"✖ رقم غير موجود"))</f>
        <v/>
      </c>
      <c r="D61" s="88"/>
      <c r="E61" s="88"/>
      <c r="F61" s="88"/>
      <c r="G61" s="85"/>
      <c r="H61" s="85"/>
      <c r="I61" s="85"/>
      <c r="J61" s="85"/>
      <c r="K61" s="88"/>
      <c r="L61" s="88"/>
      <c r="M61" s="85"/>
      <c r="N61" s="85"/>
      <c r="O61" s="73"/>
    </row>
    <row r="62" customFormat="false" ht="15" hidden="false" customHeight="false" outlineLevel="0" collapsed="false">
      <c r="A62" s="87"/>
      <c r="B62" s="73"/>
      <c r="C62" s="74" t="str">
        <f aca="false">IF(B62="","",IFERROR(INDEX(الموظفون!$C$6:$C$105,MATCH(B62,الموظفون!$B$6:$B$105,0)),"✖ رقم غير موجود"))</f>
        <v/>
      </c>
      <c r="D62" s="88"/>
      <c r="E62" s="88"/>
      <c r="F62" s="88"/>
      <c r="G62" s="85"/>
      <c r="H62" s="85"/>
      <c r="I62" s="85"/>
      <c r="J62" s="85"/>
      <c r="K62" s="88"/>
      <c r="L62" s="88"/>
      <c r="M62" s="85"/>
      <c r="N62" s="85"/>
      <c r="O62" s="73"/>
    </row>
    <row r="63" customFormat="false" ht="15" hidden="false" customHeight="false" outlineLevel="0" collapsed="false">
      <c r="A63" s="87"/>
      <c r="B63" s="73"/>
      <c r="C63" s="91" t="str">
        <f aca="false">IF(B63="","",IFERROR(INDEX(الموظفون!$C$6:$C$105,MATCH(B63,الموظفون!$B$6:$B$105,0)),"✖ رقم غير موجود"))</f>
        <v/>
      </c>
      <c r="D63" s="88"/>
      <c r="E63" s="88"/>
      <c r="F63" s="88"/>
      <c r="G63" s="85"/>
      <c r="H63" s="85"/>
      <c r="I63" s="85"/>
      <c r="J63" s="85"/>
      <c r="K63" s="88"/>
      <c r="L63" s="88"/>
      <c r="M63" s="85"/>
      <c r="N63" s="85"/>
      <c r="O63" s="73"/>
    </row>
    <row r="64" customFormat="false" ht="15" hidden="false" customHeight="false" outlineLevel="0" collapsed="false">
      <c r="A64" s="87"/>
      <c r="B64" s="73"/>
      <c r="C64" s="74" t="str">
        <f aca="false">IF(B64="","",IFERROR(INDEX(الموظفون!$C$6:$C$105,MATCH(B64,الموظفون!$B$6:$B$105,0)),"✖ رقم غير موجود"))</f>
        <v/>
      </c>
      <c r="D64" s="88"/>
      <c r="E64" s="88"/>
      <c r="F64" s="88"/>
      <c r="G64" s="85"/>
      <c r="H64" s="85"/>
      <c r="I64" s="85"/>
      <c r="J64" s="85"/>
      <c r="K64" s="88"/>
      <c r="L64" s="88"/>
      <c r="M64" s="85"/>
      <c r="N64" s="85"/>
      <c r="O64" s="73"/>
    </row>
    <row r="65" customFormat="false" ht="15" hidden="false" customHeight="false" outlineLevel="0" collapsed="false">
      <c r="A65" s="87"/>
      <c r="B65" s="73"/>
      <c r="C65" s="91" t="str">
        <f aca="false">IF(B65="","",IFERROR(INDEX(الموظفون!$C$6:$C$105,MATCH(B65,الموظفون!$B$6:$B$105,0)),"✖ رقم غير موجود"))</f>
        <v/>
      </c>
      <c r="D65" s="88"/>
      <c r="E65" s="88"/>
      <c r="F65" s="88"/>
      <c r="G65" s="85"/>
      <c r="H65" s="85"/>
      <c r="I65" s="85"/>
      <c r="J65" s="85"/>
      <c r="K65" s="88"/>
      <c r="L65" s="88"/>
      <c r="M65" s="85"/>
      <c r="N65" s="85"/>
      <c r="O65" s="73"/>
    </row>
    <row r="66" customFormat="false" ht="15" hidden="false" customHeight="false" outlineLevel="0" collapsed="false">
      <c r="A66" s="87"/>
      <c r="B66" s="73"/>
      <c r="C66" s="74" t="str">
        <f aca="false">IF(B66="","",IFERROR(INDEX(الموظفون!$C$6:$C$105,MATCH(B66,الموظفون!$B$6:$B$105,0)),"✖ رقم غير موجود"))</f>
        <v/>
      </c>
      <c r="D66" s="88"/>
      <c r="E66" s="88"/>
      <c r="F66" s="88"/>
      <c r="G66" s="85"/>
      <c r="H66" s="85"/>
      <c r="I66" s="85"/>
      <c r="J66" s="85"/>
      <c r="K66" s="88"/>
      <c r="L66" s="88"/>
      <c r="M66" s="85"/>
      <c r="N66" s="85"/>
      <c r="O66" s="73"/>
    </row>
    <row r="67" customFormat="false" ht="15" hidden="false" customHeight="false" outlineLevel="0" collapsed="false">
      <c r="A67" s="87"/>
      <c r="B67" s="73"/>
      <c r="C67" s="91" t="str">
        <f aca="false">IF(B67="","",IFERROR(INDEX(الموظفون!$C$6:$C$105,MATCH(B67,الموظفون!$B$6:$B$105,0)),"✖ رقم غير موجود"))</f>
        <v/>
      </c>
      <c r="D67" s="88"/>
      <c r="E67" s="88"/>
      <c r="F67" s="88"/>
      <c r="G67" s="85"/>
      <c r="H67" s="85"/>
      <c r="I67" s="85"/>
      <c r="J67" s="85"/>
      <c r="K67" s="88"/>
      <c r="L67" s="88"/>
      <c r="M67" s="85"/>
      <c r="N67" s="85"/>
      <c r="O67" s="73"/>
    </row>
    <row r="68" customFormat="false" ht="15" hidden="false" customHeight="false" outlineLevel="0" collapsed="false">
      <c r="A68" s="87"/>
      <c r="B68" s="73"/>
      <c r="C68" s="74" t="str">
        <f aca="false">IF(B68="","",IFERROR(INDEX(الموظفون!$C$6:$C$105,MATCH(B68,الموظفون!$B$6:$B$105,0)),"✖ رقم غير موجود"))</f>
        <v/>
      </c>
      <c r="D68" s="88"/>
      <c r="E68" s="88"/>
      <c r="F68" s="88"/>
      <c r="G68" s="85"/>
      <c r="H68" s="85"/>
      <c r="I68" s="85"/>
      <c r="J68" s="85"/>
      <c r="K68" s="88"/>
      <c r="L68" s="88"/>
      <c r="M68" s="85"/>
      <c r="N68" s="85"/>
      <c r="O68" s="73"/>
    </row>
    <row r="69" customFormat="false" ht="15" hidden="false" customHeight="false" outlineLevel="0" collapsed="false">
      <c r="A69" s="87"/>
      <c r="B69" s="73"/>
      <c r="C69" s="91" t="str">
        <f aca="false">IF(B69="","",IFERROR(INDEX(الموظفون!$C$6:$C$105,MATCH(B69,الموظفون!$B$6:$B$105,0)),"✖ رقم غير موجود"))</f>
        <v/>
      </c>
      <c r="D69" s="88"/>
      <c r="E69" s="88"/>
      <c r="F69" s="88"/>
      <c r="G69" s="85"/>
      <c r="H69" s="85"/>
      <c r="I69" s="85"/>
      <c r="J69" s="85"/>
      <c r="K69" s="88"/>
      <c r="L69" s="88"/>
      <c r="M69" s="85"/>
      <c r="N69" s="85"/>
      <c r="O69" s="73"/>
    </row>
    <row r="70" customFormat="false" ht="15" hidden="false" customHeight="false" outlineLevel="0" collapsed="false">
      <c r="A70" s="87"/>
      <c r="B70" s="73"/>
      <c r="C70" s="74" t="str">
        <f aca="false">IF(B70="","",IFERROR(INDEX(الموظفون!$C$6:$C$105,MATCH(B70,الموظفون!$B$6:$B$105,0)),"✖ رقم غير موجود"))</f>
        <v/>
      </c>
      <c r="D70" s="88"/>
      <c r="E70" s="88"/>
      <c r="F70" s="88"/>
      <c r="G70" s="85"/>
      <c r="H70" s="85"/>
      <c r="I70" s="85"/>
      <c r="J70" s="85"/>
      <c r="K70" s="88"/>
      <c r="L70" s="88"/>
      <c r="M70" s="85"/>
      <c r="N70" s="85"/>
      <c r="O70" s="73"/>
    </row>
    <row r="71" customFormat="false" ht="15" hidden="false" customHeight="false" outlineLevel="0" collapsed="false">
      <c r="A71" s="87"/>
      <c r="B71" s="73"/>
      <c r="C71" s="91" t="str">
        <f aca="false">IF(B71="","",IFERROR(INDEX(الموظفون!$C$6:$C$105,MATCH(B71,الموظفون!$B$6:$B$105,0)),"✖ رقم غير موجود"))</f>
        <v/>
      </c>
      <c r="D71" s="88"/>
      <c r="E71" s="88"/>
      <c r="F71" s="88"/>
      <c r="G71" s="85"/>
      <c r="H71" s="85"/>
      <c r="I71" s="85"/>
      <c r="J71" s="85"/>
      <c r="K71" s="88"/>
      <c r="L71" s="88"/>
      <c r="M71" s="85"/>
      <c r="N71" s="85"/>
      <c r="O71" s="73"/>
    </row>
    <row r="72" customFormat="false" ht="15" hidden="false" customHeight="false" outlineLevel="0" collapsed="false">
      <c r="A72" s="87"/>
      <c r="B72" s="73"/>
      <c r="C72" s="74" t="str">
        <f aca="false">IF(B72="","",IFERROR(INDEX(الموظفون!$C$6:$C$105,MATCH(B72,الموظفون!$B$6:$B$105,0)),"✖ رقم غير موجود"))</f>
        <v/>
      </c>
      <c r="D72" s="88"/>
      <c r="E72" s="88"/>
      <c r="F72" s="88"/>
      <c r="G72" s="85"/>
      <c r="H72" s="85"/>
      <c r="I72" s="85"/>
      <c r="J72" s="85"/>
      <c r="K72" s="88"/>
      <c r="L72" s="88"/>
      <c r="M72" s="85"/>
      <c r="N72" s="85"/>
      <c r="O72" s="73"/>
    </row>
    <row r="73" customFormat="false" ht="15" hidden="false" customHeight="false" outlineLevel="0" collapsed="false">
      <c r="A73" s="87"/>
      <c r="B73" s="73"/>
      <c r="C73" s="91" t="str">
        <f aca="false">IF(B73="","",IFERROR(INDEX(الموظفون!$C$6:$C$105,MATCH(B73,الموظفون!$B$6:$B$105,0)),"✖ رقم غير موجود"))</f>
        <v/>
      </c>
      <c r="D73" s="88"/>
      <c r="E73" s="88"/>
      <c r="F73" s="88"/>
      <c r="G73" s="85"/>
      <c r="H73" s="85"/>
      <c r="I73" s="85"/>
      <c r="J73" s="85"/>
      <c r="K73" s="88"/>
      <c r="L73" s="88"/>
      <c r="M73" s="85"/>
      <c r="N73" s="85"/>
      <c r="O73" s="73"/>
    </row>
    <row r="74" customFormat="false" ht="15" hidden="false" customHeight="false" outlineLevel="0" collapsed="false">
      <c r="A74" s="87"/>
      <c r="B74" s="73"/>
      <c r="C74" s="74" t="str">
        <f aca="false">IF(B74="","",IFERROR(INDEX(الموظفون!$C$6:$C$105,MATCH(B74,الموظفون!$B$6:$B$105,0)),"✖ رقم غير موجود"))</f>
        <v/>
      </c>
      <c r="D74" s="88"/>
      <c r="E74" s="88"/>
      <c r="F74" s="88"/>
      <c r="G74" s="85"/>
      <c r="H74" s="85"/>
      <c r="I74" s="85"/>
      <c r="J74" s="85"/>
      <c r="K74" s="88"/>
      <c r="L74" s="88"/>
      <c r="M74" s="85"/>
      <c r="N74" s="85"/>
      <c r="O74" s="73"/>
    </row>
    <row r="75" customFormat="false" ht="15" hidden="false" customHeight="false" outlineLevel="0" collapsed="false">
      <c r="A75" s="87"/>
      <c r="B75" s="73"/>
      <c r="C75" s="91" t="str">
        <f aca="false">IF(B75="","",IFERROR(INDEX(الموظفون!$C$6:$C$105,MATCH(B75,الموظفون!$B$6:$B$105,0)),"✖ رقم غير موجود"))</f>
        <v/>
      </c>
      <c r="D75" s="88"/>
      <c r="E75" s="88"/>
      <c r="F75" s="88"/>
      <c r="G75" s="85"/>
      <c r="H75" s="85"/>
      <c r="I75" s="85"/>
      <c r="J75" s="85"/>
      <c r="K75" s="88"/>
      <c r="L75" s="88"/>
      <c r="M75" s="85"/>
      <c r="N75" s="85"/>
      <c r="O75" s="73"/>
    </row>
    <row r="76" customFormat="false" ht="15" hidden="false" customHeight="false" outlineLevel="0" collapsed="false">
      <c r="A76" s="87"/>
      <c r="B76" s="73"/>
      <c r="C76" s="74" t="str">
        <f aca="false">IF(B76="","",IFERROR(INDEX(الموظفون!$C$6:$C$105,MATCH(B76,الموظفون!$B$6:$B$105,0)),"✖ رقم غير موجود"))</f>
        <v/>
      </c>
      <c r="D76" s="88"/>
      <c r="E76" s="88"/>
      <c r="F76" s="88"/>
      <c r="G76" s="85"/>
      <c r="H76" s="85"/>
      <c r="I76" s="85"/>
      <c r="J76" s="85"/>
      <c r="K76" s="88"/>
      <c r="L76" s="88"/>
      <c r="M76" s="85"/>
      <c r="N76" s="85"/>
      <c r="O76" s="73"/>
    </row>
    <row r="77" customFormat="false" ht="15" hidden="false" customHeight="false" outlineLevel="0" collapsed="false">
      <c r="A77" s="87"/>
      <c r="B77" s="73"/>
      <c r="C77" s="91" t="str">
        <f aca="false">IF(B77="","",IFERROR(INDEX(الموظفون!$C$6:$C$105,MATCH(B77,الموظفون!$B$6:$B$105,0)),"✖ رقم غير موجود"))</f>
        <v/>
      </c>
      <c r="D77" s="88"/>
      <c r="E77" s="88"/>
      <c r="F77" s="88"/>
      <c r="G77" s="85"/>
      <c r="H77" s="85"/>
      <c r="I77" s="85"/>
      <c r="J77" s="85"/>
      <c r="K77" s="88"/>
      <c r="L77" s="88"/>
      <c r="M77" s="85"/>
      <c r="N77" s="85"/>
      <c r="O77" s="73"/>
    </row>
    <row r="78" customFormat="false" ht="15" hidden="false" customHeight="false" outlineLevel="0" collapsed="false">
      <c r="A78" s="87"/>
      <c r="B78" s="73"/>
      <c r="C78" s="74" t="str">
        <f aca="false">IF(B78="","",IFERROR(INDEX(الموظفون!$C$6:$C$105,MATCH(B78,الموظفون!$B$6:$B$105,0)),"✖ رقم غير موجود"))</f>
        <v/>
      </c>
      <c r="D78" s="88"/>
      <c r="E78" s="88"/>
      <c r="F78" s="88"/>
      <c r="G78" s="85"/>
      <c r="H78" s="85"/>
      <c r="I78" s="85"/>
      <c r="J78" s="85"/>
      <c r="K78" s="88"/>
      <c r="L78" s="88"/>
      <c r="M78" s="85"/>
      <c r="N78" s="85"/>
      <c r="O78" s="73"/>
    </row>
    <row r="79" customFormat="false" ht="15" hidden="false" customHeight="false" outlineLevel="0" collapsed="false">
      <c r="A79" s="87"/>
      <c r="B79" s="73"/>
      <c r="C79" s="91" t="str">
        <f aca="false">IF(B79="","",IFERROR(INDEX(الموظفون!$C$6:$C$105,MATCH(B79,الموظفون!$B$6:$B$105,0)),"✖ رقم غير موجود"))</f>
        <v/>
      </c>
      <c r="D79" s="88"/>
      <c r="E79" s="88"/>
      <c r="F79" s="88"/>
      <c r="G79" s="85"/>
      <c r="H79" s="85"/>
      <c r="I79" s="85"/>
      <c r="J79" s="85"/>
      <c r="K79" s="88"/>
      <c r="L79" s="88"/>
      <c r="M79" s="85"/>
      <c r="N79" s="85"/>
      <c r="O79" s="73"/>
    </row>
    <row r="80" customFormat="false" ht="15" hidden="false" customHeight="false" outlineLevel="0" collapsed="false">
      <c r="A80" s="87"/>
      <c r="B80" s="73"/>
      <c r="C80" s="74" t="str">
        <f aca="false">IF(B80="","",IFERROR(INDEX(الموظفون!$C$6:$C$105,MATCH(B80,الموظفون!$B$6:$B$105,0)),"✖ رقم غير موجود"))</f>
        <v/>
      </c>
      <c r="D80" s="88"/>
      <c r="E80" s="88"/>
      <c r="F80" s="88"/>
      <c r="G80" s="85"/>
      <c r="H80" s="85"/>
      <c r="I80" s="85"/>
      <c r="J80" s="85"/>
      <c r="K80" s="88"/>
      <c r="L80" s="88"/>
      <c r="M80" s="85"/>
      <c r="N80" s="85"/>
      <c r="O80" s="73"/>
    </row>
    <row r="81" customFormat="false" ht="15" hidden="false" customHeight="false" outlineLevel="0" collapsed="false">
      <c r="A81" s="87"/>
      <c r="B81" s="73"/>
      <c r="C81" s="91" t="str">
        <f aca="false">IF(B81="","",IFERROR(INDEX(الموظفون!$C$6:$C$105,MATCH(B81,الموظفون!$B$6:$B$105,0)),"✖ رقم غير موجود"))</f>
        <v/>
      </c>
      <c r="D81" s="88"/>
      <c r="E81" s="88"/>
      <c r="F81" s="88"/>
      <c r="G81" s="85"/>
      <c r="H81" s="85"/>
      <c r="I81" s="85"/>
      <c r="J81" s="85"/>
      <c r="K81" s="88"/>
      <c r="L81" s="88"/>
      <c r="M81" s="85"/>
      <c r="N81" s="85"/>
      <c r="O81" s="73"/>
    </row>
    <row r="82" customFormat="false" ht="15" hidden="false" customHeight="false" outlineLevel="0" collapsed="false">
      <c r="A82" s="87"/>
      <c r="B82" s="73"/>
      <c r="C82" s="74" t="str">
        <f aca="false">IF(B82="","",IFERROR(INDEX(الموظفون!$C$6:$C$105,MATCH(B82,الموظفون!$B$6:$B$105,0)),"✖ رقم غير موجود"))</f>
        <v/>
      </c>
      <c r="D82" s="88"/>
      <c r="E82" s="88"/>
      <c r="F82" s="88"/>
      <c r="G82" s="85"/>
      <c r="H82" s="85"/>
      <c r="I82" s="85"/>
      <c r="J82" s="85"/>
      <c r="K82" s="88"/>
      <c r="L82" s="88"/>
      <c r="M82" s="85"/>
      <c r="N82" s="85"/>
      <c r="O82" s="73"/>
    </row>
    <row r="83" customFormat="false" ht="15" hidden="false" customHeight="false" outlineLevel="0" collapsed="false">
      <c r="A83" s="87"/>
      <c r="B83" s="73"/>
      <c r="C83" s="91" t="str">
        <f aca="false">IF(B83="","",IFERROR(INDEX(الموظفون!$C$6:$C$105,MATCH(B83,الموظفون!$B$6:$B$105,0)),"✖ رقم غير موجود"))</f>
        <v/>
      </c>
      <c r="D83" s="88"/>
      <c r="E83" s="88"/>
      <c r="F83" s="88"/>
      <c r="G83" s="85"/>
      <c r="H83" s="85"/>
      <c r="I83" s="85"/>
      <c r="J83" s="85"/>
      <c r="K83" s="88"/>
      <c r="L83" s="88"/>
      <c r="M83" s="85"/>
      <c r="N83" s="85"/>
      <c r="O83" s="73"/>
    </row>
    <row r="84" customFormat="false" ht="15" hidden="false" customHeight="false" outlineLevel="0" collapsed="false">
      <c r="A84" s="87"/>
      <c r="B84" s="73"/>
      <c r="C84" s="74" t="str">
        <f aca="false">IF(B84="","",IFERROR(INDEX(الموظفون!$C$6:$C$105,MATCH(B84,الموظفون!$B$6:$B$105,0)),"✖ رقم غير موجود"))</f>
        <v/>
      </c>
      <c r="D84" s="88"/>
      <c r="E84" s="88"/>
      <c r="F84" s="88"/>
      <c r="G84" s="85"/>
      <c r="H84" s="85"/>
      <c r="I84" s="85"/>
      <c r="J84" s="85"/>
      <c r="K84" s="88"/>
      <c r="L84" s="88"/>
      <c r="M84" s="85"/>
      <c r="N84" s="85"/>
      <c r="O84" s="73"/>
    </row>
    <row r="85" customFormat="false" ht="15" hidden="false" customHeight="false" outlineLevel="0" collapsed="false">
      <c r="A85" s="87"/>
      <c r="B85" s="73"/>
      <c r="C85" s="91" t="str">
        <f aca="false">IF(B85="","",IFERROR(INDEX(الموظفون!$C$6:$C$105,MATCH(B85,الموظفون!$B$6:$B$105,0)),"✖ رقم غير موجود"))</f>
        <v/>
      </c>
      <c r="D85" s="88"/>
      <c r="E85" s="88"/>
      <c r="F85" s="88"/>
      <c r="G85" s="85"/>
      <c r="H85" s="85"/>
      <c r="I85" s="85"/>
      <c r="J85" s="85"/>
      <c r="K85" s="88"/>
      <c r="L85" s="88"/>
      <c r="M85" s="85"/>
      <c r="N85" s="85"/>
      <c r="O85" s="73"/>
    </row>
    <row r="86" customFormat="false" ht="15" hidden="false" customHeight="false" outlineLevel="0" collapsed="false">
      <c r="A86" s="87"/>
      <c r="B86" s="73"/>
      <c r="C86" s="74" t="str">
        <f aca="false">IF(B86="","",IFERROR(INDEX(الموظفون!$C$6:$C$105,MATCH(B86,الموظفون!$B$6:$B$105,0)),"✖ رقم غير موجود"))</f>
        <v/>
      </c>
      <c r="D86" s="88"/>
      <c r="E86" s="88"/>
      <c r="F86" s="88"/>
      <c r="G86" s="85"/>
      <c r="H86" s="85"/>
      <c r="I86" s="85"/>
      <c r="J86" s="85"/>
      <c r="K86" s="88"/>
      <c r="L86" s="88"/>
      <c r="M86" s="85"/>
      <c r="N86" s="85"/>
      <c r="O86" s="73"/>
    </row>
    <row r="87" customFormat="false" ht="15" hidden="false" customHeight="false" outlineLevel="0" collapsed="false">
      <c r="A87" s="87"/>
      <c r="B87" s="73"/>
      <c r="C87" s="91" t="str">
        <f aca="false">IF(B87="","",IFERROR(INDEX(الموظفون!$C$6:$C$105,MATCH(B87,الموظفون!$B$6:$B$105,0)),"✖ رقم غير موجود"))</f>
        <v/>
      </c>
      <c r="D87" s="88"/>
      <c r="E87" s="88"/>
      <c r="F87" s="88"/>
      <c r="G87" s="85"/>
      <c r="H87" s="85"/>
      <c r="I87" s="85"/>
      <c r="J87" s="85"/>
      <c r="K87" s="88"/>
      <c r="L87" s="88"/>
      <c r="M87" s="85"/>
      <c r="N87" s="85"/>
      <c r="O87" s="73"/>
    </row>
    <row r="88" customFormat="false" ht="15" hidden="false" customHeight="false" outlineLevel="0" collapsed="false">
      <c r="A88" s="87"/>
      <c r="B88" s="73"/>
      <c r="C88" s="74" t="str">
        <f aca="false">IF(B88="","",IFERROR(INDEX(الموظفون!$C$6:$C$105,MATCH(B88,الموظفون!$B$6:$B$105,0)),"✖ رقم غير موجود"))</f>
        <v/>
      </c>
      <c r="D88" s="88"/>
      <c r="E88" s="88"/>
      <c r="F88" s="88"/>
      <c r="G88" s="85"/>
      <c r="H88" s="85"/>
      <c r="I88" s="85"/>
      <c r="J88" s="85"/>
      <c r="K88" s="88"/>
      <c r="L88" s="88"/>
      <c r="M88" s="85"/>
      <c r="N88" s="85"/>
      <c r="O88" s="73"/>
    </row>
    <row r="89" customFormat="false" ht="15" hidden="false" customHeight="false" outlineLevel="0" collapsed="false">
      <c r="A89" s="87"/>
      <c r="B89" s="73"/>
      <c r="C89" s="91" t="str">
        <f aca="false">IF(B89="","",IFERROR(INDEX(الموظفون!$C$6:$C$105,MATCH(B89,الموظفون!$B$6:$B$105,0)),"✖ رقم غير موجود"))</f>
        <v/>
      </c>
      <c r="D89" s="88"/>
      <c r="E89" s="88"/>
      <c r="F89" s="88"/>
      <c r="G89" s="85"/>
      <c r="H89" s="85"/>
      <c r="I89" s="85"/>
      <c r="J89" s="85"/>
      <c r="K89" s="88"/>
      <c r="L89" s="88"/>
      <c r="M89" s="85"/>
      <c r="N89" s="85"/>
      <c r="O89" s="73"/>
    </row>
    <row r="90" customFormat="false" ht="15" hidden="false" customHeight="false" outlineLevel="0" collapsed="false">
      <c r="A90" s="87"/>
      <c r="B90" s="73"/>
      <c r="C90" s="74" t="str">
        <f aca="false">IF(B90="","",IFERROR(INDEX(الموظفون!$C$6:$C$105,MATCH(B90,الموظفون!$B$6:$B$105,0)),"✖ رقم غير موجود"))</f>
        <v/>
      </c>
      <c r="D90" s="88"/>
      <c r="E90" s="88"/>
      <c r="F90" s="88"/>
      <c r="G90" s="85"/>
      <c r="H90" s="85"/>
      <c r="I90" s="85"/>
      <c r="J90" s="85"/>
      <c r="K90" s="88"/>
      <c r="L90" s="88"/>
      <c r="M90" s="85"/>
      <c r="N90" s="85"/>
      <c r="O90" s="73"/>
    </row>
    <row r="91" customFormat="false" ht="15" hidden="false" customHeight="false" outlineLevel="0" collapsed="false">
      <c r="A91" s="87"/>
      <c r="B91" s="73"/>
      <c r="C91" s="91" t="str">
        <f aca="false">IF(B91="","",IFERROR(INDEX(الموظفون!$C$6:$C$105,MATCH(B91,الموظفون!$B$6:$B$105,0)),"✖ رقم غير موجود"))</f>
        <v/>
      </c>
      <c r="D91" s="88"/>
      <c r="E91" s="88"/>
      <c r="F91" s="88"/>
      <c r="G91" s="85"/>
      <c r="H91" s="85"/>
      <c r="I91" s="85"/>
      <c r="J91" s="85"/>
      <c r="K91" s="88"/>
      <c r="L91" s="88"/>
      <c r="M91" s="85"/>
      <c r="N91" s="85"/>
      <c r="O91" s="73"/>
    </row>
    <row r="92" customFormat="false" ht="15" hidden="false" customHeight="false" outlineLevel="0" collapsed="false">
      <c r="A92" s="87"/>
      <c r="B92" s="73"/>
      <c r="C92" s="74" t="str">
        <f aca="false">IF(B92="","",IFERROR(INDEX(الموظفون!$C$6:$C$105,MATCH(B92,الموظفون!$B$6:$B$105,0)),"✖ رقم غير موجود"))</f>
        <v/>
      </c>
      <c r="D92" s="88"/>
      <c r="E92" s="88"/>
      <c r="F92" s="88"/>
      <c r="G92" s="85"/>
      <c r="H92" s="85"/>
      <c r="I92" s="85"/>
      <c r="J92" s="85"/>
      <c r="K92" s="88"/>
      <c r="L92" s="88"/>
      <c r="M92" s="85"/>
      <c r="N92" s="85"/>
      <c r="O92" s="73"/>
    </row>
    <row r="93" customFormat="false" ht="15" hidden="false" customHeight="false" outlineLevel="0" collapsed="false">
      <c r="A93" s="87"/>
      <c r="B93" s="73"/>
      <c r="C93" s="91" t="str">
        <f aca="false">IF(B93="","",IFERROR(INDEX(الموظفون!$C$6:$C$105,MATCH(B93,الموظفون!$B$6:$B$105,0)),"✖ رقم غير موجود"))</f>
        <v/>
      </c>
      <c r="D93" s="88"/>
      <c r="E93" s="88"/>
      <c r="F93" s="88"/>
      <c r="G93" s="85"/>
      <c r="H93" s="85"/>
      <c r="I93" s="85"/>
      <c r="J93" s="85"/>
      <c r="K93" s="88"/>
      <c r="L93" s="88"/>
      <c r="M93" s="85"/>
      <c r="N93" s="85"/>
      <c r="O93" s="73"/>
    </row>
    <row r="94" customFormat="false" ht="15" hidden="false" customHeight="false" outlineLevel="0" collapsed="false">
      <c r="A94" s="87"/>
      <c r="B94" s="73"/>
      <c r="C94" s="74" t="str">
        <f aca="false">IF(B94="","",IFERROR(INDEX(الموظفون!$C$6:$C$105,MATCH(B94,الموظفون!$B$6:$B$105,0)),"✖ رقم غير موجود"))</f>
        <v/>
      </c>
      <c r="D94" s="88"/>
      <c r="E94" s="88"/>
      <c r="F94" s="88"/>
      <c r="G94" s="85"/>
      <c r="H94" s="85"/>
      <c r="I94" s="85"/>
      <c r="J94" s="85"/>
      <c r="K94" s="88"/>
      <c r="L94" s="88"/>
      <c r="M94" s="85"/>
      <c r="N94" s="85"/>
      <c r="O94" s="73"/>
    </row>
    <row r="95" customFormat="false" ht="15" hidden="false" customHeight="false" outlineLevel="0" collapsed="false">
      <c r="A95" s="87"/>
      <c r="B95" s="73"/>
      <c r="C95" s="91" t="str">
        <f aca="false">IF(B95="","",IFERROR(INDEX(الموظفون!$C$6:$C$105,MATCH(B95,الموظفون!$B$6:$B$105,0)),"✖ رقم غير موجود"))</f>
        <v/>
      </c>
      <c r="D95" s="88"/>
      <c r="E95" s="88"/>
      <c r="F95" s="88"/>
      <c r="G95" s="85"/>
      <c r="H95" s="85"/>
      <c r="I95" s="85"/>
      <c r="J95" s="85"/>
      <c r="K95" s="88"/>
      <c r="L95" s="88"/>
      <c r="M95" s="85"/>
      <c r="N95" s="85"/>
      <c r="O95" s="73"/>
    </row>
    <row r="96" customFormat="false" ht="15" hidden="false" customHeight="false" outlineLevel="0" collapsed="false">
      <c r="A96" s="87"/>
      <c r="B96" s="73"/>
      <c r="C96" s="74" t="str">
        <f aca="false">IF(B96="","",IFERROR(INDEX(الموظفون!$C$6:$C$105,MATCH(B96,الموظفون!$B$6:$B$105,0)),"✖ رقم غير موجود"))</f>
        <v/>
      </c>
      <c r="D96" s="88"/>
      <c r="E96" s="88"/>
      <c r="F96" s="88"/>
      <c r="G96" s="85"/>
      <c r="H96" s="85"/>
      <c r="I96" s="85"/>
      <c r="J96" s="85"/>
      <c r="K96" s="88"/>
      <c r="L96" s="88"/>
      <c r="M96" s="85"/>
      <c r="N96" s="85"/>
      <c r="O96" s="73"/>
    </row>
    <row r="97" customFormat="false" ht="15" hidden="false" customHeight="false" outlineLevel="0" collapsed="false">
      <c r="A97" s="87"/>
      <c r="B97" s="73"/>
      <c r="C97" s="91" t="str">
        <f aca="false">IF(B97="","",IFERROR(INDEX(الموظفون!$C$6:$C$105,MATCH(B97,الموظفون!$B$6:$B$105,0)),"✖ رقم غير موجود"))</f>
        <v/>
      </c>
      <c r="D97" s="88"/>
      <c r="E97" s="88"/>
      <c r="F97" s="88"/>
      <c r="G97" s="85"/>
      <c r="H97" s="85"/>
      <c r="I97" s="85"/>
      <c r="J97" s="85"/>
      <c r="K97" s="88"/>
      <c r="L97" s="88"/>
      <c r="M97" s="85"/>
      <c r="N97" s="85"/>
      <c r="O97" s="73"/>
    </row>
    <row r="98" customFormat="false" ht="15" hidden="false" customHeight="false" outlineLevel="0" collapsed="false">
      <c r="A98" s="87"/>
      <c r="B98" s="73"/>
      <c r="C98" s="74" t="str">
        <f aca="false">IF(B98="","",IFERROR(INDEX(الموظفون!$C$6:$C$105,MATCH(B98,الموظفون!$B$6:$B$105,0)),"✖ رقم غير موجود"))</f>
        <v/>
      </c>
      <c r="D98" s="88"/>
      <c r="E98" s="88"/>
      <c r="F98" s="88"/>
      <c r="G98" s="85"/>
      <c r="H98" s="85"/>
      <c r="I98" s="85"/>
      <c r="J98" s="85"/>
      <c r="K98" s="88"/>
      <c r="L98" s="88"/>
      <c r="M98" s="85"/>
      <c r="N98" s="85"/>
      <c r="O98" s="73"/>
    </row>
    <row r="99" customFormat="false" ht="15" hidden="false" customHeight="false" outlineLevel="0" collapsed="false">
      <c r="A99" s="87"/>
      <c r="B99" s="73"/>
      <c r="C99" s="91" t="str">
        <f aca="false">IF(B99="","",IFERROR(INDEX(الموظفون!$C$6:$C$105,MATCH(B99,الموظفون!$B$6:$B$105,0)),"✖ رقم غير موجود"))</f>
        <v/>
      </c>
      <c r="D99" s="88"/>
      <c r="E99" s="88"/>
      <c r="F99" s="88"/>
      <c r="G99" s="85"/>
      <c r="H99" s="85"/>
      <c r="I99" s="85"/>
      <c r="J99" s="85"/>
      <c r="K99" s="88"/>
      <c r="L99" s="88"/>
      <c r="M99" s="85"/>
      <c r="N99" s="85"/>
      <c r="O99" s="73"/>
    </row>
    <row r="100" customFormat="false" ht="15" hidden="false" customHeight="false" outlineLevel="0" collapsed="false">
      <c r="A100" s="87"/>
      <c r="B100" s="73"/>
      <c r="C100" s="74" t="str">
        <f aca="false">IF(B100="","",IFERROR(INDEX(الموظفون!$C$6:$C$105,MATCH(B100,الموظفون!$B$6:$B$105,0)),"✖ رقم غير موجود"))</f>
        <v/>
      </c>
      <c r="D100" s="88"/>
      <c r="E100" s="88"/>
      <c r="F100" s="88"/>
      <c r="G100" s="85"/>
      <c r="H100" s="85"/>
      <c r="I100" s="85"/>
      <c r="J100" s="85"/>
      <c r="K100" s="88"/>
      <c r="L100" s="88"/>
      <c r="M100" s="85"/>
      <c r="N100" s="85"/>
      <c r="O100" s="73"/>
    </row>
    <row r="101" customFormat="false" ht="15" hidden="false" customHeight="false" outlineLevel="0" collapsed="false">
      <c r="A101" s="87"/>
      <c r="B101" s="73"/>
      <c r="C101" s="91" t="str">
        <f aca="false">IF(B101="","",IFERROR(INDEX(الموظفون!$C$6:$C$105,MATCH(B101,الموظفون!$B$6:$B$105,0)),"✖ رقم غير موجود"))</f>
        <v/>
      </c>
      <c r="D101" s="88"/>
      <c r="E101" s="88"/>
      <c r="F101" s="88"/>
      <c r="G101" s="85"/>
      <c r="H101" s="85"/>
      <c r="I101" s="85"/>
      <c r="J101" s="85"/>
      <c r="K101" s="88"/>
      <c r="L101" s="88"/>
      <c r="M101" s="85"/>
      <c r="N101" s="85"/>
      <c r="O101" s="73"/>
    </row>
    <row r="102" customFormat="false" ht="15" hidden="false" customHeight="false" outlineLevel="0" collapsed="false">
      <c r="A102" s="87"/>
      <c r="B102" s="73"/>
      <c r="C102" s="74" t="str">
        <f aca="false">IF(B102="","",IFERROR(INDEX(الموظفون!$C$6:$C$105,MATCH(B102,الموظفون!$B$6:$B$105,0)),"✖ رقم غير موجود"))</f>
        <v/>
      </c>
      <c r="D102" s="88"/>
      <c r="E102" s="88"/>
      <c r="F102" s="88"/>
      <c r="G102" s="85"/>
      <c r="H102" s="85"/>
      <c r="I102" s="85"/>
      <c r="J102" s="85"/>
      <c r="K102" s="88"/>
      <c r="L102" s="88"/>
      <c r="M102" s="85"/>
      <c r="N102" s="85"/>
      <c r="O102" s="73"/>
    </row>
    <row r="103" customFormat="false" ht="15" hidden="false" customHeight="false" outlineLevel="0" collapsed="false">
      <c r="A103" s="87"/>
      <c r="B103" s="73"/>
      <c r="C103" s="91" t="str">
        <f aca="false">IF(B103="","",IFERROR(INDEX(الموظفون!$C$6:$C$105,MATCH(B103,الموظفون!$B$6:$B$105,0)),"✖ رقم غير موجود"))</f>
        <v/>
      </c>
      <c r="D103" s="88"/>
      <c r="E103" s="88"/>
      <c r="F103" s="88"/>
      <c r="G103" s="85"/>
      <c r="H103" s="85"/>
      <c r="I103" s="85"/>
      <c r="J103" s="85"/>
      <c r="K103" s="88"/>
      <c r="L103" s="88"/>
      <c r="M103" s="85"/>
      <c r="N103" s="85"/>
      <c r="O103" s="73"/>
    </row>
    <row r="104" customFormat="false" ht="15" hidden="false" customHeight="false" outlineLevel="0" collapsed="false">
      <c r="A104" s="87"/>
      <c r="B104" s="73"/>
      <c r="C104" s="74" t="str">
        <f aca="false">IF(B104="","",IFERROR(INDEX(الموظفون!$C$6:$C$105,MATCH(B104,الموظفون!$B$6:$B$105,0)),"✖ رقم غير موجود"))</f>
        <v/>
      </c>
      <c r="D104" s="88"/>
      <c r="E104" s="88"/>
      <c r="F104" s="88"/>
      <c r="G104" s="85"/>
      <c r="H104" s="85"/>
      <c r="I104" s="85"/>
      <c r="J104" s="85"/>
      <c r="K104" s="88"/>
      <c r="L104" s="88"/>
      <c r="M104" s="85"/>
      <c r="N104" s="85"/>
      <c r="O104" s="73"/>
    </row>
    <row r="105" customFormat="false" ht="15" hidden="false" customHeight="false" outlineLevel="0" collapsed="false">
      <c r="A105" s="87"/>
      <c r="B105" s="73"/>
      <c r="C105" s="91" t="str">
        <f aca="false">IF(B105="","",IFERROR(INDEX(الموظفون!$C$6:$C$105,MATCH(B105,الموظفون!$B$6:$B$105,0)),"✖ رقم غير موجود"))</f>
        <v/>
      </c>
      <c r="D105" s="88"/>
      <c r="E105" s="88"/>
      <c r="F105" s="88"/>
      <c r="G105" s="85"/>
      <c r="H105" s="85"/>
      <c r="I105" s="85"/>
      <c r="J105" s="85"/>
      <c r="K105" s="88"/>
      <c r="L105" s="88"/>
      <c r="M105" s="85"/>
      <c r="N105" s="85"/>
      <c r="O105" s="73"/>
    </row>
    <row r="106" customFormat="false" ht="15" hidden="false" customHeight="false" outlineLevel="0" collapsed="false">
      <c r="A106" s="87"/>
      <c r="B106" s="73"/>
      <c r="C106" s="74" t="str">
        <f aca="false">IF(B106="","",IFERROR(INDEX(الموظفون!$C$6:$C$105,MATCH(B106,الموظفون!$B$6:$B$105,0)),"✖ رقم غير موجود"))</f>
        <v/>
      </c>
      <c r="D106" s="88"/>
      <c r="E106" s="88"/>
      <c r="F106" s="88"/>
      <c r="G106" s="85"/>
      <c r="H106" s="85"/>
      <c r="I106" s="85"/>
      <c r="J106" s="85"/>
      <c r="K106" s="88"/>
      <c r="L106" s="88"/>
      <c r="M106" s="85"/>
      <c r="N106" s="85"/>
      <c r="O106" s="73"/>
    </row>
    <row r="107" customFormat="false" ht="15" hidden="false" customHeight="false" outlineLevel="0" collapsed="false">
      <c r="A107" s="87"/>
      <c r="B107" s="73"/>
      <c r="C107" s="91" t="str">
        <f aca="false">IF(B107="","",IFERROR(INDEX(الموظفون!$C$6:$C$105,MATCH(B107,الموظفون!$B$6:$B$105,0)),"✖ رقم غير موجود"))</f>
        <v/>
      </c>
      <c r="D107" s="88"/>
      <c r="E107" s="88"/>
      <c r="F107" s="88"/>
      <c r="G107" s="85"/>
      <c r="H107" s="85"/>
      <c r="I107" s="85"/>
      <c r="J107" s="85"/>
      <c r="K107" s="88"/>
      <c r="L107" s="88"/>
      <c r="M107" s="85"/>
      <c r="N107" s="85"/>
      <c r="O107" s="73"/>
    </row>
    <row r="108" customFormat="false" ht="15" hidden="false" customHeight="false" outlineLevel="0" collapsed="false">
      <c r="A108" s="87"/>
      <c r="B108" s="73"/>
      <c r="C108" s="74" t="str">
        <f aca="false">IF(B108="","",IFERROR(INDEX(الموظفون!$C$6:$C$105,MATCH(B108,الموظفون!$B$6:$B$105,0)),"✖ رقم غير موجود"))</f>
        <v/>
      </c>
      <c r="D108" s="88"/>
      <c r="E108" s="88"/>
      <c r="F108" s="88"/>
      <c r="G108" s="85"/>
      <c r="H108" s="85"/>
      <c r="I108" s="85"/>
      <c r="J108" s="85"/>
      <c r="K108" s="88"/>
      <c r="L108" s="88"/>
      <c r="M108" s="85"/>
      <c r="N108" s="85"/>
      <c r="O108" s="73"/>
    </row>
    <row r="109" customFormat="false" ht="15" hidden="false" customHeight="false" outlineLevel="0" collapsed="false">
      <c r="A109" s="87"/>
      <c r="B109" s="73"/>
      <c r="C109" s="91" t="str">
        <f aca="false">IF(B109="","",IFERROR(INDEX(الموظفون!$C$6:$C$105,MATCH(B109,الموظفون!$B$6:$B$105,0)),"✖ رقم غير موجود"))</f>
        <v/>
      </c>
      <c r="D109" s="88"/>
      <c r="E109" s="88"/>
      <c r="F109" s="88"/>
      <c r="G109" s="85"/>
      <c r="H109" s="85"/>
      <c r="I109" s="85"/>
      <c r="J109" s="85"/>
      <c r="K109" s="88"/>
      <c r="L109" s="88"/>
      <c r="M109" s="85"/>
      <c r="N109" s="85"/>
      <c r="O109" s="73"/>
    </row>
    <row r="110" customFormat="false" ht="15" hidden="false" customHeight="false" outlineLevel="0" collapsed="false">
      <c r="A110" s="87"/>
      <c r="B110" s="73"/>
      <c r="C110" s="74" t="str">
        <f aca="false">IF(B110="","",IFERROR(INDEX(الموظفون!$C$6:$C$105,MATCH(B110,الموظفون!$B$6:$B$105,0)),"✖ رقم غير موجود"))</f>
        <v/>
      </c>
      <c r="D110" s="88"/>
      <c r="E110" s="88"/>
      <c r="F110" s="88"/>
      <c r="G110" s="85"/>
      <c r="H110" s="85"/>
      <c r="I110" s="85"/>
      <c r="J110" s="85"/>
      <c r="K110" s="88"/>
      <c r="L110" s="88"/>
      <c r="M110" s="85"/>
      <c r="N110" s="85"/>
      <c r="O110" s="73"/>
    </row>
    <row r="111" customFormat="false" ht="15" hidden="false" customHeight="false" outlineLevel="0" collapsed="false">
      <c r="A111" s="87"/>
      <c r="B111" s="73"/>
      <c r="C111" s="91" t="str">
        <f aca="false">IF(B111="","",IFERROR(INDEX(الموظفون!$C$6:$C$105,MATCH(B111,الموظفون!$B$6:$B$105,0)),"✖ رقم غير موجود"))</f>
        <v/>
      </c>
      <c r="D111" s="88"/>
      <c r="E111" s="88"/>
      <c r="F111" s="88"/>
      <c r="G111" s="85"/>
      <c r="H111" s="85"/>
      <c r="I111" s="85"/>
      <c r="J111" s="85"/>
      <c r="K111" s="88"/>
      <c r="L111" s="88"/>
      <c r="M111" s="85"/>
      <c r="N111" s="85"/>
      <c r="O111" s="73"/>
    </row>
    <row r="112" customFormat="false" ht="15" hidden="false" customHeight="false" outlineLevel="0" collapsed="false">
      <c r="A112" s="87"/>
      <c r="B112" s="73"/>
      <c r="C112" s="74" t="str">
        <f aca="false">IF(B112="","",IFERROR(INDEX(الموظفون!$C$6:$C$105,MATCH(B112,الموظفون!$B$6:$B$105,0)),"✖ رقم غير موجود"))</f>
        <v/>
      </c>
      <c r="D112" s="88"/>
      <c r="E112" s="88"/>
      <c r="F112" s="88"/>
      <c r="G112" s="85"/>
      <c r="H112" s="85"/>
      <c r="I112" s="85"/>
      <c r="J112" s="85"/>
      <c r="K112" s="88"/>
      <c r="L112" s="88"/>
      <c r="M112" s="85"/>
      <c r="N112" s="85"/>
      <c r="O112" s="73"/>
    </row>
    <row r="113" customFormat="false" ht="15" hidden="false" customHeight="false" outlineLevel="0" collapsed="false">
      <c r="A113" s="87"/>
      <c r="B113" s="73"/>
      <c r="C113" s="91" t="str">
        <f aca="false">IF(B113="","",IFERROR(INDEX(الموظفون!$C$6:$C$105,MATCH(B113,الموظفون!$B$6:$B$105,0)),"✖ رقم غير موجود"))</f>
        <v/>
      </c>
      <c r="D113" s="88"/>
      <c r="E113" s="88"/>
      <c r="F113" s="88"/>
      <c r="G113" s="85"/>
      <c r="H113" s="85"/>
      <c r="I113" s="85"/>
      <c r="J113" s="85"/>
      <c r="K113" s="88"/>
      <c r="L113" s="88"/>
      <c r="M113" s="85"/>
      <c r="N113" s="85"/>
      <c r="O113" s="73"/>
    </row>
    <row r="114" customFormat="false" ht="15" hidden="false" customHeight="false" outlineLevel="0" collapsed="false">
      <c r="A114" s="87"/>
      <c r="B114" s="73"/>
      <c r="C114" s="74" t="str">
        <f aca="false">IF(B114="","",IFERROR(INDEX(الموظفون!$C$6:$C$105,MATCH(B114,الموظفون!$B$6:$B$105,0)),"✖ رقم غير موجود"))</f>
        <v/>
      </c>
      <c r="D114" s="88"/>
      <c r="E114" s="88"/>
      <c r="F114" s="88"/>
      <c r="G114" s="85"/>
      <c r="H114" s="85"/>
      <c r="I114" s="85"/>
      <c r="J114" s="85"/>
      <c r="K114" s="88"/>
      <c r="L114" s="88"/>
      <c r="M114" s="85"/>
      <c r="N114" s="85"/>
      <c r="O114" s="73"/>
    </row>
    <row r="115" customFormat="false" ht="15" hidden="false" customHeight="false" outlineLevel="0" collapsed="false">
      <c r="A115" s="87"/>
      <c r="B115" s="73"/>
      <c r="C115" s="91" t="str">
        <f aca="false">IF(B115="","",IFERROR(INDEX(الموظفون!$C$6:$C$105,MATCH(B115,الموظفون!$B$6:$B$105,0)),"✖ رقم غير موجود"))</f>
        <v/>
      </c>
      <c r="D115" s="88"/>
      <c r="E115" s="88"/>
      <c r="F115" s="88"/>
      <c r="G115" s="85"/>
      <c r="H115" s="85"/>
      <c r="I115" s="85"/>
      <c r="J115" s="85"/>
      <c r="K115" s="88"/>
      <c r="L115" s="88"/>
      <c r="M115" s="85"/>
      <c r="N115" s="85"/>
      <c r="O115" s="73"/>
    </row>
    <row r="116" customFormat="false" ht="15" hidden="false" customHeight="false" outlineLevel="0" collapsed="false">
      <c r="A116" s="87"/>
      <c r="B116" s="73"/>
      <c r="C116" s="74" t="str">
        <f aca="false">IF(B116="","",IFERROR(INDEX(الموظفون!$C$6:$C$105,MATCH(B116,الموظفون!$B$6:$B$105,0)),"✖ رقم غير موجود"))</f>
        <v/>
      </c>
      <c r="D116" s="88"/>
      <c r="E116" s="88"/>
      <c r="F116" s="88"/>
      <c r="G116" s="85"/>
      <c r="H116" s="85"/>
      <c r="I116" s="85"/>
      <c r="J116" s="85"/>
      <c r="K116" s="88"/>
      <c r="L116" s="88"/>
      <c r="M116" s="85"/>
      <c r="N116" s="85"/>
      <c r="O116" s="73"/>
    </row>
    <row r="117" customFormat="false" ht="15" hidden="false" customHeight="false" outlineLevel="0" collapsed="false">
      <c r="A117" s="87"/>
      <c r="B117" s="73"/>
      <c r="C117" s="91" t="str">
        <f aca="false">IF(B117="","",IFERROR(INDEX(الموظفون!$C$6:$C$105,MATCH(B117,الموظفون!$B$6:$B$105,0)),"✖ رقم غير موجود"))</f>
        <v/>
      </c>
      <c r="D117" s="88"/>
      <c r="E117" s="88"/>
      <c r="F117" s="88"/>
      <c r="G117" s="85"/>
      <c r="H117" s="85"/>
      <c r="I117" s="85"/>
      <c r="J117" s="85"/>
      <c r="K117" s="88"/>
      <c r="L117" s="88"/>
      <c r="M117" s="85"/>
      <c r="N117" s="85"/>
      <c r="O117" s="73"/>
    </row>
    <row r="118" customFormat="false" ht="15" hidden="false" customHeight="false" outlineLevel="0" collapsed="false">
      <c r="A118" s="87"/>
      <c r="B118" s="73"/>
      <c r="C118" s="74" t="str">
        <f aca="false">IF(B118="","",IFERROR(INDEX(الموظفون!$C$6:$C$105,MATCH(B118,الموظفون!$B$6:$B$105,0)),"✖ رقم غير موجود"))</f>
        <v/>
      </c>
      <c r="D118" s="88"/>
      <c r="E118" s="88"/>
      <c r="F118" s="88"/>
      <c r="G118" s="85"/>
      <c r="H118" s="85"/>
      <c r="I118" s="85"/>
      <c r="J118" s="85"/>
      <c r="K118" s="88"/>
      <c r="L118" s="88"/>
      <c r="M118" s="85"/>
      <c r="N118" s="85"/>
      <c r="O118" s="73"/>
    </row>
    <row r="119" customFormat="false" ht="15" hidden="false" customHeight="false" outlineLevel="0" collapsed="false">
      <c r="A119" s="87"/>
      <c r="B119" s="73"/>
      <c r="C119" s="91" t="str">
        <f aca="false">IF(B119="","",IFERROR(INDEX(الموظفون!$C$6:$C$105,MATCH(B119,الموظفون!$B$6:$B$105,0)),"✖ رقم غير موجود"))</f>
        <v/>
      </c>
      <c r="D119" s="88"/>
      <c r="E119" s="88"/>
      <c r="F119" s="88"/>
      <c r="G119" s="85"/>
      <c r="H119" s="85"/>
      <c r="I119" s="85"/>
      <c r="J119" s="85"/>
      <c r="K119" s="88"/>
      <c r="L119" s="88"/>
      <c r="M119" s="85"/>
      <c r="N119" s="85"/>
      <c r="O119" s="73"/>
    </row>
    <row r="120" customFormat="false" ht="15" hidden="false" customHeight="false" outlineLevel="0" collapsed="false">
      <c r="A120" s="87"/>
      <c r="B120" s="73"/>
      <c r="C120" s="74" t="str">
        <f aca="false">IF(B120="","",IFERROR(INDEX(الموظفون!$C$6:$C$105,MATCH(B120,الموظفون!$B$6:$B$105,0)),"✖ رقم غير موجود"))</f>
        <v/>
      </c>
      <c r="D120" s="88"/>
      <c r="E120" s="88"/>
      <c r="F120" s="88"/>
      <c r="G120" s="85"/>
      <c r="H120" s="85"/>
      <c r="I120" s="85"/>
      <c r="J120" s="85"/>
      <c r="K120" s="88"/>
      <c r="L120" s="88"/>
      <c r="M120" s="85"/>
      <c r="N120" s="85"/>
      <c r="O120" s="73"/>
    </row>
    <row r="121" customFormat="false" ht="15" hidden="false" customHeight="false" outlineLevel="0" collapsed="false">
      <c r="A121" s="87"/>
      <c r="B121" s="73"/>
      <c r="C121" s="91" t="str">
        <f aca="false">IF(B121="","",IFERROR(INDEX(الموظفون!$C$6:$C$105,MATCH(B121,الموظفون!$B$6:$B$105,0)),"✖ رقم غير موجود"))</f>
        <v/>
      </c>
      <c r="D121" s="88"/>
      <c r="E121" s="88"/>
      <c r="F121" s="88"/>
      <c r="G121" s="85"/>
      <c r="H121" s="85"/>
      <c r="I121" s="85"/>
      <c r="J121" s="85"/>
      <c r="K121" s="88"/>
      <c r="L121" s="88"/>
      <c r="M121" s="85"/>
      <c r="N121" s="85"/>
      <c r="O121" s="73"/>
    </row>
    <row r="122" customFormat="false" ht="15" hidden="false" customHeight="false" outlineLevel="0" collapsed="false">
      <c r="A122" s="87"/>
      <c r="B122" s="73"/>
      <c r="C122" s="74" t="str">
        <f aca="false">IF(B122="","",IFERROR(INDEX(الموظفون!$C$6:$C$105,MATCH(B122,الموظفون!$B$6:$B$105,0)),"✖ رقم غير موجود"))</f>
        <v/>
      </c>
      <c r="D122" s="88"/>
      <c r="E122" s="88"/>
      <c r="F122" s="88"/>
      <c r="G122" s="85"/>
      <c r="H122" s="85"/>
      <c r="I122" s="85"/>
      <c r="J122" s="85"/>
      <c r="K122" s="88"/>
      <c r="L122" s="88"/>
      <c r="M122" s="85"/>
      <c r="N122" s="85"/>
      <c r="O122" s="73"/>
    </row>
    <row r="123" customFormat="false" ht="15" hidden="false" customHeight="false" outlineLevel="0" collapsed="false">
      <c r="A123" s="87"/>
      <c r="B123" s="73"/>
      <c r="C123" s="91" t="str">
        <f aca="false">IF(B123="","",IFERROR(INDEX(الموظفون!$C$6:$C$105,MATCH(B123,الموظفون!$B$6:$B$105,0)),"✖ رقم غير موجود"))</f>
        <v/>
      </c>
      <c r="D123" s="88"/>
      <c r="E123" s="88"/>
      <c r="F123" s="88"/>
      <c r="G123" s="85"/>
      <c r="H123" s="85"/>
      <c r="I123" s="85"/>
      <c r="J123" s="85"/>
      <c r="K123" s="88"/>
      <c r="L123" s="88"/>
      <c r="M123" s="85"/>
      <c r="N123" s="85"/>
      <c r="O123" s="73"/>
    </row>
    <row r="124" customFormat="false" ht="15" hidden="false" customHeight="false" outlineLevel="0" collapsed="false">
      <c r="A124" s="87"/>
      <c r="B124" s="73"/>
      <c r="C124" s="74" t="str">
        <f aca="false">IF(B124="","",IFERROR(INDEX(الموظفون!$C$6:$C$105,MATCH(B124,الموظفون!$B$6:$B$105,0)),"✖ رقم غير موجود"))</f>
        <v/>
      </c>
      <c r="D124" s="88"/>
      <c r="E124" s="88"/>
      <c r="F124" s="88"/>
      <c r="G124" s="85"/>
      <c r="H124" s="85"/>
      <c r="I124" s="85"/>
      <c r="J124" s="85"/>
      <c r="K124" s="88"/>
      <c r="L124" s="88"/>
      <c r="M124" s="85"/>
      <c r="N124" s="85"/>
      <c r="O124" s="73"/>
    </row>
    <row r="125" customFormat="false" ht="15" hidden="false" customHeight="false" outlineLevel="0" collapsed="false">
      <c r="A125" s="87"/>
      <c r="B125" s="73"/>
      <c r="C125" s="91" t="str">
        <f aca="false">IF(B125="","",IFERROR(INDEX(الموظفون!$C$6:$C$105,MATCH(B125,الموظفون!$B$6:$B$105,0)),"✖ رقم غير موجود"))</f>
        <v/>
      </c>
      <c r="D125" s="88"/>
      <c r="E125" s="88"/>
      <c r="F125" s="88"/>
      <c r="G125" s="85"/>
      <c r="H125" s="85"/>
      <c r="I125" s="85"/>
      <c r="J125" s="85"/>
      <c r="K125" s="88"/>
      <c r="L125" s="88"/>
      <c r="M125" s="85"/>
      <c r="N125" s="85"/>
      <c r="O125" s="73"/>
    </row>
    <row r="126" customFormat="false" ht="15" hidden="false" customHeight="false" outlineLevel="0" collapsed="false">
      <c r="A126" s="87"/>
      <c r="B126" s="73"/>
      <c r="C126" s="74" t="str">
        <f aca="false">IF(B126="","",IFERROR(INDEX(الموظفون!$C$6:$C$105,MATCH(B126,الموظفون!$B$6:$B$105,0)),"✖ رقم غير موجود"))</f>
        <v/>
      </c>
      <c r="D126" s="88"/>
      <c r="E126" s="88"/>
      <c r="F126" s="88"/>
      <c r="G126" s="85"/>
      <c r="H126" s="85"/>
      <c r="I126" s="85"/>
      <c r="J126" s="85"/>
      <c r="K126" s="88"/>
      <c r="L126" s="88"/>
      <c r="M126" s="85"/>
      <c r="N126" s="85"/>
      <c r="O126" s="73"/>
    </row>
    <row r="127" customFormat="false" ht="15" hidden="false" customHeight="false" outlineLevel="0" collapsed="false">
      <c r="A127" s="87"/>
      <c r="B127" s="73"/>
      <c r="C127" s="91" t="str">
        <f aca="false">IF(B127="","",IFERROR(INDEX(الموظفون!$C$6:$C$105,MATCH(B127,الموظفون!$B$6:$B$105,0)),"✖ رقم غير موجود"))</f>
        <v/>
      </c>
      <c r="D127" s="88"/>
      <c r="E127" s="88"/>
      <c r="F127" s="88"/>
      <c r="G127" s="85"/>
      <c r="H127" s="85"/>
      <c r="I127" s="85"/>
      <c r="J127" s="85"/>
      <c r="K127" s="88"/>
      <c r="L127" s="88"/>
      <c r="M127" s="85"/>
      <c r="N127" s="85"/>
      <c r="O127" s="73"/>
    </row>
    <row r="128" customFormat="false" ht="15" hidden="false" customHeight="false" outlineLevel="0" collapsed="false">
      <c r="A128" s="87"/>
      <c r="B128" s="73"/>
      <c r="C128" s="74" t="str">
        <f aca="false">IF(B128="","",IFERROR(INDEX(الموظفون!$C$6:$C$105,MATCH(B128,الموظفون!$B$6:$B$105,0)),"✖ رقم غير موجود"))</f>
        <v/>
      </c>
      <c r="D128" s="88"/>
      <c r="E128" s="88"/>
      <c r="F128" s="88"/>
      <c r="G128" s="85"/>
      <c r="H128" s="85"/>
      <c r="I128" s="85"/>
      <c r="J128" s="85"/>
      <c r="K128" s="88"/>
      <c r="L128" s="88"/>
      <c r="M128" s="85"/>
      <c r="N128" s="85"/>
      <c r="O128" s="73"/>
    </row>
    <row r="129" customFormat="false" ht="15" hidden="false" customHeight="false" outlineLevel="0" collapsed="false">
      <c r="A129" s="87"/>
      <c r="B129" s="73"/>
      <c r="C129" s="91" t="str">
        <f aca="false">IF(B129="","",IFERROR(INDEX(الموظفون!$C$6:$C$105,MATCH(B129,الموظفون!$B$6:$B$105,0)),"✖ رقم غير موجود"))</f>
        <v/>
      </c>
      <c r="D129" s="88"/>
      <c r="E129" s="88"/>
      <c r="F129" s="88"/>
      <c r="G129" s="85"/>
      <c r="H129" s="85"/>
      <c r="I129" s="85"/>
      <c r="J129" s="85"/>
      <c r="K129" s="88"/>
      <c r="L129" s="88"/>
      <c r="M129" s="85"/>
      <c r="N129" s="85"/>
      <c r="O129" s="73"/>
    </row>
    <row r="130" customFormat="false" ht="15" hidden="false" customHeight="false" outlineLevel="0" collapsed="false">
      <c r="A130" s="87"/>
      <c r="B130" s="73"/>
      <c r="C130" s="74" t="str">
        <f aca="false">IF(B130="","",IFERROR(INDEX(الموظفون!$C$6:$C$105,MATCH(B130,الموظفون!$B$6:$B$105,0)),"✖ رقم غير موجود"))</f>
        <v/>
      </c>
      <c r="D130" s="88"/>
      <c r="E130" s="88"/>
      <c r="F130" s="88"/>
      <c r="G130" s="85"/>
      <c r="H130" s="85"/>
      <c r="I130" s="85"/>
      <c r="J130" s="85"/>
      <c r="K130" s="88"/>
      <c r="L130" s="88"/>
      <c r="M130" s="85"/>
      <c r="N130" s="85"/>
      <c r="O130" s="73"/>
    </row>
    <row r="131" customFormat="false" ht="15" hidden="false" customHeight="false" outlineLevel="0" collapsed="false">
      <c r="A131" s="87"/>
      <c r="B131" s="73"/>
      <c r="C131" s="91" t="str">
        <f aca="false">IF(B131="","",IFERROR(INDEX(الموظفون!$C$6:$C$105,MATCH(B131,الموظفون!$B$6:$B$105,0)),"✖ رقم غير موجود"))</f>
        <v/>
      </c>
      <c r="D131" s="88"/>
      <c r="E131" s="88"/>
      <c r="F131" s="88"/>
      <c r="G131" s="85"/>
      <c r="H131" s="85"/>
      <c r="I131" s="85"/>
      <c r="J131" s="85"/>
      <c r="K131" s="88"/>
      <c r="L131" s="88"/>
      <c r="M131" s="85"/>
      <c r="N131" s="85"/>
      <c r="O131" s="73"/>
    </row>
    <row r="132" customFormat="false" ht="15" hidden="false" customHeight="false" outlineLevel="0" collapsed="false">
      <c r="A132" s="87"/>
      <c r="B132" s="73"/>
      <c r="C132" s="74" t="str">
        <f aca="false">IF(B132="","",IFERROR(INDEX(الموظفون!$C$6:$C$105,MATCH(B132,الموظفون!$B$6:$B$105,0)),"✖ رقم غير موجود"))</f>
        <v/>
      </c>
      <c r="D132" s="88"/>
      <c r="E132" s="88"/>
      <c r="F132" s="88"/>
      <c r="G132" s="85"/>
      <c r="H132" s="85"/>
      <c r="I132" s="85"/>
      <c r="J132" s="85"/>
      <c r="K132" s="88"/>
      <c r="L132" s="88"/>
      <c r="M132" s="85"/>
      <c r="N132" s="85"/>
      <c r="O132" s="73"/>
    </row>
    <row r="133" customFormat="false" ht="15" hidden="false" customHeight="false" outlineLevel="0" collapsed="false">
      <c r="A133" s="87"/>
      <c r="B133" s="73"/>
      <c r="C133" s="91" t="str">
        <f aca="false">IF(B133="","",IFERROR(INDEX(الموظفون!$C$6:$C$105,MATCH(B133,الموظفون!$B$6:$B$105,0)),"✖ رقم غير موجود"))</f>
        <v/>
      </c>
      <c r="D133" s="88"/>
      <c r="E133" s="88"/>
      <c r="F133" s="88"/>
      <c r="G133" s="85"/>
      <c r="H133" s="85"/>
      <c r="I133" s="85"/>
      <c r="J133" s="85"/>
      <c r="K133" s="88"/>
      <c r="L133" s="88"/>
      <c r="M133" s="85"/>
      <c r="N133" s="85"/>
      <c r="O133" s="73"/>
    </row>
    <row r="134" customFormat="false" ht="15" hidden="false" customHeight="false" outlineLevel="0" collapsed="false">
      <c r="A134" s="87"/>
      <c r="B134" s="73"/>
      <c r="C134" s="74" t="str">
        <f aca="false">IF(B134="","",IFERROR(INDEX(الموظفون!$C$6:$C$105,MATCH(B134,الموظفون!$B$6:$B$105,0)),"✖ رقم غير موجود"))</f>
        <v/>
      </c>
      <c r="D134" s="88"/>
      <c r="E134" s="88"/>
      <c r="F134" s="88"/>
      <c r="G134" s="85"/>
      <c r="H134" s="85"/>
      <c r="I134" s="85"/>
      <c r="J134" s="85"/>
      <c r="K134" s="88"/>
      <c r="L134" s="88"/>
      <c r="M134" s="85"/>
      <c r="N134" s="85"/>
      <c r="O134" s="73"/>
    </row>
    <row r="135" customFormat="false" ht="15" hidden="false" customHeight="false" outlineLevel="0" collapsed="false">
      <c r="A135" s="87"/>
      <c r="B135" s="73"/>
      <c r="C135" s="91" t="str">
        <f aca="false">IF(B135="","",IFERROR(INDEX(الموظفون!$C$6:$C$105,MATCH(B135,الموظفون!$B$6:$B$105,0)),"✖ رقم غير موجود"))</f>
        <v/>
      </c>
      <c r="D135" s="88"/>
      <c r="E135" s="88"/>
      <c r="F135" s="88"/>
      <c r="G135" s="85"/>
      <c r="H135" s="85"/>
      <c r="I135" s="85"/>
      <c r="J135" s="85"/>
      <c r="K135" s="88"/>
      <c r="L135" s="88"/>
      <c r="M135" s="85"/>
      <c r="N135" s="85"/>
      <c r="O135" s="73"/>
    </row>
    <row r="136" customFormat="false" ht="15" hidden="false" customHeight="false" outlineLevel="0" collapsed="false">
      <c r="A136" s="87"/>
      <c r="B136" s="73"/>
      <c r="C136" s="74" t="str">
        <f aca="false">IF(B136="","",IFERROR(INDEX(الموظفون!$C$6:$C$105,MATCH(B136,الموظفون!$B$6:$B$105,0)),"✖ رقم غير موجود"))</f>
        <v/>
      </c>
      <c r="D136" s="88"/>
      <c r="E136" s="88"/>
      <c r="F136" s="88"/>
      <c r="G136" s="85"/>
      <c r="H136" s="85"/>
      <c r="I136" s="85"/>
      <c r="J136" s="85"/>
      <c r="K136" s="88"/>
      <c r="L136" s="88"/>
      <c r="M136" s="85"/>
      <c r="N136" s="85"/>
      <c r="O136" s="73"/>
    </row>
    <row r="137" customFormat="false" ht="15" hidden="false" customHeight="false" outlineLevel="0" collapsed="false">
      <c r="A137" s="87"/>
      <c r="B137" s="73"/>
      <c r="C137" s="91" t="str">
        <f aca="false">IF(B137="","",IFERROR(INDEX(الموظفون!$C$6:$C$105,MATCH(B137,الموظفون!$B$6:$B$105,0)),"✖ رقم غير موجود"))</f>
        <v/>
      </c>
      <c r="D137" s="88"/>
      <c r="E137" s="88"/>
      <c r="F137" s="88"/>
      <c r="G137" s="85"/>
      <c r="H137" s="85"/>
      <c r="I137" s="85"/>
      <c r="J137" s="85"/>
      <c r="K137" s="88"/>
      <c r="L137" s="88"/>
      <c r="M137" s="85"/>
      <c r="N137" s="85"/>
      <c r="O137" s="73"/>
    </row>
    <row r="138" customFormat="false" ht="15" hidden="false" customHeight="false" outlineLevel="0" collapsed="false">
      <c r="A138" s="87"/>
      <c r="B138" s="73"/>
      <c r="C138" s="74" t="str">
        <f aca="false">IF(B138="","",IFERROR(INDEX(الموظفون!$C$6:$C$105,MATCH(B138,الموظفون!$B$6:$B$105,0)),"✖ رقم غير موجود"))</f>
        <v/>
      </c>
      <c r="D138" s="88"/>
      <c r="E138" s="88"/>
      <c r="F138" s="88"/>
      <c r="G138" s="85"/>
      <c r="H138" s="85"/>
      <c r="I138" s="85"/>
      <c r="J138" s="85"/>
      <c r="K138" s="88"/>
      <c r="L138" s="88"/>
      <c r="M138" s="85"/>
      <c r="N138" s="85"/>
      <c r="O138" s="73"/>
    </row>
    <row r="139" customFormat="false" ht="15" hidden="false" customHeight="false" outlineLevel="0" collapsed="false">
      <c r="A139" s="87"/>
      <c r="B139" s="73"/>
      <c r="C139" s="91" t="str">
        <f aca="false">IF(B139="","",IFERROR(INDEX(الموظفون!$C$6:$C$105,MATCH(B139,الموظفون!$B$6:$B$105,0)),"✖ رقم غير موجود"))</f>
        <v/>
      </c>
      <c r="D139" s="88"/>
      <c r="E139" s="88"/>
      <c r="F139" s="88"/>
      <c r="G139" s="85"/>
      <c r="H139" s="85"/>
      <c r="I139" s="85"/>
      <c r="J139" s="85"/>
      <c r="K139" s="88"/>
      <c r="L139" s="88"/>
      <c r="M139" s="85"/>
      <c r="N139" s="85"/>
      <c r="O139" s="73"/>
    </row>
    <row r="140" customFormat="false" ht="15" hidden="false" customHeight="false" outlineLevel="0" collapsed="false">
      <c r="A140" s="87"/>
      <c r="B140" s="73"/>
      <c r="C140" s="74" t="str">
        <f aca="false">IF(B140="","",IFERROR(INDEX(الموظفون!$C$6:$C$105,MATCH(B140,الموظفون!$B$6:$B$105,0)),"✖ رقم غير موجود"))</f>
        <v/>
      </c>
      <c r="D140" s="88"/>
      <c r="E140" s="88"/>
      <c r="F140" s="88"/>
      <c r="G140" s="85"/>
      <c r="H140" s="85"/>
      <c r="I140" s="85"/>
      <c r="J140" s="85"/>
      <c r="K140" s="88"/>
      <c r="L140" s="88"/>
      <c r="M140" s="85"/>
      <c r="N140" s="85"/>
      <c r="O140" s="73"/>
    </row>
    <row r="141" customFormat="false" ht="15" hidden="false" customHeight="false" outlineLevel="0" collapsed="false">
      <c r="A141" s="87"/>
      <c r="B141" s="73"/>
      <c r="C141" s="91" t="str">
        <f aca="false">IF(B141="","",IFERROR(INDEX(الموظفون!$C$6:$C$105,MATCH(B141,الموظفون!$B$6:$B$105,0)),"✖ رقم غير موجود"))</f>
        <v/>
      </c>
      <c r="D141" s="88"/>
      <c r="E141" s="88"/>
      <c r="F141" s="88"/>
      <c r="G141" s="85"/>
      <c r="H141" s="85"/>
      <c r="I141" s="85"/>
      <c r="J141" s="85"/>
      <c r="K141" s="88"/>
      <c r="L141" s="88"/>
      <c r="M141" s="85"/>
      <c r="N141" s="85"/>
      <c r="O141" s="73"/>
    </row>
    <row r="142" customFormat="false" ht="15" hidden="false" customHeight="false" outlineLevel="0" collapsed="false">
      <c r="A142" s="87"/>
      <c r="B142" s="73"/>
      <c r="C142" s="74" t="str">
        <f aca="false">IF(B142="","",IFERROR(INDEX(الموظفون!$C$6:$C$105,MATCH(B142,الموظفون!$B$6:$B$105,0)),"✖ رقم غير موجود"))</f>
        <v/>
      </c>
      <c r="D142" s="88"/>
      <c r="E142" s="88"/>
      <c r="F142" s="88"/>
      <c r="G142" s="85"/>
      <c r="H142" s="85"/>
      <c r="I142" s="85"/>
      <c r="J142" s="85"/>
      <c r="K142" s="88"/>
      <c r="L142" s="88"/>
      <c r="M142" s="85"/>
      <c r="N142" s="85"/>
      <c r="O142" s="73"/>
    </row>
    <row r="143" customFormat="false" ht="15" hidden="false" customHeight="false" outlineLevel="0" collapsed="false">
      <c r="A143" s="87"/>
      <c r="B143" s="73"/>
      <c r="C143" s="91" t="str">
        <f aca="false">IF(B143="","",IFERROR(INDEX(الموظفون!$C$6:$C$105,MATCH(B143,الموظفون!$B$6:$B$105,0)),"✖ رقم غير موجود"))</f>
        <v/>
      </c>
      <c r="D143" s="88"/>
      <c r="E143" s="88"/>
      <c r="F143" s="88"/>
      <c r="G143" s="85"/>
      <c r="H143" s="85"/>
      <c r="I143" s="85"/>
      <c r="J143" s="85"/>
      <c r="K143" s="88"/>
      <c r="L143" s="88"/>
      <c r="M143" s="85"/>
      <c r="N143" s="85"/>
      <c r="O143" s="73"/>
    </row>
    <row r="144" customFormat="false" ht="15" hidden="false" customHeight="false" outlineLevel="0" collapsed="false">
      <c r="A144" s="87"/>
      <c r="B144" s="73"/>
      <c r="C144" s="74" t="str">
        <f aca="false">IF(B144="","",IFERROR(INDEX(الموظفون!$C$6:$C$105,MATCH(B144,الموظفون!$B$6:$B$105,0)),"✖ رقم غير موجود"))</f>
        <v/>
      </c>
      <c r="D144" s="88"/>
      <c r="E144" s="88"/>
      <c r="F144" s="88"/>
      <c r="G144" s="85"/>
      <c r="H144" s="85"/>
      <c r="I144" s="85"/>
      <c r="J144" s="85"/>
      <c r="K144" s="88"/>
      <c r="L144" s="88"/>
      <c r="M144" s="85"/>
      <c r="N144" s="85"/>
      <c r="O144" s="73"/>
    </row>
    <row r="145" customFormat="false" ht="15" hidden="false" customHeight="false" outlineLevel="0" collapsed="false">
      <c r="A145" s="87"/>
      <c r="B145" s="73"/>
      <c r="C145" s="91" t="str">
        <f aca="false">IF(B145="","",IFERROR(INDEX(الموظفون!$C$6:$C$105,MATCH(B145,الموظفون!$B$6:$B$105,0)),"✖ رقم غير موجود"))</f>
        <v/>
      </c>
      <c r="D145" s="88"/>
      <c r="E145" s="88"/>
      <c r="F145" s="88"/>
      <c r="G145" s="85"/>
      <c r="H145" s="85"/>
      <c r="I145" s="85"/>
      <c r="J145" s="85"/>
      <c r="K145" s="88"/>
      <c r="L145" s="88"/>
      <c r="M145" s="85"/>
      <c r="N145" s="85"/>
      <c r="O145" s="73"/>
    </row>
    <row r="146" customFormat="false" ht="15" hidden="false" customHeight="false" outlineLevel="0" collapsed="false">
      <c r="A146" s="87"/>
      <c r="B146" s="73"/>
      <c r="C146" s="74" t="str">
        <f aca="false">IF(B146="","",IFERROR(INDEX(الموظفون!$C$6:$C$105,MATCH(B146,الموظفون!$B$6:$B$105,0)),"✖ رقم غير موجود"))</f>
        <v/>
      </c>
      <c r="D146" s="88"/>
      <c r="E146" s="88"/>
      <c r="F146" s="88"/>
      <c r="G146" s="85"/>
      <c r="H146" s="85"/>
      <c r="I146" s="85"/>
      <c r="J146" s="85"/>
      <c r="K146" s="88"/>
      <c r="L146" s="88"/>
      <c r="M146" s="85"/>
      <c r="N146" s="85"/>
      <c r="O146" s="73"/>
    </row>
    <row r="147" customFormat="false" ht="15" hidden="false" customHeight="false" outlineLevel="0" collapsed="false">
      <c r="A147" s="87"/>
      <c r="B147" s="73"/>
      <c r="C147" s="91" t="str">
        <f aca="false">IF(B147="","",IFERROR(INDEX(الموظفون!$C$6:$C$105,MATCH(B147,الموظفون!$B$6:$B$105,0)),"✖ رقم غير موجود"))</f>
        <v/>
      </c>
      <c r="D147" s="88"/>
      <c r="E147" s="88"/>
      <c r="F147" s="88"/>
      <c r="G147" s="85"/>
      <c r="H147" s="85"/>
      <c r="I147" s="85"/>
      <c r="J147" s="85"/>
      <c r="K147" s="88"/>
      <c r="L147" s="88"/>
      <c r="M147" s="85"/>
      <c r="N147" s="85"/>
      <c r="O147" s="73"/>
    </row>
    <row r="148" customFormat="false" ht="15" hidden="false" customHeight="false" outlineLevel="0" collapsed="false">
      <c r="A148" s="87"/>
      <c r="B148" s="73"/>
      <c r="C148" s="74" t="str">
        <f aca="false">IF(B148="","",IFERROR(INDEX(الموظفون!$C$6:$C$105,MATCH(B148,الموظفون!$B$6:$B$105,0)),"✖ رقم غير موجود"))</f>
        <v/>
      </c>
      <c r="D148" s="88"/>
      <c r="E148" s="88"/>
      <c r="F148" s="88"/>
      <c r="G148" s="85"/>
      <c r="H148" s="85"/>
      <c r="I148" s="85"/>
      <c r="J148" s="85"/>
      <c r="K148" s="88"/>
      <c r="L148" s="88"/>
      <c r="M148" s="85"/>
      <c r="N148" s="85"/>
      <c r="O148" s="73"/>
    </row>
    <row r="149" customFormat="false" ht="15" hidden="false" customHeight="false" outlineLevel="0" collapsed="false">
      <c r="A149" s="87"/>
      <c r="B149" s="73"/>
      <c r="C149" s="91" t="str">
        <f aca="false">IF(B149="","",IFERROR(INDEX(الموظفون!$C$6:$C$105,MATCH(B149,الموظفون!$B$6:$B$105,0)),"✖ رقم غير موجود"))</f>
        <v/>
      </c>
      <c r="D149" s="88"/>
      <c r="E149" s="88"/>
      <c r="F149" s="88"/>
      <c r="G149" s="85"/>
      <c r="H149" s="85"/>
      <c r="I149" s="85"/>
      <c r="J149" s="85"/>
      <c r="K149" s="88"/>
      <c r="L149" s="88"/>
      <c r="M149" s="85"/>
      <c r="N149" s="85"/>
      <c r="O149" s="73"/>
    </row>
    <row r="150" customFormat="false" ht="15" hidden="false" customHeight="false" outlineLevel="0" collapsed="false">
      <c r="A150" s="87"/>
      <c r="B150" s="73"/>
      <c r="C150" s="74" t="str">
        <f aca="false">IF(B150="","",IFERROR(INDEX(الموظفون!$C$6:$C$105,MATCH(B150,الموظفون!$B$6:$B$105,0)),"✖ رقم غير موجود"))</f>
        <v/>
      </c>
      <c r="D150" s="88"/>
      <c r="E150" s="88"/>
      <c r="F150" s="88"/>
      <c r="G150" s="85"/>
      <c r="H150" s="85"/>
      <c r="I150" s="85"/>
      <c r="J150" s="85"/>
      <c r="K150" s="88"/>
      <c r="L150" s="88"/>
      <c r="M150" s="85"/>
      <c r="N150" s="85"/>
      <c r="O150" s="73"/>
    </row>
    <row r="151" customFormat="false" ht="15" hidden="false" customHeight="false" outlineLevel="0" collapsed="false">
      <c r="A151" s="87"/>
      <c r="B151" s="73"/>
      <c r="C151" s="91" t="str">
        <f aca="false">IF(B151="","",IFERROR(INDEX(الموظفون!$C$6:$C$105,MATCH(B151,الموظفون!$B$6:$B$105,0)),"✖ رقم غير موجود"))</f>
        <v/>
      </c>
      <c r="D151" s="88"/>
      <c r="E151" s="88"/>
      <c r="F151" s="88"/>
      <c r="G151" s="85"/>
      <c r="H151" s="85"/>
      <c r="I151" s="85"/>
      <c r="J151" s="85"/>
      <c r="K151" s="88"/>
      <c r="L151" s="88"/>
      <c r="M151" s="85"/>
      <c r="N151" s="85"/>
      <c r="O151" s="73"/>
    </row>
    <row r="152" customFormat="false" ht="15" hidden="false" customHeight="false" outlineLevel="0" collapsed="false">
      <c r="A152" s="87"/>
      <c r="B152" s="73"/>
      <c r="C152" s="74" t="str">
        <f aca="false">IF(B152="","",IFERROR(INDEX(الموظفون!$C$6:$C$105,MATCH(B152,الموظفون!$B$6:$B$105,0)),"✖ رقم غير موجود"))</f>
        <v/>
      </c>
      <c r="D152" s="88"/>
      <c r="E152" s="88"/>
      <c r="F152" s="88"/>
      <c r="G152" s="85"/>
      <c r="H152" s="85"/>
      <c r="I152" s="85"/>
      <c r="J152" s="85"/>
      <c r="K152" s="88"/>
      <c r="L152" s="88"/>
      <c r="M152" s="85"/>
      <c r="N152" s="85"/>
      <c r="O152" s="73"/>
    </row>
    <row r="153" customFormat="false" ht="15" hidden="false" customHeight="false" outlineLevel="0" collapsed="false">
      <c r="A153" s="87"/>
      <c r="B153" s="73"/>
      <c r="C153" s="91" t="str">
        <f aca="false">IF(B153="","",IFERROR(INDEX(الموظفون!$C$6:$C$105,MATCH(B153,الموظفون!$B$6:$B$105,0)),"✖ رقم غير موجود"))</f>
        <v/>
      </c>
      <c r="D153" s="88"/>
      <c r="E153" s="88"/>
      <c r="F153" s="88"/>
      <c r="G153" s="85"/>
      <c r="H153" s="85"/>
      <c r="I153" s="85"/>
      <c r="J153" s="85"/>
      <c r="K153" s="88"/>
      <c r="L153" s="88"/>
      <c r="M153" s="85"/>
      <c r="N153" s="85"/>
      <c r="O153" s="73"/>
    </row>
    <row r="154" customFormat="false" ht="15" hidden="false" customHeight="false" outlineLevel="0" collapsed="false">
      <c r="A154" s="87"/>
      <c r="B154" s="73"/>
      <c r="C154" s="74" t="str">
        <f aca="false">IF(B154="","",IFERROR(INDEX(الموظفون!$C$6:$C$105,MATCH(B154,الموظفون!$B$6:$B$105,0)),"✖ رقم غير موجود"))</f>
        <v/>
      </c>
      <c r="D154" s="88"/>
      <c r="E154" s="88"/>
      <c r="F154" s="88"/>
      <c r="G154" s="85"/>
      <c r="H154" s="85"/>
      <c r="I154" s="85"/>
      <c r="J154" s="85"/>
      <c r="K154" s="88"/>
      <c r="L154" s="88"/>
      <c r="M154" s="85"/>
      <c r="N154" s="85"/>
      <c r="O154" s="73"/>
    </row>
    <row r="155" customFormat="false" ht="15" hidden="false" customHeight="false" outlineLevel="0" collapsed="false">
      <c r="A155" s="87"/>
      <c r="B155" s="73"/>
      <c r="C155" s="91" t="str">
        <f aca="false">IF(B155="","",IFERROR(INDEX(الموظفون!$C$6:$C$105,MATCH(B155,الموظفون!$B$6:$B$105,0)),"✖ رقم غير موجود"))</f>
        <v/>
      </c>
      <c r="D155" s="88"/>
      <c r="E155" s="88"/>
      <c r="F155" s="88"/>
      <c r="G155" s="85"/>
      <c r="H155" s="85"/>
      <c r="I155" s="85"/>
      <c r="J155" s="85"/>
      <c r="K155" s="88"/>
      <c r="L155" s="88"/>
      <c r="M155" s="85"/>
      <c r="N155" s="85"/>
      <c r="O155" s="73"/>
    </row>
    <row r="156" customFormat="false" ht="15" hidden="false" customHeight="false" outlineLevel="0" collapsed="false">
      <c r="A156" s="87"/>
      <c r="B156" s="73"/>
      <c r="C156" s="74" t="str">
        <f aca="false">IF(B156="","",IFERROR(INDEX(الموظفون!$C$6:$C$105,MATCH(B156,الموظفون!$B$6:$B$105,0)),"✖ رقم غير موجود"))</f>
        <v/>
      </c>
      <c r="D156" s="88"/>
      <c r="E156" s="88"/>
      <c r="F156" s="88"/>
      <c r="G156" s="85"/>
      <c r="H156" s="85"/>
      <c r="I156" s="85"/>
      <c r="J156" s="85"/>
      <c r="K156" s="88"/>
      <c r="L156" s="88"/>
      <c r="M156" s="85"/>
      <c r="N156" s="85"/>
      <c r="O156" s="73"/>
    </row>
    <row r="157" customFormat="false" ht="15" hidden="false" customHeight="false" outlineLevel="0" collapsed="false">
      <c r="A157" s="87"/>
      <c r="B157" s="73"/>
      <c r="C157" s="91" t="str">
        <f aca="false">IF(B157="","",IFERROR(INDEX(الموظفون!$C$6:$C$105,MATCH(B157,الموظفون!$B$6:$B$105,0)),"✖ رقم غير موجود"))</f>
        <v/>
      </c>
      <c r="D157" s="88"/>
      <c r="E157" s="88"/>
      <c r="F157" s="88"/>
      <c r="G157" s="85"/>
      <c r="H157" s="85"/>
      <c r="I157" s="85"/>
      <c r="J157" s="85"/>
      <c r="K157" s="88"/>
      <c r="L157" s="88"/>
      <c r="M157" s="85"/>
      <c r="N157" s="85"/>
      <c r="O157" s="73"/>
    </row>
    <row r="158" customFormat="false" ht="15" hidden="false" customHeight="false" outlineLevel="0" collapsed="false">
      <c r="A158" s="87"/>
      <c r="B158" s="73"/>
      <c r="C158" s="74" t="str">
        <f aca="false">IF(B158="","",IFERROR(INDEX(الموظفون!$C$6:$C$105,MATCH(B158,الموظفون!$B$6:$B$105,0)),"✖ رقم غير موجود"))</f>
        <v/>
      </c>
      <c r="D158" s="88"/>
      <c r="E158" s="88"/>
      <c r="F158" s="88"/>
      <c r="G158" s="85"/>
      <c r="H158" s="85"/>
      <c r="I158" s="85"/>
      <c r="J158" s="85"/>
      <c r="K158" s="88"/>
      <c r="L158" s="88"/>
      <c r="M158" s="85"/>
      <c r="N158" s="85"/>
      <c r="O158" s="73"/>
    </row>
    <row r="159" customFormat="false" ht="15" hidden="false" customHeight="false" outlineLevel="0" collapsed="false">
      <c r="A159" s="87"/>
      <c r="B159" s="73"/>
      <c r="C159" s="91" t="str">
        <f aca="false">IF(B159="","",IFERROR(INDEX(الموظفون!$C$6:$C$105,MATCH(B159,الموظفون!$B$6:$B$105,0)),"✖ رقم غير موجود"))</f>
        <v/>
      </c>
      <c r="D159" s="88"/>
      <c r="E159" s="88"/>
      <c r="F159" s="88"/>
      <c r="G159" s="85"/>
      <c r="H159" s="85"/>
      <c r="I159" s="85"/>
      <c r="J159" s="85"/>
      <c r="K159" s="88"/>
      <c r="L159" s="88"/>
      <c r="M159" s="85"/>
      <c r="N159" s="85"/>
      <c r="O159" s="73"/>
    </row>
    <row r="160" customFormat="false" ht="15" hidden="false" customHeight="false" outlineLevel="0" collapsed="false">
      <c r="A160" s="87"/>
      <c r="B160" s="73"/>
      <c r="C160" s="74" t="str">
        <f aca="false">IF(B160="","",IFERROR(INDEX(الموظفون!$C$6:$C$105,MATCH(B160,الموظفون!$B$6:$B$105,0)),"✖ رقم غير موجود"))</f>
        <v/>
      </c>
      <c r="D160" s="88"/>
      <c r="E160" s="88"/>
      <c r="F160" s="88"/>
      <c r="G160" s="85"/>
      <c r="H160" s="85"/>
      <c r="I160" s="85"/>
      <c r="J160" s="85"/>
      <c r="K160" s="88"/>
      <c r="L160" s="88"/>
      <c r="M160" s="85"/>
      <c r="N160" s="85"/>
      <c r="O160" s="73"/>
    </row>
    <row r="161" customFormat="false" ht="15" hidden="false" customHeight="false" outlineLevel="0" collapsed="false">
      <c r="A161" s="87"/>
      <c r="B161" s="73"/>
      <c r="C161" s="91" t="str">
        <f aca="false">IF(B161="","",IFERROR(INDEX(الموظفون!$C$6:$C$105,MATCH(B161,الموظفون!$B$6:$B$105,0)),"✖ رقم غير موجود"))</f>
        <v/>
      </c>
      <c r="D161" s="88"/>
      <c r="E161" s="88"/>
      <c r="F161" s="88"/>
      <c r="G161" s="85"/>
      <c r="H161" s="85"/>
      <c r="I161" s="85"/>
      <c r="J161" s="85"/>
      <c r="K161" s="88"/>
      <c r="L161" s="88"/>
      <c r="M161" s="85"/>
      <c r="N161" s="85"/>
      <c r="O161" s="73"/>
    </row>
    <row r="162" customFormat="false" ht="15" hidden="false" customHeight="false" outlineLevel="0" collapsed="false">
      <c r="A162" s="87"/>
      <c r="B162" s="73"/>
      <c r="C162" s="74" t="str">
        <f aca="false">IF(B162="","",IFERROR(INDEX(الموظفون!$C$6:$C$105,MATCH(B162,الموظفون!$B$6:$B$105,0)),"✖ رقم غير موجود"))</f>
        <v/>
      </c>
      <c r="D162" s="88"/>
      <c r="E162" s="88"/>
      <c r="F162" s="88"/>
      <c r="G162" s="85"/>
      <c r="H162" s="85"/>
      <c r="I162" s="85"/>
      <c r="J162" s="85"/>
      <c r="K162" s="88"/>
      <c r="L162" s="88"/>
      <c r="M162" s="85"/>
      <c r="N162" s="85"/>
      <c r="O162" s="73"/>
    </row>
    <row r="163" customFormat="false" ht="15" hidden="false" customHeight="false" outlineLevel="0" collapsed="false">
      <c r="A163" s="87"/>
      <c r="B163" s="73"/>
      <c r="C163" s="91" t="str">
        <f aca="false">IF(B163="","",IFERROR(INDEX(الموظفون!$C$6:$C$105,MATCH(B163,الموظفون!$B$6:$B$105,0)),"✖ رقم غير موجود"))</f>
        <v/>
      </c>
      <c r="D163" s="88"/>
      <c r="E163" s="88"/>
      <c r="F163" s="88"/>
      <c r="G163" s="85"/>
      <c r="H163" s="85"/>
      <c r="I163" s="85"/>
      <c r="J163" s="85"/>
      <c r="K163" s="88"/>
      <c r="L163" s="88"/>
      <c r="M163" s="85"/>
      <c r="N163" s="85"/>
      <c r="O163" s="73"/>
    </row>
    <row r="164" customFormat="false" ht="15" hidden="false" customHeight="false" outlineLevel="0" collapsed="false">
      <c r="A164" s="87"/>
      <c r="B164" s="73"/>
      <c r="C164" s="74" t="str">
        <f aca="false">IF(B164="","",IFERROR(INDEX(الموظفون!$C$6:$C$105,MATCH(B164,الموظفون!$B$6:$B$105,0)),"✖ رقم غير موجود"))</f>
        <v/>
      </c>
      <c r="D164" s="88"/>
      <c r="E164" s="88"/>
      <c r="F164" s="88"/>
      <c r="G164" s="85"/>
      <c r="H164" s="85"/>
      <c r="I164" s="85"/>
      <c r="J164" s="85"/>
      <c r="K164" s="88"/>
      <c r="L164" s="88"/>
      <c r="M164" s="85"/>
      <c r="N164" s="85"/>
      <c r="O164" s="73"/>
    </row>
    <row r="165" customFormat="false" ht="15" hidden="false" customHeight="false" outlineLevel="0" collapsed="false">
      <c r="A165" s="87"/>
      <c r="B165" s="73"/>
      <c r="C165" s="91" t="str">
        <f aca="false">IF(B165="","",IFERROR(INDEX(الموظفون!$C$6:$C$105,MATCH(B165,الموظفون!$B$6:$B$105,0)),"✖ رقم غير موجود"))</f>
        <v/>
      </c>
      <c r="D165" s="88"/>
      <c r="E165" s="88"/>
      <c r="F165" s="88"/>
      <c r="G165" s="85"/>
      <c r="H165" s="85"/>
      <c r="I165" s="85"/>
      <c r="J165" s="85"/>
      <c r="K165" s="88"/>
      <c r="L165" s="88"/>
      <c r="M165" s="85"/>
      <c r="N165" s="85"/>
      <c r="O165" s="73"/>
    </row>
    <row r="166" customFormat="false" ht="15" hidden="false" customHeight="false" outlineLevel="0" collapsed="false">
      <c r="A166" s="87"/>
      <c r="B166" s="73"/>
      <c r="C166" s="74" t="str">
        <f aca="false">IF(B166="","",IFERROR(INDEX(الموظفون!$C$6:$C$105,MATCH(B166,الموظفون!$B$6:$B$105,0)),"✖ رقم غير موجود"))</f>
        <v/>
      </c>
      <c r="D166" s="88"/>
      <c r="E166" s="88"/>
      <c r="F166" s="88"/>
      <c r="G166" s="85"/>
      <c r="H166" s="85"/>
      <c r="I166" s="85"/>
      <c r="J166" s="85"/>
      <c r="K166" s="88"/>
      <c r="L166" s="88"/>
      <c r="M166" s="85"/>
      <c r="N166" s="85"/>
      <c r="O166" s="73"/>
    </row>
    <row r="167" customFormat="false" ht="15" hidden="false" customHeight="false" outlineLevel="0" collapsed="false">
      <c r="A167" s="87"/>
      <c r="B167" s="73"/>
      <c r="C167" s="91" t="str">
        <f aca="false">IF(B167="","",IFERROR(INDEX(الموظفون!$C$6:$C$105,MATCH(B167,الموظفون!$B$6:$B$105,0)),"✖ رقم غير موجود"))</f>
        <v/>
      </c>
      <c r="D167" s="88"/>
      <c r="E167" s="88"/>
      <c r="F167" s="88"/>
      <c r="G167" s="85"/>
      <c r="H167" s="85"/>
      <c r="I167" s="85"/>
      <c r="J167" s="85"/>
      <c r="K167" s="88"/>
      <c r="L167" s="88"/>
      <c r="M167" s="85"/>
      <c r="N167" s="85"/>
      <c r="O167" s="73"/>
    </row>
    <row r="168" customFormat="false" ht="15" hidden="false" customHeight="false" outlineLevel="0" collapsed="false">
      <c r="A168" s="87"/>
      <c r="B168" s="73"/>
      <c r="C168" s="74" t="str">
        <f aca="false">IF(B168="","",IFERROR(INDEX(الموظفون!$C$6:$C$105,MATCH(B168,الموظفون!$B$6:$B$105,0)),"✖ رقم غير موجود"))</f>
        <v/>
      </c>
      <c r="D168" s="88"/>
      <c r="E168" s="88"/>
      <c r="F168" s="88"/>
      <c r="G168" s="85"/>
      <c r="H168" s="85"/>
      <c r="I168" s="85"/>
      <c r="J168" s="85"/>
      <c r="K168" s="88"/>
      <c r="L168" s="88"/>
      <c r="M168" s="85"/>
      <c r="N168" s="85"/>
      <c r="O168" s="73"/>
    </row>
    <row r="169" customFormat="false" ht="15" hidden="false" customHeight="false" outlineLevel="0" collapsed="false">
      <c r="A169" s="87"/>
      <c r="B169" s="73"/>
      <c r="C169" s="91" t="str">
        <f aca="false">IF(B169="","",IFERROR(INDEX(الموظفون!$C$6:$C$105,MATCH(B169,الموظفون!$B$6:$B$105,0)),"✖ رقم غير موجود"))</f>
        <v/>
      </c>
      <c r="D169" s="88"/>
      <c r="E169" s="88"/>
      <c r="F169" s="88"/>
      <c r="G169" s="85"/>
      <c r="H169" s="85"/>
      <c r="I169" s="85"/>
      <c r="J169" s="85"/>
      <c r="K169" s="88"/>
      <c r="L169" s="88"/>
      <c r="M169" s="85"/>
      <c r="N169" s="85"/>
      <c r="O169" s="73"/>
    </row>
    <row r="170" customFormat="false" ht="15" hidden="false" customHeight="false" outlineLevel="0" collapsed="false">
      <c r="A170" s="87"/>
      <c r="B170" s="73"/>
      <c r="C170" s="74" t="str">
        <f aca="false">IF(B170="","",IFERROR(INDEX(الموظفون!$C$6:$C$105,MATCH(B170,الموظفون!$B$6:$B$105,0)),"✖ رقم غير موجود"))</f>
        <v/>
      </c>
      <c r="D170" s="88"/>
      <c r="E170" s="88"/>
      <c r="F170" s="88"/>
      <c r="G170" s="85"/>
      <c r="H170" s="85"/>
      <c r="I170" s="85"/>
      <c r="J170" s="85"/>
      <c r="K170" s="88"/>
      <c r="L170" s="88"/>
      <c r="M170" s="85"/>
      <c r="N170" s="85"/>
      <c r="O170" s="73"/>
    </row>
    <row r="171" customFormat="false" ht="15" hidden="false" customHeight="false" outlineLevel="0" collapsed="false">
      <c r="A171" s="87"/>
      <c r="B171" s="73"/>
      <c r="C171" s="91" t="str">
        <f aca="false">IF(B171="","",IFERROR(INDEX(الموظفون!$C$6:$C$105,MATCH(B171,الموظفون!$B$6:$B$105,0)),"✖ رقم غير موجود"))</f>
        <v/>
      </c>
      <c r="D171" s="88"/>
      <c r="E171" s="88"/>
      <c r="F171" s="88"/>
      <c r="G171" s="85"/>
      <c r="H171" s="85"/>
      <c r="I171" s="85"/>
      <c r="J171" s="85"/>
      <c r="K171" s="88"/>
      <c r="L171" s="88"/>
      <c r="M171" s="85"/>
      <c r="N171" s="85"/>
      <c r="O171" s="73"/>
    </row>
    <row r="172" customFormat="false" ht="15" hidden="false" customHeight="false" outlineLevel="0" collapsed="false">
      <c r="A172" s="87"/>
      <c r="B172" s="73"/>
      <c r="C172" s="74" t="str">
        <f aca="false">IF(B172="","",IFERROR(INDEX(الموظفون!$C$6:$C$105,MATCH(B172,الموظفون!$B$6:$B$105,0)),"✖ رقم غير موجود"))</f>
        <v/>
      </c>
      <c r="D172" s="88"/>
      <c r="E172" s="88"/>
      <c r="F172" s="88"/>
      <c r="G172" s="85"/>
      <c r="H172" s="85"/>
      <c r="I172" s="85"/>
      <c r="J172" s="85"/>
      <c r="K172" s="88"/>
      <c r="L172" s="88"/>
      <c r="M172" s="85"/>
      <c r="N172" s="85"/>
      <c r="O172" s="73"/>
    </row>
    <row r="173" customFormat="false" ht="15" hidden="false" customHeight="false" outlineLevel="0" collapsed="false">
      <c r="A173" s="87"/>
      <c r="B173" s="73"/>
      <c r="C173" s="91" t="str">
        <f aca="false">IF(B173="","",IFERROR(INDEX(الموظفون!$C$6:$C$105,MATCH(B173,الموظفون!$B$6:$B$105,0)),"✖ رقم غير موجود"))</f>
        <v/>
      </c>
      <c r="D173" s="88"/>
      <c r="E173" s="88"/>
      <c r="F173" s="88"/>
      <c r="G173" s="85"/>
      <c r="H173" s="85"/>
      <c r="I173" s="85"/>
      <c r="J173" s="85"/>
      <c r="K173" s="88"/>
      <c r="L173" s="88"/>
      <c r="M173" s="85"/>
      <c r="N173" s="85"/>
      <c r="O173" s="73"/>
    </row>
    <row r="174" customFormat="false" ht="15" hidden="false" customHeight="false" outlineLevel="0" collapsed="false">
      <c r="A174" s="87"/>
      <c r="B174" s="73"/>
      <c r="C174" s="74" t="str">
        <f aca="false">IF(B174="","",IFERROR(INDEX(الموظفون!$C$6:$C$105,MATCH(B174,الموظفون!$B$6:$B$105,0)),"✖ رقم غير موجود"))</f>
        <v/>
      </c>
      <c r="D174" s="88"/>
      <c r="E174" s="88"/>
      <c r="F174" s="88"/>
      <c r="G174" s="85"/>
      <c r="H174" s="85"/>
      <c r="I174" s="85"/>
      <c r="J174" s="85"/>
      <c r="K174" s="88"/>
      <c r="L174" s="88"/>
      <c r="M174" s="85"/>
      <c r="N174" s="85"/>
      <c r="O174" s="73"/>
    </row>
    <row r="175" customFormat="false" ht="15" hidden="false" customHeight="false" outlineLevel="0" collapsed="false">
      <c r="A175" s="87"/>
      <c r="B175" s="73"/>
      <c r="C175" s="91" t="str">
        <f aca="false">IF(B175="","",IFERROR(INDEX(الموظفون!$C$6:$C$105,MATCH(B175,الموظفون!$B$6:$B$105,0)),"✖ رقم غير موجود"))</f>
        <v/>
      </c>
      <c r="D175" s="88"/>
      <c r="E175" s="88"/>
      <c r="F175" s="88"/>
      <c r="G175" s="85"/>
      <c r="H175" s="85"/>
      <c r="I175" s="85"/>
      <c r="J175" s="85"/>
      <c r="K175" s="88"/>
      <c r="L175" s="88"/>
      <c r="M175" s="85"/>
      <c r="N175" s="85"/>
      <c r="O175" s="73"/>
    </row>
    <row r="176" customFormat="false" ht="15" hidden="false" customHeight="false" outlineLevel="0" collapsed="false">
      <c r="A176" s="87"/>
      <c r="B176" s="73"/>
      <c r="C176" s="74" t="str">
        <f aca="false">IF(B176="","",IFERROR(INDEX(الموظفون!$C$6:$C$105,MATCH(B176,الموظفون!$B$6:$B$105,0)),"✖ رقم غير موجود"))</f>
        <v/>
      </c>
      <c r="D176" s="88"/>
      <c r="E176" s="88"/>
      <c r="F176" s="88"/>
      <c r="G176" s="85"/>
      <c r="H176" s="85"/>
      <c r="I176" s="85"/>
      <c r="J176" s="85"/>
      <c r="K176" s="88"/>
      <c r="L176" s="88"/>
      <c r="M176" s="85"/>
      <c r="N176" s="85"/>
      <c r="O176" s="73"/>
    </row>
    <row r="177" customFormat="false" ht="15" hidden="false" customHeight="false" outlineLevel="0" collapsed="false">
      <c r="A177" s="87"/>
      <c r="B177" s="73"/>
      <c r="C177" s="91" t="str">
        <f aca="false">IF(B177="","",IFERROR(INDEX(الموظفون!$C$6:$C$105,MATCH(B177,الموظفون!$B$6:$B$105,0)),"✖ رقم غير موجود"))</f>
        <v/>
      </c>
      <c r="D177" s="88"/>
      <c r="E177" s="88"/>
      <c r="F177" s="88"/>
      <c r="G177" s="85"/>
      <c r="H177" s="85"/>
      <c r="I177" s="85"/>
      <c r="J177" s="85"/>
      <c r="K177" s="88"/>
      <c r="L177" s="88"/>
      <c r="M177" s="85"/>
      <c r="N177" s="85"/>
      <c r="O177" s="73"/>
    </row>
    <row r="178" customFormat="false" ht="15" hidden="false" customHeight="false" outlineLevel="0" collapsed="false">
      <c r="A178" s="87"/>
      <c r="B178" s="73"/>
      <c r="C178" s="74" t="str">
        <f aca="false">IF(B178="","",IFERROR(INDEX(الموظفون!$C$6:$C$105,MATCH(B178,الموظفون!$B$6:$B$105,0)),"✖ رقم غير موجود"))</f>
        <v/>
      </c>
      <c r="D178" s="88"/>
      <c r="E178" s="88"/>
      <c r="F178" s="88"/>
      <c r="G178" s="85"/>
      <c r="H178" s="85"/>
      <c r="I178" s="85"/>
      <c r="J178" s="85"/>
      <c r="K178" s="88"/>
      <c r="L178" s="88"/>
      <c r="M178" s="85"/>
      <c r="N178" s="85"/>
      <c r="O178" s="73"/>
    </row>
    <row r="179" customFormat="false" ht="15" hidden="false" customHeight="false" outlineLevel="0" collapsed="false">
      <c r="A179" s="87"/>
      <c r="B179" s="73"/>
      <c r="C179" s="91" t="str">
        <f aca="false">IF(B179="","",IFERROR(INDEX(الموظفون!$C$6:$C$105,MATCH(B179,الموظفون!$B$6:$B$105,0)),"✖ رقم غير موجود"))</f>
        <v/>
      </c>
      <c r="D179" s="88"/>
      <c r="E179" s="88"/>
      <c r="F179" s="88"/>
      <c r="G179" s="85"/>
      <c r="H179" s="85"/>
      <c r="I179" s="85"/>
      <c r="J179" s="85"/>
      <c r="K179" s="88"/>
      <c r="L179" s="88"/>
      <c r="M179" s="85"/>
      <c r="N179" s="85"/>
      <c r="O179" s="73"/>
    </row>
    <row r="180" customFormat="false" ht="15" hidden="false" customHeight="false" outlineLevel="0" collapsed="false">
      <c r="A180" s="87"/>
      <c r="B180" s="73"/>
      <c r="C180" s="74" t="str">
        <f aca="false">IF(B180="","",IFERROR(INDEX(الموظفون!$C$6:$C$105,MATCH(B180,الموظفون!$B$6:$B$105,0)),"✖ رقم غير موجود"))</f>
        <v/>
      </c>
      <c r="D180" s="88"/>
      <c r="E180" s="88"/>
      <c r="F180" s="88"/>
      <c r="G180" s="85"/>
      <c r="H180" s="85"/>
      <c r="I180" s="85"/>
      <c r="J180" s="85"/>
      <c r="K180" s="88"/>
      <c r="L180" s="88"/>
      <c r="M180" s="85"/>
      <c r="N180" s="85"/>
      <c r="O180" s="73"/>
    </row>
    <row r="181" customFormat="false" ht="15" hidden="false" customHeight="false" outlineLevel="0" collapsed="false">
      <c r="A181" s="87"/>
      <c r="B181" s="73"/>
      <c r="C181" s="91" t="str">
        <f aca="false">IF(B181="","",IFERROR(INDEX(الموظفون!$C$6:$C$105,MATCH(B181,الموظفون!$B$6:$B$105,0)),"✖ رقم غير موجود"))</f>
        <v/>
      </c>
      <c r="D181" s="88"/>
      <c r="E181" s="88"/>
      <c r="F181" s="88"/>
      <c r="G181" s="85"/>
      <c r="H181" s="85"/>
      <c r="I181" s="85"/>
      <c r="J181" s="85"/>
      <c r="K181" s="88"/>
      <c r="L181" s="88"/>
      <c r="M181" s="85"/>
      <c r="N181" s="85"/>
      <c r="O181" s="73"/>
    </row>
    <row r="182" customFormat="false" ht="15" hidden="false" customHeight="false" outlineLevel="0" collapsed="false">
      <c r="A182" s="87"/>
      <c r="B182" s="73"/>
      <c r="C182" s="74" t="str">
        <f aca="false">IF(B182="","",IFERROR(INDEX(الموظفون!$C$6:$C$105,MATCH(B182,الموظفون!$B$6:$B$105,0)),"✖ رقم غير موجود"))</f>
        <v/>
      </c>
      <c r="D182" s="88"/>
      <c r="E182" s="88"/>
      <c r="F182" s="88"/>
      <c r="G182" s="85"/>
      <c r="H182" s="85"/>
      <c r="I182" s="85"/>
      <c r="J182" s="85"/>
      <c r="K182" s="88"/>
      <c r="L182" s="88"/>
      <c r="M182" s="85"/>
      <c r="N182" s="85"/>
      <c r="O182" s="73"/>
    </row>
    <row r="183" customFormat="false" ht="15" hidden="false" customHeight="false" outlineLevel="0" collapsed="false">
      <c r="A183" s="87"/>
      <c r="B183" s="73"/>
      <c r="C183" s="91" t="str">
        <f aca="false">IF(B183="","",IFERROR(INDEX(الموظفون!$C$6:$C$105,MATCH(B183,الموظفون!$B$6:$B$105,0)),"✖ رقم غير موجود"))</f>
        <v/>
      </c>
      <c r="D183" s="88"/>
      <c r="E183" s="88"/>
      <c r="F183" s="88"/>
      <c r="G183" s="85"/>
      <c r="H183" s="85"/>
      <c r="I183" s="85"/>
      <c r="J183" s="85"/>
      <c r="K183" s="88"/>
      <c r="L183" s="88"/>
      <c r="M183" s="85"/>
      <c r="N183" s="85"/>
      <c r="O183" s="73"/>
    </row>
    <row r="184" customFormat="false" ht="15" hidden="false" customHeight="false" outlineLevel="0" collapsed="false">
      <c r="A184" s="87"/>
      <c r="B184" s="73"/>
      <c r="C184" s="74" t="str">
        <f aca="false">IF(B184="","",IFERROR(INDEX(الموظفون!$C$6:$C$105,MATCH(B184,الموظفون!$B$6:$B$105,0)),"✖ رقم غير موجود"))</f>
        <v/>
      </c>
      <c r="D184" s="88"/>
      <c r="E184" s="88"/>
      <c r="F184" s="88"/>
      <c r="G184" s="85"/>
      <c r="H184" s="85"/>
      <c r="I184" s="85"/>
      <c r="J184" s="85"/>
      <c r="K184" s="88"/>
      <c r="L184" s="88"/>
      <c r="M184" s="85"/>
      <c r="N184" s="85"/>
      <c r="O184" s="73"/>
    </row>
    <row r="185" customFormat="false" ht="15" hidden="false" customHeight="false" outlineLevel="0" collapsed="false">
      <c r="A185" s="87"/>
      <c r="B185" s="73"/>
      <c r="C185" s="91" t="str">
        <f aca="false">IF(B185="","",IFERROR(INDEX(الموظفون!$C$6:$C$105,MATCH(B185,الموظفون!$B$6:$B$105,0)),"✖ رقم غير موجود"))</f>
        <v/>
      </c>
      <c r="D185" s="88"/>
      <c r="E185" s="88"/>
      <c r="F185" s="88"/>
      <c r="G185" s="85"/>
      <c r="H185" s="85"/>
      <c r="I185" s="85"/>
      <c r="J185" s="85"/>
      <c r="K185" s="88"/>
      <c r="L185" s="88"/>
      <c r="M185" s="85"/>
      <c r="N185" s="85"/>
      <c r="O185" s="73"/>
    </row>
    <row r="186" customFormat="false" ht="15" hidden="false" customHeight="false" outlineLevel="0" collapsed="false">
      <c r="A186" s="87"/>
      <c r="B186" s="73"/>
      <c r="C186" s="74" t="str">
        <f aca="false">IF(B186="","",IFERROR(INDEX(الموظفون!$C$6:$C$105,MATCH(B186,الموظفون!$B$6:$B$105,0)),"✖ رقم غير موجود"))</f>
        <v/>
      </c>
      <c r="D186" s="88"/>
      <c r="E186" s="88"/>
      <c r="F186" s="88"/>
      <c r="G186" s="85"/>
      <c r="H186" s="85"/>
      <c r="I186" s="85"/>
      <c r="J186" s="85"/>
      <c r="K186" s="88"/>
      <c r="L186" s="88"/>
      <c r="M186" s="85"/>
      <c r="N186" s="85"/>
      <c r="O186" s="73"/>
    </row>
    <row r="187" customFormat="false" ht="15" hidden="false" customHeight="false" outlineLevel="0" collapsed="false">
      <c r="A187" s="87"/>
      <c r="B187" s="73"/>
      <c r="C187" s="91" t="str">
        <f aca="false">IF(B187="","",IFERROR(INDEX(الموظفون!$C$6:$C$105,MATCH(B187,الموظفون!$B$6:$B$105,0)),"✖ رقم غير موجود"))</f>
        <v/>
      </c>
      <c r="D187" s="88"/>
      <c r="E187" s="88"/>
      <c r="F187" s="88"/>
      <c r="G187" s="85"/>
      <c r="H187" s="85"/>
      <c r="I187" s="85"/>
      <c r="J187" s="85"/>
      <c r="K187" s="88"/>
      <c r="L187" s="88"/>
      <c r="M187" s="85"/>
      <c r="N187" s="85"/>
      <c r="O187" s="73"/>
    </row>
    <row r="188" customFormat="false" ht="15" hidden="false" customHeight="false" outlineLevel="0" collapsed="false">
      <c r="A188" s="87"/>
      <c r="B188" s="73"/>
      <c r="C188" s="74" t="str">
        <f aca="false">IF(B188="","",IFERROR(INDEX(الموظفون!$C$6:$C$105,MATCH(B188,الموظفون!$B$6:$B$105,0)),"✖ رقم غير موجود"))</f>
        <v/>
      </c>
      <c r="D188" s="88"/>
      <c r="E188" s="88"/>
      <c r="F188" s="88"/>
      <c r="G188" s="85"/>
      <c r="H188" s="85"/>
      <c r="I188" s="85"/>
      <c r="J188" s="85"/>
      <c r="K188" s="88"/>
      <c r="L188" s="88"/>
      <c r="M188" s="85"/>
      <c r="N188" s="85"/>
      <c r="O188" s="73"/>
    </row>
    <row r="189" customFormat="false" ht="15" hidden="false" customHeight="false" outlineLevel="0" collapsed="false">
      <c r="A189" s="87"/>
      <c r="B189" s="73"/>
      <c r="C189" s="91" t="str">
        <f aca="false">IF(B189="","",IFERROR(INDEX(الموظفون!$C$6:$C$105,MATCH(B189,الموظفون!$B$6:$B$105,0)),"✖ رقم غير موجود"))</f>
        <v/>
      </c>
      <c r="D189" s="88"/>
      <c r="E189" s="88"/>
      <c r="F189" s="88"/>
      <c r="G189" s="85"/>
      <c r="H189" s="85"/>
      <c r="I189" s="85"/>
      <c r="J189" s="85"/>
      <c r="K189" s="88"/>
      <c r="L189" s="88"/>
      <c r="M189" s="85"/>
      <c r="N189" s="85"/>
      <c r="O189" s="73"/>
    </row>
    <row r="190" customFormat="false" ht="15" hidden="false" customHeight="false" outlineLevel="0" collapsed="false">
      <c r="A190" s="87"/>
      <c r="B190" s="73"/>
      <c r="C190" s="74" t="str">
        <f aca="false">IF(B190="","",IFERROR(INDEX(الموظفون!$C$6:$C$105,MATCH(B190,الموظفون!$B$6:$B$105,0)),"✖ رقم غير موجود"))</f>
        <v/>
      </c>
      <c r="D190" s="88"/>
      <c r="E190" s="88"/>
      <c r="F190" s="88"/>
      <c r="G190" s="85"/>
      <c r="H190" s="85"/>
      <c r="I190" s="85"/>
      <c r="J190" s="85"/>
      <c r="K190" s="88"/>
      <c r="L190" s="88"/>
      <c r="M190" s="85"/>
      <c r="N190" s="85"/>
      <c r="O190" s="73"/>
    </row>
    <row r="191" customFormat="false" ht="15" hidden="false" customHeight="false" outlineLevel="0" collapsed="false">
      <c r="A191" s="87"/>
      <c r="B191" s="73"/>
      <c r="C191" s="91" t="str">
        <f aca="false">IF(B191="","",IFERROR(INDEX(الموظفون!$C$6:$C$105,MATCH(B191,الموظفون!$B$6:$B$105,0)),"✖ رقم غير موجود"))</f>
        <v/>
      </c>
      <c r="D191" s="88"/>
      <c r="E191" s="88"/>
      <c r="F191" s="88"/>
      <c r="G191" s="85"/>
      <c r="H191" s="85"/>
      <c r="I191" s="85"/>
      <c r="J191" s="85"/>
      <c r="K191" s="88"/>
      <c r="L191" s="88"/>
      <c r="M191" s="85"/>
      <c r="N191" s="85"/>
      <c r="O191" s="73"/>
    </row>
    <row r="192" customFormat="false" ht="15" hidden="false" customHeight="false" outlineLevel="0" collapsed="false">
      <c r="A192" s="87"/>
      <c r="B192" s="73"/>
      <c r="C192" s="74" t="str">
        <f aca="false">IF(B192="","",IFERROR(INDEX(الموظفون!$C$6:$C$105,MATCH(B192,الموظفون!$B$6:$B$105,0)),"✖ رقم غير موجود"))</f>
        <v/>
      </c>
      <c r="D192" s="88"/>
      <c r="E192" s="88"/>
      <c r="F192" s="88"/>
      <c r="G192" s="85"/>
      <c r="H192" s="85"/>
      <c r="I192" s="85"/>
      <c r="J192" s="85"/>
      <c r="K192" s="88"/>
      <c r="L192" s="88"/>
      <c r="M192" s="85"/>
      <c r="N192" s="85"/>
      <c r="O192" s="73"/>
    </row>
    <row r="193" customFormat="false" ht="15" hidden="false" customHeight="false" outlineLevel="0" collapsed="false">
      <c r="A193" s="87"/>
      <c r="B193" s="73"/>
      <c r="C193" s="91" t="str">
        <f aca="false">IF(B193="","",IFERROR(INDEX(الموظفون!$C$6:$C$105,MATCH(B193,الموظفون!$B$6:$B$105,0)),"✖ رقم غير موجود"))</f>
        <v/>
      </c>
      <c r="D193" s="88"/>
      <c r="E193" s="88"/>
      <c r="F193" s="88"/>
      <c r="G193" s="85"/>
      <c r="H193" s="85"/>
      <c r="I193" s="85"/>
      <c r="J193" s="85"/>
      <c r="K193" s="88"/>
      <c r="L193" s="88"/>
      <c r="M193" s="85"/>
      <c r="N193" s="85"/>
      <c r="O193" s="73"/>
    </row>
    <row r="194" customFormat="false" ht="15" hidden="false" customHeight="false" outlineLevel="0" collapsed="false">
      <c r="A194" s="87"/>
      <c r="B194" s="73"/>
      <c r="C194" s="74" t="str">
        <f aca="false">IF(B194="","",IFERROR(INDEX(الموظفون!$C$6:$C$105,MATCH(B194,الموظفون!$B$6:$B$105,0)),"✖ رقم غير موجود"))</f>
        <v/>
      </c>
      <c r="D194" s="88"/>
      <c r="E194" s="88"/>
      <c r="F194" s="88"/>
      <c r="G194" s="85"/>
      <c r="H194" s="85"/>
      <c r="I194" s="85"/>
      <c r="J194" s="85"/>
      <c r="K194" s="88"/>
      <c r="L194" s="88"/>
      <c r="M194" s="85"/>
      <c r="N194" s="85"/>
      <c r="O194" s="73"/>
    </row>
    <row r="195" customFormat="false" ht="15" hidden="false" customHeight="false" outlineLevel="0" collapsed="false">
      <c r="A195" s="87"/>
      <c r="B195" s="73"/>
      <c r="C195" s="91" t="str">
        <f aca="false">IF(B195="","",IFERROR(INDEX(الموظفون!$C$6:$C$105,MATCH(B195,الموظفون!$B$6:$B$105,0)),"✖ رقم غير موجود"))</f>
        <v/>
      </c>
      <c r="D195" s="88"/>
      <c r="E195" s="88"/>
      <c r="F195" s="88"/>
      <c r="G195" s="85"/>
      <c r="H195" s="85"/>
      <c r="I195" s="85"/>
      <c r="J195" s="85"/>
      <c r="K195" s="88"/>
      <c r="L195" s="88"/>
      <c r="M195" s="85"/>
      <c r="N195" s="85"/>
      <c r="O195" s="73"/>
    </row>
    <row r="196" customFormat="false" ht="15" hidden="false" customHeight="false" outlineLevel="0" collapsed="false">
      <c r="A196" s="87"/>
      <c r="B196" s="73"/>
      <c r="C196" s="74" t="str">
        <f aca="false">IF(B196="","",IFERROR(INDEX(الموظفون!$C$6:$C$105,MATCH(B196,الموظفون!$B$6:$B$105,0)),"✖ رقم غير موجود"))</f>
        <v/>
      </c>
      <c r="D196" s="88"/>
      <c r="E196" s="88"/>
      <c r="F196" s="88"/>
      <c r="G196" s="85"/>
      <c r="H196" s="85"/>
      <c r="I196" s="85"/>
      <c r="J196" s="85"/>
      <c r="K196" s="88"/>
      <c r="L196" s="88"/>
      <c r="M196" s="85"/>
      <c r="N196" s="85"/>
      <c r="O196" s="73"/>
    </row>
    <row r="197" customFormat="false" ht="15" hidden="false" customHeight="false" outlineLevel="0" collapsed="false">
      <c r="A197" s="87"/>
      <c r="B197" s="73"/>
      <c r="C197" s="91" t="str">
        <f aca="false">IF(B197="","",IFERROR(INDEX(الموظفون!$C$6:$C$105,MATCH(B197,الموظفون!$B$6:$B$105,0)),"✖ رقم غير موجود"))</f>
        <v/>
      </c>
      <c r="D197" s="88"/>
      <c r="E197" s="88"/>
      <c r="F197" s="88"/>
      <c r="G197" s="85"/>
      <c r="H197" s="85"/>
      <c r="I197" s="85"/>
      <c r="J197" s="85"/>
      <c r="K197" s="88"/>
      <c r="L197" s="88"/>
      <c r="M197" s="85"/>
      <c r="N197" s="85"/>
      <c r="O197" s="73"/>
    </row>
    <row r="198" customFormat="false" ht="15" hidden="false" customHeight="false" outlineLevel="0" collapsed="false">
      <c r="A198" s="87"/>
      <c r="B198" s="73"/>
      <c r="C198" s="74" t="str">
        <f aca="false">IF(B198="","",IFERROR(INDEX(الموظفون!$C$6:$C$105,MATCH(B198,الموظفون!$B$6:$B$105,0)),"✖ رقم غير موجود"))</f>
        <v/>
      </c>
      <c r="D198" s="88"/>
      <c r="E198" s="88"/>
      <c r="F198" s="88"/>
      <c r="G198" s="85"/>
      <c r="H198" s="85"/>
      <c r="I198" s="85"/>
      <c r="J198" s="85"/>
      <c r="K198" s="88"/>
      <c r="L198" s="88"/>
      <c r="M198" s="85"/>
      <c r="N198" s="85"/>
      <c r="O198" s="73"/>
    </row>
    <row r="199" customFormat="false" ht="15" hidden="false" customHeight="false" outlineLevel="0" collapsed="false">
      <c r="A199" s="87"/>
      <c r="B199" s="73"/>
      <c r="C199" s="91" t="str">
        <f aca="false">IF(B199="","",IFERROR(INDEX(الموظفون!$C$6:$C$105,MATCH(B199,الموظفون!$B$6:$B$105,0)),"✖ رقم غير موجود"))</f>
        <v/>
      </c>
      <c r="D199" s="88"/>
      <c r="E199" s="88"/>
      <c r="F199" s="88"/>
      <c r="G199" s="85"/>
      <c r="H199" s="85"/>
      <c r="I199" s="85"/>
      <c r="J199" s="85"/>
      <c r="K199" s="88"/>
      <c r="L199" s="88"/>
      <c r="M199" s="85"/>
      <c r="N199" s="85"/>
      <c r="O199" s="73"/>
    </row>
    <row r="200" customFormat="false" ht="15" hidden="false" customHeight="false" outlineLevel="0" collapsed="false">
      <c r="A200" s="87"/>
      <c r="B200" s="73"/>
      <c r="C200" s="74" t="str">
        <f aca="false">IF(B200="","",IFERROR(INDEX(الموظفون!$C$6:$C$105,MATCH(B200,الموظفون!$B$6:$B$105,0)),"✖ رقم غير موجود"))</f>
        <v/>
      </c>
      <c r="D200" s="88"/>
      <c r="E200" s="88"/>
      <c r="F200" s="88"/>
      <c r="G200" s="85"/>
      <c r="H200" s="85"/>
      <c r="I200" s="85"/>
      <c r="J200" s="85"/>
      <c r="K200" s="88"/>
      <c r="L200" s="88"/>
      <c r="M200" s="85"/>
      <c r="N200" s="85"/>
      <c r="O200" s="73"/>
    </row>
    <row r="201" customFormat="false" ht="15" hidden="false" customHeight="false" outlineLevel="0" collapsed="false">
      <c r="A201" s="87"/>
      <c r="B201" s="73"/>
      <c r="C201" s="91" t="str">
        <f aca="false">IF(B201="","",IFERROR(INDEX(الموظفون!$C$6:$C$105,MATCH(B201,الموظفون!$B$6:$B$105,0)),"✖ رقم غير موجود"))</f>
        <v/>
      </c>
      <c r="D201" s="88"/>
      <c r="E201" s="88"/>
      <c r="F201" s="88"/>
      <c r="G201" s="85"/>
      <c r="H201" s="85"/>
      <c r="I201" s="85"/>
      <c r="J201" s="85"/>
      <c r="K201" s="88"/>
      <c r="L201" s="88"/>
      <c r="M201" s="85"/>
      <c r="N201" s="85"/>
      <c r="O201" s="73"/>
    </row>
    <row r="202" customFormat="false" ht="15" hidden="false" customHeight="false" outlineLevel="0" collapsed="false">
      <c r="A202" s="87"/>
      <c r="B202" s="73"/>
      <c r="C202" s="74" t="str">
        <f aca="false">IF(B202="","",IFERROR(INDEX(الموظفون!$C$6:$C$105,MATCH(B202,الموظفون!$B$6:$B$105,0)),"✖ رقم غير موجود"))</f>
        <v/>
      </c>
      <c r="D202" s="88"/>
      <c r="E202" s="88"/>
      <c r="F202" s="88"/>
      <c r="G202" s="85"/>
      <c r="H202" s="85"/>
      <c r="I202" s="85"/>
      <c r="J202" s="85"/>
      <c r="K202" s="88"/>
      <c r="L202" s="88"/>
      <c r="M202" s="85"/>
      <c r="N202" s="85"/>
      <c r="O202" s="73"/>
    </row>
    <row r="203" customFormat="false" ht="15" hidden="false" customHeight="false" outlineLevel="0" collapsed="false">
      <c r="A203" s="87"/>
      <c r="B203" s="73"/>
      <c r="C203" s="91" t="str">
        <f aca="false">IF(B203="","",IFERROR(INDEX(الموظفون!$C$6:$C$105,MATCH(B203,الموظفون!$B$6:$B$105,0)),"✖ رقم غير موجود"))</f>
        <v/>
      </c>
      <c r="D203" s="88"/>
      <c r="E203" s="88"/>
      <c r="F203" s="88"/>
      <c r="G203" s="85"/>
      <c r="H203" s="85"/>
      <c r="I203" s="85"/>
      <c r="J203" s="85"/>
      <c r="K203" s="88"/>
      <c r="L203" s="88"/>
      <c r="M203" s="85"/>
      <c r="N203" s="85"/>
      <c r="O203" s="73"/>
    </row>
    <row r="204" customFormat="false" ht="15" hidden="false" customHeight="false" outlineLevel="0" collapsed="false">
      <c r="A204" s="87"/>
      <c r="B204" s="73"/>
      <c r="C204" s="74" t="str">
        <f aca="false">IF(B204="","",IFERROR(INDEX(الموظفون!$C$6:$C$105,MATCH(B204,الموظفون!$B$6:$B$105,0)),"✖ رقم غير موجود"))</f>
        <v/>
      </c>
      <c r="D204" s="88"/>
      <c r="E204" s="88"/>
      <c r="F204" s="88"/>
      <c r="G204" s="85"/>
      <c r="H204" s="85"/>
      <c r="I204" s="85"/>
      <c r="J204" s="85"/>
      <c r="K204" s="88"/>
      <c r="L204" s="88"/>
      <c r="M204" s="85"/>
      <c r="N204" s="85"/>
      <c r="O204" s="73"/>
    </row>
    <row r="205" customFormat="false" ht="15" hidden="false" customHeight="false" outlineLevel="0" collapsed="false">
      <c r="A205" s="87"/>
      <c r="B205" s="73"/>
      <c r="C205" s="91" t="str">
        <f aca="false">IF(B205="","",IFERROR(INDEX(الموظفون!$C$6:$C$105,MATCH(B205,الموظفون!$B$6:$B$105,0)),"✖ رقم غير موجود"))</f>
        <v/>
      </c>
      <c r="D205" s="88"/>
      <c r="E205" s="88"/>
      <c r="F205" s="88"/>
      <c r="G205" s="85"/>
      <c r="H205" s="85"/>
      <c r="I205" s="85"/>
      <c r="J205" s="85"/>
      <c r="K205" s="88"/>
      <c r="L205" s="88"/>
      <c r="M205" s="85"/>
      <c r="N205" s="85"/>
      <c r="O205" s="73"/>
    </row>
    <row r="206" customFormat="false" ht="15" hidden="false" customHeight="false" outlineLevel="0" collapsed="false">
      <c r="A206" s="87"/>
      <c r="B206" s="73"/>
      <c r="C206" s="74" t="str">
        <f aca="false">IF(B206="","",IFERROR(INDEX(الموظفون!$C$6:$C$105,MATCH(B206,الموظفون!$B$6:$B$105,0)),"✖ رقم غير موجود"))</f>
        <v/>
      </c>
      <c r="D206" s="88"/>
      <c r="E206" s="88"/>
      <c r="F206" s="88"/>
      <c r="G206" s="85"/>
      <c r="H206" s="85"/>
      <c r="I206" s="85"/>
      <c r="J206" s="85"/>
      <c r="K206" s="88"/>
      <c r="L206" s="88"/>
      <c r="M206" s="85"/>
      <c r="N206" s="85"/>
      <c r="O206" s="73"/>
    </row>
    <row r="207" customFormat="false" ht="15" hidden="false" customHeight="false" outlineLevel="0" collapsed="false">
      <c r="A207" s="87"/>
      <c r="B207" s="73"/>
      <c r="C207" s="91" t="str">
        <f aca="false">IF(B207="","",IFERROR(INDEX(الموظفون!$C$6:$C$105,MATCH(B207,الموظفون!$B$6:$B$105,0)),"✖ رقم غير موجود"))</f>
        <v/>
      </c>
      <c r="D207" s="88"/>
      <c r="E207" s="88"/>
      <c r="F207" s="88"/>
      <c r="G207" s="85"/>
      <c r="H207" s="85"/>
      <c r="I207" s="85"/>
      <c r="J207" s="85"/>
      <c r="K207" s="88"/>
      <c r="L207" s="88"/>
      <c r="M207" s="85"/>
      <c r="N207" s="85"/>
      <c r="O207" s="73"/>
    </row>
    <row r="208" customFormat="false" ht="15" hidden="false" customHeight="false" outlineLevel="0" collapsed="false">
      <c r="A208" s="87"/>
      <c r="B208" s="73"/>
      <c r="C208" s="74" t="str">
        <f aca="false">IF(B208="","",IFERROR(INDEX(الموظفون!$C$6:$C$105,MATCH(B208,الموظفون!$B$6:$B$105,0)),"✖ رقم غير موجود"))</f>
        <v/>
      </c>
      <c r="D208" s="88"/>
      <c r="E208" s="88"/>
      <c r="F208" s="88"/>
      <c r="G208" s="85"/>
      <c r="H208" s="85"/>
      <c r="I208" s="85"/>
      <c r="J208" s="85"/>
      <c r="K208" s="88"/>
      <c r="L208" s="88"/>
      <c r="M208" s="85"/>
      <c r="N208" s="85"/>
      <c r="O208" s="73"/>
    </row>
    <row r="209" customFormat="false" ht="15" hidden="false" customHeight="false" outlineLevel="0" collapsed="false">
      <c r="A209" s="87"/>
      <c r="B209" s="73"/>
      <c r="C209" s="91" t="str">
        <f aca="false">IF(B209="","",IFERROR(INDEX(الموظفون!$C$6:$C$105,MATCH(B209,الموظفون!$B$6:$B$105,0)),"✖ رقم غير موجود"))</f>
        <v/>
      </c>
      <c r="D209" s="88"/>
      <c r="E209" s="88"/>
      <c r="F209" s="88"/>
      <c r="G209" s="85"/>
      <c r="H209" s="85"/>
      <c r="I209" s="85"/>
      <c r="J209" s="85"/>
      <c r="K209" s="88"/>
      <c r="L209" s="88"/>
      <c r="M209" s="85"/>
      <c r="N209" s="85"/>
      <c r="O209" s="73"/>
    </row>
    <row r="210" customFormat="false" ht="15" hidden="false" customHeight="false" outlineLevel="0" collapsed="false">
      <c r="A210" s="87"/>
      <c r="B210" s="73"/>
      <c r="C210" s="74" t="str">
        <f aca="false">IF(B210="","",IFERROR(INDEX(الموظفون!$C$6:$C$105,MATCH(B210,الموظفون!$B$6:$B$105,0)),"✖ رقم غير موجود"))</f>
        <v/>
      </c>
      <c r="D210" s="88"/>
      <c r="E210" s="88"/>
      <c r="F210" s="88"/>
      <c r="G210" s="85"/>
      <c r="H210" s="85"/>
      <c r="I210" s="85"/>
      <c r="J210" s="85"/>
      <c r="K210" s="88"/>
      <c r="L210" s="88"/>
      <c r="M210" s="85"/>
      <c r="N210" s="85"/>
      <c r="O210" s="73"/>
    </row>
    <row r="211" customFormat="false" ht="15" hidden="false" customHeight="false" outlineLevel="0" collapsed="false">
      <c r="A211" s="87"/>
      <c r="B211" s="73"/>
      <c r="C211" s="91" t="str">
        <f aca="false">IF(B211="","",IFERROR(INDEX(الموظفون!$C$6:$C$105,MATCH(B211,الموظفون!$B$6:$B$105,0)),"✖ رقم غير موجود"))</f>
        <v/>
      </c>
      <c r="D211" s="88"/>
      <c r="E211" s="88"/>
      <c r="F211" s="88"/>
      <c r="G211" s="85"/>
      <c r="H211" s="85"/>
      <c r="I211" s="85"/>
      <c r="J211" s="85"/>
      <c r="K211" s="88"/>
      <c r="L211" s="88"/>
      <c r="M211" s="85"/>
      <c r="N211" s="85"/>
      <c r="O211" s="73"/>
    </row>
    <row r="212" customFormat="false" ht="15" hidden="false" customHeight="false" outlineLevel="0" collapsed="false">
      <c r="A212" s="87"/>
      <c r="B212" s="73"/>
      <c r="C212" s="74" t="str">
        <f aca="false">IF(B212="","",IFERROR(INDEX(الموظفون!$C$6:$C$105,MATCH(B212,الموظفون!$B$6:$B$105,0)),"✖ رقم غير موجود"))</f>
        <v/>
      </c>
      <c r="D212" s="88"/>
      <c r="E212" s="88"/>
      <c r="F212" s="88"/>
      <c r="G212" s="85"/>
      <c r="H212" s="85"/>
      <c r="I212" s="85"/>
      <c r="J212" s="85"/>
      <c r="K212" s="88"/>
      <c r="L212" s="88"/>
      <c r="M212" s="85"/>
      <c r="N212" s="85"/>
      <c r="O212" s="73"/>
    </row>
    <row r="213" customFormat="false" ht="15" hidden="false" customHeight="false" outlineLevel="0" collapsed="false">
      <c r="A213" s="87"/>
      <c r="B213" s="73"/>
      <c r="C213" s="91" t="str">
        <f aca="false">IF(B213="","",IFERROR(INDEX(الموظفون!$C$6:$C$105,MATCH(B213,الموظفون!$B$6:$B$105,0)),"✖ رقم غير موجود"))</f>
        <v/>
      </c>
      <c r="D213" s="88"/>
      <c r="E213" s="88"/>
      <c r="F213" s="88"/>
      <c r="G213" s="85"/>
      <c r="H213" s="85"/>
      <c r="I213" s="85"/>
      <c r="J213" s="85"/>
      <c r="K213" s="88"/>
      <c r="L213" s="88"/>
      <c r="M213" s="85"/>
      <c r="N213" s="85"/>
      <c r="O213" s="73"/>
    </row>
    <row r="214" customFormat="false" ht="15" hidden="false" customHeight="false" outlineLevel="0" collapsed="false">
      <c r="A214" s="87"/>
      <c r="B214" s="73"/>
      <c r="C214" s="74" t="str">
        <f aca="false">IF(B214="","",IFERROR(INDEX(الموظفون!$C$6:$C$105,MATCH(B214,الموظفون!$B$6:$B$105,0)),"✖ رقم غير موجود"))</f>
        <v/>
      </c>
      <c r="D214" s="88"/>
      <c r="E214" s="88"/>
      <c r="F214" s="88"/>
      <c r="G214" s="85"/>
      <c r="H214" s="85"/>
      <c r="I214" s="85"/>
      <c r="J214" s="85"/>
      <c r="K214" s="88"/>
      <c r="L214" s="88"/>
      <c r="M214" s="85"/>
      <c r="N214" s="85"/>
      <c r="O214" s="73"/>
    </row>
    <row r="215" customFormat="false" ht="15" hidden="false" customHeight="false" outlineLevel="0" collapsed="false">
      <c r="A215" s="87"/>
      <c r="B215" s="73"/>
      <c r="C215" s="91" t="str">
        <f aca="false">IF(B215="","",IFERROR(INDEX(الموظفون!$C$6:$C$105,MATCH(B215,الموظفون!$B$6:$B$105,0)),"✖ رقم غير موجود"))</f>
        <v/>
      </c>
      <c r="D215" s="88"/>
      <c r="E215" s="88"/>
      <c r="F215" s="88"/>
      <c r="G215" s="85"/>
      <c r="H215" s="85"/>
      <c r="I215" s="85"/>
      <c r="J215" s="85"/>
      <c r="K215" s="88"/>
      <c r="L215" s="88"/>
      <c r="M215" s="85"/>
      <c r="N215" s="85"/>
      <c r="O215" s="73"/>
    </row>
    <row r="216" customFormat="false" ht="15" hidden="false" customHeight="false" outlineLevel="0" collapsed="false">
      <c r="A216" s="87"/>
      <c r="B216" s="73"/>
      <c r="C216" s="74" t="str">
        <f aca="false">IF(B216="","",IFERROR(INDEX(الموظفون!$C$6:$C$105,MATCH(B216,الموظفون!$B$6:$B$105,0)),"✖ رقم غير موجود"))</f>
        <v/>
      </c>
      <c r="D216" s="88"/>
      <c r="E216" s="88"/>
      <c r="F216" s="88"/>
      <c r="G216" s="85"/>
      <c r="H216" s="85"/>
      <c r="I216" s="85"/>
      <c r="J216" s="85"/>
      <c r="K216" s="88"/>
      <c r="L216" s="88"/>
      <c r="M216" s="85"/>
      <c r="N216" s="85"/>
      <c r="O216" s="73"/>
    </row>
    <row r="217" customFormat="false" ht="15" hidden="false" customHeight="false" outlineLevel="0" collapsed="false">
      <c r="A217" s="87"/>
      <c r="B217" s="73"/>
      <c r="C217" s="91" t="str">
        <f aca="false">IF(B217="","",IFERROR(INDEX(الموظفون!$C$6:$C$105,MATCH(B217,الموظفون!$B$6:$B$105,0)),"✖ رقم غير موجود"))</f>
        <v/>
      </c>
      <c r="D217" s="88"/>
      <c r="E217" s="88"/>
      <c r="F217" s="88"/>
      <c r="G217" s="85"/>
      <c r="H217" s="85"/>
      <c r="I217" s="85"/>
      <c r="J217" s="85"/>
      <c r="K217" s="88"/>
      <c r="L217" s="88"/>
      <c r="M217" s="85"/>
      <c r="N217" s="85"/>
      <c r="O217" s="73"/>
    </row>
    <row r="218" customFormat="false" ht="15" hidden="false" customHeight="false" outlineLevel="0" collapsed="false">
      <c r="A218" s="87"/>
      <c r="B218" s="73"/>
      <c r="C218" s="74" t="str">
        <f aca="false">IF(B218="","",IFERROR(INDEX(الموظفون!$C$6:$C$105,MATCH(B218,الموظفون!$B$6:$B$105,0)),"✖ رقم غير موجود"))</f>
        <v/>
      </c>
      <c r="D218" s="88"/>
      <c r="E218" s="88"/>
      <c r="F218" s="88"/>
      <c r="G218" s="85"/>
      <c r="H218" s="85"/>
      <c r="I218" s="85"/>
      <c r="J218" s="85"/>
      <c r="K218" s="88"/>
      <c r="L218" s="88"/>
      <c r="M218" s="85"/>
      <c r="N218" s="85"/>
      <c r="O218" s="73"/>
    </row>
    <row r="219" customFormat="false" ht="15" hidden="false" customHeight="false" outlineLevel="0" collapsed="false">
      <c r="A219" s="87"/>
      <c r="B219" s="73"/>
      <c r="C219" s="91" t="str">
        <f aca="false">IF(B219="","",IFERROR(INDEX(الموظفون!$C$6:$C$105,MATCH(B219,الموظفون!$B$6:$B$105,0)),"✖ رقم غير موجود"))</f>
        <v/>
      </c>
      <c r="D219" s="88"/>
      <c r="E219" s="88"/>
      <c r="F219" s="88"/>
      <c r="G219" s="85"/>
      <c r="H219" s="85"/>
      <c r="I219" s="85"/>
      <c r="J219" s="85"/>
      <c r="K219" s="88"/>
      <c r="L219" s="88"/>
      <c r="M219" s="85"/>
      <c r="N219" s="85"/>
      <c r="O219" s="73"/>
    </row>
    <row r="220" customFormat="false" ht="15" hidden="false" customHeight="false" outlineLevel="0" collapsed="false">
      <c r="A220" s="87"/>
      <c r="B220" s="73"/>
      <c r="C220" s="74" t="str">
        <f aca="false">IF(B220="","",IFERROR(INDEX(الموظفون!$C$6:$C$105,MATCH(B220,الموظفون!$B$6:$B$105,0)),"✖ رقم غير موجود"))</f>
        <v/>
      </c>
      <c r="D220" s="88"/>
      <c r="E220" s="88"/>
      <c r="F220" s="88"/>
      <c r="G220" s="85"/>
      <c r="H220" s="85"/>
      <c r="I220" s="85"/>
      <c r="J220" s="85"/>
      <c r="K220" s="88"/>
      <c r="L220" s="88"/>
      <c r="M220" s="85"/>
      <c r="N220" s="85"/>
      <c r="O220" s="73"/>
    </row>
    <row r="221" customFormat="false" ht="15" hidden="false" customHeight="false" outlineLevel="0" collapsed="false">
      <c r="A221" s="87"/>
      <c r="B221" s="73"/>
      <c r="C221" s="91" t="str">
        <f aca="false">IF(B221="","",IFERROR(INDEX(الموظفون!$C$6:$C$105,MATCH(B221,الموظفون!$B$6:$B$105,0)),"✖ رقم غير موجود"))</f>
        <v/>
      </c>
      <c r="D221" s="88"/>
      <c r="E221" s="88"/>
      <c r="F221" s="88"/>
      <c r="G221" s="85"/>
      <c r="H221" s="85"/>
      <c r="I221" s="85"/>
      <c r="J221" s="85"/>
      <c r="K221" s="88"/>
      <c r="L221" s="88"/>
      <c r="M221" s="85"/>
      <c r="N221" s="85"/>
      <c r="O221" s="73"/>
    </row>
    <row r="222" customFormat="false" ht="15" hidden="false" customHeight="false" outlineLevel="0" collapsed="false">
      <c r="A222" s="87"/>
      <c r="B222" s="73"/>
      <c r="C222" s="74" t="str">
        <f aca="false">IF(B222="","",IFERROR(INDEX(الموظفون!$C$6:$C$105,MATCH(B222,الموظفون!$B$6:$B$105,0)),"✖ رقم غير موجود"))</f>
        <v/>
      </c>
      <c r="D222" s="88"/>
      <c r="E222" s="88"/>
      <c r="F222" s="88"/>
      <c r="G222" s="85"/>
      <c r="H222" s="85"/>
      <c r="I222" s="85"/>
      <c r="J222" s="85"/>
      <c r="K222" s="88"/>
      <c r="L222" s="88"/>
      <c r="M222" s="85"/>
      <c r="N222" s="85"/>
      <c r="O222" s="73"/>
    </row>
    <row r="223" customFormat="false" ht="15" hidden="false" customHeight="false" outlineLevel="0" collapsed="false">
      <c r="A223" s="87"/>
      <c r="B223" s="73"/>
      <c r="C223" s="91" t="str">
        <f aca="false">IF(B223="","",IFERROR(INDEX(الموظفون!$C$6:$C$105,MATCH(B223,الموظفون!$B$6:$B$105,0)),"✖ رقم غير موجود"))</f>
        <v/>
      </c>
      <c r="D223" s="88"/>
      <c r="E223" s="88"/>
      <c r="F223" s="88"/>
      <c r="G223" s="85"/>
      <c r="H223" s="85"/>
      <c r="I223" s="85"/>
      <c r="J223" s="85"/>
      <c r="K223" s="88"/>
      <c r="L223" s="88"/>
      <c r="M223" s="85"/>
      <c r="N223" s="85"/>
      <c r="O223" s="73"/>
    </row>
    <row r="224" customFormat="false" ht="15" hidden="false" customHeight="false" outlineLevel="0" collapsed="false">
      <c r="A224" s="87"/>
      <c r="B224" s="73"/>
      <c r="C224" s="74" t="str">
        <f aca="false">IF(B224="","",IFERROR(INDEX(الموظفون!$C$6:$C$105,MATCH(B224,الموظفون!$B$6:$B$105,0)),"✖ رقم غير موجود"))</f>
        <v/>
      </c>
      <c r="D224" s="88"/>
      <c r="E224" s="88"/>
      <c r="F224" s="88"/>
      <c r="G224" s="85"/>
      <c r="H224" s="85"/>
      <c r="I224" s="85"/>
      <c r="J224" s="85"/>
      <c r="K224" s="88"/>
      <c r="L224" s="88"/>
      <c r="M224" s="85"/>
      <c r="N224" s="85"/>
      <c r="O224" s="73"/>
    </row>
    <row r="225" customFormat="false" ht="15" hidden="false" customHeight="false" outlineLevel="0" collapsed="false">
      <c r="A225" s="87"/>
      <c r="B225" s="73"/>
      <c r="C225" s="91" t="str">
        <f aca="false">IF(B225="","",IFERROR(INDEX(الموظفون!$C$6:$C$105,MATCH(B225,الموظفون!$B$6:$B$105,0)),"✖ رقم غير موجود"))</f>
        <v/>
      </c>
      <c r="D225" s="88"/>
      <c r="E225" s="88"/>
      <c r="F225" s="88"/>
      <c r="G225" s="85"/>
      <c r="H225" s="85"/>
      <c r="I225" s="85"/>
      <c r="J225" s="85"/>
      <c r="K225" s="88"/>
      <c r="L225" s="88"/>
      <c r="M225" s="85"/>
      <c r="N225" s="85"/>
      <c r="O225" s="73"/>
    </row>
    <row r="226" customFormat="false" ht="15" hidden="false" customHeight="false" outlineLevel="0" collapsed="false">
      <c r="A226" s="87"/>
      <c r="B226" s="73"/>
      <c r="C226" s="74" t="str">
        <f aca="false">IF(B226="","",IFERROR(INDEX(الموظفون!$C$6:$C$105,MATCH(B226,الموظفون!$B$6:$B$105,0)),"✖ رقم غير موجود"))</f>
        <v/>
      </c>
      <c r="D226" s="88"/>
      <c r="E226" s="88"/>
      <c r="F226" s="88"/>
      <c r="G226" s="85"/>
      <c r="H226" s="85"/>
      <c r="I226" s="85"/>
      <c r="J226" s="85"/>
      <c r="K226" s="88"/>
      <c r="L226" s="88"/>
      <c r="M226" s="85"/>
      <c r="N226" s="85"/>
      <c r="O226" s="73"/>
    </row>
    <row r="227" customFormat="false" ht="15" hidden="false" customHeight="false" outlineLevel="0" collapsed="false">
      <c r="A227" s="87"/>
      <c r="B227" s="73"/>
      <c r="C227" s="91" t="str">
        <f aca="false">IF(B227="","",IFERROR(INDEX(الموظفون!$C$6:$C$105,MATCH(B227,الموظفون!$B$6:$B$105,0)),"✖ رقم غير موجود"))</f>
        <v/>
      </c>
      <c r="D227" s="88"/>
      <c r="E227" s="88"/>
      <c r="F227" s="88"/>
      <c r="G227" s="85"/>
      <c r="H227" s="85"/>
      <c r="I227" s="85"/>
      <c r="J227" s="85"/>
      <c r="K227" s="88"/>
      <c r="L227" s="88"/>
      <c r="M227" s="85"/>
      <c r="N227" s="85"/>
      <c r="O227" s="73"/>
    </row>
    <row r="228" customFormat="false" ht="15" hidden="false" customHeight="false" outlineLevel="0" collapsed="false">
      <c r="A228" s="87"/>
      <c r="B228" s="73"/>
      <c r="C228" s="74" t="str">
        <f aca="false">IF(B228="","",IFERROR(INDEX(الموظفون!$C$6:$C$105,MATCH(B228,الموظفون!$B$6:$B$105,0)),"✖ رقم غير موجود"))</f>
        <v/>
      </c>
      <c r="D228" s="88"/>
      <c r="E228" s="88"/>
      <c r="F228" s="88"/>
      <c r="G228" s="85"/>
      <c r="H228" s="85"/>
      <c r="I228" s="85"/>
      <c r="J228" s="85"/>
      <c r="K228" s="88"/>
      <c r="L228" s="88"/>
      <c r="M228" s="85"/>
      <c r="N228" s="85"/>
      <c r="O228" s="73"/>
    </row>
    <row r="229" customFormat="false" ht="15" hidden="false" customHeight="false" outlineLevel="0" collapsed="false">
      <c r="A229" s="87"/>
      <c r="B229" s="73"/>
      <c r="C229" s="91" t="str">
        <f aca="false">IF(B229="","",IFERROR(INDEX(الموظفون!$C$6:$C$105,MATCH(B229,الموظفون!$B$6:$B$105,0)),"✖ رقم غير موجود"))</f>
        <v/>
      </c>
      <c r="D229" s="88"/>
      <c r="E229" s="88"/>
      <c r="F229" s="88"/>
      <c r="G229" s="85"/>
      <c r="H229" s="85"/>
      <c r="I229" s="85"/>
      <c r="J229" s="85"/>
      <c r="K229" s="88"/>
      <c r="L229" s="88"/>
      <c r="M229" s="85"/>
      <c r="N229" s="85"/>
      <c r="O229" s="73"/>
    </row>
    <row r="230" customFormat="false" ht="15" hidden="false" customHeight="false" outlineLevel="0" collapsed="false">
      <c r="A230" s="87"/>
      <c r="B230" s="73"/>
      <c r="C230" s="74" t="str">
        <f aca="false">IF(B230="","",IFERROR(INDEX(الموظفون!$C$6:$C$105,MATCH(B230,الموظفون!$B$6:$B$105,0)),"✖ رقم غير موجود"))</f>
        <v/>
      </c>
      <c r="D230" s="88"/>
      <c r="E230" s="88"/>
      <c r="F230" s="88"/>
      <c r="G230" s="85"/>
      <c r="H230" s="85"/>
      <c r="I230" s="85"/>
      <c r="J230" s="85"/>
      <c r="K230" s="88"/>
      <c r="L230" s="88"/>
      <c r="M230" s="85"/>
      <c r="N230" s="85"/>
      <c r="O230" s="73"/>
    </row>
    <row r="231" customFormat="false" ht="15" hidden="false" customHeight="false" outlineLevel="0" collapsed="false">
      <c r="A231" s="87"/>
      <c r="B231" s="73"/>
      <c r="C231" s="91" t="str">
        <f aca="false">IF(B231="","",IFERROR(INDEX(الموظفون!$C$6:$C$105,MATCH(B231,الموظفون!$B$6:$B$105,0)),"✖ رقم غير موجود"))</f>
        <v/>
      </c>
      <c r="D231" s="88"/>
      <c r="E231" s="88"/>
      <c r="F231" s="88"/>
      <c r="G231" s="85"/>
      <c r="H231" s="85"/>
      <c r="I231" s="85"/>
      <c r="J231" s="85"/>
      <c r="K231" s="88"/>
      <c r="L231" s="88"/>
      <c r="M231" s="85"/>
      <c r="N231" s="85"/>
      <c r="O231" s="73"/>
    </row>
    <row r="232" customFormat="false" ht="15" hidden="false" customHeight="false" outlineLevel="0" collapsed="false">
      <c r="A232" s="87"/>
      <c r="B232" s="73"/>
      <c r="C232" s="74" t="str">
        <f aca="false">IF(B232="","",IFERROR(INDEX(الموظفون!$C$6:$C$105,MATCH(B232,الموظفون!$B$6:$B$105,0)),"✖ رقم غير موجود"))</f>
        <v/>
      </c>
      <c r="D232" s="88"/>
      <c r="E232" s="88"/>
      <c r="F232" s="88"/>
      <c r="G232" s="85"/>
      <c r="H232" s="85"/>
      <c r="I232" s="85"/>
      <c r="J232" s="85"/>
      <c r="K232" s="88"/>
      <c r="L232" s="88"/>
      <c r="M232" s="85"/>
      <c r="N232" s="85"/>
      <c r="O232" s="73"/>
    </row>
    <row r="233" customFormat="false" ht="15" hidden="false" customHeight="false" outlineLevel="0" collapsed="false">
      <c r="A233" s="87"/>
      <c r="B233" s="73"/>
      <c r="C233" s="91" t="str">
        <f aca="false">IF(B233="","",IFERROR(INDEX(الموظفون!$C$6:$C$105,MATCH(B233,الموظفون!$B$6:$B$105,0)),"✖ رقم غير موجود"))</f>
        <v/>
      </c>
      <c r="D233" s="88"/>
      <c r="E233" s="88"/>
      <c r="F233" s="88"/>
      <c r="G233" s="85"/>
      <c r="H233" s="85"/>
      <c r="I233" s="85"/>
      <c r="J233" s="85"/>
      <c r="K233" s="88"/>
      <c r="L233" s="88"/>
      <c r="M233" s="85"/>
      <c r="N233" s="85"/>
      <c r="O233" s="73"/>
    </row>
    <row r="234" customFormat="false" ht="15" hidden="false" customHeight="false" outlineLevel="0" collapsed="false">
      <c r="A234" s="87"/>
      <c r="B234" s="73"/>
      <c r="C234" s="74" t="str">
        <f aca="false">IF(B234="","",IFERROR(INDEX(الموظفون!$C$6:$C$105,MATCH(B234,الموظفون!$B$6:$B$105,0)),"✖ رقم غير موجود"))</f>
        <v/>
      </c>
      <c r="D234" s="88"/>
      <c r="E234" s="88"/>
      <c r="F234" s="88"/>
      <c r="G234" s="85"/>
      <c r="H234" s="85"/>
      <c r="I234" s="85"/>
      <c r="J234" s="85"/>
      <c r="K234" s="88"/>
      <c r="L234" s="88"/>
      <c r="M234" s="85"/>
      <c r="N234" s="85"/>
      <c r="O234" s="73"/>
    </row>
    <row r="235" customFormat="false" ht="15" hidden="false" customHeight="false" outlineLevel="0" collapsed="false">
      <c r="A235" s="87"/>
      <c r="B235" s="73"/>
      <c r="C235" s="91" t="str">
        <f aca="false">IF(B235="","",IFERROR(INDEX(الموظفون!$C$6:$C$105,MATCH(B235,الموظفون!$B$6:$B$105,0)),"✖ رقم غير موجود"))</f>
        <v/>
      </c>
      <c r="D235" s="88"/>
      <c r="E235" s="88"/>
      <c r="F235" s="88"/>
      <c r="G235" s="85"/>
      <c r="H235" s="85"/>
      <c r="I235" s="85"/>
      <c r="J235" s="85"/>
      <c r="K235" s="88"/>
      <c r="L235" s="88"/>
      <c r="M235" s="85"/>
      <c r="N235" s="85"/>
      <c r="O235" s="73"/>
    </row>
    <row r="236" customFormat="false" ht="15" hidden="false" customHeight="false" outlineLevel="0" collapsed="false">
      <c r="A236" s="87"/>
      <c r="B236" s="73"/>
      <c r="C236" s="74" t="str">
        <f aca="false">IF(B236="","",IFERROR(INDEX(الموظفون!$C$6:$C$105,MATCH(B236,الموظفون!$B$6:$B$105,0)),"✖ رقم غير موجود"))</f>
        <v/>
      </c>
      <c r="D236" s="88"/>
      <c r="E236" s="88"/>
      <c r="F236" s="88"/>
      <c r="G236" s="85"/>
      <c r="H236" s="85"/>
      <c r="I236" s="85"/>
      <c r="J236" s="85"/>
      <c r="K236" s="88"/>
      <c r="L236" s="88"/>
      <c r="M236" s="85"/>
      <c r="N236" s="85"/>
      <c r="O236" s="73"/>
    </row>
    <row r="237" customFormat="false" ht="15" hidden="false" customHeight="false" outlineLevel="0" collapsed="false">
      <c r="A237" s="87"/>
      <c r="B237" s="73"/>
      <c r="C237" s="91" t="str">
        <f aca="false">IF(B237="","",IFERROR(INDEX(الموظفون!$C$6:$C$105,MATCH(B237,الموظفون!$B$6:$B$105,0)),"✖ رقم غير موجود"))</f>
        <v/>
      </c>
      <c r="D237" s="88"/>
      <c r="E237" s="88"/>
      <c r="F237" s="88"/>
      <c r="G237" s="85"/>
      <c r="H237" s="85"/>
      <c r="I237" s="85"/>
      <c r="J237" s="85"/>
      <c r="K237" s="88"/>
      <c r="L237" s="88"/>
      <c r="M237" s="85"/>
      <c r="N237" s="85"/>
      <c r="O237" s="73"/>
    </row>
    <row r="238" customFormat="false" ht="15" hidden="false" customHeight="false" outlineLevel="0" collapsed="false">
      <c r="A238" s="87"/>
      <c r="B238" s="73"/>
      <c r="C238" s="74" t="str">
        <f aca="false">IF(B238="","",IFERROR(INDEX(الموظفون!$C$6:$C$105,MATCH(B238,الموظفون!$B$6:$B$105,0)),"✖ رقم غير موجود"))</f>
        <v/>
      </c>
      <c r="D238" s="88"/>
      <c r="E238" s="88"/>
      <c r="F238" s="88"/>
      <c r="G238" s="85"/>
      <c r="H238" s="85"/>
      <c r="I238" s="85"/>
      <c r="J238" s="85"/>
      <c r="K238" s="88"/>
      <c r="L238" s="88"/>
      <c r="M238" s="85"/>
      <c r="N238" s="85"/>
      <c r="O238" s="73"/>
    </row>
    <row r="239" customFormat="false" ht="15" hidden="false" customHeight="false" outlineLevel="0" collapsed="false">
      <c r="A239" s="87"/>
      <c r="B239" s="73"/>
      <c r="C239" s="91" t="str">
        <f aca="false">IF(B239="","",IFERROR(INDEX(الموظفون!$C$6:$C$105,MATCH(B239,الموظفون!$B$6:$B$105,0)),"✖ رقم غير موجود"))</f>
        <v/>
      </c>
      <c r="D239" s="88"/>
      <c r="E239" s="88"/>
      <c r="F239" s="88"/>
      <c r="G239" s="85"/>
      <c r="H239" s="85"/>
      <c r="I239" s="85"/>
      <c r="J239" s="85"/>
      <c r="K239" s="88"/>
      <c r="L239" s="88"/>
      <c r="M239" s="85"/>
      <c r="N239" s="85"/>
      <c r="O239" s="73"/>
    </row>
    <row r="240" customFormat="false" ht="15" hidden="false" customHeight="false" outlineLevel="0" collapsed="false">
      <c r="A240" s="87"/>
      <c r="B240" s="73"/>
      <c r="C240" s="74" t="str">
        <f aca="false">IF(B240="","",IFERROR(INDEX(الموظفون!$C$6:$C$105,MATCH(B240,الموظفون!$B$6:$B$105,0)),"✖ رقم غير موجود"))</f>
        <v/>
      </c>
      <c r="D240" s="88"/>
      <c r="E240" s="88"/>
      <c r="F240" s="88"/>
      <c r="G240" s="85"/>
      <c r="H240" s="85"/>
      <c r="I240" s="85"/>
      <c r="J240" s="85"/>
      <c r="K240" s="88"/>
      <c r="L240" s="88"/>
      <c r="M240" s="85"/>
      <c r="N240" s="85"/>
      <c r="O240" s="73"/>
    </row>
    <row r="241" customFormat="false" ht="15" hidden="false" customHeight="false" outlineLevel="0" collapsed="false">
      <c r="A241" s="87"/>
      <c r="B241" s="73"/>
      <c r="C241" s="91" t="str">
        <f aca="false">IF(B241="","",IFERROR(INDEX(الموظفون!$C$6:$C$105,MATCH(B241,الموظفون!$B$6:$B$105,0)),"✖ رقم غير موجود"))</f>
        <v/>
      </c>
      <c r="D241" s="88"/>
      <c r="E241" s="88"/>
      <c r="F241" s="88"/>
      <c r="G241" s="85"/>
      <c r="H241" s="85"/>
      <c r="I241" s="85"/>
      <c r="J241" s="85"/>
      <c r="K241" s="88"/>
      <c r="L241" s="88"/>
      <c r="M241" s="85"/>
      <c r="N241" s="85"/>
      <c r="O241" s="73"/>
    </row>
    <row r="242" customFormat="false" ht="15" hidden="false" customHeight="false" outlineLevel="0" collapsed="false">
      <c r="A242" s="87"/>
      <c r="B242" s="73"/>
      <c r="C242" s="74" t="str">
        <f aca="false">IF(B242="","",IFERROR(INDEX(الموظفون!$C$6:$C$105,MATCH(B242,الموظفون!$B$6:$B$105,0)),"✖ رقم غير موجود"))</f>
        <v/>
      </c>
      <c r="D242" s="88"/>
      <c r="E242" s="88"/>
      <c r="F242" s="88"/>
      <c r="G242" s="85"/>
      <c r="H242" s="85"/>
      <c r="I242" s="85"/>
      <c r="J242" s="85"/>
      <c r="K242" s="88"/>
      <c r="L242" s="88"/>
      <c r="M242" s="85"/>
      <c r="N242" s="85"/>
      <c r="O242" s="73"/>
    </row>
    <row r="243" customFormat="false" ht="15" hidden="false" customHeight="false" outlineLevel="0" collapsed="false">
      <c r="A243" s="87"/>
      <c r="B243" s="73"/>
      <c r="C243" s="91" t="str">
        <f aca="false">IF(B243="","",IFERROR(INDEX(الموظفون!$C$6:$C$105,MATCH(B243,الموظفون!$B$6:$B$105,0)),"✖ رقم غير موجود"))</f>
        <v/>
      </c>
      <c r="D243" s="88"/>
      <c r="E243" s="88"/>
      <c r="F243" s="88"/>
      <c r="G243" s="85"/>
      <c r="H243" s="85"/>
      <c r="I243" s="85"/>
      <c r="J243" s="85"/>
      <c r="K243" s="88"/>
      <c r="L243" s="88"/>
      <c r="M243" s="85"/>
      <c r="N243" s="85"/>
      <c r="O243" s="73"/>
    </row>
    <row r="244" customFormat="false" ht="15" hidden="false" customHeight="false" outlineLevel="0" collapsed="false">
      <c r="A244" s="87"/>
      <c r="B244" s="73"/>
      <c r="C244" s="74" t="str">
        <f aca="false">IF(B244="","",IFERROR(INDEX(الموظفون!$C$6:$C$105,MATCH(B244,الموظفون!$B$6:$B$105,0)),"✖ رقم غير موجود"))</f>
        <v/>
      </c>
      <c r="D244" s="88"/>
      <c r="E244" s="88"/>
      <c r="F244" s="88"/>
      <c r="G244" s="85"/>
      <c r="H244" s="85"/>
      <c r="I244" s="85"/>
      <c r="J244" s="85"/>
      <c r="K244" s="88"/>
      <c r="L244" s="88"/>
      <c r="M244" s="85"/>
      <c r="N244" s="85"/>
      <c r="O244" s="73"/>
    </row>
    <row r="245" customFormat="false" ht="15" hidden="false" customHeight="false" outlineLevel="0" collapsed="false">
      <c r="A245" s="87"/>
      <c r="B245" s="73"/>
      <c r="C245" s="91" t="str">
        <f aca="false">IF(B245="","",IFERROR(INDEX(الموظفون!$C$6:$C$105,MATCH(B245,الموظفون!$B$6:$B$105,0)),"✖ رقم غير موجود"))</f>
        <v/>
      </c>
      <c r="D245" s="88"/>
      <c r="E245" s="88"/>
      <c r="F245" s="88"/>
      <c r="G245" s="85"/>
      <c r="H245" s="85"/>
      <c r="I245" s="85"/>
      <c r="J245" s="85"/>
      <c r="K245" s="88"/>
      <c r="L245" s="88"/>
      <c r="M245" s="85"/>
      <c r="N245" s="85"/>
      <c r="O245" s="73"/>
    </row>
    <row r="246" customFormat="false" ht="15" hidden="false" customHeight="false" outlineLevel="0" collapsed="false">
      <c r="A246" s="87"/>
      <c r="B246" s="73"/>
      <c r="C246" s="74" t="str">
        <f aca="false">IF(B246="","",IFERROR(INDEX(الموظفون!$C$6:$C$105,MATCH(B246,الموظفون!$B$6:$B$105,0)),"✖ رقم غير موجود"))</f>
        <v/>
      </c>
      <c r="D246" s="88"/>
      <c r="E246" s="88"/>
      <c r="F246" s="88"/>
      <c r="G246" s="85"/>
      <c r="H246" s="85"/>
      <c r="I246" s="85"/>
      <c r="J246" s="85"/>
      <c r="K246" s="88"/>
      <c r="L246" s="88"/>
      <c r="M246" s="85"/>
      <c r="N246" s="85"/>
      <c r="O246" s="73"/>
    </row>
    <row r="247" customFormat="false" ht="15" hidden="false" customHeight="false" outlineLevel="0" collapsed="false">
      <c r="A247" s="87"/>
      <c r="B247" s="73"/>
      <c r="C247" s="91" t="str">
        <f aca="false">IF(B247="","",IFERROR(INDEX(الموظفون!$C$6:$C$105,MATCH(B247,الموظفون!$B$6:$B$105,0)),"✖ رقم غير موجود"))</f>
        <v/>
      </c>
      <c r="D247" s="88"/>
      <c r="E247" s="88"/>
      <c r="F247" s="88"/>
      <c r="G247" s="85"/>
      <c r="H247" s="85"/>
      <c r="I247" s="85"/>
      <c r="J247" s="85"/>
      <c r="K247" s="88"/>
      <c r="L247" s="88"/>
      <c r="M247" s="85"/>
      <c r="N247" s="85"/>
      <c r="O247" s="73"/>
    </row>
    <row r="248" customFormat="false" ht="15" hidden="false" customHeight="false" outlineLevel="0" collapsed="false">
      <c r="A248" s="87"/>
      <c r="B248" s="73"/>
      <c r="C248" s="74" t="str">
        <f aca="false">IF(B248="","",IFERROR(INDEX(الموظفون!$C$6:$C$105,MATCH(B248,الموظفون!$B$6:$B$105,0)),"✖ رقم غير موجود"))</f>
        <v/>
      </c>
      <c r="D248" s="88"/>
      <c r="E248" s="88"/>
      <c r="F248" s="88"/>
      <c r="G248" s="85"/>
      <c r="H248" s="85"/>
      <c r="I248" s="85"/>
      <c r="J248" s="85"/>
      <c r="K248" s="88"/>
      <c r="L248" s="88"/>
      <c r="M248" s="85"/>
      <c r="N248" s="85"/>
      <c r="O248" s="73"/>
    </row>
    <row r="249" customFormat="false" ht="15" hidden="false" customHeight="false" outlineLevel="0" collapsed="false">
      <c r="A249" s="87"/>
      <c r="B249" s="73"/>
      <c r="C249" s="91" t="str">
        <f aca="false">IF(B249="","",IFERROR(INDEX(الموظفون!$C$6:$C$105,MATCH(B249,الموظفون!$B$6:$B$105,0)),"✖ رقم غير موجود"))</f>
        <v/>
      </c>
      <c r="D249" s="88"/>
      <c r="E249" s="88"/>
      <c r="F249" s="88"/>
      <c r="G249" s="85"/>
      <c r="H249" s="85"/>
      <c r="I249" s="85"/>
      <c r="J249" s="85"/>
      <c r="K249" s="88"/>
      <c r="L249" s="88"/>
      <c r="M249" s="85"/>
      <c r="N249" s="85"/>
      <c r="O249" s="73"/>
    </row>
    <row r="250" customFormat="false" ht="15" hidden="false" customHeight="false" outlineLevel="0" collapsed="false">
      <c r="A250" s="87"/>
      <c r="B250" s="73"/>
      <c r="C250" s="74" t="str">
        <f aca="false">IF(B250="","",IFERROR(INDEX(الموظفون!$C$6:$C$105,MATCH(B250,الموظفون!$B$6:$B$105,0)),"✖ رقم غير موجود"))</f>
        <v/>
      </c>
      <c r="D250" s="88"/>
      <c r="E250" s="88"/>
      <c r="F250" s="88"/>
      <c r="G250" s="85"/>
      <c r="H250" s="85"/>
      <c r="I250" s="85"/>
      <c r="J250" s="85"/>
      <c r="K250" s="88"/>
      <c r="L250" s="88"/>
      <c r="M250" s="85"/>
      <c r="N250" s="85"/>
      <c r="O250" s="73"/>
    </row>
    <row r="251" customFormat="false" ht="15" hidden="false" customHeight="false" outlineLevel="0" collapsed="false">
      <c r="A251" s="87"/>
      <c r="B251" s="73"/>
      <c r="C251" s="91" t="str">
        <f aca="false">IF(B251="","",IFERROR(INDEX(الموظفون!$C$6:$C$105,MATCH(B251,الموظفون!$B$6:$B$105,0)),"✖ رقم غير موجود"))</f>
        <v/>
      </c>
      <c r="D251" s="88"/>
      <c r="E251" s="88"/>
      <c r="F251" s="88"/>
      <c r="G251" s="85"/>
      <c r="H251" s="85"/>
      <c r="I251" s="85"/>
      <c r="J251" s="85"/>
      <c r="K251" s="88"/>
      <c r="L251" s="88"/>
      <c r="M251" s="85"/>
      <c r="N251" s="85"/>
      <c r="O251" s="73"/>
    </row>
    <row r="252" customFormat="false" ht="15" hidden="false" customHeight="false" outlineLevel="0" collapsed="false">
      <c r="A252" s="87"/>
      <c r="B252" s="73"/>
      <c r="C252" s="74" t="str">
        <f aca="false">IF(B252="","",IFERROR(INDEX(الموظفون!$C$6:$C$105,MATCH(B252,الموظفون!$B$6:$B$105,0)),"✖ رقم غير موجود"))</f>
        <v/>
      </c>
      <c r="D252" s="88"/>
      <c r="E252" s="88"/>
      <c r="F252" s="88"/>
      <c r="G252" s="85"/>
      <c r="H252" s="85"/>
      <c r="I252" s="85"/>
      <c r="J252" s="85"/>
      <c r="K252" s="88"/>
      <c r="L252" s="88"/>
      <c r="M252" s="85"/>
      <c r="N252" s="85"/>
      <c r="O252" s="73"/>
    </row>
    <row r="253" customFormat="false" ht="15" hidden="false" customHeight="false" outlineLevel="0" collapsed="false">
      <c r="A253" s="87"/>
      <c r="B253" s="73"/>
      <c r="C253" s="91" t="str">
        <f aca="false">IF(B253="","",IFERROR(INDEX(الموظفون!$C$6:$C$105,MATCH(B253,الموظفون!$B$6:$B$105,0)),"✖ رقم غير موجود"))</f>
        <v/>
      </c>
      <c r="D253" s="88"/>
      <c r="E253" s="88"/>
      <c r="F253" s="88"/>
      <c r="G253" s="85"/>
      <c r="H253" s="85"/>
      <c r="I253" s="85"/>
      <c r="J253" s="85"/>
      <c r="K253" s="88"/>
      <c r="L253" s="88"/>
      <c r="M253" s="85"/>
      <c r="N253" s="85"/>
      <c r="O253" s="73"/>
    </row>
    <row r="254" customFormat="false" ht="15" hidden="false" customHeight="false" outlineLevel="0" collapsed="false">
      <c r="A254" s="87"/>
      <c r="B254" s="73"/>
      <c r="C254" s="74" t="str">
        <f aca="false">IF(B254="","",IFERROR(INDEX(الموظفون!$C$6:$C$105,MATCH(B254,الموظفون!$B$6:$B$105,0)),"✖ رقم غير موجود"))</f>
        <v/>
      </c>
      <c r="D254" s="88"/>
      <c r="E254" s="88"/>
      <c r="F254" s="88"/>
      <c r="G254" s="85"/>
      <c r="H254" s="85"/>
      <c r="I254" s="85"/>
      <c r="J254" s="85"/>
      <c r="K254" s="88"/>
      <c r="L254" s="88"/>
      <c r="M254" s="85"/>
      <c r="N254" s="85"/>
      <c r="O254" s="73"/>
    </row>
    <row r="255" customFormat="false" ht="15" hidden="false" customHeight="false" outlineLevel="0" collapsed="false">
      <c r="A255" s="87"/>
      <c r="B255" s="73"/>
      <c r="C255" s="91" t="str">
        <f aca="false">IF(B255="","",IFERROR(INDEX(الموظفون!$C$6:$C$105,MATCH(B255,الموظفون!$B$6:$B$105,0)),"✖ رقم غير موجود"))</f>
        <v/>
      </c>
      <c r="D255" s="88"/>
      <c r="E255" s="88"/>
      <c r="F255" s="88"/>
      <c r="G255" s="85"/>
      <c r="H255" s="85"/>
      <c r="I255" s="85"/>
      <c r="J255" s="85"/>
      <c r="K255" s="88"/>
      <c r="L255" s="88"/>
      <c r="M255" s="85"/>
      <c r="N255" s="85"/>
      <c r="O255" s="73"/>
    </row>
    <row r="256" customFormat="false" ht="15" hidden="false" customHeight="false" outlineLevel="0" collapsed="false">
      <c r="A256" s="87"/>
      <c r="B256" s="73"/>
      <c r="C256" s="74" t="str">
        <f aca="false">IF(B256="","",IFERROR(INDEX(الموظفون!$C$6:$C$105,MATCH(B256,الموظفون!$B$6:$B$105,0)),"✖ رقم غير موجود"))</f>
        <v/>
      </c>
      <c r="D256" s="88"/>
      <c r="E256" s="88"/>
      <c r="F256" s="88"/>
      <c r="G256" s="85"/>
      <c r="H256" s="85"/>
      <c r="I256" s="85"/>
      <c r="J256" s="85"/>
      <c r="K256" s="88"/>
      <c r="L256" s="88"/>
      <c r="M256" s="85"/>
      <c r="N256" s="85"/>
      <c r="O256" s="73"/>
    </row>
    <row r="257" customFormat="false" ht="15" hidden="false" customHeight="false" outlineLevel="0" collapsed="false">
      <c r="A257" s="87"/>
      <c r="B257" s="73"/>
      <c r="C257" s="91" t="str">
        <f aca="false">IF(B257="","",IFERROR(INDEX(الموظفون!$C$6:$C$105,MATCH(B257,الموظفون!$B$6:$B$105,0)),"✖ رقم غير موجود"))</f>
        <v/>
      </c>
      <c r="D257" s="88"/>
      <c r="E257" s="88"/>
      <c r="F257" s="88"/>
      <c r="G257" s="85"/>
      <c r="H257" s="85"/>
      <c r="I257" s="85"/>
      <c r="J257" s="85"/>
      <c r="K257" s="88"/>
      <c r="L257" s="88"/>
      <c r="M257" s="85"/>
      <c r="N257" s="85"/>
      <c r="O257" s="73"/>
    </row>
    <row r="258" customFormat="false" ht="15" hidden="false" customHeight="false" outlineLevel="0" collapsed="false">
      <c r="A258" s="87"/>
      <c r="B258" s="73"/>
      <c r="C258" s="74" t="str">
        <f aca="false">IF(B258="","",IFERROR(INDEX(الموظفون!$C$6:$C$105,MATCH(B258,الموظفون!$B$6:$B$105,0)),"✖ رقم غير موجود"))</f>
        <v/>
      </c>
      <c r="D258" s="88"/>
      <c r="E258" s="88"/>
      <c r="F258" s="88"/>
      <c r="G258" s="85"/>
      <c r="H258" s="85"/>
      <c r="I258" s="85"/>
      <c r="J258" s="85"/>
      <c r="K258" s="88"/>
      <c r="L258" s="88"/>
      <c r="M258" s="85"/>
      <c r="N258" s="85"/>
      <c r="O258" s="73"/>
    </row>
    <row r="259" customFormat="false" ht="15" hidden="false" customHeight="false" outlineLevel="0" collapsed="false">
      <c r="A259" s="87"/>
      <c r="B259" s="73"/>
      <c r="C259" s="91" t="str">
        <f aca="false">IF(B259="","",IFERROR(INDEX(الموظفون!$C$6:$C$105,MATCH(B259,الموظفون!$B$6:$B$105,0)),"✖ رقم غير موجود"))</f>
        <v/>
      </c>
      <c r="D259" s="88"/>
      <c r="E259" s="88"/>
      <c r="F259" s="88"/>
      <c r="G259" s="85"/>
      <c r="H259" s="85"/>
      <c r="I259" s="85"/>
      <c r="J259" s="85"/>
      <c r="K259" s="88"/>
      <c r="L259" s="88"/>
      <c r="M259" s="85"/>
      <c r="N259" s="85"/>
      <c r="O259" s="73"/>
    </row>
    <row r="260" customFormat="false" ht="15" hidden="false" customHeight="false" outlineLevel="0" collapsed="false">
      <c r="A260" s="87"/>
      <c r="B260" s="73"/>
      <c r="C260" s="74" t="str">
        <f aca="false">IF(B260="","",IFERROR(INDEX(الموظفون!$C$6:$C$105,MATCH(B260,الموظفون!$B$6:$B$105,0)),"✖ رقم غير موجود"))</f>
        <v/>
      </c>
      <c r="D260" s="88"/>
      <c r="E260" s="88"/>
      <c r="F260" s="88"/>
      <c r="G260" s="85"/>
      <c r="H260" s="85"/>
      <c r="I260" s="85"/>
      <c r="J260" s="85"/>
      <c r="K260" s="88"/>
      <c r="L260" s="88"/>
      <c r="M260" s="85"/>
      <c r="N260" s="85"/>
      <c r="O260" s="73"/>
    </row>
    <row r="261" customFormat="false" ht="15" hidden="false" customHeight="false" outlineLevel="0" collapsed="false">
      <c r="A261" s="87"/>
      <c r="B261" s="73"/>
      <c r="C261" s="91" t="str">
        <f aca="false">IF(B261="","",IFERROR(INDEX(الموظفون!$C$6:$C$105,MATCH(B261,الموظفون!$B$6:$B$105,0)),"✖ رقم غير موجود"))</f>
        <v/>
      </c>
      <c r="D261" s="88"/>
      <c r="E261" s="88"/>
      <c r="F261" s="88"/>
      <c r="G261" s="85"/>
      <c r="H261" s="85"/>
      <c r="I261" s="85"/>
      <c r="J261" s="85"/>
      <c r="K261" s="88"/>
      <c r="L261" s="88"/>
      <c r="M261" s="85"/>
      <c r="N261" s="85"/>
      <c r="O261" s="73"/>
    </row>
    <row r="262" customFormat="false" ht="15" hidden="false" customHeight="false" outlineLevel="0" collapsed="false">
      <c r="A262" s="87"/>
      <c r="B262" s="73"/>
      <c r="C262" s="74" t="str">
        <f aca="false">IF(B262="","",IFERROR(INDEX(الموظفون!$C$6:$C$105,MATCH(B262,الموظفون!$B$6:$B$105,0)),"✖ رقم غير موجود"))</f>
        <v/>
      </c>
      <c r="D262" s="88"/>
      <c r="E262" s="88"/>
      <c r="F262" s="88"/>
      <c r="G262" s="85"/>
      <c r="H262" s="85"/>
      <c r="I262" s="85"/>
      <c r="J262" s="85"/>
      <c r="K262" s="88"/>
      <c r="L262" s="88"/>
      <c r="M262" s="85"/>
      <c r="N262" s="85"/>
      <c r="O262" s="73"/>
    </row>
    <row r="263" customFormat="false" ht="15" hidden="false" customHeight="false" outlineLevel="0" collapsed="false">
      <c r="A263" s="87"/>
      <c r="B263" s="73"/>
      <c r="C263" s="91" t="str">
        <f aca="false">IF(B263="","",IFERROR(INDEX(الموظفون!$C$6:$C$105,MATCH(B263,الموظفون!$B$6:$B$105,0)),"✖ رقم غير موجود"))</f>
        <v/>
      </c>
      <c r="D263" s="88"/>
      <c r="E263" s="88"/>
      <c r="F263" s="88"/>
      <c r="G263" s="85"/>
      <c r="H263" s="85"/>
      <c r="I263" s="85"/>
      <c r="J263" s="85"/>
      <c r="K263" s="88"/>
      <c r="L263" s="88"/>
      <c r="M263" s="85"/>
      <c r="N263" s="85"/>
      <c r="O263" s="73"/>
    </row>
    <row r="264" customFormat="false" ht="15" hidden="false" customHeight="false" outlineLevel="0" collapsed="false">
      <c r="A264" s="87"/>
      <c r="B264" s="73"/>
      <c r="C264" s="74" t="str">
        <f aca="false">IF(B264="","",IFERROR(INDEX(الموظفون!$C$6:$C$105,MATCH(B264,الموظفون!$B$6:$B$105,0)),"✖ رقم غير موجود"))</f>
        <v/>
      </c>
      <c r="D264" s="88"/>
      <c r="E264" s="88"/>
      <c r="F264" s="88"/>
      <c r="G264" s="85"/>
      <c r="H264" s="85"/>
      <c r="I264" s="85"/>
      <c r="J264" s="85"/>
      <c r="K264" s="88"/>
      <c r="L264" s="88"/>
      <c r="M264" s="85"/>
      <c r="N264" s="85"/>
      <c r="O264" s="73"/>
    </row>
    <row r="265" customFormat="false" ht="15" hidden="false" customHeight="false" outlineLevel="0" collapsed="false">
      <c r="A265" s="87"/>
      <c r="B265" s="73"/>
      <c r="C265" s="91" t="str">
        <f aca="false">IF(B265="","",IFERROR(INDEX(الموظفون!$C$6:$C$105,MATCH(B265,الموظفون!$B$6:$B$105,0)),"✖ رقم غير موجود"))</f>
        <v/>
      </c>
      <c r="D265" s="88"/>
      <c r="E265" s="88"/>
      <c r="F265" s="88"/>
      <c r="G265" s="85"/>
      <c r="H265" s="85"/>
      <c r="I265" s="85"/>
      <c r="J265" s="85"/>
      <c r="K265" s="88"/>
      <c r="L265" s="88"/>
      <c r="M265" s="85"/>
      <c r="N265" s="85"/>
      <c r="O265" s="73"/>
    </row>
    <row r="266" customFormat="false" ht="15" hidden="false" customHeight="false" outlineLevel="0" collapsed="false">
      <c r="A266" s="87"/>
      <c r="B266" s="73"/>
      <c r="C266" s="74" t="str">
        <f aca="false">IF(B266="","",IFERROR(INDEX(الموظفون!$C$6:$C$105,MATCH(B266,الموظفون!$B$6:$B$105,0)),"✖ رقم غير موجود"))</f>
        <v/>
      </c>
      <c r="D266" s="88"/>
      <c r="E266" s="88"/>
      <c r="F266" s="88"/>
      <c r="G266" s="85"/>
      <c r="H266" s="85"/>
      <c r="I266" s="85"/>
      <c r="J266" s="85"/>
      <c r="K266" s="88"/>
      <c r="L266" s="88"/>
      <c r="M266" s="85"/>
      <c r="N266" s="85"/>
      <c r="O266" s="73"/>
    </row>
    <row r="267" customFormat="false" ht="15" hidden="false" customHeight="false" outlineLevel="0" collapsed="false">
      <c r="A267" s="87"/>
      <c r="B267" s="73"/>
      <c r="C267" s="91" t="str">
        <f aca="false">IF(B267="","",IFERROR(INDEX(الموظفون!$C$6:$C$105,MATCH(B267,الموظفون!$B$6:$B$105,0)),"✖ رقم غير موجود"))</f>
        <v/>
      </c>
      <c r="D267" s="88"/>
      <c r="E267" s="88"/>
      <c r="F267" s="88"/>
      <c r="G267" s="85"/>
      <c r="H267" s="85"/>
      <c r="I267" s="85"/>
      <c r="J267" s="85"/>
      <c r="K267" s="88"/>
      <c r="L267" s="88"/>
      <c r="M267" s="85"/>
      <c r="N267" s="85"/>
      <c r="O267" s="73"/>
    </row>
    <row r="268" customFormat="false" ht="15" hidden="false" customHeight="false" outlineLevel="0" collapsed="false">
      <c r="A268" s="87"/>
      <c r="B268" s="73"/>
      <c r="C268" s="74" t="str">
        <f aca="false">IF(B268="","",IFERROR(INDEX(الموظفون!$C$6:$C$105,MATCH(B268,الموظفون!$B$6:$B$105,0)),"✖ رقم غير موجود"))</f>
        <v/>
      </c>
      <c r="D268" s="88"/>
      <c r="E268" s="88"/>
      <c r="F268" s="88"/>
      <c r="G268" s="85"/>
      <c r="H268" s="85"/>
      <c r="I268" s="85"/>
      <c r="J268" s="85"/>
      <c r="K268" s="88"/>
      <c r="L268" s="88"/>
      <c r="M268" s="85"/>
      <c r="N268" s="85"/>
      <c r="O268" s="73"/>
    </row>
    <row r="269" customFormat="false" ht="15" hidden="false" customHeight="false" outlineLevel="0" collapsed="false">
      <c r="A269" s="87"/>
      <c r="B269" s="73"/>
      <c r="C269" s="91" t="str">
        <f aca="false">IF(B269="","",IFERROR(INDEX(الموظفون!$C$6:$C$105,MATCH(B269,الموظفون!$B$6:$B$105,0)),"✖ رقم غير موجود"))</f>
        <v/>
      </c>
      <c r="D269" s="88"/>
      <c r="E269" s="88"/>
      <c r="F269" s="88"/>
      <c r="G269" s="85"/>
      <c r="H269" s="85"/>
      <c r="I269" s="85"/>
      <c r="J269" s="85"/>
      <c r="K269" s="88"/>
      <c r="L269" s="88"/>
      <c r="M269" s="85"/>
      <c r="N269" s="85"/>
      <c r="O269" s="73"/>
    </row>
    <row r="270" customFormat="false" ht="15" hidden="false" customHeight="false" outlineLevel="0" collapsed="false">
      <c r="A270" s="87"/>
      <c r="B270" s="73"/>
      <c r="C270" s="74" t="str">
        <f aca="false">IF(B270="","",IFERROR(INDEX(الموظفون!$C$6:$C$105,MATCH(B270,الموظفون!$B$6:$B$105,0)),"✖ رقم غير موجود"))</f>
        <v/>
      </c>
      <c r="D270" s="88"/>
      <c r="E270" s="88"/>
      <c r="F270" s="88"/>
      <c r="G270" s="85"/>
      <c r="H270" s="85"/>
      <c r="I270" s="85"/>
      <c r="J270" s="85"/>
      <c r="K270" s="88"/>
      <c r="L270" s="88"/>
      <c r="M270" s="85"/>
      <c r="N270" s="85"/>
      <c r="O270" s="73"/>
    </row>
    <row r="271" customFormat="false" ht="15" hidden="false" customHeight="false" outlineLevel="0" collapsed="false">
      <c r="A271" s="87"/>
      <c r="B271" s="73"/>
      <c r="C271" s="91" t="str">
        <f aca="false">IF(B271="","",IFERROR(INDEX(الموظفون!$C$6:$C$105,MATCH(B271,الموظفون!$B$6:$B$105,0)),"✖ رقم غير موجود"))</f>
        <v/>
      </c>
      <c r="D271" s="88"/>
      <c r="E271" s="88"/>
      <c r="F271" s="88"/>
      <c r="G271" s="85"/>
      <c r="H271" s="85"/>
      <c r="I271" s="85"/>
      <c r="J271" s="85"/>
      <c r="K271" s="88"/>
      <c r="L271" s="88"/>
      <c r="M271" s="85"/>
      <c r="N271" s="85"/>
      <c r="O271" s="73"/>
    </row>
    <row r="272" customFormat="false" ht="15" hidden="false" customHeight="false" outlineLevel="0" collapsed="false">
      <c r="A272" s="87"/>
      <c r="B272" s="73"/>
      <c r="C272" s="74" t="str">
        <f aca="false">IF(B272="","",IFERROR(INDEX(الموظفون!$C$6:$C$105,MATCH(B272,الموظفون!$B$6:$B$105,0)),"✖ رقم غير موجود"))</f>
        <v/>
      </c>
      <c r="D272" s="88"/>
      <c r="E272" s="88"/>
      <c r="F272" s="88"/>
      <c r="G272" s="85"/>
      <c r="H272" s="85"/>
      <c r="I272" s="85"/>
      <c r="J272" s="85"/>
      <c r="K272" s="88"/>
      <c r="L272" s="88"/>
      <c r="M272" s="85"/>
      <c r="N272" s="85"/>
      <c r="O272" s="73"/>
    </row>
    <row r="273" customFormat="false" ht="15" hidden="false" customHeight="false" outlineLevel="0" collapsed="false">
      <c r="A273" s="87"/>
      <c r="B273" s="73"/>
      <c r="C273" s="91" t="str">
        <f aca="false">IF(B273="","",IFERROR(INDEX(الموظفون!$C$6:$C$105,MATCH(B273,الموظفون!$B$6:$B$105,0)),"✖ رقم غير موجود"))</f>
        <v/>
      </c>
      <c r="D273" s="88"/>
      <c r="E273" s="88"/>
      <c r="F273" s="88"/>
      <c r="G273" s="85"/>
      <c r="H273" s="85"/>
      <c r="I273" s="85"/>
      <c r="J273" s="85"/>
      <c r="K273" s="88"/>
      <c r="L273" s="88"/>
      <c r="M273" s="85"/>
      <c r="N273" s="85"/>
      <c r="O273" s="73"/>
    </row>
    <row r="274" customFormat="false" ht="15" hidden="false" customHeight="false" outlineLevel="0" collapsed="false">
      <c r="A274" s="87"/>
      <c r="B274" s="73"/>
      <c r="C274" s="74" t="str">
        <f aca="false">IF(B274="","",IFERROR(INDEX(الموظفون!$C$6:$C$105,MATCH(B274,الموظفون!$B$6:$B$105,0)),"✖ رقم غير موجود"))</f>
        <v/>
      </c>
      <c r="D274" s="88"/>
      <c r="E274" s="88"/>
      <c r="F274" s="88"/>
      <c r="G274" s="85"/>
      <c r="H274" s="85"/>
      <c r="I274" s="85"/>
      <c r="J274" s="85"/>
      <c r="K274" s="88"/>
      <c r="L274" s="88"/>
      <c r="M274" s="85"/>
      <c r="N274" s="85"/>
      <c r="O274" s="73"/>
    </row>
    <row r="275" customFormat="false" ht="15" hidden="false" customHeight="false" outlineLevel="0" collapsed="false">
      <c r="A275" s="87"/>
      <c r="B275" s="73"/>
      <c r="C275" s="91" t="str">
        <f aca="false">IF(B275="","",IFERROR(INDEX(الموظفون!$C$6:$C$105,MATCH(B275,الموظفون!$B$6:$B$105,0)),"✖ رقم غير موجود"))</f>
        <v/>
      </c>
      <c r="D275" s="88"/>
      <c r="E275" s="88"/>
      <c r="F275" s="88"/>
      <c r="G275" s="85"/>
      <c r="H275" s="85"/>
      <c r="I275" s="85"/>
      <c r="J275" s="85"/>
      <c r="K275" s="88"/>
      <c r="L275" s="88"/>
      <c r="M275" s="85"/>
      <c r="N275" s="85"/>
      <c r="O275" s="73"/>
    </row>
    <row r="276" customFormat="false" ht="15" hidden="false" customHeight="false" outlineLevel="0" collapsed="false">
      <c r="A276" s="87"/>
      <c r="B276" s="73"/>
      <c r="C276" s="74" t="str">
        <f aca="false">IF(B276="","",IFERROR(INDEX(الموظفون!$C$6:$C$105,MATCH(B276,الموظفون!$B$6:$B$105,0)),"✖ رقم غير موجود"))</f>
        <v/>
      </c>
      <c r="D276" s="88"/>
      <c r="E276" s="88"/>
      <c r="F276" s="88"/>
      <c r="G276" s="85"/>
      <c r="H276" s="85"/>
      <c r="I276" s="85"/>
      <c r="J276" s="85"/>
      <c r="K276" s="88"/>
      <c r="L276" s="88"/>
      <c r="M276" s="85"/>
      <c r="N276" s="85"/>
      <c r="O276" s="73"/>
    </row>
    <row r="277" customFormat="false" ht="15" hidden="false" customHeight="false" outlineLevel="0" collapsed="false">
      <c r="A277" s="87"/>
      <c r="B277" s="73"/>
      <c r="C277" s="91" t="str">
        <f aca="false">IF(B277="","",IFERROR(INDEX(الموظفون!$C$6:$C$105,MATCH(B277,الموظفون!$B$6:$B$105,0)),"✖ رقم غير موجود"))</f>
        <v/>
      </c>
      <c r="D277" s="88"/>
      <c r="E277" s="88"/>
      <c r="F277" s="88"/>
      <c r="G277" s="85"/>
      <c r="H277" s="85"/>
      <c r="I277" s="85"/>
      <c r="J277" s="85"/>
      <c r="K277" s="88"/>
      <c r="L277" s="88"/>
      <c r="M277" s="85"/>
      <c r="N277" s="85"/>
      <c r="O277" s="73"/>
    </row>
    <row r="278" customFormat="false" ht="15" hidden="false" customHeight="false" outlineLevel="0" collapsed="false">
      <c r="A278" s="87"/>
      <c r="B278" s="73"/>
      <c r="C278" s="74" t="str">
        <f aca="false">IF(B278="","",IFERROR(INDEX(الموظفون!$C$6:$C$105,MATCH(B278,الموظفون!$B$6:$B$105,0)),"✖ رقم غير موجود"))</f>
        <v/>
      </c>
      <c r="D278" s="88"/>
      <c r="E278" s="88"/>
      <c r="F278" s="88"/>
      <c r="G278" s="85"/>
      <c r="H278" s="85"/>
      <c r="I278" s="85"/>
      <c r="J278" s="85"/>
      <c r="K278" s="88"/>
      <c r="L278" s="88"/>
      <c r="M278" s="85"/>
      <c r="N278" s="85"/>
      <c r="O278" s="73"/>
    </row>
    <row r="279" customFormat="false" ht="15" hidden="false" customHeight="false" outlineLevel="0" collapsed="false">
      <c r="A279" s="87"/>
      <c r="B279" s="73"/>
      <c r="C279" s="91" t="str">
        <f aca="false">IF(B279="","",IFERROR(INDEX(الموظفون!$C$6:$C$105,MATCH(B279,الموظفون!$B$6:$B$105,0)),"✖ رقم غير موجود"))</f>
        <v/>
      </c>
      <c r="D279" s="88"/>
      <c r="E279" s="88"/>
      <c r="F279" s="88"/>
      <c r="G279" s="85"/>
      <c r="H279" s="85"/>
      <c r="I279" s="85"/>
      <c r="J279" s="85"/>
      <c r="K279" s="88"/>
      <c r="L279" s="88"/>
      <c r="M279" s="85"/>
      <c r="N279" s="85"/>
      <c r="O279" s="73"/>
    </row>
    <row r="280" customFormat="false" ht="15" hidden="false" customHeight="false" outlineLevel="0" collapsed="false">
      <c r="A280" s="87"/>
      <c r="B280" s="73"/>
      <c r="C280" s="74" t="str">
        <f aca="false">IF(B280="","",IFERROR(INDEX(الموظفون!$C$6:$C$105,MATCH(B280,الموظفون!$B$6:$B$105,0)),"✖ رقم غير موجود"))</f>
        <v/>
      </c>
      <c r="D280" s="88"/>
      <c r="E280" s="88"/>
      <c r="F280" s="88"/>
      <c r="G280" s="85"/>
      <c r="H280" s="85"/>
      <c r="I280" s="85"/>
      <c r="J280" s="85"/>
      <c r="K280" s="88"/>
      <c r="L280" s="88"/>
      <c r="M280" s="85"/>
      <c r="N280" s="85"/>
      <c r="O280" s="73"/>
    </row>
    <row r="281" customFormat="false" ht="15" hidden="false" customHeight="false" outlineLevel="0" collapsed="false">
      <c r="A281" s="87"/>
      <c r="B281" s="73"/>
      <c r="C281" s="91" t="str">
        <f aca="false">IF(B281="","",IFERROR(INDEX(الموظفون!$C$6:$C$105,MATCH(B281,الموظفون!$B$6:$B$105,0)),"✖ رقم غير موجود"))</f>
        <v/>
      </c>
      <c r="D281" s="88"/>
      <c r="E281" s="88"/>
      <c r="F281" s="88"/>
      <c r="G281" s="85"/>
      <c r="H281" s="85"/>
      <c r="I281" s="85"/>
      <c r="J281" s="85"/>
      <c r="K281" s="88"/>
      <c r="L281" s="88"/>
      <c r="M281" s="85"/>
      <c r="N281" s="85"/>
      <c r="O281" s="73"/>
    </row>
    <row r="282" customFormat="false" ht="15" hidden="false" customHeight="false" outlineLevel="0" collapsed="false">
      <c r="A282" s="87"/>
      <c r="B282" s="73"/>
      <c r="C282" s="74" t="str">
        <f aca="false">IF(B282="","",IFERROR(INDEX(الموظفون!$C$6:$C$105,MATCH(B282,الموظفون!$B$6:$B$105,0)),"✖ رقم غير موجود"))</f>
        <v/>
      </c>
      <c r="D282" s="88"/>
      <c r="E282" s="88"/>
      <c r="F282" s="88"/>
      <c r="G282" s="85"/>
      <c r="H282" s="85"/>
      <c r="I282" s="85"/>
      <c r="J282" s="85"/>
      <c r="K282" s="88"/>
      <c r="L282" s="88"/>
      <c r="M282" s="85"/>
      <c r="N282" s="85"/>
      <c r="O282" s="73"/>
    </row>
    <row r="283" customFormat="false" ht="15" hidden="false" customHeight="false" outlineLevel="0" collapsed="false">
      <c r="A283" s="87"/>
      <c r="B283" s="73"/>
      <c r="C283" s="91" t="str">
        <f aca="false">IF(B283="","",IFERROR(INDEX(الموظفون!$C$6:$C$105,MATCH(B283,الموظفون!$B$6:$B$105,0)),"✖ رقم غير موجود"))</f>
        <v/>
      </c>
      <c r="D283" s="88"/>
      <c r="E283" s="88"/>
      <c r="F283" s="88"/>
      <c r="G283" s="85"/>
      <c r="H283" s="85"/>
      <c r="I283" s="85"/>
      <c r="J283" s="85"/>
      <c r="K283" s="88"/>
      <c r="L283" s="88"/>
      <c r="M283" s="85"/>
      <c r="N283" s="85"/>
      <c r="O283" s="73"/>
    </row>
    <row r="284" customFormat="false" ht="15" hidden="false" customHeight="false" outlineLevel="0" collapsed="false">
      <c r="A284" s="87"/>
      <c r="B284" s="73"/>
      <c r="C284" s="74" t="str">
        <f aca="false">IF(B284="","",IFERROR(INDEX(الموظفون!$C$6:$C$105,MATCH(B284,الموظفون!$B$6:$B$105,0)),"✖ رقم غير موجود"))</f>
        <v/>
      </c>
      <c r="D284" s="88"/>
      <c r="E284" s="88"/>
      <c r="F284" s="88"/>
      <c r="G284" s="85"/>
      <c r="H284" s="85"/>
      <c r="I284" s="85"/>
      <c r="J284" s="85"/>
      <c r="K284" s="88"/>
      <c r="L284" s="88"/>
      <c r="M284" s="85"/>
      <c r="N284" s="85"/>
      <c r="O284" s="73"/>
    </row>
    <row r="285" customFormat="false" ht="15" hidden="false" customHeight="false" outlineLevel="0" collapsed="false">
      <c r="A285" s="87"/>
      <c r="B285" s="73"/>
      <c r="C285" s="91" t="str">
        <f aca="false">IF(B285="","",IFERROR(INDEX(الموظفون!$C$6:$C$105,MATCH(B285,الموظفون!$B$6:$B$105,0)),"✖ رقم غير موجود"))</f>
        <v/>
      </c>
      <c r="D285" s="88"/>
      <c r="E285" s="88"/>
      <c r="F285" s="88"/>
      <c r="G285" s="85"/>
      <c r="H285" s="85"/>
      <c r="I285" s="85"/>
      <c r="J285" s="85"/>
      <c r="K285" s="88"/>
      <c r="L285" s="88"/>
      <c r="M285" s="85"/>
      <c r="N285" s="85"/>
      <c r="O285" s="73"/>
    </row>
    <row r="286" customFormat="false" ht="15" hidden="false" customHeight="false" outlineLevel="0" collapsed="false">
      <c r="A286" s="87"/>
      <c r="B286" s="73"/>
      <c r="C286" s="74" t="str">
        <f aca="false">IF(B286="","",IFERROR(INDEX(الموظفون!$C$6:$C$105,MATCH(B286,الموظفون!$B$6:$B$105,0)),"✖ رقم غير موجود"))</f>
        <v/>
      </c>
      <c r="D286" s="88"/>
      <c r="E286" s="88"/>
      <c r="F286" s="88"/>
      <c r="G286" s="85"/>
      <c r="H286" s="85"/>
      <c r="I286" s="85"/>
      <c r="J286" s="85"/>
      <c r="K286" s="88"/>
      <c r="L286" s="88"/>
      <c r="M286" s="85"/>
      <c r="N286" s="85"/>
      <c r="O286" s="73"/>
    </row>
    <row r="287" customFormat="false" ht="15" hidden="false" customHeight="false" outlineLevel="0" collapsed="false">
      <c r="A287" s="87"/>
      <c r="B287" s="73"/>
      <c r="C287" s="91" t="str">
        <f aca="false">IF(B287="","",IFERROR(INDEX(الموظفون!$C$6:$C$105,MATCH(B287,الموظفون!$B$6:$B$105,0)),"✖ رقم غير موجود"))</f>
        <v/>
      </c>
      <c r="D287" s="88"/>
      <c r="E287" s="88"/>
      <c r="F287" s="88"/>
      <c r="G287" s="85"/>
      <c r="H287" s="85"/>
      <c r="I287" s="85"/>
      <c r="J287" s="85"/>
      <c r="K287" s="88"/>
      <c r="L287" s="88"/>
      <c r="M287" s="85"/>
      <c r="N287" s="85"/>
      <c r="O287" s="73"/>
    </row>
    <row r="288" customFormat="false" ht="15" hidden="false" customHeight="false" outlineLevel="0" collapsed="false">
      <c r="A288" s="87"/>
      <c r="B288" s="73"/>
      <c r="C288" s="74" t="str">
        <f aca="false">IF(B288="","",IFERROR(INDEX(الموظفون!$C$6:$C$105,MATCH(B288,الموظفون!$B$6:$B$105,0)),"✖ رقم غير موجود"))</f>
        <v/>
      </c>
      <c r="D288" s="88"/>
      <c r="E288" s="88"/>
      <c r="F288" s="88"/>
      <c r="G288" s="85"/>
      <c r="H288" s="85"/>
      <c r="I288" s="85"/>
      <c r="J288" s="85"/>
      <c r="K288" s="88"/>
      <c r="L288" s="88"/>
      <c r="M288" s="85"/>
      <c r="N288" s="85"/>
      <c r="O288" s="73"/>
    </row>
    <row r="289" customFormat="false" ht="15" hidden="false" customHeight="false" outlineLevel="0" collapsed="false">
      <c r="A289" s="87"/>
      <c r="B289" s="73"/>
      <c r="C289" s="91" t="str">
        <f aca="false">IF(B289="","",IFERROR(INDEX(الموظفون!$C$6:$C$105,MATCH(B289,الموظفون!$B$6:$B$105,0)),"✖ رقم غير موجود"))</f>
        <v/>
      </c>
      <c r="D289" s="88"/>
      <c r="E289" s="88"/>
      <c r="F289" s="88"/>
      <c r="G289" s="85"/>
      <c r="H289" s="85"/>
      <c r="I289" s="85"/>
      <c r="J289" s="85"/>
      <c r="K289" s="88"/>
      <c r="L289" s="88"/>
      <c r="M289" s="85"/>
      <c r="N289" s="85"/>
      <c r="O289" s="73"/>
    </row>
    <row r="290" customFormat="false" ht="15" hidden="false" customHeight="false" outlineLevel="0" collapsed="false">
      <c r="A290" s="87"/>
      <c r="B290" s="73"/>
      <c r="C290" s="74" t="str">
        <f aca="false">IF(B290="","",IFERROR(INDEX(الموظفون!$C$6:$C$105,MATCH(B290,الموظفون!$B$6:$B$105,0)),"✖ رقم غير موجود"))</f>
        <v/>
      </c>
      <c r="D290" s="88"/>
      <c r="E290" s="88"/>
      <c r="F290" s="88"/>
      <c r="G290" s="85"/>
      <c r="H290" s="85"/>
      <c r="I290" s="85"/>
      <c r="J290" s="85"/>
      <c r="K290" s="88"/>
      <c r="L290" s="88"/>
      <c r="M290" s="85"/>
      <c r="N290" s="85"/>
      <c r="O290" s="73"/>
    </row>
    <row r="291" customFormat="false" ht="15" hidden="false" customHeight="false" outlineLevel="0" collapsed="false">
      <c r="A291" s="87"/>
      <c r="B291" s="73"/>
      <c r="C291" s="91" t="str">
        <f aca="false">IF(B291="","",IFERROR(INDEX(الموظفون!$C$6:$C$105,MATCH(B291,الموظفون!$B$6:$B$105,0)),"✖ رقم غير موجود"))</f>
        <v/>
      </c>
      <c r="D291" s="88"/>
      <c r="E291" s="88"/>
      <c r="F291" s="88"/>
      <c r="G291" s="85"/>
      <c r="H291" s="85"/>
      <c r="I291" s="85"/>
      <c r="J291" s="85"/>
      <c r="K291" s="88"/>
      <c r="L291" s="88"/>
      <c r="M291" s="85"/>
      <c r="N291" s="85"/>
      <c r="O291" s="73"/>
    </row>
    <row r="292" customFormat="false" ht="15" hidden="false" customHeight="false" outlineLevel="0" collapsed="false">
      <c r="A292" s="87"/>
      <c r="B292" s="73"/>
      <c r="C292" s="74" t="str">
        <f aca="false">IF(B292="","",IFERROR(INDEX(الموظفون!$C$6:$C$105,MATCH(B292,الموظفون!$B$6:$B$105,0)),"✖ رقم غير موجود"))</f>
        <v/>
      </c>
      <c r="D292" s="88"/>
      <c r="E292" s="88"/>
      <c r="F292" s="88"/>
      <c r="G292" s="85"/>
      <c r="H292" s="85"/>
      <c r="I292" s="85"/>
      <c r="J292" s="85"/>
      <c r="K292" s="88"/>
      <c r="L292" s="88"/>
      <c r="M292" s="85"/>
      <c r="N292" s="85"/>
      <c r="O292" s="73"/>
    </row>
    <row r="293" customFormat="false" ht="15" hidden="false" customHeight="false" outlineLevel="0" collapsed="false">
      <c r="A293" s="87"/>
      <c r="B293" s="73"/>
      <c r="C293" s="91" t="str">
        <f aca="false">IF(B293="","",IFERROR(INDEX(الموظفون!$C$6:$C$105,MATCH(B293,الموظفون!$B$6:$B$105,0)),"✖ رقم غير موجود"))</f>
        <v/>
      </c>
      <c r="D293" s="88"/>
      <c r="E293" s="88"/>
      <c r="F293" s="88"/>
      <c r="G293" s="85"/>
      <c r="H293" s="85"/>
      <c r="I293" s="85"/>
      <c r="J293" s="85"/>
      <c r="K293" s="88"/>
      <c r="L293" s="88"/>
      <c r="M293" s="85"/>
      <c r="N293" s="85"/>
      <c r="O293" s="73"/>
    </row>
    <row r="294" customFormat="false" ht="15" hidden="false" customHeight="false" outlineLevel="0" collapsed="false">
      <c r="A294" s="87"/>
      <c r="B294" s="73"/>
      <c r="C294" s="74" t="str">
        <f aca="false">IF(B294="","",IFERROR(INDEX(الموظفون!$C$6:$C$105,MATCH(B294,الموظفون!$B$6:$B$105,0)),"✖ رقم غير موجود"))</f>
        <v/>
      </c>
      <c r="D294" s="88"/>
      <c r="E294" s="88"/>
      <c r="F294" s="88"/>
      <c r="G294" s="85"/>
      <c r="H294" s="85"/>
      <c r="I294" s="85"/>
      <c r="J294" s="85"/>
      <c r="K294" s="88"/>
      <c r="L294" s="88"/>
      <c r="M294" s="85"/>
      <c r="N294" s="85"/>
      <c r="O294" s="73"/>
    </row>
    <row r="295" customFormat="false" ht="15" hidden="false" customHeight="false" outlineLevel="0" collapsed="false">
      <c r="A295" s="87"/>
      <c r="B295" s="73"/>
      <c r="C295" s="91" t="str">
        <f aca="false">IF(B295="","",IFERROR(INDEX(الموظفون!$C$6:$C$105,MATCH(B295,الموظفون!$B$6:$B$105,0)),"✖ رقم غير موجود"))</f>
        <v/>
      </c>
      <c r="D295" s="88"/>
      <c r="E295" s="88"/>
      <c r="F295" s="88"/>
      <c r="G295" s="85"/>
      <c r="H295" s="85"/>
      <c r="I295" s="85"/>
      <c r="J295" s="85"/>
      <c r="K295" s="88"/>
      <c r="L295" s="88"/>
      <c r="M295" s="85"/>
      <c r="N295" s="85"/>
      <c r="O295" s="73"/>
    </row>
    <row r="296" customFormat="false" ht="15" hidden="false" customHeight="false" outlineLevel="0" collapsed="false">
      <c r="A296" s="87"/>
      <c r="B296" s="73"/>
      <c r="C296" s="74" t="str">
        <f aca="false">IF(B296="","",IFERROR(INDEX(الموظفون!$C$6:$C$105,MATCH(B296,الموظفون!$B$6:$B$105,0)),"✖ رقم غير موجود"))</f>
        <v/>
      </c>
      <c r="D296" s="88"/>
      <c r="E296" s="88"/>
      <c r="F296" s="88"/>
      <c r="G296" s="85"/>
      <c r="H296" s="85"/>
      <c r="I296" s="85"/>
      <c r="J296" s="85"/>
      <c r="K296" s="88"/>
      <c r="L296" s="88"/>
      <c r="M296" s="85"/>
      <c r="N296" s="85"/>
      <c r="O296" s="73"/>
    </row>
    <row r="297" customFormat="false" ht="15" hidden="false" customHeight="false" outlineLevel="0" collapsed="false">
      <c r="A297" s="87"/>
      <c r="B297" s="73"/>
      <c r="C297" s="91" t="str">
        <f aca="false">IF(B297="","",IFERROR(INDEX(الموظفون!$C$6:$C$105,MATCH(B297,الموظفون!$B$6:$B$105,0)),"✖ رقم غير موجود"))</f>
        <v/>
      </c>
      <c r="D297" s="88"/>
      <c r="E297" s="88"/>
      <c r="F297" s="88"/>
      <c r="G297" s="85"/>
      <c r="H297" s="85"/>
      <c r="I297" s="85"/>
      <c r="J297" s="85"/>
      <c r="K297" s="88"/>
      <c r="L297" s="88"/>
      <c r="M297" s="85"/>
      <c r="N297" s="85"/>
      <c r="O297" s="73"/>
    </row>
    <row r="298" customFormat="false" ht="15" hidden="false" customHeight="false" outlineLevel="0" collapsed="false">
      <c r="A298" s="87"/>
      <c r="B298" s="73"/>
      <c r="C298" s="74" t="str">
        <f aca="false">IF(B298="","",IFERROR(INDEX(الموظفون!$C$6:$C$105,MATCH(B298,الموظفون!$B$6:$B$105,0)),"✖ رقم غير موجود"))</f>
        <v/>
      </c>
      <c r="D298" s="88"/>
      <c r="E298" s="88"/>
      <c r="F298" s="88"/>
      <c r="G298" s="85"/>
      <c r="H298" s="85"/>
      <c r="I298" s="85"/>
      <c r="J298" s="85"/>
      <c r="K298" s="88"/>
      <c r="L298" s="88"/>
      <c r="M298" s="85"/>
      <c r="N298" s="85"/>
      <c r="O298" s="73"/>
    </row>
    <row r="299" customFormat="false" ht="15" hidden="false" customHeight="false" outlineLevel="0" collapsed="false">
      <c r="A299" s="87"/>
      <c r="B299" s="73"/>
      <c r="C299" s="91" t="str">
        <f aca="false">IF(B299="","",IFERROR(INDEX(الموظفون!$C$6:$C$105,MATCH(B299,الموظفون!$B$6:$B$105,0)),"✖ رقم غير موجود"))</f>
        <v/>
      </c>
      <c r="D299" s="88"/>
      <c r="E299" s="88"/>
      <c r="F299" s="88"/>
      <c r="G299" s="85"/>
      <c r="H299" s="85"/>
      <c r="I299" s="85"/>
      <c r="J299" s="85"/>
      <c r="K299" s="88"/>
      <c r="L299" s="88"/>
      <c r="M299" s="85"/>
      <c r="N299" s="85"/>
      <c r="O299" s="73"/>
    </row>
    <row r="300" customFormat="false" ht="15" hidden="false" customHeight="false" outlineLevel="0" collapsed="false">
      <c r="A300" s="87"/>
      <c r="B300" s="73"/>
      <c r="C300" s="74" t="str">
        <f aca="false">IF(B300="","",IFERROR(INDEX(الموظفون!$C$6:$C$105,MATCH(B300,الموظفون!$B$6:$B$105,0)),"✖ رقم غير موجود"))</f>
        <v/>
      </c>
      <c r="D300" s="88"/>
      <c r="E300" s="88"/>
      <c r="F300" s="88"/>
      <c r="G300" s="85"/>
      <c r="H300" s="85"/>
      <c r="I300" s="85"/>
      <c r="J300" s="85"/>
      <c r="K300" s="88"/>
      <c r="L300" s="88"/>
      <c r="M300" s="85"/>
      <c r="N300" s="85"/>
      <c r="O300" s="73"/>
    </row>
    <row r="301" customFormat="false" ht="15" hidden="false" customHeight="false" outlineLevel="0" collapsed="false">
      <c r="A301" s="87"/>
      <c r="B301" s="73"/>
      <c r="C301" s="91" t="str">
        <f aca="false">IF(B301="","",IFERROR(INDEX(الموظفون!$C$6:$C$105,MATCH(B301,الموظفون!$B$6:$B$105,0)),"✖ رقم غير موجود"))</f>
        <v/>
      </c>
      <c r="D301" s="88"/>
      <c r="E301" s="88"/>
      <c r="F301" s="88"/>
      <c r="G301" s="85"/>
      <c r="H301" s="85"/>
      <c r="I301" s="85"/>
      <c r="J301" s="85"/>
      <c r="K301" s="88"/>
      <c r="L301" s="88"/>
      <c r="M301" s="85"/>
      <c r="N301" s="85"/>
      <c r="O301" s="73"/>
    </row>
    <row r="302" customFormat="false" ht="15" hidden="false" customHeight="false" outlineLevel="0" collapsed="false">
      <c r="A302" s="87"/>
      <c r="B302" s="73"/>
      <c r="C302" s="74" t="str">
        <f aca="false">IF(B302="","",IFERROR(INDEX(الموظفون!$C$6:$C$105,MATCH(B302,الموظفون!$B$6:$B$105,0)),"✖ رقم غير موجود"))</f>
        <v/>
      </c>
      <c r="D302" s="88"/>
      <c r="E302" s="88"/>
      <c r="F302" s="88"/>
      <c r="G302" s="85"/>
      <c r="H302" s="85"/>
      <c r="I302" s="85"/>
      <c r="J302" s="85"/>
      <c r="K302" s="88"/>
      <c r="L302" s="88"/>
      <c r="M302" s="85"/>
      <c r="N302" s="85"/>
      <c r="O302" s="73"/>
    </row>
    <row r="303" customFormat="false" ht="15" hidden="false" customHeight="false" outlineLevel="0" collapsed="false">
      <c r="A303" s="87"/>
      <c r="B303" s="73"/>
      <c r="C303" s="91" t="str">
        <f aca="false">IF(B303="","",IFERROR(INDEX(الموظفون!$C$6:$C$105,MATCH(B303,الموظفون!$B$6:$B$105,0)),"✖ رقم غير موجود"))</f>
        <v/>
      </c>
      <c r="D303" s="88"/>
      <c r="E303" s="88"/>
      <c r="F303" s="88"/>
      <c r="G303" s="85"/>
      <c r="H303" s="85"/>
      <c r="I303" s="85"/>
      <c r="J303" s="85"/>
      <c r="K303" s="88"/>
      <c r="L303" s="88"/>
      <c r="M303" s="85"/>
      <c r="N303" s="85"/>
      <c r="O303" s="73"/>
    </row>
    <row r="304" customFormat="false" ht="15" hidden="false" customHeight="false" outlineLevel="0" collapsed="false">
      <c r="A304" s="87"/>
      <c r="B304" s="73"/>
      <c r="C304" s="74" t="str">
        <f aca="false">IF(B304="","",IFERROR(INDEX(الموظفون!$C$6:$C$105,MATCH(B304,الموظفون!$B$6:$B$105,0)),"✖ رقم غير موجود"))</f>
        <v/>
      </c>
      <c r="D304" s="88"/>
      <c r="E304" s="88"/>
      <c r="F304" s="88"/>
      <c r="G304" s="85"/>
      <c r="H304" s="85"/>
      <c r="I304" s="85"/>
      <c r="J304" s="85"/>
      <c r="K304" s="88"/>
      <c r="L304" s="88"/>
      <c r="M304" s="85"/>
      <c r="N304" s="85"/>
      <c r="O304" s="73"/>
    </row>
    <row r="305" customFormat="false" ht="15" hidden="false" customHeight="false" outlineLevel="0" collapsed="false">
      <c r="A305" s="87"/>
      <c r="B305" s="73"/>
      <c r="C305" s="91" t="str">
        <f aca="false">IF(B305="","",IFERROR(INDEX(الموظفون!$C$6:$C$105,MATCH(B305,الموظفون!$B$6:$B$105,0)),"✖ رقم غير موجود"))</f>
        <v/>
      </c>
      <c r="D305" s="88"/>
      <c r="E305" s="88"/>
      <c r="F305" s="88"/>
      <c r="G305" s="85"/>
      <c r="H305" s="85"/>
      <c r="I305" s="85"/>
      <c r="J305" s="85"/>
      <c r="K305" s="88"/>
      <c r="L305" s="88"/>
      <c r="M305" s="85"/>
      <c r="N305" s="85"/>
      <c r="O305" s="73"/>
    </row>
    <row r="306" customFormat="false" ht="15" hidden="false" customHeight="false" outlineLevel="0" collapsed="false">
      <c r="A306" s="87"/>
      <c r="B306" s="73"/>
      <c r="C306" s="74" t="str">
        <f aca="false">IF(B306="","",IFERROR(INDEX(الموظفون!$C$6:$C$105,MATCH(B306,الموظفون!$B$6:$B$105,0)),"✖ رقم غير موجود"))</f>
        <v/>
      </c>
      <c r="D306" s="88"/>
      <c r="E306" s="88"/>
      <c r="F306" s="88"/>
      <c r="G306" s="85"/>
      <c r="H306" s="85"/>
      <c r="I306" s="85"/>
      <c r="J306" s="85"/>
      <c r="K306" s="88"/>
      <c r="L306" s="88"/>
      <c r="M306" s="85"/>
      <c r="N306" s="85"/>
      <c r="O306" s="73"/>
    </row>
    <row r="307" customFormat="false" ht="15" hidden="false" customHeight="false" outlineLevel="0" collapsed="false">
      <c r="A307" s="87"/>
      <c r="B307" s="73"/>
      <c r="C307" s="91" t="str">
        <f aca="false">IF(B307="","",IFERROR(INDEX(الموظفون!$C$6:$C$105,MATCH(B307,الموظفون!$B$6:$B$105,0)),"✖ رقم غير موجود"))</f>
        <v/>
      </c>
      <c r="D307" s="88"/>
      <c r="E307" s="88"/>
      <c r="F307" s="88"/>
      <c r="G307" s="85"/>
      <c r="H307" s="85"/>
      <c r="I307" s="85"/>
      <c r="J307" s="85"/>
      <c r="K307" s="88"/>
      <c r="L307" s="88"/>
      <c r="M307" s="85"/>
      <c r="N307" s="85"/>
      <c r="O307" s="73"/>
    </row>
    <row r="308" customFormat="false" ht="15" hidden="false" customHeight="false" outlineLevel="0" collapsed="false">
      <c r="A308" s="87"/>
      <c r="B308" s="73"/>
      <c r="C308" s="74" t="str">
        <f aca="false">IF(B308="","",IFERROR(INDEX(الموظفون!$C$6:$C$105,MATCH(B308,الموظفون!$B$6:$B$105,0)),"✖ رقم غير موجود"))</f>
        <v/>
      </c>
      <c r="D308" s="88"/>
      <c r="E308" s="88"/>
      <c r="F308" s="88"/>
      <c r="G308" s="85"/>
      <c r="H308" s="85"/>
      <c r="I308" s="85"/>
      <c r="J308" s="85"/>
      <c r="K308" s="88"/>
      <c r="L308" s="88"/>
      <c r="M308" s="85"/>
      <c r="N308" s="85"/>
      <c r="O308" s="73"/>
    </row>
    <row r="309" customFormat="false" ht="15" hidden="false" customHeight="false" outlineLevel="0" collapsed="false">
      <c r="A309" s="87"/>
      <c r="B309" s="73"/>
      <c r="C309" s="91" t="str">
        <f aca="false">IF(B309="","",IFERROR(INDEX(الموظفون!$C$6:$C$105,MATCH(B309,الموظفون!$B$6:$B$105,0)),"✖ رقم غير موجود"))</f>
        <v/>
      </c>
      <c r="D309" s="88"/>
      <c r="E309" s="88"/>
      <c r="F309" s="88"/>
      <c r="G309" s="85"/>
      <c r="H309" s="85"/>
      <c r="I309" s="85"/>
      <c r="J309" s="85"/>
      <c r="K309" s="88"/>
      <c r="L309" s="88"/>
      <c r="M309" s="85"/>
      <c r="N309" s="85"/>
      <c r="O309" s="73"/>
    </row>
    <row r="310" customFormat="false" ht="15" hidden="false" customHeight="false" outlineLevel="0" collapsed="false">
      <c r="A310" s="87"/>
      <c r="B310" s="73"/>
      <c r="C310" s="74" t="str">
        <f aca="false">IF(B310="","",IFERROR(INDEX(الموظفون!$C$6:$C$105,MATCH(B310,الموظفون!$B$6:$B$105,0)),"✖ رقم غير موجود"))</f>
        <v/>
      </c>
      <c r="D310" s="88"/>
      <c r="E310" s="88"/>
      <c r="F310" s="88"/>
      <c r="G310" s="85"/>
      <c r="H310" s="85"/>
      <c r="I310" s="85"/>
      <c r="J310" s="85"/>
      <c r="K310" s="88"/>
      <c r="L310" s="88"/>
      <c r="M310" s="85"/>
      <c r="N310" s="85"/>
      <c r="O310" s="73"/>
    </row>
    <row r="311" customFormat="false" ht="15" hidden="false" customHeight="false" outlineLevel="0" collapsed="false">
      <c r="A311" s="87"/>
      <c r="B311" s="73"/>
      <c r="C311" s="91" t="str">
        <f aca="false">IF(B311="","",IFERROR(INDEX(الموظفون!$C$6:$C$105,MATCH(B311,الموظفون!$B$6:$B$105,0)),"✖ رقم غير موجود"))</f>
        <v/>
      </c>
      <c r="D311" s="88"/>
      <c r="E311" s="88"/>
      <c r="F311" s="88"/>
      <c r="G311" s="85"/>
      <c r="H311" s="85"/>
      <c r="I311" s="85"/>
      <c r="J311" s="85"/>
      <c r="K311" s="88"/>
      <c r="L311" s="88"/>
      <c r="M311" s="85"/>
      <c r="N311" s="85"/>
      <c r="O311" s="73"/>
    </row>
    <row r="312" customFormat="false" ht="15" hidden="false" customHeight="false" outlineLevel="0" collapsed="false">
      <c r="A312" s="87"/>
      <c r="B312" s="73"/>
      <c r="C312" s="74" t="str">
        <f aca="false">IF(B312="","",IFERROR(INDEX(الموظفون!$C$6:$C$105,MATCH(B312,الموظفون!$B$6:$B$105,0)),"✖ رقم غير موجود"))</f>
        <v/>
      </c>
      <c r="D312" s="88"/>
      <c r="E312" s="88"/>
      <c r="F312" s="88"/>
      <c r="G312" s="85"/>
      <c r="H312" s="85"/>
      <c r="I312" s="85"/>
      <c r="J312" s="85"/>
      <c r="K312" s="88"/>
      <c r="L312" s="88"/>
      <c r="M312" s="85"/>
      <c r="N312" s="85"/>
      <c r="O312" s="73"/>
    </row>
    <row r="313" customFormat="false" ht="15" hidden="false" customHeight="false" outlineLevel="0" collapsed="false">
      <c r="A313" s="87"/>
      <c r="B313" s="73"/>
      <c r="C313" s="91" t="str">
        <f aca="false">IF(B313="","",IFERROR(INDEX(الموظفون!$C$6:$C$105,MATCH(B313,الموظفون!$B$6:$B$105,0)),"✖ رقم غير موجود"))</f>
        <v/>
      </c>
      <c r="D313" s="88"/>
      <c r="E313" s="88"/>
      <c r="F313" s="88"/>
      <c r="G313" s="85"/>
      <c r="H313" s="85"/>
      <c r="I313" s="85"/>
      <c r="J313" s="85"/>
      <c r="K313" s="88"/>
      <c r="L313" s="88"/>
      <c r="M313" s="85"/>
      <c r="N313" s="85"/>
      <c r="O313" s="73"/>
    </row>
    <row r="314" customFormat="false" ht="15" hidden="false" customHeight="false" outlineLevel="0" collapsed="false">
      <c r="A314" s="87"/>
      <c r="B314" s="73"/>
      <c r="C314" s="74" t="str">
        <f aca="false">IF(B314="","",IFERROR(INDEX(الموظفون!$C$6:$C$105,MATCH(B314,الموظفون!$B$6:$B$105,0)),"✖ رقم غير موجود"))</f>
        <v/>
      </c>
      <c r="D314" s="88"/>
      <c r="E314" s="88"/>
      <c r="F314" s="88"/>
      <c r="G314" s="85"/>
      <c r="H314" s="85"/>
      <c r="I314" s="85"/>
      <c r="J314" s="85"/>
      <c r="K314" s="88"/>
      <c r="L314" s="88"/>
      <c r="M314" s="85"/>
      <c r="N314" s="85"/>
      <c r="O314" s="73"/>
    </row>
    <row r="315" customFormat="false" ht="15" hidden="false" customHeight="false" outlineLevel="0" collapsed="false">
      <c r="A315" s="87"/>
      <c r="B315" s="73"/>
      <c r="C315" s="91" t="str">
        <f aca="false">IF(B315="","",IFERROR(INDEX(الموظفون!$C$6:$C$105,MATCH(B315,الموظفون!$B$6:$B$105,0)),"✖ رقم غير موجود"))</f>
        <v/>
      </c>
      <c r="D315" s="88"/>
      <c r="E315" s="88"/>
      <c r="F315" s="88"/>
      <c r="G315" s="85"/>
      <c r="H315" s="85"/>
      <c r="I315" s="85"/>
      <c r="J315" s="85"/>
      <c r="K315" s="88"/>
      <c r="L315" s="88"/>
      <c r="M315" s="85"/>
      <c r="N315" s="85"/>
      <c r="O315" s="73"/>
    </row>
    <row r="316" customFormat="false" ht="15" hidden="false" customHeight="false" outlineLevel="0" collapsed="false">
      <c r="A316" s="87"/>
      <c r="B316" s="73"/>
      <c r="C316" s="74" t="str">
        <f aca="false">IF(B316="","",IFERROR(INDEX(الموظفون!$C$6:$C$105,MATCH(B316,الموظفون!$B$6:$B$105,0)),"✖ رقم غير موجود"))</f>
        <v/>
      </c>
      <c r="D316" s="88"/>
      <c r="E316" s="88"/>
      <c r="F316" s="88"/>
      <c r="G316" s="85"/>
      <c r="H316" s="85"/>
      <c r="I316" s="85"/>
      <c r="J316" s="85"/>
      <c r="K316" s="88"/>
      <c r="L316" s="88"/>
      <c r="M316" s="85"/>
      <c r="N316" s="85"/>
      <c r="O316" s="73"/>
    </row>
    <row r="317" customFormat="false" ht="15" hidden="false" customHeight="false" outlineLevel="0" collapsed="false">
      <c r="A317" s="87"/>
      <c r="B317" s="73"/>
      <c r="C317" s="91" t="str">
        <f aca="false">IF(B317="","",IFERROR(INDEX(الموظفون!$C$6:$C$105,MATCH(B317,الموظفون!$B$6:$B$105,0)),"✖ رقم غير موجود"))</f>
        <v/>
      </c>
      <c r="D317" s="88"/>
      <c r="E317" s="88"/>
      <c r="F317" s="88"/>
      <c r="G317" s="85"/>
      <c r="H317" s="85"/>
      <c r="I317" s="85"/>
      <c r="J317" s="85"/>
      <c r="K317" s="88"/>
      <c r="L317" s="88"/>
      <c r="M317" s="85"/>
      <c r="N317" s="85"/>
      <c r="O317" s="73"/>
    </row>
    <row r="318" customFormat="false" ht="15" hidden="false" customHeight="false" outlineLevel="0" collapsed="false">
      <c r="A318" s="87"/>
      <c r="B318" s="73"/>
      <c r="C318" s="74" t="str">
        <f aca="false">IF(B318="","",IFERROR(INDEX(الموظفون!$C$6:$C$105,MATCH(B318,الموظفون!$B$6:$B$105,0)),"✖ رقم غير موجود"))</f>
        <v/>
      </c>
      <c r="D318" s="88"/>
      <c r="E318" s="88"/>
      <c r="F318" s="88"/>
      <c r="G318" s="85"/>
      <c r="H318" s="85"/>
      <c r="I318" s="85"/>
      <c r="J318" s="85"/>
      <c r="K318" s="88"/>
      <c r="L318" s="88"/>
      <c r="M318" s="85"/>
      <c r="N318" s="85"/>
      <c r="O318" s="73"/>
    </row>
    <row r="319" customFormat="false" ht="15" hidden="false" customHeight="false" outlineLevel="0" collapsed="false">
      <c r="A319" s="87"/>
      <c r="B319" s="73"/>
      <c r="C319" s="91" t="str">
        <f aca="false">IF(B319="","",IFERROR(INDEX(الموظفون!$C$6:$C$105,MATCH(B319,الموظفون!$B$6:$B$105,0)),"✖ رقم غير موجود"))</f>
        <v/>
      </c>
      <c r="D319" s="88"/>
      <c r="E319" s="88"/>
      <c r="F319" s="88"/>
      <c r="G319" s="85"/>
      <c r="H319" s="85"/>
      <c r="I319" s="85"/>
      <c r="J319" s="85"/>
      <c r="K319" s="88"/>
      <c r="L319" s="88"/>
      <c r="M319" s="85"/>
      <c r="N319" s="85"/>
      <c r="O319" s="73"/>
    </row>
    <row r="320" customFormat="false" ht="15" hidden="false" customHeight="false" outlineLevel="0" collapsed="false">
      <c r="A320" s="87"/>
      <c r="B320" s="73"/>
      <c r="C320" s="74" t="str">
        <f aca="false">IF(B320="","",IFERROR(INDEX(الموظفون!$C$6:$C$105,MATCH(B320,الموظفون!$B$6:$B$105,0)),"✖ رقم غير موجود"))</f>
        <v/>
      </c>
      <c r="D320" s="88"/>
      <c r="E320" s="88"/>
      <c r="F320" s="88"/>
      <c r="G320" s="85"/>
      <c r="H320" s="85"/>
      <c r="I320" s="85"/>
      <c r="J320" s="85"/>
      <c r="K320" s="88"/>
      <c r="L320" s="88"/>
      <c r="M320" s="85"/>
      <c r="N320" s="85"/>
      <c r="O320" s="73"/>
    </row>
    <row r="321" customFormat="false" ht="15" hidden="false" customHeight="false" outlineLevel="0" collapsed="false">
      <c r="A321" s="87"/>
      <c r="B321" s="73"/>
      <c r="C321" s="91" t="str">
        <f aca="false">IF(B321="","",IFERROR(INDEX(الموظفون!$C$6:$C$105,MATCH(B321,الموظفون!$B$6:$B$105,0)),"✖ رقم غير موجود"))</f>
        <v/>
      </c>
      <c r="D321" s="88"/>
      <c r="E321" s="88"/>
      <c r="F321" s="88"/>
      <c r="G321" s="85"/>
      <c r="H321" s="85"/>
      <c r="I321" s="85"/>
      <c r="J321" s="85"/>
      <c r="K321" s="88"/>
      <c r="L321" s="88"/>
      <c r="M321" s="85"/>
      <c r="N321" s="85"/>
      <c r="O321" s="73"/>
    </row>
    <row r="322" customFormat="false" ht="15" hidden="false" customHeight="false" outlineLevel="0" collapsed="false">
      <c r="A322" s="87"/>
      <c r="B322" s="73"/>
      <c r="C322" s="74" t="str">
        <f aca="false">IF(B322="","",IFERROR(INDEX(الموظفون!$C$6:$C$105,MATCH(B322,الموظفون!$B$6:$B$105,0)),"✖ رقم غير موجود"))</f>
        <v/>
      </c>
      <c r="D322" s="88"/>
      <c r="E322" s="88"/>
      <c r="F322" s="88"/>
      <c r="G322" s="85"/>
      <c r="H322" s="85"/>
      <c r="I322" s="85"/>
      <c r="J322" s="85"/>
      <c r="K322" s="88"/>
      <c r="L322" s="88"/>
      <c r="M322" s="85"/>
      <c r="N322" s="85"/>
      <c r="O322" s="73"/>
    </row>
    <row r="323" customFormat="false" ht="15" hidden="false" customHeight="false" outlineLevel="0" collapsed="false">
      <c r="A323" s="87"/>
      <c r="B323" s="73"/>
      <c r="C323" s="91" t="str">
        <f aca="false">IF(B323="","",IFERROR(INDEX(الموظفون!$C$6:$C$105,MATCH(B323,الموظفون!$B$6:$B$105,0)),"✖ رقم غير موجود"))</f>
        <v/>
      </c>
      <c r="D323" s="88"/>
      <c r="E323" s="88"/>
      <c r="F323" s="88"/>
      <c r="G323" s="85"/>
      <c r="H323" s="85"/>
      <c r="I323" s="85"/>
      <c r="J323" s="85"/>
      <c r="K323" s="88"/>
      <c r="L323" s="88"/>
      <c r="M323" s="85"/>
      <c r="N323" s="85"/>
      <c r="O323" s="73"/>
    </row>
    <row r="324" customFormat="false" ht="15" hidden="false" customHeight="false" outlineLevel="0" collapsed="false">
      <c r="A324" s="87"/>
      <c r="B324" s="73"/>
      <c r="C324" s="74" t="str">
        <f aca="false">IF(B324="","",IFERROR(INDEX(الموظفون!$C$6:$C$105,MATCH(B324,الموظفون!$B$6:$B$105,0)),"✖ رقم غير موجود"))</f>
        <v/>
      </c>
      <c r="D324" s="88"/>
      <c r="E324" s="88"/>
      <c r="F324" s="88"/>
      <c r="G324" s="85"/>
      <c r="H324" s="85"/>
      <c r="I324" s="85"/>
      <c r="J324" s="85"/>
      <c r="K324" s="88"/>
      <c r="L324" s="88"/>
      <c r="M324" s="85"/>
      <c r="N324" s="85"/>
      <c r="O324" s="73"/>
    </row>
    <row r="325" customFormat="false" ht="15" hidden="false" customHeight="false" outlineLevel="0" collapsed="false">
      <c r="A325" s="87"/>
      <c r="B325" s="73"/>
      <c r="C325" s="91" t="str">
        <f aca="false">IF(B325="","",IFERROR(INDEX(الموظفون!$C$6:$C$105,MATCH(B325,الموظفون!$B$6:$B$105,0)),"✖ رقم غير موجود"))</f>
        <v/>
      </c>
      <c r="D325" s="88"/>
      <c r="E325" s="88"/>
      <c r="F325" s="88"/>
      <c r="G325" s="85"/>
      <c r="H325" s="85"/>
      <c r="I325" s="85"/>
      <c r="J325" s="85"/>
      <c r="K325" s="88"/>
      <c r="L325" s="88"/>
      <c r="M325" s="85"/>
      <c r="N325" s="85"/>
      <c r="O325" s="73"/>
    </row>
    <row r="326" customFormat="false" ht="15" hidden="false" customHeight="false" outlineLevel="0" collapsed="false">
      <c r="A326" s="87"/>
      <c r="B326" s="73"/>
      <c r="C326" s="74" t="str">
        <f aca="false">IF(B326="","",IFERROR(INDEX(الموظفون!$C$6:$C$105,MATCH(B326,الموظفون!$B$6:$B$105,0)),"✖ رقم غير موجود"))</f>
        <v/>
      </c>
      <c r="D326" s="88"/>
      <c r="E326" s="88"/>
      <c r="F326" s="88"/>
      <c r="G326" s="85"/>
      <c r="H326" s="85"/>
      <c r="I326" s="85"/>
      <c r="J326" s="85"/>
      <c r="K326" s="88"/>
      <c r="L326" s="88"/>
      <c r="M326" s="85"/>
      <c r="N326" s="85"/>
      <c r="O326" s="73"/>
    </row>
    <row r="327" customFormat="false" ht="15" hidden="false" customHeight="false" outlineLevel="0" collapsed="false">
      <c r="A327" s="87"/>
      <c r="B327" s="73"/>
      <c r="C327" s="91" t="str">
        <f aca="false">IF(B327="","",IFERROR(INDEX(الموظفون!$C$6:$C$105,MATCH(B327,الموظفون!$B$6:$B$105,0)),"✖ رقم غير موجود"))</f>
        <v/>
      </c>
      <c r="D327" s="88"/>
      <c r="E327" s="88"/>
      <c r="F327" s="88"/>
      <c r="G327" s="85"/>
      <c r="H327" s="85"/>
      <c r="I327" s="85"/>
      <c r="J327" s="85"/>
      <c r="K327" s="88"/>
      <c r="L327" s="88"/>
      <c r="M327" s="85"/>
      <c r="N327" s="85"/>
      <c r="O327" s="73"/>
    </row>
    <row r="328" customFormat="false" ht="15" hidden="false" customHeight="false" outlineLevel="0" collapsed="false">
      <c r="A328" s="87"/>
      <c r="B328" s="73"/>
      <c r="C328" s="74" t="str">
        <f aca="false">IF(B328="","",IFERROR(INDEX(الموظفون!$C$6:$C$105,MATCH(B328,الموظفون!$B$6:$B$105,0)),"✖ رقم غير موجود"))</f>
        <v/>
      </c>
      <c r="D328" s="88"/>
      <c r="E328" s="88"/>
      <c r="F328" s="88"/>
      <c r="G328" s="85"/>
      <c r="H328" s="85"/>
      <c r="I328" s="85"/>
      <c r="J328" s="85"/>
      <c r="K328" s="88"/>
      <c r="L328" s="88"/>
      <c r="M328" s="85"/>
      <c r="N328" s="85"/>
      <c r="O328" s="73"/>
    </row>
    <row r="329" customFormat="false" ht="15" hidden="false" customHeight="false" outlineLevel="0" collapsed="false">
      <c r="A329" s="87"/>
      <c r="B329" s="73"/>
      <c r="C329" s="91" t="str">
        <f aca="false">IF(B329="","",IFERROR(INDEX(الموظفون!$C$6:$C$105,MATCH(B329,الموظفون!$B$6:$B$105,0)),"✖ رقم غير موجود"))</f>
        <v/>
      </c>
      <c r="D329" s="88"/>
      <c r="E329" s="88"/>
      <c r="F329" s="88"/>
      <c r="G329" s="85"/>
      <c r="H329" s="85"/>
      <c r="I329" s="85"/>
      <c r="J329" s="85"/>
      <c r="K329" s="88"/>
      <c r="L329" s="88"/>
      <c r="M329" s="85"/>
      <c r="N329" s="85"/>
      <c r="O329" s="73"/>
    </row>
    <row r="330" customFormat="false" ht="15" hidden="false" customHeight="false" outlineLevel="0" collapsed="false">
      <c r="A330" s="87"/>
      <c r="B330" s="73"/>
      <c r="C330" s="74" t="str">
        <f aca="false">IF(B330="","",IFERROR(INDEX(الموظفون!$C$6:$C$105,MATCH(B330,الموظفون!$B$6:$B$105,0)),"✖ رقم غير موجود"))</f>
        <v/>
      </c>
      <c r="D330" s="88"/>
      <c r="E330" s="88"/>
      <c r="F330" s="88"/>
      <c r="G330" s="85"/>
      <c r="H330" s="85"/>
      <c r="I330" s="85"/>
      <c r="J330" s="85"/>
      <c r="K330" s="88"/>
      <c r="L330" s="88"/>
      <c r="M330" s="85"/>
      <c r="N330" s="85"/>
      <c r="O330" s="73"/>
    </row>
    <row r="331" customFormat="false" ht="15" hidden="false" customHeight="false" outlineLevel="0" collapsed="false">
      <c r="A331" s="87"/>
      <c r="B331" s="73"/>
      <c r="C331" s="91" t="str">
        <f aca="false">IF(B331="","",IFERROR(INDEX(الموظفون!$C$6:$C$105,MATCH(B331,الموظفون!$B$6:$B$105,0)),"✖ رقم غير موجود"))</f>
        <v/>
      </c>
      <c r="D331" s="88"/>
      <c r="E331" s="88"/>
      <c r="F331" s="88"/>
      <c r="G331" s="85"/>
      <c r="H331" s="85"/>
      <c r="I331" s="85"/>
      <c r="J331" s="85"/>
      <c r="K331" s="88"/>
      <c r="L331" s="88"/>
      <c r="M331" s="85"/>
      <c r="N331" s="85"/>
      <c r="O331" s="73"/>
    </row>
    <row r="332" customFormat="false" ht="15" hidden="false" customHeight="false" outlineLevel="0" collapsed="false">
      <c r="A332" s="87"/>
      <c r="B332" s="73"/>
      <c r="C332" s="74" t="str">
        <f aca="false">IF(B332="","",IFERROR(INDEX(الموظفون!$C$6:$C$105,MATCH(B332,الموظفون!$B$6:$B$105,0)),"✖ رقم غير موجود"))</f>
        <v/>
      </c>
      <c r="D332" s="88"/>
      <c r="E332" s="88"/>
      <c r="F332" s="88"/>
      <c r="G332" s="85"/>
      <c r="H332" s="85"/>
      <c r="I332" s="85"/>
      <c r="J332" s="85"/>
      <c r="K332" s="88"/>
      <c r="L332" s="88"/>
      <c r="M332" s="85"/>
      <c r="N332" s="85"/>
      <c r="O332" s="73"/>
    </row>
    <row r="333" customFormat="false" ht="15" hidden="false" customHeight="false" outlineLevel="0" collapsed="false">
      <c r="A333" s="87"/>
      <c r="B333" s="73"/>
      <c r="C333" s="91" t="str">
        <f aca="false">IF(B333="","",IFERROR(INDEX(الموظفون!$C$6:$C$105,MATCH(B333,الموظفون!$B$6:$B$105,0)),"✖ رقم غير موجود"))</f>
        <v/>
      </c>
      <c r="D333" s="88"/>
      <c r="E333" s="88"/>
      <c r="F333" s="88"/>
      <c r="G333" s="85"/>
      <c r="H333" s="85"/>
      <c r="I333" s="85"/>
      <c r="J333" s="85"/>
      <c r="K333" s="88"/>
      <c r="L333" s="88"/>
      <c r="M333" s="85"/>
      <c r="N333" s="85"/>
      <c r="O333" s="73"/>
    </row>
    <row r="334" customFormat="false" ht="15" hidden="false" customHeight="false" outlineLevel="0" collapsed="false">
      <c r="A334" s="87"/>
      <c r="B334" s="73"/>
      <c r="C334" s="74" t="str">
        <f aca="false">IF(B334="","",IFERROR(INDEX(الموظفون!$C$6:$C$105,MATCH(B334,الموظفون!$B$6:$B$105,0)),"✖ رقم غير موجود"))</f>
        <v/>
      </c>
      <c r="D334" s="88"/>
      <c r="E334" s="88"/>
      <c r="F334" s="88"/>
      <c r="G334" s="85"/>
      <c r="H334" s="85"/>
      <c r="I334" s="85"/>
      <c r="J334" s="85"/>
      <c r="K334" s="88"/>
      <c r="L334" s="88"/>
      <c r="M334" s="85"/>
      <c r="N334" s="85"/>
      <c r="O334" s="73"/>
    </row>
    <row r="335" customFormat="false" ht="15" hidden="false" customHeight="false" outlineLevel="0" collapsed="false">
      <c r="A335" s="87"/>
      <c r="B335" s="73"/>
      <c r="C335" s="91" t="str">
        <f aca="false">IF(B335="","",IFERROR(INDEX(الموظفون!$C$6:$C$105,MATCH(B335,الموظفون!$B$6:$B$105,0)),"✖ رقم غير موجود"))</f>
        <v/>
      </c>
      <c r="D335" s="88"/>
      <c r="E335" s="88"/>
      <c r="F335" s="88"/>
      <c r="G335" s="85"/>
      <c r="H335" s="85"/>
      <c r="I335" s="85"/>
      <c r="J335" s="85"/>
      <c r="K335" s="88"/>
      <c r="L335" s="88"/>
      <c r="M335" s="85"/>
      <c r="N335" s="85"/>
      <c r="O335" s="73"/>
    </row>
    <row r="336" customFormat="false" ht="15" hidden="false" customHeight="false" outlineLevel="0" collapsed="false">
      <c r="A336" s="87"/>
      <c r="B336" s="73"/>
      <c r="C336" s="74" t="str">
        <f aca="false">IF(B336="","",IFERROR(INDEX(الموظفون!$C$6:$C$105,MATCH(B336,الموظفون!$B$6:$B$105,0)),"✖ رقم غير موجود"))</f>
        <v/>
      </c>
      <c r="D336" s="88"/>
      <c r="E336" s="88"/>
      <c r="F336" s="88"/>
      <c r="G336" s="85"/>
      <c r="H336" s="85"/>
      <c r="I336" s="85"/>
      <c r="J336" s="85"/>
      <c r="K336" s="88"/>
      <c r="L336" s="88"/>
      <c r="M336" s="85"/>
      <c r="N336" s="85"/>
      <c r="O336" s="73"/>
    </row>
    <row r="337" customFormat="false" ht="15" hidden="false" customHeight="false" outlineLevel="0" collapsed="false">
      <c r="A337" s="87"/>
      <c r="B337" s="73"/>
      <c r="C337" s="91" t="str">
        <f aca="false">IF(B337="","",IFERROR(INDEX(الموظفون!$C$6:$C$105,MATCH(B337,الموظفون!$B$6:$B$105,0)),"✖ رقم غير موجود"))</f>
        <v/>
      </c>
      <c r="D337" s="88"/>
      <c r="E337" s="88"/>
      <c r="F337" s="88"/>
      <c r="G337" s="85"/>
      <c r="H337" s="85"/>
      <c r="I337" s="85"/>
      <c r="J337" s="85"/>
      <c r="K337" s="88"/>
      <c r="L337" s="88"/>
      <c r="M337" s="85"/>
      <c r="N337" s="85"/>
      <c r="O337" s="73"/>
    </row>
    <row r="338" customFormat="false" ht="15" hidden="false" customHeight="false" outlineLevel="0" collapsed="false">
      <c r="A338" s="87"/>
      <c r="B338" s="73"/>
      <c r="C338" s="74" t="str">
        <f aca="false">IF(B338="","",IFERROR(INDEX(الموظفون!$C$6:$C$105,MATCH(B338,الموظفون!$B$6:$B$105,0)),"✖ رقم غير موجود"))</f>
        <v/>
      </c>
      <c r="D338" s="88"/>
      <c r="E338" s="88"/>
      <c r="F338" s="88"/>
      <c r="G338" s="85"/>
      <c r="H338" s="85"/>
      <c r="I338" s="85"/>
      <c r="J338" s="85"/>
      <c r="K338" s="88"/>
      <c r="L338" s="88"/>
      <c r="M338" s="85"/>
      <c r="N338" s="85"/>
      <c r="O338" s="73"/>
    </row>
    <row r="339" customFormat="false" ht="15" hidden="false" customHeight="false" outlineLevel="0" collapsed="false">
      <c r="A339" s="87"/>
      <c r="B339" s="73"/>
      <c r="C339" s="91" t="str">
        <f aca="false">IF(B339="","",IFERROR(INDEX(الموظفون!$C$6:$C$105,MATCH(B339,الموظفون!$B$6:$B$105,0)),"✖ رقم غير موجود"))</f>
        <v/>
      </c>
      <c r="D339" s="88"/>
      <c r="E339" s="88"/>
      <c r="F339" s="88"/>
      <c r="G339" s="85"/>
      <c r="H339" s="85"/>
      <c r="I339" s="85"/>
      <c r="J339" s="85"/>
      <c r="K339" s="88"/>
      <c r="L339" s="88"/>
      <c r="M339" s="85"/>
      <c r="N339" s="85"/>
      <c r="O339" s="73"/>
    </row>
    <row r="340" customFormat="false" ht="15" hidden="false" customHeight="false" outlineLevel="0" collapsed="false">
      <c r="A340" s="87"/>
      <c r="B340" s="73"/>
      <c r="C340" s="74" t="str">
        <f aca="false">IF(B340="","",IFERROR(INDEX(الموظفون!$C$6:$C$105,MATCH(B340,الموظفون!$B$6:$B$105,0)),"✖ رقم غير موجود"))</f>
        <v/>
      </c>
      <c r="D340" s="88"/>
      <c r="E340" s="88"/>
      <c r="F340" s="88"/>
      <c r="G340" s="85"/>
      <c r="H340" s="85"/>
      <c r="I340" s="85"/>
      <c r="J340" s="85"/>
      <c r="K340" s="88"/>
      <c r="L340" s="88"/>
      <c r="M340" s="85"/>
      <c r="N340" s="85"/>
      <c r="O340" s="73"/>
    </row>
    <row r="341" customFormat="false" ht="15" hidden="false" customHeight="false" outlineLevel="0" collapsed="false">
      <c r="A341" s="87"/>
      <c r="B341" s="73"/>
      <c r="C341" s="91" t="str">
        <f aca="false">IF(B341="","",IFERROR(INDEX(الموظفون!$C$6:$C$105,MATCH(B341,الموظفون!$B$6:$B$105,0)),"✖ رقم غير موجود"))</f>
        <v/>
      </c>
      <c r="D341" s="88"/>
      <c r="E341" s="88"/>
      <c r="F341" s="88"/>
      <c r="G341" s="85"/>
      <c r="H341" s="85"/>
      <c r="I341" s="85"/>
      <c r="J341" s="85"/>
      <c r="K341" s="88"/>
      <c r="L341" s="88"/>
      <c r="M341" s="85"/>
      <c r="N341" s="85"/>
      <c r="O341" s="73"/>
    </row>
    <row r="342" customFormat="false" ht="15" hidden="false" customHeight="false" outlineLevel="0" collapsed="false">
      <c r="A342" s="87"/>
      <c r="B342" s="73"/>
      <c r="C342" s="74" t="str">
        <f aca="false">IF(B342="","",IFERROR(INDEX(الموظفون!$C$6:$C$105,MATCH(B342,الموظفون!$B$6:$B$105,0)),"✖ رقم غير موجود"))</f>
        <v/>
      </c>
      <c r="D342" s="88"/>
      <c r="E342" s="88"/>
      <c r="F342" s="88"/>
      <c r="G342" s="85"/>
      <c r="H342" s="85"/>
      <c r="I342" s="85"/>
      <c r="J342" s="85"/>
      <c r="K342" s="88"/>
      <c r="L342" s="88"/>
      <c r="M342" s="85"/>
      <c r="N342" s="85"/>
      <c r="O342" s="73"/>
    </row>
    <row r="343" customFormat="false" ht="15" hidden="false" customHeight="false" outlineLevel="0" collapsed="false">
      <c r="A343" s="87"/>
      <c r="B343" s="73"/>
      <c r="C343" s="91" t="str">
        <f aca="false">IF(B343="","",IFERROR(INDEX(الموظفون!$C$6:$C$105,MATCH(B343,الموظفون!$B$6:$B$105,0)),"✖ رقم غير موجود"))</f>
        <v/>
      </c>
      <c r="D343" s="88"/>
      <c r="E343" s="88"/>
      <c r="F343" s="88"/>
      <c r="G343" s="85"/>
      <c r="H343" s="85"/>
      <c r="I343" s="85"/>
      <c r="J343" s="85"/>
      <c r="K343" s="88"/>
      <c r="L343" s="88"/>
      <c r="M343" s="85"/>
      <c r="N343" s="85"/>
      <c r="O343" s="73"/>
    </row>
    <row r="344" customFormat="false" ht="15" hidden="false" customHeight="false" outlineLevel="0" collapsed="false">
      <c r="A344" s="87"/>
      <c r="B344" s="73"/>
      <c r="C344" s="74" t="str">
        <f aca="false">IF(B344="","",IFERROR(INDEX(الموظفون!$C$6:$C$105,MATCH(B344,الموظفون!$B$6:$B$105,0)),"✖ رقم غير موجود"))</f>
        <v/>
      </c>
      <c r="D344" s="88"/>
      <c r="E344" s="88"/>
      <c r="F344" s="88"/>
      <c r="G344" s="85"/>
      <c r="H344" s="85"/>
      <c r="I344" s="85"/>
      <c r="J344" s="85"/>
      <c r="K344" s="88"/>
      <c r="L344" s="88"/>
      <c r="M344" s="85"/>
      <c r="N344" s="85"/>
      <c r="O344" s="73"/>
    </row>
    <row r="345" customFormat="false" ht="15" hidden="false" customHeight="false" outlineLevel="0" collapsed="false">
      <c r="A345" s="87"/>
      <c r="B345" s="73"/>
      <c r="C345" s="91" t="str">
        <f aca="false">IF(B345="","",IFERROR(INDEX(الموظفون!$C$6:$C$105,MATCH(B345,الموظفون!$B$6:$B$105,0)),"✖ رقم غير موجود"))</f>
        <v/>
      </c>
      <c r="D345" s="88"/>
      <c r="E345" s="88"/>
      <c r="F345" s="88"/>
      <c r="G345" s="85"/>
      <c r="H345" s="85"/>
      <c r="I345" s="85"/>
      <c r="J345" s="85"/>
      <c r="K345" s="88"/>
      <c r="L345" s="88"/>
      <c r="M345" s="85"/>
      <c r="N345" s="85"/>
      <c r="O345" s="73"/>
    </row>
    <row r="346" customFormat="false" ht="15" hidden="false" customHeight="false" outlineLevel="0" collapsed="false">
      <c r="A346" s="87"/>
      <c r="B346" s="73"/>
      <c r="C346" s="74" t="str">
        <f aca="false">IF(B346="","",IFERROR(INDEX(الموظفون!$C$6:$C$105,MATCH(B346,الموظفون!$B$6:$B$105,0)),"✖ رقم غير موجود"))</f>
        <v/>
      </c>
      <c r="D346" s="88"/>
      <c r="E346" s="88"/>
      <c r="F346" s="88"/>
      <c r="G346" s="85"/>
      <c r="H346" s="85"/>
      <c r="I346" s="85"/>
      <c r="J346" s="85"/>
      <c r="K346" s="88"/>
      <c r="L346" s="88"/>
      <c r="M346" s="85"/>
      <c r="N346" s="85"/>
      <c r="O346" s="73"/>
    </row>
    <row r="347" customFormat="false" ht="15" hidden="false" customHeight="false" outlineLevel="0" collapsed="false">
      <c r="A347" s="87"/>
      <c r="B347" s="73"/>
      <c r="C347" s="91" t="str">
        <f aca="false">IF(B347="","",IFERROR(INDEX(الموظفون!$C$6:$C$105,MATCH(B347,الموظفون!$B$6:$B$105,0)),"✖ رقم غير موجود"))</f>
        <v/>
      </c>
      <c r="D347" s="88"/>
      <c r="E347" s="88"/>
      <c r="F347" s="88"/>
      <c r="G347" s="85"/>
      <c r="H347" s="85"/>
      <c r="I347" s="85"/>
      <c r="J347" s="85"/>
      <c r="K347" s="88"/>
      <c r="L347" s="88"/>
      <c r="M347" s="85"/>
      <c r="N347" s="85"/>
      <c r="O347" s="73"/>
    </row>
    <row r="348" customFormat="false" ht="15" hidden="false" customHeight="false" outlineLevel="0" collapsed="false">
      <c r="A348" s="87"/>
      <c r="B348" s="73"/>
      <c r="C348" s="74" t="str">
        <f aca="false">IF(B348="","",IFERROR(INDEX(الموظفون!$C$6:$C$105,MATCH(B348,الموظفون!$B$6:$B$105,0)),"✖ رقم غير موجود"))</f>
        <v/>
      </c>
      <c r="D348" s="88"/>
      <c r="E348" s="88"/>
      <c r="F348" s="88"/>
      <c r="G348" s="85"/>
      <c r="H348" s="85"/>
      <c r="I348" s="85"/>
      <c r="J348" s="85"/>
      <c r="K348" s="88"/>
      <c r="L348" s="88"/>
      <c r="M348" s="85"/>
      <c r="N348" s="85"/>
      <c r="O348" s="73"/>
    </row>
    <row r="349" customFormat="false" ht="15" hidden="false" customHeight="false" outlineLevel="0" collapsed="false">
      <c r="A349" s="87"/>
      <c r="B349" s="73"/>
      <c r="C349" s="91" t="str">
        <f aca="false">IF(B349="","",IFERROR(INDEX(الموظفون!$C$6:$C$105,MATCH(B349,الموظفون!$B$6:$B$105,0)),"✖ رقم غير موجود"))</f>
        <v/>
      </c>
      <c r="D349" s="88"/>
      <c r="E349" s="88"/>
      <c r="F349" s="88"/>
      <c r="G349" s="85"/>
      <c r="H349" s="85"/>
      <c r="I349" s="85"/>
      <c r="J349" s="85"/>
      <c r="K349" s="88"/>
      <c r="L349" s="88"/>
      <c r="M349" s="85"/>
      <c r="N349" s="85"/>
      <c r="O349" s="73"/>
    </row>
    <row r="350" customFormat="false" ht="15" hidden="false" customHeight="false" outlineLevel="0" collapsed="false">
      <c r="A350" s="87"/>
      <c r="B350" s="73"/>
      <c r="C350" s="74" t="str">
        <f aca="false">IF(B350="","",IFERROR(INDEX(الموظفون!$C$6:$C$105,MATCH(B350,الموظفون!$B$6:$B$105,0)),"✖ رقم غير موجود"))</f>
        <v/>
      </c>
      <c r="D350" s="88"/>
      <c r="E350" s="88"/>
      <c r="F350" s="88"/>
      <c r="G350" s="85"/>
      <c r="H350" s="85"/>
      <c r="I350" s="85"/>
      <c r="J350" s="85"/>
      <c r="K350" s="88"/>
      <c r="L350" s="88"/>
      <c r="M350" s="85"/>
      <c r="N350" s="85"/>
      <c r="O350" s="73"/>
    </row>
    <row r="351" customFormat="false" ht="15" hidden="false" customHeight="false" outlineLevel="0" collapsed="false">
      <c r="A351" s="87"/>
      <c r="B351" s="73"/>
      <c r="C351" s="91" t="str">
        <f aca="false">IF(B351="","",IFERROR(INDEX(الموظفون!$C$6:$C$105,MATCH(B351,الموظفون!$B$6:$B$105,0)),"✖ رقم غير موجود"))</f>
        <v/>
      </c>
      <c r="D351" s="88"/>
      <c r="E351" s="88"/>
      <c r="F351" s="88"/>
      <c r="G351" s="85"/>
      <c r="H351" s="85"/>
      <c r="I351" s="85"/>
      <c r="J351" s="85"/>
      <c r="K351" s="88"/>
      <c r="L351" s="88"/>
      <c r="M351" s="85"/>
      <c r="N351" s="85"/>
      <c r="O351" s="73"/>
    </row>
    <row r="352" customFormat="false" ht="15" hidden="false" customHeight="false" outlineLevel="0" collapsed="false">
      <c r="A352" s="87"/>
      <c r="B352" s="73"/>
      <c r="C352" s="74" t="str">
        <f aca="false">IF(B352="","",IFERROR(INDEX(الموظفون!$C$6:$C$105,MATCH(B352,الموظفون!$B$6:$B$105,0)),"✖ رقم غير موجود"))</f>
        <v/>
      </c>
      <c r="D352" s="88"/>
      <c r="E352" s="88"/>
      <c r="F352" s="88"/>
      <c r="G352" s="85"/>
      <c r="H352" s="85"/>
      <c r="I352" s="85"/>
      <c r="J352" s="85"/>
      <c r="K352" s="88"/>
      <c r="L352" s="88"/>
      <c r="M352" s="85"/>
      <c r="N352" s="85"/>
      <c r="O352" s="73"/>
    </row>
    <row r="353" customFormat="false" ht="15" hidden="false" customHeight="false" outlineLevel="0" collapsed="false">
      <c r="A353" s="87"/>
      <c r="B353" s="73"/>
      <c r="C353" s="91" t="str">
        <f aca="false">IF(B353="","",IFERROR(INDEX(الموظفون!$C$6:$C$105,MATCH(B353,الموظفون!$B$6:$B$105,0)),"✖ رقم غير موجود"))</f>
        <v/>
      </c>
      <c r="D353" s="88"/>
      <c r="E353" s="88"/>
      <c r="F353" s="88"/>
      <c r="G353" s="85"/>
      <c r="H353" s="85"/>
      <c r="I353" s="85"/>
      <c r="J353" s="85"/>
      <c r="K353" s="88"/>
      <c r="L353" s="88"/>
      <c r="M353" s="85"/>
      <c r="N353" s="85"/>
      <c r="O353" s="73"/>
    </row>
    <row r="354" customFormat="false" ht="15" hidden="false" customHeight="false" outlineLevel="0" collapsed="false">
      <c r="A354" s="87"/>
      <c r="B354" s="73"/>
      <c r="C354" s="74" t="str">
        <f aca="false">IF(B354="","",IFERROR(INDEX(الموظفون!$C$6:$C$105,MATCH(B354,الموظفون!$B$6:$B$105,0)),"✖ رقم غير موجود"))</f>
        <v/>
      </c>
      <c r="D354" s="88"/>
      <c r="E354" s="88"/>
      <c r="F354" s="88"/>
      <c r="G354" s="85"/>
      <c r="H354" s="85"/>
      <c r="I354" s="85"/>
      <c r="J354" s="85"/>
      <c r="K354" s="88"/>
      <c r="L354" s="88"/>
      <c r="M354" s="85"/>
      <c r="N354" s="85"/>
      <c r="O354" s="73"/>
    </row>
    <row r="355" customFormat="false" ht="15" hidden="false" customHeight="false" outlineLevel="0" collapsed="false">
      <c r="A355" s="87"/>
      <c r="B355" s="73"/>
      <c r="C355" s="91" t="str">
        <f aca="false">IF(B355="","",IFERROR(INDEX(الموظفون!$C$6:$C$105,MATCH(B355,الموظفون!$B$6:$B$105,0)),"✖ رقم غير موجود"))</f>
        <v/>
      </c>
      <c r="D355" s="88"/>
      <c r="E355" s="88"/>
      <c r="F355" s="88"/>
      <c r="G355" s="85"/>
      <c r="H355" s="85"/>
      <c r="I355" s="85"/>
      <c r="J355" s="85"/>
      <c r="K355" s="88"/>
      <c r="L355" s="88"/>
      <c r="M355" s="85"/>
      <c r="N355" s="85"/>
      <c r="O355" s="73"/>
    </row>
    <row r="356" customFormat="false" ht="15" hidden="false" customHeight="false" outlineLevel="0" collapsed="false">
      <c r="A356" s="87"/>
      <c r="B356" s="73"/>
      <c r="C356" s="74" t="str">
        <f aca="false">IF(B356="","",IFERROR(INDEX(الموظفون!$C$6:$C$105,MATCH(B356,الموظفون!$B$6:$B$105,0)),"✖ رقم غير موجود"))</f>
        <v/>
      </c>
      <c r="D356" s="88"/>
      <c r="E356" s="88"/>
      <c r="F356" s="88"/>
      <c r="G356" s="85"/>
      <c r="H356" s="85"/>
      <c r="I356" s="85"/>
      <c r="J356" s="85"/>
      <c r="K356" s="88"/>
      <c r="L356" s="88"/>
      <c r="M356" s="85"/>
      <c r="N356" s="85"/>
      <c r="O356" s="73"/>
    </row>
    <row r="357" customFormat="false" ht="15" hidden="false" customHeight="false" outlineLevel="0" collapsed="false">
      <c r="A357" s="87"/>
      <c r="B357" s="73"/>
      <c r="C357" s="91" t="str">
        <f aca="false">IF(B357="","",IFERROR(INDEX(الموظفون!$C$6:$C$105,MATCH(B357,الموظفون!$B$6:$B$105,0)),"✖ رقم غير موجود"))</f>
        <v/>
      </c>
      <c r="D357" s="88"/>
      <c r="E357" s="88"/>
      <c r="F357" s="88"/>
      <c r="G357" s="85"/>
      <c r="H357" s="85"/>
      <c r="I357" s="85"/>
      <c r="J357" s="85"/>
      <c r="K357" s="88"/>
      <c r="L357" s="88"/>
      <c r="M357" s="85"/>
      <c r="N357" s="85"/>
      <c r="O357" s="73"/>
    </row>
    <row r="358" customFormat="false" ht="15" hidden="false" customHeight="false" outlineLevel="0" collapsed="false">
      <c r="A358" s="87"/>
      <c r="B358" s="73"/>
      <c r="C358" s="74" t="str">
        <f aca="false">IF(B358="","",IFERROR(INDEX(الموظفون!$C$6:$C$105,MATCH(B358,الموظفون!$B$6:$B$105,0)),"✖ رقم غير موجود"))</f>
        <v/>
      </c>
      <c r="D358" s="88"/>
      <c r="E358" s="88"/>
      <c r="F358" s="88"/>
      <c r="G358" s="85"/>
      <c r="H358" s="85"/>
      <c r="I358" s="85"/>
      <c r="J358" s="85"/>
      <c r="K358" s="88"/>
      <c r="L358" s="88"/>
      <c r="M358" s="85"/>
      <c r="N358" s="85"/>
      <c r="O358" s="73"/>
    </row>
    <row r="359" customFormat="false" ht="15" hidden="false" customHeight="false" outlineLevel="0" collapsed="false">
      <c r="A359" s="87"/>
      <c r="B359" s="73"/>
      <c r="C359" s="91" t="str">
        <f aca="false">IF(B359="","",IFERROR(INDEX(الموظفون!$C$6:$C$105,MATCH(B359,الموظفون!$B$6:$B$105,0)),"✖ رقم غير موجود"))</f>
        <v/>
      </c>
      <c r="D359" s="88"/>
      <c r="E359" s="88"/>
      <c r="F359" s="88"/>
      <c r="G359" s="85"/>
      <c r="H359" s="85"/>
      <c r="I359" s="85"/>
      <c r="J359" s="85"/>
      <c r="K359" s="88"/>
      <c r="L359" s="88"/>
      <c r="M359" s="85"/>
      <c r="N359" s="85"/>
      <c r="O359" s="73"/>
    </row>
    <row r="360" customFormat="false" ht="15" hidden="false" customHeight="false" outlineLevel="0" collapsed="false">
      <c r="A360" s="87"/>
      <c r="B360" s="73"/>
      <c r="C360" s="74" t="str">
        <f aca="false">IF(B360="","",IFERROR(INDEX(الموظفون!$C$6:$C$105,MATCH(B360,الموظفون!$B$6:$B$105,0)),"✖ رقم غير موجود"))</f>
        <v/>
      </c>
      <c r="D360" s="88"/>
      <c r="E360" s="88"/>
      <c r="F360" s="88"/>
      <c r="G360" s="85"/>
      <c r="H360" s="85"/>
      <c r="I360" s="85"/>
      <c r="J360" s="85"/>
      <c r="K360" s="88"/>
      <c r="L360" s="88"/>
      <c r="M360" s="85"/>
      <c r="N360" s="85"/>
      <c r="O360" s="73"/>
    </row>
    <row r="361" customFormat="false" ht="15" hidden="false" customHeight="false" outlineLevel="0" collapsed="false">
      <c r="A361" s="87"/>
      <c r="B361" s="73"/>
      <c r="C361" s="91" t="str">
        <f aca="false">IF(B361="","",IFERROR(INDEX(الموظفون!$C$6:$C$105,MATCH(B361,الموظفون!$B$6:$B$105,0)),"✖ رقم غير موجود"))</f>
        <v/>
      </c>
      <c r="D361" s="88"/>
      <c r="E361" s="88"/>
      <c r="F361" s="88"/>
      <c r="G361" s="85"/>
      <c r="H361" s="85"/>
      <c r="I361" s="85"/>
      <c r="J361" s="85"/>
      <c r="K361" s="88"/>
      <c r="L361" s="88"/>
      <c r="M361" s="85"/>
      <c r="N361" s="85"/>
      <c r="O361" s="73"/>
    </row>
    <row r="362" customFormat="false" ht="15" hidden="false" customHeight="false" outlineLevel="0" collapsed="false">
      <c r="A362" s="87"/>
      <c r="B362" s="73"/>
      <c r="C362" s="74" t="str">
        <f aca="false">IF(B362="","",IFERROR(INDEX(الموظفون!$C$6:$C$105,MATCH(B362,الموظفون!$B$6:$B$105,0)),"✖ رقم غير موجود"))</f>
        <v/>
      </c>
      <c r="D362" s="88"/>
      <c r="E362" s="88"/>
      <c r="F362" s="88"/>
      <c r="G362" s="85"/>
      <c r="H362" s="85"/>
      <c r="I362" s="85"/>
      <c r="J362" s="85"/>
      <c r="K362" s="88"/>
      <c r="L362" s="88"/>
      <c r="M362" s="85"/>
      <c r="N362" s="85"/>
      <c r="O362" s="73"/>
    </row>
    <row r="363" customFormat="false" ht="15" hidden="false" customHeight="false" outlineLevel="0" collapsed="false">
      <c r="A363" s="87"/>
      <c r="B363" s="73"/>
      <c r="C363" s="91" t="str">
        <f aca="false">IF(B363="","",IFERROR(INDEX(الموظفون!$C$6:$C$105,MATCH(B363,الموظفون!$B$6:$B$105,0)),"✖ رقم غير موجود"))</f>
        <v/>
      </c>
      <c r="D363" s="88"/>
      <c r="E363" s="88"/>
      <c r="F363" s="88"/>
      <c r="G363" s="85"/>
      <c r="H363" s="85"/>
      <c r="I363" s="85"/>
      <c r="J363" s="85"/>
      <c r="K363" s="88"/>
      <c r="L363" s="88"/>
      <c r="M363" s="85"/>
      <c r="N363" s="85"/>
      <c r="O363" s="73"/>
    </row>
    <row r="364" customFormat="false" ht="15" hidden="false" customHeight="false" outlineLevel="0" collapsed="false">
      <c r="A364" s="87"/>
      <c r="B364" s="73"/>
      <c r="C364" s="74" t="str">
        <f aca="false">IF(B364="","",IFERROR(INDEX(الموظفون!$C$6:$C$105,MATCH(B364,الموظفون!$B$6:$B$105,0)),"✖ رقم غير موجود"))</f>
        <v/>
      </c>
      <c r="D364" s="88"/>
      <c r="E364" s="88"/>
      <c r="F364" s="88"/>
      <c r="G364" s="85"/>
      <c r="H364" s="85"/>
      <c r="I364" s="85"/>
      <c r="J364" s="85"/>
      <c r="K364" s="88"/>
      <c r="L364" s="88"/>
      <c r="M364" s="85"/>
      <c r="N364" s="85"/>
      <c r="O364" s="73"/>
    </row>
    <row r="365" customFormat="false" ht="15" hidden="false" customHeight="false" outlineLevel="0" collapsed="false">
      <c r="A365" s="87"/>
      <c r="B365" s="73"/>
      <c r="C365" s="91" t="str">
        <f aca="false">IF(B365="","",IFERROR(INDEX(الموظفون!$C$6:$C$105,MATCH(B365,الموظفون!$B$6:$B$105,0)),"✖ رقم غير موجود"))</f>
        <v/>
      </c>
      <c r="D365" s="88"/>
      <c r="E365" s="88"/>
      <c r="F365" s="88"/>
      <c r="G365" s="85"/>
      <c r="H365" s="85"/>
      <c r="I365" s="85"/>
      <c r="J365" s="85"/>
      <c r="K365" s="88"/>
      <c r="L365" s="88"/>
      <c r="M365" s="85"/>
      <c r="N365" s="85"/>
      <c r="O365" s="73"/>
    </row>
    <row r="366" customFormat="false" ht="15" hidden="false" customHeight="false" outlineLevel="0" collapsed="false">
      <c r="A366" s="87"/>
      <c r="B366" s="73"/>
      <c r="C366" s="74" t="str">
        <f aca="false">IF(B366="","",IFERROR(INDEX(الموظفون!$C$6:$C$105,MATCH(B366,الموظفون!$B$6:$B$105,0)),"✖ رقم غير موجود"))</f>
        <v/>
      </c>
      <c r="D366" s="88"/>
      <c r="E366" s="88"/>
      <c r="F366" s="88"/>
      <c r="G366" s="85"/>
      <c r="H366" s="85"/>
      <c r="I366" s="85"/>
      <c r="J366" s="85"/>
      <c r="K366" s="88"/>
      <c r="L366" s="88"/>
      <c r="M366" s="85"/>
      <c r="N366" s="85"/>
      <c r="O366" s="73"/>
    </row>
    <row r="367" customFormat="false" ht="15" hidden="false" customHeight="false" outlineLevel="0" collapsed="false">
      <c r="A367" s="87"/>
      <c r="B367" s="73"/>
      <c r="C367" s="91" t="str">
        <f aca="false">IF(B367="","",IFERROR(INDEX(الموظفون!$C$6:$C$105,MATCH(B367,الموظفون!$B$6:$B$105,0)),"✖ رقم غير موجود"))</f>
        <v/>
      </c>
      <c r="D367" s="88"/>
      <c r="E367" s="88"/>
      <c r="F367" s="88"/>
      <c r="G367" s="85"/>
      <c r="H367" s="85"/>
      <c r="I367" s="85"/>
      <c r="J367" s="85"/>
      <c r="K367" s="88"/>
      <c r="L367" s="88"/>
      <c r="M367" s="85"/>
      <c r="N367" s="85"/>
      <c r="O367" s="73"/>
    </row>
    <row r="368" customFormat="false" ht="15" hidden="false" customHeight="false" outlineLevel="0" collapsed="false">
      <c r="A368" s="87"/>
      <c r="B368" s="73"/>
      <c r="C368" s="74" t="str">
        <f aca="false">IF(B368="","",IFERROR(INDEX(الموظفون!$C$6:$C$105,MATCH(B368,الموظفون!$B$6:$B$105,0)),"✖ رقم غير موجود"))</f>
        <v/>
      </c>
      <c r="D368" s="88"/>
      <c r="E368" s="88"/>
      <c r="F368" s="88"/>
      <c r="G368" s="85"/>
      <c r="H368" s="85"/>
      <c r="I368" s="85"/>
      <c r="J368" s="85"/>
      <c r="K368" s="88"/>
      <c r="L368" s="88"/>
      <c r="M368" s="85"/>
      <c r="N368" s="85"/>
      <c r="O368" s="73"/>
    </row>
    <row r="369" customFormat="false" ht="15" hidden="false" customHeight="false" outlineLevel="0" collapsed="false">
      <c r="A369" s="87"/>
      <c r="B369" s="73"/>
      <c r="C369" s="91" t="str">
        <f aca="false">IF(B369="","",IFERROR(INDEX(الموظفون!$C$6:$C$105,MATCH(B369,الموظفون!$B$6:$B$105,0)),"✖ رقم غير موجود"))</f>
        <v/>
      </c>
      <c r="D369" s="88"/>
      <c r="E369" s="88"/>
      <c r="F369" s="88"/>
      <c r="G369" s="85"/>
      <c r="H369" s="85"/>
      <c r="I369" s="85"/>
      <c r="J369" s="85"/>
      <c r="K369" s="88"/>
      <c r="L369" s="88"/>
      <c r="M369" s="85"/>
      <c r="N369" s="85"/>
      <c r="O369" s="73"/>
    </row>
    <row r="370" customFormat="false" ht="15" hidden="false" customHeight="false" outlineLevel="0" collapsed="false">
      <c r="A370" s="87"/>
      <c r="B370" s="73"/>
      <c r="C370" s="74" t="str">
        <f aca="false">IF(B370="","",IFERROR(INDEX(الموظفون!$C$6:$C$105,MATCH(B370,الموظفون!$B$6:$B$105,0)),"✖ رقم غير موجود"))</f>
        <v/>
      </c>
      <c r="D370" s="88"/>
      <c r="E370" s="88"/>
      <c r="F370" s="88"/>
      <c r="G370" s="85"/>
      <c r="H370" s="85"/>
      <c r="I370" s="85"/>
      <c r="J370" s="85"/>
      <c r="K370" s="88"/>
      <c r="L370" s="88"/>
      <c r="M370" s="85"/>
      <c r="N370" s="85"/>
      <c r="O370" s="73"/>
    </row>
    <row r="371" customFormat="false" ht="15" hidden="false" customHeight="false" outlineLevel="0" collapsed="false">
      <c r="A371" s="87"/>
      <c r="B371" s="73"/>
      <c r="C371" s="91" t="str">
        <f aca="false">IF(B371="","",IFERROR(INDEX(الموظفون!$C$6:$C$105,MATCH(B371,الموظفون!$B$6:$B$105,0)),"✖ رقم غير موجود"))</f>
        <v/>
      </c>
      <c r="D371" s="88"/>
      <c r="E371" s="88"/>
      <c r="F371" s="88"/>
      <c r="G371" s="85"/>
      <c r="H371" s="85"/>
      <c r="I371" s="85"/>
      <c r="J371" s="85"/>
      <c r="K371" s="88"/>
      <c r="L371" s="88"/>
      <c r="M371" s="85"/>
      <c r="N371" s="85"/>
      <c r="O371" s="73"/>
    </row>
    <row r="372" customFormat="false" ht="15" hidden="false" customHeight="false" outlineLevel="0" collapsed="false">
      <c r="A372" s="87"/>
      <c r="B372" s="73"/>
      <c r="C372" s="74" t="str">
        <f aca="false">IF(B372="","",IFERROR(INDEX(الموظفون!$C$6:$C$105,MATCH(B372,الموظفون!$B$6:$B$105,0)),"✖ رقم غير موجود"))</f>
        <v/>
      </c>
      <c r="D372" s="88"/>
      <c r="E372" s="88"/>
      <c r="F372" s="88"/>
      <c r="G372" s="85"/>
      <c r="H372" s="85"/>
      <c r="I372" s="85"/>
      <c r="J372" s="85"/>
      <c r="K372" s="88"/>
      <c r="L372" s="88"/>
      <c r="M372" s="85"/>
      <c r="N372" s="85"/>
      <c r="O372" s="73"/>
    </row>
    <row r="373" customFormat="false" ht="15" hidden="false" customHeight="false" outlineLevel="0" collapsed="false">
      <c r="A373" s="87"/>
      <c r="B373" s="73"/>
      <c r="C373" s="91" t="str">
        <f aca="false">IF(B373="","",IFERROR(INDEX(الموظفون!$C$6:$C$105,MATCH(B373,الموظفون!$B$6:$B$105,0)),"✖ رقم غير موجود"))</f>
        <v/>
      </c>
      <c r="D373" s="88"/>
      <c r="E373" s="88"/>
      <c r="F373" s="88"/>
      <c r="G373" s="85"/>
      <c r="H373" s="85"/>
      <c r="I373" s="85"/>
      <c r="J373" s="85"/>
      <c r="K373" s="88"/>
      <c r="L373" s="88"/>
      <c r="M373" s="85"/>
      <c r="N373" s="85"/>
      <c r="O373" s="73"/>
    </row>
    <row r="374" customFormat="false" ht="15" hidden="false" customHeight="false" outlineLevel="0" collapsed="false">
      <c r="A374" s="87"/>
      <c r="B374" s="73"/>
      <c r="C374" s="74" t="str">
        <f aca="false">IF(B374="","",IFERROR(INDEX(الموظفون!$C$6:$C$105,MATCH(B374,الموظفون!$B$6:$B$105,0)),"✖ رقم غير موجود"))</f>
        <v/>
      </c>
      <c r="D374" s="88"/>
      <c r="E374" s="88"/>
      <c r="F374" s="88"/>
      <c r="G374" s="85"/>
      <c r="H374" s="85"/>
      <c r="I374" s="85"/>
      <c r="J374" s="85"/>
      <c r="K374" s="88"/>
      <c r="L374" s="88"/>
      <c r="M374" s="85"/>
      <c r="N374" s="85"/>
      <c r="O374" s="73"/>
    </row>
    <row r="375" customFormat="false" ht="15" hidden="false" customHeight="false" outlineLevel="0" collapsed="false">
      <c r="A375" s="87"/>
      <c r="B375" s="73"/>
      <c r="C375" s="91" t="str">
        <f aca="false">IF(B375="","",IFERROR(INDEX(الموظفون!$C$6:$C$105,MATCH(B375,الموظفون!$B$6:$B$105,0)),"✖ رقم غير موجود"))</f>
        <v/>
      </c>
      <c r="D375" s="88"/>
      <c r="E375" s="88"/>
      <c r="F375" s="88"/>
      <c r="G375" s="85"/>
      <c r="H375" s="85"/>
      <c r="I375" s="85"/>
      <c r="J375" s="85"/>
      <c r="K375" s="88"/>
      <c r="L375" s="88"/>
      <c r="M375" s="85"/>
      <c r="N375" s="85"/>
      <c r="O375" s="73"/>
    </row>
    <row r="376" customFormat="false" ht="15" hidden="false" customHeight="false" outlineLevel="0" collapsed="false">
      <c r="A376" s="87"/>
      <c r="B376" s="73"/>
      <c r="C376" s="74" t="str">
        <f aca="false">IF(B376="","",IFERROR(INDEX(الموظفون!$C$6:$C$105,MATCH(B376,الموظفون!$B$6:$B$105,0)),"✖ رقم غير موجود"))</f>
        <v/>
      </c>
      <c r="D376" s="88"/>
      <c r="E376" s="88"/>
      <c r="F376" s="88"/>
      <c r="G376" s="85"/>
      <c r="H376" s="85"/>
      <c r="I376" s="85"/>
      <c r="J376" s="85"/>
      <c r="K376" s="88"/>
      <c r="L376" s="88"/>
      <c r="M376" s="85"/>
      <c r="N376" s="85"/>
      <c r="O376" s="73"/>
    </row>
    <row r="377" customFormat="false" ht="15" hidden="false" customHeight="false" outlineLevel="0" collapsed="false">
      <c r="A377" s="87"/>
      <c r="B377" s="73"/>
      <c r="C377" s="91" t="str">
        <f aca="false">IF(B377="","",IFERROR(INDEX(الموظفون!$C$6:$C$105,MATCH(B377,الموظفون!$B$6:$B$105,0)),"✖ رقم غير موجود"))</f>
        <v/>
      </c>
      <c r="D377" s="88"/>
      <c r="E377" s="88"/>
      <c r="F377" s="88"/>
      <c r="G377" s="85"/>
      <c r="H377" s="85"/>
      <c r="I377" s="85"/>
      <c r="J377" s="85"/>
      <c r="K377" s="88"/>
      <c r="L377" s="88"/>
      <c r="M377" s="85"/>
      <c r="N377" s="85"/>
      <c r="O377" s="73"/>
    </row>
    <row r="378" customFormat="false" ht="15" hidden="false" customHeight="false" outlineLevel="0" collapsed="false">
      <c r="A378" s="87"/>
      <c r="B378" s="73"/>
      <c r="C378" s="74" t="str">
        <f aca="false">IF(B378="","",IFERROR(INDEX(الموظفون!$C$6:$C$105,MATCH(B378,الموظفون!$B$6:$B$105,0)),"✖ رقم غير موجود"))</f>
        <v/>
      </c>
      <c r="D378" s="88"/>
      <c r="E378" s="88"/>
      <c r="F378" s="88"/>
      <c r="G378" s="85"/>
      <c r="H378" s="85"/>
      <c r="I378" s="85"/>
      <c r="J378" s="85"/>
      <c r="K378" s="88"/>
      <c r="L378" s="88"/>
      <c r="M378" s="85"/>
      <c r="N378" s="85"/>
      <c r="O378" s="73"/>
    </row>
    <row r="379" customFormat="false" ht="15" hidden="false" customHeight="false" outlineLevel="0" collapsed="false">
      <c r="A379" s="87"/>
      <c r="B379" s="73"/>
      <c r="C379" s="91" t="str">
        <f aca="false">IF(B379="","",IFERROR(INDEX(الموظفون!$C$6:$C$105,MATCH(B379,الموظفون!$B$6:$B$105,0)),"✖ رقم غير موجود"))</f>
        <v/>
      </c>
      <c r="D379" s="88"/>
      <c r="E379" s="88"/>
      <c r="F379" s="88"/>
      <c r="G379" s="85"/>
      <c r="H379" s="85"/>
      <c r="I379" s="85"/>
      <c r="J379" s="85"/>
      <c r="K379" s="88"/>
      <c r="L379" s="88"/>
      <c r="M379" s="85"/>
      <c r="N379" s="85"/>
      <c r="O379" s="73"/>
    </row>
    <row r="380" customFormat="false" ht="15" hidden="false" customHeight="false" outlineLevel="0" collapsed="false">
      <c r="A380" s="87"/>
      <c r="B380" s="73"/>
      <c r="C380" s="74" t="str">
        <f aca="false">IF(B380="","",IFERROR(INDEX(الموظفون!$C$6:$C$105,MATCH(B380,الموظفون!$B$6:$B$105,0)),"✖ رقم غير موجود"))</f>
        <v/>
      </c>
      <c r="D380" s="88"/>
      <c r="E380" s="88"/>
      <c r="F380" s="88"/>
      <c r="G380" s="85"/>
      <c r="H380" s="85"/>
      <c r="I380" s="85"/>
      <c r="J380" s="85"/>
      <c r="K380" s="88"/>
      <c r="L380" s="88"/>
      <c r="M380" s="85"/>
      <c r="N380" s="85"/>
      <c r="O380" s="73"/>
    </row>
    <row r="381" customFormat="false" ht="15" hidden="false" customHeight="false" outlineLevel="0" collapsed="false">
      <c r="A381" s="87"/>
      <c r="B381" s="73"/>
      <c r="C381" s="91" t="str">
        <f aca="false">IF(B381="","",IFERROR(INDEX(الموظفون!$C$6:$C$105,MATCH(B381,الموظفون!$B$6:$B$105,0)),"✖ رقم غير موجود"))</f>
        <v/>
      </c>
      <c r="D381" s="88"/>
      <c r="E381" s="88"/>
      <c r="F381" s="88"/>
      <c r="G381" s="85"/>
      <c r="H381" s="85"/>
      <c r="I381" s="85"/>
      <c r="J381" s="85"/>
      <c r="K381" s="88"/>
      <c r="L381" s="88"/>
      <c r="M381" s="85"/>
      <c r="N381" s="85"/>
      <c r="O381" s="73"/>
    </row>
    <row r="382" customFormat="false" ht="15" hidden="false" customHeight="false" outlineLevel="0" collapsed="false">
      <c r="A382" s="87"/>
      <c r="B382" s="73"/>
      <c r="C382" s="74" t="str">
        <f aca="false">IF(B382="","",IFERROR(INDEX(الموظفون!$C$6:$C$105,MATCH(B382,الموظفون!$B$6:$B$105,0)),"✖ رقم غير موجود"))</f>
        <v/>
      </c>
      <c r="D382" s="88"/>
      <c r="E382" s="88"/>
      <c r="F382" s="88"/>
      <c r="G382" s="85"/>
      <c r="H382" s="85"/>
      <c r="I382" s="85"/>
      <c r="J382" s="85"/>
      <c r="K382" s="88"/>
      <c r="L382" s="88"/>
      <c r="M382" s="85"/>
      <c r="N382" s="85"/>
      <c r="O382" s="73"/>
    </row>
    <row r="383" customFormat="false" ht="15" hidden="false" customHeight="false" outlineLevel="0" collapsed="false">
      <c r="A383" s="87"/>
      <c r="B383" s="73"/>
      <c r="C383" s="91" t="str">
        <f aca="false">IF(B383="","",IFERROR(INDEX(الموظفون!$C$6:$C$105,MATCH(B383,الموظفون!$B$6:$B$105,0)),"✖ رقم غير موجود"))</f>
        <v/>
      </c>
      <c r="D383" s="88"/>
      <c r="E383" s="88"/>
      <c r="F383" s="88"/>
      <c r="G383" s="85"/>
      <c r="H383" s="85"/>
      <c r="I383" s="85"/>
      <c r="J383" s="85"/>
      <c r="K383" s="88"/>
      <c r="L383" s="88"/>
      <c r="M383" s="85"/>
      <c r="N383" s="85"/>
      <c r="O383" s="73"/>
    </row>
    <row r="384" customFormat="false" ht="15" hidden="false" customHeight="false" outlineLevel="0" collapsed="false">
      <c r="A384" s="87"/>
      <c r="B384" s="73"/>
      <c r="C384" s="74" t="str">
        <f aca="false">IF(B384="","",IFERROR(INDEX(الموظفون!$C$6:$C$105,MATCH(B384,الموظفون!$B$6:$B$105,0)),"✖ رقم غير موجود"))</f>
        <v/>
      </c>
      <c r="D384" s="88"/>
      <c r="E384" s="88"/>
      <c r="F384" s="88"/>
      <c r="G384" s="85"/>
      <c r="H384" s="85"/>
      <c r="I384" s="85"/>
      <c r="J384" s="85"/>
      <c r="K384" s="88"/>
      <c r="L384" s="88"/>
      <c r="M384" s="85"/>
      <c r="N384" s="85"/>
      <c r="O384" s="73"/>
    </row>
    <row r="385" customFormat="false" ht="15" hidden="false" customHeight="false" outlineLevel="0" collapsed="false">
      <c r="A385" s="87"/>
      <c r="B385" s="73"/>
      <c r="C385" s="91" t="str">
        <f aca="false">IF(B385="","",IFERROR(INDEX(الموظفون!$C$6:$C$105,MATCH(B385,الموظفون!$B$6:$B$105,0)),"✖ رقم غير موجود"))</f>
        <v/>
      </c>
      <c r="D385" s="88"/>
      <c r="E385" s="88"/>
      <c r="F385" s="88"/>
      <c r="G385" s="85"/>
      <c r="H385" s="85"/>
      <c r="I385" s="85"/>
      <c r="J385" s="85"/>
      <c r="K385" s="88"/>
      <c r="L385" s="88"/>
      <c r="M385" s="85"/>
      <c r="N385" s="85"/>
      <c r="O385" s="73"/>
    </row>
    <row r="386" customFormat="false" ht="15" hidden="false" customHeight="false" outlineLevel="0" collapsed="false">
      <c r="A386" s="87"/>
      <c r="B386" s="73"/>
      <c r="C386" s="74" t="str">
        <f aca="false">IF(B386="","",IFERROR(INDEX(الموظفون!$C$6:$C$105,MATCH(B386,الموظفون!$B$6:$B$105,0)),"✖ رقم غير موجود"))</f>
        <v/>
      </c>
      <c r="D386" s="88"/>
      <c r="E386" s="88"/>
      <c r="F386" s="88"/>
      <c r="G386" s="85"/>
      <c r="H386" s="85"/>
      <c r="I386" s="85"/>
      <c r="J386" s="85"/>
      <c r="K386" s="88"/>
      <c r="L386" s="88"/>
      <c r="M386" s="85"/>
      <c r="N386" s="85"/>
      <c r="O386" s="73"/>
    </row>
    <row r="387" customFormat="false" ht="15" hidden="false" customHeight="false" outlineLevel="0" collapsed="false">
      <c r="A387" s="87"/>
      <c r="B387" s="73"/>
      <c r="C387" s="91" t="str">
        <f aca="false">IF(B387="","",IFERROR(INDEX(الموظفون!$C$6:$C$105,MATCH(B387,الموظفون!$B$6:$B$105,0)),"✖ رقم غير موجود"))</f>
        <v/>
      </c>
      <c r="D387" s="88"/>
      <c r="E387" s="88"/>
      <c r="F387" s="88"/>
      <c r="G387" s="85"/>
      <c r="H387" s="85"/>
      <c r="I387" s="85"/>
      <c r="J387" s="85"/>
      <c r="K387" s="88"/>
      <c r="L387" s="88"/>
      <c r="M387" s="85"/>
      <c r="N387" s="85"/>
      <c r="O387" s="73"/>
    </row>
    <row r="388" customFormat="false" ht="15" hidden="false" customHeight="false" outlineLevel="0" collapsed="false">
      <c r="A388" s="87"/>
      <c r="B388" s="73"/>
      <c r="C388" s="74" t="str">
        <f aca="false">IF(B388="","",IFERROR(INDEX(الموظفون!$C$6:$C$105,MATCH(B388,الموظفون!$B$6:$B$105,0)),"✖ رقم غير موجود"))</f>
        <v/>
      </c>
      <c r="D388" s="88"/>
      <c r="E388" s="88"/>
      <c r="F388" s="88"/>
      <c r="G388" s="85"/>
      <c r="H388" s="85"/>
      <c r="I388" s="85"/>
      <c r="J388" s="85"/>
      <c r="K388" s="88"/>
      <c r="L388" s="88"/>
      <c r="M388" s="85"/>
      <c r="N388" s="85"/>
      <c r="O388" s="73"/>
    </row>
    <row r="389" customFormat="false" ht="15" hidden="false" customHeight="false" outlineLevel="0" collapsed="false">
      <c r="A389" s="87"/>
      <c r="B389" s="73"/>
      <c r="C389" s="91" t="str">
        <f aca="false">IF(B389="","",IFERROR(INDEX(الموظفون!$C$6:$C$105,MATCH(B389,الموظفون!$B$6:$B$105,0)),"✖ رقم غير موجود"))</f>
        <v/>
      </c>
      <c r="D389" s="88"/>
      <c r="E389" s="88"/>
      <c r="F389" s="88"/>
      <c r="G389" s="85"/>
      <c r="H389" s="85"/>
      <c r="I389" s="85"/>
      <c r="J389" s="85"/>
      <c r="K389" s="88"/>
      <c r="L389" s="88"/>
      <c r="M389" s="85"/>
      <c r="N389" s="85"/>
      <c r="O389" s="73"/>
    </row>
    <row r="390" customFormat="false" ht="15" hidden="false" customHeight="false" outlineLevel="0" collapsed="false">
      <c r="A390" s="87"/>
      <c r="B390" s="73"/>
      <c r="C390" s="74" t="str">
        <f aca="false">IF(B390="","",IFERROR(INDEX(الموظفون!$C$6:$C$105,MATCH(B390,الموظفون!$B$6:$B$105,0)),"✖ رقم غير موجود"))</f>
        <v/>
      </c>
      <c r="D390" s="88"/>
      <c r="E390" s="88"/>
      <c r="F390" s="88"/>
      <c r="G390" s="85"/>
      <c r="H390" s="85"/>
      <c r="I390" s="85"/>
      <c r="J390" s="85"/>
      <c r="K390" s="88"/>
      <c r="L390" s="88"/>
      <c r="M390" s="85"/>
      <c r="N390" s="85"/>
      <c r="O390" s="73"/>
    </row>
    <row r="391" customFormat="false" ht="15" hidden="false" customHeight="false" outlineLevel="0" collapsed="false">
      <c r="A391" s="87"/>
      <c r="B391" s="73"/>
      <c r="C391" s="91" t="str">
        <f aca="false">IF(B391="","",IFERROR(INDEX(الموظفون!$C$6:$C$105,MATCH(B391,الموظفون!$B$6:$B$105,0)),"✖ رقم غير موجود"))</f>
        <v/>
      </c>
      <c r="D391" s="88"/>
      <c r="E391" s="88"/>
      <c r="F391" s="88"/>
      <c r="G391" s="85"/>
      <c r="H391" s="85"/>
      <c r="I391" s="85"/>
      <c r="J391" s="85"/>
      <c r="K391" s="88"/>
      <c r="L391" s="88"/>
      <c r="M391" s="85"/>
      <c r="N391" s="85"/>
      <c r="O391" s="73"/>
    </row>
    <row r="392" customFormat="false" ht="15" hidden="false" customHeight="false" outlineLevel="0" collapsed="false">
      <c r="A392" s="87"/>
      <c r="B392" s="73"/>
      <c r="C392" s="74" t="str">
        <f aca="false">IF(B392="","",IFERROR(INDEX(الموظفون!$C$6:$C$105,MATCH(B392,الموظفون!$B$6:$B$105,0)),"✖ رقم غير موجود"))</f>
        <v/>
      </c>
      <c r="D392" s="88"/>
      <c r="E392" s="88"/>
      <c r="F392" s="88"/>
      <c r="G392" s="85"/>
      <c r="H392" s="85"/>
      <c r="I392" s="85"/>
      <c r="J392" s="85"/>
      <c r="K392" s="88"/>
      <c r="L392" s="88"/>
      <c r="M392" s="85"/>
      <c r="N392" s="85"/>
      <c r="O392" s="73"/>
    </row>
    <row r="393" customFormat="false" ht="15" hidden="false" customHeight="false" outlineLevel="0" collapsed="false">
      <c r="A393" s="87"/>
      <c r="B393" s="73"/>
      <c r="C393" s="91" t="str">
        <f aca="false">IF(B393="","",IFERROR(INDEX(الموظفون!$C$6:$C$105,MATCH(B393,الموظفون!$B$6:$B$105,0)),"✖ رقم غير موجود"))</f>
        <v/>
      </c>
      <c r="D393" s="88"/>
      <c r="E393" s="88"/>
      <c r="F393" s="88"/>
      <c r="G393" s="85"/>
      <c r="H393" s="85"/>
      <c r="I393" s="85"/>
      <c r="J393" s="85"/>
      <c r="K393" s="88"/>
      <c r="L393" s="88"/>
      <c r="M393" s="85"/>
      <c r="N393" s="85"/>
      <c r="O393" s="73"/>
    </row>
    <row r="394" customFormat="false" ht="15" hidden="false" customHeight="false" outlineLevel="0" collapsed="false">
      <c r="A394" s="87"/>
      <c r="B394" s="73"/>
      <c r="C394" s="74" t="str">
        <f aca="false">IF(B394="","",IFERROR(INDEX(الموظفون!$C$6:$C$105,MATCH(B394,الموظفون!$B$6:$B$105,0)),"✖ رقم غير موجود"))</f>
        <v/>
      </c>
      <c r="D394" s="88"/>
      <c r="E394" s="88"/>
      <c r="F394" s="88"/>
      <c r="G394" s="85"/>
      <c r="H394" s="85"/>
      <c r="I394" s="85"/>
      <c r="J394" s="85"/>
      <c r="K394" s="88"/>
      <c r="L394" s="88"/>
      <c r="M394" s="85"/>
      <c r="N394" s="85"/>
      <c r="O394" s="73"/>
    </row>
    <row r="395" customFormat="false" ht="15" hidden="false" customHeight="false" outlineLevel="0" collapsed="false">
      <c r="A395" s="87"/>
      <c r="B395" s="73"/>
      <c r="C395" s="91" t="str">
        <f aca="false">IF(B395="","",IFERROR(INDEX(الموظفون!$C$6:$C$105,MATCH(B395,الموظفون!$B$6:$B$105,0)),"✖ رقم غير موجود"))</f>
        <v/>
      </c>
      <c r="D395" s="88"/>
      <c r="E395" s="88"/>
      <c r="F395" s="88"/>
      <c r="G395" s="85"/>
      <c r="H395" s="85"/>
      <c r="I395" s="85"/>
      <c r="J395" s="85"/>
      <c r="K395" s="88"/>
      <c r="L395" s="88"/>
      <c r="M395" s="85"/>
      <c r="N395" s="85"/>
      <c r="O395" s="73"/>
    </row>
    <row r="396" customFormat="false" ht="15" hidden="false" customHeight="false" outlineLevel="0" collapsed="false">
      <c r="A396" s="87"/>
      <c r="B396" s="73"/>
      <c r="C396" s="74" t="str">
        <f aca="false">IF(B396="","",IFERROR(INDEX(الموظفون!$C$6:$C$105,MATCH(B396,الموظفون!$B$6:$B$105,0)),"✖ رقم غير موجود"))</f>
        <v/>
      </c>
      <c r="D396" s="88"/>
      <c r="E396" s="88"/>
      <c r="F396" s="88"/>
      <c r="G396" s="85"/>
      <c r="H396" s="85"/>
      <c r="I396" s="85"/>
      <c r="J396" s="85"/>
      <c r="K396" s="88"/>
      <c r="L396" s="88"/>
      <c r="M396" s="85"/>
      <c r="N396" s="85"/>
      <c r="O396" s="73"/>
    </row>
    <row r="397" customFormat="false" ht="15" hidden="false" customHeight="false" outlineLevel="0" collapsed="false">
      <c r="A397" s="87"/>
      <c r="B397" s="73"/>
      <c r="C397" s="91" t="str">
        <f aca="false">IF(B397="","",IFERROR(INDEX(الموظفون!$C$6:$C$105,MATCH(B397,الموظفون!$B$6:$B$105,0)),"✖ رقم غير موجود"))</f>
        <v/>
      </c>
      <c r="D397" s="88"/>
      <c r="E397" s="88"/>
      <c r="F397" s="88"/>
      <c r="G397" s="85"/>
      <c r="H397" s="85"/>
      <c r="I397" s="85"/>
      <c r="J397" s="85"/>
      <c r="K397" s="88"/>
      <c r="L397" s="88"/>
      <c r="M397" s="85"/>
      <c r="N397" s="85"/>
      <c r="O397" s="73"/>
    </row>
    <row r="398" customFormat="false" ht="15" hidden="false" customHeight="false" outlineLevel="0" collapsed="false">
      <c r="A398" s="87"/>
      <c r="B398" s="73"/>
      <c r="C398" s="74" t="str">
        <f aca="false">IF(B398="","",IFERROR(INDEX(الموظفون!$C$6:$C$105,MATCH(B398,الموظفون!$B$6:$B$105,0)),"✖ رقم غير موجود"))</f>
        <v/>
      </c>
      <c r="D398" s="88"/>
      <c r="E398" s="88"/>
      <c r="F398" s="88"/>
      <c r="G398" s="85"/>
      <c r="H398" s="85"/>
      <c r="I398" s="85"/>
      <c r="J398" s="85"/>
      <c r="K398" s="88"/>
      <c r="L398" s="88"/>
      <c r="M398" s="85"/>
      <c r="N398" s="85"/>
      <c r="O398" s="73"/>
    </row>
    <row r="399" customFormat="false" ht="15" hidden="false" customHeight="false" outlineLevel="0" collapsed="false">
      <c r="A399" s="87"/>
      <c r="B399" s="73"/>
      <c r="C399" s="91" t="str">
        <f aca="false">IF(B399="","",IFERROR(INDEX(الموظفون!$C$6:$C$105,MATCH(B399,الموظفون!$B$6:$B$105,0)),"✖ رقم غير موجود"))</f>
        <v/>
      </c>
      <c r="D399" s="88"/>
      <c r="E399" s="88"/>
      <c r="F399" s="88"/>
      <c r="G399" s="85"/>
      <c r="H399" s="85"/>
      <c r="I399" s="85"/>
      <c r="J399" s="85"/>
      <c r="K399" s="88"/>
      <c r="L399" s="88"/>
      <c r="M399" s="85"/>
      <c r="N399" s="85"/>
      <c r="O399" s="73"/>
    </row>
    <row r="400" customFormat="false" ht="15" hidden="false" customHeight="false" outlineLevel="0" collapsed="false">
      <c r="A400" s="87"/>
      <c r="B400" s="73"/>
      <c r="C400" s="74" t="str">
        <f aca="false">IF(B400="","",IFERROR(INDEX(الموظفون!$C$6:$C$105,MATCH(B400,الموظفون!$B$6:$B$105,0)),"✖ رقم غير موجود"))</f>
        <v/>
      </c>
      <c r="D400" s="88"/>
      <c r="E400" s="88"/>
      <c r="F400" s="88"/>
      <c r="G400" s="85"/>
      <c r="H400" s="85"/>
      <c r="I400" s="85"/>
      <c r="J400" s="85"/>
      <c r="K400" s="88"/>
      <c r="L400" s="88"/>
      <c r="M400" s="85"/>
      <c r="N400" s="85"/>
      <c r="O400" s="73"/>
    </row>
    <row r="401" customFormat="false" ht="15" hidden="false" customHeight="false" outlineLevel="0" collapsed="false">
      <c r="A401" s="87"/>
      <c r="B401" s="73"/>
      <c r="C401" s="91" t="str">
        <f aca="false">IF(B401="","",IFERROR(INDEX(الموظفون!$C$6:$C$105,MATCH(B401,الموظفون!$B$6:$B$105,0)),"✖ رقم غير موجود"))</f>
        <v/>
      </c>
      <c r="D401" s="88"/>
      <c r="E401" s="88"/>
      <c r="F401" s="88"/>
      <c r="G401" s="85"/>
      <c r="H401" s="85"/>
      <c r="I401" s="85"/>
      <c r="J401" s="85"/>
      <c r="K401" s="88"/>
      <c r="L401" s="88"/>
      <c r="M401" s="85"/>
      <c r="N401" s="85"/>
      <c r="O401" s="73"/>
    </row>
    <row r="402" customFormat="false" ht="15" hidden="false" customHeight="false" outlineLevel="0" collapsed="false">
      <c r="A402" s="87"/>
      <c r="B402" s="73"/>
      <c r="C402" s="74" t="str">
        <f aca="false">IF(B402="","",IFERROR(INDEX(الموظفون!$C$6:$C$105,MATCH(B402,الموظفون!$B$6:$B$105,0)),"✖ رقم غير موجود"))</f>
        <v/>
      </c>
      <c r="D402" s="88"/>
      <c r="E402" s="88"/>
      <c r="F402" s="88"/>
      <c r="G402" s="85"/>
      <c r="H402" s="85"/>
      <c r="I402" s="85"/>
      <c r="J402" s="85"/>
      <c r="K402" s="88"/>
      <c r="L402" s="88"/>
      <c r="M402" s="85"/>
      <c r="N402" s="85"/>
      <c r="O402" s="73"/>
    </row>
    <row r="403" customFormat="false" ht="15" hidden="false" customHeight="false" outlineLevel="0" collapsed="false">
      <c r="A403" s="87"/>
      <c r="B403" s="73"/>
      <c r="C403" s="91" t="str">
        <f aca="false">IF(B403="","",IFERROR(INDEX(الموظفون!$C$6:$C$105,MATCH(B403,الموظفون!$B$6:$B$105,0)),"✖ رقم غير موجود"))</f>
        <v/>
      </c>
      <c r="D403" s="88"/>
      <c r="E403" s="88"/>
      <c r="F403" s="88"/>
      <c r="G403" s="85"/>
      <c r="H403" s="85"/>
      <c r="I403" s="85"/>
      <c r="J403" s="85"/>
      <c r="K403" s="88"/>
      <c r="L403" s="88"/>
      <c r="M403" s="85"/>
      <c r="N403" s="85"/>
      <c r="O403" s="73"/>
    </row>
    <row r="404" customFormat="false" ht="15" hidden="false" customHeight="false" outlineLevel="0" collapsed="false">
      <c r="A404" s="87"/>
      <c r="B404" s="73"/>
      <c r="C404" s="74" t="str">
        <f aca="false">IF(B404="","",IFERROR(INDEX(الموظفون!$C$6:$C$105,MATCH(B404,الموظفون!$B$6:$B$105,0)),"✖ رقم غير موجود"))</f>
        <v/>
      </c>
      <c r="D404" s="88"/>
      <c r="E404" s="88"/>
      <c r="F404" s="88"/>
      <c r="G404" s="85"/>
      <c r="H404" s="85"/>
      <c r="I404" s="85"/>
      <c r="J404" s="85"/>
      <c r="K404" s="88"/>
      <c r="L404" s="88"/>
      <c r="M404" s="85"/>
      <c r="N404" s="85"/>
      <c r="O404" s="73"/>
    </row>
    <row r="405" customFormat="false" ht="15" hidden="false" customHeight="false" outlineLevel="0" collapsed="false">
      <c r="A405" s="87"/>
      <c r="B405" s="73"/>
      <c r="C405" s="91" t="str">
        <f aca="false">IF(B405="","",IFERROR(INDEX(الموظفون!$C$6:$C$105,MATCH(B405,الموظفون!$B$6:$B$105,0)),"✖ رقم غير موجود"))</f>
        <v/>
      </c>
      <c r="D405" s="88"/>
      <c r="E405" s="88"/>
      <c r="F405" s="88"/>
      <c r="G405" s="85"/>
      <c r="H405" s="85"/>
      <c r="I405" s="85"/>
      <c r="J405" s="85"/>
      <c r="K405" s="88"/>
      <c r="L405" s="88"/>
      <c r="M405" s="85"/>
      <c r="N405" s="85"/>
      <c r="O405" s="73"/>
    </row>
    <row r="406" customFormat="false" ht="15" hidden="false" customHeight="false" outlineLevel="0" collapsed="false">
      <c r="A406" s="87"/>
      <c r="B406" s="73"/>
      <c r="C406" s="74" t="str">
        <f aca="false">IF(B406="","",IFERROR(INDEX(الموظفون!$C$6:$C$105,MATCH(B406,الموظفون!$B$6:$B$105,0)),"✖ رقم غير موجود"))</f>
        <v/>
      </c>
      <c r="D406" s="88"/>
      <c r="E406" s="88"/>
      <c r="F406" s="88"/>
      <c r="G406" s="85"/>
      <c r="H406" s="85"/>
      <c r="I406" s="85"/>
      <c r="J406" s="85"/>
      <c r="K406" s="88"/>
      <c r="L406" s="88"/>
      <c r="M406" s="85"/>
      <c r="N406" s="85"/>
      <c r="O406" s="73"/>
    </row>
    <row r="407" customFormat="false" ht="15" hidden="false" customHeight="false" outlineLevel="0" collapsed="false">
      <c r="A407" s="87"/>
      <c r="B407" s="73"/>
      <c r="C407" s="91" t="str">
        <f aca="false">IF(B407="","",IFERROR(INDEX(الموظفون!$C$6:$C$105,MATCH(B407,الموظفون!$B$6:$B$105,0)),"✖ رقم غير موجود"))</f>
        <v/>
      </c>
      <c r="D407" s="88"/>
      <c r="E407" s="88"/>
      <c r="F407" s="88"/>
      <c r="G407" s="85"/>
      <c r="H407" s="85"/>
      <c r="I407" s="85"/>
      <c r="J407" s="85"/>
      <c r="K407" s="88"/>
      <c r="L407" s="88"/>
      <c r="M407" s="85"/>
      <c r="N407" s="85"/>
      <c r="O407" s="73"/>
    </row>
    <row r="408" customFormat="false" ht="15" hidden="false" customHeight="false" outlineLevel="0" collapsed="false">
      <c r="A408" s="87"/>
      <c r="B408" s="73"/>
      <c r="C408" s="74" t="str">
        <f aca="false">IF(B408="","",IFERROR(INDEX(الموظفون!$C$6:$C$105,MATCH(B408,الموظفون!$B$6:$B$105,0)),"✖ رقم غير موجود"))</f>
        <v/>
      </c>
      <c r="D408" s="88"/>
      <c r="E408" s="88"/>
      <c r="F408" s="88"/>
      <c r="G408" s="85"/>
      <c r="H408" s="85"/>
      <c r="I408" s="85"/>
      <c r="J408" s="85"/>
      <c r="K408" s="88"/>
      <c r="L408" s="88"/>
      <c r="M408" s="85"/>
      <c r="N408" s="85"/>
      <c r="O408" s="73"/>
    </row>
    <row r="409" customFormat="false" ht="15" hidden="false" customHeight="false" outlineLevel="0" collapsed="false">
      <c r="A409" s="87"/>
      <c r="B409" s="73"/>
      <c r="C409" s="91" t="str">
        <f aca="false">IF(B409="","",IFERROR(INDEX(الموظفون!$C$6:$C$105,MATCH(B409,الموظفون!$B$6:$B$105,0)),"✖ رقم غير موجود"))</f>
        <v/>
      </c>
      <c r="D409" s="88"/>
      <c r="E409" s="88"/>
      <c r="F409" s="88"/>
      <c r="G409" s="85"/>
      <c r="H409" s="85"/>
      <c r="I409" s="85"/>
      <c r="J409" s="85"/>
      <c r="K409" s="88"/>
      <c r="L409" s="88"/>
      <c r="M409" s="85"/>
      <c r="N409" s="85"/>
      <c r="O409" s="73"/>
    </row>
    <row r="410" customFormat="false" ht="15" hidden="false" customHeight="false" outlineLevel="0" collapsed="false">
      <c r="A410" s="87"/>
      <c r="B410" s="73"/>
      <c r="C410" s="74" t="str">
        <f aca="false">IF(B410="","",IFERROR(INDEX(الموظفون!$C$6:$C$105,MATCH(B410,الموظفون!$B$6:$B$105,0)),"✖ رقم غير موجود"))</f>
        <v/>
      </c>
      <c r="D410" s="88"/>
      <c r="E410" s="88"/>
      <c r="F410" s="88"/>
      <c r="G410" s="85"/>
      <c r="H410" s="85"/>
      <c r="I410" s="85"/>
      <c r="J410" s="85"/>
      <c r="K410" s="88"/>
      <c r="L410" s="88"/>
      <c r="M410" s="85"/>
      <c r="N410" s="85"/>
      <c r="O410" s="73"/>
    </row>
    <row r="411" customFormat="false" ht="15" hidden="false" customHeight="false" outlineLevel="0" collapsed="false">
      <c r="A411" s="87"/>
      <c r="B411" s="73"/>
      <c r="C411" s="91" t="str">
        <f aca="false">IF(B411="","",IFERROR(INDEX(الموظفون!$C$6:$C$105,MATCH(B411,الموظفون!$B$6:$B$105,0)),"✖ رقم غير موجود"))</f>
        <v/>
      </c>
      <c r="D411" s="88"/>
      <c r="E411" s="88"/>
      <c r="F411" s="88"/>
      <c r="G411" s="85"/>
      <c r="H411" s="85"/>
      <c r="I411" s="85"/>
      <c r="J411" s="85"/>
      <c r="K411" s="88"/>
      <c r="L411" s="88"/>
      <c r="M411" s="85"/>
      <c r="N411" s="85"/>
      <c r="O411" s="73"/>
    </row>
    <row r="412" customFormat="false" ht="15" hidden="false" customHeight="false" outlineLevel="0" collapsed="false">
      <c r="A412" s="87"/>
      <c r="B412" s="73"/>
      <c r="C412" s="74" t="str">
        <f aca="false">IF(B412="","",IFERROR(INDEX(الموظفون!$C$6:$C$105,MATCH(B412,الموظفون!$B$6:$B$105,0)),"✖ رقم غير موجود"))</f>
        <v/>
      </c>
      <c r="D412" s="88"/>
      <c r="E412" s="88"/>
      <c r="F412" s="88"/>
      <c r="G412" s="85"/>
      <c r="H412" s="85"/>
      <c r="I412" s="85"/>
      <c r="J412" s="85"/>
      <c r="K412" s="88"/>
      <c r="L412" s="88"/>
      <c r="M412" s="85"/>
      <c r="N412" s="85"/>
      <c r="O412" s="73"/>
    </row>
    <row r="413" customFormat="false" ht="15" hidden="false" customHeight="false" outlineLevel="0" collapsed="false">
      <c r="A413" s="87"/>
      <c r="B413" s="73"/>
      <c r="C413" s="91" t="str">
        <f aca="false">IF(B413="","",IFERROR(INDEX(الموظفون!$C$6:$C$105,MATCH(B413,الموظفون!$B$6:$B$105,0)),"✖ رقم غير موجود"))</f>
        <v/>
      </c>
      <c r="D413" s="88"/>
      <c r="E413" s="88"/>
      <c r="F413" s="88"/>
      <c r="G413" s="85"/>
      <c r="H413" s="85"/>
      <c r="I413" s="85"/>
      <c r="J413" s="85"/>
      <c r="K413" s="88"/>
      <c r="L413" s="88"/>
      <c r="M413" s="85"/>
      <c r="N413" s="85"/>
      <c r="O413" s="73"/>
    </row>
    <row r="414" customFormat="false" ht="15" hidden="false" customHeight="false" outlineLevel="0" collapsed="false">
      <c r="A414" s="87"/>
      <c r="B414" s="73"/>
      <c r="C414" s="74" t="str">
        <f aca="false">IF(B414="","",IFERROR(INDEX(الموظفون!$C$6:$C$105,MATCH(B414,الموظفون!$B$6:$B$105,0)),"✖ رقم غير موجود"))</f>
        <v/>
      </c>
      <c r="D414" s="88"/>
      <c r="E414" s="88"/>
      <c r="F414" s="88"/>
      <c r="G414" s="85"/>
      <c r="H414" s="85"/>
      <c r="I414" s="85"/>
      <c r="J414" s="85"/>
      <c r="K414" s="88"/>
      <c r="L414" s="88"/>
      <c r="M414" s="85"/>
      <c r="N414" s="85"/>
      <c r="O414" s="73"/>
    </row>
    <row r="415" customFormat="false" ht="15" hidden="false" customHeight="false" outlineLevel="0" collapsed="false">
      <c r="A415" s="87"/>
      <c r="B415" s="73"/>
      <c r="C415" s="91" t="str">
        <f aca="false">IF(B415="","",IFERROR(INDEX(الموظفون!$C$6:$C$105,MATCH(B415,الموظفون!$B$6:$B$105,0)),"✖ رقم غير موجود"))</f>
        <v/>
      </c>
      <c r="D415" s="88"/>
      <c r="E415" s="88"/>
      <c r="F415" s="88"/>
      <c r="G415" s="85"/>
      <c r="H415" s="85"/>
      <c r="I415" s="85"/>
      <c r="J415" s="85"/>
      <c r="K415" s="88"/>
      <c r="L415" s="88"/>
      <c r="M415" s="85"/>
      <c r="N415" s="85"/>
      <c r="O415" s="73"/>
    </row>
    <row r="416" customFormat="false" ht="15" hidden="false" customHeight="false" outlineLevel="0" collapsed="false">
      <c r="A416" s="87"/>
      <c r="B416" s="73"/>
      <c r="C416" s="74" t="str">
        <f aca="false">IF(B416="","",IFERROR(INDEX(الموظفون!$C$6:$C$105,MATCH(B416,الموظفون!$B$6:$B$105,0)),"✖ رقم غير موجود"))</f>
        <v/>
      </c>
      <c r="D416" s="88"/>
      <c r="E416" s="88"/>
      <c r="F416" s="88"/>
      <c r="G416" s="85"/>
      <c r="H416" s="85"/>
      <c r="I416" s="85"/>
      <c r="J416" s="85"/>
      <c r="K416" s="88"/>
      <c r="L416" s="88"/>
      <c r="M416" s="85"/>
      <c r="N416" s="85"/>
      <c r="O416" s="73"/>
    </row>
    <row r="417" customFormat="false" ht="15" hidden="false" customHeight="false" outlineLevel="0" collapsed="false">
      <c r="A417" s="87"/>
      <c r="B417" s="73"/>
      <c r="C417" s="91" t="str">
        <f aca="false">IF(B417="","",IFERROR(INDEX(الموظفون!$C$6:$C$105,MATCH(B417,الموظفون!$B$6:$B$105,0)),"✖ رقم غير موجود"))</f>
        <v/>
      </c>
      <c r="D417" s="88"/>
      <c r="E417" s="88"/>
      <c r="F417" s="88"/>
      <c r="G417" s="85"/>
      <c r="H417" s="85"/>
      <c r="I417" s="85"/>
      <c r="J417" s="85"/>
      <c r="K417" s="88"/>
      <c r="L417" s="88"/>
      <c r="M417" s="85"/>
      <c r="N417" s="85"/>
      <c r="O417" s="73"/>
    </row>
    <row r="418" customFormat="false" ht="15" hidden="false" customHeight="false" outlineLevel="0" collapsed="false">
      <c r="A418" s="87"/>
      <c r="B418" s="73"/>
      <c r="C418" s="74" t="str">
        <f aca="false">IF(B418="","",IFERROR(INDEX(الموظفون!$C$6:$C$105,MATCH(B418,الموظفون!$B$6:$B$105,0)),"✖ رقم غير موجود"))</f>
        <v/>
      </c>
      <c r="D418" s="88"/>
      <c r="E418" s="88"/>
      <c r="F418" s="88"/>
      <c r="G418" s="85"/>
      <c r="H418" s="85"/>
      <c r="I418" s="85"/>
      <c r="J418" s="85"/>
      <c r="K418" s="88"/>
      <c r="L418" s="88"/>
      <c r="M418" s="85"/>
      <c r="N418" s="85"/>
      <c r="O418" s="73"/>
    </row>
    <row r="419" customFormat="false" ht="15" hidden="false" customHeight="false" outlineLevel="0" collapsed="false">
      <c r="A419" s="87"/>
      <c r="B419" s="73"/>
      <c r="C419" s="91" t="str">
        <f aca="false">IF(B419="","",IFERROR(INDEX(الموظفون!$C$6:$C$105,MATCH(B419,الموظفون!$B$6:$B$105,0)),"✖ رقم غير موجود"))</f>
        <v/>
      </c>
      <c r="D419" s="88"/>
      <c r="E419" s="88"/>
      <c r="F419" s="88"/>
      <c r="G419" s="85"/>
      <c r="H419" s="85"/>
      <c r="I419" s="85"/>
      <c r="J419" s="85"/>
      <c r="K419" s="88"/>
      <c r="L419" s="88"/>
      <c r="M419" s="85"/>
      <c r="N419" s="85"/>
      <c r="O419" s="73"/>
    </row>
    <row r="420" customFormat="false" ht="15" hidden="false" customHeight="false" outlineLevel="0" collapsed="false">
      <c r="A420" s="87"/>
      <c r="B420" s="73"/>
      <c r="C420" s="74" t="str">
        <f aca="false">IF(B420="","",IFERROR(INDEX(الموظفون!$C$6:$C$105,MATCH(B420,الموظفون!$B$6:$B$105,0)),"✖ رقم غير موجود"))</f>
        <v/>
      </c>
      <c r="D420" s="88"/>
      <c r="E420" s="88"/>
      <c r="F420" s="88"/>
      <c r="G420" s="85"/>
      <c r="H420" s="85"/>
      <c r="I420" s="85"/>
      <c r="J420" s="85"/>
      <c r="K420" s="88"/>
      <c r="L420" s="88"/>
      <c r="M420" s="85"/>
      <c r="N420" s="85"/>
      <c r="O420" s="73"/>
    </row>
    <row r="421" customFormat="false" ht="15" hidden="false" customHeight="false" outlineLevel="0" collapsed="false">
      <c r="A421" s="87"/>
      <c r="B421" s="73"/>
      <c r="C421" s="91" t="str">
        <f aca="false">IF(B421="","",IFERROR(INDEX(الموظفون!$C$6:$C$105,MATCH(B421,الموظفون!$B$6:$B$105,0)),"✖ رقم غير موجود"))</f>
        <v/>
      </c>
      <c r="D421" s="88"/>
      <c r="E421" s="88"/>
      <c r="F421" s="88"/>
      <c r="G421" s="85"/>
      <c r="H421" s="85"/>
      <c r="I421" s="85"/>
      <c r="J421" s="85"/>
      <c r="K421" s="88"/>
      <c r="L421" s="88"/>
      <c r="M421" s="85"/>
      <c r="N421" s="85"/>
      <c r="O421" s="73"/>
    </row>
    <row r="422" customFormat="false" ht="15" hidden="false" customHeight="false" outlineLevel="0" collapsed="false">
      <c r="A422" s="87"/>
      <c r="B422" s="73"/>
      <c r="C422" s="74" t="str">
        <f aca="false">IF(B422="","",IFERROR(INDEX(الموظفون!$C$6:$C$105,MATCH(B422,الموظفون!$B$6:$B$105,0)),"✖ رقم غير موجود"))</f>
        <v/>
      </c>
      <c r="D422" s="88"/>
      <c r="E422" s="88"/>
      <c r="F422" s="88"/>
      <c r="G422" s="85"/>
      <c r="H422" s="85"/>
      <c r="I422" s="85"/>
      <c r="J422" s="85"/>
      <c r="K422" s="88"/>
      <c r="L422" s="88"/>
      <c r="M422" s="85"/>
      <c r="N422" s="85"/>
      <c r="O422" s="73"/>
    </row>
    <row r="423" customFormat="false" ht="15" hidden="false" customHeight="false" outlineLevel="0" collapsed="false">
      <c r="A423" s="87"/>
      <c r="B423" s="73"/>
      <c r="C423" s="91" t="str">
        <f aca="false">IF(B423="","",IFERROR(INDEX(الموظفون!$C$6:$C$105,MATCH(B423,الموظفون!$B$6:$B$105,0)),"✖ رقم غير موجود"))</f>
        <v/>
      </c>
      <c r="D423" s="88"/>
      <c r="E423" s="88"/>
      <c r="F423" s="88"/>
      <c r="G423" s="85"/>
      <c r="H423" s="85"/>
      <c r="I423" s="85"/>
      <c r="J423" s="85"/>
      <c r="K423" s="88"/>
      <c r="L423" s="88"/>
      <c r="M423" s="85"/>
      <c r="N423" s="85"/>
      <c r="O423" s="73"/>
    </row>
    <row r="424" customFormat="false" ht="15" hidden="false" customHeight="false" outlineLevel="0" collapsed="false">
      <c r="A424" s="87"/>
      <c r="B424" s="73"/>
      <c r="C424" s="74" t="str">
        <f aca="false">IF(B424="","",IFERROR(INDEX(الموظفون!$C$6:$C$105,MATCH(B424,الموظفون!$B$6:$B$105,0)),"✖ رقم غير موجود"))</f>
        <v/>
      </c>
      <c r="D424" s="88"/>
      <c r="E424" s="88"/>
      <c r="F424" s="88"/>
      <c r="G424" s="85"/>
      <c r="H424" s="85"/>
      <c r="I424" s="85"/>
      <c r="J424" s="85"/>
      <c r="K424" s="88"/>
      <c r="L424" s="88"/>
      <c r="M424" s="85"/>
      <c r="N424" s="85"/>
      <c r="O424" s="73"/>
    </row>
    <row r="425" customFormat="false" ht="15" hidden="false" customHeight="false" outlineLevel="0" collapsed="false">
      <c r="A425" s="87"/>
      <c r="B425" s="73"/>
      <c r="C425" s="91" t="str">
        <f aca="false">IF(B425="","",IFERROR(INDEX(الموظفون!$C$6:$C$105,MATCH(B425,الموظفون!$B$6:$B$105,0)),"✖ رقم غير موجود"))</f>
        <v/>
      </c>
      <c r="D425" s="88"/>
      <c r="E425" s="88"/>
      <c r="F425" s="88"/>
      <c r="G425" s="85"/>
      <c r="H425" s="85"/>
      <c r="I425" s="85"/>
      <c r="J425" s="85"/>
      <c r="K425" s="88"/>
      <c r="L425" s="88"/>
      <c r="M425" s="85"/>
      <c r="N425" s="85"/>
      <c r="O425" s="73"/>
    </row>
    <row r="426" customFormat="false" ht="15" hidden="false" customHeight="false" outlineLevel="0" collapsed="false">
      <c r="A426" s="87"/>
      <c r="B426" s="73"/>
      <c r="C426" s="74" t="str">
        <f aca="false">IF(B426="","",IFERROR(INDEX(الموظفون!$C$6:$C$105,MATCH(B426,الموظفون!$B$6:$B$105,0)),"✖ رقم غير موجود"))</f>
        <v/>
      </c>
      <c r="D426" s="88"/>
      <c r="E426" s="88"/>
      <c r="F426" s="88"/>
      <c r="G426" s="85"/>
      <c r="H426" s="85"/>
      <c r="I426" s="85"/>
      <c r="J426" s="85"/>
      <c r="K426" s="88"/>
      <c r="L426" s="88"/>
      <c r="M426" s="85"/>
      <c r="N426" s="85"/>
      <c r="O426" s="73"/>
    </row>
    <row r="427" customFormat="false" ht="15" hidden="false" customHeight="false" outlineLevel="0" collapsed="false">
      <c r="A427" s="87"/>
      <c r="B427" s="73"/>
      <c r="C427" s="91" t="str">
        <f aca="false">IF(B427="","",IFERROR(INDEX(الموظفون!$C$6:$C$105,MATCH(B427,الموظفون!$B$6:$B$105,0)),"✖ رقم غير موجود"))</f>
        <v/>
      </c>
      <c r="D427" s="88"/>
      <c r="E427" s="88"/>
      <c r="F427" s="88"/>
      <c r="G427" s="85"/>
      <c r="H427" s="85"/>
      <c r="I427" s="85"/>
      <c r="J427" s="85"/>
      <c r="K427" s="88"/>
      <c r="L427" s="88"/>
      <c r="M427" s="85"/>
      <c r="N427" s="85"/>
      <c r="O427" s="73"/>
    </row>
    <row r="428" customFormat="false" ht="15" hidden="false" customHeight="false" outlineLevel="0" collapsed="false">
      <c r="A428" s="87"/>
      <c r="B428" s="73"/>
      <c r="C428" s="74" t="str">
        <f aca="false">IF(B428="","",IFERROR(INDEX(الموظفون!$C$6:$C$105,MATCH(B428,الموظفون!$B$6:$B$105,0)),"✖ رقم غير موجود"))</f>
        <v/>
      </c>
      <c r="D428" s="88"/>
      <c r="E428" s="88"/>
      <c r="F428" s="88"/>
      <c r="G428" s="85"/>
      <c r="H428" s="85"/>
      <c r="I428" s="85"/>
      <c r="J428" s="85"/>
      <c r="K428" s="88"/>
      <c r="L428" s="88"/>
      <c r="M428" s="85"/>
      <c r="N428" s="85"/>
      <c r="O428" s="73"/>
    </row>
    <row r="429" customFormat="false" ht="15" hidden="false" customHeight="false" outlineLevel="0" collapsed="false">
      <c r="A429" s="87"/>
      <c r="B429" s="73"/>
      <c r="C429" s="91" t="str">
        <f aca="false">IF(B429="","",IFERROR(INDEX(الموظفون!$C$6:$C$105,MATCH(B429,الموظفون!$B$6:$B$105,0)),"✖ رقم غير موجود"))</f>
        <v/>
      </c>
      <c r="D429" s="88"/>
      <c r="E429" s="88"/>
      <c r="F429" s="88"/>
      <c r="G429" s="85"/>
      <c r="H429" s="85"/>
      <c r="I429" s="85"/>
      <c r="J429" s="85"/>
      <c r="K429" s="88"/>
      <c r="L429" s="88"/>
      <c r="M429" s="85"/>
      <c r="N429" s="85"/>
      <c r="O429" s="73"/>
    </row>
    <row r="430" customFormat="false" ht="15" hidden="false" customHeight="false" outlineLevel="0" collapsed="false">
      <c r="A430" s="87"/>
      <c r="B430" s="73"/>
      <c r="C430" s="74" t="str">
        <f aca="false">IF(B430="","",IFERROR(INDEX(الموظفون!$C$6:$C$105,MATCH(B430,الموظفون!$B$6:$B$105,0)),"✖ رقم غير موجود"))</f>
        <v/>
      </c>
      <c r="D430" s="88"/>
      <c r="E430" s="88"/>
      <c r="F430" s="88"/>
      <c r="G430" s="85"/>
      <c r="H430" s="85"/>
      <c r="I430" s="85"/>
      <c r="J430" s="85"/>
      <c r="K430" s="88"/>
      <c r="L430" s="88"/>
      <c r="M430" s="85"/>
      <c r="N430" s="85"/>
      <c r="O430" s="73"/>
    </row>
    <row r="431" customFormat="false" ht="15" hidden="false" customHeight="false" outlineLevel="0" collapsed="false">
      <c r="A431" s="87"/>
      <c r="B431" s="73"/>
      <c r="C431" s="91" t="str">
        <f aca="false">IF(B431="","",IFERROR(INDEX(الموظفون!$C$6:$C$105,MATCH(B431,الموظفون!$B$6:$B$105,0)),"✖ رقم غير موجود"))</f>
        <v/>
      </c>
      <c r="D431" s="88"/>
      <c r="E431" s="88"/>
      <c r="F431" s="88"/>
      <c r="G431" s="85"/>
      <c r="H431" s="85"/>
      <c r="I431" s="85"/>
      <c r="J431" s="85"/>
      <c r="K431" s="88"/>
      <c r="L431" s="88"/>
      <c r="M431" s="85"/>
      <c r="N431" s="85"/>
      <c r="O431" s="73"/>
    </row>
    <row r="432" customFormat="false" ht="15" hidden="false" customHeight="false" outlineLevel="0" collapsed="false">
      <c r="A432" s="87"/>
      <c r="B432" s="73"/>
      <c r="C432" s="74" t="str">
        <f aca="false">IF(B432="","",IFERROR(INDEX(الموظفون!$C$6:$C$105,MATCH(B432,الموظفون!$B$6:$B$105,0)),"✖ رقم غير موجود"))</f>
        <v/>
      </c>
      <c r="D432" s="88"/>
      <c r="E432" s="88"/>
      <c r="F432" s="88"/>
      <c r="G432" s="85"/>
      <c r="H432" s="85"/>
      <c r="I432" s="85"/>
      <c r="J432" s="85"/>
      <c r="K432" s="88"/>
      <c r="L432" s="88"/>
      <c r="M432" s="85"/>
      <c r="N432" s="85"/>
      <c r="O432" s="73"/>
    </row>
    <row r="433" customFormat="false" ht="15" hidden="false" customHeight="false" outlineLevel="0" collapsed="false">
      <c r="A433" s="87"/>
      <c r="B433" s="73"/>
      <c r="C433" s="91" t="str">
        <f aca="false">IF(B433="","",IFERROR(INDEX(الموظفون!$C$6:$C$105,MATCH(B433,الموظفون!$B$6:$B$105,0)),"✖ رقم غير موجود"))</f>
        <v/>
      </c>
      <c r="D433" s="88"/>
      <c r="E433" s="88"/>
      <c r="F433" s="88"/>
      <c r="G433" s="85"/>
      <c r="H433" s="85"/>
      <c r="I433" s="85"/>
      <c r="J433" s="85"/>
      <c r="K433" s="88"/>
      <c r="L433" s="88"/>
      <c r="M433" s="85"/>
      <c r="N433" s="85"/>
      <c r="O433" s="73"/>
    </row>
    <row r="434" customFormat="false" ht="15" hidden="false" customHeight="false" outlineLevel="0" collapsed="false">
      <c r="A434" s="87"/>
      <c r="B434" s="73"/>
      <c r="C434" s="74" t="str">
        <f aca="false">IF(B434="","",IFERROR(INDEX(الموظفون!$C$6:$C$105,MATCH(B434,الموظفون!$B$6:$B$105,0)),"✖ رقم غير موجود"))</f>
        <v/>
      </c>
      <c r="D434" s="88"/>
      <c r="E434" s="88"/>
      <c r="F434" s="88"/>
      <c r="G434" s="85"/>
      <c r="H434" s="85"/>
      <c r="I434" s="85"/>
      <c r="J434" s="85"/>
      <c r="K434" s="88"/>
      <c r="L434" s="88"/>
      <c r="M434" s="85"/>
      <c r="N434" s="85"/>
      <c r="O434" s="73"/>
    </row>
    <row r="435" customFormat="false" ht="15" hidden="false" customHeight="false" outlineLevel="0" collapsed="false">
      <c r="A435" s="87"/>
      <c r="B435" s="73"/>
      <c r="C435" s="91" t="str">
        <f aca="false">IF(B435="","",IFERROR(INDEX(الموظفون!$C$6:$C$105,MATCH(B435,الموظفون!$B$6:$B$105,0)),"✖ رقم غير موجود"))</f>
        <v/>
      </c>
      <c r="D435" s="88"/>
      <c r="E435" s="88"/>
      <c r="F435" s="88"/>
      <c r="G435" s="85"/>
      <c r="H435" s="85"/>
      <c r="I435" s="85"/>
      <c r="J435" s="85"/>
      <c r="K435" s="88"/>
      <c r="L435" s="88"/>
      <c r="M435" s="85"/>
      <c r="N435" s="85"/>
      <c r="O435" s="73"/>
    </row>
    <row r="436" customFormat="false" ht="15" hidden="false" customHeight="false" outlineLevel="0" collapsed="false">
      <c r="A436" s="87"/>
      <c r="B436" s="73"/>
      <c r="C436" s="74" t="str">
        <f aca="false">IF(B436="","",IFERROR(INDEX(الموظفون!$C$6:$C$105,MATCH(B436,الموظفون!$B$6:$B$105,0)),"✖ رقم غير موجود"))</f>
        <v/>
      </c>
      <c r="D436" s="88"/>
      <c r="E436" s="88"/>
      <c r="F436" s="88"/>
      <c r="G436" s="85"/>
      <c r="H436" s="85"/>
      <c r="I436" s="85"/>
      <c r="J436" s="85"/>
      <c r="K436" s="88"/>
      <c r="L436" s="88"/>
      <c r="M436" s="85"/>
      <c r="N436" s="85"/>
      <c r="O436" s="73"/>
    </row>
    <row r="437" customFormat="false" ht="15" hidden="false" customHeight="false" outlineLevel="0" collapsed="false">
      <c r="A437" s="87"/>
      <c r="B437" s="73"/>
      <c r="C437" s="91" t="str">
        <f aca="false">IF(B437="","",IFERROR(INDEX(الموظفون!$C$6:$C$105,MATCH(B437,الموظفون!$B$6:$B$105,0)),"✖ رقم غير موجود"))</f>
        <v/>
      </c>
      <c r="D437" s="88"/>
      <c r="E437" s="88"/>
      <c r="F437" s="88"/>
      <c r="G437" s="85"/>
      <c r="H437" s="85"/>
      <c r="I437" s="85"/>
      <c r="J437" s="85"/>
      <c r="K437" s="88"/>
      <c r="L437" s="88"/>
      <c r="M437" s="85"/>
      <c r="N437" s="85"/>
      <c r="O437" s="73"/>
    </row>
    <row r="438" customFormat="false" ht="15" hidden="false" customHeight="false" outlineLevel="0" collapsed="false">
      <c r="A438" s="87"/>
      <c r="B438" s="73"/>
      <c r="C438" s="74" t="str">
        <f aca="false">IF(B438="","",IFERROR(INDEX(الموظفون!$C$6:$C$105,MATCH(B438,الموظفون!$B$6:$B$105,0)),"✖ رقم غير موجود"))</f>
        <v/>
      </c>
      <c r="D438" s="88"/>
      <c r="E438" s="88"/>
      <c r="F438" s="88"/>
      <c r="G438" s="85"/>
      <c r="H438" s="85"/>
      <c r="I438" s="85"/>
      <c r="J438" s="85"/>
      <c r="K438" s="88"/>
      <c r="L438" s="88"/>
      <c r="M438" s="85"/>
      <c r="N438" s="85"/>
      <c r="O438" s="73"/>
    </row>
    <row r="439" customFormat="false" ht="15" hidden="false" customHeight="false" outlineLevel="0" collapsed="false">
      <c r="A439" s="87"/>
      <c r="B439" s="73"/>
      <c r="C439" s="91" t="str">
        <f aca="false">IF(B439="","",IFERROR(INDEX(الموظفون!$C$6:$C$105,MATCH(B439,الموظفون!$B$6:$B$105,0)),"✖ رقم غير موجود"))</f>
        <v/>
      </c>
      <c r="D439" s="88"/>
      <c r="E439" s="88"/>
      <c r="F439" s="88"/>
      <c r="G439" s="85"/>
      <c r="H439" s="85"/>
      <c r="I439" s="85"/>
      <c r="J439" s="85"/>
      <c r="K439" s="88"/>
      <c r="L439" s="88"/>
      <c r="M439" s="85"/>
      <c r="N439" s="85"/>
      <c r="O439" s="73"/>
    </row>
    <row r="440" customFormat="false" ht="15" hidden="false" customHeight="false" outlineLevel="0" collapsed="false">
      <c r="A440" s="87"/>
      <c r="B440" s="73"/>
      <c r="C440" s="74" t="str">
        <f aca="false">IF(B440="","",IFERROR(INDEX(الموظفون!$C$6:$C$105,MATCH(B440,الموظفون!$B$6:$B$105,0)),"✖ رقم غير موجود"))</f>
        <v/>
      </c>
      <c r="D440" s="88"/>
      <c r="E440" s="88"/>
      <c r="F440" s="88"/>
      <c r="G440" s="85"/>
      <c r="H440" s="85"/>
      <c r="I440" s="85"/>
      <c r="J440" s="85"/>
      <c r="K440" s="88"/>
      <c r="L440" s="88"/>
      <c r="M440" s="85"/>
      <c r="N440" s="85"/>
      <c r="O440" s="73"/>
    </row>
    <row r="441" customFormat="false" ht="15" hidden="false" customHeight="false" outlineLevel="0" collapsed="false">
      <c r="A441" s="87"/>
      <c r="B441" s="73"/>
      <c r="C441" s="91" t="str">
        <f aca="false">IF(B441="","",IFERROR(INDEX(الموظفون!$C$6:$C$105,MATCH(B441,الموظفون!$B$6:$B$105,0)),"✖ رقم غير موجود"))</f>
        <v/>
      </c>
      <c r="D441" s="88"/>
      <c r="E441" s="88"/>
      <c r="F441" s="88"/>
      <c r="G441" s="85"/>
      <c r="H441" s="85"/>
      <c r="I441" s="85"/>
      <c r="J441" s="85"/>
      <c r="K441" s="88"/>
      <c r="L441" s="88"/>
      <c r="M441" s="85"/>
      <c r="N441" s="85"/>
      <c r="O441" s="73"/>
    </row>
    <row r="442" customFormat="false" ht="15" hidden="false" customHeight="false" outlineLevel="0" collapsed="false">
      <c r="A442" s="87"/>
      <c r="B442" s="73"/>
      <c r="C442" s="74" t="str">
        <f aca="false">IF(B442="","",IFERROR(INDEX(الموظفون!$C$6:$C$105,MATCH(B442,الموظفون!$B$6:$B$105,0)),"✖ رقم غير موجود"))</f>
        <v/>
      </c>
      <c r="D442" s="88"/>
      <c r="E442" s="88"/>
      <c r="F442" s="88"/>
      <c r="G442" s="85"/>
      <c r="H442" s="85"/>
      <c r="I442" s="85"/>
      <c r="J442" s="85"/>
      <c r="K442" s="88"/>
      <c r="L442" s="88"/>
      <c r="M442" s="85"/>
      <c r="N442" s="85"/>
      <c r="O442" s="73"/>
    </row>
    <row r="443" customFormat="false" ht="15" hidden="false" customHeight="false" outlineLevel="0" collapsed="false">
      <c r="A443" s="87"/>
      <c r="B443" s="73"/>
      <c r="C443" s="91" t="str">
        <f aca="false">IF(B443="","",IFERROR(INDEX(الموظفون!$C$6:$C$105,MATCH(B443,الموظفون!$B$6:$B$105,0)),"✖ رقم غير موجود"))</f>
        <v/>
      </c>
      <c r="D443" s="88"/>
      <c r="E443" s="88"/>
      <c r="F443" s="88"/>
      <c r="G443" s="85"/>
      <c r="H443" s="85"/>
      <c r="I443" s="85"/>
      <c r="J443" s="85"/>
      <c r="K443" s="88"/>
      <c r="L443" s="88"/>
      <c r="M443" s="85"/>
      <c r="N443" s="85"/>
      <c r="O443" s="73"/>
    </row>
    <row r="444" customFormat="false" ht="15" hidden="false" customHeight="false" outlineLevel="0" collapsed="false">
      <c r="A444" s="87"/>
      <c r="B444" s="73"/>
      <c r="C444" s="74" t="str">
        <f aca="false">IF(B444="","",IFERROR(INDEX(الموظفون!$C$6:$C$105,MATCH(B444,الموظفون!$B$6:$B$105,0)),"✖ رقم غير موجود"))</f>
        <v/>
      </c>
      <c r="D444" s="88"/>
      <c r="E444" s="88"/>
      <c r="F444" s="88"/>
      <c r="G444" s="85"/>
      <c r="H444" s="85"/>
      <c r="I444" s="85"/>
      <c r="J444" s="85"/>
      <c r="K444" s="88"/>
      <c r="L444" s="88"/>
      <c r="M444" s="85"/>
      <c r="N444" s="85"/>
      <c r="O444" s="73"/>
    </row>
    <row r="445" customFormat="false" ht="15" hidden="false" customHeight="false" outlineLevel="0" collapsed="false">
      <c r="A445" s="87"/>
      <c r="B445" s="73"/>
      <c r="C445" s="91" t="str">
        <f aca="false">IF(B445="","",IFERROR(INDEX(الموظفون!$C$6:$C$105,MATCH(B445,الموظفون!$B$6:$B$105,0)),"✖ رقم غير موجود"))</f>
        <v/>
      </c>
      <c r="D445" s="88"/>
      <c r="E445" s="88"/>
      <c r="F445" s="88"/>
      <c r="G445" s="85"/>
      <c r="H445" s="85"/>
      <c r="I445" s="85"/>
      <c r="J445" s="85"/>
      <c r="K445" s="88"/>
      <c r="L445" s="88"/>
      <c r="M445" s="85"/>
      <c r="N445" s="85"/>
      <c r="O445" s="73"/>
    </row>
    <row r="446" customFormat="false" ht="15" hidden="false" customHeight="false" outlineLevel="0" collapsed="false">
      <c r="A446" s="87"/>
      <c r="B446" s="73"/>
      <c r="C446" s="74" t="str">
        <f aca="false">IF(B446="","",IFERROR(INDEX(الموظفون!$C$6:$C$105,MATCH(B446,الموظفون!$B$6:$B$105,0)),"✖ رقم غير موجود"))</f>
        <v/>
      </c>
      <c r="D446" s="88"/>
      <c r="E446" s="88"/>
      <c r="F446" s="88"/>
      <c r="G446" s="85"/>
      <c r="H446" s="85"/>
      <c r="I446" s="85"/>
      <c r="J446" s="85"/>
      <c r="K446" s="88"/>
      <c r="L446" s="88"/>
      <c r="M446" s="85"/>
      <c r="N446" s="85"/>
      <c r="O446" s="73"/>
    </row>
    <row r="447" customFormat="false" ht="15" hidden="false" customHeight="false" outlineLevel="0" collapsed="false">
      <c r="A447" s="87"/>
      <c r="B447" s="73"/>
      <c r="C447" s="91" t="str">
        <f aca="false">IF(B447="","",IFERROR(INDEX(الموظفون!$C$6:$C$105,MATCH(B447,الموظفون!$B$6:$B$105,0)),"✖ رقم غير موجود"))</f>
        <v/>
      </c>
      <c r="D447" s="88"/>
      <c r="E447" s="88"/>
      <c r="F447" s="88"/>
      <c r="G447" s="85"/>
      <c r="H447" s="85"/>
      <c r="I447" s="85"/>
      <c r="J447" s="85"/>
      <c r="K447" s="88"/>
      <c r="L447" s="88"/>
      <c r="M447" s="85"/>
      <c r="N447" s="85"/>
      <c r="O447" s="73"/>
    </row>
    <row r="448" customFormat="false" ht="15" hidden="false" customHeight="false" outlineLevel="0" collapsed="false">
      <c r="A448" s="87"/>
      <c r="B448" s="73"/>
      <c r="C448" s="74" t="str">
        <f aca="false">IF(B448="","",IFERROR(INDEX(الموظفون!$C$6:$C$105,MATCH(B448,الموظفون!$B$6:$B$105,0)),"✖ رقم غير موجود"))</f>
        <v/>
      </c>
      <c r="D448" s="88"/>
      <c r="E448" s="88"/>
      <c r="F448" s="88"/>
      <c r="G448" s="85"/>
      <c r="H448" s="85"/>
      <c r="I448" s="85"/>
      <c r="J448" s="85"/>
      <c r="K448" s="88"/>
      <c r="L448" s="88"/>
      <c r="M448" s="85"/>
      <c r="N448" s="85"/>
      <c r="O448" s="73"/>
    </row>
    <row r="449" customFormat="false" ht="15" hidden="false" customHeight="false" outlineLevel="0" collapsed="false">
      <c r="A449" s="87"/>
      <c r="B449" s="73"/>
      <c r="C449" s="91" t="str">
        <f aca="false">IF(B449="","",IFERROR(INDEX(الموظفون!$C$6:$C$105,MATCH(B449,الموظفون!$B$6:$B$105,0)),"✖ رقم غير موجود"))</f>
        <v/>
      </c>
      <c r="D449" s="88"/>
      <c r="E449" s="88"/>
      <c r="F449" s="88"/>
      <c r="G449" s="85"/>
      <c r="H449" s="85"/>
      <c r="I449" s="85"/>
      <c r="J449" s="85"/>
      <c r="K449" s="88"/>
      <c r="L449" s="88"/>
      <c r="M449" s="85"/>
      <c r="N449" s="85"/>
      <c r="O449" s="73"/>
    </row>
    <row r="450" customFormat="false" ht="15" hidden="false" customHeight="false" outlineLevel="0" collapsed="false">
      <c r="A450" s="87"/>
      <c r="B450" s="73"/>
      <c r="C450" s="74" t="str">
        <f aca="false">IF(B450="","",IFERROR(INDEX(الموظفون!$C$6:$C$105,MATCH(B450,الموظفون!$B$6:$B$105,0)),"✖ رقم غير موجود"))</f>
        <v/>
      </c>
      <c r="D450" s="88"/>
      <c r="E450" s="88"/>
      <c r="F450" s="88"/>
      <c r="G450" s="85"/>
      <c r="H450" s="85"/>
      <c r="I450" s="85"/>
      <c r="J450" s="85"/>
      <c r="K450" s="88"/>
      <c r="L450" s="88"/>
      <c r="M450" s="85"/>
      <c r="N450" s="85"/>
      <c r="O450" s="73"/>
    </row>
    <row r="451" customFormat="false" ht="15" hidden="false" customHeight="false" outlineLevel="0" collapsed="false">
      <c r="A451" s="87"/>
      <c r="B451" s="73"/>
      <c r="C451" s="91" t="str">
        <f aca="false">IF(B451="","",IFERROR(INDEX(الموظفون!$C$6:$C$105,MATCH(B451,الموظفون!$B$6:$B$105,0)),"✖ رقم غير موجود"))</f>
        <v/>
      </c>
      <c r="D451" s="88"/>
      <c r="E451" s="88"/>
      <c r="F451" s="88"/>
      <c r="G451" s="85"/>
      <c r="H451" s="85"/>
      <c r="I451" s="85"/>
      <c r="J451" s="85"/>
      <c r="K451" s="88"/>
      <c r="L451" s="88"/>
      <c r="M451" s="85"/>
      <c r="N451" s="85"/>
      <c r="O451" s="73"/>
    </row>
    <row r="452" customFormat="false" ht="15" hidden="false" customHeight="false" outlineLevel="0" collapsed="false">
      <c r="A452" s="87"/>
      <c r="B452" s="73"/>
      <c r="C452" s="74" t="str">
        <f aca="false">IF(B452="","",IFERROR(INDEX(الموظفون!$C$6:$C$105,MATCH(B452,الموظفون!$B$6:$B$105,0)),"✖ رقم غير موجود"))</f>
        <v/>
      </c>
      <c r="D452" s="88"/>
      <c r="E452" s="88"/>
      <c r="F452" s="88"/>
      <c r="G452" s="85"/>
      <c r="H452" s="85"/>
      <c r="I452" s="85"/>
      <c r="J452" s="85"/>
      <c r="K452" s="88"/>
      <c r="L452" s="88"/>
      <c r="M452" s="85"/>
      <c r="N452" s="85"/>
      <c r="O452" s="73"/>
    </row>
    <row r="453" customFormat="false" ht="15" hidden="false" customHeight="false" outlineLevel="0" collapsed="false">
      <c r="A453" s="87"/>
      <c r="B453" s="73"/>
      <c r="C453" s="91" t="str">
        <f aca="false">IF(B453="","",IFERROR(INDEX(الموظفون!$C$6:$C$105,MATCH(B453,الموظفون!$B$6:$B$105,0)),"✖ رقم غير موجود"))</f>
        <v/>
      </c>
      <c r="D453" s="88"/>
      <c r="E453" s="88"/>
      <c r="F453" s="88"/>
      <c r="G453" s="85"/>
      <c r="H453" s="85"/>
      <c r="I453" s="85"/>
      <c r="J453" s="85"/>
      <c r="K453" s="88"/>
      <c r="L453" s="88"/>
      <c r="M453" s="85"/>
      <c r="N453" s="85"/>
      <c r="O453" s="73"/>
    </row>
    <row r="454" customFormat="false" ht="15" hidden="false" customHeight="false" outlineLevel="0" collapsed="false">
      <c r="A454" s="87"/>
      <c r="B454" s="73"/>
      <c r="C454" s="74" t="str">
        <f aca="false">IF(B454="","",IFERROR(INDEX(الموظفون!$C$6:$C$105,MATCH(B454,الموظفون!$B$6:$B$105,0)),"✖ رقم غير موجود"))</f>
        <v/>
      </c>
      <c r="D454" s="88"/>
      <c r="E454" s="88"/>
      <c r="F454" s="88"/>
      <c r="G454" s="85"/>
      <c r="H454" s="85"/>
      <c r="I454" s="85"/>
      <c r="J454" s="85"/>
      <c r="K454" s="88"/>
      <c r="L454" s="88"/>
      <c r="M454" s="85"/>
      <c r="N454" s="85"/>
      <c r="O454" s="73"/>
    </row>
    <row r="455" customFormat="false" ht="15" hidden="false" customHeight="false" outlineLevel="0" collapsed="false">
      <c r="A455" s="87"/>
      <c r="B455" s="73"/>
      <c r="C455" s="91" t="str">
        <f aca="false">IF(B455="","",IFERROR(INDEX(الموظفون!$C$6:$C$105,MATCH(B455,الموظفون!$B$6:$B$105,0)),"✖ رقم غير موجود"))</f>
        <v/>
      </c>
      <c r="D455" s="88"/>
      <c r="E455" s="88"/>
      <c r="F455" s="88"/>
      <c r="G455" s="85"/>
      <c r="H455" s="85"/>
      <c r="I455" s="85"/>
      <c r="J455" s="85"/>
      <c r="K455" s="88"/>
      <c r="L455" s="88"/>
      <c r="M455" s="85"/>
      <c r="N455" s="85"/>
      <c r="O455" s="73"/>
    </row>
    <row r="456" customFormat="false" ht="15" hidden="false" customHeight="false" outlineLevel="0" collapsed="false">
      <c r="A456" s="87"/>
      <c r="B456" s="73"/>
      <c r="C456" s="74" t="str">
        <f aca="false">IF(B456="","",IFERROR(INDEX(الموظفون!$C$6:$C$105,MATCH(B456,الموظفون!$B$6:$B$105,0)),"✖ رقم غير موجود"))</f>
        <v/>
      </c>
      <c r="D456" s="88"/>
      <c r="E456" s="88"/>
      <c r="F456" s="88"/>
      <c r="G456" s="85"/>
      <c r="H456" s="85"/>
      <c r="I456" s="85"/>
      <c r="J456" s="85"/>
      <c r="K456" s="88"/>
      <c r="L456" s="88"/>
      <c r="M456" s="85"/>
      <c r="N456" s="85"/>
      <c r="O456" s="73"/>
    </row>
    <row r="457" customFormat="false" ht="15" hidden="false" customHeight="false" outlineLevel="0" collapsed="false">
      <c r="A457" s="87"/>
      <c r="B457" s="73"/>
      <c r="C457" s="91" t="str">
        <f aca="false">IF(B457="","",IFERROR(INDEX(الموظفون!$C$6:$C$105,MATCH(B457,الموظفون!$B$6:$B$105,0)),"✖ رقم غير موجود"))</f>
        <v/>
      </c>
      <c r="D457" s="88"/>
      <c r="E457" s="88"/>
      <c r="F457" s="88"/>
      <c r="G457" s="85"/>
      <c r="H457" s="85"/>
      <c r="I457" s="85"/>
      <c r="J457" s="85"/>
      <c r="K457" s="88"/>
      <c r="L457" s="88"/>
      <c r="M457" s="85"/>
      <c r="N457" s="85"/>
      <c r="O457" s="73"/>
    </row>
    <row r="458" customFormat="false" ht="15" hidden="false" customHeight="false" outlineLevel="0" collapsed="false">
      <c r="A458" s="87"/>
      <c r="B458" s="73"/>
      <c r="C458" s="74" t="str">
        <f aca="false">IF(B458="","",IFERROR(INDEX(الموظفون!$C$6:$C$105,MATCH(B458,الموظفون!$B$6:$B$105,0)),"✖ رقم غير موجود"))</f>
        <v/>
      </c>
      <c r="D458" s="88"/>
      <c r="E458" s="88"/>
      <c r="F458" s="88"/>
      <c r="G458" s="85"/>
      <c r="H458" s="85"/>
      <c r="I458" s="85"/>
      <c r="J458" s="85"/>
      <c r="K458" s="88"/>
      <c r="L458" s="88"/>
      <c r="M458" s="85"/>
      <c r="N458" s="85"/>
      <c r="O458" s="73"/>
    </row>
    <row r="459" customFormat="false" ht="15" hidden="false" customHeight="false" outlineLevel="0" collapsed="false">
      <c r="A459" s="87"/>
      <c r="B459" s="73"/>
      <c r="C459" s="91" t="str">
        <f aca="false">IF(B459="","",IFERROR(INDEX(الموظفون!$C$6:$C$105,MATCH(B459,الموظفون!$B$6:$B$105,0)),"✖ رقم غير موجود"))</f>
        <v/>
      </c>
      <c r="D459" s="88"/>
      <c r="E459" s="88"/>
      <c r="F459" s="88"/>
      <c r="G459" s="85"/>
      <c r="H459" s="85"/>
      <c r="I459" s="85"/>
      <c r="J459" s="85"/>
      <c r="K459" s="88"/>
      <c r="L459" s="88"/>
      <c r="M459" s="85"/>
      <c r="N459" s="85"/>
      <c r="O459" s="73"/>
    </row>
    <row r="460" customFormat="false" ht="15" hidden="false" customHeight="false" outlineLevel="0" collapsed="false">
      <c r="A460" s="87"/>
      <c r="B460" s="73"/>
      <c r="C460" s="74" t="str">
        <f aca="false">IF(B460="","",IFERROR(INDEX(الموظفون!$C$6:$C$105,MATCH(B460,الموظفون!$B$6:$B$105,0)),"✖ رقم غير موجود"))</f>
        <v/>
      </c>
      <c r="D460" s="88"/>
      <c r="E460" s="88"/>
      <c r="F460" s="88"/>
      <c r="G460" s="85"/>
      <c r="H460" s="85"/>
      <c r="I460" s="85"/>
      <c r="J460" s="85"/>
      <c r="K460" s="88"/>
      <c r="L460" s="88"/>
      <c r="M460" s="85"/>
      <c r="N460" s="85"/>
      <c r="O460" s="73"/>
    </row>
    <row r="461" customFormat="false" ht="15" hidden="false" customHeight="false" outlineLevel="0" collapsed="false">
      <c r="A461" s="87"/>
      <c r="B461" s="73"/>
      <c r="C461" s="91" t="str">
        <f aca="false">IF(B461="","",IFERROR(INDEX(الموظفون!$C$6:$C$105,MATCH(B461,الموظفون!$B$6:$B$105,0)),"✖ رقم غير موجود"))</f>
        <v/>
      </c>
      <c r="D461" s="88"/>
      <c r="E461" s="88"/>
      <c r="F461" s="88"/>
      <c r="G461" s="85"/>
      <c r="H461" s="85"/>
      <c r="I461" s="85"/>
      <c r="J461" s="85"/>
      <c r="K461" s="88"/>
      <c r="L461" s="88"/>
      <c r="M461" s="85"/>
      <c r="N461" s="85"/>
      <c r="O461" s="73"/>
    </row>
    <row r="462" customFormat="false" ht="15" hidden="false" customHeight="false" outlineLevel="0" collapsed="false">
      <c r="A462" s="87"/>
      <c r="B462" s="73"/>
      <c r="C462" s="74" t="str">
        <f aca="false">IF(B462="","",IFERROR(INDEX(الموظفون!$C$6:$C$105,MATCH(B462,الموظفون!$B$6:$B$105,0)),"✖ رقم غير موجود"))</f>
        <v/>
      </c>
      <c r="D462" s="88"/>
      <c r="E462" s="88"/>
      <c r="F462" s="88"/>
      <c r="G462" s="85"/>
      <c r="H462" s="85"/>
      <c r="I462" s="85"/>
      <c r="J462" s="85"/>
      <c r="K462" s="88"/>
      <c r="L462" s="88"/>
      <c r="M462" s="85"/>
      <c r="N462" s="85"/>
      <c r="O462" s="73"/>
    </row>
    <row r="463" customFormat="false" ht="15" hidden="false" customHeight="false" outlineLevel="0" collapsed="false">
      <c r="A463" s="87"/>
      <c r="B463" s="73"/>
      <c r="C463" s="91" t="str">
        <f aca="false">IF(B463="","",IFERROR(INDEX(الموظفون!$C$6:$C$105,MATCH(B463,الموظفون!$B$6:$B$105,0)),"✖ رقم غير موجود"))</f>
        <v/>
      </c>
      <c r="D463" s="88"/>
      <c r="E463" s="88"/>
      <c r="F463" s="88"/>
      <c r="G463" s="85"/>
      <c r="H463" s="85"/>
      <c r="I463" s="85"/>
      <c r="J463" s="85"/>
      <c r="K463" s="88"/>
      <c r="L463" s="88"/>
      <c r="M463" s="85"/>
      <c r="N463" s="85"/>
      <c r="O463" s="73"/>
    </row>
    <row r="464" customFormat="false" ht="15" hidden="false" customHeight="false" outlineLevel="0" collapsed="false">
      <c r="A464" s="87"/>
      <c r="B464" s="73"/>
      <c r="C464" s="74" t="str">
        <f aca="false">IF(B464="","",IFERROR(INDEX(الموظفون!$C$6:$C$105,MATCH(B464,الموظفون!$B$6:$B$105,0)),"✖ رقم غير موجود"))</f>
        <v/>
      </c>
      <c r="D464" s="88"/>
      <c r="E464" s="88"/>
      <c r="F464" s="88"/>
      <c r="G464" s="85"/>
      <c r="H464" s="85"/>
      <c r="I464" s="85"/>
      <c r="J464" s="85"/>
      <c r="K464" s="88"/>
      <c r="L464" s="88"/>
      <c r="M464" s="85"/>
      <c r="N464" s="85"/>
      <c r="O464" s="73"/>
    </row>
    <row r="465" customFormat="false" ht="15" hidden="false" customHeight="false" outlineLevel="0" collapsed="false">
      <c r="A465" s="87"/>
      <c r="B465" s="73"/>
      <c r="C465" s="91" t="str">
        <f aca="false">IF(B465="","",IFERROR(INDEX(الموظفون!$C$6:$C$105,MATCH(B465,الموظفون!$B$6:$B$105,0)),"✖ رقم غير موجود"))</f>
        <v/>
      </c>
      <c r="D465" s="88"/>
      <c r="E465" s="88"/>
      <c r="F465" s="88"/>
      <c r="G465" s="85"/>
      <c r="H465" s="85"/>
      <c r="I465" s="85"/>
      <c r="J465" s="85"/>
      <c r="K465" s="88"/>
      <c r="L465" s="88"/>
      <c r="M465" s="85"/>
      <c r="N465" s="85"/>
      <c r="O465" s="73"/>
    </row>
    <row r="466" customFormat="false" ht="15" hidden="false" customHeight="false" outlineLevel="0" collapsed="false">
      <c r="A466" s="87"/>
      <c r="B466" s="73"/>
      <c r="C466" s="74" t="str">
        <f aca="false">IF(B466="","",IFERROR(INDEX(الموظفون!$C$6:$C$105,MATCH(B466,الموظفون!$B$6:$B$105,0)),"✖ رقم غير موجود"))</f>
        <v/>
      </c>
      <c r="D466" s="88"/>
      <c r="E466" s="88"/>
      <c r="F466" s="88"/>
      <c r="G466" s="85"/>
      <c r="H466" s="85"/>
      <c r="I466" s="85"/>
      <c r="J466" s="85"/>
      <c r="K466" s="88"/>
      <c r="L466" s="88"/>
      <c r="M466" s="85"/>
      <c r="N466" s="85"/>
      <c r="O466" s="73"/>
    </row>
    <row r="467" customFormat="false" ht="15" hidden="false" customHeight="false" outlineLevel="0" collapsed="false">
      <c r="A467" s="87"/>
      <c r="B467" s="73"/>
      <c r="C467" s="91" t="str">
        <f aca="false">IF(B467="","",IFERROR(INDEX(الموظفون!$C$6:$C$105,MATCH(B467,الموظفون!$B$6:$B$105,0)),"✖ رقم غير موجود"))</f>
        <v/>
      </c>
      <c r="D467" s="88"/>
      <c r="E467" s="88"/>
      <c r="F467" s="88"/>
      <c r="G467" s="85"/>
      <c r="H467" s="85"/>
      <c r="I467" s="85"/>
      <c r="J467" s="85"/>
      <c r="K467" s="88"/>
      <c r="L467" s="88"/>
      <c r="M467" s="85"/>
      <c r="N467" s="85"/>
      <c r="O467" s="73"/>
    </row>
    <row r="468" customFormat="false" ht="15" hidden="false" customHeight="false" outlineLevel="0" collapsed="false">
      <c r="A468" s="87"/>
      <c r="B468" s="73"/>
      <c r="C468" s="74" t="str">
        <f aca="false">IF(B468="","",IFERROR(INDEX(الموظفون!$C$6:$C$105,MATCH(B468,الموظفون!$B$6:$B$105,0)),"✖ رقم غير موجود"))</f>
        <v/>
      </c>
      <c r="D468" s="88"/>
      <c r="E468" s="88"/>
      <c r="F468" s="88"/>
      <c r="G468" s="85"/>
      <c r="H468" s="85"/>
      <c r="I468" s="85"/>
      <c r="J468" s="85"/>
      <c r="K468" s="88"/>
      <c r="L468" s="88"/>
      <c r="M468" s="85"/>
      <c r="N468" s="85"/>
      <c r="O468" s="73"/>
    </row>
    <row r="469" customFormat="false" ht="15" hidden="false" customHeight="false" outlineLevel="0" collapsed="false">
      <c r="A469" s="87"/>
      <c r="B469" s="73"/>
      <c r="C469" s="91" t="str">
        <f aca="false">IF(B469="","",IFERROR(INDEX(الموظفون!$C$6:$C$105,MATCH(B469,الموظفون!$B$6:$B$105,0)),"✖ رقم غير موجود"))</f>
        <v/>
      </c>
      <c r="D469" s="88"/>
      <c r="E469" s="88"/>
      <c r="F469" s="88"/>
      <c r="G469" s="85"/>
      <c r="H469" s="85"/>
      <c r="I469" s="85"/>
      <c r="J469" s="85"/>
      <c r="K469" s="88"/>
      <c r="L469" s="88"/>
      <c r="M469" s="85"/>
      <c r="N469" s="85"/>
      <c r="O469" s="73"/>
    </row>
    <row r="470" customFormat="false" ht="15" hidden="false" customHeight="false" outlineLevel="0" collapsed="false">
      <c r="A470" s="87"/>
      <c r="B470" s="73"/>
      <c r="C470" s="74" t="str">
        <f aca="false">IF(B470="","",IFERROR(INDEX(الموظفون!$C$6:$C$105,MATCH(B470,الموظفون!$B$6:$B$105,0)),"✖ رقم غير موجود"))</f>
        <v/>
      </c>
      <c r="D470" s="88"/>
      <c r="E470" s="88"/>
      <c r="F470" s="88"/>
      <c r="G470" s="85"/>
      <c r="H470" s="85"/>
      <c r="I470" s="85"/>
      <c r="J470" s="85"/>
      <c r="K470" s="88"/>
      <c r="L470" s="88"/>
      <c r="M470" s="85"/>
      <c r="N470" s="85"/>
      <c r="O470" s="73"/>
    </row>
    <row r="471" customFormat="false" ht="15" hidden="false" customHeight="false" outlineLevel="0" collapsed="false">
      <c r="A471" s="87"/>
      <c r="B471" s="73"/>
      <c r="C471" s="91" t="str">
        <f aca="false">IF(B471="","",IFERROR(INDEX(الموظفون!$C$6:$C$105,MATCH(B471,الموظفون!$B$6:$B$105,0)),"✖ رقم غير موجود"))</f>
        <v/>
      </c>
      <c r="D471" s="88"/>
      <c r="E471" s="88"/>
      <c r="F471" s="88"/>
      <c r="G471" s="85"/>
      <c r="H471" s="85"/>
      <c r="I471" s="85"/>
      <c r="J471" s="85"/>
      <c r="K471" s="88"/>
      <c r="L471" s="88"/>
      <c r="M471" s="85"/>
      <c r="N471" s="85"/>
      <c r="O471" s="73"/>
    </row>
    <row r="472" customFormat="false" ht="15" hidden="false" customHeight="false" outlineLevel="0" collapsed="false">
      <c r="A472" s="87"/>
      <c r="B472" s="73"/>
      <c r="C472" s="74" t="str">
        <f aca="false">IF(B472="","",IFERROR(INDEX(الموظفون!$C$6:$C$105,MATCH(B472,الموظفون!$B$6:$B$105,0)),"✖ رقم غير موجود"))</f>
        <v/>
      </c>
      <c r="D472" s="88"/>
      <c r="E472" s="88"/>
      <c r="F472" s="88"/>
      <c r="G472" s="85"/>
      <c r="H472" s="85"/>
      <c r="I472" s="85"/>
      <c r="J472" s="85"/>
      <c r="K472" s="88"/>
      <c r="L472" s="88"/>
      <c r="M472" s="85"/>
      <c r="N472" s="85"/>
      <c r="O472" s="73"/>
    </row>
    <row r="473" customFormat="false" ht="15" hidden="false" customHeight="false" outlineLevel="0" collapsed="false">
      <c r="A473" s="87"/>
      <c r="B473" s="73"/>
      <c r="C473" s="91" t="str">
        <f aca="false">IF(B473="","",IFERROR(INDEX(الموظفون!$C$6:$C$105,MATCH(B473,الموظفون!$B$6:$B$105,0)),"✖ رقم غير موجود"))</f>
        <v/>
      </c>
      <c r="D473" s="88"/>
      <c r="E473" s="88"/>
      <c r="F473" s="88"/>
      <c r="G473" s="85"/>
      <c r="H473" s="85"/>
      <c r="I473" s="85"/>
      <c r="J473" s="85"/>
      <c r="K473" s="88"/>
      <c r="L473" s="88"/>
      <c r="M473" s="85"/>
      <c r="N473" s="85"/>
      <c r="O473" s="73"/>
    </row>
    <row r="474" customFormat="false" ht="15" hidden="false" customHeight="false" outlineLevel="0" collapsed="false">
      <c r="A474" s="87"/>
      <c r="B474" s="73"/>
      <c r="C474" s="74" t="str">
        <f aca="false">IF(B474="","",IFERROR(INDEX(الموظفون!$C$6:$C$105,MATCH(B474,الموظفون!$B$6:$B$105,0)),"✖ رقم غير موجود"))</f>
        <v/>
      </c>
      <c r="D474" s="88"/>
      <c r="E474" s="88"/>
      <c r="F474" s="88"/>
      <c r="G474" s="85"/>
      <c r="H474" s="85"/>
      <c r="I474" s="85"/>
      <c r="J474" s="85"/>
      <c r="K474" s="88"/>
      <c r="L474" s="88"/>
      <c r="M474" s="85"/>
      <c r="N474" s="85"/>
      <c r="O474" s="73"/>
    </row>
    <row r="475" customFormat="false" ht="15" hidden="false" customHeight="false" outlineLevel="0" collapsed="false">
      <c r="A475" s="87"/>
      <c r="B475" s="73"/>
      <c r="C475" s="91" t="str">
        <f aca="false">IF(B475="","",IFERROR(INDEX(الموظفون!$C$6:$C$105,MATCH(B475,الموظفون!$B$6:$B$105,0)),"✖ رقم غير موجود"))</f>
        <v/>
      </c>
      <c r="D475" s="88"/>
      <c r="E475" s="88"/>
      <c r="F475" s="88"/>
      <c r="G475" s="85"/>
      <c r="H475" s="85"/>
      <c r="I475" s="85"/>
      <c r="J475" s="85"/>
      <c r="K475" s="88"/>
      <c r="L475" s="88"/>
      <c r="M475" s="85"/>
      <c r="N475" s="85"/>
      <c r="O475" s="73"/>
    </row>
    <row r="476" customFormat="false" ht="15" hidden="false" customHeight="false" outlineLevel="0" collapsed="false">
      <c r="A476" s="87"/>
      <c r="B476" s="73"/>
      <c r="C476" s="74" t="str">
        <f aca="false">IF(B476="","",IFERROR(INDEX(الموظفون!$C$6:$C$105,MATCH(B476,الموظفون!$B$6:$B$105,0)),"✖ رقم غير موجود"))</f>
        <v/>
      </c>
      <c r="D476" s="88"/>
      <c r="E476" s="88"/>
      <c r="F476" s="88"/>
      <c r="G476" s="85"/>
      <c r="H476" s="85"/>
      <c r="I476" s="85"/>
      <c r="J476" s="85"/>
      <c r="K476" s="88"/>
      <c r="L476" s="88"/>
      <c r="M476" s="85"/>
      <c r="N476" s="85"/>
      <c r="O476" s="73"/>
    </row>
    <row r="477" customFormat="false" ht="15" hidden="false" customHeight="false" outlineLevel="0" collapsed="false">
      <c r="A477" s="87"/>
      <c r="B477" s="73"/>
      <c r="C477" s="91" t="str">
        <f aca="false">IF(B477="","",IFERROR(INDEX(الموظفون!$C$6:$C$105,MATCH(B477,الموظفون!$B$6:$B$105,0)),"✖ رقم غير موجود"))</f>
        <v/>
      </c>
      <c r="D477" s="88"/>
      <c r="E477" s="88"/>
      <c r="F477" s="88"/>
      <c r="G477" s="85"/>
      <c r="H477" s="85"/>
      <c r="I477" s="85"/>
      <c r="J477" s="85"/>
      <c r="K477" s="88"/>
      <c r="L477" s="88"/>
      <c r="M477" s="85"/>
      <c r="N477" s="85"/>
      <c r="O477" s="73"/>
    </row>
    <row r="478" customFormat="false" ht="15" hidden="false" customHeight="false" outlineLevel="0" collapsed="false">
      <c r="A478" s="87"/>
      <c r="B478" s="73"/>
      <c r="C478" s="74" t="str">
        <f aca="false">IF(B478="","",IFERROR(INDEX(الموظفون!$C$6:$C$105,MATCH(B478,الموظفون!$B$6:$B$105,0)),"✖ رقم غير موجود"))</f>
        <v/>
      </c>
      <c r="D478" s="88"/>
      <c r="E478" s="88"/>
      <c r="F478" s="88"/>
      <c r="G478" s="85"/>
      <c r="H478" s="85"/>
      <c r="I478" s="85"/>
      <c r="J478" s="85"/>
      <c r="K478" s="88"/>
      <c r="L478" s="88"/>
      <c r="M478" s="85"/>
      <c r="N478" s="85"/>
      <c r="O478" s="73"/>
    </row>
    <row r="479" customFormat="false" ht="15" hidden="false" customHeight="false" outlineLevel="0" collapsed="false">
      <c r="A479" s="87"/>
      <c r="B479" s="73"/>
      <c r="C479" s="91" t="str">
        <f aca="false">IF(B479="","",IFERROR(INDEX(الموظفون!$C$6:$C$105,MATCH(B479,الموظفون!$B$6:$B$105,0)),"✖ رقم غير موجود"))</f>
        <v/>
      </c>
      <c r="D479" s="88"/>
      <c r="E479" s="88"/>
      <c r="F479" s="88"/>
      <c r="G479" s="85"/>
      <c r="H479" s="85"/>
      <c r="I479" s="85"/>
      <c r="J479" s="85"/>
      <c r="K479" s="88"/>
      <c r="L479" s="88"/>
      <c r="M479" s="85"/>
      <c r="N479" s="85"/>
      <c r="O479" s="73"/>
    </row>
    <row r="480" customFormat="false" ht="15" hidden="false" customHeight="false" outlineLevel="0" collapsed="false">
      <c r="A480" s="87"/>
      <c r="B480" s="73"/>
      <c r="C480" s="74" t="str">
        <f aca="false">IF(B480="","",IFERROR(INDEX(الموظفون!$C$6:$C$105,MATCH(B480,الموظفون!$B$6:$B$105,0)),"✖ رقم غير موجود"))</f>
        <v/>
      </c>
      <c r="D480" s="88"/>
      <c r="E480" s="88"/>
      <c r="F480" s="88"/>
      <c r="G480" s="85"/>
      <c r="H480" s="85"/>
      <c r="I480" s="85"/>
      <c r="J480" s="85"/>
      <c r="K480" s="88"/>
      <c r="L480" s="88"/>
      <c r="M480" s="85"/>
      <c r="N480" s="85"/>
      <c r="O480" s="73"/>
    </row>
    <row r="481" customFormat="false" ht="15" hidden="false" customHeight="false" outlineLevel="0" collapsed="false">
      <c r="A481" s="87"/>
      <c r="B481" s="73"/>
      <c r="C481" s="91" t="str">
        <f aca="false">IF(B481="","",IFERROR(INDEX(الموظفون!$C$6:$C$105,MATCH(B481,الموظفون!$B$6:$B$105,0)),"✖ رقم غير موجود"))</f>
        <v/>
      </c>
      <c r="D481" s="88"/>
      <c r="E481" s="88"/>
      <c r="F481" s="88"/>
      <c r="G481" s="85"/>
      <c r="H481" s="85"/>
      <c r="I481" s="85"/>
      <c r="J481" s="85"/>
      <c r="K481" s="88"/>
      <c r="L481" s="88"/>
      <c r="M481" s="85"/>
      <c r="N481" s="85"/>
      <c r="O481" s="73"/>
    </row>
    <row r="482" customFormat="false" ht="15" hidden="false" customHeight="false" outlineLevel="0" collapsed="false">
      <c r="A482" s="87"/>
      <c r="B482" s="73"/>
      <c r="C482" s="74" t="str">
        <f aca="false">IF(B482="","",IFERROR(INDEX(الموظفون!$C$6:$C$105,MATCH(B482,الموظفون!$B$6:$B$105,0)),"✖ رقم غير موجود"))</f>
        <v/>
      </c>
      <c r="D482" s="88"/>
      <c r="E482" s="88"/>
      <c r="F482" s="88"/>
      <c r="G482" s="85"/>
      <c r="H482" s="85"/>
      <c r="I482" s="85"/>
      <c r="J482" s="85"/>
      <c r="K482" s="88"/>
      <c r="L482" s="88"/>
      <c r="M482" s="85"/>
      <c r="N482" s="85"/>
      <c r="O482" s="73"/>
    </row>
    <row r="483" customFormat="false" ht="15" hidden="false" customHeight="false" outlineLevel="0" collapsed="false">
      <c r="A483" s="87"/>
      <c r="B483" s="73"/>
      <c r="C483" s="91" t="str">
        <f aca="false">IF(B483="","",IFERROR(INDEX(الموظفون!$C$6:$C$105,MATCH(B483,الموظفون!$B$6:$B$105,0)),"✖ رقم غير موجود"))</f>
        <v/>
      </c>
      <c r="D483" s="88"/>
      <c r="E483" s="88"/>
      <c r="F483" s="88"/>
      <c r="G483" s="85"/>
      <c r="H483" s="85"/>
      <c r="I483" s="85"/>
      <c r="J483" s="85"/>
      <c r="K483" s="88"/>
      <c r="L483" s="88"/>
      <c r="M483" s="85"/>
      <c r="N483" s="85"/>
      <c r="O483" s="73"/>
    </row>
    <row r="484" customFormat="false" ht="15" hidden="false" customHeight="false" outlineLevel="0" collapsed="false">
      <c r="A484" s="87"/>
      <c r="B484" s="73"/>
      <c r="C484" s="74" t="str">
        <f aca="false">IF(B484="","",IFERROR(INDEX(الموظفون!$C$6:$C$105,MATCH(B484,الموظفون!$B$6:$B$105,0)),"✖ رقم غير موجود"))</f>
        <v/>
      </c>
      <c r="D484" s="88"/>
      <c r="E484" s="88"/>
      <c r="F484" s="88"/>
      <c r="G484" s="85"/>
      <c r="H484" s="85"/>
      <c r="I484" s="85"/>
      <c r="J484" s="85"/>
      <c r="K484" s="88"/>
      <c r="L484" s="88"/>
      <c r="M484" s="85"/>
      <c r="N484" s="85"/>
      <c r="O484" s="73"/>
    </row>
    <row r="485" customFormat="false" ht="15" hidden="false" customHeight="false" outlineLevel="0" collapsed="false">
      <c r="A485" s="87"/>
      <c r="B485" s="73"/>
      <c r="C485" s="91" t="str">
        <f aca="false">IF(B485="","",IFERROR(INDEX(الموظفون!$C$6:$C$105,MATCH(B485,الموظفون!$B$6:$B$105,0)),"✖ رقم غير موجود"))</f>
        <v/>
      </c>
      <c r="D485" s="88"/>
      <c r="E485" s="88"/>
      <c r="F485" s="88"/>
      <c r="G485" s="85"/>
      <c r="H485" s="85"/>
      <c r="I485" s="85"/>
      <c r="J485" s="85"/>
      <c r="K485" s="88"/>
      <c r="L485" s="88"/>
      <c r="M485" s="85"/>
      <c r="N485" s="85"/>
      <c r="O485" s="73"/>
    </row>
    <row r="486" customFormat="false" ht="15" hidden="false" customHeight="false" outlineLevel="0" collapsed="false">
      <c r="A486" s="87"/>
      <c r="B486" s="73"/>
      <c r="C486" s="74" t="str">
        <f aca="false">IF(B486="","",IFERROR(INDEX(الموظفون!$C$6:$C$105,MATCH(B486,الموظفون!$B$6:$B$105,0)),"✖ رقم غير موجود"))</f>
        <v/>
      </c>
      <c r="D486" s="88"/>
      <c r="E486" s="88"/>
      <c r="F486" s="88"/>
      <c r="G486" s="85"/>
      <c r="H486" s="85"/>
      <c r="I486" s="85"/>
      <c r="J486" s="85"/>
      <c r="K486" s="88"/>
      <c r="L486" s="88"/>
      <c r="M486" s="85"/>
      <c r="N486" s="85"/>
      <c r="O486" s="73"/>
    </row>
    <row r="487" customFormat="false" ht="15" hidden="false" customHeight="false" outlineLevel="0" collapsed="false">
      <c r="A487" s="87"/>
      <c r="B487" s="73"/>
      <c r="C487" s="91" t="str">
        <f aca="false">IF(B487="","",IFERROR(INDEX(الموظفون!$C$6:$C$105,MATCH(B487,الموظفون!$B$6:$B$105,0)),"✖ رقم غير موجود"))</f>
        <v/>
      </c>
      <c r="D487" s="88"/>
      <c r="E487" s="88"/>
      <c r="F487" s="88"/>
      <c r="G487" s="85"/>
      <c r="H487" s="85"/>
      <c r="I487" s="85"/>
      <c r="J487" s="85"/>
      <c r="K487" s="88"/>
      <c r="L487" s="88"/>
      <c r="M487" s="85"/>
      <c r="N487" s="85"/>
      <c r="O487" s="73"/>
    </row>
    <row r="488" customFormat="false" ht="15" hidden="false" customHeight="false" outlineLevel="0" collapsed="false">
      <c r="A488" s="87"/>
      <c r="B488" s="73"/>
      <c r="C488" s="74" t="str">
        <f aca="false">IF(B488="","",IFERROR(INDEX(الموظفون!$C$6:$C$105,MATCH(B488,الموظفون!$B$6:$B$105,0)),"✖ رقم غير موجود"))</f>
        <v/>
      </c>
      <c r="D488" s="88"/>
      <c r="E488" s="88"/>
      <c r="F488" s="88"/>
      <c r="G488" s="85"/>
      <c r="H488" s="85"/>
      <c r="I488" s="85"/>
      <c r="J488" s="85"/>
      <c r="K488" s="88"/>
      <c r="L488" s="88"/>
      <c r="M488" s="85"/>
      <c r="N488" s="85"/>
      <c r="O488" s="73"/>
    </row>
    <row r="489" customFormat="false" ht="15" hidden="false" customHeight="false" outlineLevel="0" collapsed="false">
      <c r="A489" s="87"/>
      <c r="B489" s="73"/>
      <c r="C489" s="91" t="str">
        <f aca="false">IF(B489="","",IFERROR(INDEX(الموظفون!$C$6:$C$105,MATCH(B489,الموظفون!$B$6:$B$105,0)),"✖ رقم غير موجود"))</f>
        <v/>
      </c>
      <c r="D489" s="88"/>
      <c r="E489" s="88"/>
      <c r="F489" s="88"/>
      <c r="G489" s="85"/>
      <c r="H489" s="85"/>
      <c r="I489" s="85"/>
      <c r="J489" s="85"/>
      <c r="K489" s="88"/>
      <c r="L489" s="88"/>
      <c r="M489" s="85"/>
      <c r="N489" s="85"/>
      <c r="O489" s="73"/>
    </row>
    <row r="490" customFormat="false" ht="15" hidden="false" customHeight="false" outlineLevel="0" collapsed="false">
      <c r="A490" s="87"/>
      <c r="B490" s="73"/>
      <c r="C490" s="74" t="str">
        <f aca="false">IF(B490="","",IFERROR(INDEX(الموظفون!$C$6:$C$105,MATCH(B490,الموظفون!$B$6:$B$105,0)),"✖ رقم غير موجود"))</f>
        <v/>
      </c>
      <c r="D490" s="88"/>
      <c r="E490" s="88"/>
      <c r="F490" s="88"/>
      <c r="G490" s="85"/>
      <c r="H490" s="85"/>
      <c r="I490" s="85"/>
      <c r="J490" s="85"/>
      <c r="K490" s="88"/>
      <c r="L490" s="88"/>
      <c r="M490" s="85"/>
      <c r="N490" s="85"/>
      <c r="O490" s="73"/>
    </row>
    <row r="491" customFormat="false" ht="15" hidden="false" customHeight="false" outlineLevel="0" collapsed="false">
      <c r="A491" s="87"/>
      <c r="B491" s="73"/>
      <c r="C491" s="91" t="str">
        <f aca="false">IF(B491="","",IFERROR(INDEX(الموظفون!$C$6:$C$105,MATCH(B491,الموظفون!$B$6:$B$105,0)),"✖ رقم غير موجود"))</f>
        <v/>
      </c>
      <c r="D491" s="88"/>
      <c r="E491" s="88"/>
      <c r="F491" s="88"/>
      <c r="G491" s="85"/>
      <c r="H491" s="85"/>
      <c r="I491" s="85"/>
      <c r="J491" s="85"/>
      <c r="K491" s="88"/>
      <c r="L491" s="88"/>
      <c r="M491" s="85"/>
      <c r="N491" s="85"/>
      <c r="O491" s="73"/>
    </row>
    <row r="492" customFormat="false" ht="15" hidden="false" customHeight="false" outlineLevel="0" collapsed="false">
      <c r="A492" s="87"/>
      <c r="B492" s="73"/>
      <c r="C492" s="74" t="str">
        <f aca="false">IF(B492="","",IFERROR(INDEX(الموظفون!$C$6:$C$105,MATCH(B492,الموظفون!$B$6:$B$105,0)),"✖ رقم غير موجود"))</f>
        <v/>
      </c>
      <c r="D492" s="88"/>
      <c r="E492" s="88"/>
      <c r="F492" s="88"/>
      <c r="G492" s="85"/>
      <c r="H492" s="85"/>
      <c r="I492" s="85"/>
      <c r="J492" s="85"/>
      <c r="K492" s="88"/>
      <c r="L492" s="88"/>
      <c r="M492" s="85"/>
      <c r="N492" s="85"/>
      <c r="O492" s="73"/>
    </row>
    <row r="493" customFormat="false" ht="15" hidden="false" customHeight="false" outlineLevel="0" collapsed="false">
      <c r="A493" s="87"/>
      <c r="B493" s="73"/>
      <c r="C493" s="91" t="str">
        <f aca="false">IF(B493="","",IFERROR(INDEX(الموظفون!$C$6:$C$105,MATCH(B493,الموظفون!$B$6:$B$105,0)),"✖ رقم غير موجود"))</f>
        <v/>
      </c>
      <c r="D493" s="88"/>
      <c r="E493" s="88"/>
      <c r="F493" s="88"/>
      <c r="G493" s="85"/>
      <c r="H493" s="85"/>
      <c r="I493" s="85"/>
      <c r="J493" s="85"/>
      <c r="K493" s="88"/>
      <c r="L493" s="88"/>
      <c r="M493" s="85"/>
      <c r="N493" s="85"/>
      <c r="O493" s="73"/>
    </row>
    <row r="494" customFormat="false" ht="15" hidden="false" customHeight="false" outlineLevel="0" collapsed="false">
      <c r="A494" s="87"/>
      <c r="B494" s="73"/>
      <c r="C494" s="74" t="str">
        <f aca="false">IF(B494="","",IFERROR(INDEX(الموظفون!$C$6:$C$105,MATCH(B494,الموظفون!$B$6:$B$105,0)),"✖ رقم غير موجود"))</f>
        <v/>
      </c>
      <c r="D494" s="88"/>
      <c r="E494" s="88"/>
      <c r="F494" s="88"/>
      <c r="G494" s="85"/>
      <c r="H494" s="85"/>
      <c r="I494" s="85"/>
      <c r="J494" s="85"/>
      <c r="K494" s="88"/>
      <c r="L494" s="88"/>
      <c r="M494" s="85"/>
      <c r="N494" s="85"/>
      <c r="O494" s="73"/>
    </row>
    <row r="495" customFormat="false" ht="15" hidden="false" customHeight="false" outlineLevel="0" collapsed="false">
      <c r="A495" s="87"/>
      <c r="B495" s="73"/>
      <c r="C495" s="91" t="str">
        <f aca="false">IF(B495="","",IFERROR(INDEX(الموظفون!$C$6:$C$105,MATCH(B495,الموظفون!$B$6:$B$105,0)),"✖ رقم غير موجود"))</f>
        <v/>
      </c>
      <c r="D495" s="88"/>
      <c r="E495" s="88"/>
      <c r="F495" s="88"/>
      <c r="G495" s="85"/>
      <c r="H495" s="85"/>
      <c r="I495" s="85"/>
      <c r="J495" s="85"/>
      <c r="K495" s="88"/>
      <c r="L495" s="88"/>
      <c r="M495" s="85"/>
      <c r="N495" s="85"/>
      <c r="O495" s="73"/>
    </row>
    <row r="496" customFormat="false" ht="15" hidden="false" customHeight="false" outlineLevel="0" collapsed="false">
      <c r="A496" s="87"/>
      <c r="B496" s="73"/>
      <c r="C496" s="74" t="str">
        <f aca="false">IF(B496="","",IFERROR(INDEX(الموظفون!$C$6:$C$105,MATCH(B496,الموظفون!$B$6:$B$105,0)),"✖ رقم غير موجود"))</f>
        <v/>
      </c>
      <c r="D496" s="88"/>
      <c r="E496" s="88"/>
      <c r="F496" s="88"/>
      <c r="G496" s="85"/>
      <c r="H496" s="85"/>
      <c r="I496" s="85"/>
      <c r="J496" s="85"/>
      <c r="K496" s="88"/>
      <c r="L496" s="88"/>
      <c r="M496" s="85"/>
      <c r="N496" s="85"/>
      <c r="O496" s="73"/>
    </row>
    <row r="497" customFormat="false" ht="15" hidden="false" customHeight="false" outlineLevel="0" collapsed="false">
      <c r="A497" s="87"/>
      <c r="B497" s="73"/>
      <c r="C497" s="91" t="str">
        <f aca="false">IF(B497="","",IFERROR(INDEX(الموظفون!$C$6:$C$105,MATCH(B497,الموظفون!$B$6:$B$105,0)),"✖ رقم غير موجود"))</f>
        <v/>
      </c>
      <c r="D497" s="88"/>
      <c r="E497" s="88"/>
      <c r="F497" s="88"/>
      <c r="G497" s="85"/>
      <c r="H497" s="85"/>
      <c r="I497" s="85"/>
      <c r="J497" s="85"/>
      <c r="K497" s="88"/>
      <c r="L497" s="88"/>
      <c r="M497" s="85"/>
      <c r="N497" s="85"/>
      <c r="O497" s="73"/>
    </row>
    <row r="498" customFormat="false" ht="15" hidden="false" customHeight="false" outlineLevel="0" collapsed="false">
      <c r="A498" s="87"/>
      <c r="B498" s="73"/>
      <c r="C498" s="74" t="str">
        <f aca="false">IF(B498="","",IFERROR(INDEX(الموظفون!$C$6:$C$105,MATCH(B498,الموظفون!$B$6:$B$105,0)),"✖ رقم غير موجود"))</f>
        <v/>
      </c>
      <c r="D498" s="88"/>
      <c r="E498" s="88"/>
      <c r="F498" s="88"/>
      <c r="G498" s="85"/>
      <c r="H498" s="85"/>
      <c r="I498" s="85"/>
      <c r="J498" s="85"/>
      <c r="K498" s="88"/>
      <c r="L498" s="88"/>
      <c r="M498" s="85"/>
      <c r="N498" s="85"/>
      <c r="O498" s="73"/>
    </row>
    <row r="499" customFormat="false" ht="15" hidden="false" customHeight="false" outlineLevel="0" collapsed="false">
      <c r="A499" s="87"/>
      <c r="B499" s="73"/>
      <c r="C499" s="91" t="str">
        <f aca="false">IF(B499="","",IFERROR(INDEX(الموظفون!$C$6:$C$105,MATCH(B499,الموظفون!$B$6:$B$105,0)),"✖ رقم غير موجود"))</f>
        <v/>
      </c>
      <c r="D499" s="88"/>
      <c r="E499" s="88"/>
      <c r="F499" s="88"/>
      <c r="G499" s="85"/>
      <c r="H499" s="85"/>
      <c r="I499" s="85"/>
      <c r="J499" s="85"/>
      <c r="K499" s="88"/>
      <c r="L499" s="88"/>
      <c r="M499" s="85"/>
      <c r="N499" s="85"/>
      <c r="O499" s="73"/>
    </row>
    <row r="500" customFormat="false" ht="15" hidden="false" customHeight="false" outlineLevel="0" collapsed="false">
      <c r="A500" s="87"/>
      <c r="B500" s="73"/>
      <c r="C500" s="74" t="str">
        <f aca="false">IF(B500="","",IFERROR(INDEX(الموظفون!$C$6:$C$105,MATCH(B500,الموظفون!$B$6:$B$105,0)),"✖ رقم غير موجود"))</f>
        <v/>
      </c>
      <c r="D500" s="88"/>
      <c r="E500" s="88"/>
      <c r="F500" s="88"/>
      <c r="G500" s="85"/>
      <c r="H500" s="85"/>
      <c r="I500" s="85"/>
      <c r="J500" s="85"/>
      <c r="K500" s="88"/>
      <c r="L500" s="88"/>
      <c r="M500" s="85"/>
      <c r="N500" s="85"/>
      <c r="O500" s="73"/>
    </row>
    <row r="501" customFormat="false" ht="15" hidden="false" customHeight="false" outlineLevel="0" collapsed="false">
      <c r="A501" s="87"/>
      <c r="B501" s="73"/>
      <c r="C501" s="91" t="str">
        <f aca="false">IF(B501="","",IFERROR(INDEX(الموظفون!$C$6:$C$105,MATCH(B501,الموظفون!$B$6:$B$105,0)),"✖ رقم غير موجود"))</f>
        <v/>
      </c>
      <c r="D501" s="88"/>
      <c r="E501" s="88"/>
      <c r="F501" s="88"/>
      <c r="G501" s="85"/>
      <c r="H501" s="85"/>
      <c r="I501" s="85"/>
      <c r="J501" s="85"/>
      <c r="K501" s="88"/>
      <c r="L501" s="88"/>
      <c r="M501" s="85"/>
      <c r="N501" s="85"/>
      <c r="O501" s="73"/>
    </row>
    <row r="502" customFormat="false" ht="15" hidden="false" customHeight="false" outlineLevel="0" collapsed="false">
      <c r="A502" s="87"/>
      <c r="B502" s="73"/>
      <c r="C502" s="74" t="str">
        <f aca="false">IF(B502="","",IFERROR(INDEX(الموظفون!$C$6:$C$105,MATCH(B502,الموظفون!$B$6:$B$105,0)),"✖ رقم غير موجود"))</f>
        <v/>
      </c>
      <c r="D502" s="88"/>
      <c r="E502" s="88"/>
      <c r="F502" s="88"/>
      <c r="G502" s="85"/>
      <c r="H502" s="85"/>
      <c r="I502" s="85"/>
      <c r="J502" s="85"/>
      <c r="K502" s="88"/>
      <c r="L502" s="88"/>
      <c r="M502" s="85"/>
      <c r="N502" s="85"/>
      <c r="O502" s="73"/>
    </row>
    <row r="503" customFormat="false" ht="15" hidden="false" customHeight="false" outlineLevel="0" collapsed="false">
      <c r="A503" s="87"/>
      <c r="B503" s="73"/>
      <c r="C503" s="91" t="str">
        <f aca="false">IF(B503="","",IFERROR(INDEX(الموظفون!$C$6:$C$105,MATCH(B503,الموظفون!$B$6:$B$105,0)),"✖ رقم غير موجود"))</f>
        <v/>
      </c>
      <c r="D503" s="88"/>
      <c r="E503" s="88"/>
      <c r="F503" s="88"/>
      <c r="G503" s="85"/>
      <c r="H503" s="85"/>
      <c r="I503" s="85"/>
      <c r="J503" s="85"/>
      <c r="K503" s="88"/>
      <c r="L503" s="88"/>
      <c r="M503" s="85"/>
      <c r="N503" s="85"/>
      <c r="O503" s="73"/>
    </row>
    <row r="504" customFormat="false" ht="15" hidden="false" customHeight="false" outlineLevel="0" collapsed="false">
      <c r="A504" s="87"/>
      <c r="B504" s="73"/>
      <c r="C504" s="74" t="str">
        <f aca="false">IF(B504="","",IFERROR(INDEX(الموظفون!$C$6:$C$105,MATCH(B504,الموظفون!$B$6:$B$105,0)),"✖ رقم غير موجود"))</f>
        <v/>
      </c>
      <c r="D504" s="88"/>
      <c r="E504" s="88"/>
      <c r="F504" s="88"/>
      <c r="G504" s="85"/>
      <c r="H504" s="85"/>
      <c r="I504" s="85"/>
      <c r="J504" s="85"/>
      <c r="K504" s="88"/>
      <c r="L504" s="88"/>
      <c r="M504" s="85"/>
      <c r="N504" s="85"/>
      <c r="O504" s="73"/>
    </row>
    <row r="505" customFormat="false" ht="15" hidden="false" customHeight="false" outlineLevel="0" collapsed="false">
      <c r="A505" s="87"/>
      <c r="B505" s="73"/>
      <c r="C505" s="91" t="str">
        <f aca="false">IF(B505="","",IFERROR(INDEX(الموظفون!$C$6:$C$105,MATCH(B505,الموظفون!$B$6:$B$105,0)),"✖ رقم غير موجود"))</f>
        <v/>
      </c>
      <c r="D505" s="88"/>
      <c r="E505" s="88"/>
      <c r="F505" s="88"/>
      <c r="G505" s="85"/>
      <c r="H505" s="85"/>
      <c r="I505" s="85"/>
      <c r="J505" s="85"/>
      <c r="K505" s="88"/>
      <c r="L505" s="88"/>
      <c r="M505" s="85"/>
      <c r="N505" s="85"/>
      <c r="O505" s="73"/>
    </row>
    <row r="506" customFormat="false" ht="15" hidden="false" customHeight="false" outlineLevel="0" collapsed="false">
      <c r="A506" s="87"/>
      <c r="B506" s="73"/>
      <c r="C506" s="74" t="str">
        <f aca="false">IF(B506="","",IFERROR(INDEX(الموظفون!$C$6:$C$105,MATCH(B506,الموظفون!$B$6:$B$105,0)),"✖ رقم غير موجود"))</f>
        <v/>
      </c>
      <c r="D506" s="88"/>
      <c r="E506" s="88"/>
      <c r="F506" s="88"/>
      <c r="G506" s="85"/>
      <c r="H506" s="85"/>
      <c r="I506" s="85"/>
      <c r="J506" s="85"/>
      <c r="K506" s="88"/>
      <c r="L506" s="88"/>
      <c r="M506" s="85"/>
      <c r="N506" s="85"/>
      <c r="O506" s="73"/>
    </row>
    <row r="507" customFormat="false" ht="15" hidden="false" customHeight="false" outlineLevel="0" collapsed="false">
      <c r="A507" s="87"/>
      <c r="B507" s="73"/>
      <c r="C507" s="91" t="str">
        <f aca="false">IF(B507="","",IFERROR(INDEX(الموظفون!$C$6:$C$105,MATCH(B507,الموظفون!$B$6:$B$105,0)),"✖ رقم غير موجود"))</f>
        <v/>
      </c>
      <c r="D507" s="88"/>
      <c r="E507" s="88"/>
      <c r="F507" s="88"/>
      <c r="G507" s="85"/>
      <c r="H507" s="85"/>
      <c r="I507" s="85"/>
      <c r="J507" s="85"/>
      <c r="K507" s="88"/>
      <c r="L507" s="88"/>
      <c r="M507" s="85"/>
      <c r="N507" s="85"/>
      <c r="O507" s="73"/>
    </row>
    <row r="508" customFormat="false" ht="15" hidden="false" customHeight="false" outlineLevel="0" collapsed="false">
      <c r="A508" s="87"/>
      <c r="B508" s="73"/>
      <c r="C508" s="74" t="str">
        <f aca="false">IF(B508="","",IFERROR(INDEX(الموظفون!$C$6:$C$105,MATCH(B508,الموظفون!$B$6:$B$105,0)),"✖ رقم غير موجود"))</f>
        <v/>
      </c>
      <c r="D508" s="88"/>
      <c r="E508" s="88"/>
      <c r="F508" s="88"/>
      <c r="G508" s="85"/>
      <c r="H508" s="85"/>
      <c r="I508" s="85"/>
      <c r="J508" s="85"/>
      <c r="K508" s="88"/>
      <c r="L508" s="88"/>
      <c r="M508" s="85"/>
      <c r="N508" s="85"/>
      <c r="O508" s="73"/>
    </row>
    <row r="509" customFormat="false" ht="15" hidden="false" customHeight="false" outlineLevel="0" collapsed="false">
      <c r="A509" s="87"/>
      <c r="B509" s="73"/>
      <c r="C509" s="91" t="str">
        <f aca="false">IF(B509="","",IFERROR(INDEX(الموظفون!$C$6:$C$105,MATCH(B509,الموظفون!$B$6:$B$105,0)),"✖ رقم غير موجود"))</f>
        <v/>
      </c>
      <c r="D509" s="88"/>
      <c r="E509" s="88"/>
      <c r="F509" s="88"/>
      <c r="G509" s="85"/>
      <c r="H509" s="85"/>
      <c r="I509" s="85"/>
      <c r="J509" s="85"/>
      <c r="K509" s="88"/>
      <c r="L509" s="88"/>
      <c r="M509" s="85"/>
      <c r="N509" s="85"/>
      <c r="O509" s="73"/>
    </row>
    <row r="510" customFormat="false" ht="15" hidden="false" customHeight="false" outlineLevel="0" collapsed="false">
      <c r="A510" s="87"/>
      <c r="B510" s="73"/>
      <c r="C510" s="74" t="str">
        <f aca="false">IF(B510="","",IFERROR(INDEX(الموظفون!$C$6:$C$105,MATCH(B510,الموظفون!$B$6:$B$105,0)),"✖ رقم غير موجود"))</f>
        <v/>
      </c>
      <c r="D510" s="88"/>
      <c r="E510" s="88"/>
      <c r="F510" s="88"/>
      <c r="G510" s="85"/>
      <c r="H510" s="85"/>
      <c r="I510" s="85"/>
      <c r="J510" s="85"/>
      <c r="K510" s="88"/>
      <c r="L510" s="88"/>
      <c r="M510" s="85"/>
      <c r="N510" s="85"/>
      <c r="O510" s="73"/>
    </row>
    <row r="511" customFormat="false" ht="15" hidden="false" customHeight="false" outlineLevel="0" collapsed="false">
      <c r="A511" s="87"/>
      <c r="B511" s="73"/>
      <c r="C511" s="91" t="str">
        <f aca="false">IF(B511="","",IFERROR(INDEX(الموظفون!$C$6:$C$105,MATCH(B511,الموظفون!$B$6:$B$105,0)),"✖ رقم غير موجود"))</f>
        <v/>
      </c>
      <c r="D511" s="88"/>
      <c r="E511" s="88"/>
      <c r="F511" s="88"/>
      <c r="G511" s="85"/>
      <c r="H511" s="85"/>
      <c r="I511" s="85"/>
      <c r="J511" s="85"/>
      <c r="K511" s="88"/>
      <c r="L511" s="88"/>
      <c r="M511" s="85"/>
      <c r="N511" s="85"/>
      <c r="O511" s="73"/>
    </row>
    <row r="512" customFormat="false" ht="15" hidden="false" customHeight="false" outlineLevel="0" collapsed="false">
      <c r="A512" s="87"/>
      <c r="B512" s="73"/>
      <c r="C512" s="74" t="str">
        <f aca="false">IF(B512="","",IFERROR(INDEX(الموظفون!$C$6:$C$105,MATCH(B512,الموظفون!$B$6:$B$105,0)),"✖ رقم غير موجود"))</f>
        <v/>
      </c>
      <c r="D512" s="88"/>
      <c r="E512" s="88"/>
      <c r="F512" s="88"/>
      <c r="G512" s="85"/>
      <c r="H512" s="85"/>
      <c r="I512" s="85"/>
      <c r="J512" s="85"/>
      <c r="K512" s="88"/>
      <c r="L512" s="88"/>
      <c r="M512" s="85"/>
      <c r="N512" s="85"/>
      <c r="O512" s="73"/>
    </row>
    <row r="513" customFormat="false" ht="15" hidden="false" customHeight="false" outlineLevel="0" collapsed="false">
      <c r="A513" s="87"/>
      <c r="B513" s="73"/>
      <c r="C513" s="91" t="str">
        <f aca="false">IF(B513="","",IFERROR(INDEX(الموظفون!$C$6:$C$105,MATCH(B513,الموظفون!$B$6:$B$105,0)),"✖ رقم غير موجود"))</f>
        <v/>
      </c>
      <c r="D513" s="88"/>
      <c r="E513" s="88"/>
      <c r="F513" s="88"/>
      <c r="G513" s="85"/>
      <c r="H513" s="85"/>
      <c r="I513" s="85"/>
      <c r="J513" s="85"/>
      <c r="K513" s="88"/>
      <c r="L513" s="88"/>
      <c r="M513" s="85"/>
      <c r="N513" s="85"/>
      <c r="O513" s="73"/>
    </row>
    <row r="514" customFormat="false" ht="15" hidden="false" customHeight="false" outlineLevel="0" collapsed="false">
      <c r="A514" s="87"/>
      <c r="B514" s="73"/>
      <c r="C514" s="74" t="str">
        <f aca="false">IF(B514="","",IFERROR(INDEX(الموظفون!$C$6:$C$105,MATCH(B514,الموظفون!$B$6:$B$105,0)),"✖ رقم غير موجود"))</f>
        <v/>
      </c>
      <c r="D514" s="88"/>
      <c r="E514" s="88"/>
      <c r="F514" s="88"/>
      <c r="G514" s="85"/>
      <c r="H514" s="85"/>
      <c r="I514" s="85"/>
      <c r="J514" s="85"/>
      <c r="K514" s="88"/>
      <c r="L514" s="88"/>
      <c r="M514" s="85"/>
      <c r="N514" s="85"/>
      <c r="O514" s="73"/>
    </row>
    <row r="515" customFormat="false" ht="15" hidden="false" customHeight="false" outlineLevel="0" collapsed="false">
      <c r="A515" s="87"/>
      <c r="B515" s="73"/>
      <c r="C515" s="91" t="str">
        <f aca="false">IF(B515="","",IFERROR(INDEX(الموظفون!$C$6:$C$105,MATCH(B515,الموظفون!$B$6:$B$105,0)),"✖ رقم غير موجود"))</f>
        <v/>
      </c>
      <c r="D515" s="88"/>
      <c r="E515" s="88"/>
      <c r="F515" s="88"/>
      <c r="G515" s="85"/>
      <c r="H515" s="85"/>
      <c r="I515" s="85"/>
      <c r="J515" s="85"/>
      <c r="K515" s="88"/>
      <c r="L515" s="88"/>
      <c r="M515" s="85"/>
      <c r="N515" s="85"/>
      <c r="O515" s="73"/>
    </row>
    <row r="516" customFormat="false" ht="15" hidden="false" customHeight="false" outlineLevel="0" collapsed="false">
      <c r="A516" s="87"/>
      <c r="B516" s="73"/>
      <c r="C516" s="74" t="str">
        <f aca="false">IF(B516="","",IFERROR(INDEX(الموظفون!$C$6:$C$105,MATCH(B516,الموظفون!$B$6:$B$105,0)),"✖ رقم غير موجود"))</f>
        <v/>
      </c>
      <c r="D516" s="88"/>
      <c r="E516" s="88"/>
      <c r="F516" s="88"/>
      <c r="G516" s="85"/>
      <c r="H516" s="85"/>
      <c r="I516" s="85"/>
      <c r="J516" s="85"/>
      <c r="K516" s="88"/>
      <c r="L516" s="88"/>
      <c r="M516" s="85"/>
      <c r="N516" s="85"/>
      <c r="O516" s="73"/>
    </row>
    <row r="517" customFormat="false" ht="15" hidden="false" customHeight="false" outlineLevel="0" collapsed="false">
      <c r="A517" s="87"/>
      <c r="B517" s="73"/>
      <c r="C517" s="91" t="str">
        <f aca="false">IF(B517="","",IFERROR(INDEX(الموظفون!$C$6:$C$105,MATCH(B517,الموظفون!$B$6:$B$105,0)),"✖ رقم غير موجود"))</f>
        <v/>
      </c>
      <c r="D517" s="88"/>
      <c r="E517" s="88"/>
      <c r="F517" s="88"/>
      <c r="G517" s="85"/>
      <c r="H517" s="85"/>
      <c r="I517" s="85"/>
      <c r="J517" s="85"/>
      <c r="K517" s="88"/>
      <c r="L517" s="88"/>
      <c r="M517" s="85"/>
      <c r="N517" s="85"/>
      <c r="O517" s="73"/>
    </row>
    <row r="518" customFormat="false" ht="15" hidden="false" customHeight="false" outlineLevel="0" collapsed="false">
      <c r="A518" s="87"/>
      <c r="B518" s="73"/>
      <c r="C518" s="74" t="str">
        <f aca="false">IF(B518="","",IFERROR(INDEX(الموظفون!$C$6:$C$105,MATCH(B518,الموظفون!$B$6:$B$105,0)),"✖ رقم غير موجود"))</f>
        <v/>
      </c>
      <c r="D518" s="88"/>
      <c r="E518" s="88"/>
      <c r="F518" s="88"/>
      <c r="G518" s="85"/>
      <c r="H518" s="85"/>
      <c r="I518" s="85"/>
      <c r="J518" s="85"/>
      <c r="K518" s="88"/>
      <c r="L518" s="88"/>
      <c r="M518" s="85"/>
      <c r="N518" s="85"/>
      <c r="O518" s="73"/>
    </row>
    <row r="519" customFormat="false" ht="15" hidden="false" customHeight="false" outlineLevel="0" collapsed="false">
      <c r="A519" s="87"/>
      <c r="B519" s="73"/>
      <c r="C519" s="91" t="str">
        <f aca="false">IF(B519="","",IFERROR(INDEX(الموظفون!$C$6:$C$105,MATCH(B519,الموظفون!$B$6:$B$105,0)),"✖ رقم غير موجود"))</f>
        <v/>
      </c>
      <c r="D519" s="88"/>
      <c r="E519" s="88"/>
      <c r="F519" s="88"/>
      <c r="G519" s="85"/>
      <c r="H519" s="85"/>
      <c r="I519" s="85"/>
      <c r="J519" s="85"/>
      <c r="K519" s="88"/>
      <c r="L519" s="88"/>
      <c r="M519" s="85"/>
      <c r="N519" s="85"/>
      <c r="O519" s="73"/>
    </row>
    <row r="520" customFormat="false" ht="15" hidden="false" customHeight="false" outlineLevel="0" collapsed="false">
      <c r="A520" s="87"/>
      <c r="B520" s="73"/>
      <c r="C520" s="74" t="str">
        <f aca="false">IF(B520="","",IFERROR(INDEX(الموظفون!$C$6:$C$105,MATCH(B520,الموظفون!$B$6:$B$105,0)),"✖ رقم غير موجود"))</f>
        <v/>
      </c>
      <c r="D520" s="88"/>
      <c r="E520" s="88"/>
      <c r="F520" s="88"/>
      <c r="G520" s="85"/>
      <c r="H520" s="85"/>
      <c r="I520" s="85"/>
      <c r="J520" s="85"/>
      <c r="K520" s="88"/>
      <c r="L520" s="88"/>
      <c r="M520" s="85"/>
      <c r="N520" s="85"/>
      <c r="O520" s="73"/>
    </row>
    <row r="521" customFormat="false" ht="15" hidden="false" customHeight="false" outlineLevel="0" collapsed="false">
      <c r="A521" s="87"/>
      <c r="B521" s="73"/>
      <c r="C521" s="91" t="str">
        <f aca="false">IF(B521="","",IFERROR(INDEX(الموظفون!$C$6:$C$105,MATCH(B521,الموظفون!$B$6:$B$105,0)),"✖ رقم غير موجود"))</f>
        <v/>
      </c>
      <c r="D521" s="88"/>
      <c r="E521" s="88"/>
      <c r="F521" s="88"/>
      <c r="G521" s="85"/>
      <c r="H521" s="85"/>
      <c r="I521" s="85"/>
      <c r="J521" s="85"/>
      <c r="K521" s="88"/>
      <c r="L521" s="88"/>
      <c r="M521" s="85"/>
      <c r="N521" s="85"/>
      <c r="O521" s="73"/>
    </row>
    <row r="522" customFormat="false" ht="15" hidden="false" customHeight="false" outlineLevel="0" collapsed="false">
      <c r="A522" s="87"/>
      <c r="B522" s="73"/>
      <c r="C522" s="74" t="str">
        <f aca="false">IF(B522="","",IFERROR(INDEX(الموظفون!$C$6:$C$105,MATCH(B522,الموظفون!$B$6:$B$105,0)),"✖ رقم غير موجود"))</f>
        <v/>
      </c>
      <c r="D522" s="88"/>
      <c r="E522" s="88"/>
      <c r="F522" s="88"/>
      <c r="G522" s="85"/>
      <c r="H522" s="85"/>
      <c r="I522" s="85"/>
      <c r="J522" s="85"/>
      <c r="K522" s="88"/>
      <c r="L522" s="88"/>
      <c r="M522" s="85"/>
      <c r="N522" s="85"/>
      <c r="O522" s="73"/>
    </row>
    <row r="523" customFormat="false" ht="15" hidden="false" customHeight="false" outlineLevel="0" collapsed="false">
      <c r="A523" s="87"/>
      <c r="B523" s="73"/>
      <c r="C523" s="91" t="str">
        <f aca="false">IF(B523="","",IFERROR(INDEX(الموظفون!$C$6:$C$105,MATCH(B523,الموظفون!$B$6:$B$105,0)),"✖ رقم غير موجود"))</f>
        <v/>
      </c>
      <c r="D523" s="88"/>
      <c r="E523" s="88"/>
      <c r="F523" s="88"/>
      <c r="G523" s="85"/>
      <c r="H523" s="85"/>
      <c r="I523" s="85"/>
      <c r="J523" s="85"/>
      <c r="K523" s="88"/>
      <c r="L523" s="88"/>
      <c r="M523" s="85"/>
      <c r="N523" s="85"/>
      <c r="O523" s="73"/>
    </row>
    <row r="524" customFormat="false" ht="15" hidden="false" customHeight="false" outlineLevel="0" collapsed="false">
      <c r="A524" s="87"/>
      <c r="B524" s="73"/>
      <c r="C524" s="74" t="str">
        <f aca="false">IF(B524="","",IFERROR(INDEX(الموظفون!$C$6:$C$105,MATCH(B524,الموظفون!$B$6:$B$105,0)),"✖ رقم غير موجود"))</f>
        <v/>
      </c>
      <c r="D524" s="88"/>
      <c r="E524" s="88"/>
      <c r="F524" s="88"/>
      <c r="G524" s="85"/>
      <c r="H524" s="85"/>
      <c r="I524" s="85"/>
      <c r="J524" s="85"/>
      <c r="K524" s="88"/>
      <c r="L524" s="88"/>
      <c r="M524" s="85"/>
      <c r="N524" s="85"/>
      <c r="O524" s="73"/>
    </row>
    <row r="525" customFormat="false" ht="15" hidden="false" customHeight="false" outlineLevel="0" collapsed="false">
      <c r="A525" s="87"/>
      <c r="B525" s="73"/>
      <c r="C525" s="91" t="str">
        <f aca="false">IF(B525="","",IFERROR(INDEX(الموظفون!$C$6:$C$105,MATCH(B525,الموظفون!$B$6:$B$105,0)),"✖ رقم غير موجود"))</f>
        <v/>
      </c>
      <c r="D525" s="88"/>
      <c r="E525" s="88"/>
      <c r="F525" s="88"/>
      <c r="G525" s="85"/>
      <c r="H525" s="85"/>
      <c r="I525" s="85"/>
      <c r="J525" s="85"/>
      <c r="K525" s="88"/>
      <c r="L525" s="88"/>
      <c r="M525" s="85"/>
      <c r="N525" s="85"/>
      <c r="O525" s="73"/>
    </row>
    <row r="526" customFormat="false" ht="15" hidden="false" customHeight="false" outlineLevel="0" collapsed="false">
      <c r="A526" s="87"/>
      <c r="B526" s="73"/>
      <c r="C526" s="74" t="str">
        <f aca="false">IF(B526="","",IFERROR(INDEX(الموظفون!$C$6:$C$105,MATCH(B526,الموظفون!$B$6:$B$105,0)),"✖ رقم غير موجود"))</f>
        <v/>
      </c>
      <c r="D526" s="88"/>
      <c r="E526" s="88"/>
      <c r="F526" s="88"/>
      <c r="G526" s="85"/>
      <c r="H526" s="85"/>
      <c r="I526" s="85"/>
      <c r="J526" s="85"/>
      <c r="K526" s="88"/>
      <c r="L526" s="88"/>
      <c r="M526" s="85"/>
      <c r="N526" s="85"/>
      <c r="O526" s="73"/>
    </row>
    <row r="527" customFormat="false" ht="15" hidden="false" customHeight="false" outlineLevel="0" collapsed="false">
      <c r="A527" s="87"/>
      <c r="B527" s="73"/>
      <c r="C527" s="91" t="str">
        <f aca="false">IF(B527="","",IFERROR(INDEX(الموظفون!$C$6:$C$105,MATCH(B527,الموظفون!$B$6:$B$105,0)),"✖ رقم غير موجود"))</f>
        <v/>
      </c>
      <c r="D527" s="88"/>
      <c r="E527" s="88"/>
      <c r="F527" s="88"/>
      <c r="G527" s="85"/>
      <c r="H527" s="85"/>
      <c r="I527" s="85"/>
      <c r="J527" s="85"/>
      <c r="K527" s="88"/>
      <c r="L527" s="88"/>
      <c r="M527" s="85"/>
      <c r="N527" s="85"/>
      <c r="O527" s="73"/>
    </row>
    <row r="528" customFormat="false" ht="15" hidden="false" customHeight="false" outlineLevel="0" collapsed="false">
      <c r="A528" s="87"/>
      <c r="B528" s="73"/>
      <c r="C528" s="74" t="str">
        <f aca="false">IF(B528="","",IFERROR(INDEX(الموظفون!$C$6:$C$105,MATCH(B528,الموظفون!$B$6:$B$105,0)),"✖ رقم غير موجود"))</f>
        <v/>
      </c>
      <c r="D528" s="88"/>
      <c r="E528" s="88"/>
      <c r="F528" s="88"/>
      <c r="G528" s="85"/>
      <c r="H528" s="85"/>
      <c r="I528" s="85"/>
      <c r="J528" s="85"/>
      <c r="K528" s="88"/>
      <c r="L528" s="88"/>
      <c r="M528" s="85"/>
      <c r="N528" s="85"/>
      <c r="O528" s="73"/>
    </row>
    <row r="529" customFormat="false" ht="15" hidden="false" customHeight="false" outlineLevel="0" collapsed="false">
      <c r="A529" s="87"/>
      <c r="B529" s="73"/>
      <c r="C529" s="91" t="str">
        <f aca="false">IF(B529="","",IFERROR(INDEX(الموظفون!$C$6:$C$105,MATCH(B529,الموظفون!$B$6:$B$105,0)),"✖ رقم غير موجود"))</f>
        <v/>
      </c>
      <c r="D529" s="88"/>
      <c r="E529" s="88"/>
      <c r="F529" s="88"/>
      <c r="G529" s="85"/>
      <c r="H529" s="85"/>
      <c r="I529" s="85"/>
      <c r="J529" s="85"/>
      <c r="K529" s="88"/>
      <c r="L529" s="88"/>
      <c r="M529" s="85"/>
      <c r="N529" s="85"/>
      <c r="O529" s="73"/>
    </row>
    <row r="530" customFormat="false" ht="15" hidden="false" customHeight="false" outlineLevel="0" collapsed="false">
      <c r="A530" s="87"/>
      <c r="B530" s="73"/>
      <c r="C530" s="74" t="str">
        <f aca="false">IF(B530="","",IFERROR(INDEX(الموظفون!$C$6:$C$105,MATCH(B530,الموظفون!$B$6:$B$105,0)),"✖ رقم غير موجود"))</f>
        <v/>
      </c>
      <c r="D530" s="88"/>
      <c r="E530" s="88"/>
      <c r="F530" s="88"/>
      <c r="G530" s="85"/>
      <c r="H530" s="85"/>
      <c r="I530" s="85"/>
      <c r="J530" s="85"/>
      <c r="K530" s="88"/>
      <c r="L530" s="88"/>
      <c r="M530" s="85"/>
      <c r="N530" s="85"/>
      <c r="O530" s="73"/>
    </row>
    <row r="531" customFormat="false" ht="15" hidden="false" customHeight="false" outlineLevel="0" collapsed="false">
      <c r="A531" s="87"/>
      <c r="B531" s="73"/>
      <c r="C531" s="91" t="str">
        <f aca="false">IF(B531="","",IFERROR(INDEX(الموظفون!$C$6:$C$105,MATCH(B531,الموظفون!$B$6:$B$105,0)),"✖ رقم غير موجود"))</f>
        <v/>
      </c>
      <c r="D531" s="88"/>
      <c r="E531" s="88"/>
      <c r="F531" s="88"/>
      <c r="G531" s="85"/>
      <c r="H531" s="85"/>
      <c r="I531" s="85"/>
      <c r="J531" s="85"/>
      <c r="K531" s="88"/>
      <c r="L531" s="88"/>
      <c r="M531" s="85"/>
      <c r="N531" s="85"/>
      <c r="O531" s="73"/>
    </row>
    <row r="532" customFormat="false" ht="15" hidden="false" customHeight="false" outlineLevel="0" collapsed="false">
      <c r="A532" s="87"/>
      <c r="B532" s="73"/>
      <c r="C532" s="74" t="str">
        <f aca="false">IF(B532="","",IFERROR(INDEX(الموظفون!$C$6:$C$105,MATCH(B532,الموظفون!$B$6:$B$105,0)),"✖ رقم غير موجود"))</f>
        <v/>
      </c>
      <c r="D532" s="88"/>
      <c r="E532" s="88"/>
      <c r="F532" s="88"/>
      <c r="G532" s="85"/>
      <c r="H532" s="85"/>
      <c r="I532" s="85"/>
      <c r="J532" s="85"/>
      <c r="K532" s="88"/>
      <c r="L532" s="88"/>
      <c r="M532" s="85"/>
      <c r="N532" s="85"/>
      <c r="O532" s="73"/>
    </row>
    <row r="533" customFormat="false" ht="15" hidden="false" customHeight="false" outlineLevel="0" collapsed="false">
      <c r="A533" s="87"/>
      <c r="B533" s="73"/>
      <c r="C533" s="91" t="str">
        <f aca="false">IF(B533="","",IFERROR(INDEX(الموظفون!$C$6:$C$105,MATCH(B533,الموظفون!$B$6:$B$105,0)),"✖ رقم غير موجود"))</f>
        <v/>
      </c>
      <c r="D533" s="88"/>
      <c r="E533" s="88"/>
      <c r="F533" s="88"/>
      <c r="G533" s="85"/>
      <c r="H533" s="85"/>
      <c r="I533" s="85"/>
      <c r="J533" s="85"/>
      <c r="K533" s="88"/>
      <c r="L533" s="88"/>
      <c r="M533" s="85"/>
      <c r="N533" s="85"/>
      <c r="O533" s="73"/>
    </row>
    <row r="534" customFormat="false" ht="15" hidden="false" customHeight="false" outlineLevel="0" collapsed="false">
      <c r="A534" s="87"/>
      <c r="B534" s="73"/>
      <c r="C534" s="74" t="str">
        <f aca="false">IF(B534="","",IFERROR(INDEX(الموظفون!$C$6:$C$105,MATCH(B534,الموظفون!$B$6:$B$105,0)),"✖ رقم غير موجود"))</f>
        <v/>
      </c>
      <c r="D534" s="88"/>
      <c r="E534" s="88"/>
      <c r="F534" s="88"/>
      <c r="G534" s="85"/>
      <c r="H534" s="85"/>
      <c r="I534" s="85"/>
      <c r="J534" s="85"/>
      <c r="K534" s="88"/>
      <c r="L534" s="88"/>
      <c r="M534" s="85"/>
      <c r="N534" s="85"/>
      <c r="O534" s="73"/>
    </row>
    <row r="535" customFormat="false" ht="15" hidden="false" customHeight="false" outlineLevel="0" collapsed="false">
      <c r="A535" s="87"/>
      <c r="B535" s="73"/>
      <c r="C535" s="91" t="str">
        <f aca="false">IF(B535="","",IFERROR(INDEX(الموظفون!$C$6:$C$105,MATCH(B535,الموظفون!$B$6:$B$105,0)),"✖ رقم غير موجود"))</f>
        <v/>
      </c>
      <c r="D535" s="88"/>
      <c r="E535" s="88"/>
      <c r="F535" s="88"/>
      <c r="G535" s="85"/>
      <c r="H535" s="85"/>
      <c r="I535" s="85"/>
      <c r="J535" s="85"/>
      <c r="K535" s="88"/>
      <c r="L535" s="88"/>
      <c r="M535" s="85"/>
      <c r="N535" s="85"/>
      <c r="O535" s="73"/>
    </row>
    <row r="536" customFormat="false" ht="15" hidden="false" customHeight="false" outlineLevel="0" collapsed="false">
      <c r="A536" s="87"/>
      <c r="B536" s="73"/>
      <c r="C536" s="74" t="str">
        <f aca="false">IF(B536="","",IFERROR(INDEX(الموظفون!$C$6:$C$105,MATCH(B536,الموظفون!$B$6:$B$105,0)),"✖ رقم غير موجود"))</f>
        <v/>
      </c>
      <c r="D536" s="88"/>
      <c r="E536" s="88"/>
      <c r="F536" s="88"/>
      <c r="G536" s="85"/>
      <c r="H536" s="85"/>
      <c r="I536" s="85"/>
      <c r="J536" s="85"/>
      <c r="K536" s="88"/>
      <c r="L536" s="88"/>
      <c r="M536" s="85"/>
      <c r="N536" s="85"/>
      <c r="O536" s="73"/>
    </row>
    <row r="537" customFormat="false" ht="15" hidden="false" customHeight="false" outlineLevel="0" collapsed="false">
      <c r="A537" s="87"/>
      <c r="B537" s="73"/>
      <c r="C537" s="91" t="str">
        <f aca="false">IF(B537="","",IFERROR(INDEX(الموظفون!$C$6:$C$105,MATCH(B537,الموظفون!$B$6:$B$105,0)),"✖ رقم غير موجود"))</f>
        <v/>
      </c>
      <c r="D537" s="88"/>
      <c r="E537" s="88"/>
      <c r="F537" s="88"/>
      <c r="G537" s="85"/>
      <c r="H537" s="85"/>
      <c r="I537" s="85"/>
      <c r="J537" s="85"/>
      <c r="K537" s="88"/>
      <c r="L537" s="88"/>
      <c r="M537" s="85"/>
      <c r="N537" s="85"/>
      <c r="O537" s="73"/>
    </row>
    <row r="538" customFormat="false" ht="15" hidden="false" customHeight="false" outlineLevel="0" collapsed="false">
      <c r="A538" s="87"/>
      <c r="B538" s="73"/>
      <c r="C538" s="74" t="str">
        <f aca="false">IF(B538="","",IFERROR(INDEX(الموظفون!$C$6:$C$105,MATCH(B538,الموظفون!$B$6:$B$105,0)),"✖ رقم غير موجود"))</f>
        <v/>
      </c>
      <c r="D538" s="88"/>
      <c r="E538" s="88"/>
      <c r="F538" s="88"/>
      <c r="G538" s="85"/>
      <c r="H538" s="85"/>
      <c r="I538" s="85"/>
      <c r="J538" s="85"/>
      <c r="K538" s="88"/>
      <c r="L538" s="88"/>
      <c r="M538" s="85"/>
      <c r="N538" s="85"/>
      <c r="O538" s="73"/>
    </row>
    <row r="539" customFormat="false" ht="15" hidden="false" customHeight="false" outlineLevel="0" collapsed="false">
      <c r="A539" s="87"/>
      <c r="B539" s="73"/>
      <c r="C539" s="91" t="str">
        <f aca="false">IF(B539="","",IFERROR(INDEX(الموظفون!$C$6:$C$105,MATCH(B539,الموظفون!$B$6:$B$105,0)),"✖ رقم غير موجود"))</f>
        <v/>
      </c>
      <c r="D539" s="88"/>
      <c r="E539" s="88"/>
      <c r="F539" s="88"/>
      <c r="G539" s="85"/>
      <c r="H539" s="85"/>
      <c r="I539" s="85"/>
      <c r="J539" s="85"/>
      <c r="K539" s="88"/>
      <c r="L539" s="88"/>
      <c r="M539" s="85"/>
      <c r="N539" s="85"/>
      <c r="O539" s="73"/>
    </row>
    <row r="540" customFormat="false" ht="15" hidden="false" customHeight="false" outlineLevel="0" collapsed="false">
      <c r="A540" s="87"/>
      <c r="B540" s="73"/>
      <c r="C540" s="74" t="str">
        <f aca="false">IF(B540="","",IFERROR(INDEX(الموظفون!$C$6:$C$105,MATCH(B540,الموظفون!$B$6:$B$105,0)),"✖ رقم غير موجود"))</f>
        <v/>
      </c>
      <c r="D540" s="88"/>
      <c r="E540" s="88"/>
      <c r="F540" s="88"/>
      <c r="G540" s="85"/>
      <c r="H540" s="85"/>
      <c r="I540" s="85"/>
      <c r="J540" s="85"/>
      <c r="K540" s="88"/>
      <c r="L540" s="88"/>
      <c r="M540" s="85"/>
      <c r="N540" s="85"/>
      <c r="O540" s="73"/>
    </row>
    <row r="541" customFormat="false" ht="15" hidden="false" customHeight="false" outlineLevel="0" collapsed="false">
      <c r="A541" s="87"/>
      <c r="B541" s="73"/>
      <c r="C541" s="91" t="str">
        <f aca="false">IF(B541="","",IFERROR(INDEX(الموظفون!$C$6:$C$105,MATCH(B541,الموظفون!$B$6:$B$105,0)),"✖ رقم غير موجود"))</f>
        <v/>
      </c>
      <c r="D541" s="88"/>
      <c r="E541" s="88"/>
      <c r="F541" s="88"/>
      <c r="G541" s="85"/>
      <c r="H541" s="85"/>
      <c r="I541" s="85"/>
      <c r="J541" s="85"/>
      <c r="K541" s="88"/>
      <c r="L541" s="88"/>
      <c r="M541" s="85"/>
      <c r="N541" s="85"/>
      <c r="O541" s="73"/>
    </row>
    <row r="542" customFormat="false" ht="15" hidden="false" customHeight="false" outlineLevel="0" collapsed="false">
      <c r="A542" s="87"/>
      <c r="B542" s="73"/>
      <c r="C542" s="74" t="str">
        <f aca="false">IF(B542="","",IFERROR(INDEX(الموظفون!$C$6:$C$105,MATCH(B542,الموظفون!$B$6:$B$105,0)),"✖ رقم غير موجود"))</f>
        <v/>
      </c>
      <c r="D542" s="88"/>
      <c r="E542" s="88"/>
      <c r="F542" s="88"/>
      <c r="G542" s="85"/>
      <c r="H542" s="85"/>
      <c r="I542" s="85"/>
      <c r="J542" s="85"/>
      <c r="K542" s="88"/>
      <c r="L542" s="88"/>
      <c r="M542" s="85"/>
      <c r="N542" s="85"/>
      <c r="O542" s="73"/>
    </row>
    <row r="543" customFormat="false" ht="15" hidden="false" customHeight="false" outlineLevel="0" collapsed="false">
      <c r="A543" s="87"/>
      <c r="B543" s="73"/>
      <c r="C543" s="91" t="str">
        <f aca="false">IF(B543="","",IFERROR(INDEX(الموظفون!$C$6:$C$105,MATCH(B543,الموظفون!$B$6:$B$105,0)),"✖ رقم غير موجود"))</f>
        <v/>
      </c>
      <c r="D543" s="88"/>
      <c r="E543" s="88"/>
      <c r="F543" s="88"/>
      <c r="G543" s="85"/>
      <c r="H543" s="85"/>
      <c r="I543" s="85"/>
      <c r="J543" s="85"/>
      <c r="K543" s="88"/>
      <c r="L543" s="88"/>
      <c r="M543" s="85"/>
      <c r="N543" s="85"/>
      <c r="O543" s="73"/>
    </row>
    <row r="544" customFormat="false" ht="15" hidden="false" customHeight="false" outlineLevel="0" collapsed="false">
      <c r="A544" s="87"/>
      <c r="B544" s="73"/>
      <c r="C544" s="74" t="str">
        <f aca="false">IF(B544="","",IFERROR(INDEX(الموظفون!$C$6:$C$105,MATCH(B544,الموظفون!$B$6:$B$105,0)),"✖ رقم غير موجود"))</f>
        <v/>
      </c>
      <c r="D544" s="88"/>
      <c r="E544" s="88"/>
      <c r="F544" s="88"/>
      <c r="G544" s="85"/>
      <c r="H544" s="85"/>
      <c r="I544" s="85"/>
      <c r="J544" s="85"/>
      <c r="K544" s="88"/>
      <c r="L544" s="88"/>
      <c r="M544" s="85"/>
      <c r="N544" s="85"/>
      <c r="O544" s="73"/>
    </row>
    <row r="545" customFormat="false" ht="15" hidden="false" customHeight="false" outlineLevel="0" collapsed="false">
      <c r="A545" s="87"/>
      <c r="B545" s="73"/>
      <c r="C545" s="91" t="str">
        <f aca="false">IF(B545="","",IFERROR(INDEX(الموظفون!$C$6:$C$105,MATCH(B545,الموظفون!$B$6:$B$105,0)),"✖ رقم غير موجود"))</f>
        <v/>
      </c>
      <c r="D545" s="88"/>
      <c r="E545" s="88"/>
      <c r="F545" s="88"/>
      <c r="G545" s="85"/>
      <c r="H545" s="85"/>
      <c r="I545" s="85"/>
      <c r="J545" s="85"/>
      <c r="K545" s="88"/>
      <c r="L545" s="88"/>
      <c r="M545" s="85"/>
      <c r="N545" s="85"/>
      <c r="O545" s="73"/>
    </row>
    <row r="546" customFormat="false" ht="15" hidden="false" customHeight="false" outlineLevel="0" collapsed="false">
      <c r="A546" s="87"/>
      <c r="B546" s="73"/>
      <c r="C546" s="74" t="str">
        <f aca="false">IF(B546="","",IFERROR(INDEX(الموظفون!$C$6:$C$105,MATCH(B546,الموظفون!$B$6:$B$105,0)),"✖ رقم غير موجود"))</f>
        <v/>
      </c>
      <c r="D546" s="88"/>
      <c r="E546" s="88"/>
      <c r="F546" s="88"/>
      <c r="G546" s="85"/>
      <c r="H546" s="85"/>
      <c r="I546" s="85"/>
      <c r="J546" s="85"/>
      <c r="K546" s="88"/>
      <c r="L546" s="88"/>
      <c r="M546" s="85"/>
      <c r="N546" s="85"/>
      <c r="O546" s="73"/>
    </row>
    <row r="547" customFormat="false" ht="15" hidden="false" customHeight="false" outlineLevel="0" collapsed="false">
      <c r="A547" s="87"/>
      <c r="B547" s="73"/>
      <c r="C547" s="91" t="str">
        <f aca="false">IF(B547="","",IFERROR(INDEX(الموظفون!$C$6:$C$105,MATCH(B547,الموظفون!$B$6:$B$105,0)),"✖ رقم غير موجود"))</f>
        <v/>
      </c>
      <c r="D547" s="88"/>
      <c r="E547" s="88"/>
      <c r="F547" s="88"/>
      <c r="G547" s="85"/>
      <c r="H547" s="85"/>
      <c r="I547" s="85"/>
      <c r="J547" s="85"/>
      <c r="K547" s="88"/>
      <c r="L547" s="88"/>
      <c r="M547" s="85"/>
      <c r="N547" s="85"/>
      <c r="O547" s="73"/>
    </row>
    <row r="548" customFormat="false" ht="15" hidden="false" customHeight="false" outlineLevel="0" collapsed="false">
      <c r="A548" s="87"/>
      <c r="B548" s="73"/>
      <c r="C548" s="74" t="str">
        <f aca="false">IF(B548="","",IFERROR(INDEX(الموظفون!$C$6:$C$105,MATCH(B548,الموظفون!$B$6:$B$105,0)),"✖ رقم غير موجود"))</f>
        <v/>
      </c>
      <c r="D548" s="88"/>
      <c r="E548" s="88"/>
      <c r="F548" s="88"/>
      <c r="G548" s="85"/>
      <c r="H548" s="85"/>
      <c r="I548" s="85"/>
      <c r="J548" s="85"/>
      <c r="K548" s="88"/>
      <c r="L548" s="88"/>
      <c r="M548" s="85"/>
      <c r="N548" s="85"/>
      <c r="O548" s="73"/>
    </row>
    <row r="549" customFormat="false" ht="15" hidden="false" customHeight="false" outlineLevel="0" collapsed="false">
      <c r="A549" s="87"/>
      <c r="B549" s="73"/>
      <c r="C549" s="91" t="str">
        <f aca="false">IF(B549="","",IFERROR(INDEX(الموظفون!$C$6:$C$105,MATCH(B549,الموظفون!$B$6:$B$105,0)),"✖ رقم غير موجود"))</f>
        <v/>
      </c>
      <c r="D549" s="88"/>
      <c r="E549" s="88"/>
      <c r="F549" s="88"/>
      <c r="G549" s="85"/>
      <c r="H549" s="85"/>
      <c r="I549" s="85"/>
      <c r="J549" s="85"/>
      <c r="K549" s="88"/>
      <c r="L549" s="88"/>
      <c r="M549" s="85"/>
      <c r="N549" s="85"/>
      <c r="O549" s="73"/>
    </row>
    <row r="550" customFormat="false" ht="15" hidden="false" customHeight="false" outlineLevel="0" collapsed="false">
      <c r="A550" s="87"/>
      <c r="B550" s="73"/>
      <c r="C550" s="74" t="str">
        <f aca="false">IF(B550="","",IFERROR(INDEX(الموظفون!$C$6:$C$105,MATCH(B550,الموظفون!$B$6:$B$105,0)),"✖ رقم غير موجود"))</f>
        <v/>
      </c>
      <c r="D550" s="88"/>
      <c r="E550" s="88"/>
      <c r="F550" s="88"/>
      <c r="G550" s="85"/>
      <c r="H550" s="85"/>
      <c r="I550" s="85"/>
      <c r="J550" s="85"/>
      <c r="K550" s="88"/>
      <c r="L550" s="88"/>
      <c r="M550" s="85"/>
      <c r="N550" s="85"/>
      <c r="O550" s="73"/>
    </row>
    <row r="551" customFormat="false" ht="15" hidden="false" customHeight="false" outlineLevel="0" collapsed="false">
      <c r="A551" s="87"/>
      <c r="B551" s="73"/>
      <c r="C551" s="91" t="str">
        <f aca="false">IF(B551="","",IFERROR(INDEX(الموظفون!$C$6:$C$105,MATCH(B551,الموظفون!$B$6:$B$105,0)),"✖ رقم غير موجود"))</f>
        <v/>
      </c>
      <c r="D551" s="88"/>
      <c r="E551" s="88"/>
      <c r="F551" s="88"/>
      <c r="G551" s="85"/>
      <c r="H551" s="85"/>
      <c r="I551" s="85"/>
      <c r="J551" s="85"/>
      <c r="K551" s="88"/>
      <c r="L551" s="88"/>
      <c r="M551" s="85"/>
      <c r="N551" s="85"/>
      <c r="O551" s="73"/>
    </row>
    <row r="552" customFormat="false" ht="15" hidden="false" customHeight="false" outlineLevel="0" collapsed="false">
      <c r="A552" s="87"/>
      <c r="B552" s="73"/>
      <c r="C552" s="74" t="str">
        <f aca="false">IF(B552="","",IFERROR(INDEX(الموظفون!$C$6:$C$105,MATCH(B552,الموظفون!$B$6:$B$105,0)),"✖ رقم غير موجود"))</f>
        <v/>
      </c>
      <c r="D552" s="88"/>
      <c r="E552" s="88"/>
      <c r="F552" s="88"/>
      <c r="G552" s="85"/>
      <c r="H552" s="85"/>
      <c r="I552" s="85"/>
      <c r="J552" s="85"/>
      <c r="K552" s="88"/>
      <c r="L552" s="88"/>
      <c r="M552" s="85"/>
      <c r="N552" s="85"/>
      <c r="O552" s="73"/>
    </row>
    <row r="553" customFormat="false" ht="15" hidden="false" customHeight="false" outlineLevel="0" collapsed="false">
      <c r="A553" s="87"/>
      <c r="B553" s="73"/>
      <c r="C553" s="91" t="str">
        <f aca="false">IF(B553="","",IFERROR(INDEX(الموظفون!$C$6:$C$105,MATCH(B553,الموظفون!$B$6:$B$105,0)),"✖ رقم غير موجود"))</f>
        <v/>
      </c>
      <c r="D553" s="88"/>
      <c r="E553" s="88"/>
      <c r="F553" s="88"/>
      <c r="G553" s="85"/>
      <c r="H553" s="85"/>
      <c r="I553" s="85"/>
      <c r="J553" s="85"/>
      <c r="K553" s="88"/>
      <c r="L553" s="88"/>
      <c r="M553" s="85"/>
      <c r="N553" s="85"/>
      <c r="O553" s="73"/>
    </row>
    <row r="554" customFormat="false" ht="15" hidden="false" customHeight="false" outlineLevel="0" collapsed="false">
      <c r="A554" s="87"/>
      <c r="B554" s="73"/>
      <c r="C554" s="74" t="str">
        <f aca="false">IF(B554="","",IFERROR(INDEX(الموظفون!$C$6:$C$105,MATCH(B554,الموظفون!$B$6:$B$105,0)),"✖ رقم غير موجود"))</f>
        <v/>
      </c>
      <c r="D554" s="88"/>
      <c r="E554" s="88"/>
      <c r="F554" s="88"/>
      <c r="G554" s="85"/>
      <c r="H554" s="85"/>
      <c r="I554" s="85"/>
      <c r="J554" s="85"/>
      <c r="K554" s="88"/>
      <c r="L554" s="88"/>
      <c r="M554" s="85"/>
      <c r="N554" s="85"/>
      <c r="O554" s="73"/>
    </row>
    <row r="555" customFormat="false" ht="15" hidden="false" customHeight="false" outlineLevel="0" collapsed="false">
      <c r="A555" s="87"/>
      <c r="B555" s="73"/>
      <c r="C555" s="91" t="str">
        <f aca="false">IF(B555="","",IFERROR(INDEX(الموظفون!$C$6:$C$105,MATCH(B555,الموظفون!$B$6:$B$105,0)),"✖ رقم غير موجود"))</f>
        <v/>
      </c>
      <c r="D555" s="88"/>
      <c r="E555" s="88"/>
      <c r="F555" s="88"/>
      <c r="G555" s="85"/>
      <c r="H555" s="85"/>
      <c r="I555" s="85"/>
      <c r="J555" s="85"/>
      <c r="K555" s="88"/>
      <c r="L555" s="88"/>
      <c r="M555" s="85"/>
      <c r="N555" s="85"/>
      <c r="O555" s="73"/>
    </row>
    <row r="556" customFormat="false" ht="15" hidden="false" customHeight="false" outlineLevel="0" collapsed="false">
      <c r="A556" s="87"/>
      <c r="B556" s="73"/>
      <c r="C556" s="74" t="str">
        <f aca="false">IF(B556="","",IFERROR(INDEX(الموظفون!$C$6:$C$105,MATCH(B556,الموظفون!$B$6:$B$105,0)),"✖ رقم غير موجود"))</f>
        <v/>
      </c>
      <c r="D556" s="88"/>
      <c r="E556" s="88"/>
      <c r="F556" s="88"/>
      <c r="G556" s="85"/>
      <c r="H556" s="85"/>
      <c r="I556" s="85"/>
      <c r="J556" s="85"/>
      <c r="K556" s="88"/>
      <c r="L556" s="88"/>
      <c r="M556" s="85"/>
      <c r="N556" s="85"/>
      <c r="O556" s="73"/>
    </row>
    <row r="557" customFormat="false" ht="15" hidden="false" customHeight="false" outlineLevel="0" collapsed="false">
      <c r="A557" s="87"/>
      <c r="B557" s="73"/>
      <c r="C557" s="91" t="str">
        <f aca="false">IF(B557="","",IFERROR(INDEX(الموظفون!$C$6:$C$105,MATCH(B557,الموظفون!$B$6:$B$105,0)),"✖ رقم غير موجود"))</f>
        <v/>
      </c>
      <c r="D557" s="88"/>
      <c r="E557" s="88"/>
      <c r="F557" s="88"/>
      <c r="G557" s="85"/>
      <c r="H557" s="85"/>
      <c r="I557" s="85"/>
      <c r="J557" s="85"/>
      <c r="K557" s="88"/>
      <c r="L557" s="88"/>
      <c r="M557" s="85"/>
      <c r="N557" s="85"/>
      <c r="O557" s="73"/>
    </row>
    <row r="558" customFormat="false" ht="15" hidden="false" customHeight="false" outlineLevel="0" collapsed="false">
      <c r="A558" s="87"/>
      <c r="B558" s="73"/>
      <c r="C558" s="74" t="str">
        <f aca="false">IF(B558="","",IFERROR(INDEX(الموظفون!$C$6:$C$105,MATCH(B558,الموظفون!$B$6:$B$105,0)),"✖ رقم غير موجود"))</f>
        <v/>
      </c>
      <c r="D558" s="88"/>
      <c r="E558" s="88"/>
      <c r="F558" s="88"/>
      <c r="G558" s="85"/>
      <c r="H558" s="85"/>
      <c r="I558" s="85"/>
      <c r="J558" s="85"/>
      <c r="K558" s="88"/>
      <c r="L558" s="88"/>
      <c r="M558" s="85"/>
      <c r="N558" s="85"/>
      <c r="O558" s="73"/>
    </row>
    <row r="559" customFormat="false" ht="15" hidden="false" customHeight="false" outlineLevel="0" collapsed="false">
      <c r="A559" s="87"/>
      <c r="B559" s="73"/>
      <c r="C559" s="91" t="str">
        <f aca="false">IF(B559="","",IFERROR(INDEX(الموظفون!$C$6:$C$105,MATCH(B559,الموظفون!$B$6:$B$105,0)),"✖ رقم غير موجود"))</f>
        <v/>
      </c>
      <c r="D559" s="88"/>
      <c r="E559" s="88"/>
      <c r="F559" s="88"/>
      <c r="G559" s="85"/>
      <c r="H559" s="85"/>
      <c r="I559" s="85"/>
      <c r="J559" s="85"/>
      <c r="K559" s="88"/>
      <c r="L559" s="88"/>
      <c r="M559" s="85"/>
      <c r="N559" s="85"/>
      <c r="O559" s="73"/>
    </row>
    <row r="560" customFormat="false" ht="15" hidden="false" customHeight="false" outlineLevel="0" collapsed="false">
      <c r="A560" s="87"/>
      <c r="B560" s="73"/>
      <c r="C560" s="74" t="str">
        <f aca="false">IF(B560="","",IFERROR(INDEX(الموظفون!$C$6:$C$105,MATCH(B560,الموظفون!$B$6:$B$105,0)),"✖ رقم غير موجود"))</f>
        <v/>
      </c>
      <c r="D560" s="88"/>
      <c r="E560" s="88"/>
      <c r="F560" s="88"/>
      <c r="G560" s="85"/>
      <c r="H560" s="85"/>
      <c r="I560" s="85"/>
      <c r="J560" s="85"/>
      <c r="K560" s="88"/>
      <c r="L560" s="88"/>
      <c r="M560" s="85"/>
      <c r="N560" s="85"/>
      <c r="O560" s="73"/>
    </row>
    <row r="561" customFormat="false" ht="15" hidden="false" customHeight="false" outlineLevel="0" collapsed="false">
      <c r="A561" s="87"/>
      <c r="B561" s="73"/>
      <c r="C561" s="91" t="str">
        <f aca="false">IF(B561="","",IFERROR(INDEX(الموظفون!$C$6:$C$105,MATCH(B561,الموظفون!$B$6:$B$105,0)),"✖ رقم غير موجود"))</f>
        <v/>
      </c>
      <c r="D561" s="88"/>
      <c r="E561" s="88"/>
      <c r="F561" s="88"/>
      <c r="G561" s="85"/>
      <c r="H561" s="85"/>
      <c r="I561" s="85"/>
      <c r="J561" s="85"/>
      <c r="K561" s="88"/>
      <c r="L561" s="88"/>
      <c r="M561" s="85"/>
      <c r="N561" s="85"/>
      <c r="O561" s="73"/>
    </row>
    <row r="562" customFormat="false" ht="15" hidden="false" customHeight="false" outlineLevel="0" collapsed="false">
      <c r="A562" s="87"/>
      <c r="B562" s="73"/>
      <c r="C562" s="74" t="str">
        <f aca="false">IF(B562="","",IFERROR(INDEX(الموظفون!$C$6:$C$105,MATCH(B562,الموظفون!$B$6:$B$105,0)),"✖ رقم غير موجود"))</f>
        <v/>
      </c>
      <c r="D562" s="88"/>
      <c r="E562" s="88"/>
      <c r="F562" s="88"/>
      <c r="G562" s="85"/>
      <c r="H562" s="85"/>
      <c r="I562" s="85"/>
      <c r="J562" s="85"/>
      <c r="K562" s="88"/>
      <c r="L562" s="88"/>
      <c r="M562" s="85"/>
      <c r="N562" s="85"/>
      <c r="O562" s="73"/>
    </row>
    <row r="563" customFormat="false" ht="15" hidden="false" customHeight="false" outlineLevel="0" collapsed="false">
      <c r="A563" s="87"/>
      <c r="B563" s="73"/>
      <c r="C563" s="91" t="str">
        <f aca="false">IF(B563="","",IFERROR(INDEX(الموظفون!$C$6:$C$105,MATCH(B563,الموظفون!$B$6:$B$105,0)),"✖ رقم غير موجود"))</f>
        <v/>
      </c>
      <c r="D563" s="88"/>
      <c r="E563" s="88"/>
      <c r="F563" s="88"/>
      <c r="G563" s="85"/>
      <c r="H563" s="85"/>
      <c r="I563" s="85"/>
      <c r="J563" s="85"/>
      <c r="K563" s="88"/>
      <c r="L563" s="88"/>
      <c r="M563" s="85"/>
      <c r="N563" s="85"/>
      <c r="O563" s="73"/>
    </row>
    <row r="564" customFormat="false" ht="15" hidden="false" customHeight="false" outlineLevel="0" collapsed="false">
      <c r="A564" s="87"/>
      <c r="B564" s="73"/>
      <c r="C564" s="74" t="str">
        <f aca="false">IF(B564="","",IFERROR(INDEX(الموظفون!$C$6:$C$105,MATCH(B564,الموظفون!$B$6:$B$105,0)),"✖ رقم غير موجود"))</f>
        <v/>
      </c>
      <c r="D564" s="88"/>
      <c r="E564" s="88"/>
      <c r="F564" s="88"/>
      <c r="G564" s="85"/>
      <c r="H564" s="85"/>
      <c r="I564" s="85"/>
      <c r="J564" s="85"/>
      <c r="K564" s="88"/>
      <c r="L564" s="88"/>
      <c r="M564" s="85"/>
      <c r="N564" s="85"/>
      <c r="O564" s="73"/>
    </row>
    <row r="565" customFormat="false" ht="15" hidden="false" customHeight="false" outlineLevel="0" collapsed="false">
      <c r="A565" s="87"/>
      <c r="B565" s="73"/>
      <c r="C565" s="91" t="str">
        <f aca="false">IF(B565="","",IFERROR(INDEX(الموظفون!$C$6:$C$105,MATCH(B565,الموظفون!$B$6:$B$105,0)),"✖ رقم غير موجود"))</f>
        <v/>
      </c>
      <c r="D565" s="88"/>
      <c r="E565" s="88"/>
      <c r="F565" s="88"/>
      <c r="G565" s="85"/>
      <c r="H565" s="85"/>
      <c r="I565" s="85"/>
      <c r="J565" s="85"/>
      <c r="K565" s="88"/>
      <c r="L565" s="88"/>
      <c r="M565" s="85"/>
      <c r="N565" s="85"/>
      <c r="O565" s="73"/>
    </row>
    <row r="566" customFormat="false" ht="15" hidden="false" customHeight="false" outlineLevel="0" collapsed="false">
      <c r="A566" s="87"/>
      <c r="B566" s="73"/>
      <c r="C566" s="74" t="str">
        <f aca="false">IF(B566="","",IFERROR(INDEX(الموظفون!$C$6:$C$105,MATCH(B566,الموظفون!$B$6:$B$105,0)),"✖ رقم غير موجود"))</f>
        <v/>
      </c>
      <c r="D566" s="88"/>
      <c r="E566" s="88"/>
      <c r="F566" s="88"/>
      <c r="G566" s="85"/>
      <c r="H566" s="85"/>
      <c r="I566" s="85"/>
      <c r="J566" s="85"/>
      <c r="K566" s="88"/>
      <c r="L566" s="88"/>
      <c r="M566" s="85"/>
      <c r="N566" s="85"/>
      <c r="O566" s="73"/>
    </row>
    <row r="567" customFormat="false" ht="15" hidden="false" customHeight="false" outlineLevel="0" collapsed="false">
      <c r="A567" s="87"/>
      <c r="B567" s="73"/>
      <c r="C567" s="91" t="str">
        <f aca="false">IF(B567="","",IFERROR(INDEX(الموظفون!$C$6:$C$105,MATCH(B567,الموظفون!$B$6:$B$105,0)),"✖ رقم غير موجود"))</f>
        <v/>
      </c>
      <c r="D567" s="88"/>
      <c r="E567" s="88"/>
      <c r="F567" s="88"/>
      <c r="G567" s="85"/>
      <c r="H567" s="85"/>
      <c r="I567" s="85"/>
      <c r="J567" s="85"/>
      <c r="K567" s="88"/>
      <c r="L567" s="88"/>
      <c r="M567" s="85"/>
      <c r="N567" s="85"/>
      <c r="O567" s="73"/>
    </row>
    <row r="568" customFormat="false" ht="15" hidden="false" customHeight="false" outlineLevel="0" collapsed="false">
      <c r="A568" s="87"/>
      <c r="B568" s="73"/>
      <c r="C568" s="74" t="str">
        <f aca="false">IF(B568="","",IFERROR(INDEX(الموظفون!$C$6:$C$105,MATCH(B568,الموظفون!$B$6:$B$105,0)),"✖ رقم غير موجود"))</f>
        <v/>
      </c>
      <c r="D568" s="88"/>
      <c r="E568" s="88"/>
      <c r="F568" s="88"/>
      <c r="G568" s="85"/>
      <c r="H568" s="85"/>
      <c r="I568" s="85"/>
      <c r="J568" s="85"/>
      <c r="K568" s="88"/>
      <c r="L568" s="88"/>
      <c r="M568" s="85"/>
      <c r="N568" s="85"/>
      <c r="O568" s="73"/>
    </row>
    <row r="569" customFormat="false" ht="15" hidden="false" customHeight="false" outlineLevel="0" collapsed="false">
      <c r="A569" s="87"/>
      <c r="B569" s="73"/>
      <c r="C569" s="91" t="str">
        <f aca="false">IF(B569="","",IFERROR(INDEX(الموظفون!$C$6:$C$105,MATCH(B569,الموظفون!$B$6:$B$105,0)),"✖ رقم غير موجود"))</f>
        <v/>
      </c>
      <c r="D569" s="88"/>
      <c r="E569" s="88"/>
      <c r="F569" s="88"/>
      <c r="G569" s="85"/>
      <c r="H569" s="85"/>
      <c r="I569" s="85"/>
      <c r="J569" s="85"/>
      <c r="K569" s="88"/>
      <c r="L569" s="88"/>
      <c r="M569" s="85"/>
      <c r="N569" s="85"/>
      <c r="O569" s="73"/>
    </row>
    <row r="570" customFormat="false" ht="15" hidden="false" customHeight="false" outlineLevel="0" collapsed="false">
      <c r="A570" s="87"/>
      <c r="B570" s="73"/>
      <c r="C570" s="74" t="str">
        <f aca="false">IF(B570="","",IFERROR(INDEX(الموظفون!$C$6:$C$105,MATCH(B570,الموظفون!$B$6:$B$105,0)),"✖ رقم غير موجود"))</f>
        <v/>
      </c>
      <c r="D570" s="88"/>
      <c r="E570" s="88"/>
      <c r="F570" s="88"/>
      <c r="G570" s="85"/>
      <c r="H570" s="85"/>
      <c r="I570" s="85"/>
      <c r="J570" s="85"/>
      <c r="K570" s="88"/>
      <c r="L570" s="88"/>
      <c r="M570" s="85"/>
      <c r="N570" s="85"/>
      <c r="O570" s="73"/>
    </row>
    <row r="571" customFormat="false" ht="15" hidden="false" customHeight="false" outlineLevel="0" collapsed="false">
      <c r="A571" s="87"/>
      <c r="B571" s="73"/>
      <c r="C571" s="91" t="str">
        <f aca="false">IF(B571="","",IFERROR(INDEX(الموظفون!$C$6:$C$105,MATCH(B571,الموظفون!$B$6:$B$105,0)),"✖ رقم غير موجود"))</f>
        <v/>
      </c>
      <c r="D571" s="88"/>
      <c r="E571" s="88"/>
      <c r="F571" s="88"/>
      <c r="G571" s="85"/>
      <c r="H571" s="85"/>
      <c r="I571" s="85"/>
      <c r="J571" s="85"/>
      <c r="K571" s="88"/>
      <c r="L571" s="88"/>
      <c r="M571" s="85"/>
      <c r="N571" s="85"/>
      <c r="O571" s="73"/>
    </row>
    <row r="572" customFormat="false" ht="15" hidden="false" customHeight="false" outlineLevel="0" collapsed="false">
      <c r="A572" s="87"/>
      <c r="B572" s="73"/>
      <c r="C572" s="74" t="str">
        <f aca="false">IF(B572="","",IFERROR(INDEX(الموظفون!$C$6:$C$105,MATCH(B572,الموظفون!$B$6:$B$105,0)),"✖ رقم غير موجود"))</f>
        <v/>
      </c>
      <c r="D572" s="88"/>
      <c r="E572" s="88"/>
      <c r="F572" s="88"/>
      <c r="G572" s="85"/>
      <c r="H572" s="85"/>
      <c r="I572" s="85"/>
      <c r="J572" s="85"/>
      <c r="K572" s="88"/>
      <c r="L572" s="88"/>
      <c r="M572" s="85"/>
      <c r="N572" s="85"/>
      <c r="O572" s="73"/>
    </row>
    <row r="573" customFormat="false" ht="15" hidden="false" customHeight="false" outlineLevel="0" collapsed="false">
      <c r="A573" s="87"/>
      <c r="B573" s="73"/>
      <c r="C573" s="91" t="str">
        <f aca="false">IF(B573="","",IFERROR(INDEX(الموظفون!$C$6:$C$105,MATCH(B573,الموظفون!$B$6:$B$105,0)),"✖ رقم غير موجود"))</f>
        <v/>
      </c>
      <c r="D573" s="88"/>
      <c r="E573" s="88"/>
      <c r="F573" s="88"/>
      <c r="G573" s="85"/>
      <c r="H573" s="85"/>
      <c r="I573" s="85"/>
      <c r="J573" s="85"/>
      <c r="K573" s="88"/>
      <c r="L573" s="88"/>
      <c r="M573" s="85"/>
      <c r="N573" s="85"/>
      <c r="O573" s="73"/>
    </row>
    <row r="574" customFormat="false" ht="15" hidden="false" customHeight="false" outlineLevel="0" collapsed="false">
      <c r="A574" s="87"/>
      <c r="B574" s="73"/>
      <c r="C574" s="74" t="str">
        <f aca="false">IF(B574="","",IFERROR(INDEX(الموظفون!$C$6:$C$105,MATCH(B574,الموظفون!$B$6:$B$105,0)),"✖ رقم غير موجود"))</f>
        <v/>
      </c>
      <c r="D574" s="88"/>
      <c r="E574" s="88"/>
      <c r="F574" s="88"/>
      <c r="G574" s="85"/>
      <c r="H574" s="85"/>
      <c r="I574" s="85"/>
      <c r="J574" s="85"/>
      <c r="K574" s="88"/>
      <c r="L574" s="88"/>
      <c r="M574" s="85"/>
      <c r="N574" s="85"/>
      <c r="O574" s="73"/>
    </row>
    <row r="575" customFormat="false" ht="15" hidden="false" customHeight="false" outlineLevel="0" collapsed="false">
      <c r="A575" s="87"/>
      <c r="B575" s="73"/>
      <c r="C575" s="91" t="str">
        <f aca="false">IF(B575="","",IFERROR(INDEX(الموظفون!$C$6:$C$105,MATCH(B575,الموظفون!$B$6:$B$105,0)),"✖ رقم غير موجود"))</f>
        <v/>
      </c>
      <c r="D575" s="88"/>
      <c r="E575" s="88"/>
      <c r="F575" s="88"/>
      <c r="G575" s="85"/>
      <c r="H575" s="85"/>
      <c r="I575" s="85"/>
      <c r="J575" s="85"/>
      <c r="K575" s="88"/>
      <c r="L575" s="88"/>
      <c r="M575" s="85"/>
      <c r="N575" s="85"/>
      <c r="O575" s="73"/>
    </row>
    <row r="576" customFormat="false" ht="15" hidden="false" customHeight="false" outlineLevel="0" collapsed="false">
      <c r="A576" s="87"/>
      <c r="B576" s="73"/>
      <c r="C576" s="74" t="str">
        <f aca="false">IF(B576="","",IFERROR(INDEX(الموظفون!$C$6:$C$105,MATCH(B576,الموظفون!$B$6:$B$105,0)),"✖ رقم غير موجود"))</f>
        <v/>
      </c>
      <c r="D576" s="88"/>
      <c r="E576" s="88"/>
      <c r="F576" s="88"/>
      <c r="G576" s="85"/>
      <c r="H576" s="85"/>
      <c r="I576" s="85"/>
      <c r="J576" s="85"/>
      <c r="K576" s="88"/>
      <c r="L576" s="88"/>
      <c r="M576" s="85"/>
      <c r="N576" s="85"/>
      <c r="O576" s="73"/>
    </row>
    <row r="577" customFormat="false" ht="15" hidden="false" customHeight="false" outlineLevel="0" collapsed="false">
      <c r="A577" s="87"/>
      <c r="B577" s="73"/>
      <c r="C577" s="91" t="str">
        <f aca="false">IF(B577="","",IFERROR(INDEX(الموظفون!$C$6:$C$105,MATCH(B577,الموظفون!$B$6:$B$105,0)),"✖ رقم غير موجود"))</f>
        <v/>
      </c>
      <c r="D577" s="88"/>
      <c r="E577" s="88"/>
      <c r="F577" s="88"/>
      <c r="G577" s="85"/>
      <c r="H577" s="85"/>
      <c r="I577" s="85"/>
      <c r="J577" s="85"/>
      <c r="K577" s="88"/>
      <c r="L577" s="88"/>
      <c r="M577" s="85"/>
      <c r="N577" s="85"/>
      <c r="O577" s="73"/>
    </row>
    <row r="578" customFormat="false" ht="15" hidden="false" customHeight="false" outlineLevel="0" collapsed="false">
      <c r="A578" s="87"/>
      <c r="B578" s="73"/>
      <c r="C578" s="74" t="str">
        <f aca="false">IF(B578="","",IFERROR(INDEX(الموظفون!$C$6:$C$105,MATCH(B578,الموظفون!$B$6:$B$105,0)),"✖ رقم غير موجود"))</f>
        <v/>
      </c>
      <c r="D578" s="88"/>
      <c r="E578" s="88"/>
      <c r="F578" s="88"/>
      <c r="G578" s="85"/>
      <c r="H578" s="85"/>
      <c r="I578" s="85"/>
      <c r="J578" s="85"/>
      <c r="K578" s="88"/>
      <c r="L578" s="88"/>
      <c r="M578" s="85"/>
      <c r="N578" s="85"/>
      <c r="O578" s="73"/>
    </row>
    <row r="579" customFormat="false" ht="15" hidden="false" customHeight="false" outlineLevel="0" collapsed="false">
      <c r="A579" s="87"/>
      <c r="B579" s="73"/>
      <c r="C579" s="91" t="str">
        <f aca="false">IF(B579="","",IFERROR(INDEX(الموظفون!$C$6:$C$105,MATCH(B579,الموظفون!$B$6:$B$105,0)),"✖ رقم غير موجود"))</f>
        <v/>
      </c>
      <c r="D579" s="88"/>
      <c r="E579" s="88"/>
      <c r="F579" s="88"/>
      <c r="G579" s="85"/>
      <c r="H579" s="85"/>
      <c r="I579" s="85"/>
      <c r="J579" s="85"/>
      <c r="K579" s="88"/>
      <c r="L579" s="88"/>
      <c r="M579" s="85"/>
      <c r="N579" s="85"/>
      <c r="O579" s="73"/>
    </row>
    <row r="580" customFormat="false" ht="15" hidden="false" customHeight="false" outlineLevel="0" collapsed="false">
      <c r="A580" s="87"/>
      <c r="B580" s="73"/>
      <c r="C580" s="74" t="str">
        <f aca="false">IF(B580="","",IFERROR(INDEX(الموظفون!$C$6:$C$105,MATCH(B580,الموظفون!$B$6:$B$105,0)),"✖ رقم غير موجود"))</f>
        <v/>
      </c>
      <c r="D580" s="88"/>
      <c r="E580" s="88"/>
      <c r="F580" s="88"/>
      <c r="G580" s="85"/>
      <c r="H580" s="85"/>
      <c r="I580" s="85"/>
      <c r="J580" s="85"/>
      <c r="K580" s="88"/>
      <c r="L580" s="88"/>
      <c r="M580" s="85"/>
      <c r="N580" s="85"/>
      <c r="O580" s="73"/>
    </row>
    <row r="581" customFormat="false" ht="15" hidden="false" customHeight="false" outlineLevel="0" collapsed="false">
      <c r="A581" s="87"/>
      <c r="B581" s="73"/>
      <c r="C581" s="91" t="str">
        <f aca="false">IF(B581="","",IFERROR(INDEX(الموظفون!$C$6:$C$105,MATCH(B581,الموظفون!$B$6:$B$105,0)),"✖ رقم غير موجود"))</f>
        <v/>
      </c>
      <c r="D581" s="88"/>
      <c r="E581" s="88"/>
      <c r="F581" s="88"/>
      <c r="G581" s="85"/>
      <c r="H581" s="85"/>
      <c r="I581" s="85"/>
      <c r="J581" s="85"/>
      <c r="K581" s="88"/>
      <c r="L581" s="88"/>
      <c r="M581" s="85"/>
      <c r="N581" s="85"/>
      <c r="O581" s="73"/>
    </row>
    <row r="582" customFormat="false" ht="15" hidden="false" customHeight="false" outlineLevel="0" collapsed="false">
      <c r="A582" s="87"/>
      <c r="B582" s="73"/>
      <c r="C582" s="74" t="str">
        <f aca="false">IF(B582="","",IFERROR(INDEX(الموظفون!$C$6:$C$105,MATCH(B582,الموظفون!$B$6:$B$105,0)),"✖ رقم غير موجود"))</f>
        <v/>
      </c>
      <c r="D582" s="88"/>
      <c r="E582" s="88"/>
      <c r="F582" s="88"/>
      <c r="G582" s="85"/>
      <c r="H582" s="85"/>
      <c r="I582" s="85"/>
      <c r="J582" s="85"/>
      <c r="K582" s="88"/>
      <c r="L582" s="88"/>
      <c r="M582" s="85"/>
      <c r="N582" s="85"/>
      <c r="O582" s="73"/>
    </row>
    <row r="583" customFormat="false" ht="15" hidden="false" customHeight="false" outlineLevel="0" collapsed="false">
      <c r="A583" s="87"/>
      <c r="B583" s="73"/>
      <c r="C583" s="91" t="str">
        <f aca="false">IF(B583="","",IFERROR(INDEX(الموظفون!$C$6:$C$105,MATCH(B583,الموظفون!$B$6:$B$105,0)),"✖ رقم غير موجود"))</f>
        <v/>
      </c>
      <c r="D583" s="88"/>
      <c r="E583" s="88"/>
      <c r="F583" s="88"/>
      <c r="G583" s="85"/>
      <c r="H583" s="85"/>
      <c r="I583" s="85"/>
      <c r="J583" s="85"/>
      <c r="K583" s="88"/>
      <c r="L583" s="88"/>
      <c r="M583" s="85"/>
      <c r="N583" s="85"/>
      <c r="O583" s="73"/>
    </row>
    <row r="584" customFormat="false" ht="15" hidden="false" customHeight="false" outlineLevel="0" collapsed="false">
      <c r="A584" s="87"/>
      <c r="B584" s="73"/>
      <c r="C584" s="74" t="str">
        <f aca="false">IF(B584="","",IFERROR(INDEX(الموظفون!$C$6:$C$105,MATCH(B584,الموظفون!$B$6:$B$105,0)),"✖ رقم غير موجود"))</f>
        <v/>
      </c>
      <c r="D584" s="88"/>
      <c r="E584" s="88"/>
      <c r="F584" s="88"/>
      <c r="G584" s="85"/>
      <c r="H584" s="85"/>
      <c r="I584" s="85"/>
      <c r="J584" s="85"/>
      <c r="K584" s="88"/>
      <c r="L584" s="88"/>
      <c r="M584" s="85"/>
      <c r="N584" s="85"/>
      <c r="O584" s="73"/>
    </row>
    <row r="585" customFormat="false" ht="15" hidden="false" customHeight="false" outlineLevel="0" collapsed="false">
      <c r="A585" s="87"/>
      <c r="B585" s="73"/>
      <c r="C585" s="91" t="str">
        <f aca="false">IF(B585="","",IFERROR(INDEX(الموظفون!$C$6:$C$105,MATCH(B585,الموظفون!$B$6:$B$105,0)),"✖ رقم غير موجود"))</f>
        <v/>
      </c>
      <c r="D585" s="88"/>
      <c r="E585" s="88"/>
      <c r="F585" s="88"/>
      <c r="G585" s="85"/>
      <c r="H585" s="85"/>
      <c r="I585" s="85"/>
      <c r="J585" s="85"/>
      <c r="K585" s="88"/>
      <c r="L585" s="88"/>
      <c r="M585" s="85"/>
      <c r="N585" s="85"/>
      <c r="O585" s="73"/>
    </row>
    <row r="586" customFormat="false" ht="15" hidden="false" customHeight="false" outlineLevel="0" collapsed="false">
      <c r="A586" s="87"/>
      <c r="B586" s="73"/>
      <c r="C586" s="74" t="str">
        <f aca="false">IF(B586="","",IFERROR(INDEX(الموظفون!$C$6:$C$105,MATCH(B586,الموظفون!$B$6:$B$105,0)),"✖ رقم غير موجود"))</f>
        <v/>
      </c>
      <c r="D586" s="88"/>
      <c r="E586" s="88"/>
      <c r="F586" s="88"/>
      <c r="G586" s="85"/>
      <c r="H586" s="85"/>
      <c r="I586" s="85"/>
      <c r="J586" s="85"/>
      <c r="K586" s="88"/>
      <c r="L586" s="88"/>
      <c r="M586" s="85"/>
      <c r="N586" s="85"/>
      <c r="O586" s="73"/>
    </row>
    <row r="587" customFormat="false" ht="15" hidden="false" customHeight="false" outlineLevel="0" collapsed="false">
      <c r="A587" s="87"/>
      <c r="B587" s="73"/>
      <c r="C587" s="91" t="str">
        <f aca="false">IF(B587="","",IFERROR(INDEX(الموظفون!$C$6:$C$105,MATCH(B587,الموظفون!$B$6:$B$105,0)),"✖ رقم غير موجود"))</f>
        <v/>
      </c>
      <c r="D587" s="88"/>
      <c r="E587" s="88"/>
      <c r="F587" s="88"/>
      <c r="G587" s="85"/>
      <c r="H587" s="85"/>
      <c r="I587" s="85"/>
      <c r="J587" s="85"/>
      <c r="K587" s="88"/>
      <c r="L587" s="88"/>
      <c r="M587" s="85"/>
      <c r="N587" s="85"/>
      <c r="O587" s="73"/>
    </row>
    <row r="588" customFormat="false" ht="15" hidden="false" customHeight="false" outlineLevel="0" collapsed="false">
      <c r="A588" s="87"/>
      <c r="B588" s="73"/>
      <c r="C588" s="74" t="str">
        <f aca="false">IF(B588="","",IFERROR(INDEX(الموظفون!$C$6:$C$105,MATCH(B588,الموظفون!$B$6:$B$105,0)),"✖ رقم غير موجود"))</f>
        <v/>
      </c>
      <c r="D588" s="88"/>
      <c r="E588" s="88"/>
      <c r="F588" s="88"/>
      <c r="G588" s="85"/>
      <c r="H588" s="85"/>
      <c r="I588" s="85"/>
      <c r="J588" s="85"/>
      <c r="K588" s="88"/>
      <c r="L588" s="88"/>
      <c r="M588" s="85"/>
      <c r="N588" s="85"/>
      <c r="O588" s="73"/>
    </row>
    <row r="589" customFormat="false" ht="15" hidden="false" customHeight="false" outlineLevel="0" collapsed="false">
      <c r="A589" s="87"/>
      <c r="B589" s="73"/>
      <c r="C589" s="91" t="str">
        <f aca="false">IF(B589="","",IFERROR(INDEX(الموظفون!$C$6:$C$105,MATCH(B589,الموظفون!$B$6:$B$105,0)),"✖ رقم غير موجود"))</f>
        <v/>
      </c>
      <c r="D589" s="88"/>
      <c r="E589" s="88"/>
      <c r="F589" s="88"/>
      <c r="G589" s="85"/>
      <c r="H589" s="85"/>
      <c r="I589" s="85"/>
      <c r="J589" s="85"/>
      <c r="K589" s="88"/>
      <c r="L589" s="88"/>
      <c r="M589" s="85"/>
      <c r="N589" s="85"/>
      <c r="O589" s="73"/>
    </row>
    <row r="590" customFormat="false" ht="15" hidden="false" customHeight="false" outlineLevel="0" collapsed="false">
      <c r="A590" s="87"/>
      <c r="B590" s="73"/>
      <c r="C590" s="74" t="str">
        <f aca="false">IF(B590="","",IFERROR(INDEX(الموظفون!$C$6:$C$105,MATCH(B590,الموظفون!$B$6:$B$105,0)),"✖ رقم غير موجود"))</f>
        <v/>
      </c>
      <c r="D590" s="88"/>
      <c r="E590" s="88"/>
      <c r="F590" s="88"/>
      <c r="G590" s="85"/>
      <c r="H590" s="85"/>
      <c r="I590" s="85"/>
      <c r="J590" s="85"/>
      <c r="K590" s="88"/>
      <c r="L590" s="88"/>
      <c r="M590" s="85"/>
      <c r="N590" s="85"/>
      <c r="O590" s="73"/>
    </row>
    <row r="591" customFormat="false" ht="15" hidden="false" customHeight="false" outlineLevel="0" collapsed="false">
      <c r="A591" s="87"/>
      <c r="B591" s="73"/>
      <c r="C591" s="91" t="str">
        <f aca="false">IF(B591="","",IFERROR(INDEX(الموظفون!$C$6:$C$105,MATCH(B591,الموظفون!$B$6:$B$105,0)),"✖ رقم غير موجود"))</f>
        <v/>
      </c>
      <c r="D591" s="88"/>
      <c r="E591" s="88"/>
      <c r="F591" s="88"/>
      <c r="G591" s="85"/>
      <c r="H591" s="85"/>
      <c r="I591" s="85"/>
      <c r="J591" s="85"/>
      <c r="K591" s="88"/>
      <c r="L591" s="88"/>
      <c r="M591" s="85"/>
      <c r="N591" s="85"/>
      <c r="O591" s="73"/>
    </row>
    <row r="592" customFormat="false" ht="15" hidden="false" customHeight="false" outlineLevel="0" collapsed="false">
      <c r="A592" s="87"/>
      <c r="B592" s="73"/>
      <c r="C592" s="74" t="str">
        <f aca="false">IF(B592="","",IFERROR(INDEX(الموظفون!$C$6:$C$105,MATCH(B592,الموظفون!$B$6:$B$105,0)),"✖ رقم غير موجود"))</f>
        <v/>
      </c>
      <c r="D592" s="88"/>
      <c r="E592" s="88"/>
      <c r="F592" s="88"/>
      <c r="G592" s="85"/>
      <c r="H592" s="85"/>
      <c r="I592" s="85"/>
      <c r="J592" s="85"/>
      <c r="K592" s="88"/>
      <c r="L592" s="88"/>
      <c r="M592" s="85"/>
      <c r="N592" s="85"/>
      <c r="O592" s="73"/>
    </row>
    <row r="593" customFormat="false" ht="15" hidden="false" customHeight="false" outlineLevel="0" collapsed="false">
      <c r="A593" s="87"/>
      <c r="B593" s="73"/>
      <c r="C593" s="91" t="str">
        <f aca="false">IF(B593="","",IFERROR(INDEX(الموظفون!$C$6:$C$105,MATCH(B593,الموظفون!$B$6:$B$105,0)),"✖ رقم غير موجود"))</f>
        <v/>
      </c>
      <c r="D593" s="88"/>
      <c r="E593" s="88"/>
      <c r="F593" s="88"/>
      <c r="G593" s="85"/>
      <c r="H593" s="85"/>
      <c r="I593" s="85"/>
      <c r="J593" s="85"/>
      <c r="K593" s="88"/>
      <c r="L593" s="88"/>
      <c r="M593" s="85"/>
      <c r="N593" s="85"/>
      <c r="O593" s="73"/>
    </row>
    <row r="594" customFormat="false" ht="15" hidden="false" customHeight="false" outlineLevel="0" collapsed="false">
      <c r="A594" s="87"/>
      <c r="B594" s="73"/>
      <c r="C594" s="74" t="str">
        <f aca="false">IF(B594="","",IFERROR(INDEX(الموظفون!$C$6:$C$105,MATCH(B594,الموظفون!$B$6:$B$105,0)),"✖ رقم غير موجود"))</f>
        <v/>
      </c>
      <c r="D594" s="88"/>
      <c r="E594" s="88"/>
      <c r="F594" s="88"/>
      <c r="G594" s="85"/>
      <c r="H594" s="85"/>
      <c r="I594" s="85"/>
      <c r="J594" s="85"/>
      <c r="K594" s="88"/>
      <c r="L594" s="88"/>
      <c r="M594" s="85"/>
      <c r="N594" s="85"/>
      <c r="O594" s="73"/>
    </row>
    <row r="595" customFormat="false" ht="15" hidden="false" customHeight="false" outlineLevel="0" collapsed="false">
      <c r="A595" s="87"/>
      <c r="B595" s="73"/>
      <c r="C595" s="91" t="str">
        <f aca="false">IF(B595="","",IFERROR(INDEX(الموظفون!$C$6:$C$105,MATCH(B595,الموظفون!$B$6:$B$105,0)),"✖ رقم غير موجود"))</f>
        <v/>
      </c>
      <c r="D595" s="88"/>
      <c r="E595" s="88"/>
      <c r="F595" s="88"/>
      <c r="G595" s="85"/>
      <c r="H595" s="85"/>
      <c r="I595" s="85"/>
      <c r="J595" s="85"/>
      <c r="K595" s="88"/>
      <c r="L595" s="88"/>
      <c r="M595" s="85"/>
      <c r="N595" s="85"/>
      <c r="O595" s="73"/>
    </row>
    <row r="596" customFormat="false" ht="15" hidden="false" customHeight="false" outlineLevel="0" collapsed="false">
      <c r="A596" s="87"/>
      <c r="B596" s="73"/>
      <c r="C596" s="74" t="str">
        <f aca="false">IF(B596="","",IFERROR(INDEX(الموظفون!$C$6:$C$105,MATCH(B596,الموظفون!$B$6:$B$105,0)),"✖ رقم غير موجود"))</f>
        <v/>
      </c>
      <c r="D596" s="88"/>
      <c r="E596" s="88"/>
      <c r="F596" s="88"/>
      <c r="G596" s="85"/>
      <c r="H596" s="85"/>
      <c r="I596" s="85"/>
      <c r="J596" s="85"/>
      <c r="K596" s="88"/>
      <c r="L596" s="88"/>
      <c r="M596" s="85"/>
      <c r="N596" s="85"/>
      <c r="O596" s="73"/>
    </row>
    <row r="597" customFormat="false" ht="15" hidden="false" customHeight="false" outlineLevel="0" collapsed="false">
      <c r="A597" s="87"/>
      <c r="B597" s="73"/>
      <c r="C597" s="91" t="str">
        <f aca="false">IF(B597="","",IFERROR(INDEX(الموظفون!$C$6:$C$105,MATCH(B597,الموظفون!$B$6:$B$105,0)),"✖ رقم غير موجود"))</f>
        <v/>
      </c>
      <c r="D597" s="88"/>
      <c r="E597" s="88"/>
      <c r="F597" s="88"/>
      <c r="G597" s="85"/>
      <c r="H597" s="85"/>
      <c r="I597" s="85"/>
      <c r="J597" s="85"/>
      <c r="K597" s="88"/>
      <c r="L597" s="88"/>
      <c r="M597" s="85"/>
      <c r="N597" s="85"/>
      <c r="O597" s="73"/>
    </row>
    <row r="598" customFormat="false" ht="15" hidden="false" customHeight="false" outlineLevel="0" collapsed="false">
      <c r="A598" s="87"/>
      <c r="B598" s="73"/>
      <c r="C598" s="74" t="str">
        <f aca="false">IF(B598="","",IFERROR(INDEX(الموظفون!$C$6:$C$105,MATCH(B598,الموظفون!$B$6:$B$105,0)),"✖ رقم غير موجود"))</f>
        <v/>
      </c>
      <c r="D598" s="88"/>
      <c r="E598" s="88"/>
      <c r="F598" s="88"/>
      <c r="G598" s="85"/>
      <c r="H598" s="85"/>
      <c r="I598" s="85"/>
      <c r="J598" s="85"/>
      <c r="K598" s="88"/>
      <c r="L598" s="88"/>
      <c r="M598" s="85"/>
      <c r="N598" s="85"/>
      <c r="O598" s="73"/>
    </row>
    <row r="599" customFormat="false" ht="15" hidden="false" customHeight="false" outlineLevel="0" collapsed="false">
      <c r="A599" s="87"/>
      <c r="B599" s="73"/>
      <c r="C599" s="91" t="str">
        <f aca="false">IF(B599="","",IFERROR(INDEX(الموظفون!$C$6:$C$105,MATCH(B599,الموظفون!$B$6:$B$105,0)),"✖ رقم غير موجود"))</f>
        <v/>
      </c>
      <c r="D599" s="88"/>
      <c r="E599" s="88"/>
      <c r="F599" s="88"/>
      <c r="G599" s="85"/>
      <c r="H599" s="85"/>
      <c r="I599" s="85"/>
      <c r="J599" s="85"/>
      <c r="K599" s="88"/>
      <c r="L599" s="88"/>
      <c r="M599" s="85"/>
      <c r="N599" s="85"/>
      <c r="O599" s="73"/>
    </row>
    <row r="600" customFormat="false" ht="15" hidden="false" customHeight="false" outlineLevel="0" collapsed="false">
      <c r="A600" s="87"/>
      <c r="B600" s="73"/>
      <c r="C600" s="74" t="str">
        <f aca="false">IF(B600="","",IFERROR(INDEX(الموظفون!$C$6:$C$105,MATCH(B600,الموظفون!$B$6:$B$105,0)),"✖ رقم غير موجود"))</f>
        <v/>
      </c>
      <c r="D600" s="88"/>
      <c r="E600" s="88"/>
      <c r="F600" s="88"/>
      <c r="G600" s="85"/>
      <c r="H600" s="85"/>
      <c r="I600" s="85"/>
      <c r="J600" s="85"/>
      <c r="K600" s="88"/>
      <c r="L600" s="88"/>
      <c r="M600" s="85"/>
      <c r="N600" s="85"/>
      <c r="O600" s="73"/>
    </row>
    <row r="601" customFormat="false" ht="15" hidden="false" customHeight="false" outlineLevel="0" collapsed="false">
      <c r="A601" s="87"/>
      <c r="B601" s="73"/>
      <c r="C601" s="91" t="str">
        <f aca="false">IF(B601="","",IFERROR(INDEX(الموظفون!$C$6:$C$105,MATCH(B601,الموظفون!$B$6:$B$105,0)),"✖ رقم غير موجود"))</f>
        <v/>
      </c>
      <c r="D601" s="88"/>
      <c r="E601" s="88"/>
      <c r="F601" s="88"/>
      <c r="G601" s="85"/>
      <c r="H601" s="85"/>
      <c r="I601" s="85"/>
      <c r="J601" s="85"/>
      <c r="K601" s="88"/>
      <c r="L601" s="88"/>
      <c r="M601" s="85"/>
      <c r="N601" s="85"/>
      <c r="O601" s="73"/>
    </row>
    <row r="602" customFormat="false" ht="15" hidden="false" customHeight="false" outlineLevel="0" collapsed="false">
      <c r="A602" s="87"/>
      <c r="B602" s="73"/>
      <c r="C602" s="74" t="str">
        <f aca="false">IF(B602="","",IFERROR(INDEX(الموظفون!$C$6:$C$105,MATCH(B602,الموظفون!$B$6:$B$105,0)),"✖ رقم غير موجود"))</f>
        <v/>
      </c>
      <c r="D602" s="88"/>
      <c r="E602" s="88"/>
      <c r="F602" s="88"/>
      <c r="G602" s="85"/>
      <c r="H602" s="85"/>
      <c r="I602" s="85"/>
      <c r="J602" s="85"/>
      <c r="K602" s="88"/>
      <c r="L602" s="88"/>
      <c r="M602" s="85"/>
      <c r="N602" s="85"/>
      <c r="O602" s="73"/>
    </row>
    <row r="603" customFormat="false" ht="15" hidden="false" customHeight="false" outlineLevel="0" collapsed="false">
      <c r="A603" s="87"/>
      <c r="B603" s="73"/>
      <c r="C603" s="91" t="str">
        <f aca="false">IF(B603="","",IFERROR(INDEX(الموظفون!$C$6:$C$105,MATCH(B603,الموظفون!$B$6:$B$105,0)),"✖ رقم غير موجود"))</f>
        <v/>
      </c>
      <c r="D603" s="88"/>
      <c r="E603" s="88"/>
      <c r="F603" s="88"/>
      <c r="G603" s="85"/>
      <c r="H603" s="85"/>
      <c r="I603" s="85"/>
      <c r="J603" s="85"/>
      <c r="K603" s="88"/>
      <c r="L603" s="88"/>
      <c r="M603" s="85"/>
      <c r="N603" s="85"/>
      <c r="O603" s="73"/>
    </row>
    <row r="604" customFormat="false" ht="15" hidden="false" customHeight="false" outlineLevel="0" collapsed="false">
      <c r="A604" s="87"/>
      <c r="B604" s="73"/>
      <c r="C604" s="74" t="str">
        <f aca="false">IF(B604="","",IFERROR(INDEX(الموظفون!$C$6:$C$105,MATCH(B604,الموظفون!$B$6:$B$105,0)),"✖ رقم غير موجود"))</f>
        <v/>
      </c>
      <c r="D604" s="88"/>
      <c r="E604" s="88"/>
      <c r="F604" s="88"/>
      <c r="G604" s="85"/>
      <c r="H604" s="85"/>
      <c r="I604" s="85"/>
      <c r="J604" s="85"/>
      <c r="K604" s="88"/>
      <c r="L604" s="88"/>
      <c r="M604" s="85"/>
      <c r="N604" s="85"/>
      <c r="O604" s="73"/>
    </row>
    <row r="605" customFormat="false" ht="15" hidden="false" customHeight="false" outlineLevel="0" collapsed="false">
      <c r="A605" s="87"/>
      <c r="B605" s="73"/>
      <c r="C605" s="91" t="str">
        <f aca="false">IF(B605="","",IFERROR(INDEX(الموظفون!$C$6:$C$105,MATCH(B605,الموظفون!$B$6:$B$105,0)),"✖ رقم غير موجود"))</f>
        <v/>
      </c>
      <c r="D605" s="88"/>
      <c r="E605" s="88"/>
      <c r="F605" s="88"/>
      <c r="G605" s="85"/>
      <c r="H605" s="85"/>
      <c r="I605" s="85"/>
      <c r="J605" s="85"/>
      <c r="K605" s="88"/>
      <c r="L605" s="88"/>
      <c r="M605" s="85"/>
      <c r="N605" s="85"/>
      <c r="O605" s="73"/>
    </row>
    <row r="606" customFormat="false" ht="15" hidden="false" customHeight="false" outlineLevel="0" collapsed="false">
      <c r="A606" s="87"/>
      <c r="B606" s="73"/>
      <c r="C606" s="74" t="str">
        <f aca="false">IF(B606="","",IFERROR(INDEX(الموظفون!$C$6:$C$105,MATCH(B606,الموظفون!$B$6:$B$105,0)),"✖ رقم غير موجود"))</f>
        <v/>
      </c>
      <c r="D606" s="88"/>
      <c r="E606" s="88"/>
      <c r="F606" s="88"/>
      <c r="G606" s="85"/>
      <c r="H606" s="85"/>
      <c r="I606" s="85"/>
      <c r="J606" s="85"/>
      <c r="K606" s="88"/>
      <c r="L606" s="88"/>
      <c r="M606" s="85"/>
      <c r="N606" s="85"/>
      <c r="O606" s="73"/>
    </row>
    <row r="607" customFormat="false" ht="15" hidden="false" customHeight="false" outlineLevel="0" collapsed="false">
      <c r="A607" s="87"/>
      <c r="B607" s="73"/>
      <c r="C607" s="91" t="str">
        <f aca="false">IF(B607="","",IFERROR(INDEX(الموظفون!$C$6:$C$105,MATCH(B607,الموظفون!$B$6:$B$105,0)),"✖ رقم غير موجود"))</f>
        <v/>
      </c>
      <c r="D607" s="88"/>
      <c r="E607" s="88"/>
      <c r="F607" s="88"/>
      <c r="G607" s="85"/>
      <c r="H607" s="85"/>
      <c r="I607" s="85"/>
      <c r="J607" s="85"/>
      <c r="K607" s="88"/>
      <c r="L607" s="88"/>
      <c r="M607" s="85"/>
      <c r="N607" s="85"/>
      <c r="O607" s="73"/>
    </row>
    <row r="608" customFormat="false" ht="15" hidden="false" customHeight="false" outlineLevel="0" collapsed="false">
      <c r="A608" s="87"/>
      <c r="B608" s="73"/>
      <c r="C608" s="74" t="str">
        <f aca="false">IF(B608="","",IFERROR(INDEX(الموظفون!$C$6:$C$105,MATCH(B608,الموظفون!$B$6:$B$105,0)),"✖ رقم غير موجود"))</f>
        <v/>
      </c>
      <c r="D608" s="88"/>
      <c r="E608" s="88"/>
      <c r="F608" s="88"/>
      <c r="G608" s="85"/>
      <c r="H608" s="85"/>
      <c r="I608" s="85"/>
      <c r="J608" s="85"/>
      <c r="K608" s="88"/>
      <c r="L608" s="88"/>
      <c r="M608" s="85"/>
      <c r="N608" s="85"/>
      <c r="O608" s="73"/>
    </row>
    <row r="609" customFormat="false" ht="15" hidden="false" customHeight="false" outlineLevel="0" collapsed="false">
      <c r="A609" s="87"/>
      <c r="B609" s="73"/>
      <c r="C609" s="91" t="str">
        <f aca="false">IF(B609="","",IFERROR(INDEX(الموظفون!$C$6:$C$105,MATCH(B609,الموظفون!$B$6:$B$105,0)),"✖ رقم غير موجود"))</f>
        <v/>
      </c>
      <c r="D609" s="88"/>
      <c r="E609" s="88"/>
      <c r="F609" s="88"/>
      <c r="G609" s="85"/>
      <c r="H609" s="85"/>
      <c r="I609" s="85"/>
      <c r="J609" s="85"/>
      <c r="K609" s="88"/>
      <c r="L609" s="88"/>
      <c r="M609" s="85"/>
      <c r="N609" s="85"/>
      <c r="O609" s="73"/>
    </row>
    <row r="610" customFormat="false" ht="15" hidden="false" customHeight="false" outlineLevel="0" collapsed="false">
      <c r="A610" s="87"/>
      <c r="B610" s="73"/>
      <c r="C610" s="74" t="str">
        <f aca="false">IF(B610="","",IFERROR(INDEX(الموظفون!$C$6:$C$105,MATCH(B610,الموظفون!$B$6:$B$105,0)),"✖ رقم غير موجود"))</f>
        <v/>
      </c>
      <c r="D610" s="88"/>
      <c r="E610" s="88"/>
      <c r="F610" s="88"/>
      <c r="G610" s="85"/>
      <c r="H610" s="85"/>
      <c r="I610" s="85"/>
      <c r="J610" s="85"/>
      <c r="K610" s="88"/>
      <c r="L610" s="88"/>
      <c r="M610" s="85"/>
      <c r="N610" s="85"/>
      <c r="O610" s="73"/>
    </row>
    <row r="611" customFormat="false" ht="15" hidden="false" customHeight="false" outlineLevel="0" collapsed="false">
      <c r="A611" s="87"/>
      <c r="B611" s="73"/>
      <c r="C611" s="91" t="str">
        <f aca="false">IF(B611="","",IFERROR(INDEX(الموظفون!$C$6:$C$105,MATCH(B611,الموظفون!$B$6:$B$105,0)),"✖ رقم غير موجود"))</f>
        <v/>
      </c>
      <c r="D611" s="88"/>
      <c r="E611" s="88"/>
      <c r="F611" s="88"/>
      <c r="G611" s="85"/>
      <c r="H611" s="85"/>
      <c r="I611" s="85"/>
      <c r="J611" s="85"/>
      <c r="K611" s="88"/>
      <c r="L611" s="88"/>
      <c r="M611" s="85"/>
      <c r="N611" s="85"/>
      <c r="O611" s="73"/>
    </row>
    <row r="612" customFormat="false" ht="15" hidden="false" customHeight="false" outlineLevel="0" collapsed="false">
      <c r="A612" s="87"/>
      <c r="B612" s="73"/>
      <c r="C612" s="74" t="str">
        <f aca="false">IF(B612="","",IFERROR(INDEX(الموظفون!$C$6:$C$105,MATCH(B612,الموظفون!$B$6:$B$105,0)),"✖ رقم غير موجود"))</f>
        <v/>
      </c>
      <c r="D612" s="88"/>
      <c r="E612" s="88"/>
      <c r="F612" s="88"/>
      <c r="G612" s="85"/>
      <c r="H612" s="85"/>
      <c r="I612" s="85"/>
      <c r="J612" s="85"/>
      <c r="K612" s="88"/>
      <c r="L612" s="88"/>
      <c r="M612" s="85"/>
      <c r="N612" s="85"/>
      <c r="O612" s="73"/>
    </row>
    <row r="613" customFormat="false" ht="15" hidden="false" customHeight="false" outlineLevel="0" collapsed="false">
      <c r="A613" s="87"/>
      <c r="B613" s="73"/>
      <c r="C613" s="91" t="str">
        <f aca="false">IF(B613="","",IFERROR(INDEX(الموظفون!$C$6:$C$105,MATCH(B613,الموظفون!$B$6:$B$105,0)),"✖ رقم غير موجود"))</f>
        <v/>
      </c>
      <c r="D613" s="88"/>
      <c r="E613" s="88"/>
      <c r="F613" s="88"/>
      <c r="G613" s="85"/>
      <c r="H613" s="85"/>
      <c r="I613" s="85"/>
      <c r="J613" s="85"/>
      <c r="K613" s="88"/>
      <c r="L613" s="88"/>
      <c r="M613" s="85"/>
      <c r="N613" s="85"/>
      <c r="O613" s="73"/>
    </row>
    <row r="614" customFormat="false" ht="15" hidden="false" customHeight="false" outlineLevel="0" collapsed="false">
      <c r="A614" s="87"/>
      <c r="B614" s="73"/>
      <c r="C614" s="74" t="str">
        <f aca="false">IF(B614="","",IFERROR(INDEX(الموظفون!$C$6:$C$105,MATCH(B614,الموظفون!$B$6:$B$105,0)),"✖ رقم غير موجود"))</f>
        <v/>
      </c>
      <c r="D614" s="88"/>
      <c r="E614" s="88"/>
      <c r="F614" s="88"/>
      <c r="G614" s="85"/>
      <c r="H614" s="85"/>
      <c r="I614" s="85"/>
      <c r="J614" s="85"/>
      <c r="K614" s="88"/>
      <c r="L614" s="88"/>
      <c r="M614" s="85"/>
      <c r="N614" s="85"/>
      <c r="O614" s="73"/>
    </row>
    <row r="615" customFormat="false" ht="15" hidden="false" customHeight="false" outlineLevel="0" collapsed="false">
      <c r="A615" s="87"/>
      <c r="B615" s="73"/>
      <c r="C615" s="91" t="str">
        <f aca="false">IF(B615="","",IFERROR(INDEX(الموظفون!$C$6:$C$105,MATCH(B615,الموظفون!$B$6:$B$105,0)),"✖ رقم غير موجود"))</f>
        <v/>
      </c>
      <c r="D615" s="88"/>
      <c r="E615" s="88"/>
      <c r="F615" s="88"/>
      <c r="G615" s="85"/>
      <c r="H615" s="85"/>
      <c r="I615" s="85"/>
      <c r="J615" s="85"/>
      <c r="K615" s="88"/>
      <c r="L615" s="88"/>
      <c r="M615" s="85"/>
      <c r="N615" s="85"/>
      <c r="O615" s="73"/>
    </row>
    <row r="616" customFormat="false" ht="15" hidden="false" customHeight="false" outlineLevel="0" collapsed="false">
      <c r="A616" s="87"/>
      <c r="B616" s="73"/>
      <c r="C616" s="74" t="str">
        <f aca="false">IF(B616="","",IFERROR(INDEX(الموظفون!$C$6:$C$105,MATCH(B616,الموظفون!$B$6:$B$105,0)),"✖ رقم غير موجود"))</f>
        <v/>
      </c>
      <c r="D616" s="88"/>
      <c r="E616" s="88"/>
      <c r="F616" s="88"/>
      <c r="G616" s="85"/>
      <c r="H616" s="85"/>
      <c r="I616" s="85"/>
      <c r="J616" s="85"/>
      <c r="K616" s="88"/>
      <c r="L616" s="88"/>
      <c r="M616" s="85"/>
      <c r="N616" s="85"/>
      <c r="O616" s="73"/>
    </row>
    <row r="617" customFormat="false" ht="15" hidden="false" customHeight="false" outlineLevel="0" collapsed="false">
      <c r="A617" s="87"/>
      <c r="B617" s="73"/>
      <c r="C617" s="91" t="str">
        <f aca="false">IF(B617="","",IFERROR(INDEX(الموظفون!$C$6:$C$105,MATCH(B617,الموظفون!$B$6:$B$105,0)),"✖ رقم غير موجود"))</f>
        <v/>
      </c>
      <c r="D617" s="88"/>
      <c r="E617" s="88"/>
      <c r="F617" s="88"/>
      <c r="G617" s="85"/>
      <c r="H617" s="85"/>
      <c r="I617" s="85"/>
      <c r="J617" s="85"/>
      <c r="K617" s="88"/>
      <c r="L617" s="88"/>
      <c r="M617" s="85"/>
      <c r="N617" s="85"/>
      <c r="O617" s="73"/>
    </row>
    <row r="618" customFormat="false" ht="15" hidden="false" customHeight="false" outlineLevel="0" collapsed="false">
      <c r="A618" s="87"/>
      <c r="B618" s="73"/>
      <c r="C618" s="74" t="str">
        <f aca="false">IF(B618="","",IFERROR(INDEX(الموظفون!$C$6:$C$105,MATCH(B618,الموظفون!$B$6:$B$105,0)),"✖ رقم غير موجود"))</f>
        <v/>
      </c>
      <c r="D618" s="88"/>
      <c r="E618" s="88"/>
      <c r="F618" s="88"/>
      <c r="G618" s="85"/>
      <c r="H618" s="85"/>
      <c r="I618" s="85"/>
      <c r="J618" s="85"/>
      <c r="K618" s="88"/>
      <c r="L618" s="88"/>
      <c r="M618" s="85"/>
      <c r="N618" s="85"/>
      <c r="O618" s="73"/>
    </row>
    <row r="619" customFormat="false" ht="15" hidden="false" customHeight="false" outlineLevel="0" collapsed="false">
      <c r="A619" s="87"/>
      <c r="B619" s="73"/>
      <c r="C619" s="91" t="str">
        <f aca="false">IF(B619="","",IFERROR(INDEX(الموظفون!$C$6:$C$105,MATCH(B619,الموظفون!$B$6:$B$105,0)),"✖ رقم غير موجود"))</f>
        <v/>
      </c>
      <c r="D619" s="88"/>
      <c r="E619" s="88"/>
      <c r="F619" s="88"/>
      <c r="G619" s="85"/>
      <c r="H619" s="85"/>
      <c r="I619" s="85"/>
      <c r="J619" s="85"/>
      <c r="K619" s="88"/>
      <c r="L619" s="88"/>
      <c r="M619" s="85"/>
      <c r="N619" s="85"/>
      <c r="O619" s="73"/>
    </row>
    <row r="620" customFormat="false" ht="15" hidden="false" customHeight="false" outlineLevel="0" collapsed="false">
      <c r="A620" s="87"/>
      <c r="B620" s="73"/>
      <c r="C620" s="74" t="str">
        <f aca="false">IF(B620="","",IFERROR(INDEX(الموظفون!$C$6:$C$105,MATCH(B620,الموظفون!$B$6:$B$105,0)),"✖ رقم غير موجود"))</f>
        <v/>
      </c>
      <c r="D620" s="88"/>
      <c r="E620" s="88"/>
      <c r="F620" s="88"/>
      <c r="G620" s="85"/>
      <c r="H620" s="85"/>
      <c r="I620" s="85"/>
      <c r="J620" s="85"/>
      <c r="K620" s="88"/>
      <c r="L620" s="88"/>
      <c r="M620" s="85"/>
      <c r="N620" s="85"/>
      <c r="O620" s="73"/>
    </row>
    <row r="621" customFormat="false" ht="15" hidden="false" customHeight="false" outlineLevel="0" collapsed="false">
      <c r="A621" s="87"/>
      <c r="B621" s="73"/>
      <c r="C621" s="91" t="str">
        <f aca="false">IF(B621="","",IFERROR(INDEX(الموظفون!$C$6:$C$105,MATCH(B621,الموظفون!$B$6:$B$105,0)),"✖ رقم غير موجود"))</f>
        <v/>
      </c>
      <c r="D621" s="88"/>
      <c r="E621" s="88"/>
      <c r="F621" s="88"/>
      <c r="G621" s="85"/>
      <c r="H621" s="85"/>
      <c r="I621" s="85"/>
      <c r="J621" s="85"/>
      <c r="K621" s="88"/>
      <c r="L621" s="88"/>
      <c r="M621" s="85"/>
      <c r="N621" s="85"/>
      <c r="O621" s="73"/>
    </row>
    <row r="622" customFormat="false" ht="15" hidden="false" customHeight="false" outlineLevel="0" collapsed="false">
      <c r="A622" s="87"/>
      <c r="B622" s="73"/>
      <c r="C622" s="74" t="str">
        <f aca="false">IF(B622="","",IFERROR(INDEX(الموظفون!$C$6:$C$105,MATCH(B622,الموظفون!$B$6:$B$105,0)),"✖ رقم غير موجود"))</f>
        <v/>
      </c>
      <c r="D622" s="88"/>
      <c r="E622" s="88"/>
      <c r="F622" s="88"/>
      <c r="G622" s="85"/>
      <c r="H622" s="85"/>
      <c r="I622" s="85"/>
      <c r="J622" s="85"/>
      <c r="K622" s="88"/>
      <c r="L622" s="88"/>
      <c r="M622" s="85"/>
      <c r="N622" s="85"/>
      <c r="O622" s="73"/>
    </row>
    <row r="623" customFormat="false" ht="15" hidden="false" customHeight="false" outlineLevel="0" collapsed="false">
      <c r="A623" s="87"/>
      <c r="B623" s="73"/>
      <c r="C623" s="91" t="str">
        <f aca="false">IF(B623="","",IFERROR(INDEX(الموظفون!$C$6:$C$105,MATCH(B623,الموظفون!$B$6:$B$105,0)),"✖ رقم غير موجود"))</f>
        <v/>
      </c>
      <c r="D623" s="88"/>
      <c r="E623" s="88"/>
      <c r="F623" s="88"/>
      <c r="G623" s="85"/>
      <c r="H623" s="85"/>
      <c r="I623" s="85"/>
      <c r="J623" s="85"/>
      <c r="K623" s="88"/>
      <c r="L623" s="88"/>
      <c r="M623" s="85"/>
      <c r="N623" s="85"/>
      <c r="O623" s="73"/>
    </row>
    <row r="624" customFormat="false" ht="15" hidden="false" customHeight="false" outlineLevel="0" collapsed="false">
      <c r="A624" s="87"/>
      <c r="B624" s="73"/>
      <c r="C624" s="74" t="str">
        <f aca="false">IF(B624="","",IFERROR(INDEX(الموظفون!$C$6:$C$105,MATCH(B624,الموظفون!$B$6:$B$105,0)),"✖ رقم غير موجود"))</f>
        <v/>
      </c>
      <c r="D624" s="88"/>
      <c r="E624" s="88"/>
      <c r="F624" s="88"/>
      <c r="G624" s="85"/>
      <c r="H624" s="85"/>
      <c r="I624" s="85"/>
      <c r="J624" s="85"/>
      <c r="K624" s="88"/>
      <c r="L624" s="88"/>
      <c r="M624" s="85"/>
      <c r="N624" s="85"/>
      <c r="O624" s="73"/>
    </row>
    <row r="625" customFormat="false" ht="15" hidden="false" customHeight="false" outlineLevel="0" collapsed="false">
      <c r="A625" s="87"/>
      <c r="B625" s="73"/>
      <c r="C625" s="91" t="str">
        <f aca="false">IF(B625="","",IFERROR(INDEX(الموظفون!$C$6:$C$105,MATCH(B625,الموظفون!$B$6:$B$105,0)),"✖ رقم غير موجود"))</f>
        <v/>
      </c>
      <c r="D625" s="88"/>
      <c r="E625" s="88"/>
      <c r="F625" s="88"/>
      <c r="G625" s="85"/>
      <c r="H625" s="85"/>
      <c r="I625" s="85"/>
      <c r="J625" s="85"/>
      <c r="K625" s="88"/>
      <c r="L625" s="88"/>
      <c r="M625" s="85"/>
      <c r="N625" s="85"/>
      <c r="O625" s="73"/>
    </row>
    <row r="626" customFormat="false" ht="15" hidden="false" customHeight="false" outlineLevel="0" collapsed="false">
      <c r="A626" s="87"/>
      <c r="B626" s="73"/>
      <c r="C626" s="74" t="str">
        <f aca="false">IF(B626="","",IFERROR(INDEX(الموظفون!$C$6:$C$105,MATCH(B626,الموظفون!$B$6:$B$105,0)),"✖ رقم غير موجود"))</f>
        <v/>
      </c>
      <c r="D626" s="88"/>
      <c r="E626" s="88"/>
      <c r="F626" s="88"/>
      <c r="G626" s="85"/>
      <c r="H626" s="85"/>
      <c r="I626" s="85"/>
      <c r="J626" s="85"/>
      <c r="K626" s="88"/>
      <c r="L626" s="88"/>
      <c r="M626" s="85"/>
      <c r="N626" s="85"/>
      <c r="O626" s="73"/>
    </row>
    <row r="627" customFormat="false" ht="15" hidden="false" customHeight="false" outlineLevel="0" collapsed="false">
      <c r="A627" s="87"/>
      <c r="B627" s="73"/>
      <c r="C627" s="91" t="str">
        <f aca="false">IF(B627="","",IFERROR(INDEX(الموظفون!$C$6:$C$105,MATCH(B627,الموظفون!$B$6:$B$105,0)),"✖ رقم غير موجود"))</f>
        <v/>
      </c>
      <c r="D627" s="88"/>
      <c r="E627" s="88"/>
      <c r="F627" s="88"/>
      <c r="G627" s="85"/>
      <c r="H627" s="85"/>
      <c r="I627" s="85"/>
      <c r="J627" s="85"/>
      <c r="K627" s="88"/>
      <c r="L627" s="88"/>
      <c r="M627" s="85"/>
      <c r="N627" s="85"/>
      <c r="O627" s="73"/>
    </row>
    <row r="628" customFormat="false" ht="15" hidden="false" customHeight="false" outlineLevel="0" collapsed="false">
      <c r="A628" s="87"/>
      <c r="B628" s="73"/>
      <c r="C628" s="74" t="str">
        <f aca="false">IF(B628="","",IFERROR(INDEX(الموظفون!$C$6:$C$105,MATCH(B628,الموظفون!$B$6:$B$105,0)),"✖ رقم غير موجود"))</f>
        <v/>
      </c>
      <c r="D628" s="88"/>
      <c r="E628" s="88"/>
      <c r="F628" s="88"/>
      <c r="G628" s="85"/>
      <c r="H628" s="85"/>
      <c r="I628" s="85"/>
      <c r="J628" s="85"/>
      <c r="K628" s="88"/>
      <c r="L628" s="88"/>
      <c r="M628" s="85"/>
      <c r="N628" s="85"/>
      <c r="O628" s="73"/>
    </row>
    <row r="629" customFormat="false" ht="15" hidden="false" customHeight="false" outlineLevel="0" collapsed="false">
      <c r="A629" s="87"/>
      <c r="B629" s="73"/>
      <c r="C629" s="91" t="str">
        <f aca="false">IF(B629="","",IFERROR(INDEX(الموظفون!$C$6:$C$105,MATCH(B629,الموظفون!$B$6:$B$105,0)),"✖ رقم غير موجود"))</f>
        <v/>
      </c>
      <c r="D629" s="88"/>
      <c r="E629" s="88"/>
      <c r="F629" s="88"/>
      <c r="G629" s="85"/>
      <c r="H629" s="85"/>
      <c r="I629" s="85"/>
      <c r="J629" s="85"/>
      <c r="K629" s="88"/>
      <c r="L629" s="88"/>
      <c r="M629" s="85"/>
      <c r="N629" s="85"/>
      <c r="O629" s="73"/>
    </row>
    <row r="630" customFormat="false" ht="15" hidden="false" customHeight="false" outlineLevel="0" collapsed="false">
      <c r="A630" s="87"/>
      <c r="B630" s="73"/>
      <c r="C630" s="74" t="str">
        <f aca="false">IF(B630="","",IFERROR(INDEX(الموظفون!$C$6:$C$105,MATCH(B630,الموظفون!$B$6:$B$105,0)),"✖ رقم غير موجود"))</f>
        <v/>
      </c>
      <c r="D630" s="88"/>
      <c r="E630" s="88"/>
      <c r="F630" s="88"/>
      <c r="G630" s="85"/>
      <c r="H630" s="85"/>
      <c r="I630" s="85"/>
      <c r="J630" s="85"/>
      <c r="K630" s="88"/>
      <c r="L630" s="88"/>
      <c r="M630" s="85"/>
      <c r="N630" s="85"/>
      <c r="O630" s="73"/>
    </row>
    <row r="631" customFormat="false" ht="15" hidden="false" customHeight="false" outlineLevel="0" collapsed="false">
      <c r="A631" s="87"/>
      <c r="B631" s="73"/>
      <c r="C631" s="91" t="str">
        <f aca="false">IF(B631="","",IFERROR(INDEX(الموظفون!$C$6:$C$105,MATCH(B631,الموظفون!$B$6:$B$105,0)),"✖ رقم غير موجود"))</f>
        <v/>
      </c>
      <c r="D631" s="88"/>
      <c r="E631" s="88"/>
      <c r="F631" s="88"/>
      <c r="G631" s="85"/>
      <c r="H631" s="85"/>
      <c r="I631" s="85"/>
      <c r="J631" s="85"/>
      <c r="K631" s="88"/>
      <c r="L631" s="88"/>
      <c r="M631" s="85"/>
      <c r="N631" s="85"/>
      <c r="O631" s="73"/>
    </row>
    <row r="632" customFormat="false" ht="15" hidden="false" customHeight="false" outlineLevel="0" collapsed="false">
      <c r="A632" s="87"/>
      <c r="B632" s="73"/>
      <c r="C632" s="74" t="str">
        <f aca="false">IF(B632="","",IFERROR(INDEX(الموظفون!$C$6:$C$105,MATCH(B632,الموظفون!$B$6:$B$105,0)),"✖ رقم غير موجود"))</f>
        <v/>
      </c>
      <c r="D632" s="88"/>
      <c r="E632" s="88"/>
      <c r="F632" s="88"/>
      <c r="G632" s="85"/>
      <c r="H632" s="85"/>
      <c r="I632" s="85"/>
      <c r="J632" s="85"/>
      <c r="K632" s="88"/>
      <c r="L632" s="88"/>
      <c r="M632" s="85"/>
      <c r="N632" s="85"/>
      <c r="O632" s="73"/>
    </row>
    <row r="633" customFormat="false" ht="15" hidden="false" customHeight="false" outlineLevel="0" collapsed="false">
      <c r="A633" s="87"/>
      <c r="B633" s="73"/>
      <c r="C633" s="91" t="str">
        <f aca="false">IF(B633="","",IFERROR(INDEX(الموظفون!$C$6:$C$105,MATCH(B633,الموظفون!$B$6:$B$105,0)),"✖ رقم غير موجود"))</f>
        <v/>
      </c>
      <c r="D633" s="88"/>
      <c r="E633" s="88"/>
      <c r="F633" s="88"/>
      <c r="G633" s="85"/>
      <c r="H633" s="85"/>
      <c r="I633" s="85"/>
      <c r="J633" s="85"/>
      <c r="K633" s="88"/>
      <c r="L633" s="88"/>
      <c r="M633" s="85"/>
      <c r="N633" s="85"/>
      <c r="O633" s="73"/>
    </row>
    <row r="634" customFormat="false" ht="15" hidden="false" customHeight="false" outlineLevel="0" collapsed="false">
      <c r="A634" s="87"/>
      <c r="B634" s="73"/>
      <c r="C634" s="74" t="str">
        <f aca="false">IF(B634="","",IFERROR(INDEX(الموظفون!$C$6:$C$105,MATCH(B634,الموظفون!$B$6:$B$105,0)),"✖ رقم غير موجود"))</f>
        <v/>
      </c>
      <c r="D634" s="88"/>
      <c r="E634" s="88"/>
      <c r="F634" s="88"/>
      <c r="G634" s="85"/>
      <c r="H634" s="85"/>
      <c r="I634" s="85"/>
      <c r="J634" s="85"/>
      <c r="K634" s="88"/>
      <c r="L634" s="88"/>
      <c r="M634" s="85"/>
      <c r="N634" s="85"/>
      <c r="O634" s="73"/>
    </row>
    <row r="635" customFormat="false" ht="15" hidden="false" customHeight="false" outlineLevel="0" collapsed="false">
      <c r="A635" s="87"/>
      <c r="B635" s="73"/>
      <c r="C635" s="91" t="str">
        <f aca="false">IF(B635="","",IFERROR(INDEX(الموظفون!$C$6:$C$105,MATCH(B635,الموظفون!$B$6:$B$105,0)),"✖ رقم غير موجود"))</f>
        <v/>
      </c>
      <c r="D635" s="88"/>
      <c r="E635" s="88"/>
      <c r="F635" s="88"/>
      <c r="G635" s="85"/>
      <c r="H635" s="85"/>
      <c r="I635" s="85"/>
      <c r="J635" s="85"/>
      <c r="K635" s="88"/>
      <c r="L635" s="88"/>
      <c r="M635" s="85"/>
      <c r="N635" s="85"/>
      <c r="O635" s="73"/>
    </row>
    <row r="636" customFormat="false" ht="15" hidden="false" customHeight="false" outlineLevel="0" collapsed="false">
      <c r="A636" s="87"/>
      <c r="B636" s="73"/>
      <c r="C636" s="74" t="str">
        <f aca="false">IF(B636="","",IFERROR(INDEX(الموظفون!$C$6:$C$105,MATCH(B636,الموظفون!$B$6:$B$105,0)),"✖ رقم غير موجود"))</f>
        <v/>
      </c>
      <c r="D636" s="88"/>
      <c r="E636" s="88"/>
      <c r="F636" s="88"/>
      <c r="G636" s="85"/>
      <c r="H636" s="85"/>
      <c r="I636" s="85"/>
      <c r="J636" s="85"/>
      <c r="K636" s="88"/>
      <c r="L636" s="88"/>
      <c r="M636" s="85"/>
      <c r="N636" s="85"/>
      <c r="O636" s="73"/>
    </row>
    <row r="637" customFormat="false" ht="15" hidden="false" customHeight="false" outlineLevel="0" collapsed="false">
      <c r="A637" s="87"/>
      <c r="B637" s="73"/>
      <c r="C637" s="91" t="str">
        <f aca="false">IF(B637="","",IFERROR(INDEX(الموظفون!$C$6:$C$105,MATCH(B637,الموظفون!$B$6:$B$105,0)),"✖ رقم غير موجود"))</f>
        <v/>
      </c>
      <c r="D637" s="88"/>
      <c r="E637" s="88"/>
      <c r="F637" s="88"/>
      <c r="G637" s="85"/>
      <c r="H637" s="85"/>
      <c r="I637" s="85"/>
      <c r="J637" s="85"/>
      <c r="K637" s="88"/>
      <c r="L637" s="88"/>
      <c r="M637" s="85"/>
      <c r="N637" s="85"/>
      <c r="O637" s="73"/>
    </row>
    <row r="638" customFormat="false" ht="15" hidden="false" customHeight="false" outlineLevel="0" collapsed="false">
      <c r="A638" s="87"/>
      <c r="B638" s="73"/>
      <c r="C638" s="74" t="str">
        <f aca="false">IF(B638="","",IFERROR(INDEX(الموظفون!$C$6:$C$105,MATCH(B638,الموظفون!$B$6:$B$105,0)),"✖ رقم غير موجود"))</f>
        <v/>
      </c>
      <c r="D638" s="88"/>
      <c r="E638" s="88"/>
      <c r="F638" s="88"/>
      <c r="G638" s="85"/>
      <c r="H638" s="85"/>
      <c r="I638" s="85"/>
      <c r="J638" s="85"/>
      <c r="K638" s="88"/>
      <c r="L638" s="88"/>
      <c r="M638" s="85"/>
      <c r="N638" s="85"/>
      <c r="O638" s="73"/>
    </row>
    <row r="639" customFormat="false" ht="15" hidden="false" customHeight="false" outlineLevel="0" collapsed="false">
      <c r="A639" s="87"/>
      <c r="B639" s="73"/>
      <c r="C639" s="91" t="str">
        <f aca="false">IF(B639="","",IFERROR(INDEX(الموظفون!$C$6:$C$105,MATCH(B639,الموظفون!$B$6:$B$105,0)),"✖ رقم غير موجود"))</f>
        <v/>
      </c>
      <c r="D639" s="88"/>
      <c r="E639" s="88"/>
      <c r="F639" s="88"/>
      <c r="G639" s="85"/>
      <c r="H639" s="85"/>
      <c r="I639" s="85"/>
      <c r="J639" s="85"/>
      <c r="K639" s="88"/>
      <c r="L639" s="88"/>
      <c r="M639" s="85"/>
      <c r="N639" s="85"/>
      <c r="O639" s="73"/>
    </row>
    <row r="640" customFormat="false" ht="15" hidden="false" customHeight="false" outlineLevel="0" collapsed="false">
      <c r="A640" s="87"/>
      <c r="B640" s="73"/>
      <c r="C640" s="74" t="str">
        <f aca="false">IF(B640="","",IFERROR(INDEX(الموظفون!$C$6:$C$105,MATCH(B640,الموظفون!$B$6:$B$105,0)),"✖ رقم غير موجود"))</f>
        <v/>
      </c>
      <c r="D640" s="88"/>
      <c r="E640" s="88"/>
      <c r="F640" s="88"/>
      <c r="G640" s="85"/>
      <c r="H640" s="85"/>
      <c r="I640" s="85"/>
      <c r="J640" s="85"/>
      <c r="K640" s="88"/>
      <c r="L640" s="88"/>
      <c r="M640" s="85"/>
      <c r="N640" s="85"/>
      <c r="O640" s="73"/>
    </row>
    <row r="641" customFormat="false" ht="15" hidden="false" customHeight="false" outlineLevel="0" collapsed="false">
      <c r="A641" s="87"/>
      <c r="B641" s="73"/>
      <c r="C641" s="91" t="str">
        <f aca="false">IF(B641="","",IFERROR(INDEX(الموظفون!$C$6:$C$105,MATCH(B641,الموظفون!$B$6:$B$105,0)),"✖ رقم غير موجود"))</f>
        <v/>
      </c>
      <c r="D641" s="88"/>
      <c r="E641" s="88"/>
      <c r="F641" s="88"/>
      <c r="G641" s="85"/>
      <c r="H641" s="85"/>
      <c r="I641" s="85"/>
      <c r="J641" s="85"/>
      <c r="K641" s="88"/>
      <c r="L641" s="88"/>
      <c r="M641" s="85"/>
      <c r="N641" s="85"/>
      <c r="O641" s="73"/>
    </row>
    <row r="642" customFormat="false" ht="15" hidden="false" customHeight="false" outlineLevel="0" collapsed="false">
      <c r="A642" s="87"/>
      <c r="B642" s="73"/>
      <c r="C642" s="74" t="str">
        <f aca="false">IF(B642="","",IFERROR(INDEX(الموظفون!$C$6:$C$105,MATCH(B642,الموظفون!$B$6:$B$105,0)),"✖ رقم غير موجود"))</f>
        <v/>
      </c>
      <c r="D642" s="88"/>
      <c r="E642" s="88"/>
      <c r="F642" s="88"/>
      <c r="G642" s="85"/>
      <c r="H642" s="85"/>
      <c r="I642" s="85"/>
      <c r="J642" s="85"/>
      <c r="K642" s="88"/>
      <c r="L642" s="88"/>
      <c r="M642" s="85"/>
      <c r="N642" s="85"/>
      <c r="O642" s="73"/>
    </row>
    <row r="643" customFormat="false" ht="15" hidden="false" customHeight="false" outlineLevel="0" collapsed="false">
      <c r="A643" s="87"/>
      <c r="B643" s="73"/>
      <c r="C643" s="91" t="str">
        <f aca="false">IF(B643="","",IFERROR(INDEX(الموظفون!$C$6:$C$105,MATCH(B643,الموظفون!$B$6:$B$105,0)),"✖ رقم غير موجود"))</f>
        <v/>
      </c>
      <c r="D643" s="88"/>
      <c r="E643" s="88"/>
      <c r="F643" s="88"/>
      <c r="G643" s="85"/>
      <c r="H643" s="85"/>
      <c r="I643" s="85"/>
      <c r="J643" s="85"/>
      <c r="K643" s="88"/>
      <c r="L643" s="88"/>
      <c r="M643" s="85"/>
      <c r="N643" s="85"/>
      <c r="O643" s="73"/>
    </row>
    <row r="644" customFormat="false" ht="15" hidden="false" customHeight="false" outlineLevel="0" collapsed="false">
      <c r="A644" s="87"/>
      <c r="B644" s="73"/>
      <c r="C644" s="74" t="str">
        <f aca="false">IF(B644="","",IFERROR(INDEX(الموظفون!$C$6:$C$105,MATCH(B644,الموظفون!$B$6:$B$105,0)),"✖ رقم غير موجود"))</f>
        <v/>
      </c>
      <c r="D644" s="88"/>
      <c r="E644" s="88"/>
      <c r="F644" s="88"/>
      <c r="G644" s="85"/>
      <c r="H644" s="85"/>
      <c r="I644" s="85"/>
      <c r="J644" s="85"/>
      <c r="K644" s="88"/>
      <c r="L644" s="88"/>
      <c r="M644" s="85"/>
      <c r="N644" s="85"/>
      <c r="O644" s="73"/>
    </row>
    <row r="645" customFormat="false" ht="15" hidden="false" customHeight="false" outlineLevel="0" collapsed="false">
      <c r="A645" s="87"/>
      <c r="B645" s="73"/>
      <c r="C645" s="91" t="str">
        <f aca="false">IF(B645="","",IFERROR(INDEX(الموظفون!$C$6:$C$105,MATCH(B645,الموظفون!$B$6:$B$105,0)),"✖ رقم غير موجود"))</f>
        <v/>
      </c>
      <c r="D645" s="88"/>
      <c r="E645" s="88"/>
      <c r="F645" s="88"/>
      <c r="G645" s="85"/>
      <c r="H645" s="85"/>
      <c r="I645" s="85"/>
      <c r="J645" s="85"/>
      <c r="K645" s="88"/>
      <c r="L645" s="88"/>
      <c r="M645" s="85"/>
      <c r="N645" s="85"/>
      <c r="O645" s="73"/>
    </row>
    <row r="646" customFormat="false" ht="15" hidden="false" customHeight="false" outlineLevel="0" collapsed="false">
      <c r="A646" s="87"/>
      <c r="B646" s="73"/>
      <c r="C646" s="74" t="str">
        <f aca="false">IF(B646="","",IFERROR(INDEX(الموظفون!$C$6:$C$105,MATCH(B646,الموظفون!$B$6:$B$105,0)),"✖ رقم غير موجود"))</f>
        <v/>
      </c>
      <c r="D646" s="88"/>
      <c r="E646" s="88"/>
      <c r="F646" s="88"/>
      <c r="G646" s="85"/>
      <c r="H646" s="85"/>
      <c r="I646" s="85"/>
      <c r="J646" s="85"/>
      <c r="K646" s="88"/>
      <c r="L646" s="88"/>
      <c r="M646" s="85"/>
      <c r="N646" s="85"/>
      <c r="O646" s="73"/>
    </row>
    <row r="647" customFormat="false" ht="15" hidden="false" customHeight="false" outlineLevel="0" collapsed="false">
      <c r="A647" s="87"/>
      <c r="B647" s="73"/>
      <c r="C647" s="91" t="str">
        <f aca="false">IF(B647="","",IFERROR(INDEX(الموظفون!$C$6:$C$105,MATCH(B647,الموظفون!$B$6:$B$105,0)),"✖ رقم غير موجود"))</f>
        <v/>
      </c>
      <c r="D647" s="88"/>
      <c r="E647" s="88"/>
      <c r="F647" s="88"/>
      <c r="G647" s="85"/>
      <c r="H647" s="85"/>
      <c r="I647" s="85"/>
      <c r="J647" s="85"/>
      <c r="K647" s="88"/>
      <c r="L647" s="88"/>
      <c r="M647" s="85"/>
      <c r="N647" s="85"/>
      <c r="O647" s="73"/>
    </row>
    <row r="648" customFormat="false" ht="15" hidden="false" customHeight="false" outlineLevel="0" collapsed="false">
      <c r="A648" s="87"/>
      <c r="B648" s="73"/>
      <c r="C648" s="74" t="str">
        <f aca="false">IF(B648="","",IFERROR(INDEX(الموظفون!$C$6:$C$105,MATCH(B648,الموظفون!$B$6:$B$105,0)),"✖ رقم غير موجود"))</f>
        <v/>
      </c>
      <c r="D648" s="88"/>
      <c r="E648" s="88"/>
      <c r="F648" s="88"/>
      <c r="G648" s="85"/>
      <c r="H648" s="85"/>
      <c r="I648" s="85"/>
      <c r="J648" s="85"/>
      <c r="K648" s="88"/>
      <c r="L648" s="88"/>
      <c r="M648" s="85"/>
      <c r="N648" s="85"/>
      <c r="O648" s="73"/>
    </row>
    <row r="649" customFormat="false" ht="15" hidden="false" customHeight="false" outlineLevel="0" collapsed="false">
      <c r="A649" s="87"/>
      <c r="B649" s="73"/>
      <c r="C649" s="91" t="str">
        <f aca="false">IF(B649="","",IFERROR(INDEX(الموظفون!$C$6:$C$105,MATCH(B649,الموظفون!$B$6:$B$105,0)),"✖ رقم غير موجود"))</f>
        <v/>
      </c>
      <c r="D649" s="88"/>
      <c r="E649" s="88"/>
      <c r="F649" s="88"/>
      <c r="G649" s="85"/>
      <c r="H649" s="85"/>
      <c r="I649" s="85"/>
      <c r="J649" s="85"/>
      <c r="K649" s="88"/>
      <c r="L649" s="88"/>
      <c r="M649" s="85"/>
      <c r="N649" s="85"/>
      <c r="O649" s="73"/>
    </row>
    <row r="650" customFormat="false" ht="15" hidden="false" customHeight="false" outlineLevel="0" collapsed="false">
      <c r="A650" s="87"/>
      <c r="B650" s="73"/>
      <c r="C650" s="74" t="str">
        <f aca="false">IF(B650="","",IFERROR(INDEX(الموظفون!$C$6:$C$105,MATCH(B650,الموظفون!$B$6:$B$105,0)),"✖ رقم غير موجود"))</f>
        <v/>
      </c>
      <c r="D650" s="88"/>
      <c r="E650" s="88"/>
      <c r="F650" s="88"/>
      <c r="G650" s="85"/>
      <c r="H650" s="85"/>
      <c r="I650" s="85"/>
      <c r="J650" s="85"/>
      <c r="K650" s="88"/>
      <c r="L650" s="88"/>
      <c r="M650" s="85"/>
      <c r="N650" s="85"/>
      <c r="O650" s="73"/>
    </row>
    <row r="651" customFormat="false" ht="15" hidden="false" customHeight="false" outlineLevel="0" collapsed="false">
      <c r="A651" s="87"/>
      <c r="B651" s="73"/>
      <c r="C651" s="91" t="str">
        <f aca="false">IF(B651="","",IFERROR(INDEX(الموظفون!$C$6:$C$105,MATCH(B651,الموظفون!$B$6:$B$105,0)),"✖ رقم غير موجود"))</f>
        <v/>
      </c>
      <c r="D651" s="88"/>
      <c r="E651" s="88"/>
      <c r="F651" s="88"/>
      <c r="G651" s="85"/>
      <c r="H651" s="85"/>
      <c r="I651" s="85"/>
      <c r="J651" s="85"/>
      <c r="K651" s="88"/>
      <c r="L651" s="88"/>
      <c r="M651" s="85"/>
      <c r="N651" s="85"/>
      <c r="O651" s="73"/>
    </row>
    <row r="652" customFormat="false" ht="15" hidden="false" customHeight="false" outlineLevel="0" collapsed="false">
      <c r="A652" s="87"/>
      <c r="B652" s="73"/>
      <c r="C652" s="74" t="str">
        <f aca="false">IF(B652="","",IFERROR(INDEX(الموظفون!$C$6:$C$105,MATCH(B652,الموظفون!$B$6:$B$105,0)),"✖ رقم غير موجود"))</f>
        <v/>
      </c>
      <c r="D652" s="88"/>
      <c r="E652" s="88"/>
      <c r="F652" s="88"/>
      <c r="G652" s="85"/>
      <c r="H652" s="85"/>
      <c r="I652" s="85"/>
      <c r="J652" s="85"/>
      <c r="K652" s="88"/>
      <c r="L652" s="88"/>
      <c r="M652" s="85"/>
      <c r="N652" s="85"/>
      <c r="O652" s="73"/>
    </row>
    <row r="653" customFormat="false" ht="15" hidden="false" customHeight="false" outlineLevel="0" collapsed="false">
      <c r="A653" s="87"/>
      <c r="B653" s="73"/>
      <c r="C653" s="91" t="str">
        <f aca="false">IF(B653="","",IFERROR(INDEX(الموظفون!$C$6:$C$105,MATCH(B653,الموظفون!$B$6:$B$105,0)),"✖ رقم غير موجود"))</f>
        <v/>
      </c>
      <c r="D653" s="88"/>
      <c r="E653" s="88"/>
      <c r="F653" s="88"/>
      <c r="G653" s="85"/>
      <c r="H653" s="85"/>
      <c r="I653" s="85"/>
      <c r="J653" s="85"/>
      <c r="K653" s="88"/>
      <c r="L653" s="88"/>
      <c r="M653" s="85"/>
      <c r="N653" s="85"/>
      <c r="O653" s="73"/>
    </row>
    <row r="654" customFormat="false" ht="15" hidden="false" customHeight="false" outlineLevel="0" collapsed="false">
      <c r="A654" s="87"/>
      <c r="B654" s="73"/>
      <c r="C654" s="74" t="str">
        <f aca="false">IF(B654="","",IFERROR(INDEX(الموظفون!$C$6:$C$105,MATCH(B654,الموظفون!$B$6:$B$105,0)),"✖ رقم غير موجود"))</f>
        <v/>
      </c>
      <c r="D654" s="88"/>
      <c r="E654" s="88"/>
      <c r="F654" s="88"/>
      <c r="G654" s="85"/>
      <c r="H654" s="85"/>
      <c r="I654" s="85"/>
      <c r="J654" s="85"/>
      <c r="K654" s="88"/>
      <c r="L654" s="88"/>
      <c r="M654" s="85"/>
      <c r="N654" s="85"/>
      <c r="O654" s="73"/>
    </row>
    <row r="655" customFormat="false" ht="15" hidden="false" customHeight="false" outlineLevel="0" collapsed="false">
      <c r="A655" s="87"/>
      <c r="B655" s="73"/>
      <c r="C655" s="91" t="str">
        <f aca="false">IF(B655="","",IFERROR(INDEX(الموظفون!$C$6:$C$105,MATCH(B655,الموظفون!$B$6:$B$105,0)),"✖ رقم غير موجود"))</f>
        <v/>
      </c>
      <c r="D655" s="88"/>
      <c r="E655" s="88"/>
      <c r="F655" s="88"/>
      <c r="G655" s="85"/>
      <c r="H655" s="85"/>
      <c r="I655" s="85"/>
      <c r="J655" s="85"/>
      <c r="K655" s="88"/>
      <c r="L655" s="88"/>
      <c r="M655" s="85"/>
      <c r="N655" s="85"/>
      <c r="O655" s="73"/>
    </row>
    <row r="656" customFormat="false" ht="15" hidden="false" customHeight="false" outlineLevel="0" collapsed="false">
      <c r="A656" s="87"/>
      <c r="B656" s="73"/>
      <c r="C656" s="74" t="str">
        <f aca="false">IF(B656="","",IFERROR(INDEX(الموظفون!$C$6:$C$105,MATCH(B656,الموظفون!$B$6:$B$105,0)),"✖ رقم غير موجود"))</f>
        <v/>
      </c>
      <c r="D656" s="88"/>
      <c r="E656" s="88"/>
      <c r="F656" s="88"/>
      <c r="G656" s="85"/>
      <c r="H656" s="85"/>
      <c r="I656" s="85"/>
      <c r="J656" s="85"/>
      <c r="K656" s="88"/>
      <c r="L656" s="88"/>
      <c r="M656" s="85"/>
      <c r="N656" s="85"/>
      <c r="O656" s="73"/>
    </row>
    <row r="657" customFormat="false" ht="15" hidden="false" customHeight="false" outlineLevel="0" collapsed="false">
      <c r="A657" s="87"/>
      <c r="B657" s="73"/>
      <c r="C657" s="91" t="str">
        <f aca="false">IF(B657="","",IFERROR(INDEX(الموظفون!$C$6:$C$105,MATCH(B657,الموظفون!$B$6:$B$105,0)),"✖ رقم غير موجود"))</f>
        <v/>
      </c>
      <c r="D657" s="88"/>
      <c r="E657" s="88"/>
      <c r="F657" s="88"/>
      <c r="G657" s="85"/>
      <c r="H657" s="85"/>
      <c r="I657" s="85"/>
      <c r="J657" s="85"/>
      <c r="K657" s="88"/>
      <c r="L657" s="88"/>
      <c r="M657" s="85"/>
      <c r="N657" s="85"/>
      <c r="O657" s="73"/>
    </row>
    <row r="658" customFormat="false" ht="15" hidden="false" customHeight="false" outlineLevel="0" collapsed="false">
      <c r="A658" s="87"/>
      <c r="B658" s="73"/>
      <c r="C658" s="74" t="str">
        <f aca="false">IF(B658="","",IFERROR(INDEX(الموظفون!$C$6:$C$105,MATCH(B658,الموظفون!$B$6:$B$105,0)),"✖ رقم غير موجود"))</f>
        <v/>
      </c>
      <c r="D658" s="88"/>
      <c r="E658" s="88"/>
      <c r="F658" s="88"/>
      <c r="G658" s="85"/>
      <c r="H658" s="85"/>
      <c r="I658" s="85"/>
      <c r="J658" s="85"/>
      <c r="K658" s="88"/>
      <c r="L658" s="88"/>
      <c r="M658" s="85"/>
      <c r="N658" s="85"/>
      <c r="O658" s="73"/>
    </row>
    <row r="659" customFormat="false" ht="15" hidden="false" customHeight="false" outlineLevel="0" collapsed="false">
      <c r="A659" s="87"/>
      <c r="B659" s="73"/>
      <c r="C659" s="91" t="str">
        <f aca="false">IF(B659="","",IFERROR(INDEX(الموظفون!$C$6:$C$105,MATCH(B659,الموظفون!$B$6:$B$105,0)),"✖ رقم غير موجود"))</f>
        <v/>
      </c>
      <c r="D659" s="88"/>
      <c r="E659" s="88"/>
      <c r="F659" s="88"/>
      <c r="G659" s="85"/>
      <c r="H659" s="85"/>
      <c r="I659" s="85"/>
      <c r="J659" s="85"/>
      <c r="K659" s="88"/>
      <c r="L659" s="88"/>
      <c r="M659" s="85"/>
      <c r="N659" s="85"/>
      <c r="O659" s="73"/>
    </row>
    <row r="660" customFormat="false" ht="15" hidden="false" customHeight="false" outlineLevel="0" collapsed="false">
      <c r="A660" s="87"/>
      <c r="B660" s="73"/>
      <c r="C660" s="74" t="str">
        <f aca="false">IF(B660="","",IFERROR(INDEX(الموظفون!$C$6:$C$105,MATCH(B660,الموظفون!$B$6:$B$105,0)),"✖ رقم غير موجود"))</f>
        <v/>
      </c>
      <c r="D660" s="88"/>
      <c r="E660" s="88"/>
      <c r="F660" s="88"/>
      <c r="G660" s="85"/>
      <c r="H660" s="85"/>
      <c r="I660" s="85"/>
      <c r="J660" s="85"/>
      <c r="K660" s="88"/>
      <c r="L660" s="88"/>
      <c r="M660" s="85"/>
      <c r="N660" s="85"/>
      <c r="O660" s="73"/>
    </row>
    <row r="661" customFormat="false" ht="15" hidden="false" customHeight="false" outlineLevel="0" collapsed="false">
      <c r="A661" s="87"/>
      <c r="B661" s="73"/>
      <c r="C661" s="91" t="str">
        <f aca="false">IF(B661="","",IFERROR(INDEX(الموظفون!$C$6:$C$105,MATCH(B661,الموظفون!$B$6:$B$105,0)),"✖ رقم غير موجود"))</f>
        <v/>
      </c>
      <c r="D661" s="88"/>
      <c r="E661" s="88"/>
      <c r="F661" s="88"/>
      <c r="G661" s="85"/>
      <c r="H661" s="85"/>
      <c r="I661" s="85"/>
      <c r="J661" s="85"/>
      <c r="K661" s="88"/>
      <c r="L661" s="88"/>
      <c r="M661" s="85"/>
      <c r="N661" s="85"/>
      <c r="O661" s="73"/>
    </row>
    <row r="662" customFormat="false" ht="15" hidden="false" customHeight="false" outlineLevel="0" collapsed="false">
      <c r="A662" s="87"/>
      <c r="B662" s="73"/>
      <c r="C662" s="74" t="str">
        <f aca="false">IF(B662="","",IFERROR(INDEX(الموظفون!$C$6:$C$105,MATCH(B662,الموظفون!$B$6:$B$105,0)),"✖ رقم غير موجود"))</f>
        <v/>
      </c>
      <c r="D662" s="88"/>
      <c r="E662" s="88"/>
      <c r="F662" s="88"/>
      <c r="G662" s="85"/>
      <c r="H662" s="85"/>
      <c r="I662" s="85"/>
      <c r="J662" s="85"/>
      <c r="K662" s="88"/>
      <c r="L662" s="88"/>
      <c r="M662" s="85"/>
      <c r="N662" s="85"/>
      <c r="O662" s="73"/>
    </row>
    <row r="663" customFormat="false" ht="15" hidden="false" customHeight="false" outlineLevel="0" collapsed="false">
      <c r="A663" s="87"/>
      <c r="B663" s="73"/>
      <c r="C663" s="91" t="str">
        <f aca="false">IF(B663="","",IFERROR(INDEX(الموظفون!$C$6:$C$105,MATCH(B663,الموظفون!$B$6:$B$105,0)),"✖ رقم غير موجود"))</f>
        <v/>
      </c>
      <c r="D663" s="88"/>
      <c r="E663" s="88"/>
      <c r="F663" s="88"/>
      <c r="G663" s="85"/>
      <c r="H663" s="85"/>
      <c r="I663" s="85"/>
      <c r="J663" s="85"/>
      <c r="K663" s="88"/>
      <c r="L663" s="88"/>
      <c r="M663" s="85"/>
      <c r="N663" s="85"/>
      <c r="O663" s="73"/>
    </row>
    <row r="664" customFormat="false" ht="15" hidden="false" customHeight="false" outlineLevel="0" collapsed="false">
      <c r="A664" s="87"/>
      <c r="B664" s="73"/>
      <c r="C664" s="74" t="str">
        <f aca="false">IF(B664="","",IFERROR(INDEX(الموظفون!$C$6:$C$105,MATCH(B664,الموظفون!$B$6:$B$105,0)),"✖ رقم غير موجود"))</f>
        <v/>
      </c>
      <c r="D664" s="88"/>
      <c r="E664" s="88"/>
      <c r="F664" s="88"/>
      <c r="G664" s="85"/>
      <c r="H664" s="85"/>
      <c r="I664" s="85"/>
      <c r="J664" s="85"/>
      <c r="K664" s="88"/>
      <c r="L664" s="88"/>
      <c r="M664" s="85"/>
      <c r="N664" s="85"/>
      <c r="O664" s="73"/>
    </row>
    <row r="665" customFormat="false" ht="15" hidden="false" customHeight="false" outlineLevel="0" collapsed="false">
      <c r="A665" s="87"/>
      <c r="B665" s="73"/>
      <c r="C665" s="91" t="str">
        <f aca="false">IF(B665="","",IFERROR(INDEX(الموظفون!$C$6:$C$105,MATCH(B665,الموظفون!$B$6:$B$105,0)),"✖ رقم غير موجود"))</f>
        <v/>
      </c>
      <c r="D665" s="88"/>
      <c r="E665" s="88"/>
      <c r="F665" s="88"/>
      <c r="G665" s="85"/>
      <c r="H665" s="85"/>
      <c r="I665" s="85"/>
      <c r="J665" s="85"/>
      <c r="K665" s="88"/>
      <c r="L665" s="88"/>
      <c r="M665" s="85"/>
      <c r="N665" s="85"/>
      <c r="O665" s="73"/>
    </row>
    <row r="666" customFormat="false" ht="15" hidden="false" customHeight="false" outlineLevel="0" collapsed="false">
      <c r="A666" s="87"/>
      <c r="B666" s="73"/>
      <c r="C666" s="74" t="str">
        <f aca="false">IF(B666="","",IFERROR(INDEX(الموظفون!$C$6:$C$105,MATCH(B666,الموظفون!$B$6:$B$105,0)),"✖ رقم غير موجود"))</f>
        <v/>
      </c>
      <c r="D666" s="88"/>
      <c r="E666" s="88"/>
      <c r="F666" s="88"/>
      <c r="G666" s="85"/>
      <c r="H666" s="85"/>
      <c r="I666" s="85"/>
      <c r="J666" s="85"/>
      <c r="K666" s="88"/>
      <c r="L666" s="88"/>
      <c r="M666" s="85"/>
      <c r="N666" s="85"/>
      <c r="O666" s="73"/>
    </row>
    <row r="667" customFormat="false" ht="15" hidden="false" customHeight="false" outlineLevel="0" collapsed="false">
      <c r="A667" s="87"/>
      <c r="B667" s="73"/>
      <c r="C667" s="91" t="str">
        <f aca="false">IF(B667="","",IFERROR(INDEX(الموظفون!$C$6:$C$105,MATCH(B667,الموظفون!$B$6:$B$105,0)),"✖ رقم غير موجود"))</f>
        <v/>
      </c>
      <c r="D667" s="88"/>
      <c r="E667" s="88"/>
      <c r="F667" s="88"/>
      <c r="G667" s="85"/>
      <c r="H667" s="85"/>
      <c r="I667" s="85"/>
      <c r="J667" s="85"/>
      <c r="K667" s="88"/>
      <c r="L667" s="88"/>
      <c r="M667" s="85"/>
      <c r="N667" s="85"/>
      <c r="O667" s="73"/>
    </row>
    <row r="668" customFormat="false" ht="15" hidden="false" customHeight="false" outlineLevel="0" collapsed="false">
      <c r="A668" s="87"/>
      <c r="B668" s="73"/>
      <c r="C668" s="74" t="str">
        <f aca="false">IF(B668="","",IFERROR(INDEX(الموظفون!$C$6:$C$105,MATCH(B668,الموظفون!$B$6:$B$105,0)),"✖ رقم غير موجود"))</f>
        <v/>
      </c>
      <c r="D668" s="88"/>
      <c r="E668" s="88"/>
      <c r="F668" s="88"/>
      <c r="G668" s="85"/>
      <c r="H668" s="85"/>
      <c r="I668" s="85"/>
      <c r="J668" s="85"/>
      <c r="K668" s="88"/>
      <c r="L668" s="88"/>
      <c r="M668" s="85"/>
      <c r="N668" s="85"/>
      <c r="O668" s="73"/>
    </row>
    <row r="669" customFormat="false" ht="15" hidden="false" customHeight="false" outlineLevel="0" collapsed="false">
      <c r="A669" s="87"/>
      <c r="B669" s="73"/>
      <c r="C669" s="91" t="str">
        <f aca="false">IF(B669="","",IFERROR(INDEX(الموظفون!$C$6:$C$105,MATCH(B669,الموظفون!$B$6:$B$105,0)),"✖ رقم غير موجود"))</f>
        <v/>
      </c>
      <c r="D669" s="88"/>
      <c r="E669" s="88"/>
      <c r="F669" s="88"/>
      <c r="G669" s="85"/>
      <c r="H669" s="85"/>
      <c r="I669" s="85"/>
      <c r="J669" s="85"/>
      <c r="K669" s="88"/>
      <c r="L669" s="88"/>
      <c r="M669" s="85"/>
      <c r="N669" s="85"/>
      <c r="O669" s="73"/>
    </row>
    <row r="670" customFormat="false" ht="15" hidden="false" customHeight="false" outlineLevel="0" collapsed="false">
      <c r="A670" s="87"/>
      <c r="B670" s="73"/>
      <c r="C670" s="74" t="str">
        <f aca="false">IF(B670="","",IFERROR(INDEX(الموظفون!$C$6:$C$105,MATCH(B670,الموظفون!$B$6:$B$105,0)),"✖ رقم غير موجود"))</f>
        <v/>
      </c>
      <c r="D670" s="88"/>
      <c r="E670" s="88"/>
      <c r="F670" s="88"/>
      <c r="G670" s="85"/>
      <c r="H670" s="85"/>
      <c r="I670" s="85"/>
      <c r="J670" s="85"/>
      <c r="K670" s="88"/>
      <c r="L670" s="88"/>
      <c r="M670" s="85"/>
      <c r="N670" s="85"/>
      <c r="O670" s="73"/>
    </row>
    <row r="671" customFormat="false" ht="15" hidden="false" customHeight="false" outlineLevel="0" collapsed="false">
      <c r="A671" s="87"/>
      <c r="B671" s="73"/>
      <c r="C671" s="91" t="str">
        <f aca="false">IF(B671="","",IFERROR(INDEX(الموظفون!$C$6:$C$105,MATCH(B671,الموظفون!$B$6:$B$105,0)),"✖ رقم غير موجود"))</f>
        <v/>
      </c>
      <c r="D671" s="88"/>
      <c r="E671" s="88"/>
      <c r="F671" s="88"/>
      <c r="G671" s="85"/>
      <c r="H671" s="85"/>
      <c r="I671" s="85"/>
      <c r="J671" s="85"/>
      <c r="K671" s="88"/>
      <c r="L671" s="88"/>
      <c r="M671" s="85"/>
      <c r="N671" s="85"/>
      <c r="O671" s="73"/>
    </row>
    <row r="672" customFormat="false" ht="15" hidden="false" customHeight="false" outlineLevel="0" collapsed="false">
      <c r="A672" s="87"/>
      <c r="B672" s="73"/>
      <c r="C672" s="74" t="str">
        <f aca="false">IF(B672="","",IFERROR(INDEX(الموظفون!$C$6:$C$105,MATCH(B672,الموظفون!$B$6:$B$105,0)),"✖ رقم غير موجود"))</f>
        <v/>
      </c>
      <c r="D672" s="88"/>
      <c r="E672" s="88"/>
      <c r="F672" s="88"/>
      <c r="G672" s="85"/>
      <c r="H672" s="85"/>
      <c r="I672" s="85"/>
      <c r="J672" s="85"/>
      <c r="K672" s="88"/>
      <c r="L672" s="88"/>
      <c r="M672" s="85"/>
      <c r="N672" s="85"/>
      <c r="O672" s="73"/>
    </row>
    <row r="673" customFormat="false" ht="15" hidden="false" customHeight="false" outlineLevel="0" collapsed="false">
      <c r="A673" s="87"/>
      <c r="B673" s="73"/>
      <c r="C673" s="91" t="str">
        <f aca="false">IF(B673="","",IFERROR(INDEX(الموظفون!$C$6:$C$105,MATCH(B673,الموظفون!$B$6:$B$105,0)),"✖ رقم غير موجود"))</f>
        <v/>
      </c>
      <c r="D673" s="88"/>
      <c r="E673" s="88"/>
      <c r="F673" s="88"/>
      <c r="G673" s="85"/>
      <c r="H673" s="85"/>
      <c r="I673" s="85"/>
      <c r="J673" s="85"/>
      <c r="K673" s="88"/>
      <c r="L673" s="88"/>
      <c r="M673" s="85"/>
      <c r="N673" s="85"/>
      <c r="O673" s="73"/>
    </row>
    <row r="674" customFormat="false" ht="15" hidden="false" customHeight="false" outlineLevel="0" collapsed="false">
      <c r="A674" s="87"/>
      <c r="B674" s="73"/>
      <c r="C674" s="74" t="str">
        <f aca="false">IF(B674="","",IFERROR(INDEX(الموظفون!$C$6:$C$105,MATCH(B674,الموظفون!$B$6:$B$105,0)),"✖ رقم غير موجود"))</f>
        <v/>
      </c>
      <c r="D674" s="88"/>
      <c r="E674" s="88"/>
      <c r="F674" s="88"/>
      <c r="G674" s="85"/>
      <c r="H674" s="85"/>
      <c r="I674" s="85"/>
      <c r="J674" s="85"/>
      <c r="K674" s="88"/>
      <c r="L674" s="88"/>
      <c r="M674" s="85"/>
      <c r="N674" s="85"/>
      <c r="O674" s="73"/>
    </row>
    <row r="675" customFormat="false" ht="15" hidden="false" customHeight="false" outlineLevel="0" collapsed="false">
      <c r="A675" s="87"/>
      <c r="B675" s="73"/>
      <c r="C675" s="91" t="str">
        <f aca="false">IF(B675="","",IFERROR(INDEX(الموظفون!$C$6:$C$105,MATCH(B675,الموظفون!$B$6:$B$105,0)),"✖ رقم غير موجود"))</f>
        <v/>
      </c>
      <c r="D675" s="88"/>
      <c r="E675" s="88"/>
      <c r="F675" s="88"/>
      <c r="G675" s="85"/>
      <c r="H675" s="85"/>
      <c r="I675" s="85"/>
      <c r="J675" s="85"/>
      <c r="K675" s="88"/>
      <c r="L675" s="88"/>
      <c r="M675" s="85"/>
      <c r="N675" s="85"/>
      <c r="O675" s="73"/>
    </row>
    <row r="676" customFormat="false" ht="15" hidden="false" customHeight="false" outlineLevel="0" collapsed="false">
      <c r="A676" s="87"/>
      <c r="B676" s="73"/>
      <c r="C676" s="74" t="str">
        <f aca="false">IF(B676="","",IFERROR(INDEX(الموظفون!$C$6:$C$105,MATCH(B676,الموظفون!$B$6:$B$105,0)),"✖ رقم غير موجود"))</f>
        <v/>
      </c>
      <c r="D676" s="88"/>
      <c r="E676" s="88"/>
      <c r="F676" s="88"/>
      <c r="G676" s="85"/>
      <c r="H676" s="85"/>
      <c r="I676" s="85"/>
      <c r="J676" s="85"/>
      <c r="K676" s="88"/>
      <c r="L676" s="88"/>
      <c r="M676" s="85"/>
      <c r="N676" s="85"/>
      <c r="O676" s="73"/>
    </row>
    <row r="677" customFormat="false" ht="15" hidden="false" customHeight="false" outlineLevel="0" collapsed="false">
      <c r="A677" s="87"/>
      <c r="B677" s="73"/>
      <c r="C677" s="91" t="str">
        <f aca="false">IF(B677="","",IFERROR(INDEX(الموظفون!$C$6:$C$105,MATCH(B677,الموظفون!$B$6:$B$105,0)),"✖ رقم غير موجود"))</f>
        <v/>
      </c>
      <c r="D677" s="88"/>
      <c r="E677" s="88"/>
      <c r="F677" s="88"/>
      <c r="G677" s="85"/>
      <c r="H677" s="85"/>
      <c r="I677" s="85"/>
      <c r="J677" s="85"/>
      <c r="K677" s="88"/>
      <c r="L677" s="88"/>
      <c r="M677" s="85"/>
      <c r="N677" s="85"/>
      <c r="O677" s="73"/>
    </row>
    <row r="678" customFormat="false" ht="15" hidden="false" customHeight="false" outlineLevel="0" collapsed="false">
      <c r="A678" s="87"/>
      <c r="B678" s="73"/>
      <c r="C678" s="74" t="str">
        <f aca="false">IF(B678="","",IFERROR(INDEX(الموظفون!$C$6:$C$105,MATCH(B678,الموظفون!$B$6:$B$105,0)),"✖ رقم غير موجود"))</f>
        <v/>
      </c>
      <c r="D678" s="88"/>
      <c r="E678" s="88"/>
      <c r="F678" s="88"/>
      <c r="G678" s="85"/>
      <c r="H678" s="85"/>
      <c r="I678" s="85"/>
      <c r="J678" s="85"/>
      <c r="K678" s="88"/>
      <c r="L678" s="88"/>
      <c r="M678" s="85"/>
      <c r="N678" s="85"/>
      <c r="O678" s="73"/>
    </row>
    <row r="679" customFormat="false" ht="15" hidden="false" customHeight="false" outlineLevel="0" collapsed="false">
      <c r="A679" s="87"/>
      <c r="B679" s="73"/>
      <c r="C679" s="91" t="str">
        <f aca="false">IF(B679="","",IFERROR(INDEX(الموظفون!$C$6:$C$105,MATCH(B679,الموظفون!$B$6:$B$105,0)),"✖ رقم غير موجود"))</f>
        <v/>
      </c>
      <c r="D679" s="88"/>
      <c r="E679" s="88"/>
      <c r="F679" s="88"/>
      <c r="G679" s="85"/>
      <c r="H679" s="85"/>
      <c r="I679" s="85"/>
      <c r="J679" s="85"/>
      <c r="K679" s="88"/>
      <c r="L679" s="88"/>
      <c r="M679" s="85"/>
      <c r="N679" s="85"/>
      <c r="O679" s="73"/>
    </row>
    <row r="680" customFormat="false" ht="15" hidden="false" customHeight="false" outlineLevel="0" collapsed="false">
      <c r="A680" s="87"/>
      <c r="B680" s="73"/>
      <c r="C680" s="74" t="str">
        <f aca="false">IF(B680="","",IFERROR(INDEX(الموظفون!$C$6:$C$105,MATCH(B680,الموظفون!$B$6:$B$105,0)),"✖ رقم غير موجود"))</f>
        <v/>
      </c>
      <c r="D680" s="88"/>
      <c r="E680" s="88"/>
      <c r="F680" s="88"/>
      <c r="G680" s="85"/>
      <c r="H680" s="85"/>
      <c r="I680" s="85"/>
      <c r="J680" s="85"/>
      <c r="K680" s="88"/>
      <c r="L680" s="88"/>
      <c r="M680" s="85"/>
      <c r="N680" s="85"/>
      <c r="O680" s="73"/>
    </row>
    <row r="681" customFormat="false" ht="15" hidden="false" customHeight="false" outlineLevel="0" collapsed="false">
      <c r="A681" s="87"/>
      <c r="B681" s="73"/>
      <c r="C681" s="91" t="str">
        <f aca="false">IF(B681="","",IFERROR(INDEX(الموظفون!$C$6:$C$105,MATCH(B681,الموظفون!$B$6:$B$105,0)),"✖ رقم غير موجود"))</f>
        <v/>
      </c>
      <c r="D681" s="88"/>
      <c r="E681" s="88"/>
      <c r="F681" s="88"/>
      <c r="G681" s="85"/>
      <c r="H681" s="85"/>
      <c r="I681" s="85"/>
      <c r="J681" s="85"/>
      <c r="K681" s="88"/>
      <c r="L681" s="88"/>
      <c r="M681" s="85"/>
      <c r="N681" s="85"/>
      <c r="O681" s="73"/>
    </row>
    <row r="682" customFormat="false" ht="15" hidden="false" customHeight="false" outlineLevel="0" collapsed="false">
      <c r="A682" s="87"/>
      <c r="B682" s="73"/>
      <c r="C682" s="74" t="str">
        <f aca="false">IF(B682="","",IFERROR(INDEX(الموظفون!$C$6:$C$105,MATCH(B682,الموظفون!$B$6:$B$105,0)),"✖ رقم غير موجود"))</f>
        <v/>
      </c>
      <c r="D682" s="88"/>
      <c r="E682" s="88"/>
      <c r="F682" s="88"/>
      <c r="G682" s="85"/>
      <c r="H682" s="85"/>
      <c r="I682" s="85"/>
      <c r="J682" s="85"/>
      <c r="K682" s="88"/>
      <c r="L682" s="88"/>
      <c r="M682" s="85"/>
      <c r="N682" s="85"/>
      <c r="O682" s="73"/>
    </row>
    <row r="683" customFormat="false" ht="15" hidden="false" customHeight="false" outlineLevel="0" collapsed="false">
      <c r="A683" s="87"/>
      <c r="B683" s="73"/>
      <c r="C683" s="91" t="str">
        <f aca="false">IF(B683="","",IFERROR(INDEX(الموظفون!$C$6:$C$105,MATCH(B683,الموظفون!$B$6:$B$105,0)),"✖ رقم غير موجود"))</f>
        <v/>
      </c>
      <c r="D683" s="88"/>
      <c r="E683" s="88"/>
      <c r="F683" s="88"/>
      <c r="G683" s="85"/>
      <c r="H683" s="85"/>
      <c r="I683" s="85"/>
      <c r="J683" s="85"/>
      <c r="K683" s="88"/>
      <c r="L683" s="88"/>
      <c r="M683" s="85"/>
      <c r="N683" s="85"/>
      <c r="O683" s="73"/>
    </row>
    <row r="684" customFormat="false" ht="15" hidden="false" customHeight="false" outlineLevel="0" collapsed="false">
      <c r="A684" s="87"/>
      <c r="B684" s="73"/>
      <c r="C684" s="74" t="str">
        <f aca="false">IF(B684="","",IFERROR(INDEX(الموظفون!$C$6:$C$105,MATCH(B684,الموظفون!$B$6:$B$105,0)),"✖ رقم غير موجود"))</f>
        <v/>
      </c>
      <c r="D684" s="88"/>
      <c r="E684" s="88"/>
      <c r="F684" s="88"/>
      <c r="G684" s="85"/>
      <c r="H684" s="85"/>
      <c r="I684" s="85"/>
      <c r="J684" s="85"/>
      <c r="K684" s="88"/>
      <c r="L684" s="88"/>
      <c r="M684" s="85"/>
      <c r="N684" s="85"/>
      <c r="O684" s="73"/>
    </row>
    <row r="685" customFormat="false" ht="15" hidden="false" customHeight="false" outlineLevel="0" collapsed="false">
      <c r="A685" s="87"/>
      <c r="B685" s="73"/>
      <c r="C685" s="91" t="str">
        <f aca="false">IF(B685="","",IFERROR(INDEX(الموظفون!$C$6:$C$105,MATCH(B685,الموظفون!$B$6:$B$105,0)),"✖ رقم غير موجود"))</f>
        <v/>
      </c>
      <c r="D685" s="88"/>
      <c r="E685" s="88"/>
      <c r="F685" s="88"/>
      <c r="G685" s="85"/>
      <c r="H685" s="85"/>
      <c r="I685" s="85"/>
      <c r="J685" s="85"/>
      <c r="K685" s="88"/>
      <c r="L685" s="88"/>
      <c r="M685" s="85"/>
      <c r="N685" s="85"/>
      <c r="O685" s="73"/>
    </row>
    <row r="686" customFormat="false" ht="15" hidden="false" customHeight="false" outlineLevel="0" collapsed="false">
      <c r="A686" s="87"/>
      <c r="B686" s="73"/>
      <c r="C686" s="74" t="str">
        <f aca="false">IF(B686="","",IFERROR(INDEX(الموظفون!$C$6:$C$105,MATCH(B686,الموظفون!$B$6:$B$105,0)),"✖ رقم غير موجود"))</f>
        <v/>
      </c>
      <c r="D686" s="88"/>
      <c r="E686" s="88"/>
      <c r="F686" s="88"/>
      <c r="G686" s="85"/>
      <c r="H686" s="85"/>
      <c r="I686" s="85"/>
      <c r="J686" s="85"/>
      <c r="K686" s="88"/>
      <c r="L686" s="88"/>
      <c r="M686" s="85"/>
      <c r="N686" s="85"/>
      <c r="O686" s="73"/>
    </row>
    <row r="687" customFormat="false" ht="15" hidden="false" customHeight="false" outlineLevel="0" collapsed="false">
      <c r="A687" s="87"/>
      <c r="B687" s="73"/>
      <c r="C687" s="91" t="str">
        <f aca="false">IF(B687="","",IFERROR(INDEX(الموظفون!$C$6:$C$105,MATCH(B687,الموظفون!$B$6:$B$105,0)),"✖ رقم غير موجود"))</f>
        <v/>
      </c>
      <c r="D687" s="88"/>
      <c r="E687" s="88"/>
      <c r="F687" s="88"/>
      <c r="G687" s="85"/>
      <c r="H687" s="85"/>
      <c r="I687" s="85"/>
      <c r="J687" s="85"/>
      <c r="K687" s="88"/>
      <c r="L687" s="88"/>
      <c r="M687" s="85"/>
      <c r="N687" s="85"/>
      <c r="O687" s="73"/>
    </row>
    <row r="688" customFormat="false" ht="15" hidden="false" customHeight="false" outlineLevel="0" collapsed="false">
      <c r="A688" s="87"/>
      <c r="B688" s="73"/>
      <c r="C688" s="74" t="str">
        <f aca="false">IF(B688="","",IFERROR(INDEX(الموظفون!$C$6:$C$105,MATCH(B688,الموظفون!$B$6:$B$105,0)),"✖ رقم غير موجود"))</f>
        <v/>
      </c>
      <c r="D688" s="88"/>
      <c r="E688" s="88"/>
      <c r="F688" s="88"/>
      <c r="G688" s="85"/>
      <c r="H688" s="85"/>
      <c r="I688" s="85"/>
      <c r="J688" s="85"/>
      <c r="K688" s="88"/>
      <c r="L688" s="88"/>
      <c r="M688" s="85"/>
      <c r="N688" s="85"/>
      <c r="O688" s="73"/>
    </row>
    <row r="689" customFormat="false" ht="15" hidden="false" customHeight="false" outlineLevel="0" collapsed="false">
      <c r="A689" s="87"/>
      <c r="B689" s="73"/>
      <c r="C689" s="91" t="str">
        <f aca="false">IF(B689="","",IFERROR(INDEX(الموظفون!$C$6:$C$105,MATCH(B689,الموظفون!$B$6:$B$105,0)),"✖ رقم غير موجود"))</f>
        <v/>
      </c>
      <c r="D689" s="88"/>
      <c r="E689" s="88"/>
      <c r="F689" s="88"/>
      <c r="G689" s="85"/>
      <c r="H689" s="85"/>
      <c r="I689" s="85"/>
      <c r="J689" s="85"/>
      <c r="K689" s="88"/>
      <c r="L689" s="88"/>
      <c r="M689" s="85"/>
      <c r="N689" s="85"/>
      <c r="O689" s="73"/>
    </row>
    <row r="690" customFormat="false" ht="15" hidden="false" customHeight="false" outlineLevel="0" collapsed="false">
      <c r="A690" s="87"/>
      <c r="B690" s="73"/>
      <c r="C690" s="74" t="str">
        <f aca="false">IF(B690="","",IFERROR(INDEX(الموظفون!$C$6:$C$105,MATCH(B690,الموظفون!$B$6:$B$105,0)),"✖ رقم غير موجود"))</f>
        <v/>
      </c>
      <c r="D690" s="88"/>
      <c r="E690" s="88"/>
      <c r="F690" s="88"/>
      <c r="G690" s="85"/>
      <c r="H690" s="85"/>
      <c r="I690" s="85"/>
      <c r="J690" s="85"/>
      <c r="K690" s="88"/>
      <c r="L690" s="88"/>
      <c r="M690" s="85"/>
      <c r="N690" s="85"/>
      <c r="O690" s="73"/>
    </row>
    <row r="691" customFormat="false" ht="15" hidden="false" customHeight="false" outlineLevel="0" collapsed="false">
      <c r="A691" s="87"/>
      <c r="B691" s="73"/>
      <c r="C691" s="91" t="str">
        <f aca="false">IF(B691="","",IFERROR(INDEX(الموظفون!$C$6:$C$105,MATCH(B691,الموظفون!$B$6:$B$105,0)),"✖ رقم غير موجود"))</f>
        <v/>
      </c>
      <c r="D691" s="88"/>
      <c r="E691" s="88"/>
      <c r="F691" s="88"/>
      <c r="G691" s="85"/>
      <c r="H691" s="85"/>
      <c r="I691" s="85"/>
      <c r="J691" s="85"/>
      <c r="K691" s="88"/>
      <c r="L691" s="88"/>
      <c r="M691" s="85"/>
      <c r="N691" s="85"/>
      <c r="O691" s="73"/>
    </row>
    <row r="692" customFormat="false" ht="15" hidden="false" customHeight="false" outlineLevel="0" collapsed="false">
      <c r="A692" s="87"/>
      <c r="B692" s="73"/>
      <c r="C692" s="74" t="str">
        <f aca="false">IF(B692="","",IFERROR(INDEX(الموظفون!$C$6:$C$105,MATCH(B692,الموظفون!$B$6:$B$105,0)),"✖ رقم غير موجود"))</f>
        <v/>
      </c>
      <c r="D692" s="88"/>
      <c r="E692" s="88"/>
      <c r="F692" s="88"/>
      <c r="G692" s="85"/>
      <c r="H692" s="85"/>
      <c r="I692" s="85"/>
      <c r="J692" s="85"/>
      <c r="K692" s="88"/>
      <c r="L692" s="88"/>
      <c r="M692" s="85"/>
      <c r="N692" s="85"/>
      <c r="O692" s="73"/>
    </row>
    <row r="693" customFormat="false" ht="15" hidden="false" customHeight="false" outlineLevel="0" collapsed="false">
      <c r="A693" s="87"/>
      <c r="B693" s="73"/>
      <c r="C693" s="91" t="str">
        <f aca="false">IF(B693="","",IFERROR(INDEX(الموظفون!$C$6:$C$105,MATCH(B693,الموظفون!$B$6:$B$105,0)),"✖ رقم غير موجود"))</f>
        <v/>
      </c>
      <c r="D693" s="88"/>
      <c r="E693" s="88"/>
      <c r="F693" s="88"/>
      <c r="G693" s="85"/>
      <c r="H693" s="85"/>
      <c r="I693" s="85"/>
      <c r="J693" s="85"/>
      <c r="K693" s="88"/>
      <c r="L693" s="88"/>
      <c r="M693" s="85"/>
      <c r="N693" s="85"/>
      <c r="O693" s="73"/>
    </row>
    <row r="694" customFormat="false" ht="15" hidden="false" customHeight="false" outlineLevel="0" collapsed="false">
      <c r="A694" s="87"/>
      <c r="B694" s="73"/>
      <c r="C694" s="74" t="str">
        <f aca="false">IF(B694="","",IFERROR(INDEX(الموظفون!$C$6:$C$105,MATCH(B694,الموظفون!$B$6:$B$105,0)),"✖ رقم غير موجود"))</f>
        <v/>
      </c>
      <c r="D694" s="88"/>
      <c r="E694" s="88"/>
      <c r="F694" s="88"/>
      <c r="G694" s="85"/>
      <c r="H694" s="85"/>
      <c r="I694" s="85"/>
      <c r="J694" s="85"/>
      <c r="K694" s="88"/>
      <c r="L694" s="88"/>
      <c r="M694" s="85"/>
      <c r="N694" s="85"/>
      <c r="O694" s="73"/>
    </row>
    <row r="695" customFormat="false" ht="15" hidden="false" customHeight="false" outlineLevel="0" collapsed="false">
      <c r="A695" s="87"/>
      <c r="B695" s="73"/>
      <c r="C695" s="91" t="str">
        <f aca="false">IF(B695="","",IFERROR(INDEX(الموظفون!$C$6:$C$105,MATCH(B695,الموظفون!$B$6:$B$105,0)),"✖ رقم غير موجود"))</f>
        <v/>
      </c>
      <c r="D695" s="88"/>
      <c r="E695" s="88"/>
      <c r="F695" s="88"/>
      <c r="G695" s="85"/>
      <c r="H695" s="85"/>
      <c r="I695" s="85"/>
      <c r="J695" s="85"/>
      <c r="K695" s="88"/>
      <c r="L695" s="88"/>
      <c r="M695" s="85"/>
      <c r="N695" s="85"/>
      <c r="O695" s="73"/>
    </row>
    <row r="696" customFormat="false" ht="15" hidden="false" customHeight="false" outlineLevel="0" collapsed="false">
      <c r="A696" s="87"/>
      <c r="B696" s="73"/>
      <c r="C696" s="74" t="str">
        <f aca="false">IF(B696="","",IFERROR(INDEX(الموظفون!$C$6:$C$105,MATCH(B696,الموظفون!$B$6:$B$105,0)),"✖ رقم غير موجود"))</f>
        <v/>
      </c>
      <c r="D696" s="88"/>
      <c r="E696" s="88"/>
      <c r="F696" s="88"/>
      <c r="G696" s="85"/>
      <c r="H696" s="85"/>
      <c r="I696" s="85"/>
      <c r="J696" s="85"/>
      <c r="K696" s="88"/>
      <c r="L696" s="88"/>
      <c r="M696" s="85"/>
      <c r="N696" s="85"/>
      <c r="O696" s="73"/>
    </row>
    <row r="697" customFormat="false" ht="15" hidden="false" customHeight="false" outlineLevel="0" collapsed="false">
      <c r="A697" s="87"/>
      <c r="B697" s="73"/>
      <c r="C697" s="91" t="str">
        <f aca="false">IF(B697="","",IFERROR(INDEX(الموظفون!$C$6:$C$105,MATCH(B697,الموظفون!$B$6:$B$105,0)),"✖ رقم غير موجود"))</f>
        <v/>
      </c>
      <c r="D697" s="88"/>
      <c r="E697" s="88"/>
      <c r="F697" s="88"/>
      <c r="G697" s="85"/>
      <c r="H697" s="85"/>
      <c r="I697" s="85"/>
      <c r="J697" s="85"/>
      <c r="K697" s="88"/>
      <c r="L697" s="88"/>
      <c r="M697" s="85"/>
      <c r="N697" s="85"/>
      <c r="O697" s="73"/>
    </row>
    <row r="698" customFormat="false" ht="15" hidden="false" customHeight="false" outlineLevel="0" collapsed="false">
      <c r="A698" s="87"/>
      <c r="B698" s="73"/>
      <c r="C698" s="74" t="str">
        <f aca="false">IF(B698="","",IFERROR(INDEX(الموظفون!$C$6:$C$105,MATCH(B698,الموظفون!$B$6:$B$105,0)),"✖ رقم غير موجود"))</f>
        <v/>
      </c>
      <c r="D698" s="88"/>
      <c r="E698" s="88"/>
      <c r="F698" s="88"/>
      <c r="G698" s="85"/>
      <c r="H698" s="85"/>
      <c r="I698" s="85"/>
      <c r="J698" s="85"/>
      <c r="K698" s="88"/>
      <c r="L698" s="88"/>
      <c r="M698" s="85"/>
      <c r="N698" s="85"/>
      <c r="O698" s="73"/>
    </row>
    <row r="699" customFormat="false" ht="15" hidden="false" customHeight="false" outlineLevel="0" collapsed="false">
      <c r="A699" s="87"/>
      <c r="B699" s="73"/>
      <c r="C699" s="91" t="str">
        <f aca="false">IF(B699="","",IFERROR(INDEX(الموظفون!$C$6:$C$105,MATCH(B699,الموظفون!$B$6:$B$105,0)),"✖ رقم غير موجود"))</f>
        <v/>
      </c>
      <c r="D699" s="88"/>
      <c r="E699" s="88"/>
      <c r="F699" s="88"/>
      <c r="G699" s="85"/>
      <c r="H699" s="85"/>
      <c r="I699" s="85"/>
      <c r="J699" s="85"/>
      <c r="K699" s="88"/>
      <c r="L699" s="88"/>
      <c r="M699" s="85"/>
      <c r="N699" s="85"/>
      <c r="O699" s="73"/>
    </row>
    <row r="700" customFormat="false" ht="15" hidden="false" customHeight="false" outlineLevel="0" collapsed="false">
      <c r="A700" s="87"/>
      <c r="B700" s="73"/>
      <c r="C700" s="74" t="str">
        <f aca="false">IF(B700="","",IFERROR(INDEX(الموظفون!$C$6:$C$105,MATCH(B700,الموظفون!$B$6:$B$105,0)),"✖ رقم غير موجود"))</f>
        <v/>
      </c>
      <c r="D700" s="88"/>
      <c r="E700" s="88"/>
      <c r="F700" s="88"/>
      <c r="G700" s="85"/>
      <c r="H700" s="85"/>
      <c r="I700" s="85"/>
      <c r="J700" s="85"/>
      <c r="K700" s="88"/>
      <c r="L700" s="88"/>
      <c r="M700" s="85"/>
      <c r="N700" s="85"/>
      <c r="O700" s="73"/>
    </row>
    <row r="701" customFormat="false" ht="15" hidden="false" customHeight="false" outlineLevel="0" collapsed="false">
      <c r="A701" s="87"/>
      <c r="B701" s="73"/>
      <c r="C701" s="91" t="str">
        <f aca="false">IF(B701="","",IFERROR(INDEX(الموظفون!$C$6:$C$105,MATCH(B701,الموظفون!$B$6:$B$105,0)),"✖ رقم غير موجود"))</f>
        <v/>
      </c>
      <c r="D701" s="88"/>
      <c r="E701" s="88"/>
      <c r="F701" s="88"/>
      <c r="G701" s="85"/>
      <c r="H701" s="85"/>
      <c r="I701" s="85"/>
      <c r="J701" s="85"/>
      <c r="K701" s="88"/>
      <c r="L701" s="88"/>
      <c r="M701" s="85"/>
      <c r="N701" s="85"/>
      <c r="O701" s="73"/>
    </row>
    <row r="702" customFormat="false" ht="15" hidden="false" customHeight="false" outlineLevel="0" collapsed="false">
      <c r="A702" s="87"/>
      <c r="B702" s="73"/>
      <c r="C702" s="74" t="str">
        <f aca="false">IF(B702="","",IFERROR(INDEX(الموظفون!$C$6:$C$105,MATCH(B702,الموظفون!$B$6:$B$105,0)),"✖ رقم غير موجود"))</f>
        <v/>
      </c>
      <c r="D702" s="88"/>
      <c r="E702" s="88"/>
      <c r="F702" s="88"/>
      <c r="G702" s="85"/>
      <c r="H702" s="85"/>
      <c r="I702" s="85"/>
      <c r="J702" s="85"/>
      <c r="K702" s="88"/>
      <c r="L702" s="88"/>
      <c r="M702" s="85"/>
      <c r="N702" s="85"/>
      <c r="O702" s="73"/>
    </row>
    <row r="703" customFormat="false" ht="15" hidden="false" customHeight="false" outlineLevel="0" collapsed="false">
      <c r="A703" s="87"/>
      <c r="B703" s="73"/>
      <c r="C703" s="91" t="str">
        <f aca="false">IF(B703="","",IFERROR(INDEX(الموظفون!$C$6:$C$105,MATCH(B703,الموظفون!$B$6:$B$105,0)),"✖ رقم غير موجود"))</f>
        <v/>
      </c>
      <c r="D703" s="88"/>
      <c r="E703" s="88"/>
      <c r="F703" s="88"/>
      <c r="G703" s="85"/>
      <c r="H703" s="85"/>
      <c r="I703" s="85"/>
      <c r="J703" s="85"/>
      <c r="K703" s="88"/>
      <c r="L703" s="88"/>
      <c r="M703" s="85"/>
      <c r="N703" s="85"/>
      <c r="O703" s="73"/>
    </row>
    <row r="704" customFormat="false" ht="15" hidden="false" customHeight="false" outlineLevel="0" collapsed="false">
      <c r="A704" s="87"/>
      <c r="B704" s="73"/>
      <c r="C704" s="74" t="str">
        <f aca="false">IF(B704="","",IFERROR(INDEX(الموظفون!$C$6:$C$105,MATCH(B704,الموظفون!$B$6:$B$105,0)),"✖ رقم غير موجود"))</f>
        <v/>
      </c>
      <c r="D704" s="88"/>
      <c r="E704" s="88"/>
      <c r="F704" s="88"/>
      <c r="G704" s="85"/>
      <c r="H704" s="85"/>
      <c r="I704" s="85"/>
      <c r="J704" s="85"/>
      <c r="K704" s="88"/>
      <c r="L704" s="88"/>
      <c r="M704" s="85"/>
      <c r="N704" s="85"/>
      <c r="O704" s="73"/>
    </row>
    <row r="705" customFormat="false" ht="15" hidden="false" customHeight="false" outlineLevel="0" collapsed="false">
      <c r="A705" s="87"/>
      <c r="B705" s="73"/>
      <c r="C705" s="91" t="str">
        <f aca="false">IF(B705="","",IFERROR(INDEX(الموظفون!$C$6:$C$105,MATCH(B705,الموظفون!$B$6:$B$105,0)),"✖ رقم غير موجود"))</f>
        <v/>
      </c>
      <c r="D705" s="88"/>
      <c r="E705" s="88"/>
      <c r="F705" s="88"/>
      <c r="G705" s="85"/>
      <c r="H705" s="85"/>
      <c r="I705" s="85"/>
      <c r="J705" s="85"/>
      <c r="K705" s="88"/>
      <c r="L705" s="88"/>
      <c r="M705" s="85"/>
      <c r="N705" s="85"/>
      <c r="O705" s="73"/>
    </row>
    <row r="706" customFormat="false" ht="15" hidden="false" customHeight="false" outlineLevel="0" collapsed="false">
      <c r="A706" s="87"/>
      <c r="B706" s="73"/>
      <c r="C706" s="74" t="str">
        <f aca="false">IF(B706="","",IFERROR(INDEX(الموظفون!$C$6:$C$105,MATCH(B706,الموظفون!$B$6:$B$105,0)),"✖ رقم غير موجود"))</f>
        <v/>
      </c>
      <c r="D706" s="88"/>
      <c r="E706" s="88"/>
      <c r="F706" s="88"/>
      <c r="G706" s="85"/>
      <c r="H706" s="85"/>
      <c r="I706" s="85"/>
      <c r="J706" s="85"/>
      <c r="K706" s="88"/>
      <c r="L706" s="88"/>
      <c r="M706" s="85"/>
      <c r="N706" s="85"/>
      <c r="O706" s="73"/>
    </row>
    <row r="707" customFormat="false" ht="15" hidden="false" customHeight="false" outlineLevel="0" collapsed="false">
      <c r="A707" s="87"/>
      <c r="B707" s="73"/>
      <c r="C707" s="91" t="str">
        <f aca="false">IF(B707="","",IFERROR(INDEX(الموظفون!$C$6:$C$105,MATCH(B707,الموظفون!$B$6:$B$105,0)),"✖ رقم غير موجود"))</f>
        <v/>
      </c>
      <c r="D707" s="88"/>
      <c r="E707" s="88"/>
      <c r="F707" s="88"/>
      <c r="G707" s="85"/>
      <c r="H707" s="85"/>
      <c r="I707" s="85"/>
      <c r="J707" s="85"/>
      <c r="K707" s="88"/>
      <c r="L707" s="88"/>
      <c r="M707" s="85"/>
      <c r="N707" s="85"/>
      <c r="O707" s="73"/>
    </row>
    <row r="708" customFormat="false" ht="15" hidden="false" customHeight="false" outlineLevel="0" collapsed="false">
      <c r="A708" s="87"/>
      <c r="B708" s="73"/>
      <c r="C708" s="74" t="str">
        <f aca="false">IF(B708="","",IFERROR(INDEX(الموظفون!$C$6:$C$105,MATCH(B708,الموظفون!$B$6:$B$105,0)),"✖ رقم غير موجود"))</f>
        <v/>
      </c>
      <c r="D708" s="88"/>
      <c r="E708" s="88"/>
      <c r="F708" s="88"/>
      <c r="G708" s="85"/>
      <c r="H708" s="85"/>
      <c r="I708" s="85"/>
      <c r="J708" s="85"/>
      <c r="K708" s="88"/>
      <c r="L708" s="88"/>
      <c r="M708" s="85"/>
      <c r="N708" s="85"/>
      <c r="O708" s="73"/>
    </row>
    <row r="709" customFormat="false" ht="15" hidden="false" customHeight="false" outlineLevel="0" collapsed="false">
      <c r="A709" s="87"/>
      <c r="B709" s="73"/>
      <c r="C709" s="91" t="str">
        <f aca="false">IF(B709="","",IFERROR(INDEX(الموظفون!$C$6:$C$105,MATCH(B709,الموظفون!$B$6:$B$105,0)),"✖ رقم غير موجود"))</f>
        <v/>
      </c>
      <c r="D709" s="88"/>
      <c r="E709" s="88"/>
      <c r="F709" s="88"/>
      <c r="G709" s="85"/>
      <c r="H709" s="85"/>
      <c r="I709" s="85"/>
      <c r="J709" s="85"/>
      <c r="K709" s="88"/>
      <c r="L709" s="88"/>
      <c r="M709" s="85"/>
      <c r="N709" s="85"/>
      <c r="O709" s="73"/>
    </row>
    <row r="710" customFormat="false" ht="15" hidden="false" customHeight="false" outlineLevel="0" collapsed="false">
      <c r="A710" s="87"/>
      <c r="B710" s="73"/>
      <c r="C710" s="74" t="str">
        <f aca="false">IF(B710="","",IFERROR(INDEX(الموظفون!$C$6:$C$105,MATCH(B710,الموظفون!$B$6:$B$105,0)),"✖ رقم غير موجود"))</f>
        <v/>
      </c>
      <c r="D710" s="88"/>
      <c r="E710" s="88"/>
      <c r="F710" s="88"/>
      <c r="G710" s="85"/>
      <c r="H710" s="85"/>
      <c r="I710" s="85"/>
      <c r="J710" s="85"/>
      <c r="K710" s="88"/>
      <c r="L710" s="88"/>
      <c r="M710" s="85"/>
      <c r="N710" s="85"/>
      <c r="O710" s="73"/>
    </row>
    <row r="711" customFormat="false" ht="15" hidden="false" customHeight="false" outlineLevel="0" collapsed="false">
      <c r="A711" s="87"/>
      <c r="B711" s="73"/>
      <c r="C711" s="91" t="str">
        <f aca="false">IF(B711="","",IFERROR(INDEX(الموظفون!$C$6:$C$105,MATCH(B711,الموظفون!$B$6:$B$105,0)),"✖ رقم غير موجود"))</f>
        <v/>
      </c>
      <c r="D711" s="88"/>
      <c r="E711" s="88"/>
      <c r="F711" s="88"/>
      <c r="G711" s="85"/>
      <c r="H711" s="85"/>
      <c r="I711" s="85"/>
      <c r="J711" s="85"/>
      <c r="K711" s="88"/>
      <c r="L711" s="88"/>
      <c r="M711" s="85"/>
      <c r="N711" s="85"/>
      <c r="O711" s="73"/>
    </row>
    <row r="712" customFormat="false" ht="15" hidden="false" customHeight="false" outlineLevel="0" collapsed="false">
      <c r="A712" s="87"/>
      <c r="B712" s="73"/>
      <c r="C712" s="74" t="str">
        <f aca="false">IF(B712="","",IFERROR(INDEX(الموظفون!$C$6:$C$105,MATCH(B712,الموظفون!$B$6:$B$105,0)),"✖ رقم غير موجود"))</f>
        <v/>
      </c>
      <c r="D712" s="88"/>
      <c r="E712" s="88"/>
      <c r="F712" s="88"/>
      <c r="G712" s="85"/>
      <c r="H712" s="85"/>
      <c r="I712" s="85"/>
      <c r="J712" s="85"/>
      <c r="K712" s="88"/>
      <c r="L712" s="88"/>
      <c r="M712" s="85"/>
      <c r="N712" s="85"/>
      <c r="O712" s="73"/>
    </row>
    <row r="713" customFormat="false" ht="15" hidden="false" customHeight="false" outlineLevel="0" collapsed="false">
      <c r="A713" s="87"/>
      <c r="B713" s="73"/>
      <c r="C713" s="91" t="str">
        <f aca="false">IF(B713="","",IFERROR(INDEX(الموظفون!$C$6:$C$105,MATCH(B713,الموظفون!$B$6:$B$105,0)),"✖ رقم غير موجود"))</f>
        <v/>
      </c>
      <c r="D713" s="88"/>
      <c r="E713" s="88"/>
      <c r="F713" s="88"/>
      <c r="G713" s="85"/>
      <c r="H713" s="85"/>
      <c r="I713" s="85"/>
      <c r="J713" s="85"/>
      <c r="K713" s="88"/>
      <c r="L713" s="88"/>
      <c r="M713" s="85"/>
      <c r="N713" s="85"/>
      <c r="O713" s="73"/>
    </row>
    <row r="714" customFormat="false" ht="15" hidden="false" customHeight="false" outlineLevel="0" collapsed="false">
      <c r="A714" s="87"/>
      <c r="B714" s="73"/>
      <c r="C714" s="74" t="str">
        <f aca="false">IF(B714="","",IFERROR(INDEX(الموظفون!$C$6:$C$105,MATCH(B714,الموظفون!$B$6:$B$105,0)),"✖ رقم غير موجود"))</f>
        <v/>
      </c>
      <c r="D714" s="88"/>
      <c r="E714" s="88"/>
      <c r="F714" s="88"/>
      <c r="G714" s="85"/>
      <c r="H714" s="85"/>
      <c r="I714" s="85"/>
      <c r="J714" s="85"/>
      <c r="K714" s="88"/>
      <c r="L714" s="88"/>
      <c r="M714" s="85"/>
      <c r="N714" s="85"/>
      <c r="O714" s="73"/>
    </row>
    <row r="715" customFormat="false" ht="15" hidden="false" customHeight="false" outlineLevel="0" collapsed="false">
      <c r="A715" s="87"/>
      <c r="B715" s="73"/>
      <c r="C715" s="91" t="str">
        <f aca="false">IF(B715="","",IFERROR(INDEX(الموظفون!$C$6:$C$105,MATCH(B715,الموظفون!$B$6:$B$105,0)),"✖ رقم غير موجود"))</f>
        <v/>
      </c>
      <c r="D715" s="88"/>
      <c r="E715" s="88"/>
      <c r="F715" s="88"/>
      <c r="G715" s="85"/>
      <c r="H715" s="85"/>
      <c r="I715" s="85"/>
      <c r="J715" s="85"/>
      <c r="K715" s="88"/>
      <c r="L715" s="88"/>
      <c r="M715" s="85"/>
      <c r="N715" s="85"/>
      <c r="O715" s="73"/>
    </row>
    <row r="716" customFormat="false" ht="15" hidden="false" customHeight="false" outlineLevel="0" collapsed="false">
      <c r="A716" s="87"/>
      <c r="B716" s="73"/>
      <c r="C716" s="74" t="str">
        <f aca="false">IF(B716="","",IFERROR(INDEX(الموظفون!$C$6:$C$105,MATCH(B716,الموظفون!$B$6:$B$105,0)),"✖ رقم غير موجود"))</f>
        <v/>
      </c>
      <c r="D716" s="88"/>
      <c r="E716" s="88"/>
      <c r="F716" s="88"/>
      <c r="G716" s="85"/>
      <c r="H716" s="85"/>
      <c r="I716" s="85"/>
      <c r="J716" s="85"/>
      <c r="K716" s="88"/>
      <c r="L716" s="88"/>
      <c r="M716" s="85"/>
      <c r="N716" s="85"/>
      <c r="O716" s="73"/>
    </row>
    <row r="717" customFormat="false" ht="15" hidden="false" customHeight="false" outlineLevel="0" collapsed="false">
      <c r="A717" s="87"/>
      <c r="B717" s="73"/>
      <c r="C717" s="91" t="str">
        <f aca="false">IF(B717="","",IFERROR(INDEX(الموظفون!$C$6:$C$105,MATCH(B717,الموظفون!$B$6:$B$105,0)),"✖ رقم غير موجود"))</f>
        <v/>
      </c>
      <c r="D717" s="88"/>
      <c r="E717" s="88"/>
      <c r="F717" s="88"/>
      <c r="G717" s="85"/>
      <c r="H717" s="85"/>
      <c r="I717" s="85"/>
      <c r="J717" s="85"/>
      <c r="K717" s="88"/>
      <c r="L717" s="88"/>
      <c r="M717" s="85"/>
      <c r="N717" s="85"/>
      <c r="O717" s="73"/>
    </row>
    <row r="718" customFormat="false" ht="15" hidden="false" customHeight="false" outlineLevel="0" collapsed="false">
      <c r="A718" s="87"/>
      <c r="B718" s="73"/>
      <c r="C718" s="74" t="str">
        <f aca="false">IF(B718="","",IFERROR(INDEX(الموظفون!$C$6:$C$105,MATCH(B718,الموظفون!$B$6:$B$105,0)),"✖ رقم غير موجود"))</f>
        <v/>
      </c>
      <c r="D718" s="88"/>
      <c r="E718" s="88"/>
      <c r="F718" s="88"/>
      <c r="G718" s="85"/>
      <c r="H718" s="85"/>
      <c r="I718" s="85"/>
      <c r="J718" s="85"/>
      <c r="K718" s="88"/>
      <c r="L718" s="88"/>
      <c r="M718" s="85"/>
      <c r="N718" s="85"/>
      <c r="O718" s="73"/>
    </row>
    <row r="719" customFormat="false" ht="15" hidden="false" customHeight="false" outlineLevel="0" collapsed="false">
      <c r="A719" s="87"/>
      <c r="B719" s="73"/>
      <c r="C719" s="91" t="str">
        <f aca="false">IF(B719="","",IFERROR(INDEX(الموظفون!$C$6:$C$105,MATCH(B719,الموظفون!$B$6:$B$105,0)),"✖ رقم غير موجود"))</f>
        <v/>
      </c>
      <c r="D719" s="88"/>
      <c r="E719" s="88"/>
      <c r="F719" s="88"/>
      <c r="G719" s="85"/>
      <c r="H719" s="85"/>
      <c r="I719" s="85"/>
      <c r="J719" s="85"/>
      <c r="K719" s="88"/>
      <c r="L719" s="88"/>
      <c r="M719" s="85"/>
      <c r="N719" s="85"/>
      <c r="O719" s="73"/>
    </row>
    <row r="720" customFormat="false" ht="15" hidden="false" customHeight="false" outlineLevel="0" collapsed="false">
      <c r="A720" s="87"/>
      <c r="B720" s="73"/>
      <c r="C720" s="74" t="str">
        <f aca="false">IF(B720="","",IFERROR(INDEX(الموظفون!$C$6:$C$105,MATCH(B720,الموظفون!$B$6:$B$105,0)),"✖ رقم غير موجود"))</f>
        <v/>
      </c>
      <c r="D720" s="88"/>
      <c r="E720" s="88"/>
      <c r="F720" s="88"/>
      <c r="G720" s="85"/>
      <c r="H720" s="85"/>
      <c r="I720" s="85"/>
      <c r="J720" s="85"/>
      <c r="K720" s="88"/>
      <c r="L720" s="88"/>
      <c r="M720" s="85"/>
      <c r="N720" s="85"/>
      <c r="O720" s="73"/>
    </row>
    <row r="721" customFormat="false" ht="15" hidden="false" customHeight="false" outlineLevel="0" collapsed="false">
      <c r="A721" s="87"/>
      <c r="B721" s="73"/>
      <c r="C721" s="91" t="str">
        <f aca="false">IF(B721="","",IFERROR(INDEX(الموظفون!$C$6:$C$105,MATCH(B721,الموظفون!$B$6:$B$105,0)),"✖ رقم غير موجود"))</f>
        <v/>
      </c>
      <c r="D721" s="88"/>
      <c r="E721" s="88"/>
      <c r="F721" s="88"/>
      <c r="G721" s="85"/>
      <c r="H721" s="85"/>
      <c r="I721" s="85"/>
      <c r="J721" s="85"/>
      <c r="K721" s="88"/>
      <c r="L721" s="88"/>
      <c r="M721" s="85"/>
      <c r="N721" s="85"/>
      <c r="O721" s="73"/>
    </row>
    <row r="722" customFormat="false" ht="15" hidden="false" customHeight="false" outlineLevel="0" collapsed="false">
      <c r="A722" s="87"/>
      <c r="B722" s="73"/>
      <c r="C722" s="74" t="str">
        <f aca="false">IF(B722="","",IFERROR(INDEX(الموظفون!$C$6:$C$105,MATCH(B722,الموظفون!$B$6:$B$105,0)),"✖ رقم غير موجود"))</f>
        <v/>
      </c>
      <c r="D722" s="88"/>
      <c r="E722" s="88"/>
      <c r="F722" s="88"/>
      <c r="G722" s="85"/>
      <c r="H722" s="85"/>
      <c r="I722" s="85"/>
      <c r="J722" s="85"/>
      <c r="K722" s="88"/>
      <c r="L722" s="88"/>
      <c r="M722" s="85"/>
      <c r="N722" s="85"/>
      <c r="O722" s="73"/>
    </row>
    <row r="723" customFormat="false" ht="15" hidden="false" customHeight="false" outlineLevel="0" collapsed="false">
      <c r="A723" s="87"/>
      <c r="B723" s="73"/>
      <c r="C723" s="91" t="str">
        <f aca="false">IF(B723="","",IFERROR(INDEX(الموظفون!$C$6:$C$105,MATCH(B723,الموظفون!$B$6:$B$105,0)),"✖ رقم غير موجود"))</f>
        <v/>
      </c>
      <c r="D723" s="88"/>
      <c r="E723" s="88"/>
      <c r="F723" s="88"/>
      <c r="G723" s="85"/>
      <c r="H723" s="85"/>
      <c r="I723" s="85"/>
      <c r="J723" s="85"/>
      <c r="K723" s="88"/>
      <c r="L723" s="88"/>
      <c r="M723" s="85"/>
      <c r="N723" s="85"/>
      <c r="O723" s="73"/>
    </row>
    <row r="724" customFormat="false" ht="15" hidden="false" customHeight="false" outlineLevel="0" collapsed="false">
      <c r="A724" s="87"/>
      <c r="B724" s="73"/>
      <c r="C724" s="74" t="str">
        <f aca="false">IF(B724="","",IFERROR(INDEX(الموظفون!$C$6:$C$105,MATCH(B724,الموظفون!$B$6:$B$105,0)),"✖ رقم غير موجود"))</f>
        <v/>
      </c>
      <c r="D724" s="88"/>
      <c r="E724" s="88"/>
      <c r="F724" s="88"/>
      <c r="G724" s="85"/>
      <c r="H724" s="85"/>
      <c r="I724" s="85"/>
      <c r="J724" s="85"/>
      <c r="K724" s="88"/>
      <c r="L724" s="88"/>
      <c r="M724" s="85"/>
      <c r="N724" s="85"/>
      <c r="O724" s="73"/>
    </row>
    <row r="725" customFormat="false" ht="15" hidden="false" customHeight="false" outlineLevel="0" collapsed="false">
      <c r="A725" s="87"/>
      <c r="B725" s="73"/>
      <c r="C725" s="91" t="str">
        <f aca="false">IF(B725="","",IFERROR(INDEX(الموظفون!$C$6:$C$105,MATCH(B725,الموظفون!$B$6:$B$105,0)),"✖ رقم غير موجود"))</f>
        <v/>
      </c>
      <c r="D725" s="88"/>
      <c r="E725" s="88"/>
      <c r="F725" s="88"/>
      <c r="G725" s="85"/>
      <c r="H725" s="85"/>
      <c r="I725" s="85"/>
      <c r="J725" s="85"/>
      <c r="K725" s="88"/>
      <c r="L725" s="88"/>
      <c r="M725" s="85"/>
      <c r="N725" s="85"/>
      <c r="O725" s="73"/>
    </row>
    <row r="726" customFormat="false" ht="15" hidden="false" customHeight="false" outlineLevel="0" collapsed="false">
      <c r="A726" s="87"/>
      <c r="B726" s="73"/>
      <c r="C726" s="74" t="str">
        <f aca="false">IF(B726="","",IFERROR(INDEX(الموظفون!$C$6:$C$105,MATCH(B726,الموظفون!$B$6:$B$105,0)),"✖ رقم غير موجود"))</f>
        <v/>
      </c>
      <c r="D726" s="88"/>
      <c r="E726" s="88"/>
      <c r="F726" s="88"/>
      <c r="G726" s="85"/>
      <c r="H726" s="85"/>
      <c r="I726" s="85"/>
      <c r="J726" s="85"/>
      <c r="K726" s="88"/>
      <c r="L726" s="88"/>
      <c r="M726" s="85"/>
      <c r="N726" s="85"/>
      <c r="O726" s="73"/>
    </row>
    <row r="727" customFormat="false" ht="15" hidden="false" customHeight="false" outlineLevel="0" collapsed="false">
      <c r="A727" s="87"/>
      <c r="B727" s="73"/>
      <c r="C727" s="91" t="str">
        <f aca="false">IF(B727="","",IFERROR(INDEX(الموظفون!$C$6:$C$105,MATCH(B727,الموظفون!$B$6:$B$105,0)),"✖ رقم غير موجود"))</f>
        <v/>
      </c>
      <c r="D727" s="88"/>
      <c r="E727" s="88"/>
      <c r="F727" s="88"/>
      <c r="G727" s="85"/>
      <c r="H727" s="85"/>
      <c r="I727" s="85"/>
      <c r="J727" s="85"/>
      <c r="K727" s="88"/>
      <c r="L727" s="88"/>
      <c r="M727" s="85"/>
      <c r="N727" s="85"/>
      <c r="O727" s="73"/>
    </row>
    <row r="728" customFormat="false" ht="15" hidden="false" customHeight="false" outlineLevel="0" collapsed="false">
      <c r="A728" s="87"/>
      <c r="B728" s="73"/>
      <c r="C728" s="74" t="str">
        <f aca="false">IF(B728="","",IFERROR(INDEX(الموظفون!$C$6:$C$105,MATCH(B728,الموظفون!$B$6:$B$105,0)),"✖ رقم غير موجود"))</f>
        <v/>
      </c>
      <c r="D728" s="88"/>
      <c r="E728" s="88"/>
      <c r="F728" s="88"/>
      <c r="G728" s="85"/>
      <c r="H728" s="85"/>
      <c r="I728" s="85"/>
      <c r="J728" s="85"/>
      <c r="K728" s="88"/>
      <c r="L728" s="88"/>
      <c r="M728" s="85"/>
      <c r="N728" s="85"/>
      <c r="O728" s="73"/>
    </row>
    <row r="729" customFormat="false" ht="15" hidden="false" customHeight="false" outlineLevel="0" collapsed="false">
      <c r="A729" s="87"/>
      <c r="B729" s="73"/>
      <c r="C729" s="91" t="str">
        <f aca="false">IF(B729="","",IFERROR(INDEX(الموظفون!$C$6:$C$105,MATCH(B729,الموظفون!$B$6:$B$105,0)),"✖ رقم غير موجود"))</f>
        <v/>
      </c>
      <c r="D729" s="88"/>
      <c r="E729" s="88"/>
      <c r="F729" s="88"/>
      <c r="G729" s="85"/>
      <c r="H729" s="85"/>
      <c r="I729" s="85"/>
      <c r="J729" s="85"/>
      <c r="K729" s="88"/>
      <c r="L729" s="88"/>
      <c r="M729" s="85"/>
      <c r="N729" s="85"/>
      <c r="O729" s="73"/>
    </row>
    <row r="730" customFormat="false" ht="15" hidden="false" customHeight="false" outlineLevel="0" collapsed="false">
      <c r="A730" s="87"/>
      <c r="B730" s="73"/>
      <c r="C730" s="74" t="str">
        <f aca="false">IF(B730="","",IFERROR(INDEX(الموظفون!$C$6:$C$105,MATCH(B730,الموظفون!$B$6:$B$105,0)),"✖ رقم غير موجود"))</f>
        <v/>
      </c>
      <c r="D730" s="88"/>
      <c r="E730" s="88"/>
      <c r="F730" s="88"/>
      <c r="G730" s="85"/>
      <c r="H730" s="85"/>
      <c r="I730" s="85"/>
      <c r="J730" s="85"/>
      <c r="K730" s="88"/>
      <c r="L730" s="88"/>
      <c r="M730" s="85"/>
      <c r="N730" s="85"/>
      <c r="O730" s="73"/>
    </row>
    <row r="731" customFormat="false" ht="15" hidden="false" customHeight="false" outlineLevel="0" collapsed="false">
      <c r="A731" s="87"/>
      <c r="B731" s="73"/>
      <c r="C731" s="91" t="str">
        <f aca="false">IF(B731="","",IFERROR(INDEX(الموظفون!$C$6:$C$105,MATCH(B731,الموظفون!$B$6:$B$105,0)),"✖ رقم غير موجود"))</f>
        <v/>
      </c>
      <c r="D731" s="88"/>
      <c r="E731" s="88"/>
      <c r="F731" s="88"/>
      <c r="G731" s="85"/>
      <c r="H731" s="85"/>
      <c r="I731" s="85"/>
      <c r="J731" s="85"/>
      <c r="K731" s="88"/>
      <c r="L731" s="88"/>
      <c r="M731" s="85"/>
      <c r="N731" s="85"/>
      <c r="O731" s="73"/>
    </row>
    <row r="732" customFormat="false" ht="15" hidden="false" customHeight="false" outlineLevel="0" collapsed="false">
      <c r="A732" s="87"/>
      <c r="B732" s="73"/>
      <c r="C732" s="74" t="str">
        <f aca="false">IF(B732="","",IFERROR(INDEX(الموظفون!$C$6:$C$105,MATCH(B732,الموظفون!$B$6:$B$105,0)),"✖ رقم غير موجود"))</f>
        <v/>
      </c>
      <c r="D732" s="88"/>
      <c r="E732" s="88"/>
      <c r="F732" s="88"/>
      <c r="G732" s="85"/>
      <c r="H732" s="85"/>
      <c r="I732" s="85"/>
      <c r="J732" s="85"/>
      <c r="K732" s="88"/>
      <c r="L732" s="88"/>
      <c r="M732" s="85"/>
      <c r="N732" s="85"/>
      <c r="O732" s="73"/>
    </row>
    <row r="733" customFormat="false" ht="15" hidden="false" customHeight="false" outlineLevel="0" collapsed="false">
      <c r="A733" s="87"/>
      <c r="B733" s="73"/>
      <c r="C733" s="91" t="str">
        <f aca="false">IF(B733="","",IFERROR(INDEX(الموظفون!$C$6:$C$105,MATCH(B733,الموظفون!$B$6:$B$105,0)),"✖ رقم غير موجود"))</f>
        <v/>
      </c>
      <c r="D733" s="88"/>
      <c r="E733" s="88"/>
      <c r="F733" s="88"/>
      <c r="G733" s="85"/>
      <c r="H733" s="85"/>
      <c r="I733" s="85"/>
      <c r="J733" s="85"/>
      <c r="K733" s="88"/>
      <c r="L733" s="88"/>
      <c r="M733" s="85"/>
      <c r="N733" s="85"/>
      <c r="O733" s="73"/>
    </row>
    <row r="734" customFormat="false" ht="15" hidden="false" customHeight="false" outlineLevel="0" collapsed="false">
      <c r="A734" s="87"/>
      <c r="B734" s="73"/>
      <c r="C734" s="74" t="str">
        <f aca="false">IF(B734="","",IFERROR(INDEX(الموظفون!$C$6:$C$105,MATCH(B734,الموظفون!$B$6:$B$105,0)),"✖ رقم غير موجود"))</f>
        <v/>
      </c>
      <c r="D734" s="88"/>
      <c r="E734" s="88"/>
      <c r="F734" s="88"/>
      <c r="G734" s="85"/>
      <c r="H734" s="85"/>
      <c r="I734" s="85"/>
      <c r="J734" s="85"/>
      <c r="K734" s="88"/>
      <c r="L734" s="88"/>
      <c r="M734" s="85"/>
      <c r="N734" s="85"/>
      <c r="O734" s="73"/>
    </row>
    <row r="735" customFormat="false" ht="15" hidden="false" customHeight="false" outlineLevel="0" collapsed="false">
      <c r="A735" s="87"/>
      <c r="B735" s="73"/>
      <c r="C735" s="91" t="str">
        <f aca="false">IF(B735="","",IFERROR(INDEX(الموظفون!$C$6:$C$105,MATCH(B735,الموظفون!$B$6:$B$105,0)),"✖ رقم غير موجود"))</f>
        <v/>
      </c>
      <c r="D735" s="88"/>
      <c r="E735" s="88"/>
      <c r="F735" s="88"/>
      <c r="G735" s="85"/>
      <c r="H735" s="85"/>
      <c r="I735" s="85"/>
      <c r="J735" s="85"/>
      <c r="K735" s="88"/>
      <c r="L735" s="88"/>
      <c r="M735" s="85"/>
      <c r="N735" s="85"/>
      <c r="O735" s="73"/>
    </row>
    <row r="736" customFormat="false" ht="15" hidden="false" customHeight="false" outlineLevel="0" collapsed="false">
      <c r="A736" s="87"/>
      <c r="B736" s="73"/>
      <c r="C736" s="74" t="str">
        <f aca="false">IF(B736="","",IFERROR(INDEX(الموظفون!$C$6:$C$105,MATCH(B736,الموظفون!$B$6:$B$105,0)),"✖ رقم غير موجود"))</f>
        <v/>
      </c>
      <c r="D736" s="88"/>
      <c r="E736" s="88"/>
      <c r="F736" s="88"/>
      <c r="G736" s="85"/>
      <c r="H736" s="85"/>
      <c r="I736" s="85"/>
      <c r="J736" s="85"/>
      <c r="K736" s="88"/>
      <c r="L736" s="88"/>
      <c r="M736" s="85"/>
      <c r="N736" s="85"/>
      <c r="O736" s="73"/>
    </row>
    <row r="737" customFormat="false" ht="15" hidden="false" customHeight="false" outlineLevel="0" collapsed="false">
      <c r="A737" s="87"/>
      <c r="B737" s="73"/>
      <c r="C737" s="91" t="str">
        <f aca="false">IF(B737="","",IFERROR(INDEX(الموظفون!$C$6:$C$105,MATCH(B737,الموظفون!$B$6:$B$105,0)),"✖ رقم غير موجود"))</f>
        <v/>
      </c>
      <c r="D737" s="88"/>
      <c r="E737" s="88"/>
      <c r="F737" s="88"/>
      <c r="G737" s="85"/>
      <c r="H737" s="85"/>
      <c r="I737" s="85"/>
      <c r="J737" s="85"/>
      <c r="K737" s="88"/>
      <c r="L737" s="88"/>
      <c r="M737" s="85"/>
      <c r="N737" s="85"/>
      <c r="O737" s="73"/>
    </row>
    <row r="738" customFormat="false" ht="15" hidden="false" customHeight="false" outlineLevel="0" collapsed="false">
      <c r="A738" s="87"/>
      <c r="B738" s="73"/>
      <c r="C738" s="74" t="str">
        <f aca="false">IF(B738="","",IFERROR(INDEX(الموظفون!$C$6:$C$105,MATCH(B738,الموظفون!$B$6:$B$105,0)),"✖ رقم غير موجود"))</f>
        <v/>
      </c>
      <c r="D738" s="88"/>
      <c r="E738" s="88"/>
      <c r="F738" s="88"/>
      <c r="G738" s="85"/>
      <c r="H738" s="85"/>
      <c r="I738" s="85"/>
      <c r="J738" s="85"/>
      <c r="K738" s="88"/>
      <c r="L738" s="88"/>
      <c r="M738" s="85"/>
      <c r="N738" s="85"/>
      <c r="O738" s="73"/>
    </row>
    <row r="739" customFormat="false" ht="15" hidden="false" customHeight="false" outlineLevel="0" collapsed="false">
      <c r="A739" s="87"/>
      <c r="B739" s="73"/>
      <c r="C739" s="91" t="str">
        <f aca="false">IF(B739="","",IFERROR(INDEX(الموظفون!$C$6:$C$105,MATCH(B739,الموظفون!$B$6:$B$105,0)),"✖ رقم غير موجود"))</f>
        <v/>
      </c>
      <c r="D739" s="88"/>
      <c r="E739" s="88"/>
      <c r="F739" s="88"/>
      <c r="G739" s="85"/>
      <c r="H739" s="85"/>
      <c r="I739" s="85"/>
      <c r="J739" s="85"/>
      <c r="K739" s="88"/>
      <c r="L739" s="88"/>
      <c r="M739" s="85"/>
      <c r="N739" s="85"/>
      <c r="O739" s="73"/>
    </row>
    <row r="740" customFormat="false" ht="15" hidden="false" customHeight="false" outlineLevel="0" collapsed="false">
      <c r="A740" s="87"/>
      <c r="B740" s="73"/>
      <c r="C740" s="74" t="str">
        <f aca="false">IF(B740="","",IFERROR(INDEX(الموظفون!$C$6:$C$105,MATCH(B740,الموظفون!$B$6:$B$105,0)),"✖ رقم غير موجود"))</f>
        <v/>
      </c>
      <c r="D740" s="88"/>
      <c r="E740" s="88"/>
      <c r="F740" s="88"/>
      <c r="G740" s="85"/>
      <c r="H740" s="85"/>
      <c r="I740" s="85"/>
      <c r="J740" s="85"/>
      <c r="K740" s="88"/>
      <c r="L740" s="88"/>
      <c r="M740" s="85"/>
      <c r="N740" s="85"/>
      <c r="O740" s="73"/>
    </row>
    <row r="741" customFormat="false" ht="15" hidden="false" customHeight="false" outlineLevel="0" collapsed="false">
      <c r="A741" s="87"/>
      <c r="B741" s="73"/>
      <c r="C741" s="91" t="str">
        <f aca="false">IF(B741="","",IFERROR(INDEX(الموظفون!$C$6:$C$105,MATCH(B741,الموظفون!$B$6:$B$105,0)),"✖ رقم غير موجود"))</f>
        <v/>
      </c>
      <c r="D741" s="88"/>
      <c r="E741" s="88"/>
      <c r="F741" s="88"/>
      <c r="G741" s="85"/>
      <c r="H741" s="85"/>
      <c r="I741" s="85"/>
      <c r="J741" s="85"/>
      <c r="K741" s="88"/>
      <c r="L741" s="88"/>
      <c r="M741" s="85"/>
      <c r="N741" s="85"/>
      <c r="O741" s="73"/>
    </row>
    <row r="742" customFormat="false" ht="15" hidden="false" customHeight="false" outlineLevel="0" collapsed="false">
      <c r="A742" s="87"/>
      <c r="B742" s="73"/>
      <c r="C742" s="74" t="str">
        <f aca="false">IF(B742="","",IFERROR(INDEX(الموظفون!$C$6:$C$105,MATCH(B742,الموظفون!$B$6:$B$105,0)),"✖ رقم غير موجود"))</f>
        <v/>
      </c>
      <c r="D742" s="88"/>
      <c r="E742" s="88"/>
      <c r="F742" s="88"/>
      <c r="G742" s="85"/>
      <c r="H742" s="85"/>
      <c r="I742" s="85"/>
      <c r="J742" s="85"/>
      <c r="K742" s="88"/>
      <c r="L742" s="88"/>
      <c r="M742" s="85"/>
      <c r="N742" s="85"/>
      <c r="O742" s="73"/>
    </row>
    <row r="743" customFormat="false" ht="15" hidden="false" customHeight="false" outlineLevel="0" collapsed="false">
      <c r="A743" s="87"/>
      <c r="B743" s="73"/>
      <c r="C743" s="91" t="str">
        <f aca="false">IF(B743="","",IFERROR(INDEX(الموظفون!$C$6:$C$105,MATCH(B743,الموظفون!$B$6:$B$105,0)),"✖ رقم غير موجود"))</f>
        <v/>
      </c>
      <c r="D743" s="88"/>
      <c r="E743" s="88"/>
      <c r="F743" s="88"/>
      <c r="G743" s="85"/>
      <c r="H743" s="85"/>
      <c r="I743" s="85"/>
      <c r="J743" s="85"/>
      <c r="K743" s="88"/>
      <c r="L743" s="88"/>
      <c r="M743" s="85"/>
      <c r="N743" s="85"/>
      <c r="O743" s="73"/>
    </row>
    <row r="744" customFormat="false" ht="15" hidden="false" customHeight="false" outlineLevel="0" collapsed="false">
      <c r="A744" s="87"/>
      <c r="B744" s="73"/>
      <c r="C744" s="74" t="str">
        <f aca="false">IF(B744="","",IFERROR(INDEX(الموظفون!$C$6:$C$105,MATCH(B744,الموظفون!$B$6:$B$105,0)),"✖ رقم غير موجود"))</f>
        <v/>
      </c>
      <c r="D744" s="88"/>
      <c r="E744" s="88"/>
      <c r="F744" s="88"/>
      <c r="G744" s="85"/>
      <c r="H744" s="85"/>
      <c r="I744" s="85"/>
      <c r="J744" s="85"/>
      <c r="K744" s="88"/>
      <c r="L744" s="88"/>
      <c r="M744" s="85"/>
      <c r="N744" s="85"/>
      <c r="O744" s="73"/>
    </row>
    <row r="745" customFormat="false" ht="15" hidden="false" customHeight="false" outlineLevel="0" collapsed="false">
      <c r="A745" s="87"/>
      <c r="B745" s="73"/>
      <c r="C745" s="91" t="str">
        <f aca="false">IF(B745="","",IFERROR(INDEX(الموظفون!$C$6:$C$105,MATCH(B745,الموظفون!$B$6:$B$105,0)),"✖ رقم غير موجود"))</f>
        <v/>
      </c>
      <c r="D745" s="88"/>
      <c r="E745" s="88"/>
      <c r="F745" s="88"/>
      <c r="G745" s="85"/>
      <c r="H745" s="85"/>
      <c r="I745" s="85"/>
      <c r="J745" s="85"/>
      <c r="K745" s="88"/>
      <c r="L745" s="88"/>
      <c r="M745" s="85"/>
      <c r="N745" s="85"/>
      <c r="O745" s="73"/>
    </row>
    <row r="746" customFormat="false" ht="15" hidden="false" customHeight="false" outlineLevel="0" collapsed="false">
      <c r="A746" s="87"/>
      <c r="B746" s="73"/>
      <c r="C746" s="74" t="str">
        <f aca="false">IF(B746="","",IFERROR(INDEX(الموظفون!$C$6:$C$105,MATCH(B746,الموظفون!$B$6:$B$105,0)),"✖ رقم غير موجود"))</f>
        <v/>
      </c>
      <c r="D746" s="88"/>
      <c r="E746" s="88"/>
      <c r="F746" s="88"/>
      <c r="G746" s="85"/>
      <c r="H746" s="85"/>
      <c r="I746" s="85"/>
      <c r="J746" s="85"/>
      <c r="K746" s="88"/>
      <c r="L746" s="88"/>
      <c r="M746" s="85"/>
      <c r="N746" s="85"/>
      <c r="O746" s="73"/>
    </row>
    <row r="747" customFormat="false" ht="15" hidden="false" customHeight="false" outlineLevel="0" collapsed="false">
      <c r="A747" s="87"/>
      <c r="B747" s="73"/>
      <c r="C747" s="91" t="str">
        <f aca="false">IF(B747="","",IFERROR(INDEX(الموظفون!$C$6:$C$105,MATCH(B747,الموظفون!$B$6:$B$105,0)),"✖ رقم غير موجود"))</f>
        <v/>
      </c>
      <c r="D747" s="88"/>
      <c r="E747" s="88"/>
      <c r="F747" s="88"/>
      <c r="G747" s="85"/>
      <c r="H747" s="85"/>
      <c r="I747" s="85"/>
      <c r="J747" s="85"/>
      <c r="K747" s="88"/>
      <c r="L747" s="88"/>
      <c r="M747" s="85"/>
      <c r="N747" s="85"/>
      <c r="O747" s="73"/>
    </row>
    <row r="748" customFormat="false" ht="15" hidden="false" customHeight="false" outlineLevel="0" collapsed="false">
      <c r="A748" s="87"/>
      <c r="B748" s="73"/>
      <c r="C748" s="74" t="str">
        <f aca="false">IF(B748="","",IFERROR(INDEX(الموظفون!$C$6:$C$105,MATCH(B748,الموظفون!$B$6:$B$105,0)),"✖ رقم غير موجود"))</f>
        <v/>
      </c>
      <c r="D748" s="88"/>
      <c r="E748" s="88"/>
      <c r="F748" s="88"/>
      <c r="G748" s="85"/>
      <c r="H748" s="85"/>
      <c r="I748" s="85"/>
      <c r="J748" s="85"/>
      <c r="K748" s="88"/>
      <c r="L748" s="88"/>
      <c r="M748" s="85"/>
      <c r="N748" s="85"/>
      <c r="O748" s="73"/>
    </row>
    <row r="749" customFormat="false" ht="15" hidden="false" customHeight="false" outlineLevel="0" collapsed="false">
      <c r="A749" s="87"/>
      <c r="B749" s="73"/>
      <c r="C749" s="91" t="str">
        <f aca="false">IF(B749="","",IFERROR(INDEX(الموظفون!$C$6:$C$105,MATCH(B749,الموظفون!$B$6:$B$105,0)),"✖ رقم غير موجود"))</f>
        <v/>
      </c>
      <c r="D749" s="88"/>
      <c r="E749" s="88"/>
      <c r="F749" s="88"/>
      <c r="G749" s="85"/>
      <c r="H749" s="85"/>
      <c r="I749" s="85"/>
      <c r="J749" s="85"/>
      <c r="K749" s="88"/>
      <c r="L749" s="88"/>
      <c r="M749" s="85"/>
      <c r="N749" s="85"/>
      <c r="O749" s="73"/>
    </row>
    <row r="750" customFormat="false" ht="15" hidden="false" customHeight="false" outlineLevel="0" collapsed="false">
      <c r="A750" s="87"/>
      <c r="B750" s="73"/>
      <c r="C750" s="74" t="str">
        <f aca="false">IF(B750="","",IFERROR(INDEX(الموظفون!$C$6:$C$105,MATCH(B750,الموظفون!$B$6:$B$105,0)),"✖ رقم غير موجود"))</f>
        <v/>
      </c>
      <c r="D750" s="88"/>
      <c r="E750" s="88"/>
      <c r="F750" s="88"/>
      <c r="G750" s="85"/>
      <c r="H750" s="85"/>
      <c r="I750" s="85"/>
      <c r="J750" s="85"/>
      <c r="K750" s="88"/>
      <c r="L750" s="88"/>
      <c r="M750" s="85"/>
      <c r="N750" s="85"/>
      <c r="O750" s="73"/>
    </row>
    <row r="751" customFormat="false" ht="15" hidden="false" customHeight="false" outlineLevel="0" collapsed="false">
      <c r="A751" s="87"/>
      <c r="B751" s="73"/>
      <c r="C751" s="91" t="str">
        <f aca="false">IF(B751="","",IFERROR(INDEX(الموظفون!$C$6:$C$105,MATCH(B751,الموظفون!$B$6:$B$105,0)),"✖ رقم غير موجود"))</f>
        <v/>
      </c>
      <c r="D751" s="88"/>
      <c r="E751" s="88"/>
      <c r="F751" s="88"/>
      <c r="G751" s="85"/>
      <c r="H751" s="85"/>
      <c r="I751" s="85"/>
      <c r="J751" s="85"/>
      <c r="K751" s="88"/>
      <c r="L751" s="88"/>
      <c r="M751" s="85"/>
      <c r="N751" s="85"/>
      <c r="O751" s="73"/>
    </row>
    <row r="752" customFormat="false" ht="15" hidden="false" customHeight="false" outlineLevel="0" collapsed="false">
      <c r="A752" s="87"/>
      <c r="B752" s="73"/>
      <c r="C752" s="74" t="str">
        <f aca="false">IF(B752="","",IFERROR(INDEX(الموظفون!$C$6:$C$105,MATCH(B752,الموظفون!$B$6:$B$105,0)),"✖ رقم غير موجود"))</f>
        <v/>
      </c>
      <c r="D752" s="88"/>
      <c r="E752" s="88"/>
      <c r="F752" s="88"/>
      <c r="G752" s="85"/>
      <c r="H752" s="85"/>
      <c r="I752" s="85"/>
      <c r="J752" s="85"/>
      <c r="K752" s="88"/>
      <c r="L752" s="88"/>
      <c r="M752" s="85"/>
      <c r="N752" s="85"/>
      <c r="O752" s="73"/>
    </row>
    <row r="753" customFormat="false" ht="15" hidden="false" customHeight="false" outlineLevel="0" collapsed="false">
      <c r="A753" s="87"/>
      <c r="B753" s="73"/>
      <c r="C753" s="91" t="str">
        <f aca="false">IF(B753="","",IFERROR(INDEX(الموظفون!$C$6:$C$105,MATCH(B753,الموظفون!$B$6:$B$105,0)),"✖ رقم غير موجود"))</f>
        <v/>
      </c>
      <c r="D753" s="88"/>
      <c r="E753" s="88"/>
      <c r="F753" s="88"/>
      <c r="G753" s="85"/>
      <c r="H753" s="85"/>
      <c r="I753" s="85"/>
      <c r="J753" s="85"/>
      <c r="K753" s="88"/>
      <c r="L753" s="88"/>
      <c r="M753" s="85"/>
      <c r="N753" s="85"/>
      <c r="O753" s="73"/>
    </row>
    <row r="754" customFormat="false" ht="15" hidden="false" customHeight="false" outlineLevel="0" collapsed="false">
      <c r="A754" s="87"/>
      <c r="B754" s="73"/>
      <c r="C754" s="74" t="str">
        <f aca="false">IF(B754="","",IFERROR(INDEX(الموظفون!$C$6:$C$105,MATCH(B754,الموظفون!$B$6:$B$105,0)),"✖ رقم غير موجود"))</f>
        <v/>
      </c>
      <c r="D754" s="88"/>
      <c r="E754" s="88"/>
      <c r="F754" s="88"/>
      <c r="G754" s="85"/>
      <c r="H754" s="85"/>
      <c r="I754" s="85"/>
      <c r="J754" s="85"/>
      <c r="K754" s="88"/>
      <c r="L754" s="88"/>
      <c r="M754" s="85"/>
      <c r="N754" s="85"/>
      <c r="O754" s="73"/>
    </row>
    <row r="755" customFormat="false" ht="15" hidden="false" customHeight="false" outlineLevel="0" collapsed="false">
      <c r="A755" s="87"/>
      <c r="B755" s="73"/>
      <c r="C755" s="91" t="str">
        <f aca="false">IF(B755="","",IFERROR(INDEX(الموظفون!$C$6:$C$105,MATCH(B755,الموظفون!$B$6:$B$105,0)),"✖ رقم غير موجود"))</f>
        <v/>
      </c>
      <c r="D755" s="88"/>
      <c r="E755" s="88"/>
      <c r="F755" s="88"/>
      <c r="G755" s="85"/>
      <c r="H755" s="85"/>
      <c r="I755" s="85"/>
      <c r="J755" s="85"/>
      <c r="K755" s="88"/>
      <c r="L755" s="88"/>
      <c r="M755" s="85"/>
      <c r="N755" s="85"/>
      <c r="O755" s="73"/>
    </row>
    <row r="756" customFormat="false" ht="15" hidden="false" customHeight="false" outlineLevel="0" collapsed="false">
      <c r="A756" s="87"/>
      <c r="B756" s="73"/>
      <c r="C756" s="74" t="str">
        <f aca="false">IF(B756="","",IFERROR(INDEX(الموظفون!$C$6:$C$105,MATCH(B756,الموظفون!$B$6:$B$105,0)),"✖ رقم غير موجود"))</f>
        <v/>
      </c>
      <c r="D756" s="88"/>
      <c r="E756" s="88"/>
      <c r="F756" s="88"/>
      <c r="G756" s="85"/>
      <c r="H756" s="85"/>
      <c r="I756" s="85"/>
      <c r="J756" s="85"/>
      <c r="K756" s="88"/>
      <c r="L756" s="88"/>
      <c r="M756" s="85"/>
      <c r="N756" s="85"/>
      <c r="O756" s="73"/>
    </row>
    <row r="757" customFormat="false" ht="15" hidden="false" customHeight="false" outlineLevel="0" collapsed="false">
      <c r="A757" s="87"/>
      <c r="B757" s="73"/>
      <c r="C757" s="91" t="str">
        <f aca="false">IF(B757="","",IFERROR(INDEX(الموظفون!$C$6:$C$105,MATCH(B757,الموظفون!$B$6:$B$105,0)),"✖ رقم غير موجود"))</f>
        <v/>
      </c>
      <c r="D757" s="88"/>
      <c r="E757" s="88"/>
      <c r="F757" s="88"/>
      <c r="G757" s="85"/>
      <c r="H757" s="85"/>
      <c r="I757" s="85"/>
      <c r="J757" s="85"/>
      <c r="K757" s="88"/>
      <c r="L757" s="88"/>
      <c r="M757" s="85"/>
      <c r="N757" s="85"/>
      <c r="O757" s="73"/>
    </row>
    <row r="758" customFormat="false" ht="15" hidden="false" customHeight="false" outlineLevel="0" collapsed="false">
      <c r="A758" s="87"/>
      <c r="B758" s="73"/>
      <c r="C758" s="74" t="str">
        <f aca="false">IF(B758="","",IFERROR(INDEX(الموظفون!$C$6:$C$105,MATCH(B758,الموظفون!$B$6:$B$105,0)),"✖ رقم غير موجود"))</f>
        <v/>
      </c>
      <c r="D758" s="88"/>
      <c r="E758" s="88"/>
      <c r="F758" s="88"/>
      <c r="G758" s="85"/>
      <c r="H758" s="85"/>
      <c r="I758" s="85"/>
      <c r="J758" s="85"/>
      <c r="K758" s="88"/>
      <c r="L758" s="88"/>
      <c r="M758" s="85"/>
      <c r="N758" s="85"/>
      <c r="O758" s="73"/>
    </row>
    <row r="759" customFormat="false" ht="15" hidden="false" customHeight="false" outlineLevel="0" collapsed="false">
      <c r="A759" s="87"/>
      <c r="B759" s="73"/>
      <c r="C759" s="91" t="str">
        <f aca="false">IF(B759="","",IFERROR(INDEX(الموظفون!$C$6:$C$105,MATCH(B759,الموظفون!$B$6:$B$105,0)),"✖ رقم غير موجود"))</f>
        <v/>
      </c>
      <c r="D759" s="88"/>
      <c r="E759" s="88"/>
      <c r="F759" s="88"/>
      <c r="G759" s="85"/>
      <c r="H759" s="85"/>
      <c r="I759" s="85"/>
      <c r="J759" s="85"/>
      <c r="K759" s="88"/>
      <c r="L759" s="88"/>
      <c r="M759" s="85"/>
      <c r="N759" s="85"/>
      <c r="O759" s="73"/>
    </row>
    <row r="760" customFormat="false" ht="15" hidden="false" customHeight="false" outlineLevel="0" collapsed="false">
      <c r="A760" s="87"/>
      <c r="B760" s="73"/>
      <c r="C760" s="74" t="str">
        <f aca="false">IF(B760="","",IFERROR(INDEX(الموظفون!$C$6:$C$105,MATCH(B760,الموظفون!$B$6:$B$105,0)),"✖ رقم غير موجود"))</f>
        <v/>
      </c>
      <c r="D760" s="88"/>
      <c r="E760" s="88"/>
      <c r="F760" s="88"/>
      <c r="G760" s="85"/>
      <c r="H760" s="85"/>
      <c r="I760" s="85"/>
      <c r="J760" s="85"/>
      <c r="K760" s="88"/>
      <c r="L760" s="88"/>
      <c r="M760" s="85"/>
      <c r="N760" s="85"/>
      <c r="O760" s="73"/>
    </row>
    <row r="761" customFormat="false" ht="15" hidden="false" customHeight="false" outlineLevel="0" collapsed="false">
      <c r="A761" s="87"/>
      <c r="B761" s="73"/>
      <c r="C761" s="91" t="str">
        <f aca="false">IF(B761="","",IFERROR(INDEX(الموظفون!$C$6:$C$105,MATCH(B761,الموظفون!$B$6:$B$105,0)),"✖ رقم غير موجود"))</f>
        <v/>
      </c>
      <c r="D761" s="88"/>
      <c r="E761" s="88"/>
      <c r="F761" s="88"/>
      <c r="G761" s="85"/>
      <c r="H761" s="85"/>
      <c r="I761" s="85"/>
      <c r="J761" s="85"/>
      <c r="K761" s="88"/>
      <c r="L761" s="88"/>
      <c r="M761" s="85"/>
      <c r="N761" s="85"/>
      <c r="O761" s="73"/>
    </row>
    <row r="762" customFormat="false" ht="15" hidden="false" customHeight="false" outlineLevel="0" collapsed="false">
      <c r="A762" s="87"/>
      <c r="B762" s="73"/>
      <c r="C762" s="74" t="str">
        <f aca="false">IF(B762="","",IFERROR(INDEX(الموظفون!$C$6:$C$105,MATCH(B762,الموظفون!$B$6:$B$105,0)),"✖ رقم غير موجود"))</f>
        <v/>
      </c>
      <c r="D762" s="88"/>
      <c r="E762" s="88"/>
      <c r="F762" s="88"/>
      <c r="G762" s="85"/>
      <c r="H762" s="85"/>
      <c r="I762" s="85"/>
      <c r="J762" s="85"/>
      <c r="K762" s="88"/>
      <c r="L762" s="88"/>
      <c r="M762" s="85"/>
      <c r="N762" s="85"/>
      <c r="O762" s="73"/>
    </row>
    <row r="763" customFormat="false" ht="15" hidden="false" customHeight="false" outlineLevel="0" collapsed="false">
      <c r="A763" s="87"/>
      <c r="B763" s="73"/>
      <c r="C763" s="91" t="str">
        <f aca="false">IF(B763="","",IFERROR(INDEX(الموظفون!$C$6:$C$105,MATCH(B763,الموظفون!$B$6:$B$105,0)),"✖ رقم غير موجود"))</f>
        <v/>
      </c>
      <c r="D763" s="88"/>
      <c r="E763" s="88"/>
      <c r="F763" s="88"/>
      <c r="G763" s="85"/>
      <c r="H763" s="85"/>
      <c r="I763" s="85"/>
      <c r="J763" s="85"/>
      <c r="K763" s="88"/>
      <c r="L763" s="88"/>
      <c r="M763" s="85"/>
      <c r="N763" s="85"/>
      <c r="O763" s="73"/>
    </row>
    <row r="764" customFormat="false" ht="15" hidden="false" customHeight="false" outlineLevel="0" collapsed="false">
      <c r="A764" s="87"/>
      <c r="B764" s="73"/>
      <c r="C764" s="74" t="str">
        <f aca="false">IF(B764="","",IFERROR(INDEX(الموظفون!$C$6:$C$105,MATCH(B764,الموظفون!$B$6:$B$105,0)),"✖ رقم غير موجود"))</f>
        <v/>
      </c>
      <c r="D764" s="88"/>
      <c r="E764" s="88"/>
      <c r="F764" s="88"/>
      <c r="G764" s="85"/>
      <c r="H764" s="85"/>
      <c r="I764" s="85"/>
      <c r="J764" s="85"/>
      <c r="K764" s="88"/>
      <c r="L764" s="88"/>
      <c r="M764" s="85"/>
      <c r="N764" s="85"/>
      <c r="O764" s="73"/>
    </row>
    <row r="765" customFormat="false" ht="15" hidden="false" customHeight="false" outlineLevel="0" collapsed="false">
      <c r="A765" s="87"/>
      <c r="B765" s="73"/>
      <c r="C765" s="91" t="str">
        <f aca="false">IF(B765="","",IFERROR(INDEX(الموظفون!$C$6:$C$105,MATCH(B765,الموظفون!$B$6:$B$105,0)),"✖ رقم غير موجود"))</f>
        <v/>
      </c>
      <c r="D765" s="88"/>
      <c r="E765" s="88"/>
      <c r="F765" s="88"/>
      <c r="G765" s="85"/>
      <c r="H765" s="85"/>
      <c r="I765" s="85"/>
      <c r="J765" s="85"/>
      <c r="K765" s="88"/>
      <c r="L765" s="88"/>
      <c r="M765" s="85"/>
      <c r="N765" s="85"/>
      <c r="O765" s="73"/>
    </row>
    <row r="766" customFormat="false" ht="15" hidden="false" customHeight="false" outlineLevel="0" collapsed="false">
      <c r="A766" s="87"/>
      <c r="B766" s="73"/>
      <c r="C766" s="74" t="str">
        <f aca="false">IF(B766="","",IFERROR(INDEX(الموظفون!$C$6:$C$105,MATCH(B766,الموظفون!$B$6:$B$105,0)),"✖ رقم غير موجود"))</f>
        <v/>
      </c>
      <c r="D766" s="88"/>
      <c r="E766" s="88"/>
      <c r="F766" s="88"/>
      <c r="G766" s="85"/>
      <c r="H766" s="85"/>
      <c r="I766" s="85"/>
      <c r="J766" s="85"/>
      <c r="K766" s="88"/>
      <c r="L766" s="88"/>
      <c r="M766" s="85"/>
      <c r="N766" s="85"/>
      <c r="O766" s="73"/>
    </row>
    <row r="767" customFormat="false" ht="15" hidden="false" customHeight="false" outlineLevel="0" collapsed="false">
      <c r="A767" s="87"/>
      <c r="B767" s="73"/>
      <c r="C767" s="91" t="str">
        <f aca="false">IF(B767="","",IFERROR(INDEX(الموظفون!$C$6:$C$105,MATCH(B767,الموظفون!$B$6:$B$105,0)),"✖ رقم غير موجود"))</f>
        <v/>
      </c>
      <c r="D767" s="88"/>
      <c r="E767" s="88"/>
      <c r="F767" s="88"/>
      <c r="G767" s="85"/>
      <c r="H767" s="85"/>
      <c r="I767" s="85"/>
      <c r="J767" s="85"/>
      <c r="K767" s="88"/>
      <c r="L767" s="88"/>
      <c r="M767" s="85"/>
      <c r="N767" s="85"/>
      <c r="O767" s="73"/>
    </row>
    <row r="768" customFormat="false" ht="15" hidden="false" customHeight="false" outlineLevel="0" collapsed="false">
      <c r="A768" s="87"/>
      <c r="B768" s="73"/>
      <c r="C768" s="74" t="str">
        <f aca="false">IF(B768="","",IFERROR(INDEX(الموظفون!$C$6:$C$105,MATCH(B768,الموظفون!$B$6:$B$105,0)),"✖ رقم غير موجود"))</f>
        <v/>
      </c>
      <c r="D768" s="88"/>
      <c r="E768" s="88"/>
      <c r="F768" s="88"/>
      <c r="G768" s="85"/>
      <c r="H768" s="85"/>
      <c r="I768" s="85"/>
      <c r="J768" s="85"/>
      <c r="K768" s="88"/>
      <c r="L768" s="88"/>
      <c r="M768" s="85"/>
      <c r="N768" s="85"/>
      <c r="O768" s="73"/>
    </row>
    <row r="769" customFormat="false" ht="15" hidden="false" customHeight="false" outlineLevel="0" collapsed="false">
      <c r="A769" s="87"/>
      <c r="B769" s="73"/>
      <c r="C769" s="91" t="str">
        <f aca="false">IF(B769="","",IFERROR(INDEX(الموظفون!$C$6:$C$105,MATCH(B769,الموظفون!$B$6:$B$105,0)),"✖ رقم غير موجود"))</f>
        <v/>
      </c>
      <c r="D769" s="88"/>
      <c r="E769" s="88"/>
      <c r="F769" s="88"/>
      <c r="G769" s="85"/>
      <c r="H769" s="85"/>
      <c r="I769" s="85"/>
      <c r="J769" s="85"/>
      <c r="K769" s="88"/>
      <c r="L769" s="88"/>
      <c r="M769" s="85"/>
      <c r="N769" s="85"/>
      <c r="O769" s="73"/>
    </row>
    <row r="770" customFormat="false" ht="15" hidden="false" customHeight="false" outlineLevel="0" collapsed="false">
      <c r="A770" s="87"/>
      <c r="B770" s="73"/>
      <c r="C770" s="74" t="str">
        <f aca="false">IF(B770="","",IFERROR(INDEX(الموظفون!$C$6:$C$105,MATCH(B770,الموظفون!$B$6:$B$105,0)),"✖ رقم غير موجود"))</f>
        <v/>
      </c>
      <c r="D770" s="88"/>
      <c r="E770" s="88"/>
      <c r="F770" s="88"/>
      <c r="G770" s="85"/>
      <c r="H770" s="85"/>
      <c r="I770" s="85"/>
      <c r="J770" s="85"/>
      <c r="K770" s="88"/>
      <c r="L770" s="88"/>
      <c r="M770" s="85"/>
      <c r="N770" s="85"/>
      <c r="O770" s="73"/>
    </row>
    <row r="771" customFormat="false" ht="15" hidden="false" customHeight="false" outlineLevel="0" collapsed="false">
      <c r="A771" s="87"/>
      <c r="B771" s="73"/>
      <c r="C771" s="91" t="str">
        <f aca="false">IF(B771="","",IFERROR(INDEX(الموظفون!$C$6:$C$105,MATCH(B771,الموظفون!$B$6:$B$105,0)),"✖ رقم غير موجود"))</f>
        <v/>
      </c>
      <c r="D771" s="88"/>
      <c r="E771" s="88"/>
      <c r="F771" s="88"/>
      <c r="G771" s="85"/>
      <c r="H771" s="85"/>
      <c r="I771" s="85"/>
      <c r="J771" s="85"/>
      <c r="K771" s="88"/>
      <c r="L771" s="88"/>
      <c r="M771" s="85"/>
      <c r="N771" s="85"/>
      <c r="O771" s="73"/>
    </row>
    <row r="772" customFormat="false" ht="15" hidden="false" customHeight="false" outlineLevel="0" collapsed="false">
      <c r="A772" s="87"/>
      <c r="B772" s="73"/>
      <c r="C772" s="74" t="str">
        <f aca="false">IF(B772="","",IFERROR(INDEX(الموظفون!$C$6:$C$105,MATCH(B772,الموظفون!$B$6:$B$105,0)),"✖ رقم غير موجود"))</f>
        <v/>
      </c>
      <c r="D772" s="88"/>
      <c r="E772" s="88"/>
      <c r="F772" s="88"/>
      <c r="G772" s="85"/>
      <c r="H772" s="85"/>
      <c r="I772" s="85"/>
      <c r="J772" s="85"/>
      <c r="K772" s="88"/>
      <c r="L772" s="88"/>
      <c r="M772" s="85"/>
      <c r="N772" s="85"/>
      <c r="O772" s="73"/>
    </row>
    <row r="773" customFormat="false" ht="15" hidden="false" customHeight="false" outlineLevel="0" collapsed="false">
      <c r="A773" s="87"/>
      <c r="B773" s="73"/>
      <c r="C773" s="91" t="str">
        <f aca="false">IF(B773="","",IFERROR(INDEX(الموظفون!$C$6:$C$105,MATCH(B773,الموظفون!$B$6:$B$105,0)),"✖ رقم غير موجود"))</f>
        <v/>
      </c>
      <c r="D773" s="88"/>
      <c r="E773" s="88"/>
      <c r="F773" s="88"/>
      <c r="G773" s="85"/>
      <c r="H773" s="85"/>
      <c r="I773" s="85"/>
      <c r="J773" s="85"/>
      <c r="K773" s="88"/>
      <c r="L773" s="88"/>
      <c r="M773" s="85"/>
      <c r="N773" s="85"/>
      <c r="O773" s="73"/>
    </row>
    <row r="774" customFormat="false" ht="15" hidden="false" customHeight="false" outlineLevel="0" collapsed="false">
      <c r="A774" s="87"/>
      <c r="B774" s="73"/>
      <c r="C774" s="74" t="str">
        <f aca="false">IF(B774="","",IFERROR(INDEX(الموظفون!$C$6:$C$105,MATCH(B774,الموظفون!$B$6:$B$105,0)),"✖ رقم غير موجود"))</f>
        <v/>
      </c>
      <c r="D774" s="88"/>
      <c r="E774" s="88"/>
      <c r="F774" s="88"/>
      <c r="G774" s="85"/>
      <c r="H774" s="85"/>
      <c r="I774" s="85"/>
      <c r="J774" s="85"/>
      <c r="K774" s="88"/>
      <c r="L774" s="88"/>
      <c r="M774" s="85"/>
      <c r="N774" s="85"/>
      <c r="O774" s="73"/>
    </row>
    <row r="775" customFormat="false" ht="15" hidden="false" customHeight="false" outlineLevel="0" collapsed="false">
      <c r="A775" s="87"/>
      <c r="B775" s="73"/>
      <c r="C775" s="91" t="str">
        <f aca="false">IF(B775="","",IFERROR(INDEX(الموظفون!$C$6:$C$105,MATCH(B775,الموظفون!$B$6:$B$105,0)),"✖ رقم غير موجود"))</f>
        <v/>
      </c>
      <c r="D775" s="88"/>
      <c r="E775" s="88"/>
      <c r="F775" s="88"/>
      <c r="G775" s="85"/>
      <c r="H775" s="85"/>
      <c r="I775" s="85"/>
      <c r="J775" s="85"/>
      <c r="K775" s="88"/>
      <c r="L775" s="88"/>
      <c r="M775" s="85"/>
      <c r="N775" s="85"/>
      <c r="O775" s="73"/>
    </row>
    <row r="776" customFormat="false" ht="15" hidden="false" customHeight="false" outlineLevel="0" collapsed="false">
      <c r="A776" s="87"/>
      <c r="B776" s="73"/>
      <c r="C776" s="74" t="str">
        <f aca="false">IF(B776="","",IFERROR(INDEX(الموظفون!$C$6:$C$105,MATCH(B776,الموظفون!$B$6:$B$105,0)),"✖ رقم غير موجود"))</f>
        <v/>
      </c>
      <c r="D776" s="88"/>
      <c r="E776" s="88"/>
      <c r="F776" s="88"/>
      <c r="G776" s="85"/>
      <c r="H776" s="85"/>
      <c r="I776" s="85"/>
      <c r="J776" s="85"/>
      <c r="K776" s="88"/>
      <c r="L776" s="88"/>
      <c r="M776" s="85"/>
      <c r="N776" s="85"/>
      <c r="O776" s="73"/>
    </row>
    <row r="777" customFormat="false" ht="15" hidden="false" customHeight="false" outlineLevel="0" collapsed="false">
      <c r="A777" s="87"/>
      <c r="B777" s="73"/>
      <c r="C777" s="91" t="str">
        <f aca="false">IF(B777="","",IFERROR(INDEX(الموظفون!$C$6:$C$105,MATCH(B777,الموظفون!$B$6:$B$105,0)),"✖ رقم غير موجود"))</f>
        <v/>
      </c>
      <c r="D777" s="88"/>
      <c r="E777" s="88"/>
      <c r="F777" s="88"/>
      <c r="G777" s="85"/>
      <c r="H777" s="85"/>
      <c r="I777" s="85"/>
      <c r="J777" s="85"/>
      <c r="K777" s="88"/>
      <c r="L777" s="88"/>
      <c r="M777" s="85"/>
      <c r="N777" s="85"/>
      <c r="O777" s="73"/>
    </row>
    <row r="778" customFormat="false" ht="15" hidden="false" customHeight="false" outlineLevel="0" collapsed="false">
      <c r="A778" s="87"/>
      <c r="B778" s="73"/>
      <c r="C778" s="74" t="str">
        <f aca="false">IF(B778="","",IFERROR(INDEX(الموظفون!$C$6:$C$105,MATCH(B778,الموظفون!$B$6:$B$105,0)),"✖ رقم غير موجود"))</f>
        <v/>
      </c>
      <c r="D778" s="88"/>
      <c r="E778" s="88"/>
      <c r="F778" s="88"/>
      <c r="G778" s="85"/>
      <c r="H778" s="85"/>
      <c r="I778" s="85"/>
      <c r="J778" s="85"/>
      <c r="K778" s="88"/>
      <c r="L778" s="88"/>
      <c r="M778" s="85"/>
      <c r="N778" s="85"/>
      <c r="O778" s="73"/>
    </row>
    <row r="779" customFormat="false" ht="15" hidden="false" customHeight="false" outlineLevel="0" collapsed="false">
      <c r="A779" s="87"/>
      <c r="B779" s="73"/>
      <c r="C779" s="91" t="str">
        <f aca="false">IF(B779="","",IFERROR(INDEX(الموظفون!$C$6:$C$105,MATCH(B779,الموظفون!$B$6:$B$105,0)),"✖ رقم غير موجود"))</f>
        <v/>
      </c>
      <c r="D779" s="88"/>
      <c r="E779" s="88"/>
      <c r="F779" s="88"/>
      <c r="G779" s="85"/>
      <c r="H779" s="85"/>
      <c r="I779" s="85"/>
      <c r="J779" s="85"/>
      <c r="K779" s="88"/>
      <c r="L779" s="88"/>
      <c r="M779" s="85"/>
      <c r="N779" s="85"/>
      <c r="O779" s="73"/>
    </row>
    <row r="780" customFormat="false" ht="15" hidden="false" customHeight="false" outlineLevel="0" collapsed="false">
      <c r="A780" s="87"/>
      <c r="B780" s="73"/>
      <c r="C780" s="74" t="str">
        <f aca="false">IF(B780="","",IFERROR(INDEX(الموظفون!$C$6:$C$105,MATCH(B780,الموظفون!$B$6:$B$105,0)),"✖ رقم غير موجود"))</f>
        <v/>
      </c>
      <c r="D780" s="88"/>
      <c r="E780" s="88"/>
      <c r="F780" s="88"/>
      <c r="G780" s="85"/>
      <c r="H780" s="85"/>
      <c r="I780" s="85"/>
      <c r="J780" s="85"/>
      <c r="K780" s="88"/>
      <c r="L780" s="88"/>
      <c r="M780" s="85"/>
      <c r="N780" s="85"/>
      <c r="O780" s="73"/>
    </row>
    <row r="781" customFormat="false" ht="15" hidden="false" customHeight="false" outlineLevel="0" collapsed="false">
      <c r="A781" s="87"/>
      <c r="B781" s="73"/>
      <c r="C781" s="91" t="str">
        <f aca="false">IF(B781="","",IFERROR(INDEX(الموظفون!$C$6:$C$105,MATCH(B781,الموظفون!$B$6:$B$105,0)),"✖ رقم غير موجود"))</f>
        <v/>
      </c>
      <c r="D781" s="88"/>
      <c r="E781" s="88"/>
      <c r="F781" s="88"/>
      <c r="G781" s="85"/>
      <c r="H781" s="85"/>
      <c r="I781" s="85"/>
      <c r="J781" s="85"/>
      <c r="K781" s="88"/>
      <c r="L781" s="88"/>
      <c r="M781" s="85"/>
      <c r="N781" s="85"/>
      <c r="O781" s="73"/>
    </row>
    <row r="782" customFormat="false" ht="15" hidden="false" customHeight="false" outlineLevel="0" collapsed="false">
      <c r="A782" s="87"/>
      <c r="B782" s="73"/>
      <c r="C782" s="74" t="str">
        <f aca="false">IF(B782="","",IFERROR(INDEX(الموظفون!$C$6:$C$105,MATCH(B782,الموظفون!$B$6:$B$105,0)),"✖ رقم غير موجود"))</f>
        <v/>
      </c>
      <c r="D782" s="88"/>
      <c r="E782" s="88"/>
      <c r="F782" s="88"/>
      <c r="G782" s="85"/>
      <c r="H782" s="85"/>
      <c r="I782" s="85"/>
      <c r="J782" s="85"/>
      <c r="K782" s="88"/>
      <c r="L782" s="88"/>
      <c r="M782" s="85"/>
      <c r="N782" s="85"/>
      <c r="O782" s="73"/>
    </row>
    <row r="783" customFormat="false" ht="15" hidden="false" customHeight="false" outlineLevel="0" collapsed="false">
      <c r="A783" s="87"/>
      <c r="B783" s="73"/>
      <c r="C783" s="91" t="str">
        <f aca="false">IF(B783="","",IFERROR(INDEX(الموظفون!$C$6:$C$105,MATCH(B783,الموظفون!$B$6:$B$105,0)),"✖ رقم غير موجود"))</f>
        <v/>
      </c>
      <c r="D783" s="88"/>
      <c r="E783" s="88"/>
      <c r="F783" s="88"/>
      <c r="G783" s="85"/>
      <c r="H783" s="85"/>
      <c r="I783" s="85"/>
      <c r="J783" s="85"/>
      <c r="K783" s="88"/>
      <c r="L783" s="88"/>
      <c r="M783" s="85"/>
      <c r="N783" s="85"/>
      <c r="O783" s="73"/>
    </row>
    <row r="784" customFormat="false" ht="15" hidden="false" customHeight="false" outlineLevel="0" collapsed="false">
      <c r="A784" s="87"/>
      <c r="B784" s="73"/>
      <c r="C784" s="74" t="str">
        <f aca="false">IF(B784="","",IFERROR(INDEX(الموظفون!$C$6:$C$105,MATCH(B784,الموظفون!$B$6:$B$105,0)),"✖ رقم غير موجود"))</f>
        <v/>
      </c>
      <c r="D784" s="88"/>
      <c r="E784" s="88"/>
      <c r="F784" s="88"/>
      <c r="G784" s="85"/>
      <c r="H784" s="85"/>
      <c r="I784" s="85"/>
      <c r="J784" s="85"/>
      <c r="K784" s="88"/>
      <c r="L784" s="88"/>
      <c r="M784" s="85"/>
      <c r="N784" s="85"/>
      <c r="O784" s="73"/>
    </row>
    <row r="785" customFormat="false" ht="15" hidden="false" customHeight="false" outlineLevel="0" collapsed="false">
      <c r="A785" s="87"/>
      <c r="B785" s="73"/>
      <c r="C785" s="91" t="str">
        <f aca="false">IF(B785="","",IFERROR(INDEX(الموظفون!$C$6:$C$105,MATCH(B785,الموظفون!$B$6:$B$105,0)),"✖ رقم غير موجود"))</f>
        <v/>
      </c>
      <c r="D785" s="88"/>
      <c r="E785" s="88"/>
      <c r="F785" s="88"/>
      <c r="G785" s="85"/>
      <c r="H785" s="85"/>
      <c r="I785" s="85"/>
      <c r="J785" s="85"/>
      <c r="K785" s="88"/>
      <c r="L785" s="88"/>
      <c r="M785" s="85"/>
      <c r="N785" s="85"/>
      <c r="O785" s="73"/>
    </row>
    <row r="786" customFormat="false" ht="15" hidden="false" customHeight="false" outlineLevel="0" collapsed="false">
      <c r="A786" s="87"/>
      <c r="B786" s="73"/>
      <c r="C786" s="74" t="str">
        <f aca="false">IF(B786="","",IFERROR(INDEX(الموظفون!$C$6:$C$105,MATCH(B786,الموظفون!$B$6:$B$105,0)),"✖ رقم غير موجود"))</f>
        <v/>
      </c>
      <c r="D786" s="88"/>
      <c r="E786" s="88"/>
      <c r="F786" s="88"/>
      <c r="G786" s="85"/>
      <c r="H786" s="85"/>
      <c r="I786" s="85"/>
      <c r="J786" s="85"/>
      <c r="K786" s="88"/>
      <c r="L786" s="88"/>
      <c r="M786" s="85"/>
      <c r="N786" s="85"/>
      <c r="O786" s="73"/>
    </row>
    <row r="787" customFormat="false" ht="15" hidden="false" customHeight="false" outlineLevel="0" collapsed="false">
      <c r="A787" s="87"/>
      <c r="B787" s="73"/>
      <c r="C787" s="91" t="str">
        <f aca="false">IF(B787="","",IFERROR(INDEX(الموظفون!$C$6:$C$105,MATCH(B787,الموظفون!$B$6:$B$105,0)),"✖ رقم غير موجود"))</f>
        <v/>
      </c>
      <c r="D787" s="88"/>
      <c r="E787" s="88"/>
      <c r="F787" s="88"/>
      <c r="G787" s="85"/>
      <c r="H787" s="85"/>
      <c r="I787" s="85"/>
      <c r="J787" s="85"/>
      <c r="K787" s="88"/>
      <c r="L787" s="88"/>
      <c r="M787" s="85"/>
      <c r="N787" s="85"/>
      <c r="O787" s="73"/>
    </row>
    <row r="788" customFormat="false" ht="15" hidden="false" customHeight="false" outlineLevel="0" collapsed="false">
      <c r="A788" s="87"/>
      <c r="B788" s="73"/>
      <c r="C788" s="74" t="str">
        <f aca="false">IF(B788="","",IFERROR(INDEX(الموظفون!$C$6:$C$105,MATCH(B788,الموظفون!$B$6:$B$105,0)),"✖ رقم غير موجود"))</f>
        <v/>
      </c>
      <c r="D788" s="88"/>
      <c r="E788" s="88"/>
      <c r="F788" s="88"/>
      <c r="G788" s="85"/>
      <c r="H788" s="85"/>
      <c r="I788" s="85"/>
      <c r="J788" s="85"/>
      <c r="K788" s="88"/>
      <c r="L788" s="88"/>
      <c r="M788" s="85"/>
      <c r="N788" s="85"/>
      <c r="O788" s="73"/>
    </row>
    <row r="789" customFormat="false" ht="15" hidden="false" customHeight="false" outlineLevel="0" collapsed="false">
      <c r="A789" s="87"/>
      <c r="B789" s="73"/>
      <c r="C789" s="91" t="str">
        <f aca="false">IF(B789="","",IFERROR(INDEX(الموظفون!$C$6:$C$105,MATCH(B789,الموظفون!$B$6:$B$105,0)),"✖ رقم غير موجود"))</f>
        <v/>
      </c>
      <c r="D789" s="88"/>
      <c r="E789" s="88"/>
      <c r="F789" s="88"/>
      <c r="G789" s="85"/>
      <c r="H789" s="85"/>
      <c r="I789" s="85"/>
      <c r="J789" s="85"/>
      <c r="K789" s="88"/>
      <c r="L789" s="88"/>
      <c r="M789" s="85"/>
      <c r="N789" s="85"/>
      <c r="O789" s="73"/>
    </row>
    <row r="790" customFormat="false" ht="15" hidden="false" customHeight="false" outlineLevel="0" collapsed="false">
      <c r="A790" s="87"/>
      <c r="B790" s="73"/>
      <c r="C790" s="74" t="str">
        <f aca="false">IF(B790="","",IFERROR(INDEX(الموظفون!$C$6:$C$105,MATCH(B790,الموظفون!$B$6:$B$105,0)),"✖ رقم غير موجود"))</f>
        <v/>
      </c>
      <c r="D790" s="88"/>
      <c r="E790" s="88"/>
      <c r="F790" s="88"/>
      <c r="G790" s="85"/>
      <c r="H790" s="85"/>
      <c r="I790" s="85"/>
      <c r="J790" s="85"/>
      <c r="K790" s="88"/>
      <c r="L790" s="88"/>
      <c r="M790" s="85"/>
      <c r="N790" s="85"/>
      <c r="O790" s="73"/>
    </row>
    <row r="791" customFormat="false" ht="15" hidden="false" customHeight="false" outlineLevel="0" collapsed="false">
      <c r="A791" s="87"/>
      <c r="B791" s="73"/>
      <c r="C791" s="91" t="str">
        <f aca="false">IF(B791="","",IFERROR(INDEX(الموظفون!$C$6:$C$105,MATCH(B791,الموظفون!$B$6:$B$105,0)),"✖ رقم غير موجود"))</f>
        <v/>
      </c>
      <c r="D791" s="88"/>
      <c r="E791" s="88"/>
      <c r="F791" s="88"/>
      <c r="G791" s="85"/>
      <c r="H791" s="85"/>
      <c r="I791" s="85"/>
      <c r="J791" s="85"/>
      <c r="K791" s="88"/>
      <c r="L791" s="88"/>
      <c r="M791" s="85"/>
      <c r="N791" s="85"/>
      <c r="O791" s="73"/>
    </row>
    <row r="792" customFormat="false" ht="15" hidden="false" customHeight="false" outlineLevel="0" collapsed="false">
      <c r="A792" s="87"/>
      <c r="B792" s="73"/>
      <c r="C792" s="74" t="str">
        <f aca="false">IF(B792="","",IFERROR(INDEX(الموظفون!$C$6:$C$105,MATCH(B792,الموظفون!$B$6:$B$105,0)),"✖ رقم غير موجود"))</f>
        <v/>
      </c>
      <c r="D792" s="88"/>
      <c r="E792" s="88"/>
      <c r="F792" s="88"/>
      <c r="G792" s="85"/>
      <c r="H792" s="85"/>
      <c r="I792" s="85"/>
      <c r="J792" s="85"/>
      <c r="K792" s="88"/>
      <c r="L792" s="88"/>
      <c r="M792" s="85"/>
      <c r="N792" s="85"/>
      <c r="O792" s="73"/>
    </row>
    <row r="793" customFormat="false" ht="15" hidden="false" customHeight="false" outlineLevel="0" collapsed="false">
      <c r="A793" s="87"/>
      <c r="B793" s="73"/>
      <c r="C793" s="91" t="str">
        <f aca="false">IF(B793="","",IFERROR(INDEX(الموظفون!$C$6:$C$105,MATCH(B793,الموظفون!$B$6:$B$105,0)),"✖ رقم غير موجود"))</f>
        <v/>
      </c>
      <c r="D793" s="88"/>
      <c r="E793" s="88"/>
      <c r="F793" s="88"/>
      <c r="G793" s="85"/>
      <c r="H793" s="85"/>
      <c r="I793" s="85"/>
      <c r="J793" s="85"/>
      <c r="K793" s="88"/>
      <c r="L793" s="88"/>
      <c r="M793" s="85"/>
      <c r="N793" s="85"/>
      <c r="O793" s="73"/>
    </row>
    <row r="794" customFormat="false" ht="15" hidden="false" customHeight="false" outlineLevel="0" collapsed="false">
      <c r="A794" s="87"/>
      <c r="B794" s="73"/>
      <c r="C794" s="74" t="str">
        <f aca="false">IF(B794="","",IFERROR(INDEX(الموظفون!$C$6:$C$105,MATCH(B794,الموظفون!$B$6:$B$105,0)),"✖ رقم غير موجود"))</f>
        <v/>
      </c>
      <c r="D794" s="88"/>
      <c r="E794" s="88"/>
      <c r="F794" s="88"/>
      <c r="G794" s="85"/>
      <c r="H794" s="85"/>
      <c r="I794" s="85"/>
      <c r="J794" s="85"/>
      <c r="K794" s="88"/>
      <c r="L794" s="88"/>
      <c r="M794" s="85"/>
      <c r="N794" s="85"/>
      <c r="O794" s="73"/>
    </row>
    <row r="795" customFormat="false" ht="15" hidden="false" customHeight="false" outlineLevel="0" collapsed="false">
      <c r="A795" s="87"/>
      <c r="B795" s="73"/>
      <c r="C795" s="91" t="str">
        <f aca="false">IF(B795="","",IFERROR(INDEX(الموظفون!$C$6:$C$105,MATCH(B795,الموظفون!$B$6:$B$105,0)),"✖ رقم غير موجود"))</f>
        <v/>
      </c>
      <c r="D795" s="88"/>
      <c r="E795" s="88"/>
      <c r="F795" s="88"/>
      <c r="G795" s="85"/>
      <c r="H795" s="85"/>
      <c r="I795" s="85"/>
      <c r="J795" s="85"/>
      <c r="K795" s="88"/>
      <c r="L795" s="88"/>
      <c r="M795" s="85"/>
      <c r="N795" s="85"/>
      <c r="O795" s="73"/>
    </row>
    <row r="796" customFormat="false" ht="15" hidden="false" customHeight="false" outlineLevel="0" collapsed="false">
      <c r="A796" s="87"/>
      <c r="B796" s="73"/>
      <c r="C796" s="74" t="str">
        <f aca="false">IF(B796="","",IFERROR(INDEX(الموظفون!$C$6:$C$105,MATCH(B796,الموظفون!$B$6:$B$105,0)),"✖ رقم غير موجود"))</f>
        <v/>
      </c>
      <c r="D796" s="88"/>
      <c r="E796" s="88"/>
      <c r="F796" s="88"/>
      <c r="G796" s="85"/>
      <c r="H796" s="85"/>
      <c r="I796" s="85"/>
      <c r="J796" s="85"/>
      <c r="K796" s="88"/>
      <c r="L796" s="88"/>
      <c r="M796" s="85"/>
      <c r="N796" s="85"/>
      <c r="O796" s="73"/>
    </row>
    <row r="797" customFormat="false" ht="15" hidden="false" customHeight="false" outlineLevel="0" collapsed="false">
      <c r="A797" s="87"/>
      <c r="B797" s="73"/>
      <c r="C797" s="91" t="str">
        <f aca="false">IF(B797="","",IFERROR(INDEX(الموظفون!$C$6:$C$105,MATCH(B797,الموظفون!$B$6:$B$105,0)),"✖ رقم غير موجود"))</f>
        <v/>
      </c>
      <c r="D797" s="88"/>
      <c r="E797" s="88"/>
      <c r="F797" s="88"/>
      <c r="G797" s="85"/>
      <c r="H797" s="85"/>
      <c r="I797" s="85"/>
      <c r="J797" s="85"/>
      <c r="K797" s="88"/>
      <c r="L797" s="88"/>
      <c r="M797" s="85"/>
      <c r="N797" s="85"/>
      <c r="O797" s="73"/>
    </row>
    <row r="798" customFormat="false" ht="15" hidden="false" customHeight="false" outlineLevel="0" collapsed="false">
      <c r="A798" s="87"/>
      <c r="B798" s="73"/>
      <c r="C798" s="74" t="str">
        <f aca="false">IF(B798="","",IFERROR(INDEX(الموظفون!$C$6:$C$105,MATCH(B798,الموظفون!$B$6:$B$105,0)),"✖ رقم غير موجود"))</f>
        <v/>
      </c>
      <c r="D798" s="88"/>
      <c r="E798" s="88"/>
      <c r="F798" s="88"/>
      <c r="G798" s="85"/>
      <c r="H798" s="85"/>
      <c r="I798" s="85"/>
      <c r="J798" s="85"/>
      <c r="K798" s="88"/>
      <c r="L798" s="88"/>
      <c r="M798" s="85"/>
      <c r="N798" s="85"/>
      <c r="O798" s="73"/>
    </row>
    <row r="799" customFormat="false" ht="15" hidden="false" customHeight="false" outlineLevel="0" collapsed="false">
      <c r="A799" s="87"/>
      <c r="B799" s="73"/>
      <c r="C799" s="91" t="str">
        <f aca="false">IF(B799="","",IFERROR(INDEX(الموظفون!$C$6:$C$105,MATCH(B799,الموظفون!$B$6:$B$105,0)),"✖ رقم غير موجود"))</f>
        <v/>
      </c>
      <c r="D799" s="88"/>
      <c r="E799" s="88"/>
      <c r="F799" s="88"/>
      <c r="G799" s="85"/>
      <c r="H799" s="85"/>
      <c r="I799" s="85"/>
      <c r="J799" s="85"/>
      <c r="K799" s="88"/>
      <c r="L799" s="88"/>
      <c r="M799" s="85"/>
      <c r="N799" s="85"/>
      <c r="O799" s="73"/>
    </row>
    <row r="800" customFormat="false" ht="15" hidden="false" customHeight="false" outlineLevel="0" collapsed="false">
      <c r="A800" s="87"/>
      <c r="B800" s="73"/>
      <c r="C800" s="74" t="str">
        <f aca="false">IF(B800="","",IFERROR(INDEX(الموظفون!$C$6:$C$105,MATCH(B800,الموظفون!$B$6:$B$105,0)),"✖ رقم غير موجود"))</f>
        <v/>
      </c>
      <c r="D800" s="88"/>
      <c r="E800" s="88"/>
      <c r="F800" s="88"/>
      <c r="G800" s="85"/>
      <c r="H800" s="85"/>
      <c r="I800" s="85"/>
      <c r="J800" s="85"/>
      <c r="K800" s="88"/>
      <c r="L800" s="88"/>
      <c r="M800" s="85"/>
      <c r="N800" s="85"/>
      <c r="O800" s="73"/>
    </row>
    <row r="801" customFormat="false" ht="15" hidden="false" customHeight="false" outlineLevel="0" collapsed="false">
      <c r="A801" s="87"/>
      <c r="B801" s="73"/>
      <c r="C801" s="91" t="str">
        <f aca="false">IF(B801="","",IFERROR(INDEX(الموظفون!$C$6:$C$105,MATCH(B801,الموظفون!$B$6:$B$105,0)),"✖ رقم غير موجود"))</f>
        <v/>
      </c>
      <c r="D801" s="88"/>
      <c r="E801" s="88"/>
      <c r="F801" s="88"/>
      <c r="G801" s="85"/>
      <c r="H801" s="85"/>
      <c r="I801" s="85"/>
      <c r="J801" s="85"/>
      <c r="K801" s="88"/>
      <c r="L801" s="88"/>
      <c r="M801" s="85"/>
      <c r="N801" s="85"/>
      <c r="O801" s="73"/>
    </row>
    <row r="802" customFormat="false" ht="15" hidden="false" customHeight="false" outlineLevel="0" collapsed="false">
      <c r="A802" s="87"/>
      <c r="B802" s="73"/>
      <c r="C802" s="74" t="str">
        <f aca="false">IF(B802="","",IFERROR(INDEX(الموظفون!$C$6:$C$105,MATCH(B802,الموظفون!$B$6:$B$105,0)),"✖ رقم غير موجود"))</f>
        <v/>
      </c>
      <c r="D802" s="88"/>
      <c r="E802" s="88"/>
      <c r="F802" s="88"/>
      <c r="G802" s="85"/>
      <c r="H802" s="85"/>
      <c r="I802" s="85"/>
      <c r="J802" s="85"/>
      <c r="K802" s="88"/>
      <c r="L802" s="88"/>
      <c r="M802" s="85"/>
      <c r="N802" s="85"/>
      <c r="O802" s="73"/>
    </row>
    <row r="803" customFormat="false" ht="15" hidden="false" customHeight="false" outlineLevel="0" collapsed="false">
      <c r="A803" s="87"/>
      <c r="B803" s="73"/>
      <c r="C803" s="91" t="str">
        <f aca="false">IF(B803="","",IFERROR(INDEX(الموظفون!$C$6:$C$105,MATCH(B803,الموظفون!$B$6:$B$105,0)),"✖ رقم غير موجود"))</f>
        <v/>
      </c>
      <c r="D803" s="88"/>
      <c r="E803" s="88"/>
      <c r="F803" s="88"/>
      <c r="G803" s="85"/>
      <c r="H803" s="85"/>
      <c r="I803" s="85"/>
      <c r="J803" s="85"/>
      <c r="K803" s="88"/>
      <c r="L803" s="88"/>
      <c r="M803" s="85"/>
      <c r="N803" s="85"/>
      <c r="O803" s="73"/>
    </row>
    <row r="804" customFormat="false" ht="15" hidden="false" customHeight="false" outlineLevel="0" collapsed="false">
      <c r="A804" s="87"/>
      <c r="B804" s="73"/>
      <c r="C804" s="74" t="str">
        <f aca="false">IF(B804="","",IFERROR(INDEX(الموظفون!$C$6:$C$105,MATCH(B804,الموظفون!$B$6:$B$105,0)),"✖ رقم غير موجود"))</f>
        <v/>
      </c>
      <c r="D804" s="88"/>
      <c r="E804" s="88"/>
      <c r="F804" s="88"/>
      <c r="G804" s="85"/>
      <c r="H804" s="85"/>
      <c r="I804" s="85"/>
      <c r="J804" s="85"/>
      <c r="K804" s="88"/>
      <c r="L804" s="88"/>
      <c r="M804" s="85"/>
      <c r="N804" s="85"/>
      <c r="O804" s="73"/>
    </row>
    <row r="805" customFormat="false" ht="15" hidden="false" customHeight="false" outlineLevel="0" collapsed="false">
      <c r="A805" s="87"/>
      <c r="B805" s="73"/>
      <c r="C805" s="91" t="str">
        <f aca="false">IF(B805="","",IFERROR(INDEX(الموظفون!$C$6:$C$105,MATCH(B805,الموظفون!$B$6:$B$105,0)),"✖ رقم غير موجود"))</f>
        <v/>
      </c>
      <c r="D805" s="88"/>
      <c r="E805" s="88"/>
      <c r="F805" s="88"/>
      <c r="G805" s="85"/>
      <c r="H805" s="85"/>
      <c r="I805" s="85"/>
      <c r="J805" s="85"/>
      <c r="K805" s="88"/>
      <c r="L805" s="88"/>
      <c r="M805" s="85"/>
      <c r="N805" s="85"/>
      <c r="O805" s="73"/>
    </row>
    <row r="806" customFormat="false" ht="15" hidden="false" customHeight="false" outlineLevel="0" collapsed="false">
      <c r="A806" s="87"/>
      <c r="B806" s="73"/>
      <c r="C806" s="74" t="str">
        <f aca="false">IF(B806="","",IFERROR(INDEX(الموظفون!$C$6:$C$105,MATCH(B806,الموظفون!$B$6:$B$105,0)),"✖ رقم غير موجود"))</f>
        <v/>
      </c>
      <c r="D806" s="88"/>
      <c r="E806" s="88"/>
      <c r="F806" s="88"/>
      <c r="G806" s="85"/>
      <c r="H806" s="85"/>
      <c r="I806" s="85"/>
      <c r="J806" s="85"/>
      <c r="K806" s="88"/>
      <c r="L806" s="88"/>
      <c r="M806" s="85"/>
      <c r="N806" s="85"/>
      <c r="O806" s="73"/>
    </row>
    <row r="807" customFormat="false" ht="15" hidden="false" customHeight="false" outlineLevel="0" collapsed="false">
      <c r="A807" s="87"/>
      <c r="B807" s="73"/>
      <c r="C807" s="91" t="str">
        <f aca="false">IF(B807="","",IFERROR(INDEX(الموظفون!$C$6:$C$105,MATCH(B807,الموظفون!$B$6:$B$105,0)),"✖ رقم غير موجود"))</f>
        <v/>
      </c>
      <c r="D807" s="88"/>
      <c r="E807" s="88"/>
      <c r="F807" s="88"/>
      <c r="G807" s="85"/>
      <c r="H807" s="85"/>
      <c r="I807" s="85"/>
      <c r="J807" s="85"/>
      <c r="K807" s="88"/>
      <c r="L807" s="88"/>
      <c r="M807" s="85"/>
      <c r="N807" s="85"/>
      <c r="O807" s="73"/>
    </row>
    <row r="808" customFormat="false" ht="15" hidden="false" customHeight="false" outlineLevel="0" collapsed="false">
      <c r="A808" s="87"/>
      <c r="B808" s="73"/>
      <c r="C808" s="74" t="str">
        <f aca="false">IF(B808="","",IFERROR(INDEX(الموظفون!$C$6:$C$105,MATCH(B808,الموظفون!$B$6:$B$105,0)),"✖ رقم غير موجود"))</f>
        <v/>
      </c>
      <c r="D808" s="88"/>
      <c r="E808" s="88"/>
      <c r="F808" s="88"/>
      <c r="G808" s="85"/>
      <c r="H808" s="85"/>
      <c r="I808" s="85"/>
      <c r="J808" s="85"/>
      <c r="K808" s="88"/>
      <c r="L808" s="88"/>
      <c r="M808" s="85"/>
      <c r="N808" s="85"/>
      <c r="O808" s="73"/>
    </row>
    <row r="809" customFormat="false" ht="15" hidden="false" customHeight="false" outlineLevel="0" collapsed="false">
      <c r="A809" s="87"/>
      <c r="B809" s="73"/>
      <c r="C809" s="91" t="str">
        <f aca="false">IF(B809="","",IFERROR(INDEX(الموظفون!$C$6:$C$105,MATCH(B809,الموظفون!$B$6:$B$105,0)),"✖ رقم غير موجود"))</f>
        <v/>
      </c>
      <c r="D809" s="88"/>
      <c r="E809" s="88"/>
      <c r="F809" s="88"/>
      <c r="G809" s="85"/>
      <c r="H809" s="85"/>
      <c r="I809" s="85"/>
      <c r="J809" s="85"/>
      <c r="K809" s="88"/>
      <c r="L809" s="88"/>
      <c r="M809" s="85"/>
      <c r="N809" s="85"/>
      <c r="O809" s="73"/>
    </row>
    <row r="810" customFormat="false" ht="15" hidden="false" customHeight="false" outlineLevel="0" collapsed="false">
      <c r="A810" s="87"/>
      <c r="B810" s="73"/>
      <c r="C810" s="74" t="str">
        <f aca="false">IF(B810="","",IFERROR(INDEX(الموظفون!$C$6:$C$105,MATCH(B810,الموظفون!$B$6:$B$105,0)),"✖ رقم غير موجود"))</f>
        <v/>
      </c>
      <c r="D810" s="88"/>
      <c r="E810" s="88"/>
      <c r="F810" s="88"/>
      <c r="G810" s="85"/>
      <c r="H810" s="85"/>
      <c r="I810" s="85"/>
      <c r="J810" s="85"/>
      <c r="K810" s="88"/>
      <c r="L810" s="88"/>
      <c r="M810" s="85"/>
      <c r="N810" s="85"/>
      <c r="O810" s="73"/>
    </row>
    <row r="811" customFormat="false" ht="15" hidden="false" customHeight="false" outlineLevel="0" collapsed="false">
      <c r="A811" s="87"/>
      <c r="B811" s="73"/>
      <c r="C811" s="91" t="str">
        <f aca="false">IF(B811="","",IFERROR(INDEX(الموظفون!$C$6:$C$105,MATCH(B811,الموظفون!$B$6:$B$105,0)),"✖ رقم غير موجود"))</f>
        <v/>
      </c>
      <c r="D811" s="88"/>
      <c r="E811" s="88"/>
      <c r="F811" s="88"/>
      <c r="G811" s="85"/>
      <c r="H811" s="85"/>
      <c r="I811" s="85"/>
      <c r="J811" s="85"/>
      <c r="K811" s="88"/>
      <c r="L811" s="88"/>
      <c r="M811" s="85"/>
      <c r="N811" s="85"/>
      <c r="O811" s="73"/>
    </row>
    <row r="812" customFormat="false" ht="15" hidden="false" customHeight="false" outlineLevel="0" collapsed="false">
      <c r="A812" s="87"/>
      <c r="B812" s="73"/>
      <c r="C812" s="74" t="str">
        <f aca="false">IF(B812="","",IFERROR(INDEX(الموظفون!$C$6:$C$105,MATCH(B812,الموظفون!$B$6:$B$105,0)),"✖ رقم غير موجود"))</f>
        <v/>
      </c>
      <c r="D812" s="88"/>
      <c r="E812" s="88"/>
      <c r="F812" s="88"/>
      <c r="G812" s="85"/>
      <c r="H812" s="85"/>
      <c r="I812" s="85"/>
      <c r="J812" s="85"/>
      <c r="K812" s="88"/>
      <c r="L812" s="88"/>
      <c r="M812" s="85"/>
      <c r="N812" s="85"/>
      <c r="O812" s="73"/>
    </row>
    <row r="813" customFormat="false" ht="15" hidden="false" customHeight="false" outlineLevel="0" collapsed="false">
      <c r="A813" s="87"/>
      <c r="B813" s="73"/>
      <c r="C813" s="91" t="str">
        <f aca="false">IF(B813="","",IFERROR(INDEX(الموظفون!$C$6:$C$105,MATCH(B813,الموظفون!$B$6:$B$105,0)),"✖ رقم غير موجود"))</f>
        <v/>
      </c>
      <c r="D813" s="88"/>
      <c r="E813" s="88"/>
      <c r="F813" s="88"/>
      <c r="G813" s="85"/>
      <c r="H813" s="85"/>
      <c r="I813" s="85"/>
      <c r="J813" s="85"/>
      <c r="K813" s="88"/>
      <c r="L813" s="88"/>
      <c r="M813" s="85"/>
      <c r="N813" s="85"/>
      <c r="O813" s="73"/>
    </row>
    <row r="814" customFormat="false" ht="15" hidden="false" customHeight="false" outlineLevel="0" collapsed="false">
      <c r="A814" s="87"/>
      <c r="B814" s="73"/>
      <c r="C814" s="74" t="str">
        <f aca="false">IF(B814="","",IFERROR(INDEX(الموظفون!$C$6:$C$105,MATCH(B814,الموظفون!$B$6:$B$105,0)),"✖ رقم غير موجود"))</f>
        <v/>
      </c>
      <c r="D814" s="88"/>
      <c r="E814" s="88"/>
      <c r="F814" s="88"/>
      <c r="G814" s="85"/>
      <c r="H814" s="85"/>
      <c r="I814" s="85"/>
      <c r="J814" s="85"/>
      <c r="K814" s="88"/>
      <c r="L814" s="88"/>
      <c r="M814" s="85"/>
      <c r="N814" s="85"/>
      <c r="O814" s="73"/>
    </row>
    <row r="815" customFormat="false" ht="15" hidden="false" customHeight="false" outlineLevel="0" collapsed="false">
      <c r="A815" s="87"/>
      <c r="B815" s="73"/>
      <c r="C815" s="91" t="str">
        <f aca="false">IF(B815="","",IFERROR(INDEX(الموظفون!$C$6:$C$105,MATCH(B815,الموظفون!$B$6:$B$105,0)),"✖ رقم غير موجود"))</f>
        <v/>
      </c>
      <c r="D815" s="88"/>
      <c r="E815" s="88"/>
      <c r="F815" s="88"/>
      <c r="G815" s="85"/>
      <c r="H815" s="85"/>
      <c r="I815" s="85"/>
      <c r="J815" s="85"/>
      <c r="K815" s="88"/>
      <c r="L815" s="88"/>
      <c r="M815" s="85"/>
      <c r="N815" s="85"/>
      <c r="O815" s="73"/>
    </row>
    <row r="816" customFormat="false" ht="15" hidden="false" customHeight="false" outlineLevel="0" collapsed="false">
      <c r="A816" s="87"/>
      <c r="B816" s="73"/>
      <c r="C816" s="74" t="str">
        <f aca="false">IF(B816="","",IFERROR(INDEX(الموظفون!$C$6:$C$105,MATCH(B816,الموظفون!$B$6:$B$105,0)),"✖ رقم غير موجود"))</f>
        <v/>
      </c>
      <c r="D816" s="88"/>
      <c r="E816" s="88"/>
      <c r="F816" s="88"/>
      <c r="G816" s="85"/>
      <c r="H816" s="85"/>
      <c r="I816" s="85"/>
      <c r="J816" s="85"/>
      <c r="K816" s="88"/>
      <c r="L816" s="88"/>
      <c r="M816" s="85"/>
      <c r="N816" s="85"/>
      <c r="O816" s="73"/>
    </row>
    <row r="817" customFormat="false" ht="15" hidden="false" customHeight="false" outlineLevel="0" collapsed="false">
      <c r="A817" s="87"/>
      <c r="B817" s="73"/>
      <c r="C817" s="91" t="str">
        <f aca="false">IF(B817="","",IFERROR(INDEX(الموظفون!$C$6:$C$105,MATCH(B817,الموظفون!$B$6:$B$105,0)),"✖ رقم غير موجود"))</f>
        <v/>
      </c>
      <c r="D817" s="88"/>
      <c r="E817" s="88"/>
      <c r="F817" s="88"/>
      <c r="G817" s="85"/>
      <c r="H817" s="85"/>
      <c r="I817" s="85"/>
      <c r="J817" s="85"/>
      <c r="K817" s="88"/>
      <c r="L817" s="88"/>
      <c r="M817" s="85"/>
      <c r="N817" s="85"/>
      <c r="O817" s="73"/>
    </row>
    <row r="818" customFormat="false" ht="15" hidden="false" customHeight="false" outlineLevel="0" collapsed="false">
      <c r="A818" s="87"/>
      <c r="B818" s="73"/>
      <c r="C818" s="74" t="str">
        <f aca="false">IF(B818="","",IFERROR(INDEX(الموظفون!$C$6:$C$105,MATCH(B818,الموظفون!$B$6:$B$105,0)),"✖ رقم غير موجود"))</f>
        <v/>
      </c>
      <c r="D818" s="88"/>
      <c r="E818" s="88"/>
      <c r="F818" s="88"/>
      <c r="G818" s="85"/>
      <c r="H818" s="85"/>
      <c r="I818" s="85"/>
      <c r="J818" s="85"/>
      <c r="K818" s="88"/>
      <c r="L818" s="88"/>
      <c r="M818" s="85"/>
      <c r="N818" s="85"/>
      <c r="O818" s="73"/>
    </row>
    <row r="819" customFormat="false" ht="15" hidden="false" customHeight="false" outlineLevel="0" collapsed="false">
      <c r="A819" s="87"/>
      <c r="B819" s="73"/>
      <c r="C819" s="91" t="str">
        <f aca="false">IF(B819="","",IFERROR(INDEX(الموظفون!$C$6:$C$105,MATCH(B819,الموظفون!$B$6:$B$105,0)),"✖ رقم غير موجود"))</f>
        <v/>
      </c>
      <c r="D819" s="88"/>
      <c r="E819" s="88"/>
      <c r="F819" s="88"/>
      <c r="G819" s="85"/>
      <c r="H819" s="85"/>
      <c r="I819" s="85"/>
      <c r="J819" s="85"/>
      <c r="K819" s="88"/>
      <c r="L819" s="88"/>
      <c r="M819" s="85"/>
      <c r="N819" s="85"/>
      <c r="O819" s="73"/>
    </row>
    <row r="820" customFormat="false" ht="15" hidden="false" customHeight="false" outlineLevel="0" collapsed="false">
      <c r="A820" s="87"/>
      <c r="B820" s="73"/>
      <c r="C820" s="74" t="str">
        <f aca="false">IF(B820="","",IFERROR(INDEX(الموظفون!$C$6:$C$105,MATCH(B820,الموظفون!$B$6:$B$105,0)),"✖ رقم غير موجود"))</f>
        <v/>
      </c>
      <c r="D820" s="88"/>
      <c r="E820" s="88"/>
      <c r="F820" s="88"/>
      <c r="G820" s="85"/>
      <c r="H820" s="85"/>
      <c r="I820" s="85"/>
      <c r="J820" s="85"/>
      <c r="K820" s="88"/>
      <c r="L820" s="88"/>
      <c r="M820" s="85"/>
      <c r="N820" s="85"/>
      <c r="O820" s="73"/>
    </row>
    <row r="821" customFormat="false" ht="15" hidden="false" customHeight="false" outlineLevel="0" collapsed="false">
      <c r="A821" s="87"/>
      <c r="B821" s="73"/>
      <c r="C821" s="91" t="str">
        <f aca="false">IF(B821="","",IFERROR(INDEX(الموظفون!$C$6:$C$105,MATCH(B821,الموظفون!$B$6:$B$105,0)),"✖ رقم غير موجود"))</f>
        <v/>
      </c>
      <c r="D821" s="88"/>
      <c r="E821" s="88"/>
      <c r="F821" s="88"/>
      <c r="G821" s="85"/>
      <c r="H821" s="85"/>
      <c r="I821" s="85"/>
      <c r="J821" s="85"/>
      <c r="K821" s="88"/>
      <c r="L821" s="88"/>
      <c r="M821" s="85"/>
      <c r="N821" s="85"/>
      <c r="O821" s="73"/>
    </row>
    <row r="822" customFormat="false" ht="15" hidden="false" customHeight="false" outlineLevel="0" collapsed="false">
      <c r="A822" s="87"/>
      <c r="B822" s="73"/>
      <c r="C822" s="74" t="str">
        <f aca="false">IF(B822="","",IFERROR(INDEX(الموظفون!$C$6:$C$105,MATCH(B822,الموظفون!$B$6:$B$105,0)),"✖ رقم غير موجود"))</f>
        <v/>
      </c>
      <c r="D822" s="88"/>
      <c r="E822" s="88"/>
      <c r="F822" s="88"/>
      <c r="G822" s="85"/>
      <c r="H822" s="85"/>
      <c r="I822" s="85"/>
      <c r="J822" s="85"/>
      <c r="K822" s="88"/>
      <c r="L822" s="88"/>
      <c r="M822" s="85"/>
      <c r="N822" s="85"/>
      <c r="O822" s="73"/>
    </row>
    <row r="823" customFormat="false" ht="15" hidden="false" customHeight="false" outlineLevel="0" collapsed="false">
      <c r="A823" s="87"/>
      <c r="B823" s="73"/>
      <c r="C823" s="91" t="str">
        <f aca="false">IF(B823="","",IFERROR(INDEX(الموظفون!$C$6:$C$105,MATCH(B823,الموظفون!$B$6:$B$105,0)),"✖ رقم غير موجود"))</f>
        <v/>
      </c>
      <c r="D823" s="88"/>
      <c r="E823" s="88"/>
      <c r="F823" s="88"/>
      <c r="G823" s="85"/>
      <c r="H823" s="85"/>
      <c r="I823" s="85"/>
      <c r="J823" s="85"/>
      <c r="K823" s="88"/>
      <c r="L823" s="88"/>
      <c r="M823" s="85"/>
      <c r="N823" s="85"/>
      <c r="O823" s="73"/>
    </row>
    <row r="824" customFormat="false" ht="15" hidden="false" customHeight="false" outlineLevel="0" collapsed="false">
      <c r="A824" s="87"/>
      <c r="B824" s="73"/>
      <c r="C824" s="74" t="str">
        <f aca="false">IF(B824="","",IFERROR(INDEX(الموظفون!$C$6:$C$105,MATCH(B824,الموظفون!$B$6:$B$105,0)),"✖ رقم غير موجود"))</f>
        <v/>
      </c>
      <c r="D824" s="88"/>
      <c r="E824" s="88"/>
      <c r="F824" s="88"/>
      <c r="G824" s="85"/>
      <c r="H824" s="85"/>
      <c r="I824" s="85"/>
      <c r="J824" s="85"/>
      <c r="K824" s="88"/>
      <c r="L824" s="88"/>
      <c r="M824" s="85"/>
      <c r="N824" s="85"/>
      <c r="O824" s="73"/>
    </row>
    <row r="825" customFormat="false" ht="15" hidden="false" customHeight="false" outlineLevel="0" collapsed="false">
      <c r="A825" s="87"/>
      <c r="B825" s="73"/>
      <c r="C825" s="91" t="str">
        <f aca="false">IF(B825="","",IFERROR(INDEX(الموظفون!$C$6:$C$105,MATCH(B825,الموظفون!$B$6:$B$105,0)),"✖ رقم غير موجود"))</f>
        <v/>
      </c>
      <c r="D825" s="88"/>
      <c r="E825" s="88"/>
      <c r="F825" s="88"/>
      <c r="G825" s="85"/>
      <c r="H825" s="85"/>
      <c r="I825" s="85"/>
      <c r="J825" s="85"/>
      <c r="K825" s="88"/>
      <c r="L825" s="88"/>
      <c r="M825" s="85"/>
      <c r="N825" s="85"/>
      <c r="O825" s="73"/>
    </row>
    <row r="826" customFormat="false" ht="15" hidden="false" customHeight="false" outlineLevel="0" collapsed="false">
      <c r="A826" s="87"/>
      <c r="B826" s="73"/>
      <c r="C826" s="74" t="str">
        <f aca="false">IF(B826="","",IFERROR(INDEX(الموظفون!$C$6:$C$105,MATCH(B826,الموظفون!$B$6:$B$105,0)),"✖ رقم غير موجود"))</f>
        <v/>
      </c>
      <c r="D826" s="88"/>
      <c r="E826" s="88"/>
      <c r="F826" s="88"/>
      <c r="G826" s="85"/>
      <c r="H826" s="85"/>
      <c r="I826" s="85"/>
      <c r="J826" s="85"/>
      <c r="K826" s="88"/>
      <c r="L826" s="88"/>
      <c r="M826" s="85"/>
      <c r="N826" s="85"/>
      <c r="O826" s="73"/>
    </row>
    <row r="827" customFormat="false" ht="15" hidden="false" customHeight="false" outlineLevel="0" collapsed="false">
      <c r="A827" s="87"/>
      <c r="B827" s="73"/>
      <c r="C827" s="91" t="str">
        <f aca="false">IF(B827="","",IFERROR(INDEX(الموظفون!$C$6:$C$105,MATCH(B827,الموظفون!$B$6:$B$105,0)),"✖ رقم غير موجود"))</f>
        <v/>
      </c>
      <c r="D827" s="88"/>
      <c r="E827" s="88"/>
      <c r="F827" s="88"/>
      <c r="G827" s="85"/>
      <c r="H827" s="85"/>
      <c r="I827" s="85"/>
      <c r="J827" s="85"/>
      <c r="K827" s="88"/>
      <c r="L827" s="88"/>
      <c r="M827" s="85"/>
      <c r="N827" s="85"/>
      <c r="O827" s="73"/>
    </row>
    <row r="828" customFormat="false" ht="15" hidden="false" customHeight="false" outlineLevel="0" collapsed="false">
      <c r="A828" s="87"/>
      <c r="B828" s="73"/>
      <c r="C828" s="74" t="str">
        <f aca="false">IF(B828="","",IFERROR(INDEX(الموظفون!$C$6:$C$105,MATCH(B828,الموظفون!$B$6:$B$105,0)),"✖ رقم غير موجود"))</f>
        <v/>
      </c>
      <c r="D828" s="88"/>
      <c r="E828" s="88"/>
      <c r="F828" s="88"/>
      <c r="G828" s="85"/>
      <c r="H828" s="85"/>
      <c r="I828" s="85"/>
      <c r="J828" s="85"/>
      <c r="K828" s="88"/>
      <c r="L828" s="88"/>
      <c r="M828" s="85"/>
      <c r="N828" s="85"/>
      <c r="O828" s="73"/>
    </row>
    <row r="829" customFormat="false" ht="15" hidden="false" customHeight="false" outlineLevel="0" collapsed="false">
      <c r="A829" s="87"/>
      <c r="B829" s="73"/>
      <c r="C829" s="91" t="str">
        <f aca="false">IF(B829="","",IFERROR(INDEX(الموظفون!$C$6:$C$105,MATCH(B829,الموظفون!$B$6:$B$105,0)),"✖ رقم غير موجود"))</f>
        <v/>
      </c>
      <c r="D829" s="88"/>
      <c r="E829" s="88"/>
      <c r="F829" s="88"/>
      <c r="G829" s="85"/>
      <c r="H829" s="85"/>
      <c r="I829" s="85"/>
      <c r="J829" s="85"/>
      <c r="K829" s="88"/>
      <c r="L829" s="88"/>
      <c r="M829" s="85"/>
      <c r="N829" s="85"/>
      <c r="O829" s="73"/>
    </row>
    <row r="830" customFormat="false" ht="15" hidden="false" customHeight="false" outlineLevel="0" collapsed="false">
      <c r="A830" s="87"/>
      <c r="B830" s="73"/>
      <c r="C830" s="74" t="str">
        <f aca="false">IF(B830="","",IFERROR(INDEX(الموظفون!$C$6:$C$105,MATCH(B830,الموظفون!$B$6:$B$105,0)),"✖ رقم غير موجود"))</f>
        <v/>
      </c>
      <c r="D830" s="88"/>
      <c r="E830" s="88"/>
      <c r="F830" s="88"/>
      <c r="G830" s="85"/>
      <c r="H830" s="85"/>
      <c r="I830" s="85"/>
      <c r="J830" s="85"/>
      <c r="K830" s="88"/>
      <c r="L830" s="88"/>
      <c r="M830" s="85"/>
      <c r="N830" s="85"/>
      <c r="O830" s="73"/>
    </row>
    <row r="831" customFormat="false" ht="15" hidden="false" customHeight="false" outlineLevel="0" collapsed="false">
      <c r="A831" s="87"/>
      <c r="B831" s="73"/>
      <c r="C831" s="91" t="str">
        <f aca="false">IF(B831="","",IFERROR(INDEX(الموظفون!$C$6:$C$105,MATCH(B831,الموظفون!$B$6:$B$105,0)),"✖ رقم غير موجود"))</f>
        <v/>
      </c>
      <c r="D831" s="88"/>
      <c r="E831" s="88"/>
      <c r="F831" s="88"/>
      <c r="G831" s="85"/>
      <c r="H831" s="85"/>
      <c r="I831" s="85"/>
      <c r="J831" s="85"/>
      <c r="K831" s="88"/>
      <c r="L831" s="88"/>
      <c r="M831" s="85"/>
      <c r="N831" s="85"/>
      <c r="O831" s="73"/>
    </row>
    <row r="832" customFormat="false" ht="15" hidden="false" customHeight="false" outlineLevel="0" collapsed="false">
      <c r="A832" s="87"/>
      <c r="B832" s="73"/>
      <c r="C832" s="74" t="str">
        <f aca="false">IF(B832="","",IFERROR(INDEX(الموظفون!$C$6:$C$105,MATCH(B832,الموظفون!$B$6:$B$105,0)),"✖ رقم غير موجود"))</f>
        <v/>
      </c>
      <c r="D832" s="88"/>
      <c r="E832" s="88"/>
      <c r="F832" s="88"/>
      <c r="G832" s="85"/>
      <c r="H832" s="85"/>
      <c r="I832" s="85"/>
      <c r="J832" s="85"/>
      <c r="K832" s="88"/>
      <c r="L832" s="88"/>
      <c r="M832" s="85"/>
      <c r="N832" s="85"/>
      <c r="O832" s="73"/>
    </row>
    <row r="833" customFormat="false" ht="15" hidden="false" customHeight="false" outlineLevel="0" collapsed="false">
      <c r="A833" s="87"/>
      <c r="B833" s="73"/>
      <c r="C833" s="91" t="str">
        <f aca="false">IF(B833="","",IFERROR(INDEX(الموظفون!$C$6:$C$105,MATCH(B833,الموظفون!$B$6:$B$105,0)),"✖ رقم غير موجود"))</f>
        <v/>
      </c>
      <c r="D833" s="88"/>
      <c r="E833" s="88"/>
      <c r="F833" s="88"/>
      <c r="G833" s="85"/>
      <c r="H833" s="85"/>
      <c r="I833" s="85"/>
      <c r="J833" s="85"/>
      <c r="K833" s="88"/>
      <c r="L833" s="88"/>
      <c r="M833" s="85"/>
      <c r="N833" s="85"/>
      <c r="O833" s="73"/>
    </row>
    <row r="834" customFormat="false" ht="15" hidden="false" customHeight="false" outlineLevel="0" collapsed="false">
      <c r="A834" s="87"/>
      <c r="B834" s="73"/>
      <c r="C834" s="74" t="str">
        <f aca="false">IF(B834="","",IFERROR(INDEX(الموظفون!$C$6:$C$105,MATCH(B834,الموظفون!$B$6:$B$105,0)),"✖ رقم غير موجود"))</f>
        <v/>
      </c>
      <c r="D834" s="88"/>
      <c r="E834" s="88"/>
      <c r="F834" s="88"/>
      <c r="G834" s="85"/>
      <c r="H834" s="85"/>
      <c r="I834" s="85"/>
      <c r="J834" s="85"/>
      <c r="K834" s="88"/>
      <c r="L834" s="88"/>
      <c r="M834" s="85"/>
      <c r="N834" s="85"/>
      <c r="O834" s="73"/>
    </row>
    <row r="835" customFormat="false" ht="15" hidden="false" customHeight="false" outlineLevel="0" collapsed="false">
      <c r="A835" s="87"/>
      <c r="B835" s="73"/>
      <c r="C835" s="91" t="str">
        <f aca="false">IF(B835="","",IFERROR(INDEX(الموظفون!$C$6:$C$105,MATCH(B835,الموظفون!$B$6:$B$105,0)),"✖ رقم غير موجود"))</f>
        <v/>
      </c>
      <c r="D835" s="88"/>
      <c r="E835" s="88"/>
      <c r="F835" s="88"/>
      <c r="G835" s="85"/>
      <c r="H835" s="85"/>
      <c r="I835" s="85"/>
      <c r="J835" s="85"/>
      <c r="K835" s="88"/>
      <c r="L835" s="88"/>
      <c r="M835" s="85"/>
      <c r="N835" s="85"/>
      <c r="O835" s="73"/>
    </row>
    <row r="836" customFormat="false" ht="15" hidden="false" customHeight="false" outlineLevel="0" collapsed="false">
      <c r="A836" s="87"/>
      <c r="B836" s="73"/>
      <c r="C836" s="74" t="str">
        <f aca="false">IF(B836="","",IFERROR(INDEX(الموظفون!$C$6:$C$105,MATCH(B836,الموظفون!$B$6:$B$105,0)),"✖ رقم غير موجود"))</f>
        <v/>
      </c>
      <c r="D836" s="88"/>
      <c r="E836" s="88"/>
      <c r="F836" s="88"/>
      <c r="G836" s="85"/>
      <c r="H836" s="85"/>
      <c r="I836" s="85"/>
      <c r="J836" s="85"/>
      <c r="K836" s="88"/>
      <c r="L836" s="88"/>
      <c r="M836" s="85"/>
      <c r="N836" s="85"/>
      <c r="O836" s="73"/>
    </row>
    <row r="837" customFormat="false" ht="15" hidden="false" customHeight="false" outlineLevel="0" collapsed="false">
      <c r="A837" s="87"/>
      <c r="B837" s="73"/>
      <c r="C837" s="91" t="str">
        <f aca="false">IF(B837="","",IFERROR(INDEX(الموظفون!$C$6:$C$105,MATCH(B837,الموظفون!$B$6:$B$105,0)),"✖ رقم غير موجود"))</f>
        <v/>
      </c>
      <c r="D837" s="88"/>
      <c r="E837" s="88"/>
      <c r="F837" s="88"/>
      <c r="G837" s="85"/>
      <c r="H837" s="85"/>
      <c r="I837" s="85"/>
      <c r="J837" s="85"/>
      <c r="K837" s="88"/>
      <c r="L837" s="88"/>
      <c r="M837" s="85"/>
      <c r="N837" s="85"/>
      <c r="O837" s="73"/>
    </row>
    <row r="838" customFormat="false" ht="15" hidden="false" customHeight="false" outlineLevel="0" collapsed="false">
      <c r="A838" s="87"/>
      <c r="B838" s="73"/>
      <c r="C838" s="74" t="str">
        <f aca="false">IF(B838="","",IFERROR(INDEX(الموظفون!$C$6:$C$105,MATCH(B838,الموظفون!$B$6:$B$105,0)),"✖ رقم غير موجود"))</f>
        <v/>
      </c>
      <c r="D838" s="88"/>
      <c r="E838" s="88"/>
      <c r="F838" s="88"/>
      <c r="G838" s="85"/>
      <c r="H838" s="85"/>
      <c r="I838" s="85"/>
      <c r="J838" s="85"/>
      <c r="K838" s="88"/>
      <c r="L838" s="88"/>
      <c r="M838" s="85"/>
      <c r="N838" s="85"/>
      <c r="O838" s="73"/>
    </row>
    <row r="839" customFormat="false" ht="15" hidden="false" customHeight="false" outlineLevel="0" collapsed="false">
      <c r="A839" s="87"/>
      <c r="B839" s="73"/>
      <c r="C839" s="91" t="str">
        <f aca="false">IF(B839="","",IFERROR(INDEX(الموظفون!$C$6:$C$105,MATCH(B839,الموظفون!$B$6:$B$105,0)),"✖ رقم غير موجود"))</f>
        <v/>
      </c>
      <c r="D839" s="88"/>
      <c r="E839" s="88"/>
      <c r="F839" s="88"/>
      <c r="G839" s="85"/>
      <c r="H839" s="85"/>
      <c r="I839" s="85"/>
      <c r="J839" s="85"/>
      <c r="K839" s="88"/>
      <c r="L839" s="88"/>
      <c r="M839" s="85"/>
      <c r="N839" s="85"/>
      <c r="O839" s="73"/>
    </row>
    <row r="840" customFormat="false" ht="15" hidden="false" customHeight="false" outlineLevel="0" collapsed="false">
      <c r="A840" s="87"/>
      <c r="B840" s="73"/>
      <c r="C840" s="74" t="str">
        <f aca="false">IF(B840="","",IFERROR(INDEX(الموظفون!$C$6:$C$105,MATCH(B840,الموظفون!$B$6:$B$105,0)),"✖ رقم غير موجود"))</f>
        <v/>
      </c>
      <c r="D840" s="88"/>
      <c r="E840" s="88"/>
      <c r="F840" s="88"/>
      <c r="G840" s="85"/>
      <c r="H840" s="85"/>
      <c r="I840" s="85"/>
      <c r="J840" s="85"/>
      <c r="K840" s="88"/>
      <c r="L840" s="88"/>
      <c r="M840" s="85"/>
      <c r="N840" s="85"/>
      <c r="O840" s="73"/>
    </row>
    <row r="841" customFormat="false" ht="15" hidden="false" customHeight="false" outlineLevel="0" collapsed="false">
      <c r="A841" s="87"/>
      <c r="B841" s="73"/>
      <c r="C841" s="91" t="str">
        <f aca="false">IF(B841="","",IFERROR(INDEX(الموظفون!$C$6:$C$105,MATCH(B841,الموظفون!$B$6:$B$105,0)),"✖ رقم غير موجود"))</f>
        <v/>
      </c>
      <c r="D841" s="88"/>
      <c r="E841" s="88"/>
      <c r="F841" s="88"/>
      <c r="G841" s="85"/>
      <c r="H841" s="85"/>
      <c r="I841" s="85"/>
      <c r="J841" s="85"/>
      <c r="K841" s="88"/>
      <c r="L841" s="88"/>
      <c r="M841" s="85"/>
      <c r="N841" s="85"/>
      <c r="O841" s="73"/>
    </row>
    <row r="842" customFormat="false" ht="15" hidden="false" customHeight="false" outlineLevel="0" collapsed="false">
      <c r="A842" s="87"/>
      <c r="B842" s="73"/>
      <c r="C842" s="74" t="str">
        <f aca="false">IF(B842="","",IFERROR(INDEX(الموظفون!$C$6:$C$105,MATCH(B842,الموظفون!$B$6:$B$105,0)),"✖ رقم غير موجود"))</f>
        <v/>
      </c>
      <c r="D842" s="88"/>
      <c r="E842" s="88"/>
      <c r="F842" s="88"/>
      <c r="G842" s="85"/>
      <c r="H842" s="85"/>
      <c r="I842" s="85"/>
      <c r="J842" s="85"/>
      <c r="K842" s="88"/>
      <c r="L842" s="88"/>
      <c r="M842" s="85"/>
      <c r="N842" s="85"/>
      <c r="O842" s="73"/>
    </row>
    <row r="843" customFormat="false" ht="15" hidden="false" customHeight="false" outlineLevel="0" collapsed="false">
      <c r="A843" s="87"/>
      <c r="B843" s="73"/>
      <c r="C843" s="91" t="str">
        <f aca="false">IF(B843="","",IFERROR(INDEX(الموظفون!$C$6:$C$105,MATCH(B843,الموظفون!$B$6:$B$105,0)),"✖ رقم غير موجود"))</f>
        <v/>
      </c>
      <c r="D843" s="88"/>
      <c r="E843" s="88"/>
      <c r="F843" s="88"/>
      <c r="G843" s="85"/>
      <c r="H843" s="85"/>
      <c r="I843" s="85"/>
      <c r="J843" s="85"/>
      <c r="K843" s="88"/>
      <c r="L843" s="88"/>
      <c r="M843" s="85"/>
      <c r="N843" s="85"/>
      <c r="O843" s="73"/>
    </row>
    <row r="844" customFormat="false" ht="15" hidden="false" customHeight="false" outlineLevel="0" collapsed="false">
      <c r="A844" s="87"/>
      <c r="B844" s="73"/>
      <c r="C844" s="74" t="str">
        <f aca="false">IF(B844="","",IFERROR(INDEX(الموظفون!$C$6:$C$105,MATCH(B844,الموظفون!$B$6:$B$105,0)),"✖ رقم غير موجود"))</f>
        <v/>
      </c>
      <c r="D844" s="88"/>
      <c r="E844" s="88"/>
      <c r="F844" s="88"/>
      <c r="G844" s="85"/>
      <c r="H844" s="85"/>
      <c r="I844" s="85"/>
      <c r="J844" s="85"/>
      <c r="K844" s="88"/>
      <c r="L844" s="88"/>
      <c r="M844" s="85"/>
      <c r="N844" s="85"/>
      <c r="O844" s="73"/>
    </row>
    <row r="845" customFormat="false" ht="15" hidden="false" customHeight="false" outlineLevel="0" collapsed="false">
      <c r="A845" s="87"/>
      <c r="B845" s="73"/>
      <c r="C845" s="91" t="str">
        <f aca="false">IF(B845="","",IFERROR(INDEX(الموظفون!$C$6:$C$105,MATCH(B845,الموظفون!$B$6:$B$105,0)),"✖ رقم غير موجود"))</f>
        <v/>
      </c>
      <c r="D845" s="88"/>
      <c r="E845" s="88"/>
      <c r="F845" s="88"/>
      <c r="G845" s="85"/>
      <c r="H845" s="85"/>
      <c r="I845" s="85"/>
      <c r="J845" s="85"/>
      <c r="K845" s="88"/>
      <c r="L845" s="88"/>
      <c r="M845" s="85"/>
      <c r="N845" s="85"/>
      <c r="O845" s="73"/>
    </row>
    <row r="846" customFormat="false" ht="15" hidden="false" customHeight="false" outlineLevel="0" collapsed="false">
      <c r="A846" s="87"/>
      <c r="B846" s="73"/>
      <c r="C846" s="74" t="str">
        <f aca="false">IF(B846="","",IFERROR(INDEX(الموظفون!$C$6:$C$105,MATCH(B846,الموظفون!$B$6:$B$105,0)),"✖ رقم غير موجود"))</f>
        <v/>
      </c>
      <c r="D846" s="88"/>
      <c r="E846" s="88"/>
      <c r="F846" s="88"/>
      <c r="G846" s="85"/>
      <c r="H846" s="85"/>
      <c r="I846" s="85"/>
      <c r="J846" s="85"/>
      <c r="K846" s="88"/>
      <c r="L846" s="88"/>
      <c r="M846" s="85"/>
      <c r="N846" s="85"/>
      <c r="O846" s="73"/>
    </row>
    <row r="847" customFormat="false" ht="15" hidden="false" customHeight="false" outlineLevel="0" collapsed="false">
      <c r="A847" s="87"/>
      <c r="B847" s="73"/>
      <c r="C847" s="91" t="str">
        <f aca="false">IF(B847="","",IFERROR(INDEX(الموظفون!$C$6:$C$105,MATCH(B847,الموظفون!$B$6:$B$105,0)),"✖ رقم غير موجود"))</f>
        <v/>
      </c>
      <c r="D847" s="88"/>
      <c r="E847" s="88"/>
      <c r="F847" s="88"/>
      <c r="G847" s="85"/>
      <c r="H847" s="85"/>
      <c r="I847" s="85"/>
      <c r="J847" s="85"/>
      <c r="K847" s="88"/>
      <c r="L847" s="88"/>
      <c r="M847" s="85"/>
      <c r="N847" s="85"/>
      <c r="O847" s="73"/>
    </row>
    <row r="848" customFormat="false" ht="15" hidden="false" customHeight="false" outlineLevel="0" collapsed="false">
      <c r="A848" s="87"/>
      <c r="B848" s="73"/>
      <c r="C848" s="74" t="str">
        <f aca="false">IF(B848="","",IFERROR(INDEX(الموظفون!$C$6:$C$105,MATCH(B848,الموظفون!$B$6:$B$105,0)),"✖ رقم غير موجود"))</f>
        <v/>
      </c>
      <c r="D848" s="88"/>
      <c r="E848" s="88"/>
      <c r="F848" s="88"/>
      <c r="G848" s="85"/>
      <c r="H848" s="85"/>
      <c r="I848" s="85"/>
      <c r="J848" s="85"/>
      <c r="K848" s="88"/>
      <c r="L848" s="88"/>
      <c r="M848" s="85"/>
      <c r="N848" s="85"/>
      <c r="O848" s="73"/>
    </row>
    <row r="849" customFormat="false" ht="15" hidden="false" customHeight="false" outlineLevel="0" collapsed="false">
      <c r="A849" s="87"/>
      <c r="B849" s="73"/>
      <c r="C849" s="91" t="str">
        <f aca="false">IF(B849="","",IFERROR(INDEX(الموظفون!$C$6:$C$105,MATCH(B849,الموظفون!$B$6:$B$105,0)),"✖ رقم غير موجود"))</f>
        <v/>
      </c>
      <c r="D849" s="88"/>
      <c r="E849" s="88"/>
      <c r="F849" s="88"/>
      <c r="G849" s="85"/>
      <c r="H849" s="85"/>
      <c r="I849" s="85"/>
      <c r="J849" s="85"/>
      <c r="K849" s="88"/>
      <c r="L849" s="88"/>
      <c r="M849" s="85"/>
      <c r="N849" s="85"/>
      <c r="O849" s="73"/>
    </row>
    <row r="850" customFormat="false" ht="15" hidden="false" customHeight="false" outlineLevel="0" collapsed="false">
      <c r="A850" s="87"/>
      <c r="B850" s="73"/>
      <c r="C850" s="74" t="str">
        <f aca="false">IF(B850="","",IFERROR(INDEX(الموظفون!$C$6:$C$105,MATCH(B850,الموظفون!$B$6:$B$105,0)),"✖ رقم غير موجود"))</f>
        <v/>
      </c>
      <c r="D850" s="88"/>
      <c r="E850" s="88"/>
      <c r="F850" s="88"/>
      <c r="G850" s="85"/>
      <c r="H850" s="85"/>
      <c r="I850" s="85"/>
      <c r="J850" s="85"/>
      <c r="K850" s="88"/>
      <c r="L850" s="88"/>
      <c r="M850" s="85"/>
      <c r="N850" s="85"/>
      <c r="O850" s="73"/>
    </row>
    <row r="851" customFormat="false" ht="15" hidden="false" customHeight="false" outlineLevel="0" collapsed="false">
      <c r="A851" s="87"/>
      <c r="B851" s="73"/>
      <c r="C851" s="91" t="str">
        <f aca="false">IF(B851="","",IFERROR(INDEX(الموظفون!$C$6:$C$105,MATCH(B851,الموظفون!$B$6:$B$105,0)),"✖ رقم غير موجود"))</f>
        <v/>
      </c>
      <c r="D851" s="88"/>
      <c r="E851" s="88"/>
      <c r="F851" s="88"/>
      <c r="G851" s="85"/>
      <c r="H851" s="85"/>
      <c r="I851" s="85"/>
      <c r="J851" s="85"/>
      <c r="K851" s="88"/>
      <c r="L851" s="88"/>
      <c r="M851" s="85"/>
      <c r="N851" s="85"/>
      <c r="O851" s="73"/>
    </row>
    <row r="852" customFormat="false" ht="15" hidden="false" customHeight="false" outlineLevel="0" collapsed="false">
      <c r="A852" s="87"/>
      <c r="B852" s="73"/>
      <c r="C852" s="74" t="str">
        <f aca="false">IF(B852="","",IFERROR(INDEX(الموظفون!$C$6:$C$105,MATCH(B852,الموظفون!$B$6:$B$105,0)),"✖ رقم غير موجود"))</f>
        <v/>
      </c>
      <c r="D852" s="88"/>
      <c r="E852" s="88"/>
      <c r="F852" s="88"/>
      <c r="G852" s="85"/>
      <c r="H852" s="85"/>
      <c r="I852" s="85"/>
      <c r="J852" s="85"/>
      <c r="K852" s="88"/>
      <c r="L852" s="88"/>
      <c r="M852" s="85"/>
      <c r="N852" s="85"/>
      <c r="O852" s="73"/>
    </row>
    <row r="853" customFormat="false" ht="15" hidden="false" customHeight="false" outlineLevel="0" collapsed="false">
      <c r="A853" s="87"/>
      <c r="B853" s="73"/>
      <c r="C853" s="91" t="str">
        <f aca="false">IF(B853="","",IFERROR(INDEX(الموظفون!$C$6:$C$105,MATCH(B853,الموظفون!$B$6:$B$105,0)),"✖ رقم غير موجود"))</f>
        <v/>
      </c>
      <c r="D853" s="88"/>
      <c r="E853" s="88"/>
      <c r="F853" s="88"/>
      <c r="G853" s="85"/>
      <c r="H853" s="85"/>
      <c r="I853" s="85"/>
      <c r="J853" s="85"/>
      <c r="K853" s="88"/>
      <c r="L853" s="88"/>
      <c r="M853" s="85"/>
      <c r="N853" s="85"/>
      <c r="O853" s="73"/>
    </row>
    <row r="854" customFormat="false" ht="15" hidden="false" customHeight="false" outlineLevel="0" collapsed="false">
      <c r="A854" s="87"/>
      <c r="B854" s="73"/>
      <c r="C854" s="74" t="str">
        <f aca="false">IF(B854="","",IFERROR(INDEX(الموظفون!$C$6:$C$105,MATCH(B854,الموظفون!$B$6:$B$105,0)),"✖ رقم غير موجود"))</f>
        <v/>
      </c>
      <c r="D854" s="88"/>
      <c r="E854" s="88"/>
      <c r="F854" s="88"/>
      <c r="G854" s="85"/>
      <c r="H854" s="85"/>
      <c r="I854" s="85"/>
      <c r="J854" s="85"/>
      <c r="K854" s="88"/>
      <c r="L854" s="88"/>
      <c r="M854" s="85"/>
      <c r="N854" s="85"/>
      <c r="O854" s="73"/>
    </row>
    <row r="855" customFormat="false" ht="15" hidden="false" customHeight="false" outlineLevel="0" collapsed="false">
      <c r="A855" s="87"/>
      <c r="B855" s="73"/>
      <c r="C855" s="91" t="str">
        <f aca="false">IF(B855="","",IFERROR(INDEX(الموظفون!$C$6:$C$105,MATCH(B855,الموظفون!$B$6:$B$105,0)),"✖ رقم غير موجود"))</f>
        <v/>
      </c>
      <c r="D855" s="88"/>
      <c r="E855" s="88"/>
      <c r="F855" s="88"/>
      <c r="G855" s="85"/>
      <c r="H855" s="85"/>
      <c r="I855" s="85"/>
      <c r="J855" s="85"/>
      <c r="K855" s="88"/>
      <c r="L855" s="88"/>
      <c r="M855" s="85"/>
      <c r="N855" s="85"/>
      <c r="O855" s="73"/>
    </row>
    <row r="856" customFormat="false" ht="15" hidden="false" customHeight="false" outlineLevel="0" collapsed="false">
      <c r="A856" s="87"/>
      <c r="B856" s="73"/>
      <c r="C856" s="74" t="str">
        <f aca="false">IF(B856="","",IFERROR(INDEX(الموظفون!$C$6:$C$105,MATCH(B856,الموظفون!$B$6:$B$105,0)),"✖ رقم غير موجود"))</f>
        <v/>
      </c>
      <c r="D856" s="88"/>
      <c r="E856" s="88"/>
      <c r="F856" s="88"/>
      <c r="G856" s="85"/>
      <c r="H856" s="85"/>
      <c r="I856" s="85"/>
      <c r="J856" s="85"/>
      <c r="K856" s="88"/>
      <c r="L856" s="88"/>
      <c r="M856" s="85"/>
      <c r="N856" s="85"/>
      <c r="O856" s="73"/>
    </row>
    <row r="857" customFormat="false" ht="15" hidden="false" customHeight="false" outlineLevel="0" collapsed="false">
      <c r="A857" s="87"/>
      <c r="B857" s="73"/>
      <c r="C857" s="91" t="str">
        <f aca="false">IF(B857="","",IFERROR(INDEX(الموظفون!$C$6:$C$105,MATCH(B857,الموظفون!$B$6:$B$105,0)),"✖ رقم غير موجود"))</f>
        <v/>
      </c>
      <c r="D857" s="88"/>
      <c r="E857" s="88"/>
      <c r="F857" s="88"/>
      <c r="G857" s="85"/>
      <c r="H857" s="85"/>
      <c r="I857" s="85"/>
      <c r="J857" s="85"/>
      <c r="K857" s="88"/>
      <c r="L857" s="88"/>
      <c r="M857" s="85"/>
      <c r="N857" s="85"/>
      <c r="O857" s="73"/>
    </row>
    <row r="858" customFormat="false" ht="15" hidden="false" customHeight="false" outlineLevel="0" collapsed="false">
      <c r="A858" s="87"/>
      <c r="B858" s="73"/>
      <c r="C858" s="74" t="str">
        <f aca="false">IF(B858="","",IFERROR(INDEX(الموظفون!$C$6:$C$105,MATCH(B858,الموظفون!$B$6:$B$105,0)),"✖ رقم غير موجود"))</f>
        <v/>
      </c>
      <c r="D858" s="88"/>
      <c r="E858" s="88"/>
      <c r="F858" s="88"/>
      <c r="G858" s="85"/>
      <c r="H858" s="85"/>
      <c r="I858" s="85"/>
      <c r="J858" s="85"/>
      <c r="K858" s="88"/>
      <c r="L858" s="88"/>
      <c r="M858" s="85"/>
      <c r="N858" s="85"/>
      <c r="O858" s="73"/>
    </row>
    <row r="859" customFormat="false" ht="15" hidden="false" customHeight="false" outlineLevel="0" collapsed="false">
      <c r="A859" s="87"/>
      <c r="B859" s="73"/>
      <c r="C859" s="91" t="str">
        <f aca="false">IF(B859="","",IFERROR(INDEX(الموظفون!$C$6:$C$105,MATCH(B859,الموظفون!$B$6:$B$105,0)),"✖ رقم غير موجود"))</f>
        <v/>
      </c>
      <c r="D859" s="88"/>
      <c r="E859" s="88"/>
      <c r="F859" s="88"/>
      <c r="G859" s="85"/>
      <c r="H859" s="85"/>
      <c r="I859" s="85"/>
      <c r="J859" s="85"/>
      <c r="K859" s="88"/>
      <c r="L859" s="88"/>
      <c r="M859" s="85"/>
      <c r="N859" s="85"/>
      <c r="O859" s="73"/>
    </row>
    <row r="860" customFormat="false" ht="15" hidden="false" customHeight="false" outlineLevel="0" collapsed="false">
      <c r="A860" s="87"/>
      <c r="B860" s="73"/>
      <c r="C860" s="74" t="str">
        <f aca="false">IF(B860="","",IFERROR(INDEX(الموظفون!$C$6:$C$105,MATCH(B860,الموظفون!$B$6:$B$105,0)),"✖ رقم غير موجود"))</f>
        <v/>
      </c>
      <c r="D860" s="88"/>
      <c r="E860" s="88"/>
      <c r="F860" s="88"/>
      <c r="G860" s="85"/>
      <c r="H860" s="85"/>
      <c r="I860" s="85"/>
      <c r="J860" s="85"/>
      <c r="K860" s="88"/>
      <c r="L860" s="88"/>
      <c r="M860" s="85"/>
      <c r="N860" s="85"/>
      <c r="O860" s="73"/>
    </row>
    <row r="861" customFormat="false" ht="15" hidden="false" customHeight="false" outlineLevel="0" collapsed="false">
      <c r="A861" s="87"/>
      <c r="B861" s="73"/>
      <c r="C861" s="91" t="str">
        <f aca="false">IF(B861="","",IFERROR(INDEX(الموظفون!$C$6:$C$105,MATCH(B861,الموظفون!$B$6:$B$105,0)),"✖ رقم غير موجود"))</f>
        <v/>
      </c>
      <c r="D861" s="88"/>
      <c r="E861" s="88"/>
      <c r="F861" s="88"/>
      <c r="G861" s="85"/>
      <c r="H861" s="85"/>
      <c r="I861" s="85"/>
      <c r="J861" s="85"/>
      <c r="K861" s="88"/>
      <c r="L861" s="88"/>
      <c r="M861" s="85"/>
      <c r="N861" s="85"/>
      <c r="O861" s="73"/>
    </row>
    <row r="862" customFormat="false" ht="15" hidden="false" customHeight="false" outlineLevel="0" collapsed="false">
      <c r="A862" s="87"/>
      <c r="B862" s="73"/>
      <c r="C862" s="74" t="str">
        <f aca="false">IF(B862="","",IFERROR(INDEX(الموظفون!$C$6:$C$105,MATCH(B862,الموظفون!$B$6:$B$105,0)),"✖ رقم غير موجود"))</f>
        <v/>
      </c>
      <c r="D862" s="88"/>
      <c r="E862" s="88"/>
      <c r="F862" s="88"/>
      <c r="G862" s="85"/>
      <c r="H862" s="85"/>
      <c r="I862" s="85"/>
      <c r="J862" s="85"/>
      <c r="K862" s="88"/>
      <c r="L862" s="88"/>
      <c r="M862" s="85"/>
      <c r="N862" s="85"/>
      <c r="O862" s="73"/>
    </row>
    <row r="863" customFormat="false" ht="15" hidden="false" customHeight="false" outlineLevel="0" collapsed="false">
      <c r="A863" s="87"/>
      <c r="B863" s="73"/>
      <c r="C863" s="91" t="str">
        <f aca="false">IF(B863="","",IFERROR(INDEX(الموظفون!$C$6:$C$105,MATCH(B863,الموظفون!$B$6:$B$105,0)),"✖ رقم غير موجود"))</f>
        <v/>
      </c>
      <c r="D863" s="88"/>
      <c r="E863" s="88"/>
      <c r="F863" s="88"/>
      <c r="G863" s="85"/>
      <c r="H863" s="85"/>
      <c r="I863" s="85"/>
      <c r="J863" s="85"/>
      <c r="K863" s="88"/>
      <c r="L863" s="88"/>
      <c r="M863" s="85"/>
      <c r="N863" s="85"/>
      <c r="O863" s="73"/>
    </row>
    <row r="864" customFormat="false" ht="15" hidden="false" customHeight="false" outlineLevel="0" collapsed="false">
      <c r="A864" s="87"/>
      <c r="B864" s="73"/>
      <c r="C864" s="74" t="str">
        <f aca="false">IF(B864="","",IFERROR(INDEX(الموظفون!$C$6:$C$105,MATCH(B864,الموظفون!$B$6:$B$105,0)),"✖ رقم غير موجود"))</f>
        <v/>
      </c>
      <c r="D864" s="88"/>
      <c r="E864" s="88"/>
      <c r="F864" s="88"/>
      <c r="G864" s="85"/>
      <c r="H864" s="85"/>
      <c r="I864" s="85"/>
      <c r="J864" s="85"/>
      <c r="K864" s="88"/>
      <c r="L864" s="88"/>
      <c r="M864" s="85"/>
      <c r="N864" s="85"/>
      <c r="O864" s="73"/>
    </row>
    <row r="865" customFormat="false" ht="15" hidden="false" customHeight="false" outlineLevel="0" collapsed="false">
      <c r="A865" s="87"/>
      <c r="B865" s="73"/>
      <c r="C865" s="91" t="str">
        <f aca="false">IF(B865="","",IFERROR(INDEX(الموظفون!$C$6:$C$105,MATCH(B865,الموظفون!$B$6:$B$105,0)),"✖ رقم غير موجود"))</f>
        <v/>
      </c>
      <c r="D865" s="88"/>
      <c r="E865" s="88"/>
      <c r="F865" s="88"/>
      <c r="G865" s="85"/>
      <c r="H865" s="85"/>
      <c r="I865" s="85"/>
      <c r="J865" s="85"/>
      <c r="K865" s="88"/>
      <c r="L865" s="88"/>
      <c r="M865" s="85"/>
      <c r="N865" s="85"/>
      <c r="O865" s="73"/>
    </row>
    <row r="866" customFormat="false" ht="15" hidden="false" customHeight="false" outlineLevel="0" collapsed="false">
      <c r="A866" s="87"/>
      <c r="B866" s="73"/>
      <c r="C866" s="74" t="str">
        <f aca="false">IF(B866="","",IFERROR(INDEX(الموظفون!$C$6:$C$105,MATCH(B866,الموظفون!$B$6:$B$105,0)),"✖ رقم غير موجود"))</f>
        <v/>
      </c>
      <c r="D866" s="88"/>
      <c r="E866" s="88"/>
      <c r="F866" s="88"/>
      <c r="G866" s="85"/>
      <c r="H866" s="85"/>
      <c r="I866" s="85"/>
      <c r="J866" s="85"/>
      <c r="K866" s="88"/>
      <c r="L866" s="88"/>
      <c r="M866" s="85"/>
      <c r="N866" s="85"/>
      <c r="O866" s="73"/>
    </row>
    <row r="867" customFormat="false" ht="15" hidden="false" customHeight="false" outlineLevel="0" collapsed="false">
      <c r="A867" s="87"/>
      <c r="B867" s="73"/>
      <c r="C867" s="91" t="str">
        <f aca="false">IF(B867="","",IFERROR(INDEX(الموظفون!$C$6:$C$105,MATCH(B867,الموظفون!$B$6:$B$105,0)),"✖ رقم غير موجود"))</f>
        <v/>
      </c>
      <c r="D867" s="88"/>
      <c r="E867" s="88"/>
      <c r="F867" s="88"/>
      <c r="G867" s="85"/>
      <c r="H867" s="85"/>
      <c r="I867" s="85"/>
      <c r="J867" s="85"/>
      <c r="K867" s="88"/>
      <c r="L867" s="88"/>
      <c r="M867" s="85"/>
      <c r="N867" s="85"/>
      <c r="O867" s="73"/>
    </row>
    <row r="868" customFormat="false" ht="15" hidden="false" customHeight="false" outlineLevel="0" collapsed="false">
      <c r="A868" s="87"/>
      <c r="B868" s="73"/>
      <c r="C868" s="74" t="str">
        <f aca="false">IF(B868="","",IFERROR(INDEX(الموظفون!$C$6:$C$105,MATCH(B868,الموظفون!$B$6:$B$105,0)),"✖ رقم غير موجود"))</f>
        <v/>
      </c>
      <c r="D868" s="88"/>
      <c r="E868" s="88"/>
      <c r="F868" s="88"/>
      <c r="G868" s="85"/>
      <c r="H868" s="85"/>
      <c r="I868" s="85"/>
      <c r="J868" s="85"/>
      <c r="K868" s="88"/>
      <c r="L868" s="88"/>
      <c r="M868" s="85"/>
      <c r="N868" s="85"/>
      <c r="O868" s="73"/>
    </row>
    <row r="869" customFormat="false" ht="15" hidden="false" customHeight="false" outlineLevel="0" collapsed="false">
      <c r="A869" s="87"/>
      <c r="B869" s="73"/>
      <c r="C869" s="91" t="str">
        <f aca="false">IF(B869="","",IFERROR(INDEX(الموظفون!$C$6:$C$105,MATCH(B869,الموظفون!$B$6:$B$105,0)),"✖ رقم غير موجود"))</f>
        <v/>
      </c>
      <c r="D869" s="88"/>
      <c r="E869" s="88"/>
      <c r="F869" s="88"/>
      <c r="G869" s="85"/>
      <c r="H869" s="85"/>
      <c r="I869" s="85"/>
      <c r="J869" s="85"/>
      <c r="K869" s="88"/>
      <c r="L869" s="88"/>
      <c r="M869" s="85"/>
      <c r="N869" s="85"/>
      <c r="O869" s="73"/>
    </row>
    <row r="870" customFormat="false" ht="15" hidden="false" customHeight="false" outlineLevel="0" collapsed="false">
      <c r="A870" s="87"/>
      <c r="B870" s="73"/>
      <c r="C870" s="74" t="str">
        <f aca="false">IF(B870="","",IFERROR(INDEX(الموظفون!$C$6:$C$105,MATCH(B870,الموظفون!$B$6:$B$105,0)),"✖ رقم غير موجود"))</f>
        <v/>
      </c>
      <c r="D870" s="88"/>
      <c r="E870" s="88"/>
      <c r="F870" s="88"/>
      <c r="G870" s="85"/>
      <c r="H870" s="85"/>
      <c r="I870" s="85"/>
      <c r="J870" s="85"/>
      <c r="K870" s="88"/>
      <c r="L870" s="88"/>
      <c r="M870" s="85"/>
      <c r="N870" s="85"/>
      <c r="O870" s="73"/>
    </row>
    <row r="871" customFormat="false" ht="15" hidden="false" customHeight="false" outlineLevel="0" collapsed="false">
      <c r="A871" s="87"/>
      <c r="B871" s="73"/>
      <c r="C871" s="91" t="str">
        <f aca="false">IF(B871="","",IFERROR(INDEX(الموظفون!$C$6:$C$105,MATCH(B871,الموظفون!$B$6:$B$105,0)),"✖ رقم غير موجود"))</f>
        <v/>
      </c>
      <c r="D871" s="88"/>
      <c r="E871" s="88"/>
      <c r="F871" s="88"/>
      <c r="G871" s="85"/>
      <c r="H871" s="85"/>
      <c r="I871" s="85"/>
      <c r="J871" s="85"/>
      <c r="K871" s="88"/>
      <c r="L871" s="88"/>
      <c r="M871" s="85"/>
      <c r="N871" s="85"/>
      <c r="O871" s="73"/>
    </row>
    <row r="872" customFormat="false" ht="15" hidden="false" customHeight="false" outlineLevel="0" collapsed="false">
      <c r="A872" s="87"/>
      <c r="B872" s="73"/>
      <c r="C872" s="74" t="str">
        <f aca="false">IF(B872="","",IFERROR(INDEX(الموظفون!$C$6:$C$105,MATCH(B872,الموظفون!$B$6:$B$105,0)),"✖ رقم غير موجود"))</f>
        <v/>
      </c>
      <c r="D872" s="88"/>
      <c r="E872" s="88"/>
      <c r="F872" s="88"/>
      <c r="G872" s="85"/>
      <c r="H872" s="85"/>
      <c r="I872" s="85"/>
      <c r="J872" s="85"/>
      <c r="K872" s="88"/>
      <c r="L872" s="88"/>
      <c r="M872" s="85"/>
      <c r="N872" s="85"/>
      <c r="O872" s="73"/>
    </row>
    <row r="873" customFormat="false" ht="15" hidden="false" customHeight="false" outlineLevel="0" collapsed="false">
      <c r="A873" s="87"/>
      <c r="B873" s="73"/>
      <c r="C873" s="91" t="str">
        <f aca="false">IF(B873="","",IFERROR(INDEX(الموظفون!$C$6:$C$105,MATCH(B873,الموظفون!$B$6:$B$105,0)),"✖ رقم غير موجود"))</f>
        <v/>
      </c>
      <c r="D873" s="88"/>
      <c r="E873" s="88"/>
      <c r="F873" s="88"/>
      <c r="G873" s="85"/>
      <c r="H873" s="85"/>
      <c r="I873" s="85"/>
      <c r="J873" s="85"/>
      <c r="K873" s="88"/>
      <c r="L873" s="88"/>
      <c r="M873" s="85"/>
      <c r="N873" s="85"/>
      <c r="O873" s="73"/>
    </row>
    <row r="874" customFormat="false" ht="15" hidden="false" customHeight="false" outlineLevel="0" collapsed="false">
      <c r="A874" s="87"/>
      <c r="B874" s="73"/>
      <c r="C874" s="74" t="str">
        <f aca="false">IF(B874="","",IFERROR(INDEX(الموظفون!$C$6:$C$105,MATCH(B874,الموظفون!$B$6:$B$105,0)),"✖ رقم غير موجود"))</f>
        <v/>
      </c>
      <c r="D874" s="88"/>
      <c r="E874" s="88"/>
      <c r="F874" s="88"/>
      <c r="G874" s="85"/>
      <c r="H874" s="85"/>
      <c r="I874" s="85"/>
      <c r="J874" s="85"/>
      <c r="K874" s="88"/>
      <c r="L874" s="88"/>
      <c r="M874" s="85"/>
      <c r="N874" s="85"/>
      <c r="O874" s="73"/>
    </row>
    <row r="875" customFormat="false" ht="15" hidden="false" customHeight="false" outlineLevel="0" collapsed="false">
      <c r="A875" s="87"/>
      <c r="B875" s="73"/>
      <c r="C875" s="91" t="str">
        <f aca="false">IF(B875="","",IFERROR(INDEX(الموظفون!$C$6:$C$105,MATCH(B875,الموظفون!$B$6:$B$105,0)),"✖ رقم غير موجود"))</f>
        <v/>
      </c>
      <c r="D875" s="88"/>
      <c r="E875" s="88"/>
      <c r="F875" s="88"/>
      <c r="G875" s="85"/>
      <c r="H875" s="85"/>
      <c r="I875" s="85"/>
      <c r="J875" s="85"/>
      <c r="K875" s="88"/>
      <c r="L875" s="88"/>
      <c r="M875" s="85"/>
      <c r="N875" s="85"/>
      <c r="O875" s="73"/>
    </row>
    <row r="876" customFormat="false" ht="15" hidden="false" customHeight="false" outlineLevel="0" collapsed="false">
      <c r="A876" s="87"/>
      <c r="B876" s="73"/>
      <c r="C876" s="74" t="str">
        <f aca="false">IF(B876="","",IFERROR(INDEX(الموظفون!$C$6:$C$105,MATCH(B876,الموظفون!$B$6:$B$105,0)),"✖ رقم غير موجود"))</f>
        <v/>
      </c>
      <c r="D876" s="88"/>
      <c r="E876" s="88"/>
      <c r="F876" s="88"/>
      <c r="G876" s="85"/>
      <c r="H876" s="85"/>
      <c r="I876" s="85"/>
      <c r="J876" s="85"/>
      <c r="K876" s="88"/>
      <c r="L876" s="88"/>
      <c r="M876" s="85"/>
      <c r="N876" s="85"/>
      <c r="O876" s="73"/>
    </row>
    <row r="877" customFormat="false" ht="15" hidden="false" customHeight="false" outlineLevel="0" collapsed="false">
      <c r="A877" s="87"/>
      <c r="B877" s="73"/>
      <c r="C877" s="91" t="str">
        <f aca="false">IF(B877="","",IFERROR(INDEX(الموظفون!$C$6:$C$105,MATCH(B877,الموظفون!$B$6:$B$105,0)),"✖ رقم غير موجود"))</f>
        <v/>
      </c>
      <c r="D877" s="88"/>
      <c r="E877" s="88"/>
      <c r="F877" s="88"/>
      <c r="G877" s="85"/>
      <c r="H877" s="85"/>
      <c r="I877" s="85"/>
      <c r="J877" s="85"/>
      <c r="K877" s="88"/>
      <c r="L877" s="88"/>
      <c r="M877" s="85"/>
      <c r="N877" s="85"/>
      <c r="O877" s="73"/>
    </row>
    <row r="878" customFormat="false" ht="15" hidden="false" customHeight="false" outlineLevel="0" collapsed="false">
      <c r="A878" s="87"/>
      <c r="B878" s="73"/>
      <c r="C878" s="74" t="str">
        <f aca="false">IF(B878="","",IFERROR(INDEX(الموظفون!$C$6:$C$105,MATCH(B878,الموظفون!$B$6:$B$105,0)),"✖ رقم غير موجود"))</f>
        <v/>
      </c>
      <c r="D878" s="88"/>
      <c r="E878" s="88"/>
      <c r="F878" s="88"/>
      <c r="G878" s="85"/>
      <c r="H878" s="85"/>
      <c r="I878" s="85"/>
      <c r="J878" s="85"/>
      <c r="K878" s="88"/>
      <c r="L878" s="88"/>
      <c r="M878" s="85"/>
      <c r="N878" s="85"/>
      <c r="O878" s="73"/>
    </row>
    <row r="879" customFormat="false" ht="15" hidden="false" customHeight="false" outlineLevel="0" collapsed="false">
      <c r="A879" s="87"/>
      <c r="B879" s="73"/>
      <c r="C879" s="91" t="str">
        <f aca="false">IF(B879="","",IFERROR(INDEX(الموظفون!$C$6:$C$105,MATCH(B879,الموظفون!$B$6:$B$105,0)),"✖ رقم غير موجود"))</f>
        <v/>
      </c>
      <c r="D879" s="88"/>
      <c r="E879" s="88"/>
      <c r="F879" s="88"/>
      <c r="G879" s="85"/>
      <c r="H879" s="85"/>
      <c r="I879" s="85"/>
      <c r="J879" s="85"/>
      <c r="K879" s="88"/>
      <c r="L879" s="88"/>
      <c r="M879" s="85"/>
      <c r="N879" s="85"/>
      <c r="O879" s="73"/>
    </row>
    <row r="880" customFormat="false" ht="15" hidden="false" customHeight="false" outlineLevel="0" collapsed="false">
      <c r="A880" s="87"/>
      <c r="B880" s="73"/>
      <c r="C880" s="74" t="str">
        <f aca="false">IF(B880="","",IFERROR(INDEX(الموظفون!$C$6:$C$105,MATCH(B880,الموظفون!$B$6:$B$105,0)),"✖ رقم غير موجود"))</f>
        <v/>
      </c>
      <c r="D880" s="88"/>
      <c r="E880" s="88"/>
      <c r="F880" s="88"/>
      <c r="G880" s="85"/>
      <c r="H880" s="85"/>
      <c r="I880" s="85"/>
      <c r="J880" s="85"/>
      <c r="K880" s="88"/>
      <c r="L880" s="88"/>
      <c r="M880" s="85"/>
      <c r="N880" s="85"/>
      <c r="O880" s="73"/>
    </row>
    <row r="881" customFormat="false" ht="15" hidden="false" customHeight="false" outlineLevel="0" collapsed="false">
      <c r="A881" s="87"/>
      <c r="B881" s="73"/>
      <c r="C881" s="91" t="str">
        <f aca="false">IF(B881="","",IFERROR(INDEX(الموظفون!$C$6:$C$105,MATCH(B881,الموظفون!$B$6:$B$105,0)),"✖ رقم غير موجود"))</f>
        <v/>
      </c>
      <c r="D881" s="88"/>
      <c r="E881" s="88"/>
      <c r="F881" s="88"/>
      <c r="G881" s="85"/>
      <c r="H881" s="85"/>
      <c r="I881" s="85"/>
      <c r="J881" s="85"/>
      <c r="K881" s="88"/>
      <c r="L881" s="88"/>
      <c r="M881" s="85"/>
      <c r="N881" s="85"/>
      <c r="O881" s="73"/>
    </row>
    <row r="882" customFormat="false" ht="15" hidden="false" customHeight="false" outlineLevel="0" collapsed="false">
      <c r="A882" s="87"/>
      <c r="B882" s="73"/>
      <c r="C882" s="74" t="str">
        <f aca="false">IF(B882="","",IFERROR(INDEX(الموظفون!$C$6:$C$105,MATCH(B882,الموظفون!$B$6:$B$105,0)),"✖ رقم غير موجود"))</f>
        <v/>
      </c>
      <c r="D882" s="88"/>
      <c r="E882" s="88"/>
      <c r="F882" s="88"/>
      <c r="G882" s="85"/>
      <c r="H882" s="85"/>
      <c r="I882" s="85"/>
      <c r="J882" s="85"/>
      <c r="K882" s="88"/>
      <c r="L882" s="88"/>
      <c r="M882" s="85"/>
      <c r="N882" s="85"/>
      <c r="O882" s="73"/>
    </row>
    <row r="883" customFormat="false" ht="15" hidden="false" customHeight="false" outlineLevel="0" collapsed="false">
      <c r="A883" s="87"/>
      <c r="B883" s="73"/>
      <c r="C883" s="91" t="str">
        <f aca="false">IF(B883="","",IFERROR(INDEX(الموظفون!$C$6:$C$105,MATCH(B883,الموظفون!$B$6:$B$105,0)),"✖ رقم غير موجود"))</f>
        <v/>
      </c>
      <c r="D883" s="88"/>
      <c r="E883" s="88"/>
      <c r="F883" s="88"/>
      <c r="G883" s="85"/>
      <c r="H883" s="85"/>
      <c r="I883" s="85"/>
      <c r="J883" s="85"/>
      <c r="K883" s="88"/>
      <c r="L883" s="88"/>
      <c r="M883" s="85"/>
      <c r="N883" s="85"/>
      <c r="O883" s="73"/>
    </row>
    <row r="884" customFormat="false" ht="15" hidden="false" customHeight="false" outlineLevel="0" collapsed="false">
      <c r="A884" s="87"/>
      <c r="B884" s="73"/>
      <c r="C884" s="74" t="str">
        <f aca="false">IF(B884="","",IFERROR(INDEX(الموظفون!$C$6:$C$105,MATCH(B884,الموظفون!$B$6:$B$105,0)),"✖ رقم غير موجود"))</f>
        <v/>
      </c>
      <c r="D884" s="88"/>
      <c r="E884" s="88"/>
      <c r="F884" s="88"/>
      <c r="G884" s="85"/>
      <c r="H884" s="85"/>
      <c r="I884" s="85"/>
      <c r="J884" s="85"/>
      <c r="K884" s="88"/>
      <c r="L884" s="88"/>
      <c r="M884" s="85"/>
      <c r="N884" s="85"/>
      <c r="O884" s="73"/>
    </row>
    <row r="885" customFormat="false" ht="15" hidden="false" customHeight="false" outlineLevel="0" collapsed="false">
      <c r="A885" s="87"/>
      <c r="B885" s="73"/>
      <c r="C885" s="91" t="str">
        <f aca="false">IF(B885="","",IFERROR(INDEX(الموظفون!$C$6:$C$105,MATCH(B885,الموظفون!$B$6:$B$105,0)),"✖ رقم غير موجود"))</f>
        <v/>
      </c>
      <c r="D885" s="88"/>
      <c r="E885" s="88"/>
      <c r="F885" s="88"/>
      <c r="G885" s="85"/>
      <c r="H885" s="85"/>
      <c r="I885" s="85"/>
      <c r="J885" s="85"/>
      <c r="K885" s="88"/>
      <c r="L885" s="88"/>
      <c r="M885" s="85"/>
      <c r="N885" s="85"/>
      <c r="O885" s="73"/>
    </row>
    <row r="886" customFormat="false" ht="15" hidden="false" customHeight="false" outlineLevel="0" collapsed="false">
      <c r="A886" s="87"/>
      <c r="B886" s="73"/>
      <c r="C886" s="74" t="str">
        <f aca="false">IF(B886="","",IFERROR(INDEX(الموظفون!$C$6:$C$105,MATCH(B886,الموظفون!$B$6:$B$105,0)),"✖ رقم غير موجود"))</f>
        <v/>
      </c>
      <c r="D886" s="88"/>
      <c r="E886" s="88"/>
      <c r="F886" s="88"/>
      <c r="G886" s="85"/>
      <c r="H886" s="85"/>
      <c r="I886" s="85"/>
      <c r="J886" s="85"/>
      <c r="K886" s="88"/>
      <c r="L886" s="88"/>
      <c r="M886" s="85"/>
      <c r="N886" s="85"/>
      <c r="O886" s="73"/>
    </row>
    <row r="887" customFormat="false" ht="15" hidden="false" customHeight="false" outlineLevel="0" collapsed="false">
      <c r="A887" s="87"/>
      <c r="B887" s="73"/>
      <c r="C887" s="91" t="str">
        <f aca="false">IF(B887="","",IFERROR(INDEX(الموظفون!$C$6:$C$105,MATCH(B887,الموظفون!$B$6:$B$105,0)),"✖ رقم غير موجود"))</f>
        <v/>
      </c>
      <c r="D887" s="88"/>
      <c r="E887" s="88"/>
      <c r="F887" s="88"/>
      <c r="G887" s="85"/>
      <c r="H887" s="85"/>
      <c r="I887" s="85"/>
      <c r="J887" s="85"/>
      <c r="K887" s="88"/>
      <c r="L887" s="88"/>
      <c r="M887" s="85"/>
      <c r="N887" s="85"/>
      <c r="O887" s="73"/>
    </row>
    <row r="888" customFormat="false" ht="15" hidden="false" customHeight="false" outlineLevel="0" collapsed="false">
      <c r="A888" s="87"/>
      <c r="B888" s="73"/>
      <c r="C888" s="74" t="str">
        <f aca="false">IF(B888="","",IFERROR(INDEX(الموظفون!$C$6:$C$105,MATCH(B888,الموظفون!$B$6:$B$105,0)),"✖ رقم غير موجود"))</f>
        <v/>
      </c>
      <c r="D888" s="88"/>
      <c r="E888" s="88"/>
      <c r="F888" s="88"/>
      <c r="G888" s="85"/>
      <c r="H888" s="85"/>
      <c r="I888" s="85"/>
      <c r="J888" s="85"/>
      <c r="K888" s="88"/>
      <c r="L888" s="88"/>
      <c r="M888" s="85"/>
      <c r="N888" s="85"/>
      <c r="O888" s="73"/>
    </row>
    <row r="889" customFormat="false" ht="15" hidden="false" customHeight="false" outlineLevel="0" collapsed="false">
      <c r="A889" s="87"/>
      <c r="B889" s="73"/>
      <c r="C889" s="91" t="str">
        <f aca="false">IF(B889="","",IFERROR(INDEX(الموظفون!$C$6:$C$105,MATCH(B889,الموظفون!$B$6:$B$105,0)),"✖ رقم غير موجود"))</f>
        <v/>
      </c>
      <c r="D889" s="88"/>
      <c r="E889" s="88"/>
      <c r="F889" s="88"/>
      <c r="G889" s="85"/>
      <c r="H889" s="85"/>
      <c r="I889" s="85"/>
      <c r="J889" s="85"/>
      <c r="K889" s="88"/>
      <c r="L889" s="88"/>
      <c r="M889" s="85"/>
      <c r="N889" s="85"/>
      <c r="O889" s="73"/>
    </row>
    <row r="890" customFormat="false" ht="15" hidden="false" customHeight="false" outlineLevel="0" collapsed="false">
      <c r="A890" s="87"/>
      <c r="B890" s="73"/>
      <c r="C890" s="74" t="str">
        <f aca="false">IF(B890="","",IFERROR(INDEX(الموظفون!$C$6:$C$105,MATCH(B890,الموظفون!$B$6:$B$105,0)),"✖ رقم غير موجود"))</f>
        <v/>
      </c>
      <c r="D890" s="88"/>
      <c r="E890" s="88"/>
      <c r="F890" s="88"/>
      <c r="G890" s="85"/>
      <c r="H890" s="85"/>
      <c r="I890" s="85"/>
      <c r="J890" s="85"/>
      <c r="K890" s="88"/>
      <c r="L890" s="88"/>
      <c r="M890" s="85"/>
      <c r="N890" s="85"/>
      <c r="O890" s="73"/>
    </row>
    <row r="891" customFormat="false" ht="15" hidden="false" customHeight="false" outlineLevel="0" collapsed="false">
      <c r="A891" s="87"/>
      <c r="B891" s="73"/>
      <c r="C891" s="91" t="str">
        <f aca="false">IF(B891="","",IFERROR(INDEX(الموظفون!$C$6:$C$105,MATCH(B891,الموظفون!$B$6:$B$105,0)),"✖ رقم غير موجود"))</f>
        <v/>
      </c>
      <c r="D891" s="88"/>
      <c r="E891" s="88"/>
      <c r="F891" s="88"/>
      <c r="G891" s="85"/>
      <c r="H891" s="85"/>
      <c r="I891" s="85"/>
      <c r="J891" s="85"/>
      <c r="K891" s="88"/>
      <c r="L891" s="88"/>
      <c r="M891" s="85"/>
      <c r="N891" s="85"/>
      <c r="O891" s="73"/>
    </row>
    <row r="892" customFormat="false" ht="15" hidden="false" customHeight="false" outlineLevel="0" collapsed="false">
      <c r="A892" s="87"/>
      <c r="B892" s="73"/>
      <c r="C892" s="74" t="str">
        <f aca="false">IF(B892="","",IFERROR(INDEX(الموظفون!$C$6:$C$105,MATCH(B892,الموظفون!$B$6:$B$105,0)),"✖ رقم غير موجود"))</f>
        <v/>
      </c>
      <c r="D892" s="88"/>
      <c r="E892" s="88"/>
      <c r="F892" s="88"/>
      <c r="G892" s="85"/>
      <c r="H892" s="85"/>
      <c r="I892" s="85"/>
      <c r="J892" s="85"/>
      <c r="K892" s="88"/>
      <c r="L892" s="88"/>
      <c r="M892" s="85"/>
      <c r="N892" s="85"/>
      <c r="O892" s="73"/>
    </row>
    <row r="893" customFormat="false" ht="15" hidden="false" customHeight="false" outlineLevel="0" collapsed="false">
      <c r="A893" s="87"/>
      <c r="B893" s="73"/>
      <c r="C893" s="91" t="str">
        <f aca="false">IF(B893="","",IFERROR(INDEX(الموظفون!$C$6:$C$105,MATCH(B893,الموظفون!$B$6:$B$105,0)),"✖ رقم غير موجود"))</f>
        <v/>
      </c>
      <c r="D893" s="88"/>
      <c r="E893" s="88"/>
      <c r="F893" s="88"/>
      <c r="G893" s="85"/>
      <c r="H893" s="85"/>
      <c r="I893" s="85"/>
      <c r="J893" s="85"/>
      <c r="K893" s="88"/>
      <c r="L893" s="88"/>
      <c r="M893" s="85"/>
      <c r="N893" s="85"/>
      <c r="O893" s="73"/>
    </row>
    <row r="894" customFormat="false" ht="15" hidden="false" customHeight="false" outlineLevel="0" collapsed="false">
      <c r="A894" s="87"/>
      <c r="B894" s="73"/>
      <c r="C894" s="74" t="str">
        <f aca="false">IF(B894="","",IFERROR(INDEX(الموظفون!$C$6:$C$105,MATCH(B894,الموظفون!$B$6:$B$105,0)),"✖ رقم غير موجود"))</f>
        <v/>
      </c>
      <c r="D894" s="88"/>
      <c r="E894" s="88"/>
      <c r="F894" s="88"/>
      <c r="G894" s="85"/>
      <c r="H894" s="85"/>
      <c r="I894" s="85"/>
      <c r="J894" s="85"/>
      <c r="K894" s="88"/>
      <c r="L894" s="88"/>
      <c r="M894" s="85"/>
      <c r="N894" s="85"/>
      <c r="O894" s="73"/>
    </row>
    <row r="895" customFormat="false" ht="15" hidden="false" customHeight="false" outlineLevel="0" collapsed="false">
      <c r="A895" s="87"/>
      <c r="B895" s="73"/>
      <c r="C895" s="91" t="str">
        <f aca="false">IF(B895="","",IFERROR(INDEX(الموظفون!$C$6:$C$105,MATCH(B895,الموظفون!$B$6:$B$105,0)),"✖ رقم غير موجود"))</f>
        <v/>
      </c>
      <c r="D895" s="88"/>
      <c r="E895" s="88"/>
      <c r="F895" s="88"/>
      <c r="G895" s="85"/>
      <c r="H895" s="85"/>
      <c r="I895" s="85"/>
      <c r="J895" s="85"/>
      <c r="K895" s="88"/>
      <c r="L895" s="88"/>
      <c r="M895" s="85"/>
      <c r="N895" s="85"/>
      <c r="O895" s="73"/>
    </row>
    <row r="896" customFormat="false" ht="15" hidden="false" customHeight="false" outlineLevel="0" collapsed="false">
      <c r="A896" s="87"/>
      <c r="B896" s="73"/>
      <c r="C896" s="74" t="str">
        <f aca="false">IF(B896="","",IFERROR(INDEX(الموظفون!$C$6:$C$105,MATCH(B896,الموظفون!$B$6:$B$105,0)),"✖ رقم غير موجود"))</f>
        <v/>
      </c>
      <c r="D896" s="88"/>
      <c r="E896" s="88"/>
      <c r="F896" s="88"/>
      <c r="G896" s="85"/>
      <c r="H896" s="85"/>
      <c r="I896" s="85"/>
      <c r="J896" s="85"/>
      <c r="K896" s="88"/>
      <c r="L896" s="88"/>
      <c r="M896" s="85"/>
      <c r="N896" s="85"/>
      <c r="O896" s="73"/>
    </row>
    <row r="897" customFormat="false" ht="15" hidden="false" customHeight="false" outlineLevel="0" collapsed="false">
      <c r="A897" s="87"/>
      <c r="B897" s="73"/>
      <c r="C897" s="91" t="str">
        <f aca="false">IF(B897="","",IFERROR(INDEX(الموظفون!$C$6:$C$105,MATCH(B897,الموظفون!$B$6:$B$105,0)),"✖ رقم غير موجود"))</f>
        <v/>
      </c>
      <c r="D897" s="88"/>
      <c r="E897" s="88"/>
      <c r="F897" s="88"/>
      <c r="G897" s="85"/>
      <c r="H897" s="85"/>
      <c r="I897" s="85"/>
      <c r="J897" s="85"/>
      <c r="K897" s="88"/>
      <c r="L897" s="88"/>
      <c r="M897" s="85"/>
      <c r="N897" s="85"/>
      <c r="O897" s="73"/>
    </row>
    <row r="898" customFormat="false" ht="15" hidden="false" customHeight="false" outlineLevel="0" collapsed="false">
      <c r="A898" s="87"/>
      <c r="B898" s="73"/>
      <c r="C898" s="74" t="str">
        <f aca="false">IF(B898="","",IFERROR(INDEX(الموظفون!$C$6:$C$105,MATCH(B898,الموظفون!$B$6:$B$105,0)),"✖ رقم غير موجود"))</f>
        <v/>
      </c>
      <c r="D898" s="88"/>
      <c r="E898" s="88"/>
      <c r="F898" s="88"/>
      <c r="G898" s="85"/>
      <c r="H898" s="85"/>
      <c r="I898" s="85"/>
      <c r="J898" s="85"/>
      <c r="K898" s="88"/>
      <c r="L898" s="88"/>
      <c r="M898" s="85"/>
      <c r="N898" s="85"/>
      <c r="O898" s="73"/>
    </row>
    <row r="899" customFormat="false" ht="15" hidden="false" customHeight="false" outlineLevel="0" collapsed="false">
      <c r="A899" s="87"/>
      <c r="B899" s="73"/>
      <c r="C899" s="91" t="str">
        <f aca="false">IF(B899="","",IFERROR(INDEX(الموظفون!$C$6:$C$105,MATCH(B899,الموظفون!$B$6:$B$105,0)),"✖ رقم غير موجود"))</f>
        <v/>
      </c>
      <c r="D899" s="88"/>
      <c r="E899" s="88"/>
      <c r="F899" s="88"/>
      <c r="G899" s="85"/>
      <c r="H899" s="85"/>
      <c r="I899" s="85"/>
      <c r="J899" s="85"/>
      <c r="K899" s="88"/>
      <c r="L899" s="88"/>
      <c r="M899" s="85"/>
      <c r="N899" s="85"/>
      <c r="O899" s="73"/>
    </row>
    <row r="900" customFormat="false" ht="15" hidden="false" customHeight="false" outlineLevel="0" collapsed="false">
      <c r="A900" s="87"/>
      <c r="B900" s="73"/>
      <c r="C900" s="74" t="str">
        <f aca="false">IF(B900="","",IFERROR(INDEX(الموظفون!$C$6:$C$105,MATCH(B900,الموظفون!$B$6:$B$105,0)),"✖ رقم غير موجود"))</f>
        <v/>
      </c>
      <c r="D900" s="88"/>
      <c r="E900" s="88"/>
      <c r="F900" s="88"/>
      <c r="G900" s="85"/>
      <c r="H900" s="85"/>
      <c r="I900" s="85"/>
      <c r="J900" s="85"/>
      <c r="K900" s="88"/>
      <c r="L900" s="88"/>
      <c r="M900" s="85"/>
      <c r="N900" s="85"/>
      <c r="O900" s="73"/>
    </row>
    <row r="901" customFormat="false" ht="15" hidden="false" customHeight="false" outlineLevel="0" collapsed="false">
      <c r="A901" s="87"/>
      <c r="B901" s="73"/>
      <c r="C901" s="91" t="str">
        <f aca="false">IF(B901="","",IFERROR(INDEX(الموظفون!$C$6:$C$105,MATCH(B901,الموظفون!$B$6:$B$105,0)),"✖ رقم غير موجود"))</f>
        <v/>
      </c>
      <c r="D901" s="88"/>
      <c r="E901" s="88"/>
      <c r="F901" s="88"/>
      <c r="G901" s="85"/>
      <c r="H901" s="85"/>
      <c r="I901" s="85"/>
      <c r="J901" s="85"/>
      <c r="K901" s="88"/>
      <c r="L901" s="88"/>
      <c r="M901" s="85"/>
      <c r="N901" s="85"/>
      <c r="O901" s="73"/>
    </row>
    <row r="902" customFormat="false" ht="15" hidden="false" customHeight="false" outlineLevel="0" collapsed="false">
      <c r="A902" s="87"/>
      <c r="B902" s="73"/>
      <c r="C902" s="74" t="str">
        <f aca="false">IF(B902="","",IFERROR(INDEX(الموظفون!$C$6:$C$105,MATCH(B902,الموظفون!$B$6:$B$105,0)),"✖ رقم غير موجود"))</f>
        <v/>
      </c>
      <c r="D902" s="88"/>
      <c r="E902" s="88"/>
      <c r="F902" s="88"/>
      <c r="G902" s="85"/>
      <c r="H902" s="85"/>
      <c r="I902" s="85"/>
      <c r="J902" s="85"/>
      <c r="K902" s="88"/>
      <c r="L902" s="88"/>
      <c r="M902" s="85"/>
      <c r="N902" s="85"/>
      <c r="O902" s="73"/>
    </row>
    <row r="903" customFormat="false" ht="15" hidden="false" customHeight="false" outlineLevel="0" collapsed="false">
      <c r="A903" s="87"/>
      <c r="B903" s="73"/>
      <c r="C903" s="91" t="str">
        <f aca="false">IF(B903="","",IFERROR(INDEX(الموظفون!$C$6:$C$105,MATCH(B903,الموظفون!$B$6:$B$105,0)),"✖ رقم غير موجود"))</f>
        <v/>
      </c>
      <c r="D903" s="88"/>
      <c r="E903" s="88"/>
      <c r="F903" s="88"/>
      <c r="G903" s="85"/>
      <c r="H903" s="85"/>
      <c r="I903" s="85"/>
      <c r="J903" s="85"/>
      <c r="K903" s="88"/>
      <c r="L903" s="88"/>
      <c r="M903" s="85"/>
      <c r="N903" s="85"/>
      <c r="O903" s="73"/>
    </row>
    <row r="904" customFormat="false" ht="15" hidden="false" customHeight="false" outlineLevel="0" collapsed="false">
      <c r="A904" s="87"/>
      <c r="B904" s="73"/>
      <c r="C904" s="74" t="str">
        <f aca="false">IF(B904="","",IFERROR(INDEX(الموظفون!$C$6:$C$105,MATCH(B904,الموظفون!$B$6:$B$105,0)),"✖ رقم غير موجود"))</f>
        <v/>
      </c>
      <c r="D904" s="88"/>
      <c r="E904" s="88"/>
      <c r="F904" s="88"/>
      <c r="G904" s="85"/>
      <c r="H904" s="85"/>
      <c r="I904" s="85"/>
      <c r="J904" s="85"/>
      <c r="K904" s="88"/>
      <c r="L904" s="88"/>
      <c r="M904" s="85"/>
      <c r="N904" s="85"/>
      <c r="O904" s="73"/>
    </row>
    <row r="905" customFormat="false" ht="15" hidden="false" customHeight="false" outlineLevel="0" collapsed="false">
      <c r="A905" s="87"/>
      <c r="B905" s="73"/>
      <c r="C905" s="91" t="str">
        <f aca="false">IF(B905="","",IFERROR(INDEX(الموظفون!$C$6:$C$105,MATCH(B905,الموظفون!$B$6:$B$105,0)),"✖ رقم غير موجود"))</f>
        <v/>
      </c>
      <c r="D905" s="88"/>
      <c r="E905" s="88"/>
      <c r="F905" s="88"/>
      <c r="G905" s="85"/>
      <c r="H905" s="85"/>
      <c r="I905" s="85"/>
      <c r="J905" s="85"/>
      <c r="K905" s="88"/>
      <c r="L905" s="88"/>
      <c r="M905" s="85"/>
      <c r="N905" s="85"/>
      <c r="O905" s="73"/>
    </row>
    <row r="906" customFormat="false" ht="15" hidden="false" customHeight="false" outlineLevel="0" collapsed="false">
      <c r="A906" s="87"/>
      <c r="B906" s="73"/>
      <c r="C906" s="74" t="str">
        <f aca="false">IF(B906="","",IFERROR(INDEX(الموظفون!$C$6:$C$105,MATCH(B906,الموظفون!$B$6:$B$105,0)),"✖ رقم غير موجود"))</f>
        <v/>
      </c>
      <c r="D906" s="88"/>
      <c r="E906" s="88"/>
      <c r="F906" s="88"/>
      <c r="G906" s="85"/>
      <c r="H906" s="85"/>
      <c r="I906" s="85"/>
      <c r="J906" s="85"/>
      <c r="K906" s="88"/>
      <c r="L906" s="88"/>
      <c r="M906" s="85"/>
      <c r="N906" s="85"/>
      <c r="O906" s="73"/>
    </row>
    <row r="907" customFormat="false" ht="15" hidden="false" customHeight="false" outlineLevel="0" collapsed="false">
      <c r="A907" s="87"/>
      <c r="B907" s="73"/>
      <c r="C907" s="91" t="str">
        <f aca="false">IF(B907="","",IFERROR(INDEX(الموظفون!$C$6:$C$105,MATCH(B907,الموظفون!$B$6:$B$105,0)),"✖ رقم غير موجود"))</f>
        <v/>
      </c>
      <c r="D907" s="88"/>
      <c r="E907" s="88"/>
      <c r="F907" s="88"/>
      <c r="G907" s="85"/>
      <c r="H907" s="85"/>
      <c r="I907" s="85"/>
      <c r="J907" s="85"/>
      <c r="K907" s="88"/>
      <c r="L907" s="88"/>
      <c r="M907" s="85"/>
      <c r="N907" s="85"/>
      <c r="O907" s="73"/>
    </row>
    <row r="908" customFormat="false" ht="15" hidden="false" customHeight="false" outlineLevel="0" collapsed="false">
      <c r="A908" s="87"/>
      <c r="B908" s="73"/>
      <c r="C908" s="74" t="str">
        <f aca="false">IF(B908="","",IFERROR(INDEX(الموظفون!$C$6:$C$105,MATCH(B908,الموظفون!$B$6:$B$105,0)),"✖ رقم غير موجود"))</f>
        <v/>
      </c>
      <c r="D908" s="88"/>
      <c r="E908" s="88"/>
      <c r="F908" s="88"/>
      <c r="G908" s="85"/>
      <c r="H908" s="85"/>
      <c r="I908" s="85"/>
      <c r="J908" s="85"/>
      <c r="K908" s="88"/>
      <c r="L908" s="88"/>
      <c r="M908" s="85"/>
      <c r="N908" s="85"/>
      <c r="O908" s="73"/>
    </row>
    <row r="909" customFormat="false" ht="15" hidden="false" customHeight="false" outlineLevel="0" collapsed="false">
      <c r="A909" s="87"/>
      <c r="B909" s="73"/>
      <c r="C909" s="91" t="str">
        <f aca="false">IF(B909="","",IFERROR(INDEX(الموظفون!$C$6:$C$105,MATCH(B909,الموظفون!$B$6:$B$105,0)),"✖ رقم غير موجود"))</f>
        <v/>
      </c>
      <c r="D909" s="88"/>
      <c r="E909" s="88"/>
      <c r="F909" s="88"/>
      <c r="G909" s="85"/>
      <c r="H909" s="85"/>
      <c r="I909" s="85"/>
      <c r="J909" s="85"/>
      <c r="K909" s="88"/>
      <c r="L909" s="88"/>
      <c r="M909" s="85"/>
      <c r="N909" s="85"/>
      <c r="O909" s="73"/>
    </row>
    <row r="910" customFormat="false" ht="15" hidden="false" customHeight="false" outlineLevel="0" collapsed="false">
      <c r="A910" s="87"/>
      <c r="B910" s="73"/>
      <c r="C910" s="74" t="str">
        <f aca="false">IF(B910="","",IFERROR(INDEX(الموظفون!$C$6:$C$105,MATCH(B910,الموظفون!$B$6:$B$105,0)),"✖ رقم غير موجود"))</f>
        <v/>
      </c>
      <c r="D910" s="88"/>
      <c r="E910" s="88"/>
      <c r="F910" s="88"/>
      <c r="G910" s="85"/>
      <c r="H910" s="85"/>
      <c r="I910" s="85"/>
      <c r="J910" s="85"/>
      <c r="K910" s="88"/>
      <c r="L910" s="88"/>
      <c r="M910" s="85"/>
      <c r="N910" s="85"/>
      <c r="O910" s="73"/>
    </row>
    <row r="911" customFormat="false" ht="15" hidden="false" customHeight="false" outlineLevel="0" collapsed="false">
      <c r="A911" s="87"/>
      <c r="B911" s="73"/>
      <c r="C911" s="91" t="str">
        <f aca="false">IF(B911="","",IFERROR(INDEX(الموظفون!$C$6:$C$105,MATCH(B911,الموظفون!$B$6:$B$105,0)),"✖ رقم غير موجود"))</f>
        <v/>
      </c>
      <c r="D911" s="88"/>
      <c r="E911" s="88"/>
      <c r="F911" s="88"/>
      <c r="G911" s="85"/>
      <c r="H911" s="85"/>
      <c r="I911" s="85"/>
      <c r="J911" s="85"/>
      <c r="K911" s="88"/>
      <c r="L911" s="88"/>
      <c r="M911" s="85"/>
      <c r="N911" s="85"/>
      <c r="O911" s="73"/>
    </row>
    <row r="912" customFormat="false" ht="15" hidden="false" customHeight="false" outlineLevel="0" collapsed="false">
      <c r="A912" s="87"/>
      <c r="B912" s="73"/>
      <c r="C912" s="74" t="str">
        <f aca="false">IF(B912="","",IFERROR(INDEX(الموظفون!$C$6:$C$105,MATCH(B912,الموظفون!$B$6:$B$105,0)),"✖ رقم غير موجود"))</f>
        <v/>
      </c>
      <c r="D912" s="88"/>
      <c r="E912" s="88"/>
      <c r="F912" s="88"/>
      <c r="G912" s="85"/>
      <c r="H912" s="85"/>
      <c r="I912" s="85"/>
      <c r="J912" s="85"/>
      <c r="K912" s="88"/>
      <c r="L912" s="88"/>
      <c r="M912" s="85"/>
      <c r="N912" s="85"/>
      <c r="O912" s="73"/>
    </row>
    <row r="913" customFormat="false" ht="15" hidden="false" customHeight="false" outlineLevel="0" collapsed="false">
      <c r="A913" s="87"/>
      <c r="B913" s="73"/>
      <c r="C913" s="91" t="str">
        <f aca="false">IF(B913="","",IFERROR(INDEX(الموظفون!$C$6:$C$105,MATCH(B913,الموظفون!$B$6:$B$105,0)),"✖ رقم غير موجود"))</f>
        <v/>
      </c>
      <c r="D913" s="88"/>
      <c r="E913" s="88"/>
      <c r="F913" s="88"/>
      <c r="G913" s="85"/>
      <c r="H913" s="85"/>
      <c r="I913" s="85"/>
      <c r="J913" s="85"/>
      <c r="K913" s="88"/>
      <c r="L913" s="88"/>
      <c r="M913" s="85"/>
      <c r="N913" s="85"/>
      <c r="O913" s="73"/>
    </row>
    <row r="914" customFormat="false" ht="15" hidden="false" customHeight="false" outlineLevel="0" collapsed="false">
      <c r="A914" s="87"/>
      <c r="B914" s="73"/>
      <c r="C914" s="74" t="str">
        <f aca="false">IF(B914="","",IFERROR(INDEX(الموظفون!$C$6:$C$105,MATCH(B914,الموظفون!$B$6:$B$105,0)),"✖ رقم غير موجود"))</f>
        <v/>
      </c>
      <c r="D914" s="88"/>
      <c r="E914" s="88"/>
      <c r="F914" s="88"/>
      <c r="G914" s="85"/>
      <c r="H914" s="85"/>
      <c r="I914" s="85"/>
      <c r="J914" s="85"/>
      <c r="K914" s="88"/>
      <c r="L914" s="88"/>
      <c r="M914" s="85"/>
      <c r="N914" s="85"/>
      <c r="O914" s="73"/>
    </row>
    <row r="915" customFormat="false" ht="15" hidden="false" customHeight="false" outlineLevel="0" collapsed="false">
      <c r="A915" s="87"/>
      <c r="B915" s="73"/>
      <c r="C915" s="91" t="str">
        <f aca="false">IF(B915="","",IFERROR(INDEX(الموظفون!$C$6:$C$105,MATCH(B915,الموظفون!$B$6:$B$105,0)),"✖ رقم غير موجود"))</f>
        <v/>
      </c>
      <c r="D915" s="88"/>
      <c r="E915" s="88"/>
      <c r="F915" s="88"/>
      <c r="G915" s="85"/>
      <c r="H915" s="85"/>
      <c r="I915" s="85"/>
      <c r="J915" s="85"/>
      <c r="K915" s="88"/>
      <c r="L915" s="88"/>
      <c r="M915" s="85"/>
      <c r="N915" s="85"/>
      <c r="O915" s="73"/>
    </row>
    <row r="916" customFormat="false" ht="15" hidden="false" customHeight="false" outlineLevel="0" collapsed="false">
      <c r="A916" s="87"/>
      <c r="B916" s="73"/>
      <c r="C916" s="74" t="str">
        <f aca="false">IF(B916="","",IFERROR(INDEX(الموظفون!$C$6:$C$105,MATCH(B916,الموظفون!$B$6:$B$105,0)),"✖ رقم غير موجود"))</f>
        <v/>
      </c>
      <c r="D916" s="88"/>
      <c r="E916" s="88"/>
      <c r="F916" s="88"/>
      <c r="G916" s="85"/>
      <c r="H916" s="85"/>
      <c r="I916" s="85"/>
      <c r="J916" s="85"/>
      <c r="K916" s="88"/>
      <c r="L916" s="88"/>
      <c r="M916" s="85"/>
      <c r="N916" s="85"/>
      <c r="O916" s="73"/>
    </row>
    <row r="917" customFormat="false" ht="15" hidden="false" customHeight="false" outlineLevel="0" collapsed="false">
      <c r="A917" s="87"/>
      <c r="B917" s="73"/>
      <c r="C917" s="91" t="str">
        <f aca="false">IF(B917="","",IFERROR(INDEX(الموظفون!$C$6:$C$105,MATCH(B917,الموظفون!$B$6:$B$105,0)),"✖ رقم غير موجود"))</f>
        <v/>
      </c>
      <c r="D917" s="88"/>
      <c r="E917" s="88"/>
      <c r="F917" s="88"/>
      <c r="G917" s="85"/>
      <c r="H917" s="85"/>
      <c r="I917" s="85"/>
      <c r="J917" s="85"/>
      <c r="K917" s="88"/>
      <c r="L917" s="88"/>
      <c r="M917" s="85"/>
      <c r="N917" s="85"/>
      <c r="O917" s="73"/>
    </row>
    <row r="918" customFormat="false" ht="15" hidden="false" customHeight="false" outlineLevel="0" collapsed="false">
      <c r="A918" s="87"/>
      <c r="B918" s="73"/>
      <c r="C918" s="74" t="str">
        <f aca="false">IF(B918="","",IFERROR(INDEX(الموظفون!$C$6:$C$105,MATCH(B918,الموظفون!$B$6:$B$105,0)),"✖ رقم غير موجود"))</f>
        <v/>
      </c>
      <c r="D918" s="88"/>
      <c r="E918" s="88"/>
      <c r="F918" s="88"/>
      <c r="G918" s="85"/>
      <c r="H918" s="85"/>
      <c r="I918" s="85"/>
      <c r="J918" s="85"/>
      <c r="K918" s="88"/>
      <c r="L918" s="88"/>
      <c r="M918" s="85"/>
      <c r="N918" s="85"/>
      <c r="O918" s="73"/>
    </row>
    <row r="919" customFormat="false" ht="15" hidden="false" customHeight="false" outlineLevel="0" collapsed="false">
      <c r="A919" s="87"/>
      <c r="B919" s="73"/>
      <c r="C919" s="91" t="str">
        <f aca="false">IF(B919="","",IFERROR(INDEX(الموظفون!$C$6:$C$105,MATCH(B919,الموظفون!$B$6:$B$105,0)),"✖ رقم غير موجود"))</f>
        <v/>
      </c>
      <c r="D919" s="88"/>
      <c r="E919" s="88"/>
      <c r="F919" s="88"/>
      <c r="G919" s="85"/>
      <c r="H919" s="85"/>
      <c r="I919" s="85"/>
      <c r="J919" s="85"/>
      <c r="K919" s="88"/>
      <c r="L919" s="88"/>
      <c r="M919" s="85"/>
      <c r="N919" s="85"/>
      <c r="O919" s="73"/>
    </row>
    <row r="920" customFormat="false" ht="15" hidden="false" customHeight="false" outlineLevel="0" collapsed="false">
      <c r="A920" s="87"/>
      <c r="B920" s="73"/>
      <c r="C920" s="74" t="str">
        <f aca="false">IF(B920="","",IFERROR(INDEX(الموظفون!$C$6:$C$105,MATCH(B920,الموظفون!$B$6:$B$105,0)),"✖ رقم غير موجود"))</f>
        <v/>
      </c>
      <c r="D920" s="88"/>
      <c r="E920" s="88"/>
      <c r="F920" s="88"/>
      <c r="G920" s="85"/>
      <c r="H920" s="85"/>
      <c r="I920" s="85"/>
      <c r="J920" s="85"/>
      <c r="K920" s="88"/>
      <c r="L920" s="88"/>
      <c r="M920" s="85"/>
      <c r="N920" s="85"/>
      <c r="O920" s="73"/>
    </row>
    <row r="921" customFormat="false" ht="15" hidden="false" customHeight="false" outlineLevel="0" collapsed="false">
      <c r="A921" s="87"/>
      <c r="B921" s="73"/>
      <c r="C921" s="91" t="str">
        <f aca="false">IF(B921="","",IFERROR(INDEX(الموظفون!$C$6:$C$105,MATCH(B921,الموظفون!$B$6:$B$105,0)),"✖ رقم غير موجود"))</f>
        <v/>
      </c>
      <c r="D921" s="88"/>
      <c r="E921" s="88"/>
      <c r="F921" s="88"/>
      <c r="G921" s="85"/>
      <c r="H921" s="85"/>
      <c r="I921" s="85"/>
      <c r="J921" s="85"/>
      <c r="K921" s="88"/>
      <c r="L921" s="88"/>
      <c r="M921" s="85"/>
      <c r="N921" s="85"/>
      <c r="O921" s="73"/>
    </row>
    <row r="922" customFormat="false" ht="15" hidden="false" customHeight="false" outlineLevel="0" collapsed="false">
      <c r="A922" s="87"/>
      <c r="B922" s="73"/>
      <c r="C922" s="74" t="str">
        <f aca="false">IF(B922="","",IFERROR(INDEX(الموظفون!$C$6:$C$105,MATCH(B922,الموظفون!$B$6:$B$105,0)),"✖ رقم غير موجود"))</f>
        <v/>
      </c>
      <c r="D922" s="88"/>
      <c r="E922" s="88"/>
      <c r="F922" s="88"/>
      <c r="G922" s="85"/>
      <c r="H922" s="85"/>
      <c r="I922" s="85"/>
      <c r="J922" s="85"/>
      <c r="K922" s="88"/>
      <c r="L922" s="88"/>
      <c r="M922" s="85"/>
      <c r="N922" s="85"/>
      <c r="O922" s="73"/>
    </row>
    <row r="923" customFormat="false" ht="15" hidden="false" customHeight="false" outlineLevel="0" collapsed="false">
      <c r="A923" s="87"/>
      <c r="B923" s="73"/>
      <c r="C923" s="91" t="str">
        <f aca="false">IF(B923="","",IFERROR(INDEX(الموظفون!$C$6:$C$105,MATCH(B923,الموظفون!$B$6:$B$105,0)),"✖ رقم غير موجود"))</f>
        <v/>
      </c>
      <c r="D923" s="88"/>
      <c r="E923" s="88"/>
      <c r="F923" s="88"/>
      <c r="G923" s="85"/>
      <c r="H923" s="85"/>
      <c r="I923" s="85"/>
      <c r="J923" s="85"/>
      <c r="K923" s="88"/>
      <c r="L923" s="88"/>
      <c r="M923" s="85"/>
      <c r="N923" s="85"/>
      <c r="O923" s="73"/>
    </row>
    <row r="924" customFormat="false" ht="15" hidden="false" customHeight="false" outlineLevel="0" collapsed="false">
      <c r="A924" s="87"/>
      <c r="B924" s="73"/>
      <c r="C924" s="74" t="str">
        <f aca="false">IF(B924="","",IFERROR(INDEX(الموظفون!$C$6:$C$105,MATCH(B924,الموظفون!$B$6:$B$105,0)),"✖ رقم غير موجود"))</f>
        <v/>
      </c>
      <c r="D924" s="88"/>
      <c r="E924" s="88"/>
      <c r="F924" s="88"/>
      <c r="G924" s="85"/>
      <c r="H924" s="85"/>
      <c r="I924" s="85"/>
      <c r="J924" s="85"/>
      <c r="K924" s="88"/>
      <c r="L924" s="88"/>
      <c r="M924" s="85"/>
      <c r="N924" s="85"/>
      <c r="O924" s="73"/>
    </row>
    <row r="925" customFormat="false" ht="15" hidden="false" customHeight="false" outlineLevel="0" collapsed="false">
      <c r="A925" s="87"/>
      <c r="B925" s="73"/>
      <c r="C925" s="91" t="str">
        <f aca="false">IF(B925="","",IFERROR(INDEX(الموظفون!$C$6:$C$105,MATCH(B925,الموظفون!$B$6:$B$105,0)),"✖ رقم غير موجود"))</f>
        <v/>
      </c>
      <c r="D925" s="88"/>
      <c r="E925" s="88"/>
      <c r="F925" s="88"/>
      <c r="G925" s="85"/>
      <c r="H925" s="85"/>
      <c r="I925" s="85"/>
      <c r="J925" s="85"/>
      <c r="K925" s="88"/>
      <c r="L925" s="88"/>
      <c r="M925" s="85"/>
      <c r="N925" s="85"/>
      <c r="O925" s="73"/>
    </row>
    <row r="926" customFormat="false" ht="15" hidden="false" customHeight="false" outlineLevel="0" collapsed="false">
      <c r="A926" s="87"/>
      <c r="B926" s="73"/>
      <c r="C926" s="74" t="str">
        <f aca="false">IF(B926="","",IFERROR(INDEX(الموظفون!$C$6:$C$105,MATCH(B926,الموظفون!$B$6:$B$105,0)),"✖ رقم غير موجود"))</f>
        <v/>
      </c>
      <c r="D926" s="88"/>
      <c r="E926" s="88"/>
      <c r="F926" s="88"/>
      <c r="G926" s="85"/>
      <c r="H926" s="85"/>
      <c r="I926" s="85"/>
      <c r="J926" s="85"/>
      <c r="K926" s="88"/>
      <c r="L926" s="88"/>
      <c r="M926" s="85"/>
      <c r="N926" s="85"/>
      <c r="O926" s="73"/>
    </row>
    <row r="927" customFormat="false" ht="15" hidden="false" customHeight="false" outlineLevel="0" collapsed="false">
      <c r="A927" s="87"/>
      <c r="B927" s="73"/>
      <c r="C927" s="91" t="str">
        <f aca="false">IF(B927="","",IFERROR(INDEX(الموظفون!$C$6:$C$105,MATCH(B927,الموظفون!$B$6:$B$105,0)),"✖ رقم غير موجود"))</f>
        <v/>
      </c>
      <c r="D927" s="88"/>
      <c r="E927" s="88"/>
      <c r="F927" s="88"/>
      <c r="G927" s="85"/>
      <c r="H927" s="85"/>
      <c r="I927" s="85"/>
      <c r="J927" s="85"/>
      <c r="K927" s="88"/>
      <c r="L927" s="88"/>
      <c r="M927" s="85"/>
      <c r="N927" s="85"/>
      <c r="O927" s="73"/>
    </row>
    <row r="928" customFormat="false" ht="15" hidden="false" customHeight="false" outlineLevel="0" collapsed="false">
      <c r="A928" s="87"/>
      <c r="B928" s="73"/>
      <c r="C928" s="74" t="str">
        <f aca="false">IF(B928="","",IFERROR(INDEX(الموظفون!$C$6:$C$105,MATCH(B928,الموظفون!$B$6:$B$105,0)),"✖ رقم غير موجود"))</f>
        <v/>
      </c>
      <c r="D928" s="88"/>
      <c r="E928" s="88"/>
      <c r="F928" s="88"/>
      <c r="G928" s="85"/>
      <c r="H928" s="85"/>
      <c r="I928" s="85"/>
      <c r="J928" s="85"/>
      <c r="K928" s="88"/>
      <c r="L928" s="88"/>
      <c r="M928" s="85"/>
      <c r="N928" s="85"/>
      <c r="O928" s="73"/>
    </row>
    <row r="929" customFormat="false" ht="15" hidden="false" customHeight="false" outlineLevel="0" collapsed="false">
      <c r="A929" s="87"/>
      <c r="B929" s="73"/>
      <c r="C929" s="91" t="str">
        <f aca="false">IF(B929="","",IFERROR(INDEX(الموظفون!$C$6:$C$105,MATCH(B929,الموظفون!$B$6:$B$105,0)),"✖ رقم غير موجود"))</f>
        <v/>
      </c>
      <c r="D929" s="88"/>
      <c r="E929" s="88"/>
      <c r="F929" s="88"/>
      <c r="G929" s="85"/>
      <c r="H929" s="85"/>
      <c r="I929" s="85"/>
      <c r="J929" s="85"/>
      <c r="K929" s="88"/>
      <c r="L929" s="88"/>
      <c r="M929" s="85"/>
      <c r="N929" s="85"/>
      <c r="O929" s="73"/>
    </row>
    <row r="930" customFormat="false" ht="15" hidden="false" customHeight="false" outlineLevel="0" collapsed="false">
      <c r="A930" s="87"/>
      <c r="B930" s="73"/>
      <c r="C930" s="74" t="str">
        <f aca="false">IF(B930="","",IFERROR(INDEX(الموظفون!$C$6:$C$105,MATCH(B930,الموظفون!$B$6:$B$105,0)),"✖ رقم غير موجود"))</f>
        <v/>
      </c>
      <c r="D930" s="88"/>
      <c r="E930" s="88"/>
      <c r="F930" s="88"/>
      <c r="G930" s="85"/>
      <c r="H930" s="85"/>
      <c r="I930" s="85"/>
      <c r="J930" s="85"/>
      <c r="K930" s="88"/>
      <c r="L930" s="88"/>
      <c r="M930" s="85"/>
      <c r="N930" s="85"/>
      <c r="O930" s="73"/>
    </row>
    <row r="931" customFormat="false" ht="15" hidden="false" customHeight="false" outlineLevel="0" collapsed="false">
      <c r="A931" s="87"/>
      <c r="B931" s="73"/>
      <c r="C931" s="91" t="str">
        <f aca="false">IF(B931="","",IFERROR(INDEX(الموظفون!$C$6:$C$105,MATCH(B931,الموظفون!$B$6:$B$105,0)),"✖ رقم غير موجود"))</f>
        <v/>
      </c>
      <c r="D931" s="88"/>
      <c r="E931" s="88"/>
      <c r="F931" s="88"/>
      <c r="G931" s="85"/>
      <c r="H931" s="85"/>
      <c r="I931" s="85"/>
      <c r="J931" s="85"/>
      <c r="K931" s="88"/>
      <c r="L931" s="88"/>
      <c r="M931" s="85"/>
      <c r="N931" s="85"/>
      <c r="O931" s="73"/>
    </row>
    <row r="932" customFormat="false" ht="15" hidden="false" customHeight="false" outlineLevel="0" collapsed="false">
      <c r="A932" s="87"/>
      <c r="B932" s="73"/>
      <c r="C932" s="74" t="str">
        <f aca="false">IF(B932="","",IFERROR(INDEX(الموظفون!$C$6:$C$105,MATCH(B932,الموظفون!$B$6:$B$105,0)),"✖ رقم غير موجود"))</f>
        <v/>
      </c>
      <c r="D932" s="88"/>
      <c r="E932" s="88"/>
      <c r="F932" s="88"/>
      <c r="G932" s="85"/>
      <c r="H932" s="85"/>
      <c r="I932" s="85"/>
      <c r="J932" s="85"/>
      <c r="K932" s="88"/>
      <c r="L932" s="88"/>
      <c r="M932" s="85"/>
      <c r="N932" s="85"/>
      <c r="O932" s="73"/>
    </row>
    <row r="933" customFormat="false" ht="15" hidden="false" customHeight="false" outlineLevel="0" collapsed="false">
      <c r="A933" s="87"/>
      <c r="B933" s="73"/>
      <c r="C933" s="91" t="str">
        <f aca="false">IF(B933="","",IFERROR(INDEX(الموظفون!$C$6:$C$105,MATCH(B933,الموظفون!$B$6:$B$105,0)),"✖ رقم غير موجود"))</f>
        <v/>
      </c>
      <c r="D933" s="88"/>
      <c r="E933" s="88"/>
      <c r="F933" s="88"/>
      <c r="G933" s="85"/>
      <c r="H933" s="85"/>
      <c r="I933" s="85"/>
      <c r="J933" s="85"/>
      <c r="K933" s="88"/>
      <c r="L933" s="88"/>
      <c r="M933" s="85"/>
      <c r="N933" s="85"/>
      <c r="O933" s="73"/>
    </row>
    <row r="934" customFormat="false" ht="15" hidden="false" customHeight="false" outlineLevel="0" collapsed="false">
      <c r="A934" s="87"/>
      <c r="B934" s="73"/>
      <c r="C934" s="74" t="str">
        <f aca="false">IF(B934="","",IFERROR(INDEX(الموظفون!$C$6:$C$105,MATCH(B934,الموظفون!$B$6:$B$105,0)),"✖ رقم غير موجود"))</f>
        <v/>
      </c>
      <c r="D934" s="88"/>
      <c r="E934" s="88"/>
      <c r="F934" s="88"/>
      <c r="G934" s="85"/>
      <c r="H934" s="85"/>
      <c r="I934" s="85"/>
      <c r="J934" s="85"/>
      <c r="K934" s="88"/>
      <c r="L934" s="88"/>
      <c r="M934" s="85"/>
      <c r="N934" s="85"/>
      <c r="O934" s="73"/>
    </row>
    <row r="935" customFormat="false" ht="15" hidden="false" customHeight="false" outlineLevel="0" collapsed="false">
      <c r="A935" s="87"/>
      <c r="B935" s="73"/>
      <c r="C935" s="91" t="str">
        <f aca="false">IF(B935="","",IFERROR(INDEX(الموظفون!$C$6:$C$105,MATCH(B935,الموظفون!$B$6:$B$105,0)),"✖ رقم غير موجود"))</f>
        <v/>
      </c>
      <c r="D935" s="88"/>
      <c r="E935" s="88"/>
      <c r="F935" s="88"/>
      <c r="G935" s="85"/>
      <c r="H935" s="85"/>
      <c r="I935" s="85"/>
      <c r="J935" s="85"/>
      <c r="K935" s="88"/>
      <c r="L935" s="88"/>
      <c r="M935" s="85"/>
      <c r="N935" s="85"/>
      <c r="O935" s="73"/>
    </row>
    <row r="936" customFormat="false" ht="15" hidden="false" customHeight="false" outlineLevel="0" collapsed="false">
      <c r="A936" s="87"/>
      <c r="B936" s="73"/>
      <c r="C936" s="74" t="str">
        <f aca="false">IF(B936="","",IFERROR(INDEX(الموظفون!$C$6:$C$105,MATCH(B936,الموظفون!$B$6:$B$105,0)),"✖ رقم غير موجود"))</f>
        <v/>
      </c>
      <c r="D936" s="88"/>
      <c r="E936" s="88"/>
      <c r="F936" s="88"/>
      <c r="G936" s="85"/>
      <c r="H936" s="85"/>
      <c r="I936" s="85"/>
      <c r="J936" s="85"/>
      <c r="K936" s="88"/>
      <c r="L936" s="88"/>
      <c r="M936" s="85"/>
      <c r="N936" s="85"/>
      <c r="O936" s="73"/>
    </row>
    <row r="937" customFormat="false" ht="15" hidden="false" customHeight="false" outlineLevel="0" collapsed="false">
      <c r="A937" s="87"/>
      <c r="B937" s="73"/>
      <c r="C937" s="91" t="str">
        <f aca="false">IF(B937="","",IFERROR(INDEX(الموظفون!$C$6:$C$105,MATCH(B937,الموظفون!$B$6:$B$105,0)),"✖ رقم غير موجود"))</f>
        <v/>
      </c>
      <c r="D937" s="88"/>
      <c r="E937" s="88"/>
      <c r="F937" s="88"/>
      <c r="G937" s="85"/>
      <c r="H937" s="85"/>
      <c r="I937" s="85"/>
      <c r="J937" s="85"/>
      <c r="K937" s="88"/>
      <c r="L937" s="88"/>
      <c r="M937" s="85"/>
      <c r="N937" s="85"/>
      <c r="O937" s="73"/>
    </row>
    <row r="938" customFormat="false" ht="15" hidden="false" customHeight="false" outlineLevel="0" collapsed="false">
      <c r="A938" s="87"/>
      <c r="B938" s="73"/>
      <c r="C938" s="74" t="str">
        <f aca="false">IF(B938="","",IFERROR(INDEX(الموظفون!$C$6:$C$105,MATCH(B938,الموظفون!$B$6:$B$105,0)),"✖ رقم غير موجود"))</f>
        <v/>
      </c>
      <c r="D938" s="88"/>
      <c r="E938" s="88"/>
      <c r="F938" s="88"/>
      <c r="G938" s="85"/>
      <c r="H938" s="85"/>
      <c r="I938" s="85"/>
      <c r="J938" s="85"/>
      <c r="K938" s="88"/>
      <c r="L938" s="88"/>
      <c r="M938" s="85"/>
      <c r="N938" s="85"/>
      <c r="O938" s="73"/>
    </row>
    <row r="939" customFormat="false" ht="15" hidden="false" customHeight="false" outlineLevel="0" collapsed="false">
      <c r="A939" s="87"/>
      <c r="B939" s="73"/>
      <c r="C939" s="91" t="str">
        <f aca="false">IF(B939="","",IFERROR(INDEX(الموظفون!$C$6:$C$105,MATCH(B939,الموظفون!$B$6:$B$105,0)),"✖ رقم غير موجود"))</f>
        <v/>
      </c>
      <c r="D939" s="88"/>
      <c r="E939" s="88"/>
      <c r="F939" s="88"/>
      <c r="G939" s="85"/>
      <c r="H939" s="85"/>
      <c r="I939" s="85"/>
      <c r="J939" s="85"/>
      <c r="K939" s="88"/>
      <c r="L939" s="88"/>
      <c r="M939" s="85"/>
      <c r="N939" s="85"/>
      <c r="O939" s="73"/>
    </row>
    <row r="940" customFormat="false" ht="15" hidden="false" customHeight="false" outlineLevel="0" collapsed="false">
      <c r="A940" s="87"/>
      <c r="B940" s="73"/>
      <c r="C940" s="74" t="str">
        <f aca="false">IF(B940="","",IFERROR(INDEX(الموظفون!$C$6:$C$105,MATCH(B940,الموظفون!$B$6:$B$105,0)),"✖ رقم غير موجود"))</f>
        <v/>
      </c>
      <c r="D940" s="88"/>
      <c r="E940" s="88"/>
      <c r="F940" s="88"/>
      <c r="G940" s="85"/>
      <c r="H940" s="85"/>
      <c r="I940" s="85"/>
      <c r="J940" s="85"/>
      <c r="K940" s="88"/>
      <c r="L940" s="88"/>
      <c r="M940" s="85"/>
      <c r="N940" s="85"/>
      <c r="O940" s="73"/>
    </row>
    <row r="941" customFormat="false" ht="15" hidden="false" customHeight="false" outlineLevel="0" collapsed="false">
      <c r="A941" s="87"/>
      <c r="B941" s="73"/>
      <c r="C941" s="91" t="str">
        <f aca="false">IF(B941="","",IFERROR(INDEX(الموظفون!$C$6:$C$105,MATCH(B941,الموظفون!$B$6:$B$105,0)),"✖ رقم غير موجود"))</f>
        <v/>
      </c>
      <c r="D941" s="88"/>
      <c r="E941" s="88"/>
      <c r="F941" s="88"/>
      <c r="G941" s="85"/>
      <c r="H941" s="85"/>
      <c r="I941" s="85"/>
      <c r="J941" s="85"/>
      <c r="K941" s="88"/>
      <c r="L941" s="88"/>
      <c r="M941" s="85"/>
      <c r="N941" s="85"/>
      <c r="O941" s="73"/>
    </row>
    <row r="942" customFormat="false" ht="15" hidden="false" customHeight="false" outlineLevel="0" collapsed="false">
      <c r="A942" s="87"/>
      <c r="B942" s="73"/>
      <c r="C942" s="74" t="str">
        <f aca="false">IF(B942="","",IFERROR(INDEX(الموظفون!$C$6:$C$105,MATCH(B942,الموظفون!$B$6:$B$105,0)),"✖ رقم غير موجود"))</f>
        <v/>
      </c>
      <c r="D942" s="88"/>
      <c r="E942" s="88"/>
      <c r="F942" s="88"/>
      <c r="G942" s="85"/>
      <c r="H942" s="85"/>
      <c r="I942" s="85"/>
      <c r="J942" s="85"/>
      <c r="K942" s="88"/>
      <c r="L942" s="88"/>
      <c r="M942" s="85"/>
      <c r="N942" s="85"/>
      <c r="O942" s="73"/>
    </row>
    <row r="943" customFormat="false" ht="15" hidden="false" customHeight="false" outlineLevel="0" collapsed="false">
      <c r="A943" s="87"/>
      <c r="B943" s="73"/>
      <c r="C943" s="91" t="str">
        <f aca="false">IF(B943="","",IFERROR(INDEX(الموظفون!$C$6:$C$105,MATCH(B943,الموظفون!$B$6:$B$105,0)),"✖ رقم غير موجود"))</f>
        <v/>
      </c>
      <c r="D943" s="88"/>
      <c r="E943" s="88"/>
      <c r="F943" s="88"/>
      <c r="G943" s="85"/>
      <c r="H943" s="85"/>
      <c r="I943" s="85"/>
      <c r="J943" s="85"/>
      <c r="K943" s="88"/>
      <c r="L943" s="88"/>
      <c r="M943" s="85"/>
      <c r="N943" s="85"/>
      <c r="O943" s="73"/>
    </row>
    <row r="944" customFormat="false" ht="15" hidden="false" customHeight="false" outlineLevel="0" collapsed="false">
      <c r="A944" s="87"/>
      <c r="B944" s="73"/>
      <c r="C944" s="74" t="str">
        <f aca="false">IF(B944="","",IFERROR(INDEX(الموظفون!$C$6:$C$105,MATCH(B944,الموظفون!$B$6:$B$105,0)),"✖ رقم غير موجود"))</f>
        <v/>
      </c>
      <c r="D944" s="88"/>
      <c r="E944" s="88"/>
      <c r="F944" s="88"/>
      <c r="G944" s="85"/>
      <c r="H944" s="85"/>
      <c r="I944" s="85"/>
      <c r="J944" s="85"/>
      <c r="K944" s="88"/>
      <c r="L944" s="88"/>
      <c r="M944" s="85"/>
      <c r="N944" s="85"/>
      <c r="O944" s="73"/>
    </row>
    <row r="945" customFormat="false" ht="15" hidden="false" customHeight="false" outlineLevel="0" collapsed="false">
      <c r="A945" s="87"/>
      <c r="B945" s="73"/>
      <c r="C945" s="91" t="str">
        <f aca="false">IF(B945="","",IFERROR(INDEX(الموظفون!$C$6:$C$105,MATCH(B945,الموظفون!$B$6:$B$105,0)),"✖ رقم غير موجود"))</f>
        <v/>
      </c>
      <c r="D945" s="88"/>
      <c r="E945" s="88"/>
      <c r="F945" s="88"/>
      <c r="G945" s="85"/>
      <c r="H945" s="85"/>
      <c r="I945" s="85"/>
      <c r="J945" s="85"/>
      <c r="K945" s="88"/>
      <c r="L945" s="88"/>
      <c r="M945" s="85"/>
      <c r="N945" s="85"/>
      <c r="O945" s="73"/>
    </row>
    <row r="946" customFormat="false" ht="15" hidden="false" customHeight="false" outlineLevel="0" collapsed="false">
      <c r="A946" s="87"/>
      <c r="B946" s="73"/>
      <c r="C946" s="74" t="str">
        <f aca="false">IF(B946="","",IFERROR(INDEX(الموظفون!$C$6:$C$105,MATCH(B946,الموظفون!$B$6:$B$105,0)),"✖ رقم غير موجود"))</f>
        <v/>
      </c>
      <c r="D946" s="88"/>
      <c r="E946" s="88"/>
      <c r="F946" s="88"/>
      <c r="G946" s="85"/>
      <c r="H946" s="85"/>
      <c r="I946" s="85"/>
      <c r="J946" s="85"/>
      <c r="K946" s="88"/>
      <c r="L946" s="88"/>
      <c r="M946" s="85"/>
      <c r="N946" s="85"/>
      <c r="O946" s="73"/>
    </row>
    <row r="947" customFormat="false" ht="15" hidden="false" customHeight="false" outlineLevel="0" collapsed="false">
      <c r="A947" s="87"/>
      <c r="B947" s="73"/>
      <c r="C947" s="91" t="str">
        <f aca="false">IF(B947="","",IFERROR(INDEX(الموظفون!$C$6:$C$105,MATCH(B947,الموظفون!$B$6:$B$105,0)),"✖ رقم غير موجود"))</f>
        <v/>
      </c>
      <c r="D947" s="88"/>
      <c r="E947" s="88"/>
      <c r="F947" s="88"/>
      <c r="G947" s="85"/>
      <c r="H947" s="85"/>
      <c r="I947" s="85"/>
      <c r="J947" s="85"/>
      <c r="K947" s="88"/>
      <c r="L947" s="88"/>
      <c r="M947" s="85"/>
      <c r="N947" s="85"/>
      <c r="O947" s="73"/>
    </row>
    <row r="948" customFormat="false" ht="15" hidden="false" customHeight="false" outlineLevel="0" collapsed="false">
      <c r="A948" s="87"/>
      <c r="B948" s="73"/>
      <c r="C948" s="74" t="str">
        <f aca="false">IF(B948="","",IFERROR(INDEX(الموظفون!$C$6:$C$105,MATCH(B948,الموظفون!$B$6:$B$105,0)),"✖ رقم غير موجود"))</f>
        <v/>
      </c>
      <c r="D948" s="88"/>
      <c r="E948" s="88"/>
      <c r="F948" s="88"/>
      <c r="G948" s="85"/>
      <c r="H948" s="85"/>
      <c r="I948" s="85"/>
      <c r="J948" s="85"/>
      <c r="K948" s="88"/>
      <c r="L948" s="88"/>
      <c r="M948" s="85"/>
      <c r="N948" s="85"/>
      <c r="O948" s="73"/>
    </row>
    <row r="949" customFormat="false" ht="15" hidden="false" customHeight="false" outlineLevel="0" collapsed="false">
      <c r="A949" s="87"/>
      <c r="B949" s="73"/>
      <c r="C949" s="91" t="str">
        <f aca="false">IF(B949="","",IFERROR(INDEX(الموظفون!$C$6:$C$105,MATCH(B949,الموظفون!$B$6:$B$105,0)),"✖ رقم غير موجود"))</f>
        <v/>
      </c>
      <c r="D949" s="88"/>
      <c r="E949" s="88"/>
      <c r="F949" s="88"/>
      <c r="G949" s="85"/>
      <c r="H949" s="85"/>
      <c r="I949" s="85"/>
      <c r="J949" s="85"/>
      <c r="K949" s="88"/>
      <c r="L949" s="88"/>
      <c r="M949" s="85"/>
      <c r="N949" s="85"/>
      <c r="O949" s="73"/>
    </row>
    <row r="950" customFormat="false" ht="15" hidden="false" customHeight="false" outlineLevel="0" collapsed="false">
      <c r="A950" s="87"/>
      <c r="B950" s="73"/>
      <c r="C950" s="74" t="str">
        <f aca="false">IF(B950="","",IFERROR(INDEX(الموظفون!$C$6:$C$105,MATCH(B950,الموظفون!$B$6:$B$105,0)),"✖ رقم غير موجود"))</f>
        <v/>
      </c>
      <c r="D950" s="88"/>
      <c r="E950" s="88"/>
      <c r="F950" s="88"/>
      <c r="G950" s="85"/>
      <c r="H950" s="85"/>
      <c r="I950" s="85"/>
      <c r="J950" s="85"/>
      <c r="K950" s="88"/>
      <c r="L950" s="88"/>
      <c r="M950" s="85"/>
      <c r="N950" s="85"/>
      <c r="O950" s="73"/>
    </row>
    <row r="951" customFormat="false" ht="15" hidden="false" customHeight="false" outlineLevel="0" collapsed="false">
      <c r="A951" s="87"/>
      <c r="B951" s="73"/>
      <c r="C951" s="91" t="str">
        <f aca="false">IF(B951="","",IFERROR(INDEX(الموظفون!$C$6:$C$105,MATCH(B951,الموظفون!$B$6:$B$105,0)),"✖ رقم غير موجود"))</f>
        <v/>
      </c>
      <c r="D951" s="88"/>
      <c r="E951" s="88"/>
      <c r="F951" s="88"/>
      <c r="G951" s="85"/>
      <c r="H951" s="85"/>
      <c r="I951" s="85"/>
      <c r="J951" s="85"/>
      <c r="K951" s="88"/>
      <c r="L951" s="88"/>
      <c r="M951" s="85"/>
      <c r="N951" s="85"/>
      <c r="O951" s="73"/>
    </row>
    <row r="952" customFormat="false" ht="15" hidden="false" customHeight="false" outlineLevel="0" collapsed="false">
      <c r="A952" s="87"/>
      <c r="B952" s="73"/>
      <c r="C952" s="74" t="str">
        <f aca="false">IF(B952="","",IFERROR(INDEX(الموظفون!$C$6:$C$105,MATCH(B952,الموظفون!$B$6:$B$105,0)),"✖ رقم غير موجود"))</f>
        <v/>
      </c>
      <c r="D952" s="88"/>
      <c r="E952" s="88"/>
      <c r="F952" s="88"/>
      <c r="G952" s="85"/>
      <c r="H952" s="85"/>
      <c r="I952" s="85"/>
      <c r="J952" s="85"/>
      <c r="K952" s="88"/>
      <c r="L952" s="88"/>
      <c r="M952" s="85"/>
      <c r="N952" s="85"/>
      <c r="O952" s="73"/>
    </row>
    <row r="953" customFormat="false" ht="15" hidden="false" customHeight="false" outlineLevel="0" collapsed="false">
      <c r="A953" s="87"/>
      <c r="B953" s="73"/>
      <c r="C953" s="91" t="str">
        <f aca="false">IF(B953="","",IFERROR(INDEX(الموظفون!$C$6:$C$105,MATCH(B953,الموظفون!$B$6:$B$105,0)),"✖ رقم غير موجود"))</f>
        <v/>
      </c>
      <c r="D953" s="88"/>
      <c r="E953" s="88"/>
      <c r="F953" s="88"/>
      <c r="G953" s="85"/>
      <c r="H953" s="85"/>
      <c r="I953" s="85"/>
      <c r="J953" s="85"/>
      <c r="K953" s="88"/>
      <c r="L953" s="88"/>
      <c r="M953" s="85"/>
      <c r="N953" s="85"/>
      <c r="O953" s="73"/>
    </row>
    <row r="954" customFormat="false" ht="15" hidden="false" customHeight="false" outlineLevel="0" collapsed="false">
      <c r="A954" s="87"/>
      <c r="B954" s="73"/>
      <c r="C954" s="74" t="str">
        <f aca="false">IF(B954="","",IFERROR(INDEX(الموظفون!$C$6:$C$105,MATCH(B954,الموظفون!$B$6:$B$105,0)),"✖ رقم غير موجود"))</f>
        <v/>
      </c>
      <c r="D954" s="88"/>
      <c r="E954" s="88"/>
      <c r="F954" s="88"/>
      <c r="G954" s="85"/>
      <c r="H954" s="85"/>
      <c r="I954" s="85"/>
      <c r="J954" s="85"/>
      <c r="K954" s="88"/>
      <c r="L954" s="88"/>
      <c r="M954" s="85"/>
      <c r="N954" s="85"/>
      <c r="O954" s="73"/>
    </row>
    <row r="955" customFormat="false" ht="15" hidden="false" customHeight="false" outlineLevel="0" collapsed="false">
      <c r="A955" s="87"/>
      <c r="B955" s="73"/>
      <c r="C955" s="91" t="str">
        <f aca="false">IF(B955="","",IFERROR(INDEX(الموظفون!$C$6:$C$105,MATCH(B955,الموظفون!$B$6:$B$105,0)),"✖ رقم غير موجود"))</f>
        <v/>
      </c>
      <c r="D955" s="88"/>
      <c r="E955" s="88"/>
      <c r="F955" s="88"/>
      <c r="G955" s="85"/>
      <c r="H955" s="85"/>
      <c r="I955" s="85"/>
      <c r="J955" s="85"/>
      <c r="K955" s="88"/>
      <c r="L955" s="88"/>
      <c r="M955" s="85"/>
      <c r="N955" s="85"/>
      <c r="O955" s="73"/>
    </row>
    <row r="956" customFormat="false" ht="15" hidden="false" customHeight="false" outlineLevel="0" collapsed="false">
      <c r="A956" s="87"/>
      <c r="B956" s="73"/>
      <c r="C956" s="74" t="str">
        <f aca="false">IF(B956="","",IFERROR(INDEX(الموظفون!$C$6:$C$105,MATCH(B956,الموظفون!$B$6:$B$105,0)),"✖ رقم غير موجود"))</f>
        <v/>
      </c>
      <c r="D956" s="88"/>
      <c r="E956" s="88"/>
      <c r="F956" s="88"/>
      <c r="G956" s="85"/>
      <c r="H956" s="85"/>
      <c r="I956" s="85"/>
      <c r="J956" s="85"/>
      <c r="K956" s="88"/>
      <c r="L956" s="88"/>
      <c r="M956" s="85"/>
      <c r="N956" s="85"/>
      <c r="O956" s="73"/>
    </row>
    <row r="957" customFormat="false" ht="15" hidden="false" customHeight="false" outlineLevel="0" collapsed="false">
      <c r="A957" s="87"/>
      <c r="B957" s="73"/>
      <c r="C957" s="91" t="str">
        <f aca="false">IF(B957="","",IFERROR(INDEX(الموظفون!$C$6:$C$105,MATCH(B957,الموظفون!$B$6:$B$105,0)),"✖ رقم غير موجود"))</f>
        <v/>
      </c>
      <c r="D957" s="88"/>
      <c r="E957" s="88"/>
      <c r="F957" s="88"/>
      <c r="G957" s="85"/>
      <c r="H957" s="85"/>
      <c r="I957" s="85"/>
      <c r="J957" s="85"/>
      <c r="K957" s="88"/>
      <c r="L957" s="88"/>
      <c r="M957" s="85"/>
      <c r="N957" s="85"/>
      <c r="O957" s="73"/>
    </row>
    <row r="958" customFormat="false" ht="15" hidden="false" customHeight="false" outlineLevel="0" collapsed="false">
      <c r="A958" s="87"/>
      <c r="B958" s="73"/>
      <c r="C958" s="74" t="str">
        <f aca="false">IF(B958="","",IFERROR(INDEX(الموظفون!$C$6:$C$105,MATCH(B958,الموظفون!$B$6:$B$105,0)),"✖ رقم غير موجود"))</f>
        <v/>
      </c>
      <c r="D958" s="88"/>
      <c r="E958" s="88"/>
      <c r="F958" s="88"/>
      <c r="G958" s="85"/>
      <c r="H958" s="85"/>
      <c r="I958" s="85"/>
      <c r="J958" s="85"/>
      <c r="K958" s="88"/>
      <c r="L958" s="88"/>
      <c r="M958" s="85"/>
      <c r="N958" s="85"/>
      <c r="O958" s="73"/>
    </row>
    <row r="959" customFormat="false" ht="15" hidden="false" customHeight="false" outlineLevel="0" collapsed="false">
      <c r="A959" s="87"/>
      <c r="B959" s="73"/>
      <c r="C959" s="91" t="str">
        <f aca="false">IF(B959="","",IFERROR(INDEX(الموظفون!$C$6:$C$105,MATCH(B959,الموظفون!$B$6:$B$105,0)),"✖ رقم غير موجود"))</f>
        <v/>
      </c>
      <c r="D959" s="88"/>
      <c r="E959" s="88"/>
      <c r="F959" s="88"/>
      <c r="G959" s="85"/>
      <c r="H959" s="85"/>
      <c r="I959" s="85"/>
      <c r="J959" s="85"/>
      <c r="K959" s="88"/>
      <c r="L959" s="88"/>
      <c r="M959" s="85"/>
      <c r="N959" s="85"/>
      <c r="O959" s="73"/>
    </row>
    <row r="960" customFormat="false" ht="15" hidden="false" customHeight="false" outlineLevel="0" collapsed="false">
      <c r="A960" s="87"/>
      <c r="B960" s="73"/>
      <c r="C960" s="74" t="str">
        <f aca="false">IF(B960="","",IFERROR(INDEX(الموظفون!$C$6:$C$105,MATCH(B960,الموظفون!$B$6:$B$105,0)),"✖ رقم غير موجود"))</f>
        <v/>
      </c>
      <c r="D960" s="88"/>
      <c r="E960" s="88"/>
      <c r="F960" s="88"/>
      <c r="G960" s="85"/>
      <c r="H960" s="85"/>
      <c r="I960" s="85"/>
      <c r="J960" s="85"/>
      <c r="K960" s="88"/>
      <c r="L960" s="88"/>
      <c r="M960" s="85"/>
      <c r="N960" s="85"/>
      <c r="O960" s="73"/>
    </row>
    <row r="961" customFormat="false" ht="15" hidden="false" customHeight="false" outlineLevel="0" collapsed="false">
      <c r="A961" s="87"/>
      <c r="B961" s="73"/>
      <c r="C961" s="91" t="str">
        <f aca="false">IF(B961="","",IFERROR(INDEX(الموظفون!$C$6:$C$105,MATCH(B961,الموظفون!$B$6:$B$105,0)),"✖ رقم غير موجود"))</f>
        <v/>
      </c>
      <c r="D961" s="88"/>
      <c r="E961" s="88"/>
      <c r="F961" s="88"/>
      <c r="G961" s="85"/>
      <c r="H961" s="85"/>
      <c r="I961" s="85"/>
      <c r="J961" s="85"/>
      <c r="K961" s="88"/>
      <c r="L961" s="88"/>
      <c r="M961" s="85"/>
      <c r="N961" s="85"/>
      <c r="O961" s="73"/>
    </row>
    <row r="962" customFormat="false" ht="15" hidden="false" customHeight="false" outlineLevel="0" collapsed="false">
      <c r="A962" s="87"/>
      <c r="B962" s="73"/>
      <c r="C962" s="74" t="str">
        <f aca="false">IF(B962="","",IFERROR(INDEX(الموظفون!$C$6:$C$105,MATCH(B962,الموظفون!$B$6:$B$105,0)),"✖ رقم غير موجود"))</f>
        <v/>
      </c>
      <c r="D962" s="88"/>
      <c r="E962" s="88"/>
      <c r="F962" s="88"/>
      <c r="G962" s="85"/>
      <c r="H962" s="85"/>
      <c r="I962" s="85"/>
      <c r="J962" s="85"/>
      <c r="K962" s="88"/>
      <c r="L962" s="88"/>
      <c r="M962" s="85"/>
      <c r="N962" s="85"/>
      <c r="O962" s="73"/>
    </row>
    <row r="963" customFormat="false" ht="15" hidden="false" customHeight="false" outlineLevel="0" collapsed="false">
      <c r="A963" s="87"/>
      <c r="B963" s="73"/>
      <c r="C963" s="91" t="str">
        <f aca="false">IF(B963="","",IFERROR(INDEX(الموظفون!$C$6:$C$105,MATCH(B963,الموظفون!$B$6:$B$105,0)),"✖ رقم غير موجود"))</f>
        <v/>
      </c>
      <c r="D963" s="88"/>
      <c r="E963" s="88"/>
      <c r="F963" s="88"/>
      <c r="G963" s="85"/>
      <c r="H963" s="85"/>
      <c r="I963" s="85"/>
      <c r="J963" s="85"/>
      <c r="K963" s="88"/>
      <c r="L963" s="88"/>
      <c r="M963" s="85"/>
      <c r="N963" s="85"/>
      <c r="O963" s="73"/>
    </row>
    <row r="964" customFormat="false" ht="15" hidden="false" customHeight="false" outlineLevel="0" collapsed="false">
      <c r="A964" s="87"/>
      <c r="B964" s="73"/>
      <c r="C964" s="74" t="str">
        <f aca="false">IF(B964="","",IFERROR(INDEX(الموظفون!$C$6:$C$105,MATCH(B964,الموظفون!$B$6:$B$105,0)),"✖ رقم غير موجود"))</f>
        <v/>
      </c>
      <c r="D964" s="88"/>
      <c r="E964" s="88"/>
      <c r="F964" s="88"/>
      <c r="G964" s="85"/>
      <c r="H964" s="85"/>
      <c r="I964" s="85"/>
      <c r="J964" s="85"/>
      <c r="K964" s="88"/>
      <c r="L964" s="88"/>
      <c r="M964" s="85"/>
      <c r="N964" s="85"/>
      <c r="O964" s="73"/>
    </row>
    <row r="965" customFormat="false" ht="15" hidden="false" customHeight="false" outlineLevel="0" collapsed="false">
      <c r="A965" s="87"/>
      <c r="B965" s="73"/>
      <c r="C965" s="91" t="str">
        <f aca="false">IF(B965="","",IFERROR(INDEX(الموظفون!$C$6:$C$105,MATCH(B965,الموظفون!$B$6:$B$105,0)),"✖ رقم غير موجود"))</f>
        <v/>
      </c>
      <c r="D965" s="88"/>
      <c r="E965" s="88"/>
      <c r="F965" s="88"/>
      <c r="G965" s="85"/>
      <c r="H965" s="85"/>
      <c r="I965" s="85"/>
      <c r="J965" s="85"/>
      <c r="K965" s="88"/>
      <c r="L965" s="88"/>
      <c r="M965" s="85"/>
      <c r="N965" s="85"/>
      <c r="O965" s="73"/>
    </row>
    <row r="966" customFormat="false" ht="15" hidden="false" customHeight="false" outlineLevel="0" collapsed="false">
      <c r="A966" s="87"/>
      <c r="B966" s="73"/>
      <c r="C966" s="74" t="str">
        <f aca="false">IF(B966="","",IFERROR(INDEX(الموظفون!$C$6:$C$105,MATCH(B966,الموظفون!$B$6:$B$105,0)),"✖ رقم غير موجود"))</f>
        <v/>
      </c>
      <c r="D966" s="88"/>
      <c r="E966" s="88"/>
      <c r="F966" s="88"/>
      <c r="G966" s="85"/>
      <c r="H966" s="85"/>
      <c r="I966" s="85"/>
      <c r="J966" s="85"/>
      <c r="K966" s="88"/>
      <c r="L966" s="88"/>
      <c r="M966" s="85"/>
      <c r="N966" s="85"/>
      <c r="O966" s="73"/>
    </row>
    <row r="967" customFormat="false" ht="15" hidden="false" customHeight="false" outlineLevel="0" collapsed="false">
      <c r="A967" s="87"/>
      <c r="B967" s="73"/>
      <c r="C967" s="91" t="str">
        <f aca="false">IF(B967="","",IFERROR(INDEX(الموظفون!$C$6:$C$105,MATCH(B967,الموظفون!$B$6:$B$105,0)),"✖ رقم غير موجود"))</f>
        <v/>
      </c>
      <c r="D967" s="88"/>
      <c r="E967" s="88"/>
      <c r="F967" s="88"/>
      <c r="G967" s="85"/>
      <c r="H967" s="85"/>
      <c r="I967" s="85"/>
      <c r="J967" s="85"/>
      <c r="K967" s="88"/>
      <c r="L967" s="88"/>
      <c r="M967" s="85"/>
      <c r="N967" s="85"/>
      <c r="O967" s="73"/>
    </row>
    <row r="968" customFormat="false" ht="15" hidden="false" customHeight="false" outlineLevel="0" collapsed="false">
      <c r="A968" s="87"/>
      <c r="B968" s="73"/>
      <c r="C968" s="74" t="str">
        <f aca="false">IF(B968="","",IFERROR(INDEX(الموظفون!$C$6:$C$105,MATCH(B968,الموظفون!$B$6:$B$105,0)),"✖ رقم غير موجود"))</f>
        <v/>
      </c>
      <c r="D968" s="88"/>
      <c r="E968" s="88"/>
      <c r="F968" s="88"/>
      <c r="G968" s="85"/>
      <c r="H968" s="85"/>
      <c r="I968" s="85"/>
      <c r="J968" s="85"/>
      <c r="K968" s="88"/>
      <c r="L968" s="88"/>
      <c r="M968" s="85"/>
      <c r="N968" s="85"/>
      <c r="O968" s="73"/>
    </row>
    <row r="969" customFormat="false" ht="15" hidden="false" customHeight="false" outlineLevel="0" collapsed="false">
      <c r="A969" s="87"/>
      <c r="B969" s="73"/>
      <c r="C969" s="91" t="str">
        <f aca="false">IF(B969="","",IFERROR(INDEX(الموظفون!$C$6:$C$105,MATCH(B969,الموظفون!$B$6:$B$105,0)),"✖ رقم غير موجود"))</f>
        <v/>
      </c>
      <c r="D969" s="88"/>
      <c r="E969" s="88"/>
      <c r="F969" s="88"/>
      <c r="G969" s="85"/>
      <c r="H969" s="85"/>
      <c r="I969" s="85"/>
      <c r="J969" s="85"/>
      <c r="K969" s="88"/>
      <c r="L969" s="88"/>
      <c r="M969" s="85"/>
      <c r="N969" s="85"/>
      <c r="O969" s="73"/>
    </row>
    <row r="970" customFormat="false" ht="15" hidden="false" customHeight="false" outlineLevel="0" collapsed="false">
      <c r="A970" s="87"/>
      <c r="B970" s="73"/>
      <c r="C970" s="74" t="str">
        <f aca="false">IF(B970="","",IFERROR(INDEX(الموظفون!$C$6:$C$105,MATCH(B970,الموظفون!$B$6:$B$105,0)),"✖ رقم غير موجود"))</f>
        <v/>
      </c>
      <c r="D970" s="88"/>
      <c r="E970" s="88"/>
      <c r="F970" s="88"/>
      <c r="G970" s="85"/>
      <c r="H970" s="85"/>
      <c r="I970" s="85"/>
      <c r="J970" s="85"/>
      <c r="K970" s="88"/>
      <c r="L970" s="88"/>
      <c r="M970" s="85"/>
      <c r="N970" s="85"/>
      <c r="O970" s="73"/>
    </row>
    <row r="971" customFormat="false" ht="15" hidden="false" customHeight="false" outlineLevel="0" collapsed="false">
      <c r="A971" s="87"/>
      <c r="B971" s="73"/>
      <c r="C971" s="91" t="str">
        <f aca="false">IF(B971="","",IFERROR(INDEX(الموظفون!$C$6:$C$105,MATCH(B971,الموظفون!$B$6:$B$105,0)),"✖ رقم غير موجود"))</f>
        <v/>
      </c>
      <c r="D971" s="88"/>
      <c r="E971" s="88"/>
      <c r="F971" s="88"/>
      <c r="G971" s="85"/>
      <c r="H971" s="85"/>
      <c r="I971" s="85"/>
      <c r="J971" s="85"/>
      <c r="K971" s="88"/>
      <c r="L971" s="88"/>
      <c r="M971" s="85"/>
      <c r="N971" s="85"/>
      <c r="O971" s="73"/>
    </row>
    <row r="972" customFormat="false" ht="15" hidden="false" customHeight="false" outlineLevel="0" collapsed="false">
      <c r="A972" s="87"/>
      <c r="B972" s="73"/>
      <c r="C972" s="74" t="str">
        <f aca="false">IF(B972="","",IFERROR(INDEX(الموظفون!$C$6:$C$105,MATCH(B972,الموظفون!$B$6:$B$105,0)),"✖ رقم غير موجود"))</f>
        <v/>
      </c>
      <c r="D972" s="88"/>
      <c r="E972" s="88"/>
      <c r="F972" s="88"/>
      <c r="G972" s="85"/>
      <c r="H972" s="85"/>
      <c r="I972" s="85"/>
      <c r="J972" s="85"/>
      <c r="K972" s="88"/>
      <c r="L972" s="88"/>
      <c r="M972" s="85"/>
      <c r="N972" s="85"/>
      <c r="O972" s="73"/>
    </row>
    <row r="973" customFormat="false" ht="15" hidden="false" customHeight="false" outlineLevel="0" collapsed="false">
      <c r="A973" s="87"/>
      <c r="B973" s="73"/>
      <c r="C973" s="91" t="str">
        <f aca="false">IF(B973="","",IFERROR(INDEX(الموظفون!$C$6:$C$105,MATCH(B973,الموظفون!$B$6:$B$105,0)),"✖ رقم غير موجود"))</f>
        <v/>
      </c>
      <c r="D973" s="88"/>
      <c r="E973" s="88"/>
      <c r="F973" s="88"/>
      <c r="G973" s="85"/>
      <c r="H973" s="85"/>
      <c r="I973" s="85"/>
      <c r="J973" s="85"/>
      <c r="K973" s="88"/>
      <c r="L973" s="88"/>
      <c r="M973" s="85"/>
      <c r="N973" s="85"/>
      <c r="O973" s="73"/>
    </row>
    <row r="974" customFormat="false" ht="15" hidden="false" customHeight="false" outlineLevel="0" collapsed="false">
      <c r="A974" s="87"/>
      <c r="B974" s="73"/>
      <c r="C974" s="74" t="str">
        <f aca="false">IF(B974="","",IFERROR(INDEX(الموظفون!$C$6:$C$105,MATCH(B974,الموظفون!$B$6:$B$105,0)),"✖ رقم غير موجود"))</f>
        <v/>
      </c>
      <c r="D974" s="88"/>
      <c r="E974" s="88"/>
      <c r="F974" s="88"/>
      <c r="G974" s="85"/>
      <c r="H974" s="85"/>
      <c r="I974" s="85"/>
      <c r="J974" s="85"/>
      <c r="K974" s="88"/>
      <c r="L974" s="88"/>
      <c r="M974" s="85"/>
      <c r="N974" s="85"/>
      <c r="O974" s="73"/>
    </row>
    <row r="975" customFormat="false" ht="15" hidden="false" customHeight="false" outlineLevel="0" collapsed="false">
      <c r="A975" s="87"/>
      <c r="B975" s="73"/>
      <c r="C975" s="91" t="str">
        <f aca="false">IF(B975="","",IFERROR(INDEX(الموظفون!$C$6:$C$105,MATCH(B975,الموظفون!$B$6:$B$105,0)),"✖ رقم غير موجود"))</f>
        <v/>
      </c>
      <c r="D975" s="88"/>
      <c r="E975" s="88"/>
      <c r="F975" s="88"/>
      <c r="G975" s="85"/>
      <c r="H975" s="85"/>
      <c r="I975" s="85"/>
      <c r="J975" s="85"/>
      <c r="K975" s="88"/>
      <c r="L975" s="88"/>
      <c r="M975" s="85"/>
      <c r="N975" s="85"/>
      <c r="O975" s="73"/>
    </row>
    <row r="976" customFormat="false" ht="15" hidden="false" customHeight="false" outlineLevel="0" collapsed="false">
      <c r="A976" s="87"/>
      <c r="B976" s="73"/>
      <c r="C976" s="74" t="str">
        <f aca="false">IF(B976="","",IFERROR(INDEX(الموظفون!$C$6:$C$105,MATCH(B976,الموظفون!$B$6:$B$105,0)),"✖ رقم غير موجود"))</f>
        <v/>
      </c>
      <c r="D976" s="88"/>
      <c r="E976" s="88"/>
      <c r="F976" s="88"/>
      <c r="G976" s="85"/>
      <c r="H976" s="85"/>
      <c r="I976" s="85"/>
      <c r="J976" s="85"/>
      <c r="K976" s="88"/>
      <c r="L976" s="88"/>
      <c r="M976" s="85"/>
      <c r="N976" s="85"/>
      <c r="O976" s="73"/>
    </row>
    <row r="977" customFormat="false" ht="15" hidden="false" customHeight="false" outlineLevel="0" collapsed="false">
      <c r="A977" s="87"/>
      <c r="B977" s="73"/>
      <c r="C977" s="91" t="str">
        <f aca="false">IF(B977="","",IFERROR(INDEX(الموظفون!$C$6:$C$105,MATCH(B977,الموظفون!$B$6:$B$105,0)),"✖ رقم غير موجود"))</f>
        <v/>
      </c>
      <c r="D977" s="88"/>
      <c r="E977" s="88"/>
      <c r="F977" s="88"/>
      <c r="G977" s="85"/>
      <c r="H977" s="85"/>
      <c r="I977" s="85"/>
      <c r="J977" s="85"/>
      <c r="K977" s="88"/>
      <c r="L977" s="88"/>
      <c r="M977" s="85"/>
      <c r="N977" s="85"/>
      <c r="O977" s="73"/>
    </row>
    <row r="978" customFormat="false" ht="15" hidden="false" customHeight="false" outlineLevel="0" collapsed="false">
      <c r="A978" s="87"/>
      <c r="B978" s="73"/>
      <c r="C978" s="74" t="str">
        <f aca="false">IF(B978="","",IFERROR(INDEX(الموظفون!$C$6:$C$105,MATCH(B978,الموظفون!$B$6:$B$105,0)),"✖ رقم غير موجود"))</f>
        <v/>
      </c>
      <c r="D978" s="88"/>
      <c r="E978" s="88"/>
      <c r="F978" s="88"/>
      <c r="G978" s="85"/>
      <c r="H978" s="85"/>
      <c r="I978" s="85"/>
      <c r="J978" s="85"/>
      <c r="K978" s="88"/>
      <c r="L978" s="88"/>
      <c r="M978" s="85"/>
      <c r="N978" s="85"/>
      <c r="O978" s="73"/>
    </row>
    <row r="979" customFormat="false" ht="15" hidden="false" customHeight="false" outlineLevel="0" collapsed="false">
      <c r="A979" s="87"/>
      <c r="B979" s="73"/>
      <c r="C979" s="91" t="str">
        <f aca="false">IF(B979="","",IFERROR(INDEX(الموظفون!$C$6:$C$105,MATCH(B979,الموظفون!$B$6:$B$105,0)),"✖ رقم غير موجود"))</f>
        <v/>
      </c>
      <c r="D979" s="88"/>
      <c r="E979" s="88"/>
      <c r="F979" s="88"/>
      <c r="G979" s="85"/>
      <c r="H979" s="85"/>
      <c r="I979" s="85"/>
      <c r="J979" s="85"/>
      <c r="K979" s="88"/>
      <c r="L979" s="88"/>
      <c r="M979" s="85"/>
      <c r="N979" s="85"/>
      <c r="O979" s="73"/>
    </row>
    <row r="980" customFormat="false" ht="15" hidden="false" customHeight="false" outlineLevel="0" collapsed="false">
      <c r="A980" s="87"/>
      <c r="B980" s="73"/>
      <c r="C980" s="74" t="str">
        <f aca="false">IF(B980="","",IFERROR(INDEX(الموظفون!$C$6:$C$105,MATCH(B980,الموظفون!$B$6:$B$105,0)),"✖ رقم غير موجود"))</f>
        <v/>
      </c>
      <c r="D980" s="88"/>
      <c r="E980" s="88"/>
      <c r="F980" s="88"/>
      <c r="G980" s="85"/>
      <c r="H980" s="85"/>
      <c r="I980" s="85"/>
      <c r="J980" s="85"/>
      <c r="K980" s="88"/>
      <c r="L980" s="88"/>
      <c r="M980" s="85"/>
      <c r="N980" s="85"/>
      <c r="O980" s="73"/>
    </row>
    <row r="981" customFormat="false" ht="15" hidden="false" customHeight="false" outlineLevel="0" collapsed="false">
      <c r="A981" s="87"/>
      <c r="B981" s="73"/>
      <c r="C981" s="91" t="str">
        <f aca="false">IF(B981="","",IFERROR(INDEX(الموظفون!$C$6:$C$105,MATCH(B981,الموظفون!$B$6:$B$105,0)),"✖ رقم غير موجود"))</f>
        <v/>
      </c>
      <c r="D981" s="88"/>
      <c r="E981" s="88"/>
      <c r="F981" s="88"/>
      <c r="G981" s="85"/>
      <c r="H981" s="85"/>
      <c r="I981" s="85"/>
      <c r="J981" s="85"/>
      <c r="K981" s="88"/>
      <c r="L981" s="88"/>
      <c r="M981" s="85"/>
      <c r="N981" s="85"/>
      <c r="O981" s="73"/>
    </row>
    <row r="982" customFormat="false" ht="15" hidden="false" customHeight="false" outlineLevel="0" collapsed="false">
      <c r="A982" s="87"/>
      <c r="B982" s="73"/>
      <c r="C982" s="74" t="str">
        <f aca="false">IF(B982="","",IFERROR(INDEX(الموظفون!$C$6:$C$105,MATCH(B982,الموظفون!$B$6:$B$105,0)),"✖ رقم غير موجود"))</f>
        <v/>
      </c>
      <c r="D982" s="88"/>
      <c r="E982" s="88"/>
      <c r="F982" s="88"/>
      <c r="G982" s="85"/>
      <c r="H982" s="85"/>
      <c r="I982" s="85"/>
      <c r="J982" s="85"/>
      <c r="K982" s="88"/>
      <c r="L982" s="88"/>
      <c r="M982" s="85"/>
      <c r="N982" s="85"/>
      <c r="O982" s="73"/>
    </row>
    <row r="983" customFormat="false" ht="15" hidden="false" customHeight="false" outlineLevel="0" collapsed="false">
      <c r="A983" s="87"/>
      <c r="B983" s="73"/>
      <c r="C983" s="91" t="str">
        <f aca="false">IF(B983="","",IFERROR(INDEX(الموظفون!$C$6:$C$105,MATCH(B983,الموظفون!$B$6:$B$105,0)),"✖ رقم غير موجود"))</f>
        <v/>
      </c>
      <c r="D983" s="88"/>
      <c r="E983" s="88"/>
      <c r="F983" s="88"/>
      <c r="G983" s="85"/>
      <c r="H983" s="85"/>
      <c r="I983" s="85"/>
      <c r="J983" s="85"/>
      <c r="K983" s="88"/>
      <c r="L983" s="88"/>
      <c r="M983" s="85"/>
      <c r="N983" s="85"/>
      <c r="O983" s="73"/>
    </row>
    <row r="984" customFormat="false" ht="15" hidden="false" customHeight="false" outlineLevel="0" collapsed="false">
      <c r="A984" s="87"/>
      <c r="B984" s="73"/>
      <c r="C984" s="74" t="str">
        <f aca="false">IF(B984="","",IFERROR(INDEX(الموظفون!$C$6:$C$105,MATCH(B984,الموظفون!$B$6:$B$105,0)),"✖ رقم غير موجود"))</f>
        <v/>
      </c>
      <c r="D984" s="88"/>
      <c r="E984" s="88"/>
      <c r="F984" s="88"/>
      <c r="G984" s="85"/>
      <c r="H984" s="85"/>
      <c r="I984" s="85"/>
      <c r="J984" s="85"/>
      <c r="K984" s="88"/>
      <c r="L984" s="88"/>
      <c r="M984" s="85"/>
      <c r="N984" s="85"/>
      <c r="O984" s="73"/>
    </row>
    <row r="985" customFormat="false" ht="15" hidden="false" customHeight="false" outlineLevel="0" collapsed="false">
      <c r="A985" s="87"/>
      <c r="B985" s="73"/>
      <c r="C985" s="91" t="str">
        <f aca="false">IF(B985="","",IFERROR(INDEX(الموظفون!$C$6:$C$105,MATCH(B985,الموظفون!$B$6:$B$105,0)),"✖ رقم غير موجود"))</f>
        <v/>
      </c>
      <c r="D985" s="88"/>
      <c r="E985" s="88"/>
      <c r="F985" s="88"/>
      <c r="G985" s="85"/>
      <c r="H985" s="85"/>
      <c r="I985" s="85"/>
      <c r="J985" s="85"/>
      <c r="K985" s="88"/>
      <c r="L985" s="88"/>
      <c r="M985" s="85"/>
      <c r="N985" s="85"/>
      <c r="O985" s="73"/>
    </row>
    <row r="986" customFormat="false" ht="15" hidden="false" customHeight="false" outlineLevel="0" collapsed="false">
      <c r="A986" s="87"/>
      <c r="B986" s="73"/>
      <c r="C986" s="74" t="str">
        <f aca="false">IF(B986="","",IFERROR(INDEX(الموظفون!$C$6:$C$105,MATCH(B986,الموظفون!$B$6:$B$105,0)),"✖ رقم غير موجود"))</f>
        <v/>
      </c>
      <c r="D986" s="88"/>
      <c r="E986" s="88"/>
      <c r="F986" s="88"/>
      <c r="G986" s="85"/>
      <c r="H986" s="85"/>
      <c r="I986" s="85"/>
      <c r="J986" s="85"/>
      <c r="K986" s="88"/>
      <c r="L986" s="88"/>
      <c r="M986" s="85"/>
      <c r="N986" s="85"/>
      <c r="O986" s="73"/>
    </row>
    <row r="987" customFormat="false" ht="15" hidden="false" customHeight="false" outlineLevel="0" collapsed="false">
      <c r="A987" s="87"/>
      <c r="B987" s="73"/>
      <c r="C987" s="91" t="str">
        <f aca="false">IF(B987="","",IFERROR(INDEX(الموظفون!$C$6:$C$105,MATCH(B987,الموظفون!$B$6:$B$105,0)),"✖ رقم غير موجود"))</f>
        <v/>
      </c>
      <c r="D987" s="88"/>
      <c r="E987" s="88"/>
      <c r="F987" s="88"/>
      <c r="G987" s="85"/>
      <c r="H987" s="85"/>
      <c r="I987" s="85"/>
      <c r="J987" s="85"/>
      <c r="K987" s="88"/>
      <c r="L987" s="88"/>
      <c r="M987" s="85"/>
      <c r="N987" s="85"/>
      <c r="O987" s="73"/>
    </row>
    <row r="988" customFormat="false" ht="15" hidden="false" customHeight="false" outlineLevel="0" collapsed="false">
      <c r="A988" s="87"/>
      <c r="B988" s="73"/>
      <c r="C988" s="74" t="str">
        <f aca="false">IF(B988="","",IFERROR(INDEX(الموظفون!$C$6:$C$105,MATCH(B988,الموظفون!$B$6:$B$105,0)),"✖ رقم غير موجود"))</f>
        <v/>
      </c>
      <c r="D988" s="88"/>
      <c r="E988" s="88"/>
      <c r="F988" s="88"/>
      <c r="G988" s="85"/>
      <c r="H988" s="85"/>
      <c r="I988" s="85"/>
      <c r="J988" s="85"/>
      <c r="K988" s="88"/>
      <c r="L988" s="88"/>
      <c r="M988" s="85"/>
      <c r="N988" s="85"/>
      <c r="O988" s="73"/>
    </row>
    <row r="989" customFormat="false" ht="15" hidden="false" customHeight="false" outlineLevel="0" collapsed="false">
      <c r="A989" s="87"/>
      <c r="B989" s="73"/>
      <c r="C989" s="91" t="str">
        <f aca="false">IF(B989="","",IFERROR(INDEX(الموظفون!$C$6:$C$105,MATCH(B989,الموظفون!$B$6:$B$105,0)),"✖ رقم غير موجود"))</f>
        <v/>
      </c>
      <c r="D989" s="88"/>
      <c r="E989" s="88"/>
      <c r="F989" s="88"/>
      <c r="G989" s="85"/>
      <c r="H989" s="85"/>
      <c r="I989" s="85"/>
      <c r="J989" s="85"/>
      <c r="K989" s="88"/>
      <c r="L989" s="88"/>
      <c r="M989" s="85"/>
      <c r="N989" s="85"/>
      <c r="O989" s="73"/>
    </row>
    <row r="990" customFormat="false" ht="15" hidden="false" customHeight="false" outlineLevel="0" collapsed="false">
      <c r="A990" s="87"/>
      <c r="B990" s="73"/>
      <c r="C990" s="74" t="str">
        <f aca="false">IF(B990="","",IFERROR(INDEX(الموظفون!$C$6:$C$105,MATCH(B990,الموظفون!$B$6:$B$105,0)),"✖ رقم غير موجود"))</f>
        <v/>
      </c>
      <c r="D990" s="88"/>
      <c r="E990" s="88"/>
      <c r="F990" s="88"/>
      <c r="G990" s="85"/>
      <c r="H990" s="85"/>
      <c r="I990" s="85"/>
      <c r="J990" s="85"/>
      <c r="K990" s="88"/>
      <c r="L990" s="88"/>
      <c r="M990" s="85"/>
      <c r="N990" s="85"/>
      <c r="O990" s="73"/>
    </row>
    <row r="991" customFormat="false" ht="15" hidden="false" customHeight="false" outlineLevel="0" collapsed="false">
      <c r="A991" s="87"/>
      <c r="B991" s="73"/>
      <c r="C991" s="91" t="str">
        <f aca="false">IF(B991="","",IFERROR(INDEX(الموظفون!$C$6:$C$105,MATCH(B991,الموظفون!$B$6:$B$105,0)),"✖ رقم غير موجود"))</f>
        <v/>
      </c>
      <c r="D991" s="88"/>
      <c r="E991" s="88"/>
      <c r="F991" s="88"/>
      <c r="G991" s="85"/>
      <c r="H991" s="85"/>
      <c r="I991" s="85"/>
      <c r="J991" s="85"/>
      <c r="K991" s="88"/>
      <c r="L991" s="88"/>
      <c r="M991" s="85"/>
      <c r="N991" s="85"/>
      <c r="O991" s="73"/>
    </row>
    <row r="992" customFormat="false" ht="15" hidden="false" customHeight="false" outlineLevel="0" collapsed="false">
      <c r="A992" s="87"/>
      <c r="B992" s="73"/>
      <c r="C992" s="74" t="str">
        <f aca="false">IF(B992="","",IFERROR(INDEX(الموظفون!$C$6:$C$105,MATCH(B992,الموظفون!$B$6:$B$105,0)),"✖ رقم غير موجود"))</f>
        <v/>
      </c>
      <c r="D992" s="88"/>
      <c r="E992" s="88"/>
      <c r="F992" s="88"/>
      <c r="G992" s="85"/>
      <c r="H992" s="85"/>
      <c r="I992" s="85"/>
      <c r="J992" s="85"/>
      <c r="K992" s="88"/>
      <c r="L992" s="88"/>
      <c r="M992" s="85"/>
      <c r="N992" s="85"/>
      <c r="O992" s="73"/>
    </row>
    <row r="993" customFormat="false" ht="15" hidden="false" customHeight="false" outlineLevel="0" collapsed="false">
      <c r="A993" s="87"/>
      <c r="B993" s="73"/>
      <c r="C993" s="91" t="str">
        <f aca="false">IF(B993="","",IFERROR(INDEX(الموظفون!$C$6:$C$105,MATCH(B993,الموظفون!$B$6:$B$105,0)),"✖ رقم غير موجود"))</f>
        <v/>
      </c>
      <c r="D993" s="88"/>
      <c r="E993" s="88"/>
      <c r="F993" s="88"/>
      <c r="G993" s="85"/>
      <c r="H993" s="85"/>
      <c r="I993" s="85"/>
      <c r="J993" s="85"/>
      <c r="K993" s="88"/>
      <c r="L993" s="88"/>
      <c r="M993" s="85"/>
      <c r="N993" s="85"/>
      <c r="O993" s="73"/>
    </row>
    <row r="994" customFormat="false" ht="15" hidden="false" customHeight="false" outlineLevel="0" collapsed="false">
      <c r="A994" s="87"/>
      <c r="B994" s="73"/>
      <c r="C994" s="74" t="str">
        <f aca="false">IF(B994="","",IFERROR(INDEX(الموظفون!$C$6:$C$105,MATCH(B994,الموظفون!$B$6:$B$105,0)),"✖ رقم غير موجود"))</f>
        <v/>
      </c>
      <c r="D994" s="88"/>
      <c r="E994" s="88"/>
      <c r="F994" s="88"/>
      <c r="G994" s="85"/>
      <c r="H994" s="85"/>
      <c r="I994" s="85"/>
      <c r="J994" s="85"/>
      <c r="K994" s="88"/>
      <c r="L994" s="88"/>
      <c r="M994" s="85"/>
      <c r="N994" s="85"/>
      <c r="O994" s="73"/>
    </row>
    <row r="995" customFormat="false" ht="15" hidden="false" customHeight="false" outlineLevel="0" collapsed="false">
      <c r="A995" s="87"/>
      <c r="B995" s="73"/>
      <c r="C995" s="91" t="str">
        <f aca="false">IF(B995="","",IFERROR(INDEX(الموظفون!$C$6:$C$105,MATCH(B995,الموظفون!$B$6:$B$105,0)),"✖ رقم غير موجود"))</f>
        <v/>
      </c>
      <c r="D995" s="88"/>
      <c r="E995" s="88"/>
      <c r="F995" s="88"/>
      <c r="G995" s="85"/>
      <c r="H995" s="85"/>
      <c r="I995" s="85"/>
      <c r="J995" s="85"/>
      <c r="K995" s="88"/>
      <c r="L995" s="88"/>
      <c r="M995" s="85"/>
      <c r="N995" s="85"/>
      <c r="O995" s="73"/>
    </row>
    <row r="996" customFormat="false" ht="15" hidden="false" customHeight="false" outlineLevel="0" collapsed="false">
      <c r="A996" s="87"/>
      <c r="B996" s="73"/>
      <c r="C996" s="74" t="str">
        <f aca="false">IF(B996="","",IFERROR(INDEX(الموظفون!$C$6:$C$105,MATCH(B996,الموظفون!$B$6:$B$105,0)),"✖ رقم غير موجود"))</f>
        <v/>
      </c>
      <c r="D996" s="88"/>
      <c r="E996" s="88"/>
      <c r="F996" s="88"/>
      <c r="G996" s="85"/>
      <c r="H996" s="85"/>
      <c r="I996" s="85"/>
      <c r="J996" s="85"/>
      <c r="K996" s="88"/>
      <c r="L996" s="88"/>
      <c r="M996" s="85"/>
      <c r="N996" s="85"/>
      <c r="O996" s="73"/>
    </row>
    <row r="997" customFormat="false" ht="15" hidden="false" customHeight="false" outlineLevel="0" collapsed="false">
      <c r="A997" s="87"/>
      <c r="B997" s="73"/>
      <c r="C997" s="91" t="str">
        <f aca="false">IF(B997="","",IFERROR(INDEX(الموظفون!$C$6:$C$105,MATCH(B997,الموظفون!$B$6:$B$105,0)),"✖ رقم غير موجود"))</f>
        <v/>
      </c>
      <c r="D997" s="88"/>
      <c r="E997" s="88"/>
      <c r="F997" s="88"/>
      <c r="G997" s="85"/>
      <c r="H997" s="85"/>
      <c r="I997" s="85"/>
      <c r="J997" s="85"/>
      <c r="K997" s="88"/>
      <c r="L997" s="88"/>
      <c r="M997" s="85"/>
      <c r="N997" s="85"/>
      <c r="O997" s="73"/>
    </row>
    <row r="998" customFormat="false" ht="15" hidden="false" customHeight="false" outlineLevel="0" collapsed="false">
      <c r="A998" s="87"/>
      <c r="B998" s="73"/>
      <c r="C998" s="74" t="str">
        <f aca="false">IF(B998="","",IFERROR(INDEX(الموظفون!$C$6:$C$105,MATCH(B998,الموظفون!$B$6:$B$105,0)),"✖ رقم غير موجود"))</f>
        <v/>
      </c>
      <c r="D998" s="88"/>
      <c r="E998" s="88"/>
      <c r="F998" s="88"/>
      <c r="G998" s="85"/>
      <c r="H998" s="85"/>
      <c r="I998" s="85"/>
      <c r="J998" s="85"/>
      <c r="K998" s="88"/>
      <c r="L998" s="88"/>
      <c r="M998" s="85"/>
      <c r="N998" s="85"/>
      <c r="O998" s="73"/>
    </row>
    <row r="999" customFormat="false" ht="15" hidden="false" customHeight="false" outlineLevel="0" collapsed="false">
      <c r="A999" s="87"/>
      <c r="B999" s="73"/>
      <c r="C999" s="91" t="str">
        <f aca="false">IF(B999="","",IFERROR(INDEX(الموظفون!$C$6:$C$105,MATCH(B999,الموظفون!$B$6:$B$105,0)),"✖ رقم غير موجود"))</f>
        <v/>
      </c>
      <c r="D999" s="88"/>
      <c r="E999" s="88"/>
      <c r="F999" s="88"/>
      <c r="G999" s="85"/>
      <c r="H999" s="85"/>
      <c r="I999" s="85"/>
      <c r="J999" s="85"/>
      <c r="K999" s="88"/>
      <c r="L999" s="88"/>
      <c r="M999" s="85"/>
      <c r="N999" s="85"/>
      <c r="O999" s="73"/>
    </row>
    <row r="1000" customFormat="false" ht="15" hidden="false" customHeight="false" outlineLevel="0" collapsed="false">
      <c r="A1000" s="87"/>
      <c r="B1000" s="73"/>
      <c r="C1000" s="74" t="str">
        <f aca="false">IF(B1000="","",IFERROR(INDEX(الموظفون!$C$6:$C$105,MATCH(B1000,الموظفون!$B$6:$B$105,0)),"✖ رقم غير موجود"))</f>
        <v/>
      </c>
      <c r="D1000" s="88"/>
      <c r="E1000" s="88"/>
      <c r="F1000" s="88"/>
      <c r="G1000" s="85"/>
      <c r="H1000" s="85"/>
      <c r="I1000" s="85"/>
      <c r="J1000" s="85"/>
      <c r="K1000" s="88"/>
      <c r="L1000" s="88"/>
      <c r="M1000" s="85"/>
      <c r="N1000" s="85"/>
      <c r="O1000" s="73"/>
    </row>
    <row r="1001" customFormat="false" ht="15" hidden="false" customHeight="false" outlineLevel="0" collapsed="false">
      <c r="A1001" s="87"/>
      <c r="B1001" s="73"/>
      <c r="C1001" s="91" t="str">
        <f aca="false">IF(B1001="","",IFERROR(INDEX(الموظفون!$C$6:$C$105,MATCH(B1001,الموظفون!$B$6:$B$105,0)),"✖ رقم غير موجود"))</f>
        <v/>
      </c>
      <c r="D1001" s="88"/>
      <c r="E1001" s="88"/>
      <c r="F1001" s="88"/>
      <c r="G1001" s="85"/>
      <c r="H1001" s="85"/>
      <c r="I1001" s="85"/>
      <c r="J1001" s="85"/>
      <c r="K1001" s="88"/>
      <c r="L1001" s="88"/>
      <c r="M1001" s="85"/>
      <c r="N1001" s="85"/>
      <c r="O1001" s="73"/>
    </row>
    <row r="1002" customFormat="false" ht="15" hidden="false" customHeight="false" outlineLevel="0" collapsed="false">
      <c r="A1002" s="87"/>
      <c r="B1002" s="73"/>
      <c r="C1002" s="74" t="str">
        <f aca="false">IF(B1002="","",IFERROR(INDEX(الموظفون!$C$6:$C$105,MATCH(B1002,الموظفون!$B$6:$B$105,0)),"✖ رقم غير موجود"))</f>
        <v/>
      </c>
      <c r="D1002" s="88"/>
      <c r="E1002" s="88"/>
      <c r="F1002" s="88"/>
      <c r="G1002" s="85"/>
      <c r="H1002" s="85"/>
      <c r="I1002" s="85"/>
      <c r="J1002" s="85"/>
      <c r="K1002" s="88"/>
      <c r="L1002" s="88"/>
      <c r="M1002" s="85"/>
      <c r="N1002" s="85"/>
      <c r="O1002" s="73"/>
    </row>
    <row r="1003" customFormat="false" ht="15" hidden="false" customHeight="false" outlineLevel="0" collapsed="false">
      <c r="A1003" s="87"/>
      <c r="B1003" s="73"/>
      <c r="C1003" s="91" t="str">
        <f aca="false">IF(B1003="","",IFERROR(INDEX(الموظفون!$C$6:$C$105,MATCH(B1003,الموظفون!$B$6:$B$105,0)),"✖ رقم غير موجود"))</f>
        <v/>
      </c>
      <c r="D1003" s="88"/>
      <c r="E1003" s="88"/>
      <c r="F1003" s="88"/>
      <c r="G1003" s="85"/>
      <c r="H1003" s="85"/>
      <c r="I1003" s="85"/>
      <c r="J1003" s="85"/>
      <c r="K1003" s="88"/>
      <c r="L1003" s="88"/>
      <c r="M1003" s="85"/>
      <c r="N1003" s="85"/>
      <c r="O1003" s="73"/>
    </row>
    <row r="1004" customFormat="false" ht="15" hidden="false" customHeight="false" outlineLevel="0" collapsed="false">
      <c r="A1004" s="87"/>
      <c r="B1004" s="73"/>
      <c r="C1004" s="74" t="str">
        <f aca="false">IF(B1004="","",IFERROR(INDEX(الموظفون!$C$6:$C$105,MATCH(B1004,الموظفون!$B$6:$B$105,0)),"✖ رقم غير موجود"))</f>
        <v/>
      </c>
      <c r="D1004" s="88"/>
      <c r="E1004" s="88"/>
      <c r="F1004" s="88"/>
      <c r="G1004" s="85"/>
      <c r="H1004" s="85"/>
      <c r="I1004" s="85"/>
      <c r="J1004" s="85"/>
      <c r="K1004" s="88"/>
      <c r="L1004" s="88"/>
      <c r="M1004" s="85"/>
      <c r="N1004" s="85"/>
      <c r="O1004" s="73"/>
    </row>
    <row r="1005" customFormat="false" ht="15" hidden="false" customHeight="false" outlineLevel="0" collapsed="false">
      <c r="A1005" s="87"/>
      <c r="B1005" s="73"/>
      <c r="C1005" s="91" t="str">
        <f aca="false">IF(B1005="","",IFERROR(INDEX(الموظفون!$C$6:$C$105,MATCH(B1005,الموظفون!$B$6:$B$105,0)),"✖ رقم غير موجود"))</f>
        <v/>
      </c>
      <c r="D1005" s="88"/>
      <c r="E1005" s="88"/>
      <c r="F1005" s="88"/>
      <c r="G1005" s="85"/>
      <c r="H1005" s="85"/>
      <c r="I1005" s="85"/>
      <c r="J1005" s="85"/>
      <c r="K1005" s="88"/>
      <c r="L1005" s="88"/>
      <c r="M1005" s="85"/>
      <c r="N1005" s="85"/>
      <c r="O1005" s="73"/>
    </row>
  </sheetData>
  <autoFilter ref="A5:O1005"/>
  <mergeCells count="3">
    <mergeCell ref="A1:O1"/>
    <mergeCell ref="A2:O2"/>
    <mergeCell ref="A4:O4"/>
  </mergeCells>
  <conditionalFormatting sqref="C6:C1005">
    <cfRule type="expression" priority="2" aboveAverage="0" equalAverage="0" bottom="0" percent="0" rank="0" text="" dxfId="0">
      <formula>ISNUMBER(SEARCH("✔",C6))</formula>
    </cfRule>
    <cfRule type="expression" priority="3" aboveAverage="0" equalAverage="0" bottom="0" percent="0" rank="0" text="" dxfId="1">
      <formula>ISNUMBER(SEARCH("✖",C6))</formula>
    </cfRule>
    <cfRule type="expression" priority="4" aboveAverage="0" equalAverage="0" bottom="0" percent="0" rank="0" text="" dxfId="2">
      <formula>ISNUMBER(SEARCH("⚠",C6))</formula>
    </cfRule>
  </conditionalFormatting>
  <dataValidations count="3">
    <dataValidation allowBlank="true" error="الشهر رقم من 1 إلى 12" errorStyle="stop" errorTitle="قيمة غير صحيحة" operator="between" showDropDown="false" showErrorMessage="true" showInputMessage="false" sqref="A6:A1005" type="whole">
      <formula1>1</formula1>
      <formula2>12</formula2>
    </dataValidation>
    <dataValidation allowBlank="true" error="من فضلك اختر قيمة من القائمة المنسدلة." errorStyle="stop" errorTitle="قيمة غير مسموحة" operator="between" prompt="اختر رقم الموظف من القائمة" promptTitle="الرقم الوظيفي" showDropDown="false" showErrorMessage="true" showInputMessage="true" sqref="B6:B1005" type="list">
      <formula1>L_EMPID</formula1>
      <formula2>0</formula2>
    </dataValidation>
    <dataValidation allowBlank="true" error="القيم يجب أن تكون موجبة" errorStyle="stop" errorTitle="قيمة غير صحيحة" operator="greaterThanOrEqual" showDropDown="false" showErrorMessage="true" showInputMessage="false" sqref="D6:N1005" type="decimal">
      <formula1>0</formula1>
      <formula2>0</formula2>
    </dataValidation>
  </dataValidations>
  <hyperlinks>
    <hyperlink ref="A3" location="'الرئيسية'!A1" display="🏠 الرئيسية"/>
    <hyperlink ref="B3" location="'لوحة التحكم'!A1" display="📊 لوحة التحكم"/>
    <hyperlink ref="C3" location="'الإعدادات'!A1" display="⚙ الإعدادات"/>
    <hyperlink ref="D3" location="'الموظفون'!A1" display="👥 الموظفون"/>
    <hyperlink ref="E3" location="'الملخص الشهري'!A1" display="📅 الملخص الشهري"/>
    <hyperlink ref="F3" location="'قيود الرواتب'!A1" display="🧾 القيود"/>
    <hyperlink ref="G3" location="'قسيمة الراتب'!A1" display="💳 القسيمة"/>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791F"/>
    <pageSetUpPr fitToPage="true"/>
  </sheetPr>
  <dimension ref="A1:AE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9"/>
    <col collapsed="false" customWidth="true" hidden="false" outlineLevel="0" max="8" min="7" style="0" width="8"/>
    <col collapsed="false" customWidth="true" hidden="false" outlineLevel="0" max="9" min="9" style="0" width="9"/>
    <col collapsed="false" customWidth="true" hidden="false" outlineLevel="0" max="10" min="10" style="0" width="12"/>
    <col collapsed="false" customWidth="true" hidden="false" outlineLevel="0" max="11" min="11" style="0" width="11"/>
    <col collapsed="false" customWidth="true" hidden="false" outlineLevel="0" max="13" min="12" style="0" width="10"/>
    <col collapsed="false" customWidth="true" hidden="false" outlineLevel="0" max="14" min="14" style="0" width="8"/>
    <col collapsed="false" customWidth="true" hidden="false" outlineLevel="0" max="17" min="15" style="0" width="11"/>
    <col collapsed="false" customWidth="true" hidden="false" outlineLevel="0" max="18" min="18" style="0" width="13"/>
    <col collapsed="false" customWidth="true" hidden="false" outlineLevel="0" max="19" min="19" style="0" width="11"/>
    <col collapsed="false" customWidth="true" hidden="false" outlineLevel="0" max="21" min="20" style="0" width="10"/>
    <col collapsed="false" customWidth="true" hidden="false" outlineLevel="0" max="22" min="22" style="0" width="12"/>
    <col collapsed="false" customWidth="true" hidden="false" outlineLevel="0" max="23" min="23" style="0" width="13"/>
    <col collapsed="false" customWidth="true" hidden="false" outlineLevel="0" max="24" min="24" style="0" width="11"/>
    <col collapsed="false" customWidth="true" hidden="false" outlineLevel="0" max="25" min="25" style="0" width="12"/>
    <col collapsed="false" customWidth="true" hidden="false" outlineLevel="0" max="27" min="26" style="0" width="11"/>
    <col collapsed="false" customWidth="true" hidden="false" outlineLevel="0" max="28" min="28" style="0" width="13"/>
    <col collapsed="false" customWidth="true" hidden="false" outlineLevel="0" max="31" min="29" style="0" width="9"/>
  </cols>
  <sheetData>
    <row r="1" customFormat="false" ht="37.5" hidden="false" customHeight="true" outlineLevel="0" collapsed="false">
      <c r="A1" s="1" t="str">
        <f aca="false">"💵 مسير رواتب شهر يناير "&amp;cfg_FY</f>
        <v>💵 مسير رواتب شهر يناير 2026</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9.5" hidden="false" customHeight="true" outlineLevel="0" collapsed="false">
      <c r="A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row>
    <row r="3" customFormat="false" ht="25.5" hidden="false" customHeight="true" outlineLevel="0" collapsed="false">
      <c r="B3" s="93" t="s">
        <v>103</v>
      </c>
      <c r="C3" s="94" t="n">
        <v>1</v>
      </c>
      <c r="D3" s="93" t="s">
        <v>322</v>
      </c>
      <c r="E3" s="95" t="n">
        <f aca="false">DATE(cfg_FY,C3,1)</f>
        <v>46023</v>
      </c>
      <c r="F3" s="93" t="s">
        <v>323</v>
      </c>
      <c r="G3" s="95" t="n">
        <f aca="false">EOMONTH(E3,0)</f>
        <v>46053</v>
      </c>
      <c r="H3" s="96" t="str">
        <f aca="false">IF(C3&lt;=cfg_VAL_M,"✔ فعلي","⚠ متوقع")</f>
        <v>✔ فعلي</v>
      </c>
      <c r="L3" s="97" t="s">
        <v>324</v>
      </c>
      <c r="M3" s="97"/>
      <c r="O3" s="22" t="s">
        <v>61</v>
      </c>
      <c r="P3" s="12" t="s">
        <v>111</v>
      </c>
      <c r="R3" s="23" t="s">
        <v>63</v>
      </c>
      <c r="S3" s="23" t="s">
        <v>64</v>
      </c>
      <c r="U3" s="23" t="s">
        <v>39</v>
      </c>
      <c r="W3" s="23" t="s">
        <v>65</v>
      </c>
    </row>
    <row r="4" customFormat="false" ht="7.5" hidden="false" customHeight="true" outlineLevel="0" collapsed="false"/>
    <row r="5" customFormat="false" ht="48" hidden="false" customHeight="true" outlineLevel="0" collapsed="false">
      <c r="A5" s="98" t="s">
        <v>207</v>
      </c>
      <c r="B5" s="98" t="s">
        <v>208</v>
      </c>
      <c r="C5" s="98" t="s">
        <v>209</v>
      </c>
      <c r="D5" s="98" t="s">
        <v>96</v>
      </c>
      <c r="E5" s="98" t="s">
        <v>84</v>
      </c>
      <c r="F5" s="99" t="s">
        <v>325</v>
      </c>
      <c r="G5" s="99" t="s">
        <v>326</v>
      </c>
      <c r="H5" s="99" t="s">
        <v>327</v>
      </c>
      <c r="I5" s="99" t="s">
        <v>328</v>
      </c>
      <c r="J5" s="100" t="s">
        <v>329</v>
      </c>
      <c r="K5" s="100" t="s">
        <v>330</v>
      </c>
      <c r="L5" s="100" t="s">
        <v>331</v>
      </c>
      <c r="M5" s="100" t="s">
        <v>332</v>
      </c>
      <c r="N5" s="100" t="s">
        <v>333</v>
      </c>
      <c r="O5" s="100" t="s">
        <v>334</v>
      </c>
      <c r="P5" s="100" t="s">
        <v>298</v>
      </c>
      <c r="Q5" s="100" t="s">
        <v>335</v>
      </c>
      <c r="R5" s="100" t="s">
        <v>74</v>
      </c>
      <c r="S5" s="101" t="s">
        <v>336</v>
      </c>
      <c r="T5" s="101" t="s">
        <v>300</v>
      </c>
      <c r="U5" s="101" t="s">
        <v>301</v>
      </c>
      <c r="V5" s="101" t="s">
        <v>337</v>
      </c>
      <c r="W5" s="102" t="s">
        <v>338</v>
      </c>
      <c r="X5" s="103" t="s">
        <v>339</v>
      </c>
      <c r="Y5" s="103" t="s">
        <v>340</v>
      </c>
      <c r="Z5" s="103" t="s">
        <v>341</v>
      </c>
      <c r="AA5" s="103" t="s">
        <v>342</v>
      </c>
      <c r="AB5" s="103" t="s">
        <v>343</v>
      </c>
      <c r="AC5" s="104" t="s">
        <v>344</v>
      </c>
      <c r="AD5" s="104" t="s">
        <v>345</v>
      </c>
      <c r="AE5" s="104" t="s">
        <v>346</v>
      </c>
    </row>
    <row r="6" customFormat="false" ht="15" hidden="false" customHeight="false" outlineLevel="0" collapsed="false">
      <c r="A6" s="83" t="n">
        <f aca="false">IF($B6="","",الموظفون!$A6)</f>
        <v>1</v>
      </c>
      <c r="B6" s="74" t="str">
        <f aca="false">IF(الموظفون!$B6="","",الموظفون!$B6)</f>
        <v>E001</v>
      </c>
      <c r="C6" s="74" t="str">
        <f aca="false">IF($B6="","",الموظفون!$C6)</f>
        <v>عبدالله محمد العتيبي</v>
      </c>
      <c r="D6" s="74" t="str">
        <f aca="false">IF($B6="","",الموظفون!$F6)</f>
        <v>الإدارة العليا</v>
      </c>
      <c r="E6" s="74" t="str">
        <f aca="false">IF($B6="","",الموظفون!$E6)</f>
        <v>سعودي</v>
      </c>
      <c r="F6" s="105" t="n">
        <f aca="false">IF($B6="","",IF(AE6&gt;=DAY($G$3),cfg_DAYS_M,MIN(AE6,cfg_DAYS_M)))</f>
        <v>30</v>
      </c>
      <c r="G6" s="105" t="n">
        <f aca="false">IF($B6="","",SUMIFS('الحركات الشهرية'!$D$6:$D$1005,'الحركات الشهرية'!$B$6:$B$1005,$B6,'الحركات الشهرية'!$A$6:$A$1005,$C$3))</f>
        <v>0</v>
      </c>
      <c r="H6" s="105" t="n">
        <f aca="false">IF($B6="","",SUMIFS('الحركات الشهرية'!$E$6:$E$1005,'الحركات الشهرية'!$B$6:$B$1005,$B6,'الحركات الشهرية'!$A$6:$A$1005,$C$3))</f>
        <v>0</v>
      </c>
      <c r="I6" s="105" t="n">
        <f aca="false">IF($B6="","",MAX(0,F6-G6-H6))</f>
        <v>30</v>
      </c>
      <c r="J6" s="86" t="n">
        <f aca="false">IF($B6="","",الموظفون!$J6*$I6/cfg_DAYS_M)</f>
        <v>28000</v>
      </c>
      <c r="K6" s="86" t="n">
        <f aca="false">IF($B6="","",الموظفون!$K6*$I6/cfg_DAYS_M)</f>
        <v>7000</v>
      </c>
      <c r="L6" s="86" t="n">
        <f aca="false">IF($B6="","",الموظفون!$L6*$I6/cfg_DAYS_M)</f>
        <v>2800</v>
      </c>
      <c r="M6" s="86" t="n">
        <f aca="false">IF($B6="","",الموظفون!$M6*$I6/cfg_DAYS_M)</f>
        <v>3000</v>
      </c>
      <c r="N6" s="105" t="n">
        <f aca="false">IF($B6="","",SUMIFS('الحركات الشهرية'!$F$6:$F$1005,'الحركات الشهرية'!$B$6:$B$1005,$B6,'الحركات الشهرية'!$A$6:$A$1005,$C$3))</f>
        <v>0</v>
      </c>
      <c r="O6" s="86" t="n">
        <f aca="false">IF($B6="","",N6*(الموظفون!$N6+الموظفون!$J6*cfg_OT_P)/cfg_DAYS_M/cfg_HRS)</f>
        <v>0</v>
      </c>
      <c r="P6" s="86" t="n">
        <f aca="false">IF($B6="","",SUMIFS('الحركات الشهرية'!$G$6:$G$1005,'الحركات الشهرية'!$B$6:$B$1005,$B6,'الحركات الشهرية'!$A$6:$A$1005,$C$3))</f>
        <v>0</v>
      </c>
      <c r="Q6" s="86" t="n">
        <f aca="false">IF($B6="","",SUMIFS('الحركات الشهرية'!$H$6:$H$1005,'الحركات الشهرية'!$B$6:$B$1005,$B6,'الحركات الشهرية'!$A$6:$A$1005,$C$3))</f>
        <v>0</v>
      </c>
      <c r="R6" s="106" t="n">
        <f aca="false">IF($B6="","",SUM(J6:M6)+SUM(O6:Q6))</f>
        <v>40800</v>
      </c>
      <c r="S6" s="86" t="n">
        <f aca="false">IF($B6="","",الموظفون!$Q6*IF(E6="سعودي",cfg_G_SE,cfg_G_NE)*F6/cfg_DAYS_M)</f>
        <v>3412.5</v>
      </c>
      <c r="T6" s="86" t="n">
        <f aca="false">IF($B6="","",SUMIFS('الحركات الشهرية'!$I$6:$I$1005,'الحركات الشهرية'!$B$6:$B$1005,$B6,'الحركات الشهرية'!$A$6:$A$1005,$C$3))</f>
        <v>0</v>
      </c>
      <c r="U6" s="86" t="n">
        <f aca="false">IF($B6="","",SUMIFS('الحركات الشهرية'!$J$6:$J$1005,'الحركات الشهرية'!$B$6:$B$1005,$B6,'الحركات الشهرية'!$A$6:$A$1005,$C$3))</f>
        <v>0</v>
      </c>
      <c r="V6" s="86" t="n">
        <f aca="false">IF($B6="","",SUM(S6:U6))</f>
        <v>3412.5</v>
      </c>
      <c r="W6" s="107" t="n">
        <f aca="false">IF($B6="","",R6-V6)</f>
        <v>37387.5</v>
      </c>
      <c r="X6" s="86" t="n">
        <f aca="false">IF($B6="","",الموظفون!$Q6*IF(E6="سعودي",cfg_G_SR,cfg_G_NR)*F6/cfg_DAYS_M)</f>
        <v>4112.5</v>
      </c>
      <c r="Y6" s="86" t="n">
        <f aca="false">IF($B6="","",الموظفون!$O6*(cfg_EOS_R1*(MIN(AC6,cfg_EOS_TH)-MIN(AD6,cfg_EOS_TH))+cfg_EOS_R2*(MAX(AC6-cfg_EOS_TH,0)-MAX(AD6-cfg_EOS_TH,0))))</f>
        <v>3210.41095890406</v>
      </c>
      <c r="Z6" s="86" t="n">
        <f aca="false">IF($B6="","",IF(الموظفون!$R6&lt;&gt;"",الموظفون!$R6,IF(AC6&gt;=cfg_LV_TH,cfg_LV_D2,cfg_LV_D1))/cfg_DAYS_Y*AE6*الموظفون!$P6/cfg_DAYS_M)</f>
        <v>3210.41095890411</v>
      </c>
      <c r="AA6" s="86" t="n">
        <f aca="false">IF($B6="","",IF(AND(الموظفون!$S6="نعم",N(الموظفون!$U6)&gt;0),الموظفون!$T6/الموظفون!$U6*12/cfg_DAYS_Y*AE6,0))</f>
        <v>0</v>
      </c>
      <c r="AB6" s="108" t="n">
        <f aca="false">IF($B6="","",R6+SUM(X6:AA6))</f>
        <v>51333.3219178082</v>
      </c>
      <c r="AC6" s="109" t="n">
        <f aca="false">IF($B6="","",MAX(0,IF(OR(الموظفون!$X6="",الموظفون!$X6&gt;$G$3),$G$3,الموظفون!$X6)-الموظفون!$H6+1)/cfg_DAYS_Y)</f>
        <v>14.0575342465753</v>
      </c>
      <c r="AD6" s="109" t="n">
        <f aca="false">IF($B6="","",MAX(0,IF(OR(الموظفون!$X6="",الموظفون!$X6&gt;($E$3-1)),($E$3-1),الموظفون!$X6)-الموظفون!$H6+1)/cfg_DAYS_Y)</f>
        <v>13.972602739726</v>
      </c>
      <c r="AE6" s="51" t="n">
        <f aca="false">IF($B6="","",MAX(0,IF(OR(الموظفون!$X6="",الموظفون!$X6&gt;$G$3),$G$3,الموظفون!$X6)-MAX($E$3,الموظفون!$H6)+1))</f>
        <v>31</v>
      </c>
    </row>
    <row r="7" customFormat="false" ht="15" hidden="false" customHeight="false" outlineLevel="0" collapsed="false">
      <c r="A7" s="89" t="n">
        <f aca="false">IF($B7="","",الموظفون!$A7)</f>
        <v>2</v>
      </c>
      <c r="B7" s="91" t="str">
        <f aca="false">IF(الموظفون!$B7="","",الموظفون!$B7)</f>
        <v>E002</v>
      </c>
      <c r="C7" s="91" t="str">
        <f aca="false">IF($B7="","",الموظفون!$C7)</f>
        <v>أحمد سعيد القحطاني</v>
      </c>
      <c r="D7" s="91" t="str">
        <f aca="false">IF($B7="","",الموظفون!$F7)</f>
        <v>المالية</v>
      </c>
      <c r="E7" s="91" t="str">
        <f aca="false">IF($B7="","",الموظفون!$E7)</f>
        <v>سعودي</v>
      </c>
      <c r="F7" s="110" t="n">
        <f aca="false">IF($B7="","",IF(AE7&gt;=DAY($G$3),cfg_DAYS_M,MIN(AE7,cfg_DAYS_M)))</f>
        <v>30</v>
      </c>
      <c r="G7" s="110" t="n">
        <f aca="false">IF($B7="","",SUMIFS('الحركات الشهرية'!$D$6:$D$1005,'الحركات الشهرية'!$B$6:$B$1005,$B7,'الحركات الشهرية'!$A$6:$A$1005,$C$3))</f>
        <v>0</v>
      </c>
      <c r="H7" s="110" t="n">
        <f aca="false">IF($B7="","",SUMIFS('الحركات الشهرية'!$E$6:$E$1005,'الحركات الشهرية'!$B$6:$B$1005,$B7,'الحركات الشهرية'!$A$6:$A$1005,$C$3))</f>
        <v>0</v>
      </c>
      <c r="I7" s="110" t="n">
        <f aca="false">IF($B7="","",MAX(0,F7-G7-H7))</f>
        <v>30</v>
      </c>
      <c r="J7" s="90" t="n">
        <f aca="false">IF($B7="","",الموظفون!$J7*$I7/cfg_DAYS_M)</f>
        <v>18000</v>
      </c>
      <c r="K7" s="90" t="n">
        <f aca="false">IF($B7="","",الموظفون!$K7*$I7/cfg_DAYS_M)</f>
        <v>4500</v>
      </c>
      <c r="L7" s="90" t="n">
        <f aca="false">IF($B7="","",الموظفون!$L7*$I7/cfg_DAYS_M)</f>
        <v>1800</v>
      </c>
      <c r="M7" s="90" t="n">
        <f aca="false">IF($B7="","",الموظفون!$M7*$I7/cfg_DAYS_M)</f>
        <v>1000</v>
      </c>
      <c r="N7" s="110" t="n">
        <f aca="false">IF($B7="","",SUMIFS('الحركات الشهرية'!$F$6:$F$1005,'الحركات الشهرية'!$B$6:$B$1005,$B7,'الحركات الشهرية'!$A$6:$A$1005,$C$3))</f>
        <v>0</v>
      </c>
      <c r="O7" s="90" t="n">
        <f aca="false">IF($B7="","",N7*(الموظفون!$N7+الموظفون!$J7*cfg_OT_P)/cfg_DAYS_M/cfg_HRS)</f>
        <v>0</v>
      </c>
      <c r="P7" s="90" t="n">
        <f aca="false">IF($B7="","",SUMIFS('الحركات الشهرية'!$G$6:$G$1005,'الحركات الشهرية'!$B$6:$B$1005,$B7,'الحركات الشهرية'!$A$6:$A$1005,$C$3))</f>
        <v>0</v>
      </c>
      <c r="Q7" s="90" t="n">
        <f aca="false">IF($B7="","",SUMIFS('الحركات الشهرية'!$H$6:$H$1005,'الحركات الشهرية'!$B$6:$B$1005,$B7,'الحركات الشهرية'!$A$6:$A$1005,$C$3))</f>
        <v>0</v>
      </c>
      <c r="R7" s="111" t="n">
        <f aca="false">IF($B7="","",SUM(J7:M7)+SUM(O7:Q7))</f>
        <v>25300</v>
      </c>
      <c r="S7" s="90" t="n">
        <f aca="false">IF($B7="","",الموظفون!$Q7*IF(E7="سعودي",cfg_G_SE,cfg_G_NE)*F7/cfg_DAYS_M)</f>
        <v>2193.75</v>
      </c>
      <c r="T7" s="90" t="n">
        <f aca="false">IF($B7="","",SUMIFS('الحركات الشهرية'!$I$6:$I$1005,'الحركات الشهرية'!$B$6:$B$1005,$B7,'الحركات الشهرية'!$A$6:$A$1005,$C$3))</f>
        <v>0</v>
      </c>
      <c r="U7" s="90" t="n">
        <f aca="false">IF($B7="","",SUMIFS('الحركات الشهرية'!$J$6:$J$1005,'الحركات الشهرية'!$B$6:$B$1005,$B7,'الحركات الشهرية'!$A$6:$A$1005,$C$3))</f>
        <v>0</v>
      </c>
      <c r="V7" s="90" t="n">
        <f aca="false">IF($B7="","",SUM(S7:U7))</f>
        <v>2193.75</v>
      </c>
      <c r="W7" s="112" t="n">
        <f aca="false">IF($B7="","",R7-V7)</f>
        <v>23106.25</v>
      </c>
      <c r="X7" s="90" t="n">
        <f aca="false">IF($B7="","",الموظفون!$Q7*IF(E7="سعودي",cfg_G_SR,cfg_G_NR)*F7/cfg_DAYS_M)</f>
        <v>2643.75</v>
      </c>
      <c r="Y7" s="90" t="n">
        <f aca="false">IF($B7="","",الموظفون!$O7*(cfg_EOS_R1*(MIN(AC7,cfg_EOS_TH)-MIN(AD7,cfg_EOS_TH))+cfg_EOS_R2*(MAX(AC7-cfg_EOS_TH,0)-MAX(AD7-cfg_EOS_TH,0))))</f>
        <v>2063.83561643837</v>
      </c>
      <c r="Z7" s="90" t="n">
        <f aca="false">IF($B7="","",IF(الموظفون!$R7&lt;&gt;"",الموظفون!$R7,IF(AC7&gt;=cfg_LV_TH,cfg_LV_D2,cfg_LV_D1))/cfg_DAYS_Y*AE7*الموظفون!$P7/cfg_DAYS_M)</f>
        <v>2063.83561643836</v>
      </c>
      <c r="AA7" s="90" t="n">
        <f aca="false">IF($B7="","",IF(AND(الموظفون!$S7="نعم",N(الموظفون!$U7)&gt;0),الموظفون!$T7/الموظفون!$U7*12/cfg_DAYS_Y*AE7,0))</f>
        <v>0</v>
      </c>
      <c r="AB7" s="113" t="n">
        <f aca="false">IF($B7="","",R7+SUM(X7:AA7))</f>
        <v>32071.4212328767</v>
      </c>
      <c r="AC7" s="114" t="n">
        <f aca="false">IF($B7="","",MAX(0,IF(OR(الموظفون!$X7="",الموظفون!$X7&gt;$G$3),$G$3,الموظفون!$X7)-الموظفون!$H7+1)/cfg_DAYS_Y)</f>
        <v>9.67671232876712</v>
      </c>
      <c r="AD7" s="114" t="n">
        <f aca="false">IF($B7="","",MAX(0,IF(OR(الموظفون!$X7="",الموظفون!$X7&gt;($E$3-1)),($E$3-1),الموظفون!$X7)-الموظفون!$H7+1)/cfg_DAYS_Y)</f>
        <v>9.59178082191781</v>
      </c>
      <c r="AE7" s="115" t="n">
        <f aca="false">IF($B7="","",MAX(0,IF(OR(الموظفون!$X7="",الموظفون!$X7&gt;$G$3),$G$3,الموظفون!$X7)-MAX($E$3,الموظفون!$H7)+1))</f>
        <v>31</v>
      </c>
    </row>
    <row r="8" customFormat="false" ht="15" hidden="false" customHeight="false" outlineLevel="0" collapsed="false">
      <c r="A8" s="83" t="n">
        <f aca="false">IF($B8="","",الموظفون!$A8)</f>
        <v>3</v>
      </c>
      <c r="B8" s="74" t="str">
        <f aca="false">IF(الموظفون!$B8="","",الموظفون!$B8)</f>
        <v>E003</v>
      </c>
      <c r="C8" s="74" t="str">
        <f aca="false">IF($B8="","",الموظفون!$C8)</f>
        <v>محمد علي حسن</v>
      </c>
      <c r="D8" s="74" t="str">
        <f aca="false">IF($B8="","",الموظفون!$F8)</f>
        <v>المالية</v>
      </c>
      <c r="E8" s="74" t="str">
        <f aca="false">IF($B8="","",الموظفون!$E8)</f>
        <v>غير سعودي</v>
      </c>
      <c r="F8" s="105" t="n">
        <f aca="false">IF($B8="","",IF(AE8&gt;=DAY($G$3),cfg_DAYS_M,MIN(AE8,cfg_DAYS_M)))</f>
        <v>30</v>
      </c>
      <c r="G8" s="105" t="n">
        <f aca="false">IF($B8="","",SUMIFS('الحركات الشهرية'!$D$6:$D$1005,'الحركات الشهرية'!$B$6:$B$1005,$B8,'الحركات الشهرية'!$A$6:$A$1005,$C$3))</f>
        <v>0</v>
      </c>
      <c r="H8" s="105" t="n">
        <f aca="false">IF($B8="","",SUMIFS('الحركات الشهرية'!$E$6:$E$1005,'الحركات الشهرية'!$B$6:$B$1005,$B8,'الحركات الشهرية'!$A$6:$A$1005,$C$3))</f>
        <v>0</v>
      </c>
      <c r="I8" s="105" t="n">
        <f aca="false">IF($B8="","",MAX(0,F8-G8-H8))</f>
        <v>30</v>
      </c>
      <c r="J8" s="86" t="n">
        <f aca="false">IF($B8="","",الموظفون!$J8*$I8/cfg_DAYS_M)</f>
        <v>8500</v>
      </c>
      <c r="K8" s="86" t="n">
        <f aca="false">IF($B8="","",الموظفون!$K8*$I8/cfg_DAYS_M)</f>
        <v>2125</v>
      </c>
      <c r="L8" s="86" t="n">
        <f aca="false">IF($B8="","",الموظفون!$L8*$I8/cfg_DAYS_M)</f>
        <v>850</v>
      </c>
      <c r="M8" s="86" t="n">
        <f aca="false">IF($B8="","",الموظفون!$M8*$I8/cfg_DAYS_M)</f>
        <v>500</v>
      </c>
      <c r="N8" s="105" t="n">
        <f aca="false">IF($B8="","",SUMIFS('الحركات الشهرية'!$F$6:$F$1005,'الحركات الشهرية'!$B$6:$B$1005,$B8,'الحركات الشهرية'!$A$6:$A$1005,$C$3))</f>
        <v>12</v>
      </c>
      <c r="O8" s="86" t="n">
        <f aca="false">IF($B8="","",N8*(الموظفون!$N8+الموظفون!$J8*cfg_OT_P)/cfg_DAYS_M/cfg_HRS)</f>
        <v>811.25</v>
      </c>
      <c r="P8" s="86" t="n">
        <f aca="false">IF($B8="","",SUMIFS('الحركات الشهرية'!$G$6:$G$1005,'الحركات الشهرية'!$B$6:$B$1005,$B8,'الحركات الشهرية'!$A$6:$A$1005,$C$3))</f>
        <v>0</v>
      </c>
      <c r="Q8" s="86" t="n">
        <f aca="false">IF($B8="","",SUMIFS('الحركات الشهرية'!$H$6:$H$1005,'الحركات الشهرية'!$B$6:$B$1005,$B8,'الحركات الشهرية'!$A$6:$A$1005,$C$3))</f>
        <v>0</v>
      </c>
      <c r="R8" s="106" t="n">
        <f aca="false">IF($B8="","",SUM(J8:M8)+SUM(O8:Q8))</f>
        <v>12786.25</v>
      </c>
      <c r="S8" s="86" t="n">
        <f aca="false">IF($B8="","",الموظفون!$Q8*IF(E8="سعودي",cfg_G_SE,cfg_G_NE)*F8/cfg_DAYS_M)</f>
        <v>0</v>
      </c>
      <c r="T8" s="86" t="n">
        <f aca="false">IF($B8="","",SUMIFS('الحركات الشهرية'!$I$6:$I$1005,'الحركات الشهرية'!$B$6:$B$1005,$B8,'الحركات الشهرية'!$A$6:$A$1005,$C$3))</f>
        <v>1000</v>
      </c>
      <c r="U8" s="86" t="n">
        <f aca="false">IF($B8="","",SUMIFS('الحركات الشهرية'!$J$6:$J$1005,'الحركات الشهرية'!$B$6:$B$1005,$B8,'الحركات الشهرية'!$A$6:$A$1005,$C$3))</f>
        <v>0</v>
      </c>
      <c r="V8" s="86" t="n">
        <f aca="false">IF($B8="","",SUM(S8:U8))</f>
        <v>1000</v>
      </c>
      <c r="W8" s="107" t="n">
        <f aca="false">IF($B8="","",R8-V8)</f>
        <v>11786.25</v>
      </c>
      <c r="X8" s="86" t="n">
        <f aca="false">IF($B8="","",الموظفون!$Q8*IF(E8="سعودي",cfg_G_SR,cfg_G_NR)*F8/cfg_DAYS_M)</f>
        <v>212.5</v>
      </c>
      <c r="Y8" s="86" t="n">
        <f aca="false">IF($B8="","",الموظفون!$O8*(cfg_EOS_R1*(MIN(AC8,cfg_EOS_TH)-MIN(AD8,cfg_EOS_TH))+cfg_EOS_R2*(MAX(AC8-cfg_EOS_TH,0)-MAX(AD8-cfg_EOS_TH,0))))</f>
        <v>974.589041095895</v>
      </c>
      <c r="Z8" s="86" t="n">
        <f aca="false">IF($B8="","",IF(الموظفون!$R8&lt;&gt;"",الموظفون!$R8,IF(AC8&gt;=cfg_LV_TH,cfg_LV_D2,cfg_LV_D1))/cfg_DAYS_Y*AE8*الموظفون!$P8/cfg_DAYS_M)</f>
        <v>974.589041095891</v>
      </c>
      <c r="AA8" s="86" t="n">
        <f aca="false">IF($B8="","",IF(AND(الموظفون!$S8="نعم",N(الموظفون!$U8)&gt;0),الموظفون!$T8/الموظفون!$U8*12/cfg_DAYS_Y*AE8,0))</f>
        <v>135.890410958904</v>
      </c>
      <c r="AB8" s="108" t="n">
        <f aca="false">IF($B8="","",R8+SUM(X8:AA8))</f>
        <v>15083.8184931507</v>
      </c>
      <c r="AC8" s="109" t="n">
        <f aca="false">IF($B8="","",MAX(0,IF(OR(الموظفون!$X8="",الموظفون!$X8&gt;$G$3),$G$3,الموظفون!$X8)-الموظفون!$H8+1)/cfg_DAYS_Y)</f>
        <v>7.4</v>
      </c>
      <c r="AD8" s="109" t="n">
        <f aca="false">IF($B8="","",MAX(0,IF(OR(الموظفون!$X8="",الموظفون!$X8&gt;($E$3-1)),($E$3-1),الموظفون!$X8)-الموظفون!$H8+1)/cfg_DAYS_Y)</f>
        <v>7.31506849315069</v>
      </c>
      <c r="AE8" s="51" t="n">
        <f aca="false">IF($B8="","",MAX(0,IF(OR(الموظفون!$X8="",الموظفون!$X8&gt;$G$3),$G$3,الموظفون!$X8)-MAX($E$3,الموظفون!$H8)+1))</f>
        <v>31</v>
      </c>
    </row>
    <row r="9" customFormat="false" ht="15" hidden="false" customHeight="false" outlineLevel="0" collapsed="false">
      <c r="A9" s="89" t="n">
        <f aca="false">IF($B9="","",الموظفون!$A9)</f>
        <v>4</v>
      </c>
      <c r="B9" s="91" t="str">
        <f aca="false">IF(الموظفون!$B9="","",الموظفون!$B9)</f>
        <v>E004</v>
      </c>
      <c r="C9" s="91" t="str">
        <f aca="false">IF($B9="","",الموظفون!$C9)</f>
        <v>نورة خالد الدوسري</v>
      </c>
      <c r="D9" s="91" t="str">
        <f aca="false">IF($B9="","",الموظفون!$F9)</f>
        <v>الموارد البشرية</v>
      </c>
      <c r="E9" s="91" t="str">
        <f aca="false">IF($B9="","",الموظفون!$E9)</f>
        <v>سعودي</v>
      </c>
      <c r="F9" s="110" t="n">
        <f aca="false">IF($B9="","",IF(AE9&gt;=DAY($G$3),cfg_DAYS_M,MIN(AE9,cfg_DAYS_M)))</f>
        <v>30</v>
      </c>
      <c r="G9" s="110" t="n">
        <f aca="false">IF($B9="","",SUMIFS('الحركات الشهرية'!$D$6:$D$1005,'الحركات الشهرية'!$B$6:$B$1005,$B9,'الحركات الشهرية'!$A$6:$A$1005,$C$3))</f>
        <v>0</v>
      </c>
      <c r="H9" s="110" t="n">
        <f aca="false">IF($B9="","",SUMIFS('الحركات الشهرية'!$E$6:$E$1005,'الحركات الشهرية'!$B$6:$B$1005,$B9,'الحركات الشهرية'!$A$6:$A$1005,$C$3))</f>
        <v>0</v>
      </c>
      <c r="I9" s="110" t="n">
        <f aca="false">IF($B9="","",MAX(0,F9-G9-H9))</f>
        <v>30</v>
      </c>
      <c r="J9" s="90" t="n">
        <f aca="false">IF($B9="","",الموظفون!$J9*$I9/cfg_DAYS_M)</f>
        <v>14000</v>
      </c>
      <c r="K9" s="90" t="n">
        <f aca="false">IF($B9="","",الموظفون!$K9*$I9/cfg_DAYS_M)</f>
        <v>3500</v>
      </c>
      <c r="L9" s="90" t="n">
        <f aca="false">IF($B9="","",الموظفون!$L9*$I9/cfg_DAYS_M)</f>
        <v>1400</v>
      </c>
      <c r="M9" s="90" t="n">
        <f aca="false">IF($B9="","",الموظفون!$M9*$I9/cfg_DAYS_M)</f>
        <v>0</v>
      </c>
      <c r="N9" s="110" t="n">
        <f aca="false">IF($B9="","",SUMIFS('الحركات الشهرية'!$F$6:$F$1005,'الحركات الشهرية'!$B$6:$B$1005,$B9,'الحركات الشهرية'!$A$6:$A$1005,$C$3))</f>
        <v>0</v>
      </c>
      <c r="O9" s="90" t="n">
        <f aca="false">IF($B9="","",N9*(الموظفون!$N9+الموظفون!$J9*cfg_OT_P)/cfg_DAYS_M/cfg_HRS)</f>
        <v>0</v>
      </c>
      <c r="P9" s="90" t="n">
        <f aca="false">IF($B9="","",SUMIFS('الحركات الشهرية'!$G$6:$G$1005,'الحركات الشهرية'!$B$6:$B$1005,$B9,'الحركات الشهرية'!$A$6:$A$1005,$C$3))</f>
        <v>0</v>
      </c>
      <c r="Q9" s="90" t="n">
        <f aca="false">IF($B9="","",SUMIFS('الحركات الشهرية'!$H$6:$H$1005,'الحركات الشهرية'!$B$6:$B$1005,$B9,'الحركات الشهرية'!$A$6:$A$1005,$C$3))</f>
        <v>0</v>
      </c>
      <c r="R9" s="111" t="n">
        <f aca="false">IF($B9="","",SUM(J9:M9)+SUM(O9:Q9))</f>
        <v>18900</v>
      </c>
      <c r="S9" s="90" t="n">
        <f aca="false">IF($B9="","",الموظفون!$Q9*IF(E9="سعودي",cfg_G_SE,cfg_G_NE)*F9/cfg_DAYS_M)</f>
        <v>1706.25</v>
      </c>
      <c r="T9" s="90" t="n">
        <f aca="false">IF($B9="","",SUMIFS('الحركات الشهرية'!$I$6:$I$1005,'الحركات الشهرية'!$B$6:$B$1005,$B9,'الحركات الشهرية'!$A$6:$A$1005,$C$3))</f>
        <v>0</v>
      </c>
      <c r="U9" s="90" t="n">
        <f aca="false">IF($B9="","",SUMIFS('الحركات الشهرية'!$J$6:$J$1005,'الحركات الشهرية'!$B$6:$B$1005,$B9,'الحركات الشهرية'!$A$6:$A$1005,$C$3))</f>
        <v>0</v>
      </c>
      <c r="V9" s="90" t="n">
        <f aca="false">IF($B9="","",SUM(S9:U9))</f>
        <v>1706.25</v>
      </c>
      <c r="W9" s="112" t="n">
        <f aca="false">IF($B9="","",R9-V9)</f>
        <v>17193.75</v>
      </c>
      <c r="X9" s="90" t="n">
        <f aca="false">IF($B9="","",الموظفون!$Q9*IF(E9="سعودي",cfg_G_SR,cfg_G_NR)*F9/cfg_DAYS_M)</f>
        <v>2056.25</v>
      </c>
      <c r="Y9" s="90" t="n">
        <f aca="false">IF($B9="","",الموظفون!$O9*(cfg_EOS_R1*(MIN(AC9,cfg_EOS_TH)-MIN(AD9,cfg_EOS_TH))+cfg_EOS_R2*(MAX(AC9-cfg_EOS_TH,0)-MAX(AD9-cfg_EOS_TH,0))))</f>
        <v>1605.20547945206</v>
      </c>
      <c r="Z9" s="90" t="n">
        <f aca="false">IF($B9="","",IF(الموظفون!$R9&lt;&gt;"",الموظفون!$R9,IF(AC9&gt;=cfg_LV_TH,cfg_LV_D2,cfg_LV_D1))/cfg_DAYS_Y*AE9*الموظفون!$P9/cfg_DAYS_M)</f>
        <v>1605.20547945205</v>
      </c>
      <c r="AA9" s="90" t="n">
        <f aca="false">IF($B9="","",IF(AND(الموظفون!$S9="نعم",N(الموظفون!$U9)&gt;0),الموظفون!$T9/الموظفون!$U9*12/cfg_DAYS_Y*AE9,0))</f>
        <v>0</v>
      </c>
      <c r="AB9" s="113" t="n">
        <f aca="false">IF($B9="","",R9+SUM(X9:AA9))</f>
        <v>24166.6609589041</v>
      </c>
      <c r="AC9" s="114" t="n">
        <f aca="false">IF($B9="","",MAX(0,IF(OR(الموظفون!$X9="",الموظفون!$X9&gt;$G$3),$G$3,الموظفون!$X9)-الموظفون!$H9+1)/cfg_DAYS_Y)</f>
        <v>7.0054794520548</v>
      </c>
      <c r="AD9" s="114" t="n">
        <f aca="false">IF($B9="","",MAX(0,IF(OR(الموظفون!$X9="",الموظفون!$X9&gt;($E$3-1)),($E$3-1),الموظفون!$X9)-الموظفون!$H9+1)/cfg_DAYS_Y)</f>
        <v>6.92054794520548</v>
      </c>
      <c r="AE9" s="115" t="n">
        <f aca="false">IF($B9="","",MAX(0,IF(OR(الموظفون!$X9="",الموظفون!$X9&gt;$G$3),$G$3,الموظفون!$X9)-MAX($E$3,الموظفون!$H9)+1))</f>
        <v>31</v>
      </c>
    </row>
    <row r="10" customFormat="false" ht="15" hidden="false" customHeight="false" outlineLevel="0" collapsed="false">
      <c r="A10" s="83" t="n">
        <f aca="false">IF($B10="","",الموظفون!$A10)</f>
        <v>5</v>
      </c>
      <c r="B10" s="74" t="str">
        <f aca="false">IF(الموظفون!$B10="","",الموظفون!$B10)</f>
        <v>E005</v>
      </c>
      <c r="C10" s="74" t="str">
        <f aca="false">IF($B10="","",الموظفون!$C10)</f>
        <v>راجيش كومار</v>
      </c>
      <c r="D10" s="74" t="str">
        <f aca="false">IF($B10="","",الموظفون!$F10)</f>
        <v>تقنية المعلومات</v>
      </c>
      <c r="E10" s="74" t="str">
        <f aca="false">IF($B10="","",الموظفون!$E10)</f>
        <v>غير سعودي</v>
      </c>
      <c r="F10" s="105" t="n">
        <f aca="false">IF($B10="","",IF(AE10&gt;=DAY($G$3),cfg_DAYS_M,MIN(AE10,cfg_DAYS_M)))</f>
        <v>30</v>
      </c>
      <c r="G10" s="105" t="n">
        <f aca="false">IF($B10="","",SUMIFS('الحركات الشهرية'!$D$6:$D$1005,'الحركات الشهرية'!$B$6:$B$1005,$B10,'الحركات الشهرية'!$A$6:$A$1005,$C$3))</f>
        <v>0</v>
      </c>
      <c r="H10" s="105" t="n">
        <f aca="false">IF($B10="","",SUMIFS('الحركات الشهرية'!$E$6:$E$1005,'الحركات الشهرية'!$B$6:$B$1005,$B10,'الحركات الشهرية'!$A$6:$A$1005,$C$3))</f>
        <v>0</v>
      </c>
      <c r="I10" s="105" t="n">
        <f aca="false">IF($B10="","",MAX(0,F10-G10-H10))</f>
        <v>30</v>
      </c>
      <c r="J10" s="86" t="n">
        <f aca="false">IF($B10="","",الموظفون!$J10*$I10/cfg_DAYS_M)</f>
        <v>9000</v>
      </c>
      <c r="K10" s="86" t="n">
        <f aca="false">IF($B10="","",الموظفون!$K10*$I10/cfg_DAYS_M)</f>
        <v>2250</v>
      </c>
      <c r="L10" s="86" t="n">
        <f aca="false">IF($B10="","",الموظفون!$L10*$I10/cfg_DAYS_M)</f>
        <v>900</v>
      </c>
      <c r="M10" s="86" t="n">
        <f aca="false">IF($B10="","",الموظفون!$M10*$I10/cfg_DAYS_M)</f>
        <v>700</v>
      </c>
      <c r="N10" s="105" t="n">
        <f aca="false">IF($B10="","",SUMIFS('الحركات الشهرية'!$F$6:$F$1005,'الحركات الشهرية'!$B$6:$B$1005,$B10,'الحركات الشهرية'!$A$6:$A$1005,$C$3))</f>
        <v>0</v>
      </c>
      <c r="O10" s="86" t="n">
        <f aca="false">IF($B10="","",N10*(الموظفون!$N10+الموظفون!$J10*cfg_OT_P)/cfg_DAYS_M/cfg_HRS)</f>
        <v>0</v>
      </c>
      <c r="P10" s="86" t="n">
        <f aca="false">IF($B10="","",SUMIFS('الحركات الشهرية'!$G$6:$G$1005,'الحركات الشهرية'!$B$6:$B$1005,$B10,'الحركات الشهرية'!$A$6:$A$1005,$C$3))</f>
        <v>0</v>
      </c>
      <c r="Q10" s="86" t="n">
        <f aca="false">IF($B10="","",SUMIFS('الحركات الشهرية'!$H$6:$H$1005,'الحركات الشهرية'!$B$6:$B$1005,$B10,'الحركات الشهرية'!$A$6:$A$1005,$C$3))</f>
        <v>0</v>
      </c>
      <c r="R10" s="106" t="n">
        <f aca="false">IF($B10="","",SUM(J10:M10)+SUM(O10:Q10))</f>
        <v>12850</v>
      </c>
      <c r="S10" s="86" t="n">
        <f aca="false">IF($B10="","",الموظفون!$Q10*IF(E10="سعودي",cfg_G_SE,cfg_G_NE)*F10/cfg_DAYS_M)</f>
        <v>0</v>
      </c>
      <c r="T10" s="86" t="n">
        <f aca="false">IF($B10="","",SUMIFS('الحركات الشهرية'!$I$6:$I$1005,'الحركات الشهرية'!$B$6:$B$1005,$B10,'الحركات الشهرية'!$A$6:$A$1005,$C$3))</f>
        <v>0</v>
      </c>
      <c r="U10" s="86" t="n">
        <f aca="false">IF($B10="","",SUMIFS('الحركات الشهرية'!$J$6:$J$1005,'الحركات الشهرية'!$B$6:$B$1005,$B10,'الحركات الشهرية'!$A$6:$A$1005,$C$3))</f>
        <v>0</v>
      </c>
      <c r="V10" s="86" t="n">
        <f aca="false">IF($B10="","",SUM(S10:U10))</f>
        <v>0</v>
      </c>
      <c r="W10" s="107" t="n">
        <f aca="false">IF($B10="","",R10-V10)</f>
        <v>12850</v>
      </c>
      <c r="X10" s="86" t="n">
        <f aca="false">IF($B10="","",الموظفون!$Q10*IF(E10="سعودي",cfg_G_SR,cfg_G_NR)*F10/cfg_DAYS_M)</f>
        <v>225</v>
      </c>
      <c r="Y10" s="86" t="n">
        <f aca="false">IF($B10="","",الموظفون!$O10*(cfg_EOS_R1*(MIN(AC10,cfg_EOS_TH)-MIN(AD10,cfg_EOS_TH))+cfg_EOS_R2*(MAX(AC10-cfg_EOS_TH,0)-MAX(AD10-cfg_EOS_TH,0))))</f>
        <v>1031.91780821918</v>
      </c>
      <c r="Z10" s="86" t="n">
        <f aca="false">IF($B10="","",IF(الموظفون!$R10&lt;&gt;"",الموظفون!$R10,IF(AC10&gt;=cfg_LV_TH,cfg_LV_D2,cfg_LV_D1))/cfg_DAYS_Y*AE10*الموظفون!$P10/cfg_DAYS_M)</f>
        <v>1031.91780821918</v>
      </c>
      <c r="AA10" s="86" t="n">
        <f aca="false">IF($B10="","",IF(AND(الموظفون!$S10="نعم",N(الموظفون!$U10)&gt;0),الموظفون!$T10/الموظفون!$U10*12/cfg_DAYS_Y*AE10,0))</f>
        <v>237.808219178082</v>
      </c>
      <c r="AB10" s="108" t="n">
        <f aca="false">IF($B10="","",R10+SUM(X10:AA10))</f>
        <v>15376.6438356164</v>
      </c>
      <c r="AC10" s="109" t="n">
        <f aca="false">IF($B10="","",MAX(0,IF(OR(الموظفون!$X10="",الموظفون!$X10&gt;$G$3),$G$3,الموظفون!$X10)-الموظفون!$H10+1)/cfg_DAYS_Y)</f>
        <v>5.81095890410959</v>
      </c>
      <c r="AD10" s="109" t="n">
        <f aca="false">IF($B10="","",MAX(0,IF(OR(الموظفون!$X10="",الموظفون!$X10&gt;($E$3-1)),($E$3-1),الموظفون!$X10)-الموظفون!$H10+1)/cfg_DAYS_Y)</f>
        <v>5.72602739726027</v>
      </c>
      <c r="AE10" s="51" t="n">
        <f aca="false">IF($B10="","",MAX(0,IF(OR(الموظفون!$X10="",الموظفون!$X10&gt;$G$3),$G$3,الموظفون!$X10)-MAX($E$3,الموظفون!$H10)+1))</f>
        <v>31</v>
      </c>
    </row>
    <row r="11" customFormat="false" ht="15" hidden="false" customHeight="false" outlineLevel="0" collapsed="false">
      <c r="A11" s="89" t="n">
        <f aca="false">IF($B11="","",الموظفون!$A11)</f>
        <v>6</v>
      </c>
      <c r="B11" s="91" t="str">
        <f aca="false">IF(الموظفون!$B11="","",الموظفون!$B11)</f>
        <v>E006</v>
      </c>
      <c r="C11" s="91" t="str">
        <f aca="false">IF($B11="","",الموظفون!$C11)</f>
        <v>فهد ناصر الشمري</v>
      </c>
      <c r="D11" s="91" t="str">
        <f aca="false">IF($B11="","",الموظفون!$F11)</f>
        <v>المبيعات</v>
      </c>
      <c r="E11" s="91" t="str">
        <f aca="false">IF($B11="","",الموظفون!$E11)</f>
        <v>سعودي</v>
      </c>
      <c r="F11" s="110" t="n">
        <f aca="false">IF($B11="","",IF(AE11&gt;=DAY($G$3),cfg_DAYS_M,MIN(AE11,cfg_DAYS_M)))</f>
        <v>30</v>
      </c>
      <c r="G11" s="110" t="n">
        <f aca="false">IF($B11="","",SUMIFS('الحركات الشهرية'!$D$6:$D$1005,'الحركات الشهرية'!$B$6:$B$1005,$B11,'الحركات الشهرية'!$A$6:$A$1005,$C$3))</f>
        <v>0</v>
      </c>
      <c r="H11" s="110" t="n">
        <f aca="false">IF($B11="","",SUMIFS('الحركات الشهرية'!$E$6:$E$1005,'الحركات الشهرية'!$B$6:$B$1005,$B11,'الحركات الشهرية'!$A$6:$A$1005,$C$3))</f>
        <v>0</v>
      </c>
      <c r="I11" s="110" t="n">
        <f aca="false">IF($B11="","",MAX(0,F11-G11-H11))</f>
        <v>30</v>
      </c>
      <c r="J11" s="90" t="n">
        <f aca="false">IF($B11="","",الموظفون!$J11*$I11/cfg_DAYS_M)</f>
        <v>13000</v>
      </c>
      <c r="K11" s="90" t="n">
        <f aca="false">IF($B11="","",الموظفون!$K11*$I11/cfg_DAYS_M)</f>
        <v>3250</v>
      </c>
      <c r="L11" s="90" t="n">
        <f aca="false">IF($B11="","",الموظفون!$L11*$I11/cfg_DAYS_M)</f>
        <v>1300</v>
      </c>
      <c r="M11" s="90" t="n">
        <f aca="false">IF($B11="","",الموظفون!$M11*$I11/cfg_DAYS_M)</f>
        <v>2500</v>
      </c>
      <c r="N11" s="110" t="n">
        <f aca="false">IF($B11="","",SUMIFS('الحركات الشهرية'!$F$6:$F$1005,'الحركات الشهرية'!$B$6:$B$1005,$B11,'الحركات الشهرية'!$A$6:$A$1005,$C$3))</f>
        <v>0</v>
      </c>
      <c r="O11" s="90" t="n">
        <f aca="false">IF($B11="","",N11*(الموظفون!$N11+الموظفون!$J11*cfg_OT_P)/cfg_DAYS_M/cfg_HRS)</f>
        <v>0</v>
      </c>
      <c r="P11" s="90" t="n">
        <f aca="false">IF($B11="","",SUMIFS('الحركات الشهرية'!$G$6:$G$1005,'الحركات الشهرية'!$B$6:$B$1005,$B11,'الحركات الشهرية'!$A$6:$A$1005,$C$3))</f>
        <v>0</v>
      </c>
      <c r="Q11" s="90" t="n">
        <f aca="false">IF($B11="","",SUMIFS('الحركات الشهرية'!$H$6:$H$1005,'الحركات الشهرية'!$B$6:$B$1005,$B11,'الحركات الشهرية'!$A$6:$A$1005,$C$3))</f>
        <v>0</v>
      </c>
      <c r="R11" s="111" t="n">
        <f aca="false">IF($B11="","",SUM(J11:M11)+SUM(O11:Q11))</f>
        <v>20050</v>
      </c>
      <c r="S11" s="90" t="n">
        <f aca="false">IF($B11="","",الموظفون!$Q11*IF(E11="سعودي",cfg_G_SE,cfg_G_NE)*F11/cfg_DAYS_M)</f>
        <v>1584.375</v>
      </c>
      <c r="T11" s="90" t="n">
        <f aca="false">IF($B11="","",SUMIFS('الحركات الشهرية'!$I$6:$I$1005,'الحركات الشهرية'!$B$6:$B$1005,$B11,'الحركات الشهرية'!$A$6:$A$1005,$C$3))</f>
        <v>0</v>
      </c>
      <c r="U11" s="90" t="n">
        <f aca="false">IF($B11="","",SUMIFS('الحركات الشهرية'!$J$6:$J$1005,'الحركات الشهرية'!$B$6:$B$1005,$B11,'الحركات الشهرية'!$A$6:$A$1005,$C$3))</f>
        <v>0</v>
      </c>
      <c r="V11" s="90" t="n">
        <f aca="false">IF($B11="","",SUM(S11:U11))</f>
        <v>1584.375</v>
      </c>
      <c r="W11" s="112" t="n">
        <f aca="false">IF($B11="","",R11-V11)</f>
        <v>18465.625</v>
      </c>
      <c r="X11" s="90" t="n">
        <f aca="false">IF($B11="","",الموظفون!$Q11*IF(E11="سعودي",cfg_G_SR,cfg_G_NR)*F11/cfg_DAYS_M)</f>
        <v>1909.375</v>
      </c>
      <c r="Y11" s="90" t="n">
        <f aca="false">IF($B11="","",الموظفون!$O11*(cfg_EOS_R1*(MIN(AC11,cfg_EOS_TH)-MIN(AD11,cfg_EOS_TH))+cfg_EOS_R2*(MAX(AC11-cfg_EOS_TH,0)-MAX(AD11-cfg_EOS_TH,0))))</f>
        <v>1490.54794520549</v>
      </c>
      <c r="Z11" s="90" t="n">
        <f aca="false">IF($B11="","",IF(الموظفون!$R11&lt;&gt;"",الموظفون!$R11,IF(AC11&gt;=cfg_LV_TH,cfg_LV_D2,cfg_LV_D1))/cfg_DAYS_Y*AE11*الموظفون!$P11/cfg_DAYS_M)</f>
        <v>1490.54794520548</v>
      </c>
      <c r="AA11" s="90" t="n">
        <f aca="false">IF($B11="","",IF(AND(الموظفون!$S11="نعم",N(الموظفون!$U11)&gt;0),الموظفون!$T11/الموظفون!$U11*12/cfg_DAYS_Y*AE11,0))</f>
        <v>0</v>
      </c>
      <c r="AB11" s="113" t="n">
        <f aca="false">IF($B11="","",R11+SUM(X11:AA11))</f>
        <v>24940.470890411</v>
      </c>
      <c r="AC11" s="114" t="n">
        <f aca="false">IF($B11="","",MAX(0,IF(OR(الموظفون!$X11="",الموظفون!$X11&gt;$G$3),$G$3,الموظفون!$X11)-الموظفون!$H11+1)/cfg_DAYS_Y)</f>
        <v>8.24657534246575</v>
      </c>
      <c r="AD11" s="114" t="n">
        <f aca="false">IF($B11="","",MAX(0,IF(OR(الموظفون!$X11="",الموظفون!$X11&gt;($E$3-1)),($E$3-1),الموظفون!$X11)-الموظفون!$H11+1)/cfg_DAYS_Y)</f>
        <v>8.16164383561644</v>
      </c>
      <c r="AE11" s="115" t="n">
        <f aca="false">IF($B11="","",MAX(0,IF(OR(الموظفون!$X11="",الموظفون!$X11&gt;$G$3),$G$3,الموظفون!$X11)-MAX($E$3,الموظفون!$H11)+1))</f>
        <v>31</v>
      </c>
    </row>
    <row r="12" customFormat="false" ht="15" hidden="false" customHeight="false" outlineLevel="0" collapsed="false">
      <c r="A12" s="83" t="n">
        <f aca="false">IF($B12="","",الموظفون!$A12)</f>
        <v>7</v>
      </c>
      <c r="B12" s="74" t="str">
        <f aca="false">IF(الموظفون!$B12="","",الموظفون!$B12)</f>
        <v>E007</v>
      </c>
      <c r="C12" s="74" t="str">
        <f aca="false">IF($B12="","",الموظفون!$C12)</f>
        <v>خالد يوسف الأحمد</v>
      </c>
      <c r="D12" s="74" t="str">
        <f aca="false">IF($B12="","",الموظفون!$F12)</f>
        <v>المشاريع</v>
      </c>
      <c r="E12" s="74" t="str">
        <f aca="false">IF($B12="","",الموظفون!$E12)</f>
        <v>غير سعودي</v>
      </c>
      <c r="F12" s="105" t="n">
        <f aca="false">IF($B12="","",IF(AE12&gt;=DAY($G$3),cfg_DAYS_M,MIN(AE12,cfg_DAYS_M)))</f>
        <v>30</v>
      </c>
      <c r="G12" s="105" t="n">
        <f aca="false">IF($B12="","",SUMIFS('الحركات الشهرية'!$D$6:$D$1005,'الحركات الشهرية'!$B$6:$B$1005,$B12,'الحركات الشهرية'!$A$6:$A$1005,$C$3))</f>
        <v>0</v>
      </c>
      <c r="H12" s="105" t="n">
        <f aca="false">IF($B12="","",SUMIFS('الحركات الشهرية'!$E$6:$E$1005,'الحركات الشهرية'!$B$6:$B$1005,$B12,'الحركات الشهرية'!$A$6:$A$1005,$C$3))</f>
        <v>0</v>
      </c>
      <c r="I12" s="105" t="n">
        <f aca="false">IF($B12="","",MAX(0,F12-G12-H12))</f>
        <v>30</v>
      </c>
      <c r="J12" s="86" t="n">
        <f aca="false">IF($B12="","",الموظفون!$J12*$I12/cfg_DAYS_M)</f>
        <v>11000</v>
      </c>
      <c r="K12" s="86" t="n">
        <f aca="false">IF($B12="","",الموظفون!$K12*$I12/cfg_DAYS_M)</f>
        <v>2750</v>
      </c>
      <c r="L12" s="86" t="n">
        <f aca="false">IF($B12="","",الموظفون!$L12*$I12/cfg_DAYS_M)</f>
        <v>1100</v>
      </c>
      <c r="M12" s="86" t="n">
        <f aca="false">IF($B12="","",الموظفون!$M12*$I12/cfg_DAYS_M)</f>
        <v>800</v>
      </c>
      <c r="N12" s="105" t="n">
        <f aca="false">IF($B12="","",SUMIFS('الحركات الشهرية'!$F$6:$F$1005,'الحركات الشهرية'!$B$6:$B$1005,$B12,'الحركات الشهرية'!$A$6:$A$1005,$C$3))</f>
        <v>0</v>
      </c>
      <c r="O12" s="86" t="n">
        <f aca="false">IF($B12="","",N12*(الموظفون!$N12+الموظفون!$J12*cfg_OT_P)/cfg_DAYS_M/cfg_HRS)</f>
        <v>0</v>
      </c>
      <c r="P12" s="86" t="n">
        <f aca="false">IF($B12="","",SUMIFS('الحركات الشهرية'!$G$6:$G$1005,'الحركات الشهرية'!$B$6:$B$1005,$B12,'الحركات الشهرية'!$A$6:$A$1005,$C$3))</f>
        <v>0</v>
      </c>
      <c r="Q12" s="86" t="n">
        <f aca="false">IF($B12="","",SUMIFS('الحركات الشهرية'!$H$6:$H$1005,'الحركات الشهرية'!$B$6:$B$1005,$B12,'الحركات الشهرية'!$A$6:$A$1005,$C$3))</f>
        <v>0</v>
      </c>
      <c r="R12" s="106" t="n">
        <f aca="false">IF($B12="","",SUM(J12:M12)+SUM(O12:Q12))</f>
        <v>15650</v>
      </c>
      <c r="S12" s="86" t="n">
        <f aca="false">IF($B12="","",الموظفون!$Q12*IF(E12="سعودي",cfg_G_SE,cfg_G_NE)*F12/cfg_DAYS_M)</f>
        <v>0</v>
      </c>
      <c r="T12" s="86" t="n">
        <f aca="false">IF($B12="","",SUMIFS('الحركات الشهرية'!$I$6:$I$1005,'الحركات الشهرية'!$B$6:$B$1005,$B12,'الحركات الشهرية'!$A$6:$A$1005,$C$3))</f>
        <v>0</v>
      </c>
      <c r="U12" s="86" t="n">
        <f aca="false">IF($B12="","",SUMIFS('الحركات الشهرية'!$J$6:$J$1005,'الحركات الشهرية'!$B$6:$B$1005,$B12,'الحركات الشهرية'!$A$6:$A$1005,$C$3))</f>
        <v>0</v>
      </c>
      <c r="V12" s="86" t="n">
        <f aca="false">IF($B12="","",SUM(S12:U12))</f>
        <v>0</v>
      </c>
      <c r="W12" s="107" t="n">
        <f aca="false">IF($B12="","",R12-V12)</f>
        <v>15650</v>
      </c>
      <c r="X12" s="86" t="n">
        <f aca="false">IF($B12="","",الموظفون!$Q12*IF(E12="سعودي",cfg_G_SR,cfg_G_NR)*F12/cfg_DAYS_M)</f>
        <v>275</v>
      </c>
      <c r="Y12" s="86" t="n">
        <f aca="false">IF($B12="","",الموظفون!$O12*(cfg_EOS_R1*(MIN(AC12,cfg_EOS_TH)-MIN(AD12,cfg_EOS_TH))+cfg_EOS_R2*(MAX(AC12-cfg_EOS_TH,0)-MAX(AD12-cfg_EOS_TH,0))))</f>
        <v>895.068493150691</v>
      </c>
      <c r="Z12" s="86" t="n">
        <f aca="false">IF($B12="","",IF(الموظفون!$R12&lt;&gt;"",الموظفون!$R12,IF(AC12&gt;=cfg_LV_TH,cfg_LV_D2,cfg_LV_D1))/cfg_DAYS_Y*AE12*الموظفون!$P12/cfg_DAYS_M)</f>
        <v>1261.23287671233</v>
      </c>
      <c r="AA12" s="86" t="n">
        <f aca="false">IF($B12="","",IF(AND(الموظفون!$S12="نعم",N(الموظفون!$U12)&gt;0),الموظفون!$T12/الموظفون!$U12*12/cfg_DAYS_Y*AE12,0))</f>
        <v>382.191780821918</v>
      </c>
      <c r="AB12" s="108" t="n">
        <f aca="false">IF($B12="","",R12+SUM(X12:AA12))</f>
        <v>18463.4931506849</v>
      </c>
      <c r="AC12" s="109" t="n">
        <f aca="false">IF($B12="","",MAX(0,IF(OR(الموظفون!$X12="",الموظفون!$X12&gt;$G$3),$G$3,الموظفون!$X12)-الموظفون!$H12+1)/cfg_DAYS_Y)</f>
        <v>5.03561643835617</v>
      </c>
      <c r="AD12" s="109" t="n">
        <f aca="false">IF($B12="","",MAX(0,IF(OR(الموظفون!$X12="",الموظفون!$X12&gt;($E$3-1)),($E$3-1),الموظفون!$X12)-الموظفون!$H12+1)/cfg_DAYS_Y)</f>
        <v>4.95068493150685</v>
      </c>
      <c r="AE12" s="51" t="n">
        <f aca="false">IF($B12="","",MAX(0,IF(OR(الموظفون!$X12="",الموظفون!$X12&gt;$G$3),$G$3,الموظفون!$X12)-MAX($E$3,الموظفون!$H12)+1))</f>
        <v>31</v>
      </c>
    </row>
    <row r="13" customFormat="false" ht="15" hidden="false" customHeight="false" outlineLevel="0" collapsed="false">
      <c r="A13" s="89" t="n">
        <f aca="false">IF($B13="","",الموظفون!$A13)</f>
        <v>8</v>
      </c>
      <c r="B13" s="91" t="str">
        <f aca="false">IF(الموظفون!$B13="","",الموظفون!$B13)</f>
        <v>E008</v>
      </c>
      <c r="C13" s="91" t="str">
        <f aca="false">IF($B13="","",الموظفون!$C13)</f>
        <v>سارة عبدالرحمن الزهراني</v>
      </c>
      <c r="D13" s="91" t="str">
        <f aca="false">IF($B13="","",الموظفون!$F13)</f>
        <v>المالية</v>
      </c>
      <c r="E13" s="91" t="str">
        <f aca="false">IF($B13="","",الموظفون!$E13)</f>
        <v>سعودي</v>
      </c>
      <c r="F13" s="110" t="n">
        <f aca="false">IF($B13="","",IF(AE13&gt;=DAY($G$3),cfg_DAYS_M,MIN(AE13,cfg_DAYS_M)))</f>
        <v>30</v>
      </c>
      <c r="G13" s="110" t="n">
        <f aca="false">IF($B13="","",SUMIFS('الحركات الشهرية'!$D$6:$D$1005,'الحركات الشهرية'!$B$6:$B$1005,$B13,'الحركات الشهرية'!$A$6:$A$1005,$C$3))</f>
        <v>0</v>
      </c>
      <c r="H13" s="110" t="n">
        <f aca="false">IF($B13="","",SUMIFS('الحركات الشهرية'!$E$6:$E$1005,'الحركات الشهرية'!$B$6:$B$1005,$B13,'الحركات الشهرية'!$A$6:$A$1005,$C$3))</f>
        <v>0</v>
      </c>
      <c r="I13" s="110" t="n">
        <f aca="false">IF($B13="","",MAX(0,F13-G13-H13))</f>
        <v>30</v>
      </c>
      <c r="J13" s="90" t="n">
        <f aca="false">IF($B13="","",الموظفون!$J13*$I13/cfg_DAYS_M)</f>
        <v>7500</v>
      </c>
      <c r="K13" s="90" t="n">
        <f aca="false">IF($B13="","",الموظفون!$K13*$I13/cfg_DAYS_M)</f>
        <v>1875</v>
      </c>
      <c r="L13" s="90" t="n">
        <f aca="false">IF($B13="","",الموظفون!$L13*$I13/cfg_DAYS_M)</f>
        <v>750</v>
      </c>
      <c r="M13" s="90" t="n">
        <f aca="false">IF($B13="","",الموظفون!$M13*$I13/cfg_DAYS_M)</f>
        <v>0</v>
      </c>
      <c r="N13" s="110" t="n">
        <f aca="false">IF($B13="","",SUMIFS('الحركات الشهرية'!$F$6:$F$1005,'الحركات الشهرية'!$B$6:$B$1005,$B13,'الحركات الشهرية'!$A$6:$A$1005,$C$3))</f>
        <v>0</v>
      </c>
      <c r="O13" s="90" t="n">
        <f aca="false">IF($B13="","",N13*(الموظفون!$N13+الموظفون!$J13*cfg_OT_P)/cfg_DAYS_M/cfg_HRS)</f>
        <v>0</v>
      </c>
      <c r="P13" s="90" t="n">
        <f aca="false">IF($B13="","",SUMIFS('الحركات الشهرية'!$G$6:$G$1005,'الحركات الشهرية'!$B$6:$B$1005,$B13,'الحركات الشهرية'!$A$6:$A$1005,$C$3))</f>
        <v>0</v>
      </c>
      <c r="Q13" s="90" t="n">
        <f aca="false">IF($B13="","",SUMIFS('الحركات الشهرية'!$H$6:$H$1005,'الحركات الشهرية'!$B$6:$B$1005,$B13,'الحركات الشهرية'!$A$6:$A$1005,$C$3))</f>
        <v>0</v>
      </c>
      <c r="R13" s="111" t="n">
        <f aca="false">IF($B13="","",SUM(J13:M13)+SUM(O13:Q13))</f>
        <v>10125</v>
      </c>
      <c r="S13" s="90" t="n">
        <f aca="false">IF($B13="","",الموظفون!$Q13*IF(E13="سعودي",cfg_G_SE,cfg_G_NE)*F13/cfg_DAYS_M)</f>
        <v>914.0625</v>
      </c>
      <c r="T13" s="90" t="n">
        <f aca="false">IF($B13="","",SUMIFS('الحركات الشهرية'!$I$6:$I$1005,'الحركات الشهرية'!$B$6:$B$1005,$B13,'الحركات الشهرية'!$A$6:$A$1005,$C$3))</f>
        <v>0</v>
      </c>
      <c r="U13" s="90" t="n">
        <f aca="false">IF($B13="","",SUMIFS('الحركات الشهرية'!$J$6:$J$1005,'الحركات الشهرية'!$B$6:$B$1005,$B13,'الحركات الشهرية'!$A$6:$A$1005,$C$3))</f>
        <v>0</v>
      </c>
      <c r="V13" s="90" t="n">
        <f aca="false">IF($B13="","",SUM(S13:U13))</f>
        <v>914.0625</v>
      </c>
      <c r="W13" s="112" t="n">
        <f aca="false">IF($B13="","",R13-V13)</f>
        <v>9210.9375</v>
      </c>
      <c r="X13" s="90" t="n">
        <f aca="false">IF($B13="","",الموظفون!$Q13*IF(E13="سعودي",cfg_G_SR,cfg_G_NR)*F13/cfg_DAYS_M)</f>
        <v>1101.5625</v>
      </c>
      <c r="Y13" s="90" t="n">
        <f aca="false">IF($B13="","",الموظفون!$O13*(cfg_EOS_R1*(MIN(AC13,cfg_EOS_TH)-MIN(AD13,cfg_EOS_TH))+cfg_EOS_R2*(MAX(AC13-cfg_EOS_TH,0)-MAX(AD13-cfg_EOS_TH,0))))</f>
        <v>429.965753424657</v>
      </c>
      <c r="Z13" s="90" t="n">
        <f aca="false">IF($B13="","",IF(الموظفون!$R13&lt;&gt;"",الموظفون!$R13,IF(AC13&gt;=cfg_LV_TH,cfg_LV_D2,cfg_LV_D1))/cfg_DAYS_Y*AE13*الموظفون!$P13/cfg_DAYS_M)</f>
        <v>601.952054794521</v>
      </c>
      <c r="AA13" s="90" t="n">
        <f aca="false">IF($B13="","",IF(AND(الموظفون!$S13="نعم",N(الموظفون!$U13)&gt;0),الموظفون!$T13/الموظفون!$U13*12/cfg_DAYS_Y*AE13,0))</f>
        <v>0</v>
      </c>
      <c r="AB13" s="113" t="n">
        <f aca="false">IF($B13="","",R13+SUM(X13:AA13))</f>
        <v>12258.4803082192</v>
      </c>
      <c r="AC13" s="114" t="n">
        <f aca="false">IF($B13="","",MAX(0,IF(OR(الموظفون!$X13="",الموظفون!$X13&gt;$G$3),$G$3,الموظفون!$X13)-الموظفون!$H13+1)/cfg_DAYS_Y)</f>
        <v>2.92602739726027</v>
      </c>
      <c r="AD13" s="114" t="n">
        <f aca="false">IF($B13="","",MAX(0,IF(OR(الموظفون!$X13="",الموظفون!$X13&gt;($E$3-1)),($E$3-1),الموظفون!$X13)-الموظفون!$H13+1)/cfg_DAYS_Y)</f>
        <v>2.84109589041096</v>
      </c>
      <c r="AE13" s="115" t="n">
        <f aca="false">IF($B13="","",MAX(0,IF(OR(الموظفون!$X13="",الموظفون!$X13&gt;$G$3),$G$3,الموظفون!$X13)-MAX($E$3,الموظفون!$H13)+1))</f>
        <v>31</v>
      </c>
    </row>
    <row r="14" customFormat="false" ht="15" hidden="false" customHeight="false" outlineLevel="0" collapsed="false">
      <c r="A14" s="83" t="n">
        <f aca="false">IF($B14="","",الموظفون!$A14)</f>
        <v>9</v>
      </c>
      <c r="B14" s="74" t="str">
        <f aca="false">IF(الموظفون!$B14="","",الموظفون!$B14)</f>
        <v>E009</v>
      </c>
      <c r="C14" s="74" t="str">
        <f aca="false">IF($B14="","",الموظفون!$C14)</f>
        <v>محمد رفيق</v>
      </c>
      <c r="D14" s="74" t="str">
        <f aca="false">IF($B14="","",الموظفون!$F14)</f>
        <v>العمليات</v>
      </c>
      <c r="E14" s="74" t="str">
        <f aca="false">IF($B14="","",الموظفون!$E14)</f>
        <v>غير سعودي</v>
      </c>
      <c r="F14" s="105" t="n">
        <f aca="false">IF($B14="","",IF(AE14&gt;=DAY($G$3),cfg_DAYS_M,MIN(AE14,cfg_DAYS_M)))</f>
        <v>30</v>
      </c>
      <c r="G14" s="105" t="n">
        <f aca="false">IF($B14="","",SUMIFS('الحركات الشهرية'!$D$6:$D$1005,'الحركات الشهرية'!$B$6:$B$1005,$B14,'الحركات الشهرية'!$A$6:$A$1005,$C$3))</f>
        <v>1</v>
      </c>
      <c r="H14" s="105" t="n">
        <f aca="false">IF($B14="","",SUMIFS('الحركات الشهرية'!$E$6:$E$1005,'الحركات الشهرية'!$B$6:$B$1005,$B14,'الحركات الشهرية'!$A$6:$A$1005,$C$3))</f>
        <v>0</v>
      </c>
      <c r="I14" s="105" t="n">
        <f aca="false">IF($B14="","",MAX(0,F14-G14-H14))</f>
        <v>29</v>
      </c>
      <c r="J14" s="86" t="n">
        <f aca="false">IF($B14="","",الموظفون!$J14*$I14/cfg_DAYS_M)</f>
        <v>6283.33333333333</v>
      </c>
      <c r="K14" s="86" t="n">
        <f aca="false">IF($B14="","",الموظفون!$K14*$I14/cfg_DAYS_M)</f>
        <v>1570.83333333333</v>
      </c>
      <c r="L14" s="86" t="n">
        <f aca="false">IF($B14="","",الموظفون!$L14*$I14/cfg_DAYS_M)</f>
        <v>628.333333333333</v>
      </c>
      <c r="M14" s="86" t="n">
        <f aca="false">IF($B14="","",الموظفون!$M14*$I14/cfg_DAYS_M)</f>
        <v>290</v>
      </c>
      <c r="N14" s="105" t="n">
        <f aca="false">IF($B14="","",SUMIFS('الحركات الشهرية'!$F$6:$F$1005,'الحركات الشهرية'!$B$6:$B$1005,$B14,'الحركات الشهرية'!$A$6:$A$1005,$C$3))</f>
        <v>20</v>
      </c>
      <c r="O14" s="86" t="n">
        <f aca="false">IF($B14="","",N14*(الموظفون!$N14+الموظفون!$J14*cfg_OT_P)/cfg_DAYS_M/cfg_HRS)</f>
        <v>1027.08333333333</v>
      </c>
      <c r="P14" s="86" t="n">
        <f aca="false">IF($B14="","",SUMIFS('الحركات الشهرية'!$G$6:$G$1005,'الحركات الشهرية'!$B$6:$B$1005,$B14,'الحركات الشهرية'!$A$6:$A$1005,$C$3))</f>
        <v>0</v>
      </c>
      <c r="Q14" s="86" t="n">
        <f aca="false">IF($B14="","",SUMIFS('الحركات الشهرية'!$H$6:$H$1005,'الحركات الشهرية'!$B$6:$B$1005,$B14,'الحركات الشهرية'!$A$6:$A$1005,$C$3))</f>
        <v>0</v>
      </c>
      <c r="R14" s="106" t="n">
        <f aca="false">IF($B14="","",SUM(J14:M14)+SUM(O14:Q14))</f>
        <v>9799.58333333333</v>
      </c>
      <c r="S14" s="86" t="n">
        <f aca="false">IF($B14="","",الموظفون!$Q14*IF(E14="سعودي",cfg_G_SE,cfg_G_NE)*F14/cfg_DAYS_M)</f>
        <v>0</v>
      </c>
      <c r="T14" s="86" t="n">
        <f aca="false">IF($B14="","",SUMIFS('الحركات الشهرية'!$I$6:$I$1005,'الحركات الشهرية'!$B$6:$B$1005,$B14,'الحركات الشهرية'!$A$6:$A$1005,$C$3))</f>
        <v>0</v>
      </c>
      <c r="U14" s="86" t="n">
        <f aca="false">IF($B14="","",SUMIFS('الحركات الشهرية'!$J$6:$J$1005,'الحركات الشهرية'!$B$6:$B$1005,$B14,'الحركات الشهرية'!$A$6:$A$1005,$C$3))</f>
        <v>100</v>
      </c>
      <c r="V14" s="86" t="n">
        <f aca="false">IF($B14="","",SUM(S14:U14))</f>
        <v>100</v>
      </c>
      <c r="W14" s="107" t="n">
        <f aca="false">IF($B14="","",R14-V14)</f>
        <v>9699.58333333333</v>
      </c>
      <c r="X14" s="86" t="n">
        <f aca="false">IF($B14="","",الموظفون!$Q14*IF(E14="سعودي",cfg_G_SR,cfg_G_NR)*F14/cfg_DAYS_M)</f>
        <v>162.5</v>
      </c>
      <c r="Y14" s="86" t="n">
        <f aca="false">IF($B14="","",الموظفون!$O14*(cfg_EOS_R1*(MIN(AC14,cfg_EOS_TH)-MIN(AD14,cfg_EOS_TH))+cfg_EOS_R2*(MAX(AC14-cfg_EOS_TH,0)-MAX(AD14-cfg_EOS_TH,0))))</f>
        <v>745.273972602728</v>
      </c>
      <c r="Z14" s="86" t="n">
        <f aca="false">IF($B14="","",IF(الموظفون!$R14&lt;&gt;"",الموظفون!$R14,IF(AC14&gt;=cfg_LV_TH,cfg_LV_D2,cfg_LV_D1))/cfg_DAYS_Y*AE14*الموظفون!$P14/cfg_DAYS_M)</f>
        <v>745.27397260274</v>
      </c>
      <c r="AA14" s="86" t="n">
        <f aca="false">IF($B14="","",IF(AND(الموظفون!$S14="نعم",N(الموظفون!$U14)&gt;0),الموظفون!$T14/الموظفون!$U14*12/cfg_DAYS_Y*AE14,0))</f>
        <v>93.4246575342466</v>
      </c>
      <c r="AB14" s="108" t="n">
        <f aca="false">IF($B14="","",R14+SUM(X14:AA14))</f>
        <v>11546.055936073</v>
      </c>
      <c r="AC14" s="109" t="n">
        <f aca="false">IF($B14="","",MAX(0,IF(OR(الموظفون!$X14="",الموظفون!$X14&gt;$G$3),$G$3,الموظفون!$X14)-الموظفون!$H14+1)/cfg_DAYS_Y)</f>
        <v>11.4657534246575</v>
      </c>
      <c r="AD14" s="109" t="n">
        <f aca="false">IF($B14="","",MAX(0,IF(OR(الموظفون!$X14="",الموظفون!$X14&gt;($E$3-1)),($E$3-1),الموظفون!$X14)-الموظفون!$H14+1)/cfg_DAYS_Y)</f>
        <v>11.3808219178082</v>
      </c>
      <c r="AE14" s="51" t="n">
        <f aca="false">IF($B14="","",MAX(0,IF(OR(الموظفون!$X14="",الموظفون!$X14&gt;$G$3),$G$3,الموظفون!$X14)-MAX($E$3,الموظفون!$H14)+1))</f>
        <v>31</v>
      </c>
    </row>
    <row r="15" customFormat="false" ht="15" hidden="false" customHeight="false" outlineLevel="0" collapsed="false">
      <c r="A15" s="89" t="n">
        <f aca="false">IF($B15="","",الموظفون!$A15)</f>
        <v>10</v>
      </c>
      <c r="B15" s="91" t="str">
        <f aca="false">IF(الموظفون!$B15="","",الموظفون!$B15)</f>
        <v>E010</v>
      </c>
      <c r="C15" s="91" t="str">
        <f aca="false">IF($B15="","",الموظفون!$C15)</f>
        <v>ريم سلطان المطيري</v>
      </c>
      <c r="D15" s="91" t="str">
        <f aca="false">IF($B15="","",الموظفون!$F15)</f>
        <v>المبيعات</v>
      </c>
      <c r="E15" s="91" t="str">
        <f aca="false">IF($B15="","",الموظفون!$E15)</f>
        <v>سعودي</v>
      </c>
      <c r="F15" s="110" t="n">
        <f aca="false">IF($B15="","",IF(AE15&gt;=DAY($G$3),cfg_DAYS_M,MIN(AE15,cfg_DAYS_M)))</f>
        <v>0</v>
      </c>
      <c r="G15" s="110" t="n">
        <f aca="false">IF($B15="","",SUMIFS('الحركات الشهرية'!$D$6:$D$1005,'الحركات الشهرية'!$B$6:$B$1005,$B15,'الحركات الشهرية'!$A$6:$A$1005,$C$3))</f>
        <v>0</v>
      </c>
      <c r="H15" s="110" t="n">
        <f aca="false">IF($B15="","",SUMIFS('الحركات الشهرية'!$E$6:$E$1005,'الحركات الشهرية'!$B$6:$B$1005,$B15,'الحركات الشهرية'!$A$6:$A$1005,$C$3))</f>
        <v>0</v>
      </c>
      <c r="I15" s="110" t="n">
        <f aca="false">IF($B15="","",MAX(0,F15-G15-H15))</f>
        <v>0</v>
      </c>
      <c r="J15" s="90" t="n">
        <f aca="false">IF($B15="","",الموظفون!$J15*$I15/cfg_DAYS_M)</f>
        <v>0</v>
      </c>
      <c r="K15" s="90" t="n">
        <f aca="false">IF($B15="","",الموظفون!$K15*$I15/cfg_DAYS_M)</f>
        <v>0</v>
      </c>
      <c r="L15" s="90" t="n">
        <f aca="false">IF($B15="","",الموظفون!$L15*$I15/cfg_DAYS_M)</f>
        <v>0</v>
      </c>
      <c r="M15" s="90" t="n">
        <f aca="false">IF($B15="","",الموظفون!$M15*$I15/cfg_DAYS_M)</f>
        <v>0</v>
      </c>
      <c r="N15" s="110" t="n">
        <f aca="false">IF($B15="","",SUMIFS('الحركات الشهرية'!$F$6:$F$1005,'الحركات الشهرية'!$B$6:$B$1005,$B15,'الحركات الشهرية'!$A$6:$A$1005,$C$3))</f>
        <v>0</v>
      </c>
      <c r="O15" s="90" t="n">
        <f aca="false">IF($B15="","",N15*(الموظفون!$N15+الموظفون!$J15*cfg_OT_P)/cfg_DAYS_M/cfg_HRS)</f>
        <v>0</v>
      </c>
      <c r="P15" s="90" t="n">
        <f aca="false">IF($B15="","",SUMIFS('الحركات الشهرية'!$G$6:$G$1005,'الحركات الشهرية'!$B$6:$B$1005,$B15,'الحركات الشهرية'!$A$6:$A$1005,$C$3))</f>
        <v>0</v>
      </c>
      <c r="Q15" s="90" t="n">
        <f aca="false">IF($B15="","",SUMIFS('الحركات الشهرية'!$H$6:$H$1005,'الحركات الشهرية'!$B$6:$B$1005,$B15,'الحركات الشهرية'!$A$6:$A$1005,$C$3))</f>
        <v>0</v>
      </c>
      <c r="R15" s="111" t="n">
        <f aca="false">IF($B15="","",SUM(J15:M15)+SUM(O15:Q15))</f>
        <v>0</v>
      </c>
      <c r="S15" s="90" t="n">
        <f aca="false">IF($B15="","",الموظفون!$Q15*IF(E15="سعودي",cfg_G_SE,cfg_G_NE)*F15/cfg_DAYS_M)</f>
        <v>0</v>
      </c>
      <c r="T15" s="90" t="n">
        <f aca="false">IF($B15="","",SUMIFS('الحركات الشهرية'!$I$6:$I$1005,'الحركات الشهرية'!$B$6:$B$1005,$B15,'الحركات الشهرية'!$A$6:$A$1005,$C$3))</f>
        <v>0</v>
      </c>
      <c r="U15" s="90" t="n">
        <f aca="false">IF($B15="","",SUMIFS('الحركات الشهرية'!$J$6:$J$1005,'الحركات الشهرية'!$B$6:$B$1005,$B15,'الحركات الشهرية'!$A$6:$A$1005,$C$3))</f>
        <v>0</v>
      </c>
      <c r="V15" s="90" t="n">
        <f aca="false">IF($B15="","",SUM(S15:U15))</f>
        <v>0</v>
      </c>
      <c r="W15" s="112" t="n">
        <f aca="false">IF($B15="","",R15-V15)</f>
        <v>0</v>
      </c>
      <c r="X15" s="90" t="n">
        <f aca="false">IF($B15="","",الموظفون!$Q15*IF(E15="سعودي",cfg_G_SR,cfg_G_NR)*F15/cfg_DAYS_M)</f>
        <v>0</v>
      </c>
      <c r="Y15" s="90" t="n">
        <f aca="false">IF($B15="","",الموظفون!$O15*(cfg_EOS_R1*(MIN(AC15,cfg_EOS_TH)-MIN(AD15,cfg_EOS_TH))+cfg_EOS_R2*(MAX(AC15-cfg_EOS_TH,0)-MAX(AD15-cfg_EOS_TH,0))))</f>
        <v>0</v>
      </c>
      <c r="Z15" s="90" t="n">
        <f aca="false">IF($B15="","",IF(الموظفون!$R15&lt;&gt;"",الموظفون!$R15,IF(AC15&gt;=cfg_LV_TH,cfg_LV_D2,cfg_LV_D1))/cfg_DAYS_Y*AE15*الموظفون!$P15/cfg_DAYS_M)</f>
        <v>0</v>
      </c>
      <c r="AA15" s="90" t="n">
        <f aca="false">IF($B15="","",IF(AND(الموظفون!$S15="نعم",N(الموظفون!$U15)&gt;0),الموظفون!$T15/الموظفون!$U15*12/cfg_DAYS_Y*AE15,0))</f>
        <v>0</v>
      </c>
      <c r="AB15" s="113" t="n">
        <f aca="false">IF($B15="","",R15+SUM(X15:AA15))</f>
        <v>0</v>
      </c>
      <c r="AC15" s="114" t="n">
        <f aca="false">IF($B15="","",MAX(0,IF(OR(الموظفون!$X15="",الموظفون!$X15&gt;$G$3),$G$3,الموظفون!$X15)-الموظفون!$H15+1)/cfg_DAYS_Y)</f>
        <v>0</v>
      </c>
      <c r="AD15" s="114" t="n">
        <f aca="false">IF($B15="","",MAX(0,IF(OR(الموظفون!$X15="",الموظفون!$X15&gt;($E$3-1)),($E$3-1),الموظفون!$X15)-الموظفون!$H15+1)/cfg_DAYS_Y)</f>
        <v>0</v>
      </c>
      <c r="AE15" s="115" t="n">
        <f aca="false">IF($B15="","",MAX(0,IF(OR(الموظفون!$X15="",الموظفون!$X15&gt;$G$3),$G$3,الموظفون!$X15)-MAX($E$3,الموظفون!$H15)+1))</f>
        <v>0</v>
      </c>
    </row>
    <row r="16" customFormat="false" ht="15" hidden="false" customHeight="false" outlineLevel="0" collapsed="false">
      <c r="A16" s="83" t="n">
        <f aca="false">IF($B16="","",الموظفون!$A16)</f>
        <v>11</v>
      </c>
      <c r="B16" s="74" t="str">
        <f aca="false">IF(الموظفون!$B16="","",الموظفون!$B16)</f>
        <v>E011</v>
      </c>
      <c r="C16" s="74" t="str">
        <f aca="false">IF($B16="","",الموظفون!$C16)</f>
        <v>جون ماتيو</v>
      </c>
      <c r="D16" s="74" t="str">
        <f aca="false">IF($B16="","",الموظفون!$F16)</f>
        <v>العمليات</v>
      </c>
      <c r="E16" s="74" t="str">
        <f aca="false">IF($B16="","",الموظفون!$E16)</f>
        <v>غير سعودي</v>
      </c>
      <c r="F16" s="105" t="n">
        <f aca="false">IF($B16="","",IF(AE16&gt;=DAY($G$3),cfg_DAYS_M,MIN(AE16,cfg_DAYS_M)))</f>
        <v>30</v>
      </c>
      <c r="G16" s="105" t="n">
        <f aca="false">IF($B16="","",SUMIFS('الحركات الشهرية'!$D$6:$D$1005,'الحركات الشهرية'!$B$6:$B$1005,$B16,'الحركات الشهرية'!$A$6:$A$1005,$C$3))</f>
        <v>0</v>
      </c>
      <c r="H16" s="105" t="n">
        <f aca="false">IF($B16="","",SUMIFS('الحركات الشهرية'!$E$6:$E$1005,'الحركات الشهرية'!$B$6:$B$1005,$B16,'الحركات الشهرية'!$A$6:$A$1005,$C$3))</f>
        <v>0</v>
      </c>
      <c r="I16" s="105" t="n">
        <f aca="false">IF($B16="","",MAX(0,F16-G16-H16))</f>
        <v>30</v>
      </c>
      <c r="J16" s="86" t="n">
        <f aca="false">IF($B16="","",الموظفون!$J16*$I16/cfg_DAYS_M)</f>
        <v>5000</v>
      </c>
      <c r="K16" s="86" t="n">
        <f aca="false">IF($B16="","",الموظفون!$K16*$I16/cfg_DAYS_M)</f>
        <v>1250</v>
      </c>
      <c r="L16" s="86" t="n">
        <f aca="false">IF($B16="","",الموظفون!$L16*$I16/cfg_DAYS_M)</f>
        <v>500</v>
      </c>
      <c r="M16" s="86" t="n">
        <f aca="false">IF($B16="","",الموظفون!$M16*$I16/cfg_DAYS_M)</f>
        <v>0</v>
      </c>
      <c r="N16" s="105" t="n">
        <f aca="false">IF($B16="","",SUMIFS('الحركات الشهرية'!$F$6:$F$1005,'الحركات الشهرية'!$B$6:$B$1005,$B16,'الحركات الشهرية'!$A$6:$A$1005,$C$3))</f>
        <v>0</v>
      </c>
      <c r="O16" s="86" t="n">
        <f aca="false">IF($B16="","",N16*(الموظفون!$N16+الموظفون!$J16*cfg_OT_P)/cfg_DAYS_M/cfg_HRS)</f>
        <v>0</v>
      </c>
      <c r="P16" s="86" t="n">
        <f aca="false">IF($B16="","",SUMIFS('الحركات الشهرية'!$G$6:$G$1005,'الحركات الشهرية'!$B$6:$B$1005,$B16,'الحركات الشهرية'!$A$6:$A$1005,$C$3))</f>
        <v>0</v>
      </c>
      <c r="Q16" s="86" t="n">
        <f aca="false">IF($B16="","",SUMIFS('الحركات الشهرية'!$H$6:$H$1005,'الحركات الشهرية'!$B$6:$B$1005,$B16,'الحركات الشهرية'!$A$6:$A$1005,$C$3))</f>
        <v>0</v>
      </c>
      <c r="R16" s="106" t="n">
        <f aca="false">IF($B16="","",SUM(J16:M16)+SUM(O16:Q16))</f>
        <v>6750</v>
      </c>
      <c r="S16" s="86" t="n">
        <f aca="false">IF($B16="","",الموظفون!$Q16*IF(E16="سعودي",cfg_G_SE,cfg_G_NE)*F16/cfg_DAYS_M)</f>
        <v>0</v>
      </c>
      <c r="T16" s="86" t="n">
        <f aca="false">IF($B16="","",SUMIFS('الحركات الشهرية'!$I$6:$I$1005,'الحركات الشهرية'!$B$6:$B$1005,$B16,'الحركات الشهرية'!$A$6:$A$1005,$C$3))</f>
        <v>0</v>
      </c>
      <c r="U16" s="86" t="n">
        <f aca="false">IF($B16="","",SUMIFS('الحركات الشهرية'!$J$6:$J$1005,'الحركات الشهرية'!$B$6:$B$1005,$B16,'الحركات الشهرية'!$A$6:$A$1005,$C$3))</f>
        <v>0</v>
      </c>
      <c r="V16" s="86" t="n">
        <f aca="false">IF($B16="","",SUM(S16:U16))</f>
        <v>0</v>
      </c>
      <c r="W16" s="107" t="n">
        <f aca="false">IF($B16="","",R16-V16)</f>
        <v>6750</v>
      </c>
      <c r="X16" s="86" t="n">
        <f aca="false">IF($B16="","",الموظفون!$Q16*IF(E16="سعودي",cfg_G_SR,cfg_G_NR)*F16/cfg_DAYS_M)</f>
        <v>125</v>
      </c>
      <c r="Y16" s="86" t="n">
        <f aca="false">IF($B16="","",الموظفون!$O16*(cfg_EOS_R1*(MIN(AC16,cfg_EOS_TH)-MIN(AD16,cfg_EOS_TH))+cfg_EOS_R2*(MAX(AC16-cfg_EOS_TH,0)-MAX(AD16-cfg_EOS_TH,0))))</f>
        <v>573.28767123288</v>
      </c>
      <c r="Z16" s="86" t="n">
        <f aca="false">IF($B16="","",IF(الموظفون!$R16&lt;&gt;"",الموظفون!$R16,IF(AC16&gt;=cfg_LV_TH,cfg_LV_D2,cfg_LV_D1))/cfg_DAYS_Y*AE16*الموظفون!$P16/cfg_DAYS_M)</f>
        <v>573.287671232877</v>
      </c>
      <c r="AA16" s="86" t="n">
        <f aca="false">IF($B16="","",IF(AND(الموظفون!$S16="نعم",N(الموظفون!$U16)&gt;0),الموظفون!$T16/الموظفون!$U16*12/cfg_DAYS_Y*AE16,0))</f>
        <v>110.41095890411</v>
      </c>
      <c r="AB16" s="108" t="n">
        <f aca="false">IF($B16="","",R16+SUM(X16:AA16))</f>
        <v>8131.98630136987</v>
      </c>
      <c r="AC16" s="109" t="n">
        <f aca="false">IF($B16="","",MAX(0,IF(OR(الموظفون!$X16="",الموظفون!$X16&gt;$G$3),$G$3,الموظفون!$X16)-الموظفون!$H16+1)/cfg_DAYS_Y)</f>
        <v>6.92876712328767</v>
      </c>
      <c r="AD16" s="109" t="n">
        <f aca="false">IF($B16="","",MAX(0,IF(OR(الموظفون!$X16="",الموظفون!$X16&gt;($E$3-1)),($E$3-1),الموظفون!$X16)-الموظفون!$H16+1)/cfg_DAYS_Y)</f>
        <v>6.84383561643836</v>
      </c>
      <c r="AE16" s="51" t="n">
        <f aca="false">IF($B16="","",MAX(0,IF(OR(الموظفون!$X16="",الموظفون!$X16&gt;$G$3),$G$3,الموظفون!$X16)-MAX($E$3,الموظفون!$H16)+1))</f>
        <v>31</v>
      </c>
    </row>
    <row r="17" customFormat="false" ht="15" hidden="false" customHeight="false" outlineLevel="0" collapsed="false">
      <c r="A17" s="89" t="n">
        <f aca="false">IF($B17="","",الموظفون!$A17)</f>
        <v>12</v>
      </c>
      <c r="B17" s="91" t="str">
        <f aca="false">IF(الموظفون!$B17="","",الموظفون!$B17)</f>
        <v>E012</v>
      </c>
      <c r="C17" s="91" t="str">
        <f aca="false">IF($B17="","",الموظفون!$C17)</f>
        <v>عمر حسين البيشي</v>
      </c>
      <c r="D17" s="91" t="str">
        <f aca="false">IF($B17="","",الموظفون!$F17)</f>
        <v>تقنية المعلومات</v>
      </c>
      <c r="E17" s="91" t="str">
        <f aca="false">IF($B17="","",الموظفون!$E17)</f>
        <v>سعودي</v>
      </c>
      <c r="F17" s="110" t="n">
        <f aca="false">IF($B17="","",IF(AE17&gt;=DAY($G$3),cfg_DAYS_M,MIN(AE17,cfg_DAYS_M)))</f>
        <v>30</v>
      </c>
      <c r="G17" s="110" t="n">
        <f aca="false">IF($B17="","",SUMIFS('الحركات الشهرية'!$D$6:$D$1005,'الحركات الشهرية'!$B$6:$B$1005,$B17,'الحركات الشهرية'!$A$6:$A$1005,$C$3))</f>
        <v>0</v>
      </c>
      <c r="H17" s="110" t="n">
        <f aca="false">IF($B17="","",SUMIFS('الحركات الشهرية'!$E$6:$E$1005,'الحركات الشهرية'!$B$6:$B$1005,$B17,'الحركات الشهرية'!$A$6:$A$1005,$C$3))</f>
        <v>0</v>
      </c>
      <c r="I17" s="110" t="n">
        <f aca="false">IF($B17="","",MAX(0,F17-G17-H17))</f>
        <v>30</v>
      </c>
      <c r="J17" s="90" t="n">
        <f aca="false">IF($B17="","",الموظفون!$J17*$I17/cfg_DAYS_M)</f>
        <v>12000</v>
      </c>
      <c r="K17" s="90" t="n">
        <f aca="false">IF($B17="","",الموظفون!$K17*$I17/cfg_DAYS_M)</f>
        <v>3000</v>
      </c>
      <c r="L17" s="90" t="n">
        <f aca="false">IF($B17="","",الموظفون!$L17*$I17/cfg_DAYS_M)</f>
        <v>1200</v>
      </c>
      <c r="M17" s="90" t="n">
        <f aca="false">IF($B17="","",الموظفون!$M17*$I17/cfg_DAYS_M)</f>
        <v>1500</v>
      </c>
      <c r="N17" s="110" t="n">
        <f aca="false">IF($B17="","",SUMIFS('الحركات الشهرية'!$F$6:$F$1005,'الحركات الشهرية'!$B$6:$B$1005,$B17,'الحركات الشهرية'!$A$6:$A$1005,$C$3))</f>
        <v>0</v>
      </c>
      <c r="O17" s="90" t="n">
        <f aca="false">IF($B17="","",N17*(الموظفون!$N17+الموظفون!$J17*cfg_OT_P)/cfg_DAYS_M/cfg_HRS)</f>
        <v>0</v>
      </c>
      <c r="P17" s="90" t="n">
        <f aca="false">IF($B17="","",SUMIFS('الحركات الشهرية'!$G$6:$G$1005,'الحركات الشهرية'!$B$6:$B$1005,$B17,'الحركات الشهرية'!$A$6:$A$1005,$C$3))</f>
        <v>0</v>
      </c>
      <c r="Q17" s="90" t="n">
        <f aca="false">IF($B17="","",SUMIFS('الحركات الشهرية'!$H$6:$H$1005,'الحركات الشهرية'!$B$6:$B$1005,$B17,'الحركات الشهرية'!$A$6:$A$1005,$C$3))</f>
        <v>0</v>
      </c>
      <c r="R17" s="111" t="n">
        <f aca="false">IF($B17="","",SUM(J17:M17)+SUM(O17:Q17))</f>
        <v>17700</v>
      </c>
      <c r="S17" s="90" t="n">
        <f aca="false">IF($B17="","",الموظفون!$Q17*IF(E17="سعودي",cfg_G_SE,cfg_G_NE)*F17/cfg_DAYS_M)</f>
        <v>1462.5</v>
      </c>
      <c r="T17" s="90" t="n">
        <f aca="false">IF($B17="","",SUMIFS('الحركات الشهرية'!$I$6:$I$1005,'الحركات الشهرية'!$B$6:$B$1005,$B17,'الحركات الشهرية'!$A$6:$A$1005,$C$3))</f>
        <v>0</v>
      </c>
      <c r="U17" s="90" t="n">
        <f aca="false">IF($B17="","",SUMIFS('الحركات الشهرية'!$J$6:$J$1005,'الحركات الشهرية'!$B$6:$B$1005,$B17,'الحركات الشهرية'!$A$6:$A$1005,$C$3))</f>
        <v>0</v>
      </c>
      <c r="V17" s="90" t="n">
        <f aca="false">IF($B17="","",SUM(S17:U17))</f>
        <v>1462.5</v>
      </c>
      <c r="W17" s="112" t="n">
        <f aca="false">IF($B17="","",R17-V17)</f>
        <v>16237.5</v>
      </c>
      <c r="X17" s="90" t="n">
        <f aca="false">IF($B17="","",الموظفون!$Q17*IF(E17="سعودي",cfg_G_SR,cfg_G_NR)*F17/cfg_DAYS_M)</f>
        <v>1762.5</v>
      </c>
      <c r="Y17" s="90" t="n">
        <f aca="false">IF($B17="","",الموظفون!$O17*(cfg_EOS_R1*(MIN(AC17,cfg_EOS_TH)-MIN(AD17,cfg_EOS_TH))+cfg_EOS_R2*(MAX(AC17-cfg_EOS_TH,0)-MAX(AD17-cfg_EOS_TH,0))))</f>
        <v>687.945205479452</v>
      </c>
      <c r="Z17" s="90" t="n">
        <f aca="false">IF($B17="","",IF(الموظفون!$R17&lt;&gt;"",الموظفون!$R17,IF(AC17&gt;=cfg_LV_TH,cfg_LV_D2,cfg_LV_D1))/cfg_DAYS_Y*AE17*الموظفون!$P17/cfg_DAYS_M)</f>
        <v>963.123287671233</v>
      </c>
      <c r="AA17" s="90" t="n">
        <f aca="false">IF($B17="","",IF(AND(الموظفون!$S17="نعم",N(الموظفون!$U17)&gt;0),الموظفون!$T17/الموظفون!$U17*12/cfg_DAYS_Y*AE17,0))</f>
        <v>0</v>
      </c>
      <c r="AB17" s="113" t="n">
        <f aca="false">IF($B17="","",R17+SUM(X17:AA17))</f>
        <v>21113.5684931507</v>
      </c>
      <c r="AC17" s="114" t="n">
        <f aca="false">IF($B17="","",MAX(0,IF(OR(الموظفون!$X17="",الموظفون!$X17&gt;$G$3),$G$3,الموظفون!$X17)-الموظفون!$H17+1)/cfg_DAYS_Y)</f>
        <v>3.56712328767123</v>
      </c>
      <c r="AD17" s="114" t="n">
        <f aca="false">IF($B17="","",MAX(0,IF(OR(الموظفون!$X17="",الموظفون!$X17&gt;($E$3-1)),($E$3-1),الموظفون!$X17)-الموظفون!$H17+1)/cfg_DAYS_Y)</f>
        <v>3.48219178082192</v>
      </c>
      <c r="AE17" s="115" t="n">
        <f aca="false">IF($B17="","",MAX(0,IF(OR(الموظفون!$X17="",الموظفون!$X17&gt;$G$3),$G$3,الموظفون!$X17)-MAX($E$3,الموظفون!$H17)+1))</f>
        <v>31</v>
      </c>
    </row>
    <row r="18" customFormat="false" ht="15" hidden="false" customHeight="false" outlineLevel="0" collapsed="false">
      <c r="A18" s="83" t="str">
        <f aca="false">IF($B18="","",الموظفون!$A18)</f>
        <v/>
      </c>
      <c r="B18" s="74" t="str">
        <f aca="false">IF(الموظفون!$B18="","",الموظفون!$B18)</f>
        <v/>
      </c>
      <c r="C18" s="74" t="str">
        <f aca="false">IF($B18="","",الموظفون!$C18)</f>
        <v/>
      </c>
      <c r="D18" s="74" t="str">
        <f aca="false">IF($B18="","",الموظفون!$F18)</f>
        <v/>
      </c>
      <c r="E18" s="74" t="str">
        <f aca="false">IF($B18="","",الموظفون!$E18)</f>
        <v/>
      </c>
      <c r="F18" s="105" t="str">
        <f aca="false">IF($B18="","",IF(AE18&gt;=DAY($G$3),cfg_DAYS_M,MIN(AE18,cfg_DAYS_M)))</f>
        <v/>
      </c>
      <c r="G18" s="105" t="str">
        <f aca="false">IF($B18="","",SUMIFS('الحركات الشهرية'!$D$6:$D$1005,'الحركات الشهرية'!$B$6:$B$1005,$B18,'الحركات الشهرية'!$A$6:$A$1005,$C$3))</f>
        <v/>
      </c>
      <c r="H18" s="105" t="str">
        <f aca="false">IF($B18="","",SUMIFS('الحركات الشهرية'!$E$6:$E$1005,'الحركات الشهرية'!$B$6:$B$1005,$B18,'الحركات الشهرية'!$A$6:$A$1005,$C$3))</f>
        <v/>
      </c>
      <c r="I18" s="105" t="str">
        <f aca="false">IF($B18="","",MAX(0,F18-G18-H18))</f>
        <v/>
      </c>
      <c r="J18" s="86" t="str">
        <f aca="false">IF($B18="","",الموظفون!$J18*$I18/cfg_DAYS_M)</f>
        <v/>
      </c>
      <c r="K18" s="86" t="str">
        <f aca="false">IF($B18="","",الموظفون!$K18*$I18/cfg_DAYS_M)</f>
        <v/>
      </c>
      <c r="L18" s="86" t="str">
        <f aca="false">IF($B18="","",الموظفون!$L18*$I18/cfg_DAYS_M)</f>
        <v/>
      </c>
      <c r="M18" s="86" t="str">
        <f aca="false">IF($B18="","",الموظفون!$M18*$I18/cfg_DAYS_M)</f>
        <v/>
      </c>
      <c r="N18" s="105" t="str">
        <f aca="false">IF($B18="","",SUMIFS('الحركات الشهرية'!$F$6:$F$1005,'الحركات الشهرية'!$B$6:$B$1005,$B18,'الحركات الشهرية'!$A$6:$A$1005,$C$3))</f>
        <v/>
      </c>
      <c r="O18" s="86" t="str">
        <f aca="false">IF($B18="","",N18*(الموظفون!$N18+الموظفون!$J18*cfg_OT_P)/cfg_DAYS_M/cfg_HRS)</f>
        <v/>
      </c>
      <c r="P18" s="86" t="str">
        <f aca="false">IF($B18="","",SUMIFS('الحركات الشهرية'!$G$6:$G$1005,'الحركات الشهرية'!$B$6:$B$1005,$B18,'الحركات الشهرية'!$A$6:$A$1005,$C$3))</f>
        <v/>
      </c>
      <c r="Q18" s="86" t="str">
        <f aca="false">IF($B18="","",SUMIFS('الحركات الشهرية'!$H$6:$H$1005,'الحركات الشهرية'!$B$6:$B$1005,$B18,'الحركات الشهرية'!$A$6:$A$1005,$C$3))</f>
        <v/>
      </c>
      <c r="R18" s="106" t="str">
        <f aca="false">IF($B18="","",SUM(J18:M18)+SUM(O18:Q18))</f>
        <v/>
      </c>
      <c r="S18" s="86" t="str">
        <f aca="false">IF($B18="","",الموظفون!$Q18*IF(E18="سعودي",cfg_G_SE,cfg_G_NE)*F18/cfg_DAYS_M)</f>
        <v/>
      </c>
      <c r="T18" s="86" t="str">
        <f aca="false">IF($B18="","",SUMIFS('الحركات الشهرية'!$I$6:$I$1005,'الحركات الشهرية'!$B$6:$B$1005,$B18,'الحركات الشهرية'!$A$6:$A$1005,$C$3))</f>
        <v/>
      </c>
      <c r="U18" s="86" t="str">
        <f aca="false">IF($B18="","",SUMIFS('الحركات الشهرية'!$J$6:$J$1005,'الحركات الشهرية'!$B$6:$B$1005,$B18,'الحركات الشهرية'!$A$6:$A$1005,$C$3))</f>
        <v/>
      </c>
      <c r="V18" s="86" t="str">
        <f aca="false">IF($B18="","",SUM(S18:U18))</f>
        <v/>
      </c>
      <c r="W18" s="107" t="str">
        <f aca="false">IF($B18="","",R18-V18)</f>
        <v/>
      </c>
      <c r="X18" s="86" t="str">
        <f aca="false">IF($B18="","",الموظفون!$Q18*IF(E18="سعودي",cfg_G_SR,cfg_G_NR)*F18/cfg_DAYS_M)</f>
        <v/>
      </c>
      <c r="Y18" s="86" t="str">
        <f aca="false">IF($B18="","",الموظفون!$O18*(cfg_EOS_R1*(MIN(AC18,cfg_EOS_TH)-MIN(AD18,cfg_EOS_TH))+cfg_EOS_R2*(MAX(AC18-cfg_EOS_TH,0)-MAX(AD18-cfg_EOS_TH,0))))</f>
        <v/>
      </c>
      <c r="Z18" s="86" t="str">
        <f aca="false">IF($B18="","",IF(الموظفون!$R18&lt;&gt;"",الموظفون!$R18,IF(AC18&gt;=cfg_LV_TH,cfg_LV_D2,cfg_LV_D1))/cfg_DAYS_Y*AE18*الموظفون!$P18/cfg_DAYS_M)</f>
        <v/>
      </c>
      <c r="AA18" s="86" t="str">
        <f aca="false">IF($B18="","",IF(AND(الموظفون!$S18="نعم",N(الموظفون!$U18)&gt;0),الموظفون!$T18/الموظفون!$U18*12/cfg_DAYS_Y*AE18,0))</f>
        <v/>
      </c>
      <c r="AB18" s="108" t="str">
        <f aca="false">IF($B18="","",R18+SUM(X18:AA18))</f>
        <v/>
      </c>
      <c r="AC18" s="109" t="str">
        <f aca="false">IF($B18="","",MAX(0,IF(OR(الموظفون!$X18="",الموظفون!$X18&gt;$G$3),$G$3,الموظفون!$X18)-الموظفون!$H18+1)/cfg_DAYS_Y)</f>
        <v/>
      </c>
      <c r="AD18" s="109" t="str">
        <f aca="false">IF($B18="","",MAX(0,IF(OR(الموظفون!$X18="",الموظفون!$X18&gt;($E$3-1)),($E$3-1),الموظفون!$X18)-الموظفون!$H18+1)/cfg_DAYS_Y)</f>
        <v/>
      </c>
      <c r="AE18" s="51" t="str">
        <f aca="false">IF($B18="","",MAX(0,IF(OR(الموظفون!$X18="",الموظفون!$X18&gt;$G$3),$G$3,الموظفون!$X18)-MAX($E$3,الموظفون!$H18)+1))</f>
        <v/>
      </c>
    </row>
    <row r="19" customFormat="false" ht="15" hidden="false" customHeight="false" outlineLevel="0" collapsed="false">
      <c r="A19" s="89" t="str">
        <f aca="false">IF($B19="","",الموظفون!$A19)</f>
        <v/>
      </c>
      <c r="B19" s="91" t="str">
        <f aca="false">IF(الموظفون!$B19="","",الموظفون!$B19)</f>
        <v/>
      </c>
      <c r="C19" s="91" t="str">
        <f aca="false">IF($B19="","",الموظفون!$C19)</f>
        <v/>
      </c>
      <c r="D19" s="91" t="str">
        <f aca="false">IF($B19="","",الموظفون!$F19)</f>
        <v/>
      </c>
      <c r="E19" s="91" t="str">
        <f aca="false">IF($B19="","",الموظفون!$E19)</f>
        <v/>
      </c>
      <c r="F19" s="110" t="str">
        <f aca="false">IF($B19="","",IF(AE19&gt;=DAY($G$3),cfg_DAYS_M,MIN(AE19,cfg_DAYS_M)))</f>
        <v/>
      </c>
      <c r="G19" s="110" t="str">
        <f aca="false">IF($B19="","",SUMIFS('الحركات الشهرية'!$D$6:$D$1005,'الحركات الشهرية'!$B$6:$B$1005,$B19,'الحركات الشهرية'!$A$6:$A$1005,$C$3))</f>
        <v/>
      </c>
      <c r="H19" s="110" t="str">
        <f aca="false">IF($B19="","",SUMIFS('الحركات الشهرية'!$E$6:$E$1005,'الحركات الشهرية'!$B$6:$B$1005,$B19,'الحركات الشهرية'!$A$6:$A$1005,$C$3))</f>
        <v/>
      </c>
      <c r="I19" s="110" t="str">
        <f aca="false">IF($B19="","",MAX(0,F19-G19-H19))</f>
        <v/>
      </c>
      <c r="J19" s="90" t="str">
        <f aca="false">IF($B19="","",الموظفون!$J19*$I19/cfg_DAYS_M)</f>
        <v/>
      </c>
      <c r="K19" s="90" t="str">
        <f aca="false">IF($B19="","",الموظفون!$K19*$I19/cfg_DAYS_M)</f>
        <v/>
      </c>
      <c r="L19" s="90" t="str">
        <f aca="false">IF($B19="","",الموظفون!$L19*$I19/cfg_DAYS_M)</f>
        <v/>
      </c>
      <c r="M19" s="90" t="str">
        <f aca="false">IF($B19="","",الموظفون!$M19*$I19/cfg_DAYS_M)</f>
        <v/>
      </c>
      <c r="N19" s="110" t="str">
        <f aca="false">IF($B19="","",SUMIFS('الحركات الشهرية'!$F$6:$F$1005,'الحركات الشهرية'!$B$6:$B$1005,$B19,'الحركات الشهرية'!$A$6:$A$1005,$C$3))</f>
        <v/>
      </c>
      <c r="O19" s="90" t="str">
        <f aca="false">IF($B19="","",N19*(الموظفون!$N19+الموظفون!$J19*cfg_OT_P)/cfg_DAYS_M/cfg_HRS)</f>
        <v/>
      </c>
      <c r="P19" s="90" t="str">
        <f aca="false">IF($B19="","",SUMIFS('الحركات الشهرية'!$G$6:$G$1005,'الحركات الشهرية'!$B$6:$B$1005,$B19,'الحركات الشهرية'!$A$6:$A$1005,$C$3))</f>
        <v/>
      </c>
      <c r="Q19" s="90" t="str">
        <f aca="false">IF($B19="","",SUMIFS('الحركات الشهرية'!$H$6:$H$1005,'الحركات الشهرية'!$B$6:$B$1005,$B19,'الحركات الشهرية'!$A$6:$A$1005,$C$3))</f>
        <v/>
      </c>
      <c r="R19" s="111" t="str">
        <f aca="false">IF($B19="","",SUM(J19:M19)+SUM(O19:Q19))</f>
        <v/>
      </c>
      <c r="S19" s="90" t="str">
        <f aca="false">IF($B19="","",الموظفون!$Q19*IF(E19="سعودي",cfg_G_SE,cfg_G_NE)*F19/cfg_DAYS_M)</f>
        <v/>
      </c>
      <c r="T19" s="90" t="str">
        <f aca="false">IF($B19="","",SUMIFS('الحركات الشهرية'!$I$6:$I$1005,'الحركات الشهرية'!$B$6:$B$1005,$B19,'الحركات الشهرية'!$A$6:$A$1005,$C$3))</f>
        <v/>
      </c>
      <c r="U19" s="90" t="str">
        <f aca="false">IF($B19="","",SUMIFS('الحركات الشهرية'!$J$6:$J$1005,'الحركات الشهرية'!$B$6:$B$1005,$B19,'الحركات الشهرية'!$A$6:$A$1005,$C$3))</f>
        <v/>
      </c>
      <c r="V19" s="90" t="str">
        <f aca="false">IF($B19="","",SUM(S19:U19))</f>
        <v/>
      </c>
      <c r="W19" s="112" t="str">
        <f aca="false">IF($B19="","",R19-V19)</f>
        <v/>
      </c>
      <c r="X19" s="90" t="str">
        <f aca="false">IF($B19="","",الموظفون!$Q19*IF(E19="سعودي",cfg_G_SR,cfg_G_NR)*F19/cfg_DAYS_M)</f>
        <v/>
      </c>
      <c r="Y19" s="90" t="str">
        <f aca="false">IF($B19="","",الموظفون!$O19*(cfg_EOS_R1*(MIN(AC19,cfg_EOS_TH)-MIN(AD19,cfg_EOS_TH))+cfg_EOS_R2*(MAX(AC19-cfg_EOS_TH,0)-MAX(AD19-cfg_EOS_TH,0))))</f>
        <v/>
      </c>
      <c r="Z19" s="90" t="str">
        <f aca="false">IF($B19="","",IF(الموظفون!$R19&lt;&gt;"",الموظفون!$R19,IF(AC19&gt;=cfg_LV_TH,cfg_LV_D2,cfg_LV_D1))/cfg_DAYS_Y*AE19*الموظفون!$P19/cfg_DAYS_M)</f>
        <v/>
      </c>
      <c r="AA19" s="90" t="str">
        <f aca="false">IF($B19="","",IF(AND(الموظفون!$S19="نعم",N(الموظفون!$U19)&gt;0),الموظفون!$T19/الموظفون!$U19*12/cfg_DAYS_Y*AE19,0))</f>
        <v/>
      </c>
      <c r="AB19" s="113" t="str">
        <f aca="false">IF($B19="","",R19+SUM(X19:AA19))</f>
        <v/>
      </c>
      <c r="AC19" s="114" t="str">
        <f aca="false">IF($B19="","",MAX(0,IF(OR(الموظفون!$X19="",الموظفون!$X19&gt;$G$3),$G$3,الموظفون!$X19)-الموظفون!$H19+1)/cfg_DAYS_Y)</f>
        <v/>
      </c>
      <c r="AD19" s="114" t="str">
        <f aca="false">IF($B19="","",MAX(0,IF(OR(الموظفون!$X19="",الموظفون!$X19&gt;($E$3-1)),($E$3-1),الموظفون!$X19)-الموظفون!$H19+1)/cfg_DAYS_Y)</f>
        <v/>
      </c>
      <c r="AE19" s="115" t="str">
        <f aca="false">IF($B19="","",MAX(0,IF(OR(الموظفون!$X19="",الموظفون!$X19&gt;$G$3),$G$3,الموظفون!$X19)-MAX($E$3,الموظفون!$H19)+1))</f>
        <v/>
      </c>
    </row>
    <row r="20" customFormat="false" ht="15" hidden="false" customHeight="false" outlineLevel="0" collapsed="false">
      <c r="A20" s="83" t="str">
        <f aca="false">IF($B20="","",الموظفون!$A20)</f>
        <v/>
      </c>
      <c r="B20" s="74" t="str">
        <f aca="false">IF(الموظفون!$B20="","",الموظفون!$B20)</f>
        <v/>
      </c>
      <c r="C20" s="74" t="str">
        <f aca="false">IF($B20="","",الموظفون!$C20)</f>
        <v/>
      </c>
      <c r="D20" s="74" t="str">
        <f aca="false">IF($B20="","",الموظفون!$F20)</f>
        <v/>
      </c>
      <c r="E20" s="74" t="str">
        <f aca="false">IF($B20="","",الموظفون!$E20)</f>
        <v/>
      </c>
      <c r="F20" s="105" t="str">
        <f aca="false">IF($B20="","",IF(AE20&gt;=DAY($G$3),cfg_DAYS_M,MIN(AE20,cfg_DAYS_M)))</f>
        <v/>
      </c>
      <c r="G20" s="105" t="str">
        <f aca="false">IF($B20="","",SUMIFS('الحركات الشهرية'!$D$6:$D$1005,'الحركات الشهرية'!$B$6:$B$1005,$B20,'الحركات الشهرية'!$A$6:$A$1005,$C$3))</f>
        <v/>
      </c>
      <c r="H20" s="105" t="str">
        <f aca="false">IF($B20="","",SUMIFS('الحركات الشهرية'!$E$6:$E$1005,'الحركات الشهرية'!$B$6:$B$1005,$B20,'الحركات الشهرية'!$A$6:$A$1005,$C$3))</f>
        <v/>
      </c>
      <c r="I20" s="105" t="str">
        <f aca="false">IF($B20="","",MAX(0,F20-G20-H20))</f>
        <v/>
      </c>
      <c r="J20" s="86" t="str">
        <f aca="false">IF($B20="","",الموظفون!$J20*$I20/cfg_DAYS_M)</f>
        <v/>
      </c>
      <c r="K20" s="86" t="str">
        <f aca="false">IF($B20="","",الموظفون!$K20*$I20/cfg_DAYS_M)</f>
        <v/>
      </c>
      <c r="L20" s="86" t="str">
        <f aca="false">IF($B20="","",الموظفون!$L20*$I20/cfg_DAYS_M)</f>
        <v/>
      </c>
      <c r="M20" s="86" t="str">
        <f aca="false">IF($B20="","",الموظفون!$M20*$I20/cfg_DAYS_M)</f>
        <v/>
      </c>
      <c r="N20" s="105" t="str">
        <f aca="false">IF($B20="","",SUMIFS('الحركات الشهرية'!$F$6:$F$1005,'الحركات الشهرية'!$B$6:$B$1005,$B20,'الحركات الشهرية'!$A$6:$A$1005,$C$3))</f>
        <v/>
      </c>
      <c r="O20" s="86" t="str">
        <f aca="false">IF($B20="","",N20*(الموظفون!$N20+الموظفون!$J20*cfg_OT_P)/cfg_DAYS_M/cfg_HRS)</f>
        <v/>
      </c>
      <c r="P20" s="86" t="str">
        <f aca="false">IF($B20="","",SUMIFS('الحركات الشهرية'!$G$6:$G$1005,'الحركات الشهرية'!$B$6:$B$1005,$B20,'الحركات الشهرية'!$A$6:$A$1005,$C$3))</f>
        <v/>
      </c>
      <c r="Q20" s="86" t="str">
        <f aca="false">IF($B20="","",SUMIFS('الحركات الشهرية'!$H$6:$H$1005,'الحركات الشهرية'!$B$6:$B$1005,$B20,'الحركات الشهرية'!$A$6:$A$1005,$C$3))</f>
        <v/>
      </c>
      <c r="R20" s="106" t="str">
        <f aca="false">IF($B20="","",SUM(J20:M20)+SUM(O20:Q20))</f>
        <v/>
      </c>
      <c r="S20" s="86" t="str">
        <f aca="false">IF($B20="","",الموظفون!$Q20*IF(E20="سعودي",cfg_G_SE,cfg_G_NE)*F20/cfg_DAYS_M)</f>
        <v/>
      </c>
      <c r="T20" s="86" t="str">
        <f aca="false">IF($B20="","",SUMIFS('الحركات الشهرية'!$I$6:$I$1005,'الحركات الشهرية'!$B$6:$B$1005,$B20,'الحركات الشهرية'!$A$6:$A$1005,$C$3))</f>
        <v/>
      </c>
      <c r="U20" s="86" t="str">
        <f aca="false">IF($B20="","",SUMIFS('الحركات الشهرية'!$J$6:$J$1005,'الحركات الشهرية'!$B$6:$B$1005,$B20,'الحركات الشهرية'!$A$6:$A$1005,$C$3))</f>
        <v/>
      </c>
      <c r="V20" s="86" t="str">
        <f aca="false">IF($B20="","",SUM(S20:U20))</f>
        <v/>
      </c>
      <c r="W20" s="107" t="str">
        <f aca="false">IF($B20="","",R20-V20)</f>
        <v/>
      </c>
      <c r="X20" s="86" t="str">
        <f aca="false">IF($B20="","",الموظفون!$Q20*IF(E20="سعودي",cfg_G_SR,cfg_G_NR)*F20/cfg_DAYS_M)</f>
        <v/>
      </c>
      <c r="Y20" s="86" t="str">
        <f aca="false">IF($B20="","",الموظفون!$O20*(cfg_EOS_R1*(MIN(AC20,cfg_EOS_TH)-MIN(AD20,cfg_EOS_TH))+cfg_EOS_R2*(MAX(AC20-cfg_EOS_TH,0)-MAX(AD20-cfg_EOS_TH,0))))</f>
        <v/>
      </c>
      <c r="Z20" s="86" t="str">
        <f aca="false">IF($B20="","",IF(الموظفون!$R20&lt;&gt;"",الموظفون!$R20,IF(AC20&gt;=cfg_LV_TH,cfg_LV_D2,cfg_LV_D1))/cfg_DAYS_Y*AE20*الموظفون!$P20/cfg_DAYS_M)</f>
        <v/>
      </c>
      <c r="AA20" s="86" t="str">
        <f aca="false">IF($B20="","",IF(AND(الموظفون!$S20="نعم",N(الموظفون!$U20)&gt;0),الموظفون!$T20/الموظفون!$U20*12/cfg_DAYS_Y*AE20,0))</f>
        <v/>
      </c>
      <c r="AB20" s="108" t="str">
        <f aca="false">IF($B20="","",R20+SUM(X20:AA20))</f>
        <v/>
      </c>
      <c r="AC20" s="109" t="str">
        <f aca="false">IF($B20="","",MAX(0,IF(OR(الموظفون!$X20="",الموظفون!$X20&gt;$G$3),$G$3,الموظفون!$X20)-الموظفون!$H20+1)/cfg_DAYS_Y)</f>
        <v/>
      </c>
      <c r="AD20" s="109" t="str">
        <f aca="false">IF($B20="","",MAX(0,IF(OR(الموظفون!$X20="",الموظفون!$X20&gt;($E$3-1)),($E$3-1),الموظفون!$X20)-الموظفون!$H20+1)/cfg_DAYS_Y)</f>
        <v/>
      </c>
      <c r="AE20" s="51" t="str">
        <f aca="false">IF($B20="","",MAX(0,IF(OR(الموظفون!$X20="",الموظفون!$X20&gt;$G$3),$G$3,الموظفون!$X20)-MAX($E$3,الموظفون!$H20)+1))</f>
        <v/>
      </c>
    </row>
    <row r="21" customFormat="false" ht="15" hidden="false" customHeight="false" outlineLevel="0" collapsed="false">
      <c r="A21" s="89" t="str">
        <f aca="false">IF($B21="","",الموظفون!$A21)</f>
        <v/>
      </c>
      <c r="B21" s="91" t="str">
        <f aca="false">IF(الموظفون!$B21="","",الموظفون!$B21)</f>
        <v/>
      </c>
      <c r="C21" s="91" t="str">
        <f aca="false">IF($B21="","",الموظفون!$C21)</f>
        <v/>
      </c>
      <c r="D21" s="91" t="str">
        <f aca="false">IF($B21="","",الموظفون!$F21)</f>
        <v/>
      </c>
      <c r="E21" s="91" t="str">
        <f aca="false">IF($B21="","",الموظفون!$E21)</f>
        <v/>
      </c>
      <c r="F21" s="110" t="str">
        <f aca="false">IF($B21="","",IF(AE21&gt;=DAY($G$3),cfg_DAYS_M,MIN(AE21,cfg_DAYS_M)))</f>
        <v/>
      </c>
      <c r="G21" s="110" t="str">
        <f aca="false">IF($B21="","",SUMIFS('الحركات الشهرية'!$D$6:$D$1005,'الحركات الشهرية'!$B$6:$B$1005,$B21,'الحركات الشهرية'!$A$6:$A$1005,$C$3))</f>
        <v/>
      </c>
      <c r="H21" s="110" t="str">
        <f aca="false">IF($B21="","",SUMIFS('الحركات الشهرية'!$E$6:$E$1005,'الحركات الشهرية'!$B$6:$B$1005,$B21,'الحركات الشهرية'!$A$6:$A$1005,$C$3))</f>
        <v/>
      </c>
      <c r="I21" s="110" t="str">
        <f aca="false">IF($B21="","",MAX(0,F21-G21-H21))</f>
        <v/>
      </c>
      <c r="J21" s="90" t="str">
        <f aca="false">IF($B21="","",الموظفون!$J21*$I21/cfg_DAYS_M)</f>
        <v/>
      </c>
      <c r="K21" s="90" t="str">
        <f aca="false">IF($B21="","",الموظفون!$K21*$I21/cfg_DAYS_M)</f>
        <v/>
      </c>
      <c r="L21" s="90" t="str">
        <f aca="false">IF($B21="","",الموظفون!$L21*$I21/cfg_DAYS_M)</f>
        <v/>
      </c>
      <c r="M21" s="90" t="str">
        <f aca="false">IF($B21="","",الموظفون!$M21*$I21/cfg_DAYS_M)</f>
        <v/>
      </c>
      <c r="N21" s="110" t="str">
        <f aca="false">IF($B21="","",SUMIFS('الحركات الشهرية'!$F$6:$F$1005,'الحركات الشهرية'!$B$6:$B$1005,$B21,'الحركات الشهرية'!$A$6:$A$1005,$C$3))</f>
        <v/>
      </c>
      <c r="O21" s="90" t="str">
        <f aca="false">IF($B21="","",N21*(الموظفون!$N21+الموظفون!$J21*cfg_OT_P)/cfg_DAYS_M/cfg_HRS)</f>
        <v/>
      </c>
      <c r="P21" s="90" t="str">
        <f aca="false">IF($B21="","",SUMIFS('الحركات الشهرية'!$G$6:$G$1005,'الحركات الشهرية'!$B$6:$B$1005,$B21,'الحركات الشهرية'!$A$6:$A$1005,$C$3))</f>
        <v/>
      </c>
      <c r="Q21" s="90" t="str">
        <f aca="false">IF($B21="","",SUMIFS('الحركات الشهرية'!$H$6:$H$1005,'الحركات الشهرية'!$B$6:$B$1005,$B21,'الحركات الشهرية'!$A$6:$A$1005,$C$3))</f>
        <v/>
      </c>
      <c r="R21" s="111" t="str">
        <f aca="false">IF($B21="","",SUM(J21:M21)+SUM(O21:Q21))</f>
        <v/>
      </c>
      <c r="S21" s="90" t="str">
        <f aca="false">IF($B21="","",الموظفون!$Q21*IF(E21="سعودي",cfg_G_SE,cfg_G_NE)*F21/cfg_DAYS_M)</f>
        <v/>
      </c>
      <c r="T21" s="90" t="str">
        <f aca="false">IF($B21="","",SUMIFS('الحركات الشهرية'!$I$6:$I$1005,'الحركات الشهرية'!$B$6:$B$1005,$B21,'الحركات الشهرية'!$A$6:$A$1005,$C$3))</f>
        <v/>
      </c>
      <c r="U21" s="90" t="str">
        <f aca="false">IF($B21="","",SUMIFS('الحركات الشهرية'!$J$6:$J$1005,'الحركات الشهرية'!$B$6:$B$1005,$B21,'الحركات الشهرية'!$A$6:$A$1005,$C$3))</f>
        <v/>
      </c>
      <c r="V21" s="90" t="str">
        <f aca="false">IF($B21="","",SUM(S21:U21))</f>
        <v/>
      </c>
      <c r="W21" s="112" t="str">
        <f aca="false">IF($B21="","",R21-V21)</f>
        <v/>
      </c>
      <c r="X21" s="90" t="str">
        <f aca="false">IF($B21="","",الموظفون!$Q21*IF(E21="سعودي",cfg_G_SR,cfg_G_NR)*F21/cfg_DAYS_M)</f>
        <v/>
      </c>
      <c r="Y21" s="90" t="str">
        <f aca="false">IF($B21="","",الموظفون!$O21*(cfg_EOS_R1*(MIN(AC21,cfg_EOS_TH)-MIN(AD21,cfg_EOS_TH))+cfg_EOS_R2*(MAX(AC21-cfg_EOS_TH,0)-MAX(AD21-cfg_EOS_TH,0))))</f>
        <v/>
      </c>
      <c r="Z21" s="90" t="str">
        <f aca="false">IF($B21="","",IF(الموظفون!$R21&lt;&gt;"",الموظفون!$R21,IF(AC21&gt;=cfg_LV_TH,cfg_LV_D2,cfg_LV_D1))/cfg_DAYS_Y*AE21*الموظفون!$P21/cfg_DAYS_M)</f>
        <v/>
      </c>
      <c r="AA21" s="90" t="str">
        <f aca="false">IF($B21="","",IF(AND(الموظفون!$S21="نعم",N(الموظفون!$U21)&gt;0),الموظفون!$T21/الموظفون!$U21*12/cfg_DAYS_Y*AE21,0))</f>
        <v/>
      </c>
      <c r="AB21" s="113" t="str">
        <f aca="false">IF($B21="","",R21+SUM(X21:AA21))</f>
        <v/>
      </c>
      <c r="AC21" s="114" t="str">
        <f aca="false">IF($B21="","",MAX(0,IF(OR(الموظفون!$X21="",الموظفون!$X21&gt;$G$3),$G$3,الموظفون!$X21)-الموظفون!$H21+1)/cfg_DAYS_Y)</f>
        <v/>
      </c>
      <c r="AD21" s="114" t="str">
        <f aca="false">IF($B21="","",MAX(0,IF(OR(الموظفون!$X21="",الموظفون!$X21&gt;($E$3-1)),($E$3-1),الموظفون!$X21)-الموظفون!$H21+1)/cfg_DAYS_Y)</f>
        <v/>
      </c>
      <c r="AE21" s="115" t="str">
        <f aca="false">IF($B21="","",MAX(0,IF(OR(الموظفون!$X21="",الموظفون!$X21&gt;$G$3),$G$3,الموظفون!$X21)-MAX($E$3,الموظفون!$H21)+1))</f>
        <v/>
      </c>
    </row>
    <row r="22" customFormat="false" ht="15" hidden="false" customHeight="false" outlineLevel="0" collapsed="false">
      <c r="A22" s="83" t="str">
        <f aca="false">IF($B22="","",الموظفون!$A22)</f>
        <v/>
      </c>
      <c r="B22" s="74" t="str">
        <f aca="false">IF(الموظفون!$B22="","",الموظفون!$B22)</f>
        <v/>
      </c>
      <c r="C22" s="74" t="str">
        <f aca="false">IF($B22="","",الموظفون!$C22)</f>
        <v/>
      </c>
      <c r="D22" s="74" t="str">
        <f aca="false">IF($B22="","",الموظفون!$F22)</f>
        <v/>
      </c>
      <c r="E22" s="74" t="str">
        <f aca="false">IF($B22="","",الموظفون!$E22)</f>
        <v/>
      </c>
      <c r="F22" s="105" t="str">
        <f aca="false">IF($B22="","",IF(AE22&gt;=DAY($G$3),cfg_DAYS_M,MIN(AE22,cfg_DAYS_M)))</f>
        <v/>
      </c>
      <c r="G22" s="105" t="str">
        <f aca="false">IF($B22="","",SUMIFS('الحركات الشهرية'!$D$6:$D$1005,'الحركات الشهرية'!$B$6:$B$1005,$B22,'الحركات الشهرية'!$A$6:$A$1005,$C$3))</f>
        <v/>
      </c>
      <c r="H22" s="105" t="str">
        <f aca="false">IF($B22="","",SUMIFS('الحركات الشهرية'!$E$6:$E$1005,'الحركات الشهرية'!$B$6:$B$1005,$B22,'الحركات الشهرية'!$A$6:$A$1005,$C$3))</f>
        <v/>
      </c>
      <c r="I22" s="105" t="str">
        <f aca="false">IF($B22="","",MAX(0,F22-G22-H22))</f>
        <v/>
      </c>
      <c r="J22" s="86" t="str">
        <f aca="false">IF($B22="","",الموظفون!$J22*$I22/cfg_DAYS_M)</f>
        <v/>
      </c>
      <c r="K22" s="86" t="str">
        <f aca="false">IF($B22="","",الموظفون!$K22*$I22/cfg_DAYS_M)</f>
        <v/>
      </c>
      <c r="L22" s="86" t="str">
        <f aca="false">IF($B22="","",الموظفون!$L22*$I22/cfg_DAYS_M)</f>
        <v/>
      </c>
      <c r="M22" s="86" t="str">
        <f aca="false">IF($B22="","",الموظفون!$M22*$I22/cfg_DAYS_M)</f>
        <v/>
      </c>
      <c r="N22" s="105" t="str">
        <f aca="false">IF($B22="","",SUMIFS('الحركات الشهرية'!$F$6:$F$1005,'الحركات الشهرية'!$B$6:$B$1005,$B22,'الحركات الشهرية'!$A$6:$A$1005,$C$3))</f>
        <v/>
      </c>
      <c r="O22" s="86" t="str">
        <f aca="false">IF($B22="","",N22*(الموظفون!$N22+الموظفون!$J22*cfg_OT_P)/cfg_DAYS_M/cfg_HRS)</f>
        <v/>
      </c>
      <c r="P22" s="86" t="str">
        <f aca="false">IF($B22="","",SUMIFS('الحركات الشهرية'!$G$6:$G$1005,'الحركات الشهرية'!$B$6:$B$1005,$B22,'الحركات الشهرية'!$A$6:$A$1005,$C$3))</f>
        <v/>
      </c>
      <c r="Q22" s="86" t="str">
        <f aca="false">IF($B22="","",SUMIFS('الحركات الشهرية'!$H$6:$H$1005,'الحركات الشهرية'!$B$6:$B$1005,$B22,'الحركات الشهرية'!$A$6:$A$1005,$C$3))</f>
        <v/>
      </c>
      <c r="R22" s="106" t="str">
        <f aca="false">IF($B22="","",SUM(J22:M22)+SUM(O22:Q22))</f>
        <v/>
      </c>
      <c r="S22" s="86" t="str">
        <f aca="false">IF($B22="","",الموظفون!$Q22*IF(E22="سعودي",cfg_G_SE,cfg_G_NE)*F22/cfg_DAYS_M)</f>
        <v/>
      </c>
      <c r="T22" s="86" t="str">
        <f aca="false">IF($B22="","",SUMIFS('الحركات الشهرية'!$I$6:$I$1005,'الحركات الشهرية'!$B$6:$B$1005,$B22,'الحركات الشهرية'!$A$6:$A$1005,$C$3))</f>
        <v/>
      </c>
      <c r="U22" s="86" t="str">
        <f aca="false">IF($B22="","",SUMIFS('الحركات الشهرية'!$J$6:$J$1005,'الحركات الشهرية'!$B$6:$B$1005,$B22,'الحركات الشهرية'!$A$6:$A$1005,$C$3))</f>
        <v/>
      </c>
      <c r="V22" s="86" t="str">
        <f aca="false">IF($B22="","",SUM(S22:U22))</f>
        <v/>
      </c>
      <c r="W22" s="107" t="str">
        <f aca="false">IF($B22="","",R22-V22)</f>
        <v/>
      </c>
      <c r="X22" s="86" t="str">
        <f aca="false">IF($B22="","",الموظفون!$Q22*IF(E22="سعودي",cfg_G_SR,cfg_G_NR)*F22/cfg_DAYS_M)</f>
        <v/>
      </c>
      <c r="Y22" s="86" t="str">
        <f aca="false">IF($B22="","",الموظفون!$O22*(cfg_EOS_R1*(MIN(AC22,cfg_EOS_TH)-MIN(AD22,cfg_EOS_TH))+cfg_EOS_R2*(MAX(AC22-cfg_EOS_TH,0)-MAX(AD22-cfg_EOS_TH,0))))</f>
        <v/>
      </c>
      <c r="Z22" s="86" t="str">
        <f aca="false">IF($B22="","",IF(الموظفون!$R22&lt;&gt;"",الموظفون!$R22,IF(AC22&gt;=cfg_LV_TH,cfg_LV_D2,cfg_LV_D1))/cfg_DAYS_Y*AE22*الموظفون!$P22/cfg_DAYS_M)</f>
        <v/>
      </c>
      <c r="AA22" s="86" t="str">
        <f aca="false">IF($B22="","",IF(AND(الموظفون!$S22="نعم",N(الموظفون!$U22)&gt;0),الموظفون!$T22/الموظفون!$U22*12/cfg_DAYS_Y*AE22,0))</f>
        <v/>
      </c>
      <c r="AB22" s="108" t="str">
        <f aca="false">IF($B22="","",R22+SUM(X22:AA22))</f>
        <v/>
      </c>
      <c r="AC22" s="109" t="str">
        <f aca="false">IF($B22="","",MAX(0,IF(OR(الموظفون!$X22="",الموظفون!$X22&gt;$G$3),$G$3,الموظفون!$X22)-الموظفون!$H22+1)/cfg_DAYS_Y)</f>
        <v/>
      </c>
      <c r="AD22" s="109" t="str">
        <f aca="false">IF($B22="","",MAX(0,IF(OR(الموظفون!$X22="",الموظفون!$X22&gt;($E$3-1)),($E$3-1),الموظفون!$X22)-الموظفون!$H22+1)/cfg_DAYS_Y)</f>
        <v/>
      </c>
      <c r="AE22" s="51" t="str">
        <f aca="false">IF($B22="","",MAX(0,IF(OR(الموظفون!$X22="",الموظفون!$X22&gt;$G$3),$G$3,الموظفون!$X22)-MAX($E$3,الموظفون!$H22)+1))</f>
        <v/>
      </c>
    </row>
    <row r="23" customFormat="false" ht="15" hidden="false" customHeight="false" outlineLevel="0" collapsed="false">
      <c r="A23" s="89" t="str">
        <f aca="false">IF($B23="","",الموظفون!$A23)</f>
        <v/>
      </c>
      <c r="B23" s="91" t="str">
        <f aca="false">IF(الموظفون!$B23="","",الموظفون!$B23)</f>
        <v/>
      </c>
      <c r="C23" s="91" t="str">
        <f aca="false">IF($B23="","",الموظفون!$C23)</f>
        <v/>
      </c>
      <c r="D23" s="91" t="str">
        <f aca="false">IF($B23="","",الموظفون!$F23)</f>
        <v/>
      </c>
      <c r="E23" s="91" t="str">
        <f aca="false">IF($B23="","",الموظفون!$E23)</f>
        <v/>
      </c>
      <c r="F23" s="110" t="str">
        <f aca="false">IF($B23="","",IF(AE23&gt;=DAY($G$3),cfg_DAYS_M,MIN(AE23,cfg_DAYS_M)))</f>
        <v/>
      </c>
      <c r="G23" s="110" t="str">
        <f aca="false">IF($B23="","",SUMIFS('الحركات الشهرية'!$D$6:$D$1005,'الحركات الشهرية'!$B$6:$B$1005,$B23,'الحركات الشهرية'!$A$6:$A$1005,$C$3))</f>
        <v/>
      </c>
      <c r="H23" s="110" t="str">
        <f aca="false">IF($B23="","",SUMIFS('الحركات الشهرية'!$E$6:$E$1005,'الحركات الشهرية'!$B$6:$B$1005,$B23,'الحركات الشهرية'!$A$6:$A$1005,$C$3))</f>
        <v/>
      </c>
      <c r="I23" s="110" t="str">
        <f aca="false">IF($B23="","",MAX(0,F23-G23-H23))</f>
        <v/>
      </c>
      <c r="J23" s="90" t="str">
        <f aca="false">IF($B23="","",الموظفون!$J23*$I23/cfg_DAYS_M)</f>
        <v/>
      </c>
      <c r="K23" s="90" t="str">
        <f aca="false">IF($B23="","",الموظفون!$K23*$I23/cfg_DAYS_M)</f>
        <v/>
      </c>
      <c r="L23" s="90" t="str">
        <f aca="false">IF($B23="","",الموظفون!$L23*$I23/cfg_DAYS_M)</f>
        <v/>
      </c>
      <c r="M23" s="90" t="str">
        <f aca="false">IF($B23="","",الموظفون!$M23*$I23/cfg_DAYS_M)</f>
        <v/>
      </c>
      <c r="N23" s="110" t="str">
        <f aca="false">IF($B23="","",SUMIFS('الحركات الشهرية'!$F$6:$F$1005,'الحركات الشهرية'!$B$6:$B$1005,$B23,'الحركات الشهرية'!$A$6:$A$1005,$C$3))</f>
        <v/>
      </c>
      <c r="O23" s="90" t="str">
        <f aca="false">IF($B23="","",N23*(الموظفون!$N23+الموظفون!$J23*cfg_OT_P)/cfg_DAYS_M/cfg_HRS)</f>
        <v/>
      </c>
      <c r="P23" s="90" t="str">
        <f aca="false">IF($B23="","",SUMIFS('الحركات الشهرية'!$G$6:$G$1005,'الحركات الشهرية'!$B$6:$B$1005,$B23,'الحركات الشهرية'!$A$6:$A$1005,$C$3))</f>
        <v/>
      </c>
      <c r="Q23" s="90" t="str">
        <f aca="false">IF($B23="","",SUMIFS('الحركات الشهرية'!$H$6:$H$1005,'الحركات الشهرية'!$B$6:$B$1005,$B23,'الحركات الشهرية'!$A$6:$A$1005,$C$3))</f>
        <v/>
      </c>
      <c r="R23" s="111" t="str">
        <f aca="false">IF($B23="","",SUM(J23:M23)+SUM(O23:Q23))</f>
        <v/>
      </c>
      <c r="S23" s="90" t="str">
        <f aca="false">IF($B23="","",الموظفون!$Q23*IF(E23="سعودي",cfg_G_SE,cfg_G_NE)*F23/cfg_DAYS_M)</f>
        <v/>
      </c>
      <c r="T23" s="90" t="str">
        <f aca="false">IF($B23="","",SUMIFS('الحركات الشهرية'!$I$6:$I$1005,'الحركات الشهرية'!$B$6:$B$1005,$B23,'الحركات الشهرية'!$A$6:$A$1005,$C$3))</f>
        <v/>
      </c>
      <c r="U23" s="90" t="str">
        <f aca="false">IF($B23="","",SUMIFS('الحركات الشهرية'!$J$6:$J$1005,'الحركات الشهرية'!$B$6:$B$1005,$B23,'الحركات الشهرية'!$A$6:$A$1005,$C$3))</f>
        <v/>
      </c>
      <c r="V23" s="90" t="str">
        <f aca="false">IF($B23="","",SUM(S23:U23))</f>
        <v/>
      </c>
      <c r="W23" s="112" t="str">
        <f aca="false">IF($B23="","",R23-V23)</f>
        <v/>
      </c>
      <c r="X23" s="90" t="str">
        <f aca="false">IF($B23="","",الموظفون!$Q23*IF(E23="سعودي",cfg_G_SR,cfg_G_NR)*F23/cfg_DAYS_M)</f>
        <v/>
      </c>
      <c r="Y23" s="90" t="str">
        <f aca="false">IF($B23="","",الموظفون!$O23*(cfg_EOS_R1*(MIN(AC23,cfg_EOS_TH)-MIN(AD23,cfg_EOS_TH))+cfg_EOS_R2*(MAX(AC23-cfg_EOS_TH,0)-MAX(AD23-cfg_EOS_TH,0))))</f>
        <v/>
      </c>
      <c r="Z23" s="90" t="str">
        <f aca="false">IF($B23="","",IF(الموظفون!$R23&lt;&gt;"",الموظفون!$R23,IF(AC23&gt;=cfg_LV_TH,cfg_LV_D2,cfg_LV_D1))/cfg_DAYS_Y*AE23*الموظفون!$P23/cfg_DAYS_M)</f>
        <v/>
      </c>
      <c r="AA23" s="90" t="str">
        <f aca="false">IF($B23="","",IF(AND(الموظفون!$S23="نعم",N(الموظفون!$U23)&gt;0),الموظفون!$T23/الموظفون!$U23*12/cfg_DAYS_Y*AE23,0))</f>
        <v/>
      </c>
      <c r="AB23" s="113" t="str">
        <f aca="false">IF($B23="","",R23+SUM(X23:AA23))</f>
        <v/>
      </c>
      <c r="AC23" s="114" t="str">
        <f aca="false">IF($B23="","",MAX(0,IF(OR(الموظفون!$X23="",الموظفون!$X23&gt;$G$3),$G$3,الموظفون!$X23)-الموظفون!$H23+1)/cfg_DAYS_Y)</f>
        <v/>
      </c>
      <c r="AD23" s="114" t="str">
        <f aca="false">IF($B23="","",MAX(0,IF(OR(الموظفون!$X23="",الموظفون!$X23&gt;($E$3-1)),($E$3-1),الموظفون!$X23)-الموظفون!$H23+1)/cfg_DAYS_Y)</f>
        <v/>
      </c>
      <c r="AE23" s="115" t="str">
        <f aca="false">IF($B23="","",MAX(0,IF(OR(الموظفون!$X23="",الموظفون!$X23&gt;$G$3),$G$3,الموظفون!$X23)-MAX($E$3,الموظفون!$H23)+1))</f>
        <v/>
      </c>
    </row>
    <row r="24" customFormat="false" ht="15" hidden="false" customHeight="false" outlineLevel="0" collapsed="false">
      <c r="A24" s="83" t="str">
        <f aca="false">IF($B24="","",الموظفون!$A24)</f>
        <v/>
      </c>
      <c r="B24" s="74" t="str">
        <f aca="false">IF(الموظفون!$B24="","",الموظفون!$B24)</f>
        <v/>
      </c>
      <c r="C24" s="74" t="str">
        <f aca="false">IF($B24="","",الموظفون!$C24)</f>
        <v/>
      </c>
      <c r="D24" s="74" t="str">
        <f aca="false">IF($B24="","",الموظفون!$F24)</f>
        <v/>
      </c>
      <c r="E24" s="74" t="str">
        <f aca="false">IF($B24="","",الموظفون!$E24)</f>
        <v/>
      </c>
      <c r="F24" s="105" t="str">
        <f aca="false">IF($B24="","",IF(AE24&gt;=DAY($G$3),cfg_DAYS_M,MIN(AE24,cfg_DAYS_M)))</f>
        <v/>
      </c>
      <c r="G24" s="105" t="str">
        <f aca="false">IF($B24="","",SUMIFS('الحركات الشهرية'!$D$6:$D$1005,'الحركات الشهرية'!$B$6:$B$1005,$B24,'الحركات الشهرية'!$A$6:$A$1005,$C$3))</f>
        <v/>
      </c>
      <c r="H24" s="105" t="str">
        <f aca="false">IF($B24="","",SUMIFS('الحركات الشهرية'!$E$6:$E$1005,'الحركات الشهرية'!$B$6:$B$1005,$B24,'الحركات الشهرية'!$A$6:$A$1005,$C$3))</f>
        <v/>
      </c>
      <c r="I24" s="105" t="str">
        <f aca="false">IF($B24="","",MAX(0,F24-G24-H24))</f>
        <v/>
      </c>
      <c r="J24" s="86" t="str">
        <f aca="false">IF($B24="","",الموظفون!$J24*$I24/cfg_DAYS_M)</f>
        <v/>
      </c>
      <c r="K24" s="86" t="str">
        <f aca="false">IF($B24="","",الموظفون!$K24*$I24/cfg_DAYS_M)</f>
        <v/>
      </c>
      <c r="L24" s="86" t="str">
        <f aca="false">IF($B24="","",الموظفون!$L24*$I24/cfg_DAYS_M)</f>
        <v/>
      </c>
      <c r="M24" s="86" t="str">
        <f aca="false">IF($B24="","",الموظفون!$M24*$I24/cfg_DAYS_M)</f>
        <v/>
      </c>
      <c r="N24" s="105" t="str">
        <f aca="false">IF($B24="","",SUMIFS('الحركات الشهرية'!$F$6:$F$1005,'الحركات الشهرية'!$B$6:$B$1005,$B24,'الحركات الشهرية'!$A$6:$A$1005,$C$3))</f>
        <v/>
      </c>
      <c r="O24" s="86" t="str">
        <f aca="false">IF($B24="","",N24*(الموظفون!$N24+الموظفون!$J24*cfg_OT_P)/cfg_DAYS_M/cfg_HRS)</f>
        <v/>
      </c>
      <c r="P24" s="86" t="str">
        <f aca="false">IF($B24="","",SUMIFS('الحركات الشهرية'!$G$6:$G$1005,'الحركات الشهرية'!$B$6:$B$1005,$B24,'الحركات الشهرية'!$A$6:$A$1005,$C$3))</f>
        <v/>
      </c>
      <c r="Q24" s="86" t="str">
        <f aca="false">IF($B24="","",SUMIFS('الحركات الشهرية'!$H$6:$H$1005,'الحركات الشهرية'!$B$6:$B$1005,$B24,'الحركات الشهرية'!$A$6:$A$1005,$C$3))</f>
        <v/>
      </c>
      <c r="R24" s="106" t="str">
        <f aca="false">IF($B24="","",SUM(J24:M24)+SUM(O24:Q24))</f>
        <v/>
      </c>
      <c r="S24" s="86" t="str">
        <f aca="false">IF($B24="","",الموظفون!$Q24*IF(E24="سعودي",cfg_G_SE,cfg_G_NE)*F24/cfg_DAYS_M)</f>
        <v/>
      </c>
      <c r="T24" s="86" t="str">
        <f aca="false">IF($B24="","",SUMIFS('الحركات الشهرية'!$I$6:$I$1005,'الحركات الشهرية'!$B$6:$B$1005,$B24,'الحركات الشهرية'!$A$6:$A$1005,$C$3))</f>
        <v/>
      </c>
      <c r="U24" s="86" t="str">
        <f aca="false">IF($B24="","",SUMIFS('الحركات الشهرية'!$J$6:$J$1005,'الحركات الشهرية'!$B$6:$B$1005,$B24,'الحركات الشهرية'!$A$6:$A$1005,$C$3))</f>
        <v/>
      </c>
      <c r="V24" s="86" t="str">
        <f aca="false">IF($B24="","",SUM(S24:U24))</f>
        <v/>
      </c>
      <c r="W24" s="107" t="str">
        <f aca="false">IF($B24="","",R24-V24)</f>
        <v/>
      </c>
      <c r="X24" s="86" t="str">
        <f aca="false">IF($B24="","",الموظفون!$Q24*IF(E24="سعودي",cfg_G_SR,cfg_G_NR)*F24/cfg_DAYS_M)</f>
        <v/>
      </c>
      <c r="Y24" s="86" t="str">
        <f aca="false">IF($B24="","",الموظفون!$O24*(cfg_EOS_R1*(MIN(AC24,cfg_EOS_TH)-MIN(AD24,cfg_EOS_TH))+cfg_EOS_R2*(MAX(AC24-cfg_EOS_TH,0)-MAX(AD24-cfg_EOS_TH,0))))</f>
        <v/>
      </c>
      <c r="Z24" s="86" t="str">
        <f aca="false">IF($B24="","",IF(الموظفون!$R24&lt;&gt;"",الموظفون!$R24,IF(AC24&gt;=cfg_LV_TH,cfg_LV_D2,cfg_LV_D1))/cfg_DAYS_Y*AE24*الموظفون!$P24/cfg_DAYS_M)</f>
        <v/>
      </c>
      <c r="AA24" s="86" t="str">
        <f aca="false">IF($B24="","",IF(AND(الموظفون!$S24="نعم",N(الموظفون!$U24)&gt;0),الموظفون!$T24/الموظفون!$U24*12/cfg_DAYS_Y*AE24,0))</f>
        <v/>
      </c>
      <c r="AB24" s="108" t="str">
        <f aca="false">IF($B24="","",R24+SUM(X24:AA24))</f>
        <v/>
      </c>
      <c r="AC24" s="109" t="str">
        <f aca="false">IF($B24="","",MAX(0,IF(OR(الموظفون!$X24="",الموظفون!$X24&gt;$G$3),$G$3,الموظفون!$X24)-الموظفون!$H24+1)/cfg_DAYS_Y)</f>
        <v/>
      </c>
      <c r="AD24" s="109" t="str">
        <f aca="false">IF($B24="","",MAX(0,IF(OR(الموظفون!$X24="",الموظفون!$X24&gt;($E$3-1)),($E$3-1),الموظفون!$X24)-الموظفون!$H24+1)/cfg_DAYS_Y)</f>
        <v/>
      </c>
      <c r="AE24" s="51" t="str">
        <f aca="false">IF($B24="","",MAX(0,IF(OR(الموظفون!$X24="",الموظفون!$X24&gt;$G$3),$G$3,الموظفون!$X24)-MAX($E$3,الموظفون!$H24)+1))</f>
        <v/>
      </c>
    </row>
    <row r="25" customFormat="false" ht="15" hidden="false" customHeight="false" outlineLevel="0" collapsed="false">
      <c r="A25" s="89" t="str">
        <f aca="false">IF($B25="","",الموظفون!$A25)</f>
        <v/>
      </c>
      <c r="B25" s="91" t="str">
        <f aca="false">IF(الموظفون!$B25="","",الموظفون!$B25)</f>
        <v/>
      </c>
      <c r="C25" s="91" t="str">
        <f aca="false">IF($B25="","",الموظفون!$C25)</f>
        <v/>
      </c>
      <c r="D25" s="91" t="str">
        <f aca="false">IF($B25="","",الموظفون!$F25)</f>
        <v/>
      </c>
      <c r="E25" s="91" t="str">
        <f aca="false">IF($B25="","",الموظفون!$E25)</f>
        <v/>
      </c>
      <c r="F25" s="110" t="str">
        <f aca="false">IF($B25="","",IF(AE25&gt;=DAY($G$3),cfg_DAYS_M,MIN(AE25,cfg_DAYS_M)))</f>
        <v/>
      </c>
      <c r="G25" s="110" t="str">
        <f aca="false">IF($B25="","",SUMIFS('الحركات الشهرية'!$D$6:$D$1005,'الحركات الشهرية'!$B$6:$B$1005,$B25,'الحركات الشهرية'!$A$6:$A$1005,$C$3))</f>
        <v/>
      </c>
      <c r="H25" s="110" t="str">
        <f aca="false">IF($B25="","",SUMIFS('الحركات الشهرية'!$E$6:$E$1005,'الحركات الشهرية'!$B$6:$B$1005,$B25,'الحركات الشهرية'!$A$6:$A$1005,$C$3))</f>
        <v/>
      </c>
      <c r="I25" s="110" t="str">
        <f aca="false">IF($B25="","",MAX(0,F25-G25-H25))</f>
        <v/>
      </c>
      <c r="J25" s="90" t="str">
        <f aca="false">IF($B25="","",الموظفون!$J25*$I25/cfg_DAYS_M)</f>
        <v/>
      </c>
      <c r="K25" s="90" t="str">
        <f aca="false">IF($B25="","",الموظفون!$K25*$I25/cfg_DAYS_M)</f>
        <v/>
      </c>
      <c r="L25" s="90" t="str">
        <f aca="false">IF($B25="","",الموظفون!$L25*$I25/cfg_DAYS_M)</f>
        <v/>
      </c>
      <c r="M25" s="90" t="str">
        <f aca="false">IF($B25="","",الموظفون!$M25*$I25/cfg_DAYS_M)</f>
        <v/>
      </c>
      <c r="N25" s="110" t="str">
        <f aca="false">IF($B25="","",SUMIFS('الحركات الشهرية'!$F$6:$F$1005,'الحركات الشهرية'!$B$6:$B$1005,$B25,'الحركات الشهرية'!$A$6:$A$1005,$C$3))</f>
        <v/>
      </c>
      <c r="O25" s="90" t="str">
        <f aca="false">IF($B25="","",N25*(الموظفون!$N25+الموظفون!$J25*cfg_OT_P)/cfg_DAYS_M/cfg_HRS)</f>
        <v/>
      </c>
      <c r="P25" s="90" t="str">
        <f aca="false">IF($B25="","",SUMIFS('الحركات الشهرية'!$G$6:$G$1005,'الحركات الشهرية'!$B$6:$B$1005,$B25,'الحركات الشهرية'!$A$6:$A$1005,$C$3))</f>
        <v/>
      </c>
      <c r="Q25" s="90" t="str">
        <f aca="false">IF($B25="","",SUMIFS('الحركات الشهرية'!$H$6:$H$1005,'الحركات الشهرية'!$B$6:$B$1005,$B25,'الحركات الشهرية'!$A$6:$A$1005,$C$3))</f>
        <v/>
      </c>
      <c r="R25" s="111" t="str">
        <f aca="false">IF($B25="","",SUM(J25:M25)+SUM(O25:Q25))</f>
        <v/>
      </c>
      <c r="S25" s="90" t="str">
        <f aca="false">IF($B25="","",الموظفون!$Q25*IF(E25="سعودي",cfg_G_SE,cfg_G_NE)*F25/cfg_DAYS_M)</f>
        <v/>
      </c>
      <c r="T25" s="90" t="str">
        <f aca="false">IF($B25="","",SUMIFS('الحركات الشهرية'!$I$6:$I$1005,'الحركات الشهرية'!$B$6:$B$1005,$B25,'الحركات الشهرية'!$A$6:$A$1005,$C$3))</f>
        <v/>
      </c>
      <c r="U25" s="90" t="str">
        <f aca="false">IF($B25="","",SUMIFS('الحركات الشهرية'!$J$6:$J$1005,'الحركات الشهرية'!$B$6:$B$1005,$B25,'الحركات الشهرية'!$A$6:$A$1005,$C$3))</f>
        <v/>
      </c>
      <c r="V25" s="90" t="str">
        <f aca="false">IF($B25="","",SUM(S25:U25))</f>
        <v/>
      </c>
      <c r="W25" s="112" t="str">
        <f aca="false">IF($B25="","",R25-V25)</f>
        <v/>
      </c>
      <c r="X25" s="90" t="str">
        <f aca="false">IF($B25="","",الموظفون!$Q25*IF(E25="سعودي",cfg_G_SR,cfg_G_NR)*F25/cfg_DAYS_M)</f>
        <v/>
      </c>
      <c r="Y25" s="90" t="str">
        <f aca="false">IF($B25="","",الموظفون!$O25*(cfg_EOS_R1*(MIN(AC25,cfg_EOS_TH)-MIN(AD25,cfg_EOS_TH))+cfg_EOS_R2*(MAX(AC25-cfg_EOS_TH,0)-MAX(AD25-cfg_EOS_TH,0))))</f>
        <v/>
      </c>
      <c r="Z25" s="90" t="str">
        <f aca="false">IF($B25="","",IF(الموظفون!$R25&lt;&gt;"",الموظفون!$R25,IF(AC25&gt;=cfg_LV_TH,cfg_LV_D2,cfg_LV_D1))/cfg_DAYS_Y*AE25*الموظفون!$P25/cfg_DAYS_M)</f>
        <v/>
      </c>
      <c r="AA25" s="90" t="str">
        <f aca="false">IF($B25="","",IF(AND(الموظفون!$S25="نعم",N(الموظفون!$U25)&gt;0),الموظفون!$T25/الموظفون!$U25*12/cfg_DAYS_Y*AE25,0))</f>
        <v/>
      </c>
      <c r="AB25" s="113" t="str">
        <f aca="false">IF($B25="","",R25+SUM(X25:AA25))</f>
        <v/>
      </c>
      <c r="AC25" s="114" t="str">
        <f aca="false">IF($B25="","",MAX(0,IF(OR(الموظفون!$X25="",الموظفون!$X25&gt;$G$3),$G$3,الموظفون!$X25)-الموظفون!$H25+1)/cfg_DAYS_Y)</f>
        <v/>
      </c>
      <c r="AD25" s="114" t="str">
        <f aca="false">IF($B25="","",MAX(0,IF(OR(الموظفون!$X25="",الموظفون!$X25&gt;($E$3-1)),($E$3-1),الموظفون!$X25)-الموظفون!$H25+1)/cfg_DAYS_Y)</f>
        <v/>
      </c>
      <c r="AE25" s="115" t="str">
        <f aca="false">IF($B25="","",MAX(0,IF(OR(الموظفون!$X25="",الموظفون!$X25&gt;$G$3),$G$3,الموظفون!$X25)-MAX($E$3,الموظفون!$H25)+1))</f>
        <v/>
      </c>
    </row>
    <row r="26" customFormat="false" ht="15" hidden="false" customHeight="false" outlineLevel="0" collapsed="false">
      <c r="A26" s="83" t="str">
        <f aca="false">IF($B26="","",الموظفون!$A26)</f>
        <v/>
      </c>
      <c r="B26" s="74" t="str">
        <f aca="false">IF(الموظفون!$B26="","",الموظفون!$B26)</f>
        <v/>
      </c>
      <c r="C26" s="74" t="str">
        <f aca="false">IF($B26="","",الموظفون!$C26)</f>
        <v/>
      </c>
      <c r="D26" s="74" t="str">
        <f aca="false">IF($B26="","",الموظفون!$F26)</f>
        <v/>
      </c>
      <c r="E26" s="74" t="str">
        <f aca="false">IF($B26="","",الموظفون!$E26)</f>
        <v/>
      </c>
      <c r="F26" s="105" t="str">
        <f aca="false">IF($B26="","",IF(AE26&gt;=DAY($G$3),cfg_DAYS_M,MIN(AE26,cfg_DAYS_M)))</f>
        <v/>
      </c>
      <c r="G26" s="105" t="str">
        <f aca="false">IF($B26="","",SUMIFS('الحركات الشهرية'!$D$6:$D$1005,'الحركات الشهرية'!$B$6:$B$1005,$B26,'الحركات الشهرية'!$A$6:$A$1005,$C$3))</f>
        <v/>
      </c>
      <c r="H26" s="105" t="str">
        <f aca="false">IF($B26="","",SUMIFS('الحركات الشهرية'!$E$6:$E$1005,'الحركات الشهرية'!$B$6:$B$1005,$B26,'الحركات الشهرية'!$A$6:$A$1005,$C$3))</f>
        <v/>
      </c>
      <c r="I26" s="105" t="str">
        <f aca="false">IF($B26="","",MAX(0,F26-G26-H26))</f>
        <v/>
      </c>
      <c r="J26" s="86" t="str">
        <f aca="false">IF($B26="","",الموظفون!$J26*$I26/cfg_DAYS_M)</f>
        <v/>
      </c>
      <c r="K26" s="86" t="str">
        <f aca="false">IF($B26="","",الموظفون!$K26*$I26/cfg_DAYS_M)</f>
        <v/>
      </c>
      <c r="L26" s="86" t="str">
        <f aca="false">IF($B26="","",الموظفون!$L26*$I26/cfg_DAYS_M)</f>
        <v/>
      </c>
      <c r="M26" s="86" t="str">
        <f aca="false">IF($B26="","",الموظفون!$M26*$I26/cfg_DAYS_M)</f>
        <v/>
      </c>
      <c r="N26" s="105" t="str">
        <f aca="false">IF($B26="","",SUMIFS('الحركات الشهرية'!$F$6:$F$1005,'الحركات الشهرية'!$B$6:$B$1005,$B26,'الحركات الشهرية'!$A$6:$A$1005,$C$3))</f>
        <v/>
      </c>
      <c r="O26" s="86" t="str">
        <f aca="false">IF($B26="","",N26*(الموظفون!$N26+الموظفون!$J26*cfg_OT_P)/cfg_DAYS_M/cfg_HRS)</f>
        <v/>
      </c>
      <c r="P26" s="86" t="str">
        <f aca="false">IF($B26="","",SUMIFS('الحركات الشهرية'!$G$6:$G$1005,'الحركات الشهرية'!$B$6:$B$1005,$B26,'الحركات الشهرية'!$A$6:$A$1005,$C$3))</f>
        <v/>
      </c>
      <c r="Q26" s="86" t="str">
        <f aca="false">IF($B26="","",SUMIFS('الحركات الشهرية'!$H$6:$H$1005,'الحركات الشهرية'!$B$6:$B$1005,$B26,'الحركات الشهرية'!$A$6:$A$1005,$C$3))</f>
        <v/>
      </c>
      <c r="R26" s="106" t="str">
        <f aca="false">IF($B26="","",SUM(J26:M26)+SUM(O26:Q26))</f>
        <v/>
      </c>
      <c r="S26" s="86" t="str">
        <f aca="false">IF($B26="","",الموظفون!$Q26*IF(E26="سعودي",cfg_G_SE,cfg_G_NE)*F26/cfg_DAYS_M)</f>
        <v/>
      </c>
      <c r="T26" s="86" t="str">
        <f aca="false">IF($B26="","",SUMIFS('الحركات الشهرية'!$I$6:$I$1005,'الحركات الشهرية'!$B$6:$B$1005,$B26,'الحركات الشهرية'!$A$6:$A$1005,$C$3))</f>
        <v/>
      </c>
      <c r="U26" s="86" t="str">
        <f aca="false">IF($B26="","",SUMIFS('الحركات الشهرية'!$J$6:$J$1005,'الحركات الشهرية'!$B$6:$B$1005,$B26,'الحركات الشهرية'!$A$6:$A$1005,$C$3))</f>
        <v/>
      </c>
      <c r="V26" s="86" t="str">
        <f aca="false">IF($B26="","",SUM(S26:U26))</f>
        <v/>
      </c>
      <c r="W26" s="107" t="str">
        <f aca="false">IF($B26="","",R26-V26)</f>
        <v/>
      </c>
      <c r="X26" s="86" t="str">
        <f aca="false">IF($B26="","",الموظفون!$Q26*IF(E26="سعودي",cfg_G_SR,cfg_G_NR)*F26/cfg_DAYS_M)</f>
        <v/>
      </c>
      <c r="Y26" s="86" t="str">
        <f aca="false">IF($B26="","",الموظفون!$O26*(cfg_EOS_R1*(MIN(AC26,cfg_EOS_TH)-MIN(AD26,cfg_EOS_TH))+cfg_EOS_R2*(MAX(AC26-cfg_EOS_TH,0)-MAX(AD26-cfg_EOS_TH,0))))</f>
        <v/>
      </c>
      <c r="Z26" s="86" t="str">
        <f aca="false">IF($B26="","",IF(الموظفون!$R26&lt;&gt;"",الموظفون!$R26,IF(AC26&gt;=cfg_LV_TH,cfg_LV_D2,cfg_LV_D1))/cfg_DAYS_Y*AE26*الموظفون!$P26/cfg_DAYS_M)</f>
        <v/>
      </c>
      <c r="AA26" s="86" t="str">
        <f aca="false">IF($B26="","",IF(AND(الموظفون!$S26="نعم",N(الموظفون!$U26)&gt;0),الموظفون!$T26/الموظفون!$U26*12/cfg_DAYS_Y*AE26,0))</f>
        <v/>
      </c>
      <c r="AB26" s="108" t="str">
        <f aca="false">IF($B26="","",R26+SUM(X26:AA26))</f>
        <v/>
      </c>
      <c r="AC26" s="109" t="str">
        <f aca="false">IF($B26="","",MAX(0,IF(OR(الموظفون!$X26="",الموظفون!$X26&gt;$G$3),$G$3,الموظفون!$X26)-الموظفون!$H26+1)/cfg_DAYS_Y)</f>
        <v/>
      </c>
      <c r="AD26" s="109" t="str">
        <f aca="false">IF($B26="","",MAX(0,IF(OR(الموظفون!$X26="",الموظفون!$X26&gt;($E$3-1)),($E$3-1),الموظفون!$X26)-الموظفون!$H26+1)/cfg_DAYS_Y)</f>
        <v/>
      </c>
      <c r="AE26" s="51" t="str">
        <f aca="false">IF($B26="","",MAX(0,IF(OR(الموظفون!$X26="",الموظفون!$X26&gt;$G$3),$G$3,الموظفون!$X26)-MAX($E$3,الموظفون!$H26)+1))</f>
        <v/>
      </c>
    </row>
    <row r="27" customFormat="false" ht="15" hidden="false" customHeight="false" outlineLevel="0" collapsed="false">
      <c r="A27" s="89" t="str">
        <f aca="false">IF($B27="","",الموظفون!$A27)</f>
        <v/>
      </c>
      <c r="B27" s="91" t="str">
        <f aca="false">IF(الموظفون!$B27="","",الموظفون!$B27)</f>
        <v/>
      </c>
      <c r="C27" s="91" t="str">
        <f aca="false">IF($B27="","",الموظفون!$C27)</f>
        <v/>
      </c>
      <c r="D27" s="91" t="str">
        <f aca="false">IF($B27="","",الموظفون!$F27)</f>
        <v/>
      </c>
      <c r="E27" s="91" t="str">
        <f aca="false">IF($B27="","",الموظفون!$E27)</f>
        <v/>
      </c>
      <c r="F27" s="110" t="str">
        <f aca="false">IF($B27="","",IF(AE27&gt;=DAY($G$3),cfg_DAYS_M,MIN(AE27,cfg_DAYS_M)))</f>
        <v/>
      </c>
      <c r="G27" s="110" t="str">
        <f aca="false">IF($B27="","",SUMIFS('الحركات الشهرية'!$D$6:$D$1005,'الحركات الشهرية'!$B$6:$B$1005,$B27,'الحركات الشهرية'!$A$6:$A$1005,$C$3))</f>
        <v/>
      </c>
      <c r="H27" s="110" t="str">
        <f aca="false">IF($B27="","",SUMIFS('الحركات الشهرية'!$E$6:$E$1005,'الحركات الشهرية'!$B$6:$B$1005,$B27,'الحركات الشهرية'!$A$6:$A$1005,$C$3))</f>
        <v/>
      </c>
      <c r="I27" s="110" t="str">
        <f aca="false">IF($B27="","",MAX(0,F27-G27-H27))</f>
        <v/>
      </c>
      <c r="J27" s="90" t="str">
        <f aca="false">IF($B27="","",الموظفون!$J27*$I27/cfg_DAYS_M)</f>
        <v/>
      </c>
      <c r="K27" s="90" t="str">
        <f aca="false">IF($B27="","",الموظفون!$K27*$I27/cfg_DAYS_M)</f>
        <v/>
      </c>
      <c r="L27" s="90" t="str">
        <f aca="false">IF($B27="","",الموظفون!$L27*$I27/cfg_DAYS_M)</f>
        <v/>
      </c>
      <c r="M27" s="90" t="str">
        <f aca="false">IF($B27="","",الموظفون!$M27*$I27/cfg_DAYS_M)</f>
        <v/>
      </c>
      <c r="N27" s="110" t="str">
        <f aca="false">IF($B27="","",SUMIFS('الحركات الشهرية'!$F$6:$F$1005,'الحركات الشهرية'!$B$6:$B$1005,$B27,'الحركات الشهرية'!$A$6:$A$1005,$C$3))</f>
        <v/>
      </c>
      <c r="O27" s="90" t="str">
        <f aca="false">IF($B27="","",N27*(الموظفون!$N27+الموظفون!$J27*cfg_OT_P)/cfg_DAYS_M/cfg_HRS)</f>
        <v/>
      </c>
      <c r="P27" s="90" t="str">
        <f aca="false">IF($B27="","",SUMIFS('الحركات الشهرية'!$G$6:$G$1005,'الحركات الشهرية'!$B$6:$B$1005,$B27,'الحركات الشهرية'!$A$6:$A$1005,$C$3))</f>
        <v/>
      </c>
      <c r="Q27" s="90" t="str">
        <f aca="false">IF($B27="","",SUMIFS('الحركات الشهرية'!$H$6:$H$1005,'الحركات الشهرية'!$B$6:$B$1005,$B27,'الحركات الشهرية'!$A$6:$A$1005,$C$3))</f>
        <v/>
      </c>
      <c r="R27" s="111" t="str">
        <f aca="false">IF($B27="","",SUM(J27:M27)+SUM(O27:Q27))</f>
        <v/>
      </c>
      <c r="S27" s="90" t="str">
        <f aca="false">IF($B27="","",الموظفون!$Q27*IF(E27="سعودي",cfg_G_SE,cfg_G_NE)*F27/cfg_DAYS_M)</f>
        <v/>
      </c>
      <c r="T27" s="90" t="str">
        <f aca="false">IF($B27="","",SUMIFS('الحركات الشهرية'!$I$6:$I$1005,'الحركات الشهرية'!$B$6:$B$1005,$B27,'الحركات الشهرية'!$A$6:$A$1005,$C$3))</f>
        <v/>
      </c>
      <c r="U27" s="90" t="str">
        <f aca="false">IF($B27="","",SUMIFS('الحركات الشهرية'!$J$6:$J$1005,'الحركات الشهرية'!$B$6:$B$1005,$B27,'الحركات الشهرية'!$A$6:$A$1005,$C$3))</f>
        <v/>
      </c>
      <c r="V27" s="90" t="str">
        <f aca="false">IF($B27="","",SUM(S27:U27))</f>
        <v/>
      </c>
      <c r="W27" s="112" t="str">
        <f aca="false">IF($B27="","",R27-V27)</f>
        <v/>
      </c>
      <c r="X27" s="90" t="str">
        <f aca="false">IF($B27="","",الموظفون!$Q27*IF(E27="سعودي",cfg_G_SR,cfg_G_NR)*F27/cfg_DAYS_M)</f>
        <v/>
      </c>
      <c r="Y27" s="90" t="str">
        <f aca="false">IF($B27="","",الموظفون!$O27*(cfg_EOS_R1*(MIN(AC27,cfg_EOS_TH)-MIN(AD27,cfg_EOS_TH))+cfg_EOS_R2*(MAX(AC27-cfg_EOS_TH,0)-MAX(AD27-cfg_EOS_TH,0))))</f>
        <v/>
      </c>
      <c r="Z27" s="90" t="str">
        <f aca="false">IF($B27="","",IF(الموظفون!$R27&lt;&gt;"",الموظفون!$R27,IF(AC27&gt;=cfg_LV_TH,cfg_LV_D2,cfg_LV_D1))/cfg_DAYS_Y*AE27*الموظفون!$P27/cfg_DAYS_M)</f>
        <v/>
      </c>
      <c r="AA27" s="90" t="str">
        <f aca="false">IF($B27="","",IF(AND(الموظفون!$S27="نعم",N(الموظفون!$U27)&gt;0),الموظفون!$T27/الموظفون!$U27*12/cfg_DAYS_Y*AE27,0))</f>
        <v/>
      </c>
      <c r="AB27" s="113" t="str">
        <f aca="false">IF($B27="","",R27+SUM(X27:AA27))</f>
        <v/>
      </c>
      <c r="AC27" s="114" t="str">
        <f aca="false">IF($B27="","",MAX(0,IF(OR(الموظفون!$X27="",الموظفون!$X27&gt;$G$3),$G$3,الموظفون!$X27)-الموظفون!$H27+1)/cfg_DAYS_Y)</f>
        <v/>
      </c>
      <c r="AD27" s="114" t="str">
        <f aca="false">IF($B27="","",MAX(0,IF(OR(الموظفون!$X27="",الموظفون!$X27&gt;($E$3-1)),($E$3-1),الموظفون!$X27)-الموظفون!$H27+1)/cfg_DAYS_Y)</f>
        <v/>
      </c>
      <c r="AE27" s="115" t="str">
        <f aca="false">IF($B27="","",MAX(0,IF(OR(الموظفون!$X27="",الموظفون!$X27&gt;$G$3),$G$3,الموظفون!$X27)-MAX($E$3,الموظفون!$H27)+1))</f>
        <v/>
      </c>
    </row>
    <row r="28" customFormat="false" ht="15" hidden="false" customHeight="false" outlineLevel="0" collapsed="false">
      <c r="A28" s="83" t="str">
        <f aca="false">IF($B28="","",الموظفون!$A28)</f>
        <v/>
      </c>
      <c r="B28" s="74" t="str">
        <f aca="false">IF(الموظفون!$B28="","",الموظفون!$B28)</f>
        <v/>
      </c>
      <c r="C28" s="74" t="str">
        <f aca="false">IF($B28="","",الموظفون!$C28)</f>
        <v/>
      </c>
      <c r="D28" s="74" t="str">
        <f aca="false">IF($B28="","",الموظفون!$F28)</f>
        <v/>
      </c>
      <c r="E28" s="74" t="str">
        <f aca="false">IF($B28="","",الموظفون!$E28)</f>
        <v/>
      </c>
      <c r="F28" s="105" t="str">
        <f aca="false">IF($B28="","",IF(AE28&gt;=DAY($G$3),cfg_DAYS_M,MIN(AE28,cfg_DAYS_M)))</f>
        <v/>
      </c>
      <c r="G28" s="105" t="str">
        <f aca="false">IF($B28="","",SUMIFS('الحركات الشهرية'!$D$6:$D$1005,'الحركات الشهرية'!$B$6:$B$1005,$B28,'الحركات الشهرية'!$A$6:$A$1005,$C$3))</f>
        <v/>
      </c>
      <c r="H28" s="105" t="str">
        <f aca="false">IF($B28="","",SUMIFS('الحركات الشهرية'!$E$6:$E$1005,'الحركات الشهرية'!$B$6:$B$1005,$B28,'الحركات الشهرية'!$A$6:$A$1005,$C$3))</f>
        <v/>
      </c>
      <c r="I28" s="105" t="str">
        <f aca="false">IF($B28="","",MAX(0,F28-G28-H28))</f>
        <v/>
      </c>
      <c r="J28" s="86" t="str">
        <f aca="false">IF($B28="","",الموظفون!$J28*$I28/cfg_DAYS_M)</f>
        <v/>
      </c>
      <c r="K28" s="86" t="str">
        <f aca="false">IF($B28="","",الموظفون!$K28*$I28/cfg_DAYS_M)</f>
        <v/>
      </c>
      <c r="L28" s="86" t="str">
        <f aca="false">IF($B28="","",الموظفون!$L28*$I28/cfg_DAYS_M)</f>
        <v/>
      </c>
      <c r="M28" s="86" t="str">
        <f aca="false">IF($B28="","",الموظفون!$M28*$I28/cfg_DAYS_M)</f>
        <v/>
      </c>
      <c r="N28" s="105" t="str">
        <f aca="false">IF($B28="","",SUMIFS('الحركات الشهرية'!$F$6:$F$1005,'الحركات الشهرية'!$B$6:$B$1005,$B28,'الحركات الشهرية'!$A$6:$A$1005,$C$3))</f>
        <v/>
      </c>
      <c r="O28" s="86" t="str">
        <f aca="false">IF($B28="","",N28*(الموظفون!$N28+الموظفون!$J28*cfg_OT_P)/cfg_DAYS_M/cfg_HRS)</f>
        <v/>
      </c>
      <c r="P28" s="86" t="str">
        <f aca="false">IF($B28="","",SUMIFS('الحركات الشهرية'!$G$6:$G$1005,'الحركات الشهرية'!$B$6:$B$1005,$B28,'الحركات الشهرية'!$A$6:$A$1005,$C$3))</f>
        <v/>
      </c>
      <c r="Q28" s="86" t="str">
        <f aca="false">IF($B28="","",SUMIFS('الحركات الشهرية'!$H$6:$H$1005,'الحركات الشهرية'!$B$6:$B$1005,$B28,'الحركات الشهرية'!$A$6:$A$1005,$C$3))</f>
        <v/>
      </c>
      <c r="R28" s="106" t="str">
        <f aca="false">IF($B28="","",SUM(J28:M28)+SUM(O28:Q28))</f>
        <v/>
      </c>
      <c r="S28" s="86" t="str">
        <f aca="false">IF($B28="","",الموظفون!$Q28*IF(E28="سعودي",cfg_G_SE,cfg_G_NE)*F28/cfg_DAYS_M)</f>
        <v/>
      </c>
      <c r="T28" s="86" t="str">
        <f aca="false">IF($B28="","",SUMIFS('الحركات الشهرية'!$I$6:$I$1005,'الحركات الشهرية'!$B$6:$B$1005,$B28,'الحركات الشهرية'!$A$6:$A$1005,$C$3))</f>
        <v/>
      </c>
      <c r="U28" s="86" t="str">
        <f aca="false">IF($B28="","",SUMIFS('الحركات الشهرية'!$J$6:$J$1005,'الحركات الشهرية'!$B$6:$B$1005,$B28,'الحركات الشهرية'!$A$6:$A$1005,$C$3))</f>
        <v/>
      </c>
      <c r="V28" s="86" t="str">
        <f aca="false">IF($B28="","",SUM(S28:U28))</f>
        <v/>
      </c>
      <c r="W28" s="107" t="str">
        <f aca="false">IF($B28="","",R28-V28)</f>
        <v/>
      </c>
      <c r="X28" s="86" t="str">
        <f aca="false">IF($B28="","",الموظفون!$Q28*IF(E28="سعودي",cfg_G_SR,cfg_G_NR)*F28/cfg_DAYS_M)</f>
        <v/>
      </c>
      <c r="Y28" s="86" t="str">
        <f aca="false">IF($B28="","",الموظفون!$O28*(cfg_EOS_R1*(MIN(AC28,cfg_EOS_TH)-MIN(AD28,cfg_EOS_TH))+cfg_EOS_R2*(MAX(AC28-cfg_EOS_TH,0)-MAX(AD28-cfg_EOS_TH,0))))</f>
        <v/>
      </c>
      <c r="Z28" s="86" t="str">
        <f aca="false">IF($B28="","",IF(الموظفون!$R28&lt;&gt;"",الموظفون!$R28,IF(AC28&gt;=cfg_LV_TH,cfg_LV_D2,cfg_LV_D1))/cfg_DAYS_Y*AE28*الموظفون!$P28/cfg_DAYS_M)</f>
        <v/>
      </c>
      <c r="AA28" s="86" t="str">
        <f aca="false">IF($B28="","",IF(AND(الموظفون!$S28="نعم",N(الموظفون!$U28)&gt;0),الموظفون!$T28/الموظفون!$U28*12/cfg_DAYS_Y*AE28,0))</f>
        <v/>
      </c>
      <c r="AB28" s="108" t="str">
        <f aca="false">IF($B28="","",R28+SUM(X28:AA28))</f>
        <v/>
      </c>
      <c r="AC28" s="109" t="str">
        <f aca="false">IF($B28="","",MAX(0,IF(OR(الموظفون!$X28="",الموظفون!$X28&gt;$G$3),$G$3,الموظفون!$X28)-الموظفون!$H28+1)/cfg_DAYS_Y)</f>
        <v/>
      </c>
      <c r="AD28" s="109" t="str">
        <f aca="false">IF($B28="","",MAX(0,IF(OR(الموظفون!$X28="",الموظفون!$X28&gt;($E$3-1)),($E$3-1),الموظفون!$X28)-الموظفون!$H28+1)/cfg_DAYS_Y)</f>
        <v/>
      </c>
      <c r="AE28" s="51" t="str">
        <f aca="false">IF($B28="","",MAX(0,IF(OR(الموظفون!$X28="",الموظفون!$X28&gt;$G$3),$G$3,الموظفون!$X28)-MAX($E$3,الموظفون!$H28)+1))</f>
        <v/>
      </c>
    </row>
    <row r="29" customFormat="false" ht="15" hidden="false" customHeight="false" outlineLevel="0" collapsed="false">
      <c r="A29" s="89" t="str">
        <f aca="false">IF($B29="","",الموظفون!$A29)</f>
        <v/>
      </c>
      <c r="B29" s="91" t="str">
        <f aca="false">IF(الموظفون!$B29="","",الموظفون!$B29)</f>
        <v/>
      </c>
      <c r="C29" s="91" t="str">
        <f aca="false">IF($B29="","",الموظفون!$C29)</f>
        <v/>
      </c>
      <c r="D29" s="91" t="str">
        <f aca="false">IF($B29="","",الموظفون!$F29)</f>
        <v/>
      </c>
      <c r="E29" s="91" t="str">
        <f aca="false">IF($B29="","",الموظفون!$E29)</f>
        <v/>
      </c>
      <c r="F29" s="110" t="str">
        <f aca="false">IF($B29="","",IF(AE29&gt;=DAY($G$3),cfg_DAYS_M,MIN(AE29,cfg_DAYS_M)))</f>
        <v/>
      </c>
      <c r="G29" s="110" t="str">
        <f aca="false">IF($B29="","",SUMIFS('الحركات الشهرية'!$D$6:$D$1005,'الحركات الشهرية'!$B$6:$B$1005,$B29,'الحركات الشهرية'!$A$6:$A$1005,$C$3))</f>
        <v/>
      </c>
      <c r="H29" s="110" t="str">
        <f aca="false">IF($B29="","",SUMIFS('الحركات الشهرية'!$E$6:$E$1005,'الحركات الشهرية'!$B$6:$B$1005,$B29,'الحركات الشهرية'!$A$6:$A$1005,$C$3))</f>
        <v/>
      </c>
      <c r="I29" s="110" t="str">
        <f aca="false">IF($B29="","",MAX(0,F29-G29-H29))</f>
        <v/>
      </c>
      <c r="J29" s="90" t="str">
        <f aca="false">IF($B29="","",الموظفون!$J29*$I29/cfg_DAYS_M)</f>
        <v/>
      </c>
      <c r="K29" s="90" t="str">
        <f aca="false">IF($B29="","",الموظفون!$K29*$I29/cfg_DAYS_M)</f>
        <v/>
      </c>
      <c r="L29" s="90" t="str">
        <f aca="false">IF($B29="","",الموظفون!$L29*$I29/cfg_DAYS_M)</f>
        <v/>
      </c>
      <c r="M29" s="90" t="str">
        <f aca="false">IF($B29="","",الموظفون!$M29*$I29/cfg_DAYS_M)</f>
        <v/>
      </c>
      <c r="N29" s="110" t="str">
        <f aca="false">IF($B29="","",SUMIFS('الحركات الشهرية'!$F$6:$F$1005,'الحركات الشهرية'!$B$6:$B$1005,$B29,'الحركات الشهرية'!$A$6:$A$1005,$C$3))</f>
        <v/>
      </c>
      <c r="O29" s="90" t="str">
        <f aca="false">IF($B29="","",N29*(الموظفون!$N29+الموظفون!$J29*cfg_OT_P)/cfg_DAYS_M/cfg_HRS)</f>
        <v/>
      </c>
      <c r="P29" s="90" t="str">
        <f aca="false">IF($B29="","",SUMIFS('الحركات الشهرية'!$G$6:$G$1005,'الحركات الشهرية'!$B$6:$B$1005,$B29,'الحركات الشهرية'!$A$6:$A$1005,$C$3))</f>
        <v/>
      </c>
      <c r="Q29" s="90" t="str">
        <f aca="false">IF($B29="","",SUMIFS('الحركات الشهرية'!$H$6:$H$1005,'الحركات الشهرية'!$B$6:$B$1005,$B29,'الحركات الشهرية'!$A$6:$A$1005,$C$3))</f>
        <v/>
      </c>
      <c r="R29" s="111" t="str">
        <f aca="false">IF($B29="","",SUM(J29:M29)+SUM(O29:Q29))</f>
        <v/>
      </c>
      <c r="S29" s="90" t="str">
        <f aca="false">IF($B29="","",الموظفون!$Q29*IF(E29="سعودي",cfg_G_SE,cfg_G_NE)*F29/cfg_DAYS_M)</f>
        <v/>
      </c>
      <c r="T29" s="90" t="str">
        <f aca="false">IF($B29="","",SUMIFS('الحركات الشهرية'!$I$6:$I$1005,'الحركات الشهرية'!$B$6:$B$1005,$B29,'الحركات الشهرية'!$A$6:$A$1005,$C$3))</f>
        <v/>
      </c>
      <c r="U29" s="90" t="str">
        <f aca="false">IF($B29="","",SUMIFS('الحركات الشهرية'!$J$6:$J$1005,'الحركات الشهرية'!$B$6:$B$1005,$B29,'الحركات الشهرية'!$A$6:$A$1005,$C$3))</f>
        <v/>
      </c>
      <c r="V29" s="90" t="str">
        <f aca="false">IF($B29="","",SUM(S29:U29))</f>
        <v/>
      </c>
      <c r="W29" s="112" t="str">
        <f aca="false">IF($B29="","",R29-V29)</f>
        <v/>
      </c>
      <c r="X29" s="90" t="str">
        <f aca="false">IF($B29="","",الموظفون!$Q29*IF(E29="سعودي",cfg_G_SR,cfg_G_NR)*F29/cfg_DAYS_M)</f>
        <v/>
      </c>
      <c r="Y29" s="90" t="str">
        <f aca="false">IF($B29="","",الموظفون!$O29*(cfg_EOS_R1*(MIN(AC29,cfg_EOS_TH)-MIN(AD29,cfg_EOS_TH))+cfg_EOS_R2*(MAX(AC29-cfg_EOS_TH,0)-MAX(AD29-cfg_EOS_TH,0))))</f>
        <v/>
      </c>
      <c r="Z29" s="90" t="str">
        <f aca="false">IF($B29="","",IF(الموظفون!$R29&lt;&gt;"",الموظفون!$R29,IF(AC29&gt;=cfg_LV_TH,cfg_LV_D2,cfg_LV_D1))/cfg_DAYS_Y*AE29*الموظفون!$P29/cfg_DAYS_M)</f>
        <v/>
      </c>
      <c r="AA29" s="90" t="str">
        <f aca="false">IF($B29="","",IF(AND(الموظفون!$S29="نعم",N(الموظفون!$U29)&gt;0),الموظفون!$T29/الموظفون!$U29*12/cfg_DAYS_Y*AE29,0))</f>
        <v/>
      </c>
      <c r="AB29" s="113" t="str">
        <f aca="false">IF($B29="","",R29+SUM(X29:AA29))</f>
        <v/>
      </c>
      <c r="AC29" s="114" t="str">
        <f aca="false">IF($B29="","",MAX(0,IF(OR(الموظفون!$X29="",الموظفون!$X29&gt;$G$3),$G$3,الموظفون!$X29)-الموظفون!$H29+1)/cfg_DAYS_Y)</f>
        <v/>
      </c>
      <c r="AD29" s="114" t="str">
        <f aca="false">IF($B29="","",MAX(0,IF(OR(الموظفون!$X29="",الموظفون!$X29&gt;($E$3-1)),($E$3-1),الموظفون!$X29)-الموظفون!$H29+1)/cfg_DAYS_Y)</f>
        <v/>
      </c>
      <c r="AE29" s="115" t="str">
        <f aca="false">IF($B29="","",MAX(0,IF(OR(الموظفون!$X29="",الموظفون!$X29&gt;$G$3),$G$3,الموظفون!$X29)-MAX($E$3,الموظفون!$H29)+1))</f>
        <v/>
      </c>
    </row>
    <row r="30" customFormat="false" ht="15" hidden="false" customHeight="false" outlineLevel="0" collapsed="false">
      <c r="A30" s="83" t="str">
        <f aca="false">IF($B30="","",الموظفون!$A30)</f>
        <v/>
      </c>
      <c r="B30" s="74" t="str">
        <f aca="false">IF(الموظفون!$B30="","",الموظفون!$B30)</f>
        <v/>
      </c>
      <c r="C30" s="74" t="str">
        <f aca="false">IF($B30="","",الموظفون!$C30)</f>
        <v/>
      </c>
      <c r="D30" s="74" t="str">
        <f aca="false">IF($B30="","",الموظفون!$F30)</f>
        <v/>
      </c>
      <c r="E30" s="74" t="str">
        <f aca="false">IF($B30="","",الموظفون!$E30)</f>
        <v/>
      </c>
      <c r="F30" s="105" t="str">
        <f aca="false">IF($B30="","",IF(AE30&gt;=DAY($G$3),cfg_DAYS_M,MIN(AE30,cfg_DAYS_M)))</f>
        <v/>
      </c>
      <c r="G30" s="105" t="str">
        <f aca="false">IF($B30="","",SUMIFS('الحركات الشهرية'!$D$6:$D$1005,'الحركات الشهرية'!$B$6:$B$1005,$B30,'الحركات الشهرية'!$A$6:$A$1005,$C$3))</f>
        <v/>
      </c>
      <c r="H30" s="105" t="str">
        <f aca="false">IF($B30="","",SUMIFS('الحركات الشهرية'!$E$6:$E$1005,'الحركات الشهرية'!$B$6:$B$1005,$B30,'الحركات الشهرية'!$A$6:$A$1005,$C$3))</f>
        <v/>
      </c>
      <c r="I30" s="105" t="str">
        <f aca="false">IF($B30="","",MAX(0,F30-G30-H30))</f>
        <v/>
      </c>
      <c r="J30" s="86" t="str">
        <f aca="false">IF($B30="","",الموظفون!$J30*$I30/cfg_DAYS_M)</f>
        <v/>
      </c>
      <c r="K30" s="86" t="str">
        <f aca="false">IF($B30="","",الموظفون!$K30*$I30/cfg_DAYS_M)</f>
        <v/>
      </c>
      <c r="L30" s="86" t="str">
        <f aca="false">IF($B30="","",الموظفون!$L30*$I30/cfg_DAYS_M)</f>
        <v/>
      </c>
      <c r="M30" s="86" t="str">
        <f aca="false">IF($B30="","",الموظفون!$M30*$I30/cfg_DAYS_M)</f>
        <v/>
      </c>
      <c r="N30" s="105" t="str">
        <f aca="false">IF($B30="","",SUMIFS('الحركات الشهرية'!$F$6:$F$1005,'الحركات الشهرية'!$B$6:$B$1005,$B30,'الحركات الشهرية'!$A$6:$A$1005,$C$3))</f>
        <v/>
      </c>
      <c r="O30" s="86" t="str">
        <f aca="false">IF($B30="","",N30*(الموظفون!$N30+الموظفون!$J30*cfg_OT_P)/cfg_DAYS_M/cfg_HRS)</f>
        <v/>
      </c>
      <c r="P30" s="86" t="str">
        <f aca="false">IF($B30="","",SUMIFS('الحركات الشهرية'!$G$6:$G$1005,'الحركات الشهرية'!$B$6:$B$1005,$B30,'الحركات الشهرية'!$A$6:$A$1005,$C$3))</f>
        <v/>
      </c>
      <c r="Q30" s="86" t="str">
        <f aca="false">IF($B30="","",SUMIFS('الحركات الشهرية'!$H$6:$H$1005,'الحركات الشهرية'!$B$6:$B$1005,$B30,'الحركات الشهرية'!$A$6:$A$1005,$C$3))</f>
        <v/>
      </c>
      <c r="R30" s="106" t="str">
        <f aca="false">IF($B30="","",SUM(J30:M30)+SUM(O30:Q30))</f>
        <v/>
      </c>
      <c r="S30" s="86" t="str">
        <f aca="false">IF($B30="","",الموظفون!$Q30*IF(E30="سعودي",cfg_G_SE,cfg_G_NE)*F30/cfg_DAYS_M)</f>
        <v/>
      </c>
      <c r="T30" s="86" t="str">
        <f aca="false">IF($B30="","",SUMIFS('الحركات الشهرية'!$I$6:$I$1005,'الحركات الشهرية'!$B$6:$B$1005,$B30,'الحركات الشهرية'!$A$6:$A$1005,$C$3))</f>
        <v/>
      </c>
      <c r="U30" s="86" t="str">
        <f aca="false">IF($B30="","",SUMIFS('الحركات الشهرية'!$J$6:$J$1005,'الحركات الشهرية'!$B$6:$B$1005,$B30,'الحركات الشهرية'!$A$6:$A$1005,$C$3))</f>
        <v/>
      </c>
      <c r="V30" s="86" t="str">
        <f aca="false">IF($B30="","",SUM(S30:U30))</f>
        <v/>
      </c>
      <c r="W30" s="107" t="str">
        <f aca="false">IF($B30="","",R30-V30)</f>
        <v/>
      </c>
      <c r="X30" s="86" t="str">
        <f aca="false">IF($B30="","",الموظفون!$Q30*IF(E30="سعودي",cfg_G_SR,cfg_G_NR)*F30/cfg_DAYS_M)</f>
        <v/>
      </c>
      <c r="Y30" s="86" t="str">
        <f aca="false">IF($B30="","",الموظفون!$O30*(cfg_EOS_R1*(MIN(AC30,cfg_EOS_TH)-MIN(AD30,cfg_EOS_TH))+cfg_EOS_R2*(MAX(AC30-cfg_EOS_TH,0)-MAX(AD30-cfg_EOS_TH,0))))</f>
        <v/>
      </c>
      <c r="Z30" s="86" t="str">
        <f aca="false">IF($B30="","",IF(الموظفون!$R30&lt;&gt;"",الموظفون!$R30,IF(AC30&gt;=cfg_LV_TH,cfg_LV_D2,cfg_LV_D1))/cfg_DAYS_Y*AE30*الموظفون!$P30/cfg_DAYS_M)</f>
        <v/>
      </c>
      <c r="AA30" s="86" t="str">
        <f aca="false">IF($B30="","",IF(AND(الموظفون!$S30="نعم",N(الموظفون!$U30)&gt;0),الموظفون!$T30/الموظفون!$U30*12/cfg_DAYS_Y*AE30,0))</f>
        <v/>
      </c>
      <c r="AB30" s="108" t="str">
        <f aca="false">IF($B30="","",R30+SUM(X30:AA30))</f>
        <v/>
      </c>
      <c r="AC30" s="109" t="str">
        <f aca="false">IF($B30="","",MAX(0,IF(OR(الموظفون!$X30="",الموظفون!$X30&gt;$G$3),$G$3,الموظفون!$X30)-الموظفون!$H30+1)/cfg_DAYS_Y)</f>
        <v/>
      </c>
      <c r="AD30" s="109" t="str">
        <f aca="false">IF($B30="","",MAX(0,IF(OR(الموظفون!$X30="",الموظفون!$X30&gt;($E$3-1)),($E$3-1),الموظفون!$X30)-الموظفون!$H30+1)/cfg_DAYS_Y)</f>
        <v/>
      </c>
      <c r="AE30" s="51" t="str">
        <f aca="false">IF($B30="","",MAX(0,IF(OR(الموظفون!$X30="",الموظفون!$X30&gt;$G$3),$G$3,الموظفون!$X30)-MAX($E$3,الموظفون!$H30)+1))</f>
        <v/>
      </c>
    </row>
    <row r="31" customFormat="false" ht="15" hidden="false" customHeight="false" outlineLevel="0" collapsed="false">
      <c r="A31" s="89" t="str">
        <f aca="false">IF($B31="","",الموظفون!$A31)</f>
        <v/>
      </c>
      <c r="B31" s="91" t="str">
        <f aca="false">IF(الموظفون!$B31="","",الموظفون!$B31)</f>
        <v/>
      </c>
      <c r="C31" s="91" t="str">
        <f aca="false">IF($B31="","",الموظفون!$C31)</f>
        <v/>
      </c>
      <c r="D31" s="91" t="str">
        <f aca="false">IF($B31="","",الموظفون!$F31)</f>
        <v/>
      </c>
      <c r="E31" s="91" t="str">
        <f aca="false">IF($B31="","",الموظفون!$E31)</f>
        <v/>
      </c>
      <c r="F31" s="110" t="str">
        <f aca="false">IF($B31="","",IF(AE31&gt;=DAY($G$3),cfg_DAYS_M,MIN(AE31,cfg_DAYS_M)))</f>
        <v/>
      </c>
      <c r="G31" s="110" t="str">
        <f aca="false">IF($B31="","",SUMIFS('الحركات الشهرية'!$D$6:$D$1005,'الحركات الشهرية'!$B$6:$B$1005,$B31,'الحركات الشهرية'!$A$6:$A$1005,$C$3))</f>
        <v/>
      </c>
      <c r="H31" s="110" t="str">
        <f aca="false">IF($B31="","",SUMIFS('الحركات الشهرية'!$E$6:$E$1005,'الحركات الشهرية'!$B$6:$B$1005,$B31,'الحركات الشهرية'!$A$6:$A$1005,$C$3))</f>
        <v/>
      </c>
      <c r="I31" s="110" t="str">
        <f aca="false">IF($B31="","",MAX(0,F31-G31-H31))</f>
        <v/>
      </c>
      <c r="J31" s="90" t="str">
        <f aca="false">IF($B31="","",الموظفون!$J31*$I31/cfg_DAYS_M)</f>
        <v/>
      </c>
      <c r="K31" s="90" t="str">
        <f aca="false">IF($B31="","",الموظفون!$K31*$I31/cfg_DAYS_M)</f>
        <v/>
      </c>
      <c r="L31" s="90" t="str">
        <f aca="false">IF($B31="","",الموظفون!$L31*$I31/cfg_DAYS_M)</f>
        <v/>
      </c>
      <c r="M31" s="90" t="str">
        <f aca="false">IF($B31="","",الموظفون!$M31*$I31/cfg_DAYS_M)</f>
        <v/>
      </c>
      <c r="N31" s="110" t="str">
        <f aca="false">IF($B31="","",SUMIFS('الحركات الشهرية'!$F$6:$F$1005,'الحركات الشهرية'!$B$6:$B$1005,$B31,'الحركات الشهرية'!$A$6:$A$1005,$C$3))</f>
        <v/>
      </c>
      <c r="O31" s="90" t="str">
        <f aca="false">IF($B31="","",N31*(الموظفون!$N31+الموظفون!$J31*cfg_OT_P)/cfg_DAYS_M/cfg_HRS)</f>
        <v/>
      </c>
      <c r="P31" s="90" t="str">
        <f aca="false">IF($B31="","",SUMIFS('الحركات الشهرية'!$G$6:$G$1005,'الحركات الشهرية'!$B$6:$B$1005,$B31,'الحركات الشهرية'!$A$6:$A$1005,$C$3))</f>
        <v/>
      </c>
      <c r="Q31" s="90" t="str">
        <f aca="false">IF($B31="","",SUMIFS('الحركات الشهرية'!$H$6:$H$1005,'الحركات الشهرية'!$B$6:$B$1005,$B31,'الحركات الشهرية'!$A$6:$A$1005,$C$3))</f>
        <v/>
      </c>
      <c r="R31" s="111" t="str">
        <f aca="false">IF($B31="","",SUM(J31:M31)+SUM(O31:Q31))</f>
        <v/>
      </c>
      <c r="S31" s="90" t="str">
        <f aca="false">IF($B31="","",الموظفون!$Q31*IF(E31="سعودي",cfg_G_SE,cfg_G_NE)*F31/cfg_DAYS_M)</f>
        <v/>
      </c>
      <c r="T31" s="90" t="str">
        <f aca="false">IF($B31="","",SUMIFS('الحركات الشهرية'!$I$6:$I$1005,'الحركات الشهرية'!$B$6:$B$1005,$B31,'الحركات الشهرية'!$A$6:$A$1005,$C$3))</f>
        <v/>
      </c>
      <c r="U31" s="90" t="str">
        <f aca="false">IF($B31="","",SUMIFS('الحركات الشهرية'!$J$6:$J$1005,'الحركات الشهرية'!$B$6:$B$1005,$B31,'الحركات الشهرية'!$A$6:$A$1005,$C$3))</f>
        <v/>
      </c>
      <c r="V31" s="90" t="str">
        <f aca="false">IF($B31="","",SUM(S31:U31))</f>
        <v/>
      </c>
      <c r="W31" s="112" t="str">
        <f aca="false">IF($B31="","",R31-V31)</f>
        <v/>
      </c>
      <c r="X31" s="90" t="str">
        <f aca="false">IF($B31="","",الموظفون!$Q31*IF(E31="سعودي",cfg_G_SR,cfg_G_NR)*F31/cfg_DAYS_M)</f>
        <v/>
      </c>
      <c r="Y31" s="90" t="str">
        <f aca="false">IF($B31="","",الموظفون!$O31*(cfg_EOS_R1*(MIN(AC31,cfg_EOS_TH)-MIN(AD31,cfg_EOS_TH))+cfg_EOS_R2*(MAX(AC31-cfg_EOS_TH,0)-MAX(AD31-cfg_EOS_TH,0))))</f>
        <v/>
      </c>
      <c r="Z31" s="90" t="str">
        <f aca="false">IF($B31="","",IF(الموظفون!$R31&lt;&gt;"",الموظفون!$R31,IF(AC31&gt;=cfg_LV_TH,cfg_LV_D2,cfg_LV_D1))/cfg_DAYS_Y*AE31*الموظفون!$P31/cfg_DAYS_M)</f>
        <v/>
      </c>
      <c r="AA31" s="90" t="str">
        <f aca="false">IF($B31="","",IF(AND(الموظفون!$S31="نعم",N(الموظفون!$U31)&gt;0),الموظفون!$T31/الموظفون!$U31*12/cfg_DAYS_Y*AE31,0))</f>
        <v/>
      </c>
      <c r="AB31" s="113" t="str">
        <f aca="false">IF($B31="","",R31+SUM(X31:AA31))</f>
        <v/>
      </c>
      <c r="AC31" s="114" t="str">
        <f aca="false">IF($B31="","",MAX(0,IF(OR(الموظفون!$X31="",الموظفون!$X31&gt;$G$3),$G$3,الموظفون!$X31)-الموظفون!$H31+1)/cfg_DAYS_Y)</f>
        <v/>
      </c>
      <c r="AD31" s="114" t="str">
        <f aca="false">IF($B31="","",MAX(0,IF(OR(الموظفون!$X31="",الموظفون!$X31&gt;($E$3-1)),($E$3-1),الموظفون!$X31)-الموظفون!$H31+1)/cfg_DAYS_Y)</f>
        <v/>
      </c>
      <c r="AE31" s="115" t="str">
        <f aca="false">IF($B31="","",MAX(0,IF(OR(الموظفون!$X31="",الموظفون!$X31&gt;$G$3),$G$3,الموظفون!$X31)-MAX($E$3,الموظفون!$H31)+1))</f>
        <v/>
      </c>
    </row>
    <row r="32" customFormat="false" ht="15" hidden="false" customHeight="false" outlineLevel="0" collapsed="false">
      <c r="A32" s="83" t="str">
        <f aca="false">IF($B32="","",الموظفون!$A32)</f>
        <v/>
      </c>
      <c r="B32" s="74" t="str">
        <f aca="false">IF(الموظفون!$B32="","",الموظفون!$B32)</f>
        <v/>
      </c>
      <c r="C32" s="74" t="str">
        <f aca="false">IF($B32="","",الموظفون!$C32)</f>
        <v/>
      </c>
      <c r="D32" s="74" t="str">
        <f aca="false">IF($B32="","",الموظفون!$F32)</f>
        <v/>
      </c>
      <c r="E32" s="74" t="str">
        <f aca="false">IF($B32="","",الموظفون!$E32)</f>
        <v/>
      </c>
      <c r="F32" s="105" t="str">
        <f aca="false">IF($B32="","",IF(AE32&gt;=DAY($G$3),cfg_DAYS_M,MIN(AE32,cfg_DAYS_M)))</f>
        <v/>
      </c>
      <c r="G32" s="105" t="str">
        <f aca="false">IF($B32="","",SUMIFS('الحركات الشهرية'!$D$6:$D$1005,'الحركات الشهرية'!$B$6:$B$1005,$B32,'الحركات الشهرية'!$A$6:$A$1005,$C$3))</f>
        <v/>
      </c>
      <c r="H32" s="105" t="str">
        <f aca="false">IF($B32="","",SUMIFS('الحركات الشهرية'!$E$6:$E$1005,'الحركات الشهرية'!$B$6:$B$1005,$B32,'الحركات الشهرية'!$A$6:$A$1005,$C$3))</f>
        <v/>
      </c>
      <c r="I32" s="105" t="str">
        <f aca="false">IF($B32="","",MAX(0,F32-G32-H32))</f>
        <v/>
      </c>
      <c r="J32" s="86" t="str">
        <f aca="false">IF($B32="","",الموظفون!$J32*$I32/cfg_DAYS_M)</f>
        <v/>
      </c>
      <c r="K32" s="86" t="str">
        <f aca="false">IF($B32="","",الموظفون!$K32*$I32/cfg_DAYS_M)</f>
        <v/>
      </c>
      <c r="L32" s="86" t="str">
        <f aca="false">IF($B32="","",الموظفون!$L32*$I32/cfg_DAYS_M)</f>
        <v/>
      </c>
      <c r="M32" s="86" t="str">
        <f aca="false">IF($B32="","",الموظفون!$M32*$I32/cfg_DAYS_M)</f>
        <v/>
      </c>
      <c r="N32" s="105" t="str">
        <f aca="false">IF($B32="","",SUMIFS('الحركات الشهرية'!$F$6:$F$1005,'الحركات الشهرية'!$B$6:$B$1005,$B32,'الحركات الشهرية'!$A$6:$A$1005,$C$3))</f>
        <v/>
      </c>
      <c r="O32" s="86" t="str">
        <f aca="false">IF($B32="","",N32*(الموظفون!$N32+الموظفون!$J32*cfg_OT_P)/cfg_DAYS_M/cfg_HRS)</f>
        <v/>
      </c>
      <c r="P32" s="86" t="str">
        <f aca="false">IF($B32="","",SUMIFS('الحركات الشهرية'!$G$6:$G$1005,'الحركات الشهرية'!$B$6:$B$1005,$B32,'الحركات الشهرية'!$A$6:$A$1005,$C$3))</f>
        <v/>
      </c>
      <c r="Q32" s="86" t="str">
        <f aca="false">IF($B32="","",SUMIFS('الحركات الشهرية'!$H$6:$H$1005,'الحركات الشهرية'!$B$6:$B$1005,$B32,'الحركات الشهرية'!$A$6:$A$1005,$C$3))</f>
        <v/>
      </c>
      <c r="R32" s="106" t="str">
        <f aca="false">IF($B32="","",SUM(J32:M32)+SUM(O32:Q32))</f>
        <v/>
      </c>
      <c r="S32" s="86" t="str">
        <f aca="false">IF($B32="","",الموظفون!$Q32*IF(E32="سعودي",cfg_G_SE,cfg_G_NE)*F32/cfg_DAYS_M)</f>
        <v/>
      </c>
      <c r="T32" s="86" t="str">
        <f aca="false">IF($B32="","",SUMIFS('الحركات الشهرية'!$I$6:$I$1005,'الحركات الشهرية'!$B$6:$B$1005,$B32,'الحركات الشهرية'!$A$6:$A$1005,$C$3))</f>
        <v/>
      </c>
      <c r="U32" s="86" t="str">
        <f aca="false">IF($B32="","",SUMIFS('الحركات الشهرية'!$J$6:$J$1005,'الحركات الشهرية'!$B$6:$B$1005,$B32,'الحركات الشهرية'!$A$6:$A$1005,$C$3))</f>
        <v/>
      </c>
      <c r="V32" s="86" t="str">
        <f aca="false">IF($B32="","",SUM(S32:U32))</f>
        <v/>
      </c>
      <c r="W32" s="107" t="str">
        <f aca="false">IF($B32="","",R32-V32)</f>
        <v/>
      </c>
      <c r="X32" s="86" t="str">
        <f aca="false">IF($B32="","",الموظفون!$Q32*IF(E32="سعودي",cfg_G_SR,cfg_G_NR)*F32/cfg_DAYS_M)</f>
        <v/>
      </c>
      <c r="Y32" s="86" t="str">
        <f aca="false">IF($B32="","",الموظفون!$O32*(cfg_EOS_R1*(MIN(AC32,cfg_EOS_TH)-MIN(AD32,cfg_EOS_TH))+cfg_EOS_R2*(MAX(AC32-cfg_EOS_TH,0)-MAX(AD32-cfg_EOS_TH,0))))</f>
        <v/>
      </c>
      <c r="Z32" s="86" t="str">
        <f aca="false">IF($B32="","",IF(الموظفون!$R32&lt;&gt;"",الموظفون!$R32,IF(AC32&gt;=cfg_LV_TH,cfg_LV_D2,cfg_LV_D1))/cfg_DAYS_Y*AE32*الموظفون!$P32/cfg_DAYS_M)</f>
        <v/>
      </c>
      <c r="AA32" s="86" t="str">
        <f aca="false">IF($B32="","",IF(AND(الموظفون!$S32="نعم",N(الموظفون!$U32)&gt;0),الموظفون!$T32/الموظفون!$U32*12/cfg_DAYS_Y*AE32,0))</f>
        <v/>
      </c>
      <c r="AB32" s="108" t="str">
        <f aca="false">IF($B32="","",R32+SUM(X32:AA32))</f>
        <v/>
      </c>
      <c r="AC32" s="109" t="str">
        <f aca="false">IF($B32="","",MAX(0,IF(OR(الموظفون!$X32="",الموظفون!$X32&gt;$G$3),$G$3,الموظفون!$X32)-الموظفون!$H32+1)/cfg_DAYS_Y)</f>
        <v/>
      </c>
      <c r="AD32" s="109" t="str">
        <f aca="false">IF($B32="","",MAX(0,IF(OR(الموظفون!$X32="",الموظفون!$X32&gt;($E$3-1)),($E$3-1),الموظفون!$X32)-الموظفون!$H32+1)/cfg_DAYS_Y)</f>
        <v/>
      </c>
      <c r="AE32" s="51" t="str">
        <f aca="false">IF($B32="","",MAX(0,IF(OR(الموظفون!$X32="",الموظفون!$X32&gt;$G$3),$G$3,الموظفون!$X32)-MAX($E$3,الموظفون!$H32)+1))</f>
        <v/>
      </c>
    </row>
    <row r="33" customFormat="false" ht="15" hidden="false" customHeight="false" outlineLevel="0" collapsed="false">
      <c r="A33" s="89" t="str">
        <f aca="false">IF($B33="","",الموظفون!$A33)</f>
        <v/>
      </c>
      <c r="B33" s="91" t="str">
        <f aca="false">IF(الموظفون!$B33="","",الموظفون!$B33)</f>
        <v/>
      </c>
      <c r="C33" s="91" t="str">
        <f aca="false">IF($B33="","",الموظفون!$C33)</f>
        <v/>
      </c>
      <c r="D33" s="91" t="str">
        <f aca="false">IF($B33="","",الموظفون!$F33)</f>
        <v/>
      </c>
      <c r="E33" s="91" t="str">
        <f aca="false">IF($B33="","",الموظفون!$E33)</f>
        <v/>
      </c>
      <c r="F33" s="110" t="str">
        <f aca="false">IF($B33="","",IF(AE33&gt;=DAY($G$3),cfg_DAYS_M,MIN(AE33,cfg_DAYS_M)))</f>
        <v/>
      </c>
      <c r="G33" s="110" t="str">
        <f aca="false">IF($B33="","",SUMIFS('الحركات الشهرية'!$D$6:$D$1005,'الحركات الشهرية'!$B$6:$B$1005,$B33,'الحركات الشهرية'!$A$6:$A$1005,$C$3))</f>
        <v/>
      </c>
      <c r="H33" s="110" t="str">
        <f aca="false">IF($B33="","",SUMIFS('الحركات الشهرية'!$E$6:$E$1005,'الحركات الشهرية'!$B$6:$B$1005,$B33,'الحركات الشهرية'!$A$6:$A$1005,$C$3))</f>
        <v/>
      </c>
      <c r="I33" s="110" t="str">
        <f aca="false">IF($B33="","",MAX(0,F33-G33-H33))</f>
        <v/>
      </c>
      <c r="J33" s="90" t="str">
        <f aca="false">IF($B33="","",الموظفون!$J33*$I33/cfg_DAYS_M)</f>
        <v/>
      </c>
      <c r="K33" s="90" t="str">
        <f aca="false">IF($B33="","",الموظفون!$K33*$I33/cfg_DAYS_M)</f>
        <v/>
      </c>
      <c r="L33" s="90" t="str">
        <f aca="false">IF($B33="","",الموظفون!$L33*$I33/cfg_DAYS_M)</f>
        <v/>
      </c>
      <c r="M33" s="90" t="str">
        <f aca="false">IF($B33="","",الموظفون!$M33*$I33/cfg_DAYS_M)</f>
        <v/>
      </c>
      <c r="N33" s="110" t="str">
        <f aca="false">IF($B33="","",SUMIFS('الحركات الشهرية'!$F$6:$F$1005,'الحركات الشهرية'!$B$6:$B$1005,$B33,'الحركات الشهرية'!$A$6:$A$1005,$C$3))</f>
        <v/>
      </c>
      <c r="O33" s="90" t="str">
        <f aca="false">IF($B33="","",N33*(الموظفون!$N33+الموظفون!$J33*cfg_OT_P)/cfg_DAYS_M/cfg_HRS)</f>
        <v/>
      </c>
      <c r="P33" s="90" t="str">
        <f aca="false">IF($B33="","",SUMIFS('الحركات الشهرية'!$G$6:$G$1005,'الحركات الشهرية'!$B$6:$B$1005,$B33,'الحركات الشهرية'!$A$6:$A$1005,$C$3))</f>
        <v/>
      </c>
      <c r="Q33" s="90" t="str">
        <f aca="false">IF($B33="","",SUMIFS('الحركات الشهرية'!$H$6:$H$1005,'الحركات الشهرية'!$B$6:$B$1005,$B33,'الحركات الشهرية'!$A$6:$A$1005,$C$3))</f>
        <v/>
      </c>
      <c r="R33" s="111" t="str">
        <f aca="false">IF($B33="","",SUM(J33:M33)+SUM(O33:Q33))</f>
        <v/>
      </c>
      <c r="S33" s="90" t="str">
        <f aca="false">IF($B33="","",الموظفون!$Q33*IF(E33="سعودي",cfg_G_SE,cfg_G_NE)*F33/cfg_DAYS_M)</f>
        <v/>
      </c>
      <c r="T33" s="90" t="str">
        <f aca="false">IF($B33="","",SUMIFS('الحركات الشهرية'!$I$6:$I$1005,'الحركات الشهرية'!$B$6:$B$1005,$B33,'الحركات الشهرية'!$A$6:$A$1005,$C$3))</f>
        <v/>
      </c>
      <c r="U33" s="90" t="str">
        <f aca="false">IF($B33="","",SUMIFS('الحركات الشهرية'!$J$6:$J$1005,'الحركات الشهرية'!$B$6:$B$1005,$B33,'الحركات الشهرية'!$A$6:$A$1005,$C$3))</f>
        <v/>
      </c>
      <c r="V33" s="90" t="str">
        <f aca="false">IF($B33="","",SUM(S33:U33))</f>
        <v/>
      </c>
      <c r="W33" s="112" t="str">
        <f aca="false">IF($B33="","",R33-V33)</f>
        <v/>
      </c>
      <c r="X33" s="90" t="str">
        <f aca="false">IF($B33="","",الموظفون!$Q33*IF(E33="سعودي",cfg_G_SR,cfg_G_NR)*F33/cfg_DAYS_M)</f>
        <v/>
      </c>
      <c r="Y33" s="90" t="str">
        <f aca="false">IF($B33="","",الموظفون!$O33*(cfg_EOS_R1*(MIN(AC33,cfg_EOS_TH)-MIN(AD33,cfg_EOS_TH))+cfg_EOS_R2*(MAX(AC33-cfg_EOS_TH,0)-MAX(AD33-cfg_EOS_TH,0))))</f>
        <v/>
      </c>
      <c r="Z33" s="90" t="str">
        <f aca="false">IF($B33="","",IF(الموظفون!$R33&lt;&gt;"",الموظفون!$R33,IF(AC33&gt;=cfg_LV_TH,cfg_LV_D2,cfg_LV_D1))/cfg_DAYS_Y*AE33*الموظفون!$P33/cfg_DAYS_M)</f>
        <v/>
      </c>
      <c r="AA33" s="90" t="str">
        <f aca="false">IF($B33="","",IF(AND(الموظفون!$S33="نعم",N(الموظفون!$U33)&gt;0),الموظفون!$T33/الموظفون!$U33*12/cfg_DAYS_Y*AE33,0))</f>
        <v/>
      </c>
      <c r="AB33" s="113" t="str">
        <f aca="false">IF($B33="","",R33+SUM(X33:AA33))</f>
        <v/>
      </c>
      <c r="AC33" s="114" t="str">
        <f aca="false">IF($B33="","",MAX(0,IF(OR(الموظفون!$X33="",الموظفون!$X33&gt;$G$3),$G$3,الموظفون!$X33)-الموظفون!$H33+1)/cfg_DAYS_Y)</f>
        <v/>
      </c>
      <c r="AD33" s="114" t="str">
        <f aca="false">IF($B33="","",MAX(0,IF(OR(الموظفون!$X33="",الموظفون!$X33&gt;($E$3-1)),($E$3-1),الموظفون!$X33)-الموظفون!$H33+1)/cfg_DAYS_Y)</f>
        <v/>
      </c>
      <c r="AE33" s="115" t="str">
        <f aca="false">IF($B33="","",MAX(0,IF(OR(الموظفون!$X33="",الموظفون!$X33&gt;$G$3),$G$3,الموظفون!$X33)-MAX($E$3,الموظفون!$H33)+1))</f>
        <v/>
      </c>
    </row>
    <row r="34" customFormat="false" ht="15" hidden="false" customHeight="false" outlineLevel="0" collapsed="false">
      <c r="A34" s="83" t="str">
        <f aca="false">IF($B34="","",الموظفون!$A34)</f>
        <v/>
      </c>
      <c r="B34" s="74" t="str">
        <f aca="false">IF(الموظفون!$B34="","",الموظفون!$B34)</f>
        <v/>
      </c>
      <c r="C34" s="74" t="str">
        <f aca="false">IF($B34="","",الموظفون!$C34)</f>
        <v/>
      </c>
      <c r="D34" s="74" t="str">
        <f aca="false">IF($B34="","",الموظفون!$F34)</f>
        <v/>
      </c>
      <c r="E34" s="74" t="str">
        <f aca="false">IF($B34="","",الموظفون!$E34)</f>
        <v/>
      </c>
      <c r="F34" s="105" t="str">
        <f aca="false">IF($B34="","",IF(AE34&gt;=DAY($G$3),cfg_DAYS_M,MIN(AE34,cfg_DAYS_M)))</f>
        <v/>
      </c>
      <c r="G34" s="105" t="str">
        <f aca="false">IF($B34="","",SUMIFS('الحركات الشهرية'!$D$6:$D$1005,'الحركات الشهرية'!$B$6:$B$1005,$B34,'الحركات الشهرية'!$A$6:$A$1005,$C$3))</f>
        <v/>
      </c>
      <c r="H34" s="105" t="str">
        <f aca="false">IF($B34="","",SUMIFS('الحركات الشهرية'!$E$6:$E$1005,'الحركات الشهرية'!$B$6:$B$1005,$B34,'الحركات الشهرية'!$A$6:$A$1005,$C$3))</f>
        <v/>
      </c>
      <c r="I34" s="105" t="str">
        <f aca="false">IF($B34="","",MAX(0,F34-G34-H34))</f>
        <v/>
      </c>
      <c r="J34" s="86" t="str">
        <f aca="false">IF($B34="","",الموظفون!$J34*$I34/cfg_DAYS_M)</f>
        <v/>
      </c>
      <c r="K34" s="86" t="str">
        <f aca="false">IF($B34="","",الموظفون!$K34*$I34/cfg_DAYS_M)</f>
        <v/>
      </c>
      <c r="L34" s="86" t="str">
        <f aca="false">IF($B34="","",الموظفون!$L34*$I34/cfg_DAYS_M)</f>
        <v/>
      </c>
      <c r="M34" s="86" t="str">
        <f aca="false">IF($B34="","",الموظفون!$M34*$I34/cfg_DAYS_M)</f>
        <v/>
      </c>
      <c r="N34" s="105" t="str">
        <f aca="false">IF($B34="","",SUMIFS('الحركات الشهرية'!$F$6:$F$1005,'الحركات الشهرية'!$B$6:$B$1005,$B34,'الحركات الشهرية'!$A$6:$A$1005,$C$3))</f>
        <v/>
      </c>
      <c r="O34" s="86" t="str">
        <f aca="false">IF($B34="","",N34*(الموظفون!$N34+الموظفون!$J34*cfg_OT_P)/cfg_DAYS_M/cfg_HRS)</f>
        <v/>
      </c>
      <c r="P34" s="86" t="str">
        <f aca="false">IF($B34="","",SUMIFS('الحركات الشهرية'!$G$6:$G$1005,'الحركات الشهرية'!$B$6:$B$1005,$B34,'الحركات الشهرية'!$A$6:$A$1005,$C$3))</f>
        <v/>
      </c>
      <c r="Q34" s="86" t="str">
        <f aca="false">IF($B34="","",SUMIFS('الحركات الشهرية'!$H$6:$H$1005,'الحركات الشهرية'!$B$6:$B$1005,$B34,'الحركات الشهرية'!$A$6:$A$1005,$C$3))</f>
        <v/>
      </c>
      <c r="R34" s="106" t="str">
        <f aca="false">IF($B34="","",SUM(J34:M34)+SUM(O34:Q34))</f>
        <v/>
      </c>
      <c r="S34" s="86" t="str">
        <f aca="false">IF($B34="","",الموظفون!$Q34*IF(E34="سعودي",cfg_G_SE,cfg_G_NE)*F34/cfg_DAYS_M)</f>
        <v/>
      </c>
      <c r="T34" s="86" t="str">
        <f aca="false">IF($B34="","",SUMIFS('الحركات الشهرية'!$I$6:$I$1005,'الحركات الشهرية'!$B$6:$B$1005,$B34,'الحركات الشهرية'!$A$6:$A$1005,$C$3))</f>
        <v/>
      </c>
      <c r="U34" s="86" t="str">
        <f aca="false">IF($B34="","",SUMIFS('الحركات الشهرية'!$J$6:$J$1005,'الحركات الشهرية'!$B$6:$B$1005,$B34,'الحركات الشهرية'!$A$6:$A$1005,$C$3))</f>
        <v/>
      </c>
      <c r="V34" s="86" t="str">
        <f aca="false">IF($B34="","",SUM(S34:U34))</f>
        <v/>
      </c>
      <c r="W34" s="107" t="str">
        <f aca="false">IF($B34="","",R34-V34)</f>
        <v/>
      </c>
      <c r="X34" s="86" t="str">
        <f aca="false">IF($B34="","",الموظفون!$Q34*IF(E34="سعودي",cfg_G_SR,cfg_G_NR)*F34/cfg_DAYS_M)</f>
        <v/>
      </c>
      <c r="Y34" s="86" t="str">
        <f aca="false">IF($B34="","",الموظفون!$O34*(cfg_EOS_R1*(MIN(AC34,cfg_EOS_TH)-MIN(AD34,cfg_EOS_TH))+cfg_EOS_R2*(MAX(AC34-cfg_EOS_TH,0)-MAX(AD34-cfg_EOS_TH,0))))</f>
        <v/>
      </c>
      <c r="Z34" s="86" t="str">
        <f aca="false">IF($B34="","",IF(الموظفون!$R34&lt;&gt;"",الموظفون!$R34,IF(AC34&gt;=cfg_LV_TH,cfg_LV_D2,cfg_LV_D1))/cfg_DAYS_Y*AE34*الموظفون!$P34/cfg_DAYS_M)</f>
        <v/>
      </c>
      <c r="AA34" s="86" t="str">
        <f aca="false">IF($B34="","",IF(AND(الموظفون!$S34="نعم",N(الموظفون!$U34)&gt;0),الموظفون!$T34/الموظفون!$U34*12/cfg_DAYS_Y*AE34,0))</f>
        <v/>
      </c>
      <c r="AB34" s="108" t="str">
        <f aca="false">IF($B34="","",R34+SUM(X34:AA34))</f>
        <v/>
      </c>
      <c r="AC34" s="109" t="str">
        <f aca="false">IF($B34="","",MAX(0,IF(OR(الموظفون!$X34="",الموظفون!$X34&gt;$G$3),$G$3,الموظفون!$X34)-الموظفون!$H34+1)/cfg_DAYS_Y)</f>
        <v/>
      </c>
      <c r="AD34" s="109" t="str">
        <f aca="false">IF($B34="","",MAX(0,IF(OR(الموظفون!$X34="",الموظفون!$X34&gt;($E$3-1)),($E$3-1),الموظفون!$X34)-الموظفون!$H34+1)/cfg_DAYS_Y)</f>
        <v/>
      </c>
      <c r="AE34" s="51" t="str">
        <f aca="false">IF($B34="","",MAX(0,IF(OR(الموظفون!$X34="",الموظفون!$X34&gt;$G$3),$G$3,الموظفون!$X34)-MAX($E$3,الموظفون!$H34)+1))</f>
        <v/>
      </c>
    </row>
    <row r="35" customFormat="false" ht="15" hidden="false" customHeight="false" outlineLevel="0" collapsed="false">
      <c r="A35" s="89" t="str">
        <f aca="false">IF($B35="","",الموظفون!$A35)</f>
        <v/>
      </c>
      <c r="B35" s="91" t="str">
        <f aca="false">IF(الموظفون!$B35="","",الموظفون!$B35)</f>
        <v/>
      </c>
      <c r="C35" s="91" t="str">
        <f aca="false">IF($B35="","",الموظفون!$C35)</f>
        <v/>
      </c>
      <c r="D35" s="91" t="str">
        <f aca="false">IF($B35="","",الموظفون!$F35)</f>
        <v/>
      </c>
      <c r="E35" s="91" t="str">
        <f aca="false">IF($B35="","",الموظفون!$E35)</f>
        <v/>
      </c>
      <c r="F35" s="110" t="str">
        <f aca="false">IF($B35="","",IF(AE35&gt;=DAY($G$3),cfg_DAYS_M,MIN(AE35,cfg_DAYS_M)))</f>
        <v/>
      </c>
      <c r="G35" s="110" t="str">
        <f aca="false">IF($B35="","",SUMIFS('الحركات الشهرية'!$D$6:$D$1005,'الحركات الشهرية'!$B$6:$B$1005,$B35,'الحركات الشهرية'!$A$6:$A$1005,$C$3))</f>
        <v/>
      </c>
      <c r="H35" s="110" t="str">
        <f aca="false">IF($B35="","",SUMIFS('الحركات الشهرية'!$E$6:$E$1005,'الحركات الشهرية'!$B$6:$B$1005,$B35,'الحركات الشهرية'!$A$6:$A$1005,$C$3))</f>
        <v/>
      </c>
      <c r="I35" s="110" t="str">
        <f aca="false">IF($B35="","",MAX(0,F35-G35-H35))</f>
        <v/>
      </c>
      <c r="J35" s="90" t="str">
        <f aca="false">IF($B35="","",الموظفون!$J35*$I35/cfg_DAYS_M)</f>
        <v/>
      </c>
      <c r="K35" s="90" t="str">
        <f aca="false">IF($B35="","",الموظفون!$K35*$I35/cfg_DAYS_M)</f>
        <v/>
      </c>
      <c r="L35" s="90" t="str">
        <f aca="false">IF($B35="","",الموظفون!$L35*$I35/cfg_DAYS_M)</f>
        <v/>
      </c>
      <c r="M35" s="90" t="str">
        <f aca="false">IF($B35="","",الموظفون!$M35*$I35/cfg_DAYS_M)</f>
        <v/>
      </c>
      <c r="N35" s="110" t="str">
        <f aca="false">IF($B35="","",SUMIFS('الحركات الشهرية'!$F$6:$F$1005,'الحركات الشهرية'!$B$6:$B$1005,$B35,'الحركات الشهرية'!$A$6:$A$1005,$C$3))</f>
        <v/>
      </c>
      <c r="O35" s="90" t="str">
        <f aca="false">IF($B35="","",N35*(الموظفون!$N35+الموظفون!$J35*cfg_OT_P)/cfg_DAYS_M/cfg_HRS)</f>
        <v/>
      </c>
      <c r="P35" s="90" t="str">
        <f aca="false">IF($B35="","",SUMIFS('الحركات الشهرية'!$G$6:$G$1005,'الحركات الشهرية'!$B$6:$B$1005,$B35,'الحركات الشهرية'!$A$6:$A$1005,$C$3))</f>
        <v/>
      </c>
      <c r="Q35" s="90" t="str">
        <f aca="false">IF($B35="","",SUMIFS('الحركات الشهرية'!$H$6:$H$1005,'الحركات الشهرية'!$B$6:$B$1005,$B35,'الحركات الشهرية'!$A$6:$A$1005,$C$3))</f>
        <v/>
      </c>
      <c r="R35" s="111" t="str">
        <f aca="false">IF($B35="","",SUM(J35:M35)+SUM(O35:Q35))</f>
        <v/>
      </c>
      <c r="S35" s="90" t="str">
        <f aca="false">IF($B35="","",الموظفون!$Q35*IF(E35="سعودي",cfg_G_SE,cfg_G_NE)*F35/cfg_DAYS_M)</f>
        <v/>
      </c>
      <c r="T35" s="90" t="str">
        <f aca="false">IF($B35="","",SUMIFS('الحركات الشهرية'!$I$6:$I$1005,'الحركات الشهرية'!$B$6:$B$1005,$B35,'الحركات الشهرية'!$A$6:$A$1005,$C$3))</f>
        <v/>
      </c>
      <c r="U35" s="90" t="str">
        <f aca="false">IF($B35="","",SUMIFS('الحركات الشهرية'!$J$6:$J$1005,'الحركات الشهرية'!$B$6:$B$1005,$B35,'الحركات الشهرية'!$A$6:$A$1005,$C$3))</f>
        <v/>
      </c>
      <c r="V35" s="90" t="str">
        <f aca="false">IF($B35="","",SUM(S35:U35))</f>
        <v/>
      </c>
      <c r="W35" s="112" t="str">
        <f aca="false">IF($B35="","",R35-V35)</f>
        <v/>
      </c>
      <c r="X35" s="90" t="str">
        <f aca="false">IF($B35="","",الموظفون!$Q35*IF(E35="سعودي",cfg_G_SR,cfg_G_NR)*F35/cfg_DAYS_M)</f>
        <v/>
      </c>
      <c r="Y35" s="90" t="str">
        <f aca="false">IF($B35="","",الموظفون!$O35*(cfg_EOS_R1*(MIN(AC35,cfg_EOS_TH)-MIN(AD35,cfg_EOS_TH))+cfg_EOS_R2*(MAX(AC35-cfg_EOS_TH,0)-MAX(AD35-cfg_EOS_TH,0))))</f>
        <v/>
      </c>
      <c r="Z35" s="90" t="str">
        <f aca="false">IF($B35="","",IF(الموظفون!$R35&lt;&gt;"",الموظفون!$R35,IF(AC35&gt;=cfg_LV_TH,cfg_LV_D2,cfg_LV_D1))/cfg_DAYS_Y*AE35*الموظفون!$P35/cfg_DAYS_M)</f>
        <v/>
      </c>
      <c r="AA35" s="90" t="str">
        <f aca="false">IF($B35="","",IF(AND(الموظفون!$S35="نعم",N(الموظفون!$U35)&gt;0),الموظفون!$T35/الموظفون!$U35*12/cfg_DAYS_Y*AE35,0))</f>
        <v/>
      </c>
      <c r="AB35" s="113" t="str">
        <f aca="false">IF($B35="","",R35+SUM(X35:AA35))</f>
        <v/>
      </c>
      <c r="AC35" s="114" t="str">
        <f aca="false">IF($B35="","",MAX(0,IF(OR(الموظفون!$X35="",الموظفون!$X35&gt;$G$3),$G$3,الموظفون!$X35)-الموظفون!$H35+1)/cfg_DAYS_Y)</f>
        <v/>
      </c>
      <c r="AD35" s="114" t="str">
        <f aca="false">IF($B35="","",MAX(0,IF(OR(الموظفون!$X35="",الموظفون!$X35&gt;($E$3-1)),($E$3-1),الموظفون!$X35)-الموظفون!$H35+1)/cfg_DAYS_Y)</f>
        <v/>
      </c>
      <c r="AE35" s="115" t="str">
        <f aca="false">IF($B35="","",MAX(0,IF(OR(الموظفون!$X35="",الموظفون!$X35&gt;$G$3),$G$3,الموظفون!$X35)-MAX($E$3,الموظفون!$H35)+1))</f>
        <v/>
      </c>
    </row>
    <row r="36" customFormat="false" ht="15" hidden="false" customHeight="false" outlineLevel="0" collapsed="false">
      <c r="A36" s="83" t="str">
        <f aca="false">IF($B36="","",الموظفون!$A36)</f>
        <v/>
      </c>
      <c r="B36" s="74" t="str">
        <f aca="false">IF(الموظفون!$B36="","",الموظفون!$B36)</f>
        <v/>
      </c>
      <c r="C36" s="74" t="str">
        <f aca="false">IF($B36="","",الموظفون!$C36)</f>
        <v/>
      </c>
      <c r="D36" s="74" t="str">
        <f aca="false">IF($B36="","",الموظفون!$F36)</f>
        <v/>
      </c>
      <c r="E36" s="74" t="str">
        <f aca="false">IF($B36="","",الموظفون!$E36)</f>
        <v/>
      </c>
      <c r="F36" s="105" t="str">
        <f aca="false">IF($B36="","",IF(AE36&gt;=DAY($G$3),cfg_DAYS_M,MIN(AE36,cfg_DAYS_M)))</f>
        <v/>
      </c>
      <c r="G36" s="105" t="str">
        <f aca="false">IF($B36="","",SUMIFS('الحركات الشهرية'!$D$6:$D$1005,'الحركات الشهرية'!$B$6:$B$1005,$B36,'الحركات الشهرية'!$A$6:$A$1005,$C$3))</f>
        <v/>
      </c>
      <c r="H36" s="105" t="str">
        <f aca="false">IF($B36="","",SUMIFS('الحركات الشهرية'!$E$6:$E$1005,'الحركات الشهرية'!$B$6:$B$1005,$B36,'الحركات الشهرية'!$A$6:$A$1005,$C$3))</f>
        <v/>
      </c>
      <c r="I36" s="105" t="str">
        <f aca="false">IF($B36="","",MAX(0,F36-G36-H36))</f>
        <v/>
      </c>
      <c r="J36" s="86" t="str">
        <f aca="false">IF($B36="","",الموظفون!$J36*$I36/cfg_DAYS_M)</f>
        <v/>
      </c>
      <c r="K36" s="86" t="str">
        <f aca="false">IF($B36="","",الموظفون!$K36*$I36/cfg_DAYS_M)</f>
        <v/>
      </c>
      <c r="L36" s="86" t="str">
        <f aca="false">IF($B36="","",الموظفون!$L36*$I36/cfg_DAYS_M)</f>
        <v/>
      </c>
      <c r="M36" s="86" t="str">
        <f aca="false">IF($B36="","",الموظفون!$M36*$I36/cfg_DAYS_M)</f>
        <v/>
      </c>
      <c r="N36" s="105" t="str">
        <f aca="false">IF($B36="","",SUMIFS('الحركات الشهرية'!$F$6:$F$1005,'الحركات الشهرية'!$B$6:$B$1005,$B36,'الحركات الشهرية'!$A$6:$A$1005,$C$3))</f>
        <v/>
      </c>
      <c r="O36" s="86" t="str">
        <f aca="false">IF($B36="","",N36*(الموظفون!$N36+الموظفون!$J36*cfg_OT_P)/cfg_DAYS_M/cfg_HRS)</f>
        <v/>
      </c>
      <c r="P36" s="86" t="str">
        <f aca="false">IF($B36="","",SUMIFS('الحركات الشهرية'!$G$6:$G$1005,'الحركات الشهرية'!$B$6:$B$1005,$B36,'الحركات الشهرية'!$A$6:$A$1005,$C$3))</f>
        <v/>
      </c>
      <c r="Q36" s="86" t="str">
        <f aca="false">IF($B36="","",SUMIFS('الحركات الشهرية'!$H$6:$H$1005,'الحركات الشهرية'!$B$6:$B$1005,$B36,'الحركات الشهرية'!$A$6:$A$1005,$C$3))</f>
        <v/>
      </c>
      <c r="R36" s="106" t="str">
        <f aca="false">IF($B36="","",SUM(J36:M36)+SUM(O36:Q36))</f>
        <v/>
      </c>
      <c r="S36" s="86" t="str">
        <f aca="false">IF($B36="","",الموظفون!$Q36*IF(E36="سعودي",cfg_G_SE,cfg_G_NE)*F36/cfg_DAYS_M)</f>
        <v/>
      </c>
      <c r="T36" s="86" t="str">
        <f aca="false">IF($B36="","",SUMIFS('الحركات الشهرية'!$I$6:$I$1005,'الحركات الشهرية'!$B$6:$B$1005,$B36,'الحركات الشهرية'!$A$6:$A$1005,$C$3))</f>
        <v/>
      </c>
      <c r="U36" s="86" t="str">
        <f aca="false">IF($B36="","",SUMIFS('الحركات الشهرية'!$J$6:$J$1005,'الحركات الشهرية'!$B$6:$B$1005,$B36,'الحركات الشهرية'!$A$6:$A$1005,$C$3))</f>
        <v/>
      </c>
      <c r="V36" s="86" t="str">
        <f aca="false">IF($B36="","",SUM(S36:U36))</f>
        <v/>
      </c>
      <c r="W36" s="107" t="str">
        <f aca="false">IF($B36="","",R36-V36)</f>
        <v/>
      </c>
      <c r="X36" s="86" t="str">
        <f aca="false">IF($B36="","",الموظفون!$Q36*IF(E36="سعودي",cfg_G_SR,cfg_G_NR)*F36/cfg_DAYS_M)</f>
        <v/>
      </c>
      <c r="Y36" s="86" t="str">
        <f aca="false">IF($B36="","",الموظفون!$O36*(cfg_EOS_R1*(MIN(AC36,cfg_EOS_TH)-MIN(AD36,cfg_EOS_TH))+cfg_EOS_R2*(MAX(AC36-cfg_EOS_TH,0)-MAX(AD36-cfg_EOS_TH,0))))</f>
        <v/>
      </c>
      <c r="Z36" s="86" t="str">
        <f aca="false">IF($B36="","",IF(الموظفون!$R36&lt;&gt;"",الموظفون!$R36,IF(AC36&gt;=cfg_LV_TH,cfg_LV_D2,cfg_LV_D1))/cfg_DAYS_Y*AE36*الموظفون!$P36/cfg_DAYS_M)</f>
        <v/>
      </c>
      <c r="AA36" s="86" t="str">
        <f aca="false">IF($B36="","",IF(AND(الموظفون!$S36="نعم",N(الموظفون!$U36)&gt;0),الموظفون!$T36/الموظفون!$U36*12/cfg_DAYS_Y*AE36,0))</f>
        <v/>
      </c>
      <c r="AB36" s="108" t="str">
        <f aca="false">IF($B36="","",R36+SUM(X36:AA36))</f>
        <v/>
      </c>
      <c r="AC36" s="109" t="str">
        <f aca="false">IF($B36="","",MAX(0,IF(OR(الموظفون!$X36="",الموظفون!$X36&gt;$G$3),$G$3,الموظفون!$X36)-الموظفون!$H36+1)/cfg_DAYS_Y)</f>
        <v/>
      </c>
      <c r="AD36" s="109" t="str">
        <f aca="false">IF($B36="","",MAX(0,IF(OR(الموظفون!$X36="",الموظفون!$X36&gt;($E$3-1)),($E$3-1),الموظفون!$X36)-الموظفون!$H36+1)/cfg_DAYS_Y)</f>
        <v/>
      </c>
      <c r="AE36" s="51" t="str">
        <f aca="false">IF($B36="","",MAX(0,IF(OR(الموظفون!$X36="",الموظفون!$X36&gt;$G$3),$G$3,الموظفون!$X36)-MAX($E$3,الموظفون!$H36)+1))</f>
        <v/>
      </c>
    </row>
    <row r="37" customFormat="false" ht="15" hidden="false" customHeight="false" outlineLevel="0" collapsed="false">
      <c r="A37" s="89" t="str">
        <f aca="false">IF($B37="","",الموظفون!$A37)</f>
        <v/>
      </c>
      <c r="B37" s="91" t="str">
        <f aca="false">IF(الموظفون!$B37="","",الموظفون!$B37)</f>
        <v/>
      </c>
      <c r="C37" s="91" t="str">
        <f aca="false">IF($B37="","",الموظفون!$C37)</f>
        <v/>
      </c>
      <c r="D37" s="91" t="str">
        <f aca="false">IF($B37="","",الموظفون!$F37)</f>
        <v/>
      </c>
      <c r="E37" s="91" t="str">
        <f aca="false">IF($B37="","",الموظفون!$E37)</f>
        <v/>
      </c>
      <c r="F37" s="110" t="str">
        <f aca="false">IF($B37="","",IF(AE37&gt;=DAY($G$3),cfg_DAYS_M,MIN(AE37,cfg_DAYS_M)))</f>
        <v/>
      </c>
      <c r="G37" s="110" t="str">
        <f aca="false">IF($B37="","",SUMIFS('الحركات الشهرية'!$D$6:$D$1005,'الحركات الشهرية'!$B$6:$B$1005,$B37,'الحركات الشهرية'!$A$6:$A$1005,$C$3))</f>
        <v/>
      </c>
      <c r="H37" s="110" t="str">
        <f aca="false">IF($B37="","",SUMIFS('الحركات الشهرية'!$E$6:$E$1005,'الحركات الشهرية'!$B$6:$B$1005,$B37,'الحركات الشهرية'!$A$6:$A$1005,$C$3))</f>
        <v/>
      </c>
      <c r="I37" s="110" t="str">
        <f aca="false">IF($B37="","",MAX(0,F37-G37-H37))</f>
        <v/>
      </c>
      <c r="J37" s="90" t="str">
        <f aca="false">IF($B37="","",الموظفون!$J37*$I37/cfg_DAYS_M)</f>
        <v/>
      </c>
      <c r="K37" s="90" t="str">
        <f aca="false">IF($B37="","",الموظفون!$K37*$I37/cfg_DAYS_M)</f>
        <v/>
      </c>
      <c r="L37" s="90" t="str">
        <f aca="false">IF($B37="","",الموظفون!$L37*$I37/cfg_DAYS_M)</f>
        <v/>
      </c>
      <c r="M37" s="90" t="str">
        <f aca="false">IF($B37="","",الموظفون!$M37*$I37/cfg_DAYS_M)</f>
        <v/>
      </c>
      <c r="N37" s="110" t="str">
        <f aca="false">IF($B37="","",SUMIFS('الحركات الشهرية'!$F$6:$F$1005,'الحركات الشهرية'!$B$6:$B$1005,$B37,'الحركات الشهرية'!$A$6:$A$1005,$C$3))</f>
        <v/>
      </c>
      <c r="O37" s="90" t="str">
        <f aca="false">IF($B37="","",N37*(الموظفون!$N37+الموظفون!$J37*cfg_OT_P)/cfg_DAYS_M/cfg_HRS)</f>
        <v/>
      </c>
      <c r="P37" s="90" t="str">
        <f aca="false">IF($B37="","",SUMIFS('الحركات الشهرية'!$G$6:$G$1005,'الحركات الشهرية'!$B$6:$B$1005,$B37,'الحركات الشهرية'!$A$6:$A$1005,$C$3))</f>
        <v/>
      </c>
      <c r="Q37" s="90" t="str">
        <f aca="false">IF($B37="","",SUMIFS('الحركات الشهرية'!$H$6:$H$1005,'الحركات الشهرية'!$B$6:$B$1005,$B37,'الحركات الشهرية'!$A$6:$A$1005,$C$3))</f>
        <v/>
      </c>
      <c r="R37" s="111" t="str">
        <f aca="false">IF($B37="","",SUM(J37:M37)+SUM(O37:Q37))</f>
        <v/>
      </c>
      <c r="S37" s="90" t="str">
        <f aca="false">IF($B37="","",الموظفون!$Q37*IF(E37="سعودي",cfg_G_SE,cfg_G_NE)*F37/cfg_DAYS_M)</f>
        <v/>
      </c>
      <c r="T37" s="90" t="str">
        <f aca="false">IF($B37="","",SUMIFS('الحركات الشهرية'!$I$6:$I$1005,'الحركات الشهرية'!$B$6:$B$1005,$B37,'الحركات الشهرية'!$A$6:$A$1005,$C$3))</f>
        <v/>
      </c>
      <c r="U37" s="90" t="str">
        <f aca="false">IF($B37="","",SUMIFS('الحركات الشهرية'!$J$6:$J$1005,'الحركات الشهرية'!$B$6:$B$1005,$B37,'الحركات الشهرية'!$A$6:$A$1005,$C$3))</f>
        <v/>
      </c>
      <c r="V37" s="90" t="str">
        <f aca="false">IF($B37="","",SUM(S37:U37))</f>
        <v/>
      </c>
      <c r="W37" s="112" t="str">
        <f aca="false">IF($B37="","",R37-V37)</f>
        <v/>
      </c>
      <c r="X37" s="90" t="str">
        <f aca="false">IF($B37="","",الموظفون!$Q37*IF(E37="سعودي",cfg_G_SR,cfg_G_NR)*F37/cfg_DAYS_M)</f>
        <v/>
      </c>
      <c r="Y37" s="90" t="str">
        <f aca="false">IF($B37="","",الموظفون!$O37*(cfg_EOS_R1*(MIN(AC37,cfg_EOS_TH)-MIN(AD37,cfg_EOS_TH))+cfg_EOS_R2*(MAX(AC37-cfg_EOS_TH,0)-MAX(AD37-cfg_EOS_TH,0))))</f>
        <v/>
      </c>
      <c r="Z37" s="90" t="str">
        <f aca="false">IF($B37="","",IF(الموظفون!$R37&lt;&gt;"",الموظفون!$R37,IF(AC37&gt;=cfg_LV_TH,cfg_LV_D2,cfg_LV_D1))/cfg_DAYS_Y*AE37*الموظفون!$P37/cfg_DAYS_M)</f>
        <v/>
      </c>
      <c r="AA37" s="90" t="str">
        <f aca="false">IF($B37="","",IF(AND(الموظفون!$S37="نعم",N(الموظفون!$U37)&gt;0),الموظفون!$T37/الموظفون!$U37*12/cfg_DAYS_Y*AE37,0))</f>
        <v/>
      </c>
      <c r="AB37" s="113" t="str">
        <f aca="false">IF($B37="","",R37+SUM(X37:AA37))</f>
        <v/>
      </c>
      <c r="AC37" s="114" t="str">
        <f aca="false">IF($B37="","",MAX(0,IF(OR(الموظفون!$X37="",الموظفون!$X37&gt;$G$3),$G$3,الموظفون!$X37)-الموظفون!$H37+1)/cfg_DAYS_Y)</f>
        <v/>
      </c>
      <c r="AD37" s="114" t="str">
        <f aca="false">IF($B37="","",MAX(0,IF(OR(الموظفون!$X37="",الموظفون!$X37&gt;($E$3-1)),($E$3-1),الموظفون!$X37)-الموظفون!$H37+1)/cfg_DAYS_Y)</f>
        <v/>
      </c>
      <c r="AE37" s="115" t="str">
        <f aca="false">IF($B37="","",MAX(0,IF(OR(الموظفون!$X37="",الموظفون!$X37&gt;$G$3),$G$3,الموظفون!$X37)-MAX($E$3,الموظفون!$H37)+1))</f>
        <v/>
      </c>
    </row>
    <row r="38" customFormat="false" ht="15" hidden="false" customHeight="false" outlineLevel="0" collapsed="false">
      <c r="A38" s="83" t="str">
        <f aca="false">IF($B38="","",الموظفون!$A38)</f>
        <v/>
      </c>
      <c r="B38" s="74" t="str">
        <f aca="false">IF(الموظفون!$B38="","",الموظفون!$B38)</f>
        <v/>
      </c>
      <c r="C38" s="74" t="str">
        <f aca="false">IF($B38="","",الموظفون!$C38)</f>
        <v/>
      </c>
      <c r="D38" s="74" t="str">
        <f aca="false">IF($B38="","",الموظفون!$F38)</f>
        <v/>
      </c>
      <c r="E38" s="74" t="str">
        <f aca="false">IF($B38="","",الموظفون!$E38)</f>
        <v/>
      </c>
      <c r="F38" s="105" t="str">
        <f aca="false">IF($B38="","",IF(AE38&gt;=DAY($G$3),cfg_DAYS_M,MIN(AE38,cfg_DAYS_M)))</f>
        <v/>
      </c>
      <c r="G38" s="105" t="str">
        <f aca="false">IF($B38="","",SUMIFS('الحركات الشهرية'!$D$6:$D$1005,'الحركات الشهرية'!$B$6:$B$1005,$B38,'الحركات الشهرية'!$A$6:$A$1005,$C$3))</f>
        <v/>
      </c>
      <c r="H38" s="105" t="str">
        <f aca="false">IF($B38="","",SUMIFS('الحركات الشهرية'!$E$6:$E$1005,'الحركات الشهرية'!$B$6:$B$1005,$B38,'الحركات الشهرية'!$A$6:$A$1005,$C$3))</f>
        <v/>
      </c>
      <c r="I38" s="105" t="str">
        <f aca="false">IF($B38="","",MAX(0,F38-G38-H38))</f>
        <v/>
      </c>
      <c r="J38" s="86" t="str">
        <f aca="false">IF($B38="","",الموظفون!$J38*$I38/cfg_DAYS_M)</f>
        <v/>
      </c>
      <c r="K38" s="86" t="str">
        <f aca="false">IF($B38="","",الموظفون!$K38*$I38/cfg_DAYS_M)</f>
        <v/>
      </c>
      <c r="L38" s="86" t="str">
        <f aca="false">IF($B38="","",الموظفون!$L38*$I38/cfg_DAYS_M)</f>
        <v/>
      </c>
      <c r="M38" s="86" t="str">
        <f aca="false">IF($B38="","",الموظفون!$M38*$I38/cfg_DAYS_M)</f>
        <v/>
      </c>
      <c r="N38" s="105" t="str">
        <f aca="false">IF($B38="","",SUMIFS('الحركات الشهرية'!$F$6:$F$1005,'الحركات الشهرية'!$B$6:$B$1005,$B38,'الحركات الشهرية'!$A$6:$A$1005,$C$3))</f>
        <v/>
      </c>
      <c r="O38" s="86" t="str">
        <f aca="false">IF($B38="","",N38*(الموظفون!$N38+الموظفون!$J38*cfg_OT_P)/cfg_DAYS_M/cfg_HRS)</f>
        <v/>
      </c>
      <c r="P38" s="86" t="str">
        <f aca="false">IF($B38="","",SUMIFS('الحركات الشهرية'!$G$6:$G$1005,'الحركات الشهرية'!$B$6:$B$1005,$B38,'الحركات الشهرية'!$A$6:$A$1005,$C$3))</f>
        <v/>
      </c>
      <c r="Q38" s="86" t="str">
        <f aca="false">IF($B38="","",SUMIFS('الحركات الشهرية'!$H$6:$H$1005,'الحركات الشهرية'!$B$6:$B$1005,$B38,'الحركات الشهرية'!$A$6:$A$1005,$C$3))</f>
        <v/>
      </c>
      <c r="R38" s="106" t="str">
        <f aca="false">IF($B38="","",SUM(J38:M38)+SUM(O38:Q38))</f>
        <v/>
      </c>
      <c r="S38" s="86" t="str">
        <f aca="false">IF($B38="","",الموظفون!$Q38*IF(E38="سعودي",cfg_G_SE,cfg_G_NE)*F38/cfg_DAYS_M)</f>
        <v/>
      </c>
      <c r="T38" s="86" t="str">
        <f aca="false">IF($B38="","",SUMIFS('الحركات الشهرية'!$I$6:$I$1005,'الحركات الشهرية'!$B$6:$B$1005,$B38,'الحركات الشهرية'!$A$6:$A$1005,$C$3))</f>
        <v/>
      </c>
      <c r="U38" s="86" t="str">
        <f aca="false">IF($B38="","",SUMIFS('الحركات الشهرية'!$J$6:$J$1005,'الحركات الشهرية'!$B$6:$B$1005,$B38,'الحركات الشهرية'!$A$6:$A$1005,$C$3))</f>
        <v/>
      </c>
      <c r="V38" s="86" t="str">
        <f aca="false">IF($B38="","",SUM(S38:U38))</f>
        <v/>
      </c>
      <c r="W38" s="107" t="str">
        <f aca="false">IF($B38="","",R38-V38)</f>
        <v/>
      </c>
      <c r="X38" s="86" t="str">
        <f aca="false">IF($B38="","",الموظفون!$Q38*IF(E38="سعودي",cfg_G_SR,cfg_G_NR)*F38/cfg_DAYS_M)</f>
        <v/>
      </c>
      <c r="Y38" s="86" t="str">
        <f aca="false">IF($B38="","",الموظفون!$O38*(cfg_EOS_R1*(MIN(AC38,cfg_EOS_TH)-MIN(AD38,cfg_EOS_TH))+cfg_EOS_R2*(MAX(AC38-cfg_EOS_TH,0)-MAX(AD38-cfg_EOS_TH,0))))</f>
        <v/>
      </c>
      <c r="Z38" s="86" t="str">
        <f aca="false">IF($B38="","",IF(الموظفون!$R38&lt;&gt;"",الموظفون!$R38,IF(AC38&gt;=cfg_LV_TH,cfg_LV_D2,cfg_LV_D1))/cfg_DAYS_Y*AE38*الموظفون!$P38/cfg_DAYS_M)</f>
        <v/>
      </c>
      <c r="AA38" s="86" t="str">
        <f aca="false">IF($B38="","",IF(AND(الموظفون!$S38="نعم",N(الموظفون!$U38)&gt;0),الموظفون!$T38/الموظفون!$U38*12/cfg_DAYS_Y*AE38,0))</f>
        <v/>
      </c>
      <c r="AB38" s="108" t="str">
        <f aca="false">IF($B38="","",R38+SUM(X38:AA38))</f>
        <v/>
      </c>
      <c r="AC38" s="109" t="str">
        <f aca="false">IF($B38="","",MAX(0,IF(OR(الموظفون!$X38="",الموظفون!$X38&gt;$G$3),$G$3,الموظفون!$X38)-الموظفون!$H38+1)/cfg_DAYS_Y)</f>
        <v/>
      </c>
      <c r="AD38" s="109" t="str">
        <f aca="false">IF($B38="","",MAX(0,IF(OR(الموظفون!$X38="",الموظفون!$X38&gt;($E$3-1)),($E$3-1),الموظفون!$X38)-الموظفون!$H38+1)/cfg_DAYS_Y)</f>
        <v/>
      </c>
      <c r="AE38" s="51" t="str">
        <f aca="false">IF($B38="","",MAX(0,IF(OR(الموظفون!$X38="",الموظفون!$X38&gt;$G$3),$G$3,الموظفون!$X38)-MAX($E$3,الموظفون!$H38)+1))</f>
        <v/>
      </c>
    </row>
    <row r="39" customFormat="false" ht="15" hidden="false" customHeight="false" outlineLevel="0" collapsed="false">
      <c r="A39" s="89" t="str">
        <f aca="false">IF($B39="","",الموظفون!$A39)</f>
        <v/>
      </c>
      <c r="B39" s="91" t="str">
        <f aca="false">IF(الموظفون!$B39="","",الموظفون!$B39)</f>
        <v/>
      </c>
      <c r="C39" s="91" t="str">
        <f aca="false">IF($B39="","",الموظفون!$C39)</f>
        <v/>
      </c>
      <c r="D39" s="91" t="str">
        <f aca="false">IF($B39="","",الموظفون!$F39)</f>
        <v/>
      </c>
      <c r="E39" s="91" t="str">
        <f aca="false">IF($B39="","",الموظفون!$E39)</f>
        <v/>
      </c>
      <c r="F39" s="110" t="str">
        <f aca="false">IF($B39="","",IF(AE39&gt;=DAY($G$3),cfg_DAYS_M,MIN(AE39,cfg_DAYS_M)))</f>
        <v/>
      </c>
      <c r="G39" s="110" t="str">
        <f aca="false">IF($B39="","",SUMIFS('الحركات الشهرية'!$D$6:$D$1005,'الحركات الشهرية'!$B$6:$B$1005,$B39,'الحركات الشهرية'!$A$6:$A$1005,$C$3))</f>
        <v/>
      </c>
      <c r="H39" s="110" t="str">
        <f aca="false">IF($B39="","",SUMIFS('الحركات الشهرية'!$E$6:$E$1005,'الحركات الشهرية'!$B$6:$B$1005,$B39,'الحركات الشهرية'!$A$6:$A$1005,$C$3))</f>
        <v/>
      </c>
      <c r="I39" s="110" t="str">
        <f aca="false">IF($B39="","",MAX(0,F39-G39-H39))</f>
        <v/>
      </c>
      <c r="J39" s="90" t="str">
        <f aca="false">IF($B39="","",الموظفون!$J39*$I39/cfg_DAYS_M)</f>
        <v/>
      </c>
      <c r="K39" s="90" t="str">
        <f aca="false">IF($B39="","",الموظفون!$K39*$I39/cfg_DAYS_M)</f>
        <v/>
      </c>
      <c r="L39" s="90" t="str">
        <f aca="false">IF($B39="","",الموظفون!$L39*$I39/cfg_DAYS_M)</f>
        <v/>
      </c>
      <c r="M39" s="90" t="str">
        <f aca="false">IF($B39="","",الموظفون!$M39*$I39/cfg_DAYS_M)</f>
        <v/>
      </c>
      <c r="N39" s="110" t="str">
        <f aca="false">IF($B39="","",SUMIFS('الحركات الشهرية'!$F$6:$F$1005,'الحركات الشهرية'!$B$6:$B$1005,$B39,'الحركات الشهرية'!$A$6:$A$1005,$C$3))</f>
        <v/>
      </c>
      <c r="O39" s="90" t="str">
        <f aca="false">IF($B39="","",N39*(الموظفون!$N39+الموظفون!$J39*cfg_OT_P)/cfg_DAYS_M/cfg_HRS)</f>
        <v/>
      </c>
      <c r="P39" s="90" t="str">
        <f aca="false">IF($B39="","",SUMIFS('الحركات الشهرية'!$G$6:$G$1005,'الحركات الشهرية'!$B$6:$B$1005,$B39,'الحركات الشهرية'!$A$6:$A$1005,$C$3))</f>
        <v/>
      </c>
      <c r="Q39" s="90" t="str">
        <f aca="false">IF($B39="","",SUMIFS('الحركات الشهرية'!$H$6:$H$1005,'الحركات الشهرية'!$B$6:$B$1005,$B39,'الحركات الشهرية'!$A$6:$A$1005,$C$3))</f>
        <v/>
      </c>
      <c r="R39" s="111" t="str">
        <f aca="false">IF($B39="","",SUM(J39:M39)+SUM(O39:Q39))</f>
        <v/>
      </c>
      <c r="S39" s="90" t="str">
        <f aca="false">IF($B39="","",الموظفون!$Q39*IF(E39="سعودي",cfg_G_SE,cfg_G_NE)*F39/cfg_DAYS_M)</f>
        <v/>
      </c>
      <c r="T39" s="90" t="str">
        <f aca="false">IF($B39="","",SUMIFS('الحركات الشهرية'!$I$6:$I$1005,'الحركات الشهرية'!$B$6:$B$1005,$B39,'الحركات الشهرية'!$A$6:$A$1005,$C$3))</f>
        <v/>
      </c>
      <c r="U39" s="90" t="str">
        <f aca="false">IF($B39="","",SUMIFS('الحركات الشهرية'!$J$6:$J$1005,'الحركات الشهرية'!$B$6:$B$1005,$B39,'الحركات الشهرية'!$A$6:$A$1005,$C$3))</f>
        <v/>
      </c>
      <c r="V39" s="90" t="str">
        <f aca="false">IF($B39="","",SUM(S39:U39))</f>
        <v/>
      </c>
      <c r="W39" s="112" t="str">
        <f aca="false">IF($B39="","",R39-V39)</f>
        <v/>
      </c>
      <c r="X39" s="90" t="str">
        <f aca="false">IF($B39="","",الموظفون!$Q39*IF(E39="سعودي",cfg_G_SR,cfg_G_NR)*F39/cfg_DAYS_M)</f>
        <v/>
      </c>
      <c r="Y39" s="90" t="str">
        <f aca="false">IF($B39="","",الموظفون!$O39*(cfg_EOS_R1*(MIN(AC39,cfg_EOS_TH)-MIN(AD39,cfg_EOS_TH))+cfg_EOS_R2*(MAX(AC39-cfg_EOS_TH,0)-MAX(AD39-cfg_EOS_TH,0))))</f>
        <v/>
      </c>
      <c r="Z39" s="90" t="str">
        <f aca="false">IF($B39="","",IF(الموظفون!$R39&lt;&gt;"",الموظفون!$R39,IF(AC39&gt;=cfg_LV_TH,cfg_LV_D2,cfg_LV_D1))/cfg_DAYS_Y*AE39*الموظفون!$P39/cfg_DAYS_M)</f>
        <v/>
      </c>
      <c r="AA39" s="90" t="str">
        <f aca="false">IF($B39="","",IF(AND(الموظفون!$S39="نعم",N(الموظفون!$U39)&gt;0),الموظفون!$T39/الموظفون!$U39*12/cfg_DAYS_Y*AE39,0))</f>
        <v/>
      </c>
      <c r="AB39" s="113" t="str">
        <f aca="false">IF($B39="","",R39+SUM(X39:AA39))</f>
        <v/>
      </c>
      <c r="AC39" s="114" t="str">
        <f aca="false">IF($B39="","",MAX(0,IF(OR(الموظفون!$X39="",الموظفون!$X39&gt;$G$3),$G$3,الموظفون!$X39)-الموظفون!$H39+1)/cfg_DAYS_Y)</f>
        <v/>
      </c>
      <c r="AD39" s="114" t="str">
        <f aca="false">IF($B39="","",MAX(0,IF(OR(الموظفون!$X39="",الموظفون!$X39&gt;($E$3-1)),($E$3-1),الموظفون!$X39)-الموظفون!$H39+1)/cfg_DAYS_Y)</f>
        <v/>
      </c>
      <c r="AE39" s="115" t="str">
        <f aca="false">IF($B39="","",MAX(0,IF(OR(الموظفون!$X39="",الموظفون!$X39&gt;$G$3),$G$3,الموظفون!$X39)-MAX($E$3,الموظفون!$H39)+1))</f>
        <v/>
      </c>
    </row>
    <row r="40" customFormat="false" ht="15" hidden="false" customHeight="false" outlineLevel="0" collapsed="false">
      <c r="A40" s="83" t="str">
        <f aca="false">IF($B40="","",الموظفون!$A40)</f>
        <v/>
      </c>
      <c r="B40" s="74" t="str">
        <f aca="false">IF(الموظفون!$B40="","",الموظفون!$B40)</f>
        <v/>
      </c>
      <c r="C40" s="74" t="str">
        <f aca="false">IF($B40="","",الموظفون!$C40)</f>
        <v/>
      </c>
      <c r="D40" s="74" t="str">
        <f aca="false">IF($B40="","",الموظفون!$F40)</f>
        <v/>
      </c>
      <c r="E40" s="74" t="str">
        <f aca="false">IF($B40="","",الموظفون!$E40)</f>
        <v/>
      </c>
      <c r="F40" s="105" t="str">
        <f aca="false">IF($B40="","",IF(AE40&gt;=DAY($G$3),cfg_DAYS_M,MIN(AE40,cfg_DAYS_M)))</f>
        <v/>
      </c>
      <c r="G40" s="105" t="str">
        <f aca="false">IF($B40="","",SUMIFS('الحركات الشهرية'!$D$6:$D$1005,'الحركات الشهرية'!$B$6:$B$1005,$B40,'الحركات الشهرية'!$A$6:$A$1005,$C$3))</f>
        <v/>
      </c>
      <c r="H40" s="105" t="str">
        <f aca="false">IF($B40="","",SUMIFS('الحركات الشهرية'!$E$6:$E$1005,'الحركات الشهرية'!$B$6:$B$1005,$B40,'الحركات الشهرية'!$A$6:$A$1005,$C$3))</f>
        <v/>
      </c>
      <c r="I40" s="105" t="str">
        <f aca="false">IF($B40="","",MAX(0,F40-G40-H40))</f>
        <v/>
      </c>
      <c r="J40" s="86" t="str">
        <f aca="false">IF($B40="","",الموظفون!$J40*$I40/cfg_DAYS_M)</f>
        <v/>
      </c>
      <c r="K40" s="86" t="str">
        <f aca="false">IF($B40="","",الموظفون!$K40*$I40/cfg_DAYS_M)</f>
        <v/>
      </c>
      <c r="L40" s="86" t="str">
        <f aca="false">IF($B40="","",الموظفون!$L40*$I40/cfg_DAYS_M)</f>
        <v/>
      </c>
      <c r="M40" s="86" t="str">
        <f aca="false">IF($B40="","",الموظفون!$M40*$I40/cfg_DAYS_M)</f>
        <v/>
      </c>
      <c r="N40" s="105" t="str">
        <f aca="false">IF($B40="","",SUMIFS('الحركات الشهرية'!$F$6:$F$1005,'الحركات الشهرية'!$B$6:$B$1005,$B40,'الحركات الشهرية'!$A$6:$A$1005,$C$3))</f>
        <v/>
      </c>
      <c r="O40" s="86" t="str">
        <f aca="false">IF($B40="","",N40*(الموظفون!$N40+الموظفون!$J40*cfg_OT_P)/cfg_DAYS_M/cfg_HRS)</f>
        <v/>
      </c>
      <c r="P40" s="86" t="str">
        <f aca="false">IF($B40="","",SUMIFS('الحركات الشهرية'!$G$6:$G$1005,'الحركات الشهرية'!$B$6:$B$1005,$B40,'الحركات الشهرية'!$A$6:$A$1005,$C$3))</f>
        <v/>
      </c>
      <c r="Q40" s="86" t="str">
        <f aca="false">IF($B40="","",SUMIFS('الحركات الشهرية'!$H$6:$H$1005,'الحركات الشهرية'!$B$6:$B$1005,$B40,'الحركات الشهرية'!$A$6:$A$1005,$C$3))</f>
        <v/>
      </c>
      <c r="R40" s="106" t="str">
        <f aca="false">IF($B40="","",SUM(J40:M40)+SUM(O40:Q40))</f>
        <v/>
      </c>
      <c r="S40" s="86" t="str">
        <f aca="false">IF($B40="","",الموظفون!$Q40*IF(E40="سعودي",cfg_G_SE,cfg_G_NE)*F40/cfg_DAYS_M)</f>
        <v/>
      </c>
      <c r="T40" s="86" t="str">
        <f aca="false">IF($B40="","",SUMIFS('الحركات الشهرية'!$I$6:$I$1005,'الحركات الشهرية'!$B$6:$B$1005,$B40,'الحركات الشهرية'!$A$6:$A$1005,$C$3))</f>
        <v/>
      </c>
      <c r="U40" s="86" t="str">
        <f aca="false">IF($B40="","",SUMIFS('الحركات الشهرية'!$J$6:$J$1005,'الحركات الشهرية'!$B$6:$B$1005,$B40,'الحركات الشهرية'!$A$6:$A$1005,$C$3))</f>
        <v/>
      </c>
      <c r="V40" s="86" t="str">
        <f aca="false">IF($B40="","",SUM(S40:U40))</f>
        <v/>
      </c>
      <c r="W40" s="107" t="str">
        <f aca="false">IF($B40="","",R40-V40)</f>
        <v/>
      </c>
      <c r="X40" s="86" t="str">
        <f aca="false">IF($B40="","",الموظفون!$Q40*IF(E40="سعودي",cfg_G_SR,cfg_G_NR)*F40/cfg_DAYS_M)</f>
        <v/>
      </c>
      <c r="Y40" s="86" t="str">
        <f aca="false">IF($B40="","",الموظفون!$O40*(cfg_EOS_R1*(MIN(AC40,cfg_EOS_TH)-MIN(AD40,cfg_EOS_TH))+cfg_EOS_R2*(MAX(AC40-cfg_EOS_TH,0)-MAX(AD40-cfg_EOS_TH,0))))</f>
        <v/>
      </c>
      <c r="Z40" s="86" t="str">
        <f aca="false">IF($B40="","",IF(الموظفون!$R40&lt;&gt;"",الموظفون!$R40,IF(AC40&gt;=cfg_LV_TH,cfg_LV_D2,cfg_LV_D1))/cfg_DAYS_Y*AE40*الموظفون!$P40/cfg_DAYS_M)</f>
        <v/>
      </c>
      <c r="AA40" s="86" t="str">
        <f aca="false">IF($B40="","",IF(AND(الموظفون!$S40="نعم",N(الموظفون!$U40)&gt;0),الموظفون!$T40/الموظفون!$U40*12/cfg_DAYS_Y*AE40,0))</f>
        <v/>
      </c>
      <c r="AB40" s="108" t="str">
        <f aca="false">IF($B40="","",R40+SUM(X40:AA40))</f>
        <v/>
      </c>
      <c r="AC40" s="109" t="str">
        <f aca="false">IF($B40="","",MAX(0,IF(OR(الموظفون!$X40="",الموظفون!$X40&gt;$G$3),$G$3,الموظفون!$X40)-الموظفون!$H40+1)/cfg_DAYS_Y)</f>
        <v/>
      </c>
      <c r="AD40" s="109" t="str">
        <f aca="false">IF($B40="","",MAX(0,IF(OR(الموظفون!$X40="",الموظفون!$X40&gt;($E$3-1)),($E$3-1),الموظفون!$X40)-الموظفون!$H40+1)/cfg_DAYS_Y)</f>
        <v/>
      </c>
      <c r="AE40" s="51" t="str">
        <f aca="false">IF($B40="","",MAX(0,IF(OR(الموظفون!$X40="",الموظفون!$X40&gt;$G$3),$G$3,الموظفون!$X40)-MAX($E$3,الموظفون!$H40)+1))</f>
        <v/>
      </c>
    </row>
    <row r="41" customFormat="false" ht="15" hidden="false" customHeight="false" outlineLevel="0" collapsed="false">
      <c r="A41" s="89" t="str">
        <f aca="false">IF($B41="","",الموظفون!$A41)</f>
        <v/>
      </c>
      <c r="B41" s="91" t="str">
        <f aca="false">IF(الموظفون!$B41="","",الموظفون!$B41)</f>
        <v/>
      </c>
      <c r="C41" s="91" t="str">
        <f aca="false">IF($B41="","",الموظفون!$C41)</f>
        <v/>
      </c>
      <c r="D41" s="91" t="str">
        <f aca="false">IF($B41="","",الموظفون!$F41)</f>
        <v/>
      </c>
      <c r="E41" s="91" t="str">
        <f aca="false">IF($B41="","",الموظفون!$E41)</f>
        <v/>
      </c>
      <c r="F41" s="110" t="str">
        <f aca="false">IF($B41="","",IF(AE41&gt;=DAY($G$3),cfg_DAYS_M,MIN(AE41,cfg_DAYS_M)))</f>
        <v/>
      </c>
      <c r="G41" s="110" t="str">
        <f aca="false">IF($B41="","",SUMIFS('الحركات الشهرية'!$D$6:$D$1005,'الحركات الشهرية'!$B$6:$B$1005,$B41,'الحركات الشهرية'!$A$6:$A$1005,$C$3))</f>
        <v/>
      </c>
      <c r="H41" s="110" t="str">
        <f aca="false">IF($B41="","",SUMIFS('الحركات الشهرية'!$E$6:$E$1005,'الحركات الشهرية'!$B$6:$B$1005,$B41,'الحركات الشهرية'!$A$6:$A$1005,$C$3))</f>
        <v/>
      </c>
      <c r="I41" s="110" t="str">
        <f aca="false">IF($B41="","",MAX(0,F41-G41-H41))</f>
        <v/>
      </c>
      <c r="J41" s="90" t="str">
        <f aca="false">IF($B41="","",الموظفون!$J41*$I41/cfg_DAYS_M)</f>
        <v/>
      </c>
      <c r="K41" s="90" t="str">
        <f aca="false">IF($B41="","",الموظفون!$K41*$I41/cfg_DAYS_M)</f>
        <v/>
      </c>
      <c r="L41" s="90" t="str">
        <f aca="false">IF($B41="","",الموظفون!$L41*$I41/cfg_DAYS_M)</f>
        <v/>
      </c>
      <c r="M41" s="90" t="str">
        <f aca="false">IF($B41="","",الموظفون!$M41*$I41/cfg_DAYS_M)</f>
        <v/>
      </c>
      <c r="N41" s="110" t="str">
        <f aca="false">IF($B41="","",SUMIFS('الحركات الشهرية'!$F$6:$F$1005,'الحركات الشهرية'!$B$6:$B$1005,$B41,'الحركات الشهرية'!$A$6:$A$1005,$C$3))</f>
        <v/>
      </c>
      <c r="O41" s="90" t="str">
        <f aca="false">IF($B41="","",N41*(الموظفون!$N41+الموظفون!$J41*cfg_OT_P)/cfg_DAYS_M/cfg_HRS)</f>
        <v/>
      </c>
      <c r="P41" s="90" t="str">
        <f aca="false">IF($B41="","",SUMIFS('الحركات الشهرية'!$G$6:$G$1005,'الحركات الشهرية'!$B$6:$B$1005,$B41,'الحركات الشهرية'!$A$6:$A$1005,$C$3))</f>
        <v/>
      </c>
      <c r="Q41" s="90" t="str">
        <f aca="false">IF($B41="","",SUMIFS('الحركات الشهرية'!$H$6:$H$1005,'الحركات الشهرية'!$B$6:$B$1005,$B41,'الحركات الشهرية'!$A$6:$A$1005,$C$3))</f>
        <v/>
      </c>
      <c r="R41" s="111" t="str">
        <f aca="false">IF($B41="","",SUM(J41:M41)+SUM(O41:Q41))</f>
        <v/>
      </c>
      <c r="S41" s="90" t="str">
        <f aca="false">IF($B41="","",الموظفون!$Q41*IF(E41="سعودي",cfg_G_SE,cfg_G_NE)*F41/cfg_DAYS_M)</f>
        <v/>
      </c>
      <c r="T41" s="90" t="str">
        <f aca="false">IF($B41="","",SUMIFS('الحركات الشهرية'!$I$6:$I$1005,'الحركات الشهرية'!$B$6:$B$1005,$B41,'الحركات الشهرية'!$A$6:$A$1005,$C$3))</f>
        <v/>
      </c>
      <c r="U41" s="90" t="str">
        <f aca="false">IF($B41="","",SUMIFS('الحركات الشهرية'!$J$6:$J$1005,'الحركات الشهرية'!$B$6:$B$1005,$B41,'الحركات الشهرية'!$A$6:$A$1005,$C$3))</f>
        <v/>
      </c>
      <c r="V41" s="90" t="str">
        <f aca="false">IF($B41="","",SUM(S41:U41))</f>
        <v/>
      </c>
      <c r="W41" s="112" t="str">
        <f aca="false">IF($B41="","",R41-V41)</f>
        <v/>
      </c>
      <c r="X41" s="90" t="str">
        <f aca="false">IF($B41="","",الموظفون!$Q41*IF(E41="سعودي",cfg_G_SR,cfg_G_NR)*F41/cfg_DAYS_M)</f>
        <v/>
      </c>
      <c r="Y41" s="90" t="str">
        <f aca="false">IF($B41="","",الموظفون!$O41*(cfg_EOS_R1*(MIN(AC41,cfg_EOS_TH)-MIN(AD41,cfg_EOS_TH))+cfg_EOS_R2*(MAX(AC41-cfg_EOS_TH,0)-MAX(AD41-cfg_EOS_TH,0))))</f>
        <v/>
      </c>
      <c r="Z41" s="90" t="str">
        <f aca="false">IF($B41="","",IF(الموظفون!$R41&lt;&gt;"",الموظفون!$R41,IF(AC41&gt;=cfg_LV_TH,cfg_LV_D2,cfg_LV_D1))/cfg_DAYS_Y*AE41*الموظفون!$P41/cfg_DAYS_M)</f>
        <v/>
      </c>
      <c r="AA41" s="90" t="str">
        <f aca="false">IF($B41="","",IF(AND(الموظفون!$S41="نعم",N(الموظفون!$U41)&gt;0),الموظفون!$T41/الموظفون!$U41*12/cfg_DAYS_Y*AE41,0))</f>
        <v/>
      </c>
      <c r="AB41" s="113" t="str">
        <f aca="false">IF($B41="","",R41+SUM(X41:AA41))</f>
        <v/>
      </c>
      <c r="AC41" s="114" t="str">
        <f aca="false">IF($B41="","",MAX(0,IF(OR(الموظفون!$X41="",الموظفون!$X41&gt;$G$3),$G$3,الموظفون!$X41)-الموظفون!$H41+1)/cfg_DAYS_Y)</f>
        <v/>
      </c>
      <c r="AD41" s="114" t="str">
        <f aca="false">IF($B41="","",MAX(0,IF(OR(الموظفون!$X41="",الموظفون!$X41&gt;($E$3-1)),($E$3-1),الموظفون!$X41)-الموظفون!$H41+1)/cfg_DAYS_Y)</f>
        <v/>
      </c>
      <c r="AE41" s="115" t="str">
        <f aca="false">IF($B41="","",MAX(0,IF(OR(الموظفون!$X41="",الموظفون!$X41&gt;$G$3),$G$3,الموظفون!$X41)-MAX($E$3,الموظفون!$H41)+1))</f>
        <v/>
      </c>
    </row>
    <row r="42" customFormat="false" ht="15" hidden="false" customHeight="false" outlineLevel="0" collapsed="false">
      <c r="A42" s="83" t="str">
        <f aca="false">IF($B42="","",الموظفون!$A42)</f>
        <v/>
      </c>
      <c r="B42" s="74" t="str">
        <f aca="false">IF(الموظفون!$B42="","",الموظفون!$B42)</f>
        <v/>
      </c>
      <c r="C42" s="74" t="str">
        <f aca="false">IF($B42="","",الموظفون!$C42)</f>
        <v/>
      </c>
      <c r="D42" s="74" t="str">
        <f aca="false">IF($B42="","",الموظفون!$F42)</f>
        <v/>
      </c>
      <c r="E42" s="74" t="str">
        <f aca="false">IF($B42="","",الموظفون!$E42)</f>
        <v/>
      </c>
      <c r="F42" s="105" t="str">
        <f aca="false">IF($B42="","",IF(AE42&gt;=DAY($G$3),cfg_DAYS_M,MIN(AE42,cfg_DAYS_M)))</f>
        <v/>
      </c>
      <c r="G42" s="105" t="str">
        <f aca="false">IF($B42="","",SUMIFS('الحركات الشهرية'!$D$6:$D$1005,'الحركات الشهرية'!$B$6:$B$1005,$B42,'الحركات الشهرية'!$A$6:$A$1005,$C$3))</f>
        <v/>
      </c>
      <c r="H42" s="105" t="str">
        <f aca="false">IF($B42="","",SUMIFS('الحركات الشهرية'!$E$6:$E$1005,'الحركات الشهرية'!$B$6:$B$1005,$B42,'الحركات الشهرية'!$A$6:$A$1005,$C$3))</f>
        <v/>
      </c>
      <c r="I42" s="105" t="str">
        <f aca="false">IF($B42="","",MAX(0,F42-G42-H42))</f>
        <v/>
      </c>
      <c r="J42" s="86" t="str">
        <f aca="false">IF($B42="","",الموظفون!$J42*$I42/cfg_DAYS_M)</f>
        <v/>
      </c>
      <c r="K42" s="86" t="str">
        <f aca="false">IF($B42="","",الموظفون!$K42*$I42/cfg_DAYS_M)</f>
        <v/>
      </c>
      <c r="L42" s="86" t="str">
        <f aca="false">IF($B42="","",الموظفون!$L42*$I42/cfg_DAYS_M)</f>
        <v/>
      </c>
      <c r="M42" s="86" t="str">
        <f aca="false">IF($B42="","",الموظفون!$M42*$I42/cfg_DAYS_M)</f>
        <v/>
      </c>
      <c r="N42" s="105" t="str">
        <f aca="false">IF($B42="","",SUMIFS('الحركات الشهرية'!$F$6:$F$1005,'الحركات الشهرية'!$B$6:$B$1005,$B42,'الحركات الشهرية'!$A$6:$A$1005,$C$3))</f>
        <v/>
      </c>
      <c r="O42" s="86" t="str">
        <f aca="false">IF($B42="","",N42*(الموظفون!$N42+الموظفون!$J42*cfg_OT_P)/cfg_DAYS_M/cfg_HRS)</f>
        <v/>
      </c>
      <c r="P42" s="86" t="str">
        <f aca="false">IF($B42="","",SUMIFS('الحركات الشهرية'!$G$6:$G$1005,'الحركات الشهرية'!$B$6:$B$1005,$B42,'الحركات الشهرية'!$A$6:$A$1005,$C$3))</f>
        <v/>
      </c>
      <c r="Q42" s="86" t="str">
        <f aca="false">IF($B42="","",SUMIFS('الحركات الشهرية'!$H$6:$H$1005,'الحركات الشهرية'!$B$6:$B$1005,$B42,'الحركات الشهرية'!$A$6:$A$1005,$C$3))</f>
        <v/>
      </c>
      <c r="R42" s="106" t="str">
        <f aca="false">IF($B42="","",SUM(J42:M42)+SUM(O42:Q42))</f>
        <v/>
      </c>
      <c r="S42" s="86" t="str">
        <f aca="false">IF($B42="","",الموظفون!$Q42*IF(E42="سعودي",cfg_G_SE,cfg_G_NE)*F42/cfg_DAYS_M)</f>
        <v/>
      </c>
      <c r="T42" s="86" t="str">
        <f aca="false">IF($B42="","",SUMIFS('الحركات الشهرية'!$I$6:$I$1005,'الحركات الشهرية'!$B$6:$B$1005,$B42,'الحركات الشهرية'!$A$6:$A$1005,$C$3))</f>
        <v/>
      </c>
      <c r="U42" s="86" t="str">
        <f aca="false">IF($B42="","",SUMIFS('الحركات الشهرية'!$J$6:$J$1005,'الحركات الشهرية'!$B$6:$B$1005,$B42,'الحركات الشهرية'!$A$6:$A$1005,$C$3))</f>
        <v/>
      </c>
      <c r="V42" s="86" t="str">
        <f aca="false">IF($B42="","",SUM(S42:U42))</f>
        <v/>
      </c>
      <c r="W42" s="107" t="str">
        <f aca="false">IF($B42="","",R42-V42)</f>
        <v/>
      </c>
      <c r="X42" s="86" t="str">
        <f aca="false">IF($B42="","",الموظفون!$Q42*IF(E42="سعودي",cfg_G_SR,cfg_G_NR)*F42/cfg_DAYS_M)</f>
        <v/>
      </c>
      <c r="Y42" s="86" t="str">
        <f aca="false">IF($B42="","",الموظفون!$O42*(cfg_EOS_R1*(MIN(AC42,cfg_EOS_TH)-MIN(AD42,cfg_EOS_TH))+cfg_EOS_R2*(MAX(AC42-cfg_EOS_TH,0)-MAX(AD42-cfg_EOS_TH,0))))</f>
        <v/>
      </c>
      <c r="Z42" s="86" t="str">
        <f aca="false">IF($B42="","",IF(الموظفون!$R42&lt;&gt;"",الموظفون!$R42,IF(AC42&gt;=cfg_LV_TH,cfg_LV_D2,cfg_LV_D1))/cfg_DAYS_Y*AE42*الموظفون!$P42/cfg_DAYS_M)</f>
        <v/>
      </c>
      <c r="AA42" s="86" t="str">
        <f aca="false">IF($B42="","",IF(AND(الموظفون!$S42="نعم",N(الموظفون!$U42)&gt;0),الموظفون!$T42/الموظفون!$U42*12/cfg_DAYS_Y*AE42,0))</f>
        <v/>
      </c>
      <c r="AB42" s="108" t="str">
        <f aca="false">IF($B42="","",R42+SUM(X42:AA42))</f>
        <v/>
      </c>
      <c r="AC42" s="109" t="str">
        <f aca="false">IF($B42="","",MAX(0,IF(OR(الموظفون!$X42="",الموظفون!$X42&gt;$G$3),$G$3,الموظفون!$X42)-الموظفون!$H42+1)/cfg_DAYS_Y)</f>
        <v/>
      </c>
      <c r="AD42" s="109" t="str">
        <f aca="false">IF($B42="","",MAX(0,IF(OR(الموظفون!$X42="",الموظفون!$X42&gt;($E$3-1)),($E$3-1),الموظفون!$X42)-الموظفون!$H42+1)/cfg_DAYS_Y)</f>
        <v/>
      </c>
      <c r="AE42" s="51" t="str">
        <f aca="false">IF($B42="","",MAX(0,IF(OR(الموظفون!$X42="",الموظفون!$X42&gt;$G$3),$G$3,الموظفون!$X42)-MAX($E$3,الموظفون!$H42)+1))</f>
        <v/>
      </c>
    </row>
    <row r="43" customFormat="false" ht="15" hidden="false" customHeight="false" outlineLevel="0" collapsed="false">
      <c r="A43" s="89" t="str">
        <f aca="false">IF($B43="","",الموظفون!$A43)</f>
        <v/>
      </c>
      <c r="B43" s="91" t="str">
        <f aca="false">IF(الموظفون!$B43="","",الموظفون!$B43)</f>
        <v/>
      </c>
      <c r="C43" s="91" t="str">
        <f aca="false">IF($B43="","",الموظفون!$C43)</f>
        <v/>
      </c>
      <c r="D43" s="91" t="str">
        <f aca="false">IF($B43="","",الموظفون!$F43)</f>
        <v/>
      </c>
      <c r="E43" s="91" t="str">
        <f aca="false">IF($B43="","",الموظفون!$E43)</f>
        <v/>
      </c>
      <c r="F43" s="110" t="str">
        <f aca="false">IF($B43="","",IF(AE43&gt;=DAY($G$3),cfg_DAYS_M,MIN(AE43,cfg_DAYS_M)))</f>
        <v/>
      </c>
      <c r="G43" s="110" t="str">
        <f aca="false">IF($B43="","",SUMIFS('الحركات الشهرية'!$D$6:$D$1005,'الحركات الشهرية'!$B$6:$B$1005,$B43,'الحركات الشهرية'!$A$6:$A$1005,$C$3))</f>
        <v/>
      </c>
      <c r="H43" s="110" t="str">
        <f aca="false">IF($B43="","",SUMIFS('الحركات الشهرية'!$E$6:$E$1005,'الحركات الشهرية'!$B$6:$B$1005,$B43,'الحركات الشهرية'!$A$6:$A$1005,$C$3))</f>
        <v/>
      </c>
      <c r="I43" s="110" t="str">
        <f aca="false">IF($B43="","",MAX(0,F43-G43-H43))</f>
        <v/>
      </c>
      <c r="J43" s="90" t="str">
        <f aca="false">IF($B43="","",الموظفون!$J43*$I43/cfg_DAYS_M)</f>
        <v/>
      </c>
      <c r="K43" s="90" t="str">
        <f aca="false">IF($B43="","",الموظفون!$K43*$I43/cfg_DAYS_M)</f>
        <v/>
      </c>
      <c r="L43" s="90" t="str">
        <f aca="false">IF($B43="","",الموظفون!$L43*$I43/cfg_DAYS_M)</f>
        <v/>
      </c>
      <c r="M43" s="90" t="str">
        <f aca="false">IF($B43="","",الموظفون!$M43*$I43/cfg_DAYS_M)</f>
        <v/>
      </c>
      <c r="N43" s="110" t="str">
        <f aca="false">IF($B43="","",SUMIFS('الحركات الشهرية'!$F$6:$F$1005,'الحركات الشهرية'!$B$6:$B$1005,$B43,'الحركات الشهرية'!$A$6:$A$1005,$C$3))</f>
        <v/>
      </c>
      <c r="O43" s="90" t="str">
        <f aca="false">IF($B43="","",N43*(الموظفون!$N43+الموظفون!$J43*cfg_OT_P)/cfg_DAYS_M/cfg_HRS)</f>
        <v/>
      </c>
      <c r="P43" s="90" t="str">
        <f aca="false">IF($B43="","",SUMIFS('الحركات الشهرية'!$G$6:$G$1005,'الحركات الشهرية'!$B$6:$B$1005,$B43,'الحركات الشهرية'!$A$6:$A$1005,$C$3))</f>
        <v/>
      </c>
      <c r="Q43" s="90" t="str">
        <f aca="false">IF($B43="","",SUMIFS('الحركات الشهرية'!$H$6:$H$1005,'الحركات الشهرية'!$B$6:$B$1005,$B43,'الحركات الشهرية'!$A$6:$A$1005,$C$3))</f>
        <v/>
      </c>
      <c r="R43" s="111" t="str">
        <f aca="false">IF($B43="","",SUM(J43:M43)+SUM(O43:Q43))</f>
        <v/>
      </c>
      <c r="S43" s="90" t="str">
        <f aca="false">IF($B43="","",الموظفون!$Q43*IF(E43="سعودي",cfg_G_SE,cfg_G_NE)*F43/cfg_DAYS_M)</f>
        <v/>
      </c>
      <c r="T43" s="90" t="str">
        <f aca="false">IF($B43="","",SUMIFS('الحركات الشهرية'!$I$6:$I$1005,'الحركات الشهرية'!$B$6:$B$1005,$B43,'الحركات الشهرية'!$A$6:$A$1005,$C$3))</f>
        <v/>
      </c>
      <c r="U43" s="90" t="str">
        <f aca="false">IF($B43="","",SUMIFS('الحركات الشهرية'!$J$6:$J$1005,'الحركات الشهرية'!$B$6:$B$1005,$B43,'الحركات الشهرية'!$A$6:$A$1005,$C$3))</f>
        <v/>
      </c>
      <c r="V43" s="90" t="str">
        <f aca="false">IF($B43="","",SUM(S43:U43))</f>
        <v/>
      </c>
      <c r="W43" s="112" t="str">
        <f aca="false">IF($B43="","",R43-V43)</f>
        <v/>
      </c>
      <c r="X43" s="90" t="str">
        <f aca="false">IF($B43="","",الموظفون!$Q43*IF(E43="سعودي",cfg_G_SR,cfg_G_NR)*F43/cfg_DAYS_M)</f>
        <v/>
      </c>
      <c r="Y43" s="90" t="str">
        <f aca="false">IF($B43="","",الموظفون!$O43*(cfg_EOS_R1*(MIN(AC43,cfg_EOS_TH)-MIN(AD43,cfg_EOS_TH))+cfg_EOS_R2*(MAX(AC43-cfg_EOS_TH,0)-MAX(AD43-cfg_EOS_TH,0))))</f>
        <v/>
      </c>
      <c r="Z43" s="90" t="str">
        <f aca="false">IF($B43="","",IF(الموظفون!$R43&lt;&gt;"",الموظفون!$R43,IF(AC43&gt;=cfg_LV_TH,cfg_LV_D2,cfg_LV_D1))/cfg_DAYS_Y*AE43*الموظفون!$P43/cfg_DAYS_M)</f>
        <v/>
      </c>
      <c r="AA43" s="90" t="str">
        <f aca="false">IF($B43="","",IF(AND(الموظفون!$S43="نعم",N(الموظفون!$U43)&gt;0),الموظفون!$T43/الموظفون!$U43*12/cfg_DAYS_Y*AE43,0))</f>
        <v/>
      </c>
      <c r="AB43" s="113" t="str">
        <f aca="false">IF($B43="","",R43+SUM(X43:AA43))</f>
        <v/>
      </c>
      <c r="AC43" s="114" t="str">
        <f aca="false">IF($B43="","",MAX(0,IF(OR(الموظفون!$X43="",الموظفون!$X43&gt;$G$3),$G$3,الموظفون!$X43)-الموظفون!$H43+1)/cfg_DAYS_Y)</f>
        <v/>
      </c>
      <c r="AD43" s="114" t="str">
        <f aca="false">IF($B43="","",MAX(0,IF(OR(الموظفون!$X43="",الموظفون!$X43&gt;($E$3-1)),($E$3-1),الموظفون!$X43)-الموظفون!$H43+1)/cfg_DAYS_Y)</f>
        <v/>
      </c>
      <c r="AE43" s="115" t="str">
        <f aca="false">IF($B43="","",MAX(0,IF(OR(الموظفون!$X43="",الموظفون!$X43&gt;$G$3),$G$3,الموظفون!$X43)-MAX($E$3,الموظفون!$H43)+1))</f>
        <v/>
      </c>
    </row>
    <row r="44" customFormat="false" ht="15" hidden="false" customHeight="false" outlineLevel="0" collapsed="false">
      <c r="A44" s="83" t="str">
        <f aca="false">IF($B44="","",الموظفون!$A44)</f>
        <v/>
      </c>
      <c r="B44" s="74" t="str">
        <f aca="false">IF(الموظفون!$B44="","",الموظفون!$B44)</f>
        <v/>
      </c>
      <c r="C44" s="74" t="str">
        <f aca="false">IF($B44="","",الموظفون!$C44)</f>
        <v/>
      </c>
      <c r="D44" s="74" t="str">
        <f aca="false">IF($B44="","",الموظفون!$F44)</f>
        <v/>
      </c>
      <c r="E44" s="74" t="str">
        <f aca="false">IF($B44="","",الموظفون!$E44)</f>
        <v/>
      </c>
      <c r="F44" s="105" t="str">
        <f aca="false">IF($B44="","",IF(AE44&gt;=DAY($G$3),cfg_DAYS_M,MIN(AE44,cfg_DAYS_M)))</f>
        <v/>
      </c>
      <c r="G44" s="105" t="str">
        <f aca="false">IF($B44="","",SUMIFS('الحركات الشهرية'!$D$6:$D$1005,'الحركات الشهرية'!$B$6:$B$1005,$B44,'الحركات الشهرية'!$A$6:$A$1005,$C$3))</f>
        <v/>
      </c>
      <c r="H44" s="105" t="str">
        <f aca="false">IF($B44="","",SUMIFS('الحركات الشهرية'!$E$6:$E$1005,'الحركات الشهرية'!$B$6:$B$1005,$B44,'الحركات الشهرية'!$A$6:$A$1005,$C$3))</f>
        <v/>
      </c>
      <c r="I44" s="105" t="str">
        <f aca="false">IF($B44="","",MAX(0,F44-G44-H44))</f>
        <v/>
      </c>
      <c r="J44" s="86" t="str">
        <f aca="false">IF($B44="","",الموظفون!$J44*$I44/cfg_DAYS_M)</f>
        <v/>
      </c>
      <c r="K44" s="86" t="str">
        <f aca="false">IF($B44="","",الموظفون!$K44*$I44/cfg_DAYS_M)</f>
        <v/>
      </c>
      <c r="L44" s="86" t="str">
        <f aca="false">IF($B44="","",الموظفون!$L44*$I44/cfg_DAYS_M)</f>
        <v/>
      </c>
      <c r="M44" s="86" t="str">
        <f aca="false">IF($B44="","",الموظفون!$M44*$I44/cfg_DAYS_M)</f>
        <v/>
      </c>
      <c r="N44" s="105" t="str">
        <f aca="false">IF($B44="","",SUMIFS('الحركات الشهرية'!$F$6:$F$1005,'الحركات الشهرية'!$B$6:$B$1005,$B44,'الحركات الشهرية'!$A$6:$A$1005,$C$3))</f>
        <v/>
      </c>
      <c r="O44" s="86" t="str">
        <f aca="false">IF($B44="","",N44*(الموظفون!$N44+الموظفون!$J44*cfg_OT_P)/cfg_DAYS_M/cfg_HRS)</f>
        <v/>
      </c>
      <c r="P44" s="86" t="str">
        <f aca="false">IF($B44="","",SUMIFS('الحركات الشهرية'!$G$6:$G$1005,'الحركات الشهرية'!$B$6:$B$1005,$B44,'الحركات الشهرية'!$A$6:$A$1005,$C$3))</f>
        <v/>
      </c>
      <c r="Q44" s="86" t="str">
        <f aca="false">IF($B44="","",SUMIFS('الحركات الشهرية'!$H$6:$H$1005,'الحركات الشهرية'!$B$6:$B$1005,$B44,'الحركات الشهرية'!$A$6:$A$1005,$C$3))</f>
        <v/>
      </c>
      <c r="R44" s="106" t="str">
        <f aca="false">IF($B44="","",SUM(J44:M44)+SUM(O44:Q44))</f>
        <v/>
      </c>
      <c r="S44" s="86" t="str">
        <f aca="false">IF($B44="","",الموظفون!$Q44*IF(E44="سعودي",cfg_G_SE,cfg_G_NE)*F44/cfg_DAYS_M)</f>
        <v/>
      </c>
      <c r="T44" s="86" t="str">
        <f aca="false">IF($B44="","",SUMIFS('الحركات الشهرية'!$I$6:$I$1005,'الحركات الشهرية'!$B$6:$B$1005,$B44,'الحركات الشهرية'!$A$6:$A$1005,$C$3))</f>
        <v/>
      </c>
      <c r="U44" s="86" t="str">
        <f aca="false">IF($B44="","",SUMIFS('الحركات الشهرية'!$J$6:$J$1005,'الحركات الشهرية'!$B$6:$B$1005,$B44,'الحركات الشهرية'!$A$6:$A$1005,$C$3))</f>
        <v/>
      </c>
      <c r="V44" s="86" t="str">
        <f aca="false">IF($B44="","",SUM(S44:U44))</f>
        <v/>
      </c>
      <c r="W44" s="107" t="str">
        <f aca="false">IF($B44="","",R44-V44)</f>
        <v/>
      </c>
      <c r="X44" s="86" t="str">
        <f aca="false">IF($B44="","",الموظفون!$Q44*IF(E44="سعودي",cfg_G_SR,cfg_G_NR)*F44/cfg_DAYS_M)</f>
        <v/>
      </c>
      <c r="Y44" s="86" t="str">
        <f aca="false">IF($B44="","",الموظفون!$O44*(cfg_EOS_R1*(MIN(AC44,cfg_EOS_TH)-MIN(AD44,cfg_EOS_TH))+cfg_EOS_R2*(MAX(AC44-cfg_EOS_TH,0)-MAX(AD44-cfg_EOS_TH,0))))</f>
        <v/>
      </c>
      <c r="Z44" s="86" t="str">
        <f aca="false">IF($B44="","",IF(الموظفون!$R44&lt;&gt;"",الموظفون!$R44,IF(AC44&gt;=cfg_LV_TH,cfg_LV_D2,cfg_LV_D1))/cfg_DAYS_Y*AE44*الموظفون!$P44/cfg_DAYS_M)</f>
        <v/>
      </c>
      <c r="AA44" s="86" t="str">
        <f aca="false">IF($B44="","",IF(AND(الموظفون!$S44="نعم",N(الموظفون!$U44)&gt;0),الموظفون!$T44/الموظفون!$U44*12/cfg_DAYS_Y*AE44,0))</f>
        <v/>
      </c>
      <c r="AB44" s="108" t="str">
        <f aca="false">IF($B44="","",R44+SUM(X44:AA44))</f>
        <v/>
      </c>
      <c r="AC44" s="109" t="str">
        <f aca="false">IF($B44="","",MAX(0,IF(OR(الموظفون!$X44="",الموظفون!$X44&gt;$G$3),$G$3,الموظفون!$X44)-الموظفون!$H44+1)/cfg_DAYS_Y)</f>
        <v/>
      </c>
      <c r="AD44" s="109" t="str">
        <f aca="false">IF($B44="","",MAX(0,IF(OR(الموظفون!$X44="",الموظفون!$X44&gt;($E$3-1)),($E$3-1),الموظفون!$X44)-الموظفون!$H44+1)/cfg_DAYS_Y)</f>
        <v/>
      </c>
      <c r="AE44" s="51" t="str">
        <f aca="false">IF($B44="","",MAX(0,IF(OR(الموظفون!$X44="",الموظفون!$X44&gt;$G$3),$G$3,الموظفون!$X44)-MAX($E$3,الموظفون!$H44)+1))</f>
        <v/>
      </c>
    </row>
    <row r="45" customFormat="false" ht="15" hidden="false" customHeight="false" outlineLevel="0" collapsed="false">
      <c r="A45" s="89" t="str">
        <f aca="false">IF($B45="","",الموظفون!$A45)</f>
        <v/>
      </c>
      <c r="B45" s="91" t="str">
        <f aca="false">IF(الموظفون!$B45="","",الموظفون!$B45)</f>
        <v/>
      </c>
      <c r="C45" s="91" t="str">
        <f aca="false">IF($B45="","",الموظفون!$C45)</f>
        <v/>
      </c>
      <c r="D45" s="91" t="str">
        <f aca="false">IF($B45="","",الموظفون!$F45)</f>
        <v/>
      </c>
      <c r="E45" s="91" t="str">
        <f aca="false">IF($B45="","",الموظفون!$E45)</f>
        <v/>
      </c>
      <c r="F45" s="110" t="str">
        <f aca="false">IF($B45="","",IF(AE45&gt;=DAY($G$3),cfg_DAYS_M,MIN(AE45,cfg_DAYS_M)))</f>
        <v/>
      </c>
      <c r="G45" s="110" t="str">
        <f aca="false">IF($B45="","",SUMIFS('الحركات الشهرية'!$D$6:$D$1005,'الحركات الشهرية'!$B$6:$B$1005,$B45,'الحركات الشهرية'!$A$6:$A$1005,$C$3))</f>
        <v/>
      </c>
      <c r="H45" s="110" t="str">
        <f aca="false">IF($B45="","",SUMIFS('الحركات الشهرية'!$E$6:$E$1005,'الحركات الشهرية'!$B$6:$B$1005,$B45,'الحركات الشهرية'!$A$6:$A$1005,$C$3))</f>
        <v/>
      </c>
      <c r="I45" s="110" t="str">
        <f aca="false">IF($B45="","",MAX(0,F45-G45-H45))</f>
        <v/>
      </c>
      <c r="J45" s="90" t="str">
        <f aca="false">IF($B45="","",الموظفون!$J45*$I45/cfg_DAYS_M)</f>
        <v/>
      </c>
      <c r="K45" s="90" t="str">
        <f aca="false">IF($B45="","",الموظفون!$K45*$I45/cfg_DAYS_M)</f>
        <v/>
      </c>
      <c r="L45" s="90" t="str">
        <f aca="false">IF($B45="","",الموظفون!$L45*$I45/cfg_DAYS_M)</f>
        <v/>
      </c>
      <c r="M45" s="90" t="str">
        <f aca="false">IF($B45="","",الموظفون!$M45*$I45/cfg_DAYS_M)</f>
        <v/>
      </c>
      <c r="N45" s="110" t="str">
        <f aca="false">IF($B45="","",SUMIFS('الحركات الشهرية'!$F$6:$F$1005,'الحركات الشهرية'!$B$6:$B$1005,$B45,'الحركات الشهرية'!$A$6:$A$1005,$C$3))</f>
        <v/>
      </c>
      <c r="O45" s="90" t="str">
        <f aca="false">IF($B45="","",N45*(الموظفون!$N45+الموظفون!$J45*cfg_OT_P)/cfg_DAYS_M/cfg_HRS)</f>
        <v/>
      </c>
      <c r="P45" s="90" t="str">
        <f aca="false">IF($B45="","",SUMIFS('الحركات الشهرية'!$G$6:$G$1005,'الحركات الشهرية'!$B$6:$B$1005,$B45,'الحركات الشهرية'!$A$6:$A$1005,$C$3))</f>
        <v/>
      </c>
      <c r="Q45" s="90" t="str">
        <f aca="false">IF($B45="","",SUMIFS('الحركات الشهرية'!$H$6:$H$1005,'الحركات الشهرية'!$B$6:$B$1005,$B45,'الحركات الشهرية'!$A$6:$A$1005,$C$3))</f>
        <v/>
      </c>
      <c r="R45" s="111" t="str">
        <f aca="false">IF($B45="","",SUM(J45:M45)+SUM(O45:Q45))</f>
        <v/>
      </c>
      <c r="S45" s="90" t="str">
        <f aca="false">IF($B45="","",الموظفون!$Q45*IF(E45="سعودي",cfg_G_SE,cfg_G_NE)*F45/cfg_DAYS_M)</f>
        <v/>
      </c>
      <c r="T45" s="90" t="str">
        <f aca="false">IF($B45="","",SUMIFS('الحركات الشهرية'!$I$6:$I$1005,'الحركات الشهرية'!$B$6:$B$1005,$B45,'الحركات الشهرية'!$A$6:$A$1005,$C$3))</f>
        <v/>
      </c>
      <c r="U45" s="90" t="str">
        <f aca="false">IF($B45="","",SUMIFS('الحركات الشهرية'!$J$6:$J$1005,'الحركات الشهرية'!$B$6:$B$1005,$B45,'الحركات الشهرية'!$A$6:$A$1005,$C$3))</f>
        <v/>
      </c>
      <c r="V45" s="90" t="str">
        <f aca="false">IF($B45="","",SUM(S45:U45))</f>
        <v/>
      </c>
      <c r="W45" s="112" t="str">
        <f aca="false">IF($B45="","",R45-V45)</f>
        <v/>
      </c>
      <c r="X45" s="90" t="str">
        <f aca="false">IF($B45="","",الموظفون!$Q45*IF(E45="سعودي",cfg_G_SR,cfg_G_NR)*F45/cfg_DAYS_M)</f>
        <v/>
      </c>
      <c r="Y45" s="90" t="str">
        <f aca="false">IF($B45="","",الموظفون!$O45*(cfg_EOS_R1*(MIN(AC45,cfg_EOS_TH)-MIN(AD45,cfg_EOS_TH))+cfg_EOS_R2*(MAX(AC45-cfg_EOS_TH,0)-MAX(AD45-cfg_EOS_TH,0))))</f>
        <v/>
      </c>
      <c r="Z45" s="90" t="str">
        <f aca="false">IF($B45="","",IF(الموظفون!$R45&lt;&gt;"",الموظفون!$R45,IF(AC45&gt;=cfg_LV_TH,cfg_LV_D2,cfg_LV_D1))/cfg_DAYS_Y*AE45*الموظفون!$P45/cfg_DAYS_M)</f>
        <v/>
      </c>
      <c r="AA45" s="90" t="str">
        <f aca="false">IF($B45="","",IF(AND(الموظفون!$S45="نعم",N(الموظفون!$U45)&gt;0),الموظفون!$T45/الموظفون!$U45*12/cfg_DAYS_Y*AE45,0))</f>
        <v/>
      </c>
      <c r="AB45" s="113" t="str">
        <f aca="false">IF($B45="","",R45+SUM(X45:AA45))</f>
        <v/>
      </c>
      <c r="AC45" s="114" t="str">
        <f aca="false">IF($B45="","",MAX(0,IF(OR(الموظفون!$X45="",الموظفون!$X45&gt;$G$3),$G$3,الموظفون!$X45)-الموظفون!$H45+1)/cfg_DAYS_Y)</f>
        <v/>
      </c>
      <c r="AD45" s="114" t="str">
        <f aca="false">IF($B45="","",MAX(0,IF(OR(الموظفون!$X45="",الموظفون!$X45&gt;($E$3-1)),($E$3-1),الموظفون!$X45)-الموظفون!$H45+1)/cfg_DAYS_Y)</f>
        <v/>
      </c>
      <c r="AE45" s="115" t="str">
        <f aca="false">IF($B45="","",MAX(0,IF(OR(الموظفون!$X45="",الموظفون!$X45&gt;$G$3),$G$3,الموظفون!$X45)-MAX($E$3,الموظفون!$H45)+1))</f>
        <v/>
      </c>
    </row>
    <row r="46" customFormat="false" ht="15" hidden="false" customHeight="false" outlineLevel="0" collapsed="false">
      <c r="A46" s="83" t="str">
        <f aca="false">IF($B46="","",الموظفون!$A46)</f>
        <v/>
      </c>
      <c r="B46" s="74" t="str">
        <f aca="false">IF(الموظفون!$B46="","",الموظفون!$B46)</f>
        <v/>
      </c>
      <c r="C46" s="74" t="str">
        <f aca="false">IF($B46="","",الموظفون!$C46)</f>
        <v/>
      </c>
      <c r="D46" s="74" t="str">
        <f aca="false">IF($B46="","",الموظفون!$F46)</f>
        <v/>
      </c>
      <c r="E46" s="74" t="str">
        <f aca="false">IF($B46="","",الموظفون!$E46)</f>
        <v/>
      </c>
      <c r="F46" s="105" t="str">
        <f aca="false">IF($B46="","",IF(AE46&gt;=DAY($G$3),cfg_DAYS_M,MIN(AE46,cfg_DAYS_M)))</f>
        <v/>
      </c>
      <c r="G46" s="105" t="str">
        <f aca="false">IF($B46="","",SUMIFS('الحركات الشهرية'!$D$6:$D$1005,'الحركات الشهرية'!$B$6:$B$1005,$B46,'الحركات الشهرية'!$A$6:$A$1005,$C$3))</f>
        <v/>
      </c>
      <c r="H46" s="105" t="str">
        <f aca="false">IF($B46="","",SUMIFS('الحركات الشهرية'!$E$6:$E$1005,'الحركات الشهرية'!$B$6:$B$1005,$B46,'الحركات الشهرية'!$A$6:$A$1005,$C$3))</f>
        <v/>
      </c>
      <c r="I46" s="105" t="str">
        <f aca="false">IF($B46="","",MAX(0,F46-G46-H46))</f>
        <v/>
      </c>
      <c r="J46" s="86" t="str">
        <f aca="false">IF($B46="","",الموظفون!$J46*$I46/cfg_DAYS_M)</f>
        <v/>
      </c>
      <c r="K46" s="86" t="str">
        <f aca="false">IF($B46="","",الموظفون!$K46*$I46/cfg_DAYS_M)</f>
        <v/>
      </c>
      <c r="L46" s="86" t="str">
        <f aca="false">IF($B46="","",الموظفون!$L46*$I46/cfg_DAYS_M)</f>
        <v/>
      </c>
      <c r="M46" s="86" t="str">
        <f aca="false">IF($B46="","",الموظفون!$M46*$I46/cfg_DAYS_M)</f>
        <v/>
      </c>
      <c r="N46" s="105" t="str">
        <f aca="false">IF($B46="","",SUMIFS('الحركات الشهرية'!$F$6:$F$1005,'الحركات الشهرية'!$B$6:$B$1005,$B46,'الحركات الشهرية'!$A$6:$A$1005,$C$3))</f>
        <v/>
      </c>
      <c r="O46" s="86" t="str">
        <f aca="false">IF($B46="","",N46*(الموظفون!$N46+الموظفون!$J46*cfg_OT_P)/cfg_DAYS_M/cfg_HRS)</f>
        <v/>
      </c>
      <c r="P46" s="86" t="str">
        <f aca="false">IF($B46="","",SUMIFS('الحركات الشهرية'!$G$6:$G$1005,'الحركات الشهرية'!$B$6:$B$1005,$B46,'الحركات الشهرية'!$A$6:$A$1005,$C$3))</f>
        <v/>
      </c>
      <c r="Q46" s="86" t="str">
        <f aca="false">IF($B46="","",SUMIFS('الحركات الشهرية'!$H$6:$H$1005,'الحركات الشهرية'!$B$6:$B$1005,$B46,'الحركات الشهرية'!$A$6:$A$1005,$C$3))</f>
        <v/>
      </c>
      <c r="R46" s="106" t="str">
        <f aca="false">IF($B46="","",SUM(J46:M46)+SUM(O46:Q46))</f>
        <v/>
      </c>
      <c r="S46" s="86" t="str">
        <f aca="false">IF($B46="","",الموظفون!$Q46*IF(E46="سعودي",cfg_G_SE,cfg_G_NE)*F46/cfg_DAYS_M)</f>
        <v/>
      </c>
      <c r="T46" s="86" t="str">
        <f aca="false">IF($B46="","",SUMIFS('الحركات الشهرية'!$I$6:$I$1005,'الحركات الشهرية'!$B$6:$B$1005,$B46,'الحركات الشهرية'!$A$6:$A$1005,$C$3))</f>
        <v/>
      </c>
      <c r="U46" s="86" t="str">
        <f aca="false">IF($B46="","",SUMIFS('الحركات الشهرية'!$J$6:$J$1005,'الحركات الشهرية'!$B$6:$B$1005,$B46,'الحركات الشهرية'!$A$6:$A$1005,$C$3))</f>
        <v/>
      </c>
      <c r="V46" s="86" t="str">
        <f aca="false">IF($B46="","",SUM(S46:U46))</f>
        <v/>
      </c>
      <c r="W46" s="107" t="str">
        <f aca="false">IF($B46="","",R46-V46)</f>
        <v/>
      </c>
      <c r="X46" s="86" t="str">
        <f aca="false">IF($B46="","",الموظفون!$Q46*IF(E46="سعودي",cfg_G_SR,cfg_G_NR)*F46/cfg_DAYS_M)</f>
        <v/>
      </c>
      <c r="Y46" s="86" t="str">
        <f aca="false">IF($B46="","",الموظفون!$O46*(cfg_EOS_R1*(MIN(AC46,cfg_EOS_TH)-MIN(AD46,cfg_EOS_TH))+cfg_EOS_R2*(MAX(AC46-cfg_EOS_TH,0)-MAX(AD46-cfg_EOS_TH,0))))</f>
        <v/>
      </c>
      <c r="Z46" s="86" t="str">
        <f aca="false">IF($B46="","",IF(الموظفون!$R46&lt;&gt;"",الموظفون!$R46,IF(AC46&gt;=cfg_LV_TH,cfg_LV_D2,cfg_LV_D1))/cfg_DAYS_Y*AE46*الموظفون!$P46/cfg_DAYS_M)</f>
        <v/>
      </c>
      <c r="AA46" s="86" t="str">
        <f aca="false">IF($B46="","",IF(AND(الموظفون!$S46="نعم",N(الموظفون!$U46)&gt;0),الموظفون!$T46/الموظفون!$U46*12/cfg_DAYS_Y*AE46,0))</f>
        <v/>
      </c>
      <c r="AB46" s="108" t="str">
        <f aca="false">IF($B46="","",R46+SUM(X46:AA46))</f>
        <v/>
      </c>
      <c r="AC46" s="109" t="str">
        <f aca="false">IF($B46="","",MAX(0,IF(OR(الموظفون!$X46="",الموظفون!$X46&gt;$G$3),$G$3,الموظفون!$X46)-الموظفون!$H46+1)/cfg_DAYS_Y)</f>
        <v/>
      </c>
      <c r="AD46" s="109" t="str">
        <f aca="false">IF($B46="","",MAX(0,IF(OR(الموظفون!$X46="",الموظفون!$X46&gt;($E$3-1)),($E$3-1),الموظفون!$X46)-الموظفون!$H46+1)/cfg_DAYS_Y)</f>
        <v/>
      </c>
      <c r="AE46" s="51" t="str">
        <f aca="false">IF($B46="","",MAX(0,IF(OR(الموظفون!$X46="",الموظفون!$X46&gt;$G$3),$G$3,الموظفون!$X46)-MAX($E$3,الموظفون!$H46)+1))</f>
        <v/>
      </c>
    </row>
    <row r="47" customFormat="false" ht="15" hidden="false" customHeight="false" outlineLevel="0" collapsed="false">
      <c r="A47" s="89" t="str">
        <f aca="false">IF($B47="","",الموظفون!$A47)</f>
        <v/>
      </c>
      <c r="B47" s="91" t="str">
        <f aca="false">IF(الموظفون!$B47="","",الموظفون!$B47)</f>
        <v/>
      </c>
      <c r="C47" s="91" t="str">
        <f aca="false">IF($B47="","",الموظفون!$C47)</f>
        <v/>
      </c>
      <c r="D47" s="91" t="str">
        <f aca="false">IF($B47="","",الموظفون!$F47)</f>
        <v/>
      </c>
      <c r="E47" s="91" t="str">
        <f aca="false">IF($B47="","",الموظفون!$E47)</f>
        <v/>
      </c>
      <c r="F47" s="110" t="str">
        <f aca="false">IF($B47="","",IF(AE47&gt;=DAY($G$3),cfg_DAYS_M,MIN(AE47,cfg_DAYS_M)))</f>
        <v/>
      </c>
      <c r="G47" s="110" t="str">
        <f aca="false">IF($B47="","",SUMIFS('الحركات الشهرية'!$D$6:$D$1005,'الحركات الشهرية'!$B$6:$B$1005,$B47,'الحركات الشهرية'!$A$6:$A$1005,$C$3))</f>
        <v/>
      </c>
      <c r="H47" s="110" t="str">
        <f aca="false">IF($B47="","",SUMIFS('الحركات الشهرية'!$E$6:$E$1005,'الحركات الشهرية'!$B$6:$B$1005,$B47,'الحركات الشهرية'!$A$6:$A$1005,$C$3))</f>
        <v/>
      </c>
      <c r="I47" s="110" t="str">
        <f aca="false">IF($B47="","",MAX(0,F47-G47-H47))</f>
        <v/>
      </c>
      <c r="J47" s="90" t="str">
        <f aca="false">IF($B47="","",الموظفون!$J47*$I47/cfg_DAYS_M)</f>
        <v/>
      </c>
      <c r="K47" s="90" t="str">
        <f aca="false">IF($B47="","",الموظفون!$K47*$I47/cfg_DAYS_M)</f>
        <v/>
      </c>
      <c r="L47" s="90" t="str">
        <f aca="false">IF($B47="","",الموظفون!$L47*$I47/cfg_DAYS_M)</f>
        <v/>
      </c>
      <c r="M47" s="90" t="str">
        <f aca="false">IF($B47="","",الموظفون!$M47*$I47/cfg_DAYS_M)</f>
        <v/>
      </c>
      <c r="N47" s="110" t="str">
        <f aca="false">IF($B47="","",SUMIFS('الحركات الشهرية'!$F$6:$F$1005,'الحركات الشهرية'!$B$6:$B$1005,$B47,'الحركات الشهرية'!$A$6:$A$1005,$C$3))</f>
        <v/>
      </c>
      <c r="O47" s="90" t="str">
        <f aca="false">IF($B47="","",N47*(الموظفون!$N47+الموظفون!$J47*cfg_OT_P)/cfg_DAYS_M/cfg_HRS)</f>
        <v/>
      </c>
      <c r="P47" s="90" t="str">
        <f aca="false">IF($B47="","",SUMIFS('الحركات الشهرية'!$G$6:$G$1005,'الحركات الشهرية'!$B$6:$B$1005,$B47,'الحركات الشهرية'!$A$6:$A$1005,$C$3))</f>
        <v/>
      </c>
      <c r="Q47" s="90" t="str">
        <f aca="false">IF($B47="","",SUMIFS('الحركات الشهرية'!$H$6:$H$1005,'الحركات الشهرية'!$B$6:$B$1005,$B47,'الحركات الشهرية'!$A$6:$A$1005,$C$3))</f>
        <v/>
      </c>
      <c r="R47" s="111" t="str">
        <f aca="false">IF($B47="","",SUM(J47:M47)+SUM(O47:Q47))</f>
        <v/>
      </c>
      <c r="S47" s="90" t="str">
        <f aca="false">IF($B47="","",الموظفون!$Q47*IF(E47="سعودي",cfg_G_SE,cfg_G_NE)*F47/cfg_DAYS_M)</f>
        <v/>
      </c>
      <c r="T47" s="90" t="str">
        <f aca="false">IF($B47="","",SUMIFS('الحركات الشهرية'!$I$6:$I$1005,'الحركات الشهرية'!$B$6:$B$1005,$B47,'الحركات الشهرية'!$A$6:$A$1005,$C$3))</f>
        <v/>
      </c>
      <c r="U47" s="90" t="str">
        <f aca="false">IF($B47="","",SUMIFS('الحركات الشهرية'!$J$6:$J$1005,'الحركات الشهرية'!$B$6:$B$1005,$B47,'الحركات الشهرية'!$A$6:$A$1005,$C$3))</f>
        <v/>
      </c>
      <c r="V47" s="90" t="str">
        <f aca="false">IF($B47="","",SUM(S47:U47))</f>
        <v/>
      </c>
      <c r="W47" s="112" t="str">
        <f aca="false">IF($B47="","",R47-V47)</f>
        <v/>
      </c>
      <c r="X47" s="90" t="str">
        <f aca="false">IF($B47="","",الموظفون!$Q47*IF(E47="سعودي",cfg_G_SR,cfg_G_NR)*F47/cfg_DAYS_M)</f>
        <v/>
      </c>
      <c r="Y47" s="90" t="str">
        <f aca="false">IF($B47="","",الموظفون!$O47*(cfg_EOS_R1*(MIN(AC47,cfg_EOS_TH)-MIN(AD47,cfg_EOS_TH))+cfg_EOS_R2*(MAX(AC47-cfg_EOS_TH,0)-MAX(AD47-cfg_EOS_TH,0))))</f>
        <v/>
      </c>
      <c r="Z47" s="90" t="str">
        <f aca="false">IF($B47="","",IF(الموظفون!$R47&lt;&gt;"",الموظفون!$R47,IF(AC47&gt;=cfg_LV_TH,cfg_LV_D2,cfg_LV_D1))/cfg_DAYS_Y*AE47*الموظفون!$P47/cfg_DAYS_M)</f>
        <v/>
      </c>
      <c r="AA47" s="90" t="str">
        <f aca="false">IF($B47="","",IF(AND(الموظفون!$S47="نعم",N(الموظفون!$U47)&gt;0),الموظفون!$T47/الموظفون!$U47*12/cfg_DAYS_Y*AE47,0))</f>
        <v/>
      </c>
      <c r="AB47" s="113" t="str">
        <f aca="false">IF($B47="","",R47+SUM(X47:AA47))</f>
        <v/>
      </c>
      <c r="AC47" s="114" t="str">
        <f aca="false">IF($B47="","",MAX(0,IF(OR(الموظفون!$X47="",الموظفون!$X47&gt;$G$3),$G$3,الموظفون!$X47)-الموظفون!$H47+1)/cfg_DAYS_Y)</f>
        <v/>
      </c>
      <c r="AD47" s="114" t="str">
        <f aca="false">IF($B47="","",MAX(0,IF(OR(الموظفون!$X47="",الموظفون!$X47&gt;($E$3-1)),($E$3-1),الموظفون!$X47)-الموظفون!$H47+1)/cfg_DAYS_Y)</f>
        <v/>
      </c>
      <c r="AE47" s="115" t="str">
        <f aca="false">IF($B47="","",MAX(0,IF(OR(الموظفون!$X47="",الموظفون!$X47&gt;$G$3),$G$3,الموظفون!$X47)-MAX($E$3,الموظفون!$H47)+1))</f>
        <v/>
      </c>
    </row>
    <row r="48" customFormat="false" ht="15" hidden="false" customHeight="false" outlineLevel="0" collapsed="false">
      <c r="A48" s="83" t="str">
        <f aca="false">IF($B48="","",الموظفون!$A48)</f>
        <v/>
      </c>
      <c r="B48" s="74" t="str">
        <f aca="false">IF(الموظفون!$B48="","",الموظفون!$B48)</f>
        <v/>
      </c>
      <c r="C48" s="74" t="str">
        <f aca="false">IF($B48="","",الموظفون!$C48)</f>
        <v/>
      </c>
      <c r="D48" s="74" t="str">
        <f aca="false">IF($B48="","",الموظفون!$F48)</f>
        <v/>
      </c>
      <c r="E48" s="74" t="str">
        <f aca="false">IF($B48="","",الموظفون!$E48)</f>
        <v/>
      </c>
      <c r="F48" s="105" t="str">
        <f aca="false">IF($B48="","",IF(AE48&gt;=DAY($G$3),cfg_DAYS_M,MIN(AE48,cfg_DAYS_M)))</f>
        <v/>
      </c>
      <c r="G48" s="105" t="str">
        <f aca="false">IF($B48="","",SUMIFS('الحركات الشهرية'!$D$6:$D$1005,'الحركات الشهرية'!$B$6:$B$1005,$B48,'الحركات الشهرية'!$A$6:$A$1005,$C$3))</f>
        <v/>
      </c>
      <c r="H48" s="105" t="str">
        <f aca="false">IF($B48="","",SUMIFS('الحركات الشهرية'!$E$6:$E$1005,'الحركات الشهرية'!$B$6:$B$1005,$B48,'الحركات الشهرية'!$A$6:$A$1005,$C$3))</f>
        <v/>
      </c>
      <c r="I48" s="105" t="str">
        <f aca="false">IF($B48="","",MAX(0,F48-G48-H48))</f>
        <v/>
      </c>
      <c r="J48" s="86" t="str">
        <f aca="false">IF($B48="","",الموظفون!$J48*$I48/cfg_DAYS_M)</f>
        <v/>
      </c>
      <c r="K48" s="86" t="str">
        <f aca="false">IF($B48="","",الموظفون!$K48*$I48/cfg_DAYS_M)</f>
        <v/>
      </c>
      <c r="L48" s="86" t="str">
        <f aca="false">IF($B48="","",الموظفون!$L48*$I48/cfg_DAYS_M)</f>
        <v/>
      </c>
      <c r="M48" s="86" t="str">
        <f aca="false">IF($B48="","",الموظفون!$M48*$I48/cfg_DAYS_M)</f>
        <v/>
      </c>
      <c r="N48" s="105" t="str">
        <f aca="false">IF($B48="","",SUMIFS('الحركات الشهرية'!$F$6:$F$1005,'الحركات الشهرية'!$B$6:$B$1005,$B48,'الحركات الشهرية'!$A$6:$A$1005,$C$3))</f>
        <v/>
      </c>
      <c r="O48" s="86" t="str">
        <f aca="false">IF($B48="","",N48*(الموظفون!$N48+الموظفون!$J48*cfg_OT_P)/cfg_DAYS_M/cfg_HRS)</f>
        <v/>
      </c>
      <c r="P48" s="86" t="str">
        <f aca="false">IF($B48="","",SUMIFS('الحركات الشهرية'!$G$6:$G$1005,'الحركات الشهرية'!$B$6:$B$1005,$B48,'الحركات الشهرية'!$A$6:$A$1005,$C$3))</f>
        <v/>
      </c>
      <c r="Q48" s="86" t="str">
        <f aca="false">IF($B48="","",SUMIFS('الحركات الشهرية'!$H$6:$H$1005,'الحركات الشهرية'!$B$6:$B$1005,$B48,'الحركات الشهرية'!$A$6:$A$1005,$C$3))</f>
        <v/>
      </c>
      <c r="R48" s="106" t="str">
        <f aca="false">IF($B48="","",SUM(J48:M48)+SUM(O48:Q48))</f>
        <v/>
      </c>
      <c r="S48" s="86" t="str">
        <f aca="false">IF($B48="","",الموظفون!$Q48*IF(E48="سعودي",cfg_G_SE,cfg_G_NE)*F48/cfg_DAYS_M)</f>
        <v/>
      </c>
      <c r="T48" s="86" t="str">
        <f aca="false">IF($B48="","",SUMIFS('الحركات الشهرية'!$I$6:$I$1005,'الحركات الشهرية'!$B$6:$B$1005,$B48,'الحركات الشهرية'!$A$6:$A$1005,$C$3))</f>
        <v/>
      </c>
      <c r="U48" s="86" t="str">
        <f aca="false">IF($B48="","",SUMIFS('الحركات الشهرية'!$J$6:$J$1005,'الحركات الشهرية'!$B$6:$B$1005,$B48,'الحركات الشهرية'!$A$6:$A$1005,$C$3))</f>
        <v/>
      </c>
      <c r="V48" s="86" t="str">
        <f aca="false">IF($B48="","",SUM(S48:U48))</f>
        <v/>
      </c>
      <c r="W48" s="107" t="str">
        <f aca="false">IF($B48="","",R48-V48)</f>
        <v/>
      </c>
      <c r="X48" s="86" t="str">
        <f aca="false">IF($B48="","",الموظفون!$Q48*IF(E48="سعودي",cfg_G_SR,cfg_G_NR)*F48/cfg_DAYS_M)</f>
        <v/>
      </c>
      <c r="Y48" s="86" t="str">
        <f aca="false">IF($B48="","",الموظفون!$O48*(cfg_EOS_R1*(MIN(AC48,cfg_EOS_TH)-MIN(AD48,cfg_EOS_TH))+cfg_EOS_R2*(MAX(AC48-cfg_EOS_TH,0)-MAX(AD48-cfg_EOS_TH,0))))</f>
        <v/>
      </c>
      <c r="Z48" s="86" t="str">
        <f aca="false">IF($B48="","",IF(الموظفون!$R48&lt;&gt;"",الموظفون!$R48,IF(AC48&gt;=cfg_LV_TH,cfg_LV_D2,cfg_LV_D1))/cfg_DAYS_Y*AE48*الموظفون!$P48/cfg_DAYS_M)</f>
        <v/>
      </c>
      <c r="AA48" s="86" t="str">
        <f aca="false">IF($B48="","",IF(AND(الموظفون!$S48="نعم",N(الموظفون!$U48)&gt;0),الموظفون!$T48/الموظفون!$U48*12/cfg_DAYS_Y*AE48,0))</f>
        <v/>
      </c>
      <c r="AB48" s="108" t="str">
        <f aca="false">IF($B48="","",R48+SUM(X48:AA48))</f>
        <v/>
      </c>
      <c r="AC48" s="109" t="str">
        <f aca="false">IF($B48="","",MAX(0,IF(OR(الموظفون!$X48="",الموظفون!$X48&gt;$G$3),$G$3,الموظفون!$X48)-الموظفون!$H48+1)/cfg_DAYS_Y)</f>
        <v/>
      </c>
      <c r="AD48" s="109" t="str">
        <f aca="false">IF($B48="","",MAX(0,IF(OR(الموظفون!$X48="",الموظفون!$X48&gt;($E$3-1)),($E$3-1),الموظفون!$X48)-الموظفون!$H48+1)/cfg_DAYS_Y)</f>
        <v/>
      </c>
      <c r="AE48" s="51" t="str">
        <f aca="false">IF($B48="","",MAX(0,IF(OR(الموظفون!$X48="",الموظفون!$X48&gt;$G$3),$G$3,الموظفون!$X48)-MAX($E$3,الموظفون!$H48)+1))</f>
        <v/>
      </c>
    </row>
    <row r="49" customFormat="false" ht="15" hidden="false" customHeight="false" outlineLevel="0" collapsed="false">
      <c r="A49" s="89" t="str">
        <f aca="false">IF($B49="","",الموظفون!$A49)</f>
        <v/>
      </c>
      <c r="B49" s="91" t="str">
        <f aca="false">IF(الموظفون!$B49="","",الموظفون!$B49)</f>
        <v/>
      </c>
      <c r="C49" s="91" t="str">
        <f aca="false">IF($B49="","",الموظفون!$C49)</f>
        <v/>
      </c>
      <c r="D49" s="91" t="str">
        <f aca="false">IF($B49="","",الموظفون!$F49)</f>
        <v/>
      </c>
      <c r="E49" s="91" t="str">
        <f aca="false">IF($B49="","",الموظفون!$E49)</f>
        <v/>
      </c>
      <c r="F49" s="110" t="str">
        <f aca="false">IF($B49="","",IF(AE49&gt;=DAY($G$3),cfg_DAYS_M,MIN(AE49,cfg_DAYS_M)))</f>
        <v/>
      </c>
      <c r="G49" s="110" t="str">
        <f aca="false">IF($B49="","",SUMIFS('الحركات الشهرية'!$D$6:$D$1005,'الحركات الشهرية'!$B$6:$B$1005,$B49,'الحركات الشهرية'!$A$6:$A$1005,$C$3))</f>
        <v/>
      </c>
      <c r="H49" s="110" t="str">
        <f aca="false">IF($B49="","",SUMIFS('الحركات الشهرية'!$E$6:$E$1005,'الحركات الشهرية'!$B$6:$B$1005,$B49,'الحركات الشهرية'!$A$6:$A$1005,$C$3))</f>
        <v/>
      </c>
      <c r="I49" s="110" t="str">
        <f aca="false">IF($B49="","",MAX(0,F49-G49-H49))</f>
        <v/>
      </c>
      <c r="J49" s="90" t="str">
        <f aca="false">IF($B49="","",الموظفون!$J49*$I49/cfg_DAYS_M)</f>
        <v/>
      </c>
      <c r="K49" s="90" t="str">
        <f aca="false">IF($B49="","",الموظفون!$K49*$I49/cfg_DAYS_M)</f>
        <v/>
      </c>
      <c r="L49" s="90" t="str">
        <f aca="false">IF($B49="","",الموظفون!$L49*$I49/cfg_DAYS_M)</f>
        <v/>
      </c>
      <c r="M49" s="90" t="str">
        <f aca="false">IF($B49="","",الموظفون!$M49*$I49/cfg_DAYS_M)</f>
        <v/>
      </c>
      <c r="N49" s="110" t="str">
        <f aca="false">IF($B49="","",SUMIFS('الحركات الشهرية'!$F$6:$F$1005,'الحركات الشهرية'!$B$6:$B$1005,$B49,'الحركات الشهرية'!$A$6:$A$1005,$C$3))</f>
        <v/>
      </c>
      <c r="O49" s="90" t="str">
        <f aca="false">IF($B49="","",N49*(الموظفون!$N49+الموظفون!$J49*cfg_OT_P)/cfg_DAYS_M/cfg_HRS)</f>
        <v/>
      </c>
      <c r="P49" s="90" t="str">
        <f aca="false">IF($B49="","",SUMIFS('الحركات الشهرية'!$G$6:$G$1005,'الحركات الشهرية'!$B$6:$B$1005,$B49,'الحركات الشهرية'!$A$6:$A$1005,$C$3))</f>
        <v/>
      </c>
      <c r="Q49" s="90" t="str">
        <f aca="false">IF($B49="","",SUMIFS('الحركات الشهرية'!$H$6:$H$1005,'الحركات الشهرية'!$B$6:$B$1005,$B49,'الحركات الشهرية'!$A$6:$A$1005,$C$3))</f>
        <v/>
      </c>
      <c r="R49" s="111" t="str">
        <f aca="false">IF($B49="","",SUM(J49:M49)+SUM(O49:Q49))</f>
        <v/>
      </c>
      <c r="S49" s="90" t="str">
        <f aca="false">IF($B49="","",الموظفون!$Q49*IF(E49="سعودي",cfg_G_SE,cfg_G_NE)*F49/cfg_DAYS_M)</f>
        <v/>
      </c>
      <c r="T49" s="90" t="str">
        <f aca="false">IF($B49="","",SUMIFS('الحركات الشهرية'!$I$6:$I$1005,'الحركات الشهرية'!$B$6:$B$1005,$B49,'الحركات الشهرية'!$A$6:$A$1005,$C$3))</f>
        <v/>
      </c>
      <c r="U49" s="90" t="str">
        <f aca="false">IF($B49="","",SUMIFS('الحركات الشهرية'!$J$6:$J$1005,'الحركات الشهرية'!$B$6:$B$1005,$B49,'الحركات الشهرية'!$A$6:$A$1005,$C$3))</f>
        <v/>
      </c>
      <c r="V49" s="90" t="str">
        <f aca="false">IF($B49="","",SUM(S49:U49))</f>
        <v/>
      </c>
      <c r="W49" s="112" t="str">
        <f aca="false">IF($B49="","",R49-V49)</f>
        <v/>
      </c>
      <c r="X49" s="90" t="str">
        <f aca="false">IF($B49="","",الموظفون!$Q49*IF(E49="سعودي",cfg_G_SR,cfg_G_NR)*F49/cfg_DAYS_M)</f>
        <v/>
      </c>
      <c r="Y49" s="90" t="str">
        <f aca="false">IF($B49="","",الموظفون!$O49*(cfg_EOS_R1*(MIN(AC49,cfg_EOS_TH)-MIN(AD49,cfg_EOS_TH))+cfg_EOS_R2*(MAX(AC49-cfg_EOS_TH,0)-MAX(AD49-cfg_EOS_TH,0))))</f>
        <v/>
      </c>
      <c r="Z49" s="90" t="str">
        <f aca="false">IF($B49="","",IF(الموظفون!$R49&lt;&gt;"",الموظفون!$R49,IF(AC49&gt;=cfg_LV_TH,cfg_LV_D2,cfg_LV_D1))/cfg_DAYS_Y*AE49*الموظفون!$P49/cfg_DAYS_M)</f>
        <v/>
      </c>
      <c r="AA49" s="90" t="str">
        <f aca="false">IF($B49="","",IF(AND(الموظفون!$S49="نعم",N(الموظفون!$U49)&gt;0),الموظفون!$T49/الموظفون!$U49*12/cfg_DAYS_Y*AE49,0))</f>
        <v/>
      </c>
      <c r="AB49" s="113" t="str">
        <f aca="false">IF($B49="","",R49+SUM(X49:AA49))</f>
        <v/>
      </c>
      <c r="AC49" s="114" t="str">
        <f aca="false">IF($B49="","",MAX(0,IF(OR(الموظفون!$X49="",الموظفون!$X49&gt;$G$3),$G$3,الموظفون!$X49)-الموظفون!$H49+1)/cfg_DAYS_Y)</f>
        <v/>
      </c>
      <c r="AD49" s="114" t="str">
        <f aca="false">IF($B49="","",MAX(0,IF(OR(الموظفون!$X49="",الموظفون!$X49&gt;($E$3-1)),($E$3-1),الموظفون!$X49)-الموظفون!$H49+1)/cfg_DAYS_Y)</f>
        <v/>
      </c>
      <c r="AE49" s="115" t="str">
        <f aca="false">IF($B49="","",MAX(0,IF(OR(الموظفون!$X49="",الموظفون!$X49&gt;$G$3),$G$3,الموظفون!$X49)-MAX($E$3,الموظفون!$H49)+1))</f>
        <v/>
      </c>
    </row>
    <row r="50" customFormat="false" ht="15" hidden="false" customHeight="false" outlineLevel="0" collapsed="false">
      <c r="A50" s="83" t="str">
        <f aca="false">IF($B50="","",الموظفون!$A50)</f>
        <v/>
      </c>
      <c r="B50" s="74" t="str">
        <f aca="false">IF(الموظفون!$B50="","",الموظفون!$B50)</f>
        <v/>
      </c>
      <c r="C50" s="74" t="str">
        <f aca="false">IF($B50="","",الموظفون!$C50)</f>
        <v/>
      </c>
      <c r="D50" s="74" t="str">
        <f aca="false">IF($B50="","",الموظفون!$F50)</f>
        <v/>
      </c>
      <c r="E50" s="74" t="str">
        <f aca="false">IF($B50="","",الموظفون!$E50)</f>
        <v/>
      </c>
      <c r="F50" s="105" t="str">
        <f aca="false">IF($B50="","",IF(AE50&gt;=DAY($G$3),cfg_DAYS_M,MIN(AE50,cfg_DAYS_M)))</f>
        <v/>
      </c>
      <c r="G50" s="105" t="str">
        <f aca="false">IF($B50="","",SUMIFS('الحركات الشهرية'!$D$6:$D$1005,'الحركات الشهرية'!$B$6:$B$1005,$B50,'الحركات الشهرية'!$A$6:$A$1005,$C$3))</f>
        <v/>
      </c>
      <c r="H50" s="105" t="str">
        <f aca="false">IF($B50="","",SUMIFS('الحركات الشهرية'!$E$6:$E$1005,'الحركات الشهرية'!$B$6:$B$1005,$B50,'الحركات الشهرية'!$A$6:$A$1005,$C$3))</f>
        <v/>
      </c>
      <c r="I50" s="105" t="str">
        <f aca="false">IF($B50="","",MAX(0,F50-G50-H50))</f>
        <v/>
      </c>
      <c r="J50" s="86" t="str">
        <f aca="false">IF($B50="","",الموظفون!$J50*$I50/cfg_DAYS_M)</f>
        <v/>
      </c>
      <c r="K50" s="86" t="str">
        <f aca="false">IF($B50="","",الموظفون!$K50*$I50/cfg_DAYS_M)</f>
        <v/>
      </c>
      <c r="L50" s="86" t="str">
        <f aca="false">IF($B50="","",الموظفون!$L50*$I50/cfg_DAYS_M)</f>
        <v/>
      </c>
      <c r="M50" s="86" t="str">
        <f aca="false">IF($B50="","",الموظفون!$M50*$I50/cfg_DAYS_M)</f>
        <v/>
      </c>
      <c r="N50" s="105" t="str">
        <f aca="false">IF($B50="","",SUMIFS('الحركات الشهرية'!$F$6:$F$1005,'الحركات الشهرية'!$B$6:$B$1005,$B50,'الحركات الشهرية'!$A$6:$A$1005,$C$3))</f>
        <v/>
      </c>
      <c r="O50" s="86" t="str">
        <f aca="false">IF($B50="","",N50*(الموظفون!$N50+الموظفون!$J50*cfg_OT_P)/cfg_DAYS_M/cfg_HRS)</f>
        <v/>
      </c>
      <c r="P50" s="86" t="str">
        <f aca="false">IF($B50="","",SUMIFS('الحركات الشهرية'!$G$6:$G$1005,'الحركات الشهرية'!$B$6:$B$1005,$B50,'الحركات الشهرية'!$A$6:$A$1005,$C$3))</f>
        <v/>
      </c>
      <c r="Q50" s="86" t="str">
        <f aca="false">IF($B50="","",SUMIFS('الحركات الشهرية'!$H$6:$H$1005,'الحركات الشهرية'!$B$6:$B$1005,$B50,'الحركات الشهرية'!$A$6:$A$1005,$C$3))</f>
        <v/>
      </c>
      <c r="R50" s="106" t="str">
        <f aca="false">IF($B50="","",SUM(J50:M50)+SUM(O50:Q50))</f>
        <v/>
      </c>
      <c r="S50" s="86" t="str">
        <f aca="false">IF($B50="","",الموظفون!$Q50*IF(E50="سعودي",cfg_G_SE,cfg_G_NE)*F50/cfg_DAYS_M)</f>
        <v/>
      </c>
      <c r="T50" s="86" t="str">
        <f aca="false">IF($B50="","",SUMIFS('الحركات الشهرية'!$I$6:$I$1005,'الحركات الشهرية'!$B$6:$B$1005,$B50,'الحركات الشهرية'!$A$6:$A$1005,$C$3))</f>
        <v/>
      </c>
      <c r="U50" s="86" t="str">
        <f aca="false">IF($B50="","",SUMIFS('الحركات الشهرية'!$J$6:$J$1005,'الحركات الشهرية'!$B$6:$B$1005,$B50,'الحركات الشهرية'!$A$6:$A$1005,$C$3))</f>
        <v/>
      </c>
      <c r="V50" s="86" t="str">
        <f aca="false">IF($B50="","",SUM(S50:U50))</f>
        <v/>
      </c>
      <c r="W50" s="107" t="str">
        <f aca="false">IF($B50="","",R50-V50)</f>
        <v/>
      </c>
      <c r="X50" s="86" t="str">
        <f aca="false">IF($B50="","",الموظفون!$Q50*IF(E50="سعودي",cfg_G_SR,cfg_G_NR)*F50/cfg_DAYS_M)</f>
        <v/>
      </c>
      <c r="Y50" s="86" t="str">
        <f aca="false">IF($B50="","",الموظفون!$O50*(cfg_EOS_R1*(MIN(AC50,cfg_EOS_TH)-MIN(AD50,cfg_EOS_TH))+cfg_EOS_R2*(MAX(AC50-cfg_EOS_TH,0)-MAX(AD50-cfg_EOS_TH,0))))</f>
        <v/>
      </c>
      <c r="Z50" s="86" t="str">
        <f aca="false">IF($B50="","",IF(الموظفون!$R50&lt;&gt;"",الموظفون!$R50,IF(AC50&gt;=cfg_LV_TH,cfg_LV_D2,cfg_LV_D1))/cfg_DAYS_Y*AE50*الموظفون!$P50/cfg_DAYS_M)</f>
        <v/>
      </c>
      <c r="AA50" s="86" t="str">
        <f aca="false">IF($B50="","",IF(AND(الموظفون!$S50="نعم",N(الموظفون!$U50)&gt;0),الموظفون!$T50/الموظفون!$U50*12/cfg_DAYS_Y*AE50,0))</f>
        <v/>
      </c>
      <c r="AB50" s="108" t="str">
        <f aca="false">IF($B50="","",R50+SUM(X50:AA50))</f>
        <v/>
      </c>
      <c r="AC50" s="109" t="str">
        <f aca="false">IF($B50="","",MAX(0,IF(OR(الموظفون!$X50="",الموظفون!$X50&gt;$G$3),$G$3,الموظفون!$X50)-الموظفون!$H50+1)/cfg_DAYS_Y)</f>
        <v/>
      </c>
      <c r="AD50" s="109" t="str">
        <f aca="false">IF($B50="","",MAX(0,IF(OR(الموظفون!$X50="",الموظفون!$X50&gt;($E$3-1)),($E$3-1),الموظفون!$X50)-الموظفون!$H50+1)/cfg_DAYS_Y)</f>
        <v/>
      </c>
      <c r="AE50" s="51" t="str">
        <f aca="false">IF($B50="","",MAX(0,IF(OR(الموظفون!$X50="",الموظفون!$X50&gt;$G$3),$G$3,الموظفون!$X50)-MAX($E$3,الموظفون!$H50)+1))</f>
        <v/>
      </c>
    </row>
    <row r="51" customFormat="false" ht="15" hidden="false" customHeight="false" outlineLevel="0" collapsed="false">
      <c r="A51" s="89" t="str">
        <f aca="false">IF($B51="","",الموظفون!$A51)</f>
        <v/>
      </c>
      <c r="B51" s="91" t="str">
        <f aca="false">IF(الموظفون!$B51="","",الموظفون!$B51)</f>
        <v/>
      </c>
      <c r="C51" s="91" t="str">
        <f aca="false">IF($B51="","",الموظفون!$C51)</f>
        <v/>
      </c>
      <c r="D51" s="91" t="str">
        <f aca="false">IF($B51="","",الموظفون!$F51)</f>
        <v/>
      </c>
      <c r="E51" s="91" t="str">
        <f aca="false">IF($B51="","",الموظفون!$E51)</f>
        <v/>
      </c>
      <c r="F51" s="110" t="str">
        <f aca="false">IF($B51="","",IF(AE51&gt;=DAY($G$3),cfg_DAYS_M,MIN(AE51,cfg_DAYS_M)))</f>
        <v/>
      </c>
      <c r="G51" s="110" t="str">
        <f aca="false">IF($B51="","",SUMIFS('الحركات الشهرية'!$D$6:$D$1005,'الحركات الشهرية'!$B$6:$B$1005,$B51,'الحركات الشهرية'!$A$6:$A$1005,$C$3))</f>
        <v/>
      </c>
      <c r="H51" s="110" t="str">
        <f aca="false">IF($B51="","",SUMIFS('الحركات الشهرية'!$E$6:$E$1005,'الحركات الشهرية'!$B$6:$B$1005,$B51,'الحركات الشهرية'!$A$6:$A$1005,$C$3))</f>
        <v/>
      </c>
      <c r="I51" s="110" t="str">
        <f aca="false">IF($B51="","",MAX(0,F51-G51-H51))</f>
        <v/>
      </c>
      <c r="J51" s="90" t="str">
        <f aca="false">IF($B51="","",الموظفون!$J51*$I51/cfg_DAYS_M)</f>
        <v/>
      </c>
      <c r="K51" s="90" t="str">
        <f aca="false">IF($B51="","",الموظفون!$K51*$I51/cfg_DAYS_M)</f>
        <v/>
      </c>
      <c r="L51" s="90" t="str">
        <f aca="false">IF($B51="","",الموظفون!$L51*$I51/cfg_DAYS_M)</f>
        <v/>
      </c>
      <c r="M51" s="90" t="str">
        <f aca="false">IF($B51="","",الموظفون!$M51*$I51/cfg_DAYS_M)</f>
        <v/>
      </c>
      <c r="N51" s="110" t="str">
        <f aca="false">IF($B51="","",SUMIFS('الحركات الشهرية'!$F$6:$F$1005,'الحركات الشهرية'!$B$6:$B$1005,$B51,'الحركات الشهرية'!$A$6:$A$1005,$C$3))</f>
        <v/>
      </c>
      <c r="O51" s="90" t="str">
        <f aca="false">IF($B51="","",N51*(الموظفون!$N51+الموظفون!$J51*cfg_OT_P)/cfg_DAYS_M/cfg_HRS)</f>
        <v/>
      </c>
      <c r="P51" s="90" t="str">
        <f aca="false">IF($B51="","",SUMIFS('الحركات الشهرية'!$G$6:$G$1005,'الحركات الشهرية'!$B$6:$B$1005,$B51,'الحركات الشهرية'!$A$6:$A$1005,$C$3))</f>
        <v/>
      </c>
      <c r="Q51" s="90" t="str">
        <f aca="false">IF($B51="","",SUMIFS('الحركات الشهرية'!$H$6:$H$1005,'الحركات الشهرية'!$B$6:$B$1005,$B51,'الحركات الشهرية'!$A$6:$A$1005,$C$3))</f>
        <v/>
      </c>
      <c r="R51" s="111" t="str">
        <f aca="false">IF($B51="","",SUM(J51:M51)+SUM(O51:Q51))</f>
        <v/>
      </c>
      <c r="S51" s="90" t="str">
        <f aca="false">IF($B51="","",الموظفون!$Q51*IF(E51="سعودي",cfg_G_SE,cfg_G_NE)*F51/cfg_DAYS_M)</f>
        <v/>
      </c>
      <c r="T51" s="90" t="str">
        <f aca="false">IF($B51="","",SUMIFS('الحركات الشهرية'!$I$6:$I$1005,'الحركات الشهرية'!$B$6:$B$1005,$B51,'الحركات الشهرية'!$A$6:$A$1005,$C$3))</f>
        <v/>
      </c>
      <c r="U51" s="90" t="str">
        <f aca="false">IF($B51="","",SUMIFS('الحركات الشهرية'!$J$6:$J$1005,'الحركات الشهرية'!$B$6:$B$1005,$B51,'الحركات الشهرية'!$A$6:$A$1005,$C$3))</f>
        <v/>
      </c>
      <c r="V51" s="90" t="str">
        <f aca="false">IF($B51="","",SUM(S51:U51))</f>
        <v/>
      </c>
      <c r="W51" s="112" t="str">
        <f aca="false">IF($B51="","",R51-V51)</f>
        <v/>
      </c>
      <c r="X51" s="90" t="str">
        <f aca="false">IF($B51="","",الموظفون!$Q51*IF(E51="سعودي",cfg_G_SR,cfg_G_NR)*F51/cfg_DAYS_M)</f>
        <v/>
      </c>
      <c r="Y51" s="90" t="str">
        <f aca="false">IF($B51="","",الموظفون!$O51*(cfg_EOS_R1*(MIN(AC51,cfg_EOS_TH)-MIN(AD51,cfg_EOS_TH))+cfg_EOS_R2*(MAX(AC51-cfg_EOS_TH,0)-MAX(AD51-cfg_EOS_TH,0))))</f>
        <v/>
      </c>
      <c r="Z51" s="90" t="str">
        <f aca="false">IF($B51="","",IF(الموظفون!$R51&lt;&gt;"",الموظفون!$R51,IF(AC51&gt;=cfg_LV_TH,cfg_LV_D2,cfg_LV_D1))/cfg_DAYS_Y*AE51*الموظفون!$P51/cfg_DAYS_M)</f>
        <v/>
      </c>
      <c r="AA51" s="90" t="str">
        <f aca="false">IF($B51="","",IF(AND(الموظفون!$S51="نعم",N(الموظفون!$U51)&gt;0),الموظفون!$T51/الموظفون!$U51*12/cfg_DAYS_Y*AE51,0))</f>
        <v/>
      </c>
      <c r="AB51" s="113" t="str">
        <f aca="false">IF($B51="","",R51+SUM(X51:AA51))</f>
        <v/>
      </c>
      <c r="AC51" s="114" t="str">
        <f aca="false">IF($B51="","",MAX(0,IF(OR(الموظفون!$X51="",الموظفون!$X51&gt;$G$3),$G$3,الموظفون!$X51)-الموظفون!$H51+1)/cfg_DAYS_Y)</f>
        <v/>
      </c>
      <c r="AD51" s="114" t="str">
        <f aca="false">IF($B51="","",MAX(0,IF(OR(الموظفون!$X51="",الموظفون!$X51&gt;($E$3-1)),($E$3-1),الموظفون!$X51)-الموظفون!$H51+1)/cfg_DAYS_Y)</f>
        <v/>
      </c>
      <c r="AE51" s="115" t="str">
        <f aca="false">IF($B51="","",MAX(0,IF(OR(الموظفون!$X51="",الموظفون!$X51&gt;$G$3),$G$3,الموظفون!$X51)-MAX($E$3,الموظفون!$H51)+1))</f>
        <v/>
      </c>
    </row>
    <row r="52" customFormat="false" ht="15" hidden="false" customHeight="false" outlineLevel="0" collapsed="false">
      <c r="A52" s="83" t="str">
        <f aca="false">IF($B52="","",الموظفون!$A52)</f>
        <v/>
      </c>
      <c r="B52" s="74" t="str">
        <f aca="false">IF(الموظفون!$B52="","",الموظفون!$B52)</f>
        <v/>
      </c>
      <c r="C52" s="74" t="str">
        <f aca="false">IF($B52="","",الموظفون!$C52)</f>
        <v/>
      </c>
      <c r="D52" s="74" t="str">
        <f aca="false">IF($B52="","",الموظفون!$F52)</f>
        <v/>
      </c>
      <c r="E52" s="74" t="str">
        <f aca="false">IF($B52="","",الموظفون!$E52)</f>
        <v/>
      </c>
      <c r="F52" s="105" t="str">
        <f aca="false">IF($B52="","",IF(AE52&gt;=DAY($G$3),cfg_DAYS_M,MIN(AE52,cfg_DAYS_M)))</f>
        <v/>
      </c>
      <c r="G52" s="105" t="str">
        <f aca="false">IF($B52="","",SUMIFS('الحركات الشهرية'!$D$6:$D$1005,'الحركات الشهرية'!$B$6:$B$1005,$B52,'الحركات الشهرية'!$A$6:$A$1005,$C$3))</f>
        <v/>
      </c>
      <c r="H52" s="105" t="str">
        <f aca="false">IF($B52="","",SUMIFS('الحركات الشهرية'!$E$6:$E$1005,'الحركات الشهرية'!$B$6:$B$1005,$B52,'الحركات الشهرية'!$A$6:$A$1005,$C$3))</f>
        <v/>
      </c>
      <c r="I52" s="105" t="str">
        <f aca="false">IF($B52="","",MAX(0,F52-G52-H52))</f>
        <v/>
      </c>
      <c r="J52" s="86" t="str">
        <f aca="false">IF($B52="","",الموظفون!$J52*$I52/cfg_DAYS_M)</f>
        <v/>
      </c>
      <c r="K52" s="86" t="str">
        <f aca="false">IF($B52="","",الموظفون!$K52*$I52/cfg_DAYS_M)</f>
        <v/>
      </c>
      <c r="L52" s="86" t="str">
        <f aca="false">IF($B52="","",الموظفون!$L52*$I52/cfg_DAYS_M)</f>
        <v/>
      </c>
      <c r="M52" s="86" t="str">
        <f aca="false">IF($B52="","",الموظفون!$M52*$I52/cfg_DAYS_M)</f>
        <v/>
      </c>
      <c r="N52" s="105" t="str">
        <f aca="false">IF($B52="","",SUMIFS('الحركات الشهرية'!$F$6:$F$1005,'الحركات الشهرية'!$B$6:$B$1005,$B52,'الحركات الشهرية'!$A$6:$A$1005,$C$3))</f>
        <v/>
      </c>
      <c r="O52" s="86" t="str">
        <f aca="false">IF($B52="","",N52*(الموظفون!$N52+الموظفون!$J52*cfg_OT_P)/cfg_DAYS_M/cfg_HRS)</f>
        <v/>
      </c>
      <c r="P52" s="86" t="str">
        <f aca="false">IF($B52="","",SUMIFS('الحركات الشهرية'!$G$6:$G$1005,'الحركات الشهرية'!$B$6:$B$1005,$B52,'الحركات الشهرية'!$A$6:$A$1005,$C$3))</f>
        <v/>
      </c>
      <c r="Q52" s="86" t="str">
        <f aca="false">IF($B52="","",SUMIFS('الحركات الشهرية'!$H$6:$H$1005,'الحركات الشهرية'!$B$6:$B$1005,$B52,'الحركات الشهرية'!$A$6:$A$1005,$C$3))</f>
        <v/>
      </c>
      <c r="R52" s="106" t="str">
        <f aca="false">IF($B52="","",SUM(J52:M52)+SUM(O52:Q52))</f>
        <v/>
      </c>
      <c r="S52" s="86" t="str">
        <f aca="false">IF($B52="","",الموظفون!$Q52*IF(E52="سعودي",cfg_G_SE,cfg_G_NE)*F52/cfg_DAYS_M)</f>
        <v/>
      </c>
      <c r="T52" s="86" t="str">
        <f aca="false">IF($B52="","",SUMIFS('الحركات الشهرية'!$I$6:$I$1005,'الحركات الشهرية'!$B$6:$B$1005,$B52,'الحركات الشهرية'!$A$6:$A$1005,$C$3))</f>
        <v/>
      </c>
      <c r="U52" s="86" t="str">
        <f aca="false">IF($B52="","",SUMIFS('الحركات الشهرية'!$J$6:$J$1005,'الحركات الشهرية'!$B$6:$B$1005,$B52,'الحركات الشهرية'!$A$6:$A$1005,$C$3))</f>
        <v/>
      </c>
      <c r="V52" s="86" t="str">
        <f aca="false">IF($B52="","",SUM(S52:U52))</f>
        <v/>
      </c>
      <c r="W52" s="107" t="str">
        <f aca="false">IF($B52="","",R52-V52)</f>
        <v/>
      </c>
      <c r="X52" s="86" t="str">
        <f aca="false">IF($B52="","",الموظفون!$Q52*IF(E52="سعودي",cfg_G_SR,cfg_G_NR)*F52/cfg_DAYS_M)</f>
        <v/>
      </c>
      <c r="Y52" s="86" t="str">
        <f aca="false">IF($B52="","",الموظفون!$O52*(cfg_EOS_R1*(MIN(AC52,cfg_EOS_TH)-MIN(AD52,cfg_EOS_TH))+cfg_EOS_R2*(MAX(AC52-cfg_EOS_TH,0)-MAX(AD52-cfg_EOS_TH,0))))</f>
        <v/>
      </c>
      <c r="Z52" s="86" t="str">
        <f aca="false">IF($B52="","",IF(الموظفون!$R52&lt;&gt;"",الموظفون!$R52,IF(AC52&gt;=cfg_LV_TH,cfg_LV_D2,cfg_LV_D1))/cfg_DAYS_Y*AE52*الموظفون!$P52/cfg_DAYS_M)</f>
        <v/>
      </c>
      <c r="AA52" s="86" t="str">
        <f aca="false">IF($B52="","",IF(AND(الموظفون!$S52="نعم",N(الموظفون!$U52)&gt;0),الموظفون!$T52/الموظفون!$U52*12/cfg_DAYS_Y*AE52,0))</f>
        <v/>
      </c>
      <c r="AB52" s="108" t="str">
        <f aca="false">IF($B52="","",R52+SUM(X52:AA52))</f>
        <v/>
      </c>
      <c r="AC52" s="109" t="str">
        <f aca="false">IF($B52="","",MAX(0,IF(OR(الموظفون!$X52="",الموظفون!$X52&gt;$G$3),$G$3,الموظفون!$X52)-الموظفون!$H52+1)/cfg_DAYS_Y)</f>
        <v/>
      </c>
      <c r="AD52" s="109" t="str">
        <f aca="false">IF($B52="","",MAX(0,IF(OR(الموظفون!$X52="",الموظفون!$X52&gt;($E$3-1)),($E$3-1),الموظفون!$X52)-الموظفون!$H52+1)/cfg_DAYS_Y)</f>
        <v/>
      </c>
      <c r="AE52" s="51" t="str">
        <f aca="false">IF($B52="","",MAX(0,IF(OR(الموظفون!$X52="",الموظفون!$X52&gt;$G$3),$G$3,الموظفون!$X52)-MAX($E$3,الموظفون!$H52)+1))</f>
        <v/>
      </c>
    </row>
    <row r="53" customFormat="false" ht="15" hidden="false" customHeight="false" outlineLevel="0" collapsed="false">
      <c r="A53" s="89" t="str">
        <f aca="false">IF($B53="","",الموظفون!$A53)</f>
        <v/>
      </c>
      <c r="B53" s="91" t="str">
        <f aca="false">IF(الموظفون!$B53="","",الموظفون!$B53)</f>
        <v/>
      </c>
      <c r="C53" s="91" t="str">
        <f aca="false">IF($B53="","",الموظفون!$C53)</f>
        <v/>
      </c>
      <c r="D53" s="91" t="str">
        <f aca="false">IF($B53="","",الموظفون!$F53)</f>
        <v/>
      </c>
      <c r="E53" s="91" t="str">
        <f aca="false">IF($B53="","",الموظفون!$E53)</f>
        <v/>
      </c>
      <c r="F53" s="110" t="str">
        <f aca="false">IF($B53="","",IF(AE53&gt;=DAY($G$3),cfg_DAYS_M,MIN(AE53,cfg_DAYS_M)))</f>
        <v/>
      </c>
      <c r="G53" s="110" t="str">
        <f aca="false">IF($B53="","",SUMIFS('الحركات الشهرية'!$D$6:$D$1005,'الحركات الشهرية'!$B$6:$B$1005,$B53,'الحركات الشهرية'!$A$6:$A$1005,$C$3))</f>
        <v/>
      </c>
      <c r="H53" s="110" t="str">
        <f aca="false">IF($B53="","",SUMIFS('الحركات الشهرية'!$E$6:$E$1005,'الحركات الشهرية'!$B$6:$B$1005,$B53,'الحركات الشهرية'!$A$6:$A$1005,$C$3))</f>
        <v/>
      </c>
      <c r="I53" s="110" t="str">
        <f aca="false">IF($B53="","",MAX(0,F53-G53-H53))</f>
        <v/>
      </c>
      <c r="J53" s="90" t="str">
        <f aca="false">IF($B53="","",الموظفون!$J53*$I53/cfg_DAYS_M)</f>
        <v/>
      </c>
      <c r="K53" s="90" t="str">
        <f aca="false">IF($B53="","",الموظفون!$K53*$I53/cfg_DAYS_M)</f>
        <v/>
      </c>
      <c r="L53" s="90" t="str">
        <f aca="false">IF($B53="","",الموظفون!$L53*$I53/cfg_DAYS_M)</f>
        <v/>
      </c>
      <c r="M53" s="90" t="str">
        <f aca="false">IF($B53="","",الموظفون!$M53*$I53/cfg_DAYS_M)</f>
        <v/>
      </c>
      <c r="N53" s="110" t="str">
        <f aca="false">IF($B53="","",SUMIFS('الحركات الشهرية'!$F$6:$F$1005,'الحركات الشهرية'!$B$6:$B$1005,$B53,'الحركات الشهرية'!$A$6:$A$1005,$C$3))</f>
        <v/>
      </c>
      <c r="O53" s="90" t="str">
        <f aca="false">IF($B53="","",N53*(الموظفون!$N53+الموظفون!$J53*cfg_OT_P)/cfg_DAYS_M/cfg_HRS)</f>
        <v/>
      </c>
      <c r="P53" s="90" t="str">
        <f aca="false">IF($B53="","",SUMIFS('الحركات الشهرية'!$G$6:$G$1005,'الحركات الشهرية'!$B$6:$B$1005,$B53,'الحركات الشهرية'!$A$6:$A$1005,$C$3))</f>
        <v/>
      </c>
      <c r="Q53" s="90" t="str">
        <f aca="false">IF($B53="","",SUMIFS('الحركات الشهرية'!$H$6:$H$1005,'الحركات الشهرية'!$B$6:$B$1005,$B53,'الحركات الشهرية'!$A$6:$A$1005,$C$3))</f>
        <v/>
      </c>
      <c r="R53" s="111" t="str">
        <f aca="false">IF($B53="","",SUM(J53:M53)+SUM(O53:Q53))</f>
        <v/>
      </c>
      <c r="S53" s="90" t="str">
        <f aca="false">IF($B53="","",الموظفون!$Q53*IF(E53="سعودي",cfg_G_SE,cfg_G_NE)*F53/cfg_DAYS_M)</f>
        <v/>
      </c>
      <c r="T53" s="90" t="str">
        <f aca="false">IF($B53="","",SUMIFS('الحركات الشهرية'!$I$6:$I$1005,'الحركات الشهرية'!$B$6:$B$1005,$B53,'الحركات الشهرية'!$A$6:$A$1005,$C$3))</f>
        <v/>
      </c>
      <c r="U53" s="90" t="str">
        <f aca="false">IF($B53="","",SUMIFS('الحركات الشهرية'!$J$6:$J$1005,'الحركات الشهرية'!$B$6:$B$1005,$B53,'الحركات الشهرية'!$A$6:$A$1005,$C$3))</f>
        <v/>
      </c>
      <c r="V53" s="90" t="str">
        <f aca="false">IF($B53="","",SUM(S53:U53))</f>
        <v/>
      </c>
      <c r="W53" s="112" t="str">
        <f aca="false">IF($B53="","",R53-V53)</f>
        <v/>
      </c>
      <c r="X53" s="90" t="str">
        <f aca="false">IF($B53="","",الموظفون!$Q53*IF(E53="سعودي",cfg_G_SR,cfg_G_NR)*F53/cfg_DAYS_M)</f>
        <v/>
      </c>
      <c r="Y53" s="90" t="str">
        <f aca="false">IF($B53="","",الموظفون!$O53*(cfg_EOS_R1*(MIN(AC53,cfg_EOS_TH)-MIN(AD53,cfg_EOS_TH))+cfg_EOS_R2*(MAX(AC53-cfg_EOS_TH,0)-MAX(AD53-cfg_EOS_TH,0))))</f>
        <v/>
      </c>
      <c r="Z53" s="90" t="str">
        <f aca="false">IF($B53="","",IF(الموظفون!$R53&lt;&gt;"",الموظفون!$R53,IF(AC53&gt;=cfg_LV_TH,cfg_LV_D2,cfg_LV_D1))/cfg_DAYS_Y*AE53*الموظفون!$P53/cfg_DAYS_M)</f>
        <v/>
      </c>
      <c r="AA53" s="90" t="str">
        <f aca="false">IF($B53="","",IF(AND(الموظفون!$S53="نعم",N(الموظفون!$U53)&gt;0),الموظفون!$T53/الموظفون!$U53*12/cfg_DAYS_Y*AE53,0))</f>
        <v/>
      </c>
      <c r="AB53" s="113" t="str">
        <f aca="false">IF($B53="","",R53+SUM(X53:AA53))</f>
        <v/>
      </c>
      <c r="AC53" s="114" t="str">
        <f aca="false">IF($B53="","",MAX(0,IF(OR(الموظفون!$X53="",الموظفون!$X53&gt;$G$3),$G$3,الموظفون!$X53)-الموظفون!$H53+1)/cfg_DAYS_Y)</f>
        <v/>
      </c>
      <c r="AD53" s="114" t="str">
        <f aca="false">IF($B53="","",MAX(0,IF(OR(الموظفون!$X53="",الموظفون!$X53&gt;($E$3-1)),($E$3-1),الموظفون!$X53)-الموظفون!$H53+1)/cfg_DAYS_Y)</f>
        <v/>
      </c>
      <c r="AE53" s="115" t="str">
        <f aca="false">IF($B53="","",MAX(0,IF(OR(الموظفون!$X53="",الموظفون!$X53&gt;$G$3),$G$3,الموظفون!$X53)-MAX($E$3,الموظفون!$H53)+1))</f>
        <v/>
      </c>
    </row>
    <row r="54" customFormat="false" ht="15" hidden="false" customHeight="false" outlineLevel="0" collapsed="false">
      <c r="A54" s="83" t="str">
        <f aca="false">IF($B54="","",الموظفون!$A54)</f>
        <v/>
      </c>
      <c r="B54" s="74" t="str">
        <f aca="false">IF(الموظفون!$B54="","",الموظفون!$B54)</f>
        <v/>
      </c>
      <c r="C54" s="74" t="str">
        <f aca="false">IF($B54="","",الموظفون!$C54)</f>
        <v/>
      </c>
      <c r="D54" s="74" t="str">
        <f aca="false">IF($B54="","",الموظفون!$F54)</f>
        <v/>
      </c>
      <c r="E54" s="74" t="str">
        <f aca="false">IF($B54="","",الموظفون!$E54)</f>
        <v/>
      </c>
      <c r="F54" s="105" t="str">
        <f aca="false">IF($B54="","",IF(AE54&gt;=DAY($G$3),cfg_DAYS_M,MIN(AE54,cfg_DAYS_M)))</f>
        <v/>
      </c>
      <c r="G54" s="105" t="str">
        <f aca="false">IF($B54="","",SUMIFS('الحركات الشهرية'!$D$6:$D$1005,'الحركات الشهرية'!$B$6:$B$1005,$B54,'الحركات الشهرية'!$A$6:$A$1005,$C$3))</f>
        <v/>
      </c>
      <c r="H54" s="105" t="str">
        <f aca="false">IF($B54="","",SUMIFS('الحركات الشهرية'!$E$6:$E$1005,'الحركات الشهرية'!$B$6:$B$1005,$B54,'الحركات الشهرية'!$A$6:$A$1005,$C$3))</f>
        <v/>
      </c>
      <c r="I54" s="105" t="str">
        <f aca="false">IF($B54="","",MAX(0,F54-G54-H54))</f>
        <v/>
      </c>
      <c r="J54" s="86" t="str">
        <f aca="false">IF($B54="","",الموظفون!$J54*$I54/cfg_DAYS_M)</f>
        <v/>
      </c>
      <c r="K54" s="86" t="str">
        <f aca="false">IF($B54="","",الموظفون!$K54*$I54/cfg_DAYS_M)</f>
        <v/>
      </c>
      <c r="L54" s="86" t="str">
        <f aca="false">IF($B54="","",الموظفون!$L54*$I54/cfg_DAYS_M)</f>
        <v/>
      </c>
      <c r="M54" s="86" t="str">
        <f aca="false">IF($B54="","",الموظفون!$M54*$I54/cfg_DAYS_M)</f>
        <v/>
      </c>
      <c r="N54" s="105" t="str">
        <f aca="false">IF($B54="","",SUMIFS('الحركات الشهرية'!$F$6:$F$1005,'الحركات الشهرية'!$B$6:$B$1005,$B54,'الحركات الشهرية'!$A$6:$A$1005,$C$3))</f>
        <v/>
      </c>
      <c r="O54" s="86" t="str">
        <f aca="false">IF($B54="","",N54*(الموظفون!$N54+الموظفون!$J54*cfg_OT_P)/cfg_DAYS_M/cfg_HRS)</f>
        <v/>
      </c>
      <c r="P54" s="86" t="str">
        <f aca="false">IF($B54="","",SUMIFS('الحركات الشهرية'!$G$6:$G$1005,'الحركات الشهرية'!$B$6:$B$1005,$B54,'الحركات الشهرية'!$A$6:$A$1005,$C$3))</f>
        <v/>
      </c>
      <c r="Q54" s="86" t="str">
        <f aca="false">IF($B54="","",SUMIFS('الحركات الشهرية'!$H$6:$H$1005,'الحركات الشهرية'!$B$6:$B$1005,$B54,'الحركات الشهرية'!$A$6:$A$1005,$C$3))</f>
        <v/>
      </c>
      <c r="R54" s="106" t="str">
        <f aca="false">IF($B54="","",SUM(J54:M54)+SUM(O54:Q54))</f>
        <v/>
      </c>
      <c r="S54" s="86" t="str">
        <f aca="false">IF($B54="","",الموظفون!$Q54*IF(E54="سعودي",cfg_G_SE,cfg_G_NE)*F54/cfg_DAYS_M)</f>
        <v/>
      </c>
      <c r="T54" s="86" t="str">
        <f aca="false">IF($B54="","",SUMIFS('الحركات الشهرية'!$I$6:$I$1005,'الحركات الشهرية'!$B$6:$B$1005,$B54,'الحركات الشهرية'!$A$6:$A$1005,$C$3))</f>
        <v/>
      </c>
      <c r="U54" s="86" t="str">
        <f aca="false">IF($B54="","",SUMIFS('الحركات الشهرية'!$J$6:$J$1005,'الحركات الشهرية'!$B$6:$B$1005,$B54,'الحركات الشهرية'!$A$6:$A$1005,$C$3))</f>
        <v/>
      </c>
      <c r="V54" s="86" t="str">
        <f aca="false">IF($B54="","",SUM(S54:U54))</f>
        <v/>
      </c>
      <c r="W54" s="107" t="str">
        <f aca="false">IF($B54="","",R54-V54)</f>
        <v/>
      </c>
      <c r="X54" s="86" t="str">
        <f aca="false">IF($B54="","",الموظفون!$Q54*IF(E54="سعودي",cfg_G_SR,cfg_G_NR)*F54/cfg_DAYS_M)</f>
        <v/>
      </c>
      <c r="Y54" s="86" t="str">
        <f aca="false">IF($B54="","",الموظفون!$O54*(cfg_EOS_R1*(MIN(AC54,cfg_EOS_TH)-MIN(AD54,cfg_EOS_TH))+cfg_EOS_R2*(MAX(AC54-cfg_EOS_TH,0)-MAX(AD54-cfg_EOS_TH,0))))</f>
        <v/>
      </c>
      <c r="Z54" s="86" t="str">
        <f aca="false">IF($B54="","",IF(الموظفون!$R54&lt;&gt;"",الموظفون!$R54,IF(AC54&gt;=cfg_LV_TH,cfg_LV_D2,cfg_LV_D1))/cfg_DAYS_Y*AE54*الموظفون!$P54/cfg_DAYS_M)</f>
        <v/>
      </c>
      <c r="AA54" s="86" t="str">
        <f aca="false">IF($B54="","",IF(AND(الموظفون!$S54="نعم",N(الموظفون!$U54)&gt;0),الموظفون!$T54/الموظفون!$U54*12/cfg_DAYS_Y*AE54,0))</f>
        <v/>
      </c>
      <c r="AB54" s="108" t="str">
        <f aca="false">IF($B54="","",R54+SUM(X54:AA54))</f>
        <v/>
      </c>
      <c r="AC54" s="109" t="str">
        <f aca="false">IF($B54="","",MAX(0,IF(OR(الموظفون!$X54="",الموظفون!$X54&gt;$G$3),$G$3,الموظفون!$X54)-الموظفون!$H54+1)/cfg_DAYS_Y)</f>
        <v/>
      </c>
      <c r="AD54" s="109" t="str">
        <f aca="false">IF($B54="","",MAX(0,IF(OR(الموظفون!$X54="",الموظفون!$X54&gt;($E$3-1)),($E$3-1),الموظفون!$X54)-الموظفون!$H54+1)/cfg_DAYS_Y)</f>
        <v/>
      </c>
      <c r="AE54" s="51" t="str">
        <f aca="false">IF($B54="","",MAX(0,IF(OR(الموظفون!$X54="",الموظفون!$X54&gt;$G$3),$G$3,الموظفون!$X54)-MAX($E$3,الموظفون!$H54)+1))</f>
        <v/>
      </c>
    </row>
    <row r="55" customFormat="false" ht="15" hidden="false" customHeight="false" outlineLevel="0" collapsed="false">
      <c r="A55" s="89" t="str">
        <f aca="false">IF($B55="","",الموظفون!$A55)</f>
        <v/>
      </c>
      <c r="B55" s="91" t="str">
        <f aca="false">IF(الموظفون!$B55="","",الموظفون!$B55)</f>
        <v/>
      </c>
      <c r="C55" s="91" t="str">
        <f aca="false">IF($B55="","",الموظفون!$C55)</f>
        <v/>
      </c>
      <c r="D55" s="91" t="str">
        <f aca="false">IF($B55="","",الموظفون!$F55)</f>
        <v/>
      </c>
      <c r="E55" s="91" t="str">
        <f aca="false">IF($B55="","",الموظفون!$E55)</f>
        <v/>
      </c>
      <c r="F55" s="110" t="str">
        <f aca="false">IF($B55="","",IF(AE55&gt;=DAY($G$3),cfg_DAYS_M,MIN(AE55,cfg_DAYS_M)))</f>
        <v/>
      </c>
      <c r="G55" s="110" t="str">
        <f aca="false">IF($B55="","",SUMIFS('الحركات الشهرية'!$D$6:$D$1005,'الحركات الشهرية'!$B$6:$B$1005,$B55,'الحركات الشهرية'!$A$6:$A$1005,$C$3))</f>
        <v/>
      </c>
      <c r="H55" s="110" t="str">
        <f aca="false">IF($B55="","",SUMIFS('الحركات الشهرية'!$E$6:$E$1005,'الحركات الشهرية'!$B$6:$B$1005,$B55,'الحركات الشهرية'!$A$6:$A$1005,$C$3))</f>
        <v/>
      </c>
      <c r="I55" s="110" t="str">
        <f aca="false">IF($B55="","",MAX(0,F55-G55-H55))</f>
        <v/>
      </c>
      <c r="J55" s="90" t="str">
        <f aca="false">IF($B55="","",الموظفون!$J55*$I55/cfg_DAYS_M)</f>
        <v/>
      </c>
      <c r="K55" s="90" t="str">
        <f aca="false">IF($B55="","",الموظفون!$K55*$I55/cfg_DAYS_M)</f>
        <v/>
      </c>
      <c r="L55" s="90" t="str">
        <f aca="false">IF($B55="","",الموظفون!$L55*$I55/cfg_DAYS_M)</f>
        <v/>
      </c>
      <c r="M55" s="90" t="str">
        <f aca="false">IF($B55="","",الموظفون!$M55*$I55/cfg_DAYS_M)</f>
        <v/>
      </c>
      <c r="N55" s="110" t="str">
        <f aca="false">IF($B55="","",SUMIFS('الحركات الشهرية'!$F$6:$F$1005,'الحركات الشهرية'!$B$6:$B$1005,$B55,'الحركات الشهرية'!$A$6:$A$1005,$C$3))</f>
        <v/>
      </c>
      <c r="O55" s="90" t="str">
        <f aca="false">IF($B55="","",N55*(الموظفون!$N55+الموظفون!$J55*cfg_OT_P)/cfg_DAYS_M/cfg_HRS)</f>
        <v/>
      </c>
      <c r="P55" s="90" t="str">
        <f aca="false">IF($B55="","",SUMIFS('الحركات الشهرية'!$G$6:$G$1005,'الحركات الشهرية'!$B$6:$B$1005,$B55,'الحركات الشهرية'!$A$6:$A$1005,$C$3))</f>
        <v/>
      </c>
      <c r="Q55" s="90" t="str">
        <f aca="false">IF($B55="","",SUMIFS('الحركات الشهرية'!$H$6:$H$1005,'الحركات الشهرية'!$B$6:$B$1005,$B55,'الحركات الشهرية'!$A$6:$A$1005,$C$3))</f>
        <v/>
      </c>
      <c r="R55" s="111" t="str">
        <f aca="false">IF($B55="","",SUM(J55:M55)+SUM(O55:Q55))</f>
        <v/>
      </c>
      <c r="S55" s="90" t="str">
        <f aca="false">IF($B55="","",الموظفون!$Q55*IF(E55="سعودي",cfg_G_SE,cfg_G_NE)*F55/cfg_DAYS_M)</f>
        <v/>
      </c>
      <c r="T55" s="90" t="str">
        <f aca="false">IF($B55="","",SUMIFS('الحركات الشهرية'!$I$6:$I$1005,'الحركات الشهرية'!$B$6:$B$1005,$B55,'الحركات الشهرية'!$A$6:$A$1005,$C$3))</f>
        <v/>
      </c>
      <c r="U55" s="90" t="str">
        <f aca="false">IF($B55="","",SUMIFS('الحركات الشهرية'!$J$6:$J$1005,'الحركات الشهرية'!$B$6:$B$1005,$B55,'الحركات الشهرية'!$A$6:$A$1005,$C$3))</f>
        <v/>
      </c>
      <c r="V55" s="90" t="str">
        <f aca="false">IF($B55="","",SUM(S55:U55))</f>
        <v/>
      </c>
      <c r="W55" s="112" t="str">
        <f aca="false">IF($B55="","",R55-V55)</f>
        <v/>
      </c>
      <c r="X55" s="90" t="str">
        <f aca="false">IF($B55="","",الموظفون!$Q55*IF(E55="سعودي",cfg_G_SR,cfg_G_NR)*F55/cfg_DAYS_M)</f>
        <v/>
      </c>
      <c r="Y55" s="90" t="str">
        <f aca="false">IF($B55="","",الموظفون!$O55*(cfg_EOS_R1*(MIN(AC55,cfg_EOS_TH)-MIN(AD55,cfg_EOS_TH))+cfg_EOS_R2*(MAX(AC55-cfg_EOS_TH,0)-MAX(AD55-cfg_EOS_TH,0))))</f>
        <v/>
      </c>
      <c r="Z55" s="90" t="str">
        <f aca="false">IF($B55="","",IF(الموظفون!$R55&lt;&gt;"",الموظفون!$R55,IF(AC55&gt;=cfg_LV_TH,cfg_LV_D2,cfg_LV_D1))/cfg_DAYS_Y*AE55*الموظفون!$P55/cfg_DAYS_M)</f>
        <v/>
      </c>
      <c r="AA55" s="90" t="str">
        <f aca="false">IF($B55="","",IF(AND(الموظفون!$S55="نعم",N(الموظفون!$U55)&gt;0),الموظفون!$T55/الموظفون!$U55*12/cfg_DAYS_Y*AE55,0))</f>
        <v/>
      </c>
      <c r="AB55" s="113" t="str">
        <f aca="false">IF($B55="","",R55+SUM(X55:AA55))</f>
        <v/>
      </c>
      <c r="AC55" s="114" t="str">
        <f aca="false">IF($B55="","",MAX(0,IF(OR(الموظفون!$X55="",الموظفون!$X55&gt;$G$3),$G$3,الموظفون!$X55)-الموظفون!$H55+1)/cfg_DAYS_Y)</f>
        <v/>
      </c>
      <c r="AD55" s="114" t="str">
        <f aca="false">IF($B55="","",MAX(0,IF(OR(الموظفون!$X55="",الموظفون!$X55&gt;($E$3-1)),($E$3-1),الموظفون!$X55)-الموظفون!$H55+1)/cfg_DAYS_Y)</f>
        <v/>
      </c>
      <c r="AE55" s="115" t="str">
        <f aca="false">IF($B55="","",MAX(0,IF(OR(الموظفون!$X55="",الموظفون!$X55&gt;$G$3),$G$3,الموظفون!$X55)-MAX($E$3,الموظفون!$H55)+1))</f>
        <v/>
      </c>
    </row>
    <row r="56" customFormat="false" ht="15" hidden="false" customHeight="false" outlineLevel="0" collapsed="false">
      <c r="A56" s="83" t="str">
        <f aca="false">IF($B56="","",الموظفون!$A56)</f>
        <v/>
      </c>
      <c r="B56" s="74" t="str">
        <f aca="false">IF(الموظفون!$B56="","",الموظفون!$B56)</f>
        <v/>
      </c>
      <c r="C56" s="74" t="str">
        <f aca="false">IF($B56="","",الموظفون!$C56)</f>
        <v/>
      </c>
      <c r="D56" s="74" t="str">
        <f aca="false">IF($B56="","",الموظفون!$F56)</f>
        <v/>
      </c>
      <c r="E56" s="74" t="str">
        <f aca="false">IF($B56="","",الموظفون!$E56)</f>
        <v/>
      </c>
      <c r="F56" s="105" t="str">
        <f aca="false">IF($B56="","",IF(AE56&gt;=DAY($G$3),cfg_DAYS_M,MIN(AE56,cfg_DAYS_M)))</f>
        <v/>
      </c>
      <c r="G56" s="105" t="str">
        <f aca="false">IF($B56="","",SUMIFS('الحركات الشهرية'!$D$6:$D$1005,'الحركات الشهرية'!$B$6:$B$1005,$B56,'الحركات الشهرية'!$A$6:$A$1005,$C$3))</f>
        <v/>
      </c>
      <c r="H56" s="105" t="str">
        <f aca="false">IF($B56="","",SUMIFS('الحركات الشهرية'!$E$6:$E$1005,'الحركات الشهرية'!$B$6:$B$1005,$B56,'الحركات الشهرية'!$A$6:$A$1005,$C$3))</f>
        <v/>
      </c>
      <c r="I56" s="105" t="str">
        <f aca="false">IF($B56="","",MAX(0,F56-G56-H56))</f>
        <v/>
      </c>
      <c r="J56" s="86" t="str">
        <f aca="false">IF($B56="","",الموظفون!$J56*$I56/cfg_DAYS_M)</f>
        <v/>
      </c>
      <c r="K56" s="86" t="str">
        <f aca="false">IF($B56="","",الموظفون!$K56*$I56/cfg_DAYS_M)</f>
        <v/>
      </c>
      <c r="L56" s="86" t="str">
        <f aca="false">IF($B56="","",الموظفون!$L56*$I56/cfg_DAYS_M)</f>
        <v/>
      </c>
      <c r="M56" s="86" t="str">
        <f aca="false">IF($B56="","",الموظفون!$M56*$I56/cfg_DAYS_M)</f>
        <v/>
      </c>
      <c r="N56" s="105" t="str">
        <f aca="false">IF($B56="","",SUMIFS('الحركات الشهرية'!$F$6:$F$1005,'الحركات الشهرية'!$B$6:$B$1005,$B56,'الحركات الشهرية'!$A$6:$A$1005,$C$3))</f>
        <v/>
      </c>
      <c r="O56" s="86" t="str">
        <f aca="false">IF($B56="","",N56*(الموظفون!$N56+الموظفون!$J56*cfg_OT_P)/cfg_DAYS_M/cfg_HRS)</f>
        <v/>
      </c>
      <c r="P56" s="86" t="str">
        <f aca="false">IF($B56="","",SUMIFS('الحركات الشهرية'!$G$6:$G$1005,'الحركات الشهرية'!$B$6:$B$1005,$B56,'الحركات الشهرية'!$A$6:$A$1005,$C$3))</f>
        <v/>
      </c>
      <c r="Q56" s="86" t="str">
        <f aca="false">IF($B56="","",SUMIFS('الحركات الشهرية'!$H$6:$H$1005,'الحركات الشهرية'!$B$6:$B$1005,$B56,'الحركات الشهرية'!$A$6:$A$1005,$C$3))</f>
        <v/>
      </c>
      <c r="R56" s="106" t="str">
        <f aca="false">IF($B56="","",SUM(J56:M56)+SUM(O56:Q56))</f>
        <v/>
      </c>
      <c r="S56" s="86" t="str">
        <f aca="false">IF($B56="","",الموظفون!$Q56*IF(E56="سعودي",cfg_G_SE,cfg_G_NE)*F56/cfg_DAYS_M)</f>
        <v/>
      </c>
      <c r="T56" s="86" t="str">
        <f aca="false">IF($B56="","",SUMIFS('الحركات الشهرية'!$I$6:$I$1005,'الحركات الشهرية'!$B$6:$B$1005,$B56,'الحركات الشهرية'!$A$6:$A$1005,$C$3))</f>
        <v/>
      </c>
      <c r="U56" s="86" t="str">
        <f aca="false">IF($B56="","",SUMIFS('الحركات الشهرية'!$J$6:$J$1005,'الحركات الشهرية'!$B$6:$B$1005,$B56,'الحركات الشهرية'!$A$6:$A$1005,$C$3))</f>
        <v/>
      </c>
      <c r="V56" s="86" t="str">
        <f aca="false">IF($B56="","",SUM(S56:U56))</f>
        <v/>
      </c>
      <c r="W56" s="107" t="str">
        <f aca="false">IF($B56="","",R56-V56)</f>
        <v/>
      </c>
      <c r="X56" s="86" t="str">
        <f aca="false">IF($B56="","",الموظفون!$Q56*IF(E56="سعودي",cfg_G_SR,cfg_G_NR)*F56/cfg_DAYS_M)</f>
        <v/>
      </c>
      <c r="Y56" s="86" t="str">
        <f aca="false">IF($B56="","",الموظفون!$O56*(cfg_EOS_R1*(MIN(AC56,cfg_EOS_TH)-MIN(AD56,cfg_EOS_TH))+cfg_EOS_R2*(MAX(AC56-cfg_EOS_TH,0)-MAX(AD56-cfg_EOS_TH,0))))</f>
        <v/>
      </c>
      <c r="Z56" s="86" t="str">
        <f aca="false">IF($B56="","",IF(الموظفون!$R56&lt;&gt;"",الموظفون!$R56,IF(AC56&gt;=cfg_LV_TH,cfg_LV_D2,cfg_LV_D1))/cfg_DAYS_Y*AE56*الموظفون!$P56/cfg_DAYS_M)</f>
        <v/>
      </c>
      <c r="AA56" s="86" t="str">
        <f aca="false">IF($B56="","",IF(AND(الموظفون!$S56="نعم",N(الموظفون!$U56)&gt;0),الموظفون!$T56/الموظفون!$U56*12/cfg_DAYS_Y*AE56,0))</f>
        <v/>
      </c>
      <c r="AB56" s="108" t="str">
        <f aca="false">IF($B56="","",R56+SUM(X56:AA56))</f>
        <v/>
      </c>
      <c r="AC56" s="109" t="str">
        <f aca="false">IF($B56="","",MAX(0,IF(OR(الموظفون!$X56="",الموظفون!$X56&gt;$G$3),$G$3,الموظفون!$X56)-الموظفون!$H56+1)/cfg_DAYS_Y)</f>
        <v/>
      </c>
      <c r="AD56" s="109" t="str">
        <f aca="false">IF($B56="","",MAX(0,IF(OR(الموظفون!$X56="",الموظفون!$X56&gt;($E$3-1)),($E$3-1),الموظفون!$X56)-الموظفون!$H56+1)/cfg_DAYS_Y)</f>
        <v/>
      </c>
      <c r="AE56" s="51" t="str">
        <f aca="false">IF($B56="","",MAX(0,IF(OR(الموظفون!$X56="",الموظفون!$X56&gt;$G$3),$G$3,الموظفون!$X56)-MAX($E$3,الموظفون!$H56)+1))</f>
        <v/>
      </c>
    </row>
    <row r="57" customFormat="false" ht="15" hidden="false" customHeight="false" outlineLevel="0" collapsed="false">
      <c r="A57" s="89" t="str">
        <f aca="false">IF($B57="","",الموظفون!$A57)</f>
        <v/>
      </c>
      <c r="B57" s="91" t="str">
        <f aca="false">IF(الموظفون!$B57="","",الموظفون!$B57)</f>
        <v/>
      </c>
      <c r="C57" s="91" t="str">
        <f aca="false">IF($B57="","",الموظفون!$C57)</f>
        <v/>
      </c>
      <c r="D57" s="91" t="str">
        <f aca="false">IF($B57="","",الموظفون!$F57)</f>
        <v/>
      </c>
      <c r="E57" s="91" t="str">
        <f aca="false">IF($B57="","",الموظفون!$E57)</f>
        <v/>
      </c>
      <c r="F57" s="110" t="str">
        <f aca="false">IF($B57="","",IF(AE57&gt;=DAY($G$3),cfg_DAYS_M,MIN(AE57,cfg_DAYS_M)))</f>
        <v/>
      </c>
      <c r="G57" s="110" t="str">
        <f aca="false">IF($B57="","",SUMIFS('الحركات الشهرية'!$D$6:$D$1005,'الحركات الشهرية'!$B$6:$B$1005,$B57,'الحركات الشهرية'!$A$6:$A$1005,$C$3))</f>
        <v/>
      </c>
      <c r="H57" s="110" t="str">
        <f aca="false">IF($B57="","",SUMIFS('الحركات الشهرية'!$E$6:$E$1005,'الحركات الشهرية'!$B$6:$B$1005,$B57,'الحركات الشهرية'!$A$6:$A$1005,$C$3))</f>
        <v/>
      </c>
      <c r="I57" s="110" t="str">
        <f aca="false">IF($B57="","",MAX(0,F57-G57-H57))</f>
        <v/>
      </c>
      <c r="J57" s="90" t="str">
        <f aca="false">IF($B57="","",الموظفون!$J57*$I57/cfg_DAYS_M)</f>
        <v/>
      </c>
      <c r="K57" s="90" t="str">
        <f aca="false">IF($B57="","",الموظفون!$K57*$I57/cfg_DAYS_M)</f>
        <v/>
      </c>
      <c r="L57" s="90" t="str">
        <f aca="false">IF($B57="","",الموظفون!$L57*$I57/cfg_DAYS_M)</f>
        <v/>
      </c>
      <c r="M57" s="90" t="str">
        <f aca="false">IF($B57="","",الموظفون!$M57*$I57/cfg_DAYS_M)</f>
        <v/>
      </c>
      <c r="N57" s="110" t="str">
        <f aca="false">IF($B57="","",SUMIFS('الحركات الشهرية'!$F$6:$F$1005,'الحركات الشهرية'!$B$6:$B$1005,$B57,'الحركات الشهرية'!$A$6:$A$1005,$C$3))</f>
        <v/>
      </c>
      <c r="O57" s="90" t="str">
        <f aca="false">IF($B57="","",N57*(الموظفون!$N57+الموظفون!$J57*cfg_OT_P)/cfg_DAYS_M/cfg_HRS)</f>
        <v/>
      </c>
      <c r="P57" s="90" t="str">
        <f aca="false">IF($B57="","",SUMIFS('الحركات الشهرية'!$G$6:$G$1005,'الحركات الشهرية'!$B$6:$B$1005,$B57,'الحركات الشهرية'!$A$6:$A$1005,$C$3))</f>
        <v/>
      </c>
      <c r="Q57" s="90" t="str">
        <f aca="false">IF($B57="","",SUMIFS('الحركات الشهرية'!$H$6:$H$1005,'الحركات الشهرية'!$B$6:$B$1005,$B57,'الحركات الشهرية'!$A$6:$A$1005,$C$3))</f>
        <v/>
      </c>
      <c r="R57" s="111" t="str">
        <f aca="false">IF($B57="","",SUM(J57:M57)+SUM(O57:Q57))</f>
        <v/>
      </c>
      <c r="S57" s="90" t="str">
        <f aca="false">IF($B57="","",الموظفون!$Q57*IF(E57="سعودي",cfg_G_SE,cfg_G_NE)*F57/cfg_DAYS_M)</f>
        <v/>
      </c>
      <c r="T57" s="90" t="str">
        <f aca="false">IF($B57="","",SUMIFS('الحركات الشهرية'!$I$6:$I$1005,'الحركات الشهرية'!$B$6:$B$1005,$B57,'الحركات الشهرية'!$A$6:$A$1005,$C$3))</f>
        <v/>
      </c>
      <c r="U57" s="90" t="str">
        <f aca="false">IF($B57="","",SUMIFS('الحركات الشهرية'!$J$6:$J$1005,'الحركات الشهرية'!$B$6:$B$1005,$B57,'الحركات الشهرية'!$A$6:$A$1005,$C$3))</f>
        <v/>
      </c>
      <c r="V57" s="90" t="str">
        <f aca="false">IF($B57="","",SUM(S57:U57))</f>
        <v/>
      </c>
      <c r="W57" s="112" t="str">
        <f aca="false">IF($B57="","",R57-V57)</f>
        <v/>
      </c>
      <c r="X57" s="90" t="str">
        <f aca="false">IF($B57="","",الموظفون!$Q57*IF(E57="سعودي",cfg_G_SR,cfg_G_NR)*F57/cfg_DAYS_M)</f>
        <v/>
      </c>
      <c r="Y57" s="90" t="str">
        <f aca="false">IF($B57="","",الموظفون!$O57*(cfg_EOS_R1*(MIN(AC57,cfg_EOS_TH)-MIN(AD57,cfg_EOS_TH))+cfg_EOS_R2*(MAX(AC57-cfg_EOS_TH,0)-MAX(AD57-cfg_EOS_TH,0))))</f>
        <v/>
      </c>
      <c r="Z57" s="90" t="str">
        <f aca="false">IF($B57="","",IF(الموظفون!$R57&lt;&gt;"",الموظفون!$R57,IF(AC57&gt;=cfg_LV_TH,cfg_LV_D2,cfg_LV_D1))/cfg_DAYS_Y*AE57*الموظفون!$P57/cfg_DAYS_M)</f>
        <v/>
      </c>
      <c r="AA57" s="90" t="str">
        <f aca="false">IF($B57="","",IF(AND(الموظفون!$S57="نعم",N(الموظفون!$U57)&gt;0),الموظفون!$T57/الموظفون!$U57*12/cfg_DAYS_Y*AE57,0))</f>
        <v/>
      </c>
      <c r="AB57" s="113" t="str">
        <f aca="false">IF($B57="","",R57+SUM(X57:AA57))</f>
        <v/>
      </c>
      <c r="AC57" s="114" t="str">
        <f aca="false">IF($B57="","",MAX(0,IF(OR(الموظفون!$X57="",الموظفون!$X57&gt;$G$3),$G$3,الموظفون!$X57)-الموظفون!$H57+1)/cfg_DAYS_Y)</f>
        <v/>
      </c>
      <c r="AD57" s="114" t="str">
        <f aca="false">IF($B57="","",MAX(0,IF(OR(الموظفون!$X57="",الموظفون!$X57&gt;($E$3-1)),($E$3-1),الموظفون!$X57)-الموظفون!$H57+1)/cfg_DAYS_Y)</f>
        <v/>
      </c>
      <c r="AE57" s="115" t="str">
        <f aca="false">IF($B57="","",MAX(0,IF(OR(الموظفون!$X57="",الموظفون!$X57&gt;$G$3),$G$3,الموظفون!$X57)-MAX($E$3,الموظفون!$H57)+1))</f>
        <v/>
      </c>
    </row>
    <row r="58" customFormat="false" ht="15" hidden="false" customHeight="false" outlineLevel="0" collapsed="false">
      <c r="A58" s="83" t="str">
        <f aca="false">IF($B58="","",الموظفون!$A58)</f>
        <v/>
      </c>
      <c r="B58" s="74" t="str">
        <f aca="false">IF(الموظفون!$B58="","",الموظفون!$B58)</f>
        <v/>
      </c>
      <c r="C58" s="74" t="str">
        <f aca="false">IF($B58="","",الموظفون!$C58)</f>
        <v/>
      </c>
      <c r="D58" s="74" t="str">
        <f aca="false">IF($B58="","",الموظفون!$F58)</f>
        <v/>
      </c>
      <c r="E58" s="74" t="str">
        <f aca="false">IF($B58="","",الموظفون!$E58)</f>
        <v/>
      </c>
      <c r="F58" s="105" t="str">
        <f aca="false">IF($B58="","",IF(AE58&gt;=DAY($G$3),cfg_DAYS_M,MIN(AE58,cfg_DAYS_M)))</f>
        <v/>
      </c>
      <c r="G58" s="105" t="str">
        <f aca="false">IF($B58="","",SUMIFS('الحركات الشهرية'!$D$6:$D$1005,'الحركات الشهرية'!$B$6:$B$1005,$B58,'الحركات الشهرية'!$A$6:$A$1005,$C$3))</f>
        <v/>
      </c>
      <c r="H58" s="105" t="str">
        <f aca="false">IF($B58="","",SUMIFS('الحركات الشهرية'!$E$6:$E$1005,'الحركات الشهرية'!$B$6:$B$1005,$B58,'الحركات الشهرية'!$A$6:$A$1005,$C$3))</f>
        <v/>
      </c>
      <c r="I58" s="105" t="str">
        <f aca="false">IF($B58="","",MAX(0,F58-G58-H58))</f>
        <v/>
      </c>
      <c r="J58" s="86" t="str">
        <f aca="false">IF($B58="","",الموظفون!$J58*$I58/cfg_DAYS_M)</f>
        <v/>
      </c>
      <c r="K58" s="86" t="str">
        <f aca="false">IF($B58="","",الموظفون!$K58*$I58/cfg_DAYS_M)</f>
        <v/>
      </c>
      <c r="L58" s="86" t="str">
        <f aca="false">IF($B58="","",الموظفون!$L58*$I58/cfg_DAYS_M)</f>
        <v/>
      </c>
      <c r="M58" s="86" t="str">
        <f aca="false">IF($B58="","",الموظفون!$M58*$I58/cfg_DAYS_M)</f>
        <v/>
      </c>
      <c r="N58" s="105" t="str">
        <f aca="false">IF($B58="","",SUMIFS('الحركات الشهرية'!$F$6:$F$1005,'الحركات الشهرية'!$B$6:$B$1005,$B58,'الحركات الشهرية'!$A$6:$A$1005,$C$3))</f>
        <v/>
      </c>
      <c r="O58" s="86" t="str">
        <f aca="false">IF($B58="","",N58*(الموظفون!$N58+الموظفون!$J58*cfg_OT_P)/cfg_DAYS_M/cfg_HRS)</f>
        <v/>
      </c>
      <c r="P58" s="86" t="str">
        <f aca="false">IF($B58="","",SUMIFS('الحركات الشهرية'!$G$6:$G$1005,'الحركات الشهرية'!$B$6:$B$1005,$B58,'الحركات الشهرية'!$A$6:$A$1005,$C$3))</f>
        <v/>
      </c>
      <c r="Q58" s="86" t="str">
        <f aca="false">IF($B58="","",SUMIFS('الحركات الشهرية'!$H$6:$H$1005,'الحركات الشهرية'!$B$6:$B$1005,$B58,'الحركات الشهرية'!$A$6:$A$1005,$C$3))</f>
        <v/>
      </c>
      <c r="R58" s="106" t="str">
        <f aca="false">IF($B58="","",SUM(J58:M58)+SUM(O58:Q58))</f>
        <v/>
      </c>
      <c r="S58" s="86" t="str">
        <f aca="false">IF($B58="","",الموظفون!$Q58*IF(E58="سعودي",cfg_G_SE,cfg_G_NE)*F58/cfg_DAYS_M)</f>
        <v/>
      </c>
      <c r="T58" s="86" t="str">
        <f aca="false">IF($B58="","",SUMIFS('الحركات الشهرية'!$I$6:$I$1005,'الحركات الشهرية'!$B$6:$B$1005,$B58,'الحركات الشهرية'!$A$6:$A$1005,$C$3))</f>
        <v/>
      </c>
      <c r="U58" s="86" t="str">
        <f aca="false">IF($B58="","",SUMIFS('الحركات الشهرية'!$J$6:$J$1005,'الحركات الشهرية'!$B$6:$B$1005,$B58,'الحركات الشهرية'!$A$6:$A$1005,$C$3))</f>
        <v/>
      </c>
      <c r="V58" s="86" t="str">
        <f aca="false">IF($B58="","",SUM(S58:U58))</f>
        <v/>
      </c>
      <c r="W58" s="107" t="str">
        <f aca="false">IF($B58="","",R58-V58)</f>
        <v/>
      </c>
      <c r="X58" s="86" t="str">
        <f aca="false">IF($B58="","",الموظفون!$Q58*IF(E58="سعودي",cfg_G_SR,cfg_G_NR)*F58/cfg_DAYS_M)</f>
        <v/>
      </c>
      <c r="Y58" s="86" t="str">
        <f aca="false">IF($B58="","",الموظفون!$O58*(cfg_EOS_R1*(MIN(AC58,cfg_EOS_TH)-MIN(AD58,cfg_EOS_TH))+cfg_EOS_R2*(MAX(AC58-cfg_EOS_TH,0)-MAX(AD58-cfg_EOS_TH,0))))</f>
        <v/>
      </c>
      <c r="Z58" s="86" t="str">
        <f aca="false">IF($B58="","",IF(الموظفون!$R58&lt;&gt;"",الموظفون!$R58,IF(AC58&gt;=cfg_LV_TH,cfg_LV_D2,cfg_LV_D1))/cfg_DAYS_Y*AE58*الموظفون!$P58/cfg_DAYS_M)</f>
        <v/>
      </c>
      <c r="AA58" s="86" t="str">
        <f aca="false">IF($B58="","",IF(AND(الموظفون!$S58="نعم",N(الموظفون!$U58)&gt;0),الموظفون!$T58/الموظفون!$U58*12/cfg_DAYS_Y*AE58,0))</f>
        <v/>
      </c>
      <c r="AB58" s="108" t="str">
        <f aca="false">IF($B58="","",R58+SUM(X58:AA58))</f>
        <v/>
      </c>
      <c r="AC58" s="109" t="str">
        <f aca="false">IF($B58="","",MAX(0,IF(OR(الموظفون!$X58="",الموظفون!$X58&gt;$G$3),$G$3,الموظفون!$X58)-الموظفون!$H58+1)/cfg_DAYS_Y)</f>
        <v/>
      </c>
      <c r="AD58" s="109" t="str">
        <f aca="false">IF($B58="","",MAX(0,IF(OR(الموظفون!$X58="",الموظفون!$X58&gt;($E$3-1)),($E$3-1),الموظفون!$X58)-الموظفون!$H58+1)/cfg_DAYS_Y)</f>
        <v/>
      </c>
      <c r="AE58" s="51" t="str">
        <f aca="false">IF($B58="","",MAX(0,IF(OR(الموظفون!$X58="",الموظفون!$X58&gt;$G$3),$G$3,الموظفون!$X58)-MAX($E$3,الموظفون!$H58)+1))</f>
        <v/>
      </c>
    </row>
    <row r="59" customFormat="false" ht="15" hidden="false" customHeight="false" outlineLevel="0" collapsed="false">
      <c r="A59" s="89" t="str">
        <f aca="false">IF($B59="","",الموظفون!$A59)</f>
        <v/>
      </c>
      <c r="B59" s="91" t="str">
        <f aca="false">IF(الموظفون!$B59="","",الموظفون!$B59)</f>
        <v/>
      </c>
      <c r="C59" s="91" t="str">
        <f aca="false">IF($B59="","",الموظفون!$C59)</f>
        <v/>
      </c>
      <c r="D59" s="91" t="str">
        <f aca="false">IF($B59="","",الموظفون!$F59)</f>
        <v/>
      </c>
      <c r="E59" s="91" t="str">
        <f aca="false">IF($B59="","",الموظفون!$E59)</f>
        <v/>
      </c>
      <c r="F59" s="110" t="str">
        <f aca="false">IF($B59="","",IF(AE59&gt;=DAY($G$3),cfg_DAYS_M,MIN(AE59,cfg_DAYS_M)))</f>
        <v/>
      </c>
      <c r="G59" s="110" t="str">
        <f aca="false">IF($B59="","",SUMIFS('الحركات الشهرية'!$D$6:$D$1005,'الحركات الشهرية'!$B$6:$B$1005,$B59,'الحركات الشهرية'!$A$6:$A$1005,$C$3))</f>
        <v/>
      </c>
      <c r="H59" s="110" t="str">
        <f aca="false">IF($B59="","",SUMIFS('الحركات الشهرية'!$E$6:$E$1005,'الحركات الشهرية'!$B$6:$B$1005,$B59,'الحركات الشهرية'!$A$6:$A$1005,$C$3))</f>
        <v/>
      </c>
      <c r="I59" s="110" t="str">
        <f aca="false">IF($B59="","",MAX(0,F59-G59-H59))</f>
        <v/>
      </c>
      <c r="J59" s="90" t="str">
        <f aca="false">IF($B59="","",الموظفون!$J59*$I59/cfg_DAYS_M)</f>
        <v/>
      </c>
      <c r="K59" s="90" t="str">
        <f aca="false">IF($B59="","",الموظفون!$K59*$I59/cfg_DAYS_M)</f>
        <v/>
      </c>
      <c r="L59" s="90" t="str">
        <f aca="false">IF($B59="","",الموظفون!$L59*$I59/cfg_DAYS_M)</f>
        <v/>
      </c>
      <c r="M59" s="90" t="str">
        <f aca="false">IF($B59="","",الموظفون!$M59*$I59/cfg_DAYS_M)</f>
        <v/>
      </c>
      <c r="N59" s="110" t="str">
        <f aca="false">IF($B59="","",SUMIFS('الحركات الشهرية'!$F$6:$F$1005,'الحركات الشهرية'!$B$6:$B$1005,$B59,'الحركات الشهرية'!$A$6:$A$1005,$C$3))</f>
        <v/>
      </c>
      <c r="O59" s="90" t="str">
        <f aca="false">IF($B59="","",N59*(الموظفون!$N59+الموظفون!$J59*cfg_OT_P)/cfg_DAYS_M/cfg_HRS)</f>
        <v/>
      </c>
      <c r="P59" s="90" t="str">
        <f aca="false">IF($B59="","",SUMIFS('الحركات الشهرية'!$G$6:$G$1005,'الحركات الشهرية'!$B$6:$B$1005,$B59,'الحركات الشهرية'!$A$6:$A$1005,$C$3))</f>
        <v/>
      </c>
      <c r="Q59" s="90" t="str">
        <f aca="false">IF($B59="","",SUMIFS('الحركات الشهرية'!$H$6:$H$1005,'الحركات الشهرية'!$B$6:$B$1005,$B59,'الحركات الشهرية'!$A$6:$A$1005,$C$3))</f>
        <v/>
      </c>
      <c r="R59" s="111" t="str">
        <f aca="false">IF($B59="","",SUM(J59:M59)+SUM(O59:Q59))</f>
        <v/>
      </c>
      <c r="S59" s="90" t="str">
        <f aca="false">IF($B59="","",الموظفون!$Q59*IF(E59="سعودي",cfg_G_SE,cfg_G_NE)*F59/cfg_DAYS_M)</f>
        <v/>
      </c>
      <c r="T59" s="90" t="str">
        <f aca="false">IF($B59="","",SUMIFS('الحركات الشهرية'!$I$6:$I$1005,'الحركات الشهرية'!$B$6:$B$1005,$B59,'الحركات الشهرية'!$A$6:$A$1005,$C$3))</f>
        <v/>
      </c>
      <c r="U59" s="90" t="str">
        <f aca="false">IF($B59="","",SUMIFS('الحركات الشهرية'!$J$6:$J$1005,'الحركات الشهرية'!$B$6:$B$1005,$B59,'الحركات الشهرية'!$A$6:$A$1005,$C$3))</f>
        <v/>
      </c>
      <c r="V59" s="90" t="str">
        <f aca="false">IF($B59="","",SUM(S59:U59))</f>
        <v/>
      </c>
      <c r="W59" s="112" t="str">
        <f aca="false">IF($B59="","",R59-V59)</f>
        <v/>
      </c>
      <c r="X59" s="90" t="str">
        <f aca="false">IF($B59="","",الموظفون!$Q59*IF(E59="سعودي",cfg_G_SR,cfg_G_NR)*F59/cfg_DAYS_M)</f>
        <v/>
      </c>
      <c r="Y59" s="90" t="str">
        <f aca="false">IF($B59="","",الموظفون!$O59*(cfg_EOS_R1*(MIN(AC59,cfg_EOS_TH)-MIN(AD59,cfg_EOS_TH))+cfg_EOS_R2*(MAX(AC59-cfg_EOS_TH,0)-MAX(AD59-cfg_EOS_TH,0))))</f>
        <v/>
      </c>
      <c r="Z59" s="90" t="str">
        <f aca="false">IF($B59="","",IF(الموظفون!$R59&lt;&gt;"",الموظفون!$R59,IF(AC59&gt;=cfg_LV_TH,cfg_LV_D2,cfg_LV_D1))/cfg_DAYS_Y*AE59*الموظفون!$P59/cfg_DAYS_M)</f>
        <v/>
      </c>
      <c r="AA59" s="90" t="str">
        <f aca="false">IF($B59="","",IF(AND(الموظفون!$S59="نعم",N(الموظفون!$U59)&gt;0),الموظفون!$T59/الموظفون!$U59*12/cfg_DAYS_Y*AE59,0))</f>
        <v/>
      </c>
      <c r="AB59" s="113" t="str">
        <f aca="false">IF($B59="","",R59+SUM(X59:AA59))</f>
        <v/>
      </c>
      <c r="AC59" s="114" t="str">
        <f aca="false">IF($B59="","",MAX(0,IF(OR(الموظفون!$X59="",الموظفون!$X59&gt;$G$3),$G$3,الموظفون!$X59)-الموظفون!$H59+1)/cfg_DAYS_Y)</f>
        <v/>
      </c>
      <c r="AD59" s="114" t="str">
        <f aca="false">IF($B59="","",MAX(0,IF(OR(الموظفون!$X59="",الموظفون!$X59&gt;($E$3-1)),($E$3-1),الموظفون!$X59)-الموظفون!$H59+1)/cfg_DAYS_Y)</f>
        <v/>
      </c>
      <c r="AE59" s="115" t="str">
        <f aca="false">IF($B59="","",MAX(0,IF(OR(الموظفون!$X59="",الموظفون!$X59&gt;$G$3),$G$3,الموظفون!$X59)-MAX($E$3,الموظفون!$H59)+1))</f>
        <v/>
      </c>
    </row>
    <row r="60" customFormat="false" ht="15" hidden="false" customHeight="false" outlineLevel="0" collapsed="false">
      <c r="A60" s="83" t="str">
        <f aca="false">IF($B60="","",الموظفون!$A60)</f>
        <v/>
      </c>
      <c r="B60" s="74" t="str">
        <f aca="false">IF(الموظفون!$B60="","",الموظفون!$B60)</f>
        <v/>
      </c>
      <c r="C60" s="74" t="str">
        <f aca="false">IF($B60="","",الموظفون!$C60)</f>
        <v/>
      </c>
      <c r="D60" s="74" t="str">
        <f aca="false">IF($B60="","",الموظفون!$F60)</f>
        <v/>
      </c>
      <c r="E60" s="74" t="str">
        <f aca="false">IF($B60="","",الموظفون!$E60)</f>
        <v/>
      </c>
      <c r="F60" s="105" t="str">
        <f aca="false">IF($B60="","",IF(AE60&gt;=DAY($G$3),cfg_DAYS_M,MIN(AE60,cfg_DAYS_M)))</f>
        <v/>
      </c>
      <c r="G60" s="105" t="str">
        <f aca="false">IF($B60="","",SUMIFS('الحركات الشهرية'!$D$6:$D$1005,'الحركات الشهرية'!$B$6:$B$1005,$B60,'الحركات الشهرية'!$A$6:$A$1005,$C$3))</f>
        <v/>
      </c>
      <c r="H60" s="105" t="str">
        <f aca="false">IF($B60="","",SUMIFS('الحركات الشهرية'!$E$6:$E$1005,'الحركات الشهرية'!$B$6:$B$1005,$B60,'الحركات الشهرية'!$A$6:$A$1005,$C$3))</f>
        <v/>
      </c>
      <c r="I60" s="105" t="str">
        <f aca="false">IF($B60="","",MAX(0,F60-G60-H60))</f>
        <v/>
      </c>
      <c r="J60" s="86" t="str">
        <f aca="false">IF($B60="","",الموظفون!$J60*$I60/cfg_DAYS_M)</f>
        <v/>
      </c>
      <c r="K60" s="86" t="str">
        <f aca="false">IF($B60="","",الموظفون!$K60*$I60/cfg_DAYS_M)</f>
        <v/>
      </c>
      <c r="L60" s="86" t="str">
        <f aca="false">IF($B60="","",الموظفون!$L60*$I60/cfg_DAYS_M)</f>
        <v/>
      </c>
      <c r="M60" s="86" t="str">
        <f aca="false">IF($B60="","",الموظفون!$M60*$I60/cfg_DAYS_M)</f>
        <v/>
      </c>
      <c r="N60" s="105" t="str">
        <f aca="false">IF($B60="","",SUMIFS('الحركات الشهرية'!$F$6:$F$1005,'الحركات الشهرية'!$B$6:$B$1005,$B60,'الحركات الشهرية'!$A$6:$A$1005,$C$3))</f>
        <v/>
      </c>
      <c r="O60" s="86" t="str">
        <f aca="false">IF($B60="","",N60*(الموظفون!$N60+الموظفون!$J60*cfg_OT_P)/cfg_DAYS_M/cfg_HRS)</f>
        <v/>
      </c>
      <c r="P60" s="86" t="str">
        <f aca="false">IF($B60="","",SUMIFS('الحركات الشهرية'!$G$6:$G$1005,'الحركات الشهرية'!$B$6:$B$1005,$B60,'الحركات الشهرية'!$A$6:$A$1005,$C$3))</f>
        <v/>
      </c>
      <c r="Q60" s="86" t="str">
        <f aca="false">IF($B60="","",SUMIFS('الحركات الشهرية'!$H$6:$H$1005,'الحركات الشهرية'!$B$6:$B$1005,$B60,'الحركات الشهرية'!$A$6:$A$1005,$C$3))</f>
        <v/>
      </c>
      <c r="R60" s="106" t="str">
        <f aca="false">IF($B60="","",SUM(J60:M60)+SUM(O60:Q60))</f>
        <v/>
      </c>
      <c r="S60" s="86" t="str">
        <f aca="false">IF($B60="","",الموظفون!$Q60*IF(E60="سعودي",cfg_G_SE,cfg_G_NE)*F60/cfg_DAYS_M)</f>
        <v/>
      </c>
      <c r="T60" s="86" t="str">
        <f aca="false">IF($B60="","",SUMIFS('الحركات الشهرية'!$I$6:$I$1005,'الحركات الشهرية'!$B$6:$B$1005,$B60,'الحركات الشهرية'!$A$6:$A$1005,$C$3))</f>
        <v/>
      </c>
      <c r="U60" s="86" t="str">
        <f aca="false">IF($B60="","",SUMIFS('الحركات الشهرية'!$J$6:$J$1005,'الحركات الشهرية'!$B$6:$B$1005,$B60,'الحركات الشهرية'!$A$6:$A$1005,$C$3))</f>
        <v/>
      </c>
      <c r="V60" s="86" t="str">
        <f aca="false">IF($B60="","",SUM(S60:U60))</f>
        <v/>
      </c>
      <c r="W60" s="107" t="str">
        <f aca="false">IF($B60="","",R60-V60)</f>
        <v/>
      </c>
      <c r="X60" s="86" t="str">
        <f aca="false">IF($B60="","",الموظفون!$Q60*IF(E60="سعودي",cfg_G_SR,cfg_G_NR)*F60/cfg_DAYS_M)</f>
        <v/>
      </c>
      <c r="Y60" s="86" t="str">
        <f aca="false">IF($B60="","",الموظفون!$O60*(cfg_EOS_R1*(MIN(AC60,cfg_EOS_TH)-MIN(AD60,cfg_EOS_TH))+cfg_EOS_R2*(MAX(AC60-cfg_EOS_TH,0)-MAX(AD60-cfg_EOS_TH,0))))</f>
        <v/>
      </c>
      <c r="Z60" s="86" t="str">
        <f aca="false">IF($B60="","",IF(الموظفون!$R60&lt;&gt;"",الموظفون!$R60,IF(AC60&gt;=cfg_LV_TH,cfg_LV_D2,cfg_LV_D1))/cfg_DAYS_Y*AE60*الموظفون!$P60/cfg_DAYS_M)</f>
        <v/>
      </c>
      <c r="AA60" s="86" t="str">
        <f aca="false">IF($B60="","",IF(AND(الموظفون!$S60="نعم",N(الموظفون!$U60)&gt;0),الموظفون!$T60/الموظفون!$U60*12/cfg_DAYS_Y*AE60,0))</f>
        <v/>
      </c>
      <c r="AB60" s="108" t="str">
        <f aca="false">IF($B60="","",R60+SUM(X60:AA60))</f>
        <v/>
      </c>
      <c r="AC60" s="109" t="str">
        <f aca="false">IF($B60="","",MAX(0,IF(OR(الموظفون!$X60="",الموظفون!$X60&gt;$G$3),$G$3,الموظفون!$X60)-الموظفون!$H60+1)/cfg_DAYS_Y)</f>
        <v/>
      </c>
      <c r="AD60" s="109" t="str">
        <f aca="false">IF($B60="","",MAX(0,IF(OR(الموظفون!$X60="",الموظفون!$X60&gt;($E$3-1)),($E$3-1),الموظفون!$X60)-الموظفون!$H60+1)/cfg_DAYS_Y)</f>
        <v/>
      </c>
      <c r="AE60" s="51" t="str">
        <f aca="false">IF($B60="","",MAX(0,IF(OR(الموظفون!$X60="",الموظفون!$X60&gt;$G$3),$G$3,الموظفون!$X60)-MAX($E$3,الموظفون!$H60)+1))</f>
        <v/>
      </c>
    </row>
    <row r="61" customFormat="false" ht="15" hidden="false" customHeight="false" outlineLevel="0" collapsed="false">
      <c r="A61" s="89" t="str">
        <f aca="false">IF($B61="","",الموظفون!$A61)</f>
        <v/>
      </c>
      <c r="B61" s="91" t="str">
        <f aca="false">IF(الموظفون!$B61="","",الموظفون!$B61)</f>
        <v/>
      </c>
      <c r="C61" s="91" t="str">
        <f aca="false">IF($B61="","",الموظفون!$C61)</f>
        <v/>
      </c>
      <c r="D61" s="91" t="str">
        <f aca="false">IF($B61="","",الموظفون!$F61)</f>
        <v/>
      </c>
      <c r="E61" s="91" t="str">
        <f aca="false">IF($B61="","",الموظفون!$E61)</f>
        <v/>
      </c>
      <c r="F61" s="110" t="str">
        <f aca="false">IF($B61="","",IF(AE61&gt;=DAY($G$3),cfg_DAYS_M,MIN(AE61,cfg_DAYS_M)))</f>
        <v/>
      </c>
      <c r="G61" s="110" t="str">
        <f aca="false">IF($B61="","",SUMIFS('الحركات الشهرية'!$D$6:$D$1005,'الحركات الشهرية'!$B$6:$B$1005,$B61,'الحركات الشهرية'!$A$6:$A$1005,$C$3))</f>
        <v/>
      </c>
      <c r="H61" s="110" t="str">
        <f aca="false">IF($B61="","",SUMIFS('الحركات الشهرية'!$E$6:$E$1005,'الحركات الشهرية'!$B$6:$B$1005,$B61,'الحركات الشهرية'!$A$6:$A$1005,$C$3))</f>
        <v/>
      </c>
      <c r="I61" s="110" t="str">
        <f aca="false">IF($B61="","",MAX(0,F61-G61-H61))</f>
        <v/>
      </c>
      <c r="J61" s="90" t="str">
        <f aca="false">IF($B61="","",الموظفون!$J61*$I61/cfg_DAYS_M)</f>
        <v/>
      </c>
      <c r="K61" s="90" t="str">
        <f aca="false">IF($B61="","",الموظفون!$K61*$I61/cfg_DAYS_M)</f>
        <v/>
      </c>
      <c r="L61" s="90" t="str">
        <f aca="false">IF($B61="","",الموظفون!$L61*$I61/cfg_DAYS_M)</f>
        <v/>
      </c>
      <c r="M61" s="90" t="str">
        <f aca="false">IF($B61="","",الموظفون!$M61*$I61/cfg_DAYS_M)</f>
        <v/>
      </c>
      <c r="N61" s="110" t="str">
        <f aca="false">IF($B61="","",SUMIFS('الحركات الشهرية'!$F$6:$F$1005,'الحركات الشهرية'!$B$6:$B$1005,$B61,'الحركات الشهرية'!$A$6:$A$1005,$C$3))</f>
        <v/>
      </c>
      <c r="O61" s="90" t="str">
        <f aca="false">IF($B61="","",N61*(الموظفون!$N61+الموظفون!$J61*cfg_OT_P)/cfg_DAYS_M/cfg_HRS)</f>
        <v/>
      </c>
      <c r="P61" s="90" t="str">
        <f aca="false">IF($B61="","",SUMIFS('الحركات الشهرية'!$G$6:$G$1005,'الحركات الشهرية'!$B$6:$B$1005,$B61,'الحركات الشهرية'!$A$6:$A$1005,$C$3))</f>
        <v/>
      </c>
      <c r="Q61" s="90" t="str">
        <f aca="false">IF($B61="","",SUMIFS('الحركات الشهرية'!$H$6:$H$1005,'الحركات الشهرية'!$B$6:$B$1005,$B61,'الحركات الشهرية'!$A$6:$A$1005,$C$3))</f>
        <v/>
      </c>
      <c r="R61" s="111" t="str">
        <f aca="false">IF($B61="","",SUM(J61:M61)+SUM(O61:Q61))</f>
        <v/>
      </c>
      <c r="S61" s="90" t="str">
        <f aca="false">IF($B61="","",الموظفون!$Q61*IF(E61="سعودي",cfg_G_SE,cfg_G_NE)*F61/cfg_DAYS_M)</f>
        <v/>
      </c>
      <c r="T61" s="90" t="str">
        <f aca="false">IF($B61="","",SUMIFS('الحركات الشهرية'!$I$6:$I$1005,'الحركات الشهرية'!$B$6:$B$1005,$B61,'الحركات الشهرية'!$A$6:$A$1005,$C$3))</f>
        <v/>
      </c>
      <c r="U61" s="90" t="str">
        <f aca="false">IF($B61="","",SUMIFS('الحركات الشهرية'!$J$6:$J$1005,'الحركات الشهرية'!$B$6:$B$1005,$B61,'الحركات الشهرية'!$A$6:$A$1005,$C$3))</f>
        <v/>
      </c>
      <c r="V61" s="90" t="str">
        <f aca="false">IF($B61="","",SUM(S61:U61))</f>
        <v/>
      </c>
      <c r="W61" s="112" t="str">
        <f aca="false">IF($B61="","",R61-V61)</f>
        <v/>
      </c>
      <c r="X61" s="90" t="str">
        <f aca="false">IF($B61="","",الموظفون!$Q61*IF(E61="سعودي",cfg_G_SR,cfg_G_NR)*F61/cfg_DAYS_M)</f>
        <v/>
      </c>
      <c r="Y61" s="90" t="str">
        <f aca="false">IF($B61="","",الموظفون!$O61*(cfg_EOS_R1*(MIN(AC61,cfg_EOS_TH)-MIN(AD61,cfg_EOS_TH))+cfg_EOS_R2*(MAX(AC61-cfg_EOS_TH,0)-MAX(AD61-cfg_EOS_TH,0))))</f>
        <v/>
      </c>
      <c r="Z61" s="90" t="str">
        <f aca="false">IF($B61="","",IF(الموظفون!$R61&lt;&gt;"",الموظفون!$R61,IF(AC61&gt;=cfg_LV_TH,cfg_LV_D2,cfg_LV_D1))/cfg_DAYS_Y*AE61*الموظفون!$P61/cfg_DAYS_M)</f>
        <v/>
      </c>
      <c r="AA61" s="90" t="str">
        <f aca="false">IF($B61="","",IF(AND(الموظفون!$S61="نعم",N(الموظفون!$U61)&gt;0),الموظفون!$T61/الموظفون!$U61*12/cfg_DAYS_Y*AE61,0))</f>
        <v/>
      </c>
      <c r="AB61" s="113" t="str">
        <f aca="false">IF($B61="","",R61+SUM(X61:AA61))</f>
        <v/>
      </c>
      <c r="AC61" s="114" t="str">
        <f aca="false">IF($B61="","",MAX(0,IF(OR(الموظفون!$X61="",الموظفون!$X61&gt;$G$3),$G$3,الموظفون!$X61)-الموظفون!$H61+1)/cfg_DAYS_Y)</f>
        <v/>
      </c>
      <c r="AD61" s="114" t="str">
        <f aca="false">IF($B61="","",MAX(0,IF(OR(الموظفون!$X61="",الموظفون!$X61&gt;($E$3-1)),($E$3-1),الموظفون!$X61)-الموظفون!$H61+1)/cfg_DAYS_Y)</f>
        <v/>
      </c>
      <c r="AE61" s="115" t="str">
        <f aca="false">IF($B61="","",MAX(0,IF(OR(الموظفون!$X61="",الموظفون!$X61&gt;$G$3),$G$3,الموظفون!$X61)-MAX($E$3,الموظفون!$H61)+1))</f>
        <v/>
      </c>
    </row>
    <row r="62" customFormat="false" ht="15" hidden="false" customHeight="false" outlineLevel="0" collapsed="false">
      <c r="A62" s="83" t="str">
        <f aca="false">IF($B62="","",الموظفون!$A62)</f>
        <v/>
      </c>
      <c r="B62" s="74" t="str">
        <f aca="false">IF(الموظفون!$B62="","",الموظفون!$B62)</f>
        <v/>
      </c>
      <c r="C62" s="74" t="str">
        <f aca="false">IF($B62="","",الموظفون!$C62)</f>
        <v/>
      </c>
      <c r="D62" s="74" t="str">
        <f aca="false">IF($B62="","",الموظفون!$F62)</f>
        <v/>
      </c>
      <c r="E62" s="74" t="str">
        <f aca="false">IF($B62="","",الموظفون!$E62)</f>
        <v/>
      </c>
      <c r="F62" s="105" t="str">
        <f aca="false">IF($B62="","",IF(AE62&gt;=DAY($G$3),cfg_DAYS_M,MIN(AE62,cfg_DAYS_M)))</f>
        <v/>
      </c>
      <c r="G62" s="105" t="str">
        <f aca="false">IF($B62="","",SUMIFS('الحركات الشهرية'!$D$6:$D$1005,'الحركات الشهرية'!$B$6:$B$1005,$B62,'الحركات الشهرية'!$A$6:$A$1005,$C$3))</f>
        <v/>
      </c>
      <c r="H62" s="105" t="str">
        <f aca="false">IF($B62="","",SUMIFS('الحركات الشهرية'!$E$6:$E$1005,'الحركات الشهرية'!$B$6:$B$1005,$B62,'الحركات الشهرية'!$A$6:$A$1005,$C$3))</f>
        <v/>
      </c>
      <c r="I62" s="105" t="str">
        <f aca="false">IF($B62="","",MAX(0,F62-G62-H62))</f>
        <v/>
      </c>
      <c r="J62" s="86" t="str">
        <f aca="false">IF($B62="","",الموظفون!$J62*$I62/cfg_DAYS_M)</f>
        <v/>
      </c>
      <c r="K62" s="86" t="str">
        <f aca="false">IF($B62="","",الموظفون!$K62*$I62/cfg_DAYS_M)</f>
        <v/>
      </c>
      <c r="L62" s="86" t="str">
        <f aca="false">IF($B62="","",الموظفون!$L62*$I62/cfg_DAYS_M)</f>
        <v/>
      </c>
      <c r="M62" s="86" t="str">
        <f aca="false">IF($B62="","",الموظفون!$M62*$I62/cfg_DAYS_M)</f>
        <v/>
      </c>
      <c r="N62" s="105" t="str">
        <f aca="false">IF($B62="","",SUMIFS('الحركات الشهرية'!$F$6:$F$1005,'الحركات الشهرية'!$B$6:$B$1005,$B62,'الحركات الشهرية'!$A$6:$A$1005,$C$3))</f>
        <v/>
      </c>
      <c r="O62" s="86" t="str">
        <f aca="false">IF($B62="","",N62*(الموظفون!$N62+الموظفون!$J62*cfg_OT_P)/cfg_DAYS_M/cfg_HRS)</f>
        <v/>
      </c>
      <c r="P62" s="86" t="str">
        <f aca="false">IF($B62="","",SUMIFS('الحركات الشهرية'!$G$6:$G$1005,'الحركات الشهرية'!$B$6:$B$1005,$B62,'الحركات الشهرية'!$A$6:$A$1005,$C$3))</f>
        <v/>
      </c>
      <c r="Q62" s="86" t="str">
        <f aca="false">IF($B62="","",SUMIFS('الحركات الشهرية'!$H$6:$H$1005,'الحركات الشهرية'!$B$6:$B$1005,$B62,'الحركات الشهرية'!$A$6:$A$1005,$C$3))</f>
        <v/>
      </c>
      <c r="R62" s="106" t="str">
        <f aca="false">IF($B62="","",SUM(J62:M62)+SUM(O62:Q62))</f>
        <v/>
      </c>
      <c r="S62" s="86" t="str">
        <f aca="false">IF($B62="","",الموظفون!$Q62*IF(E62="سعودي",cfg_G_SE,cfg_G_NE)*F62/cfg_DAYS_M)</f>
        <v/>
      </c>
      <c r="T62" s="86" t="str">
        <f aca="false">IF($B62="","",SUMIFS('الحركات الشهرية'!$I$6:$I$1005,'الحركات الشهرية'!$B$6:$B$1005,$B62,'الحركات الشهرية'!$A$6:$A$1005,$C$3))</f>
        <v/>
      </c>
      <c r="U62" s="86" t="str">
        <f aca="false">IF($B62="","",SUMIFS('الحركات الشهرية'!$J$6:$J$1005,'الحركات الشهرية'!$B$6:$B$1005,$B62,'الحركات الشهرية'!$A$6:$A$1005,$C$3))</f>
        <v/>
      </c>
      <c r="V62" s="86" t="str">
        <f aca="false">IF($B62="","",SUM(S62:U62))</f>
        <v/>
      </c>
      <c r="W62" s="107" t="str">
        <f aca="false">IF($B62="","",R62-V62)</f>
        <v/>
      </c>
      <c r="X62" s="86" t="str">
        <f aca="false">IF($B62="","",الموظفون!$Q62*IF(E62="سعودي",cfg_G_SR,cfg_G_NR)*F62/cfg_DAYS_M)</f>
        <v/>
      </c>
      <c r="Y62" s="86" t="str">
        <f aca="false">IF($B62="","",الموظفون!$O62*(cfg_EOS_R1*(MIN(AC62,cfg_EOS_TH)-MIN(AD62,cfg_EOS_TH))+cfg_EOS_R2*(MAX(AC62-cfg_EOS_TH,0)-MAX(AD62-cfg_EOS_TH,0))))</f>
        <v/>
      </c>
      <c r="Z62" s="86" t="str">
        <f aca="false">IF($B62="","",IF(الموظفون!$R62&lt;&gt;"",الموظفون!$R62,IF(AC62&gt;=cfg_LV_TH,cfg_LV_D2,cfg_LV_D1))/cfg_DAYS_Y*AE62*الموظفون!$P62/cfg_DAYS_M)</f>
        <v/>
      </c>
      <c r="AA62" s="86" t="str">
        <f aca="false">IF($B62="","",IF(AND(الموظفون!$S62="نعم",N(الموظفون!$U62)&gt;0),الموظفون!$T62/الموظفون!$U62*12/cfg_DAYS_Y*AE62,0))</f>
        <v/>
      </c>
      <c r="AB62" s="108" t="str">
        <f aca="false">IF($B62="","",R62+SUM(X62:AA62))</f>
        <v/>
      </c>
      <c r="AC62" s="109" t="str">
        <f aca="false">IF($B62="","",MAX(0,IF(OR(الموظفون!$X62="",الموظفون!$X62&gt;$G$3),$G$3,الموظفون!$X62)-الموظفون!$H62+1)/cfg_DAYS_Y)</f>
        <v/>
      </c>
      <c r="AD62" s="109" t="str">
        <f aca="false">IF($B62="","",MAX(0,IF(OR(الموظفون!$X62="",الموظفون!$X62&gt;($E$3-1)),($E$3-1),الموظفون!$X62)-الموظفون!$H62+1)/cfg_DAYS_Y)</f>
        <v/>
      </c>
      <c r="AE62" s="51" t="str">
        <f aca="false">IF($B62="","",MAX(0,IF(OR(الموظفون!$X62="",الموظفون!$X62&gt;$G$3),$G$3,الموظفون!$X62)-MAX($E$3,الموظفون!$H62)+1))</f>
        <v/>
      </c>
    </row>
    <row r="63" customFormat="false" ht="15" hidden="false" customHeight="false" outlineLevel="0" collapsed="false">
      <c r="A63" s="89" t="str">
        <f aca="false">IF($B63="","",الموظفون!$A63)</f>
        <v/>
      </c>
      <c r="B63" s="91" t="str">
        <f aca="false">IF(الموظفون!$B63="","",الموظفون!$B63)</f>
        <v/>
      </c>
      <c r="C63" s="91" t="str">
        <f aca="false">IF($B63="","",الموظفون!$C63)</f>
        <v/>
      </c>
      <c r="D63" s="91" t="str">
        <f aca="false">IF($B63="","",الموظفون!$F63)</f>
        <v/>
      </c>
      <c r="E63" s="91" t="str">
        <f aca="false">IF($B63="","",الموظفون!$E63)</f>
        <v/>
      </c>
      <c r="F63" s="110" t="str">
        <f aca="false">IF($B63="","",IF(AE63&gt;=DAY($G$3),cfg_DAYS_M,MIN(AE63,cfg_DAYS_M)))</f>
        <v/>
      </c>
      <c r="G63" s="110" t="str">
        <f aca="false">IF($B63="","",SUMIFS('الحركات الشهرية'!$D$6:$D$1005,'الحركات الشهرية'!$B$6:$B$1005,$B63,'الحركات الشهرية'!$A$6:$A$1005,$C$3))</f>
        <v/>
      </c>
      <c r="H63" s="110" t="str">
        <f aca="false">IF($B63="","",SUMIFS('الحركات الشهرية'!$E$6:$E$1005,'الحركات الشهرية'!$B$6:$B$1005,$B63,'الحركات الشهرية'!$A$6:$A$1005,$C$3))</f>
        <v/>
      </c>
      <c r="I63" s="110" t="str">
        <f aca="false">IF($B63="","",MAX(0,F63-G63-H63))</f>
        <v/>
      </c>
      <c r="J63" s="90" t="str">
        <f aca="false">IF($B63="","",الموظفون!$J63*$I63/cfg_DAYS_M)</f>
        <v/>
      </c>
      <c r="K63" s="90" t="str">
        <f aca="false">IF($B63="","",الموظفون!$K63*$I63/cfg_DAYS_M)</f>
        <v/>
      </c>
      <c r="L63" s="90" t="str">
        <f aca="false">IF($B63="","",الموظفون!$L63*$I63/cfg_DAYS_M)</f>
        <v/>
      </c>
      <c r="M63" s="90" t="str">
        <f aca="false">IF($B63="","",الموظفون!$M63*$I63/cfg_DAYS_M)</f>
        <v/>
      </c>
      <c r="N63" s="110" t="str">
        <f aca="false">IF($B63="","",SUMIFS('الحركات الشهرية'!$F$6:$F$1005,'الحركات الشهرية'!$B$6:$B$1005,$B63,'الحركات الشهرية'!$A$6:$A$1005,$C$3))</f>
        <v/>
      </c>
      <c r="O63" s="90" t="str">
        <f aca="false">IF($B63="","",N63*(الموظفون!$N63+الموظفون!$J63*cfg_OT_P)/cfg_DAYS_M/cfg_HRS)</f>
        <v/>
      </c>
      <c r="P63" s="90" t="str">
        <f aca="false">IF($B63="","",SUMIFS('الحركات الشهرية'!$G$6:$G$1005,'الحركات الشهرية'!$B$6:$B$1005,$B63,'الحركات الشهرية'!$A$6:$A$1005,$C$3))</f>
        <v/>
      </c>
      <c r="Q63" s="90" t="str">
        <f aca="false">IF($B63="","",SUMIFS('الحركات الشهرية'!$H$6:$H$1005,'الحركات الشهرية'!$B$6:$B$1005,$B63,'الحركات الشهرية'!$A$6:$A$1005,$C$3))</f>
        <v/>
      </c>
      <c r="R63" s="111" t="str">
        <f aca="false">IF($B63="","",SUM(J63:M63)+SUM(O63:Q63))</f>
        <v/>
      </c>
      <c r="S63" s="90" t="str">
        <f aca="false">IF($B63="","",الموظفون!$Q63*IF(E63="سعودي",cfg_G_SE,cfg_G_NE)*F63/cfg_DAYS_M)</f>
        <v/>
      </c>
      <c r="T63" s="90" t="str">
        <f aca="false">IF($B63="","",SUMIFS('الحركات الشهرية'!$I$6:$I$1005,'الحركات الشهرية'!$B$6:$B$1005,$B63,'الحركات الشهرية'!$A$6:$A$1005,$C$3))</f>
        <v/>
      </c>
      <c r="U63" s="90" t="str">
        <f aca="false">IF($B63="","",SUMIFS('الحركات الشهرية'!$J$6:$J$1005,'الحركات الشهرية'!$B$6:$B$1005,$B63,'الحركات الشهرية'!$A$6:$A$1005,$C$3))</f>
        <v/>
      </c>
      <c r="V63" s="90" t="str">
        <f aca="false">IF($B63="","",SUM(S63:U63))</f>
        <v/>
      </c>
      <c r="W63" s="112" t="str">
        <f aca="false">IF($B63="","",R63-V63)</f>
        <v/>
      </c>
      <c r="X63" s="90" t="str">
        <f aca="false">IF($B63="","",الموظفون!$Q63*IF(E63="سعودي",cfg_G_SR,cfg_G_NR)*F63/cfg_DAYS_M)</f>
        <v/>
      </c>
      <c r="Y63" s="90" t="str">
        <f aca="false">IF($B63="","",الموظفون!$O63*(cfg_EOS_R1*(MIN(AC63,cfg_EOS_TH)-MIN(AD63,cfg_EOS_TH))+cfg_EOS_R2*(MAX(AC63-cfg_EOS_TH,0)-MAX(AD63-cfg_EOS_TH,0))))</f>
        <v/>
      </c>
      <c r="Z63" s="90" t="str">
        <f aca="false">IF($B63="","",IF(الموظفون!$R63&lt;&gt;"",الموظفون!$R63,IF(AC63&gt;=cfg_LV_TH,cfg_LV_D2,cfg_LV_D1))/cfg_DAYS_Y*AE63*الموظفون!$P63/cfg_DAYS_M)</f>
        <v/>
      </c>
      <c r="AA63" s="90" t="str">
        <f aca="false">IF($B63="","",IF(AND(الموظفون!$S63="نعم",N(الموظفون!$U63)&gt;0),الموظفون!$T63/الموظفون!$U63*12/cfg_DAYS_Y*AE63,0))</f>
        <v/>
      </c>
      <c r="AB63" s="113" t="str">
        <f aca="false">IF($B63="","",R63+SUM(X63:AA63))</f>
        <v/>
      </c>
      <c r="AC63" s="114" t="str">
        <f aca="false">IF($B63="","",MAX(0,IF(OR(الموظفون!$X63="",الموظفون!$X63&gt;$G$3),$G$3,الموظفون!$X63)-الموظفون!$H63+1)/cfg_DAYS_Y)</f>
        <v/>
      </c>
      <c r="AD63" s="114" t="str">
        <f aca="false">IF($B63="","",MAX(0,IF(OR(الموظفون!$X63="",الموظفون!$X63&gt;($E$3-1)),($E$3-1),الموظفون!$X63)-الموظفون!$H63+1)/cfg_DAYS_Y)</f>
        <v/>
      </c>
      <c r="AE63" s="115" t="str">
        <f aca="false">IF($B63="","",MAX(0,IF(OR(الموظفون!$X63="",الموظفون!$X63&gt;$G$3),$G$3,الموظفون!$X63)-MAX($E$3,الموظفون!$H63)+1))</f>
        <v/>
      </c>
    </row>
    <row r="64" customFormat="false" ht="15" hidden="false" customHeight="false" outlineLevel="0" collapsed="false">
      <c r="A64" s="83" t="str">
        <f aca="false">IF($B64="","",الموظفون!$A64)</f>
        <v/>
      </c>
      <c r="B64" s="74" t="str">
        <f aca="false">IF(الموظفون!$B64="","",الموظفون!$B64)</f>
        <v/>
      </c>
      <c r="C64" s="74" t="str">
        <f aca="false">IF($B64="","",الموظفون!$C64)</f>
        <v/>
      </c>
      <c r="D64" s="74" t="str">
        <f aca="false">IF($B64="","",الموظفون!$F64)</f>
        <v/>
      </c>
      <c r="E64" s="74" t="str">
        <f aca="false">IF($B64="","",الموظفون!$E64)</f>
        <v/>
      </c>
      <c r="F64" s="105" t="str">
        <f aca="false">IF($B64="","",IF(AE64&gt;=DAY($G$3),cfg_DAYS_M,MIN(AE64,cfg_DAYS_M)))</f>
        <v/>
      </c>
      <c r="G64" s="105" t="str">
        <f aca="false">IF($B64="","",SUMIFS('الحركات الشهرية'!$D$6:$D$1005,'الحركات الشهرية'!$B$6:$B$1005,$B64,'الحركات الشهرية'!$A$6:$A$1005,$C$3))</f>
        <v/>
      </c>
      <c r="H64" s="105" t="str">
        <f aca="false">IF($B64="","",SUMIFS('الحركات الشهرية'!$E$6:$E$1005,'الحركات الشهرية'!$B$6:$B$1005,$B64,'الحركات الشهرية'!$A$6:$A$1005,$C$3))</f>
        <v/>
      </c>
      <c r="I64" s="105" t="str">
        <f aca="false">IF($B64="","",MAX(0,F64-G64-H64))</f>
        <v/>
      </c>
      <c r="J64" s="86" t="str">
        <f aca="false">IF($B64="","",الموظفون!$J64*$I64/cfg_DAYS_M)</f>
        <v/>
      </c>
      <c r="K64" s="86" t="str">
        <f aca="false">IF($B64="","",الموظفون!$K64*$I64/cfg_DAYS_M)</f>
        <v/>
      </c>
      <c r="L64" s="86" t="str">
        <f aca="false">IF($B64="","",الموظفون!$L64*$I64/cfg_DAYS_M)</f>
        <v/>
      </c>
      <c r="M64" s="86" t="str">
        <f aca="false">IF($B64="","",الموظفون!$M64*$I64/cfg_DAYS_M)</f>
        <v/>
      </c>
      <c r="N64" s="105" t="str">
        <f aca="false">IF($B64="","",SUMIFS('الحركات الشهرية'!$F$6:$F$1005,'الحركات الشهرية'!$B$6:$B$1005,$B64,'الحركات الشهرية'!$A$6:$A$1005,$C$3))</f>
        <v/>
      </c>
      <c r="O64" s="86" t="str">
        <f aca="false">IF($B64="","",N64*(الموظفون!$N64+الموظفون!$J64*cfg_OT_P)/cfg_DAYS_M/cfg_HRS)</f>
        <v/>
      </c>
      <c r="P64" s="86" t="str">
        <f aca="false">IF($B64="","",SUMIFS('الحركات الشهرية'!$G$6:$G$1005,'الحركات الشهرية'!$B$6:$B$1005,$B64,'الحركات الشهرية'!$A$6:$A$1005,$C$3))</f>
        <v/>
      </c>
      <c r="Q64" s="86" t="str">
        <f aca="false">IF($B64="","",SUMIFS('الحركات الشهرية'!$H$6:$H$1005,'الحركات الشهرية'!$B$6:$B$1005,$B64,'الحركات الشهرية'!$A$6:$A$1005,$C$3))</f>
        <v/>
      </c>
      <c r="R64" s="106" t="str">
        <f aca="false">IF($B64="","",SUM(J64:M64)+SUM(O64:Q64))</f>
        <v/>
      </c>
      <c r="S64" s="86" t="str">
        <f aca="false">IF($B64="","",الموظفون!$Q64*IF(E64="سعودي",cfg_G_SE,cfg_G_NE)*F64/cfg_DAYS_M)</f>
        <v/>
      </c>
      <c r="T64" s="86" t="str">
        <f aca="false">IF($B64="","",SUMIFS('الحركات الشهرية'!$I$6:$I$1005,'الحركات الشهرية'!$B$6:$B$1005,$B64,'الحركات الشهرية'!$A$6:$A$1005,$C$3))</f>
        <v/>
      </c>
      <c r="U64" s="86" t="str">
        <f aca="false">IF($B64="","",SUMIFS('الحركات الشهرية'!$J$6:$J$1005,'الحركات الشهرية'!$B$6:$B$1005,$B64,'الحركات الشهرية'!$A$6:$A$1005,$C$3))</f>
        <v/>
      </c>
      <c r="V64" s="86" t="str">
        <f aca="false">IF($B64="","",SUM(S64:U64))</f>
        <v/>
      </c>
      <c r="W64" s="107" t="str">
        <f aca="false">IF($B64="","",R64-V64)</f>
        <v/>
      </c>
      <c r="X64" s="86" t="str">
        <f aca="false">IF($B64="","",الموظفون!$Q64*IF(E64="سعودي",cfg_G_SR,cfg_G_NR)*F64/cfg_DAYS_M)</f>
        <v/>
      </c>
      <c r="Y64" s="86" t="str">
        <f aca="false">IF($B64="","",الموظفون!$O64*(cfg_EOS_R1*(MIN(AC64,cfg_EOS_TH)-MIN(AD64,cfg_EOS_TH))+cfg_EOS_R2*(MAX(AC64-cfg_EOS_TH,0)-MAX(AD64-cfg_EOS_TH,0))))</f>
        <v/>
      </c>
      <c r="Z64" s="86" t="str">
        <f aca="false">IF($B64="","",IF(الموظفون!$R64&lt;&gt;"",الموظفون!$R64,IF(AC64&gt;=cfg_LV_TH,cfg_LV_D2,cfg_LV_D1))/cfg_DAYS_Y*AE64*الموظفون!$P64/cfg_DAYS_M)</f>
        <v/>
      </c>
      <c r="AA64" s="86" t="str">
        <f aca="false">IF($B64="","",IF(AND(الموظفون!$S64="نعم",N(الموظفون!$U64)&gt;0),الموظفون!$T64/الموظفون!$U64*12/cfg_DAYS_Y*AE64,0))</f>
        <v/>
      </c>
      <c r="AB64" s="108" t="str">
        <f aca="false">IF($B64="","",R64+SUM(X64:AA64))</f>
        <v/>
      </c>
      <c r="AC64" s="109" t="str">
        <f aca="false">IF($B64="","",MAX(0,IF(OR(الموظفون!$X64="",الموظفون!$X64&gt;$G$3),$G$3,الموظفون!$X64)-الموظفون!$H64+1)/cfg_DAYS_Y)</f>
        <v/>
      </c>
      <c r="AD64" s="109" t="str">
        <f aca="false">IF($B64="","",MAX(0,IF(OR(الموظفون!$X64="",الموظفون!$X64&gt;($E$3-1)),($E$3-1),الموظفون!$X64)-الموظفون!$H64+1)/cfg_DAYS_Y)</f>
        <v/>
      </c>
      <c r="AE64" s="51" t="str">
        <f aca="false">IF($B64="","",MAX(0,IF(OR(الموظفون!$X64="",الموظفون!$X64&gt;$G$3),$G$3,الموظفون!$X64)-MAX($E$3,الموظفون!$H64)+1))</f>
        <v/>
      </c>
    </row>
    <row r="65" customFormat="false" ht="15" hidden="false" customHeight="false" outlineLevel="0" collapsed="false">
      <c r="A65" s="89" t="str">
        <f aca="false">IF($B65="","",الموظفون!$A65)</f>
        <v/>
      </c>
      <c r="B65" s="91" t="str">
        <f aca="false">IF(الموظفون!$B65="","",الموظفون!$B65)</f>
        <v/>
      </c>
      <c r="C65" s="91" t="str">
        <f aca="false">IF($B65="","",الموظفون!$C65)</f>
        <v/>
      </c>
      <c r="D65" s="91" t="str">
        <f aca="false">IF($B65="","",الموظفون!$F65)</f>
        <v/>
      </c>
      <c r="E65" s="91" t="str">
        <f aca="false">IF($B65="","",الموظفون!$E65)</f>
        <v/>
      </c>
      <c r="F65" s="110" t="str">
        <f aca="false">IF($B65="","",IF(AE65&gt;=DAY($G$3),cfg_DAYS_M,MIN(AE65,cfg_DAYS_M)))</f>
        <v/>
      </c>
      <c r="G65" s="110" t="str">
        <f aca="false">IF($B65="","",SUMIFS('الحركات الشهرية'!$D$6:$D$1005,'الحركات الشهرية'!$B$6:$B$1005,$B65,'الحركات الشهرية'!$A$6:$A$1005,$C$3))</f>
        <v/>
      </c>
      <c r="H65" s="110" t="str">
        <f aca="false">IF($B65="","",SUMIFS('الحركات الشهرية'!$E$6:$E$1005,'الحركات الشهرية'!$B$6:$B$1005,$B65,'الحركات الشهرية'!$A$6:$A$1005,$C$3))</f>
        <v/>
      </c>
      <c r="I65" s="110" t="str">
        <f aca="false">IF($B65="","",MAX(0,F65-G65-H65))</f>
        <v/>
      </c>
      <c r="J65" s="90" t="str">
        <f aca="false">IF($B65="","",الموظفون!$J65*$I65/cfg_DAYS_M)</f>
        <v/>
      </c>
      <c r="K65" s="90" t="str">
        <f aca="false">IF($B65="","",الموظفون!$K65*$I65/cfg_DAYS_M)</f>
        <v/>
      </c>
      <c r="L65" s="90" t="str">
        <f aca="false">IF($B65="","",الموظفون!$L65*$I65/cfg_DAYS_M)</f>
        <v/>
      </c>
      <c r="M65" s="90" t="str">
        <f aca="false">IF($B65="","",الموظفون!$M65*$I65/cfg_DAYS_M)</f>
        <v/>
      </c>
      <c r="N65" s="110" t="str">
        <f aca="false">IF($B65="","",SUMIFS('الحركات الشهرية'!$F$6:$F$1005,'الحركات الشهرية'!$B$6:$B$1005,$B65,'الحركات الشهرية'!$A$6:$A$1005,$C$3))</f>
        <v/>
      </c>
      <c r="O65" s="90" t="str">
        <f aca="false">IF($B65="","",N65*(الموظفون!$N65+الموظفون!$J65*cfg_OT_P)/cfg_DAYS_M/cfg_HRS)</f>
        <v/>
      </c>
      <c r="P65" s="90" t="str">
        <f aca="false">IF($B65="","",SUMIFS('الحركات الشهرية'!$G$6:$G$1005,'الحركات الشهرية'!$B$6:$B$1005,$B65,'الحركات الشهرية'!$A$6:$A$1005,$C$3))</f>
        <v/>
      </c>
      <c r="Q65" s="90" t="str">
        <f aca="false">IF($B65="","",SUMIFS('الحركات الشهرية'!$H$6:$H$1005,'الحركات الشهرية'!$B$6:$B$1005,$B65,'الحركات الشهرية'!$A$6:$A$1005,$C$3))</f>
        <v/>
      </c>
      <c r="R65" s="111" t="str">
        <f aca="false">IF($B65="","",SUM(J65:M65)+SUM(O65:Q65))</f>
        <v/>
      </c>
      <c r="S65" s="90" t="str">
        <f aca="false">IF($B65="","",الموظفون!$Q65*IF(E65="سعودي",cfg_G_SE,cfg_G_NE)*F65/cfg_DAYS_M)</f>
        <v/>
      </c>
      <c r="T65" s="90" t="str">
        <f aca="false">IF($B65="","",SUMIFS('الحركات الشهرية'!$I$6:$I$1005,'الحركات الشهرية'!$B$6:$B$1005,$B65,'الحركات الشهرية'!$A$6:$A$1005,$C$3))</f>
        <v/>
      </c>
      <c r="U65" s="90" t="str">
        <f aca="false">IF($B65="","",SUMIFS('الحركات الشهرية'!$J$6:$J$1005,'الحركات الشهرية'!$B$6:$B$1005,$B65,'الحركات الشهرية'!$A$6:$A$1005,$C$3))</f>
        <v/>
      </c>
      <c r="V65" s="90" t="str">
        <f aca="false">IF($B65="","",SUM(S65:U65))</f>
        <v/>
      </c>
      <c r="W65" s="112" t="str">
        <f aca="false">IF($B65="","",R65-V65)</f>
        <v/>
      </c>
      <c r="X65" s="90" t="str">
        <f aca="false">IF($B65="","",الموظفون!$Q65*IF(E65="سعودي",cfg_G_SR,cfg_G_NR)*F65/cfg_DAYS_M)</f>
        <v/>
      </c>
      <c r="Y65" s="90" t="str">
        <f aca="false">IF($B65="","",الموظفون!$O65*(cfg_EOS_R1*(MIN(AC65,cfg_EOS_TH)-MIN(AD65,cfg_EOS_TH))+cfg_EOS_R2*(MAX(AC65-cfg_EOS_TH,0)-MAX(AD65-cfg_EOS_TH,0))))</f>
        <v/>
      </c>
      <c r="Z65" s="90" t="str">
        <f aca="false">IF($B65="","",IF(الموظفون!$R65&lt;&gt;"",الموظفون!$R65,IF(AC65&gt;=cfg_LV_TH,cfg_LV_D2,cfg_LV_D1))/cfg_DAYS_Y*AE65*الموظفون!$P65/cfg_DAYS_M)</f>
        <v/>
      </c>
      <c r="AA65" s="90" t="str">
        <f aca="false">IF($B65="","",IF(AND(الموظفون!$S65="نعم",N(الموظفون!$U65)&gt;0),الموظفون!$T65/الموظفون!$U65*12/cfg_DAYS_Y*AE65,0))</f>
        <v/>
      </c>
      <c r="AB65" s="113" t="str">
        <f aca="false">IF($B65="","",R65+SUM(X65:AA65))</f>
        <v/>
      </c>
      <c r="AC65" s="114" t="str">
        <f aca="false">IF($B65="","",MAX(0,IF(OR(الموظفون!$X65="",الموظفون!$X65&gt;$G$3),$G$3,الموظفون!$X65)-الموظفون!$H65+1)/cfg_DAYS_Y)</f>
        <v/>
      </c>
      <c r="AD65" s="114" t="str">
        <f aca="false">IF($B65="","",MAX(0,IF(OR(الموظفون!$X65="",الموظفون!$X65&gt;($E$3-1)),($E$3-1),الموظفون!$X65)-الموظفون!$H65+1)/cfg_DAYS_Y)</f>
        <v/>
      </c>
      <c r="AE65" s="115" t="str">
        <f aca="false">IF($B65="","",MAX(0,IF(OR(الموظفون!$X65="",الموظفون!$X65&gt;$G$3),$G$3,الموظفون!$X65)-MAX($E$3,الموظفون!$H65)+1))</f>
        <v/>
      </c>
    </row>
    <row r="66" customFormat="false" ht="15" hidden="false" customHeight="false" outlineLevel="0" collapsed="false">
      <c r="A66" s="83" t="str">
        <f aca="false">IF($B66="","",الموظفون!$A66)</f>
        <v/>
      </c>
      <c r="B66" s="74" t="str">
        <f aca="false">IF(الموظفون!$B66="","",الموظفون!$B66)</f>
        <v/>
      </c>
      <c r="C66" s="74" t="str">
        <f aca="false">IF($B66="","",الموظفون!$C66)</f>
        <v/>
      </c>
      <c r="D66" s="74" t="str">
        <f aca="false">IF($B66="","",الموظفون!$F66)</f>
        <v/>
      </c>
      <c r="E66" s="74" t="str">
        <f aca="false">IF($B66="","",الموظفون!$E66)</f>
        <v/>
      </c>
      <c r="F66" s="105" t="str">
        <f aca="false">IF($B66="","",IF(AE66&gt;=DAY($G$3),cfg_DAYS_M,MIN(AE66,cfg_DAYS_M)))</f>
        <v/>
      </c>
      <c r="G66" s="105" t="str">
        <f aca="false">IF($B66="","",SUMIFS('الحركات الشهرية'!$D$6:$D$1005,'الحركات الشهرية'!$B$6:$B$1005,$B66,'الحركات الشهرية'!$A$6:$A$1005,$C$3))</f>
        <v/>
      </c>
      <c r="H66" s="105" t="str">
        <f aca="false">IF($B66="","",SUMIFS('الحركات الشهرية'!$E$6:$E$1005,'الحركات الشهرية'!$B$6:$B$1005,$B66,'الحركات الشهرية'!$A$6:$A$1005,$C$3))</f>
        <v/>
      </c>
      <c r="I66" s="105" t="str">
        <f aca="false">IF($B66="","",MAX(0,F66-G66-H66))</f>
        <v/>
      </c>
      <c r="J66" s="86" t="str">
        <f aca="false">IF($B66="","",الموظفون!$J66*$I66/cfg_DAYS_M)</f>
        <v/>
      </c>
      <c r="K66" s="86" t="str">
        <f aca="false">IF($B66="","",الموظفون!$K66*$I66/cfg_DAYS_M)</f>
        <v/>
      </c>
      <c r="L66" s="86" t="str">
        <f aca="false">IF($B66="","",الموظفون!$L66*$I66/cfg_DAYS_M)</f>
        <v/>
      </c>
      <c r="M66" s="86" t="str">
        <f aca="false">IF($B66="","",الموظفون!$M66*$I66/cfg_DAYS_M)</f>
        <v/>
      </c>
      <c r="N66" s="105" t="str">
        <f aca="false">IF($B66="","",SUMIFS('الحركات الشهرية'!$F$6:$F$1005,'الحركات الشهرية'!$B$6:$B$1005,$B66,'الحركات الشهرية'!$A$6:$A$1005,$C$3))</f>
        <v/>
      </c>
      <c r="O66" s="86" t="str">
        <f aca="false">IF($B66="","",N66*(الموظفون!$N66+الموظفون!$J66*cfg_OT_P)/cfg_DAYS_M/cfg_HRS)</f>
        <v/>
      </c>
      <c r="P66" s="86" t="str">
        <f aca="false">IF($B66="","",SUMIFS('الحركات الشهرية'!$G$6:$G$1005,'الحركات الشهرية'!$B$6:$B$1005,$B66,'الحركات الشهرية'!$A$6:$A$1005,$C$3))</f>
        <v/>
      </c>
      <c r="Q66" s="86" t="str">
        <f aca="false">IF($B66="","",SUMIFS('الحركات الشهرية'!$H$6:$H$1005,'الحركات الشهرية'!$B$6:$B$1005,$B66,'الحركات الشهرية'!$A$6:$A$1005,$C$3))</f>
        <v/>
      </c>
      <c r="R66" s="106" t="str">
        <f aca="false">IF($B66="","",SUM(J66:M66)+SUM(O66:Q66))</f>
        <v/>
      </c>
      <c r="S66" s="86" t="str">
        <f aca="false">IF($B66="","",الموظفون!$Q66*IF(E66="سعودي",cfg_G_SE,cfg_G_NE)*F66/cfg_DAYS_M)</f>
        <v/>
      </c>
      <c r="T66" s="86" t="str">
        <f aca="false">IF($B66="","",SUMIFS('الحركات الشهرية'!$I$6:$I$1005,'الحركات الشهرية'!$B$6:$B$1005,$B66,'الحركات الشهرية'!$A$6:$A$1005,$C$3))</f>
        <v/>
      </c>
      <c r="U66" s="86" t="str">
        <f aca="false">IF($B66="","",SUMIFS('الحركات الشهرية'!$J$6:$J$1005,'الحركات الشهرية'!$B$6:$B$1005,$B66,'الحركات الشهرية'!$A$6:$A$1005,$C$3))</f>
        <v/>
      </c>
      <c r="V66" s="86" t="str">
        <f aca="false">IF($B66="","",SUM(S66:U66))</f>
        <v/>
      </c>
      <c r="W66" s="107" t="str">
        <f aca="false">IF($B66="","",R66-V66)</f>
        <v/>
      </c>
      <c r="X66" s="86" t="str">
        <f aca="false">IF($B66="","",الموظفون!$Q66*IF(E66="سعودي",cfg_G_SR,cfg_G_NR)*F66/cfg_DAYS_M)</f>
        <v/>
      </c>
      <c r="Y66" s="86" t="str">
        <f aca="false">IF($B66="","",الموظفون!$O66*(cfg_EOS_R1*(MIN(AC66,cfg_EOS_TH)-MIN(AD66,cfg_EOS_TH))+cfg_EOS_R2*(MAX(AC66-cfg_EOS_TH,0)-MAX(AD66-cfg_EOS_TH,0))))</f>
        <v/>
      </c>
      <c r="Z66" s="86" t="str">
        <f aca="false">IF($B66="","",IF(الموظفون!$R66&lt;&gt;"",الموظفون!$R66,IF(AC66&gt;=cfg_LV_TH,cfg_LV_D2,cfg_LV_D1))/cfg_DAYS_Y*AE66*الموظفون!$P66/cfg_DAYS_M)</f>
        <v/>
      </c>
      <c r="AA66" s="86" t="str">
        <f aca="false">IF($B66="","",IF(AND(الموظفون!$S66="نعم",N(الموظفون!$U66)&gt;0),الموظفون!$T66/الموظفون!$U66*12/cfg_DAYS_Y*AE66,0))</f>
        <v/>
      </c>
      <c r="AB66" s="108" t="str">
        <f aca="false">IF($B66="","",R66+SUM(X66:AA66))</f>
        <v/>
      </c>
      <c r="AC66" s="109" t="str">
        <f aca="false">IF($B66="","",MAX(0,IF(OR(الموظفون!$X66="",الموظفون!$X66&gt;$G$3),$G$3,الموظفون!$X66)-الموظفون!$H66+1)/cfg_DAYS_Y)</f>
        <v/>
      </c>
      <c r="AD66" s="109" t="str">
        <f aca="false">IF($B66="","",MAX(0,IF(OR(الموظفون!$X66="",الموظفون!$X66&gt;($E$3-1)),($E$3-1),الموظفون!$X66)-الموظفون!$H66+1)/cfg_DAYS_Y)</f>
        <v/>
      </c>
      <c r="AE66" s="51" t="str">
        <f aca="false">IF($B66="","",MAX(0,IF(OR(الموظفون!$X66="",الموظفون!$X66&gt;$G$3),$G$3,الموظفون!$X66)-MAX($E$3,الموظفون!$H66)+1))</f>
        <v/>
      </c>
    </row>
    <row r="67" customFormat="false" ht="15" hidden="false" customHeight="false" outlineLevel="0" collapsed="false">
      <c r="A67" s="89" t="str">
        <f aca="false">IF($B67="","",الموظفون!$A67)</f>
        <v/>
      </c>
      <c r="B67" s="91" t="str">
        <f aca="false">IF(الموظفون!$B67="","",الموظفون!$B67)</f>
        <v/>
      </c>
      <c r="C67" s="91" t="str">
        <f aca="false">IF($B67="","",الموظفون!$C67)</f>
        <v/>
      </c>
      <c r="D67" s="91" t="str">
        <f aca="false">IF($B67="","",الموظفون!$F67)</f>
        <v/>
      </c>
      <c r="E67" s="91" t="str">
        <f aca="false">IF($B67="","",الموظفون!$E67)</f>
        <v/>
      </c>
      <c r="F67" s="110" t="str">
        <f aca="false">IF($B67="","",IF(AE67&gt;=DAY($G$3),cfg_DAYS_M,MIN(AE67,cfg_DAYS_M)))</f>
        <v/>
      </c>
      <c r="G67" s="110" t="str">
        <f aca="false">IF($B67="","",SUMIFS('الحركات الشهرية'!$D$6:$D$1005,'الحركات الشهرية'!$B$6:$B$1005,$B67,'الحركات الشهرية'!$A$6:$A$1005,$C$3))</f>
        <v/>
      </c>
      <c r="H67" s="110" t="str">
        <f aca="false">IF($B67="","",SUMIFS('الحركات الشهرية'!$E$6:$E$1005,'الحركات الشهرية'!$B$6:$B$1005,$B67,'الحركات الشهرية'!$A$6:$A$1005,$C$3))</f>
        <v/>
      </c>
      <c r="I67" s="110" t="str">
        <f aca="false">IF($B67="","",MAX(0,F67-G67-H67))</f>
        <v/>
      </c>
      <c r="J67" s="90" t="str">
        <f aca="false">IF($B67="","",الموظفون!$J67*$I67/cfg_DAYS_M)</f>
        <v/>
      </c>
      <c r="K67" s="90" t="str">
        <f aca="false">IF($B67="","",الموظفون!$K67*$I67/cfg_DAYS_M)</f>
        <v/>
      </c>
      <c r="L67" s="90" t="str">
        <f aca="false">IF($B67="","",الموظفون!$L67*$I67/cfg_DAYS_M)</f>
        <v/>
      </c>
      <c r="M67" s="90" t="str">
        <f aca="false">IF($B67="","",الموظفون!$M67*$I67/cfg_DAYS_M)</f>
        <v/>
      </c>
      <c r="N67" s="110" t="str">
        <f aca="false">IF($B67="","",SUMIFS('الحركات الشهرية'!$F$6:$F$1005,'الحركات الشهرية'!$B$6:$B$1005,$B67,'الحركات الشهرية'!$A$6:$A$1005,$C$3))</f>
        <v/>
      </c>
      <c r="O67" s="90" t="str">
        <f aca="false">IF($B67="","",N67*(الموظفون!$N67+الموظفون!$J67*cfg_OT_P)/cfg_DAYS_M/cfg_HRS)</f>
        <v/>
      </c>
      <c r="P67" s="90" t="str">
        <f aca="false">IF($B67="","",SUMIFS('الحركات الشهرية'!$G$6:$G$1005,'الحركات الشهرية'!$B$6:$B$1005,$B67,'الحركات الشهرية'!$A$6:$A$1005,$C$3))</f>
        <v/>
      </c>
      <c r="Q67" s="90" t="str">
        <f aca="false">IF($B67="","",SUMIFS('الحركات الشهرية'!$H$6:$H$1005,'الحركات الشهرية'!$B$6:$B$1005,$B67,'الحركات الشهرية'!$A$6:$A$1005,$C$3))</f>
        <v/>
      </c>
      <c r="R67" s="111" t="str">
        <f aca="false">IF($B67="","",SUM(J67:M67)+SUM(O67:Q67))</f>
        <v/>
      </c>
      <c r="S67" s="90" t="str">
        <f aca="false">IF($B67="","",الموظفون!$Q67*IF(E67="سعودي",cfg_G_SE,cfg_G_NE)*F67/cfg_DAYS_M)</f>
        <v/>
      </c>
      <c r="T67" s="90" t="str">
        <f aca="false">IF($B67="","",SUMIFS('الحركات الشهرية'!$I$6:$I$1005,'الحركات الشهرية'!$B$6:$B$1005,$B67,'الحركات الشهرية'!$A$6:$A$1005,$C$3))</f>
        <v/>
      </c>
      <c r="U67" s="90" t="str">
        <f aca="false">IF($B67="","",SUMIFS('الحركات الشهرية'!$J$6:$J$1005,'الحركات الشهرية'!$B$6:$B$1005,$B67,'الحركات الشهرية'!$A$6:$A$1005,$C$3))</f>
        <v/>
      </c>
      <c r="V67" s="90" t="str">
        <f aca="false">IF($B67="","",SUM(S67:U67))</f>
        <v/>
      </c>
      <c r="W67" s="112" t="str">
        <f aca="false">IF($B67="","",R67-V67)</f>
        <v/>
      </c>
      <c r="X67" s="90" t="str">
        <f aca="false">IF($B67="","",الموظفون!$Q67*IF(E67="سعودي",cfg_G_SR,cfg_G_NR)*F67/cfg_DAYS_M)</f>
        <v/>
      </c>
      <c r="Y67" s="90" t="str">
        <f aca="false">IF($B67="","",الموظفون!$O67*(cfg_EOS_R1*(MIN(AC67,cfg_EOS_TH)-MIN(AD67,cfg_EOS_TH))+cfg_EOS_R2*(MAX(AC67-cfg_EOS_TH,0)-MAX(AD67-cfg_EOS_TH,0))))</f>
        <v/>
      </c>
      <c r="Z67" s="90" t="str">
        <f aca="false">IF($B67="","",IF(الموظفون!$R67&lt;&gt;"",الموظفون!$R67,IF(AC67&gt;=cfg_LV_TH,cfg_LV_D2,cfg_LV_D1))/cfg_DAYS_Y*AE67*الموظفون!$P67/cfg_DAYS_M)</f>
        <v/>
      </c>
      <c r="AA67" s="90" t="str">
        <f aca="false">IF($B67="","",IF(AND(الموظفون!$S67="نعم",N(الموظفون!$U67)&gt;0),الموظفون!$T67/الموظفون!$U67*12/cfg_DAYS_Y*AE67,0))</f>
        <v/>
      </c>
      <c r="AB67" s="113" t="str">
        <f aca="false">IF($B67="","",R67+SUM(X67:AA67))</f>
        <v/>
      </c>
      <c r="AC67" s="114" t="str">
        <f aca="false">IF($B67="","",MAX(0,IF(OR(الموظفون!$X67="",الموظفون!$X67&gt;$G$3),$G$3,الموظفون!$X67)-الموظفون!$H67+1)/cfg_DAYS_Y)</f>
        <v/>
      </c>
      <c r="AD67" s="114" t="str">
        <f aca="false">IF($B67="","",MAX(0,IF(OR(الموظفون!$X67="",الموظفون!$X67&gt;($E$3-1)),($E$3-1),الموظفون!$X67)-الموظفون!$H67+1)/cfg_DAYS_Y)</f>
        <v/>
      </c>
      <c r="AE67" s="115" t="str">
        <f aca="false">IF($B67="","",MAX(0,IF(OR(الموظفون!$X67="",الموظفون!$X67&gt;$G$3),$G$3,الموظفون!$X67)-MAX($E$3,الموظفون!$H67)+1))</f>
        <v/>
      </c>
    </row>
    <row r="68" customFormat="false" ht="15" hidden="false" customHeight="false" outlineLevel="0" collapsed="false">
      <c r="A68" s="83" t="str">
        <f aca="false">IF($B68="","",الموظفون!$A68)</f>
        <v/>
      </c>
      <c r="B68" s="74" t="str">
        <f aca="false">IF(الموظفون!$B68="","",الموظفون!$B68)</f>
        <v/>
      </c>
      <c r="C68" s="74" t="str">
        <f aca="false">IF($B68="","",الموظفون!$C68)</f>
        <v/>
      </c>
      <c r="D68" s="74" t="str">
        <f aca="false">IF($B68="","",الموظفون!$F68)</f>
        <v/>
      </c>
      <c r="E68" s="74" t="str">
        <f aca="false">IF($B68="","",الموظفون!$E68)</f>
        <v/>
      </c>
      <c r="F68" s="105" t="str">
        <f aca="false">IF($B68="","",IF(AE68&gt;=DAY($G$3),cfg_DAYS_M,MIN(AE68,cfg_DAYS_M)))</f>
        <v/>
      </c>
      <c r="G68" s="105" t="str">
        <f aca="false">IF($B68="","",SUMIFS('الحركات الشهرية'!$D$6:$D$1005,'الحركات الشهرية'!$B$6:$B$1005,$B68,'الحركات الشهرية'!$A$6:$A$1005,$C$3))</f>
        <v/>
      </c>
      <c r="H68" s="105" t="str">
        <f aca="false">IF($B68="","",SUMIFS('الحركات الشهرية'!$E$6:$E$1005,'الحركات الشهرية'!$B$6:$B$1005,$B68,'الحركات الشهرية'!$A$6:$A$1005,$C$3))</f>
        <v/>
      </c>
      <c r="I68" s="105" t="str">
        <f aca="false">IF($B68="","",MAX(0,F68-G68-H68))</f>
        <v/>
      </c>
      <c r="J68" s="86" t="str">
        <f aca="false">IF($B68="","",الموظفون!$J68*$I68/cfg_DAYS_M)</f>
        <v/>
      </c>
      <c r="K68" s="86" t="str">
        <f aca="false">IF($B68="","",الموظفون!$K68*$I68/cfg_DAYS_M)</f>
        <v/>
      </c>
      <c r="L68" s="86" t="str">
        <f aca="false">IF($B68="","",الموظفون!$L68*$I68/cfg_DAYS_M)</f>
        <v/>
      </c>
      <c r="M68" s="86" t="str">
        <f aca="false">IF($B68="","",الموظفون!$M68*$I68/cfg_DAYS_M)</f>
        <v/>
      </c>
      <c r="N68" s="105" t="str">
        <f aca="false">IF($B68="","",SUMIFS('الحركات الشهرية'!$F$6:$F$1005,'الحركات الشهرية'!$B$6:$B$1005,$B68,'الحركات الشهرية'!$A$6:$A$1005,$C$3))</f>
        <v/>
      </c>
      <c r="O68" s="86" t="str">
        <f aca="false">IF($B68="","",N68*(الموظفون!$N68+الموظفون!$J68*cfg_OT_P)/cfg_DAYS_M/cfg_HRS)</f>
        <v/>
      </c>
      <c r="P68" s="86" t="str">
        <f aca="false">IF($B68="","",SUMIFS('الحركات الشهرية'!$G$6:$G$1005,'الحركات الشهرية'!$B$6:$B$1005,$B68,'الحركات الشهرية'!$A$6:$A$1005,$C$3))</f>
        <v/>
      </c>
      <c r="Q68" s="86" t="str">
        <f aca="false">IF($B68="","",SUMIFS('الحركات الشهرية'!$H$6:$H$1005,'الحركات الشهرية'!$B$6:$B$1005,$B68,'الحركات الشهرية'!$A$6:$A$1005,$C$3))</f>
        <v/>
      </c>
      <c r="R68" s="106" t="str">
        <f aca="false">IF($B68="","",SUM(J68:M68)+SUM(O68:Q68))</f>
        <v/>
      </c>
      <c r="S68" s="86" t="str">
        <f aca="false">IF($B68="","",الموظفون!$Q68*IF(E68="سعودي",cfg_G_SE,cfg_G_NE)*F68/cfg_DAYS_M)</f>
        <v/>
      </c>
      <c r="T68" s="86" t="str">
        <f aca="false">IF($B68="","",SUMIFS('الحركات الشهرية'!$I$6:$I$1005,'الحركات الشهرية'!$B$6:$B$1005,$B68,'الحركات الشهرية'!$A$6:$A$1005,$C$3))</f>
        <v/>
      </c>
      <c r="U68" s="86" t="str">
        <f aca="false">IF($B68="","",SUMIFS('الحركات الشهرية'!$J$6:$J$1005,'الحركات الشهرية'!$B$6:$B$1005,$B68,'الحركات الشهرية'!$A$6:$A$1005,$C$3))</f>
        <v/>
      </c>
      <c r="V68" s="86" t="str">
        <f aca="false">IF($B68="","",SUM(S68:U68))</f>
        <v/>
      </c>
      <c r="W68" s="107" t="str">
        <f aca="false">IF($B68="","",R68-V68)</f>
        <v/>
      </c>
      <c r="X68" s="86" t="str">
        <f aca="false">IF($B68="","",الموظفون!$Q68*IF(E68="سعودي",cfg_G_SR,cfg_G_NR)*F68/cfg_DAYS_M)</f>
        <v/>
      </c>
      <c r="Y68" s="86" t="str">
        <f aca="false">IF($B68="","",الموظفون!$O68*(cfg_EOS_R1*(MIN(AC68,cfg_EOS_TH)-MIN(AD68,cfg_EOS_TH))+cfg_EOS_R2*(MAX(AC68-cfg_EOS_TH,0)-MAX(AD68-cfg_EOS_TH,0))))</f>
        <v/>
      </c>
      <c r="Z68" s="86" t="str">
        <f aca="false">IF($B68="","",IF(الموظفون!$R68&lt;&gt;"",الموظفون!$R68,IF(AC68&gt;=cfg_LV_TH,cfg_LV_D2,cfg_LV_D1))/cfg_DAYS_Y*AE68*الموظفون!$P68/cfg_DAYS_M)</f>
        <v/>
      </c>
      <c r="AA68" s="86" t="str">
        <f aca="false">IF($B68="","",IF(AND(الموظفون!$S68="نعم",N(الموظفون!$U68)&gt;0),الموظفون!$T68/الموظفون!$U68*12/cfg_DAYS_Y*AE68,0))</f>
        <v/>
      </c>
      <c r="AB68" s="108" t="str">
        <f aca="false">IF($B68="","",R68+SUM(X68:AA68))</f>
        <v/>
      </c>
      <c r="AC68" s="109" t="str">
        <f aca="false">IF($B68="","",MAX(0,IF(OR(الموظفون!$X68="",الموظفون!$X68&gt;$G$3),$G$3,الموظفون!$X68)-الموظفون!$H68+1)/cfg_DAYS_Y)</f>
        <v/>
      </c>
      <c r="AD68" s="109" t="str">
        <f aca="false">IF($B68="","",MAX(0,IF(OR(الموظفون!$X68="",الموظفون!$X68&gt;($E$3-1)),($E$3-1),الموظفون!$X68)-الموظفون!$H68+1)/cfg_DAYS_Y)</f>
        <v/>
      </c>
      <c r="AE68" s="51" t="str">
        <f aca="false">IF($B68="","",MAX(0,IF(OR(الموظفون!$X68="",الموظفون!$X68&gt;$G$3),$G$3,الموظفون!$X68)-MAX($E$3,الموظفون!$H68)+1))</f>
        <v/>
      </c>
    </row>
    <row r="69" customFormat="false" ht="15" hidden="false" customHeight="false" outlineLevel="0" collapsed="false">
      <c r="A69" s="89" t="str">
        <f aca="false">IF($B69="","",الموظفون!$A69)</f>
        <v/>
      </c>
      <c r="B69" s="91" t="str">
        <f aca="false">IF(الموظفون!$B69="","",الموظفون!$B69)</f>
        <v/>
      </c>
      <c r="C69" s="91" t="str">
        <f aca="false">IF($B69="","",الموظفون!$C69)</f>
        <v/>
      </c>
      <c r="D69" s="91" t="str">
        <f aca="false">IF($B69="","",الموظفون!$F69)</f>
        <v/>
      </c>
      <c r="E69" s="91" t="str">
        <f aca="false">IF($B69="","",الموظفون!$E69)</f>
        <v/>
      </c>
      <c r="F69" s="110" t="str">
        <f aca="false">IF($B69="","",IF(AE69&gt;=DAY($G$3),cfg_DAYS_M,MIN(AE69,cfg_DAYS_M)))</f>
        <v/>
      </c>
      <c r="G69" s="110" t="str">
        <f aca="false">IF($B69="","",SUMIFS('الحركات الشهرية'!$D$6:$D$1005,'الحركات الشهرية'!$B$6:$B$1005,$B69,'الحركات الشهرية'!$A$6:$A$1005,$C$3))</f>
        <v/>
      </c>
      <c r="H69" s="110" t="str">
        <f aca="false">IF($B69="","",SUMIFS('الحركات الشهرية'!$E$6:$E$1005,'الحركات الشهرية'!$B$6:$B$1005,$B69,'الحركات الشهرية'!$A$6:$A$1005,$C$3))</f>
        <v/>
      </c>
      <c r="I69" s="110" t="str">
        <f aca="false">IF($B69="","",MAX(0,F69-G69-H69))</f>
        <v/>
      </c>
      <c r="J69" s="90" t="str">
        <f aca="false">IF($B69="","",الموظفون!$J69*$I69/cfg_DAYS_M)</f>
        <v/>
      </c>
      <c r="K69" s="90" t="str">
        <f aca="false">IF($B69="","",الموظفون!$K69*$I69/cfg_DAYS_M)</f>
        <v/>
      </c>
      <c r="L69" s="90" t="str">
        <f aca="false">IF($B69="","",الموظفون!$L69*$I69/cfg_DAYS_M)</f>
        <v/>
      </c>
      <c r="M69" s="90" t="str">
        <f aca="false">IF($B69="","",الموظفون!$M69*$I69/cfg_DAYS_M)</f>
        <v/>
      </c>
      <c r="N69" s="110" t="str">
        <f aca="false">IF($B69="","",SUMIFS('الحركات الشهرية'!$F$6:$F$1005,'الحركات الشهرية'!$B$6:$B$1005,$B69,'الحركات الشهرية'!$A$6:$A$1005,$C$3))</f>
        <v/>
      </c>
      <c r="O69" s="90" t="str">
        <f aca="false">IF($B69="","",N69*(الموظفون!$N69+الموظفون!$J69*cfg_OT_P)/cfg_DAYS_M/cfg_HRS)</f>
        <v/>
      </c>
      <c r="P69" s="90" t="str">
        <f aca="false">IF($B69="","",SUMIFS('الحركات الشهرية'!$G$6:$G$1005,'الحركات الشهرية'!$B$6:$B$1005,$B69,'الحركات الشهرية'!$A$6:$A$1005,$C$3))</f>
        <v/>
      </c>
      <c r="Q69" s="90" t="str">
        <f aca="false">IF($B69="","",SUMIFS('الحركات الشهرية'!$H$6:$H$1005,'الحركات الشهرية'!$B$6:$B$1005,$B69,'الحركات الشهرية'!$A$6:$A$1005,$C$3))</f>
        <v/>
      </c>
      <c r="R69" s="111" t="str">
        <f aca="false">IF($B69="","",SUM(J69:M69)+SUM(O69:Q69))</f>
        <v/>
      </c>
      <c r="S69" s="90" t="str">
        <f aca="false">IF($B69="","",الموظفون!$Q69*IF(E69="سعودي",cfg_G_SE,cfg_G_NE)*F69/cfg_DAYS_M)</f>
        <v/>
      </c>
      <c r="T69" s="90" t="str">
        <f aca="false">IF($B69="","",SUMIFS('الحركات الشهرية'!$I$6:$I$1005,'الحركات الشهرية'!$B$6:$B$1005,$B69,'الحركات الشهرية'!$A$6:$A$1005,$C$3))</f>
        <v/>
      </c>
      <c r="U69" s="90" t="str">
        <f aca="false">IF($B69="","",SUMIFS('الحركات الشهرية'!$J$6:$J$1005,'الحركات الشهرية'!$B$6:$B$1005,$B69,'الحركات الشهرية'!$A$6:$A$1005,$C$3))</f>
        <v/>
      </c>
      <c r="V69" s="90" t="str">
        <f aca="false">IF($B69="","",SUM(S69:U69))</f>
        <v/>
      </c>
      <c r="W69" s="112" t="str">
        <f aca="false">IF($B69="","",R69-V69)</f>
        <v/>
      </c>
      <c r="X69" s="90" t="str">
        <f aca="false">IF($B69="","",الموظفون!$Q69*IF(E69="سعودي",cfg_G_SR,cfg_G_NR)*F69/cfg_DAYS_M)</f>
        <v/>
      </c>
      <c r="Y69" s="90" t="str">
        <f aca="false">IF($B69="","",الموظفون!$O69*(cfg_EOS_R1*(MIN(AC69,cfg_EOS_TH)-MIN(AD69,cfg_EOS_TH))+cfg_EOS_R2*(MAX(AC69-cfg_EOS_TH,0)-MAX(AD69-cfg_EOS_TH,0))))</f>
        <v/>
      </c>
      <c r="Z69" s="90" t="str">
        <f aca="false">IF($B69="","",IF(الموظفون!$R69&lt;&gt;"",الموظفون!$R69,IF(AC69&gt;=cfg_LV_TH,cfg_LV_D2,cfg_LV_D1))/cfg_DAYS_Y*AE69*الموظفون!$P69/cfg_DAYS_M)</f>
        <v/>
      </c>
      <c r="AA69" s="90" t="str">
        <f aca="false">IF($B69="","",IF(AND(الموظفون!$S69="نعم",N(الموظفون!$U69)&gt;0),الموظفون!$T69/الموظفون!$U69*12/cfg_DAYS_Y*AE69,0))</f>
        <v/>
      </c>
      <c r="AB69" s="113" t="str">
        <f aca="false">IF($B69="","",R69+SUM(X69:AA69))</f>
        <v/>
      </c>
      <c r="AC69" s="114" t="str">
        <f aca="false">IF($B69="","",MAX(0,IF(OR(الموظفون!$X69="",الموظفون!$X69&gt;$G$3),$G$3,الموظفون!$X69)-الموظفون!$H69+1)/cfg_DAYS_Y)</f>
        <v/>
      </c>
      <c r="AD69" s="114" t="str">
        <f aca="false">IF($B69="","",MAX(0,IF(OR(الموظفون!$X69="",الموظفون!$X69&gt;($E$3-1)),($E$3-1),الموظفون!$X69)-الموظفون!$H69+1)/cfg_DAYS_Y)</f>
        <v/>
      </c>
      <c r="AE69" s="115" t="str">
        <f aca="false">IF($B69="","",MAX(0,IF(OR(الموظفون!$X69="",الموظفون!$X69&gt;$G$3),$G$3,الموظفون!$X69)-MAX($E$3,الموظفون!$H69)+1))</f>
        <v/>
      </c>
    </row>
    <row r="70" customFormat="false" ht="15" hidden="false" customHeight="false" outlineLevel="0" collapsed="false">
      <c r="A70" s="83" t="str">
        <f aca="false">IF($B70="","",الموظفون!$A70)</f>
        <v/>
      </c>
      <c r="B70" s="74" t="str">
        <f aca="false">IF(الموظفون!$B70="","",الموظفون!$B70)</f>
        <v/>
      </c>
      <c r="C70" s="74" t="str">
        <f aca="false">IF($B70="","",الموظفون!$C70)</f>
        <v/>
      </c>
      <c r="D70" s="74" t="str">
        <f aca="false">IF($B70="","",الموظفون!$F70)</f>
        <v/>
      </c>
      <c r="E70" s="74" t="str">
        <f aca="false">IF($B70="","",الموظفون!$E70)</f>
        <v/>
      </c>
      <c r="F70" s="105" t="str">
        <f aca="false">IF($B70="","",IF(AE70&gt;=DAY($G$3),cfg_DAYS_M,MIN(AE70,cfg_DAYS_M)))</f>
        <v/>
      </c>
      <c r="G70" s="105" t="str">
        <f aca="false">IF($B70="","",SUMIFS('الحركات الشهرية'!$D$6:$D$1005,'الحركات الشهرية'!$B$6:$B$1005,$B70,'الحركات الشهرية'!$A$6:$A$1005,$C$3))</f>
        <v/>
      </c>
      <c r="H70" s="105" t="str">
        <f aca="false">IF($B70="","",SUMIFS('الحركات الشهرية'!$E$6:$E$1005,'الحركات الشهرية'!$B$6:$B$1005,$B70,'الحركات الشهرية'!$A$6:$A$1005,$C$3))</f>
        <v/>
      </c>
      <c r="I70" s="105" t="str">
        <f aca="false">IF($B70="","",MAX(0,F70-G70-H70))</f>
        <v/>
      </c>
      <c r="J70" s="86" t="str">
        <f aca="false">IF($B70="","",الموظفون!$J70*$I70/cfg_DAYS_M)</f>
        <v/>
      </c>
      <c r="K70" s="86" t="str">
        <f aca="false">IF($B70="","",الموظفون!$K70*$I70/cfg_DAYS_M)</f>
        <v/>
      </c>
      <c r="L70" s="86" t="str">
        <f aca="false">IF($B70="","",الموظفون!$L70*$I70/cfg_DAYS_M)</f>
        <v/>
      </c>
      <c r="M70" s="86" t="str">
        <f aca="false">IF($B70="","",الموظفون!$M70*$I70/cfg_DAYS_M)</f>
        <v/>
      </c>
      <c r="N70" s="105" t="str">
        <f aca="false">IF($B70="","",SUMIFS('الحركات الشهرية'!$F$6:$F$1005,'الحركات الشهرية'!$B$6:$B$1005,$B70,'الحركات الشهرية'!$A$6:$A$1005,$C$3))</f>
        <v/>
      </c>
      <c r="O70" s="86" t="str">
        <f aca="false">IF($B70="","",N70*(الموظفون!$N70+الموظفون!$J70*cfg_OT_P)/cfg_DAYS_M/cfg_HRS)</f>
        <v/>
      </c>
      <c r="P70" s="86" t="str">
        <f aca="false">IF($B70="","",SUMIFS('الحركات الشهرية'!$G$6:$G$1005,'الحركات الشهرية'!$B$6:$B$1005,$B70,'الحركات الشهرية'!$A$6:$A$1005,$C$3))</f>
        <v/>
      </c>
      <c r="Q70" s="86" t="str">
        <f aca="false">IF($B70="","",SUMIFS('الحركات الشهرية'!$H$6:$H$1005,'الحركات الشهرية'!$B$6:$B$1005,$B70,'الحركات الشهرية'!$A$6:$A$1005,$C$3))</f>
        <v/>
      </c>
      <c r="R70" s="106" t="str">
        <f aca="false">IF($B70="","",SUM(J70:M70)+SUM(O70:Q70))</f>
        <v/>
      </c>
      <c r="S70" s="86" t="str">
        <f aca="false">IF($B70="","",الموظفون!$Q70*IF(E70="سعودي",cfg_G_SE,cfg_G_NE)*F70/cfg_DAYS_M)</f>
        <v/>
      </c>
      <c r="T70" s="86" t="str">
        <f aca="false">IF($B70="","",SUMIFS('الحركات الشهرية'!$I$6:$I$1005,'الحركات الشهرية'!$B$6:$B$1005,$B70,'الحركات الشهرية'!$A$6:$A$1005,$C$3))</f>
        <v/>
      </c>
      <c r="U70" s="86" t="str">
        <f aca="false">IF($B70="","",SUMIFS('الحركات الشهرية'!$J$6:$J$1005,'الحركات الشهرية'!$B$6:$B$1005,$B70,'الحركات الشهرية'!$A$6:$A$1005,$C$3))</f>
        <v/>
      </c>
      <c r="V70" s="86" t="str">
        <f aca="false">IF($B70="","",SUM(S70:U70))</f>
        <v/>
      </c>
      <c r="W70" s="107" t="str">
        <f aca="false">IF($B70="","",R70-V70)</f>
        <v/>
      </c>
      <c r="X70" s="86" t="str">
        <f aca="false">IF($B70="","",الموظفون!$Q70*IF(E70="سعودي",cfg_G_SR,cfg_G_NR)*F70/cfg_DAYS_M)</f>
        <v/>
      </c>
      <c r="Y70" s="86" t="str">
        <f aca="false">IF($B70="","",الموظفون!$O70*(cfg_EOS_R1*(MIN(AC70,cfg_EOS_TH)-MIN(AD70,cfg_EOS_TH))+cfg_EOS_R2*(MAX(AC70-cfg_EOS_TH,0)-MAX(AD70-cfg_EOS_TH,0))))</f>
        <v/>
      </c>
      <c r="Z70" s="86" t="str">
        <f aca="false">IF($B70="","",IF(الموظفون!$R70&lt;&gt;"",الموظفون!$R70,IF(AC70&gt;=cfg_LV_TH,cfg_LV_D2,cfg_LV_D1))/cfg_DAYS_Y*AE70*الموظفون!$P70/cfg_DAYS_M)</f>
        <v/>
      </c>
      <c r="AA70" s="86" t="str">
        <f aca="false">IF($B70="","",IF(AND(الموظفون!$S70="نعم",N(الموظفون!$U70)&gt;0),الموظفون!$T70/الموظفون!$U70*12/cfg_DAYS_Y*AE70,0))</f>
        <v/>
      </c>
      <c r="AB70" s="108" t="str">
        <f aca="false">IF($B70="","",R70+SUM(X70:AA70))</f>
        <v/>
      </c>
      <c r="AC70" s="109" t="str">
        <f aca="false">IF($B70="","",MAX(0,IF(OR(الموظفون!$X70="",الموظفون!$X70&gt;$G$3),$G$3,الموظفون!$X70)-الموظفون!$H70+1)/cfg_DAYS_Y)</f>
        <v/>
      </c>
      <c r="AD70" s="109" t="str">
        <f aca="false">IF($B70="","",MAX(0,IF(OR(الموظفون!$X70="",الموظفون!$X70&gt;($E$3-1)),($E$3-1),الموظفون!$X70)-الموظفون!$H70+1)/cfg_DAYS_Y)</f>
        <v/>
      </c>
      <c r="AE70" s="51" t="str">
        <f aca="false">IF($B70="","",MAX(0,IF(OR(الموظفون!$X70="",الموظفون!$X70&gt;$G$3),$G$3,الموظفون!$X70)-MAX($E$3,الموظفون!$H70)+1))</f>
        <v/>
      </c>
    </row>
    <row r="71" customFormat="false" ht="15" hidden="false" customHeight="false" outlineLevel="0" collapsed="false">
      <c r="A71" s="89" t="str">
        <f aca="false">IF($B71="","",الموظفون!$A71)</f>
        <v/>
      </c>
      <c r="B71" s="91" t="str">
        <f aca="false">IF(الموظفون!$B71="","",الموظفون!$B71)</f>
        <v/>
      </c>
      <c r="C71" s="91" t="str">
        <f aca="false">IF($B71="","",الموظفون!$C71)</f>
        <v/>
      </c>
      <c r="D71" s="91" t="str">
        <f aca="false">IF($B71="","",الموظفون!$F71)</f>
        <v/>
      </c>
      <c r="E71" s="91" t="str">
        <f aca="false">IF($B71="","",الموظفون!$E71)</f>
        <v/>
      </c>
      <c r="F71" s="110" t="str">
        <f aca="false">IF($B71="","",IF(AE71&gt;=DAY($G$3),cfg_DAYS_M,MIN(AE71,cfg_DAYS_M)))</f>
        <v/>
      </c>
      <c r="G71" s="110" t="str">
        <f aca="false">IF($B71="","",SUMIFS('الحركات الشهرية'!$D$6:$D$1005,'الحركات الشهرية'!$B$6:$B$1005,$B71,'الحركات الشهرية'!$A$6:$A$1005,$C$3))</f>
        <v/>
      </c>
      <c r="H71" s="110" t="str">
        <f aca="false">IF($B71="","",SUMIFS('الحركات الشهرية'!$E$6:$E$1005,'الحركات الشهرية'!$B$6:$B$1005,$B71,'الحركات الشهرية'!$A$6:$A$1005,$C$3))</f>
        <v/>
      </c>
      <c r="I71" s="110" t="str">
        <f aca="false">IF($B71="","",MAX(0,F71-G71-H71))</f>
        <v/>
      </c>
      <c r="J71" s="90" t="str">
        <f aca="false">IF($B71="","",الموظفون!$J71*$I71/cfg_DAYS_M)</f>
        <v/>
      </c>
      <c r="K71" s="90" t="str">
        <f aca="false">IF($B71="","",الموظفون!$K71*$I71/cfg_DAYS_M)</f>
        <v/>
      </c>
      <c r="L71" s="90" t="str">
        <f aca="false">IF($B71="","",الموظفون!$L71*$I71/cfg_DAYS_M)</f>
        <v/>
      </c>
      <c r="M71" s="90" t="str">
        <f aca="false">IF($B71="","",الموظفون!$M71*$I71/cfg_DAYS_M)</f>
        <v/>
      </c>
      <c r="N71" s="110" t="str">
        <f aca="false">IF($B71="","",SUMIFS('الحركات الشهرية'!$F$6:$F$1005,'الحركات الشهرية'!$B$6:$B$1005,$B71,'الحركات الشهرية'!$A$6:$A$1005,$C$3))</f>
        <v/>
      </c>
      <c r="O71" s="90" t="str">
        <f aca="false">IF($B71="","",N71*(الموظفون!$N71+الموظفون!$J71*cfg_OT_P)/cfg_DAYS_M/cfg_HRS)</f>
        <v/>
      </c>
      <c r="P71" s="90" t="str">
        <f aca="false">IF($B71="","",SUMIFS('الحركات الشهرية'!$G$6:$G$1005,'الحركات الشهرية'!$B$6:$B$1005,$B71,'الحركات الشهرية'!$A$6:$A$1005,$C$3))</f>
        <v/>
      </c>
      <c r="Q71" s="90" t="str">
        <f aca="false">IF($B71="","",SUMIFS('الحركات الشهرية'!$H$6:$H$1005,'الحركات الشهرية'!$B$6:$B$1005,$B71,'الحركات الشهرية'!$A$6:$A$1005,$C$3))</f>
        <v/>
      </c>
      <c r="R71" s="111" t="str">
        <f aca="false">IF($B71="","",SUM(J71:M71)+SUM(O71:Q71))</f>
        <v/>
      </c>
      <c r="S71" s="90" t="str">
        <f aca="false">IF($B71="","",الموظفون!$Q71*IF(E71="سعودي",cfg_G_SE,cfg_G_NE)*F71/cfg_DAYS_M)</f>
        <v/>
      </c>
      <c r="T71" s="90" t="str">
        <f aca="false">IF($B71="","",SUMIFS('الحركات الشهرية'!$I$6:$I$1005,'الحركات الشهرية'!$B$6:$B$1005,$B71,'الحركات الشهرية'!$A$6:$A$1005,$C$3))</f>
        <v/>
      </c>
      <c r="U71" s="90" t="str">
        <f aca="false">IF($B71="","",SUMIFS('الحركات الشهرية'!$J$6:$J$1005,'الحركات الشهرية'!$B$6:$B$1005,$B71,'الحركات الشهرية'!$A$6:$A$1005,$C$3))</f>
        <v/>
      </c>
      <c r="V71" s="90" t="str">
        <f aca="false">IF($B71="","",SUM(S71:U71))</f>
        <v/>
      </c>
      <c r="W71" s="112" t="str">
        <f aca="false">IF($B71="","",R71-V71)</f>
        <v/>
      </c>
      <c r="X71" s="90" t="str">
        <f aca="false">IF($B71="","",الموظفون!$Q71*IF(E71="سعودي",cfg_G_SR,cfg_G_NR)*F71/cfg_DAYS_M)</f>
        <v/>
      </c>
      <c r="Y71" s="90" t="str">
        <f aca="false">IF($B71="","",الموظفون!$O71*(cfg_EOS_R1*(MIN(AC71,cfg_EOS_TH)-MIN(AD71,cfg_EOS_TH))+cfg_EOS_R2*(MAX(AC71-cfg_EOS_TH,0)-MAX(AD71-cfg_EOS_TH,0))))</f>
        <v/>
      </c>
      <c r="Z71" s="90" t="str">
        <f aca="false">IF($B71="","",IF(الموظفون!$R71&lt;&gt;"",الموظفون!$R71,IF(AC71&gt;=cfg_LV_TH,cfg_LV_D2,cfg_LV_D1))/cfg_DAYS_Y*AE71*الموظفون!$P71/cfg_DAYS_M)</f>
        <v/>
      </c>
      <c r="AA71" s="90" t="str">
        <f aca="false">IF($B71="","",IF(AND(الموظفون!$S71="نعم",N(الموظفون!$U71)&gt;0),الموظفون!$T71/الموظفون!$U71*12/cfg_DAYS_Y*AE71,0))</f>
        <v/>
      </c>
      <c r="AB71" s="113" t="str">
        <f aca="false">IF($B71="","",R71+SUM(X71:AA71))</f>
        <v/>
      </c>
      <c r="AC71" s="114" t="str">
        <f aca="false">IF($B71="","",MAX(0,IF(OR(الموظفون!$X71="",الموظفون!$X71&gt;$G$3),$G$3,الموظفون!$X71)-الموظفون!$H71+1)/cfg_DAYS_Y)</f>
        <v/>
      </c>
      <c r="AD71" s="114" t="str">
        <f aca="false">IF($B71="","",MAX(0,IF(OR(الموظفون!$X71="",الموظفون!$X71&gt;($E$3-1)),($E$3-1),الموظفون!$X71)-الموظفون!$H71+1)/cfg_DAYS_Y)</f>
        <v/>
      </c>
      <c r="AE71" s="115" t="str">
        <f aca="false">IF($B71="","",MAX(0,IF(OR(الموظفون!$X71="",الموظفون!$X71&gt;$G$3),$G$3,الموظفون!$X71)-MAX($E$3,الموظفون!$H71)+1))</f>
        <v/>
      </c>
    </row>
    <row r="72" customFormat="false" ht="15" hidden="false" customHeight="false" outlineLevel="0" collapsed="false">
      <c r="A72" s="83" t="str">
        <f aca="false">IF($B72="","",الموظفون!$A72)</f>
        <v/>
      </c>
      <c r="B72" s="74" t="str">
        <f aca="false">IF(الموظفون!$B72="","",الموظفون!$B72)</f>
        <v/>
      </c>
      <c r="C72" s="74" t="str">
        <f aca="false">IF($B72="","",الموظفون!$C72)</f>
        <v/>
      </c>
      <c r="D72" s="74" t="str">
        <f aca="false">IF($B72="","",الموظفون!$F72)</f>
        <v/>
      </c>
      <c r="E72" s="74" t="str">
        <f aca="false">IF($B72="","",الموظفون!$E72)</f>
        <v/>
      </c>
      <c r="F72" s="105" t="str">
        <f aca="false">IF($B72="","",IF(AE72&gt;=DAY($G$3),cfg_DAYS_M,MIN(AE72,cfg_DAYS_M)))</f>
        <v/>
      </c>
      <c r="G72" s="105" t="str">
        <f aca="false">IF($B72="","",SUMIFS('الحركات الشهرية'!$D$6:$D$1005,'الحركات الشهرية'!$B$6:$B$1005,$B72,'الحركات الشهرية'!$A$6:$A$1005,$C$3))</f>
        <v/>
      </c>
      <c r="H72" s="105" t="str">
        <f aca="false">IF($B72="","",SUMIFS('الحركات الشهرية'!$E$6:$E$1005,'الحركات الشهرية'!$B$6:$B$1005,$B72,'الحركات الشهرية'!$A$6:$A$1005,$C$3))</f>
        <v/>
      </c>
      <c r="I72" s="105" t="str">
        <f aca="false">IF($B72="","",MAX(0,F72-G72-H72))</f>
        <v/>
      </c>
      <c r="J72" s="86" t="str">
        <f aca="false">IF($B72="","",الموظفون!$J72*$I72/cfg_DAYS_M)</f>
        <v/>
      </c>
      <c r="K72" s="86" t="str">
        <f aca="false">IF($B72="","",الموظفون!$K72*$I72/cfg_DAYS_M)</f>
        <v/>
      </c>
      <c r="L72" s="86" t="str">
        <f aca="false">IF($B72="","",الموظفون!$L72*$I72/cfg_DAYS_M)</f>
        <v/>
      </c>
      <c r="M72" s="86" t="str">
        <f aca="false">IF($B72="","",الموظفون!$M72*$I72/cfg_DAYS_M)</f>
        <v/>
      </c>
      <c r="N72" s="105" t="str">
        <f aca="false">IF($B72="","",SUMIFS('الحركات الشهرية'!$F$6:$F$1005,'الحركات الشهرية'!$B$6:$B$1005,$B72,'الحركات الشهرية'!$A$6:$A$1005,$C$3))</f>
        <v/>
      </c>
      <c r="O72" s="86" t="str">
        <f aca="false">IF($B72="","",N72*(الموظفون!$N72+الموظفون!$J72*cfg_OT_P)/cfg_DAYS_M/cfg_HRS)</f>
        <v/>
      </c>
      <c r="P72" s="86" t="str">
        <f aca="false">IF($B72="","",SUMIFS('الحركات الشهرية'!$G$6:$G$1005,'الحركات الشهرية'!$B$6:$B$1005,$B72,'الحركات الشهرية'!$A$6:$A$1005,$C$3))</f>
        <v/>
      </c>
      <c r="Q72" s="86" t="str">
        <f aca="false">IF($B72="","",SUMIFS('الحركات الشهرية'!$H$6:$H$1005,'الحركات الشهرية'!$B$6:$B$1005,$B72,'الحركات الشهرية'!$A$6:$A$1005,$C$3))</f>
        <v/>
      </c>
      <c r="R72" s="106" t="str">
        <f aca="false">IF($B72="","",SUM(J72:M72)+SUM(O72:Q72))</f>
        <v/>
      </c>
      <c r="S72" s="86" t="str">
        <f aca="false">IF($B72="","",الموظفون!$Q72*IF(E72="سعودي",cfg_G_SE,cfg_G_NE)*F72/cfg_DAYS_M)</f>
        <v/>
      </c>
      <c r="T72" s="86" t="str">
        <f aca="false">IF($B72="","",SUMIFS('الحركات الشهرية'!$I$6:$I$1005,'الحركات الشهرية'!$B$6:$B$1005,$B72,'الحركات الشهرية'!$A$6:$A$1005,$C$3))</f>
        <v/>
      </c>
      <c r="U72" s="86" t="str">
        <f aca="false">IF($B72="","",SUMIFS('الحركات الشهرية'!$J$6:$J$1005,'الحركات الشهرية'!$B$6:$B$1005,$B72,'الحركات الشهرية'!$A$6:$A$1005,$C$3))</f>
        <v/>
      </c>
      <c r="V72" s="86" t="str">
        <f aca="false">IF($B72="","",SUM(S72:U72))</f>
        <v/>
      </c>
      <c r="W72" s="107" t="str">
        <f aca="false">IF($B72="","",R72-V72)</f>
        <v/>
      </c>
      <c r="X72" s="86" t="str">
        <f aca="false">IF($B72="","",الموظفون!$Q72*IF(E72="سعودي",cfg_G_SR,cfg_G_NR)*F72/cfg_DAYS_M)</f>
        <v/>
      </c>
      <c r="Y72" s="86" t="str">
        <f aca="false">IF($B72="","",الموظفون!$O72*(cfg_EOS_R1*(MIN(AC72,cfg_EOS_TH)-MIN(AD72,cfg_EOS_TH))+cfg_EOS_R2*(MAX(AC72-cfg_EOS_TH,0)-MAX(AD72-cfg_EOS_TH,0))))</f>
        <v/>
      </c>
      <c r="Z72" s="86" t="str">
        <f aca="false">IF($B72="","",IF(الموظفون!$R72&lt;&gt;"",الموظفون!$R72,IF(AC72&gt;=cfg_LV_TH,cfg_LV_D2,cfg_LV_D1))/cfg_DAYS_Y*AE72*الموظفون!$P72/cfg_DAYS_M)</f>
        <v/>
      </c>
      <c r="AA72" s="86" t="str">
        <f aca="false">IF($B72="","",IF(AND(الموظفون!$S72="نعم",N(الموظفون!$U72)&gt;0),الموظفون!$T72/الموظفون!$U72*12/cfg_DAYS_Y*AE72,0))</f>
        <v/>
      </c>
      <c r="AB72" s="108" t="str">
        <f aca="false">IF($B72="","",R72+SUM(X72:AA72))</f>
        <v/>
      </c>
      <c r="AC72" s="109" t="str">
        <f aca="false">IF($B72="","",MAX(0,IF(OR(الموظفون!$X72="",الموظفون!$X72&gt;$G$3),$G$3,الموظفون!$X72)-الموظفون!$H72+1)/cfg_DAYS_Y)</f>
        <v/>
      </c>
      <c r="AD72" s="109" t="str">
        <f aca="false">IF($B72="","",MAX(0,IF(OR(الموظفون!$X72="",الموظفون!$X72&gt;($E$3-1)),($E$3-1),الموظفون!$X72)-الموظفون!$H72+1)/cfg_DAYS_Y)</f>
        <v/>
      </c>
      <c r="AE72" s="51" t="str">
        <f aca="false">IF($B72="","",MAX(0,IF(OR(الموظفون!$X72="",الموظفون!$X72&gt;$G$3),$G$3,الموظفون!$X72)-MAX($E$3,الموظفون!$H72)+1))</f>
        <v/>
      </c>
    </row>
    <row r="73" customFormat="false" ht="15" hidden="false" customHeight="false" outlineLevel="0" collapsed="false">
      <c r="A73" s="89" t="str">
        <f aca="false">IF($B73="","",الموظفون!$A73)</f>
        <v/>
      </c>
      <c r="B73" s="91" t="str">
        <f aca="false">IF(الموظفون!$B73="","",الموظفون!$B73)</f>
        <v/>
      </c>
      <c r="C73" s="91" t="str">
        <f aca="false">IF($B73="","",الموظفون!$C73)</f>
        <v/>
      </c>
      <c r="D73" s="91" t="str">
        <f aca="false">IF($B73="","",الموظفون!$F73)</f>
        <v/>
      </c>
      <c r="E73" s="91" t="str">
        <f aca="false">IF($B73="","",الموظفون!$E73)</f>
        <v/>
      </c>
      <c r="F73" s="110" t="str">
        <f aca="false">IF($B73="","",IF(AE73&gt;=DAY($G$3),cfg_DAYS_M,MIN(AE73,cfg_DAYS_M)))</f>
        <v/>
      </c>
      <c r="G73" s="110" t="str">
        <f aca="false">IF($B73="","",SUMIFS('الحركات الشهرية'!$D$6:$D$1005,'الحركات الشهرية'!$B$6:$B$1005,$B73,'الحركات الشهرية'!$A$6:$A$1005,$C$3))</f>
        <v/>
      </c>
      <c r="H73" s="110" t="str">
        <f aca="false">IF($B73="","",SUMIFS('الحركات الشهرية'!$E$6:$E$1005,'الحركات الشهرية'!$B$6:$B$1005,$B73,'الحركات الشهرية'!$A$6:$A$1005,$C$3))</f>
        <v/>
      </c>
      <c r="I73" s="110" t="str">
        <f aca="false">IF($B73="","",MAX(0,F73-G73-H73))</f>
        <v/>
      </c>
      <c r="J73" s="90" t="str">
        <f aca="false">IF($B73="","",الموظفون!$J73*$I73/cfg_DAYS_M)</f>
        <v/>
      </c>
      <c r="K73" s="90" t="str">
        <f aca="false">IF($B73="","",الموظفون!$K73*$I73/cfg_DAYS_M)</f>
        <v/>
      </c>
      <c r="L73" s="90" t="str">
        <f aca="false">IF($B73="","",الموظفون!$L73*$I73/cfg_DAYS_M)</f>
        <v/>
      </c>
      <c r="M73" s="90" t="str">
        <f aca="false">IF($B73="","",الموظفون!$M73*$I73/cfg_DAYS_M)</f>
        <v/>
      </c>
      <c r="N73" s="110" t="str">
        <f aca="false">IF($B73="","",SUMIFS('الحركات الشهرية'!$F$6:$F$1005,'الحركات الشهرية'!$B$6:$B$1005,$B73,'الحركات الشهرية'!$A$6:$A$1005,$C$3))</f>
        <v/>
      </c>
      <c r="O73" s="90" t="str">
        <f aca="false">IF($B73="","",N73*(الموظفون!$N73+الموظفون!$J73*cfg_OT_P)/cfg_DAYS_M/cfg_HRS)</f>
        <v/>
      </c>
      <c r="P73" s="90" t="str">
        <f aca="false">IF($B73="","",SUMIFS('الحركات الشهرية'!$G$6:$G$1005,'الحركات الشهرية'!$B$6:$B$1005,$B73,'الحركات الشهرية'!$A$6:$A$1005,$C$3))</f>
        <v/>
      </c>
      <c r="Q73" s="90" t="str">
        <f aca="false">IF($B73="","",SUMIFS('الحركات الشهرية'!$H$6:$H$1005,'الحركات الشهرية'!$B$6:$B$1005,$B73,'الحركات الشهرية'!$A$6:$A$1005,$C$3))</f>
        <v/>
      </c>
      <c r="R73" s="111" t="str">
        <f aca="false">IF($B73="","",SUM(J73:M73)+SUM(O73:Q73))</f>
        <v/>
      </c>
      <c r="S73" s="90" t="str">
        <f aca="false">IF($B73="","",الموظفون!$Q73*IF(E73="سعودي",cfg_G_SE,cfg_G_NE)*F73/cfg_DAYS_M)</f>
        <v/>
      </c>
      <c r="T73" s="90" t="str">
        <f aca="false">IF($B73="","",SUMIFS('الحركات الشهرية'!$I$6:$I$1005,'الحركات الشهرية'!$B$6:$B$1005,$B73,'الحركات الشهرية'!$A$6:$A$1005,$C$3))</f>
        <v/>
      </c>
      <c r="U73" s="90" t="str">
        <f aca="false">IF($B73="","",SUMIFS('الحركات الشهرية'!$J$6:$J$1005,'الحركات الشهرية'!$B$6:$B$1005,$B73,'الحركات الشهرية'!$A$6:$A$1005,$C$3))</f>
        <v/>
      </c>
      <c r="V73" s="90" t="str">
        <f aca="false">IF($B73="","",SUM(S73:U73))</f>
        <v/>
      </c>
      <c r="W73" s="112" t="str">
        <f aca="false">IF($B73="","",R73-V73)</f>
        <v/>
      </c>
      <c r="X73" s="90" t="str">
        <f aca="false">IF($B73="","",الموظفون!$Q73*IF(E73="سعودي",cfg_G_SR,cfg_G_NR)*F73/cfg_DAYS_M)</f>
        <v/>
      </c>
      <c r="Y73" s="90" t="str">
        <f aca="false">IF($B73="","",الموظفون!$O73*(cfg_EOS_R1*(MIN(AC73,cfg_EOS_TH)-MIN(AD73,cfg_EOS_TH))+cfg_EOS_R2*(MAX(AC73-cfg_EOS_TH,0)-MAX(AD73-cfg_EOS_TH,0))))</f>
        <v/>
      </c>
      <c r="Z73" s="90" t="str">
        <f aca="false">IF($B73="","",IF(الموظفون!$R73&lt;&gt;"",الموظفون!$R73,IF(AC73&gt;=cfg_LV_TH,cfg_LV_D2,cfg_LV_D1))/cfg_DAYS_Y*AE73*الموظفون!$P73/cfg_DAYS_M)</f>
        <v/>
      </c>
      <c r="AA73" s="90" t="str">
        <f aca="false">IF($B73="","",IF(AND(الموظفون!$S73="نعم",N(الموظفون!$U73)&gt;0),الموظفون!$T73/الموظفون!$U73*12/cfg_DAYS_Y*AE73,0))</f>
        <v/>
      </c>
      <c r="AB73" s="113" t="str">
        <f aca="false">IF($B73="","",R73+SUM(X73:AA73))</f>
        <v/>
      </c>
      <c r="AC73" s="114" t="str">
        <f aca="false">IF($B73="","",MAX(0,IF(OR(الموظفون!$X73="",الموظفون!$X73&gt;$G$3),$G$3,الموظفون!$X73)-الموظفون!$H73+1)/cfg_DAYS_Y)</f>
        <v/>
      </c>
      <c r="AD73" s="114" t="str">
        <f aca="false">IF($B73="","",MAX(0,IF(OR(الموظفون!$X73="",الموظفون!$X73&gt;($E$3-1)),($E$3-1),الموظفون!$X73)-الموظفون!$H73+1)/cfg_DAYS_Y)</f>
        <v/>
      </c>
      <c r="AE73" s="115" t="str">
        <f aca="false">IF($B73="","",MAX(0,IF(OR(الموظفون!$X73="",الموظفون!$X73&gt;$G$3),$G$3,الموظفون!$X73)-MAX($E$3,الموظفون!$H73)+1))</f>
        <v/>
      </c>
    </row>
    <row r="74" customFormat="false" ht="15" hidden="false" customHeight="false" outlineLevel="0" collapsed="false">
      <c r="A74" s="83" t="str">
        <f aca="false">IF($B74="","",الموظفون!$A74)</f>
        <v/>
      </c>
      <c r="B74" s="74" t="str">
        <f aca="false">IF(الموظفون!$B74="","",الموظفون!$B74)</f>
        <v/>
      </c>
      <c r="C74" s="74" t="str">
        <f aca="false">IF($B74="","",الموظفون!$C74)</f>
        <v/>
      </c>
      <c r="D74" s="74" t="str">
        <f aca="false">IF($B74="","",الموظفون!$F74)</f>
        <v/>
      </c>
      <c r="E74" s="74" t="str">
        <f aca="false">IF($B74="","",الموظفون!$E74)</f>
        <v/>
      </c>
      <c r="F74" s="105" t="str">
        <f aca="false">IF($B74="","",IF(AE74&gt;=DAY($G$3),cfg_DAYS_M,MIN(AE74,cfg_DAYS_M)))</f>
        <v/>
      </c>
      <c r="G74" s="105" t="str">
        <f aca="false">IF($B74="","",SUMIFS('الحركات الشهرية'!$D$6:$D$1005,'الحركات الشهرية'!$B$6:$B$1005,$B74,'الحركات الشهرية'!$A$6:$A$1005,$C$3))</f>
        <v/>
      </c>
      <c r="H74" s="105" t="str">
        <f aca="false">IF($B74="","",SUMIFS('الحركات الشهرية'!$E$6:$E$1005,'الحركات الشهرية'!$B$6:$B$1005,$B74,'الحركات الشهرية'!$A$6:$A$1005,$C$3))</f>
        <v/>
      </c>
      <c r="I74" s="105" t="str">
        <f aca="false">IF($B74="","",MAX(0,F74-G74-H74))</f>
        <v/>
      </c>
      <c r="J74" s="86" t="str">
        <f aca="false">IF($B74="","",الموظفون!$J74*$I74/cfg_DAYS_M)</f>
        <v/>
      </c>
      <c r="K74" s="86" t="str">
        <f aca="false">IF($B74="","",الموظفون!$K74*$I74/cfg_DAYS_M)</f>
        <v/>
      </c>
      <c r="L74" s="86" t="str">
        <f aca="false">IF($B74="","",الموظفون!$L74*$I74/cfg_DAYS_M)</f>
        <v/>
      </c>
      <c r="M74" s="86" t="str">
        <f aca="false">IF($B74="","",الموظفون!$M74*$I74/cfg_DAYS_M)</f>
        <v/>
      </c>
      <c r="N74" s="105" t="str">
        <f aca="false">IF($B74="","",SUMIFS('الحركات الشهرية'!$F$6:$F$1005,'الحركات الشهرية'!$B$6:$B$1005,$B74,'الحركات الشهرية'!$A$6:$A$1005,$C$3))</f>
        <v/>
      </c>
      <c r="O74" s="86" t="str">
        <f aca="false">IF($B74="","",N74*(الموظفون!$N74+الموظفون!$J74*cfg_OT_P)/cfg_DAYS_M/cfg_HRS)</f>
        <v/>
      </c>
      <c r="P74" s="86" t="str">
        <f aca="false">IF($B74="","",SUMIFS('الحركات الشهرية'!$G$6:$G$1005,'الحركات الشهرية'!$B$6:$B$1005,$B74,'الحركات الشهرية'!$A$6:$A$1005,$C$3))</f>
        <v/>
      </c>
      <c r="Q74" s="86" t="str">
        <f aca="false">IF($B74="","",SUMIFS('الحركات الشهرية'!$H$6:$H$1005,'الحركات الشهرية'!$B$6:$B$1005,$B74,'الحركات الشهرية'!$A$6:$A$1005,$C$3))</f>
        <v/>
      </c>
      <c r="R74" s="106" t="str">
        <f aca="false">IF($B74="","",SUM(J74:M74)+SUM(O74:Q74))</f>
        <v/>
      </c>
      <c r="S74" s="86" t="str">
        <f aca="false">IF($B74="","",الموظفون!$Q74*IF(E74="سعودي",cfg_G_SE,cfg_G_NE)*F74/cfg_DAYS_M)</f>
        <v/>
      </c>
      <c r="T74" s="86" t="str">
        <f aca="false">IF($B74="","",SUMIFS('الحركات الشهرية'!$I$6:$I$1005,'الحركات الشهرية'!$B$6:$B$1005,$B74,'الحركات الشهرية'!$A$6:$A$1005,$C$3))</f>
        <v/>
      </c>
      <c r="U74" s="86" t="str">
        <f aca="false">IF($B74="","",SUMIFS('الحركات الشهرية'!$J$6:$J$1005,'الحركات الشهرية'!$B$6:$B$1005,$B74,'الحركات الشهرية'!$A$6:$A$1005,$C$3))</f>
        <v/>
      </c>
      <c r="V74" s="86" t="str">
        <f aca="false">IF($B74="","",SUM(S74:U74))</f>
        <v/>
      </c>
      <c r="W74" s="107" t="str">
        <f aca="false">IF($B74="","",R74-V74)</f>
        <v/>
      </c>
      <c r="X74" s="86" t="str">
        <f aca="false">IF($B74="","",الموظفون!$Q74*IF(E74="سعودي",cfg_G_SR,cfg_G_NR)*F74/cfg_DAYS_M)</f>
        <v/>
      </c>
      <c r="Y74" s="86" t="str">
        <f aca="false">IF($B74="","",الموظفون!$O74*(cfg_EOS_R1*(MIN(AC74,cfg_EOS_TH)-MIN(AD74,cfg_EOS_TH))+cfg_EOS_R2*(MAX(AC74-cfg_EOS_TH,0)-MAX(AD74-cfg_EOS_TH,0))))</f>
        <v/>
      </c>
      <c r="Z74" s="86" t="str">
        <f aca="false">IF($B74="","",IF(الموظفون!$R74&lt;&gt;"",الموظفون!$R74,IF(AC74&gt;=cfg_LV_TH,cfg_LV_D2,cfg_LV_D1))/cfg_DAYS_Y*AE74*الموظفون!$P74/cfg_DAYS_M)</f>
        <v/>
      </c>
      <c r="AA74" s="86" t="str">
        <f aca="false">IF($B74="","",IF(AND(الموظفون!$S74="نعم",N(الموظفون!$U74)&gt;0),الموظفون!$T74/الموظفون!$U74*12/cfg_DAYS_Y*AE74,0))</f>
        <v/>
      </c>
      <c r="AB74" s="108" t="str">
        <f aca="false">IF($B74="","",R74+SUM(X74:AA74))</f>
        <v/>
      </c>
      <c r="AC74" s="109" t="str">
        <f aca="false">IF($B74="","",MAX(0,IF(OR(الموظفون!$X74="",الموظفون!$X74&gt;$G$3),$G$3,الموظفون!$X74)-الموظفون!$H74+1)/cfg_DAYS_Y)</f>
        <v/>
      </c>
      <c r="AD74" s="109" t="str">
        <f aca="false">IF($B74="","",MAX(0,IF(OR(الموظفون!$X74="",الموظفون!$X74&gt;($E$3-1)),($E$3-1),الموظفون!$X74)-الموظفون!$H74+1)/cfg_DAYS_Y)</f>
        <v/>
      </c>
      <c r="AE74" s="51" t="str">
        <f aca="false">IF($B74="","",MAX(0,IF(OR(الموظفون!$X74="",الموظفون!$X74&gt;$G$3),$G$3,الموظفون!$X74)-MAX($E$3,الموظفون!$H74)+1))</f>
        <v/>
      </c>
    </row>
    <row r="75" customFormat="false" ht="15" hidden="false" customHeight="false" outlineLevel="0" collapsed="false">
      <c r="A75" s="89" t="str">
        <f aca="false">IF($B75="","",الموظفون!$A75)</f>
        <v/>
      </c>
      <c r="B75" s="91" t="str">
        <f aca="false">IF(الموظفون!$B75="","",الموظفون!$B75)</f>
        <v/>
      </c>
      <c r="C75" s="91" t="str">
        <f aca="false">IF($B75="","",الموظفون!$C75)</f>
        <v/>
      </c>
      <c r="D75" s="91" t="str">
        <f aca="false">IF($B75="","",الموظفون!$F75)</f>
        <v/>
      </c>
      <c r="E75" s="91" t="str">
        <f aca="false">IF($B75="","",الموظفون!$E75)</f>
        <v/>
      </c>
      <c r="F75" s="110" t="str">
        <f aca="false">IF($B75="","",IF(AE75&gt;=DAY($G$3),cfg_DAYS_M,MIN(AE75,cfg_DAYS_M)))</f>
        <v/>
      </c>
      <c r="G75" s="110" t="str">
        <f aca="false">IF($B75="","",SUMIFS('الحركات الشهرية'!$D$6:$D$1005,'الحركات الشهرية'!$B$6:$B$1005,$B75,'الحركات الشهرية'!$A$6:$A$1005,$C$3))</f>
        <v/>
      </c>
      <c r="H75" s="110" t="str">
        <f aca="false">IF($B75="","",SUMIFS('الحركات الشهرية'!$E$6:$E$1005,'الحركات الشهرية'!$B$6:$B$1005,$B75,'الحركات الشهرية'!$A$6:$A$1005,$C$3))</f>
        <v/>
      </c>
      <c r="I75" s="110" t="str">
        <f aca="false">IF($B75="","",MAX(0,F75-G75-H75))</f>
        <v/>
      </c>
      <c r="J75" s="90" t="str">
        <f aca="false">IF($B75="","",الموظفون!$J75*$I75/cfg_DAYS_M)</f>
        <v/>
      </c>
      <c r="K75" s="90" t="str">
        <f aca="false">IF($B75="","",الموظفون!$K75*$I75/cfg_DAYS_M)</f>
        <v/>
      </c>
      <c r="L75" s="90" t="str">
        <f aca="false">IF($B75="","",الموظفون!$L75*$I75/cfg_DAYS_M)</f>
        <v/>
      </c>
      <c r="M75" s="90" t="str">
        <f aca="false">IF($B75="","",الموظفون!$M75*$I75/cfg_DAYS_M)</f>
        <v/>
      </c>
      <c r="N75" s="110" t="str">
        <f aca="false">IF($B75="","",SUMIFS('الحركات الشهرية'!$F$6:$F$1005,'الحركات الشهرية'!$B$6:$B$1005,$B75,'الحركات الشهرية'!$A$6:$A$1005,$C$3))</f>
        <v/>
      </c>
      <c r="O75" s="90" t="str">
        <f aca="false">IF($B75="","",N75*(الموظفون!$N75+الموظفون!$J75*cfg_OT_P)/cfg_DAYS_M/cfg_HRS)</f>
        <v/>
      </c>
      <c r="P75" s="90" t="str">
        <f aca="false">IF($B75="","",SUMIFS('الحركات الشهرية'!$G$6:$G$1005,'الحركات الشهرية'!$B$6:$B$1005,$B75,'الحركات الشهرية'!$A$6:$A$1005,$C$3))</f>
        <v/>
      </c>
      <c r="Q75" s="90" t="str">
        <f aca="false">IF($B75="","",SUMIFS('الحركات الشهرية'!$H$6:$H$1005,'الحركات الشهرية'!$B$6:$B$1005,$B75,'الحركات الشهرية'!$A$6:$A$1005,$C$3))</f>
        <v/>
      </c>
      <c r="R75" s="111" t="str">
        <f aca="false">IF($B75="","",SUM(J75:M75)+SUM(O75:Q75))</f>
        <v/>
      </c>
      <c r="S75" s="90" t="str">
        <f aca="false">IF($B75="","",الموظفون!$Q75*IF(E75="سعودي",cfg_G_SE,cfg_G_NE)*F75/cfg_DAYS_M)</f>
        <v/>
      </c>
      <c r="T75" s="90" t="str">
        <f aca="false">IF($B75="","",SUMIFS('الحركات الشهرية'!$I$6:$I$1005,'الحركات الشهرية'!$B$6:$B$1005,$B75,'الحركات الشهرية'!$A$6:$A$1005,$C$3))</f>
        <v/>
      </c>
      <c r="U75" s="90" t="str">
        <f aca="false">IF($B75="","",SUMIFS('الحركات الشهرية'!$J$6:$J$1005,'الحركات الشهرية'!$B$6:$B$1005,$B75,'الحركات الشهرية'!$A$6:$A$1005,$C$3))</f>
        <v/>
      </c>
      <c r="V75" s="90" t="str">
        <f aca="false">IF($B75="","",SUM(S75:U75))</f>
        <v/>
      </c>
      <c r="W75" s="112" t="str">
        <f aca="false">IF($B75="","",R75-V75)</f>
        <v/>
      </c>
      <c r="X75" s="90" t="str">
        <f aca="false">IF($B75="","",الموظفون!$Q75*IF(E75="سعودي",cfg_G_SR,cfg_G_NR)*F75/cfg_DAYS_M)</f>
        <v/>
      </c>
      <c r="Y75" s="90" t="str">
        <f aca="false">IF($B75="","",الموظفون!$O75*(cfg_EOS_R1*(MIN(AC75,cfg_EOS_TH)-MIN(AD75,cfg_EOS_TH))+cfg_EOS_R2*(MAX(AC75-cfg_EOS_TH,0)-MAX(AD75-cfg_EOS_TH,0))))</f>
        <v/>
      </c>
      <c r="Z75" s="90" t="str">
        <f aca="false">IF($B75="","",IF(الموظفون!$R75&lt;&gt;"",الموظفون!$R75,IF(AC75&gt;=cfg_LV_TH,cfg_LV_D2,cfg_LV_D1))/cfg_DAYS_Y*AE75*الموظفون!$P75/cfg_DAYS_M)</f>
        <v/>
      </c>
      <c r="AA75" s="90" t="str">
        <f aca="false">IF($B75="","",IF(AND(الموظفون!$S75="نعم",N(الموظفون!$U75)&gt;0),الموظفون!$T75/الموظفون!$U75*12/cfg_DAYS_Y*AE75,0))</f>
        <v/>
      </c>
      <c r="AB75" s="113" t="str">
        <f aca="false">IF($B75="","",R75+SUM(X75:AA75))</f>
        <v/>
      </c>
      <c r="AC75" s="114" t="str">
        <f aca="false">IF($B75="","",MAX(0,IF(OR(الموظفون!$X75="",الموظفون!$X75&gt;$G$3),$G$3,الموظفون!$X75)-الموظفون!$H75+1)/cfg_DAYS_Y)</f>
        <v/>
      </c>
      <c r="AD75" s="114" t="str">
        <f aca="false">IF($B75="","",MAX(0,IF(OR(الموظفون!$X75="",الموظفون!$X75&gt;($E$3-1)),($E$3-1),الموظفون!$X75)-الموظفون!$H75+1)/cfg_DAYS_Y)</f>
        <v/>
      </c>
      <c r="AE75" s="115" t="str">
        <f aca="false">IF($B75="","",MAX(0,IF(OR(الموظفون!$X75="",الموظفون!$X75&gt;$G$3),$G$3,الموظفون!$X75)-MAX($E$3,الموظفون!$H75)+1))</f>
        <v/>
      </c>
    </row>
    <row r="76" customFormat="false" ht="15" hidden="false" customHeight="false" outlineLevel="0" collapsed="false">
      <c r="A76" s="83" t="str">
        <f aca="false">IF($B76="","",الموظفون!$A76)</f>
        <v/>
      </c>
      <c r="B76" s="74" t="str">
        <f aca="false">IF(الموظفون!$B76="","",الموظفون!$B76)</f>
        <v/>
      </c>
      <c r="C76" s="74" t="str">
        <f aca="false">IF($B76="","",الموظفون!$C76)</f>
        <v/>
      </c>
      <c r="D76" s="74" t="str">
        <f aca="false">IF($B76="","",الموظفون!$F76)</f>
        <v/>
      </c>
      <c r="E76" s="74" t="str">
        <f aca="false">IF($B76="","",الموظفون!$E76)</f>
        <v/>
      </c>
      <c r="F76" s="105" t="str">
        <f aca="false">IF($B76="","",IF(AE76&gt;=DAY($G$3),cfg_DAYS_M,MIN(AE76,cfg_DAYS_M)))</f>
        <v/>
      </c>
      <c r="G76" s="105" t="str">
        <f aca="false">IF($B76="","",SUMIFS('الحركات الشهرية'!$D$6:$D$1005,'الحركات الشهرية'!$B$6:$B$1005,$B76,'الحركات الشهرية'!$A$6:$A$1005,$C$3))</f>
        <v/>
      </c>
      <c r="H76" s="105" t="str">
        <f aca="false">IF($B76="","",SUMIFS('الحركات الشهرية'!$E$6:$E$1005,'الحركات الشهرية'!$B$6:$B$1005,$B76,'الحركات الشهرية'!$A$6:$A$1005,$C$3))</f>
        <v/>
      </c>
      <c r="I76" s="105" t="str">
        <f aca="false">IF($B76="","",MAX(0,F76-G76-H76))</f>
        <v/>
      </c>
      <c r="J76" s="86" t="str">
        <f aca="false">IF($B76="","",الموظفون!$J76*$I76/cfg_DAYS_M)</f>
        <v/>
      </c>
      <c r="K76" s="86" t="str">
        <f aca="false">IF($B76="","",الموظفون!$K76*$I76/cfg_DAYS_M)</f>
        <v/>
      </c>
      <c r="L76" s="86" t="str">
        <f aca="false">IF($B76="","",الموظفون!$L76*$I76/cfg_DAYS_M)</f>
        <v/>
      </c>
      <c r="M76" s="86" t="str">
        <f aca="false">IF($B76="","",الموظفون!$M76*$I76/cfg_DAYS_M)</f>
        <v/>
      </c>
      <c r="N76" s="105" t="str">
        <f aca="false">IF($B76="","",SUMIFS('الحركات الشهرية'!$F$6:$F$1005,'الحركات الشهرية'!$B$6:$B$1005,$B76,'الحركات الشهرية'!$A$6:$A$1005,$C$3))</f>
        <v/>
      </c>
      <c r="O76" s="86" t="str">
        <f aca="false">IF($B76="","",N76*(الموظفون!$N76+الموظفون!$J76*cfg_OT_P)/cfg_DAYS_M/cfg_HRS)</f>
        <v/>
      </c>
      <c r="P76" s="86" t="str">
        <f aca="false">IF($B76="","",SUMIFS('الحركات الشهرية'!$G$6:$G$1005,'الحركات الشهرية'!$B$6:$B$1005,$B76,'الحركات الشهرية'!$A$6:$A$1005,$C$3))</f>
        <v/>
      </c>
      <c r="Q76" s="86" t="str">
        <f aca="false">IF($B76="","",SUMIFS('الحركات الشهرية'!$H$6:$H$1005,'الحركات الشهرية'!$B$6:$B$1005,$B76,'الحركات الشهرية'!$A$6:$A$1005,$C$3))</f>
        <v/>
      </c>
      <c r="R76" s="106" t="str">
        <f aca="false">IF($B76="","",SUM(J76:M76)+SUM(O76:Q76))</f>
        <v/>
      </c>
      <c r="S76" s="86" t="str">
        <f aca="false">IF($B76="","",الموظفون!$Q76*IF(E76="سعودي",cfg_G_SE,cfg_G_NE)*F76/cfg_DAYS_M)</f>
        <v/>
      </c>
      <c r="T76" s="86" t="str">
        <f aca="false">IF($B76="","",SUMIFS('الحركات الشهرية'!$I$6:$I$1005,'الحركات الشهرية'!$B$6:$B$1005,$B76,'الحركات الشهرية'!$A$6:$A$1005,$C$3))</f>
        <v/>
      </c>
      <c r="U76" s="86" t="str">
        <f aca="false">IF($B76="","",SUMIFS('الحركات الشهرية'!$J$6:$J$1005,'الحركات الشهرية'!$B$6:$B$1005,$B76,'الحركات الشهرية'!$A$6:$A$1005,$C$3))</f>
        <v/>
      </c>
      <c r="V76" s="86" t="str">
        <f aca="false">IF($B76="","",SUM(S76:U76))</f>
        <v/>
      </c>
      <c r="W76" s="107" t="str">
        <f aca="false">IF($B76="","",R76-V76)</f>
        <v/>
      </c>
      <c r="X76" s="86" t="str">
        <f aca="false">IF($B76="","",الموظفون!$Q76*IF(E76="سعودي",cfg_G_SR,cfg_G_NR)*F76/cfg_DAYS_M)</f>
        <v/>
      </c>
      <c r="Y76" s="86" t="str">
        <f aca="false">IF($B76="","",الموظفون!$O76*(cfg_EOS_R1*(MIN(AC76,cfg_EOS_TH)-MIN(AD76,cfg_EOS_TH))+cfg_EOS_R2*(MAX(AC76-cfg_EOS_TH,0)-MAX(AD76-cfg_EOS_TH,0))))</f>
        <v/>
      </c>
      <c r="Z76" s="86" t="str">
        <f aca="false">IF($B76="","",IF(الموظفون!$R76&lt;&gt;"",الموظفون!$R76,IF(AC76&gt;=cfg_LV_TH,cfg_LV_D2,cfg_LV_D1))/cfg_DAYS_Y*AE76*الموظفون!$P76/cfg_DAYS_M)</f>
        <v/>
      </c>
      <c r="AA76" s="86" t="str">
        <f aca="false">IF($B76="","",IF(AND(الموظفون!$S76="نعم",N(الموظفون!$U76)&gt;0),الموظفون!$T76/الموظفون!$U76*12/cfg_DAYS_Y*AE76,0))</f>
        <v/>
      </c>
      <c r="AB76" s="108" t="str">
        <f aca="false">IF($B76="","",R76+SUM(X76:AA76))</f>
        <v/>
      </c>
      <c r="AC76" s="109" t="str">
        <f aca="false">IF($B76="","",MAX(0,IF(OR(الموظفون!$X76="",الموظفون!$X76&gt;$G$3),$G$3,الموظفون!$X76)-الموظفون!$H76+1)/cfg_DAYS_Y)</f>
        <v/>
      </c>
      <c r="AD76" s="109" t="str">
        <f aca="false">IF($B76="","",MAX(0,IF(OR(الموظفون!$X76="",الموظفون!$X76&gt;($E$3-1)),($E$3-1),الموظفون!$X76)-الموظفون!$H76+1)/cfg_DAYS_Y)</f>
        <v/>
      </c>
      <c r="AE76" s="51" t="str">
        <f aca="false">IF($B76="","",MAX(0,IF(OR(الموظفون!$X76="",الموظفون!$X76&gt;$G$3),$G$3,الموظفون!$X76)-MAX($E$3,الموظفون!$H76)+1))</f>
        <v/>
      </c>
    </row>
    <row r="77" customFormat="false" ht="15" hidden="false" customHeight="false" outlineLevel="0" collapsed="false">
      <c r="A77" s="89" t="str">
        <f aca="false">IF($B77="","",الموظفون!$A77)</f>
        <v/>
      </c>
      <c r="B77" s="91" t="str">
        <f aca="false">IF(الموظفون!$B77="","",الموظفون!$B77)</f>
        <v/>
      </c>
      <c r="C77" s="91" t="str">
        <f aca="false">IF($B77="","",الموظفون!$C77)</f>
        <v/>
      </c>
      <c r="D77" s="91" t="str">
        <f aca="false">IF($B77="","",الموظفون!$F77)</f>
        <v/>
      </c>
      <c r="E77" s="91" t="str">
        <f aca="false">IF($B77="","",الموظفون!$E77)</f>
        <v/>
      </c>
      <c r="F77" s="110" t="str">
        <f aca="false">IF($B77="","",IF(AE77&gt;=DAY($G$3),cfg_DAYS_M,MIN(AE77,cfg_DAYS_M)))</f>
        <v/>
      </c>
      <c r="G77" s="110" t="str">
        <f aca="false">IF($B77="","",SUMIFS('الحركات الشهرية'!$D$6:$D$1005,'الحركات الشهرية'!$B$6:$B$1005,$B77,'الحركات الشهرية'!$A$6:$A$1005,$C$3))</f>
        <v/>
      </c>
      <c r="H77" s="110" t="str">
        <f aca="false">IF($B77="","",SUMIFS('الحركات الشهرية'!$E$6:$E$1005,'الحركات الشهرية'!$B$6:$B$1005,$B77,'الحركات الشهرية'!$A$6:$A$1005,$C$3))</f>
        <v/>
      </c>
      <c r="I77" s="110" t="str">
        <f aca="false">IF($B77="","",MAX(0,F77-G77-H77))</f>
        <v/>
      </c>
      <c r="J77" s="90" t="str">
        <f aca="false">IF($B77="","",الموظفون!$J77*$I77/cfg_DAYS_M)</f>
        <v/>
      </c>
      <c r="K77" s="90" t="str">
        <f aca="false">IF($B77="","",الموظفون!$K77*$I77/cfg_DAYS_M)</f>
        <v/>
      </c>
      <c r="L77" s="90" t="str">
        <f aca="false">IF($B77="","",الموظفون!$L77*$I77/cfg_DAYS_M)</f>
        <v/>
      </c>
      <c r="M77" s="90" t="str">
        <f aca="false">IF($B77="","",الموظفون!$M77*$I77/cfg_DAYS_M)</f>
        <v/>
      </c>
      <c r="N77" s="110" t="str">
        <f aca="false">IF($B77="","",SUMIFS('الحركات الشهرية'!$F$6:$F$1005,'الحركات الشهرية'!$B$6:$B$1005,$B77,'الحركات الشهرية'!$A$6:$A$1005,$C$3))</f>
        <v/>
      </c>
      <c r="O77" s="90" t="str">
        <f aca="false">IF($B77="","",N77*(الموظفون!$N77+الموظفون!$J77*cfg_OT_P)/cfg_DAYS_M/cfg_HRS)</f>
        <v/>
      </c>
      <c r="P77" s="90" t="str">
        <f aca="false">IF($B77="","",SUMIFS('الحركات الشهرية'!$G$6:$G$1005,'الحركات الشهرية'!$B$6:$B$1005,$B77,'الحركات الشهرية'!$A$6:$A$1005,$C$3))</f>
        <v/>
      </c>
      <c r="Q77" s="90" t="str">
        <f aca="false">IF($B77="","",SUMIFS('الحركات الشهرية'!$H$6:$H$1005,'الحركات الشهرية'!$B$6:$B$1005,$B77,'الحركات الشهرية'!$A$6:$A$1005,$C$3))</f>
        <v/>
      </c>
      <c r="R77" s="111" t="str">
        <f aca="false">IF($B77="","",SUM(J77:M77)+SUM(O77:Q77))</f>
        <v/>
      </c>
      <c r="S77" s="90" t="str">
        <f aca="false">IF($B77="","",الموظفون!$Q77*IF(E77="سعودي",cfg_G_SE,cfg_G_NE)*F77/cfg_DAYS_M)</f>
        <v/>
      </c>
      <c r="T77" s="90" t="str">
        <f aca="false">IF($B77="","",SUMIFS('الحركات الشهرية'!$I$6:$I$1005,'الحركات الشهرية'!$B$6:$B$1005,$B77,'الحركات الشهرية'!$A$6:$A$1005,$C$3))</f>
        <v/>
      </c>
      <c r="U77" s="90" t="str">
        <f aca="false">IF($B77="","",SUMIFS('الحركات الشهرية'!$J$6:$J$1005,'الحركات الشهرية'!$B$6:$B$1005,$B77,'الحركات الشهرية'!$A$6:$A$1005,$C$3))</f>
        <v/>
      </c>
      <c r="V77" s="90" t="str">
        <f aca="false">IF($B77="","",SUM(S77:U77))</f>
        <v/>
      </c>
      <c r="W77" s="112" t="str">
        <f aca="false">IF($B77="","",R77-V77)</f>
        <v/>
      </c>
      <c r="X77" s="90" t="str">
        <f aca="false">IF($B77="","",الموظفون!$Q77*IF(E77="سعودي",cfg_G_SR,cfg_G_NR)*F77/cfg_DAYS_M)</f>
        <v/>
      </c>
      <c r="Y77" s="90" t="str">
        <f aca="false">IF($B77="","",الموظفون!$O77*(cfg_EOS_R1*(MIN(AC77,cfg_EOS_TH)-MIN(AD77,cfg_EOS_TH))+cfg_EOS_R2*(MAX(AC77-cfg_EOS_TH,0)-MAX(AD77-cfg_EOS_TH,0))))</f>
        <v/>
      </c>
      <c r="Z77" s="90" t="str">
        <f aca="false">IF($B77="","",IF(الموظفون!$R77&lt;&gt;"",الموظفون!$R77,IF(AC77&gt;=cfg_LV_TH,cfg_LV_D2,cfg_LV_D1))/cfg_DAYS_Y*AE77*الموظفون!$P77/cfg_DAYS_M)</f>
        <v/>
      </c>
      <c r="AA77" s="90" t="str">
        <f aca="false">IF($B77="","",IF(AND(الموظفون!$S77="نعم",N(الموظفون!$U77)&gt;0),الموظفون!$T77/الموظفون!$U77*12/cfg_DAYS_Y*AE77,0))</f>
        <v/>
      </c>
      <c r="AB77" s="113" t="str">
        <f aca="false">IF($B77="","",R77+SUM(X77:AA77))</f>
        <v/>
      </c>
      <c r="AC77" s="114" t="str">
        <f aca="false">IF($B77="","",MAX(0,IF(OR(الموظفون!$X77="",الموظفون!$X77&gt;$G$3),$G$3,الموظفون!$X77)-الموظفون!$H77+1)/cfg_DAYS_Y)</f>
        <v/>
      </c>
      <c r="AD77" s="114" t="str">
        <f aca="false">IF($B77="","",MAX(0,IF(OR(الموظفون!$X77="",الموظفون!$X77&gt;($E$3-1)),($E$3-1),الموظفون!$X77)-الموظفون!$H77+1)/cfg_DAYS_Y)</f>
        <v/>
      </c>
      <c r="AE77" s="115" t="str">
        <f aca="false">IF($B77="","",MAX(0,IF(OR(الموظفون!$X77="",الموظفون!$X77&gt;$G$3),$G$3,الموظفون!$X77)-MAX($E$3,الموظفون!$H77)+1))</f>
        <v/>
      </c>
    </row>
    <row r="78" customFormat="false" ht="15" hidden="false" customHeight="false" outlineLevel="0" collapsed="false">
      <c r="A78" s="83" t="str">
        <f aca="false">IF($B78="","",الموظفون!$A78)</f>
        <v/>
      </c>
      <c r="B78" s="74" t="str">
        <f aca="false">IF(الموظفون!$B78="","",الموظفون!$B78)</f>
        <v/>
      </c>
      <c r="C78" s="74" t="str">
        <f aca="false">IF($B78="","",الموظفون!$C78)</f>
        <v/>
      </c>
      <c r="D78" s="74" t="str">
        <f aca="false">IF($B78="","",الموظفون!$F78)</f>
        <v/>
      </c>
      <c r="E78" s="74" t="str">
        <f aca="false">IF($B78="","",الموظفون!$E78)</f>
        <v/>
      </c>
      <c r="F78" s="105" t="str">
        <f aca="false">IF($B78="","",IF(AE78&gt;=DAY($G$3),cfg_DAYS_M,MIN(AE78,cfg_DAYS_M)))</f>
        <v/>
      </c>
      <c r="G78" s="105" t="str">
        <f aca="false">IF($B78="","",SUMIFS('الحركات الشهرية'!$D$6:$D$1005,'الحركات الشهرية'!$B$6:$B$1005,$B78,'الحركات الشهرية'!$A$6:$A$1005,$C$3))</f>
        <v/>
      </c>
      <c r="H78" s="105" t="str">
        <f aca="false">IF($B78="","",SUMIFS('الحركات الشهرية'!$E$6:$E$1005,'الحركات الشهرية'!$B$6:$B$1005,$B78,'الحركات الشهرية'!$A$6:$A$1005,$C$3))</f>
        <v/>
      </c>
      <c r="I78" s="105" t="str">
        <f aca="false">IF($B78="","",MAX(0,F78-G78-H78))</f>
        <v/>
      </c>
      <c r="J78" s="86" t="str">
        <f aca="false">IF($B78="","",الموظفون!$J78*$I78/cfg_DAYS_M)</f>
        <v/>
      </c>
      <c r="K78" s="86" t="str">
        <f aca="false">IF($B78="","",الموظفون!$K78*$I78/cfg_DAYS_M)</f>
        <v/>
      </c>
      <c r="L78" s="86" t="str">
        <f aca="false">IF($B78="","",الموظفون!$L78*$I78/cfg_DAYS_M)</f>
        <v/>
      </c>
      <c r="M78" s="86" t="str">
        <f aca="false">IF($B78="","",الموظفون!$M78*$I78/cfg_DAYS_M)</f>
        <v/>
      </c>
      <c r="N78" s="105" t="str">
        <f aca="false">IF($B78="","",SUMIFS('الحركات الشهرية'!$F$6:$F$1005,'الحركات الشهرية'!$B$6:$B$1005,$B78,'الحركات الشهرية'!$A$6:$A$1005,$C$3))</f>
        <v/>
      </c>
      <c r="O78" s="86" t="str">
        <f aca="false">IF($B78="","",N78*(الموظفون!$N78+الموظفون!$J78*cfg_OT_P)/cfg_DAYS_M/cfg_HRS)</f>
        <v/>
      </c>
      <c r="P78" s="86" t="str">
        <f aca="false">IF($B78="","",SUMIFS('الحركات الشهرية'!$G$6:$G$1005,'الحركات الشهرية'!$B$6:$B$1005,$B78,'الحركات الشهرية'!$A$6:$A$1005,$C$3))</f>
        <v/>
      </c>
      <c r="Q78" s="86" t="str">
        <f aca="false">IF($B78="","",SUMIFS('الحركات الشهرية'!$H$6:$H$1005,'الحركات الشهرية'!$B$6:$B$1005,$B78,'الحركات الشهرية'!$A$6:$A$1005,$C$3))</f>
        <v/>
      </c>
      <c r="R78" s="106" t="str">
        <f aca="false">IF($B78="","",SUM(J78:M78)+SUM(O78:Q78))</f>
        <v/>
      </c>
      <c r="S78" s="86" t="str">
        <f aca="false">IF($B78="","",الموظفون!$Q78*IF(E78="سعودي",cfg_G_SE,cfg_G_NE)*F78/cfg_DAYS_M)</f>
        <v/>
      </c>
      <c r="T78" s="86" t="str">
        <f aca="false">IF($B78="","",SUMIFS('الحركات الشهرية'!$I$6:$I$1005,'الحركات الشهرية'!$B$6:$B$1005,$B78,'الحركات الشهرية'!$A$6:$A$1005,$C$3))</f>
        <v/>
      </c>
      <c r="U78" s="86" t="str">
        <f aca="false">IF($B78="","",SUMIFS('الحركات الشهرية'!$J$6:$J$1005,'الحركات الشهرية'!$B$6:$B$1005,$B78,'الحركات الشهرية'!$A$6:$A$1005,$C$3))</f>
        <v/>
      </c>
      <c r="V78" s="86" t="str">
        <f aca="false">IF($B78="","",SUM(S78:U78))</f>
        <v/>
      </c>
      <c r="W78" s="107" t="str">
        <f aca="false">IF($B78="","",R78-V78)</f>
        <v/>
      </c>
      <c r="X78" s="86" t="str">
        <f aca="false">IF($B78="","",الموظفون!$Q78*IF(E78="سعودي",cfg_G_SR,cfg_G_NR)*F78/cfg_DAYS_M)</f>
        <v/>
      </c>
      <c r="Y78" s="86" t="str">
        <f aca="false">IF($B78="","",الموظفون!$O78*(cfg_EOS_R1*(MIN(AC78,cfg_EOS_TH)-MIN(AD78,cfg_EOS_TH))+cfg_EOS_R2*(MAX(AC78-cfg_EOS_TH,0)-MAX(AD78-cfg_EOS_TH,0))))</f>
        <v/>
      </c>
      <c r="Z78" s="86" t="str">
        <f aca="false">IF($B78="","",IF(الموظفون!$R78&lt;&gt;"",الموظفون!$R78,IF(AC78&gt;=cfg_LV_TH,cfg_LV_D2,cfg_LV_D1))/cfg_DAYS_Y*AE78*الموظفون!$P78/cfg_DAYS_M)</f>
        <v/>
      </c>
      <c r="AA78" s="86" t="str">
        <f aca="false">IF($B78="","",IF(AND(الموظفون!$S78="نعم",N(الموظفون!$U78)&gt;0),الموظفون!$T78/الموظفون!$U78*12/cfg_DAYS_Y*AE78,0))</f>
        <v/>
      </c>
      <c r="AB78" s="108" t="str">
        <f aca="false">IF($B78="","",R78+SUM(X78:AA78))</f>
        <v/>
      </c>
      <c r="AC78" s="109" t="str">
        <f aca="false">IF($B78="","",MAX(0,IF(OR(الموظفون!$X78="",الموظفون!$X78&gt;$G$3),$G$3,الموظفون!$X78)-الموظفون!$H78+1)/cfg_DAYS_Y)</f>
        <v/>
      </c>
      <c r="AD78" s="109" t="str">
        <f aca="false">IF($B78="","",MAX(0,IF(OR(الموظفون!$X78="",الموظفون!$X78&gt;($E$3-1)),($E$3-1),الموظفون!$X78)-الموظفون!$H78+1)/cfg_DAYS_Y)</f>
        <v/>
      </c>
      <c r="AE78" s="51" t="str">
        <f aca="false">IF($B78="","",MAX(0,IF(OR(الموظفون!$X78="",الموظفون!$X78&gt;$G$3),$G$3,الموظفون!$X78)-MAX($E$3,الموظفون!$H78)+1))</f>
        <v/>
      </c>
    </row>
    <row r="79" customFormat="false" ht="15" hidden="false" customHeight="false" outlineLevel="0" collapsed="false">
      <c r="A79" s="89" t="str">
        <f aca="false">IF($B79="","",الموظفون!$A79)</f>
        <v/>
      </c>
      <c r="B79" s="91" t="str">
        <f aca="false">IF(الموظفون!$B79="","",الموظفون!$B79)</f>
        <v/>
      </c>
      <c r="C79" s="91" t="str">
        <f aca="false">IF($B79="","",الموظفون!$C79)</f>
        <v/>
      </c>
      <c r="D79" s="91" t="str">
        <f aca="false">IF($B79="","",الموظفون!$F79)</f>
        <v/>
      </c>
      <c r="E79" s="91" t="str">
        <f aca="false">IF($B79="","",الموظفون!$E79)</f>
        <v/>
      </c>
      <c r="F79" s="110" t="str">
        <f aca="false">IF($B79="","",IF(AE79&gt;=DAY($G$3),cfg_DAYS_M,MIN(AE79,cfg_DAYS_M)))</f>
        <v/>
      </c>
      <c r="G79" s="110" t="str">
        <f aca="false">IF($B79="","",SUMIFS('الحركات الشهرية'!$D$6:$D$1005,'الحركات الشهرية'!$B$6:$B$1005,$B79,'الحركات الشهرية'!$A$6:$A$1005,$C$3))</f>
        <v/>
      </c>
      <c r="H79" s="110" t="str">
        <f aca="false">IF($B79="","",SUMIFS('الحركات الشهرية'!$E$6:$E$1005,'الحركات الشهرية'!$B$6:$B$1005,$B79,'الحركات الشهرية'!$A$6:$A$1005,$C$3))</f>
        <v/>
      </c>
      <c r="I79" s="110" t="str">
        <f aca="false">IF($B79="","",MAX(0,F79-G79-H79))</f>
        <v/>
      </c>
      <c r="J79" s="90" t="str">
        <f aca="false">IF($B79="","",الموظفون!$J79*$I79/cfg_DAYS_M)</f>
        <v/>
      </c>
      <c r="K79" s="90" t="str">
        <f aca="false">IF($B79="","",الموظفون!$K79*$I79/cfg_DAYS_M)</f>
        <v/>
      </c>
      <c r="L79" s="90" t="str">
        <f aca="false">IF($B79="","",الموظفون!$L79*$I79/cfg_DAYS_M)</f>
        <v/>
      </c>
      <c r="M79" s="90" t="str">
        <f aca="false">IF($B79="","",الموظفون!$M79*$I79/cfg_DAYS_M)</f>
        <v/>
      </c>
      <c r="N79" s="110" t="str">
        <f aca="false">IF($B79="","",SUMIFS('الحركات الشهرية'!$F$6:$F$1005,'الحركات الشهرية'!$B$6:$B$1005,$B79,'الحركات الشهرية'!$A$6:$A$1005,$C$3))</f>
        <v/>
      </c>
      <c r="O79" s="90" t="str">
        <f aca="false">IF($B79="","",N79*(الموظفون!$N79+الموظفون!$J79*cfg_OT_P)/cfg_DAYS_M/cfg_HRS)</f>
        <v/>
      </c>
      <c r="P79" s="90" t="str">
        <f aca="false">IF($B79="","",SUMIFS('الحركات الشهرية'!$G$6:$G$1005,'الحركات الشهرية'!$B$6:$B$1005,$B79,'الحركات الشهرية'!$A$6:$A$1005,$C$3))</f>
        <v/>
      </c>
      <c r="Q79" s="90" t="str">
        <f aca="false">IF($B79="","",SUMIFS('الحركات الشهرية'!$H$6:$H$1005,'الحركات الشهرية'!$B$6:$B$1005,$B79,'الحركات الشهرية'!$A$6:$A$1005,$C$3))</f>
        <v/>
      </c>
      <c r="R79" s="111" t="str">
        <f aca="false">IF($B79="","",SUM(J79:M79)+SUM(O79:Q79))</f>
        <v/>
      </c>
      <c r="S79" s="90" t="str">
        <f aca="false">IF($B79="","",الموظفون!$Q79*IF(E79="سعودي",cfg_G_SE,cfg_G_NE)*F79/cfg_DAYS_M)</f>
        <v/>
      </c>
      <c r="T79" s="90" t="str">
        <f aca="false">IF($B79="","",SUMIFS('الحركات الشهرية'!$I$6:$I$1005,'الحركات الشهرية'!$B$6:$B$1005,$B79,'الحركات الشهرية'!$A$6:$A$1005,$C$3))</f>
        <v/>
      </c>
      <c r="U79" s="90" t="str">
        <f aca="false">IF($B79="","",SUMIFS('الحركات الشهرية'!$J$6:$J$1005,'الحركات الشهرية'!$B$6:$B$1005,$B79,'الحركات الشهرية'!$A$6:$A$1005,$C$3))</f>
        <v/>
      </c>
      <c r="V79" s="90" t="str">
        <f aca="false">IF($B79="","",SUM(S79:U79))</f>
        <v/>
      </c>
      <c r="W79" s="112" t="str">
        <f aca="false">IF($B79="","",R79-V79)</f>
        <v/>
      </c>
      <c r="X79" s="90" t="str">
        <f aca="false">IF($B79="","",الموظفون!$Q79*IF(E79="سعودي",cfg_G_SR,cfg_G_NR)*F79/cfg_DAYS_M)</f>
        <v/>
      </c>
      <c r="Y79" s="90" t="str">
        <f aca="false">IF($B79="","",الموظفون!$O79*(cfg_EOS_R1*(MIN(AC79,cfg_EOS_TH)-MIN(AD79,cfg_EOS_TH))+cfg_EOS_R2*(MAX(AC79-cfg_EOS_TH,0)-MAX(AD79-cfg_EOS_TH,0))))</f>
        <v/>
      </c>
      <c r="Z79" s="90" t="str">
        <f aca="false">IF($B79="","",IF(الموظفون!$R79&lt;&gt;"",الموظفون!$R79,IF(AC79&gt;=cfg_LV_TH,cfg_LV_D2,cfg_LV_D1))/cfg_DAYS_Y*AE79*الموظفون!$P79/cfg_DAYS_M)</f>
        <v/>
      </c>
      <c r="AA79" s="90" t="str">
        <f aca="false">IF($B79="","",IF(AND(الموظفون!$S79="نعم",N(الموظفون!$U79)&gt;0),الموظفون!$T79/الموظفون!$U79*12/cfg_DAYS_Y*AE79,0))</f>
        <v/>
      </c>
      <c r="AB79" s="113" t="str">
        <f aca="false">IF($B79="","",R79+SUM(X79:AA79))</f>
        <v/>
      </c>
      <c r="AC79" s="114" t="str">
        <f aca="false">IF($B79="","",MAX(0,IF(OR(الموظفون!$X79="",الموظفون!$X79&gt;$G$3),$G$3,الموظفون!$X79)-الموظفون!$H79+1)/cfg_DAYS_Y)</f>
        <v/>
      </c>
      <c r="AD79" s="114" t="str">
        <f aca="false">IF($B79="","",MAX(0,IF(OR(الموظفون!$X79="",الموظفون!$X79&gt;($E$3-1)),($E$3-1),الموظفون!$X79)-الموظفون!$H79+1)/cfg_DAYS_Y)</f>
        <v/>
      </c>
      <c r="AE79" s="115" t="str">
        <f aca="false">IF($B79="","",MAX(0,IF(OR(الموظفون!$X79="",الموظفون!$X79&gt;$G$3),$G$3,الموظفون!$X79)-MAX($E$3,الموظفون!$H79)+1))</f>
        <v/>
      </c>
    </row>
    <row r="80" customFormat="false" ht="15" hidden="false" customHeight="false" outlineLevel="0" collapsed="false">
      <c r="A80" s="83" t="str">
        <f aca="false">IF($B80="","",الموظفون!$A80)</f>
        <v/>
      </c>
      <c r="B80" s="74" t="str">
        <f aca="false">IF(الموظفون!$B80="","",الموظفون!$B80)</f>
        <v/>
      </c>
      <c r="C80" s="74" t="str">
        <f aca="false">IF($B80="","",الموظفون!$C80)</f>
        <v/>
      </c>
      <c r="D80" s="74" t="str">
        <f aca="false">IF($B80="","",الموظفون!$F80)</f>
        <v/>
      </c>
      <c r="E80" s="74" t="str">
        <f aca="false">IF($B80="","",الموظفون!$E80)</f>
        <v/>
      </c>
      <c r="F80" s="105" t="str">
        <f aca="false">IF($B80="","",IF(AE80&gt;=DAY($G$3),cfg_DAYS_M,MIN(AE80,cfg_DAYS_M)))</f>
        <v/>
      </c>
      <c r="G80" s="105" t="str">
        <f aca="false">IF($B80="","",SUMIFS('الحركات الشهرية'!$D$6:$D$1005,'الحركات الشهرية'!$B$6:$B$1005,$B80,'الحركات الشهرية'!$A$6:$A$1005,$C$3))</f>
        <v/>
      </c>
      <c r="H80" s="105" t="str">
        <f aca="false">IF($B80="","",SUMIFS('الحركات الشهرية'!$E$6:$E$1005,'الحركات الشهرية'!$B$6:$B$1005,$B80,'الحركات الشهرية'!$A$6:$A$1005,$C$3))</f>
        <v/>
      </c>
      <c r="I80" s="105" t="str">
        <f aca="false">IF($B80="","",MAX(0,F80-G80-H80))</f>
        <v/>
      </c>
      <c r="J80" s="86" t="str">
        <f aca="false">IF($B80="","",الموظفون!$J80*$I80/cfg_DAYS_M)</f>
        <v/>
      </c>
      <c r="K80" s="86" t="str">
        <f aca="false">IF($B80="","",الموظفون!$K80*$I80/cfg_DAYS_M)</f>
        <v/>
      </c>
      <c r="L80" s="86" t="str">
        <f aca="false">IF($B80="","",الموظفون!$L80*$I80/cfg_DAYS_M)</f>
        <v/>
      </c>
      <c r="M80" s="86" t="str">
        <f aca="false">IF($B80="","",الموظفون!$M80*$I80/cfg_DAYS_M)</f>
        <v/>
      </c>
      <c r="N80" s="105" t="str">
        <f aca="false">IF($B80="","",SUMIFS('الحركات الشهرية'!$F$6:$F$1005,'الحركات الشهرية'!$B$6:$B$1005,$B80,'الحركات الشهرية'!$A$6:$A$1005,$C$3))</f>
        <v/>
      </c>
      <c r="O80" s="86" t="str">
        <f aca="false">IF($B80="","",N80*(الموظفون!$N80+الموظفون!$J80*cfg_OT_P)/cfg_DAYS_M/cfg_HRS)</f>
        <v/>
      </c>
      <c r="P80" s="86" t="str">
        <f aca="false">IF($B80="","",SUMIFS('الحركات الشهرية'!$G$6:$G$1005,'الحركات الشهرية'!$B$6:$B$1005,$B80,'الحركات الشهرية'!$A$6:$A$1005,$C$3))</f>
        <v/>
      </c>
      <c r="Q80" s="86" t="str">
        <f aca="false">IF($B80="","",SUMIFS('الحركات الشهرية'!$H$6:$H$1005,'الحركات الشهرية'!$B$6:$B$1005,$B80,'الحركات الشهرية'!$A$6:$A$1005,$C$3))</f>
        <v/>
      </c>
      <c r="R80" s="106" t="str">
        <f aca="false">IF($B80="","",SUM(J80:M80)+SUM(O80:Q80))</f>
        <v/>
      </c>
      <c r="S80" s="86" t="str">
        <f aca="false">IF($B80="","",الموظفون!$Q80*IF(E80="سعودي",cfg_G_SE,cfg_G_NE)*F80/cfg_DAYS_M)</f>
        <v/>
      </c>
      <c r="T80" s="86" t="str">
        <f aca="false">IF($B80="","",SUMIFS('الحركات الشهرية'!$I$6:$I$1005,'الحركات الشهرية'!$B$6:$B$1005,$B80,'الحركات الشهرية'!$A$6:$A$1005,$C$3))</f>
        <v/>
      </c>
      <c r="U80" s="86" t="str">
        <f aca="false">IF($B80="","",SUMIFS('الحركات الشهرية'!$J$6:$J$1005,'الحركات الشهرية'!$B$6:$B$1005,$B80,'الحركات الشهرية'!$A$6:$A$1005,$C$3))</f>
        <v/>
      </c>
      <c r="V80" s="86" t="str">
        <f aca="false">IF($B80="","",SUM(S80:U80))</f>
        <v/>
      </c>
      <c r="W80" s="107" t="str">
        <f aca="false">IF($B80="","",R80-V80)</f>
        <v/>
      </c>
      <c r="X80" s="86" t="str">
        <f aca="false">IF($B80="","",الموظفون!$Q80*IF(E80="سعودي",cfg_G_SR,cfg_G_NR)*F80/cfg_DAYS_M)</f>
        <v/>
      </c>
      <c r="Y80" s="86" t="str">
        <f aca="false">IF($B80="","",الموظفون!$O80*(cfg_EOS_R1*(MIN(AC80,cfg_EOS_TH)-MIN(AD80,cfg_EOS_TH))+cfg_EOS_R2*(MAX(AC80-cfg_EOS_TH,0)-MAX(AD80-cfg_EOS_TH,0))))</f>
        <v/>
      </c>
      <c r="Z80" s="86" t="str">
        <f aca="false">IF($B80="","",IF(الموظفون!$R80&lt;&gt;"",الموظفون!$R80,IF(AC80&gt;=cfg_LV_TH,cfg_LV_D2,cfg_LV_D1))/cfg_DAYS_Y*AE80*الموظفون!$P80/cfg_DAYS_M)</f>
        <v/>
      </c>
      <c r="AA80" s="86" t="str">
        <f aca="false">IF($B80="","",IF(AND(الموظفون!$S80="نعم",N(الموظفون!$U80)&gt;0),الموظفون!$T80/الموظفون!$U80*12/cfg_DAYS_Y*AE80,0))</f>
        <v/>
      </c>
      <c r="AB80" s="108" t="str">
        <f aca="false">IF($B80="","",R80+SUM(X80:AA80))</f>
        <v/>
      </c>
      <c r="AC80" s="109" t="str">
        <f aca="false">IF($B80="","",MAX(0,IF(OR(الموظفون!$X80="",الموظفون!$X80&gt;$G$3),$G$3,الموظفون!$X80)-الموظفون!$H80+1)/cfg_DAYS_Y)</f>
        <v/>
      </c>
      <c r="AD80" s="109" t="str">
        <f aca="false">IF($B80="","",MAX(0,IF(OR(الموظفون!$X80="",الموظفون!$X80&gt;($E$3-1)),($E$3-1),الموظفون!$X80)-الموظفون!$H80+1)/cfg_DAYS_Y)</f>
        <v/>
      </c>
      <c r="AE80" s="51" t="str">
        <f aca="false">IF($B80="","",MAX(0,IF(OR(الموظفون!$X80="",الموظفون!$X80&gt;$G$3),$G$3,الموظفون!$X80)-MAX($E$3,الموظفون!$H80)+1))</f>
        <v/>
      </c>
    </row>
    <row r="81" customFormat="false" ht="15" hidden="false" customHeight="false" outlineLevel="0" collapsed="false">
      <c r="A81" s="89" t="str">
        <f aca="false">IF($B81="","",الموظفون!$A81)</f>
        <v/>
      </c>
      <c r="B81" s="91" t="str">
        <f aca="false">IF(الموظفون!$B81="","",الموظفون!$B81)</f>
        <v/>
      </c>
      <c r="C81" s="91" t="str">
        <f aca="false">IF($B81="","",الموظفون!$C81)</f>
        <v/>
      </c>
      <c r="D81" s="91" t="str">
        <f aca="false">IF($B81="","",الموظفون!$F81)</f>
        <v/>
      </c>
      <c r="E81" s="91" t="str">
        <f aca="false">IF($B81="","",الموظفون!$E81)</f>
        <v/>
      </c>
      <c r="F81" s="110" t="str">
        <f aca="false">IF($B81="","",IF(AE81&gt;=DAY($G$3),cfg_DAYS_M,MIN(AE81,cfg_DAYS_M)))</f>
        <v/>
      </c>
      <c r="G81" s="110" t="str">
        <f aca="false">IF($B81="","",SUMIFS('الحركات الشهرية'!$D$6:$D$1005,'الحركات الشهرية'!$B$6:$B$1005,$B81,'الحركات الشهرية'!$A$6:$A$1005,$C$3))</f>
        <v/>
      </c>
      <c r="H81" s="110" t="str">
        <f aca="false">IF($B81="","",SUMIFS('الحركات الشهرية'!$E$6:$E$1005,'الحركات الشهرية'!$B$6:$B$1005,$B81,'الحركات الشهرية'!$A$6:$A$1005,$C$3))</f>
        <v/>
      </c>
      <c r="I81" s="110" t="str">
        <f aca="false">IF($B81="","",MAX(0,F81-G81-H81))</f>
        <v/>
      </c>
      <c r="J81" s="90" t="str">
        <f aca="false">IF($B81="","",الموظفون!$J81*$I81/cfg_DAYS_M)</f>
        <v/>
      </c>
      <c r="K81" s="90" t="str">
        <f aca="false">IF($B81="","",الموظفون!$K81*$I81/cfg_DAYS_M)</f>
        <v/>
      </c>
      <c r="L81" s="90" t="str">
        <f aca="false">IF($B81="","",الموظفون!$L81*$I81/cfg_DAYS_M)</f>
        <v/>
      </c>
      <c r="M81" s="90" t="str">
        <f aca="false">IF($B81="","",الموظفون!$M81*$I81/cfg_DAYS_M)</f>
        <v/>
      </c>
      <c r="N81" s="110" t="str">
        <f aca="false">IF($B81="","",SUMIFS('الحركات الشهرية'!$F$6:$F$1005,'الحركات الشهرية'!$B$6:$B$1005,$B81,'الحركات الشهرية'!$A$6:$A$1005,$C$3))</f>
        <v/>
      </c>
      <c r="O81" s="90" t="str">
        <f aca="false">IF($B81="","",N81*(الموظفون!$N81+الموظفون!$J81*cfg_OT_P)/cfg_DAYS_M/cfg_HRS)</f>
        <v/>
      </c>
      <c r="P81" s="90" t="str">
        <f aca="false">IF($B81="","",SUMIFS('الحركات الشهرية'!$G$6:$G$1005,'الحركات الشهرية'!$B$6:$B$1005,$B81,'الحركات الشهرية'!$A$6:$A$1005,$C$3))</f>
        <v/>
      </c>
      <c r="Q81" s="90" t="str">
        <f aca="false">IF($B81="","",SUMIFS('الحركات الشهرية'!$H$6:$H$1005,'الحركات الشهرية'!$B$6:$B$1005,$B81,'الحركات الشهرية'!$A$6:$A$1005,$C$3))</f>
        <v/>
      </c>
      <c r="R81" s="111" t="str">
        <f aca="false">IF($B81="","",SUM(J81:M81)+SUM(O81:Q81))</f>
        <v/>
      </c>
      <c r="S81" s="90" t="str">
        <f aca="false">IF($B81="","",الموظفون!$Q81*IF(E81="سعودي",cfg_G_SE,cfg_G_NE)*F81/cfg_DAYS_M)</f>
        <v/>
      </c>
      <c r="T81" s="90" t="str">
        <f aca="false">IF($B81="","",SUMIFS('الحركات الشهرية'!$I$6:$I$1005,'الحركات الشهرية'!$B$6:$B$1005,$B81,'الحركات الشهرية'!$A$6:$A$1005,$C$3))</f>
        <v/>
      </c>
      <c r="U81" s="90" t="str">
        <f aca="false">IF($B81="","",SUMIFS('الحركات الشهرية'!$J$6:$J$1005,'الحركات الشهرية'!$B$6:$B$1005,$B81,'الحركات الشهرية'!$A$6:$A$1005,$C$3))</f>
        <v/>
      </c>
      <c r="V81" s="90" t="str">
        <f aca="false">IF($B81="","",SUM(S81:U81))</f>
        <v/>
      </c>
      <c r="W81" s="112" t="str">
        <f aca="false">IF($B81="","",R81-V81)</f>
        <v/>
      </c>
      <c r="X81" s="90" t="str">
        <f aca="false">IF($B81="","",الموظفون!$Q81*IF(E81="سعودي",cfg_G_SR,cfg_G_NR)*F81/cfg_DAYS_M)</f>
        <v/>
      </c>
      <c r="Y81" s="90" t="str">
        <f aca="false">IF($B81="","",الموظفون!$O81*(cfg_EOS_R1*(MIN(AC81,cfg_EOS_TH)-MIN(AD81,cfg_EOS_TH))+cfg_EOS_R2*(MAX(AC81-cfg_EOS_TH,0)-MAX(AD81-cfg_EOS_TH,0))))</f>
        <v/>
      </c>
      <c r="Z81" s="90" t="str">
        <f aca="false">IF($B81="","",IF(الموظفون!$R81&lt;&gt;"",الموظفون!$R81,IF(AC81&gt;=cfg_LV_TH,cfg_LV_D2,cfg_LV_D1))/cfg_DAYS_Y*AE81*الموظفون!$P81/cfg_DAYS_M)</f>
        <v/>
      </c>
      <c r="AA81" s="90" t="str">
        <f aca="false">IF($B81="","",IF(AND(الموظفون!$S81="نعم",N(الموظفون!$U81)&gt;0),الموظفون!$T81/الموظفون!$U81*12/cfg_DAYS_Y*AE81,0))</f>
        <v/>
      </c>
      <c r="AB81" s="113" t="str">
        <f aca="false">IF($B81="","",R81+SUM(X81:AA81))</f>
        <v/>
      </c>
      <c r="AC81" s="114" t="str">
        <f aca="false">IF($B81="","",MAX(0,IF(OR(الموظفون!$X81="",الموظفون!$X81&gt;$G$3),$G$3,الموظفون!$X81)-الموظفون!$H81+1)/cfg_DAYS_Y)</f>
        <v/>
      </c>
      <c r="AD81" s="114" t="str">
        <f aca="false">IF($B81="","",MAX(0,IF(OR(الموظفون!$X81="",الموظفون!$X81&gt;($E$3-1)),($E$3-1),الموظفون!$X81)-الموظفون!$H81+1)/cfg_DAYS_Y)</f>
        <v/>
      </c>
      <c r="AE81" s="115" t="str">
        <f aca="false">IF($B81="","",MAX(0,IF(OR(الموظفون!$X81="",الموظفون!$X81&gt;$G$3),$G$3,الموظفون!$X81)-MAX($E$3,الموظفون!$H81)+1))</f>
        <v/>
      </c>
    </row>
    <row r="82" customFormat="false" ht="15" hidden="false" customHeight="false" outlineLevel="0" collapsed="false">
      <c r="A82" s="83" t="str">
        <f aca="false">IF($B82="","",الموظفون!$A82)</f>
        <v/>
      </c>
      <c r="B82" s="74" t="str">
        <f aca="false">IF(الموظفون!$B82="","",الموظفون!$B82)</f>
        <v/>
      </c>
      <c r="C82" s="74" t="str">
        <f aca="false">IF($B82="","",الموظفون!$C82)</f>
        <v/>
      </c>
      <c r="D82" s="74" t="str">
        <f aca="false">IF($B82="","",الموظفون!$F82)</f>
        <v/>
      </c>
      <c r="E82" s="74" t="str">
        <f aca="false">IF($B82="","",الموظفون!$E82)</f>
        <v/>
      </c>
      <c r="F82" s="105" t="str">
        <f aca="false">IF($B82="","",IF(AE82&gt;=DAY($G$3),cfg_DAYS_M,MIN(AE82,cfg_DAYS_M)))</f>
        <v/>
      </c>
      <c r="G82" s="105" t="str">
        <f aca="false">IF($B82="","",SUMIFS('الحركات الشهرية'!$D$6:$D$1005,'الحركات الشهرية'!$B$6:$B$1005,$B82,'الحركات الشهرية'!$A$6:$A$1005,$C$3))</f>
        <v/>
      </c>
      <c r="H82" s="105" t="str">
        <f aca="false">IF($B82="","",SUMIFS('الحركات الشهرية'!$E$6:$E$1005,'الحركات الشهرية'!$B$6:$B$1005,$B82,'الحركات الشهرية'!$A$6:$A$1005,$C$3))</f>
        <v/>
      </c>
      <c r="I82" s="105" t="str">
        <f aca="false">IF($B82="","",MAX(0,F82-G82-H82))</f>
        <v/>
      </c>
      <c r="J82" s="86" t="str">
        <f aca="false">IF($B82="","",الموظفون!$J82*$I82/cfg_DAYS_M)</f>
        <v/>
      </c>
      <c r="K82" s="86" t="str">
        <f aca="false">IF($B82="","",الموظفون!$K82*$I82/cfg_DAYS_M)</f>
        <v/>
      </c>
      <c r="L82" s="86" t="str">
        <f aca="false">IF($B82="","",الموظفون!$L82*$I82/cfg_DAYS_M)</f>
        <v/>
      </c>
      <c r="M82" s="86" t="str">
        <f aca="false">IF($B82="","",الموظفون!$M82*$I82/cfg_DAYS_M)</f>
        <v/>
      </c>
      <c r="N82" s="105" t="str">
        <f aca="false">IF($B82="","",SUMIFS('الحركات الشهرية'!$F$6:$F$1005,'الحركات الشهرية'!$B$6:$B$1005,$B82,'الحركات الشهرية'!$A$6:$A$1005,$C$3))</f>
        <v/>
      </c>
      <c r="O82" s="86" t="str">
        <f aca="false">IF($B82="","",N82*(الموظفون!$N82+الموظفون!$J82*cfg_OT_P)/cfg_DAYS_M/cfg_HRS)</f>
        <v/>
      </c>
      <c r="P82" s="86" t="str">
        <f aca="false">IF($B82="","",SUMIFS('الحركات الشهرية'!$G$6:$G$1005,'الحركات الشهرية'!$B$6:$B$1005,$B82,'الحركات الشهرية'!$A$6:$A$1005,$C$3))</f>
        <v/>
      </c>
      <c r="Q82" s="86" t="str">
        <f aca="false">IF($B82="","",SUMIFS('الحركات الشهرية'!$H$6:$H$1005,'الحركات الشهرية'!$B$6:$B$1005,$B82,'الحركات الشهرية'!$A$6:$A$1005,$C$3))</f>
        <v/>
      </c>
      <c r="R82" s="106" t="str">
        <f aca="false">IF($B82="","",SUM(J82:M82)+SUM(O82:Q82))</f>
        <v/>
      </c>
      <c r="S82" s="86" t="str">
        <f aca="false">IF($B82="","",الموظفون!$Q82*IF(E82="سعودي",cfg_G_SE,cfg_G_NE)*F82/cfg_DAYS_M)</f>
        <v/>
      </c>
      <c r="T82" s="86" t="str">
        <f aca="false">IF($B82="","",SUMIFS('الحركات الشهرية'!$I$6:$I$1005,'الحركات الشهرية'!$B$6:$B$1005,$B82,'الحركات الشهرية'!$A$6:$A$1005,$C$3))</f>
        <v/>
      </c>
      <c r="U82" s="86" t="str">
        <f aca="false">IF($B82="","",SUMIFS('الحركات الشهرية'!$J$6:$J$1005,'الحركات الشهرية'!$B$6:$B$1005,$B82,'الحركات الشهرية'!$A$6:$A$1005,$C$3))</f>
        <v/>
      </c>
      <c r="V82" s="86" t="str">
        <f aca="false">IF($B82="","",SUM(S82:U82))</f>
        <v/>
      </c>
      <c r="W82" s="107" t="str">
        <f aca="false">IF($B82="","",R82-V82)</f>
        <v/>
      </c>
      <c r="X82" s="86" t="str">
        <f aca="false">IF($B82="","",الموظفون!$Q82*IF(E82="سعودي",cfg_G_SR,cfg_G_NR)*F82/cfg_DAYS_M)</f>
        <v/>
      </c>
      <c r="Y82" s="86" t="str">
        <f aca="false">IF($B82="","",الموظفون!$O82*(cfg_EOS_R1*(MIN(AC82,cfg_EOS_TH)-MIN(AD82,cfg_EOS_TH))+cfg_EOS_R2*(MAX(AC82-cfg_EOS_TH,0)-MAX(AD82-cfg_EOS_TH,0))))</f>
        <v/>
      </c>
      <c r="Z82" s="86" t="str">
        <f aca="false">IF($B82="","",IF(الموظفون!$R82&lt;&gt;"",الموظفون!$R82,IF(AC82&gt;=cfg_LV_TH,cfg_LV_D2,cfg_LV_D1))/cfg_DAYS_Y*AE82*الموظفون!$P82/cfg_DAYS_M)</f>
        <v/>
      </c>
      <c r="AA82" s="86" t="str">
        <f aca="false">IF($B82="","",IF(AND(الموظفون!$S82="نعم",N(الموظفون!$U82)&gt;0),الموظفون!$T82/الموظفون!$U82*12/cfg_DAYS_Y*AE82,0))</f>
        <v/>
      </c>
      <c r="AB82" s="108" t="str">
        <f aca="false">IF($B82="","",R82+SUM(X82:AA82))</f>
        <v/>
      </c>
      <c r="AC82" s="109" t="str">
        <f aca="false">IF($B82="","",MAX(0,IF(OR(الموظفون!$X82="",الموظفون!$X82&gt;$G$3),$G$3,الموظفون!$X82)-الموظفون!$H82+1)/cfg_DAYS_Y)</f>
        <v/>
      </c>
      <c r="AD82" s="109" t="str">
        <f aca="false">IF($B82="","",MAX(0,IF(OR(الموظفون!$X82="",الموظفون!$X82&gt;($E$3-1)),($E$3-1),الموظفون!$X82)-الموظفون!$H82+1)/cfg_DAYS_Y)</f>
        <v/>
      </c>
      <c r="AE82" s="51" t="str">
        <f aca="false">IF($B82="","",MAX(0,IF(OR(الموظفون!$X82="",الموظفون!$X82&gt;$G$3),$G$3,الموظفون!$X82)-MAX($E$3,الموظفون!$H82)+1))</f>
        <v/>
      </c>
    </row>
    <row r="83" customFormat="false" ht="15" hidden="false" customHeight="false" outlineLevel="0" collapsed="false">
      <c r="A83" s="89" t="str">
        <f aca="false">IF($B83="","",الموظفون!$A83)</f>
        <v/>
      </c>
      <c r="B83" s="91" t="str">
        <f aca="false">IF(الموظفون!$B83="","",الموظفون!$B83)</f>
        <v/>
      </c>
      <c r="C83" s="91" t="str">
        <f aca="false">IF($B83="","",الموظفون!$C83)</f>
        <v/>
      </c>
      <c r="D83" s="91" t="str">
        <f aca="false">IF($B83="","",الموظفون!$F83)</f>
        <v/>
      </c>
      <c r="E83" s="91" t="str">
        <f aca="false">IF($B83="","",الموظفون!$E83)</f>
        <v/>
      </c>
      <c r="F83" s="110" t="str">
        <f aca="false">IF($B83="","",IF(AE83&gt;=DAY($G$3),cfg_DAYS_M,MIN(AE83,cfg_DAYS_M)))</f>
        <v/>
      </c>
      <c r="G83" s="110" t="str">
        <f aca="false">IF($B83="","",SUMIFS('الحركات الشهرية'!$D$6:$D$1005,'الحركات الشهرية'!$B$6:$B$1005,$B83,'الحركات الشهرية'!$A$6:$A$1005,$C$3))</f>
        <v/>
      </c>
      <c r="H83" s="110" t="str">
        <f aca="false">IF($B83="","",SUMIFS('الحركات الشهرية'!$E$6:$E$1005,'الحركات الشهرية'!$B$6:$B$1005,$B83,'الحركات الشهرية'!$A$6:$A$1005,$C$3))</f>
        <v/>
      </c>
      <c r="I83" s="110" t="str">
        <f aca="false">IF($B83="","",MAX(0,F83-G83-H83))</f>
        <v/>
      </c>
      <c r="J83" s="90" t="str">
        <f aca="false">IF($B83="","",الموظفون!$J83*$I83/cfg_DAYS_M)</f>
        <v/>
      </c>
      <c r="K83" s="90" t="str">
        <f aca="false">IF($B83="","",الموظفون!$K83*$I83/cfg_DAYS_M)</f>
        <v/>
      </c>
      <c r="L83" s="90" t="str">
        <f aca="false">IF($B83="","",الموظفون!$L83*$I83/cfg_DAYS_M)</f>
        <v/>
      </c>
      <c r="M83" s="90" t="str">
        <f aca="false">IF($B83="","",الموظفون!$M83*$I83/cfg_DAYS_M)</f>
        <v/>
      </c>
      <c r="N83" s="110" t="str">
        <f aca="false">IF($B83="","",SUMIFS('الحركات الشهرية'!$F$6:$F$1005,'الحركات الشهرية'!$B$6:$B$1005,$B83,'الحركات الشهرية'!$A$6:$A$1005,$C$3))</f>
        <v/>
      </c>
      <c r="O83" s="90" t="str">
        <f aca="false">IF($B83="","",N83*(الموظفون!$N83+الموظفون!$J83*cfg_OT_P)/cfg_DAYS_M/cfg_HRS)</f>
        <v/>
      </c>
      <c r="P83" s="90" t="str">
        <f aca="false">IF($B83="","",SUMIFS('الحركات الشهرية'!$G$6:$G$1005,'الحركات الشهرية'!$B$6:$B$1005,$B83,'الحركات الشهرية'!$A$6:$A$1005,$C$3))</f>
        <v/>
      </c>
      <c r="Q83" s="90" t="str">
        <f aca="false">IF($B83="","",SUMIFS('الحركات الشهرية'!$H$6:$H$1005,'الحركات الشهرية'!$B$6:$B$1005,$B83,'الحركات الشهرية'!$A$6:$A$1005,$C$3))</f>
        <v/>
      </c>
      <c r="R83" s="111" t="str">
        <f aca="false">IF($B83="","",SUM(J83:M83)+SUM(O83:Q83))</f>
        <v/>
      </c>
      <c r="S83" s="90" t="str">
        <f aca="false">IF($B83="","",الموظفون!$Q83*IF(E83="سعودي",cfg_G_SE,cfg_G_NE)*F83/cfg_DAYS_M)</f>
        <v/>
      </c>
      <c r="T83" s="90" t="str">
        <f aca="false">IF($B83="","",SUMIFS('الحركات الشهرية'!$I$6:$I$1005,'الحركات الشهرية'!$B$6:$B$1005,$B83,'الحركات الشهرية'!$A$6:$A$1005,$C$3))</f>
        <v/>
      </c>
      <c r="U83" s="90" t="str">
        <f aca="false">IF($B83="","",SUMIFS('الحركات الشهرية'!$J$6:$J$1005,'الحركات الشهرية'!$B$6:$B$1005,$B83,'الحركات الشهرية'!$A$6:$A$1005,$C$3))</f>
        <v/>
      </c>
      <c r="V83" s="90" t="str">
        <f aca="false">IF($B83="","",SUM(S83:U83))</f>
        <v/>
      </c>
      <c r="W83" s="112" t="str">
        <f aca="false">IF($B83="","",R83-V83)</f>
        <v/>
      </c>
      <c r="X83" s="90" t="str">
        <f aca="false">IF($B83="","",الموظفون!$Q83*IF(E83="سعودي",cfg_G_SR,cfg_G_NR)*F83/cfg_DAYS_M)</f>
        <v/>
      </c>
      <c r="Y83" s="90" t="str">
        <f aca="false">IF($B83="","",الموظفون!$O83*(cfg_EOS_R1*(MIN(AC83,cfg_EOS_TH)-MIN(AD83,cfg_EOS_TH))+cfg_EOS_R2*(MAX(AC83-cfg_EOS_TH,0)-MAX(AD83-cfg_EOS_TH,0))))</f>
        <v/>
      </c>
      <c r="Z83" s="90" t="str">
        <f aca="false">IF($B83="","",IF(الموظفون!$R83&lt;&gt;"",الموظفون!$R83,IF(AC83&gt;=cfg_LV_TH,cfg_LV_D2,cfg_LV_D1))/cfg_DAYS_Y*AE83*الموظفون!$P83/cfg_DAYS_M)</f>
        <v/>
      </c>
      <c r="AA83" s="90" t="str">
        <f aca="false">IF($B83="","",IF(AND(الموظفون!$S83="نعم",N(الموظفون!$U83)&gt;0),الموظفون!$T83/الموظفون!$U83*12/cfg_DAYS_Y*AE83,0))</f>
        <v/>
      </c>
      <c r="AB83" s="113" t="str">
        <f aca="false">IF($B83="","",R83+SUM(X83:AA83))</f>
        <v/>
      </c>
      <c r="AC83" s="114" t="str">
        <f aca="false">IF($B83="","",MAX(0,IF(OR(الموظفون!$X83="",الموظفون!$X83&gt;$G$3),$G$3,الموظفون!$X83)-الموظفون!$H83+1)/cfg_DAYS_Y)</f>
        <v/>
      </c>
      <c r="AD83" s="114" t="str">
        <f aca="false">IF($B83="","",MAX(0,IF(OR(الموظفون!$X83="",الموظفون!$X83&gt;($E$3-1)),($E$3-1),الموظفون!$X83)-الموظفون!$H83+1)/cfg_DAYS_Y)</f>
        <v/>
      </c>
      <c r="AE83" s="115" t="str">
        <f aca="false">IF($B83="","",MAX(0,IF(OR(الموظفون!$X83="",الموظفون!$X83&gt;$G$3),$G$3,الموظفون!$X83)-MAX($E$3,الموظفون!$H83)+1))</f>
        <v/>
      </c>
    </row>
    <row r="84" customFormat="false" ht="15" hidden="false" customHeight="false" outlineLevel="0" collapsed="false">
      <c r="A84" s="83" t="str">
        <f aca="false">IF($B84="","",الموظفون!$A84)</f>
        <v/>
      </c>
      <c r="B84" s="74" t="str">
        <f aca="false">IF(الموظفون!$B84="","",الموظفون!$B84)</f>
        <v/>
      </c>
      <c r="C84" s="74" t="str">
        <f aca="false">IF($B84="","",الموظفون!$C84)</f>
        <v/>
      </c>
      <c r="D84" s="74" t="str">
        <f aca="false">IF($B84="","",الموظفون!$F84)</f>
        <v/>
      </c>
      <c r="E84" s="74" t="str">
        <f aca="false">IF($B84="","",الموظفون!$E84)</f>
        <v/>
      </c>
      <c r="F84" s="105" t="str">
        <f aca="false">IF($B84="","",IF(AE84&gt;=DAY($G$3),cfg_DAYS_M,MIN(AE84,cfg_DAYS_M)))</f>
        <v/>
      </c>
      <c r="G84" s="105" t="str">
        <f aca="false">IF($B84="","",SUMIFS('الحركات الشهرية'!$D$6:$D$1005,'الحركات الشهرية'!$B$6:$B$1005,$B84,'الحركات الشهرية'!$A$6:$A$1005,$C$3))</f>
        <v/>
      </c>
      <c r="H84" s="105" t="str">
        <f aca="false">IF($B84="","",SUMIFS('الحركات الشهرية'!$E$6:$E$1005,'الحركات الشهرية'!$B$6:$B$1005,$B84,'الحركات الشهرية'!$A$6:$A$1005,$C$3))</f>
        <v/>
      </c>
      <c r="I84" s="105" t="str">
        <f aca="false">IF($B84="","",MAX(0,F84-G84-H84))</f>
        <v/>
      </c>
      <c r="J84" s="86" t="str">
        <f aca="false">IF($B84="","",الموظفون!$J84*$I84/cfg_DAYS_M)</f>
        <v/>
      </c>
      <c r="K84" s="86" t="str">
        <f aca="false">IF($B84="","",الموظفون!$K84*$I84/cfg_DAYS_M)</f>
        <v/>
      </c>
      <c r="L84" s="86" t="str">
        <f aca="false">IF($B84="","",الموظفون!$L84*$I84/cfg_DAYS_M)</f>
        <v/>
      </c>
      <c r="M84" s="86" t="str">
        <f aca="false">IF($B84="","",الموظفون!$M84*$I84/cfg_DAYS_M)</f>
        <v/>
      </c>
      <c r="N84" s="105" t="str">
        <f aca="false">IF($B84="","",SUMIFS('الحركات الشهرية'!$F$6:$F$1005,'الحركات الشهرية'!$B$6:$B$1005,$B84,'الحركات الشهرية'!$A$6:$A$1005,$C$3))</f>
        <v/>
      </c>
      <c r="O84" s="86" t="str">
        <f aca="false">IF($B84="","",N84*(الموظفون!$N84+الموظفون!$J84*cfg_OT_P)/cfg_DAYS_M/cfg_HRS)</f>
        <v/>
      </c>
      <c r="P84" s="86" t="str">
        <f aca="false">IF($B84="","",SUMIFS('الحركات الشهرية'!$G$6:$G$1005,'الحركات الشهرية'!$B$6:$B$1005,$B84,'الحركات الشهرية'!$A$6:$A$1005,$C$3))</f>
        <v/>
      </c>
      <c r="Q84" s="86" t="str">
        <f aca="false">IF($B84="","",SUMIFS('الحركات الشهرية'!$H$6:$H$1005,'الحركات الشهرية'!$B$6:$B$1005,$B84,'الحركات الشهرية'!$A$6:$A$1005,$C$3))</f>
        <v/>
      </c>
      <c r="R84" s="106" t="str">
        <f aca="false">IF($B84="","",SUM(J84:M84)+SUM(O84:Q84))</f>
        <v/>
      </c>
      <c r="S84" s="86" t="str">
        <f aca="false">IF($B84="","",الموظفون!$Q84*IF(E84="سعودي",cfg_G_SE,cfg_G_NE)*F84/cfg_DAYS_M)</f>
        <v/>
      </c>
      <c r="T84" s="86" t="str">
        <f aca="false">IF($B84="","",SUMIFS('الحركات الشهرية'!$I$6:$I$1005,'الحركات الشهرية'!$B$6:$B$1005,$B84,'الحركات الشهرية'!$A$6:$A$1005,$C$3))</f>
        <v/>
      </c>
      <c r="U84" s="86" t="str">
        <f aca="false">IF($B84="","",SUMIFS('الحركات الشهرية'!$J$6:$J$1005,'الحركات الشهرية'!$B$6:$B$1005,$B84,'الحركات الشهرية'!$A$6:$A$1005,$C$3))</f>
        <v/>
      </c>
      <c r="V84" s="86" t="str">
        <f aca="false">IF($B84="","",SUM(S84:U84))</f>
        <v/>
      </c>
      <c r="W84" s="107" t="str">
        <f aca="false">IF($B84="","",R84-V84)</f>
        <v/>
      </c>
      <c r="X84" s="86" t="str">
        <f aca="false">IF($B84="","",الموظفون!$Q84*IF(E84="سعودي",cfg_G_SR,cfg_G_NR)*F84/cfg_DAYS_M)</f>
        <v/>
      </c>
      <c r="Y84" s="86" t="str">
        <f aca="false">IF($B84="","",الموظفون!$O84*(cfg_EOS_R1*(MIN(AC84,cfg_EOS_TH)-MIN(AD84,cfg_EOS_TH))+cfg_EOS_R2*(MAX(AC84-cfg_EOS_TH,0)-MAX(AD84-cfg_EOS_TH,0))))</f>
        <v/>
      </c>
      <c r="Z84" s="86" t="str">
        <f aca="false">IF($B84="","",IF(الموظفون!$R84&lt;&gt;"",الموظفون!$R84,IF(AC84&gt;=cfg_LV_TH,cfg_LV_D2,cfg_LV_D1))/cfg_DAYS_Y*AE84*الموظفون!$P84/cfg_DAYS_M)</f>
        <v/>
      </c>
      <c r="AA84" s="86" t="str">
        <f aca="false">IF($B84="","",IF(AND(الموظفون!$S84="نعم",N(الموظفون!$U84)&gt;0),الموظفون!$T84/الموظفون!$U84*12/cfg_DAYS_Y*AE84,0))</f>
        <v/>
      </c>
      <c r="AB84" s="108" t="str">
        <f aca="false">IF($B84="","",R84+SUM(X84:AA84))</f>
        <v/>
      </c>
      <c r="AC84" s="109" t="str">
        <f aca="false">IF($B84="","",MAX(0,IF(OR(الموظفون!$X84="",الموظفون!$X84&gt;$G$3),$G$3,الموظفون!$X84)-الموظفون!$H84+1)/cfg_DAYS_Y)</f>
        <v/>
      </c>
      <c r="AD84" s="109" t="str">
        <f aca="false">IF($B84="","",MAX(0,IF(OR(الموظفون!$X84="",الموظفون!$X84&gt;($E$3-1)),($E$3-1),الموظفون!$X84)-الموظفون!$H84+1)/cfg_DAYS_Y)</f>
        <v/>
      </c>
      <c r="AE84" s="51" t="str">
        <f aca="false">IF($B84="","",MAX(0,IF(OR(الموظفون!$X84="",الموظفون!$X84&gt;$G$3),$G$3,الموظفون!$X84)-MAX($E$3,الموظفون!$H84)+1))</f>
        <v/>
      </c>
    </row>
    <row r="85" customFormat="false" ht="15" hidden="false" customHeight="false" outlineLevel="0" collapsed="false">
      <c r="A85" s="89" t="str">
        <f aca="false">IF($B85="","",الموظفون!$A85)</f>
        <v/>
      </c>
      <c r="B85" s="91" t="str">
        <f aca="false">IF(الموظفون!$B85="","",الموظفون!$B85)</f>
        <v/>
      </c>
      <c r="C85" s="91" t="str">
        <f aca="false">IF($B85="","",الموظفون!$C85)</f>
        <v/>
      </c>
      <c r="D85" s="91" t="str">
        <f aca="false">IF($B85="","",الموظفون!$F85)</f>
        <v/>
      </c>
      <c r="E85" s="91" t="str">
        <f aca="false">IF($B85="","",الموظفون!$E85)</f>
        <v/>
      </c>
      <c r="F85" s="110" t="str">
        <f aca="false">IF($B85="","",IF(AE85&gt;=DAY($G$3),cfg_DAYS_M,MIN(AE85,cfg_DAYS_M)))</f>
        <v/>
      </c>
      <c r="G85" s="110" t="str">
        <f aca="false">IF($B85="","",SUMIFS('الحركات الشهرية'!$D$6:$D$1005,'الحركات الشهرية'!$B$6:$B$1005,$B85,'الحركات الشهرية'!$A$6:$A$1005,$C$3))</f>
        <v/>
      </c>
      <c r="H85" s="110" t="str">
        <f aca="false">IF($B85="","",SUMIFS('الحركات الشهرية'!$E$6:$E$1005,'الحركات الشهرية'!$B$6:$B$1005,$B85,'الحركات الشهرية'!$A$6:$A$1005,$C$3))</f>
        <v/>
      </c>
      <c r="I85" s="110" t="str">
        <f aca="false">IF($B85="","",MAX(0,F85-G85-H85))</f>
        <v/>
      </c>
      <c r="J85" s="90" t="str">
        <f aca="false">IF($B85="","",الموظفون!$J85*$I85/cfg_DAYS_M)</f>
        <v/>
      </c>
      <c r="K85" s="90" t="str">
        <f aca="false">IF($B85="","",الموظفون!$K85*$I85/cfg_DAYS_M)</f>
        <v/>
      </c>
      <c r="L85" s="90" t="str">
        <f aca="false">IF($B85="","",الموظفون!$L85*$I85/cfg_DAYS_M)</f>
        <v/>
      </c>
      <c r="M85" s="90" t="str">
        <f aca="false">IF($B85="","",الموظفون!$M85*$I85/cfg_DAYS_M)</f>
        <v/>
      </c>
      <c r="N85" s="110" t="str">
        <f aca="false">IF($B85="","",SUMIFS('الحركات الشهرية'!$F$6:$F$1005,'الحركات الشهرية'!$B$6:$B$1005,$B85,'الحركات الشهرية'!$A$6:$A$1005,$C$3))</f>
        <v/>
      </c>
      <c r="O85" s="90" t="str">
        <f aca="false">IF($B85="","",N85*(الموظفون!$N85+الموظفون!$J85*cfg_OT_P)/cfg_DAYS_M/cfg_HRS)</f>
        <v/>
      </c>
      <c r="P85" s="90" t="str">
        <f aca="false">IF($B85="","",SUMIFS('الحركات الشهرية'!$G$6:$G$1005,'الحركات الشهرية'!$B$6:$B$1005,$B85,'الحركات الشهرية'!$A$6:$A$1005,$C$3))</f>
        <v/>
      </c>
      <c r="Q85" s="90" t="str">
        <f aca="false">IF($B85="","",SUMIFS('الحركات الشهرية'!$H$6:$H$1005,'الحركات الشهرية'!$B$6:$B$1005,$B85,'الحركات الشهرية'!$A$6:$A$1005,$C$3))</f>
        <v/>
      </c>
      <c r="R85" s="111" t="str">
        <f aca="false">IF($B85="","",SUM(J85:M85)+SUM(O85:Q85))</f>
        <v/>
      </c>
      <c r="S85" s="90" t="str">
        <f aca="false">IF($B85="","",الموظفون!$Q85*IF(E85="سعودي",cfg_G_SE,cfg_G_NE)*F85/cfg_DAYS_M)</f>
        <v/>
      </c>
      <c r="T85" s="90" t="str">
        <f aca="false">IF($B85="","",SUMIFS('الحركات الشهرية'!$I$6:$I$1005,'الحركات الشهرية'!$B$6:$B$1005,$B85,'الحركات الشهرية'!$A$6:$A$1005,$C$3))</f>
        <v/>
      </c>
      <c r="U85" s="90" t="str">
        <f aca="false">IF($B85="","",SUMIFS('الحركات الشهرية'!$J$6:$J$1005,'الحركات الشهرية'!$B$6:$B$1005,$B85,'الحركات الشهرية'!$A$6:$A$1005,$C$3))</f>
        <v/>
      </c>
      <c r="V85" s="90" t="str">
        <f aca="false">IF($B85="","",SUM(S85:U85))</f>
        <v/>
      </c>
      <c r="W85" s="112" t="str">
        <f aca="false">IF($B85="","",R85-V85)</f>
        <v/>
      </c>
      <c r="X85" s="90" t="str">
        <f aca="false">IF($B85="","",الموظفون!$Q85*IF(E85="سعودي",cfg_G_SR,cfg_G_NR)*F85/cfg_DAYS_M)</f>
        <v/>
      </c>
      <c r="Y85" s="90" t="str">
        <f aca="false">IF($B85="","",الموظفون!$O85*(cfg_EOS_R1*(MIN(AC85,cfg_EOS_TH)-MIN(AD85,cfg_EOS_TH))+cfg_EOS_R2*(MAX(AC85-cfg_EOS_TH,0)-MAX(AD85-cfg_EOS_TH,0))))</f>
        <v/>
      </c>
      <c r="Z85" s="90" t="str">
        <f aca="false">IF($B85="","",IF(الموظفون!$R85&lt;&gt;"",الموظفون!$R85,IF(AC85&gt;=cfg_LV_TH,cfg_LV_D2,cfg_LV_D1))/cfg_DAYS_Y*AE85*الموظفون!$P85/cfg_DAYS_M)</f>
        <v/>
      </c>
      <c r="AA85" s="90" t="str">
        <f aca="false">IF($B85="","",IF(AND(الموظفون!$S85="نعم",N(الموظفون!$U85)&gt;0),الموظفون!$T85/الموظفون!$U85*12/cfg_DAYS_Y*AE85,0))</f>
        <v/>
      </c>
      <c r="AB85" s="113" t="str">
        <f aca="false">IF($B85="","",R85+SUM(X85:AA85))</f>
        <v/>
      </c>
      <c r="AC85" s="114" t="str">
        <f aca="false">IF($B85="","",MAX(0,IF(OR(الموظفون!$X85="",الموظفون!$X85&gt;$G$3),$G$3,الموظفون!$X85)-الموظفون!$H85+1)/cfg_DAYS_Y)</f>
        <v/>
      </c>
      <c r="AD85" s="114" t="str">
        <f aca="false">IF($B85="","",MAX(0,IF(OR(الموظفون!$X85="",الموظفون!$X85&gt;($E$3-1)),($E$3-1),الموظفون!$X85)-الموظفون!$H85+1)/cfg_DAYS_Y)</f>
        <v/>
      </c>
      <c r="AE85" s="115" t="str">
        <f aca="false">IF($B85="","",MAX(0,IF(OR(الموظفون!$X85="",الموظفون!$X85&gt;$G$3),$G$3,الموظفون!$X85)-MAX($E$3,الموظفون!$H85)+1))</f>
        <v/>
      </c>
    </row>
    <row r="86" customFormat="false" ht="15" hidden="false" customHeight="false" outlineLevel="0" collapsed="false">
      <c r="A86" s="83" t="str">
        <f aca="false">IF($B86="","",الموظفون!$A86)</f>
        <v/>
      </c>
      <c r="B86" s="74" t="str">
        <f aca="false">IF(الموظفون!$B86="","",الموظفون!$B86)</f>
        <v/>
      </c>
      <c r="C86" s="74" t="str">
        <f aca="false">IF($B86="","",الموظفون!$C86)</f>
        <v/>
      </c>
      <c r="D86" s="74" t="str">
        <f aca="false">IF($B86="","",الموظفون!$F86)</f>
        <v/>
      </c>
      <c r="E86" s="74" t="str">
        <f aca="false">IF($B86="","",الموظفون!$E86)</f>
        <v/>
      </c>
      <c r="F86" s="105" t="str">
        <f aca="false">IF($B86="","",IF(AE86&gt;=DAY($G$3),cfg_DAYS_M,MIN(AE86,cfg_DAYS_M)))</f>
        <v/>
      </c>
      <c r="G86" s="105" t="str">
        <f aca="false">IF($B86="","",SUMIFS('الحركات الشهرية'!$D$6:$D$1005,'الحركات الشهرية'!$B$6:$B$1005,$B86,'الحركات الشهرية'!$A$6:$A$1005,$C$3))</f>
        <v/>
      </c>
      <c r="H86" s="105" t="str">
        <f aca="false">IF($B86="","",SUMIFS('الحركات الشهرية'!$E$6:$E$1005,'الحركات الشهرية'!$B$6:$B$1005,$B86,'الحركات الشهرية'!$A$6:$A$1005,$C$3))</f>
        <v/>
      </c>
      <c r="I86" s="105" t="str">
        <f aca="false">IF($B86="","",MAX(0,F86-G86-H86))</f>
        <v/>
      </c>
      <c r="J86" s="86" t="str">
        <f aca="false">IF($B86="","",الموظفون!$J86*$I86/cfg_DAYS_M)</f>
        <v/>
      </c>
      <c r="K86" s="86" t="str">
        <f aca="false">IF($B86="","",الموظفون!$K86*$I86/cfg_DAYS_M)</f>
        <v/>
      </c>
      <c r="L86" s="86" t="str">
        <f aca="false">IF($B86="","",الموظفون!$L86*$I86/cfg_DAYS_M)</f>
        <v/>
      </c>
      <c r="M86" s="86" t="str">
        <f aca="false">IF($B86="","",الموظفون!$M86*$I86/cfg_DAYS_M)</f>
        <v/>
      </c>
      <c r="N86" s="105" t="str">
        <f aca="false">IF($B86="","",SUMIFS('الحركات الشهرية'!$F$6:$F$1005,'الحركات الشهرية'!$B$6:$B$1005,$B86,'الحركات الشهرية'!$A$6:$A$1005,$C$3))</f>
        <v/>
      </c>
      <c r="O86" s="86" t="str">
        <f aca="false">IF($B86="","",N86*(الموظفون!$N86+الموظفون!$J86*cfg_OT_P)/cfg_DAYS_M/cfg_HRS)</f>
        <v/>
      </c>
      <c r="P86" s="86" t="str">
        <f aca="false">IF($B86="","",SUMIFS('الحركات الشهرية'!$G$6:$G$1005,'الحركات الشهرية'!$B$6:$B$1005,$B86,'الحركات الشهرية'!$A$6:$A$1005,$C$3))</f>
        <v/>
      </c>
      <c r="Q86" s="86" t="str">
        <f aca="false">IF($B86="","",SUMIFS('الحركات الشهرية'!$H$6:$H$1005,'الحركات الشهرية'!$B$6:$B$1005,$B86,'الحركات الشهرية'!$A$6:$A$1005,$C$3))</f>
        <v/>
      </c>
      <c r="R86" s="106" t="str">
        <f aca="false">IF($B86="","",SUM(J86:M86)+SUM(O86:Q86))</f>
        <v/>
      </c>
      <c r="S86" s="86" t="str">
        <f aca="false">IF($B86="","",الموظفون!$Q86*IF(E86="سعودي",cfg_G_SE,cfg_G_NE)*F86/cfg_DAYS_M)</f>
        <v/>
      </c>
      <c r="T86" s="86" t="str">
        <f aca="false">IF($B86="","",SUMIFS('الحركات الشهرية'!$I$6:$I$1005,'الحركات الشهرية'!$B$6:$B$1005,$B86,'الحركات الشهرية'!$A$6:$A$1005,$C$3))</f>
        <v/>
      </c>
      <c r="U86" s="86" t="str">
        <f aca="false">IF($B86="","",SUMIFS('الحركات الشهرية'!$J$6:$J$1005,'الحركات الشهرية'!$B$6:$B$1005,$B86,'الحركات الشهرية'!$A$6:$A$1005,$C$3))</f>
        <v/>
      </c>
      <c r="V86" s="86" t="str">
        <f aca="false">IF($B86="","",SUM(S86:U86))</f>
        <v/>
      </c>
      <c r="W86" s="107" t="str">
        <f aca="false">IF($B86="","",R86-V86)</f>
        <v/>
      </c>
      <c r="X86" s="86" t="str">
        <f aca="false">IF($B86="","",الموظفون!$Q86*IF(E86="سعودي",cfg_G_SR,cfg_G_NR)*F86/cfg_DAYS_M)</f>
        <v/>
      </c>
      <c r="Y86" s="86" t="str">
        <f aca="false">IF($B86="","",الموظفون!$O86*(cfg_EOS_R1*(MIN(AC86,cfg_EOS_TH)-MIN(AD86,cfg_EOS_TH))+cfg_EOS_R2*(MAX(AC86-cfg_EOS_TH,0)-MAX(AD86-cfg_EOS_TH,0))))</f>
        <v/>
      </c>
      <c r="Z86" s="86" t="str">
        <f aca="false">IF($B86="","",IF(الموظفون!$R86&lt;&gt;"",الموظفون!$R86,IF(AC86&gt;=cfg_LV_TH,cfg_LV_D2,cfg_LV_D1))/cfg_DAYS_Y*AE86*الموظفون!$P86/cfg_DAYS_M)</f>
        <v/>
      </c>
      <c r="AA86" s="86" t="str">
        <f aca="false">IF($B86="","",IF(AND(الموظفون!$S86="نعم",N(الموظفون!$U86)&gt;0),الموظفون!$T86/الموظفون!$U86*12/cfg_DAYS_Y*AE86,0))</f>
        <v/>
      </c>
      <c r="AB86" s="108" t="str">
        <f aca="false">IF($B86="","",R86+SUM(X86:AA86))</f>
        <v/>
      </c>
      <c r="AC86" s="109" t="str">
        <f aca="false">IF($B86="","",MAX(0,IF(OR(الموظفون!$X86="",الموظفون!$X86&gt;$G$3),$G$3,الموظفون!$X86)-الموظفون!$H86+1)/cfg_DAYS_Y)</f>
        <v/>
      </c>
      <c r="AD86" s="109" t="str">
        <f aca="false">IF($B86="","",MAX(0,IF(OR(الموظفون!$X86="",الموظفون!$X86&gt;($E$3-1)),($E$3-1),الموظفون!$X86)-الموظفون!$H86+1)/cfg_DAYS_Y)</f>
        <v/>
      </c>
      <c r="AE86" s="51" t="str">
        <f aca="false">IF($B86="","",MAX(0,IF(OR(الموظفون!$X86="",الموظفون!$X86&gt;$G$3),$G$3,الموظفون!$X86)-MAX($E$3,الموظفون!$H86)+1))</f>
        <v/>
      </c>
    </row>
    <row r="87" customFormat="false" ht="15" hidden="false" customHeight="false" outlineLevel="0" collapsed="false">
      <c r="A87" s="89" t="str">
        <f aca="false">IF($B87="","",الموظفون!$A87)</f>
        <v/>
      </c>
      <c r="B87" s="91" t="str">
        <f aca="false">IF(الموظفون!$B87="","",الموظفون!$B87)</f>
        <v/>
      </c>
      <c r="C87" s="91" t="str">
        <f aca="false">IF($B87="","",الموظفون!$C87)</f>
        <v/>
      </c>
      <c r="D87" s="91" t="str">
        <f aca="false">IF($B87="","",الموظفون!$F87)</f>
        <v/>
      </c>
      <c r="E87" s="91" t="str">
        <f aca="false">IF($B87="","",الموظفون!$E87)</f>
        <v/>
      </c>
      <c r="F87" s="110" t="str">
        <f aca="false">IF($B87="","",IF(AE87&gt;=DAY($G$3),cfg_DAYS_M,MIN(AE87,cfg_DAYS_M)))</f>
        <v/>
      </c>
      <c r="G87" s="110" t="str">
        <f aca="false">IF($B87="","",SUMIFS('الحركات الشهرية'!$D$6:$D$1005,'الحركات الشهرية'!$B$6:$B$1005,$B87,'الحركات الشهرية'!$A$6:$A$1005,$C$3))</f>
        <v/>
      </c>
      <c r="H87" s="110" t="str">
        <f aca="false">IF($B87="","",SUMIFS('الحركات الشهرية'!$E$6:$E$1005,'الحركات الشهرية'!$B$6:$B$1005,$B87,'الحركات الشهرية'!$A$6:$A$1005,$C$3))</f>
        <v/>
      </c>
      <c r="I87" s="110" t="str">
        <f aca="false">IF($B87="","",MAX(0,F87-G87-H87))</f>
        <v/>
      </c>
      <c r="J87" s="90" t="str">
        <f aca="false">IF($B87="","",الموظفون!$J87*$I87/cfg_DAYS_M)</f>
        <v/>
      </c>
      <c r="K87" s="90" t="str">
        <f aca="false">IF($B87="","",الموظفون!$K87*$I87/cfg_DAYS_M)</f>
        <v/>
      </c>
      <c r="L87" s="90" t="str">
        <f aca="false">IF($B87="","",الموظفون!$L87*$I87/cfg_DAYS_M)</f>
        <v/>
      </c>
      <c r="M87" s="90" t="str">
        <f aca="false">IF($B87="","",الموظفون!$M87*$I87/cfg_DAYS_M)</f>
        <v/>
      </c>
      <c r="N87" s="110" t="str">
        <f aca="false">IF($B87="","",SUMIFS('الحركات الشهرية'!$F$6:$F$1005,'الحركات الشهرية'!$B$6:$B$1005,$B87,'الحركات الشهرية'!$A$6:$A$1005,$C$3))</f>
        <v/>
      </c>
      <c r="O87" s="90" t="str">
        <f aca="false">IF($B87="","",N87*(الموظفون!$N87+الموظفون!$J87*cfg_OT_P)/cfg_DAYS_M/cfg_HRS)</f>
        <v/>
      </c>
      <c r="P87" s="90" t="str">
        <f aca="false">IF($B87="","",SUMIFS('الحركات الشهرية'!$G$6:$G$1005,'الحركات الشهرية'!$B$6:$B$1005,$B87,'الحركات الشهرية'!$A$6:$A$1005,$C$3))</f>
        <v/>
      </c>
      <c r="Q87" s="90" t="str">
        <f aca="false">IF($B87="","",SUMIFS('الحركات الشهرية'!$H$6:$H$1005,'الحركات الشهرية'!$B$6:$B$1005,$B87,'الحركات الشهرية'!$A$6:$A$1005,$C$3))</f>
        <v/>
      </c>
      <c r="R87" s="111" t="str">
        <f aca="false">IF($B87="","",SUM(J87:M87)+SUM(O87:Q87))</f>
        <v/>
      </c>
      <c r="S87" s="90" t="str">
        <f aca="false">IF($B87="","",الموظفون!$Q87*IF(E87="سعودي",cfg_G_SE,cfg_G_NE)*F87/cfg_DAYS_M)</f>
        <v/>
      </c>
      <c r="T87" s="90" t="str">
        <f aca="false">IF($B87="","",SUMIFS('الحركات الشهرية'!$I$6:$I$1005,'الحركات الشهرية'!$B$6:$B$1005,$B87,'الحركات الشهرية'!$A$6:$A$1005,$C$3))</f>
        <v/>
      </c>
      <c r="U87" s="90" t="str">
        <f aca="false">IF($B87="","",SUMIFS('الحركات الشهرية'!$J$6:$J$1005,'الحركات الشهرية'!$B$6:$B$1005,$B87,'الحركات الشهرية'!$A$6:$A$1005,$C$3))</f>
        <v/>
      </c>
      <c r="V87" s="90" t="str">
        <f aca="false">IF($B87="","",SUM(S87:U87))</f>
        <v/>
      </c>
      <c r="W87" s="112" t="str">
        <f aca="false">IF($B87="","",R87-V87)</f>
        <v/>
      </c>
      <c r="X87" s="90" t="str">
        <f aca="false">IF($B87="","",الموظفون!$Q87*IF(E87="سعودي",cfg_G_SR,cfg_G_NR)*F87/cfg_DAYS_M)</f>
        <v/>
      </c>
      <c r="Y87" s="90" t="str">
        <f aca="false">IF($B87="","",الموظفون!$O87*(cfg_EOS_R1*(MIN(AC87,cfg_EOS_TH)-MIN(AD87,cfg_EOS_TH))+cfg_EOS_R2*(MAX(AC87-cfg_EOS_TH,0)-MAX(AD87-cfg_EOS_TH,0))))</f>
        <v/>
      </c>
      <c r="Z87" s="90" t="str">
        <f aca="false">IF($B87="","",IF(الموظفون!$R87&lt;&gt;"",الموظفون!$R87,IF(AC87&gt;=cfg_LV_TH,cfg_LV_D2,cfg_LV_D1))/cfg_DAYS_Y*AE87*الموظفون!$P87/cfg_DAYS_M)</f>
        <v/>
      </c>
      <c r="AA87" s="90" t="str">
        <f aca="false">IF($B87="","",IF(AND(الموظفون!$S87="نعم",N(الموظفون!$U87)&gt;0),الموظفون!$T87/الموظفون!$U87*12/cfg_DAYS_Y*AE87,0))</f>
        <v/>
      </c>
      <c r="AB87" s="113" t="str">
        <f aca="false">IF($B87="","",R87+SUM(X87:AA87))</f>
        <v/>
      </c>
      <c r="AC87" s="114" t="str">
        <f aca="false">IF($B87="","",MAX(0,IF(OR(الموظفون!$X87="",الموظفون!$X87&gt;$G$3),$G$3,الموظفون!$X87)-الموظفون!$H87+1)/cfg_DAYS_Y)</f>
        <v/>
      </c>
      <c r="AD87" s="114" t="str">
        <f aca="false">IF($B87="","",MAX(0,IF(OR(الموظفون!$X87="",الموظفون!$X87&gt;($E$3-1)),($E$3-1),الموظفون!$X87)-الموظفون!$H87+1)/cfg_DAYS_Y)</f>
        <v/>
      </c>
      <c r="AE87" s="115" t="str">
        <f aca="false">IF($B87="","",MAX(0,IF(OR(الموظفون!$X87="",الموظفون!$X87&gt;$G$3),$G$3,الموظفون!$X87)-MAX($E$3,الموظفون!$H87)+1))</f>
        <v/>
      </c>
    </row>
    <row r="88" customFormat="false" ht="15" hidden="false" customHeight="false" outlineLevel="0" collapsed="false">
      <c r="A88" s="83" t="str">
        <f aca="false">IF($B88="","",الموظفون!$A88)</f>
        <v/>
      </c>
      <c r="B88" s="74" t="str">
        <f aca="false">IF(الموظفون!$B88="","",الموظفون!$B88)</f>
        <v/>
      </c>
      <c r="C88" s="74" t="str">
        <f aca="false">IF($B88="","",الموظفون!$C88)</f>
        <v/>
      </c>
      <c r="D88" s="74" t="str">
        <f aca="false">IF($B88="","",الموظفون!$F88)</f>
        <v/>
      </c>
      <c r="E88" s="74" t="str">
        <f aca="false">IF($B88="","",الموظفون!$E88)</f>
        <v/>
      </c>
      <c r="F88" s="105" t="str">
        <f aca="false">IF($B88="","",IF(AE88&gt;=DAY($G$3),cfg_DAYS_M,MIN(AE88,cfg_DAYS_M)))</f>
        <v/>
      </c>
      <c r="G88" s="105" t="str">
        <f aca="false">IF($B88="","",SUMIFS('الحركات الشهرية'!$D$6:$D$1005,'الحركات الشهرية'!$B$6:$B$1005,$B88,'الحركات الشهرية'!$A$6:$A$1005,$C$3))</f>
        <v/>
      </c>
      <c r="H88" s="105" t="str">
        <f aca="false">IF($B88="","",SUMIFS('الحركات الشهرية'!$E$6:$E$1005,'الحركات الشهرية'!$B$6:$B$1005,$B88,'الحركات الشهرية'!$A$6:$A$1005,$C$3))</f>
        <v/>
      </c>
      <c r="I88" s="105" t="str">
        <f aca="false">IF($B88="","",MAX(0,F88-G88-H88))</f>
        <v/>
      </c>
      <c r="J88" s="86" t="str">
        <f aca="false">IF($B88="","",الموظفون!$J88*$I88/cfg_DAYS_M)</f>
        <v/>
      </c>
      <c r="K88" s="86" t="str">
        <f aca="false">IF($B88="","",الموظفون!$K88*$I88/cfg_DAYS_M)</f>
        <v/>
      </c>
      <c r="L88" s="86" t="str">
        <f aca="false">IF($B88="","",الموظفون!$L88*$I88/cfg_DAYS_M)</f>
        <v/>
      </c>
      <c r="M88" s="86" t="str">
        <f aca="false">IF($B88="","",الموظفون!$M88*$I88/cfg_DAYS_M)</f>
        <v/>
      </c>
      <c r="N88" s="105" t="str">
        <f aca="false">IF($B88="","",SUMIFS('الحركات الشهرية'!$F$6:$F$1005,'الحركات الشهرية'!$B$6:$B$1005,$B88,'الحركات الشهرية'!$A$6:$A$1005,$C$3))</f>
        <v/>
      </c>
      <c r="O88" s="86" t="str">
        <f aca="false">IF($B88="","",N88*(الموظفون!$N88+الموظفون!$J88*cfg_OT_P)/cfg_DAYS_M/cfg_HRS)</f>
        <v/>
      </c>
      <c r="P88" s="86" t="str">
        <f aca="false">IF($B88="","",SUMIFS('الحركات الشهرية'!$G$6:$G$1005,'الحركات الشهرية'!$B$6:$B$1005,$B88,'الحركات الشهرية'!$A$6:$A$1005,$C$3))</f>
        <v/>
      </c>
      <c r="Q88" s="86" t="str">
        <f aca="false">IF($B88="","",SUMIFS('الحركات الشهرية'!$H$6:$H$1005,'الحركات الشهرية'!$B$6:$B$1005,$B88,'الحركات الشهرية'!$A$6:$A$1005,$C$3))</f>
        <v/>
      </c>
      <c r="R88" s="106" t="str">
        <f aca="false">IF($B88="","",SUM(J88:M88)+SUM(O88:Q88))</f>
        <v/>
      </c>
      <c r="S88" s="86" t="str">
        <f aca="false">IF($B88="","",الموظفون!$Q88*IF(E88="سعودي",cfg_G_SE,cfg_G_NE)*F88/cfg_DAYS_M)</f>
        <v/>
      </c>
      <c r="T88" s="86" t="str">
        <f aca="false">IF($B88="","",SUMIFS('الحركات الشهرية'!$I$6:$I$1005,'الحركات الشهرية'!$B$6:$B$1005,$B88,'الحركات الشهرية'!$A$6:$A$1005,$C$3))</f>
        <v/>
      </c>
      <c r="U88" s="86" t="str">
        <f aca="false">IF($B88="","",SUMIFS('الحركات الشهرية'!$J$6:$J$1005,'الحركات الشهرية'!$B$6:$B$1005,$B88,'الحركات الشهرية'!$A$6:$A$1005,$C$3))</f>
        <v/>
      </c>
      <c r="V88" s="86" t="str">
        <f aca="false">IF($B88="","",SUM(S88:U88))</f>
        <v/>
      </c>
      <c r="W88" s="107" t="str">
        <f aca="false">IF($B88="","",R88-V88)</f>
        <v/>
      </c>
      <c r="X88" s="86" t="str">
        <f aca="false">IF($B88="","",الموظفون!$Q88*IF(E88="سعودي",cfg_G_SR,cfg_G_NR)*F88/cfg_DAYS_M)</f>
        <v/>
      </c>
      <c r="Y88" s="86" t="str">
        <f aca="false">IF($B88="","",الموظفون!$O88*(cfg_EOS_R1*(MIN(AC88,cfg_EOS_TH)-MIN(AD88,cfg_EOS_TH))+cfg_EOS_R2*(MAX(AC88-cfg_EOS_TH,0)-MAX(AD88-cfg_EOS_TH,0))))</f>
        <v/>
      </c>
      <c r="Z88" s="86" t="str">
        <f aca="false">IF($B88="","",IF(الموظفون!$R88&lt;&gt;"",الموظفون!$R88,IF(AC88&gt;=cfg_LV_TH,cfg_LV_D2,cfg_LV_D1))/cfg_DAYS_Y*AE88*الموظفون!$P88/cfg_DAYS_M)</f>
        <v/>
      </c>
      <c r="AA88" s="86" t="str">
        <f aca="false">IF($B88="","",IF(AND(الموظفون!$S88="نعم",N(الموظفون!$U88)&gt;0),الموظفون!$T88/الموظفون!$U88*12/cfg_DAYS_Y*AE88,0))</f>
        <v/>
      </c>
      <c r="AB88" s="108" t="str">
        <f aca="false">IF($B88="","",R88+SUM(X88:AA88))</f>
        <v/>
      </c>
      <c r="AC88" s="109" t="str">
        <f aca="false">IF($B88="","",MAX(0,IF(OR(الموظفون!$X88="",الموظفون!$X88&gt;$G$3),$G$3,الموظفون!$X88)-الموظفون!$H88+1)/cfg_DAYS_Y)</f>
        <v/>
      </c>
      <c r="AD88" s="109" t="str">
        <f aca="false">IF($B88="","",MAX(0,IF(OR(الموظفون!$X88="",الموظفون!$X88&gt;($E$3-1)),($E$3-1),الموظفون!$X88)-الموظفون!$H88+1)/cfg_DAYS_Y)</f>
        <v/>
      </c>
      <c r="AE88" s="51" t="str">
        <f aca="false">IF($B88="","",MAX(0,IF(OR(الموظفون!$X88="",الموظفون!$X88&gt;$G$3),$G$3,الموظفون!$X88)-MAX($E$3,الموظفون!$H88)+1))</f>
        <v/>
      </c>
    </row>
    <row r="89" customFormat="false" ht="15" hidden="false" customHeight="false" outlineLevel="0" collapsed="false">
      <c r="A89" s="89" t="str">
        <f aca="false">IF($B89="","",الموظفون!$A89)</f>
        <v/>
      </c>
      <c r="B89" s="91" t="str">
        <f aca="false">IF(الموظفون!$B89="","",الموظفون!$B89)</f>
        <v/>
      </c>
      <c r="C89" s="91" t="str">
        <f aca="false">IF($B89="","",الموظفون!$C89)</f>
        <v/>
      </c>
      <c r="D89" s="91" t="str">
        <f aca="false">IF($B89="","",الموظفون!$F89)</f>
        <v/>
      </c>
      <c r="E89" s="91" t="str">
        <f aca="false">IF($B89="","",الموظفون!$E89)</f>
        <v/>
      </c>
      <c r="F89" s="110" t="str">
        <f aca="false">IF($B89="","",IF(AE89&gt;=DAY($G$3),cfg_DAYS_M,MIN(AE89,cfg_DAYS_M)))</f>
        <v/>
      </c>
      <c r="G89" s="110" t="str">
        <f aca="false">IF($B89="","",SUMIFS('الحركات الشهرية'!$D$6:$D$1005,'الحركات الشهرية'!$B$6:$B$1005,$B89,'الحركات الشهرية'!$A$6:$A$1005,$C$3))</f>
        <v/>
      </c>
      <c r="H89" s="110" t="str">
        <f aca="false">IF($B89="","",SUMIFS('الحركات الشهرية'!$E$6:$E$1005,'الحركات الشهرية'!$B$6:$B$1005,$B89,'الحركات الشهرية'!$A$6:$A$1005,$C$3))</f>
        <v/>
      </c>
      <c r="I89" s="110" t="str">
        <f aca="false">IF($B89="","",MAX(0,F89-G89-H89))</f>
        <v/>
      </c>
      <c r="J89" s="90" t="str">
        <f aca="false">IF($B89="","",الموظفون!$J89*$I89/cfg_DAYS_M)</f>
        <v/>
      </c>
      <c r="K89" s="90" t="str">
        <f aca="false">IF($B89="","",الموظفون!$K89*$I89/cfg_DAYS_M)</f>
        <v/>
      </c>
      <c r="L89" s="90" t="str">
        <f aca="false">IF($B89="","",الموظفون!$L89*$I89/cfg_DAYS_M)</f>
        <v/>
      </c>
      <c r="M89" s="90" t="str">
        <f aca="false">IF($B89="","",الموظفون!$M89*$I89/cfg_DAYS_M)</f>
        <v/>
      </c>
      <c r="N89" s="110" t="str">
        <f aca="false">IF($B89="","",SUMIFS('الحركات الشهرية'!$F$6:$F$1005,'الحركات الشهرية'!$B$6:$B$1005,$B89,'الحركات الشهرية'!$A$6:$A$1005,$C$3))</f>
        <v/>
      </c>
      <c r="O89" s="90" t="str">
        <f aca="false">IF($B89="","",N89*(الموظفون!$N89+الموظفون!$J89*cfg_OT_P)/cfg_DAYS_M/cfg_HRS)</f>
        <v/>
      </c>
      <c r="P89" s="90" t="str">
        <f aca="false">IF($B89="","",SUMIFS('الحركات الشهرية'!$G$6:$G$1005,'الحركات الشهرية'!$B$6:$B$1005,$B89,'الحركات الشهرية'!$A$6:$A$1005,$C$3))</f>
        <v/>
      </c>
      <c r="Q89" s="90" t="str">
        <f aca="false">IF($B89="","",SUMIFS('الحركات الشهرية'!$H$6:$H$1005,'الحركات الشهرية'!$B$6:$B$1005,$B89,'الحركات الشهرية'!$A$6:$A$1005,$C$3))</f>
        <v/>
      </c>
      <c r="R89" s="111" t="str">
        <f aca="false">IF($B89="","",SUM(J89:M89)+SUM(O89:Q89))</f>
        <v/>
      </c>
      <c r="S89" s="90" t="str">
        <f aca="false">IF($B89="","",الموظفون!$Q89*IF(E89="سعودي",cfg_G_SE,cfg_G_NE)*F89/cfg_DAYS_M)</f>
        <v/>
      </c>
      <c r="T89" s="90" t="str">
        <f aca="false">IF($B89="","",SUMIFS('الحركات الشهرية'!$I$6:$I$1005,'الحركات الشهرية'!$B$6:$B$1005,$B89,'الحركات الشهرية'!$A$6:$A$1005,$C$3))</f>
        <v/>
      </c>
      <c r="U89" s="90" t="str">
        <f aca="false">IF($B89="","",SUMIFS('الحركات الشهرية'!$J$6:$J$1005,'الحركات الشهرية'!$B$6:$B$1005,$B89,'الحركات الشهرية'!$A$6:$A$1005,$C$3))</f>
        <v/>
      </c>
      <c r="V89" s="90" t="str">
        <f aca="false">IF($B89="","",SUM(S89:U89))</f>
        <v/>
      </c>
      <c r="W89" s="112" t="str">
        <f aca="false">IF($B89="","",R89-V89)</f>
        <v/>
      </c>
      <c r="X89" s="90" t="str">
        <f aca="false">IF($B89="","",الموظفون!$Q89*IF(E89="سعودي",cfg_G_SR,cfg_G_NR)*F89/cfg_DAYS_M)</f>
        <v/>
      </c>
      <c r="Y89" s="90" t="str">
        <f aca="false">IF($B89="","",الموظفون!$O89*(cfg_EOS_R1*(MIN(AC89,cfg_EOS_TH)-MIN(AD89,cfg_EOS_TH))+cfg_EOS_R2*(MAX(AC89-cfg_EOS_TH,0)-MAX(AD89-cfg_EOS_TH,0))))</f>
        <v/>
      </c>
      <c r="Z89" s="90" t="str">
        <f aca="false">IF($B89="","",IF(الموظفون!$R89&lt;&gt;"",الموظفون!$R89,IF(AC89&gt;=cfg_LV_TH,cfg_LV_D2,cfg_LV_D1))/cfg_DAYS_Y*AE89*الموظفون!$P89/cfg_DAYS_M)</f>
        <v/>
      </c>
      <c r="AA89" s="90" t="str">
        <f aca="false">IF($B89="","",IF(AND(الموظفون!$S89="نعم",N(الموظفون!$U89)&gt;0),الموظفون!$T89/الموظفون!$U89*12/cfg_DAYS_Y*AE89,0))</f>
        <v/>
      </c>
      <c r="AB89" s="113" t="str">
        <f aca="false">IF($B89="","",R89+SUM(X89:AA89))</f>
        <v/>
      </c>
      <c r="AC89" s="114" t="str">
        <f aca="false">IF($B89="","",MAX(0,IF(OR(الموظفون!$X89="",الموظفون!$X89&gt;$G$3),$G$3,الموظفون!$X89)-الموظفون!$H89+1)/cfg_DAYS_Y)</f>
        <v/>
      </c>
      <c r="AD89" s="114" t="str">
        <f aca="false">IF($B89="","",MAX(0,IF(OR(الموظفون!$X89="",الموظفون!$X89&gt;($E$3-1)),($E$3-1),الموظفون!$X89)-الموظفون!$H89+1)/cfg_DAYS_Y)</f>
        <v/>
      </c>
      <c r="AE89" s="115" t="str">
        <f aca="false">IF($B89="","",MAX(0,IF(OR(الموظفون!$X89="",الموظفون!$X89&gt;$G$3),$G$3,الموظفون!$X89)-MAX($E$3,الموظفون!$H89)+1))</f>
        <v/>
      </c>
    </row>
    <row r="90" customFormat="false" ht="15" hidden="false" customHeight="false" outlineLevel="0" collapsed="false">
      <c r="A90" s="83" t="str">
        <f aca="false">IF($B90="","",الموظفون!$A90)</f>
        <v/>
      </c>
      <c r="B90" s="74" t="str">
        <f aca="false">IF(الموظفون!$B90="","",الموظفون!$B90)</f>
        <v/>
      </c>
      <c r="C90" s="74" t="str">
        <f aca="false">IF($B90="","",الموظفون!$C90)</f>
        <v/>
      </c>
      <c r="D90" s="74" t="str">
        <f aca="false">IF($B90="","",الموظفون!$F90)</f>
        <v/>
      </c>
      <c r="E90" s="74" t="str">
        <f aca="false">IF($B90="","",الموظفون!$E90)</f>
        <v/>
      </c>
      <c r="F90" s="105" t="str">
        <f aca="false">IF($B90="","",IF(AE90&gt;=DAY($G$3),cfg_DAYS_M,MIN(AE90,cfg_DAYS_M)))</f>
        <v/>
      </c>
      <c r="G90" s="105" t="str">
        <f aca="false">IF($B90="","",SUMIFS('الحركات الشهرية'!$D$6:$D$1005,'الحركات الشهرية'!$B$6:$B$1005,$B90,'الحركات الشهرية'!$A$6:$A$1005,$C$3))</f>
        <v/>
      </c>
      <c r="H90" s="105" t="str">
        <f aca="false">IF($B90="","",SUMIFS('الحركات الشهرية'!$E$6:$E$1005,'الحركات الشهرية'!$B$6:$B$1005,$B90,'الحركات الشهرية'!$A$6:$A$1005,$C$3))</f>
        <v/>
      </c>
      <c r="I90" s="105" t="str">
        <f aca="false">IF($B90="","",MAX(0,F90-G90-H90))</f>
        <v/>
      </c>
      <c r="J90" s="86" t="str">
        <f aca="false">IF($B90="","",الموظفون!$J90*$I90/cfg_DAYS_M)</f>
        <v/>
      </c>
      <c r="K90" s="86" t="str">
        <f aca="false">IF($B90="","",الموظفون!$K90*$I90/cfg_DAYS_M)</f>
        <v/>
      </c>
      <c r="L90" s="86" t="str">
        <f aca="false">IF($B90="","",الموظفون!$L90*$I90/cfg_DAYS_M)</f>
        <v/>
      </c>
      <c r="M90" s="86" t="str">
        <f aca="false">IF($B90="","",الموظفون!$M90*$I90/cfg_DAYS_M)</f>
        <v/>
      </c>
      <c r="N90" s="105" t="str">
        <f aca="false">IF($B90="","",SUMIFS('الحركات الشهرية'!$F$6:$F$1005,'الحركات الشهرية'!$B$6:$B$1005,$B90,'الحركات الشهرية'!$A$6:$A$1005,$C$3))</f>
        <v/>
      </c>
      <c r="O90" s="86" t="str">
        <f aca="false">IF($B90="","",N90*(الموظفون!$N90+الموظفون!$J90*cfg_OT_P)/cfg_DAYS_M/cfg_HRS)</f>
        <v/>
      </c>
      <c r="P90" s="86" t="str">
        <f aca="false">IF($B90="","",SUMIFS('الحركات الشهرية'!$G$6:$G$1005,'الحركات الشهرية'!$B$6:$B$1005,$B90,'الحركات الشهرية'!$A$6:$A$1005,$C$3))</f>
        <v/>
      </c>
      <c r="Q90" s="86" t="str">
        <f aca="false">IF($B90="","",SUMIFS('الحركات الشهرية'!$H$6:$H$1005,'الحركات الشهرية'!$B$6:$B$1005,$B90,'الحركات الشهرية'!$A$6:$A$1005,$C$3))</f>
        <v/>
      </c>
      <c r="R90" s="106" t="str">
        <f aca="false">IF($B90="","",SUM(J90:M90)+SUM(O90:Q90))</f>
        <v/>
      </c>
      <c r="S90" s="86" t="str">
        <f aca="false">IF($B90="","",الموظفون!$Q90*IF(E90="سعودي",cfg_G_SE,cfg_G_NE)*F90/cfg_DAYS_M)</f>
        <v/>
      </c>
      <c r="T90" s="86" t="str">
        <f aca="false">IF($B90="","",SUMIFS('الحركات الشهرية'!$I$6:$I$1005,'الحركات الشهرية'!$B$6:$B$1005,$B90,'الحركات الشهرية'!$A$6:$A$1005,$C$3))</f>
        <v/>
      </c>
      <c r="U90" s="86" t="str">
        <f aca="false">IF($B90="","",SUMIFS('الحركات الشهرية'!$J$6:$J$1005,'الحركات الشهرية'!$B$6:$B$1005,$B90,'الحركات الشهرية'!$A$6:$A$1005,$C$3))</f>
        <v/>
      </c>
      <c r="V90" s="86" t="str">
        <f aca="false">IF($B90="","",SUM(S90:U90))</f>
        <v/>
      </c>
      <c r="W90" s="107" t="str">
        <f aca="false">IF($B90="","",R90-V90)</f>
        <v/>
      </c>
      <c r="X90" s="86" t="str">
        <f aca="false">IF($B90="","",الموظفون!$Q90*IF(E90="سعودي",cfg_G_SR,cfg_G_NR)*F90/cfg_DAYS_M)</f>
        <v/>
      </c>
      <c r="Y90" s="86" t="str">
        <f aca="false">IF($B90="","",الموظفون!$O90*(cfg_EOS_R1*(MIN(AC90,cfg_EOS_TH)-MIN(AD90,cfg_EOS_TH))+cfg_EOS_R2*(MAX(AC90-cfg_EOS_TH,0)-MAX(AD90-cfg_EOS_TH,0))))</f>
        <v/>
      </c>
      <c r="Z90" s="86" t="str">
        <f aca="false">IF($B90="","",IF(الموظفون!$R90&lt;&gt;"",الموظفون!$R90,IF(AC90&gt;=cfg_LV_TH,cfg_LV_D2,cfg_LV_D1))/cfg_DAYS_Y*AE90*الموظفون!$P90/cfg_DAYS_M)</f>
        <v/>
      </c>
      <c r="AA90" s="86" t="str">
        <f aca="false">IF($B90="","",IF(AND(الموظفون!$S90="نعم",N(الموظفون!$U90)&gt;0),الموظفون!$T90/الموظفون!$U90*12/cfg_DAYS_Y*AE90,0))</f>
        <v/>
      </c>
      <c r="AB90" s="108" t="str">
        <f aca="false">IF($B90="","",R90+SUM(X90:AA90))</f>
        <v/>
      </c>
      <c r="AC90" s="109" t="str">
        <f aca="false">IF($B90="","",MAX(0,IF(OR(الموظفون!$X90="",الموظفون!$X90&gt;$G$3),$G$3,الموظفون!$X90)-الموظفون!$H90+1)/cfg_DAYS_Y)</f>
        <v/>
      </c>
      <c r="AD90" s="109" t="str">
        <f aca="false">IF($B90="","",MAX(0,IF(OR(الموظفون!$X90="",الموظفون!$X90&gt;($E$3-1)),($E$3-1),الموظفون!$X90)-الموظفون!$H90+1)/cfg_DAYS_Y)</f>
        <v/>
      </c>
      <c r="AE90" s="51" t="str">
        <f aca="false">IF($B90="","",MAX(0,IF(OR(الموظفون!$X90="",الموظفون!$X90&gt;$G$3),$G$3,الموظفون!$X90)-MAX($E$3,الموظفون!$H90)+1))</f>
        <v/>
      </c>
    </row>
    <row r="91" customFormat="false" ht="15" hidden="false" customHeight="false" outlineLevel="0" collapsed="false">
      <c r="A91" s="89" t="str">
        <f aca="false">IF($B91="","",الموظفون!$A91)</f>
        <v/>
      </c>
      <c r="B91" s="91" t="str">
        <f aca="false">IF(الموظفون!$B91="","",الموظفون!$B91)</f>
        <v/>
      </c>
      <c r="C91" s="91" t="str">
        <f aca="false">IF($B91="","",الموظفون!$C91)</f>
        <v/>
      </c>
      <c r="D91" s="91" t="str">
        <f aca="false">IF($B91="","",الموظفون!$F91)</f>
        <v/>
      </c>
      <c r="E91" s="91" t="str">
        <f aca="false">IF($B91="","",الموظفون!$E91)</f>
        <v/>
      </c>
      <c r="F91" s="110" t="str">
        <f aca="false">IF($B91="","",IF(AE91&gt;=DAY($G$3),cfg_DAYS_M,MIN(AE91,cfg_DAYS_M)))</f>
        <v/>
      </c>
      <c r="G91" s="110" t="str">
        <f aca="false">IF($B91="","",SUMIFS('الحركات الشهرية'!$D$6:$D$1005,'الحركات الشهرية'!$B$6:$B$1005,$B91,'الحركات الشهرية'!$A$6:$A$1005,$C$3))</f>
        <v/>
      </c>
      <c r="H91" s="110" t="str">
        <f aca="false">IF($B91="","",SUMIFS('الحركات الشهرية'!$E$6:$E$1005,'الحركات الشهرية'!$B$6:$B$1005,$B91,'الحركات الشهرية'!$A$6:$A$1005,$C$3))</f>
        <v/>
      </c>
      <c r="I91" s="110" t="str">
        <f aca="false">IF($B91="","",MAX(0,F91-G91-H91))</f>
        <v/>
      </c>
      <c r="J91" s="90" t="str">
        <f aca="false">IF($B91="","",الموظفون!$J91*$I91/cfg_DAYS_M)</f>
        <v/>
      </c>
      <c r="K91" s="90" t="str">
        <f aca="false">IF($B91="","",الموظفون!$K91*$I91/cfg_DAYS_M)</f>
        <v/>
      </c>
      <c r="L91" s="90" t="str">
        <f aca="false">IF($B91="","",الموظفون!$L91*$I91/cfg_DAYS_M)</f>
        <v/>
      </c>
      <c r="M91" s="90" t="str">
        <f aca="false">IF($B91="","",الموظفون!$M91*$I91/cfg_DAYS_M)</f>
        <v/>
      </c>
      <c r="N91" s="110" t="str">
        <f aca="false">IF($B91="","",SUMIFS('الحركات الشهرية'!$F$6:$F$1005,'الحركات الشهرية'!$B$6:$B$1005,$B91,'الحركات الشهرية'!$A$6:$A$1005,$C$3))</f>
        <v/>
      </c>
      <c r="O91" s="90" t="str">
        <f aca="false">IF($B91="","",N91*(الموظفون!$N91+الموظفون!$J91*cfg_OT_P)/cfg_DAYS_M/cfg_HRS)</f>
        <v/>
      </c>
      <c r="P91" s="90" t="str">
        <f aca="false">IF($B91="","",SUMIFS('الحركات الشهرية'!$G$6:$G$1005,'الحركات الشهرية'!$B$6:$B$1005,$B91,'الحركات الشهرية'!$A$6:$A$1005,$C$3))</f>
        <v/>
      </c>
      <c r="Q91" s="90" t="str">
        <f aca="false">IF($B91="","",SUMIFS('الحركات الشهرية'!$H$6:$H$1005,'الحركات الشهرية'!$B$6:$B$1005,$B91,'الحركات الشهرية'!$A$6:$A$1005,$C$3))</f>
        <v/>
      </c>
      <c r="R91" s="111" t="str">
        <f aca="false">IF($B91="","",SUM(J91:M91)+SUM(O91:Q91))</f>
        <v/>
      </c>
      <c r="S91" s="90" t="str">
        <f aca="false">IF($B91="","",الموظفون!$Q91*IF(E91="سعودي",cfg_G_SE,cfg_G_NE)*F91/cfg_DAYS_M)</f>
        <v/>
      </c>
      <c r="T91" s="90" t="str">
        <f aca="false">IF($B91="","",SUMIFS('الحركات الشهرية'!$I$6:$I$1005,'الحركات الشهرية'!$B$6:$B$1005,$B91,'الحركات الشهرية'!$A$6:$A$1005,$C$3))</f>
        <v/>
      </c>
      <c r="U91" s="90" t="str">
        <f aca="false">IF($B91="","",SUMIFS('الحركات الشهرية'!$J$6:$J$1005,'الحركات الشهرية'!$B$6:$B$1005,$B91,'الحركات الشهرية'!$A$6:$A$1005,$C$3))</f>
        <v/>
      </c>
      <c r="V91" s="90" t="str">
        <f aca="false">IF($B91="","",SUM(S91:U91))</f>
        <v/>
      </c>
      <c r="W91" s="112" t="str">
        <f aca="false">IF($B91="","",R91-V91)</f>
        <v/>
      </c>
      <c r="X91" s="90" t="str">
        <f aca="false">IF($B91="","",الموظفون!$Q91*IF(E91="سعودي",cfg_G_SR,cfg_G_NR)*F91/cfg_DAYS_M)</f>
        <v/>
      </c>
      <c r="Y91" s="90" t="str">
        <f aca="false">IF($B91="","",الموظفون!$O91*(cfg_EOS_R1*(MIN(AC91,cfg_EOS_TH)-MIN(AD91,cfg_EOS_TH))+cfg_EOS_R2*(MAX(AC91-cfg_EOS_TH,0)-MAX(AD91-cfg_EOS_TH,0))))</f>
        <v/>
      </c>
      <c r="Z91" s="90" t="str">
        <f aca="false">IF($B91="","",IF(الموظفون!$R91&lt;&gt;"",الموظفون!$R91,IF(AC91&gt;=cfg_LV_TH,cfg_LV_D2,cfg_LV_D1))/cfg_DAYS_Y*AE91*الموظفون!$P91/cfg_DAYS_M)</f>
        <v/>
      </c>
      <c r="AA91" s="90" t="str">
        <f aca="false">IF($B91="","",IF(AND(الموظفون!$S91="نعم",N(الموظفون!$U91)&gt;0),الموظفون!$T91/الموظفون!$U91*12/cfg_DAYS_Y*AE91,0))</f>
        <v/>
      </c>
      <c r="AB91" s="113" t="str">
        <f aca="false">IF($B91="","",R91+SUM(X91:AA91))</f>
        <v/>
      </c>
      <c r="AC91" s="114" t="str">
        <f aca="false">IF($B91="","",MAX(0,IF(OR(الموظفون!$X91="",الموظفون!$X91&gt;$G$3),$G$3,الموظفون!$X91)-الموظفون!$H91+1)/cfg_DAYS_Y)</f>
        <v/>
      </c>
      <c r="AD91" s="114" t="str">
        <f aca="false">IF($B91="","",MAX(0,IF(OR(الموظفون!$X91="",الموظفون!$X91&gt;($E$3-1)),($E$3-1),الموظفون!$X91)-الموظفون!$H91+1)/cfg_DAYS_Y)</f>
        <v/>
      </c>
      <c r="AE91" s="115" t="str">
        <f aca="false">IF($B91="","",MAX(0,IF(OR(الموظفون!$X91="",الموظفون!$X91&gt;$G$3),$G$3,الموظفون!$X91)-MAX($E$3,الموظفون!$H91)+1))</f>
        <v/>
      </c>
    </row>
    <row r="92" customFormat="false" ht="15" hidden="false" customHeight="false" outlineLevel="0" collapsed="false">
      <c r="A92" s="83" t="str">
        <f aca="false">IF($B92="","",الموظفون!$A92)</f>
        <v/>
      </c>
      <c r="B92" s="74" t="str">
        <f aca="false">IF(الموظفون!$B92="","",الموظفون!$B92)</f>
        <v/>
      </c>
      <c r="C92" s="74" t="str">
        <f aca="false">IF($B92="","",الموظفون!$C92)</f>
        <v/>
      </c>
      <c r="D92" s="74" t="str">
        <f aca="false">IF($B92="","",الموظفون!$F92)</f>
        <v/>
      </c>
      <c r="E92" s="74" t="str">
        <f aca="false">IF($B92="","",الموظفون!$E92)</f>
        <v/>
      </c>
      <c r="F92" s="105" t="str">
        <f aca="false">IF($B92="","",IF(AE92&gt;=DAY($G$3),cfg_DAYS_M,MIN(AE92,cfg_DAYS_M)))</f>
        <v/>
      </c>
      <c r="G92" s="105" t="str">
        <f aca="false">IF($B92="","",SUMIFS('الحركات الشهرية'!$D$6:$D$1005,'الحركات الشهرية'!$B$6:$B$1005,$B92,'الحركات الشهرية'!$A$6:$A$1005,$C$3))</f>
        <v/>
      </c>
      <c r="H92" s="105" t="str">
        <f aca="false">IF($B92="","",SUMIFS('الحركات الشهرية'!$E$6:$E$1005,'الحركات الشهرية'!$B$6:$B$1005,$B92,'الحركات الشهرية'!$A$6:$A$1005,$C$3))</f>
        <v/>
      </c>
      <c r="I92" s="105" t="str">
        <f aca="false">IF($B92="","",MAX(0,F92-G92-H92))</f>
        <v/>
      </c>
      <c r="J92" s="86" t="str">
        <f aca="false">IF($B92="","",الموظفون!$J92*$I92/cfg_DAYS_M)</f>
        <v/>
      </c>
      <c r="K92" s="86" t="str">
        <f aca="false">IF($B92="","",الموظفون!$K92*$I92/cfg_DAYS_M)</f>
        <v/>
      </c>
      <c r="L92" s="86" t="str">
        <f aca="false">IF($B92="","",الموظفون!$L92*$I92/cfg_DAYS_M)</f>
        <v/>
      </c>
      <c r="M92" s="86" t="str">
        <f aca="false">IF($B92="","",الموظفون!$M92*$I92/cfg_DAYS_M)</f>
        <v/>
      </c>
      <c r="N92" s="105" t="str">
        <f aca="false">IF($B92="","",SUMIFS('الحركات الشهرية'!$F$6:$F$1005,'الحركات الشهرية'!$B$6:$B$1005,$B92,'الحركات الشهرية'!$A$6:$A$1005,$C$3))</f>
        <v/>
      </c>
      <c r="O92" s="86" t="str">
        <f aca="false">IF($B92="","",N92*(الموظفون!$N92+الموظفون!$J92*cfg_OT_P)/cfg_DAYS_M/cfg_HRS)</f>
        <v/>
      </c>
      <c r="P92" s="86" t="str">
        <f aca="false">IF($B92="","",SUMIFS('الحركات الشهرية'!$G$6:$G$1005,'الحركات الشهرية'!$B$6:$B$1005,$B92,'الحركات الشهرية'!$A$6:$A$1005,$C$3))</f>
        <v/>
      </c>
      <c r="Q92" s="86" t="str">
        <f aca="false">IF($B92="","",SUMIFS('الحركات الشهرية'!$H$6:$H$1005,'الحركات الشهرية'!$B$6:$B$1005,$B92,'الحركات الشهرية'!$A$6:$A$1005,$C$3))</f>
        <v/>
      </c>
      <c r="R92" s="106" t="str">
        <f aca="false">IF($B92="","",SUM(J92:M92)+SUM(O92:Q92))</f>
        <v/>
      </c>
      <c r="S92" s="86" t="str">
        <f aca="false">IF($B92="","",الموظفون!$Q92*IF(E92="سعودي",cfg_G_SE,cfg_G_NE)*F92/cfg_DAYS_M)</f>
        <v/>
      </c>
      <c r="T92" s="86" t="str">
        <f aca="false">IF($B92="","",SUMIFS('الحركات الشهرية'!$I$6:$I$1005,'الحركات الشهرية'!$B$6:$B$1005,$B92,'الحركات الشهرية'!$A$6:$A$1005,$C$3))</f>
        <v/>
      </c>
      <c r="U92" s="86" t="str">
        <f aca="false">IF($B92="","",SUMIFS('الحركات الشهرية'!$J$6:$J$1005,'الحركات الشهرية'!$B$6:$B$1005,$B92,'الحركات الشهرية'!$A$6:$A$1005,$C$3))</f>
        <v/>
      </c>
      <c r="V92" s="86" t="str">
        <f aca="false">IF($B92="","",SUM(S92:U92))</f>
        <v/>
      </c>
      <c r="W92" s="107" t="str">
        <f aca="false">IF($B92="","",R92-V92)</f>
        <v/>
      </c>
      <c r="X92" s="86" t="str">
        <f aca="false">IF($B92="","",الموظفون!$Q92*IF(E92="سعودي",cfg_G_SR,cfg_G_NR)*F92/cfg_DAYS_M)</f>
        <v/>
      </c>
      <c r="Y92" s="86" t="str">
        <f aca="false">IF($B92="","",الموظفون!$O92*(cfg_EOS_R1*(MIN(AC92,cfg_EOS_TH)-MIN(AD92,cfg_EOS_TH))+cfg_EOS_R2*(MAX(AC92-cfg_EOS_TH,0)-MAX(AD92-cfg_EOS_TH,0))))</f>
        <v/>
      </c>
      <c r="Z92" s="86" t="str">
        <f aca="false">IF($B92="","",IF(الموظفون!$R92&lt;&gt;"",الموظفون!$R92,IF(AC92&gt;=cfg_LV_TH,cfg_LV_D2,cfg_LV_D1))/cfg_DAYS_Y*AE92*الموظفون!$P92/cfg_DAYS_M)</f>
        <v/>
      </c>
      <c r="AA92" s="86" t="str">
        <f aca="false">IF($B92="","",IF(AND(الموظفون!$S92="نعم",N(الموظفون!$U92)&gt;0),الموظفون!$T92/الموظفون!$U92*12/cfg_DAYS_Y*AE92,0))</f>
        <v/>
      </c>
      <c r="AB92" s="108" t="str">
        <f aca="false">IF($B92="","",R92+SUM(X92:AA92))</f>
        <v/>
      </c>
      <c r="AC92" s="109" t="str">
        <f aca="false">IF($B92="","",MAX(0,IF(OR(الموظفون!$X92="",الموظفون!$X92&gt;$G$3),$G$3,الموظفون!$X92)-الموظفون!$H92+1)/cfg_DAYS_Y)</f>
        <v/>
      </c>
      <c r="AD92" s="109" t="str">
        <f aca="false">IF($B92="","",MAX(0,IF(OR(الموظفون!$X92="",الموظفون!$X92&gt;($E$3-1)),($E$3-1),الموظفون!$X92)-الموظفون!$H92+1)/cfg_DAYS_Y)</f>
        <v/>
      </c>
      <c r="AE92" s="51" t="str">
        <f aca="false">IF($B92="","",MAX(0,IF(OR(الموظفون!$X92="",الموظفون!$X92&gt;$G$3),$G$3,الموظفون!$X92)-MAX($E$3,الموظفون!$H92)+1))</f>
        <v/>
      </c>
    </row>
    <row r="93" customFormat="false" ht="15" hidden="false" customHeight="false" outlineLevel="0" collapsed="false">
      <c r="A93" s="89" t="str">
        <f aca="false">IF($B93="","",الموظفون!$A93)</f>
        <v/>
      </c>
      <c r="B93" s="91" t="str">
        <f aca="false">IF(الموظفون!$B93="","",الموظفون!$B93)</f>
        <v/>
      </c>
      <c r="C93" s="91" t="str">
        <f aca="false">IF($B93="","",الموظفون!$C93)</f>
        <v/>
      </c>
      <c r="D93" s="91" t="str">
        <f aca="false">IF($B93="","",الموظفون!$F93)</f>
        <v/>
      </c>
      <c r="E93" s="91" t="str">
        <f aca="false">IF($B93="","",الموظفون!$E93)</f>
        <v/>
      </c>
      <c r="F93" s="110" t="str">
        <f aca="false">IF($B93="","",IF(AE93&gt;=DAY($G$3),cfg_DAYS_M,MIN(AE93,cfg_DAYS_M)))</f>
        <v/>
      </c>
      <c r="G93" s="110" t="str">
        <f aca="false">IF($B93="","",SUMIFS('الحركات الشهرية'!$D$6:$D$1005,'الحركات الشهرية'!$B$6:$B$1005,$B93,'الحركات الشهرية'!$A$6:$A$1005,$C$3))</f>
        <v/>
      </c>
      <c r="H93" s="110" t="str">
        <f aca="false">IF($B93="","",SUMIFS('الحركات الشهرية'!$E$6:$E$1005,'الحركات الشهرية'!$B$6:$B$1005,$B93,'الحركات الشهرية'!$A$6:$A$1005,$C$3))</f>
        <v/>
      </c>
      <c r="I93" s="110" t="str">
        <f aca="false">IF($B93="","",MAX(0,F93-G93-H93))</f>
        <v/>
      </c>
      <c r="J93" s="90" t="str">
        <f aca="false">IF($B93="","",الموظفون!$J93*$I93/cfg_DAYS_M)</f>
        <v/>
      </c>
      <c r="K93" s="90" t="str">
        <f aca="false">IF($B93="","",الموظفون!$K93*$I93/cfg_DAYS_M)</f>
        <v/>
      </c>
      <c r="L93" s="90" t="str">
        <f aca="false">IF($B93="","",الموظفون!$L93*$I93/cfg_DAYS_M)</f>
        <v/>
      </c>
      <c r="M93" s="90" t="str">
        <f aca="false">IF($B93="","",الموظفون!$M93*$I93/cfg_DAYS_M)</f>
        <v/>
      </c>
      <c r="N93" s="110" t="str">
        <f aca="false">IF($B93="","",SUMIFS('الحركات الشهرية'!$F$6:$F$1005,'الحركات الشهرية'!$B$6:$B$1005,$B93,'الحركات الشهرية'!$A$6:$A$1005,$C$3))</f>
        <v/>
      </c>
      <c r="O93" s="90" t="str">
        <f aca="false">IF($B93="","",N93*(الموظفون!$N93+الموظفون!$J93*cfg_OT_P)/cfg_DAYS_M/cfg_HRS)</f>
        <v/>
      </c>
      <c r="P93" s="90" t="str">
        <f aca="false">IF($B93="","",SUMIFS('الحركات الشهرية'!$G$6:$G$1005,'الحركات الشهرية'!$B$6:$B$1005,$B93,'الحركات الشهرية'!$A$6:$A$1005,$C$3))</f>
        <v/>
      </c>
      <c r="Q93" s="90" t="str">
        <f aca="false">IF($B93="","",SUMIFS('الحركات الشهرية'!$H$6:$H$1005,'الحركات الشهرية'!$B$6:$B$1005,$B93,'الحركات الشهرية'!$A$6:$A$1005,$C$3))</f>
        <v/>
      </c>
      <c r="R93" s="111" t="str">
        <f aca="false">IF($B93="","",SUM(J93:M93)+SUM(O93:Q93))</f>
        <v/>
      </c>
      <c r="S93" s="90" t="str">
        <f aca="false">IF($B93="","",الموظفون!$Q93*IF(E93="سعودي",cfg_G_SE,cfg_G_NE)*F93/cfg_DAYS_M)</f>
        <v/>
      </c>
      <c r="T93" s="90" t="str">
        <f aca="false">IF($B93="","",SUMIFS('الحركات الشهرية'!$I$6:$I$1005,'الحركات الشهرية'!$B$6:$B$1005,$B93,'الحركات الشهرية'!$A$6:$A$1005,$C$3))</f>
        <v/>
      </c>
      <c r="U93" s="90" t="str">
        <f aca="false">IF($B93="","",SUMIFS('الحركات الشهرية'!$J$6:$J$1005,'الحركات الشهرية'!$B$6:$B$1005,$B93,'الحركات الشهرية'!$A$6:$A$1005,$C$3))</f>
        <v/>
      </c>
      <c r="V93" s="90" t="str">
        <f aca="false">IF($B93="","",SUM(S93:U93))</f>
        <v/>
      </c>
      <c r="W93" s="112" t="str">
        <f aca="false">IF($B93="","",R93-V93)</f>
        <v/>
      </c>
      <c r="X93" s="90" t="str">
        <f aca="false">IF($B93="","",الموظفون!$Q93*IF(E93="سعودي",cfg_G_SR,cfg_G_NR)*F93/cfg_DAYS_M)</f>
        <v/>
      </c>
      <c r="Y93" s="90" t="str">
        <f aca="false">IF($B93="","",الموظفون!$O93*(cfg_EOS_R1*(MIN(AC93,cfg_EOS_TH)-MIN(AD93,cfg_EOS_TH))+cfg_EOS_R2*(MAX(AC93-cfg_EOS_TH,0)-MAX(AD93-cfg_EOS_TH,0))))</f>
        <v/>
      </c>
      <c r="Z93" s="90" t="str">
        <f aca="false">IF($B93="","",IF(الموظفون!$R93&lt;&gt;"",الموظفون!$R93,IF(AC93&gt;=cfg_LV_TH,cfg_LV_D2,cfg_LV_D1))/cfg_DAYS_Y*AE93*الموظفون!$P93/cfg_DAYS_M)</f>
        <v/>
      </c>
      <c r="AA93" s="90" t="str">
        <f aca="false">IF($B93="","",IF(AND(الموظفون!$S93="نعم",N(الموظفون!$U93)&gt;0),الموظفون!$T93/الموظفون!$U93*12/cfg_DAYS_Y*AE93,0))</f>
        <v/>
      </c>
      <c r="AB93" s="113" t="str">
        <f aca="false">IF($B93="","",R93+SUM(X93:AA93))</f>
        <v/>
      </c>
      <c r="AC93" s="114" t="str">
        <f aca="false">IF($B93="","",MAX(0,IF(OR(الموظفون!$X93="",الموظفون!$X93&gt;$G$3),$G$3,الموظفون!$X93)-الموظفون!$H93+1)/cfg_DAYS_Y)</f>
        <v/>
      </c>
      <c r="AD93" s="114" t="str">
        <f aca="false">IF($B93="","",MAX(0,IF(OR(الموظفون!$X93="",الموظفون!$X93&gt;($E$3-1)),($E$3-1),الموظفون!$X93)-الموظفون!$H93+1)/cfg_DAYS_Y)</f>
        <v/>
      </c>
      <c r="AE93" s="115" t="str">
        <f aca="false">IF($B93="","",MAX(0,IF(OR(الموظفون!$X93="",الموظفون!$X93&gt;$G$3),$G$3,الموظفون!$X93)-MAX($E$3,الموظفون!$H93)+1))</f>
        <v/>
      </c>
    </row>
    <row r="94" customFormat="false" ht="15" hidden="false" customHeight="false" outlineLevel="0" collapsed="false">
      <c r="A94" s="83" t="str">
        <f aca="false">IF($B94="","",الموظفون!$A94)</f>
        <v/>
      </c>
      <c r="B94" s="74" t="str">
        <f aca="false">IF(الموظفون!$B94="","",الموظفون!$B94)</f>
        <v/>
      </c>
      <c r="C94" s="74" t="str">
        <f aca="false">IF($B94="","",الموظفون!$C94)</f>
        <v/>
      </c>
      <c r="D94" s="74" t="str">
        <f aca="false">IF($B94="","",الموظفون!$F94)</f>
        <v/>
      </c>
      <c r="E94" s="74" t="str">
        <f aca="false">IF($B94="","",الموظفون!$E94)</f>
        <v/>
      </c>
      <c r="F94" s="105" t="str">
        <f aca="false">IF($B94="","",IF(AE94&gt;=DAY($G$3),cfg_DAYS_M,MIN(AE94,cfg_DAYS_M)))</f>
        <v/>
      </c>
      <c r="G94" s="105" t="str">
        <f aca="false">IF($B94="","",SUMIFS('الحركات الشهرية'!$D$6:$D$1005,'الحركات الشهرية'!$B$6:$B$1005,$B94,'الحركات الشهرية'!$A$6:$A$1005,$C$3))</f>
        <v/>
      </c>
      <c r="H94" s="105" t="str">
        <f aca="false">IF($B94="","",SUMIFS('الحركات الشهرية'!$E$6:$E$1005,'الحركات الشهرية'!$B$6:$B$1005,$B94,'الحركات الشهرية'!$A$6:$A$1005,$C$3))</f>
        <v/>
      </c>
      <c r="I94" s="105" t="str">
        <f aca="false">IF($B94="","",MAX(0,F94-G94-H94))</f>
        <v/>
      </c>
      <c r="J94" s="86" t="str">
        <f aca="false">IF($B94="","",الموظفون!$J94*$I94/cfg_DAYS_M)</f>
        <v/>
      </c>
      <c r="K94" s="86" t="str">
        <f aca="false">IF($B94="","",الموظفون!$K94*$I94/cfg_DAYS_M)</f>
        <v/>
      </c>
      <c r="L94" s="86" t="str">
        <f aca="false">IF($B94="","",الموظفون!$L94*$I94/cfg_DAYS_M)</f>
        <v/>
      </c>
      <c r="M94" s="86" t="str">
        <f aca="false">IF($B94="","",الموظفون!$M94*$I94/cfg_DAYS_M)</f>
        <v/>
      </c>
      <c r="N94" s="105" t="str">
        <f aca="false">IF($B94="","",SUMIFS('الحركات الشهرية'!$F$6:$F$1005,'الحركات الشهرية'!$B$6:$B$1005,$B94,'الحركات الشهرية'!$A$6:$A$1005,$C$3))</f>
        <v/>
      </c>
      <c r="O94" s="86" t="str">
        <f aca="false">IF($B94="","",N94*(الموظفون!$N94+الموظفون!$J94*cfg_OT_P)/cfg_DAYS_M/cfg_HRS)</f>
        <v/>
      </c>
      <c r="P94" s="86" t="str">
        <f aca="false">IF($B94="","",SUMIFS('الحركات الشهرية'!$G$6:$G$1005,'الحركات الشهرية'!$B$6:$B$1005,$B94,'الحركات الشهرية'!$A$6:$A$1005,$C$3))</f>
        <v/>
      </c>
      <c r="Q94" s="86" t="str">
        <f aca="false">IF($B94="","",SUMIFS('الحركات الشهرية'!$H$6:$H$1005,'الحركات الشهرية'!$B$6:$B$1005,$B94,'الحركات الشهرية'!$A$6:$A$1005,$C$3))</f>
        <v/>
      </c>
      <c r="R94" s="106" t="str">
        <f aca="false">IF($B94="","",SUM(J94:M94)+SUM(O94:Q94))</f>
        <v/>
      </c>
      <c r="S94" s="86" t="str">
        <f aca="false">IF($B94="","",الموظفون!$Q94*IF(E94="سعودي",cfg_G_SE,cfg_G_NE)*F94/cfg_DAYS_M)</f>
        <v/>
      </c>
      <c r="T94" s="86" t="str">
        <f aca="false">IF($B94="","",SUMIFS('الحركات الشهرية'!$I$6:$I$1005,'الحركات الشهرية'!$B$6:$B$1005,$B94,'الحركات الشهرية'!$A$6:$A$1005,$C$3))</f>
        <v/>
      </c>
      <c r="U94" s="86" t="str">
        <f aca="false">IF($B94="","",SUMIFS('الحركات الشهرية'!$J$6:$J$1005,'الحركات الشهرية'!$B$6:$B$1005,$B94,'الحركات الشهرية'!$A$6:$A$1005,$C$3))</f>
        <v/>
      </c>
      <c r="V94" s="86" t="str">
        <f aca="false">IF($B94="","",SUM(S94:U94))</f>
        <v/>
      </c>
      <c r="W94" s="107" t="str">
        <f aca="false">IF($B94="","",R94-V94)</f>
        <v/>
      </c>
      <c r="X94" s="86" t="str">
        <f aca="false">IF($B94="","",الموظفون!$Q94*IF(E94="سعودي",cfg_G_SR,cfg_G_NR)*F94/cfg_DAYS_M)</f>
        <v/>
      </c>
      <c r="Y94" s="86" t="str">
        <f aca="false">IF($B94="","",الموظفون!$O94*(cfg_EOS_R1*(MIN(AC94,cfg_EOS_TH)-MIN(AD94,cfg_EOS_TH))+cfg_EOS_R2*(MAX(AC94-cfg_EOS_TH,0)-MAX(AD94-cfg_EOS_TH,0))))</f>
        <v/>
      </c>
      <c r="Z94" s="86" t="str">
        <f aca="false">IF($B94="","",IF(الموظفون!$R94&lt;&gt;"",الموظفون!$R94,IF(AC94&gt;=cfg_LV_TH,cfg_LV_D2,cfg_LV_D1))/cfg_DAYS_Y*AE94*الموظفون!$P94/cfg_DAYS_M)</f>
        <v/>
      </c>
      <c r="AA94" s="86" t="str">
        <f aca="false">IF($B94="","",IF(AND(الموظفون!$S94="نعم",N(الموظفون!$U94)&gt;0),الموظفون!$T94/الموظفون!$U94*12/cfg_DAYS_Y*AE94,0))</f>
        <v/>
      </c>
      <c r="AB94" s="108" t="str">
        <f aca="false">IF($B94="","",R94+SUM(X94:AA94))</f>
        <v/>
      </c>
      <c r="AC94" s="109" t="str">
        <f aca="false">IF($B94="","",MAX(0,IF(OR(الموظفون!$X94="",الموظفون!$X94&gt;$G$3),$G$3,الموظفون!$X94)-الموظفون!$H94+1)/cfg_DAYS_Y)</f>
        <v/>
      </c>
      <c r="AD94" s="109" t="str">
        <f aca="false">IF($B94="","",MAX(0,IF(OR(الموظفون!$X94="",الموظفون!$X94&gt;($E$3-1)),($E$3-1),الموظفون!$X94)-الموظفون!$H94+1)/cfg_DAYS_Y)</f>
        <v/>
      </c>
      <c r="AE94" s="51" t="str">
        <f aca="false">IF($B94="","",MAX(0,IF(OR(الموظفون!$X94="",الموظفون!$X94&gt;$G$3),$G$3,الموظفون!$X94)-MAX($E$3,الموظفون!$H94)+1))</f>
        <v/>
      </c>
    </row>
    <row r="95" customFormat="false" ht="15" hidden="false" customHeight="false" outlineLevel="0" collapsed="false">
      <c r="A95" s="89" t="str">
        <f aca="false">IF($B95="","",الموظفون!$A95)</f>
        <v/>
      </c>
      <c r="B95" s="91" t="str">
        <f aca="false">IF(الموظفون!$B95="","",الموظفون!$B95)</f>
        <v/>
      </c>
      <c r="C95" s="91" t="str">
        <f aca="false">IF($B95="","",الموظفون!$C95)</f>
        <v/>
      </c>
      <c r="D95" s="91" t="str">
        <f aca="false">IF($B95="","",الموظفون!$F95)</f>
        <v/>
      </c>
      <c r="E95" s="91" t="str">
        <f aca="false">IF($B95="","",الموظفون!$E95)</f>
        <v/>
      </c>
      <c r="F95" s="110" t="str">
        <f aca="false">IF($B95="","",IF(AE95&gt;=DAY($G$3),cfg_DAYS_M,MIN(AE95,cfg_DAYS_M)))</f>
        <v/>
      </c>
      <c r="G95" s="110" t="str">
        <f aca="false">IF($B95="","",SUMIFS('الحركات الشهرية'!$D$6:$D$1005,'الحركات الشهرية'!$B$6:$B$1005,$B95,'الحركات الشهرية'!$A$6:$A$1005,$C$3))</f>
        <v/>
      </c>
      <c r="H95" s="110" t="str">
        <f aca="false">IF($B95="","",SUMIFS('الحركات الشهرية'!$E$6:$E$1005,'الحركات الشهرية'!$B$6:$B$1005,$B95,'الحركات الشهرية'!$A$6:$A$1005,$C$3))</f>
        <v/>
      </c>
      <c r="I95" s="110" t="str">
        <f aca="false">IF($B95="","",MAX(0,F95-G95-H95))</f>
        <v/>
      </c>
      <c r="J95" s="90" t="str">
        <f aca="false">IF($B95="","",الموظفون!$J95*$I95/cfg_DAYS_M)</f>
        <v/>
      </c>
      <c r="K95" s="90" t="str">
        <f aca="false">IF($B95="","",الموظفون!$K95*$I95/cfg_DAYS_M)</f>
        <v/>
      </c>
      <c r="L95" s="90" t="str">
        <f aca="false">IF($B95="","",الموظفون!$L95*$I95/cfg_DAYS_M)</f>
        <v/>
      </c>
      <c r="M95" s="90" t="str">
        <f aca="false">IF($B95="","",الموظفون!$M95*$I95/cfg_DAYS_M)</f>
        <v/>
      </c>
      <c r="N95" s="110" t="str">
        <f aca="false">IF($B95="","",SUMIFS('الحركات الشهرية'!$F$6:$F$1005,'الحركات الشهرية'!$B$6:$B$1005,$B95,'الحركات الشهرية'!$A$6:$A$1005,$C$3))</f>
        <v/>
      </c>
      <c r="O95" s="90" t="str">
        <f aca="false">IF($B95="","",N95*(الموظفون!$N95+الموظفون!$J95*cfg_OT_P)/cfg_DAYS_M/cfg_HRS)</f>
        <v/>
      </c>
      <c r="P95" s="90" t="str">
        <f aca="false">IF($B95="","",SUMIFS('الحركات الشهرية'!$G$6:$G$1005,'الحركات الشهرية'!$B$6:$B$1005,$B95,'الحركات الشهرية'!$A$6:$A$1005,$C$3))</f>
        <v/>
      </c>
      <c r="Q95" s="90" t="str">
        <f aca="false">IF($B95="","",SUMIFS('الحركات الشهرية'!$H$6:$H$1005,'الحركات الشهرية'!$B$6:$B$1005,$B95,'الحركات الشهرية'!$A$6:$A$1005,$C$3))</f>
        <v/>
      </c>
      <c r="R95" s="111" t="str">
        <f aca="false">IF($B95="","",SUM(J95:M95)+SUM(O95:Q95))</f>
        <v/>
      </c>
      <c r="S95" s="90" t="str">
        <f aca="false">IF($B95="","",الموظفون!$Q95*IF(E95="سعودي",cfg_G_SE,cfg_G_NE)*F95/cfg_DAYS_M)</f>
        <v/>
      </c>
      <c r="T95" s="90" t="str">
        <f aca="false">IF($B95="","",SUMIFS('الحركات الشهرية'!$I$6:$I$1005,'الحركات الشهرية'!$B$6:$B$1005,$B95,'الحركات الشهرية'!$A$6:$A$1005,$C$3))</f>
        <v/>
      </c>
      <c r="U95" s="90" t="str">
        <f aca="false">IF($B95="","",SUMIFS('الحركات الشهرية'!$J$6:$J$1005,'الحركات الشهرية'!$B$6:$B$1005,$B95,'الحركات الشهرية'!$A$6:$A$1005,$C$3))</f>
        <v/>
      </c>
      <c r="V95" s="90" t="str">
        <f aca="false">IF($B95="","",SUM(S95:U95))</f>
        <v/>
      </c>
      <c r="W95" s="112" t="str">
        <f aca="false">IF($B95="","",R95-V95)</f>
        <v/>
      </c>
      <c r="X95" s="90" t="str">
        <f aca="false">IF($B95="","",الموظفون!$Q95*IF(E95="سعودي",cfg_G_SR,cfg_G_NR)*F95/cfg_DAYS_M)</f>
        <v/>
      </c>
      <c r="Y95" s="90" t="str">
        <f aca="false">IF($B95="","",الموظفون!$O95*(cfg_EOS_R1*(MIN(AC95,cfg_EOS_TH)-MIN(AD95,cfg_EOS_TH))+cfg_EOS_R2*(MAX(AC95-cfg_EOS_TH,0)-MAX(AD95-cfg_EOS_TH,0))))</f>
        <v/>
      </c>
      <c r="Z95" s="90" t="str">
        <f aca="false">IF($B95="","",IF(الموظفون!$R95&lt;&gt;"",الموظفون!$R95,IF(AC95&gt;=cfg_LV_TH,cfg_LV_D2,cfg_LV_D1))/cfg_DAYS_Y*AE95*الموظفون!$P95/cfg_DAYS_M)</f>
        <v/>
      </c>
      <c r="AA95" s="90" t="str">
        <f aca="false">IF($B95="","",IF(AND(الموظفون!$S95="نعم",N(الموظفون!$U95)&gt;0),الموظفون!$T95/الموظفون!$U95*12/cfg_DAYS_Y*AE95,0))</f>
        <v/>
      </c>
      <c r="AB95" s="113" t="str">
        <f aca="false">IF($B95="","",R95+SUM(X95:AA95))</f>
        <v/>
      </c>
      <c r="AC95" s="114" t="str">
        <f aca="false">IF($B95="","",MAX(0,IF(OR(الموظفون!$X95="",الموظفون!$X95&gt;$G$3),$G$3,الموظفون!$X95)-الموظفون!$H95+1)/cfg_DAYS_Y)</f>
        <v/>
      </c>
      <c r="AD95" s="114" t="str">
        <f aca="false">IF($B95="","",MAX(0,IF(OR(الموظفون!$X95="",الموظفون!$X95&gt;($E$3-1)),($E$3-1),الموظفون!$X95)-الموظفون!$H95+1)/cfg_DAYS_Y)</f>
        <v/>
      </c>
      <c r="AE95" s="115" t="str">
        <f aca="false">IF($B95="","",MAX(0,IF(OR(الموظفون!$X95="",الموظفون!$X95&gt;$G$3),$G$3,الموظفون!$X95)-MAX($E$3,الموظفون!$H95)+1))</f>
        <v/>
      </c>
    </row>
    <row r="96" customFormat="false" ht="15" hidden="false" customHeight="false" outlineLevel="0" collapsed="false">
      <c r="A96" s="83" t="str">
        <f aca="false">IF($B96="","",الموظفون!$A96)</f>
        <v/>
      </c>
      <c r="B96" s="74" t="str">
        <f aca="false">IF(الموظفون!$B96="","",الموظفون!$B96)</f>
        <v/>
      </c>
      <c r="C96" s="74" t="str">
        <f aca="false">IF($B96="","",الموظفون!$C96)</f>
        <v/>
      </c>
      <c r="D96" s="74" t="str">
        <f aca="false">IF($B96="","",الموظفون!$F96)</f>
        <v/>
      </c>
      <c r="E96" s="74" t="str">
        <f aca="false">IF($B96="","",الموظفون!$E96)</f>
        <v/>
      </c>
      <c r="F96" s="105" t="str">
        <f aca="false">IF($B96="","",IF(AE96&gt;=DAY($G$3),cfg_DAYS_M,MIN(AE96,cfg_DAYS_M)))</f>
        <v/>
      </c>
      <c r="G96" s="105" t="str">
        <f aca="false">IF($B96="","",SUMIFS('الحركات الشهرية'!$D$6:$D$1005,'الحركات الشهرية'!$B$6:$B$1005,$B96,'الحركات الشهرية'!$A$6:$A$1005,$C$3))</f>
        <v/>
      </c>
      <c r="H96" s="105" t="str">
        <f aca="false">IF($B96="","",SUMIFS('الحركات الشهرية'!$E$6:$E$1005,'الحركات الشهرية'!$B$6:$B$1005,$B96,'الحركات الشهرية'!$A$6:$A$1005,$C$3))</f>
        <v/>
      </c>
      <c r="I96" s="105" t="str">
        <f aca="false">IF($B96="","",MAX(0,F96-G96-H96))</f>
        <v/>
      </c>
      <c r="J96" s="86" t="str">
        <f aca="false">IF($B96="","",الموظفون!$J96*$I96/cfg_DAYS_M)</f>
        <v/>
      </c>
      <c r="K96" s="86" t="str">
        <f aca="false">IF($B96="","",الموظفون!$K96*$I96/cfg_DAYS_M)</f>
        <v/>
      </c>
      <c r="L96" s="86" t="str">
        <f aca="false">IF($B96="","",الموظفون!$L96*$I96/cfg_DAYS_M)</f>
        <v/>
      </c>
      <c r="M96" s="86" t="str">
        <f aca="false">IF($B96="","",الموظفون!$M96*$I96/cfg_DAYS_M)</f>
        <v/>
      </c>
      <c r="N96" s="105" t="str">
        <f aca="false">IF($B96="","",SUMIFS('الحركات الشهرية'!$F$6:$F$1005,'الحركات الشهرية'!$B$6:$B$1005,$B96,'الحركات الشهرية'!$A$6:$A$1005,$C$3))</f>
        <v/>
      </c>
      <c r="O96" s="86" t="str">
        <f aca="false">IF($B96="","",N96*(الموظفون!$N96+الموظفون!$J96*cfg_OT_P)/cfg_DAYS_M/cfg_HRS)</f>
        <v/>
      </c>
      <c r="P96" s="86" t="str">
        <f aca="false">IF($B96="","",SUMIFS('الحركات الشهرية'!$G$6:$G$1005,'الحركات الشهرية'!$B$6:$B$1005,$B96,'الحركات الشهرية'!$A$6:$A$1005,$C$3))</f>
        <v/>
      </c>
      <c r="Q96" s="86" t="str">
        <f aca="false">IF($B96="","",SUMIFS('الحركات الشهرية'!$H$6:$H$1005,'الحركات الشهرية'!$B$6:$B$1005,$B96,'الحركات الشهرية'!$A$6:$A$1005,$C$3))</f>
        <v/>
      </c>
      <c r="R96" s="106" t="str">
        <f aca="false">IF($B96="","",SUM(J96:M96)+SUM(O96:Q96))</f>
        <v/>
      </c>
      <c r="S96" s="86" t="str">
        <f aca="false">IF($B96="","",الموظفون!$Q96*IF(E96="سعودي",cfg_G_SE,cfg_G_NE)*F96/cfg_DAYS_M)</f>
        <v/>
      </c>
      <c r="T96" s="86" t="str">
        <f aca="false">IF($B96="","",SUMIFS('الحركات الشهرية'!$I$6:$I$1005,'الحركات الشهرية'!$B$6:$B$1005,$B96,'الحركات الشهرية'!$A$6:$A$1005,$C$3))</f>
        <v/>
      </c>
      <c r="U96" s="86" t="str">
        <f aca="false">IF($B96="","",SUMIFS('الحركات الشهرية'!$J$6:$J$1005,'الحركات الشهرية'!$B$6:$B$1005,$B96,'الحركات الشهرية'!$A$6:$A$1005,$C$3))</f>
        <v/>
      </c>
      <c r="V96" s="86" t="str">
        <f aca="false">IF($B96="","",SUM(S96:U96))</f>
        <v/>
      </c>
      <c r="W96" s="107" t="str">
        <f aca="false">IF($B96="","",R96-V96)</f>
        <v/>
      </c>
      <c r="X96" s="86" t="str">
        <f aca="false">IF($B96="","",الموظفون!$Q96*IF(E96="سعودي",cfg_G_SR,cfg_G_NR)*F96/cfg_DAYS_M)</f>
        <v/>
      </c>
      <c r="Y96" s="86" t="str">
        <f aca="false">IF($B96="","",الموظفون!$O96*(cfg_EOS_R1*(MIN(AC96,cfg_EOS_TH)-MIN(AD96,cfg_EOS_TH))+cfg_EOS_R2*(MAX(AC96-cfg_EOS_TH,0)-MAX(AD96-cfg_EOS_TH,0))))</f>
        <v/>
      </c>
      <c r="Z96" s="86" t="str">
        <f aca="false">IF($B96="","",IF(الموظفون!$R96&lt;&gt;"",الموظفون!$R96,IF(AC96&gt;=cfg_LV_TH,cfg_LV_D2,cfg_LV_D1))/cfg_DAYS_Y*AE96*الموظفون!$P96/cfg_DAYS_M)</f>
        <v/>
      </c>
      <c r="AA96" s="86" t="str">
        <f aca="false">IF($B96="","",IF(AND(الموظفون!$S96="نعم",N(الموظفون!$U96)&gt;0),الموظفون!$T96/الموظفون!$U96*12/cfg_DAYS_Y*AE96,0))</f>
        <v/>
      </c>
      <c r="AB96" s="108" t="str">
        <f aca="false">IF($B96="","",R96+SUM(X96:AA96))</f>
        <v/>
      </c>
      <c r="AC96" s="109" t="str">
        <f aca="false">IF($B96="","",MAX(0,IF(OR(الموظفون!$X96="",الموظفون!$X96&gt;$G$3),$G$3,الموظفون!$X96)-الموظفون!$H96+1)/cfg_DAYS_Y)</f>
        <v/>
      </c>
      <c r="AD96" s="109" t="str">
        <f aca="false">IF($B96="","",MAX(0,IF(OR(الموظفون!$X96="",الموظفون!$X96&gt;($E$3-1)),($E$3-1),الموظفون!$X96)-الموظفون!$H96+1)/cfg_DAYS_Y)</f>
        <v/>
      </c>
      <c r="AE96" s="51" t="str">
        <f aca="false">IF($B96="","",MAX(0,IF(OR(الموظفون!$X96="",الموظفون!$X96&gt;$G$3),$G$3,الموظفون!$X96)-MAX($E$3,الموظفون!$H96)+1))</f>
        <v/>
      </c>
    </row>
    <row r="97" customFormat="false" ht="15" hidden="false" customHeight="false" outlineLevel="0" collapsed="false">
      <c r="A97" s="89" t="str">
        <f aca="false">IF($B97="","",الموظفون!$A97)</f>
        <v/>
      </c>
      <c r="B97" s="91" t="str">
        <f aca="false">IF(الموظفون!$B97="","",الموظفون!$B97)</f>
        <v/>
      </c>
      <c r="C97" s="91" t="str">
        <f aca="false">IF($B97="","",الموظفون!$C97)</f>
        <v/>
      </c>
      <c r="D97" s="91" t="str">
        <f aca="false">IF($B97="","",الموظفون!$F97)</f>
        <v/>
      </c>
      <c r="E97" s="91" t="str">
        <f aca="false">IF($B97="","",الموظفون!$E97)</f>
        <v/>
      </c>
      <c r="F97" s="110" t="str">
        <f aca="false">IF($B97="","",IF(AE97&gt;=DAY($G$3),cfg_DAYS_M,MIN(AE97,cfg_DAYS_M)))</f>
        <v/>
      </c>
      <c r="G97" s="110" t="str">
        <f aca="false">IF($B97="","",SUMIFS('الحركات الشهرية'!$D$6:$D$1005,'الحركات الشهرية'!$B$6:$B$1005,$B97,'الحركات الشهرية'!$A$6:$A$1005,$C$3))</f>
        <v/>
      </c>
      <c r="H97" s="110" t="str">
        <f aca="false">IF($B97="","",SUMIFS('الحركات الشهرية'!$E$6:$E$1005,'الحركات الشهرية'!$B$6:$B$1005,$B97,'الحركات الشهرية'!$A$6:$A$1005,$C$3))</f>
        <v/>
      </c>
      <c r="I97" s="110" t="str">
        <f aca="false">IF($B97="","",MAX(0,F97-G97-H97))</f>
        <v/>
      </c>
      <c r="J97" s="90" t="str">
        <f aca="false">IF($B97="","",الموظفون!$J97*$I97/cfg_DAYS_M)</f>
        <v/>
      </c>
      <c r="K97" s="90" t="str">
        <f aca="false">IF($B97="","",الموظفون!$K97*$I97/cfg_DAYS_M)</f>
        <v/>
      </c>
      <c r="L97" s="90" t="str">
        <f aca="false">IF($B97="","",الموظفون!$L97*$I97/cfg_DAYS_M)</f>
        <v/>
      </c>
      <c r="M97" s="90" t="str">
        <f aca="false">IF($B97="","",الموظفون!$M97*$I97/cfg_DAYS_M)</f>
        <v/>
      </c>
      <c r="N97" s="110" t="str">
        <f aca="false">IF($B97="","",SUMIFS('الحركات الشهرية'!$F$6:$F$1005,'الحركات الشهرية'!$B$6:$B$1005,$B97,'الحركات الشهرية'!$A$6:$A$1005,$C$3))</f>
        <v/>
      </c>
      <c r="O97" s="90" t="str">
        <f aca="false">IF($B97="","",N97*(الموظفون!$N97+الموظفون!$J97*cfg_OT_P)/cfg_DAYS_M/cfg_HRS)</f>
        <v/>
      </c>
      <c r="P97" s="90" t="str">
        <f aca="false">IF($B97="","",SUMIFS('الحركات الشهرية'!$G$6:$G$1005,'الحركات الشهرية'!$B$6:$B$1005,$B97,'الحركات الشهرية'!$A$6:$A$1005,$C$3))</f>
        <v/>
      </c>
      <c r="Q97" s="90" t="str">
        <f aca="false">IF($B97="","",SUMIFS('الحركات الشهرية'!$H$6:$H$1005,'الحركات الشهرية'!$B$6:$B$1005,$B97,'الحركات الشهرية'!$A$6:$A$1005,$C$3))</f>
        <v/>
      </c>
      <c r="R97" s="111" t="str">
        <f aca="false">IF($B97="","",SUM(J97:M97)+SUM(O97:Q97))</f>
        <v/>
      </c>
      <c r="S97" s="90" t="str">
        <f aca="false">IF($B97="","",الموظفون!$Q97*IF(E97="سعودي",cfg_G_SE,cfg_G_NE)*F97/cfg_DAYS_M)</f>
        <v/>
      </c>
      <c r="T97" s="90" t="str">
        <f aca="false">IF($B97="","",SUMIFS('الحركات الشهرية'!$I$6:$I$1005,'الحركات الشهرية'!$B$6:$B$1005,$B97,'الحركات الشهرية'!$A$6:$A$1005,$C$3))</f>
        <v/>
      </c>
      <c r="U97" s="90" t="str">
        <f aca="false">IF($B97="","",SUMIFS('الحركات الشهرية'!$J$6:$J$1005,'الحركات الشهرية'!$B$6:$B$1005,$B97,'الحركات الشهرية'!$A$6:$A$1005,$C$3))</f>
        <v/>
      </c>
      <c r="V97" s="90" t="str">
        <f aca="false">IF($B97="","",SUM(S97:U97))</f>
        <v/>
      </c>
      <c r="W97" s="112" t="str">
        <f aca="false">IF($B97="","",R97-V97)</f>
        <v/>
      </c>
      <c r="X97" s="90" t="str">
        <f aca="false">IF($B97="","",الموظفون!$Q97*IF(E97="سعودي",cfg_G_SR,cfg_G_NR)*F97/cfg_DAYS_M)</f>
        <v/>
      </c>
      <c r="Y97" s="90" t="str">
        <f aca="false">IF($B97="","",الموظفون!$O97*(cfg_EOS_R1*(MIN(AC97,cfg_EOS_TH)-MIN(AD97,cfg_EOS_TH))+cfg_EOS_R2*(MAX(AC97-cfg_EOS_TH,0)-MAX(AD97-cfg_EOS_TH,0))))</f>
        <v/>
      </c>
      <c r="Z97" s="90" t="str">
        <f aca="false">IF($B97="","",IF(الموظفون!$R97&lt;&gt;"",الموظفون!$R97,IF(AC97&gt;=cfg_LV_TH,cfg_LV_D2,cfg_LV_D1))/cfg_DAYS_Y*AE97*الموظفون!$P97/cfg_DAYS_M)</f>
        <v/>
      </c>
      <c r="AA97" s="90" t="str">
        <f aca="false">IF($B97="","",IF(AND(الموظفون!$S97="نعم",N(الموظفون!$U97)&gt;0),الموظفون!$T97/الموظفون!$U97*12/cfg_DAYS_Y*AE97,0))</f>
        <v/>
      </c>
      <c r="AB97" s="113" t="str">
        <f aca="false">IF($B97="","",R97+SUM(X97:AA97))</f>
        <v/>
      </c>
      <c r="AC97" s="114" t="str">
        <f aca="false">IF($B97="","",MAX(0,IF(OR(الموظفون!$X97="",الموظفون!$X97&gt;$G$3),$G$3,الموظفون!$X97)-الموظفون!$H97+1)/cfg_DAYS_Y)</f>
        <v/>
      </c>
      <c r="AD97" s="114" t="str">
        <f aca="false">IF($B97="","",MAX(0,IF(OR(الموظفون!$X97="",الموظفون!$X97&gt;($E$3-1)),($E$3-1),الموظفون!$X97)-الموظفون!$H97+1)/cfg_DAYS_Y)</f>
        <v/>
      </c>
      <c r="AE97" s="115" t="str">
        <f aca="false">IF($B97="","",MAX(0,IF(OR(الموظفون!$X97="",الموظفون!$X97&gt;$G$3),$G$3,الموظفون!$X97)-MAX($E$3,الموظفون!$H97)+1))</f>
        <v/>
      </c>
    </row>
    <row r="98" customFormat="false" ht="15" hidden="false" customHeight="false" outlineLevel="0" collapsed="false">
      <c r="A98" s="83" t="str">
        <f aca="false">IF($B98="","",الموظفون!$A98)</f>
        <v/>
      </c>
      <c r="B98" s="74" t="str">
        <f aca="false">IF(الموظفون!$B98="","",الموظفون!$B98)</f>
        <v/>
      </c>
      <c r="C98" s="74" t="str">
        <f aca="false">IF($B98="","",الموظفون!$C98)</f>
        <v/>
      </c>
      <c r="D98" s="74" t="str">
        <f aca="false">IF($B98="","",الموظفون!$F98)</f>
        <v/>
      </c>
      <c r="E98" s="74" t="str">
        <f aca="false">IF($B98="","",الموظفون!$E98)</f>
        <v/>
      </c>
      <c r="F98" s="105" t="str">
        <f aca="false">IF($B98="","",IF(AE98&gt;=DAY($G$3),cfg_DAYS_M,MIN(AE98,cfg_DAYS_M)))</f>
        <v/>
      </c>
      <c r="G98" s="105" t="str">
        <f aca="false">IF($B98="","",SUMIFS('الحركات الشهرية'!$D$6:$D$1005,'الحركات الشهرية'!$B$6:$B$1005,$B98,'الحركات الشهرية'!$A$6:$A$1005,$C$3))</f>
        <v/>
      </c>
      <c r="H98" s="105" t="str">
        <f aca="false">IF($B98="","",SUMIFS('الحركات الشهرية'!$E$6:$E$1005,'الحركات الشهرية'!$B$6:$B$1005,$B98,'الحركات الشهرية'!$A$6:$A$1005,$C$3))</f>
        <v/>
      </c>
      <c r="I98" s="105" t="str">
        <f aca="false">IF($B98="","",MAX(0,F98-G98-H98))</f>
        <v/>
      </c>
      <c r="J98" s="86" t="str">
        <f aca="false">IF($B98="","",الموظفون!$J98*$I98/cfg_DAYS_M)</f>
        <v/>
      </c>
      <c r="K98" s="86" t="str">
        <f aca="false">IF($B98="","",الموظفون!$K98*$I98/cfg_DAYS_M)</f>
        <v/>
      </c>
      <c r="L98" s="86" t="str">
        <f aca="false">IF($B98="","",الموظفون!$L98*$I98/cfg_DAYS_M)</f>
        <v/>
      </c>
      <c r="M98" s="86" t="str">
        <f aca="false">IF($B98="","",الموظفون!$M98*$I98/cfg_DAYS_M)</f>
        <v/>
      </c>
      <c r="N98" s="105" t="str">
        <f aca="false">IF($B98="","",SUMIFS('الحركات الشهرية'!$F$6:$F$1005,'الحركات الشهرية'!$B$6:$B$1005,$B98,'الحركات الشهرية'!$A$6:$A$1005,$C$3))</f>
        <v/>
      </c>
      <c r="O98" s="86" t="str">
        <f aca="false">IF($B98="","",N98*(الموظفون!$N98+الموظفون!$J98*cfg_OT_P)/cfg_DAYS_M/cfg_HRS)</f>
        <v/>
      </c>
      <c r="P98" s="86" t="str">
        <f aca="false">IF($B98="","",SUMIFS('الحركات الشهرية'!$G$6:$G$1005,'الحركات الشهرية'!$B$6:$B$1005,$B98,'الحركات الشهرية'!$A$6:$A$1005,$C$3))</f>
        <v/>
      </c>
      <c r="Q98" s="86" t="str">
        <f aca="false">IF($B98="","",SUMIFS('الحركات الشهرية'!$H$6:$H$1005,'الحركات الشهرية'!$B$6:$B$1005,$B98,'الحركات الشهرية'!$A$6:$A$1005,$C$3))</f>
        <v/>
      </c>
      <c r="R98" s="106" t="str">
        <f aca="false">IF($B98="","",SUM(J98:M98)+SUM(O98:Q98))</f>
        <v/>
      </c>
      <c r="S98" s="86" t="str">
        <f aca="false">IF($B98="","",الموظفون!$Q98*IF(E98="سعودي",cfg_G_SE,cfg_G_NE)*F98/cfg_DAYS_M)</f>
        <v/>
      </c>
      <c r="T98" s="86" t="str">
        <f aca="false">IF($B98="","",SUMIFS('الحركات الشهرية'!$I$6:$I$1005,'الحركات الشهرية'!$B$6:$B$1005,$B98,'الحركات الشهرية'!$A$6:$A$1005,$C$3))</f>
        <v/>
      </c>
      <c r="U98" s="86" t="str">
        <f aca="false">IF($B98="","",SUMIFS('الحركات الشهرية'!$J$6:$J$1005,'الحركات الشهرية'!$B$6:$B$1005,$B98,'الحركات الشهرية'!$A$6:$A$1005,$C$3))</f>
        <v/>
      </c>
      <c r="V98" s="86" t="str">
        <f aca="false">IF($B98="","",SUM(S98:U98))</f>
        <v/>
      </c>
      <c r="W98" s="107" t="str">
        <f aca="false">IF($B98="","",R98-V98)</f>
        <v/>
      </c>
      <c r="X98" s="86" t="str">
        <f aca="false">IF($B98="","",الموظفون!$Q98*IF(E98="سعودي",cfg_G_SR,cfg_G_NR)*F98/cfg_DAYS_M)</f>
        <v/>
      </c>
      <c r="Y98" s="86" t="str">
        <f aca="false">IF($B98="","",الموظفون!$O98*(cfg_EOS_R1*(MIN(AC98,cfg_EOS_TH)-MIN(AD98,cfg_EOS_TH))+cfg_EOS_R2*(MAX(AC98-cfg_EOS_TH,0)-MAX(AD98-cfg_EOS_TH,0))))</f>
        <v/>
      </c>
      <c r="Z98" s="86" t="str">
        <f aca="false">IF($B98="","",IF(الموظفون!$R98&lt;&gt;"",الموظفون!$R98,IF(AC98&gt;=cfg_LV_TH,cfg_LV_D2,cfg_LV_D1))/cfg_DAYS_Y*AE98*الموظفون!$P98/cfg_DAYS_M)</f>
        <v/>
      </c>
      <c r="AA98" s="86" t="str">
        <f aca="false">IF($B98="","",IF(AND(الموظفون!$S98="نعم",N(الموظفون!$U98)&gt;0),الموظفون!$T98/الموظفون!$U98*12/cfg_DAYS_Y*AE98,0))</f>
        <v/>
      </c>
      <c r="AB98" s="108" t="str">
        <f aca="false">IF($B98="","",R98+SUM(X98:AA98))</f>
        <v/>
      </c>
      <c r="AC98" s="109" t="str">
        <f aca="false">IF($B98="","",MAX(0,IF(OR(الموظفون!$X98="",الموظفون!$X98&gt;$G$3),$G$3,الموظفون!$X98)-الموظفون!$H98+1)/cfg_DAYS_Y)</f>
        <v/>
      </c>
      <c r="AD98" s="109" t="str">
        <f aca="false">IF($B98="","",MAX(0,IF(OR(الموظفون!$X98="",الموظفون!$X98&gt;($E$3-1)),($E$3-1),الموظفون!$X98)-الموظفون!$H98+1)/cfg_DAYS_Y)</f>
        <v/>
      </c>
      <c r="AE98" s="51" t="str">
        <f aca="false">IF($B98="","",MAX(0,IF(OR(الموظفون!$X98="",الموظفون!$X98&gt;$G$3),$G$3,الموظفون!$X98)-MAX($E$3,الموظفون!$H98)+1))</f>
        <v/>
      </c>
    </row>
    <row r="99" customFormat="false" ht="15" hidden="false" customHeight="false" outlineLevel="0" collapsed="false">
      <c r="A99" s="89" t="str">
        <f aca="false">IF($B99="","",الموظفون!$A99)</f>
        <v/>
      </c>
      <c r="B99" s="91" t="str">
        <f aca="false">IF(الموظفون!$B99="","",الموظفون!$B99)</f>
        <v/>
      </c>
      <c r="C99" s="91" t="str">
        <f aca="false">IF($B99="","",الموظفون!$C99)</f>
        <v/>
      </c>
      <c r="D99" s="91" t="str">
        <f aca="false">IF($B99="","",الموظفون!$F99)</f>
        <v/>
      </c>
      <c r="E99" s="91" t="str">
        <f aca="false">IF($B99="","",الموظفون!$E99)</f>
        <v/>
      </c>
      <c r="F99" s="110" t="str">
        <f aca="false">IF($B99="","",IF(AE99&gt;=DAY($G$3),cfg_DAYS_M,MIN(AE99,cfg_DAYS_M)))</f>
        <v/>
      </c>
      <c r="G99" s="110" t="str">
        <f aca="false">IF($B99="","",SUMIFS('الحركات الشهرية'!$D$6:$D$1005,'الحركات الشهرية'!$B$6:$B$1005,$B99,'الحركات الشهرية'!$A$6:$A$1005,$C$3))</f>
        <v/>
      </c>
      <c r="H99" s="110" t="str">
        <f aca="false">IF($B99="","",SUMIFS('الحركات الشهرية'!$E$6:$E$1005,'الحركات الشهرية'!$B$6:$B$1005,$B99,'الحركات الشهرية'!$A$6:$A$1005,$C$3))</f>
        <v/>
      </c>
      <c r="I99" s="110" t="str">
        <f aca="false">IF($B99="","",MAX(0,F99-G99-H99))</f>
        <v/>
      </c>
      <c r="J99" s="90" t="str">
        <f aca="false">IF($B99="","",الموظفون!$J99*$I99/cfg_DAYS_M)</f>
        <v/>
      </c>
      <c r="K99" s="90" t="str">
        <f aca="false">IF($B99="","",الموظفون!$K99*$I99/cfg_DAYS_M)</f>
        <v/>
      </c>
      <c r="L99" s="90" t="str">
        <f aca="false">IF($B99="","",الموظفون!$L99*$I99/cfg_DAYS_M)</f>
        <v/>
      </c>
      <c r="M99" s="90" t="str">
        <f aca="false">IF($B99="","",الموظفون!$M99*$I99/cfg_DAYS_M)</f>
        <v/>
      </c>
      <c r="N99" s="110" t="str">
        <f aca="false">IF($B99="","",SUMIFS('الحركات الشهرية'!$F$6:$F$1005,'الحركات الشهرية'!$B$6:$B$1005,$B99,'الحركات الشهرية'!$A$6:$A$1005,$C$3))</f>
        <v/>
      </c>
      <c r="O99" s="90" t="str">
        <f aca="false">IF($B99="","",N99*(الموظفون!$N99+الموظفون!$J99*cfg_OT_P)/cfg_DAYS_M/cfg_HRS)</f>
        <v/>
      </c>
      <c r="P99" s="90" t="str">
        <f aca="false">IF($B99="","",SUMIFS('الحركات الشهرية'!$G$6:$G$1005,'الحركات الشهرية'!$B$6:$B$1005,$B99,'الحركات الشهرية'!$A$6:$A$1005,$C$3))</f>
        <v/>
      </c>
      <c r="Q99" s="90" t="str">
        <f aca="false">IF($B99="","",SUMIFS('الحركات الشهرية'!$H$6:$H$1005,'الحركات الشهرية'!$B$6:$B$1005,$B99,'الحركات الشهرية'!$A$6:$A$1005,$C$3))</f>
        <v/>
      </c>
      <c r="R99" s="111" t="str">
        <f aca="false">IF($B99="","",SUM(J99:M99)+SUM(O99:Q99))</f>
        <v/>
      </c>
      <c r="S99" s="90" t="str">
        <f aca="false">IF($B99="","",الموظفون!$Q99*IF(E99="سعودي",cfg_G_SE,cfg_G_NE)*F99/cfg_DAYS_M)</f>
        <v/>
      </c>
      <c r="T99" s="90" t="str">
        <f aca="false">IF($B99="","",SUMIFS('الحركات الشهرية'!$I$6:$I$1005,'الحركات الشهرية'!$B$6:$B$1005,$B99,'الحركات الشهرية'!$A$6:$A$1005,$C$3))</f>
        <v/>
      </c>
      <c r="U99" s="90" t="str">
        <f aca="false">IF($B99="","",SUMIFS('الحركات الشهرية'!$J$6:$J$1005,'الحركات الشهرية'!$B$6:$B$1005,$B99,'الحركات الشهرية'!$A$6:$A$1005,$C$3))</f>
        <v/>
      </c>
      <c r="V99" s="90" t="str">
        <f aca="false">IF($B99="","",SUM(S99:U99))</f>
        <v/>
      </c>
      <c r="W99" s="112" t="str">
        <f aca="false">IF($B99="","",R99-V99)</f>
        <v/>
      </c>
      <c r="X99" s="90" t="str">
        <f aca="false">IF($B99="","",الموظفون!$Q99*IF(E99="سعودي",cfg_G_SR,cfg_G_NR)*F99/cfg_DAYS_M)</f>
        <v/>
      </c>
      <c r="Y99" s="90" t="str">
        <f aca="false">IF($B99="","",الموظفون!$O99*(cfg_EOS_R1*(MIN(AC99,cfg_EOS_TH)-MIN(AD99,cfg_EOS_TH))+cfg_EOS_R2*(MAX(AC99-cfg_EOS_TH,0)-MAX(AD99-cfg_EOS_TH,0))))</f>
        <v/>
      </c>
      <c r="Z99" s="90" t="str">
        <f aca="false">IF($B99="","",IF(الموظفون!$R99&lt;&gt;"",الموظفون!$R99,IF(AC99&gt;=cfg_LV_TH,cfg_LV_D2,cfg_LV_D1))/cfg_DAYS_Y*AE99*الموظفون!$P99/cfg_DAYS_M)</f>
        <v/>
      </c>
      <c r="AA99" s="90" t="str">
        <f aca="false">IF($B99="","",IF(AND(الموظفون!$S99="نعم",N(الموظفون!$U99)&gt;0),الموظفون!$T99/الموظفون!$U99*12/cfg_DAYS_Y*AE99,0))</f>
        <v/>
      </c>
      <c r="AB99" s="113" t="str">
        <f aca="false">IF($B99="","",R99+SUM(X99:AA99))</f>
        <v/>
      </c>
      <c r="AC99" s="114" t="str">
        <f aca="false">IF($B99="","",MAX(0,IF(OR(الموظفون!$X99="",الموظفون!$X99&gt;$G$3),$G$3,الموظفون!$X99)-الموظفون!$H99+1)/cfg_DAYS_Y)</f>
        <v/>
      </c>
      <c r="AD99" s="114" t="str">
        <f aca="false">IF($B99="","",MAX(0,IF(OR(الموظفون!$X99="",الموظفون!$X99&gt;($E$3-1)),($E$3-1),الموظفون!$X99)-الموظفون!$H99+1)/cfg_DAYS_Y)</f>
        <v/>
      </c>
      <c r="AE99" s="115" t="str">
        <f aca="false">IF($B99="","",MAX(0,IF(OR(الموظفون!$X99="",الموظفون!$X99&gt;$G$3),$G$3,الموظفون!$X99)-MAX($E$3,الموظفون!$H99)+1))</f>
        <v/>
      </c>
    </row>
    <row r="100" customFormat="false" ht="15" hidden="false" customHeight="false" outlineLevel="0" collapsed="false">
      <c r="A100" s="83" t="str">
        <f aca="false">IF($B100="","",الموظفون!$A100)</f>
        <v/>
      </c>
      <c r="B100" s="74" t="str">
        <f aca="false">IF(الموظفون!$B100="","",الموظفون!$B100)</f>
        <v/>
      </c>
      <c r="C100" s="74" t="str">
        <f aca="false">IF($B100="","",الموظفون!$C100)</f>
        <v/>
      </c>
      <c r="D100" s="74" t="str">
        <f aca="false">IF($B100="","",الموظفون!$F100)</f>
        <v/>
      </c>
      <c r="E100" s="74" t="str">
        <f aca="false">IF($B100="","",الموظفون!$E100)</f>
        <v/>
      </c>
      <c r="F100" s="105" t="str">
        <f aca="false">IF($B100="","",IF(AE100&gt;=DAY($G$3),cfg_DAYS_M,MIN(AE100,cfg_DAYS_M)))</f>
        <v/>
      </c>
      <c r="G100" s="105" t="str">
        <f aca="false">IF($B100="","",SUMIFS('الحركات الشهرية'!$D$6:$D$1005,'الحركات الشهرية'!$B$6:$B$1005,$B100,'الحركات الشهرية'!$A$6:$A$1005,$C$3))</f>
        <v/>
      </c>
      <c r="H100" s="105" t="str">
        <f aca="false">IF($B100="","",SUMIFS('الحركات الشهرية'!$E$6:$E$1005,'الحركات الشهرية'!$B$6:$B$1005,$B100,'الحركات الشهرية'!$A$6:$A$1005,$C$3))</f>
        <v/>
      </c>
      <c r="I100" s="105" t="str">
        <f aca="false">IF($B100="","",MAX(0,F100-G100-H100))</f>
        <v/>
      </c>
      <c r="J100" s="86" t="str">
        <f aca="false">IF($B100="","",الموظفون!$J100*$I100/cfg_DAYS_M)</f>
        <v/>
      </c>
      <c r="K100" s="86" t="str">
        <f aca="false">IF($B100="","",الموظفون!$K100*$I100/cfg_DAYS_M)</f>
        <v/>
      </c>
      <c r="L100" s="86" t="str">
        <f aca="false">IF($B100="","",الموظفون!$L100*$I100/cfg_DAYS_M)</f>
        <v/>
      </c>
      <c r="M100" s="86" t="str">
        <f aca="false">IF($B100="","",الموظفون!$M100*$I100/cfg_DAYS_M)</f>
        <v/>
      </c>
      <c r="N100" s="105" t="str">
        <f aca="false">IF($B100="","",SUMIFS('الحركات الشهرية'!$F$6:$F$1005,'الحركات الشهرية'!$B$6:$B$1005,$B100,'الحركات الشهرية'!$A$6:$A$1005,$C$3))</f>
        <v/>
      </c>
      <c r="O100" s="86" t="str">
        <f aca="false">IF($B100="","",N100*(الموظفون!$N100+الموظفون!$J100*cfg_OT_P)/cfg_DAYS_M/cfg_HRS)</f>
        <v/>
      </c>
      <c r="P100" s="86" t="str">
        <f aca="false">IF($B100="","",SUMIFS('الحركات الشهرية'!$G$6:$G$1005,'الحركات الشهرية'!$B$6:$B$1005,$B100,'الحركات الشهرية'!$A$6:$A$1005,$C$3))</f>
        <v/>
      </c>
      <c r="Q100" s="86" t="str">
        <f aca="false">IF($B100="","",SUMIFS('الحركات الشهرية'!$H$6:$H$1005,'الحركات الشهرية'!$B$6:$B$1005,$B100,'الحركات الشهرية'!$A$6:$A$1005,$C$3))</f>
        <v/>
      </c>
      <c r="R100" s="106" t="str">
        <f aca="false">IF($B100="","",SUM(J100:M100)+SUM(O100:Q100))</f>
        <v/>
      </c>
      <c r="S100" s="86" t="str">
        <f aca="false">IF($B100="","",الموظفون!$Q100*IF(E100="سعودي",cfg_G_SE,cfg_G_NE)*F100/cfg_DAYS_M)</f>
        <v/>
      </c>
      <c r="T100" s="86" t="str">
        <f aca="false">IF($B100="","",SUMIFS('الحركات الشهرية'!$I$6:$I$1005,'الحركات الشهرية'!$B$6:$B$1005,$B100,'الحركات الشهرية'!$A$6:$A$1005,$C$3))</f>
        <v/>
      </c>
      <c r="U100" s="86" t="str">
        <f aca="false">IF($B100="","",SUMIFS('الحركات الشهرية'!$J$6:$J$1005,'الحركات الشهرية'!$B$6:$B$1005,$B100,'الحركات الشهرية'!$A$6:$A$1005,$C$3))</f>
        <v/>
      </c>
      <c r="V100" s="86" t="str">
        <f aca="false">IF($B100="","",SUM(S100:U100))</f>
        <v/>
      </c>
      <c r="W100" s="107" t="str">
        <f aca="false">IF($B100="","",R100-V100)</f>
        <v/>
      </c>
      <c r="X100" s="86" t="str">
        <f aca="false">IF($B100="","",الموظفون!$Q100*IF(E100="سعودي",cfg_G_SR,cfg_G_NR)*F100/cfg_DAYS_M)</f>
        <v/>
      </c>
      <c r="Y100" s="86" t="str">
        <f aca="false">IF($B100="","",الموظفون!$O100*(cfg_EOS_R1*(MIN(AC100,cfg_EOS_TH)-MIN(AD100,cfg_EOS_TH))+cfg_EOS_R2*(MAX(AC100-cfg_EOS_TH,0)-MAX(AD100-cfg_EOS_TH,0))))</f>
        <v/>
      </c>
      <c r="Z100" s="86" t="str">
        <f aca="false">IF($B100="","",IF(الموظفون!$R100&lt;&gt;"",الموظفون!$R100,IF(AC100&gt;=cfg_LV_TH,cfg_LV_D2,cfg_LV_D1))/cfg_DAYS_Y*AE100*الموظفون!$P100/cfg_DAYS_M)</f>
        <v/>
      </c>
      <c r="AA100" s="86" t="str">
        <f aca="false">IF($B100="","",IF(AND(الموظفون!$S100="نعم",N(الموظفون!$U100)&gt;0),الموظفون!$T100/الموظفون!$U100*12/cfg_DAYS_Y*AE100,0))</f>
        <v/>
      </c>
      <c r="AB100" s="108" t="str">
        <f aca="false">IF($B100="","",R100+SUM(X100:AA100))</f>
        <v/>
      </c>
      <c r="AC100" s="109" t="str">
        <f aca="false">IF($B100="","",MAX(0,IF(OR(الموظفون!$X100="",الموظفون!$X100&gt;$G$3),$G$3,الموظفون!$X100)-الموظفون!$H100+1)/cfg_DAYS_Y)</f>
        <v/>
      </c>
      <c r="AD100" s="109" t="str">
        <f aca="false">IF($B100="","",MAX(0,IF(OR(الموظفون!$X100="",الموظفون!$X100&gt;($E$3-1)),($E$3-1),الموظفون!$X100)-الموظفون!$H100+1)/cfg_DAYS_Y)</f>
        <v/>
      </c>
      <c r="AE100" s="51" t="str">
        <f aca="false">IF($B100="","",MAX(0,IF(OR(الموظفون!$X100="",الموظفون!$X100&gt;$G$3),$G$3,الموظفون!$X100)-MAX($E$3,الموظفون!$H100)+1))</f>
        <v/>
      </c>
    </row>
    <row r="101" customFormat="false" ht="15" hidden="false" customHeight="false" outlineLevel="0" collapsed="false">
      <c r="A101" s="89" t="str">
        <f aca="false">IF($B101="","",الموظفون!$A101)</f>
        <v/>
      </c>
      <c r="B101" s="91" t="str">
        <f aca="false">IF(الموظفون!$B101="","",الموظفون!$B101)</f>
        <v/>
      </c>
      <c r="C101" s="91" t="str">
        <f aca="false">IF($B101="","",الموظفون!$C101)</f>
        <v/>
      </c>
      <c r="D101" s="91" t="str">
        <f aca="false">IF($B101="","",الموظفون!$F101)</f>
        <v/>
      </c>
      <c r="E101" s="91" t="str">
        <f aca="false">IF($B101="","",الموظفون!$E101)</f>
        <v/>
      </c>
      <c r="F101" s="110" t="str">
        <f aca="false">IF($B101="","",IF(AE101&gt;=DAY($G$3),cfg_DAYS_M,MIN(AE101,cfg_DAYS_M)))</f>
        <v/>
      </c>
      <c r="G101" s="110" t="str">
        <f aca="false">IF($B101="","",SUMIFS('الحركات الشهرية'!$D$6:$D$1005,'الحركات الشهرية'!$B$6:$B$1005,$B101,'الحركات الشهرية'!$A$6:$A$1005,$C$3))</f>
        <v/>
      </c>
      <c r="H101" s="110" t="str">
        <f aca="false">IF($B101="","",SUMIFS('الحركات الشهرية'!$E$6:$E$1005,'الحركات الشهرية'!$B$6:$B$1005,$B101,'الحركات الشهرية'!$A$6:$A$1005,$C$3))</f>
        <v/>
      </c>
      <c r="I101" s="110" t="str">
        <f aca="false">IF($B101="","",MAX(0,F101-G101-H101))</f>
        <v/>
      </c>
      <c r="J101" s="90" t="str">
        <f aca="false">IF($B101="","",الموظفون!$J101*$I101/cfg_DAYS_M)</f>
        <v/>
      </c>
      <c r="K101" s="90" t="str">
        <f aca="false">IF($B101="","",الموظفون!$K101*$I101/cfg_DAYS_M)</f>
        <v/>
      </c>
      <c r="L101" s="90" t="str">
        <f aca="false">IF($B101="","",الموظفون!$L101*$I101/cfg_DAYS_M)</f>
        <v/>
      </c>
      <c r="M101" s="90" t="str">
        <f aca="false">IF($B101="","",الموظفون!$M101*$I101/cfg_DAYS_M)</f>
        <v/>
      </c>
      <c r="N101" s="110" t="str">
        <f aca="false">IF($B101="","",SUMIFS('الحركات الشهرية'!$F$6:$F$1005,'الحركات الشهرية'!$B$6:$B$1005,$B101,'الحركات الشهرية'!$A$6:$A$1005,$C$3))</f>
        <v/>
      </c>
      <c r="O101" s="90" t="str">
        <f aca="false">IF($B101="","",N101*(الموظفون!$N101+الموظفون!$J101*cfg_OT_P)/cfg_DAYS_M/cfg_HRS)</f>
        <v/>
      </c>
      <c r="P101" s="90" t="str">
        <f aca="false">IF($B101="","",SUMIFS('الحركات الشهرية'!$G$6:$G$1005,'الحركات الشهرية'!$B$6:$B$1005,$B101,'الحركات الشهرية'!$A$6:$A$1005,$C$3))</f>
        <v/>
      </c>
      <c r="Q101" s="90" t="str">
        <f aca="false">IF($B101="","",SUMIFS('الحركات الشهرية'!$H$6:$H$1005,'الحركات الشهرية'!$B$6:$B$1005,$B101,'الحركات الشهرية'!$A$6:$A$1005,$C$3))</f>
        <v/>
      </c>
      <c r="R101" s="111" t="str">
        <f aca="false">IF($B101="","",SUM(J101:M101)+SUM(O101:Q101))</f>
        <v/>
      </c>
      <c r="S101" s="90" t="str">
        <f aca="false">IF($B101="","",الموظفون!$Q101*IF(E101="سعودي",cfg_G_SE,cfg_G_NE)*F101/cfg_DAYS_M)</f>
        <v/>
      </c>
      <c r="T101" s="90" t="str">
        <f aca="false">IF($B101="","",SUMIFS('الحركات الشهرية'!$I$6:$I$1005,'الحركات الشهرية'!$B$6:$B$1005,$B101,'الحركات الشهرية'!$A$6:$A$1005,$C$3))</f>
        <v/>
      </c>
      <c r="U101" s="90" t="str">
        <f aca="false">IF($B101="","",SUMIFS('الحركات الشهرية'!$J$6:$J$1005,'الحركات الشهرية'!$B$6:$B$1005,$B101,'الحركات الشهرية'!$A$6:$A$1005,$C$3))</f>
        <v/>
      </c>
      <c r="V101" s="90" t="str">
        <f aca="false">IF($B101="","",SUM(S101:U101))</f>
        <v/>
      </c>
      <c r="W101" s="112" t="str">
        <f aca="false">IF($B101="","",R101-V101)</f>
        <v/>
      </c>
      <c r="X101" s="90" t="str">
        <f aca="false">IF($B101="","",الموظفون!$Q101*IF(E101="سعودي",cfg_G_SR,cfg_G_NR)*F101/cfg_DAYS_M)</f>
        <v/>
      </c>
      <c r="Y101" s="90" t="str">
        <f aca="false">IF($B101="","",الموظفون!$O101*(cfg_EOS_R1*(MIN(AC101,cfg_EOS_TH)-MIN(AD101,cfg_EOS_TH))+cfg_EOS_R2*(MAX(AC101-cfg_EOS_TH,0)-MAX(AD101-cfg_EOS_TH,0))))</f>
        <v/>
      </c>
      <c r="Z101" s="90" t="str">
        <f aca="false">IF($B101="","",IF(الموظفون!$R101&lt;&gt;"",الموظفون!$R101,IF(AC101&gt;=cfg_LV_TH,cfg_LV_D2,cfg_LV_D1))/cfg_DAYS_Y*AE101*الموظفون!$P101/cfg_DAYS_M)</f>
        <v/>
      </c>
      <c r="AA101" s="90" t="str">
        <f aca="false">IF($B101="","",IF(AND(الموظفون!$S101="نعم",N(الموظفون!$U101)&gt;0),الموظفون!$T101/الموظفون!$U101*12/cfg_DAYS_Y*AE101,0))</f>
        <v/>
      </c>
      <c r="AB101" s="113" t="str">
        <f aca="false">IF($B101="","",R101+SUM(X101:AA101))</f>
        <v/>
      </c>
      <c r="AC101" s="114" t="str">
        <f aca="false">IF($B101="","",MAX(0,IF(OR(الموظفون!$X101="",الموظفون!$X101&gt;$G$3),$G$3,الموظفون!$X101)-الموظفون!$H101+1)/cfg_DAYS_Y)</f>
        <v/>
      </c>
      <c r="AD101" s="114" t="str">
        <f aca="false">IF($B101="","",MAX(0,IF(OR(الموظفون!$X101="",الموظفون!$X101&gt;($E$3-1)),($E$3-1),الموظفون!$X101)-الموظفون!$H101+1)/cfg_DAYS_Y)</f>
        <v/>
      </c>
      <c r="AE101" s="115" t="str">
        <f aca="false">IF($B101="","",MAX(0,IF(OR(الموظفون!$X101="",الموظفون!$X101&gt;$G$3),$G$3,الموظفون!$X101)-MAX($E$3,الموظفون!$H101)+1))</f>
        <v/>
      </c>
    </row>
    <row r="102" customFormat="false" ht="15" hidden="false" customHeight="false" outlineLevel="0" collapsed="false">
      <c r="A102" s="83" t="str">
        <f aca="false">IF($B102="","",الموظفون!$A102)</f>
        <v/>
      </c>
      <c r="B102" s="74" t="str">
        <f aca="false">IF(الموظفون!$B102="","",الموظفون!$B102)</f>
        <v/>
      </c>
      <c r="C102" s="74" t="str">
        <f aca="false">IF($B102="","",الموظفون!$C102)</f>
        <v/>
      </c>
      <c r="D102" s="74" t="str">
        <f aca="false">IF($B102="","",الموظفون!$F102)</f>
        <v/>
      </c>
      <c r="E102" s="74" t="str">
        <f aca="false">IF($B102="","",الموظفون!$E102)</f>
        <v/>
      </c>
      <c r="F102" s="105" t="str">
        <f aca="false">IF($B102="","",IF(AE102&gt;=DAY($G$3),cfg_DAYS_M,MIN(AE102,cfg_DAYS_M)))</f>
        <v/>
      </c>
      <c r="G102" s="105" t="str">
        <f aca="false">IF($B102="","",SUMIFS('الحركات الشهرية'!$D$6:$D$1005,'الحركات الشهرية'!$B$6:$B$1005,$B102,'الحركات الشهرية'!$A$6:$A$1005,$C$3))</f>
        <v/>
      </c>
      <c r="H102" s="105" t="str">
        <f aca="false">IF($B102="","",SUMIFS('الحركات الشهرية'!$E$6:$E$1005,'الحركات الشهرية'!$B$6:$B$1005,$B102,'الحركات الشهرية'!$A$6:$A$1005,$C$3))</f>
        <v/>
      </c>
      <c r="I102" s="105" t="str">
        <f aca="false">IF($B102="","",MAX(0,F102-G102-H102))</f>
        <v/>
      </c>
      <c r="J102" s="86" t="str">
        <f aca="false">IF($B102="","",الموظفون!$J102*$I102/cfg_DAYS_M)</f>
        <v/>
      </c>
      <c r="K102" s="86" t="str">
        <f aca="false">IF($B102="","",الموظفون!$K102*$I102/cfg_DAYS_M)</f>
        <v/>
      </c>
      <c r="L102" s="86" t="str">
        <f aca="false">IF($B102="","",الموظفون!$L102*$I102/cfg_DAYS_M)</f>
        <v/>
      </c>
      <c r="M102" s="86" t="str">
        <f aca="false">IF($B102="","",الموظفون!$M102*$I102/cfg_DAYS_M)</f>
        <v/>
      </c>
      <c r="N102" s="105" t="str">
        <f aca="false">IF($B102="","",SUMIFS('الحركات الشهرية'!$F$6:$F$1005,'الحركات الشهرية'!$B$6:$B$1005,$B102,'الحركات الشهرية'!$A$6:$A$1005,$C$3))</f>
        <v/>
      </c>
      <c r="O102" s="86" t="str">
        <f aca="false">IF($B102="","",N102*(الموظفون!$N102+الموظفون!$J102*cfg_OT_P)/cfg_DAYS_M/cfg_HRS)</f>
        <v/>
      </c>
      <c r="P102" s="86" t="str">
        <f aca="false">IF($B102="","",SUMIFS('الحركات الشهرية'!$G$6:$G$1005,'الحركات الشهرية'!$B$6:$B$1005,$B102,'الحركات الشهرية'!$A$6:$A$1005,$C$3))</f>
        <v/>
      </c>
      <c r="Q102" s="86" t="str">
        <f aca="false">IF($B102="","",SUMIFS('الحركات الشهرية'!$H$6:$H$1005,'الحركات الشهرية'!$B$6:$B$1005,$B102,'الحركات الشهرية'!$A$6:$A$1005,$C$3))</f>
        <v/>
      </c>
      <c r="R102" s="106" t="str">
        <f aca="false">IF($B102="","",SUM(J102:M102)+SUM(O102:Q102))</f>
        <v/>
      </c>
      <c r="S102" s="86" t="str">
        <f aca="false">IF($B102="","",الموظفون!$Q102*IF(E102="سعودي",cfg_G_SE,cfg_G_NE)*F102/cfg_DAYS_M)</f>
        <v/>
      </c>
      <c r="T102" s="86" t="str">
        <f aca="false">IF($B102="","",SUMIFS('الحركات الشهرية'!$I$6:$I$1005,'الحركات الشهرية'!$B$6:$B$1005,$B102,'الحركات الشهرية'!$A$6:$A$1005,$C$3))</f>
        <v/>
      </c>
      <c r="U102" s="86" t="str">
        <f aca="false">IF($B102="","",SUMIFS('الحركات الشهرية'!$J$6:$J$1005,'الحركات الشهرية'!$B$6:$B$1005,$B102,'الحركات الشهرية'!$A$6:$A$1005,$C$3))</f>
        <v/>
      </c>
      <c r="V102" s="86" t="str">
        <f aca="false">IF($B102="","",SUM(S102:U102))</f>
        <v/>
      </c>
      <c r="W102" s="107" t="str">
        <f aca="false">IF($B102="","",R102-V102)</f>
        <v/>
      </c>
      <c r="X102" s="86" t="str">
        <f aca="false">IF($B102="","",الموظفون!$Q102*IF(E102="سعودي",cfg_G_SR,cfg_G_NR)*F102/cfg_DAYS_M)</f>
        <v/>
      </c>
      <c r="Y102" s="86" t="str">
        <f aca="false">IF($B102="","",الموظفون!$O102*(cfg_EOS_R1*(MIN(AC102,cfg_EOS_TH)-MIN(AD102,cfg_EOS_TH))+cfg_EOS_R2*(MAX(AC102-cfg_EOS_TH,0)-MAX(AD102-cfg_EOS_TH,0))))</f>
        <v/>
      </c>
      <c r="Z102" s="86" t="str">
        <f aca="false">IF($B102="","",IF(الموظفون!$R102&lt;&gt;"",الموظفون!$R102,IF(AC102&gt;=cfg_LV_TH,cfg_LV_D2,cfg_LV_D1))/cfg_DAYS_Y*AE102*الموظفون!$P102/cfg_DAYS_M)</f>
        <v/>
      </c>
      <c r="AA102" s="86" t="str">
        <f aca="false">IF($B102="","",IF(AND(الموظفون!$S102="نعم",N(الموظفون!$U102)&gt;0),الموظفون!$T102/الموظفون!$U102*12/cfg_DAYS_Y*AE102,0))</f>
        <v/>
      </c>
      <c r="AB102" s="108" t="str">
        <f aca="false">IF($B102="","",R102+SUM(X102:AA102))</f>
        <v/>
      </c>
      <c r="AC102" s="109" t="str">
        <f aca="false">IF($B102="","",MAX(0,IF(OR(الموظفون!$X102="",الموظفون!$X102&gt;$G$3),$G$3,الموظفون!$X102)-الموظفون!$H102+1)/cfg_DAYS_Y)</f>
        <v/>
      </c>
      <c r="AD102" s="109" t="str">
        <f aca="false">IF($B102="","",MAX(0,IF(OR(الموظفون!$X102="",الموظفون!$X102&gt;($E$3-1)),($E$3-1),الموظفون!$X102)-الموظفون!$H102+1)/cfg_DAYS_Y)</f>
        <v/>
      </c>
      <c r="AE102" s="51" t="str">
        <f aca="false">IF($B102="","",MAX(0,IF(OR(الموظفون!$X102="",الموظفون!$X102&gt;$G$3),$G$3,الموظفون!$X102)-MAX($E$3,الموظفون!$H102)+1))</f>
        <v/>
      </c>
    </row>
    <row r="103" customFormat="false" ht="15" hidden="false" customHeight="false" outlineLevel="0" collapsed="false">
      <c r="A103" s="89" t="str">
        <f aca="false">IF($B103="","",الموظفون!$A103)</f>
        <v/>
      </c>
      <c r="B103" s="91" t="str">
        <f aca="false">IF(الموظفون!$B103="","",الموظفون!$B103)</f>
        <v/>
      </c>
      <c r="C103" s="91" t="str">
        <f aca="false">IF($B103="","",الموظفون!$C103)</f>
        <v/>
      </c>
      <c r="D103" s="91" t="str">
        <f aca="false">IF($B103="","",الموظفون!$F103)</f>
        <v/>
      </c>
      <c r="E103" s="91" t="str">
        <f aca="false">IF($B103="","",الموظفون!$E103)</f>
        <v/>
      </c>
      <c r="F103" s="110" t="str">
        <f aca="false">IF($B103="","",IF(AE103&gt;=DAY($G$3),cfg_DAYS_M,MIN(AE103,cfg_DAYS_M)))</f>
        <v/>
      </c>
      <c r="G103" s="110" t="str">
        <f aca="false">IF($B103="","",SUMIFS('الحركات الشهرية'!$D$6:$D$1005,'الحركات الشهرية'!$B$6:$B$1005,$B103,'الحركات الشهرية'!$A$6:$A$1005,$C$3))</f>
        <v/>
      </c>
      <c r="H103" s="110" t="str">
        <f aca="false">IF($B103="","",SUMIFS('الحركات الشهرية'!$E$6:$E$1005,'الحركات الشهرية'!$B$6:$B$1005,$B103,'الحركات الشهرية'!$A$6:$A$1005,$C$3))</f>
        <v/>
      </c>
      <c r="I103" s="110" t="str">
        <f aca="false">IF($B103="","",MAX(0,F103-G103-H103))</f>
        <v/>
      </c>
      <c r="J103" s="90" t="str">
        <f aca="false">IF($B103="","",الموظفون!$J103*$I103/cfg_DAYS_M)</f>
        <v/>
      </c>
      <c r="K103" s="90" t="str">
        <f aca="false">IF($B103="","",الموظفون!$K103*$I103/cfg_DAYS_M)</f>
        <v/>
      </c>
      <c r="L103" s="90" t="str">
        <f aca="false">IF($B103="","",الموظفون!$L103*$I103/cfg_DAYS_M)</f>
        <v/>
      </c>
      <c r="M103" s="90" t="str">
        <f aca="false">IF($B103="","",الموظفون!$M103*$I103/cfg_DAYS_M)</f>
        <v/>
      </c>
      <c r="N103" s="110" t="str">
        <f aca="false">IF($B103="","",SUMIFS('الحركات الشهرية'!$F$6:$F$1005,'الحركات الشهرية'!$B$6:$B$1005,$B103,'الحركات الشهرية'!$A$6:$A$1005,$C$3))</f>
        <v/>
      </c>
      <c r="O103" s="90" t="str">
        <f aca="false">IF($B103="","",N103*(الموظفون!$N103+الموظفون!$J103*cfg_OT_P)/cfg_DAYS_M/cfg_HRS)</f>
        <v/>
      </c>
      <c r="P103" s="90" t="str">
        <f aca="false">IF($B103="","",SUMIFS('الحركات الشهرية'!$G$6:$G$1005,'الحركات الشهرية'!$B$6:$B$1005,$B103,'الحركات الشهرية'!$A$6:$A$1005,$C$3))</f>
        <v/>
      </c>
      <c r="Q103" s="90" t="str">
        <f aca="false">IF($B103="","",SUMIFS('الحركات الشهرية'!$H$6:$H$1005,'الحركات الشهرية'!$B$6:$B$1005,$B103,'الحركات الشهرية'!$A$6:$A$1005,$C$3))</f>
        <v/>
      </c>
      <c r="R103" s="111" t="str">
        <f aca="false">IF($B103="","",SUM(J103:M103)+SUM(O103:Q103))</f>
        <v/>
      </c>
      <c r="S103" s="90" t="str">
        <f aca="false">IF($B103="","",الموظفون!$Q103*IF(E103="سعودي",cfg_G_SE,cfg_G_NE)*F103/cfg_DAYS_M)</f>
        <v/>
      </c>
      <c r="T103" s="90" t="str">
        <f aca="false">IF($B103="","",SUMIFS('الحركات الشهرية'!$I$6:$I$1005,'الحركات الشهرية'!$B$6:$B$1005,$B103,'الحركات الشهرية'!$A$6:$A$1005,$C$3))</f>
        <v/>
      </c>
      <c r="U103" s="90" t="str">
        <f aca="false">IF($B103="","",SUMIFS('الحركات الشهرية'!$J$6:$J$1005,'الحركات الشهرية'!$B$6:$B$1005,$B103,'الحركات الشهرية'!$A$6:$A$1005,$C$3))</f>
        <v/>
      </c>
      <c r="V103" s="90" t="str">
        <f aca="false">IF($B103="","",SUM(S103:U103))</f>
        <v/>
      </c>
      <c r="W103" s="112" t="str">
        <f aca="false">IF($B103="","",R103-V103)</f>
        <v/>
      </c>
      <c r="X103" s="90" t="str">
        <f aca="false">IF($B103="","",الموظفون!$Q103*IF(E103="سعودي",cfg_G_SR,cfg_G_NR)*F103/cfg_DAYS_M)</f>
        <v/>
      </c>
      <c r="Y103" s="90" t="str">
        <f aca="false">IF($B103="","",الموظفون!$O103*(cfg_EOS_R1*(MIN(AC103,cfg_EOS_TH)-MIN(AD103,cfg_EOS_TH))+cfg_EOS_R2*(MAX(AC103-cfg_EOS_TH,0)-MAX(AD103-cfg_EOS_TH,0))))</f>
        <v/>
      </c>
      <c r="Z103" s="90" t="str">
        <f aca="false">IF($B103="","",IF(الموظفون!$R103&lt;&gt;"",الموظفون!$R103,IF(AC103&gt;=cfg_LV_TH,cfg_LV_D2,cfg_LV_D1))/cfg_DAYS_Y*AE103*الموظفون!$P103/cfg_DAYS_M)</f>
        <v/>
      </c>
      <c r="AA103" s="90" t="str">
        <f aca="false">IF($B103="","",IF(AND(الموظفون!$S103="نعم",N(الموظفون!$U103)&gt;0),الموظفون!$T103/الموظفون!$U103*12/cfg_DAYS_Y*AE103,0))</f>
        <v/>
      </c>
      <c r="AB103" s="113" t="str">
        <f aca="false">IF($B103="","",R103+SUM(X103:AA103))</f>
        <v/>
      </c>
      <c r="AC103" s="114" t="str">
        <f aca="false">IF($B103="","",MAX(0,IF(OR(الموظفون!$X103="",الموظفون!$X103&gt;$G$3),$G$3,الموظفون!$X103)-الموظفون!$H103+1)/cfg_DAYS_Y)</f>
        <v/>
      </c>
      <c r="AD103" s="114" t="str">
        <f aca="false">IF($B103="","",MAX(0,IF(OR(الموظفون!$X103="",الموظفون!$X103&gt;($E$3-1)),($E$3-1),الموظفون!$X103)-الموظفون!$H103+1)/cfg_DAYS_Y)</f>
        <v/>
      </c>
      <c r="AE103" s="115" t="str">
        <f aca="false">IF($B103="","",MAX(0,IF(OR(الموظفون!$X103="",الموظفون!$X103&gt;$G$3),$G$3,الموظفون!$X103)-MAX($E$3,الموظفون!$H103)+1))</f>
        <v/>
      </c>
    </row>
    <row r="104" customFormat="false" ht="15" hidden="false" customHeight="false" outlineLevel="0" collapsed="false">
      <c r="A104" s="83" t="str">
        <f aca="false">IF($B104="","",الموظفون!$A104)</f>
        <v/>
      </c>
      <c r="B104" s="74" t="str">
        <f aca="false">IF(الموظفون!$B104="","",الموظفون!$B104)</f>
        <v/>
      </c>
      <c r="C104" s="74" t="str">
        <f aca="false">IF($B104="","",الموظفون!$C104)</f>
        <v/>
      </c>
      <c r="D104" s="74" t="str">
        <f aca="false">IF($B104="","",الموظفون!$F104)</f>
        <v/>
      </c>
      <c r="E104" s="74" t="str">
        <f aca="false">IF($B104="","",الموظفون!$E104)</f>
        <v/>
      </c>
      <c r="F104" s="105" t="str">
        <f aca="false">IF($B104="","",IF(AE104&gt;=DAY($G$3),cfg_DAYS_M,MIN(AE104,cfg_DAYS_M)))</f>
        <v/>
      </c>
      <c r="G104" s="105" t="str">
        <f aca="false">IF($B104="","",SUMIFS('الحركات الشهرية'!$D$6:$D$1005,'الحركات الشهرية'!$B$6:$B$1005,$B104,'الحركات الشهرية'!$A$6:$A$1005,$C$3))</f>
        <v/>
      </c>
      <c r="H104" s="105" t="str">
        <f aca="false">IF($B104="","",SUMIFS('الحركات الشهرية'!$E$6:$E$1005,'الحركات الشهرية'!$B$6:$B$1005,$B104,'الحركات الشهرية'!$A$6:$A$1005,$C$3))</f>
        <v/>
      </c>
      <c r="I104" s="105" t="str">
        <f aca="false">IF($B104="","",MAX(0,F104-G104-H104))</f>
        <v/>
      </c>
      <c r="J104" s="86" t="str">
        <f aca="false">IF($B104="","",الموظفون!$J104*$I104/cfg_DAYS_M)</f>
        <v/>
      </c>
      <c r="K104" s="86" t="str">
        <f aca="false">IF($B104="","",الموظفون!$K104*$I104/cfg_DAYS_M)</f>
        <v/>
      </c>
      <c r="L104" s="86" t="str">
        <f aca="false">IF($B104="","",الموظفون!$L104*$I104/cfg_DAYS_M)</f>
        <v/>
      </c>
      <c r="M104" s="86" t="str">
        <f aca="false">IF($B104="","",الموظفون!$M104*$I104/cfg_DAYS_M)</f>
        <v/>
      </c>
      <c r="N104" s="105" t="str">
        <f aca="false">IF($B104="","",SUMIFS('الحركات الشهرية'!$F$6:$F$1005,'الحركات الشهرية'!$B$6:$B$1005,$B104,'الحركات الشهرية'!$A$6:$A$1005,$C$3))</f>
        <v/>
      </c>
      <c r="O104" s="86" t="str">
        <f aca="false">IF($B104="","",N104*(الموظفون!$N104+الموظفون!$J104*cfg_OT_P)/cfg_DAYS_M/cfg_HRS)</f>
        <v/>
      </c>
      <c r="P104" s="86" t="str">
        <f aca="false">IF($B104="","",SUMIFS('الحركات الشهرية'!$G$6:$G$1005,'الحركات الشهرية'!$B$6:$B$1005,$B104,'الحركات الشهرية'!$A$6:$A$1005,$C$3))</f>
        <v/>
      </c>
      <c r="Q104" s="86" t="str">
        <f aca="false">IF($B104="","",SUMIFS('الحركات الشهرية'!$H$6:$H$1005,'الحركات الشهرية'!$B$6:$B$1005,$B104,'الحركات الشهرية'!$A$6:$A$1005,$C$3))</f>
        <v/>
      </c>
      <c r="R104" s="106" t="str">
        <f aca="false">IF($B104="","",SUM(J104:M104)+SUM(O104:Q104))</f>
        <v/>
      </c>
      <c r="S104" s="86" t="str">
        <f aca="false">IF($B104="","",الموظفون!$Q104*IF(E104="سعودي",cfg_G_SE,cfg_G_NE)*F104/cfg_DAYS_M)</f>
        <v/>
      </c>
      <c r="T104" s="86" t="str">
        <f aca="false">IF($B104="","",SUMIFS('الحركات الشهرية'!$I$6:$I$1005,'الحركات الشهرية'!$B$6:$B$1005,$B104,'الحركات الشهرية'!$A$6:$A$1005,$C$3))</f>
        <v/>
      </c>
      <c r="U104" s="86" t="str">
        <f aca="false">IF($B104="","",SUMIFS('الحركات الشهرية'!$J$6:$J$1005,'الحركات الشهرية'!$B$6:$B$1005,$B104,'الحركات الشهرية'!$A$6:$A$1005,$C$3))</f>
        <v/>
      </c>
      <c r="V104" s="86" t="str">
        <f aca="false">IF($B104="","",SUM(S104:U104))</f>
        <v/>
      </c>
      <c r="W104" s="107" t="str">
        <f aca="false">IF($B104="","",R104-V104)</f>
        <v/>
      </c>
      <c r="X104" s="86" t="str">
        <f aca="false">IF($B104="","",الموظفون!$Q104*IF(E104="سعودي",cfg_G_SR,cfg_G_NR)*F104/cfg_DAYS_M)</f>
        <v/>
      </c>
      <c r="Y104" s="86" t="str">
        <f aca="false">IF($B104="","",الموظفون!$O104*(cfg_EOS_R1*(MIN(AC104,cfg_EOS_TH)-MIN(AD104,cfg_EOS_TH))+cfg_EOS_R2*(MAX(AC104-cfg_EOS_TH,0)-MAX(AD104-cfg_EOS_TH,0))))</f>
        <v/>
      </c>
      <c r="Z104" s="86" t="str">
        <f aca="false">IF($B104="","",IF(الموظفون!$R104&lt;&gt;"",الموظفون!$R104,IF(AC104&gt;=cfg_LV_TH,cfg_LV_D2,cfg_LV_D1))/cfg_DAYS_Y*AE104*الموظفون!$P104/cfg_DAYS_M)</f>
        <v/>
      </c>
      <c r="AA104" s="86" t="str">
        <f aca="false">IF($B104="","",IF(AND(الموظفون!$S104="نعم",N(الموظفون!$U104)&gt;0),الموظفون!$T104/الموظفون!$U104*12/cfg_DAYS_Y*AE104,0))</f>
        <v/>
      </c>
      <c r="AB104" s="108" t="str">
        <f aca="false">IF($B104="","",R104+SUM(X104:AA104))</f>
        <v/>
      </c>
      <c r="AC104" s="109" t="str">
        <f aca="false">IF($B104="","",MAX(0,IF(OR(الموظفون!$X104="",الموظفون!$X104&gt;$G$3),$G$3,الموظفون!$X104)-الموظفون!$H104+1)/cfg_DAYS_Y)</f>
        <v/>
      </c>
      <c r="AD104" s="109" t="str">
        <f aca="false">IF($B104="","",MAX(0,IF(OR(الموظفون!$X104="",الموظفون!$X104&gt;($E$3-1)),($E$3-1),الموظفون!$X104)-الموظفون!$H104+1)/cfg_DAYS_Y)</f>
        <v/>
      </c>
      <c r="AE104" s="51" t="str">
        <f aca="false">IF($B104="","",MAX(0,IF(OR(الموظفون!$X104="",الموظفون!$X104&gt;$G$3),$G$3,الموظفون!$X104)-MAX($E$3,الموظفون!$H104)+1))</f>
        <v/>
      </c>
    </row>
    <row r="105" customFormat="false" ht="15" hidden="false" customHeight="false" outlineLevel="0" collapsed="false">
      <c r="A105" s="89" t="str">
        <f aca="false">IF($B105="","",الموظفون!$A105)</f>
        <v/>
      </c>
      <c r="B105" s="91" t="str">
        <f aca="false">IF(الموظفون!$B105="","",الموظفون!$B105)</f>
        <v/>
      </c>
      <c r="C105" s="91" t="str">
        <f aca="false">IF($B105="","",الموظفون!$C105)</f>
        <v/>
      </c>
      <c r="D105" s="91" t="str">
        <f aca="false">IF($B105="","",الموظفون!$F105)</f>
        <v/>
      </c>
      <c r="E105" s="91" t="str">
        <f aca="false">IF($B105="","",الموظفون!$E105)</f>
        <v/>
      </c>
      <c r="F105" s="110" t="str">
        <f aca="false">IF($B105="","",IF(AE105&gt;=DAY($G$3),cfg_DAYS_M,MIN(AE105,cfg_DAYS_M)))</f>
        <v/>
      </c>
      <c r="G105" s="110" t="str">
        <f aca="false">IF($B105="","",SUMIFS('الحركات الشهرية'!$D$6:$D$1005,'الحركات الشهرية'!$B$6:$B$1005,$B105,'الحركات الشهرية'!$A$6:$A$1005,$C$3))</f>
        <v/>
      </c>
      <c r="H105" s="110" t="str">
        <f aca="false">IF($B105="","",SUMIFS('الحركات الشهرية'!$E$6:$E$1005,'الحركات الشهرية'!$B$6:$B$1005,$B105,'الحركات الشهرية'!$A$6:$A$1005,$C$3))</f>
        <v/>
      </c>
      <c r="I105" s="110" t="str">
        <f aca="false">IF($B105="","",MAX(0,F105-G105-H105))</f>
        <v/>
      </c>
      <c r="J105" s="90" t="str">
        <f aca="false">IF($B105="","",الموظفون!$J105*$I105/cfg_DAYS_M)</f>
        <v/>
      </c>
      <c r="K105" s="90" t="str">
        <f aca="false">IF($B105="","",الموظفون!$K105*$I105/cfg_DAYS_M)</f>
        <v/>
      </c>
      <c r="L105" s="90" t="str">
        <f aca="false">IF($B105="","",الموظفون!$L105*$I105/cfg_DAYS_M)</f>
        <v/>
      </c>
      <c r="M105" s="90" t="str">
        <f aca="false">IF($B105="","",الموظفون!$M105*$I105/cfg_DAYS_M)</f>
        <v/>
      </c>
      <c r="N105" s="110" t="str">
        <f aca="false">IF($B105="","",SUMIFS('الحركات الشهرية'!$F$6:$F$1005,'الحركات الشهرية'!$B$6:$B$1005,$B105,'الحركات الشهرية'!$A$6:$A$1005,$C$3))</f>
        <v/>
      </c>
      <c r="O105" s="90" t="str">
        <f aca="false">IF($B105="","",N105*(الموظفون!$N105+الموظفون!$J105*cfg_OT_P)/cfg_DAYS_M/cfg_HRS)</f>
        <v/>
      </c>
      <c r="P105" s="90" t="str">
        <f aca="false">IF($B105="","",SUMIFS('الحركات الشهرية'!$G$6:$G$1005,'الحركات الشهرية'!$B$6:$B$1005,$B105,'الحركات الشهرية'!$A$6:$A$1005,$C$3))</f>
        <v/>
      </c>
      <c r="Q105" s="90" t="str">
        <f aca="false">IF($B105="","",SUMIFS('الحركات الشهرية'!$H$6:$H$1005,'الحركات الشهرية'!$B$6:$B$1005,$B105,'الحركات الشهرية'!$A$6:$A$1005,$C$3))</f>
        <v/>
      </c>
      <c r="R105" s="111" t="str">
        <f aca="false">IF($B105="","",SUM(J105:M105)+SUM(O105:Q105))</f>
        <v/>
      </c>
      <c r="S105" s="90" t="str">
        <f aca="false">IF($B105="","",الموظفون!$Q105*IF(E105="سعودي",cfg_G_SE,cfg_G_NE)*F105/cfg_DAYS_M)</f>
        <v/>
      </c>
      <c r="T105" s="90" t="str">
        <f aca="false">IF($B105="","",SUMIFS('الحركات الشهرية'!$I$6:$I$1005,'الحركات الشهرية'!$B$6:$B$1005,$B105,'الحركات الشهرية'!$A$6:$A$1005,$C$3))</f>
        <v/>
      </c>
      <c r="U105" s="90" t="str">
        <f aca="false">IF($B105="","",SUMIFS('الحركات الشهرية'!$J$6:$J$1005,'الحركات الشهرية'!$B$6:$B$1005,$B105,'الحركات الشهرية'!$A$6:$A$1005,$C$3))</f>
        <v/>
      </c>
      <c r="V105" s="90" t="str">
        <f aca="false">IF($B105="","",SUM(S105:U105))</f>
        <v/>
      </c>
      <c r="W105" s="112" t="str">
        <f aca="false">IF($B105="","",R105-V105)</f>
        <v/>
      </c>
      <c r="X105" s="90" t="str">
        <f aca="false">IF($B105="","",الموظفون!$Q105*IF(E105="سعودي",cfg_G_SR,cfg_G_NR)*F105/cfg_DAYS_M)</f>
        <v/>
      </c>
      <c r="Y105" s="90" t="str">
        <f aca="false">IF($B105="","",الموظفون!$O105*(cfg_EOS_R1*(MIN(AC105,cfg_EOS_TH)-MIN(AD105,cfg_EOS_TH))+cfg_EOS_R2*(MAX(AC105-cfg_EOS_TH,0)-MAX(AD105-cfg_EOS_TH,0))))</f>
        <v/>
      </c>
      <c r="Z105" s="90" t="str">
        <f aca="false">IF($B105="","",IF(الموظفون!$R105&lt;&gt;"",الموظفون!$R105,IF(AC105&gt;=cfg_LV_TH,cfg_LV_D2,cfg_LV_D1))/cfg_DAYS_Y*AE105*الموظفون!$P105/cfg_DAYS_M)</f>
        <v/>
      </c>
      <c r="AA105" s="90" t="str">
        <f aca="false">IF($B105="","",IF(AND(الموظفون!$S105="نعم",N(الموظفون!$U105)&gt;0),الموظفون!$T105/الموظفون!$U105*12/cfg_DAYS_Y*AE105,0))</f>
        <v/>
      </c>
      <c r="AB105" s="113" t="str">
        <f aca="false">IF($B105="","",R105+SUM(X105:AA105))</f>
        <v/>
      </c>
      <c r="AC105" s="114" t="str">
        <f aca="false">IF($B105="","",MAX(0,IF(OR(الموظفون!$X105="",الموظفون!$X105&gt;$G$3),$G$3,الموظفون!$X105)-الموظفون!$H105+1)/cfg_DAYS_Y)</f>
        <v/>
      </c>
      <c r="AD105" s="114" t="str">
        <f aca="false">IF($B105="","",MAX(0,IF(OR(الموظفون!$X105="",الموظفون!$X105&gt;($E$3-1)),($E$3-1),الموظفون!$X105)-الموظفون!$H105+1)/cfg_DAYS_Y)</f>
        <v/>
      </c>
      <c r="AE105" s="115" t="str">
        <f aca="false">IF($B105="","",MAX(0,IF(OR(الموظفون!$X105="",الموظفون!$X105&gt;$G$3),$G$3,الموظفون!$X105)-MAX($E$3,الموظفون!$H105)+1))</f>
        <v/>
      </c>
    </row>
    <row r="106" customFormat="false" ht="24" hidden="false" customHeight="true" outlineLevel="0" collapsed="false">
      <c r="A106" s="92"/>
      <c r="B106" s="92" t="str">
        <f aca="false">COUNTIF(F6:F105,"&gt;0")&amp;" موظف"</f>
        <v>11 موظف</v>
      </c>
      <c r="C106" s="92" t="s">
        <v>101</v>
      </c>
      <c r="D106" s="92"/>
      <c r="E106" s="92"/>
      <c r="F106" s="92"/>
      <c r="G106" s="116" t="n">
        <f aca="false">SUM(G6:G105)</f>
        <v>1</v>
      </c>
      <c r="H106" s="116" t="n">
        <f aca="false">SUM(H6:H105)</f>
        <v>0</v>
      </c>
      <c r="I106" s="116" t="n">
        <f aca="false">SUM(I6:I105)</f>
        <v>329</v>
      </c>
      <c r="J106" s="92" t="n">
        <f aca="false">SUM(J6:J105)</f>
        <v>132283.333333333</v>
      </c>
      <c r="K106" s="92" t="n">
        <f aca="false">SUM(K6:K105)</f>
        <v>33070.8333333333</v>
      </c>
      <c r="L106" s="92" t="n">
        <f aca="false">SUM(L6:L105)</f>
        <v>13228.3333333333</v>
      </c>
      <c r="M106" s="92" t="n">
        <f aca="false">SUM(M6:M105)</f>
        <v>10290</v>
      </c>
      <c r="N106" s="116" t="n">
        <f aca="false">SUM(N6:N105)</f>
        <v>32</v>
      </c>
      <c r="O106" s="92" t="n">
        <f aca="false">SUM(O6:O105)</f>
        <v>1838.33333333333</v>
      </c>
      <c r="P106" s="92" t="n">
        <f aca="false">SUM(P6:P105)</f>
        <v>0</v>
      </c>
      <c r="Q106" s="92" t="n">
        <f aca="false">SUM(Q6:Q105)</f>
        <v>0</v>
      </c>
      <c r="R106" s="92" t="n">
        <f aca="false">SUM(R6:R105)</f>
        <v>190710.833333333</v>
      </c>
      <c r="S106" s="92" t="n">
        <f aca="false">SUM(S6:S105)</f>
        <v>11273.4375</v>
      </c>
      <c r="T106" s="92" t="n">
        <f aca="false">SUM(T6:T105)</f>
        <v>1000</v>
      </c>
      <c r="U106" s="92" t="n">
        <f aca="false">SUM(U6:U105)</f>
        <v>100</v>
      </c>
      <c r="V106" s="92" t="n">
        <f aca="false">SUM(V6:V105)</f>
        <v>12373.4375</v>
      </c>
      <c r="W106" s="92" t="n">
        <f aca="false">SUM(W6:W105)</f>
        <v>178337.395833333</v>
      </c>
      <c r="X106" s="92" t="n">
        <f aca="false">SUM(X6:X105)</f>
        <v>14585.9375</v>
      </c>
      <c r="Y106" s="92" t="n">
        <f aca="false">SUM(Y6:Y105)</f>
        <v>13708.0479452055</v>
      </c>
      <c r="Z106" s="92" t="n">
        <f aca="false">SUM(Z6:Z105)</f>
        <v>14521.3767123288</v>
      </c>
      <c r="AA106" s="92" t="n">
        <f aca="false">SUM(AA6:AA105)</f>
        <v>959.72602739726</v>
      </c>
      <c r="AB106" s="92" t="n">
        <f aca="false">SUM(AB6:AB105)</f>
        <v>234485.921518265</v>
      </c>
      <c r="AC106" s="92"/>
      <c r="AD106" s="92"/>
      <c r="AE106" s="92"/>
    </row>
    <row r="107" customFormat="false" ht="43.5" hidden="false" customHeight="true" outlineLevel="0" collapsed="false">
      <c r="A107" s="21" t="s">
        <v>347</v>
      </c>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row>
  </sheetData>
  <autoFilter ref="A5:AE105"/>
  <mergeCells count="4">
    <mergeCell ref="A1:AB1"/>
    <mergeCell ref="A2:AB2"/>
    <mergeCell ref="L3:M3"/>
    <mergeCell ref="A107:AE107"/>
  </mergeCells>
  <conditionalFormatting sqref="H3">
    <cfRule type="expression" priority="2" aboveAverage="0" equalAverage="0" bottom="0" percent="0" rank="0" text="" dxfId="0">
      <formula>ISNUMBER(SEARCH("✔",H3))</formula>
    </cfRule>
    <cfRule type="expression" priority="3" aboveAverage="0" equalAverage="0" bottom="0" percent="0" rank="0" text="" dxfId="1">
      <formula>ISNUMBER(SEARCH("✖",H3))</formula>
    </cfRule>
    <cfRule type="expression" priority="4" aboveAverage="0" equalAverage="0" bottom="0" percent="0" rank="0" text="" dxfId="2">
      <formula>ISNUMBER(SEARCH("⚠",H3))</formula>
    </cfRule>
  </conditionalFormatting>
  <conditionalFormatting sqref="A6:AE105">
    <cfRule type="expression" priority="5" aboveAverage="0" equalAverage="0" bottom="0" percent="0" rank="0" text="" dxfId="20">
      <formula>AND($B6&lt;&gt;"",$F6=0)</formula>
    </cfRule>
  </conditionalFormatting>
  <conditionalFormatting sqref="W6:W105">
    <cfRule type="expression" priority="6" aboveAverage="0" equalAverage="0" bottom="0" percent="0" rank="0" text="" dxfId="1">
      <formula>AND(ISNUMBER(W6),W6&lt;0)</formula>
    </cfRule>
  </conditionalFormatting>
  <hyperlinks>
    <hyperlink ref="L3" location="'مسير فبراير'!A1" display="الشهر التالي ▶"/>
    <hyperlink ref="O3" location="'الرئيسية'!A1" display="🏠 الرئيسية"/>
    <hyperlink ref="P3" location="'لوحة التحكم'!A1" display="📊 لوحة التحكم"/>
    <hyperlink ref="R3" location="'الموظفون'!A1" display="👥 الموظفون"/>
    <hyperlink ref="S3" location="'الحركات الشهرية'!A1" display="✍ الحركات"/>
    <hyperlink ref="U3" location="'الملخص الشهري'!A1" display="📅 الملخص الشهري"/>
    <hyperlink ref="W3" location="'قيود الرواتب'!A1" display="🧾 القيود"/>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5621"/>
    <pageSetUpPr fitToPage="true"/>
  </sheetPr>
  <dimension ref="A1:AE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9"/>
    <col collapsed="false" customWidth="true" hidden="false" outlineLevel="0" max="8" min="7" style="0" width="8"/>
    <col collapsed="false" customWidth="true" hidden="false" outlineLevel="0" max="9" min="9" style="0" width="9"/>
    <col collapsed="false" customWidth="true" hidden="false" outlineLevel="0" max="10" min="10" style="0" width="12"/>
    <col collapsed="false" customWidth="true" hidden="false" outlineLevel="0" max="11" min="11" style="0" width="11"/>
    <col collapsed="false" customWidth="true" hidden="false" outlineLevel="0" max="13" min="12" style="0" width="10"/>
    <col collapsed="false" customWidth="true" hidden="false" outlineLevel="0" max="14" min="14" style="0" width="8"/>
    <col collapsed="false" customWidth="true" hidden="false" outlineLevel="0" max="17" min="15" style="0" width="11"/>
    <col collapsed="false" customWidth="true" hidden="false" outlineLevel="0" max="18" min="18" style="0" width="13"/>
    <col collapsed="false" customWidth="true" hidden="false" outlineLevel="0" max="19" min="19" style="0" width="11"/>
    <col collapsed="false" customWidth="true" hidden="false" outlineLevel="0" max="21" min="20" style="0" width="10"/>
    <col collapsed="false" customWidth="true" hidden="false" outlineLevel="0" max="22" min="22" style="0" width="12"/>
    <col collapsed="false" customWidth="true" hidden="false" outlineLevel="0" max="23" min="23" style="0" width="13"/>
    <col collapsed="false" customWidth="true" hidden="false" outlineLevel="0" max="24" min="24" style="0" width="11"/>
    <col collapsed="false" customWidth="true" hidden="false" outlineLevel="0" max="25" min="25" style="0" width="12"/>
    <col collapsed="false" customWidth="true" hidden="false" outlineLevel="0" max="27" min="26" style="0" width="11"/>
    <col collapsed="false" customWidth="true" hidden="false" outlineLevel="0" max="28" min="28" style="0" width="13"/>
    <col collapsed="false" customWidth="true" hidden="false" outlineLevel="0" max="31" min="29" style="0" width="9"/>
  </cols>
  <sheetData>
    <row r="1" customFormat="false" ht="37.5" hidden="false" customHeight="true" outlineLevel="0" collapsed="false">
      <c r="A1" s="1" t="str">
        <f aca="false">"💵 مسير رواتب شهر فبراير "&amp;cfg_FY</f>
        <v>💵 مسير رواتب شهر فبراير 2026</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9.5" hidden="false" customHeight="true" outlineLevel="0" collapsed="false">
      <c r="A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row>
    <row r="3" customFormat="false" ht="25.5" hidden="false" customHeight="true" outlineLevel="0" collapsed="false">
      <c r="B3" s="93" t="s">
        <v>103</v>
      </c>
      <c r="C3" s="94" t="n">
        <v>2</v>
      </c>
      <c r="D3" s="93" t="s">
        <v>322</v>
      </c>
      <c r="E3" s="95" t="n">
        <f aca="false">DATE(cfg_FY,C3,1)</f>
        <v>46054</v>
      </c>
      <c r="F3" s="93" t="s">
        <v>323</v>
      </c>
      <c r="G3" s="95" t="n">
        <f aca="false">EOMONTH(E3,0)</f>
        <v>46081</v>
      </c>
      <c r="H3" s="96" t="str">
        <f aca="false">IF(C3&lt;=cfg_VAL_M,"✔ فعلي","⚠ متوقع")</f>
        <v>✔ فعلي</v>
      </c>
      <c r="J3" s="97" t="s">
        <v>348</v>
      </c>
      <c r="K3" s="97"/>
      <c r="L3" s="97" t="s">
        <v>324</v>
      </c>
      <c r="M3" s="97"/>
      <c r="O3" s="22" t="s">
        <v>61</v>
      </c>
      <c r="P3" s="12" t="s">
        <v>111</v>
      </c>
      <c r="R3" s="23" t="s">
        <v>63</v>
      </c>
      <c r="S3" s="23" t="s">
        <v>64</v>
      </c>
      <c r="U3" s="23" t="s">
        <v>39</v>
      </c>
      <c r="W3" s="23" t="s">
        <v>65</v>
      </c>
    </row>
    <row r="4" customFormat="false" ht="7.5" hidden="false" customHeight="true" outlineLevel="0" collapsed="false"/>
    <row r="5" customFormat="false" ht="48" hidden="false" customHeight="true" outlineLevel="0" collapsed="false">
      <c r="A5" s="98" t="s">
        <v>207</v>
      </c>
      <c r="B5" s="98" t="s">
        <v>208</v>
      </c>
      <c r="C5" s="98" t="s">
        <v>209</v>
      </c>
      <c r="D5" s="98" t="s">
        <v>96</v>
      </c>
      <c r="E5" s="98" t="s">
        <v>84</v>
      </c>
      <c r="F5" s="99" t="s">
        <v>325</v>
      </c>
      <c r="G5" s="99" t="s">
        <v>326</v>
      </c>
      <c r="H5" s="99" t="s">
        <v>327</v>
      </c>
      <c r="I5" s="99" t="s">
        <v>328</v>
      </c>
      <c r="J5" s="100" t="s">
        <v>329</v>
      </c>
      <c r="K5" s="100" t="s">
        <v>330</v>
      </c>
      <c r="L5" s="100" t="s">
        <v>331</v>
      </c>
      <c r="M5" s="100" t="s">
        <v>332</v>
      </c>
      <c r="N5" s="100" t="s">
        <v>333</v>
      </c>
      <c r="O5" s="100" t="s">
        <v>334</v>
      </c>
      <c r="P5" s="100" t="s">
        <v>298</v>
      </c>
      <c r="Q5" s="100" t="s">
        <v>335</v>
      </c>
      <c r="R5" s="100" t="s">
        <v>74</v>
      </c>
      <c r="S5" s="101" t="s">
        <v>336</v>
      </c>
      <c r="T5" s="101" t="s">
        <v>300</v>
      </c>
      <c r="U5" s="101" t="s">
        <v>301</v>
      </c>
      <c r="V5" s="101" t="s">
        <v>337</v>
      </c>
      <c r="W5" s="102" t="s">
        <v>338</v>
      </c>
      <c r="X5" s="103" t="s">
        <v>339</v>
      </c>
      <c r="Y5" s="103" t="s">
        <v>340</v>
      </c>
      <c r="Z5" s="103" t="s">
        <v>341</v>
      </c>
      <c r="AA5" s="103" t="s">
        <v>342</v>
      </c>
      <c r="AB5" s="103" t="s">
        <v>343</v>
      </c>
      <c r="AC5" s="104" t="s">
        <v>344</v>
      </c>
      <c r="AD5" s="104" t="s">
        <v>345</v>
      </c>
      <c r="AE5" s="104" t="s">
        <v>346</v>
      </c>
    </row>
    <row r="6" customFormat="false" ht="15" hidden="false" customHeight="false" outlineLevel="0" collapsed="false">
      <c r="A6" s="83" t="n">
        <f aca="false">IF($B6="","",الموظفون!$A6)</f>
        <v>1</v>
      </c>
      <c r="B6" s="74" t="str">
        <f aca="false">IF(الموظفون!$B6="","",الموظفون!$B6)</f>
        <v>E001</v>
      </c>
      <c r="C6" s="74" t="str">
        <f aca="false">IF($B6="","",الموظفون!$C6)</f>
        <v>عبدالله محمد العتيبي</v>
      </c>
      <c r="D6" s="74" t="str">
        <f aca="false">IF($B6="","",الموظفون!$F6)</f>
        <v>الإدارة العليا</v>
      </c>
      <c r="E6" s="74" t="str">
        <f aca="false">IF($B6="","",الموظفون!$E6)</f>
        <v>سعودي</v>
      </c>
      <c r="F6" s="105" t="n">
        <f aca="false">IF($B6="","",IF(AE6&gt;=DAY($G$3),cfg_DAYS_M,MIN(AE6,cfg_DAYS_M)))</f>
        <v>30</v>
      </c>
      <c r="G6" s="105" t="n">
        <f aca="false">IF($B6="","",SUMIFS('الحركات الشهرية'!$D$6:$D$1005,'الحركات الشهرية'!$B$6:$B$1005,$B6,'الحركات الشهرية'!$A$6:$A$1005,$C$3))</f>
        <v>0</v>
      </c>
      <c r="H6" s="105" t="n">
        <f aca="false">IF($B6="","",SUMIFS('الحركات الشهرية'!$E$6:$E$1005,'الحركات الشهرية'!$B$6:$B$1005,$B6,'الحركات الشهرية'!$A$6:$A$1005,$C$3))</f>
        <v>0</v>
      </c>
      <c r="I6" s="105" t="n">
        <f aca="false">IF($B6="","",MAX(0,F6-G6-H6))</f>
        <v>30</v>
      </c>
      <c r="J6" s="86" t="n">
        <f aca="false">IF($B6="","",الموظفون!$J6*$I6/cfg_DAYS_M)</f>
        <v>28000</v>
      </c>
      <c r="K6" s="86" t="n">
        <f aca="false">IF($B6="","",الموظفون!$K6*$I6/cfg_DAYS_M)</f>
        <v>7000</v>
      </c>
      <c r="L6" s="86" t="n">
        <f aca="false">IF($B6="","",الموظفون!$L6*$I6/cfg_DAYS_M)</f>
        <v>2800</v>
      </c>
      <c r="M6" s="86" t="n">
        <f aca="false">IF($B6="","",الموظفون!$M6*$I6/cfg_DAYS_M)</f>
        <v>3000</v>
      </c>
      <c r="N6" s="105" t="n">
        <f aca="false">IF($B6="","",SUMIFS('الحركات الشهرية'!$F$6:$F$1005,'الحركات الشهرية'!$B$6:$B$1005,$B6,'الحركات الشهرية'!$A$6:$A$1005,$C$3))</f>
        <v>0</v>
      </c>
      <c r="O6" s="86" t="n">
        <f aca="false">IF($B6="","",N6*(الموظفون!$N6+الموظفون!$J6*cfg_OT_P)/cfg_DAYS_M/cfg_HRS)</f>
        <v>0</v>
      </c>
      <c r="P6" s="86" t="n">
        <f aca="false">IF($B6="","",SUMIFS('الحركات الشهرية'!$G$6:$G$1005,'الحركات الشهرية'!$B$6:$B$1005,$B6,'الحركات الشهرية'!$A$6:$A$1005,$C$3))</f>
        <v>0</v>
      </c>
      <c r="Q6" s="86" t="n">
        <f aca="false">IF($B6="","",SUMIFS('الحركات الشهرية'!$H$6:$H$1005,'الحركات الشهرية'!$B$6:$B$1005,$B6,'الحركات الشهرية'!$A$6:$A$1005,$C$3))</f>
        <v>0</v>
      </c>
      <c r="R6" s="106" t="n">
        <f aca="false">IF($B6="","",SUM(J6:M6)+SUM(O6:Q6))</f>
        <v>40800</v>
      </c>
      <c r="S6" s="86" t="n">
        <f aca="false">IF($B6="","",الموظفون!$Q6*IF(E6="سعودي",cfg_G_SE,cfg_G_NE)*F6/cfg_DAYS_M)</f>
        <v>3412.5</v>
      </c>
      <c r="T6" s="86" t="n">
        <f aca="false">IF($B6="","",SUMIFS('الحركات الشهرية'!$I$6:$I$1005,'الحركات الشهرية'!$B$6:$B$1005,$B6,'الحركات الشهرية'!$A$6:$A$1005,$C$3))</f>
        <v>0</v>
      </c>
      <c r="U6" s="86" t="n">
        <f aca="false">IF($B6="","",SUMIFS('الحركات الشهرية'!$J$6:$J$1005,'الحركات الشهرية'!$B$6:$B$1005,$B6,'الحركات الشهرية'!$A$6:$A$1005,$C$3))</f>
        <v>0</v>
      </c>
      <c r="V6" s="86" t="n">
        <f aca="false">IF($B6="","",SUM(S6:U6))</f>
        <v>3412.5</v>
      </c>
      <c r="W6" s="107" t="n">
        <f aca="false">IF($B6="","",R6-V6)</f>
        <v>37387.5</v>
      </c>
      <c r="X6" s="86" t="n">
        <f aca="false">IF($B6="","",الموظفون!$Q6*IF(E6="سعودي",cfg_G_SR,cfg_G_NR)*F6/cfg_DAYS_M)</f>
        <v>4112.5</v>
      </c>
      <c r="Y6" s="86" t="n">
        <f aca="false">IF($B6="","",الموظفون!$O6*(cfg_EOS_R1*(MIN(AC6,cfg_EOS_TH)-MIN(AD6,cfg_EOS_TH))+cfg_EOS_R2*(MAX(AC6-cfg_EOS_TH,0)-MAX(AD6-cfg_EOS_TH,0))))</f>
        <v>2899.7260273973</v>
      </c>
      <c r="Z6" s="86" t="n">
        <f aca="false">IF($B6="","",IF(الموظفون!$R6&lt;&gt;"",الموظفون!$R6,IF(AC6&gt;=cfg_LV_TH,cfg_LV_D2,cfg_LV_D1))/cfg_DAYS_Y*AE6*الموظفون!$P6/cfg_DAYS_M)</f>
        <v>2899.72602739726</v>
      </c>
      <c r="AA6" s="86" t="n">
        <f aca="false">IF($B6="","",IF(AND(الموظفون!$S6="نعم",N(الموظفون!$U6)&gt;0),الموظفون!$T6/الموظفون!$U6*12/cfg_DAYS_Y*AE6,0))</f>
        <v>0</v>
      </c>
      <c r="AB6" s="108" t="n">
        <f aca="false">IF($B6="","",R6+SUM(X6:AA6))</f>
        <v>50711.9520547946</v>
      </c>
      <c r="AC6" s="109" t="n">
        <f aca="false">IF($B6="","",MAX(0,IF(OR(الموظفون!$X6="",الموظفون!$X6&gt;$G$3),$G$3,الموظفون!$X6)-الموظفون!$H6+1)/cfg_DAYS_Y)</f>
        <v>14.1342465753425</v>
      </c>
      <c r="AD6" s="109" t="n">
        <f aca="false">IF($B6="","",MAX(0,IF(OR(الموظفون!$X6="",الموظفون!$X6&gt;($E$3-1)),($E$3-1),الموظفون!$X6)-الموظفون!$H6+1)/cfg_DAYS_Y)</f>
        <v>14.0575342465753</v>
      </c>
      <c r="AE6" s="51" t="n">
        <f aca="false">IF($B6="","",MAX(0,IF(OR(الموظفون!$X6="",الموظفون!$X6&gt;$G$3),$G$3,الموظفون!$X6)-MAX($E$3,الموظفون!$H6)+1))</f>
        <v>28</v>
      </c>
    </row>
    <row r="7" customFormat="false" ht="15" hidden="false" customHeight="false" outlineLevel="0" collapsed="false">
      <c r="A7" s="89" t="n">
        <f aca="false">IF($B7="","",الموظفون!$A7)</f>
        <v>2</v>
      </c>
      <c r="B7" s="91" t="str">
        <f aca="false">IF(الموظفون!$B7="","",الموظفون!$B7)</f>
        <v>E002</v>
      </c>
      <c r="C7" s="91" t="str">
        <f aca="false">IF($B7="","",الموظفون!$C7)</f>
        <v>أحمد سعيد القحطاني</v>
      </c>
      <c r="D7" s="91" t="str">
        <f aca="false">IF($B7="","",الموظفون!$F7)</f>
        <v>المالية</v>
      </c>
      <c r="E7" s="91" t="str">
        <f aca="false">IF($B7="","",الموظفون!$E7)</f>
        <v>سعودي</v>
      </c>
      <c r="F7" s="110" t="n">
        <f aca="false">IF($B7="","",IF(AE7&gt;=DAY($G$3),cfg_DAYS_M,MIN(AE7,cfg_DAYS_M)))</f>
        <v>30</v>
      </c>
      <c r="G7" s="110" t="n">
        <f aca="false">IF($B7="","",SUMIFS('الحركات الشهرية'!$D$6:$D$1005,'الحركات الشهرية'!$B$6:$B$1005,$B7,'الحركات الشهرية'!$A$6:$A$1005,$C$3))</f>
        <v>0</v>
      </c>
      <c r="H7" s="110" t="n">
        <f aca="false">IF($B7="","",SUMIFS('الحركات الشهرية'!$E$6:$E$1005,'الحركات الشهرية'!$B$6:$B$1005,$B7,'الحركات الشهرية'!$A$6:$A$1005,$C$3))</f>
        <v>0</v>
      </c>
      <c r="I7" s="110" t="n">
        <f aca="false">IF($B7="","",MAX(0,F7-G7-H7))</f>
        <v>30</v>
      </c>
      <c r="J7" s="90" t="n">
        <f aca="false">IF($B7="","",الموظفون!$J7*$I7/cfg_DAYS_M)</f>
        <v>18000</v>
      </c>
      <c r="K7" s="90" t="n">
        <f aca="false">IF($B7="","",الموظفون!$K7*$I7/cfg_DAYS_M)</f>
        <v>4500</v>
      </c>
      <c r="L7" s="90" t="n">
        <f aca="false">IF($B7="","",الموظفون!$L7*$I7/cfg_DAYS_M)</f>
        <v>1800</v>
      </c>
      <c r="M7" s="90" t="n">
        <f aca="false">IF($B7="","",الموظفون!$M7*$I7/cfg_DAYS_M)</f>
        <v>1000</v>
      </c>
      <c r="N7" s="110" t="n">
        <f aca="false">IF($B7="","",SUMIFS('الحركات الشهرية'!$F$6:$F$1005,'الحركات الشهرية'!$B$6:$B$1005,$B7,'الحركات الشهرية'!$A$6:$A$1005,$C$3))</f>
        <v>0</v>
      </c>
      <c r="O7" s="90" t="n">
        <f aca="false">IF($B7="","",N7*(الموظفون!$N7+الموظفون!$J7*cfg_OT_P)/cfg_DAYS_M/cfg_HRS)</f>
        <v>0</v>
      </c>
      <c r="P7" s="90" t="n">
        <f aca="false">IF($B7="","",SUMIFS('الحركات الشهرية'!$G$6:$G$1005,'الحركات الشهرية'!$B$6:$B$1005,$B7,'الحركات الشهرية'!$A$6:$A$1005,$C$3))</f>
        <v>0</v>
      </c>
      <c r="Q7" s="90" t="n">
        <f aca="false">IF($B7="","",SUMIFS('الحركات الشهرية'!$H$6:$H$1005,'الحركات الشهرية'!$B$6:$B$1005,$B7,'الحركات الشهرية'!$A$6:$A$1005,$C$3))</f>
        <v>0</v>
      </c>
      <c r="R7" s="111" t="n">
        <f aca="false">IF($B7="","",SUM(J7:M7)+SUM(O7:Q7))</f>
        <v>25300</v>
      </c>
      <c r="S7" s="90" t="n">
        <f aca="false">IF($B7="","",الموظفون!$Q7*IF(E7="سعودي",cfg_G_SE,cfg_G_NE)*F7/cfg_DAYS_M)</f>
        <v>2193.75</v>
      </c>
      <c r="T7" s="90" t="n">
        <f aca="false">IF($B7="","",SUMIFS('الحركات الشهرية'!$I$6:$I$1005,'الحركات الشهرية'!$B$6:$B$1005,$B7,'الحركات الشهرية'!$A$6:$A$1005,$C$3))</f>
        <v>0</v>
      </c>
      <c r="U7" s="90" t="n">
        <f aca="false">IF($B7="","",SUMIFS('الحركات الشهرية'!$J$6:$J$1005,'الحركات الشهرية'!$B$6:$B$1005,$B7,'الحركات الشهرية'!$A$6:$A$1005,$C$3))</f>
        <v>0</v>
      </c>
      <c r="V7" s="90" t="n">
        <f aca="false">IF($B7="","",SUM(S7:U7))</f>
        <v>2193.75</v>
      </c>
      <c r="W7" s="112" t="n">
        <f aca="false">IF($B7="","",R7-V7)</f>
        <v>23106.25</v>
      </c>
      <c r="X7" s="90" t="n">
        <f aca="false">IF($B7="","",الموظفون!$Q7*IF(E7="سعودي",cfg_G_SR,cfg_G_NR)*F7/cfg_DAYS_M)</f>
        <v>2643.75</v>
      </c>
      <c r="Y7" s="90" t="n">
        <f aca="false">IF($B7="","",الموظفون!$O7*(cfg_EOS_R1*(MIN(AC7,cfg_EOS_TH)-MIN(AD7,cfg_EOS_TH))+cfg_EOS_R2*(MAX(AC7-cfg_EOS_TH,0)-MAX(AD7-cfg_EOS_TH,0))))</f>
        <v>1864.10958904108</v>
      </c>
      <c r="Z7" s="90" t="n">
        <f aca="false">IF($B7="","",IF(الموظفون!$R7&lt;&gt;"",الموظفون!$R7,IF(AC7&gt;=cfg_LV_TH,cfg_LV_D2,cfg_LV_D1))/cfg_DAYS_Y*AE7*الموظفون!$P7/cfg_DAYS_M)</f>
        <v>1864.1095890411</v>
      </c>
      <c r="AA7" s="90" t="n">
        <f aca="false">IF($B7="","",IF(AND(الموظفون!$S7="نعم",N(الموظفون!$U7)&gt;0),الموظفون!$T7/الموظفون!$U7*12/cfg_DAYS_Y*AE7,0))</f>
        <v>0</v>
      </c>
      <c r="AB7" s="113" t="n">
        <f aca="false">IF($B7="","",R7+SUM(X7:AA7))</f>
        <v>31671.9691780822</v>
      </c>
      <c r="AC7" s="114" t="n">
        <f aca="false">IF($B7="","",MAX(0,IF(OR(الموظفون!$X7="",الموظفون!$X7&gt;$G$3),$G$3,الموظفون!$X7)-الموظفون!$H7+1)/cfg_DAYS_Y)</f>
        <v>9.75342465753425</v>
      </c>
      <c r="AD7" s="114" t="n">
        <f aca="false">IF($B7="","",MAX(0,IF(OR(الموظفون!$X7="",الموظفون!$X7&gt;($E$3-1)),($E$3-1),الموظفون!$X7)-الموظفون!$H7+1)/cfg_DAYS_Y)</f>
        <v>9.67671232876712</v>
      </c>
      <c r="AE7" s="115" t="n">
        <f aca="false">IF($B7="","",MAX(0,IF(OR(الموظفون!$X7="",الموظفون!$X7&gt;$G$3),$G$3,الموظفون!$X7)-MAX($E$3,الموظفون!$H7)+1))</f>
        <v>28</v>
      </c>
    </row>
    <row r="8" customFormat="false" ht="15" hidden="false" customHeight="false" outlineLevel="0" collapsed="false">
      <c r="A8" s="83" t="n">
        <f aca="false">IF($B8="","",الموظفون!$A8)</f>
        <v>3</v>
      </c>
      <c r="B8" s="74" t="str">
        <f aca="false">IF(الموظفون!$B8="","",الموظفون!$B8)</f>
        <v>E003</v>
      </c>
      <c r="C8" s="74" t="str">
        <f aca="false">IF($B8="","",الموظفون!$C8)</f>
        <v>محمد علي حسن</v>
      </c>
      <c r="D8" s="74" t="str">
        <f aca="false">IF($B8="","",الموظفون!$F8)</f>
        <v>المالية</v>
      </c>
      <c r="E8" s="74" t="str">
        <f aca="false">IF($B8="","",الموظفون!$E8)</f>
        <v>غير سعودي</v>
      </c>
      <c r="F8" s="105" t="n">
        <f aca="false">IF($B8="","",IF(AE8&gt;=DAY($G$3),cfg_DAYS_M,MIN(AE8,cfg_DAYS_M)))</f>
        <v>30</v>
      </c>
      <c r="G8" s="105" t="n">
        <f aca="false">IF($B8="","",SUMIFS('الحركات الشهرية'!$D$6:$D$1005,'الحركات الشهرية'!$B$6:$B$1005,$B8,'الحركات الشهرية'!$A$6:$A$1005,$C$3))</f>
        <v>0</v>
      </c>
      <c r="H8" s="105" t="n">
        <f aca="false">IF($B8="","",SUMIFS('الحركات الشهرية'!$E$6:$E$1005,'الحركات الشهرية'!$B$6:$B$1005,$B8,'الحركات الشهرية'!$A$6:$A$1005,$C$3))</f>
        <v>0</v>
      </c>
      <c r="I8" s="105" t="n">
        <f aca="false">IF($B8="","",MAX(0,F8-G8-H8))</f>
        <v>30</v>
      </c>
      <c r="J8" s="86" t="n">
        <f aca="false">IF($B8="","",الموظفون!$J8*$I8/cfg_DAYS_M)</f>
        <v>8500</v>
      </c>
      <c r="K8" s="86" t="n">
        <f aca="false">IF($B8="","",الموظفون!$K8*$I8/cfg_DAYS_M)</f>
        <v>2125</v>
      </c>
      <c r="L8" s="86" t="n">
        <f aca="false">IF($B8="","",الموظفون!$L8*$I8/cfg_DAYS_M)</f>
        <v>850</v>
      </c>
      <c r="M8" s="86" t="n">
        <f aca="false">IF($B8="","",الموظفون!$M8*$I8/cfg_DAYS_M)</f>
        <v>500</v>
      </c>
      <c r="N8" s="105" t="n">
        <f aca="false">IF($B8="","",SUMIFS('الحركات الشهرية'!$F$6:$F$1005,'الحركات الشهرية'!$B$6:$B$1005,$B8,'الحركات الشهرية'!$A$6:$A$1005,$C$3))</f>
        <v>8</v>
      </c>
      <c r="O8" s="86" t="n">
        <f aca="false">IF($B8="","",N8*(الموظفون!$N8+الموظفون!$J8*cfg_OT_P)/cfg_DAYS_M/cfg_HRS)</f>
        <v>540.833333333333</v>
      </c>
      <c r="P8" s="86" t="n">
        <f aca="false">IF($B8="","",SUMIFS('الحركات الشهرية'!$G$6:$G$1005,'الحركات الشهرية'!$B$6:$B$1005,$B8,'الحركات الشهرية'!$A$6:$A$1005,$C$3))</f>
        <v>0</v>
      </c>
      <c r="Q8" s="86" t="n">
        <f aca="false">IF($B8="","",SUMIFS('الحركات الشهرية'!$H$6:$H$1005,'الحركات الشهرية'!$B$6:$B$1005,$B8,'الحركات الشهرية'!$A$6:$A$1005,$C$3))</f>
        <v>0</v>
      </c>
      <c r="R8" s="106" t="n">
        <f aca="false">IF($B8="","",SUM(J8:M8)+SUM(O8:Q8))</f>
        <v>12515.8333333333</v>
      </c>
      <c r="S8" s="86" t="n">
        <f aca="false">IF($B8="","",الموظفون!$Q8*IF(E8="سعودي",cfg_G_SE,cfg_G_NE)*F8/cfg_DAYS_M)</f>
        <v>0</v>
      </c>
      <c r="T8" s="86" t="n">
        <f aca="false">IF($B8="","",SUMIFS('الحركات الشهرية'!$I$6:$I$1005,'الحركات الشهرية'!$B$6:$B$1005,$B8,'الحركات الشهرية'!$A$6:$A$1005,$C$3))</f>
        <v>1000</v>
      </c>
      <c r="U8" s="86" t="n">
        <f aca="false">IF($B8="","",SUMIFS('الحركات الشهرية'!$J$6:$J$1005,'الحركات الشهرية'!$B$6:$B$1005,$B8,'الحركات الشهرية'!$A$6:$A$1005,$C$3))</f>
        <v>0</v>
      </c>
      <c r="V8" s="86" t="n">
        <f aca="false">IF($B8="","",SUM(S8:U8))</f>
        <v>1000</v>
      </c>
      <c r="W8" s="107" t="n">
        <f aca="false">IF($B8="","",R8-V8)</f>
        <v>11515.8333333333</v>
      </c>
      <c r="X8" s="86" t="n">
        <f aca="false">IF($B8="","",الموظفون!$Q8*IF(E8="سعودي",cfg_G_SR,cfg_G_NR)*F8/cfg_DAYS_M)</f>
        <v>212.5</v>
      </c>
      <c r="Y8" s="86" t="n">
        <f aca="false">IF($B8="","",الموظفون!$O8*(cfg_EOS_R1*(MIN(AC8,cfg_EOS_TH)-MIN(AD8,cfg_EOS_TH))+cfg_EOS_R2*(MAX(AC8-cfg_EOS_TH,0)-MAX(AD8-cfg_EOS_TH,0))))</f>
        <v>880.273972602731</v>
      </c>
      <c r="Z8" s="86" t="n">
        <f aca="false">IF($B8="","",IF(الموظفون!$R8&lt;&gt;"",الموظفون!$R8,IF(AC8&gt;=cfg_LV_TH,cfg_LV_D2,cfg_LV_D1))/cfg_DAYS_Y*AE8*الموظفون!$P8/cfg_DAYS_M)</f>
        <v>880.27397260274</v>
      </c>
      <c r="AA8" s="86" t="n">
        <f aca="false">IF($B8="","",IF(AND(الموظفون!$S8="نعم",N(الموظفون!$U8)&gt;0),الموظفون!$T8/الموظفون!$U8*12/cfg_DAYS_Y*AE8,0))</f>
        <v>122.739726027397</v>
      </c>
      <c r="AB8" s="108" t="n">
        <f aca="false">IF($B8="","",R8+SUM(X8:AA8))</f>
        <v>14611.6210045662</v>
      </c>
      <c r="AC8" s="109" t="n">
        <f aca="false">IF($B8="","",MAX(0,IF(OR(الموظفون!$X8="",الموظفون!$X8&gt;$G$3),$G$3,الموظفون!$X8)-الموظفون!$H8+1)/cfg_DAYS_Y)</f>
        <v>7.47671232876712</v>
      </c>
      <c r="AD8" s="109" t="n">
        <f aca="false">IF($B8="","",MAX(0,IF(OR(الموظفون!$X8="",الموظفون!$X8&gt;($E$3-1)),($E$3-1),الموظفون!$X8)-الموظفون!$H8+1)/cfg_DAYS_Y)</f>
        <v>7.4</v>
      </c>
      <c r="AE8" s="51" t="n">
        <f aca="false">IF($B8="","",MAX(0,IF(OR(الموظفون!$X8="",الموظفون!$X8&gt;$G$3),$G$3,الموظفون!$X8)-MAX($E$3,الموظفون!$H8)+1))</f>
        <v>28</v>
      </c>
    </row>
    <row r="9" customFormat="false" ht="15" hidden="false" customHeight="false" outlineLevel="0" collapsed="false">
      <c r="A9" s="89" t="n">
        <f aca="false">IF($B9="","",الموظفون!$A9)</f>
        <v>4</v>
      </c>
      <c r="B9" s="91" t="str">
        <f aca="false">IF(الموظفون!$B9="","",الموظفون!$B9)</f>
        <v>E004</v>
      </c>
      <c r="C9" s="91" t="str">
        <f aca="false">IF($B9="","",الموظفون!$C9)</f>
        <v>نورة خالد الدوسري</v>
      </c>
      <c r="D9" s="91" t="str">
        <f aca="false">IF($B9="","",الموظفون!$F9)</f>
        <v>الموارد البشرية</v>
      </c>
      <c r="E9" s="91" t="str">
        <f aca="false">IF($B9="","",الموظفون!$E9)</f>
        <v>سعودي</v>
      </c>
      <c r="F9" s="110" t="n">
        <f aca="false">IF($B9="","",IF(AE9&gt;=DAY($G$3),cfg_DAYS_M,MIN(AE9,cfg_DAYS_M)))</f>
        <v>30</v>
      </c>
      <c r="G9" s="110" t="n">
        <f aca="false">IF($B9="","",SUMIFS('الحركات الشهرية'!$D$6:$D$1005,'الحركات الشهرية'!$B$6:$B$1005,$B9,'الحركات الشهرية'!$A$6:$A$1005,$C$3))</f>
        <v>0</v>
      </c>
      <c r="H9" s="110" t="n">
        <f aca="false">IF($B9="","",SUMIFS('الحركات الشهرية'!$E$6:$E$1005,'الحركات الشهرية'!$B$6:$B$1005,$B9,'الحركات الشهرية'!$A$6:$A$1005,$C$3))</f>
        <v>0</v>
      </c>
      <c r="I9" s="110" t="n">
        <f aca="false">IF($B9="","",MAX(0,F9-G9-H9))</f>
        <v>30</v>
      </c>
      <c r="J9" s="90" t="n">
        <f aca="false">IF($B9="","",الموظفون!$J9*$I9/cfg_DAYS_M)</f>
        <v>14000</v>
      </c>
      <c r="K9" s="90" t="n">
        <f aca="false">IF($B9="","",الموظفون!$K9*$I9/cfg_DAYS_M)</f>
        <v>3500</v>
      </c>
      <c r="L9" s="90" t="n">
        <f aca="false">IF($B9="","",الموظفون!$L9*$I9/cfg_DAYS_M)</f>
        <v>1400</v>
      </c>
      <c r="M9" s="90" t="n">
        <f aca="false">IF($B9="","",الموظفون!$M9*$I9/cfg_DAYS_M)</f>
        <v>0</v>
      </c>
      <c r="N9" s="110" t="n">
        <f aca="false">IF($B9="","",SUMIFS('الحركات الشهرية'!$F$6:$F$1005,'الحركات الشهرية'!$B$6:$B$1005,$B9,'الحركات الشهرية'!$A$6:$A$1005,$C$3))</f>
        <v>0</v>
      </c>
      <c r="O9" s="90" t="n">
        <f aca="false">IF($B9="","",N9*(الموظفون!$N9+الموظفون!$J9*cfg_OT_P)/cfg_DAYS_M/cfg_HRS)</f>
        <v>0</v>
      </c>
      <c r="P9" s="90" t="n">
        <f aca="false">IF($B9="","",SUMIFS('الحركات الشهرية'!$G$6:$G$1005,'الحركات الشهرية'!$B$6:$B$1005,$B9,'الحركات الشهرية'!$A$6:$A$1005,$C$3))</f>
        <v>0</v>
      </c>
      <c r="Q9" s="90" t="n">
        <f aca="false">IF($B9="","",SUMIFS('الحركات الشهرية'!$H$6:$H$1005,'الحركات الشهرية'!$B$6:$B$1005,$B9,'الحركات الشهرية'!$A$6:$A$1005,$C$3))</f>
        <v>0</v>
      </c>
      <c r="R9" s="111" t="n">
        <f aca="false">IF($B9="","",SUM(J9:M9)+SUM(O9:Q9))</f>
        <v>18900</v>
      </c>
      <c r="S9" s="90" t="n">
        <f aca="false">IF($B9="","",الموظفون!$Q9*IF(E9="سعودي",cfg_G_SE,cfg_G_NE)*F9/cfg_DAYS_M)</f>
        <v>1706.25</v>
      </c>
      <c r="T9" s="90" t="n">
        <f aca="false">IF($B9="","",SUMIFS('الحركات الشهرية'!$I$6:$I$1005,'الحركات الشهرية'!$B$6:$B$1005,$B9,'الحركات الشهرية'!$A$6:$A$1005,$C$3))</f>
        <v>0</v>
      </c>
      <c r="U9" s="90" t="n">
        <f aca="false">IF($B9="","",SUMIFS('الحركات الشهرية'!$J$6:$J$1005,'الحركات الشهرية'!$B$6:$B$1005,$B9,'الحركات الشهرية'!$A$6:$A$1005,$C$3))</f>
        <v>0</v>
      </c>
      <c r="V9" s="90" t="n">
        <f aca="false">IF($B9="","",SUM(S9:U9))</f>
        <v>1706.25</v>
      </c>
      <c r="W9" s="112" t="n">
        <f aca="false">IF($B9="","",R9-V9)</f>
        <v>17193.75</v>
      </c>
      <c r="X9" s="90" t="n">
        <f aca="false">IF($B9="","",الموظفون!$Q9*IF(E9="سعودي",cfg_G_SR,cfg_G_NR)*F9/cfg_DAYS_M)</f>
        <v>2056.25</v>
      </c>
      <c r="Y9" s="90" t="n">
        <f aca="false">IF($B9="","",الموظفون!$O9*(cfg_EOS_R1*(MIN(AC9,cfg_EOS_TH)-MIN(AD9,cfg_EOS_TH))+cfg_EOS_R2*(MAX(AC9-cfg_EOS_TH,0)-MAX(AD9-cfg_EOS_TH,0))))</f>
        <v>1449.86301369863</v>
      </c>
      <c r="Z9" s="90" t="n">
        <f aca="false">IF($B9="","",IF(الموظفون!$R9&lt;&gt;"",الموظفون!$R9,IF(AC9&gt;=cfg_LV_TH,cfg_LV_D2,cfg_LV_D1))/cfg_DAYS_Y*AE9*الموظفون!$P9/cfg_DAYS_M)</f>
        <v>1449.86301369863</v>
      </c>
      <c r="AA9" s="90" t="n">
        <f aca="false">IF($B9="","",IF(AND(الموظفون!$S9="نعم",N(الموظفون!$U9)&gt;0),الموظفون!$T9/الموظفون!$U9*12/cfg_DAYS_Y*AE9,0))</f>
        <v>0</v>
      </c>
      <c r="AB9" s="113" t="n">
        <f aca="false">IF($B9="","",R9+SUM(X9:AA9))</f>
        <v>23855.9760273973</v>
      </c>
      <c r="AC9" s="114" t="n">
        <f aca="false">IF($B9="","",MAX(0,IF(OR(الموظفون!$X9="",الموظفون!$X9&gt;$G$3),$G$3,الموظفون!$X9)-الموظفون!$H9+1)/cfg_DAYS_Y)</f>
        <v>7.08219178082192</v>
      </c>
      <c r="AD9" s="114" t="n">
        <f aca="false">IF($B9="","",MAX(0,IF(OR(الموظفون!$X9="",الموظفون!$X9&gt;($E$3-1)),($E$3-1),الموظفون!$X9)-الموظفون!$H9+1)/cfg_DAYS_Y)</f>
        <v>7.0054794520548</v>
      </c>
      <c r="AE9" s="115" t="n">
        <f aca="false">IF($B9="","",MAX(0,IF(OR(الموظفون!$X9="",الموظفون!$X9&gt;$G$3),$G$3,الموظفون!$X9)-MAX($E$3,الموظفون!$H9)+1))</f>
        <v>28</v>
      </c>
    </row>
    <row r="10" customFormat="false" ht="15" hidden="false" customHeight="false" outlineLevel="0" collapsed="false">
      <c r="A10" s="83" t="n">
        <f aca="false">IF($B10="","",الموظفون!$A10)</f>
        <v>5</v>
      </c>
      <c r="B10" s="74" t="str">
        <f aca="false">IF(الموظفون!$B10="","",الموظفون!$B10)</f>
        <v>E005</v>
      </c>
      <c r="C10" s="74" t="str">
        <f aca="false">IF($B10="","",الموظفون!$C10)</f>
        <v>راجيش كومار</v>
      </c>
      <c r="D10" s="74" t="str">
        <f aca="false">IF($B10="","",الموظفون!$F10)</f>
        <v>تقنية المعلومات</v>
      </c>
      <c r="E10" s="74" t="str">
        <f aca="false">IF($B10="","",الموظفون!$E10)</f>
        <v>غير سعودي</v>
      </c>
      <c r="F10" s="105" t="n">
        <f aca="false">IF($B10="","",IF(AE10&gt;=DAY($G$3),cfg_DAYS_M,MIN(AE10,cfg_DAYS_M)))</f>
        <v>30</v>
      </c>
      <c r="G10" s="105" t="n">
        <f aca="false">IF($B10="","",SUMIFS('الحركات الشهرية'!$D$6:$D$1005,'الحركات الشهرية'!$B$6:$B$1005,$B10,'الحركات الشهرية'!$A$6:$A$1005,$C$3))</f>
        <v>0</v>
      </c>
      <c r="H10" s="105" t="n">
        <f aca="false">IF($B10="","",SUMIFS('الحركات الشهرية'!$E$6:$E$1005,'الحركات الشهرية'!$B$6:$B$1005,$B10,'الحركات الشهرية'!$A$6:$A$1005,$C$3))</f>
        <v>0</v>
      </c>
      <c r="I10" s="105" t="n">
        <f aca="false">IF($B10="","",MAX(0,F10-G10-H10))</f>
        <v>30</v>
      </c>
      <c r="J10" s="86" t="n">
        <f aca="false">IF($B10="","",الموظفون!$J10*$I10/cfg_DAYS_M)</f>
        <v>9000</v>
      </c>
      <c r="K10" s="86" t="n">
        <f aca="false">IF($B10="","",الموظفون!$K10*$I10/cfg_DAYS_M)</f>
        <v>2250</v>
      </c>
      <c r="L10" s="86" t="n">
        <f aca="false">IF($B10="","",الموظفون!$L10*$I10/cfg_DAYS_M)</f>
        <v>900</v>
      </c>
      <c r="M10" s="86" t="n">
        <f aca="false">IF($B10="","",الموظفون!$M10*$I10/cfg_DAYS_M)</f>
        <v>700</v>
      </c>
      <c r="N10" s="105" t="n">
        <f aca="false">IF($B10="","",SUMIFS('الحركات الشهرية'!$F$6:$F$1005,'الحركات الشهرية'!$B$6:$B$1005,$B10,'الحركات الشهرية'!$A$6:$A$1005,$C$3))</f>
        <v>0</v>
      </c>
      <c r="O10" s="86" t="n">
        <f aca="false">IF($B10="","",N10*(الموظفون!$N10+الموظفون!$J10*cfg_OT_P)/cfg_DAYS_M/cfg_HRS)</f>
        <v>0</v>
      </c>
      <c r="P10" s="86" t="n">
        <f aca="false">IF($B10="","",SUMIFS('الحركات الشهرية'!$G$6:$G$1005,'الحركات الشهرية'!$B$6:$B$1005,$B10,'الحركات الشهرية'!$A$6:$A$1005,$C$3))</f>
        <v>0</v>
      </c>
      <c r="Q10" s="86" t="n">
        <f aca="false">IF($B10="","",SUMIFS('الحركات الشهرية'!$H$6:$H$1005,'الحركات الشهرية'!$B$6:$B$1005,$B10,'الحركات الشهرية'!$A$6:$A$1005,$C$3))</f>
        <v>0</v>
      </c>
      <c r="R10" s="106" t="n">
        <f aca="false">IF($B10="","",SUM(J10:M10)+SUM(O10:Q10))</f>
        <v>12850</v>
      </c>
      <c r="S10" s="86" t="n">
        <f aca="false">IF($B10="","",الموظفون!$Q10*IF(E10="سعودي",cfg_G_SE,cfg_G_NE)*F10/cfg_DAYS_M)</f>
        <v>0</v>
      </c>
      <c r="T10" s="86" t="n">
        <f aca="false">IF($B10="","",SUMIFS('الحركات الشهرية'!$I$6:$I$1005,'الحركات الشهرية'!$B$6:$B$1005,$B10,'الحركات الشهرية'!$A$6:$A$1005,$C$3))</f>
        <v>0</v>
      </c>
      <c r="U10" s="86" t="n">
        <f aca="false">IF($B10="","",SUMIFS('الحركات الشهرية'!$J$6:$J$1005,'الحركات الشهرية'!$B$6:$B$1005,$B10,'الحركات الشهرية'!$A$6:$A$1005,$C$3))</f>
        <v>0</v>
      </c>
      <c r="V10" s="86" t="n">
        <f aca="false">IF($B10="","",SUM(S10:U10))</f>
        <v>0</v>
      </c>
      <c r="W10" s="107" t="n">
        <f aca="false">IF($B10="","",R10-V10)</f>
        <v>12850</v>
      </c>
      <c r="X10" s="86" t="n">
        <f aca="false">IF($B10="","",الموظفون!$Q10*IF(E10="سعودي",cfg_G_SR,cfg_G_NR)*F10/cfg_DAYS_M)</f>
        <v>225</v>
      </c>
      <c r="Y10" s="86" t="n">
        <f aca="false">IF($B10="","",الموظفون!$O10*(cfg_EOS_R1*(MIN(AC10,cfg_EOS_TH)-MIN(AD10,cfg_EOS_TH))+cfg_EOS_R2*(MAX(AC10-cfg_EOS_TH,0)-MAX(AD10-cfg_EOS_TH,0))))</f>
        <v>932.05479452055</v>
      </c>
      <c r="Z10" s="86" t="n">
        <f aca="false">IF($B10="","",IF(الموظفون!$R10&lt;&gt;"",الموظفون!$R10,IF(AC10&gt;=cfg_LV_TH,cfg_LV_D2,cfg_LV_D1))/cfg_DAYS_Y*AE10*الموظفون!$P10/cfg_DAYS_M)</f>
        <v>932.054794520548</v>
      </c>
      <c r="AA10" s="86" t="n">
        <f aca="false">IF($B10="","",IF(AND(الموظفون!$S10="نعم",N(الموظفون!$U10)&gt;0),الموظفون!$T10/الموظفون!$U10*12/cfg_DAYS_Y*AE10,0))</f>
        <v>214.794520547945</v>
      </c>
      <c r="AB10" s="108" t="n">
        <f aca="false">IF($B10="","",R10+SUM(X10:AA10))</f>
        <v>15153.904109589</v>
      </c>
      <c r="AC10" s="109" t="n">
        <f aca="false">IF($B10="","",MAX(0,IF(OR(الموظفون!$X10="",الموظفون!$X10&gt;$G$3),$G$3,الموظفون!$X10)-الموظفون!$H10+1)/cfg_DAYS_Y)</f>
        <v>5.88767123287671</v>
      </c>
      <c r="AD10" s="109" t="n">
        <f aca="false">IF($B10="","",MAX(0,IF(OR(الموظفون!$X10="",الموظفون!$X10&gt;($E$3-1)),($E$3-1),الموظفون!$X10)-الموظفون!$H10+1)/cfg_DAYS_Y)</f>
        <v>5.81095890410959</v>
      </c>
      <c r="AE10" s="51" t="n">
        <f aca="false">IF($B10="","",MAX(0,IF(OR(الموظفون!$X10="",الموظفون!$X10&gt;$G$3),$G$3,الموظفون!$X10)-MAX($E$3,الموظفون!$H10)+1))</f>
        <v>28</v>
      </c>
    </row>
    <row r="11" customFormat="false" ht="15" hidden="false" customHeight="false" outlineLevel="0" collapsed="false">
      <c r="A11" s="89" t="n">
        <f aca="false">IF($B11="","",الموظفون!$A11)</f>
        <v>6</v>
      </c>
      <c r="B11" s="91" t="str">
        <f aca="false">IF(الموظفون!$B11="","",الموظفون!$B11)</f>
        <v>E006</v>
      </c>
      <c r="C11" s="91" t="str">
        <f aca="false">IF($B11="","",الموظفون!$C11)</f>
        <v>فهد ناصر الشمري</v>
      </c>
      <c r="D11" s="91" t="str">
        <f aca="false">IF($B11="","",الموظفون!$F11)</f>
        <v>المبيعات</v>
      </c>
      <c r="E11" s="91" t="str">
        <f aca="false">IF($B11="","",الموظفون!$E11)</f>
        <v>سعودي</v>
      </c>
      <c r="F11" s="110" t="n">
        <f aca="false">IF($B11="","",IF(AE11&gt;=DAY($G$3),cfg_DAYS_M,MIN(AE11,cfg_DAYS_M)))</f>
        <v>30</v>
      </c>
      <c r="G11" s="110" t="n">
        <f aca="false">IF($B11="","",SUMIFS('الحركات الشهرية'!$D$6:$D$1005,'الحركات الشهرية'!$B$6:$B$1005,$B11,'الحركات الشهرية'!$A$6:$A$1005,$C$3))</f>
        <v>0</v>
      </c>
      <c r="H11" s="110" t="n">
        <f aca="false">IF($B11="","",SUMIFS('الحركات الشهرية'!$E$6:$E$1005,'الحركات الشهرية'!$B$6:$B$1005,$B11,'الحركات الشهرية'!$A$6:$A$1005,$C$3))</f>
        <v>0</v>
      </c>
      <c r="I11" s="110" t="n">
        <f aca="false">IF($B11="","",MAX(0,F11-G11-H11))</f>
        <v>30</v>
      </c>
      <c r="J11" s="90" t="n">
        <f aca="false">IF($B11="","",الموظفون!$J11*$I11/cfg_DAYS_M)</f>
        <v>13000</v>
      </c>
      <c r="K11" s="90" t="n">
        <f aca="false">IF($B11="","",الموظفون!$K11*$I11/cfg_DAYS_M)</f>
        <v>3250</v>
      </c>
      <c r="L11" s="90" t="n">
        <f aca="false">IF($B11="","",الموظفون!$L11*$I11/cfg_DAYS_M)</f>
        <v>1300</v>
      </c>
      <c r="M11" s="90" t="n">
        <f aca="false">IF($B11="","",الموظفون!$M11*$I11/cfg_DAYS_M)</f>
        <v>2500</v>
      </c>
      <c r="N11" s="110" t="n">
        <f aca="false">IF($B11="","",SUMIFS('الحركات الشهرية'!$F$6:$F$1005,'الحركات الشهرية'!$B$6:$B$1005,$B11,'الحركات الشهرية'!$A$6:$A$1005,$C$3))</f>
        <v>0</v>
      </c>
      <c r="O11" s="90" t="n">
        <f aca="false">IF($B11="","",N11*(الموظفون!$N11+الموظفون!$J11*cfg_OT_P)/cfg_DAYS_M/cfg_HRS)</f>
        <v>0</v>
      </c>
      <c r="P11" s="90" t="n">
        <f aca="false">IF($B11="","",SUMIFS('الحركات الشهرية'!$G$6:$G$1005,'الحركات الشهرية'!$B$6:$B$1005,$B11,'الحركات الشهرية'!$A$6:$A$1005,$C$3))</f>
        <v>5000</v>
      </c>
      <c r="Q11" s="90" t="n">
        <f aca="false">IF($B11="","",SUMIFS('الحركات الشهرية'!$H$6:$H$1005,'الحركات الشهرية'!$B$6:$B$1005,$B11,'الحركات الشهرية'!$A$6:$A$1005,$C$3))</f>
        <v>0</v>
      </c>
      <c r="R11" s="111" t="n">
        <f aca="false">IF($B11="","",SUM(J11:M11)+SUM(O11:Q11))</f>
        <v>25050</v>
      </c>
      <c r="S11" s="90" t="n">
        <f aca="false">IF($B11="","",الموظفون!$Q11*IF(E11="سعودي",cfg_G_SE,cfg_G_NE)*F11/cfg_DAYS_M)</f>
        <v>1584.375</v>
      </c>
      <c r="T11" s="90" t="n">
        <f aca="false">IF($B11="","",SUMIFS('الحركات الشهرية'!$I$6:$I$1005,'الحركات الشهرية'!$B$6:$B$1005,$B11,'الحركات الشهرية'!$A$6:$A$1005,$C$3))</f>
        <v>0</v>
      </c>
      <c r="U11" s="90" t="n">
        <f aca="false">IF($B11="","",SUMIFS('الحركات الشهرية'!$J$6:$J$1005,'الحركات الشهرية'!$B$6:$B$1005,$B11,'الحركات الشهرية'!$A$6:$A$1005,$C$3))</f>
        <v>0</v>
      </c>
      <c r="V11" s="90" t="n">
        <f aca="false">IF($B11="","",SUM(S11:U11))</f>
        <v>1584.375</v>
      </c>
      <c r="W11" s="112" t="n">
        <f aca="false">IF($B11="","",R11-V11)</f>
        <v>23465.625</v>
      </c>
      <c r="X11" s="90" t="n">
        <f aca="false">IF($B11="","",الموظفون!$Q11*IF(E11="سعودي",cfg_G_SR,cfg_G_NR)*F11/cfg_DAYS_M)</f>
        <v>1909.375</v>
      </c>
      <c r="Y11" s="90" t="n">
        <f aca="false">IF($B11="","",الموظفون!$O11*(cfg_EOS_R1*(MIN(AC11,cfg_EOS_TH)-MIN(AD11,cfg_EOS_TH))+cfg_EOS_R2*(MAX(AC11-cfg_EOS_TH,0)-MAX(AD11-cfg_EOS_TH,0))))</f>
        <v>1346.301369863</v>
      </c>
      <c r="Z11" s="90" t="n">
        <f aca="false">IF($B11="","",IF(الموظفون!$R11&lt;&gt;"",الموظفون!$R11,IF(AC11&gt;=cfg_LV_TH,cfg_LV_D2,cfg_LV_D1))/cfg_DAYS_Y*AE11*الموظفون!$P11/cfg_DAYS_M)</f>
        <v>1346.30136986301</v>
      </c>
      <c r="AA11" s="90" t="n">
        <f aca="false">IF($B11="","",IF(AND(الموظفون!$S11="نعم",N(الموظفون!$U11)&gt;0),الموظفون!$T11/الموظفون!$U11*12/cfg_DAYS_Y*AE11,0))</f>
        <v>0</v>
      </c>
      <c r="AB11" s="113" t="n">
        <f aca="false">IF($B11="","",R11+SUM(X11:AA11))</f>
        <v>29651.977739726</v>
      </c>
      <c r="AC11" s="114" t="n">
        <f aca="false">IF($B11="","",MAX(0,IF(OR(الموظفون!$X11="",الموظفون!$X11&gt;$G$3),$G$3,الموظفون!$X11)-الموظفون!$H11+1)/cfg_DAYS_Y)</f>
        <v>8.32328767123288</v>
      </c>
      <c r="AD11" s="114" t="n">
        <f aca="false">IF($B11="","",MAX(0,IF(OR(الموظفون!$X11="",الموظفون!$X11&gt;($E$3-1)),($E$3-1),الموظفون!$X11)-الموظفون!$H11+1)/cfg_DAYS_Y)</f>
        <v>8.24657534246575</v>
      </c>
      <c r="AE11" s="115" t="n">
        <f aca="false">IF($B11="","",MAX(0,IF(OR(الموظفون!$X11="",الموظفون!$X11&gt;$G$3),$G$3,الموظفون!$X11)-MAX($E$3,الموظفون!$H11)+1))</f>
        <v>28</v>
      </c>
    </row>
    <row r="12" customFormat="false" ht="15" hidden="false" customHeight="false" outlineLevel="0" collapsed="false">
      <c r="A12" s="83" t="n">
        <f aca="false">IF($B12="","",الموظفون!$A12)</f>
        <v>7</v>
      </c>
      <c r="B12" s="74" t="str">
        <f aca="false">IF(الموظفون!$B12="","",الموظفون!$B12)</f>
        <v>E007</v>
      </c>
      <c r="C12" s="74" t="str">
        <f aca="false">IF($B12="","",الموظفون!$C12)</f>
        <v>خالد يوسف الأحمد</v>
      </c>
      <c r="D12" s="74" t="str">
        <f aca="false">IF($B12="","",الموظفون!$F12)</f>
        <v>المشاريع</v>
      </c>
      <c r="E12" s="74" t="str">
        <f aca="false">IF($B12="","",الموظفون!$E12)</f>
        <v>غير سعودي</v>
      </c>
      <c r="F12" s="105" t="n">
        <f aca="false">IF($B12="","",IF(AE12&gt;=DAY($G$3),cfg_DAYS_M,MIN(AE12,cfg_DAYS_M)))</f>
        <v>30</v>
      </c>
      <c r="G12" s="105" t="n">
        <f aca="false">IF($B12="","",SUMIFS('الحركات الشهرية'!$D$6:$D$1005,'الحركات الشهرية'!$B$6:$B$1005,$B12,'الحركات الشهرية'!$A$6:$A$1005,$C$3))</f>
        <v>0</v>
      </c>
      <c r="H12" s="105" t="n">
        <f aca="false">IF($B12="","",SUMIFS('الحركات الشهرية'!$E$6:$E$1005,'الحركات الشهرية'!$B$6:$B$1005,$B12,'الحركات الشهرية'!$A$6:$A$1005,$C$3))</f>
        <v>0</v>
      </c>
      <c r="I12" s="105" t="n">
        <f aca="false">IF($B12="","",MAX(0,F12-G12-H12))</f>
        <v>30</v>
      </c>
      <c r="J12" s="86" t="n">
        <f aca="false">IF($B12="","",الموظفون!$J12*$I12/cfg_DAYS_M)</f>
        <v>11000</v>
      </c>
      <c r="K12" s="86" t="n">
        <f aca="false">IF($B12="","",الموظفون!$K12*$I12/cfg_DAYS_M)</f>
        <v>2750</v>
      </c>
      <c r="L12" s="86" t="n">
        <f aca="false">IF($B12="","",الموظفون!$L12*$I12/cfg_DAYS_M)</f>
        <v>1100</v>
      </c>
      <c r="M12" s="86" t="n">
        <f aca="false">IF($B12="","",الموظفون!$M12*$I12/cfg_DAYS_M)</f>
        <v>800</v>
      </c>
      <c r="N12" s="105" t="n">
        <f aca="false">IF($B12="","",SUMIFS('الحركات الشهرية'!$F$6:$F$1005,'الحركات الشهرية'!$B$6:$B$1005,$B12,'الحركات الشهرية'!$A$6:$A$1005,$C$3))</f>
        <v>0</v>
      </c>
      <c r="O12" s="86" t="n">
        <f aca="false">IF($B12="","",N12*(الموظفون!$N12+الموظفون!$J12*cfg_OT_P)/cfg_DAYS_M/cfg_HRS)</f>
        <v>0</v>
      </c>
      <c r="P12" s="86" t="n">
        <f aca="false">IF($B12="","",SUMIFS('الحركات الشهرية'!$G$6:$G$1005,'الحركات الشهرية'!$B$6:$B$1005,$B12,'الحركات الشهرية'!$A$6:$A$1005,$C$3))</f>
        <v>0</v>
      </c>
      <c r="Q12" s="86" t="n">
        <f aca="false">IF($B12="","",SUMIFS('الحركات الشهرية'!$H$6:$H$1005,'الحركات الشهرية'!$B$6:$B$1005,$B12,'الحركات الشهرية'!$A$6:$A$1005,$C$3))</f>
        <v>0</v>
      </c>
      <c r="R12" s="106" t="n">
        <f aca="false">IF($B12="","",SUM(J12:M12)+SUM(O12:Q12))</f>
        <v>15650</v>
      </c>
      <c r="S12" s="86" t="n">
        <f aca="false">IF($B12="","",الموظفون!$Q12*IF(E12="سعودي",cfg_G_SE,cfg_G_NE)*F12/cfg_DAYS_M)</f>
        <v>0</v>
      </c>
      <c r="T12" s="86" t="n">
        <f aca="false">IF($B12="","",SUMIFS('الحركات الشهرية'!$I$6:$I$1005,'الحركات الشهرية'!$B$6:$B$1005,$B12,'الحركات الشهرية'!$A$6:$A$1005,$C$3))</f>
        <v>0</v>
      </c>
      <c r="U12" s="86" t="n">
        <f aca="false">IF($B12="","",SUMIFS('الحركات الشهرية'!$J$6:$J$1005,'الحركات الشهرية'!$B$6:$B$1005,$B12,'الحركات الشهرية'!$A$6:$A$1005,$C$3))</f>
        <v>0</v>
      </c>
      <c r="V12" s="86" t="n">
        <f aca="false">IF($B12="","",SUM(S12:U12))</f>
        <v>0</v>
      </c>
      <c r="W12" s="107" t="n">
        <f aca="false">IF($B12="","",R12-V12)</f>
        <v>15650</v>
      </c>
      <c r="X12" s="86" t="n">
        <f aca="false">IF($B12="","",الموظفون!$Q12*IF(E12="سعودي",cfg_G_SR,cfg_G_NR)*F12/cfg_DAYS_M)</f>
        <v>275</v>
      </c>
      <c r="Y12" s="86" t="n">
        <f aca="false">IF($B12="","",الموظفون!$O12*(cfg_EOS_R1*(MIN(AC12,cfg_EOS_TH)-MIN(AD12,cfg_EOS_TH))+cfg_EOS_R2*(MAX(AC12-cfg_EOS_TH,0)-MAX(AD12-cfg_EOS_TH,0))))</f>
        <v>1139.17808219177</v>
      </c>
      <c r="Z12" s="86" t="n">
        <f aca="false">IF($B12="","",IF(الموظفون!$R12&lt;&gt;"",الموظفون!$R12,IF(AC12&gt;=cfg_LV_TH,cfg_LV_D2,cfg_LV_D1))/cfg_DAYS_Y*AE12*الموظفون!$P12/cfg_DAYS_M)</f>
        <v>1139.17808219178</v>
      </c>
      <c r="AA12" s="86" t="n">
        <f aca="false">IF($B12="","",IF(AND(الموظفون!$S12="نعم",N(الموظفون!$U12)&gt;0),الموظفون!$T12/الموظفون!$U12*12/cfg_DAYS_Y*AE12,0))</f>
        <v>345.205479452055</v>
      </c>
      <c r="AB12" s="108" t="n">
        <f aca="false">IF($B12="","",R12+SUM(X12:AA12))</f>
        <v>18548.5616438356</v>
      </c>
      <c r="AC12" s="109" t="n">
        <f aca="false">IF($B12="","",MAX(0,IF(OR(الموظفون!$X12="",الموظفون!$X12&gt;$G$3),$G$3,الموظفون!$X12)-الموظفون!$H12+1)/cfg_DAYS_Y)</f>
        <v>5.11232876712329</v>
      </c>
      <c r="AD12" s="109" t="n">
        <f aca="false">IF($B12="","",MAX(0,IF(OR(الموظفون!$X12="",الموظفون!$X12&gt;($E$3-1)),($E$3-1),الموظفون!$X12)-الموظفون!$H12+1)/cfg_DAYS_Y)</f>
        <v>5.03561643835617</v>
      </c>
      <c r="AE12" s="51" t="n">
        <f aca="false">IF($B12="","",MAX(0,IF(OR(الموظفون!$X12="",الموظفون!$X12&gt;$G$3),$G$3,الموظفون!$X12)-MAX($E$3,الموظفون!$H12)+1))</f>
        <v>28</v>
      </c>
    </row>
    <row r="13" customFormat="false" ht="15" hidden="false" customHeight="false" outlineLevel="0" collapsed="false">
      <c r="A13" s="89" t="n">
        <f aca="false">IF($B13="","",الموظفون!$A13)</f>
        <v>8</v>
      </c>
      <c r="B13" s="91" t="str">
        <f aca="false">IF(الموظفون!$B13="","",الموظفون!$B13)</f>
        <v>E008</v>
      </c>
      <c r="C13" s="91" t="str">
        <f aca="false">IF($B13="","",الموظفون!$C13)</f>
        <v>سارة عبدالرحمن الزهراني</v>
      </c>
      <c r="D13" s="91" t="str">
        <f aca="false">IF($B13="","",الموظفون!$F13)</f>
        <v>المالية</v>
      </c>
      <c r="E13" s="91" t="str">
        <f aca="false">IF($B13="","",الموظفون!$E13)</f>
        <v>سعودي</v>
      </c>
      <c r="F13" s="110" t="n">
        <f aca="false">IF($B13="","",IF(AE13&gt;=DAY($G$3),cfg_DAYS_M,MIN(AE13,cfg_DAYS_M)))</f>
        <v>30</v>
      </c>
      <c r="G13" s="110" t="n">
        <f aca="false">IF($B13="","",SUMIFS('الحركات الشهرية'!$D$6:$D$1005,'الحركات الشهرية'!$B$6:$B$1005,$B13,'الحركات الشهرية'!$A$6:$A$1005,$C$3))</f>
        <v>0</v>
      </c>
      <c r="H13" s="110" t="n">
        <f aca="false">IF($B13="","",SUMIFS('الحركات الشهرية'!$E$6:$E$1005,'الحركات الشهرية'!$B$6:$B$1005,$B13,'الحركات الشهرية'!$A$6:$A$1005,$C$3))</f>
        <v>0</v>
      </c>
      <c r="I13" s="110" t="n">
        <f aca="false">IF($B13="","",MAX(0,F13-G13-H13))</f>
        <v>30</v>
      </c>
      <c r="J13" s="90" t="n">
        <f aca="false">IF($B13="","",الموظفون!$J13*$I13/cfg_DAYS_M)</f>
        <v>7500</v>
      </c>
      <c r="K13" s="90" t="n">
        <f aca="false">IF($B13="","",الموظفون!$K13*$I13/cfg_DAYS_M)</f>
        <v>1875</v>
      </c>
      <c r="L13" s="90" t="n">
        <f aca="false">IF($B13="","",الموظفون!$L13*$I13/cfg_DAYS_M)</f>
        <v>750</v>
      </c>
      <c r="M13" s="90" t="n">
        <f aca="false">IF($B13="","",الموظفون!$M13*$I13/cfg_DAYS_M)</f>
        <v>0</v>
      </c>
      <c r="N13" s="110" t="n">
        <f aca="false">IF($B13="","",SUMIFS('الحركات الشهرية'!$F$6:$F$1005,'الحركات الشهرية'!$B$6:$B$1005,$B13,'الحركات الشهرية'!$A$6:$A$1005,$C$3))</f>
        <v>0</v>
      </c>
      <c r="O13" s="90" t="n">
        <f aca="false">IF($B13="","",N13*(الموظفون!$N13+الموظفون!$J13*cfg_OT_P)/cfg_DAYS_M/cfg_HRS)</f>
        <v>0</v>
      </c>
      <c r="P13" s="90" t="n">
        <f aca="false">IF($B13="","",SUMIFS('الحركات الشهرية'!$G$6:$G$1005,'الحركات الشهرية'!$B$6:$B$1005,$B13,'الحركات الشهرية'!$A$6:$A$1005,$C$3))</f>
        <v>0</v>
      </c>
      <c r="Q13" s="90" t="n">
        <f aca="false">IF($B13="","",SUMIFS('الحركات الشهرية'!$H$6:$H$1005,'الحركات الشهرية'!$B$6:$B$1005,$B13,'الحركات الشهرية'!$A$6:$A$1005,$C$3))</f>
        <v>0</v>
      </c>
      <c r="R13" s="111" t="n">
        <f aca="false">IF($B13="","",SUM(J13:M13)+SUM(O13:Q13))</f>
        <v>10125</v>
      </c>
      <c r="S13" s="90" t="n">
        <f aca="false">IF($B13="","",الموظفون!$Q13*IF(E13="سعودي",cfg_G_SE,cfg_G_NE)*F13/cfg_DAYS_M)</f>
        <v>914.0625</v>
      </c>
      <c r="T13" s="90" t="n">
        <f aca="false">IF($B13="","",SUMIFS('الحركات الشهرية'!$I$6:$I$1005,'الحركات الشهرية'!$B$6:$B$1005,$B13,'الحركات الشهرية'!$A$6:$A$1005,$C$3))</f>
        <v>0</v>
      </c>
      <c r="U13" s="90" t="n">
        <f aca="false">IF($B13="","",SUMIFS('الحركات الشهرية'!$J$6:$J$1005,'الحركات الشهرية'!$B$6:$B$1005,$B13,'الحركات الشهرية'!$A$6:$A$1005,$C$3))</f>
        <v>0</v>
      </c>
      <c r="V13" s="90" t="n">
        <f aca="false">IF($B13="","",SUM(S13:U13))</f>
        <v>914.0625</v>
      </c>
      <c r="W13" s="112" t="n">
        <f aca="false">IF($B13="","",R13-V13)</f>
        <v>9210.9375</v>
      </c>
      <c r="X13" s="90" t="n">
        <f aca="false">IF($B13="","",الموظفون!$Q13*IF(E13="سعودي",cfg_G_SR,cfg_G_NR)*F13/cfg_DAYS_M)</f>
        <v>1101.5625</v>
      </c>
      <c r="Y13" s="90" t="n">
        <f aca="false">IF($B13="","",الموظفون!$O13*(cfg_EOS_R1*(MIN(AC13,cfg_EOS_TH)-MIN(AD13,cfg_EOS_TH))+cfg_EOS_R2*(MAX(AC13-cfg_EOS_TH,0)-MAX(AD13-cfg_EOS_TH,0))))</f>
        <v>388.356164383562</v>
      </c>
      <c r="Z13" s="90" t="n">
        <f aca="false">IF($B13="","",IF(الموظفون!$R13&lt;&gt;"",الموظفون!$R13,IF(AC13&gt;=cfg_LV_TH,cfg_LV_D2,cfg_LV_D1))/cfg_DAYS_Y*AE13*الموظفون!$P13/cfg_DAYS_M)</f>
        <v>543.698630136986</v>
      </c>
      <c r="AA13" s="90" t="n">
        <f aca="false">IF($B13="","",IF(AND(الموظفون!$S13="نعم",N(الموظفون!$U13)&gt;0),الموظفون!$T13/الموظفون!$U13*12/cfg_DAYS_Y*AE13,0))</f>
        <v>0</v>
      </c>
      <c r="AB13" s="113" t="n">
        <f aca="false">IF($B13="","",R13+SUM(X13:AA13))</f>
        <v>12158.6172945205</v>
      </c>
      <c r="AC13" s="114" t="n">
        <f aca="false">IF($B13="","",MAX(0,IF(OR(الموظفون!$X13="",الموظفون!$X13&gt;$G$3),$G$3,الموظفون!$X13)-الموظفون!$H13+1)/cfg_DAYS_Y)</f>
        <v>3.0027397260274</v>
      </c>
      <c r="AD13" s="114" t="n">
        <f aca="false">IF($B13="","",MAX(0,IF(OR(الموظفون!$X13="",الموظفون!$X13&gt;($E$3-1)),($E$3-1),الموظفون!$X13)-الموظفون!$H13+1)/cfg_DAYS_Y)</f>
        <v>2.92602739726027</v>
      </c>
      <c r="AE13" s="115" t="n">
        <f aca="false">IF($B13="","",MAX(0,IF(OR(الموظفون!$X13="",الموظفون!$X13&gt;$G$3),$G$3,الموظفون!$X13)-MAX($E$3,الموظفون!$H13)+1))</f>
        <v>28</v>
      </c>
    </row>
    <row r="14" customFormat="false" ht="15" hidden="false" customHeight="false" outlineLevel="0" collapsed="false">
      <c r="A14" s="83" t="n">
        <f aca="false">IF($B14="","",الموظفون!$A14)</f>
        <v>9</v>
      </c>
      <c r="B14" s="74" t="str">
        <f aca="false">IF(الموظفون!$B14="","",الموظفون!$B14)</f>
        <v>E009</v>
      </c>
      <c r="C14" s="74" t="str">
        <f aca="false">IF($B14="","",الموظفون!$C14)</f>
        <v>محمد رفيق</v>
      </c>
      <c r="D14" s="74" t="str">
        <f aca="false">IF($B14="","",الموظفون!$F14)</f>
        <v>العمليات</v>
      </c>
      <c r="E14" s="74" t="str">
        <f aca="false">IF($B14="","",الموظفون!$E14)</f>
        <v>غير سعودي</v>
      </c>
      <c r="F14" s="105" t="n">
        <f aca="false">IF($B14="","",IF(AE14&gt;=DAY($G$3),cfg_DAYS_M,MIN(AE14,cfg_DAYS_M)))</f>
        <v>30</v>
      </c>
      <c r="G14" s="105" t="n">
        <f aca="false">IF($B14="","",SUMIFS('الحركات الشهرية'!$D$6:$D$1005,'الحركات الشهرية'!$B$6:$B$1005,$B14,'الحركات الشهرية'!$A$6:$A$1005,$C$3))</f>
        <v>0</v>
      </c>
      <c r="H14" s="105" t="n">
        <f aca="false">IF($B14="","",SUMIFS('الحركات الشهرية'!$E$6:$E$1005,'الحركات الشهرية'!$B$6:$B$1005,$B14,'الحركات الشهرية'!$A$6:$A$1005,$C$3))</f>
        <v>0</v>
      </c>
      <c r="I14" s="105" t="n">
        <f aca="false">IF($B14="","",MAX(0,F14-G14-H14))</f>
        <v>30</v>
      </c>
      <c r="J14" s="86" t="n">
        <f aca="false">IF($B14="","",الموظفون!$J14*$I14/cfg_DAYS_M)</f>
        <v>6500</v>
      </c>
      <c r="K14" s="86" t="n">
        <f aca="false">IF($B14="","",الموظفون!$K14*$I14/cfg_DAYS_M)</f>
        <v>1625</v>
      </c>
      <c r="L14" s="86" t="n">
        <f aca="false">IF($B14="","",الموظفون!$L14*$I14/cfg_DAYS_M)</f>
        <v>650</v>
      </c>
      <c r="M14" s="86" t="n">
        <f aca="false">IF($B14="","",الموظفون!$M14*$I14/cfg_DAYS_M)</f>
        <v>300</v>
      </c>
      <c r="N14" s="105" t="n">
        <f aca="false">IF($B14="","",SUMIFS('الحركات الشهرية'!$F$6:$F$1005,'الحركات الشهرية'!$B$6:$B$1005,$B14,'الحركات الشهرية'!$A$6:$A$1005,$C$3))</f>
        <v>0</v>
      </c>
      <c r="O14" s="86" t="n">
        <f aca="false">IF($B14="","",N14*(الموظفون!$N14+الموظفون!$J14*cfg_OT_P)/cfg_DAYS_M/cfg_HRS)</f>
        <v>0</v>
      </c>
      <c r="P14" s="86" t="n">
        <f aca="false">IF($B14="","",SUMIFS('الحركات الشهرية'!$G$6:$G$1005,'الحركات الشهرية'!$B$6:$B$1005,$B14,'الحركات الشهرية'!$A$6:$A$1005,$C$3))</f>
        <v>0</v>
      </c>
      <c r="Q14" s="86" t="n">
        <f aca="false">IF($B14="","",SUMIFS('الحركات الشهرية'!$H$6:$H$1005,'الحركات الشهرية'!$B$6:$B$1005,$B14,'الحركات الشهرية'!$A$6:$A$1005,$C$3))</f>
        <v>0</v>
      </c>
      <c r="R14" s="106" t="n">
        <f aca="false">IF($B14="","",SUM(J14:M14)+SUM(O14:Q14))</f>
        <v>9075</v>
      </c>
      <c r="S14" s="86" t="n">
        <f aca="false">IF($B14="","",الموظفون!$Q14*IF(E14="سعودي",cfg_G_SE,cfg_G_NE)*F14/cfg_DAYS_M)</f>
        <v>0</v>
      </c>
      <c r="T14" s="86" t="n">
        <f aca="false">IF($B14="","",SUMIFS('الحركات الشهرية'!$I$6:$I$1005,'الحركات الشهرية'!$B$6:$B$1005,$B14,'الحركات الشهرية'!$A$6:$A$1005,$C$3))</f>
        <v>0</v>
      </c>
      <c r="U14" s="86" t="n">
        <f aca="false">IF($B14="","",SUMIFS('الحركات الشهرية'!$J$6:$J$1005,'الحركات الشهرية'!$B$6:$B$1005,$B14,'الحركات الشهرية'!$A$6:$A$1005,$C$3))</f>
        <v>0</v>
      </c>
      <c r="V14" s="86" t="n">
        <f aca="false">IF($B14="","",SUM(S14:U14))</f>
        <v>0</v>
      </c>
      <c r="W14" s="107" t="n">
        <f aca="false">IF($B14="","",R14-V14)</f>
        <v>9075</v>
      </c>
      <c r="X14" s="86" t="n">
        <f aca="false">IF($B14="","",الموظفون!$Q14*IF(E14="سعودي",cfg_G_SR,cfg_G_NR)*F14/cfg_DAYS_M)</f>
        <v>162.5</v>
      </c>
      <c r="Y14" s="86" t="n">
        <f aca="false">IF($B14="","",الموظفون!$O14*(cfg_EOS_R1*(MIN(AC14,cfg_EOS_TH)-MIN(AD14,cfg_EOS_TH))+cfg_EOS_R2*(MAX(AC14-cfg_EOS_TH,0)-MAX(AD14-cfg_EOS_TH,0))))</f>
        <v>673.150684931516</v>
      </c>
      <c r="Z14" s="86" t="n">
        <f aca="false">IF($B14="","",IF(الموظفون!$R14&lt;&gt;"",الموظفون!$R14,IF(AC14&gt;=cfg_LV_TH,cfg_LV_D2,cfg_LV_D1))/cfg_DAYS_Y*AE14*الموظفون!$P14/cfg_DAYS_M)</f>
        <v>673.150684931507</v>
      </c>
      <c r="AA14" s="86" t="n">
        <f aca="false">IF($B14="","",IF(AND(الموظفون!$S14="نعم",N(الموظفون!$U14)&gt;0),الموظفون!$T14/الموظفون!$U14*12/cfg_DAYS_Y*AE14,0))</f>
        <v>84.3835616438356</v>
      </c>
      <c r="AB14" s="108" t="n">
        <f aca="false">IF($B14="","",R14+SUM(X14:AA14))</f>
        <v>10668.1849315069</v>
      </c>
      <c r="AC14" s="109" t="n">
        <f aca="false">IF($B14="","",MAX(0,IF(OR(الموظفون!$X14="",الموظفون!$X14&gt;$G$3),$G$3,الموظفون!$X14)-الموظفون!$H14+1)/cfg_DAYS_Y)</f>
        <v>11.5424657534247</v>
      </c>
      <c r="AD14" s="109" t="n">
        <f aca="false">IF($B14="","",MAX(0,IF(OR(الموظفون!$X14="",الموظفون!$X14&gt;($E$3-1)),($E$3-1),الموظفون!$X14)-الموظفون!$H14+1)/cfg_DAYS_Y)</f>
        <v>11.4657534246575</v>
      </c>
      <c r="AE14" s="51" t="n">
        <f aca="false">IF($B14="","",MAX(0,IF(OR(الموظفون!$X14="",الموظفون!$X14&gt;$G$3),$G$3,الموظفون!$X14)-MAX($E$3,الموظفون!$H14)+1))</f>
        <v>28</v>
      </c>
    </row>
    <row r="15" customFormat="false" ht="15" hidden="false" customHeight="false" outlineLevel="0" collapsed="false">
      <c r="A15" s="89" t="n">
        <f aca="false">IF($B15="","",الموظفون!$A15)</f>
        <v>10</v>
      </c>
      <c r="B15" s="91" t="str">
        <f aca="false">IF(الموظفون!$B15="","",الموظفون!$B15)</f>
        <v>E010</v>
      </c>
      <c r="C15" s="91" t="str">
        <f aca="false">IF($B15="","",الموظفون!$C15)</f>
        <v>ريم سلطان المطيري</v>
      </c>
      <c r="D15" s="91" t="str">
        <f aca="false">IF($B15="","",الموظفون!$F15)</f>
        <v>المبيعات</v>
      </c>
      <c r="E15" s="91" t="str">
        <f aca="false">IF($B15="","",الموظفون!$E15)</f>
        <v>سعودي</v>
      </c>
      <c r="F15" s="110" t="n">
        <f aca="false">IF($B15="","",IF(AE15&gt;=DAY($G$3),cfg_DAYS_M,MIN(AE15,cfg_DAYS_M)))</f>
        <v>0</v>
      </c>
      <c r="G15" s="110" t="n">
        <f aca="false">IF($B15="","",SUMIFS('الحركات الشهرية'!$D$6:$D$1005,'الحركات الشهرية'!$B$6:$B$1005,$B15,'الحركات الشهرية'!$A$6:$A$1005,$C$3))</f>
        <v>0</v>
      </c>
      <c r="H15" s="110" t="n">
        <f aca="false">IF($B15="","",SUMIFS('الحركات الشهرية'!$E$6:$E$1005,'الحركات الشهرية'!$B$6:$B$1005,$B15,'الحركات الشهرية'!$A$6:$A$1005,$C$3))</f>
        <v>0</v>
      </c>
      <c r="I15" s="110" t="n">
        <f aca="false">IF($B15="","",MAX(0,F15-G15-H15))</f>
        <v>0</v>
      </c>
      <c r="J15" s="90" t="n">
        <f aca="false">IF($B15="","",الموظفون!$J15*$I15/cfg_DAYS_M)</f>
        <v>0</v>
      </c>
      <c r="K15" s="90" t="n">
        <f aca="false">IF($B15="","",الموظفون!$K15*$I15/cfg_DAYS_M)</f>
        <v>0</v>
      </c>
      <c r="L15" s="90" t="n">
        <f aca="false">IF($B15="","",الموظفون!$L15*$I15/cfg_DAYS_M)</f>
        <v>0</v>
      </c>
      <c r="M15" s="90" t="n">
        <f aca="false">IF($B15="","",الموظفون!$M15*$I15/cfg_DAYS_M)</f>
        <v>0</v>
      </c>
      <c r="N15" s="110" t="n">
        <f aca="false">IF($B15="","",SUMIFS('الحركات الشهرية'!$F$6:$F$1005,'الحركات الشهرية'!$B$6:$B$1005,$B15,'الحركات الشهرية'!$A$6:$A$1005,$C$3))</f>
        <v>0</v>
      </c>
      <c r="O15" s="90" t="n">
        <f aca="false">IF($B15="","",N15*(الموظفون!$N15+الموظفون!$J15*cfg_OT_P)/cfg_DAYS_M/cfg_HRS)</f>
        <v>0</v>
      </c>
      <c r="P15" s="90" t="n">
        <f aca="false">IF($B15="","",SUMIFS('الحركات الشهرية'!$G$6:$G$1005,'الحركات الشهرية'!$B$6:$B$1005,$B15,'الحركات الشهرية'!$A$6:$A$1005,$C$3))</f>
        <v>0</v>
      </c>
      <c r="Q15" s="90" t="n">
        <f aca="false">IF($B15="","",SUMIFS('الحركات الشهرية'!$H$6:$H$1005,'الحركات الشهرية'!$B$6:$B$1005,$B15,'الحركات الشهرية'!$A$6:$A$1005,$C$3))</f>
        <v>0</v>
      </c>
      <c r="R15" s="111" t="n">
        <f aca="false">IF($B15="","",SUM(J15:M15)+SUM(O15:Q15))</f>
        <v>0</v>
      </c>
      <c r="S15" s="90" t="n">
        <f aca="false">IF($B15="","",الموظفون!$Q15*IF(E15="سعودي",cfg_G_SE,cfg_G_NE)*F15/cfg_DAYS_M)</f>
        <v>0</v>
      </c>
      <c r="T15" s="90" t="n">
        <f aca="false">IF($B15="","",SUMIFS('الحركات الشهرية'!$I$6:$I$1005,'الحركات الشهرية'!$B$6:$B$1005,$B15,'الحركات الشهرية'!$A$6:$A$1005,$C$3))</f>
        <v>0</v>
      </c>
      <c r="U15" s="90" t="n">
        <f aca="false">IF($B15="","",SUMIFS('الحركات الشهرية'!$J$6:$J$1005,'الحركات الشهرية'!$B$6:$B$1005,$B15,'الحركات الشهرية'!$A$6:$A$1005,$C$3))</f>
        <v>0</v>
      </c>
      <c r="V15" s="90" t="n">
        <f aca="false">IF($B15="","",SUM(S15:U15))</f>
        <v>0</v>
      </c>
      <c r="W15" s="112" t="n">
        <f aca="false">IF($B15="","",R15-V15)</f>
        <v>0</v>
      </c>
      <c r="X15" s="90" t="n">
        <f aca="false">IF($B15="","",الموظفون!$Q15*IF(E15="سعودي",cfg_G_SR,cfg_G_NR)*F15/cfg_DAYS_M)</f>
        <v>0</v>
      </c>
      <c r="Y15" s="90" t="n">
        <f aca="false">IF($B15="","",الموظفون!$O15*(cfg_EOS_R1*(MIN(AC15,cfg_EOS_TH)-MIN(AD15,cfg_EOS_TH))+cfg_EOS_R2*(MAX(AC15-cfg_EOS_TH,0)-MAX(AD15-cfg_EOS_TH,0))))</f>
        <v>0</v>
      </c>
      <c r="Z15" s="90" t="n">
        <f aca="false">IF($B15="","",IF(الموظفون!$R15&lt;&gt;"",الموظفون!$R15,IF(AC15&gt;=cfg_LV_TH,cfg_LV_D2,cfg_LV_D1))/cfg_DAYS_Y*AE15*الموظفون!$P15/cfg_DAYS_M)</f>
        <v>0</v>
      </c>
      <c r="AA15" s="90" t="n">
        <f aca="false">IF($B15="","",IF(AND(الموظفون!$S15="نعم",N(الموظفون!$U15)&gt;0),الموظفون!$T15/الموظفون!$U15*12/cfg_DAYS_Y*AE15,0))</f>
        <v>0</v>
      </c>
      <c r="AB15" s="113" t="n">
        <f aca="false">IF($B15="","",R15+SUM(X15:AA15))</f>
        <v>0</v>
      </c>
      <c r="AC15" s="114" t="n">
        <f aca="false">IF($B15="","",MAX(0,IF(OR(الموظفون!$X15="",الموظفون!$X15&gt;$G$3),$G$3,الموظفون!$X15)-الموظفون!$H15+1)/cfg_DAYS_Y)</f>
        <v>0</v>
      </c>
      <c r="AD15" s="114" t="n">
        <f aca="false">IF($B15="","",MAX(0,IF(OR(الموظفون!$X15="",الموظفون!$X15&gt;($E$3-1)),($E$3-1),الموظفون!$X15)-الموظفون!$H15+1)/cfg_DAYS_Y)</f>
        <v>0</v>
      </c>
      <c r="AE15" s="115" t="n">
        <f aca="false">IF($B15="","",MAX(0,IF(OR(الموظفون!$X15="",الموظفون!$X15&gt;$G$3),$G$3,الموظفون!$X15)-MAX($E$3,الموظفون!$H15)+1))</f>
        <v>0</v>
      </c>
    </row>
    <row r="16" customFormat="false" ht="15" hidden="false" customHeight="false" outlineLevel="0" collapsed="false">
      <c r="A16" s="83" t="n">
        <f aca="false">IF($B16="","",الموظفون!$A16)</f>
        <v>11</v>
      </c>
      <c r="B16" s="74" t="str">
        <f aca="false">IF(الموظفون!$B16="","",الموظفون!$B16)</f>
        <v>E011</v>
      </c>
      <c r="C16" s="74" t="str">
        <f aca="false">IF($B16="","",الموظفون!$C16)</f>
        <v>جون ماتيو</v>
      </c>
      <c r="D16" s="74" t="str">
        <f aca="false">IF($B16="","",الموظفون!$F16)</f>
        <v>العمليات</v>
      </c>
      <c r="E16" s="74" t="str">
        <f aca="false">IF($B16="","",الموظفون!$E16)</f>
        <v>غير سعودي</v>
      </c>
      <c r="F16" s="105" t="n">
        <f aca="false">IF($B16="","",IF(AE16&gt;=DAY($G$3),cfg_DAYS_M,MIN(AE16,cfg_DAYS_M)))</f>
        <v>30</v>
      </c>
      <c r="G16" s="105" t="n">
        <f aca="false">IF($B16="","",SUMIFS('الحركات الشهرية'!$D$6:$D$1005,'الحركات الشهرية'!$B$6:$B$1005,$B16,'الحركات الشهرية'!$A$6:$A$1005,$C$3))</f>
        <v>0</v>
      </c>
      <c r="H16" s="105" t="n">
        <f aca="false">IF($B16="","",SUMIFS('الحركات الشهرية'!$E$6:$E$1005,'الحركات الشهرية'!$B$6:$B$1005,$B16,'الحركات الشهرية'!$A$6:$A$1005,$C$3))</f>
        <v>0</v>
      </c>
      <c r="I16" s="105" t="n">
        <f aca="false">IF($B16="","",MAX(0,F16-G16-H16))</f>
        <v>30</v>
      </c>
      <c r="J16" s="86" t="n">
        <f aca="false">IF($B16="","",الموظفون!$J16*$I16/cfg_DAYS_M)</f>
        <v>5000</v>
      </c>
      <c r="K16" s="86" t="n">
        <f aca="false">IF($B16="","",الموظفون!$K16*$I16/cfg_DAYS_M)</f>
        <v>1250</v>
      </c>
      <c r="L16" s="86" t="n">
        <f aca="false">IF($B16="","",الموظفون!$L16*$I16/cfg_DAYS_M)</f>
        <v>500</v>
      </c>
      <c r="M16" s="86" t="n">
        <f aca="false">IF($B16="","",الموظفون!$M16*$I16/cfg_DAYS_M)</f>
        <v>0</v>
      </c>
      <c r="N16" s="105" t="n">
        <f aca="false">IF($B16="","",SUMIFS('الحركات الشهرية'!$F$6:$F$1005,'الحركات الشهرية'!$B$6:$B$1005,$B16,'الحركات الشهرية'!$A$6:$A$1005,$C$3))</f>
        <v>0</v>
      </c>
      <c r="O16" s="86" t="n">
        <f aca="false">IF($B16="","",N16*(الموظفون!$N16+الموظفون!$J16*cfg_OT_P)/cfg_DAYS_M/cfg_HRS)</f>
        <v>0</v>
      </c>
      <c r="P16" s="86" t="n">
        <f aca="false">IF($B16="","",SUMIFS('الحركات الشهرية'!$G$6:$G$1005,'الحركات الشهرية'!$B$6:$B$1005,$B16,'الحركات الشهرية'!$A$6:$A$1005,$C$3))</f>
        <v>0</v>
      </c>
      <c r="Q16" s="86" t="n">
        <f aca="false">IF($B16="","",SUMIFS('الحركات الشهرية'!$H$6:$H$1005,'الحركات الشهرية'!$B$6:$B$1005,$B16,'الحركات الشهرية'!$A$6:$A$1005,$C$3))</f>
        <v>0</v>
      </c>
      <c r="R16" s="106" t="n">
        <f aca="false">IF($B16="","",SUM(J16:M16)+SUM(O16:Q16))</f>
        <v>6750</v>
      </c>
      <c r="S16" s="86" t="n">
        <f aca="false">IF($B16="","",الموظفون!$Q16*IF(E16="سعودي",cfg_G_SE,cfg_G_NE)*F16/cfg_DAYS_M)</f>
        <v>0</v>
      </c>
      <c r="T16" s="86" t="n">
        <f aca="false">IF($B16="","",SUMIFS('الحركات الشهرية'!$I$6:$I$1005,'الحركات الشهرية'!$B$6:$B$1005,$B16,'الحركات الشهرية'!$A$6:$A$1005,$C$3))</f>
        <v>0</v>
      </c>
      <c r="U16" s="86" t="n">
        <f aca="false">IF($B16="","",SUMIFS('الحركات الشهرية'!$J$6:$J$1005,'الحركات الشهرية'!$B$6:$B$1005,$B16,'الحركات الشهرية'!$A$6:$A$1005,$C$3))</f>
        <v>0</v>
      </c>
      <c r="V16" s="86" t="n">
        <f aca="false">IF($B16="","",SUM(S16:U16))</f>
        <v>0</v>
      </c>
      <c r="W16" s="107" t="n">
        <f aca="false">IF($B16="","",R16-V16)</f>
        <v>6750</v>
      </c>
      <c r="X16" s="86" t="n">
        <f aca="false">IF($B16="","",الموظفون!$Q16*IF(E16="سعودي",cfg_G_SR,cfg_G_NR)*F16/cfg_DAYS_M)</f>
        <v>125</v>
      </c>
      <c r="Y16" s="86" t="n">
        <f aca="false">IF($B16="","",الموظفون!$O16*(cfg_EOS_R1*(MIN(AC16,cfg_EOS_TH)-MIN(AD16,cfg_EOS_TH))+cfg_EOS_R2*(MAX(AC16-cfg_EOS_TH,0)-MAX(AD16-cfg_EOS_TH,0))))</f>
        <v>517.808219178083</v>
      </c>
      <c r="Z16" s="86" t="n">
        <f aca="false">IF($B16="","",IF(الموظفون!$R16&lt;&gt;"",الموظفون!$R16,IF(AC16&gt;=cfg_LV_TH,cfg_LV_D2,cfg_LV_D1))/cfg_DAYS_Y*AE16*الموظفون!$P16/cfg_DAYS_M)</f>
        <v>517.808219178082</v>
      </c>
      <c r="AA16" s="86" t="n">
        <f aca="false">IF($B16="","",IF(AND(الموظفون!$S16="نعم",N(الموظفون!$U16)&gt;0),الموظفون!$T16/الموظفون!$U16*12/cfg_DAYS_Y*AE16,0))</f>
        <v>99.7260273972603</v>
      </c>
      <c r="AB16" s="108" t="n">
        <f aca="false">IF($B16="","",R16+SUM(X16:AA16))</f>
        <v>8010.34246575343</v>
      </c>
      <c r="AC16" s="109" t="n">
        <f aca="false">IF($B16="","",MAX(0,IF(OR(الموظفون!$X16="",الموظفون!$X16&gt;$G$3),$G$3,الموظفون!$X16)-الموظفون!$H16+1)/cfg_DAYS_Y)</f>
        <v>7.0054794520548</v>
      </c>
      <c r="AD16" s="109" t="n">
        <f aca="false">IF($B16="","",MAX(0,IF(OR(الموظفون!$X16="",الموظفون!$X16&gt;($E$3-1)),($E$3-1),الموظفون!$X16)-الموظفون!$H16+1)/cfg_DAYS_Y)</f>
        <v>6.92876712328767</v>
      </c>
      <c r="AE16" s="51" t="n">
        <f aca="false">IF($B16="","",MAX(0,IF(OR(الموظفون!$X16="",الموظفون!$X16&gt;$G$3),$G$3,الموظفون!$X16)-MAX($E$3,الموظفون!$H16)+1))</f>
        <v>28</v>
      </c>
    </row>
    <row r="17" customFormat="false" ht="15" hidden="false" customHeight="false" outlineLevel="0" collapsed="false">
      <c r="A17" s="89" t="n">
        <f aca="false">IF($B17="","",الموظفون!$A17)</f>
        <v>12</v>
      </c>
      <c r="B17" s="91" t="str">
        <f aca="false">IF(الموظفون!$B17="","",الموظفون!$B17)</f>
        <v>E012</v>
      </c>
      <c r="C17" s="91" t="str">
        <f aca="false">IF($B17="","",الموظفون!$C17)</f>
        <v>عمر حسين البيشي</v>
      </c>
      <c r="D17" s="91" t="str">
        <f aca="false">IF($B17="","",الموظفون!$F17)</f>
        <v>تقنية المعلومات</v>
      </c>
      <c r="E17" s="91" t="str">
        <f aca="false">IF($B17="","",الموظفون!$E17)</f>
        <v>سعودي</v>
      </c>
      <c r="F17" s="110" t="n">
        <f aca="false">IF($B17="","",IF(AE17&gt;=DAY($G$3),cfg_DAYS_M,MIN(AE17,cfg_DAYS_M)))</f>
        <v>30</v>
      </c>
      <c r="G17" s="110" t="n">
        <f aca="false">IF($B17="","",SUMIFS('الحركات الشهرية'!$D$6:$D$1005,'الحركات الشهرية'!$B$6:$B$1005,$B17,'الحركات الشهرية'!$A$6:$A$1005,$C$3))</f>
        <v>0</v>
      </c>
      <c r="H17" s="110" t="n">
        <f aca="false">IF($B17="","",SUMIFS('الحركات الشهرية'!$E$6:$E$1005,'الحركات الشهرية'!$B$6:$B$1005,$B17,'الحركات الشهرية'!$A$6:$A$1005,$C$3))</f>
        <v>0</v>
      </c>
      <c r="I17" s="110" t="n">
        <f aca="false">IF($B17="","",MAX(0,F17-G17-H17))</f>
        <v>30</v>
      </c>
      <c r="J17" s="90" t="n">
        <f aca="false">IF($B17="","",الموظفون!$J17*$I17/cfg_DAYS_M)</f>
        <v>12000</v>
      </c>
      <c r="K17" s="90" t="n">
        <f aca="false">IF($B17="","",الموظفون!$K17*$I17/cfg_DAYS_M)</f>
        <v>3000</v>
      </c>
      <c r="L17" s="90" t="n">
        <f aca="false">IF($B17="","",الموظفون!$L17*$I17/cfg_DAYS_M)</f>
        <v>1200</v>
      </c>
      <c r="M17" s="90" t="n">
        <f aca="false">IF($B17="","",الموظفون!$M17*$I17/cfg_DAYS_M)</f>
        <v>1500</v>
      </c>
      <c r="N17" s="110" t="n">
        <f aca="false">IF($B17="","",SUMIFS('الحركات الشهرية'!$F$6:$F$1005,'الحركات الشهرية'!$B$6:$B$1005,$B17,'الحركات الشهرية'!$A$6:$A$1005,$C$3))</f>
        <v>0</v>
      </c>
      <c r="O17" s="90" t="n">
        <f aca="false">IF($B17="","",N17*(الموظفون!$N17+الموظفون!$J17*cfg_OT_P)/cfg_DAYS_M/cfg_HRS)</f>
        <v>0</v>
      </c>
      <c r="P17" s="90" t="n">
        <f aca="false">IF($B17="","",SUMIFS('الحركات الشهرية'!$G$6:$G$1005,'الحركات الشهرية'!$B$6:$B$1005,$B17,'الحركات الشهرية'!$A$6:$A$1005,$C$3))</f>
        <v>0</v>
      </c>
      <c r="Q17" s="90" t="n">
        <f aca="false">IF($B17="","",SUMIFS('الحركات الشهرية'!$H$6:$H$1005,'الحركات الشهرية'!$B$6:$B$1005,$B17,'الحركات الشهرية'!$A$6:$A$1005,$C$3))</f>
        <v>0</v>
      </c>
      <c r="R17" s="111" t="n">
        <f aca="false">IF($B17="","",SUM(J17:M17)+SUM(O17:Q17))</f>
        <v>17700</v>
      </c>
      <c r="S17" s="90" t="n">
        <f aca="false">IF($B17="","",الموظفون!$Q17*IF(E17="سعودي",cfg_G_SE,cfg_G_NE)*F17/cfg_DAYS_M)</f>
        <v>1462.5</v>
      </c>
      <c r="T17" s="90" t="n">
        <f aca="false">IF($B17="","",SUMIFS('الحركات الشهرية'!$I$6:$I$1005,'الحركات الشهرية'!$B$6:$B$1005,$B17,'الحركات الشهرية'!$A$6:$A$1005,$C$3))</f>
        <v>0</v>
      </c>
      <c r="U17" s="90" t="n">
        <f aca="false">IF($B17="","",SUMIFS('الحركات الشهرية'!$J$6:$J$1005,'الحركات الشهرية'!$B$6:$B$1005,$B17,'الحركات الشهرية'!$A$6:$A$1005,$C$3))</f>
        <v>0</v>
      </c>
      <c r="V17" s="90" t="n">
        <f aca="false">IF($B17="","",SUM(S17:U17))</f>
        <v>1462.5</v>
      </c>
      <c r="W17" s="112" t="n">
        <f aca="false">IF($B17="","",R17-V17)</f>
        <v>16237.5</v>
      </c>
      <c r="X17" s="90" t="n">
        <f aca="false">IF($B17="","",الموظفون!$Q17*IF(E17="سعودي",cfg_G_SR,cfg_G_NR)*F17/cfg_DAYS_M)</f>
        <v>1762.5</v>
      </c>
      <c r="Y17" s="90" t="n">
        <f aca="false">IF($B17="","",الموظفون!$O17*(cfg_EOS_R1*(MIN(AC17,cfg_EOS_TH)-MIN(AD17,cfg_EOS_TH))+cfg_EOS_R2*(MAX(AC17-cfg_EOS_TH,0)-MAX(AD17-cfg_EOS_TH,0))))</f>
        <v>621.3698630137</v>
      </c>
      <c r="Z17" s="90" t="n">
        <f aca="false">IF($B17="","",IF(الموظفون!$R17&lt;&gt;"",الموظفون!$R17,IF(AC17&gt;=cfg_LV_TH,cfg_LV_D2,cfg_LV_D1))/cfg_DAYS_Y*AE17*الموظفون!$P17/cfg_DAYS_M)</f>
        <v>869.917808219178</v>
      </c>
      <c r="AA17" s="90" t="n">
        <f aca="false">IF($B17="","",IF(AND(الموظفون!$S17="نعم",N(الموظفون!$U17)&gt;0),الموظفون!$T17/الموظفون!$U17*12/cfg_DAYS_Y*AE17,0))</f>
        <v>0</v>
      </c>
      <c r="AB17" s="113" t="n">
        <f aca="false">IF($B17="","",R17+SUM(X17:AA17))</f>
        <v>20953.7876712329</v>
      </c>
      <c r="AC17" s="114" t="n">
        <f aca="false">IF($B17="","",MAX(0,IF(OR(الموظفون!$X17="",الموظفون!$X17&gt;$G$3),$G$3,الموظفون!$X17)-الموظفون!$H17+1)/cfg_DAYS_Y)</f>
        <v>3.64383561643836</v>
      </c>
      <c r="AD17" s="114" t="n">
        <f aca="false">IF($B17="","",MAX(0,IF(OR(الموظفون!$X17="",الموظفون!$X17&gt;($E$3-1)),($E$3-1),الموظفون!$X17)-الموظفون!$H17+1)/cfg_DAYS_Y)</f>
        <v>3.56712328767123</v>
      </c>
      <c r="AE17" s="115" t="n">
        <f aca="false">IF($B17="","",MAX(0,IF(OR(الموظفون!$X17="",الموظفون!$X17&gt;$G$3),$G$3,الموظفون!$X17)-MAX($E$3,الموظفون!$H17)+1))</f>
        <v>28</v>
      </c>
    </row>
    <row r="18" customFormat="false" ht="15" hidden="false" customHeight="false" outlineLevel="0" collapsed="false">
      <c r="A18" s="83" t="str">
        <f aca="false">IF($B18="","",الموظفون!$A18)</f>
        <v/>
      </c>
      <c r="B18" s="74" t="str">
        <f aca="false">IF(الموظفون!$B18="","",الموظفون!$B18)</f>
        <v/>
      </c>
      <c r="C18" s="74" t="str">
        <f aca="false">IF($B18="","",الموظفون!$C18)</f>
        <v/>
      </c>
      <c r="D18" s="74" t="str">
        <f aca="false">IF($B18="","",الموظفون!$F18)</f>
        <v/>
      </c>
      <c r="E18" s="74" t="str">
        <f aca="false">IF($B18="","",الموظفون!$E18)</f>
        <v/>
      </c>
      <c r="F18" s="105" t="str">
        <f aca="false">IF($B18="","",IF(AE18&gt;=DAY($G$3),cfg_DAYS_M,MIN(AE18,cfg_DAYS_M)))</f>
        <v/>
      </c>
      <c r="G18" s="105" t="str">
        <f aca="false">IF($B18="","",SUMIFS('الحركات الشهرية'!$D$6:$D$1005,'الحركات الشهرية'!$B$6:$B$1005,$B18,'الحركات الشهرية'!$A$6:$A$1005,$C$3))</f>
        <v/>
      </c>
      <c r="H18" s="105" t="str">
        <f aca="false">IF($B18="","",SUMIFS('الحركات الشهرية'!$E$6:$E$1005,'الحركات الشهرية'!$B$6:$B$1005,$B18,'الحركات الشهرية'!$A$6:$A$1005,$C$3))</f>
        <v/>
      </c>
      <c r="I18" s="105" t="str">
        <f aca="false">IF($B18="","",MAX(0,F18-G18-H18))</f>
        <v/>
      </c>
      <c r="J18" s="86" t="str">
        <f aca="false">IF($B18="","",الموظفون!$J18*$I18/cfg_DAYS_M)</f>
        <v/>
      </c>
      <c r="K18" s="86" t="str">
        <f aca="false">IF($B18="","",الموظفون!$K18*$I18/cfg_DAYS_M)</f>
        <v/>
      </c>
      <c r="L18" s="86" t="str">
        <f aca="false">IF($B18="","",الموظفون!$L18*$I18/cfg_DAYS_M)</f>
        <v/>
      </c>
      <c r="M18" s="86" t="str">
        <f aca="false">IF($B18="","",الموظفون!$M18*$I18/cfg_DAYS_M)</f>
        <v/>
      </c>
      <c r="N18" s="105" t="str">
        <f aca="false">IF($B18="","",SUMIFS('الحركات الشهرية'!$F$6:$F$1005,'الحركات الشهرية'!$B$6:$B$1005,$B18,'الحركات الشهرية'!$A$6:$A$1005,$C$3))</f>
        <v/>
      </c>
      <c r="O18" s="86" t="str">
        <f aca="false">IF($B18="","",N18*(الموظفون!$N18+الموظفون!$J18*cfg_OT_P)/cfg_DAYS_M/cfg_HRS)</f>
        <v/>
      </c>
      <c r="P18" s="86" t="str">
        <f aca="false">IF($B18="","",SUMIFS('الحركات الشهرية'!$G$6:$G$1005,'الحركات الشهرية'!$B$6:$B$1005,$B18,'الحركات الشهرية'!$A$6:$A$1005,$C$3))</f>
        <v/>
      </c>
      <c r="Q18" s="86" t="str">
        <f aca="false">IF($B18="","",SUMIFS('الحركات الشهرية'!$H$6:$H$1005,'الحركات الشهرية'!$B$6:$B$1005,$B18,'الحركات الشهرية'!$A$6:$A$1005,$C$3))</f>
        <v/>
      </c>
      <c r="R18" s="106" t="str">
        <f aca="false">IF($B18="","",SUM(J18:M18)+SUM(O18:Q18))</f>
        <v/>
      </c>
      <c r="S18" s="86" t="str">
        <f aca="false">IF($B18="","",الموظفون!$Q18*IF(E18="سعودي",cfg_G_SE,cfg_G_NE)*F18/cfg_DAYS_M)</f>
        <v/>
      </c>
      <c r="T18" s="86" t="str">
        <f aca="false">IF($B18="","",SUMIFS('الحركات الشهرية'!$I$6:$I$1005,'الحركات الشهرية'!$B$6:$B$1005,$B18,'الحركات الشهرية'!$A$6:$A$1005,$C$3))</f>
        <v/>
      </c>
      <c r="U18" s="86" t="str">
        <f aca="false">IF($B18="","",SUMIFS('الحركات الشهرية'!$J$6:$J$1005,'الحركات الشهرية'!$B$6:$B$1005,$B18,'الحركات الشهرية'!$A$6:$A$1005,$C$3))</f>
        <v/>
      </c>
      <c r="V18" s="86" t="str">
        <f aca="false">IF($B18="","",SUM(S18:U18))</f>
        <v/>
      </c>
      <c r="W18" s="107" t="str">
        <f aca="false">IF($B18="","",R18-V18)</f>
        <v/>
      </c>
      <c r="X18" s="86" t="str">
        <f aca="false">IF($B18="","",الموظفون!$Q18*IF(E18="سعودي",cfg_G_SR,cfg_G_NR)*F18/cfg_DAYS_M)</f>
        <v/>
      </c>
      <c r="Y18" s="86" t="str">
        <f aca="false">IF($B18="","",الموظفون!$O18*(cfg_EOS_R1*(MIN(AC18,cfg_EOS_TH)-MIN(AD18,cfg_EOS_TH))+cfg_EOS_R2*(MAX(AC18-cfg_EOS_TH,0)-MAX(AD18-cfg_EOS_TH,0))))</f>
        <v/>
      </c>
      <c r="Z18" s="86" t="str">
        <f aca="false">IF($B18="","",IF(الموظفون!$R18&lt;&gt;"",الموظفون!$R18,IF(AC18&gt;=cfg_LV_TH,cfg_LV_D2,cfg_LV_D1))/cfg_DAYS_Y*AE18*الموظفون!$P18/cfg_DAYS_M)</f>
        <v/>
      </c>
      <c r="AA18" s="86" t="str">
        <f aca="false">IF($B18="","",IF(AND(الموظفون!$S18="نعم",N(الموظفون!$U18)&gt;0),الموظفون!$T18/الموظفون!$U18*12/cfg_DAYS_Y*AE18,0))</f>
        <v/>
      </c>
      <c r="AB18" s="108" t="str">
        <f aca="false">IF($B18="","",R18+SUM(X18:AA18))</f>
        <v/>
      </c>
      <c r="AC18" s="109" t="str">
        <f aca="false">IF($B18="","",MAX(0,IF(OR(الموظفون!$X18="",الموظفون!$X18&gt;$G$3),$G$3,الموظفون!$X18)-الموظفون!$H18+1)/cfg_DAYS_Y)</f>
        <v/>
      </c>
      <c r="AD18" s="109" t="str">
        <f aca="false">IF($B18="","",MAX(0,IF(OR(الموظفون!$X18="",الموظفون!$X18&gt;($E$3-1)),($E$3-1),الموظفون!$X18)-الموظفون!$H18+1)/cfg_DAYS_Y)</f>
        <v/>
      </c>
      <c r="AE18" s="51" t="str">
        <f aca="false">IF($B18="","",MAX(0,IF(OR(الموظفون!$X18="",الموظفون!$X18&gt;$G$3),$G$3,الموظفون!$X18)-MAX($E$3,الموظفون!$H18)+1))</f>
        <v/>
      </c>
    </row>
    <row r="19" customFormat="false" ht="15" hidden="false" customHeight="false" outlineLevel="0" collapsed="false">
      <c r="A19" s="89" t="str">
        <f aca="false">IF($B19="","",الموظفون!$A19)</f>
        <v/>
      </c>
      <c r="B19" s="91" t="str">
        <f aca="false">IF(الموظفون!$B19="","",الموظفون!$B19)</f>
        <v/>
      </c>
      <c r="C19" s="91" t="str">
        <f aca="false">IF($B19="","",الموظفون!$C19)</f>
        <v/>
      </c>
      <c r="D19" s="91" t="str">
        <f aca="false">IF($B19="","",الموظفون!$F19)</f>
        <v/>
      </c>
      <c r="E19" s="91" t="str">
        <f aca="false">IF($B19="","",الموظفون!$E19)</f>
        <v/>
      </c>
      <c r="F19" s="110" t="str">
        <f aca="false">IF($B19="","",IF(AE19&gt;=DAY($G$3),cfg_DAYS_M,MIN(AE19,cfg_DAYS_M)))</f>
        <v/>
      </c>
      <c r="G19" s="110" t="str">
        <f aca="false">IF($B19="","",SUMIFS('الحركات الشهرية'!$D$6:$D$1005,'الحركات الشهرية'!$B$6:$B$1005,$B19,'الحركات الشهرية'!$A$6:$A$1005,$C$3))</f>
        <v/>
      </c>
      <c r="H19" s="110" t="str">
        <f aca="false">IF($B19="","",SUMIFS('الحركات الشهرية'!$E$6:$E$1005,'الحركات الشهرية'!$B$6:$B$1005,$B19,'الحركات الشهرية'!$A$6:$A$1005,$C$3))</f>
        <v/>
      </c>
      <c r="I19" s="110" t="str">
        <f aca="false">IF($B19="","",MAX(0,F19-G19-H19))</f>
        <v/>
      </c>
      <c r="J19" s="90" t="str">
        <f aca="false">IF($B19="","",الموظفون!$J19*$I19/cfg_DAYS_M)</f>
        <v/>
      </c>
      <c r="K19" s="90" t="str">
        <f aca="false">IF($B19="","",الموظفون!$K19*$I19/cfg_DAYS_M)</f>
        <v/>
      </c>
      <c r="L19" s="90" t="str">
        <f aca="false">IF($B19="","",الموظفون!$L19*$I19/cfg_DAYS_M)</f>
        <v/>
      </c>
      <c r="M19" s="90" t="str">
        <f aca="false">IF($B19="","",الموظفون!$M19*$I19/cfg_DAYS_M)</f>
        <v/>
      </c>
      <c r="N19" s="110" t="str">
        <f aca="false">IF($B19="","",SUMIFS('الحركات الشهرية'!$F$6:$F$1005,'الحركات الشهرية'!$B$6:$B$1005,$B19,'الحركات الشهرية'!$A$6:$A$1005,$C$3))</f>
        <v/>
      </c>
      <c r="O19" s="90" t="str">
        <f aca="false">IF($B19="","",N19*(الموظفون!$N19+الموظفون!$J19*cfg_OT_P)/cfg_DAYS_M/cfg_HRS)</f>
        <v/>
      </c>
      <c r="P19" s="90" t="str">
        <f aca="false">IF($B19="","",SUMIFS('الحركات الشهرية'!$G$6:$G$1005,'الحركات الشهرية'!$B$6:$B$1005,$B19,'الحركات الشهرية'!$A$6:$A$1005,$C$3))</f>
        <v/>
      </c>
      <c r="Q19" s="90" t="str">
        <f aca="false">IF($B19="","",SUMIFS('الحركات الشهرية'!$H$6:$H$1005,'الحركات الشهرية'!$B$6:$B$1005,$B19,'الحركات الشهرية'!$A$6:$A$1005,$C$3))</f>
        <v/>
      </c>
      <c r="R19" s="111" t="str">
        <f aca="false">IF($B19="","",SUM(J19:M19)+SUM(O19:Q19))</f>
        <v/>
      </c>
      <c r="S19" s="90" t="str">
        <f aca="false">IF($B19="","",الموظفون!$Q19*IF(E19="سعودي",cfg_G_SE,cfg_G_NE)*F19/cfg_DAYS_M)</f>
        <v/>
      </c>
      <c r="T19" s="90" t="str">
        <f aca="false">IF($B19="","",SUMIFS('الحركات الشهرية'!$I$6:$I$1005,'الحركات الشهرية'!$B$6:$B$1005,$B19,'الحركات الشهرية'!$A$6:$A$1005,$C$3))</f>
        <v/>
      </c>
      <c r="U19" s="90" t="str">
        <f aca="false">IF($B19="","",SUMIFS('الحركات الشهرية'!$J$6:$J$1005,'الحركات الشهرية'!$B$6:$B$1005,$B19,'الحركات الشهرية'!$A$6:$A$1005,$C$3))</f>
        <v/>
      </c>
      <c r="V19" s="90" t="str">
        <f aca="false">IF($B19="","",SUM(S19:U19))</f>
        <v/>
      </c>
      <c r="W19" s="112" t="str">
        <f aca="false">IF($B19="","",R19-V19)</f>
        <v/>
      </c>
      <c r="X19" s="90" t="str">
        <f aca="false">IF($B19="","",الموظفون!$Q19*IF(E19="سعودي",cfg_G_SR,cfg_G_NR)*F19/cfg_DAYS_M)</f>
        <v/>
      </c>
      <c r="Y19" s="90" t="str">
        <f aca="false">IF($B19="","",الموظفون!$O19*(cfg_EOS_R1*(MIN(AC19,cfg_EOS_TH)-MIN(AD19,cfg_EOS_TH))+cfg_EOS_R2*(MAX(AC19-cfg_EOS_TH,0)-MAX(AD19-cfg_EOS_TH,0))))</f>
        <v/>
      </c>
      <c r="Z19" s="90" t="str">
        <f aca="false">IF($B19="","",IF(الموظفون!$R19&lt;&gt;"",الموظفون!$R19,IF(AC19&gt;=cfg_LV_TH,cfg_LV_D2,cfg_LV_D1))/cfg_DAYS_Y*AE19*الموظفون!$P19/cfg_DAYS_M)</f>
        <v/>
      </c>
      <c r="AA19" s="90" t="str">
        <f aca="false">IF($B19="","",IF(AND(الموظفون!$S19="نعم",N(الموظفون!$U19)&gt;0),الموظفون!$T19/الموظفون!$U19*12/cfg_DAYS_Y*AE19,0))</f>
        <v/>
      </c>
      <c r="AB19" s="113" t="str">
        <f aca="false">IF($B19="","",R19+SUM(X19:AA19))</f>
        <v/>
      </c>
      <c r="AC19" s="114" t="str">
        <f aca="false">IF($B19="","",MAX(0,IF(OR(الموظفون!$X19="",الموظفون!$X19&gt;$G$3),$G$3,الموظفون!$X19)-الموظفون!$H19+1)/cfg_DAYS_Y)</f>
        <v/>
      </c>
      <c r="AD19" s="114" t="str">
        <f aca="false">IF($B19="","",MAX(0,IF(OR(الموظفون!$X19="",الموظفون!$X19&gt;($E$3-1)),($E$3-1),الموظفون!$X19)-الموظفون!$H19+1)/cfg_DAYS_Y)</f>
        <v/>
      </c>
      <c r="AE19" s="115" t="str">
        <f aca="false">IF($B19="","",MAX(0,IF(OR(الموظفون!$X19="",الموظفون!$X19&gt;$G$3),$G$3,الموظفون!$X19)-MAX($E$3,الموظفون!$H19)+1))</f>
        <v/>
      </c>
    </row>
    <row r="20" customFormat="false" ht="15" hidden="false" customHeight="false" outlineLevel="0" collapsed="false">
      <c r="A20" s="83" t="str">
        <f aca="false">IF($B20="","",الموظفون!$A20)</f>
        <v/>
      </c>
      <c r="B20" s="74" t="str">
        <f aca="false">IF(الموظفون!$B20="","",الموظفون!$B20)</f>
        <v/>
      </c>
      <c r="C20" s="74" t="str">
        <f aca="false">IF($B20="","",الموظفون!$C20)</f>
        <v/>
      </c>
      <c r="D20" s="74" t="str">
        <f aca="false">IF($B20="","",الموظفون!$F20)</f>
        <v/>
      </c>
      <c r="E20" s="74" t="str">
        <f aca="false">IF($B20="","",الموظفون!$E20)</f>
        <v/>
      </c>
      <c r="F20" s="105" t="str">
        <f aca="false">IF($B20="","",IF(AE20&gt;=DAY($G$3),cfg_DAYS_M,MIN(AE20,cfg_DAYS_M)))</f>
        <v/>
      </c>
      <c r="G20" s="105" t="str">
        <f aca="false">IF($B20="","",SUMIFS('الحركات الشهرية'!$D$6:$D$1005,'الحركات الشهرية'!$B$6:$B$1005,$B20,'الحركات الشهرية'!$A$6:$A$1005,$C$3))</f>
        <v/>
      </c>
      <c r="H20" s="105" t="str">
        <f aca="false">IF($B20="","",SUMIFS('الحركات الشهرية'!$E$6:$E$1005,'الحركات الشهرية'!$B$6:$B$1005,$B20,'الحركات الشهرية'!$A$6:$A$1005,$C$3))</f>
        <v/>
      </c>
      <c r="I20" s="105" t="str">
        <f aca="false">IF($B20="","",MAX(0,F20-G20-H20))</f>
        <v/>
      </c>
      <c r="J20" s="86" t="str">
        <f aca="false">IF($B20="","",الموظفون!$J20*$I20/cfg_DAYS_M)</f>
        <v/>
      </c>
      <c r="K20" s="86" t="str">
        <f aca="false">IF($B20="","",الموظفون!$K20*$I20/cfg_DAYS_M)</f>
        <v/>
      </c>
      <c r="L20" s="86" t="str">
        <f aca="false">IF($B20="","",الموظفون!$L20*$I20/cfg_DAYS_M)</f>
        <v/>
      </c>
      <c r="M20" s="86" t="str">
        <f aca="false">IF($B20="","",الموظفون!$M20*$I20/cfg_DAYS_M)</f>
        <v/>
      </c>
      <c r="N20" s="105" t="str">
        <f aca="false">IF($B20="","",SUMIFS('الحركات الشهرية'!$F$6:$F$1005,'الحركات الشهرية'!$B$6:$B$1005,$B20,'الحركات الشهرية'!$A$6:$A$1005,$C$3))</f>
        <v/>
      </c>
      <c r="O20" s="86" t="str">
        <f aca="false">IF($B20="","",N20*(الموظفون!$N20+الموظفون!$J20*cfg_OT_P)/cfg_DAYS_M/cfg_HRS)</f>
        <v/>
      </c>
      <c r="P20" s="86" t="str">
        <f aca="false">IF($B20="","",SUMIFS('الحركات الشهرية'!$G$6:$G$1005,'الحركات الشهرية'!$B$6:$B$1005,$B20,'الحركات الشهرية'!$A$6:$A$1005,$C$3))</f>
        <v/>
      </c>
      <c r="Q20" s="86" t="str">
        <f aca="false">IF($B20="","",SUMIFS('الحركات الشهرية'!$H$6:$H$1005,'الحركات الشهرية'!$B$6:$B$1005,$B20,'الحركات الشهرية'!$A$6:$A$1005,$C$3))</f>
        <v/>
      </c>
      <c r="R20" s="106" t="str">
        <f aca="false">IF($B20="","",SUM(J20:M20)+SUM(O20:Q20))</f>
        <v/>
      </c>
      <c r="S20" s="86" t="str">
        <f aca="false">IF($B20="","",الموظفون!$Q20*IF(E20="سعودي",cfg_G_SE,cfg_G_NE)*F20/cfg_DAYS_M)</f>
        <v/>
      </c>
      <c r="T20" s="86" t="str">
        <f aca="false">IF($B20="","",SUMIFS('الحركات الشهرية'!$I$6:$I$1005,'الحركات الشهرية'!$B$6:$B$1005,$B20,'الحركات الشهرية'!$A$6:$A$1005,$C$3))</f>
        <v/>
      </c>
      <c r="U20" s="86" t="str">
        <f aca="false">IF($B20="","",SUMIFS('الحركات الشهرية'!$J$6:$J$1005,'الحركات الشهرية'!$B$6:$B$1005,$B20,'الحركات الشهرية'!$A$6:$A$1005,$C$3))</f>
        <v/>
      </c>
      <c r="V20" s="86" t="str">
        <f aca="false">IF($B20="","",SUM(S20:U20))</f>
        <v/>
      </c>
      <c r="W20" s="107" t="str">
        <f aca="false">IF($B20="","",R20-V20)</f>
        <v/>
      </c>
      <c r="X20" s="86" t="str">
        <f aca="false">IF($B20="","",الموظفون!$Q20*IF(E20="سعودي",cfg_G_SR,cfg_G_NR)*F20/cfg_DAYS_M)</f>
        <v/>
      </c>
      <c r="Y20" s="86" t="str">
        <f aca="false">IF($B20="","",الموظفون!$O20*(cfg_EOS_R1*(MIN(AC20,cfg_EOS_TH)-MIN(AD20,cfg_EOS_TH))+cfg_EOS_R2*(MAX(AC20-cfg_EOS_TH,0)-MAX(AD20-cfg_EOS_TH,0))))</f>
        <v/>
      </c>
      <c r="Z20" s="86" t="str">
        <f aca="false">IF($B20="","",IF(الموظفون!$R20&lt;&gt;"",الموظفون!$R20,IF(AC20&gt;=cfg_LV_TH,cfg_LV_D2,cfg_LV_D1))/cfg_DAYS_Y*AE20*الموظفون!$P20/cfg_DAYS_M)</f>
        <v/>
      </c>
      <c r="AA20" s="86" t="str">
        <f aca="false">IF($B20="","",IF(AND(الموظفون!$S20="نعم",N(الموظفون!$U20)&gt;0),الموظفون!$T20/الموظفون!$U20*12/cfg_DAYS_Y*AE20,0))</f>
        <v/>
      </c>
      <c r="AB20" s="108" t="str">
        <f aca="false">IF($B20="","",R20+SUM(X20:AA20))</f>
        <v/>
      </c>
      <c r="AC20" s="109" t="str">
        <f aca="false">IF($B20="","",MAX(0,IF(OR(الموظفون!$X20="",الموظفون!$X20&gt;$G$3),$G$3,الموظفون!$X20)-الموظفون!$H20+1)/cfg_DAYS_Y)</f>
        <v/>
      </c>
      <c r="AD20" s="109" t="str">
        <f aca="false">IF($B20="","",MAX(0,IF(OR(الموظفون!$X20="",الموظفون!$X20&gt;($E$3-1)),($E$3-1),الموظفون!$X20)-الموظفون!$H20+1)/cfg_DAYS_Y)</f>
        <v/>
      </c>
      <c r="AE20" s="51" t="str">
        <f aca="false">IF($B20="","",MAX(0,IF(OR(الموظفون!$X20="",الموظفون!$X20&gt;$G$3),$G$3,الموظفون!$X20)-MAX($E$3,الموظفون!$H20)+1))</f>
        <v/>
      </c>
    </row>
    <row r="21" customFormat="false" ht="15" hidden="false" customHeight="false" outlineLevel="0" collapsed="false">
      <c r="A21" s="89" t="str">
        <f aca="false">IF($B21="","",الموظفون!$A21)</f>
        <v/>
      </c>
      <c r="B21" s="91" t="str">
        <f aca="false">IF(الموظفون!$B21="","",الموظفون!$B21)</f>
        <v/>
      </c>
      <c r="C21" s="91" t="str">
        <f aca="false">IF($B21="","",الموظفون!$C21)</f>
        <v/>
      </c>
      <c r="D21" s="91" t="str">
        <f aca="false">IF($B21="","",الموظفون!$F21)</f>
        <v/>
      </c>
      <c r="E21" s="91" t="str">
        <f aca="false">IF($B21="","",الموظفون!$E21)</f>
        <v/>
      </c>
      <c r="F21" s="110" t="str">
        <f aca="false">IF($B21="","",IF(AE21&gt;=DAY($G$3),cfg_DAYS_M,MIN(AE21,cfg_DAYS_M)))</f>
        <v/>
      </c>
      <c r="G21" s="110" t="str">
        <f aca="false">IF($B21="","",SUMIFS('الحركات الشهرية'!$D$6:$D$1005,'الحركات الشهرية'!$B$6:$B$1005,$B21,'الحركات الشهرية'!$A$6:$A$1005,$C$3))</f>
        <v/>
      </c>
      <c r="H21" s="110" t="str">
        <f aca="false">IF($B21="","",SUMIFS('الحركات الشهرية'!$E$6:$E$1005,'الحركات الشهرية'!$B$6:$B$1005,$B21,'الحركات الشهرية'!$A$6:$A$1005,$C$3))</f>
        <v/>
      </c>
      <c r="I21" s="110" t="str">
        <f aca="false">IF($B21="","",MAX(0,F21-G21-H21))</f>
        <v/>
      </c>
      <c r="J21" s="90" t="str">
        <f aca="false">IF($B21="","",الموظفون!$J21*$I21/cfg_DAYS_M)</f>
        <v/>
      </c>
      <c r="K21" s="90" t="str">
        <f aca="false">IF($B21="","",الموظفون!$K21*$I21/cfg_DAYS_M)</f>
        <v/>
      </c>
      <c r="L21" s="90" t="str">
        <f aca="false">IF($B21="","",الموظفون!$L21*$I21/cfg_DAYS_M)</f>
        <v/>
      </c>
      <c r="M21" s="90" t="str">
        <f aca="false">IF($B21="","",الموظفون!$M21*$I21/cfg_DAYS_M)</f>
        <v/>
      </c>
      <c r="N21" s="110" t="str">
        <f aca="false">IF($B21="","",SUMIFS('الحركات الشهرية'!$F$6:$F$1005,'الحركات الشهرية'!$B$6:$B$1005,$B21,'الحركات الشهرية'!$A$6:$A$1005,$C$3))</f>
        <v/>
      </c>
      <c r="O21" s="90" t="str">
        <f aca="false">IF($B21="","",N21*(الموظفون!$N21+الموظفون!$J21*cfg_OT_P)/cfg_DAYS_M/cfg_HRS)</f>
        <v/>
      </c>
      <c r="P21" s="90" t="str">
        <f aca="false">IF($B21="","",SUMIFS('الحركات الشهرية'!$G$6:$G$1005,'الحركات الشهرية'!$B$6:$B$1005,$B21,'الحركات الشهرية'!$A$6:$A$1005,$C$3))</f>
        <v/>
      </c>
      <c r="Q21" s="90" t="str">
        <f aca="false">IF($B21="","",SUMIFS('الحركات الشهرية'!$H$6:$H$1005,'الحركات الشهرية'!$B$6:$B$1005,$B21,'الحركات الشهرية'!$A$6:$A$1005,$C$3))</f>
        <v/>
      </c>
      <c r="R21" s="111" t="str">
        <f aca="false">IF($B21="","",SUM(J21:M21)+SUM(O21:Q21))</f>
        <v/>
      </c>
      <c r="S21" s="90" t="str">
        <f aca="false">IF($B21="","",الموظفون!$Q21*IF(E21="سعودي",cfg_G_SE,cfg_G_NE)*F21/cfg_DAYS_M)</f>
        <v/>
      </c>
      <c r="T21" s="90" t="str">
        <f aca="false">IF($B21="","",SUMIFS('الحركات الشهرية'!$I$6:$I$1005,'الحركات الشهرية'!$B$6:$B$1005,$B21,'الحركات الشهرية'!$A$6:$A$1005,$C$3))</f>
        <v/>
      </c>
      <c r="U21" s="90" t="str">
        <f aca="false">IF($B21="","",SUMIFS('الحركات الشهرية'!$J$6:$J$1005,'الحركات الشهرية'!$B$6:$B$1005,$B21,'الحركات الشهرية'!$A$6:$A$1005,$C$3))</f>
        <v/>
      </c>
      <c r="V21" s="90" t="str">
        <f aca="false">IF($B21="","",SUM(S21:U21))</f>
        <v/>
      </c>
      <c r="W21" s="112" t="str">
        <f aca="false">IF($B21="","",R21-V21)</f>
        <v/>
      </c>
      <c r="X21" s="90" t="str">
        <f aca="false">IF($B21="","",الموظفون!$Q21*IF(E21="سعودي",cfg_G_SR,cfg_G_NR)*F21/cfg_DAYS_M)</f>
        <v/>
      </c>
      <c r="Y21" s="90" t="str">
        <f aca="false">IF($B21="","",الموظفون!$O21*(cfg_EOS_R1*(MIN(AC21,cfg_EOS_TH)-MIN(AD21,cfg_EOS_TH))+cfg_EOS_R2*(MAX(AC21-cfg_EOS_TH,0)-MAX(AD21-cfg_EOS_TH,0))))</f>
        <v/>
      </c>
      <c r="Z21" s="90" t="str">
        <f aca="false">IF($B21="","",IF(الموظفون!$R21&lt;&gt;"",الموظفون!$R21,IF(AC21&gt;=cfg_LV_TH,cfg_LV_D2,cfg_LV_D1))/cfg_DAYS_Y*AE21*الموظفون!$P21/cfg_DAYS_M)</f>
        <v/>
      </c>
      <c r="AA21" s="90" t="str">
        <f aca="false">IF($B21="","",IF(AND(الموظفون!$S21="نعم",N(الموظفون!$U21)&gt;0),الموظفون!$T21/الموظفون!$U21*12/cfg_DAYS_Y*AE21,0))</f>
        <v/>
      </c>
      <c r="AB21" s="113" t="str">
        <f aca="false">IF($B21="","",R21+SUM(X21:AA21))</f>
        <v/>
      </c>
      <c r="AC21" s="114" t="str">
        <f aca="false">IF($B21="","",MAX(0,IF(OR(الموظفون!$X21="",الموظفون!$X21&gt;$G$3),$G$3,الموظفون!$X21)-الموظفون!$H21+1)/cfg_DAYS_Y)</f>
        <v/>
      </c>
      <c r="AD21" s="114" t="str">
        <f aca="false">IF($B21="","",MAX(0,IF(OR(الموظفون!$X21="",الموظفون!$X21&gt;($E$3-1)),($E$3-1),الموظفون!$X21)-الموظفون!$H21+1)/cfg_DAYS_Y)</f>
        <v/>
      </c>
      <c r="AE21" s="115" t="str">
        <f aca="false">IF($B21="","",MAX(0,IF(OR(الموظفون!$X21="",الموظفون!$X21&gt;$G$3),$G$3,الموظفون!$X21)-MAX($E$3,الموظفون!$H21)+1))</f>
        <v/>
      </c>
    </row>
    <row r="22" customFormat="false" ht="15" hidden="false" customHeight="false" outlineLevel="0" collapsed="false">
      <c r="A22" s="83" t="str">
        <f aca="false">IF($B22="","",الموظفون!$A22)</f>
        <v/>
      </c>
      <c r="B22" s="74" t="str">
        <f aca="false">IF(الموظفون!$B22="","",الموظفون!$B22)</f>
        <v/>
      </c>
      <c r="C22" s="74" t="str">
        <f aca="false">IF($B22="","",الموظفون!$C22)</f>
        <v/>
      </c>
      <c r="D22" s="74" t="str">
        <f aca="false">IF($B22="","",الموظفون!$F22)</f>
        <v/>
      </c>
      <c r="E22" s="74" t="str">
        <f aca="false">IF($B22="","",الموظفون!$E22)</f>
        <v/>
      </c>
      <c r="F22" s="105" t="str">
        <f aca="false">IF($B22="","",IF(AE22&gt;=DAY($G$3),cfg_DAYS_M,MIN(AE22,cfg_DAYS_M)))</f>
        <v/>
      </c>
      <c r="G22" s="105" t="str">
        <f aca="false">IF($B22="","",SUMIFS('الحركات الشهرية'!$D$6:$D$1005,'الحركات الشهرية'!$B$6:$B$1005,$B22,'الحركات الشهرية'!$A$6:$A$1005,$C$3))</f>
        <v/>
      </c>
      <c r="H22" s="105" t="str">
        <f aca="false">IF($B22="","",SUMIFS('الحركات الشهرية'!$E$6:$E$1005,'الحركات الشهرية'!$B$6:$B$1005,$B22,'الحركات الشهرية'!$A$6:$A$1005,$C$3))</f>
        <v/>
      </c>
      <c r="I22" s="105" t="str">
        <f aca="false">IF($B22="","",MAX(0,F22-G22-H22))</f>
        <v/>
      </c>
      <c r="J22" s="86" t="str">
        <f aca="false">IF($B22="","",الموظفون!$J22*$I22/cfg_DAYS_M)</f>
        <v/>
      </c>
      <c r="K22" s="86" t="str">
        <f aca="false">IF($B22="","",الموظفون!$K22*$I22/cfg_DAYS_M)</f>
        <v/>
      </c>
      <c r="L22" s="86" t="str">
        <f aca="false">IF($B22="","",الموظفون!$L22*$I22/cfg_DAYS_M)</f>
        <v/>
      </c>
      <c r="M22" s="86" t="str">
        <f aca="false">IF($B22="","",الموظفون!$M22*$I22/cfg_DAYS_M)</f>
        <v/>
      </c>
      <c r="N22" s="105" t="str">
        <f aca="false">IF($B22="","",SUMIFS('الحركات الشهرية'!$F$6:$F$1005,'الحركات الشهرية'!$B$6:$B$1005,$B22,'الحركات الشهرية'!$A$6:$A$1005,$C$3))</f>
        <v/>
      </c>
      <c r="O22" s="86" t="str">
        <f aca="false">IF($B22="","",N22*(الموظفون!$N22+الموظفون!$J22*cfg_OT_P)/cfg_DAYS_M/cfg_HRS)</f>
        <v/>
      </c>
      <c r="P22" s="86" t="str">
        <f aca="false">IF($B22="","",SUMIFS('الحركات الشهرية'!$G$6:$G$1005,'الحركات الشهرية'!$B$6:$B$1005,$B22,'الحركات الشهرية'!$A$6:$A$1005,$C$3))</f>
        <v/>
      </c>
      <c r="Q22" s="86" t="str">
        <f aca="false">IF($B22="","",SUMIFS('الحركات الشهرية'!$H$6:$H$1005,'الحركات الشهرية'!$B$6:$B$1005,$B22,'الحركات الشهرية'!$A$6:$A$1005,$C$3))</f>
        <v/>
      </c>
      <c r="R22" s="106" t="str">
        <f aca="false">IF($B22="","",SUM(J22:M22)+SUM(O22:Q22))</f>
        <v/>
      </c>
      <c r="S22" s="86" t="str">
        <f aca="false">IF($B22="","",الموظفون!$Q22*IF(E22="سعودي",cfg_G_SE,cfg_G_NE)*F22/cfg_DAYS_M)</f>
        <v/>
      </c>
      <c r="T22" s="86" t="str">
        <f aca="false">IF($B22="","",SUMIFS('الحركات الشهرية'!$I$6:$I$1005,'الحركات الشهرية'!$B$6:$B$1005,$B22,'الحركات الشهرية'!$A$6:$A$1005,$C$3))</f>
        <v/>
      </c>
      <c r="U22" s="86" t="str">
        <f aca="false">IF($B22="","",SUMIFS('الحركات الشهرية'!$J$6:$J$1005,'الحركات الشهرية'!$B$6:$B$1005,$B22,'الحركات الشهرية'!$A$6:$A$1005,$C$3))</f>
        <v/>
      </c>
      <c r="V22" s="86" t="str">
        <f aca="false">IF($B22="","",SUM(S22:U22))</f>
        <v/>
      </c>
      <c r="W22" s="107" t="str">
        <f aca="false">IF($B22="","",R22-V22)</f>
        <v/>
      </c>
      <c r="X22" s="86" t="str">
        <f aca="false">IF($B22="","",الموظفون!$Q22*IF(E22="سعودي",cfg_G_SR,cfg_G_NR)*F22/cfg_DAYS_M)</f>
        <v/>
      </c>
      <c r="Y22" s="86" t="str">
        <f aca="false">IF($B22="","",الموظفون!$O22*(cfg_EOS_R1*(MIN(AC22,cfg_EOS_TH)-MIN(AD22,cfg_EOS_TH))+cfg_EOS_R2*(MAX(AC22-cfg_EOS_TH,0)-MAX(AD22-cfg_EOS_TH,0))))</f>
        <v/>
      </c>
      <c r="Z22" s="86" t="str">
        <f aca="false">IF($B22="","",IF(الموظفون!$R22&lt;&gt;"",الموظفون!$R22,IF(AC22&gt;=cfg_LV_TH,cfg_LV_D2,cfg_LV_D1))/cfg_DAYS_Y*AE22*الموظفون!$P22/cfg_DAYS_M)</f>
        <v/>
      </c>
      <c r="AA22" s="86" t="str">
        <f aca="false">IF($B22="","",IF(AND(الموظفون!$S22="نعم",N(الموظفون!$U22)&gt;0),الموظفون!$T22/الموظفون!$U22*12/cfg_DAYS_Y*AE22,0))</f>
        <v/>
      </c>
      <c r="AB22" s="108" t="str">
        <f aca="false">IF($B22="","",R22+SUM(X22:AA22))</f>
        <v/>
      </c>
      <c r="AC22" s="109" t="str">
        <f aca="false">IF($B22="","",MAX(0,IF(OR(الموظفون!$X22="",الموظفون!$X22&gt;$G$3),$G$3,الموظفون!$X22)-الموظفون!$H22+1)/cfg_DAYS_Y)</f>
        <v/>
      </c>
      <c r="AD22" s="109" t="str">
        <f aca="false">IF($B22="","",MAX(0,IF(OR(الموظفون!$X22="",الموظفون!$X22&gt;($E$3-1)),($E$3-1),الموظفون!$X22)-الموظفون!$H22+1)/cfg_DAYS_Y)</f>
        <v/>
      </c>
      <c r="AE22" s="51" t="str">
        <f aca="false">IF($B22="","",MAX(0,IF(OR(الموظفون!$X22="",الموظفون!$X22&gt;$G$3),$G$3,الموظفون!$X22)-MAX($E$3,الموظفون!$H22)+1))</f>
        <v/>
      </c>
    </row>
    <row r="23" customFormat="false" ht="15" hidden="false" customHeight="false" outlineLevel="0" collapsed="false">
      <c r="A23" s="89" t="str">
        <f aca="false">IF($B23="","",الموظفون!$A23)</f>
        <v/>
      </c>
      <c r="B23" s="91" t="str">
        <f aca="false">IF(الموظفون!$B23="","",الموظفون!$B23)</f>
        <v/>
      </c>
      <c r="C23" s="91" t="str">
        <f aca="false">IF($B23="","",الموظفون!$C23)</f>
        <v/>
      </c>
      <c r="D23" s="91" t="str">
        <f aca="false">IF($B23="","",الموظفون!$F23)</f>
        <v/>
      </c>
      <c r="E23" s="91" t="str">
        <f aca="false">IF($B23="","",الموظفون!$E23)</f>
        <v/>
      </c>
      <c r="F23" s="110" t="str">
        <f aca="false">IF($B23="","",IF(AE23&gt;=DAY($G$3),cfg_DAYS_M,MIN(AE23,cfg_DAYS_M)))</f>
        <v/>
      </c>
      <c r="G23" s="110" t="str">
        <f aca="false">IF($B23="","",SUMIFS('الحركات الشهرية'!$D$6:$D$1005,'الحركات الشهرية'!$B$6:$B$1005,$B23,'الحركات الشهرية'!$A$6:$A$1005,$C$3))</f>
        <v/>
      </c>
      <c r="H23" s="110" t="str">
        <f aca="false">IF($B23="","",SUMIFS('الحركات الشهرية'!$E$6:$E$1005,'الحركات الشهرية'!$B$6:$B$1005,$B23,'الحركات الشهرية'!$A$6:$A$1005,$C$3))</f>
        <v/>
      </c>
      <c r="I23" s="110" t="str">
        <f aca="false">IF($B23="","",MAX(0,F23-G23-H23))</f>
        <v/>
      </c>
      <c r="J23" s="90" t="str">
        <f aca="false">IF($B23="","",الموظفون!$J23*$I23/cfg_DAYS_M)</f>
        <v/>
      </c>
      <c r="K23" s="90" t="str">
        <f aca="false">IF($B23="","",الموظفون!$K23*$I23/cfg_DAYS_M)</f>
        <v/>
      </c>
      <c r="L23" s="90" t="str">
        <f aca="false">IF($B23="","",الموظفون!$L23*$I23/cfg_DAYS_M)</f>
        <v/>
      </c>
      <c r="M23" s="90" t="str">
        <f aca="false">IF($B23="","",الموظفون!$M23*$I23/cfg_DAYS_M)</f>
        <v/>
      </c>
      <c r="N23" s="110" t="str">
        <f aca="false">IF($B23="","",SUMIFS('الحركات الشهرية'!$F$6:$F$1005,'الحركات الشهرية'!$B$6:$B$1005,$B23,'الحركات الشهرية'!$A$6:$A$1005,$C$3))</f>
        <v/>
      </c>
      <c r="O23" s="90" t="str">
        <f aca="false">IF($B23="","",N23*(الموظفون!$N23+الموظفون!$J23*cfg_OT_P)/cfg_DAYS_M/cfg_HRS)</f>
        <v/>
      </c>
      <c r="P23" s="90" t="str">
        <f aca="false">IF($B23="","",SUMIFS('الحركات الشهرية'!$G$6:$G$1005,'الحركات الشهرية'!$B$6:$B$1005,$B23,'الحركات الشهرية'!$A$6:$A$1005,$C$3))</f>
        <v/>
      </c>
      <c r="Q23" s="90" t="str">
        <f aca="false">IF($B23="","",SUMIFS('الحركات الشهرية'!$H$6:$H$1005,'الحركات الشهرية'!$B$6:$B$1005,$B23,'الحركات الشهرية'!$A$6:$A$1005,$C$3))</f>
        <v/>
      </c>
      <c r="R23" s="111" t="str">
        <f aca="false">IF($B23="","",SUM(J23:M23)+SUM(O23:Q23))</f>
        <v/>
      </c>
      <c r="S23" s="90" t="str">
        <f aca="false">IF($B23="","",الموظفون!$Q23*IF(E23="سعودي",cfg_G_SE,cfg_G_NE)*F23/cfg_DAYS_M)</f>
        <v/>
      </c>
      <c r="T23" s="90" t="str">
        <f aca="false">IF($B23="","",SUMIFS('الحركات الشهرية'!$I$6:$I$1005,'الحركات الشهرية'!$B$6:$B$1005,$B23,'الحركات الشهرية'!$A$6:$A$1005,$C$3))</f>
        <v/>
      </c>
      <c r="U23" s="90" t="str">
        <f aca="false">IF($B23="","",SUMIFS('الحركات الشهرية'!$J$6:$J$1005,'الحركات الشهرية'!$B$6:$B$1005,$B23,'الحركات الشهرية'!$A$6:$A$1005,$C$3))</f>
        <v/>
      </c>
      <c r="V23" s="90" t="str">
        <f aca="false">IF($B23="","",SUM(S23:U23))</f>
        <v/>
      </c>
      <c r="W23" s="112" t="str">
        <f aca="false">IF($B23="","",R23-V23)</f>
        <v/>
      </c>
      <c r="X23" s="90" t="str">
        <f aca="false">IF($B23="","",الموظفون!$Q23*IF(E23="سعودي",cfg_G_SR,cfg_G_NR)*F23/cfg_DAYS_M)</f>
        <v/>
      </c>
      <c r="Y23" s="90" t="str">
        <f aca="false">IF($B23="","",الموظفون!$O23*(cfg_EOS_R1*(MIN(AC23,cfg_EOS_TH)-MIN(AD23,cfg_EOS_TH))+cfg_EOS_R2*(MAX(AC23-cfg_EOS_TH,0)-MAX(AD23-cfg_EOS_TH,0))))</f>
        <v/>
      </c>
      <c r="Z23" s="90" t="str">
        <f aca="false">IF($B23="","",IF(الموظفون!$R23&lt;&gt;"",الموظفون!$R23,IF(AC23&gt;=cfg_LV_TH,cfg_LV_D2,cfg_LV_D1))/cfg_DAYS_Y*AE23*الموظفون!$P23/cfg_DAYS_M)</f>
        <v/>
      </c>
      <c r="AA23" s="90" t="str">
        <f aca="false">IF($B23="","",IF(AND(الموظفون!$S23="نعم",N(الموظفون!$U23)&gt;0),الموظفون!$T23/الموظفون!$U23*12/cfg_DAYS_Y*AE23,0))</f>
        <v/>
      </c>
      <c r="AB23" s="113" t="str">
        <f aca="false">IF($B23="","",R23+SUM(X23:AA23))</f>
        <v/>
      </c>
      <c r="AC23" s="114" t="str">
        <f aca="false">IF($B23="","",MAX(0,IF(OR(الموظفون!$X23="",الموظفون!$X23&gt;$G$3),$G$3,الموظفون!$X23)-الموظفون!$H23+1)/cfg_DAYS_Y)</f>
        <v/>
      </c>
      <c r="AD23" s="114" t="str">
        <f aca="false">IF($B23="","",MAX(0,IF(OR(الموظفون!$X23="",الموظفون!$X23&gt;($E$3-1)),($E$3-1),الموظفون!$X23)-الموظفون!$H23+1)/cfg_DAYS_Y)</f>
        <v/>
      </c>
      <c r="AE23" s="115" t="str">
        <f aca="false">IF($B23="","",MAX(0,IF(OR(الموظفون!$X23="",الموظفون!$X23&gt;$G$3),$G$3,الموظفون!$X23)-MAX($E$3,الموظفون!$H23)+1))</f>
        <v/>
      </c>
    </row>
    <row r="24" customFormat="false" ht="15" hidden="false" customHeight="false" outlineLevel="0" collapsed="false">
      <c r="A24" s="83" t="str">
        <f aca="false">IF($B24="","",الموظفون!$A24)</f>
        <v/>
      </c>
      <c r="B24" s="74" t="str">
        <f aca="false">IF(الموظفون!$B24="","",الموظفون!$B24)</f>
        <v/>
      </c>
      <c r="C24" s="74" t="str">
        <f aca="false">IF($B24="","",الموظفون!$C24)</f>
        <v/>
      </c>
      <c r="D24" s="74" t="str">
        <f aca="false">IF($B24="","",الموظفون!$F24)</f>
        <v/>
      </c>
      <c r="E24" s="74" t="str">
        <f aca="false">IF($B24="","",الموظفون!$E24)</f>
        <v/>
      </c>
      <c r="F24" s="105" t="str">
        <f aca="false">IF($B24="","",IF(AE24&gt;=DAY($G$3),cfg_DAYS_M,MIN(AE24,cfg_DAYS_M)))</f>
        <v/>
      </c>
      <c r="G24" s="105" t="str">
        <f aca="false">IF($B24="","",SUMIFS('الحركات الشهرية'!$D$6:$D$1005,'الحركات الشهرية'!$B$6:$B$1005,$B24,'الحركات الشهرية'!$A$6:$A$1005,$C$3))</f>
        <v/>
      </c>
      <c r="H24" s="105" t="str">
        <f aca="false">IF($B24="","",SUMIFS('الحركات الشهرية'!$E$6:$E$1005,'الحركات الشهرية'!$B$6:$B$1005,$B24,'الحركات الشهرية'!$A$6:$A$1005,$C$3))</f>
        <v/>
      </c>
      <c r="I24" s="105" t="str">
        <f aca="false">IF($B24="","",MAX(0,F24-G24-H24))</f>
        <v/>
      </c>
      <c r="J24" s="86" t="str">
        <f aca="false">IF($B24="","",الموظفون!$J24*$I24/cfg_DAYS_M)</f>
        <v/>
      </c>
      <c r="K24" s="86" t="str">
        <f aca="false">IF($B24="","",الموظفون!$K24*$I24/cfg_DAYS_M)</f>
        <v/>
      </c>
      <c r="L24" s="86" t="str">
        <f aca="false">IF($B24="","",الموظفون!$L24*$I24/cfg_DAYS_M)</f>
        <v/>
      </c>
      <c r="M24" s="86" t="str">
        <f aca="false">IF($B24="","",الموظفون!$M24*$I24/cfg_DAYS_M)</f>
        <v/>
      </c>
      <c r="N24" s="105" t="str">
        <f aca="false">IF($B24="","",SUMIFS('الحركات الشهرية'!$F$6:$F$1005,'الحركات الشهرية'!$B$6:$B$1005,$B24,'الحركات الشهرية'!$A$6:$A$1005,$C$3))</f>
        <v/>
      </c>
      <c r="O24" s="86" t="str">
        <f aca="false">IF($B24="","",N24*(الموظفون!$N24+الموظفون!$J24*cfg_OT_P)/cfg_DAYS_M/cfg_HRS)</f>
        <v/>
      </c>
      <c r="P24" s="86" t="str">
        <f aca="false">IF($B24="","",SUMIFS('الحركات الشهرية'!$G$6:$G$1005,'الحركات الشهرية'!$B$6:$B$1005,$B24,'الحركات الشهرية'!$A$6:$A$1005,$C$3))</f>
        <v/>
      </c>
      <c r="Q24" s="86" t="str">
        <f aca="false">IF($B24="","",SUMIFS('الحركات الشهرية'!$H$6:$H$1005,'الحركات الشهرية'!$B$6:$B$1005,$B24,'الحركات الشهرية'!$A$6:$A$1005,$C$3))</f>
        <v/>
      </c>
      <c r="R24" s="106" t="str">
        <f aca="false">IF($B24="","",SUM(J24:M24)+SUM(O24:Q24))</f>
        <v/>
      </c>
      <c r="S24" s="86" t="str">
        <f aca="false">IF($B24="","",الموظفون!$Q24*IF(E24="سعودي",cfg_G_SE,cfg_G_NE)*F24/cfg_DAYS_M)</f>
        <v/>
      </c>
      <c r="T24" s="86" t="str">
        <f aca="false">IF($B24="","",SUMIFS('الحركات الشهرية'!$I$6:$I$1005,'الحركات الشهرية'!$B$6:$B$1005,$B24,'الحركات الشهرية'!$A$6:$A$1005,$C$3))</f>
        <v/>
      </c>
      <c r="U24" s="86" t="str">
        <f aca="false">IF($B24="","",SUMIFS('الحركات الشهرية'!$J$6:$J$1005,'الحركات الشهرية'!$B$6:$B$1005,$B24,'الحركات الشهرية'!$A$6:$A$1005,$C$3))</f>
        <v/>
      </c>
      <c r="V24" s="86" t="str">
        <f aca="false">IF($B24="","",SUM(S24:U24))</f>
        <v/>
      </c>
      <c r="W24" s="107" t="str">
        <f aca="false">IF($B24="","",R24-V24)</f>
        <v/>
      </c>
      <c r="X24" s="86" t="str">
        <f aca="false">IF($B24="","",الموظفون!$Q24*IF(E24="سعودي",cfg_G_SR,cfg_G_NR)*F24/cfg_DAYS_M)</f>
        <v/>
      </c>
      <c r="Y24" s="86" t="str">
        <f aca="false">IF($B24="","",الموظفون!$O24*(cfg_EOS_R1*(MIN(AC24,cfg_EOS_TH)-MIN(AD24,cfg_EOS_TH))+cfg_EOS_R2*(MAX(AC24-cfg_EOS_TH,0)-MAX(AD24-cfg_EOS_TH,0))))</f>
        <v/>
      </c>
      <c r="Z24" s="86" t="str">
        <f aca="false">IF($B24="","",IF(الموظفون!$R24&lt;&gt;"",الموظفون!$R24,IF(AC24&gt;=cfg_LV_TH,cfg_LV_D2,cfg_LV_D1))/cfg_DAYS_Y*AE24*الموظفون!$P24/cfg_DAYS_M)</f>
        <v/>
      </c>
      <c r="AA24" s="86" t="str">
        <f aca="false">IF($B24="","",IF(AND(الموظفون!$S24="نعم",N(الموظفون!$U24)&gt;0),الموظفون!$T24/الموظفون!$U24*12/cfg_DAYS_Y*AE24,0))</f>
        <v/>
      </c>
      <c r="AB24" s="108" t="str">
        <f aca="false">IF($B24="","",R24+SUM(X24:AA24))</f>
        <v/>
      </c>
      <c r="AC24" s="109" t="str">
        <f aca="false">IF($B24="","",MAX(0,IF(OR(الموظفون!$X24="",الموظفون!$X24&gt;$G$3),$G$3,الموظفون!$X24)-الموظفون!$H24+1)/cfg_DAYS_Y)</f>
        <v/>
      </c>
      <c r="AD24" s="109" t="str">
        <f aca="false">IF($B24="","",MAX(0,IF(OR(الموظفون!$X24="",الموظفون!$X24&gt;($E$3-1)),($E$3-1),الموظفون!$X24)-الموظفون!$H24+1)/cfg_DAYS_Y)</f>
        <v/>
      </c>
      <c r="AE24" s="51" t="str">
        <f aca="false">IF($B24="","",MAX(0,IF(OR(الموظفون!$X24="",الموظفون!$X24&gt;$G$3),$G$3,الموظفون!$X24)-MAX($E$3,الموظفون!$H24)+1))</f>
        <v/>
      </c>
    </row>
    <row r="25" customFormat="false" ht="15" hidden="false" customHeight="false" outlineLevel="0" collapsed="false">
      <c r="A25" s="89" t="str">
        <f aca="false">IF($B25="","",الموظفون!$A25)</f>
        <v/>
      </c>
      <c r="B25" s="91" t="str">
        <f aca="false">IF(الموظفون!$B25="","",الموظفون!$B25)</f>
        <v/>
      </c>
      <c r="C25" s="91" t="str">
        <f aca="false">IF($B25="","",الموظفون!$C25)</f>
        <v/>
      </c>
      <c r="D25" s="91" t="str">
        <f aca="false">IF($B25="","",الموظفون!$F25)</f>
        <v/>
      </c>
      <c r="E25" s="91" t="str">
        <f aca="false">IF($B25="","",الموظفون!$E25)</f>
        <v/>
      </c>
      <c r="F25" s="110" t="str">
        <f aca="false">IF($B25="","",IF(AE25&gt;=DAY($G$3),cfg_DAYS_M,MIN(AE25,cfg_DAYS_M)))</f>
        <v/>
      </c>
      <c r="G25" s="110" t="str">
        <f aca="false">IF($B25="","",SUMIFS('الحركات الشهرية'!$D$6:$D$1005,'الحركات الشهرية'!$B$6:$B$1005,$B25,'الحركات الشهرية'!$A$6:$A$1005,$C$3))</f>
        <v/>
      </c>
      <c r="H25" s="110" t="str">
        <f aca="false">IF($B25="","",SUMIFS('الحركات الشهرية'!$E$6:$E$1005,'الحركات الشهرية'!$B$6:$B$1005,$B25,'الحركات الشهرية'!$A$6:$A$1005,$C$3))</f>
        <v/>
      </c>
      <c r="I25" s="110" t="str">
        <f aca="false">IF($B25="","",MAX(0,F25-G25-H25))</f>
        <v/>
      </c>
      <c r="J25" s="90" t="str">
        <f aca="false">IF($B25="","",الموظفون!$J25*$I25/cfg_DAYS_M)</f>
        <v/>
      </c>
      <c r="K25" s="90" t="str">
        <f aca="false">IF($B25="","",الموظفون!$K25*$I25/cfg_DAYS_M)</f>
        <v/>
      </c>
      <c r="L25" s="90" t="str">
        <f aca="false">IF($B25="","",الموظفون!$L25*$I25/cfg_DAYS_M)</f>
        <v/>
      </c>
      <c r="M25" s="90" t="str">
        <f aca="false">IF($B25="","",الموظفون!$M25*$I25/cfg_DAYS_M)</f>
        <v/>
      </c>
      <c r="N25" s="110" t="str">
        <f aca="false">IF($B25="","",SUMIFS('الحركات الشهرية'!$F$6:$F$1005,'الحركات الشهرية'!$B$6:$B$1005,$B25,'الحركات الشهرية'!$A$6:$A$1005,$C$3))</f>
        <v/>
      </c>
      <c r="O25" s="90" t="str">
        <f aca="false">IF($B25="","",N25*(الموظفون!$N25+الموظفون!$J25*cfg_OT_P)/cfg_DAYS_M/cfg_HRS)</f>
        <v/>
      </c>
      <c r="P25" s="90" t="str">
        <f aca="false">IF($B25="","",SUMIFS('الحركات الشهرية'!$G$6:$G$1005,'الحركات الشهرية'!$B$6:$B$1005,$B25,'الحركات الشهرية'!$A$6:$A$1005,$C$3))</f>
        <v/>
      </c>
      <c r="Q25" s="90" t="str">
        <f aca="false">IF($B25="","",SUMIFS('الحركات الشهرية'!$H$6:$H$1005,'الحركات الشهرية'!$B$6:$B$1005,$B25,'الحركات الشهرية'!$A$6:$A$1005,$C$3))</f>
        <v/>
      </c>
      <c r="R25" s="111" t="str">
        <f aca="false">IF($B25="","",SUM(J25:M25)+SUM(O25:Q25))</f>
        <v/>
      </c>
      <c r="S25" s="90" t="str">
        <f aca="false">IF($B25="","",الموظفون!$Q25*IF(E25="سعودي",cfg_G_SE,cfg_G_NE)*F25/cfg_DAYS_M)</f>
        <v/>
      </c>
      <c r="T25" s="90" t="str">
        <f aca="false">IF($B25="","",SUMIFS('الحركات الشهرية'!$I$6:$I$1005,'الحركات الشهرية'!$B$6:$B$1005,$B25,'الحركات الشهرية'!$A$6:$A$1005,$C$3))</f>
        <v/>
      </c>
      <c r="U25" s="90" t="str">
        <f aca="false">IF($B25="","",SUMIFS('الحركات الشهرية'!$J$6:$J$1005,'الحركات الشهرية'!$B$6:$B$1005,$B25,'الحركات الشهرية'!$A$6:$A$1005,$C$3))</f>
        <v/>
      </c>
      <c r="V25" s="90" t="str">
        <f aca="false">IF($B25="","",SUM(S25:U25))</f>
        <v/>
      </c>
      <c r="W25" s="112" t="str">
        <f aca="false">IF($B25="","",R25-V25)</f>
        <v/>
      </c>
      <c r="X25" s="90" t="str">
        <f aca="false">IF($B25="","",الموظفون!$Q25*IF(E25="سعودي",cfg_G_SR,cfg_G_NR)*F25/cfg_DAYS_M)</f>
        <v/>
      </c>
      <c r="Y25" s="90" t="str">
        <f aca="false">IF($B25="","",الموظفون!$O25*(cfg_EOS_R1*(MIN(AC25,cfg_EOS_TH)-MIN(AD25,cfg_EOS_TH))+cfg_EOS_R2*(MAX(AC25-cfg_EOS_TH,0)-MAX(AD25-cfg_EOS_TH,0))))</f>
        <v/>
      </c>
      <c r="Z25" s="90" t="str">
        <f aca="false">IF($B25="","",IF(الموظفون!$R25&lt;&gt;"",الموظفون!$R25,IF(AC25&gt;=cfg_LV_TH,cfg_LV_D2,cfg_LV_D1))/cfg_DAYS_Y*AE25*الموظفون!$P25/cfg_DAYS_M)</f>
        <v/>
      </c>
      <c r="AA25" s="90" t="str">
        <f aca="false">IF($B25="","",IF(AND(الموظفون!$S25="نعم",N(الموظفون!$U25)&gt;0),الموظفون!$T25/الموظفون!$U25*12/cfg_DAYS_Y*AE25,0))</f>
        <v/>
      </c>
      <c r="AB25" s="113" t="str">
        <f aca="false">IF($B25="","",R25+SUM(X25:AA25))</f>
        <v/>
      </c>
      <c r="AC25" s="114" t="str">
        <f aca="false">IF($B25="","",MAX(0,IF(OR(الموظفون!$X25="",الموظفون!$X25&gt;$G$3),$G$3,الموظفون!$X25)-الموظفون!$H25+1)/cfg_DAYS_Y)</f>
        <v/>
      </c>
      <c r="AD25" s="114" t="str">
        <f aca="false">IF($B25="","",MAX(0,IF(OR(الموظفون!$X25="",الموظفون!$X25&gt;($E$3-1)),($E$3-1),الموظفون!$X25)-الموظفون!$H25+1)/cfg_DAYS_Y)</f>
        <v/>
      </c>
      <c r="AE25" s="115" t="str">
        <f aca="false">IF($B25="","",MAX(0,IF(OR(الموظفون!$X25="",الموظفون!$X25&gt;$G$3),$G$3,الموظفون!$X25)-MAX($E$3,الموظفون!$H25)+1))</f>
        <v/>
      </c>
    </row>
    <row r="26" customFormat="false" ht="15" hidden="false" customHeight="false" outlineLevel="0" collapsed="false">
      <c r="A26" s="83" t="str">
        <f aca="false">IF($B26="","",الموظفون!$A26)</f>
        <v/>
      </c>
      <c r="B26" s="74" t="str">
        <f aca="false">IF(الموظفون!$B26="","",الموظفون!$B26)</f>
        <v/>
      </c>
      <c r="C26" s="74" t="str">
        <f aca="false">IF($B26="","",الموظفون!$C26)</f>
        <v/>
      </c>
      <c r="D26" s="74" t="str">
        <f aca="false">IF($B26="","",الموظفون!$F26)</f>
        <v/>
      </c>
      <c r="E26" s="74" t="str">
        <f aca="false">IF($B26="","",الموظفون!$E26)</f>
        <v/>
      </c>
      <c r="F26" s="105" t="str">
        <f aca="false">IF($B26="","",IF(AE26&gt;=DAY($G$3),cfg_DAYS_M,MIN(AE26,cfg_DAYS_M)))</f>
        <v/>
      </c>
      <c r="G26" s="105" t="str">
        <f aca="false">IF($B26="","",SUMIFS('الحركات الشهرية'!$D$6:$D$1005,'الحركات الشهرية'!$B$6:$B$1005,$B26,'الحركات الشهرية'!$A$6:$A$1005,$C$3))</f>
        <v/>
      </c>
      <c r="H26" s="105" t="str">
        <f aca="false">IF($B26="","",SUMIFS('الحركات الشهرية'!$E$6:$E$1005,'الحركات الشهرية'!$B$6:$B$1005,$B26,'الحركات الشهرية'!$A$6:$A$1005,$C$3))</f>
        <v/>
      </c>
      <c r="I26" s="105" t="str">
        <f aca="false">IF($B26="","",MAX(0,F26-G26-H26))</f>
        <v/>
      </c>
      <c r="J26" s="86" t="str">
        <f aca="false">IF($B26="","",الموظفون!$J26*$I26/cfg_DAYS_M)</f>
        <v/>
      </c>
      <c r="K26" s="86" t="str">
        <f aca="false">IF($B26="","",الموظفون!$K26*$I26/cfg_DAYS_M)</f>
        <v/>
      </c>
      <c r="L26" s="86" t="str">
        <f aca="false">IF($B26="","",الموظفون!$L26*$I26/cfg_DAYS_M)</f>
        <v/>
      </c>
      <c r="M26" s="86" t="str">
        <f aca="false">IF($B26="","",الموظفون!$M26*$I26/cfg_DAYS_M)</f>
        <v/>
      </c>
      <c r="N26" s="105" t="str">
        <f aca="false">IF($B26="","",SUMIFS('الحركات الشهرية'!$F$6:$F$1005,'الحركات الشهرية'!$B$6:$B$1005,$B26,'الحركات الشهرية'!$A$6:$A$1005,$C$3))</f>
        <v/>
      </c>
      <c r="O26" s="86" t="str">
        <f aca="false">IF($B26="","",N26*(الموظفون!$N26+الموظفون!$J26*cfg_OT_P)/cfg_DAYS_M/cfg_HRS)</f>
        <v/>
      </c>
      <c r="P26" s="86" t="str">
        <f aca="false">IF($B26="","",SUMIFS('الحركات الشهرية'!$G$6:$G$1005,'الحركات الشهرية'!$B$6:$B$1005,$B26,'الحركات الشهرية'!$A$6:$A$1005,$C$3))</f>
        <v/>
      </c>
      <c r="Q26" s="86" t="str">
        <f aca="false">IF($B26="","",SUMIFS('الحركات الشهرية'!$H$6:$H$1005,'الحركات الشهرية'!$B$6:$B$1005,$B26,'الحركات الشهرية'!$A$6:$A$1005,$C$3))</f>
        <v/>
      </c>
      <c r="R26" s="106" t="str">
        <f aca="false">IF($B26="","",SUM(J26:M26)+SUM(O26:Q26))</f>
        <v/>
      </c>
      <c r="S26" s="86" t="str">
        <f aca="false">IF($B26="","",الموظفون!$Q26*IF(E26="سعودي",cfg_G_SE,cfg_G_NE)*F26/cfg_DAYS_M)</f>
        <v/>
      </c>
      <c r="T26" s="86" t="str">
        <f aca="false">IF($B26="","",SUMIFS('الحركات الشهرية'!$I$6:$I$1005,'الحركات الشهرية'!$B$6:$B$1005,$B26,'الحركات الشهرية'!$A$6:$A$1005,$C$3))</f>
        <v/>
      </c>
      <c r="U26" s="86" t="str">
        <f aca="false">IF($B26="","",SUMIFS('الحركات الشهرية'!$J$6:$J$1005,'الحركات الشهرية'!$B$6:$B$1005,$B26,'الحركات الشهرية'!$A$6:$A$1005,$C$3))</f>
        <v/>
      </c>
      <c r="V26" s="86" t="str">
        <f aca="false">IF($B26="","",SUM(S26:U26))</f>
        <v/>
      </c>
      <c r="W26" s="107" t="str">
        <f aca="false">IF($B26="","",R26-V26)</f>
        <v/>
      </c>
      <c r="X26" s="86" t="str">
        <f aca="false">IF($B26="","",الموظفون!$Q26*IF(E26="سعودي",cfg_G_SR,cfg_G_NR)*F26/cfg_DAYS_M)</f>
        <v/>
      </c>
      <c r="Y26" s="86" t="str">
        <f aca="false">IF($B26="","",الموظفون!$O26*(cfg_EOS_R1*(MIN(AC26,cfg_EOS_TH)-MIN(AD26,cfg_EOS_TH))+cfg_EOS_R2*(MAX(AC26-cfg_EOS_TH,0)-MAX(AD26-cfg_EOS_TH,0))))</f>
        <v/>
      </c>
      <c r="Z26" s="86" t="str">
        <f aca="false">IF($B26="","",IF(الموظفون!$R26&lt;&gt;"",الموظفون!$R26,IF(AC26&gt;=cfg_LV_TH,cfg_LV_D2,cfg_LV_D1))/cfg_DAYS_Y*AE26*الموظفون!$P26/cfg_DAYS_M)</f>
        <v/>
      </c>
      <c r="AA26" s="86" t="str">
        <f aca="false">IF($B26="","",IF(AND(الموظفون!$S26="نعم",N(الموظفون!$U26)&gt;0),الموظفون!$T26/الموظفون!$U26*12/cfg_DAYS_Y*AE26,0))</f>
        <v/>
      </c>
      <c r="AB26" s="108" t="str">
        <f aca="false">IF($B26="","",R26+SUM(X26:AA26))</f>
        <v/>
      </c>
      <c r="AC26" s="109" t="str">
        <f aca="false">IF($B26="","",MAX(0,IF(OR(الموظفون!$X26="",الموظفون!$X26&gt;$G$3),$G$3,الموظفون!$X26)-الموظفون!$H26+1)/cfg_DAYS_Y)</f>
        <v/>
      </c>
      <c r="AD26" s="109" t="str">
        <f aca="false">IF($B26="","",MAX(0,IF(OR(الموظفون!$X26="",الموظفون!$X26&gt;($E$3-1)),($E$3-1),الموظفون!$X26)-الموظفون!$H26+1)/cfg_DAYS_Y)</f>
        <v/>
      </c>
      <c r="AE26" s="51" t="str">
        <f aca="false">IF($B26="","",MAX(0,IF(OR(الموظفون!$X26="",الموظفون!$X26&gt;$G$3),$G$3,الموظفون!$X26)-MAX($E$3,الموظفون!$H26)+1))</f>
        <v/>
      </c>
    </row>
    <row r="27" customFormat="false" ht="15" hidden="false" customHeight="false" outlineLevel="0" collapsed="false">
      <c r="A27" s="89" t="str">
        <f aca="false">IF($B27="","",الموظفون!$A27)</f>
        <v/>
      </c>
      <c r="B27" s="91" t="str">
        <f aca="false">IF(الموظفون!$B27="","",الموظفون!$B27)</f>
        <v/>
      </c>
      <c r="C27" s="91" t="str">
        <f aca="false">IF($B27="","",الموظفون!$C27)</f>
        <v/>
      </c>
      <c r="D27" s="91" t="str">
        <f aca="false">IF($B27="","",الموظفون!$F27)</f>
        <v/>
      </c>
      <c r="E27" s="91" t="str">
        <f aca="false">IF($B27="","",الموظفون!$E27)</f>
        <v/>
      </c>
      <c r="F27" s="110" t="str">
        <f aca="false">IF($B27="","",IF(AE27&gt;=DAY($G$3),cfg_DAYS_M,MIN(AE27,cfg_DAYS_M)))</f>
        <v/>
      </c>
      <c r="G27" s="110" t="str">
        <f aca="false">IF($B27="","",SUMIFS('الحركات الشهرية'!$D$6:$D$1005,'الحركات الشهرية'!$B$6:$B$1005,$B27,'الحركات الشهرية'!$A$6:$A$1005,$C$3))</f>
        <v/>
      </c>
      <c r="H27" s="110" t="str">
        <f aca="false">IF($B27="","",SUMIFS('الحركات الشهرية'!$E$6:$E$1005,'الحركات الشهرية'!$B$6:$B$1005,$B27,'الحركات الشهرية'!$A$6:$A$1005,$C$3))</f>
        <v/>
      </c>
      <c r="I27" s="110" t="str">
        <f aca="false">IF($B27="","",MAX(0,F27-G27-H27))</f>
        <v/>
      </c>
      <c r="J27" s="90" t="str">
        <f aca="false">IF($B27="","",الموظفون!$J27*$I27/cfg_DAYS_M)</f>
        <v/>
      </c>
      <c r="K27" s="90" t="str">
        <f aca="false">IF($B27="","",الموظفون!$K27*$I27/cfg_DAYS_M)</f>
        <v/>
      </c>
      <c r="L27" s="90" t="str">
        <f aca="false">IF($B27="","",الموظفون!$L27*$I27/cfg_DAYS_M)</f>
        <v/>
      </c>
      <c r="M27" s="90" t="str">
        <f aca="false">IF($B27="","",الموظفون!$M27*$I27/cfg_DAYS_M)</f>
        <v/>
      </c>
      <c r="N27" s="110" t="str">
        <f aca="false">IF($B27="","",SUMIFS('الحركات الشهرية'!$F$6:$F$1005,'الحركات الشهرية'!$B$6:$B$1005,$B27,'الحركات الشهرية'!$A$6:$A$1005,$C$3))</f>
        <v/>
      </c>
      <c r="O27" s="90" t="str">
        <f aca="false">IF($B27="","",N27*(الموظفون!$N27+الموظفون!$J27*cfg_OT_P)/cfg_DAYS_M/cfg_HRS)</f>
        <v/>
      </c>
      <c r="P27" s="90" t="str">
        <f aca="false">IF($B27="","",SUMIFS('الحركات الشهرية'!$G$6:$G$1005,'الحركات الشهرية'!$B$6:$B$1005,$B27,'الحركات الشهرية'!$A$6:$A$1005,$C$3))</f>
        <v/>
      </c>
      <c r="Q27" s="90" t="str">
        <f aca="false">IF($B27="","",SUMIFS('الحركات الشهرية'!$H$6:$H$1005,'الحركات الشهرية'!$B$6:$B$1005,$B27,'الحركات الشهرية'!$A$6:$A$1005,$C$3))</f>
        <v/>
      </c>
      <c r="R27" s="111" t="str">
        <f aca="false">IF($B27="","",SUM(J27:M27)+SUM(O27:Q27))</f>
        <v/>
      </c>
      <c r="S27" s="90" t="str">
        <f aca="false">IF($B27="","",الموظفون!$Q27*IF(E27="سعودي",cfg_G_SE,cfg_G_NE)*F27/cfg_DAYS_M)</f>
        <v/>
      </c>
      <c r="T27" s="90" t="str">
        <f aca="false">IF($B27="","",SUMIFS('الحركات الشهرية'!$I$6:$I$1005,'الحركات الشهرية'!$B$6:$B$1005,$B27,'الحركات الشهرية'!$A$6:$A$1005,$C$3))</f>
        <v/>
      </c>
      <c r="U27" s="90" t="str">
        <f aca="false">IF($B27="","",SUMIFS('الحركات الشهرية'!$J$6:$J$1005,'الحركات الشهرية'!$B$6:$B$1005,$B27,'الحركات الشهرية'!$A$6:$A$1005,$C$3))</f>
        <v/>
      </c>
      <c r="V27" s="90" t="str">
        <f aca="false">IF($B27="","",SUM(S27:U27))</f>
        <v/>
      </c>
      <c r="W27" s="112" t="str">
        <f aca="false">IF($B27="","",R27-V27)</f>
        <v/>
      </c>
      <c r="X27" s="90" t="str">
        <f aca="false">IF($B27="","",الموظفون!$Q27*IF(E27="سعودي",cfg_G_SR,cfg_G_NR)*F27/cfg_DAYS_M)</f>
        <v/>
      </c>
      <c r="Y27" s="90" t="str">
        <f aca="false">IF($B27="","",الموظفون!$O27*(cfg_EOS_R1*(MIN(AC27,cfg_EOS_TH)-MIN(AD27,cfg_EOS_TH))+cfg_EOS_R2*(MAX(AC27-cfg_EOS_TH,0)-MAX(AD27-cfg_EOS_TH,0))))</f>
        <v/>
      </c>
      <c r="Z27" s="90" t="str">
        <f aca="false">IF($B27="","",IF(الموظفون!$R27&lt;&gt;"",الموظفون!$R27,IF(AC27&gt;=cfg_LV_TH,cfg_LV_D2,cfg_LV_D1))/cfg_DAYS_Y*AE27*الموظفون!$P27/cfg_DAYS_M)</f>
        <v/>
      </c>
      <c r="AA27" s="90" t="str">
        <f aca="false">IF($B27="","",IF(AND(الموظفون!$S27="نعم",N(الموظفون!$U27)&gt;0),الموظفون!$T27/الموظفون!$U27*12/cfg_DAYS_Y*AE27,0))</f>
        <v/>
      </c>
      <c r="AB27" s="113" t="str">
        <f aca="false">IF($B27="","",R27+SUM(X27:AA27))</f>
        <v/>
      </c>
      <c r="AC27" s="114" t="str">
        <f aca="false">IF($B27="","",MAX(0,IF(OR(الموظفون!$X27="",الموظفون!$X27&gt;$G$3),$G$3,الموظفون!$X27)-الموظفون!$H27+1)/cfg_DAYS_Y)</f>
        <v/>
      </c>
      <c r="AD27" s="114" t="str">
        <f aca="false">IF($B27="","",MAX(0,IF(OR(الموظفون!$X27="",الموظفون!$X27&gt;($E$3-1)),($E$3-1),الموظفون!$X27)-الموظفون!$H27+1)/cfg_DAYS_Y)</f>
        <v/>
      </c>
      <c r="AE27" s="115" t="str">
        <f aca="false">IF($B27="","",MAX(0,IF(OR(الموظفون!$X27="",الموظفون!$X27&gt;$G$3),$G$3,الموظفون!$X27)-MAX($E$3,الموظفون!$H27)+1))</f>
        <v/>
      </c>
    </row>
    <row r="28" customFormat="false" ht="15" hidden="false" customHeight="false" outlineLevel="0" collapsed="false">
      <c r="A28" s="83" t="str">
        <f aca="false">IF($B28="","",الموظفون!$A28)</f>
        <v/>
      </c>
      <c r="B28" s="74" t="str">
        <f aca="false">IF(الموظفون!$B28="","",الموظفون!$B28)</f>
        <v/>
      </c>
      <c r="C28" s="74" t="str">
        <f aca="false">IF($B28="","",الموظفون!$C28)</f>
        <v/>
      </c>
      <c r="D28" s="74" t="str">
        <f aca="false">IF($B28="","",الموظفون!$F28)</f>
        <v/>
      </c>
      <c r="E28" s="74" t="str">
        <f aca="false">IF($B28="","",الموظفون!$E28)</f>
        <v/>
      </c>
      <c r="F28" s="105" t="str">
        <f aca="false">IF($B28="","",IF(AE28&gt;=DAY($G$3),cfg_DAYS_M,MIN(AE28,cfg_DAYS_M)))</f>
        <v/>
      </c>
      <c r="G28" s="105" t="str">
        <f aca="false">IF($B28="","",SUMIFS('الحركات الشهرية'!$D$6:$D$1005,'الحركات الشهرية'!$B$6:$B$1005,$B28,'الحركات الشهرية'!$A$6:$A$1005,$C$3))</f>
        <v/>
      </c>
      <c r="H28" s="105" t="str">
        <f aca="false">IF($B28="","",SUMIFS('الحركات الشهرية'!$E$6:$E$1005,'الحركات الشهرية'!$B$6:$B$1005,$B28,'الحركات الشهرية'!$A$6:$A$1005,$C$3))</f>
        <v/>
      </c>
      <c r="I28" s="105" t="str">
        <f aca="false">IF($B28="","",MAX(0,F28-G28-H28))</f>
        <v/>
      </c>
      <c r="J28" s="86" t="str">
        <f aca="false">IF($B28="","",الموظفون!$J28*$I28/cfg_DAYS_M)</f>
        <v/>
      </c>
      <c r="K28" s="86" t="str">
        <f aca="false">IF($B28="","",الموظفون!$K28*$I28/cfg_DAYS_M)</f>
        <v/>
      </c>
      <c r="L28" s="86" t="str">
        <f aca="false">IF($B28="","",الموظفون!$L28*$I28/cfg_DAYS_M)</f>
        <v/>
      </c>
      <c r="M28" s="86" t="str">
        <f aca="false">IF($B28="","",الموظفون!$M28*$I28/cfg_DAYS_M)</f>
        <v/>
      </c>
      <c r="N28" s="105" t="str">
        <f aca="false">IF($B28="","",SUMIFS('الحركات الشهرية'!$F$6:$F$1005,'الحركات الشهرية'!$B$6:$B$1005,$B28,'الحركات الشهرية'!$A$6:$A$1005,$C$3))</f>
        <v/>
      </c>
      <c r="O28" s="86" t="str">
        <f aca="false">IF($B28="","",N28*(الموظفون!$N28+الموظفون!$J28*cfg_OT_P)/cfg_DAYS_M/cfg_HRS)</f>
        <v/>
      </c>
      <c r="P28" s="86" t="str">
        <f aca="false">IF($B28="","",SUMIFS('الحركات الشهرية'!$G$6:$G$1005,'الحركات الشهرية'!$B$6:$B$1005,$B28,'الحركات الشهرية'!$A$6:$A$1005,$C$3))</f>
        <v/>
      </c>
      <c r="Q28" s="86" t="str">
        <f aca="false">IF($B28="","",SUMIFS('الحركات الشهرية'!$H$6:$H$1005,'الحركات الشهرية'!$B$6:$B$1005,$B28,'الحركات الشهرية'!$A$6:$A$1005,$C$3))</f>
        <v/>
      </c>
      <c r="R28" s="106" t="str">
        <f aca="false">IF($B28="","",SUM(J28:M28)+SUM(O28:Q28))</f>
        <v/>
      </c>
      <c r="S28" s="86" t="str">
        <f aca="false">IF($B28="","",الموظفون!$Q28*IF(E28="سعودي",cfg_G_SE,cfg_G_NE)*F28/cfg_DAYS_M)</f>
        <v/>
      </c>
      <c r="T28" s="86" t="str">
        <f aca="false">IF($B28="","",SUMIFS('الحركات الشهرية'!$I$6:$I$1005,'الحركات الشهرية'!$B$6:$B$1005,$B28,'الحركات الشهرية'!$A$6:$A$1005,$C$3))</f>
        <v/>
      </c>
      <c r="U28" s="86" t="str">
        <f aca="false">IF($B28="","",SUMIFS('الحركات الشهرية'!$J$6:$J$1005,'الحركات الشهرية'!$B$6:$B$1005,$B28,'الحركات الشهرية'!$A$6:$A$1005,$C$3))</f>
        <v/>
      </c>
      <c r="V28" s="86" t="str">
        <f aca="false">IF($B28="","",SUM(S28:U28))</f>
        <v/>
      </c>
      <c r="W28" s="107" t="str">
        <f aca="false">IF($B28="","",R28-V28)</f>
        <v/>
      </c>
      <c r="X28" s="86" t="str">
        <f aca="false">IF($B28="","",الموظفون!$Q28*IF(E28="سعودي",cfg_G_SR,cfg_G_NR)*F28/cfg_DAYS_M)</f>
        <v/>
      </c>
      <c r="Y28" s="86" t="str">
        <f aca="false">IF($B28="","",الموظفون!$O28*(cfg_EOS_R1*(MIN(AC28,cfg_EOS_TH)-MIN(AD28,cfg_EOS_TH))+cfg_EOS_R2*(MAX(AC28-cfg_EOS_TH,0)-MAX(AD28-cfg_EOS_TH,0))))</f>
        <v/>
      </c>
      <c r="Z28" s="86" t="str">
        <f aca="false">IF($B28="","",IF(الموظفون!$R28&lt;&gt;"",الموظفون!$R28,IF(AC28&gt;=cfg_LV_TH,cfg_LV_D2,cfg_LV_D1))/cfg_DAYS_Y*AE28*الموظفون!$P28/cfg_DAYS_M)</f>
        <v/>
      </c>
      <c r="AA28" s="86" t="str">
        <f aca="false">IF($B28="","",IF(AND(الموظفون!$S28="نعم",N(الموظفون!$U28)&gt;0),الموظفون!$T28/الموظفون!$U28*12/cfg_DAYS_Y*AE28,0))</f>
        <v/>
      </c>
      <c r="AB28" s="108" t="str">
        <f aca="false">IF($B28="","",R28+SUM(X28:AA28))</f>
        <v/>
      </c>
      <c r="AC28" s="109" t="str">
        <f aca="false">IF($B28="","",MAX(0,IF(OR(الموظفون!$X28="",الموظفون!$X28&gt;$G$3),$G$3,الموظفون!$X28)-الموظفون!$H28+1)/cfg_DAYS_Y)</f>
        <v/>
      </c>
      <c r="AD28" s="109" t="str">
        <f aca="false">IF($B28="","",MAX(0,IF(OR(الموظفون!$X28="",الموظفون!$X28&gt;($E$3-1)),($E$3-1),الموظفون!$X28)-الموظفون!$H28+1)/cfg_DAYS_Y)</f>
        <v/>
      </c>
      <c r="AE28" s="51" t="str">
        <f aca="false">IF($B28="","",MAX(0,IF(OR(الموظفون!$X28="",الموظفون!$X28&gt;$G$3),$G$3,الموظفون!$X28)-MAX($E$3,الموظفون!$H28)+1))</f>
        <v/>
      </c>
    </row>
    <row r="29" customFormat="false" ht="15" hidden="false" customHeight="false" outlineLevel="0" collapsed="false">
      <c r="A29" s="89" t="str">
        <f aca="false">IF($B29="","",الموظفون!$A29)</f>
        <v/>
      </c>
      <c r="B29" s="91" t="str">
        <f aca="false">IF(الموظفون!$B29="","",الموظفون!$B29)</f>
        <v/>
      </c>
      <c r="C29" s="91" t="str">
        <f aca="false">IF($B29="","",الموظفون!$C29)</f>
        <v/>
      </c>
      <c r="D29" s="91" t="str">
        <f aca="false">IF($B29="","",الموظفون!$F29)</f>
        <v/>
      </c>
      <c r="E29" s="91" t="str">
        <f aca="false">IF($B29="","",الموظفون!$E29)</f>
        <v/>
      </c>
      <c r="F29" s="110" t="str">
        <f aca="false">IF($B29="","",IF(AE29&gt;=DAY($G$3),cfg_DAYS_M,MIN(AE29,cfg_DAYS_M)))</f>
        <v/>
      </c>
      <c r="G29" s="110" t="str">
        <f aca="false">IF($B29="","",SUMIFS('الحركات الشهرية'!$D$6:$D$1005,'الحركات الشهرية'!$B$6:$B$1005,$B29,'الحركات الشهرية'!$A$6:$A$1005,$C$3))</f>
        <v/>
      </c>
      <c r="H29" s="110" t="str">
        <f aca="false">IF($B29="","",SUMIFS('الحركات الشهرية'!$E$6:$E$1005,'الحركات الشهرية'!$B$6:$B$1005,$B29,'الحركات الشهرية'!$A$6:$A$1005,$C$3))</f>
        <v/>
      </c>
      <c r="I29" s="110" t="str">
        <f aca="false">IF($B29="","",MAX(0,F29-G29-H29))</f>
        <v/>
      </c>
      <c r="J29" s="90" t="str">
        <f aca="false">IF($B29="","",الموظفون!$J29*$I29/cfg_DAYS_M)</f>
        <v/>
      </c>
      <c r="K29" s="90" t="str">
        <f aca="false">IF($B29="","",الموظفون!$K29*$I29/cfg_DAYS_M)</f>
        <v/>
      </c>
      <c r="L29" s="90" t="str">
        <f aca="false">IF($B29="","",الموظفون!$L29*$I29/cfg_DAYS_M)</f>
        <v/>
      </c>
      <c r="M29" s="90" t="str">
        <f aca="false">IF($B29="","",الموظفون!$M29*$I29/cfg_DAYS_M)</f>
        <v/>
      </c>
      <c r="N29" s="110" t="str">
        <f aca="false">IF($B29="","",SUMIFS('الحركات الشهرية'!$F$6:$F$1005,'الحركات الشهرية'!$B$6:$B$1005,$B29,'الحركات الشهرية'!$A$6:$A$1005,$C$3))</f>
        <v/>
      </c>
      <c r="O29" s="90" t="str">
        <f aca="false">IF($B29="","",N29*(الموظفون!$N29+الموظفون!$J29*cfg_OT_P)/cfg_DAYS_M/cfg_HRS)</f>
        <v/>
      </c>
      <c r="P29" s="90" t="str">
        <f aca="false">IF($B29="","",SUMIFS('الحركات الشهرية'!$G$6:$G$1005,'الحركات الشهرية'!$B$6:$B$1005,$B29,'الحركات الشهرية'!$A$6:$A$1005,$C$3))</f>
        <v/>
      </c>
      <c r="Q29" s="90" t="str">
        <f aca="false">IF($B29="","",SUMIFS('الحركات الشهرية'!$H$6:$H$1005,'الحركات الشهرية'!$B$6:$B$1005,$B29,'الحركات الشهرية'!$A$6:$A$1005,$C$3))</f>
        <v/>
      </c>
      <c r="R29" s="111" t="str">
        <f aca="false">IF($B29="","",SUM(J29:M29)+SUM(O29:Q29))</f>
        <v/>
      </c>
      <c r="S29" s="90" t="str">
        <f aca="false">IF($B29="","",الموظفون!$Q29*IF(E29="سعودي",cfg_G_SE,cfg_G_NE)*F29/cfg_DAYS_M)</f>
        <v/>
      </c>
      <c r="T29" s="90" t="str">
        <f aca="false">IF($B29="","",SUMIFS('الحركات الشهرية'!$I$6:$I$1005,'الحركات الشهرية'!$B$6:$B$1005,$B29,'الحركات الشهرية'!$A$6:$A$1005,$C$3))</f>
        <v/>
      </c>
      <c r="U29" s="90" t="str">
        <f aca="false">IF($B29="","",SUMIFS('الحركات الشهرية'!$J$6:$J$1005,'الحركات الشهرية'!$B$6:$B$1005,$B29,'الحركات الشهرية'!$A$6:$A$1005,$C$3))</f>
        <v/>
      </c>
      <c r="V29" s="90" t="str">
        <f aca="false">IF($B29="","",SUM(S29:U29))</f>
        <v/>
      </c>
      <c r="W29" s="112" t="str">
        <f aca="false">IF($B29="","",R29-V29)</f>
        <v/>
      </c>
      <c r="X29" s="90" t="str">
        <f aca="false">IF($B29="","",الموظفون!$Q29*IF(E29="سعودي",cfg_G_SR,cfg_G_NR)*F29/cfg_DAYS_M)</f>
        <v/>
      </c>
      <c r="Y29" s="90" t="str">
        <f aca="false">IF($B29="","",الموظفون!$O29*(cfg_EOS_R1*(MIN(AC29,cfg_EOS_TH)-MIN(AD29,cfg_EOS_TH))+cfg_EOS_R2*(MAX(AC29-cfg_EOS_TH,0)-MAX(AD29-cfg_EOS_TH,0))))</f>
        <v/>
      </c>
      <c r="Z29" s="90" t="str">
        <f aca="false">IF($B29="","",IF(الموظفون!$R29&lt;&gt;"",الموظفون!$R29,IF(AC29&gt;=cfg_LV_TH,cfg_LV_D2,cfg_LV_D1))/cfg_DAYS_Y*AE29*الموظفون!$P29/cfg_DAYS_M)</f>
        <v/>
      </c>
      <c r="AA29" s="90" t="str">
        <f aca="false">IF($B29="","",IF(AND(الموظفون!$S29="نعم",N(الموظفون!$U29)&gt;0),الموظفون!$T29/الموظفون!$U29*12/cfg_DAYS_Y*AE29,0))</f>
        <v/>
      </c>
      <c r="AB29" s="113" t="str">
        <f aca="false">IF($B29="","",R29+SUM(X29:AA29))</f>
        <v/>
      </c>
      <c r="AC29" s="114" t="str">
        <f aca="false">IF($B29="","",MAX(0,IF(OR(الموظفون!$X29="",الموظفون!$X29&gt;$G$3),$G$3,الموظفون!$X29)-الموظفون!$H29+1)/cfg_DAYS_Y)</f>
        <v/>
      </c>
      <c r="AD29" s="114" t="str">
        <f aca="false">IF($B29="","",MAX(0,IF(OR(الموظفون!$X29="",الموظفون!$X29&gt;($E$3-1)),($E$3-1),الموظفون!$X29)-الموظفون!$H29+1)/cfg_DAYS_Y)</f>
        <v/>
      </c>
      <c r="AE29" s="115" t="str">
        <f aca="false">IF($B29="","",MAX(0,IF(OR(الموظفون!$X29="",الموظفون!$X29&gt;$G$3),$G$3,الموظفون!$X29)-MAX($E$3,الموظفون!$H29)+1))</f>
        <v/>
      </c>
    </row>
    <row r="30" customFormat="false" ht="15" hidden="false" customHeight="false" outlineLevel="0" collapsed="false">
      <c r="A30" s="83" t="str">
        <f aca="false">IF($B30="","",الموظفون!$A30)</f>
        <v/>
      </c>
      <c r="B30" s="74" t="str">
        <f aca="false">IF(الموظفون!$B30="","",الموظفون!$B30)</f>
        <v/>
      </c>
      <c r="C30" s="74" t="str">
        <f aca="false">IF($B30="","",الموظفون!$C30)</f>
        <v/>
      </c>
      <c r="D30" s="74" t="str">
        <f aca="false">IF($B30="","",الموظفون!$F30)</f>
        <v/>
      </c>
      <c r="E30" s="74" t="str">
        <f aca="false">IF($B30="","",الموظفون!$E30)</f>
        <v/>
      </c>
      <c r="F30" s="105" t="str">
        <f aca="false">IF($B30="","",IF(AE30&gt;=DAY($G$3),cfg_DAYS_M,MIN(AE30,cfg_DAYS_M)))</f>
        <v/>
      </c>
      <c r="G30" s="105" t="str">
        <f aca="false">IF($B30="","",SUMIFS('الحركات الشهرية'!$D$6:$D$1005,'الحركات الشهرية'!$B$6:$B$1005,$B30,'الحركات الشهرية'!$A$6:$A$1005,$C$3))</f>
        <v/>
      </c>
      <c r="H30" s="105" t="str">
        <f aca="false">IF($B30="","",SUMIFS('الحركات الشهرية'!$E$6:$E$1005,'الحركات الشهرية'!$B$6:$B$1005,$B30,'الحركات الشهرية'!$A$6:$A$1005,$C$3))</f>
        <v/>
      </c>
      <c r="I30" s="105" t="str">
        <f aca="false">IF($B30="","",MAX(0,F30-G30-H30))</f>
        <v/>
      </c>
      <c r="J30" s="86" t="str">
        <f aca="false">IF($B30="","",الموظفون!$J30*$I30/cfg_DAYS_M)</f>
        <v/>
      </c>
      <c r="K30" s="86" t="str">
        <f aca="false">IF($B30="","",الموظفون!$K30*$I30/cfg_DAYS_M)</f>
        <v/>
      </c>
      <c r="L30" s="86" t="str">
        <f aca="false">IF($B30="","",الموظفون!$L30*$I30/cfg_DAYS_M)</f>
        <v/>
      </c>
      <c r="M30" s="86" t="str">
        <f aca="false">IF($B30="","",الموظفون!$M30*$I30/cfg_DAYS_M)</f>
        <v/>
      </c>
      <c r="N30" s="105" t="str">
        <f aca="false">IF($B30="","",SUMIFS('الحركات الشهرية'!$F$6:$F$1005,'الحركات الشهرية'!$B$6:$B$1005,$B30,'الحركات الشهرية'!$A$6:$A$1005,$C$3))</f>
        <v/>
      </c>
      <c r="O30" s="86" t="str">
        <f aca="false">IF($B30="","",N30*(الموظفون!$N30+الموظفون!$J30*cfg_OT_P)/cfg_DAYS_M/cfg_HRS)</f>
        <v/>
      </c>
      <c r="P30" s="86" t="str">
        <f aca="false">IF($B30="","",SUMIFS('الحركات الشهرية'!$G$6:$G$1005,'الحركات الشهرية'!$B$6:$B$1005,$B30,'الحركات الشهرية'!$A$6:$A$1005,$C$3))</f>
        <v/>
      </c>
      <c r="Q30" s="86" t="str">
        <f aca="false">IF($B30="","",SUMIFS('الحركات الشهرية'!$H$6:$H$1005,'الحركات الشهرية'!$B$6:$B$1005,$B30,'الحركات الشهرية'!$A$6:$A$1005,$C$3))</f>
        <v/>
      </c>
      <c r="R30" s="106" t="str">
        <f aca="false">IF($B30="","",SUM(J30:M30)+SUM(O30:Q30))</f>
        <v/>
      </c>
      <c r="S30" s="86" t="str">
        <f aca="false">IF($B30="","",الموظفون!$Q30*IF(E30="سعودي",cfg_G_SE,cfg_G_NE)*F30/cfg_DAYS_M)</f>
        <v/>
      </c>
      <c r="T30" s="86" t="str">
        <f aca="false">IF($B30="","",SUMIFS('الحركات الشهرية'!$I$6:$I$1005,'الحركات الشهرية'!$B$6:$B$1005,$B30,'الحركات الشهرية'!$A$6:$A$1005,$C$3))</f>
        <v/>
      </c>
      <c r="U30" s="86" t="str">
        <f aca="false">IF($B30="","",SUMIFS('الحركات الشهرية'!$J$6:$J$1005,'الحركات الشهرية'!$B$6:$B$1005,$B30,'الحركات الشهرية'!$A$6:$A$1005,$C$3))</f>
        <v/>
      </c>
      <c r="V30" s="86" t="str">
        <f aca="false">IF($B30="","",SUM(S30:U30))</f>
        <v/>
      </c>
      <c r="W30" s="107" t="str">
        <f aca="false">IF($B30="","",R30-V30)</f>
        <v/>
      </c>
      <c r="X30" s="86" t="str">
        <f aca="false">IF($B30="","",الموظفون!$Q30*IF(E30="سعودي",cfg_G_SR,cfg_G_NR)*F30/cfg_DAYS_M)</f>
        <v/>
      </c>
      <c r="Y30" s="86" t="str">
        <f aca="false">IF($B30="","",الموظفون!$O30*(cfg_EOS_R1*(MIN(AC30,cfg_EOS_TH)-MIN(AD30,cfg_EOS_TH))+cfg_EOS_R2*(MAX(AC30-cfg_EOS_TH,0)-MAX(AD30-cfg_EOS_TH,0))))</f>
        <v/>
      </c>
      <c r="Z30" s="86" t="str">
        <f aca="false">IF($B30="","",IF(الموظفون!$R30&lt;&gt;"",الموظفون!$R30,IF(AC30&gt;=cfg_LV_TH,cfg_LV_D2,cfg_LV_D1))/cfg_DAYS_Y*AE30*الموظفون!$P30/cfg_DAYS_M)</f>
        <v/>
      </c>
      <c r="AA30" s="86" t="str">
        <f aca="false">IF($B30="","",IF(AND(الموظفون!$S30="نعم",N(الموظفون!$U30)&gt;0),الموظفون!$T30/الموظفون!$U30*12/cfg_DAYS_Y*AE30,0))</f>
        <v/>
      </c>
      <c r="AB30" s="108" t="str">
        <f aca="false">IF($B30="","",R30+SUM(X30:AA30))</f>
        <v/>
      </c>
      <c r="AC30" s="109" t="str">
        <f aca="false">IF($B30="","",MAX(0,IF(OR(الموظفون!$X30="",الموظفون!$X30&gt;$G$3),$G$3,الموظفون!$X30)-الموظفون!$H30+1)/cfg_DAYS_Y)</f>
        <v/>
      </c>
      <c r="AD30" s="109" t="str">
        <f aca="false">IF($B30="","",MAX(0,IF(OR(الموظفون!$X30="",الموظفون!$X30&gt;($E$3-1)),($E$3-1),الموظفون!$X30)-الموظفون!$H30+1)/cfg_DAYS_Y)</f>
        <v/>
      </c>
      <c r="AE30" s="51" t="str">
        <f aca="false">IF($B30="","",MAX(0,IF(OR(الموظفون!$X30="",الموظفون!$X30&gt;$G$3),$G$3,الموظفون!$X30)-MAX($E$3,الموظفون!$H30)+1))</f>
        <v/>
      </c>
    </row>
    <row r="31" customFormat="false" ht="15" hidden="false" customHeight="false" outlineLevel="0" collapsed="false">
      <c r="A31" s="89" t="str">
        <f aca="false">IF($B31="","",الموظفون!$A31)</f>
        <v/>
      </c>
      <c r="B31" s="91" t="str">
        <f aca="false">IF(الموظفون!$B31="","",الموظفون!$B31)</f>
        <v/>
      </c>
      <c r="C31" s="91" t="str">
        <f aca="false">IF($B31="","",الموظفون!$C31)</f>
        <v/>
      </c>
      <c r="D31" s="91" t="str">
        <f aca="false">IF($B31="","",الموظفون!$F31)</f>
        <v/>
      </c>
      <c r="E31" s="91" t="str">
        <f aca="false">IF($B31="","",الموظفون!$E31)</f>
        <v/>
      </c>
      <c r="F31" s="110" t="str">
        <f aca="false">IF($B31="","",IF(AE31&gt;=DAY($G$3),cfg_DAYS_M,MIN(AE31,cfg_DAYS_M)))</f>
        <v/>
      </c>
      <c r="G31" s="110" t="str">
        <f aca="false">IF($B31="","",SUMIFS('الحركات الشهرية'!$D$6:$D$1005,'الحركات الشهرية'!$B$6:$B$1005,$B31,'الحركات الشهرية'!$A$6:$A$1005,$C$3))</f>
        <v/>
      </c>
      <c r="H31" s="110" t="str">
        <f aca="false">IF($B31="","",SUMIFS('الحركات الشهرية'!$E$6:$E$1005,'الحركات الشهرية'!$B$6:$B$1005,$B31,'الحركات الشهرية'!$A$6:$A$1005,$C$3))</f>
        <v/>
      </c>
      <c r="I31" s="110" t="str">
        <f aca="false">IF($B31="","",MAX(0,F31-G31-H31))</f>
        <v/>
      </c>
      <c r="J31" s="90" t="str">
        <f aca="false">IF($B31="","",الموظفون!$J31*$I31/cfg_DAYS_M)</f>
        <v/>
      </c>
      <c r="K31" s="90" t="str">
        <f aca="false">IF($B31="","",الموظفون!$K31*$I31/cfg_DAYS_M)</f>
        <v/>
      </c>
      <c r="L31" s="90" t="str">
        <f aca="false">IF($B31="","",الموظفون!$L31*$I31/cfg_DAYS_M)</f>
        <v/>
      </c>
      <c r="M31" s="90" t="str">
        <f aca="false">IF($B31="","",الموظفون!$M31*$I31/cfg_DAYS_M)</f>
        <v/>
      </c>
      <c r="N31" s="110" t="str">
        <f aca="false">IF($B31="","",SUMIFS('الحركات الشهرية'!$F$6:$F$1005,'الحركات الشهرية'!$B$6:$B$1005,$B31,'الحركات الشهرية'!$A$6:$A$1005,$C$3))</f>
        <v/>
      </c>
      <c r="O31" s="90" t="str">
        <f aca="false">IF($B31="","",N31*(الموظفون!$N31+الموظفون!$J31*cfg_OT_P)/cfg_DAYS_M/cfg_HRS)</f>
        <v/>
      </c>
      <c r="P31" s="90" t="str">
        <f aca="false">IF($B31="","",SUMIFS('الحركات الشهرية'!$G$6:$G$1005,'الحركات الشهرية'!$B$6:$B$1005,$B31,'الحركات الشهرية'!$A$6:$A$1005,$C$3))</f>
        <v/>
      </c>
      <c r="Q31" s="90" t="str">
        <f aca="false">IF($B31="","",SUMIFS('الحركات الشهرية'!$H$6:$H$1005,'الحركات الشهرية'!$B$6:$B$1005,$B31,'الحركات الشهرية'!$A$6:$A$1005,$C$3))</f>
        <v/>
      </c>
      <c r="R31" s="111" t="str">
        <f aca="false">IF($B31="","",SUM(J31:M31)+SUM(O31:Q31))</f>
        <v/>
      </c>
      <c r="S31" s="90" t="str">
        <f aca="false">IF($B31="","",الموظفون!$Q31*IF(E31="سعودي",cfg_G_SE,cfg_G_NE)*F31/cfg_DAYS_M)</f>
        <v/>
      </c>
      <c r="T31" s="90" t="str">
        <f aca="false">IF($B31="","",SUMIFS('الحركات الشهرية'!$I$6:$I$1005,'الحركات الشهرية'!$B$6:$B$1005,$B31,'الحركات الشهرية'!$A$6:$A$1005,$C$3))</f>
        <v/>
      </c>
      <c r="U31" s="90" t="str">
        <f aca="false">IF($B31="","",SUMIFS('الحركات الشهرية'!$J$6:$J$1005,'الحركات الشهرية'!$B$6:$B$1005,$B31,'الحركات الشهرية'!$A$6:$A$1005,$C$3))</f>
        <v/>
      </c>
      <c r="V31" s="90" t="str">
        <f aca="false">IF($B31="","",SUM(S31:U31))</f>
        <v/>
      </c>
      <c r="W31" s="112" t="str">
        <f aca="false">IF($B31="","",R31-V31)</f>
        <v/>
      </c>
      <c r="X31" s="90" t="str">
        <f aca="false">IF($B31="","",الموظفون!$Q31*IF(E31="سعودي",cfg_G_SR,cfg_G_NR)*F31/cfg_DAYS_M)</f>
        <v/>
      </c>
      <c r="Y31" s="90" t="str">
        <f aca="false">IF($B31="","",الموظفون!$O31*(cfg_EOS_R1*(MIN(AC31,cfg_EOS_TH)-MIN(AD31,cfg_EOS_TH))+cfg_EOS_R2*(MAX(AC31-cfg_EOS_TH,0)-MAX(AD31-cfg_EOS_TH,0))))</f>
        <v/>
      </c>
      <c r="Z31" s="90" t="str">
        <f aca="false">IF($B31="","",IF(الموظفون!$R31&lt;&gt;"",الموظفون!$R31,IF(AC31&gt;=cfg_LV_TH,cfg_LV_D2,cfg_LV_D1))/cfg_DAYS_Y*AE31*الموظفون!$P31/cfg_DAYS_M)</f>
        <v/>
      </c>
      <c r="AA31" s="90" t="str">
        <f aca="false">IF($B31="","",IF(AND(الموظفون!$S31="نعم",N(الموظفون!$U31)&gt;0),الموظفون!$T31/الموظفون!$U31*12/cfg_DAYS_Y*AE31,0))</f>
        <v/>
      </c>
      <c r="AB31" s="113" t="str">
        <f aca="false">IF($B31="","",R31+SUM(X31:AA31))</f>
        <v/>
      </c>
      <c r="AC31" s="114" t="str">
        <f aca="false">IF($B31="","",MAX(0,IF(OR(الموظفون!$X31="",الموظفون!$X31&gt;$G$3),$G$3,الموظفون!$X31)-الموظفون!$H31+1)/cfg_DAYS_Y)</f>
        <v/>
      </c>
      <c r="AD31" s="114" t="str">
        <f aca="false">IF($B31="","",MAX(0,IF(OR(الموظفون!$X31="",الموظفون!$X31&gt;($E$3-1)),($E$3-1),الموظفون!$X31)-الموظفون!$H31+1)/cfg_DAYS_Y)</f>
        <v/>
      </c>
      <c r="AE31" s="115" t="str">
        <f aca="false">IF($B31="","",MAX(0,IF(OR(الموظفون!$X31="",الموظفون!$X31&gt;$G$3),$G$3,الموظفون!$X31)-MAX($E$3,الموظفون!$H31)+1))</f>
        <v/>
      </c>
    </row>
    <row r="32" customFormat="false" ht="15" hidden="false" customHeight="false" outlineLevel="0" collapsed="false">
      <c r="A32" s="83" t="str">
        <f aca="false">IF($B32="","",الموظفون!$A32)</f>
        <v/>
      </c>
      <c r="B32" s="74" t="str">
        <f aca="false">IF(الموظفون!$B32="","",الموظفون!$B32)</f>
        <v/>
      </c>
      <c r="C32" s="74" t="str">
        <f aca="false">IF($B32="","",الموظفون!$C32)</f>
        <v/>
      </c>
      <c r="D32" s="74" t="str">
        <f aca="false">IF($B32="","",الموظفون!$F32)</f>
        <v/>
      </c>
      <c r="E32" s="74" t="str">
        <f aca="false">IF($B32="","",الموظفون!$E32)</f>
        <v/>
      </c>
      <c r="F32" s="105" t="str">
        <f aca="false">IF($B32="","",IF(AE32&gt;=DAY($G$3),cfg_DAYS_M,MIN(AE32,cfg_DAYS_M)))</f>
        <v/>
      </c>
      <c r="G32" s="105" t="str">
        <f aca="false">IF($B32="","",SUMIFS('الحركات الشهرية'!$D$6:$D$1005,'الحركات الشهرية'!$B$6:$B$1005,$B32,'الحركات الشهرية'!$A$6:$A$1005,$C$3))</f>
        <v/>
      </c>
      <c r="H32" s="105" t="str">
        <f aca="false">IF($B32="","",SUMIFS('الحركات الشهرية'!$E$6:$E$1005,'الحركات الشهرية'!$B$6:$B$1005,$B32,'الحركات الشهرية'!$A$6:$A$1005,$C$3))</f>
        <v/>
      </c>
      <c r="I32" s="105" t="str">
        <f aca="false">IF($B32="","",MAX(0,F32-G32-H32))</f>
        <v/>
      </c>
      <c r="J32" s="86" t="str">
        <f aca="false">IF($B32="","",الموظفون!$J32*$I32/cfg_DAYS_M)</f>
        <v/>
      </c>
      <c r="K32" s="86" t="str">
        <f aca="false">IF($B32="","",الموظفون!$K32*$I32/cfg_DAYS_M)</f>
        <v/>
      </c>
      <c r="L32" s="86" t="str">
        <f aca="false">IF($B32="","",الموظفون!$L32*$I32/cfg_DAYS_M)</f>
        <v/>
      </c>
      <c r="M32" s="86" t="str">
        <f aca="false">IF($B32="","",الموظفون!$M32*$I32/cfg_DAYS_M)</f>
        <v/>
      </c>
      <c r="N32" s="105" t="str">
        <f aca="false">IF($B32="","",SUMIFS('الحركات الشهرية'!$F$6:$F$1005,'الحركات الشهرية'!$B$6:$B$1005,$B32,'الحركات الشهرية'!$A$6:$A$1005,$C$3))</f>
        <v/>
      </c>
      <c r="O32" s="86" t="str">
        <f aca="false">IF($B32="","",N32*(الموظفون!$N32+الموظفون!$J32*cfg_OT_P)/cfg_DAYS_M/cfg_HRS)</f>
        <v/>
      </c>
      <c r="P32" s="86" t="str">
        <f aca="false">IF($B32="","",SUMIFS('الحركات الشهرية'!$G$6:$G$1005,'الحركات الشهرية'!$B$6:$B$1005,$B32,'الحركات الشهرية'!$A$6:$A$1005,$C$3))</f>
        <v/>
      </c>
      <c r="Q32" s="86" t="str">
        <f aca="false">IF($B32="","",SUMIFS('الحركات الشهرية'!$H$6:$H$1005,'الحركات الشهرية'!$B$6:$B$1005,$B32,'الحركات الشهرية'!$A$6:$A$1005,$C$3))</f>
        <v/>
      </c>
      <c r="R32" s="106" t="str">
        <f aca="false">IF($B32="","",SUM(J32:M32)+SUM(O32:Q32))</f>
        <v/>
      </c>
      <c r="S32" s="86" t="str">
        <f aca="false">IF($B32="","",الموظفون!$Q32*IF(E32="سعودي",cfg_G_SE,cfg_G_NE)*F32/cfg_DAYS_M)</f>
        <v/>
      </c>
      <c r="T32" s="86" t="str">
        <f aca="false">IF($B32="","",SUMIFS('الحركات الشهرية'!$I$6:$I$1005,'الحركات الشهرية'!$B$6:$B$1005,$B32,'الحركات الشهرية'!$A$6:$A$1005,$C$3))</f>
        <v/>
      </c>
      <c r="U32" s="86" t="str">
        <f aca="false">IF($B32="","",SUMIFS('الحركات الشهرية'!$J$6:$J$1005,'الحركات الشهرية'!$B$6:$B$1005,$B32,'الحركات الشهرية'!$A$6:$A$1005,$C$3))</f>
        <v/>
      </c>
      <c r="V32" s="86" t="str">
        <f aca="false">IF($B32="","",SUM(S32:U32))</f>
        <v/>
      </c>
      <c r="W32" s="107" t="str">
        <f aca="false">IF($B32="","",R32-V32)</f>
        <v/>
      </c>
      <c r="X32" s="86" t="str">
        <f aca="false">IF($B32="","",الموظفون!$Q32*IF(E32="سعودي",cfg_G_SR,cfg_G_NR)*F32/cfg_DAYS_M)</f>
        <v/>
      </c>
      <c r="Y32" s="86" t="str">
        <f aca="false">IF($B32="","",الموظفون!$O32*(cfg_EOS_R1*(MIN(AC32,cfg_EOS_TH)-MIN(AD32,cfg_EOS_TH))+cfg_EOS_R2*(MAX(AC32-cfg_EOS_TH,0)-MAX(AD32-cfg_EOS_TH,0))))</f>
        <v/>
      </c>
      <c r="Z32" s="86" t="str">
        <f aca="false">IF($B32="","",IF(الموظفون!$R32&lt;&gt;"",الموظفون!$R32,IF(AC32&gt;=cfg_LV_TH,cfg_LV_D2,cfg_LV_D1))/cfg_DAYS_Y*AE32*الموظفون!$P32/cfg_DAYS_M)</f>
        <v/>
      </c>
      <c r="AA32" s="86" t="str">
        <f aca="false">IF($B32="","",IF(AND(الموظفون!$S32="نعم",N(الموظفون!$U32)&gt;0),الموظفون!$T32/الموظفون!$U32*12/cfg_DAYS_Y*AE32,0))</f>
        <v/>
      </c>
      <c r="AB32" s="108" t="str">
        <f aca="false">IF($B32="","",R32+SUM(X32:AA32))</f>
        <v/>
      </c>
      <c r="AC32" s="109" t="str">
        <f aca="false">IF($B32="","",MAX(0,IF(OR(الموظفون!$X32="",الموظفون!$X32&gt;$G$3),$G$3,الموظفون!$X32)-الموظفون!$H32+1)/cfg_DAYS_Y)</f>
        <v/>
      </c>
      <c r="AD32" s="109" t="str">
        <f aca="false">IF($B32="","",MAX(0,IF(OR(الموظفون!$X32="",الموظفون!$X32&gt;($E$3-1)),($E$3-1),الموظفون!$X32)-الموظفون!$H32+1)/cfg_DAYS_Y)</f>
        <v/>
      </c>
      <c r="AE32" s="51" t="str">
        <f aca="false">IF($B32="","",MAX(0,IF(OR(الموظفون!$X32="",الموظفون!$X32&gt;$G$3),$G$3,الموظفون!$X32)-MAX($E$3,الموظفون!$H32)+1))</f>
        <v/>
      </c>
    </row>
    <row r="33" customFormat="false" ht="15" hidden="false" customHeight="false" outlineLevel="0" collapsed="false">
      <c r="A33" s="89" t="str">
        <f aca="false">IF($B33="","",الموظفون!$A33)</f>
        <v/>
      </c>
      <c r="B33" s="91" t="str">
        <f aca="false">IF(الموظفون!$B33="","",الموظفون!$B33)</f>
        <v/>
      </c>
      <c r="C33" s="91" t="str">
        <f aca="false">IF($B33="","",الموظفون!$C33)</f>
        <v/>
      </c>
      <c r="D33" s="91" t="str">
        <f aca="false">IF($B33="","",الموظفون!$F33)</f>
        <v/>
      </c>
      <c r="E33" s="91" t="str">
        <f aca="false">IF($B33="","",الموظفون!$E33)</f>
        <v/>
      </c>
      <c r="F33" s="110" t="str">
        <f aca="false">IF($B33="","",IF(AE33&gt;=DAY($G$3),cfg_DAYS_M,MIN(AE33,cfg_DAYS_M)))</f>
        <v/>
      </c>
      <c r="G33" s="110" t="str">
        <f aca="false">IF($B33="","",SUMIFS('الحركات الشهرية'!$D$6:$D$1005,'الحركات الشهرية'!$B$6:$B$1005,$B33,'الحركات الشهرية'!$A$6:$A$1005,$C$3))</f>
        <v/>
      </c>
      <c r="H33" s="110" t="str">
        <f aca="false">IF($B33="","",SUMIFS('الحركات الشهرية'!$E$6:$E$1005,'الحركات الشهرية'!$B$6:$B$1005,$B33,'الحركات الشهرية'!$A$6:$A$1005,$C$3))</f>
        <v/>
      </c>
      <c r="I33" s="110" t="str">
        <f aca="false">IF($B33="","",MAX(0,F33-G33-H33))</f>
        <v/>
      </c>
      <c r="J33" s="90" t="str">
        <f aca="false">IF($B33="","",الموظفون!$J33*$I33/cfg_DAYS_M)</f>
        <v/>
      </c>
      <c r="K33" s="90" t="str">
        <f aca="false">IF($B33="","",الموظفون!$K33*$I33/cfg_DAYS_M)</f>
        <v/>
      </c>
      <c r="L33" s="90" t="str">
        <f aca="false">IF($B33="","",الموظفون!$L33*$I33/cfg_DAYS_M)</f>
        <v/>
      </c>
      <c r="M33" s="90" t="str">
        <f aca="false">IF($B33="","",الموظفون!$M33*$I33/cfg_DAYS_M)</f>
        <v/>
      </c>
      <c r="N33" s="110" t="str">
        <f aca="false">IF($B33="","",SUMIFS('الحركات الشهرية'!$F$6:$F$1005,'الحركات الشهرية'!$B$6:$B$1005,$B33,'الحركات الشهرية'!$A$6:$A$1005,$C$3))</f>
        <v/>
      </c>
      <c r="O33" s="90" t="str">
        <f aca="false">IF($B33="","",N33*(الموظفون!$N33+الموظفون!$J33*cfg_OT_P)/cfg_DAYS_M/cfg_HRS)</f>
        <v/>
      </c>
      <c r="P33" s="90" t="str">
        <f aca="false">IF($B33="","",SUMIFS('الحركات الشهرية'!$G$6:$G$1005,'الحركات الشهرية'!$B$6:$B$1005,$B33,'الحركات الشهرية'!$A$6:$A$1005,$C$3))</f>
        <v/>
      </c>
      <c r="Q33" s="90" t="str">
        <f aca="false">IF($B33="","",SUMIFS('الحركات الشهرية'!$H$6:$H$1005,'الحركات الشهرية'!$B$6:$B$1005,$B33,'الحركات الشهرية'!$A$6:$A$1005,$C$3))</f>
        <v/>
      </c>
      <c r="R33" s="111" t="str">
        <f aca="false">IF($B33="","",SUM(J33:M33)+SUM(O33:Q33))</f>
        <v/>
      </c>
      <c r="S33" s="90" t="str">
        <f aca="false">IF($B33="","",الموظفون!$Q33*IF(E33="سعودي",cfg_G_SE,cfg_G_NE)*F33/cfg_DAYS_M)</f>
        <v/>
      </c>
      <c r="T33" s="90" t="str">
        <f aca="false">IF($B33="","",SUMIFS('الحركات الشهرية'!$I$6:$I$1005,'الحركات الشهرية'!$B$6:$B$1005,$B33,'الحركات الشهرية'!$A$6:$A$1005,$C$3))</f>
        <v/>
      </c>
      <c r="U33" s="90" t="str">
        <f aca="false">IF($B33="","",SUMIFS('الحركات الشهرية'!$J$6:$J$1005,'الحركات الشهرية'!$B$6:$B$1005,$B33,'الحركات الشهرية'!$A$6:$A$1005,$C$3))</f>
        <v/>
      </c>
      <c r="V33" s="90" t="str">
        <f aca="false">IF($B33="","",SUM(S33:U33))</f>
        <v/>
      </c>
      <c r="W33" s="112" t="str">
        <f aca="false">IF($B33="","",R33-V33)</f>
        <v/>
      </c>
      <c r="X33" s="90" t="str">
        <f aca="false">IF($B33="","",الموظفون!$Q33*IF(E33="سعودي",cfg_G_SR,cfg_G_NR)*F33/cfg_DAYS_M)</f>
        <v/>
      </c>
      <c r="Y33" s="90" t="str">
        <f aca="false">IF($B33="","",الموظفون!$O33*(cfg_EOS_R1*(MIN(AC33,cfg_EOS_TH)-MIN(AD33,cfg_EOS_TH))+cfg_EOS_R2*(MAX(AC33-cfg_EOS_TH,0)-MAX(AD33-cfg_EOS_TH,0))))</f>
        <v/>
      </c>
      <c r="Z33" s="90" t="str">
        <f aca="false">IF($B33="","",IF(الموظفون!$R33&lt;&gt;"",الموظفون!$R33,IF(AC33&gt;=cfg_LV_TH,cfg_LV_D2,cfg_LV_D1))/cfg_DAYS_Y*AE33*الموظفون!$P33/cfg_DAYS_M)</f>
        <v/>
      </c>
      <c r="AA33" s="90" t="str">
        <f aca="false">IF($B33="","",IF(AND(الموظفون!$S33="نعم",N(الموظفون!$U33)&gt;0),الموظفون!$T33/الموظفون!$U33*12/cfg_DAYS_Y*AE33,0))</f>
        <v/>
      </c>
      <c r="AB33" s="113" t="str">
        <f aca="false">IF($B33="","",R33+SUM(X33:AA33))</f>
        <v/>
      </c>
      <c r="AC33" s="114" t="str">
        <f aca="false">IF($B33="","",MAX(0,IF(OR(الموظفون!$X33="",الموظفون!$X33&gt;$G$3),$G$3,الموظفون!$X33)-الموظفون!$H33+1)/cfg_DAYS_Y)</f>
        <v/>
      </c>
      <c r="AD33" s="114" t="str">
        <f aca="false">IF($B33="","",MAX(0,IF(OR(الموظفون!$X33="",الموظفون!$X33&gt;($E$3-1)),($E$3-1),الموظفون!$X33)-الموظفون!$H33+1)/cfg_DAYS_Y)</f>
        <v/>
      </c>
      <c r="AE33" s="115" t="str">
        <f aca="false">IF($B33="","",MAX(0,IF(OR(الموظفون!$X33="",الموظفون!$X33&gt;$G$3),$G$3,الموظفون!$X33)-MAX($E$3,الموظفون!$H33)+1))</f>
        <v/>
      </c>
    </row>
    <row r="34" customFormat="false" ht="15" hidden="false" customHeight="false" outlineLevel="0" collapsed="false">
      <c r="A34" s="83" t="str">
        <f aca="false">IF($B34="","",الموظفون!$A34)</f>
        <v/>
      </c>
      <c r="B34" s="74" t="str">
        <f aca="false">IF(الموظفون!$B34="","",الموظفون!$B34)</f>
        <v/>
      </c>
      <c r="C34" s="74" t="str">
        <f aca="false">IF($B34="","",الموظفون!$C34)</f>
        <v/>
      </c>
      <c r="D34" s="74" t="str">
        <f aca="false">IF($B34="","",الموظفون!$F34)</f>
        <v/>
      </c>
      <c r="E34" s="74" t="str">
        <f aca="false">IF($B34="","",الموظفون!$E34)</f>
        <v/>
      </c>
      <c r="F34" s="105" t="str">
        <f aca="false">IF($B34="","",IF(AE34&gt;=DAY($G$3),cfg_DAYS_M,MIN(AE34,cfg_DAYS_M)))</f>
        <v/>
      </c>
      <c r="G34" s="105" t="str">
        <f aca="false">IF($B34="","",SUMIFS('الحركات الشهرية'!$D$6:$D$1005,'الحركات الشهرية'!$B$6:$B$1005,$B34,'الحركات الشهرية'!$A$6:$A$1005,$C$3))</f>
        <v/>
      </c>
      <c r="H34" s="105" t="str">
        <f aca="false">IF($B34="","",SUMIFS('الحركات الشهرية'!$E$6:$E$1005,'الحركات الشهرية'!$B$6:$B$1005,$B34,'الحركات الشهرية'!$A$6:$A$1005,$C$3))</f>
        <v/>
      </c>
      <c r="I34" s="105" t="str">
        <f aca="false">IF($B34="","",MAX(0,F34-G34-H34))</f>
        <v/>
      </c>
      <c r="J34" s="86" t="str">
        <f aca="false">IF($B34="","",الموظفون!$J34*$I34/cfg_DAYS_M)</f>
        <v/>
      </c>
      <c r="K34" s="86" t="str">
        <f aca="false">IF($B34="","",الموظفون!$K34*$I34/cfg_DAYS_M)</f>
        <v/>
      </c>
      <c r="L34" s="86" t="str">
        <f aca="false">IF($B34="","",الموظفون!$L34*$I34/cfg_DAYS_M)</f>
        <v/>
      </c>
      <c r="M34" s="86" t="str">
        <f aca="false">IF($B34="","",الموظفون!$M34*$I34/cfg_DAYS_M)</f>
        <v/>
      </c>
      <c r="N34" s="105" t="str">
        <f aca="false">IF($B34="","",SUMIFS('الحركات الشهرية'!$F$6:$F$1005,'الحركات الشهرية'!$B$6:$B$1005,$B34,'الحركات الشهرية'!$A$6:$A$1005,$C$3))</f>
        <v/>
      </c>
      <c r="O34" s="86" t="str">
        <f aca="false">IF($B34="","",N34*(الموظفون!$N34+الموظفون!$J34*cfg_OT_P)/cfg_DAYS_M/cfg_HRS)</f>
        <v/>
      </c>
      <c r="P34" s="86" t="str">
        <f aca="false">IF($B34="","",SUMIFS('الحركات الشهرية'!$G$6:$G$1005,'الحركات الشهرية'!$B$6:$B$1005,$B34,'الحركات الشهرية'!$A$6:$A$1005,$C$3))</f>
        <v/>
      </c>
      <c r="Q34" s="86" t="str">
        <f aca="false">IF($B34="","",SUMIFS('الحركات الشهرية'!$H$6:$H$1005,'الحركات الشهرية'!$B$6:$B$1005,$B34,'الحركات الشهرية'!$A$6:$A$1005,$C$3))</f>
        <v/>
      </c>
      <c r="R34" s="106" t="str">
        <f aca="false">IF($B34="","",SUM(J34:M34)+SUM(O34:Q34))</f>
        <v/>
      </c>
      <c r="S34" s="86" t="str">
        <f aca="false">IF($B34="","",الموظفون!$Q34*IF(E34="سعودي",cfg_G_SE,cfg_G_NE)*F34/cfg_DAYS_M)</f>
        <v/>
      </c>
      <c r="T34" s="86" t="str">
        <f aca="false">IF($B34="","",SUMIFS('الحركات الشهرية'!$I$6:$I$1005,'الحركات الشهرية'!$B$6:$B$1005,$B34,'الحركات الشهرية'!$A$6:$A$1005,$C$3))</f>
        <v/>
      </c>
      <c r="U34" s="86" t="str">
        <f aca="false">IF($B34="","",SUMIFS('الحركات الشهرية'!$J$6:$J$1005,'الحركات الشهرية'!$B$6:$B$1005,$B34,'الحركات الشهرية'!$A$6:$A$1005,$C$3))</f>
        <v/>
      </c>
      <c r="V34" s="86" t="str">
        <f aca="false">IF($B34="","",SUM(S34:U34))</f>
        <v/>
      </c>
      <c r="W34" s="107" t="str">
        <f aca="false">IF($B34="","",R34-V34)</f>
        <v/>
      </c>
      <c r="X34" s="86" t="str">
        <f aca="false">IF($B34="","",الموظفون!$Q34*IF(E34="سعودي",cfg_G_SR,cfg_G_NR)*F34/cfg_DAYS_M)</f>
        <v/>
      </c>
      <c r="Y34" s="86" t="str">
        <f aca="false">IF($B34="","",الموظفون!$O34*(cfg_EOS_R1*(MIN(AC34,cfg_EOS_TH)-MIN(AD34,cfg_EOS_TH))+cfg_EOS_R2*(MAX(AC34-cfg_EOS_TH,0)-MAX(AD34-cfg_EOS_TH,0))))</f>
        <v/>
      </c>
      <c r="Z34" s="86" t="str">
        <f aca="false">IF($B34="","",IF(الموظفون!$R34&lt;&gt;"",الموظفون!$R34,IF(AC34&gt;=cfg_LV_TH,cfg_LV_D2,cfg_LV_D1))/cfg_DAYS_Y*AE34*الموظفون!$P34/cfg_DAYS_M)</f>
        <v/>
      </c>
      <c r="AA34" s="86" t="str">
        <f aca="false">IF($B34="","",IF(AND(الموظفون!$S34="نعم",N(الموظفون!$U34)&gt;0),الموظفون!$T34/الموظفون!$U34*12/cfg_DAYS_Y*AE34,0))</f>
        <v/>
      </c>
      <c r="AB34" s="108" t="str">
        <f aca="false">IF($B34="","",R34+SUM(X34:AA34))</f>
        <v/>
      </c>
      <c r="AC34" s="109" t="str">
        <f aca="false">IF($B34="","",MAX(0,IF(OR(الموظفون!$X34="",الموظفون!$X34&gt;$G$3),$G$3,الموظفون!$X34)-الموظفون!$H34+1)/cfg_DAYS_Y)</f>
        <v/>
      </c>
      <c r="AD34" s="109" t="str">
        <f aca="false">IF($B34="","",MAX(0,IF(OR(الموظفون!$X34="",الموظفون!$X34&gt;($E$3-1)),($E$3-1),الموظفون!$X34)-الموظفون!$H34+1)/cfg_DAYS_Y)</f>
        <v/>
      </c>
      <c r="AE34" s="51" t="str">
        <f aca="false">IF($B34="","",MAX(0,IF(OR(الموظفون!$X34="",الموظفون!$X34&gt;$G$3),$G$3,الموظفون!$X34)-MAX($E$3,الموظفون!$H34)+1))</f>
        <v/>
      </c>
    </row>
    <row r="35" customFormat="false" ht="15" hidden="false" customHeight="false" outlineLevel="0" collapsed="false">
      <c r="A35" s="89" t="str">
        <f aca="false">IF($B35="","",الموظفون!$A35)</f>
        <v/>
      </c>
      <c r="B35" s="91" t="str">
        <f aca="false">IF(الموظفون!$B35="","",الموظفون!$B35)</f>
        <v/>
      </c>
      <c r="C35" s="91" t="str">
        <f aca="false">IF($B35="","",الموظفون!$C35)</f>
        <v/>
      </c>
      <c r="D35" s="91" t="str">
        <f aca="false">IF($B35="","",الموظفون!$F35)</f>
        <v/>
      </c>
      <c r="E35" s="91" t="str">
        <f aca="false">IF($B35="","",الموظفون!$E35)</f>
        <v/>
      </c>
      <c r="F35" s="110" t="str">
        <f aca="false">IF($B35="","",IF(AE35&gt;=DAY($G$3),cfg_DAYS_M,MIN(AE35,cfg_DAYS_M)))</f>
        <v/>
      </c>
      <c r="G35" s="110" t="str">
        <f aca="false">IF($B35="","",SUMIFS('الحركات الشهرية'!$D$6:$D$1005,'الحركات الشهرية'!$B$6:$B$1005,$B35,'الحركات الشهرية'!$A$6:$A$1005,$C$3))</f>
        <v/>
      </c>
      <c r="H35" s="110" t="str">
        <f aca="false">IF($B35="","",SUMIFS('الحركات الشهرية'!$E$6:$E$1005,'الحركات الشهرية'!$B$6:$B$1005,$B35,'الحركات الشهرية'!$A$6:$A$1005,$C$3))</f>
        <v/>
      </c>
      <c r="I35" s="110" t="str">
        <f aca="false">IF($B35="","",MAX(0,F35-G35-H35))</f>
        <v/>
      </c>
      <c r="J35" s="90" t="str">
        <f aca="false">IF($B35="","",الموظفون!$J35*$I35/cfg_DAYS_M)</f>
        <v/>
      </c>
      <c r="K35" s="90" t="str">
        <f aca="false">IF($B35="","",الموظفون!$K35*$I35/cfg_DAYS_M)</f>
        <v/>
      </c>
      <c r="L35" s="90" t="str">
        <f aca="false">IF($B35="","",الموظفون!$L35*$I35/cfg_DAYS_M)</f>
        <v/>
      </c>
      <c r="M35" s="90" t="str">
        <f aca="false">IF($B35="","",الموظفون!$M35*$I35/cfg_DAYS_M)</f>
        <v/>
      </c>
      <c r="N35" s="110" t="str">
        <f aca="false">IF($B35="","",SUMIFS('الحركات الشهرية'!$F$6:$F$1005,'الحركات الشهرية'!$B$6:$B$1005,$B35,'الحركات الشهرية'!$A$6:$A$1005,$C$3))</f>
        <v/>
      </c>
      <c r="O35" s="90" t="str">
        <f aca="false">IF($B35="","",N35*(الموظفون!$N35+الموظفون!$J35*cfg_OT_P)/cfg_DAYS_M/cfg_HRS)</f>
        <v/>
      </c>
      <c r="P35" s="90" t="str">
        <f aca="false">IF($B35="","",SUMIFS('الحركات الشهرية'!$G$6:$G$1005,'الحركات الشهرية'!$B$6:$B$1005,$B35,'الحركات الشهرية'!$A$6:$A$1005,$C$3))</f>
        <v/>
      </c>
      <c r="Q35" s="90" t="str">
        <f aca="false">IF($B35="","",SUMIFS('الحركات الشهرية'!$H$6:$H$1005,'الحركات الشهرية'!$B$6:$B$1005,$B35,'الحركات الشهرية'!$A$6:$A$1005,$C$3))</f>
        <v/>
      </c>
      <c r="R35" s="111" t="str">
        <f aca="false">IF($B35="","",SUM(J35:M35)+SUM(O35:Q35))</f>
        <v/>
      </c>
      <c r="S35" s="90" t="str">
        <f aca="false">IF($B35="","",الموظفون!$Q35*IF(E35="سعودي",cfg_G_SE,cfg_G_NE)*F35/cfg_DAYS_M)</f>
        <v/>
      </c>
      <c r="T35" s="90" t="str">
        <f aca="false">IF($B35="","",SUMIFS('الحركات الشهرية'!$I$6:$I$1005,'الحركات الشهرية'!$B$6:$B$1005,$B35,'الحركات الشهرية'!$A$6:$A$1005,$C$3))</f>
        <v/>
      </c>
      <c r="U35" s="90" t="str">
        <f aca="false">IF($B35="","",SUMIFS('الحركات الشهرية'!$J$6:$J$1005,'الحركات الشهرية'!$B$6:$B$1005,$B35,'الحركات الشهرية'!$A$6:$A$1005,$C$3))</f>
        <v/>
      </c>
      <c r="V35" s="90" t="str">
        <f aca="false">IF($B35="","",SUM(S35:U35))</f>
        <v/>
      </c>
      <c r="W35" s="112" t="str">
        <f aca="false">IF($B35="","",R35-V35)</f>
        <v/>
      </c>
      <c r="X35" s="90" t="str">
        <f aca="false">IF($B35="","",الموظفون!$Q35*IF(E35="سعودي",cfg_G_SR,cfg_G_NR)*F35/cfg_DAYS_M)</f>
        <v/>
      </c>
      <c r="Y35" s="90" t="str">
        <f aca="false">IF($B35="","",الموظفون!$O35*(cfg_EOS_R1*(MIN(AC35,cfg_EOS_TH)-MIN(AD35,cfg_EOS_TH))+cfg_EOS_R2*(MAX(AC35-cfg_EOS_TH,0)-MAX(AD35-cfg_EOS_TH,0))))</f>
        <v/>
      </c>
      <c r="Z35" s="90" t="str">
        <f aca="false">IF($B35="","",IF(الموظفون!$R35&lt;&gt;"",الموظفون!$R35,IF(AC35&gt;=cfg_LV_TH,cfg_LV_D2,cfg_LV_D1))/cfg_DAYS_Y*AE35*الموظفون!$P35/cfg_DAYS_M)</f>
        <v/>
      </c>
      <c r="AA35" s="90" t="str">
        <f aca="false">IF($B35="","",IF(AND(الموظفون!$S35="نعم",N(الموظفون!$U35)&gt;0),الموظفون!$T35/الموظفون!$U35*12/cfg_DAYS_Y*AE35,0))</f>
        <v/>
      </c>
      <c r="AB35" s="113" t="str">
        <f aca="false">IF($B35="","",R35+SUM(X35:AA35))</f>
        <v/>
      </c>
      <c r="AC35" s="114" t="str">
        <f aca="false">IF($B35="","",MAX(0,IF(OR(الموظفون!$X35="",الموظفون!$X35&gt;$G$3),$G$3,الموظفون!$X35)-الموظفون!$H35+1)/cfg_DAYS_Y)</f>
        <v/>
      </c>
      <c r="AD35" s="114" t="str">
        <f aca="false">IF($B35="","",MAX(0,IF(OR(الموظفون!$X35="",الموظفون!$X35&gt;($E$3-1)),($E$3-1),الموظفون!$X35)-الموظفون!$H35+1)/cfg_DAYS_Y)</f>
        <v/>
      </c>
      <c r="AE35" s="115" t="str">
        <f aca="false">IF($B35="","",MAX(0,IF(OR(الموظفون!$X35="",الموظفون!$X35&gt;$G$3),$G$3,الموظفون!$X35)-MAX($E$3,الموظفون!$H35)+1))</f>
        <v/>
      </c>
    </row>
    <row r="36" customFormat="false" ht="15" hidden="false" customHeight="false" outlineLevel="0" collapsed="false">
      <c r="A36" s="83" t="str">
        <f aca="false">IF($B36="","",الموظفون!$A36)</f>
        <v/>
      </c>
      <c r="B36" s="74" t="str">
        <f aca="false">IF(الموظفون!$B36="","",الموظفون!$B36)</f>
        <v/>
      </c>
      <c r="C36" s="74" t="str">
        <f aca="false">IF($B36="","",الموظفون!$C36)</f>
        <v/>
      </c>
      <c r="D36" s="74" t="str">
        <f aca="false">IF($B36="","",الموظفون!$F36)</f>
        <v/>
      </c>
      <c r="E36" s="74" t="str">
        <f aca="false">IF($B36="","",الموظفون!$E36)</f>
        <v/>
      </c>
      <c r="F36" s="105" t="str">
        <f aca="false">IF($B36="","",IF(AE36&gt;=DAY($G$3),cfg_DAYS_M,MIN(AE36,cfg_DAYS_M)))</f>
        <v/>
      </c>
      <c r="G36" s="105" t="str">
        <f aca="false">IF($B36="","",SUMIFS('الحركات الشهرية'!$D$6:$D$1005,'الحركات الشهرية'!$B$6:$B$1005,$B36,'الحركات الشهرية'!$A$6:$A$1005,$C$3))</f>
        <v/>
      </c>
      <c r="H36" s="105" t="str">
        <f aca="false">IF($B36="","",SUMIFS('الحركات الشهرية'!$E$6:$E$1005,'الحركات الشهرية'!$B$6:$B$1005,$B36,'الحركات الشهرية'!$A$6:$A$1005,$C$3))</f>
        <v/>
      </c>
      <c r="I36" s="105" t="str">
        <f aca="false">IF($B36="","",MAX(0,F36-G36-H36))</f>
        <v/>
      </c>
      <c r="J36" s="86" t="str">
        <f aca="false">IF($B36="","",الموظفون!$J36*$I36/cfg_DAYS_M)</f>
        <v/>
      </c>
      <c r="K36" s="86" t="str">
        <f aca="false">IF($B36="","",الموظفون!$K36*$I36/cfg_DAYS_M)</f>
        <v/>
      </c>
      <c r="L36" s="86" t="str">
        <f aca="false">IF($B36="","",الموظفون!$L36*$I36/cfg_DAYS_M)</f>
        <v/>
      </c>
      <c r="M36" s="86" t="str">
        <f aca="false">IF($B36="","",الموظفون!$M36*$I36/cfg_DAYS_M)</f>
        <v/>
      </c>
      <c r="N36" s="105" t="str">
        <f aca="false">IF($B36="","",SUMIFS('الحركات الشهرية'!$F$6:$F$1005,'الحركات الشهرية'!$B$6:$B$1005,$B36,'الحركات الشهرية'!$A$6:$A$1005,$C$3))</f>
        <v/>
      </c>
      <c r="O36" s="86" t="str">
        <f aca="false">IF($B36="","",N36*(الموظفون!$N36+الموظفون!$J36*cfg_OT_P)/cfg_DAYS_M/cfg_HRS)</f>
        <v/>
      </c>
      <c r="P36" s="86" t="str">
        <f aca="false">IF($B36="","",SUMIFS('الحركات الشهرية'!$G$6:$G$1005,'الحركات الشهرية'!$B$6:$B$1005,$B36,'الحركات الشهرية'!$A$6:$A$1005,$C$3))</f>
        <v/>
      </c>
      <c r="Q36" s="86" t="str">
        <f aca="false">IF($B36="","",SUMIFS('الحركات الشهرية'!$H$6:$H$1005,'الحركات الشهرية'!$B$6:$B$1005,$B36,'الحركات الشهرية'!$A$6:$A$1005,$C$3))</f>
        <v/>
      </c>
      <c r="R36" s="106" t="str">
        <f aca="false">IF($B36="","",SUM(J36:M36)+SUM(O36:Q36))</f>
        <v/>
      </c>
      <c r="S36" s="86" t="str">
        <f aca="false">IF($B36="","",الموظفون!$Q36*IF(E36="سعودي",cfg_G_SE,cfg_G_NE)*F36/cfg_DAYS_M)</f>
        <v/>
      </c>
      <c r="T36" s="86" t="str">
        <f aca="false">IF($B36="","",SUMIFS('الحركات الشهرية'!$I$6:$I$1005,'الحركات الشهرية'!$B$6:$B$1005,$B36,'الحركات الشهرية'!$A$6:$A$1005,$C$3))</f>
        <v/>
      </c>
      <c r="U36" s="86" t="str">
        <f aca="false">IF($B36="","",SUMIFS('الحركات الشهرية'!$J$6:$J$1005,'الحركات الشهرية'!$B$6:$B$1005,$B36,'الحركات الشهرية'!$A$6:$A$1005,$C$3))</f>
        <v/>
      </c>
      <c r="V36" s="86" t="str">
        <f aca="false">IF($B36="","",SUM(S36:U36))</f>
        <v/>
      </c>
      <c r="W36" s="107" t="str">
        <f aca="false">IF($B36="","",R36-V36)</f>
        <v/>
      </c>
      <c r="X36" s="86" t="str">
        <f aca="false">IF($B36="","",الموظفون!$Q36*IF(E36="سعودي",cfg_G_SR,cfg_G_NR)*F36/cfg_DAYS_M)</f>
        <v/>
      </c>
      <c r="Y36" s="86" t="str">
        <f aca="false">IF($B36="","",الموظفون!$O36*(cfg_EOS_R1*(MIN(AC36,cfg_EOS_TH)-MIN(AD36,cfg_EOS_TH))+cfg_EOS_R2*(MAX(AC36-cfg_EOS_TH,0)-MAX(AD36-cfg_EOS_TH,0))))</f>
        <v/>
      </c>
      <c r="Z36" s="86" t="str">
        <f aca="false">IF($B36="","",IF(الموظفون!$R36&lt;&gt;"",الموظفون!$R36,IF(AC36&gt;=cfg_LV_TH,cfg_LV_D2,cfg_LV_D1))/cfg_DAYS_Y*AE36*الموظفون!$P36/cfg_DAYS_M)</f>
        <v/>
      </c>
      <c r="AA36" s="86" t="str">
        <f aca="false">IF($B36="","",IF(AND(الموظفون!$S36="نعم",N(الموظفون!$U36)&gt;0),الموظفون!$T36/الموظفون!$U36*12/cfg_DAYS_Y*AE36,0))</f>
        <v/>
      </c>
      <c r="AB36" s="108" t="str">
        <f aca="false">IF($B36="","",R36+SUM(X36:AA36))</f>
        <v/>
      </c>
      <c r="AC36" s="109" t="str">
        <f aca="false">IF($B36="","",MAX(0,IF(OR(الموظفون!$X36="",الموظفون!$X36&gt;$G$3),$G$3,الموظفون!$X36)-الموظفون!$H36+1)/cfg_DAYS_Y)</f>
        <v/>
      </c>
      <c r="AD36" s="109" t="str">
        <f aca="false">IF($B36="","",MAX(0,IF(OR(الموظفون!$X36="",الموظفون!$X36&gt;($E$3-1)),($E$3-1),الموظفون!$X36)-الموظفون!$H36+1)/cfg_DAYS_Y)</f>
        <v/>
      </c>
      <c r="AE36" s="51" t="str">
        <f aca="false">IF($B36="","",MAX(0,IF(OR(الموظفون!$X36="",الموظفون!$X36&gt;$G$3),$G$3,الموظفون!$X36)-MAX($E$3,الموظفون!$H36)+1))</f>
        <v/>
      </c>
    </row>
    <row r="37" customFormat="false" ht="15" hidden="false" customHeight="false" outlineLevel="0" collapsed="false">
      <c r="A37" s="89" t="str">
        <f aca="false">IF($B37="","",الموظفون!$A37)</f>
        <v/>
      </c>
      <c r="B37" s="91" t="str">
        <f aca="false">IF(الموظفون!$B37="","",الموظفون!$B37)</f>
        <v/>
      </c>
      <c r="C37" s="91" t="str">
        <f aca="false">IF($B37="","",الموظفون!$C37)</f>
        <v/>
      </c>
      <c r="D37" s="91" t="str">
        <f aca="false">IF($B37="","",الموظفون!$F37)</f>
        <v/>
      </c>
      <c r="E37" s="91" t="str">
        <f aca="false">IF($B37="","",الموظفون!$E37)</f>
        <v/>
      </c>
      <c r="F37" s="110" t="str">
        <f aca="false">IF($B37="","",IF(AE37&gt;=DAY($G$3),cfg_DAYS_M,MIN(AE37,cfg_DAYS_M)))</f>
        <v/>
      </c>
      <c r="G37" s="110" t="str">
        <f aca="false">IF($B37="","",SUMIFS('الحركات الشهرية'!$D$6:$D$1005,'الحركات الشهرية'!$B$6:$B$1005,$B37,'الحركات الشهرية'!$A$6:$A$1005,$C$3))</f>
        <v/>
      </c>
      <c r="H37" s="110" t="str">
        <f aca="false">IF($B37="","",SUMIFS('الحركات الشهرية'!$E$6:$E$1005,'الحركات الشهرية'!$B$6:$B$1005,$B37,'الحركات الشهرية'!$A$6:$A$1005,$C$3))</f>
        <v/>
      </c>
      <c r="I37" s="110" t="str">
        <f aca="false">IF($B37="","",MAX(0,F37-G37-H37))</f>
        <v/>
      </c>
      <c r="J37" s="90" t="str">
        <f aca="false">IF($B37="","",الموظفون!$J37*$I37/cfg_DAYS_M)</f>
        <v/>
      </c>
      <c r="K37" s="90" t="str">
        <f aca="false">IF($B37="","",الموظفون!$K37*$I37/cfg_DAYS_M)</f>
        <v/>
      </c>
      <c r="L37" s="90" t="str">
        <f aca="false">IF($B37="","",الموظفون!$L37*$I37/cfg_DAYS_M)</f>
        <v/>
      </c>
      <c r="M37" s="90" t="str">
        <f aca="false">IF($B37="","",الموظفون!$M37*$I37/cfg_DAYS_M)</f>
        <v/>
      </c>
      <c r="N37" s="110" t="str">
        <f aca="false">IF($B37="","",SUMIFS('الحركات الشهرية'!$F$6:$F$1005,'الحركات الشهرية'!$B$6:$B$1005,$B37,'الحركات الشهرية'!$A$6:$A$1005,$C$3))</f>
        <v/>
      </c>
      <c r="O37" s="90" t="str">
        <f aca="false">IF($B37="","",N37*(الموظفون!$N37+الموظفون!$J37*cfg_OT_P)/cfg_DAYS_M/cfg_HRS)</f>
        <v/>
      </c>
      <c r="P37" s="90" t="str">
        <f aca="false">IF($B37="","",SUMIFS('الحركات الشهرية'!$G$6:$G$1005,'الحركات الشهرية'!$B$6:$B$1005,$B37,'الحركات الشهرية'!$A$6:$A$1005,$C$3))</f>
        <v/>
      </c>
      <c r="Q37" s="90" t="str">
        <f aca="false">IF($B37="","",SUMIFS('الحركات الشهرية'!$H$6:$H$1005,'الحركات الشهرية'!$B$6:$B$1005,$B37,'الحركات الشهرية'!$A$6:$A$1005,$C$3))</f>
        <v/>
      </c>
      <c r="R37" s="111" t="str">
        <f aca="false">IF($B37="","",SUM(J37:M37)+SUM(O37:Q37))</f>
        <v/>
      </c>
      <c r="S37" s="90" t="str">
        <f aca="false">IF($B37="","",الموظفون!$Q37*IF(E37="سعودي",cfg_G_SE,cfg_G_NE)*F37/cfg_DAYS_M)</f>
        <v/>
      </c>
      <c r="T37" s="90" t="str">
        <f aca="false">IF($B37="","",SUMIFS('الحركات الشهرية'!$I$6:$I$1005,'الحركات الشهرية'!$B$6:$B$1005,$B37,'الحركات الشهرية'!$A$6:$A$1005,$C$3))</f>
        <v/>
      </c>
      <c r="U37" s="90" t="str">
        <f aca="false">IF($B37="","",SUMIFS('الحركات الشهرية'!$J$6:$J$1005,'الحركات الشهرية'!$B$6:$B$1005,$B37,'الحركات الشهرية'!$A$6:$A$1005,$C$3))</f>
        <v/>
      </c>
      <c r="V37" s="90" t="str">
        <f aca="false">IF($B37="","",SUM(S37:U37))</f>
        <v/>
      </c>
      <c r="W37" s="112" t="str">
        <f aca="false">IF($B37="","",R37-V37)</f>
        <v/>
      </c>
      <c r="X37" s="90" t="str">
        <f aca="false">IF($B37="","",الموظفون!$Q37*IF(E37="سعودي",cfg_G_SR,cfg_G_NR)*F37/cfg_DAYS_M)</f>
        <v/>
      </c>
      <c r="Y37" s="90" t="str">
        <f aca="false">IF($B37="","",الموظفون!$O37*(cfg_EOS_R1*(MIN(AC37,cfg_EOS_TH)-MIN(AD37,cfg_EOS_TH))+cfg_EOS_R2*(MAX(AC37-cfg_EOS_TH,0)-MAX(AD37-cfg_EOS_TH,0))))</f>
        <v/>
      </c>
      <c r="Z37" s="90" t="str">
        <f aca="false">IF($B37="","",IF(الموظفون!$R37&lt;&gt;"",الموظفون!$R37,IF(AC37&gt;=cfg_LV_TH,cfg_LV_D2,cfg_LV_D1))/cfg_DAYS_Y*AE37*الموظفون!$P37/cfg_DAYS_M)</f>
        <v/>
      </c>
      <c r="AA37" s="90" t="str">
        <f aca="false">IF($B37="","",IF(AND(الموظفون!$S37="نعم",N(الموظفون!$U37)&gt;0),الموظفون!$T37/الموظفون!$U37*12/cfg_DAYS_Y*AE37,0))</f>
        <v/>
      </c>
      <c r="AB37" s="113" t="str">
        <f aca="false">IF($B37="","",R37+SUM(X37:AA37))</f>
        <v/>
      </c>
      <c r="AC37" s="114" t="str">
        <f aca="false">IF($B37="","",MAX(0,IF(OR(الموظفون!$X37="",الموظفون!$X37&gt;$G$3),$G$3,الموظفون!$X37)-الموظفون!$H37+1)/cfg_DAYS_Y)</f>
        <v/>
      </c>
      <c r="AD37" s="114" t="str">
        <f aca="false">IF($B37="","",MAX(0,IF(OR(الموظفون!$X37="",الموظفون!$X37&gt;($E$3-1)),($E$3-1),الموظفون!$X37)-الموظفون!$H37+1)/cfg_DAYS_Y)</f>
        <v/>
      </c>
      <c r="AE37" s="115" t="str">
        <f aca="false">IF($B37="","",MAX(0,IF(OR(الموظفون!$X37="",الموظفون!$X37&gt;$G$3),$G$3,الموظفون!$X37)-MAX($E$3,الموظفون!$H37)+1))</f>
        <v/>
      </c>
    </row>
    <row r="38" customFormat="false" ht="15" hidden="false" customHeight="false" outlineLevel="0" collapsed="false">
      <c r="A38" s="83" t="str">
        <f aca="false">IF($B38="","",الموظفون!$A38)</f>
        <v/>
      </c>
      <c r="B38" s="74" t="str">
        <f aca="false">IF(الموظفون!$B38="","",الموظفون!$B38)</f>
        <v/>
      </c>
      <c r="C38" s="74" t="str">
        <f aca="false">IF($B38="","",الموظفون!$C38)</f>
        <v/>
      </c>
      <c r="D38" s="74" t="str">
        <f aca="false">IF($B38="","",الموظفون!$F38)</f>
        <v/>
      </c>
      <c r="E38" s="74" t="str">
        <f aca="false">IF($B38="","",الموظفون!$E38)</f>
        <v/>
      </c>
      <c r="F38" s="105" t="str">
        <f aca="false">IF($B38="","",IF(AE38&gt;=DAY($G$3),cfg_DAYS_M,MIN(AE38,cfg_DAYS_M)))</f>
        <v/>
      </c>
      <c r="G38" s="105" t="str">
        <f aca="false">IF($B38="","",SUMIFS('الحركات الشهرية'!$D$6:$D$1005,'الحركات الشهرية'!$B$6:$B$1005,$B38,'الحركات الشهرية'!$A$6:$A$1005,$C$3))</f>
        <v/>
      </c>
      <c r="H38" s="105" t="str">
        <f aca="false">IF($B38="","",SUMIFS('الحركات الشهرية'!$E$6:$E$1005,'الحركات الشهرية'!$B$6:$B$1005,$B38,'الحركات الشهرية'!$A$6:$A$1005,$C$3))</f>
        <v/>
      </c>
      <c r="I38" s="105" t="str">
        <f aca="false">IF($B38="","",MAX(0,F38-G38-H38))</f>
        <v/>
      </c>
      <c r="J38" s="86" t="str">
        <f aca="false">IF($B38="","",الموظفون!$J38*$I38/cfg_DAYS_M)</f>
        <v/>
      </c>
      <c r="K38" s="86" t="str">
        <f aca="false">IF($B38="","",الموظفون!$K38*$I38/cfg_DAYS_M)</f>
        <v/>
      </c>
      <c r="L38" s="86" t="str">
        <f aca="false">IF($B38="","",الموظفون!$L38*$I38/cfg_DAYS_M)</f>
        <v/>
      </c>
      <c r="M38" s="86" t="str">
        <f aca="false">IF($B38="","",الموظفون!$M38*$I38/cfg_DAYS_M)</f>
        <v/>
      </c>
      <c r="N38" s="105" t="str">
        <f aca="false">IF($B38="","",SUMIFS('الحركات الشهرية'!$F$6:$F$1005,'الحركات الشهرية'!$B$6:$B$1005,$B38,'الحركات الشهرية'!$A$6:$A$1005,$C$3))</f>
        <v/>
      </c>
      <c r="O38" s="86" t="str">
        <f aca="false">IF($B38="","",N38*(الموظفون!$N38+الموظفون!$J38*cfg_OT_P)/cfg_DAYS_M/cfg_HRS)</f>
        <v/>
      </c>
      <c r="P38" s="86" t="str">
        <f aca="false">IF($B38="","",SUMIFS('الحركات الشهرية'!$G$6:$G$1005,'الحركات الشهرية'!$B$6:$B$1005,$B38,'الحركات الشهرية'!$A$6:$A$1005,$C$3))</f>
        <v/>
      </c>
      <c r="Q38" s="86" t="str">
        <f aca="false">IF($B38="","",SUMIFS('الحركات الشهرية'!$H$6:$H$1005,'الحركات الشهرية'!$B$6:$B$1005,$B38,'الحركات الشهرية'!$A$6:$A$1005,$C$3))</f>
        <v/>
      </c>
      <c r="R38" s="106" t="str">
        <f aca="false">IF($B38="","",SUM(J38:M38)+SUM(O38:Q38))</f>
        <v/>
      </c>
      <c r="S38" s="86" t="str">
        <f aca="false">IF($B38="","",الموظفون!$Q38*IF(E38="سعودي",cfg_G_SE,cfg_G_NE)*F38/cfg_DAYS_M)</f>
        <v/>
      </c>
      <c r="T38" s="86" t="str">
        <f aca="false">IF($B38="","",SUMIFS('الحركات الشهرية'!$I$6:$I$1005,'الحركات الشهرية'!$B$6:$B$1005,$B38,'الحركات الشهرية'!$A$6:$A$1005,$C$3))</f>
        <v/>
      </c>
      <c r="U38" s="86" t="str">
        <f aca="false">IF($B38="","",SUMIFS('الحركات الشهرية'!$J$6:$J$1005,'الحركات الشهرية'!$B$6:$B$1005,$B38,'الحركات الشهرية'!$A$6:$A$1005,$C$3))</f>
        <v/>
      </c>
      <c r="V38" s="86" t="str">
        <f aca="false">IF($B38="","",SUM(S38:U38))</f>
        <v/>
      </c>
      <c r="W38" s="107" t="str">
        <f aca="false">IF($B38="","",R38-V38)</f>
        <v/>
      </c>
      <c r="X38" s="86" t="str">
        <f aca="false">IF($B38="","",الموظفون!$Q38*IF(E38="سعودي",cfg_G_SR,cfg_G_NR)*F38/cfg_DAYS_M)</f>
        <v/>
      </c>
      <c r="Y38" s="86" t="str">
        <f aca="false">IF($B38="","",الموظفون!$O38*(cfg_EOS_R1*(MIN(AC38,cfg_EOS_TH)-MIN(AD38,cfg_EOS_TH))+cfg_EOS_R2*(MAX(AC38-cfg_EOS_TH,0)-MAX(AD38-cfg_EOS_TH,0))))</f>
        <v/>
      </c>
      <c r="Z38" s="86" t="str">
        <f aca="false">IF($B38="","",IF(الموظفون!$R38&lt;&gt;"",الموظفون!$R38,IF(AC38&gt;=cfg_LV_TH,cfg_LV_D2,cfg_LV_D1))/cfg_DAYS_Y*AE38*الموظفون!$P38/cfg_DAYS_M)</f>
        <v/>
      </c>
      <c r="AA38" s="86" t="str">
        <f aca="false">IF($B38="","",IF(AND(الموظفون!$S38="نعم",N(الموظفون!$U38)&gt;0),الموظفون!$T38/الموظفون!$U38*12/cfg_DAYS_Y*AE38,0))</f>
        <v/>
      </c>
      <c r="AB38" s="108" t="str">
        <f aca="false">IF($B38="","",R38+SUM(X38:AA38))</f>
        <v/>
      </c>
      <c r="AC38" s="109" t="str">
        <f aca="false">IF($B38="","",MAX(0,IF(OR(الموظفون!$X38="",الموظفون!$X38&gt;$G$3),$G$3,الموظفون!$X38)-الموظفون!$H38+1)/cfg_DAYS_Y)</f>
        <v/>
      </c>
      <c r="AD38" s="109" t="str">
        <f aca="false">IF($B38="","",MAX(0,IF(OR(الموظفون!$X38="",الموظفون!$X38&gt;($E$3-1)),($E$3-1),الموظفون!$X38)-الموظفون!$H38+1)/cfg_DAYS_Y)</f>
        <v/>
      </c>
      <c r="AE38" s="51" t="str">
        <f aca="false">IF($B38="","",MAX(0,IF(OR(الموظفون!$X38="",الموظفون!$X38&gt;$G$3),$G$3,الموظفون!$X38)-MAX($E$3,الموظفون!$H38)+1))</f>
        <v/>
      </c>
    </row>
    <row r="39" customFormat="false" ht="15" hidden="false" customHeight="false" outlineLevel="0" collapsed="false">
      <c r="A39" s="89" t="str">
        <f aca="false">IF($B39="","",الموظفون!$A39)</f>
        <v/>
      </c>
      <c r="B39" s="91" t="str">
        <f aca="false">IF(الموظفون!$B39="","",الموظفون!$B39)</f>
        <v/>
      </c>
      <c r="C39" s="91" t="str">
        <f aca="false">IF($B39="","",الموظفون!$C39)</f>
        <v/>
      </c>
      <c r="D39" s="91" t="str">
        <f aca="false">IF($B39="","",الموظفون!$F39)</f>
        <v/>
      </c>
      <c r="E39" s="91" t="str">
        <f aca="false">IF($B39="","",الموظفون!$E39)</f>
        <v/>
      </c>
      <c r="F39" s="110" t="str">
        <f aca="false">IF($B39="","",IF(AE39&gt;=DAY($G$3),cfg_DAYS_M,MIN(AE39,cfg_DAYS_M)))</f>
        <v/>
      </c>
      <c r="G39" s="110" t="str">
        <f aca="false">IF($B39="","",SUMIFS('الحركات الشهرية'!$D$6:$D$1005,'الحركات الشهرية'!$B$6:$B$1005,$B39,'الحركات الشهرية'!$A$6:$A$1005,$C$3))</f>
        <v/>
      </c>
      <c r="H39" s="110" t="str">
        <f aca="false">IF($B39="","",SUMIFS('الحركات الشهرية'!$E$6:$E$1005,'الحركات الشهرية'!$B$6:$B$1005,$B39,'الحركات الشهرية'!$A$6:$A$1005,$C$3))</f>
        <v/>
      </c>
      <c r="I39" s="110" t="str">
        <f aca="false">IF($B39="","",MAX(0,F39-G39-H39))</f>
        <v/>
      </c>
      <c r="J39" s="90" t="str">
        <f aca="false">IF($B39="","",الموظفون!$J39*$I39/cfg_DAYS_M)</f>
        <v/>
      </c>
      <c r="K39" s="90" t="str">
        <f aca="false">IF($B39="","",الموظفون!$K39*$I39/cfg_DAYS_M)</f>
        <v/>
      </c>
      <c r="L39" s="90" t="str">
        <f aca="false">IF($B39="","",الموظفون!$L39*$I39/cfg_DAYS_M)</f>
        <v/>
      </c>
      <c r="M39" s="90" t="str">
        <f aca="false">IF($B39="","",الموظفون!$M39*$I39/cfg_DAYS_M)</f>
        <v/>
      </c>
      <c r="N39" s="110" t="str">
        <f aca="false">IF($B39="","",SUMIFS('الحركات الشهرية'!$F$6:$F$1005,'الحركات الشهرية'!$B$6:$B$1005,$B39,'الحركات الشهرية'!$A$6:$A$1005,$C$3))</f>
        <v/>
      </c>
      <c r="O39" s="90" t="str">
        <f aca="false">IF($B39="","",N39*(الموظفون!$N39+الموظفون!$J39*cfg_OT_P)/cfg_DAYS_M/cfg_HRS)</f>
        <v/>
      </c>
      <c r="P39" s="90" t="str">
        <f aca="false">IF($B39="","",SUMIFS('الحركات الشهرية'!$G$6:$G$1005,'الحركات الشهرية'!$B$6:$B$1005,$B39,'الحركات الشهرية'!$A$6:$A$1005,$C$3))</f>
        <v/>
      </c>
      <c r="Q39" s="90" t="str">
        <f aca="false">IF($B39="","",SUMIFS('الحركات الشهرية'!$H$6:$H$1005,'الحركات الشهرية'!$B$6:$B$1005,$B39,'الحركات الشهرية'!$A$6:$A$1005,$C$3))</f>
        <v/>
      </c>
      <c r="R39" s="111" t="str">
        <f aca="false">IF($B39="","",SUM(J39:M39)+SUM(O39:Q39))</f>
        <v/>
      </c>
      <c r="S39" s="90" t="str">
        <f aca="false">IF($B39="","",الموظفون!$Q39*IF(E39="سعودي",cfg_G_SE,cfg_G_NE)*F39/cfg_DAYS_M)</f>
        <v/>
      </c>
      <c r="T39" s="90" t="str">
        <f aca="false">IF($B39="","",SUMIFS('الحركات الشهرية'!$I$6:$I$1005,'الحركات الشهرية'!$B$6:$B$1005,$B39,'الحركات الشهرية'!$A$6:$A$1005,$C$3))</f>
        <v/>
      </c>
      <c r="U39" s="90" t="str">
        <f aca="false">IF($B39="","",SUMIFS('الحركات الشهرية'!$J$6:$J$1005,'الحركات الشهرية'!$B$6:$B$1005,$B39,'الحركات الشهرية'!$A$6:$A$1005,$C$3))</f>
        <v/>
      </c>
      <c r="V39" s="90" t="str">
        <f aca="false">IF($B39="","",SUM(S39:U39))</f>
        <v/>
      </c>
      <c r="W39" s="112" t="str">
        <f aca="false">IF($B39="","",R39-V39)</f>
        <v/>
      </c>
      <c r="X39" s="90" t="str">
        <f aca="false">IF($B39="","",الموظفون!$Q39*IF(E39="سعودي",cfg_G_SR,cfg_G_NR)*F39/cfg_DAYS_M)</f>
        <v/>
      </c>
      <c r="Y39" s="90" t="str">
        <f aca="false">IF($B39="","",الموظفون!$O39*(cfg_EOS_R1*(MIN(AC39,cfg_EOS_TH)-MIN(AD39,cfg_EOS_TH))+cfg_EOS_R2*(MAX(AC39-cfg_EOS_TH,0)-MAX(AD39-cfg_EOS_TH,0))))</f>
        <v/>
      </c>
      <c r="Z39" s="90" t="str">
        <f aca="false">IF($B39="","",IF(الموظفون!$R39&lt;&gt;"",الموظفون!$R39,IF(AC39&gt;=cfg_LV_TH,cfg_LV_D2,cfg_LV_D1))/cfg_DAYS_Y*AE39*الموظفون!$P39/cfg_DAYS_M)</f>
        <v/>
      </c>
      <c r="AA39" s="90" t="str">
        <f aca="false">IF($B39="","",IF(AND(الموظفون!$S39="نعم",N(الموظفون!$U39)&gt;0),الموظفون!$T39/الموظفون!$U39*12/cfg_DAYS_Y*AE39,0))</f>
        <v/>
      </c>
      <c r="AB39" s="113" t="str">
        <f aca="false">IF($B39="","",R39+SUM(X39:AA39))</f>
        <v/>
      </c>
      <c r="AC39" s="114" t="str">
        <f aca="false">IF($B39="","",MAX(0,IF(OR(الموظفون!$X39="",الموظفون!$X39&gt;$G$3),$G$3,الموظفون!$X39)-الموظفون!$H39+1)/cfg_DAYS_Y)</f>
        <v/>
      </c>
      <c r="AD39" s="114" t="str">
        <f aca="false">IF($B39="","",MAX(0,IF(OR(الموظفون!$X39="",الموظفون!$X39&gt;($E$3-1)),($E$3-1),الموظفون!$X39)-الموظفون!$H39+1)/cfg_DAYS_Y)</f>
        <v/>
      </c>
      <c r="AE39" s="115" t="str">
        <f aca="false">IF($B39="","",MAX(0,IF(OR(الموظفون!$X39="",الموظفون!$X39&gt;$G$3),$G$3,الموظفون!$X39)-MAX($E$3,الموظفون!$H39)+1))</f>
        <v/>
      </c>
    </row>
    <row r="40" customFormat="false" ht="15" hidden="false" customHeight="false" outlineLevel="0" collapsed="false">
      <c r="A40" s="83" t="str">
        <f aca="false">IF($B40="","",الموظفون!$A40)</f>
        <v/>
      </c>
      <c r="B40" s="74" t="str">
        <f aca="false">IF(الموظفون!$B40="","",الموظفون!$B40)</f>
        <v/>
      </c>
      <c r="C40" s="74" t="str">
        <f aca="false">IF($B40="","",الموظفون!$C40)</f>
        <v/>
      </c>
      <c r="D40" s="74" t="str">
        <f aca="false">IF($B40="","",الموظفون!$F40)</f>
        <v/>
      </c>
      <c r="E40" s="74" t="str">
        <f aca="false">IF($B40="","",الموظفون!$E40)</f>
        <v/>
      </c>
      <c r="F40" s="105" t="str">
        <f aca="false">IF($B40="","",IF(AE40&gt;=DAY($G$3),cfg_DAYS_M,MIN(AE40,cfg_DAYS_M)))</f>
        <v/>
      </c>
      <c r="G40" s="105" t="str">
        <f aca="false">IF($B40="","",SUMIFS('الحركات الشهرية'!$D$6:$D$1005,'الحركات الشهرية'!$B$6:$B$1005,$B40,'الحركات الشهرية'!$A$6:$A$1005,$C$3))</f>
        <v/>
      </c>
      <c r="H40" s="105" t="str">
        <f aca="false">IF($B40="","",SUMIFS('الحركات الشهرية'!$E$6:$E$1005,'الحركات الشهرية'!$B$6:$B$1005,$B40,'الحركات الشهرية'!$A$6:$A$1005,$C$3))</f>
        <v/>
      </c>
      <c r="I40" s="105" t="str">
        <f aca="false">IF($B40="","",MAX(0,F40-G40-H40))</f>
        <v/>
      </c>
      <c r="J40" s="86" t="str">
        <f aca="false">IF($B40="","",الموظفون!$J40*$I40/cfg_DAYS_M)</f>
        <v/>
      </c>
      <c r="K40" s="86" t="str">
        <f aca="false">IF($B40="","",الموظفون!$K40*$I40/cfg_DAYS_M)</f>
        <v/>
      </c>
      <c r="L40" s="86" t="str">
        <f aca="false">IF($B40="","",الموظفون!$L40*$I40/cfg_DAYS_M)</f>
        <v/>
      </c>
      <c r="M40" s="86" t="str">
        <f aca="false">IF($B40="","",الموظفون!$M40*$I40/cfg_DAYS_M)</f>
        <v/>
      </c>
      <c r="N40" s="105" t="str">
        <f aca="false">IF($B40="","",SUMIFS('الحركات الشهرية'!$F$6:$F$1005,'الحركات الشهرية'!$B$6:$B$1005,$B40,'الحركات الشهرية'!$A$6:$A$1005,$C$3))</f>
        <v/>
      </c>
      <c r="O40" s="86" t="str">
        <f aca="false">IF($B40="","",N40*(الموظفون!$N40+الموظفون!$J40*cfg_OT_P)/cfg_DAYS_M/cfg_HRS)</f>
        <v/>
      </c>
      <c r="P40" s="86" t="str">
        <f aca="false">IF($B40="","",SUMIFS('الحركات الشهرية'!$G$6:$G$1005,'الحركات الشهرية'!$B$6:$B$1005,$B40,'الحركات الشهرية'!$A$6:$A$1005,$C$3))</f>
        <v/>
      </c>
      <c r="Q40" s="86" t="str">
        <f aca="false">IF($B40="","",SUMIFS('الحركات الشهرية'!$H$6:$H$1005,'الحركات الشهرية'!$B$6:$B$1005,$B40,'الحركات الشهرية'!$A$6:$A$1005,$C$3))</f>
        <v/>
      </c>
      <c r="R40" s="106" t="str">
        <f aca="false">IF($B40="","",SUM(J40:M40)+SUM(O40:Q40))</f>
        <v/>
      </c>
      <c r="S40" s="86" t="str">
        <f aca="false">IF($B40="","",الموظفون!$Q40*IF(E40="سعودي",cfg_G_SE,cfg_G_NE)*F40/cfg_DAYS_M)</f>
        <v/>
      </c>
      <c r="T40" s="86" t="str">
        <f aca="false">IF($B40="","",SUMIFS('الحركات الشهرية'!$I$6:$I$1005,'الحركات الشهرية'!$B$6:$B$1005,$B40,'الحركات الشهرية'!$A$6:$A$1005,$C$3))</f>
        <v/>
      </c>
      <c r="U40" s="86" t="str">
        <f aca="false">IF($B40="","",SUMIFS('الحركات الشهرية'!$J$6:$J$1005,'الحركات الشهرية'!$B$6:$B$1005,$B40,'الحركات الشهرية'!$A$6:$A$1005,$C$3))</f>
        <v/>
      </c>
      <c r="V40" s="86" t="str">
        <f aca="false">IF($B40="","",SUM(S40:U40))</f>
        <v/>
      </c>
      <c r="W40" s="107" t="str">
        <f aca="false">IF($B40="","",R40-V40)</f>
        <v/>
      </c>
      <c r="X40" s="86" t="str">
        <f aca="false">IF($B40="","",الموظفون!$Q40*IF(E40="سعودي",cfg_G_SR,cfg_G_NR)*F40/cfg_DAYS_M)</f>
        <v/>
      </c>
      <c r="Y40" s="86" t="str">
        <f aca="false">IF($B40="","",الموظفون!$O40*(cfg_EOS_R1*(MIN(AC40,cfg_EOS_TH)-MIN(AD40,cfg_EOS_TH))+cfg_EOS_R2*(MAX(AC40-cfg_EOS_TH,0)-MAX(AD40-cfg_EOS_TH,0))))</f>
        <v/>
      </c>
      <c r="Z40" s="86" t="str">
        <f aca="false">IF($B40="","",IF(الموظفون!$R40&lt;&gt;"",الموظفون!$R40,IF(AC40&gt;=cfg_LV_TH,cfg_LV_D2,cfg_LV_D1))/cfg_DAYS_Y*AE40*الموظفون!$P40/cfg_DAYS_M)</f>
        <v/>
      </c>
      <c r="AA40" s="86" t="str">
        <f aca="false">IF($B40="","",IF(AND(الموظفون!$S40="نعم",N(الموظفون!$U40)&gt;0),الموظفون!$T40/الموظفون!$U40*12/cfg_DAYS_Y*AE40,0))</f>
        <v/>
      </c>
      <c r="AB40" s="108" t="str">
        <f aca="false">IF($B40="","",R40+SUM(X40:AA40))</f>
        <v/>
      </c>
      <c r="AC40" s="109" t="str">
        <f aca="false">IF($B40="","",MAX(0,IF(OR(الموظفون!$X40="",الموظفون!$X40&gt;$G$3),$G$3,الموظفون!$X40)-الموظفون!$H40+1)/cfg_DAYS_Y)</f>
        <v/>
      </c>
      <c r="AD40" s="109" t="str">
        <f aca="false">IF($B40="","",MAX(0,IF(OR(الموظفون!$X40="",الموظفون!$X40&gt;($E$3-1)),($E$3-1),الموظفون!$X40)-الموظفون!$H40+1)/cfg_DAYS_Y)</f>
        <v/>
      </c>
      <c r="AE40" s="51" t="str">
        <f aca="false">IF($B40="","",MAX(0,IF(OR(الموظفون!$X40="",الموظفون!$X40&gt;$G$3),$G$3,الموظفون!$X40)-MAX($E$3,الموظفون!$H40)+1))</f>
        <v/>
      </c>
    </row>
    <row r="41" customFormat="false" ht="15" hidden="false" customHeight="false" outlineLevel="0" collapsed="false">
      <c r="A41" s="89" t="str">
        <f aca="false">IF($B41="","",الموظفون!$A41)</f>
        <v/>
      </c>
      <c r="B41" s="91" t="str">
        <f aca="false">IF(الموظفون!$B41="","",الموظفون!$B41)</f>
        <v/>
      </c>
      <c r="C41" s="91" t="str">
        <f aca="false">IF($B41="","",الموظفون!$C41)</f>
        <v/>
      </c>
      <c r="D41" s="91" t="str">
        <f aca="false">IF($B41="","",الموظفون!$F41)</f>
        <v/>
      </c>
      <c r="E41" s="91" t="str">
        <f aca="false">IF($B41="","",الموظفون!$E41)</f>
        <v/>
      </c>
      <c r="F41" s="110" t="str">
        <f aca="false">IF($B41="","",IF(AE41&gt;=DAY($G$3),cfg_DAYS_M,MIN(AE41,cfg_DAYS_M)))</f>
        <v/>
      </c>
      <c r="G41" s="110" t="str">
        <f aca="false">IF($B41="","",SUMIFS('الحركات الشهرية'!$D$6:$D$1005,'الحركات الشهرية'!$B$6:$B$1005,$B41,'الحركات الشهرية'!$A$6:$A$1005,$C$3))</f>
        <v/>
      </c>
      <c r="H41" s="110" t="str">
        <f aca="false">IF($B41="","",SUMIFS('الحركات الشهرية'!$E$6:$E$1005,'الحركات الشهرية'!$B$6:$B$1005,$B41,'الحركات الشهرية'!$A$6:$A$1005,$C$3))</f>
        <v/>
      </c>
      <c r="I41" s="110" t="str">
        <f aca="false">IF($B41="","",MAX(0,F41-G41-H41))</f>
        <v/>
      </c>
      <c r="J41" s="90" t="str">
        <f aca="false">IF($B41="","",الموظفون!$J41*$I41/cfg_DAYS_M)</f>
        <v/>
      </c>
      <c r="K41" s="90" t="str">
        <f aca="false">IF($B41="","",الموظفون!$K41*$I41/cfg_DAYS_M)</f>
        <v/>
      </c>
      <c r="L41" s="90" t="str">
        <f aca="false">IF($B41="","",الموظفون!$L41*$I41/cfg_DAYS_M)</f>
        <v/>
      </c>
      <c r="M41" s="90" t="str">
        <f aca="false">IF($B41="","",الموظفون!$M41*$I41/cfg_DAYS_M)</f>
        <v/>
      </c>
      <c r="N41" s="110" t="str">
        <f aca="false">IF($B41="","",SUMIFS('الحركات الشهرية'!$F$6:$F$1005,'الحركات الشهرية'!$B$6:$B$1005,$B41,'الحركات الشهرية'!$A$6:$A$1005,$C$3))</f>
        <v/>
      </c>
      <c r="O41" s="90" t="str">
        <f aca="false">IF($B41="","",N41*(الموظفون!$N41+الموظفون!$J41*cfg_OT_P)/cfg_DAYS_M/cfg_HRS)</f>
        <v/>
      </c>
      <c r="P41" s="90" t="str">
        <f aca="false">IF($B41="","",SUMIFS('الحركات الشهرية'!$G$6:$G$1005,'الحركات الشهرية'!$B$6:$B$1005,$B41,'الحركات الشهرية'!$A$6:$A$1005,$C$3))</f>
        <v/>
      </c>
      <c r="Q41" s="90" t="str">
        <f aca="false">IF($B41="","",SUMIFS('الحركات الشهرية'!$H$6:$H$1005,'الحركات الشهرية'!$B$6:$B$1005,$B41,'الحركات الشهرية'!$A$6:$A$1005,$C$3))</f>
        <v/>
      </c>
      <c r="R41" s="111" t="str">
        <f aca="false">IF($B41="","",SUM(J41:M41)+SUM(O41:Q41))</f>
        <v/>
      </c>
      <c r="S41" s="90" t="str">
        <f aca="false">IF($B41="","",الموظفون!$Q41*IF(E41="سعودي",cfg_G_SE,cfg_G_NE)*F41/cfg_DAYS_M)</f>
        <v/>
      </c>
      <c r="T41" s="90" t="str">
        <f aca="false">IF($B41="","",SUMIFS('الحركات الشهرية'!$I$6:$I$1005,'الحركات الشهرية'!$B$6:$B$1005,$B41,'الحركات الشهرية'!$A$6:$A$1005,$C$3))</f>
        <v/>
      </c>
      <c r="U41" s="90" t="str">
        <f aca="false">IF($B41="","",SUMIFS('الحركات الشهرية'!$J$6:$J$1005,'الحركات الشهرية'!$B$6:$B$1005,$B41,'الحركات الشهرية'!$A$6:$A$1005,$C$3))</f>
        <v/>
      </c>
      <c r="V41" s="90" t="str">
        <f aca="false">IF($B41="","",SUM(S41:U41))</f>
        <v/>
      </c>
      <c r="W41" s="112" t="str">
        <f aca="false">IF($B41="","",R41-V41)</f>
        <v/>
      </c>
      <c r="X41" s="90" t="str">
        <f aca="false">IF($B41="","",الموظفون!$Q41*IF(E41="سعودي",cfg_G_SR,cfg_G_NR)*F41/cfg_DAYS_M)</f>
        <v/>
      </c>
      <c r="Y41" s="90" t="str">
        <f aca="false">IF($B41="","",الموظفون!$O41*(cfg_EOS_R1*(MIN(AC41,cfg_EOS_TH)-MIN(AD41,cfg_EOS_TH))+cfg_EOS_R2*(MAX(AC41-cfg_EOS_TH,0)-MAX(AD41-cfg_EOS_TH,0))))</f>
        <v/>
      </c>
      <c r="Z41" s="90" t="str">
        <f aca="false">IF($B41="","",IF(الموظفون!$R41&lt;&gt;"",الموظفون!$R41,IF(AC41&gt;=cfg_LV_TH,cfg_LV_D2,cfg_LV_D1))/cfg_DAYS_Y*AE41*الموظفون!$P41/cfg_DAYS_M)</f>
        <v/>
      </c>
      <c r="AA41" s="90" t="str">
        <f aca="false">IF($B41="","",IF(AND(الموظفون!$S41="نعم",N(الموظفون!$U41)&gt;0),الموظفون!$T41/الموظفون!$U41*12/cfg_DAYS_Y*AE41,0))</f>
        <v/>
      </c>
      <c r="AB41" s="113" t="str">
        <f aca="false">IF($B41="","",R41+SUM(X41:AA41))</f>
        <v/>
      </c>
      <c r="AC41" s="114" t="str">
        <f aca="false">IF($B41="","",MAX(0,IF(OR(الموظفون!$X41="",الموظفون!$X41&gt;$G$3),$G$3,الموظفون!$X41)-الموظفون!$H41+1)/cfg_DAYS_Y)</f>
        <v/>
      </c>
      <c r="AD41" s="114" t="str">
        <f aca="false">IF($B41="","",MAX(0,IF(OR(الموظفون!$X41="",الموظفون!$X41&gt;($E$3-1)),($E$3-1),الموظفون!$X41)-الموظفون!$H41+1)/cfg_DAYS_Y)</f>
        <v/>
      </c>
      <c r="AE41" s="115" t="str">
        <f aca="false">IF($B41="","",MAX(0,IF(OR(الموظفون!$X41="",الموظفون!$X41&gt;$G$3),$G$3,الموظفون!$X41)-MAX($E$3,الموظفون!$H41)+1))</f>
        <v/>
      </c>
    </row>
    <row r="42" customFormat="false" ht="15" hidden="false" customHeight="false" outlineLevel="0" collapsed="false">
      <c r="A42" s="83" t="str">
        <f aca="false">IF($B42="","",الموظفون!$A42)</f>
        <v/>
      </c>
      <c r="B42" s="74" t="str">
        <f aca="false">IF(الموظفون!$B42="","",الموظفون!$B42)</f>
        <v/>
      </c>
      <c r="C42" s="74" t="str">
        <f aca="false">IF($B42="","",الموظفون!$C42)</f>
        <v/>
      </c>
      <c r="D42" s="74" t="str">
        <f aca="false">IF($B42="","",الموظفون!$F42)</f>
        <v/>
      </c>
      <c r="E42" s="74" t="str">
        <f aca="false">IF($B42="","",الموظفون!$E42)</f>
        <v/>
      </c>
      <c r="F42" s="105" t="str">
        <f aca="false">IF($B42="","",IF(AE42&gt;=DAY($G$3),cfg_DAYS_M,MIN(AE42,cfg_DAYS_M)))</f>
        <v/>
      </c>
      <c r="G42" s="105" t="str">
        <f aca="false">IF($B42="","",SUMIFS('الحركات الشهرية'!$D$6:$D$1005,'الحركات الشهرية'!$B$6:$B$1005,$B42,'الحركات الشهرية'!$A$6:$A$1005,$C$3))</f>
        <v/>
      </c>
      <c r="H42" s="105" t="str">
        <f aca="false">IF($B42="","",SUMIFS('الحركات الشهرية'!$E$6:$E$1005,'الحركات الشهرية'!$B$6:$B$1005,$B42,'الحركات الشهرية'!$A$6:$A$1005,$C$3))</f>
        <v/>
      </c>
      <c r="I42" s="105" t="str">
        <f aca="false">IF($B42="","",MAX(0,F42-G42-H42))</f>
        <v/>
      </c>
      <c r="J42" s="86" t="str">
        <f aca="false">IF($B42="","",الموظفون!$J42*$I42/cfg_DAYS_M)</f>
        <v/>
      </c>
      <c r="K42" s="86" t="str">
        <f aca="false">IF($B42="","",الموظفون!$K42*$I42/cfg_DAYS_M)</f>
        <v/>
      </c>
      <c r="L42" s="86" t="str">
        <f aca="false">IF($B42="","",الموظفون!$L42*$I42/cfg_DAYS_M)</f>
        <v/>
      </c>
      <c r="M42" s="86" t="str">
        <f aca="false">IF($B42="","",الموظفون!$M42*$I42/cfg_DAYS_M)</f>
        <v/>
      </c>
      <c r="N42" s="105" t="str">
        <f aca="false">IF($B42="","",SUMIFS('الحركات الشهرية'!$F$6:$F$1005,'الحركات الشهرية'!$B$6:$B$1005,$B42,'الحركات الشهرية'!$A$6:$A$1005,$C$3))</f>
        <v/>
      </c>
      <c r="O42" s="86" t="str">
        <f aca="false">IF($B42="","",N42*(الموظفون!$N42+الموظفون!$J42*cfg_OT_P)/cfg_DAYS_M/cfg_HRS)</f>
        <v/>
      </c>
      <c r="P42" s="86" t="str">
        <f aca="false">IF($B42="","",SUMIFS('الحركات الشهرية'!$G$6:$G$1005,'الحركات الشهرية'!$B$6:$B$1005,$B42,'الحركات الشهرية'!$A$6:$A$1005,$C$3))</f>
        <v/>
      </c>
      <c r="Q42" s="86" t="str">
        <f aca="false">IF($B42="","",SUMIFS('الحركات الشهرية'!$H$6:$H$1005,'الحركات الشهرية'!$B$6:$B$1005,$B42,'الحركات الشهرية'!$A$6:$A$1005,$C$3))</f>
        <v/>
      </c>
      <c r="R42" s="106" t="str">
        <f aca="false">IF($B42="","",SUM(J42:M42)+SUM(O42:Q42))</f>
        <v/>
      </c>
      <c r="S42" s="86" t="str">
        <f aca="false">IF($B42="","",الموظفون!$Q42*IF(E42="سعودي",cfg_G_SE,cfg_G_NE)*F42/cfg_DAYS_M)</f>
        <v/>
      </c>
      <c r="T42" s="86" t="str">
        <f aca="false">IF($B42="","",SUMIFS('الحركات الشهرية'!$I$6:$I$1005,'الحركات الشهرية'!$B$6:$B$1005,$B42,'الحركات الشهرية'!$A$6:$A$1005,$C$3))</f>
        <v/>
      </c>
      <c r="U42" s="86" t="str">
        <f aca="false">IF($B42="","",SUMIFS('الحركات الشهرية'!$J$6:$J$1005,'الحركات الشهرية'!$B$6:$B$1005,$B42,'الحركات الشهرية'!$A$6:$A$1005,$C$3))</f>
        <v/>
      </c>
      <c r="V42" s="86" t="str">
        <f aca="false">IF($B42="","",SUM(S42:U42))</f>
        <v/>
      </c>
      <c r="W42" s="107" t="str">
        <f aca="false">IF($B42="","",R42-V42)</f>
        <v/>
      </c>
      <c r="X42" s="86" t="str">
        <f aca="false">IF($B42="","",الموظفون!$Q42*IF(E42="سعودي",cfg_G_SR,cfg_G_NR)*F42/cfg_DAYS_M)</f>
        <v/>
      </c>
      <c r="Y42" s="86" t="str">
        <f aca="false">IF($B42="","",الموظفون!$O42*(cfg_EOS_R1*(MIN(AC42,cfg_EOS_TH)-MIN(AD42,cfg_EOS_TH))+cfg_EOS_R2*(MAX(AC42-cfg_EOS_TH,0)-MAX(AD42-cfg_EOS_TH,0))))</f>
        <v/>
      </c>
      <c r="Z42" s="86" t="str">
        <f aca="false">IF($B42="","",IF(الموظفون!$R42&lt;&gt;"",الموظفون!$R42,IF(AC42&gt;=cfg_LV_TH,cfg_LV_D2,cfg_LV_D1))/cfg_DAYS_Y*AE42*الموظفون!$P42/cfg_DAYS_M)</f>
        <v/>
      </c>
      <c r="AA42" s="86" t="str">
        <f aca="false">IF($B42="","",IF(AND(الموظفون!$S42="نعم",N(الموظفون!$U42)&gt;0),الموظفون!$T42/الموظفون!$U42*12/cfg_DAYS_Y*AE42,0))</f>
        <v/>
      </c>
      <c r="AB42" s="108" t="str">
        <f aca="false">IF($B42="","",R42+SUM(X42:AA42))</f>
        <v/>
      </c>
      <c r="AC42" s="109" t="str">
        <f aca="false">IF($B42="","",MAX(0,IF(OR(الموظفون!$X42="",الموظفون!$X42&gt;$G$3),$G$3,الموظفون!$X42)-الموظفون!$H42+1)/cfg_DAYS_Y)</f>
        <v/>
      </c>
      <c r="AD42" s="109" t="str">
        <f aca="false">IF($B42="","",MAX(0,IF(OR(الموظفون!$X42="",الموظفون!$X42&gt;($E$3-1)),($E$3-1),الموظفون!$X42)-الموظفون!$H42+1)/cfg_DAYS_Y)</f>
        <v/>
      </c>
      <c r="AE42" s="51" t="str">
        <f aca="false">IF($B42="","",MAX(0,IF(OR(الموظفون!$X42="",الموظفون!$X42&gt;$G$3),$G$3,الموظفون!$X42)-MAX($E$3,الموظفون!$H42)+1))</f>
        <v/>
      </c>
    </row>
    <row r="43" customFormat="false" ht="15" hidden="false" customHeight="false" outlineLevel="0" collapsed="false">
      <c r="A43" s="89" t="str">
        <f aca="false">IF($B43="","",الموظفون!$A43)</f>
        <v/>
      </c>
      <c r="B43" s="91" t="str">
        <f aca="false">IF(الموظفون!$B43="","",الموظفون!$B43)</f>
        <v/>
      </c>
      <c r="C43" s="91" t="str">
        <f aca="false">IF($B43="","",الموظفون!$C43)</f>
        <v/>
      </c>
      <c r="D43" s="91" t="str">
        <f aca="false">IF($B43="","",الموظفون!$F43)</f>
        <v/>
      </c>
      <c r="E43" s="91" t="str">
        <f aca="false">IF($B43="","",الموظفون!$E43)</f>
        <v/>
      </c>
      <c r="F43" s="110" t="str">
        <f aca="false">IF($B43="","",IF(AE43&gt;=DAY($G$3),cfg_DAYS_M,MIN(AE43,cfg_DAYS_M)))</f>
        <v/>
      </c>
      <c r="G43" s="110" t="str">
        <f aca="false">IF($B43="","",SUMIFS('الحركات الشهرية'!$D$6:$D$1005,'الحركات الشهرية'!$B$6:$B$1005,$B43,'الحركات الشهرية'!$A$6:$A$1005,$C$3))</f>
        <v/>
      </c>
      <c r="H43" s="110" t="str">
        <f aca="false">IF($B43="","",SUMIFS('الحركات الشهرية'!$E$6:$E$1005,'الحركات الشهرية'!$B$6:$B$1005,$B43,'الحركات الشهرية'!$A$6:$A$1005,$C$3))</f>
        <v/>
      </c>
      <c r="I43" s="110" t="str">
        <f aca="false">IF($B43="","",MAX(0,F43-G43-H43))</f>
        <v/>
      </c>
      <c r="J43" s="90" t="str">
        <f aca="false">IF($B43="","",الموظفون!$J43*$I43/cfg_DAYS_M)</f>
        <v/>
      </c>
      <c r="K43" s="90" t="str">
        <f aca="false">IF($B43="","",الموظفون!$K43*$I43/cfg_DAYS_M)</f>
        <v/>
      </c>
      <c r="L43" s="90" t="str">
        <f aca="false">IF($B43="","",الموظفون!$L43*$I43/cfg_DAYS_M)</f>
        <v/>
      </c>
      <c r="M43" s="90" t="str">
        <f aca="false">IF($B43="","",الموظفون!$M43*$I43/cfg_DAYS_M)</f>
        <v/>
      </c>
      <c r="N43" s="110" t="str">
        <f aca="false">IF($B43="","",SUMIFS('الحركات الشهرية'!$F$6:$F$1005,'الحركات الشهرية'!$B$6:$B$1005,$B43,'الحركات الشهرية'!$A$6:$A$1005,$C$3))</f>
        <v/>
      </c>
      <c r="O43" s="90" t="str">
        <f aca="false">IF($B43="","",N43*(الموظفون!$N43+الموظفون!$J43*cfg_OT_P)/cfg_DAYS_M/cfg_HRS)</f>
        <v/>
      </c>
      <c r="P43" s="90" t="str">
        <f aca="false">IF($B43="","",SUMIFS('الحركات الشهرية'!$G$6:$G$1005,'الحركات الشهرية'!$B$6:$B$1005,$B43,'الحركات الشهرية'!$A$6:$A$1005,$C$3))</f>
        <v/>
      </c>
      <c r="Q43" s="90" t="str">
        <f aca="false">IF($B43="","",SUMIFS('الحركات الشهرية'!$H$6:$H$1005,'الحركات الشهرية'!$B$6:$B$1005,$B43,'الحركات الشهرية'!$A$6:$A$1005,$C$3))</f>
        <v/>
      </c>
      <c r="R43" s="111" t="str">
        <f aca="false">IF($B43="","",SUM(J43:M43)+SUM(O43:Q43))</f>
        <v/>
      </c>
      <c r="S43" s="90" t="str">
        <f aca="false">IF($B43="","",الموظفون!$Q43*IF(E43="سعودي",cfg_G_SE,cfg_G_NE)*F43/cfg_DAYS_M)</f>
        <v/>
      </c>
      <c r="T43" s="90" t="str">
        <f aca="false">IF($B43="","",SUMIFS('الحركات الشهرية'!$I$6:$I$1005,'الحركات الشهرية'!$B$6:$B$1005,$B43,'الحركات الشهرية'!$A$6:$A$1005,$C$3))</f>
        <v/>
      </c>
      <c r="U43" s="90" t="str">
        <f aca="false">IF($B43="","",SUMIFS('الحركات الشهرية'!$J$6:$J$1005,'الحركات الشهرية'!$B$6:$B$1005,$B43,'الحركات الشهرية'!$A$6:$A$1005,$C$3))</f>
        <v/>
      </c>
      <c r="V43" s="90" t="str">
        <f aca="false">IF($B43="","",SUM(S43:U43))</f>
        <v/>
      </c>
      <c r="W43" s="112" t="str">
        <f aca="false">IF($B43="","",R43-V43)</f>
        <v/>
      </c>
      <c r="X43" s="90" t="str">
        <f aca="false">IF($B43="","",الموظفون!$Q43*IF(E43="سعودي",cfg_G_SR,cfg_G_NR)*F43/cfg_DAYS_M)</f>
        <v/>
      </c>
      <c r="Y43" s="90" t="str">
        <f aca="false">IF($B43="","",الموظفون!$O43*(cfg_EOS_R1*(MIN(AC43,cfg_EOS_TH)-MIN(AD43,cfg_EOS_TH))+cfg_EOS_R2*(MAX(AC43-cfg_EOS_TH,0)-MAX(AD43-cfg_EOS_TH,0))))</f>
        <v/>
      </c>
      <c r="Z43" s="90" t="str">
        <f aca="false">IF($B43="","",IF(الموظفون!$R43&lt;&gt;"",الموظفون!$R43,IF(AC43&gt;=cfg_LV_TH,cfg_LV_D2,cfg_LV_D1))/cfg_DAYS_Y*AE43*الموظفون!$P43/cfg_DAYS_M)</f>
        <v/>
      </c>
      <c r="AA43" s="90" t="str">
        <f aca="false">IF($B43="","",IF(AND(الموظفون!$S43="نعم",N(الموظفون!$U43)&gt;0),الموظفون!$T43/الموظفون!$U43*12/cfg_DAYS_Y*AE43,0))</f>
        <v/>
      </c>
      <c r="AB43" s="113" t="str">
        <f aca="false">IF($B43="","",R43+SUM(X43:AA43))</f>
        <v/>
      </c>
      <c r="AC43" s="114" t="str">
        <f aca="false">IF($B43="","",MAX(0,IF(OR(الموظفون!$X43="",الموظفون!$X43&gt;$G$3),$G$3,الموظفون!$X43)-الموظفون!$H43+1)/cfg_DAYS_Y)</f>
        <v/>
      </c>
      <c r="AD43" s="114" t="str">
        <f aca="false">IF($B43="","",MAX(0,IF(OR(الموظفون!$X43="",الموظفون!$X43&gt;($E$3-1)),($E$3-1),الموظفون!$X43)-الموظفون!$H43+1)/cfg_DAYS_Y)</f>
        <v/>
      </c>
      <c r="AE43" s="115" t="str">
        <f aca="false">IF($B43="","",MAX(0,IF(OR(الموظفون!$X43="",الموظفون!$X43&gt;$G$3),$G$3,الموظفون!$X43)-MAX($E$3,الموظفون!$H43)+1))</f>
        <v/>
      </c>
    </row>
    <row r="44" customFormat="false" ht="15" hidden="false" customHeight="false" outlineLevel="0" collapsed="false">
      <c r="A44" s="83" t="str">
        <f aca="false">IF($B44="","",الموظفون!$A44)</f>
        <v/>
      </c>
      <c r="B44" s="74" t="str">
        <f aca="false">IF(الموظفون!$B44="","",الموظفون!$B44)</f>
        <v/>
      </c>
      <c r="C44" s="74" t="str">
        <f aca="false">IF($B44="","",الموظفون!$C44)</f>
        <v/>
      </c>
      <c r="D44" s="74" t="str">
        <f aca="false">IF($B44="","",الموظفون!$F44)</f>
        <v/>
      </c>
      <c r="E44" s="74" t="str">
        <f aca="false">IF($B44="","",الموظفون!$E44)</f>
        <v/>
      </c>
      <c r="F44" s="105" t="str">
        <f aca="false">IF($B44="","",IF(AE44&gt;=DAY($G$3),cfg_DAYS_M,MIN(AE44,cfg_DAYS_M)))</f>
        <v/>
      </c>
      <c r="G44" s="105" t="str">
        <f aca="false">IF($B44="","",SUMIFS('الحركات الشهرية'!$D$6:$D$1005,'الحركات الشهرية'!$B$6:$B$1005,$B44,'الحركات الشهرية'!$A$6:$A$1005,$C$3))</f>
        <v/>
      </c>
      <c r="H44" s="105" t="str">
        <f aca="false">IF($B44="","",SUMIFS('الحركات الشهرية'!$E$6:$E$1005,'الحركات الشهرية'!$B$6:$B$1005,$B44,'الحركات الشهرية'!$A$6:$A$1005,$C$3))</f>
        <v/>
      </c>
      <c r="I44" s="105" t="str">
        <f aca="false">IF($B44="","",MAX(0,F44-G44-H44))</f>
        <v/>
      </c>
      <c r="J44" s="86" t="str">
        <f aca="false">IF($B44="","",الموظفون!$J44*$I44/cfg_DAYS_M)</f>
        <v/>
      </c>
      <c r="K44" s="86" t="str">
        <f aca="false">IF($B44="","",الموظفون!$K44*$I44/cfg_DAYS_M)</f>
        <v/>
      </c>
      <c r="L44" s="86" t="str">
        <f aca="false">IF($B44="","",الموظفون!$L44*$I44/cfg_DAYS_M)</f>
        <v/>
      </c>
      <c r="M44" s="86" t="str">
        <f aca="false">IF($B44="","",الموظفون!$M44*$I44/cfg_DAYS_M)</f>
        <v/>
      </c>
      <c r="N44" s="105" t="str">
        <f aca="false">IF($B44="","",SUMIFS('الحركات الشهرية'!$F$6:$F$1005,'الحركات الشهرية'!$B$6:$B$1005,$B44,'الحركات الشهرية'!$A$6:$A$1005,$C$3))</f>
        <v/>
      </c>
      <c r="O44" s="86" t="str">
        <f aca="false">IF($B44="","",N44*(الموظفون!$N44+الموظفون!$J44*cfg_OT_P)/cfg_DAYS_M/cfg_HRS)</f>
        <v/>
      </c>
      <c r="P44" s="86" t="str">
        <f aca="false">IF($B44="","",SUMIFS('الحركات الشهرية'!$G$6:$G$1005,'الحركات الشهرية'!$B$6:$B$1005,$B44,'الحركات الشهرية'!$A$6:$A$1005,$C$3))</f>
        <v/>
      </c>
      <c r="Q44" s="86" t="str">
        <f aca="false">IF($B44="","",SUMIFS('الحركات الشهرية'!$H$6:$H$1005,'الحركات الشهرية'!$B$6:$B$1005,$B44,'الحركات الشهرية'!$A$6:$A$1005,$C$3))</f>
        <v/>
      </c>
      <c r="R44" s="106" t="str">
        <f aca="false">IF($B44="","",SUM(J44:M44)+SUM(O44:Q44))</f>
        <v/>
      </c>
      <c r="S44" s="86" t="str">
        <f aca="false">IF($B44="","",الموظفون!$Q44*IF(E44="سعودي",cfg_G_SE,cfg_G_NE)*F44/cfg_DAYS_M)</f>
        <v/>
      </c>
      <c r="T44" s="86" t="str">
        <f aca="false">IF($B44="","",SUMIFS('الحركات الشهرية'!$I$6:$I$1005,'الحركات الشهرية'!$B$6:$B$1005,$B44,'الحركات الشهرية'!$A$6:$A$1005,$C$3))</f>
        <v/>
      </c>
      <c r="U44" s="86" t="str">
        <f aca="false">IF($B44="","",SUMIFS('الحركات الشهرية'!$J$6:$J$1005,'الحركات الشهرية'!$B$6:$B$1005,$B44,'الحركات الشهرية'!$A$6:$A$1005,$C$3))</f>
        <v/>
      </c>
      <c r="V44" s="86" t="str">
        <f aca="false">IF($B44="","",SUM(S44:U44))</f>
        <v/>
      </c>
      <c r="W44" s="107" t="str">
        <f aca="false">IF($B44="","",R44-V44)</f>
        <v/>
      </c>
      <c r="X44" s="86" t="str">
        <f aca="false">IF($B44="","",الموظفون!$Q44*IF(E44="سعودي",cfg_G_SR,cfg_G_NR)*F44/cfg_DAYS_M)</f>
        <v/>
      </c>
      <c r="Y44" s="86" t="str">
        <f aca="false">IF($B44="","",الموظفون!$O44*(cfg_EOS_R1*(MIN(AC44,cfg_EOS_TH)-MIN(AD44,cfg_EOS_TH))+cfg_EOS_R2*(MAX(AC44-cfg_EOS_TH,0)-MAX(AD44-cfg_EOS_TH,0))))</f>
        <v/>
      </c>
      <c r="Z44" s="86" t="str">
        <f aca="false">IF($B44="","",IF(الموظفون!$R44&lt;&gt;"",الموظفون!$R44,IF(AC44&gt;=cfg_LV_TH,cfg_LV_D2,cfg_LV_D1))/cfg_DAYS_Y*AE44*الموظفون!$P44/cfg_DAYS_M)</f>
        <v/>
      </c>
      <c r="AA44" s="86" t="str">
        <f aca="false">IF($B44="","",IF(AND(الموظفون!$S44="نعم",N(الموظفون!$U44)&gt;0),الموظفون!$T44/الموظفون!$U44*12/cfg_DAYS_Y*AE44,0))</f>
        <v/>
      </c>
      <c r="AB44" s="108" t="str">
        <f aca="false">IF($B44="","",R44+SUM(X44:AA44))</f>
        <v/>
      </c>
      <c r="AC44" s="109" t="str">
        <f aca="false">IF($B44="","",MAX(0,IF(OR(الموظفون!$X44="",الموظفون!$X44&gt;$G$3),$G$3,الموظفون!$X44)-الموظفون!$H44+1)/cfg_DAYS_Y)</f>
        <v/>
      </c>
      <c r="AD44" s="109" t="str">
        <f aca="false">IF($B44="","",MAX(0,IF(OR(الموظفون!$X44="",الموظفون!$X44&gt;($E$3-1)),($E$3-1),الموظفون!$X44)-الموظفون!$H44+1)/cfg_DAYS_Y)</f>
        <v/>
      </c>
      <c r="AE44" s="51" t="str">
        <f aca="false">IF($B44="","",MAX(0,IF(OR(الموظفون!$X44="",الموظفون!$X44&gt;$G$3),$G$3,الموظفون!$X44)-MAX($E$3,الموظفون!$H44)+1))</f>
        <v/>
      </c>
    </row>
    <row r="45" customFormat="false" ht="15" hidden="false" customHeight="false" outlineLevel="0" collapsed="false">
      <c r="A45" s="89" t="str">
        <f aca="false">IF($B45="","",الموظفون!$A45)</f>
        <v/>
      </c>
      <c r="B45" s="91" t="str">
        <f aca="false">IF(الموظفون!$B45="","",الموظفون!$B45)</f>
        <v/>
      </c>
      <c r="C45" s="91" t="str">
        <f aca="false">IF($B45="","",الموظفون!$C45)</f>
        <v/>
      </c>
      <c r="D45" s="91" t="str">
        <f aca="false">IF($B45="","",الموظفون!$F45)</f>
        <v/>
      </c>
      <c r="E45" s="91" t="str">
        <f aca="false">IF($B45="","",الموظفون!$E45)</f>
        <v/>
      </c>
      <c r="F45" s="110" t="str">
        <f aca="false">IF($B45="","",IF(AE45&gt;=DAY($G$3),cfg_DAYS_M,MIN(AE45,cfg_DAYS_M)))</f>
        <v/>
      </c>
      <c r="G45" s="110" t="str">
        <f aca="false">IF($B45="","",SUMIFS('الحركات الشهرية'!$D$6:$D$1005,'الحركات الشهرية'!$B$6:$B$1005,$B45,'الحركات الشهرية'!$A$6:$A$1005,$C$3))</f>
        <v/>
      </c>
      <c r="H45" s="110" t="str">
        <f aca="false">IF($B45="","",SUMIFS('الحركات الشهرية'!$E$6:$E$1005,'الحركات الشهرية'!$B$6:$B$1005,$B45,'الحركات الشهرية'!$A$6:$A$1005,$C$3))</f>
        <v/>
      </c>
      <c r="I45" s="110" t="str">
        <f aca="false">IF($B45="","",MAX(0,F45-G45-H45))</f>
        <v/>
      </c>
      <c r="J45" s="90" t="str">
        <f aca="false">IF($B45="","",الموظفون!$J45*$I45/cfg_DAYS_M)</f>
        <v/>
      </c>
      <c r="K45" s="90" t="str">
        <f aca="false">IF($B45="","",الموظفون!$K45*$I45/cfg_DAYS_M)</f>
        <v/>
      </c>
      <c r="L45" s="90" t="str">
        <f aca="false">IF($B45="","",الموظفون!$L45*$I45/cfg_DAYS_M)</f>
        <v/>
      </c>
      <c r="M45" s="90" t="str">
        <f aca="false">IF($B45="","",الموظفون!$M45*$I45/cfg_DAYS_M)</f>
        <v/>
      </c>
      <c r="N45" s="110" t="str">
        <f aca="false">IF($B45="","",SUMIFS('الحركات الشهرية'!$F$6:$F$1005,'الحركات الشهرية'!$B$6:$B$1005,$B45,'الحركات الشهرية'!$A$6:$A$1005,$C$3))</f>
        <v/>
      </c>
      <c r="O45" s="90" t="str">
        <f aca="false">IF($B45="","",N45*(الموظفون!$N45+الموظفون!$J45*cfg_OT_P)/cfg_DAYS_M/cfg_HRS)</f>
        <v/>
      </c>
      <c r="P45" s="90" t="str">
        <f aca="false">IF($B45="","",SUMIFS('الحركات الشهرية'!$G$6:$G$1005,'الحركات الشهرية'!$B$6:$B$1005,$B45,'الحركات الشهرية'!$A$6:$A$1005,$C$3))</f>
        <v/>
      </c>
      <c r="Q45" s="90" t="str">
        <f aca="false">IF($B45="","",SUMIFS('الحركات الشهرية'!$H$6:$H$1005,'الحركات الشهرية'!$B$6:$B$1005,$B45,'الحركات الشهرية'!$A$6:$A$1005,$C$3))</f>
        <v/>
      </c>
      <c r="R45" s="111" t="str">
        <f aca="false">IF($B45="","",SUM(J45:M45)+SUM(O45:Q45))</f>
        <v/>
      </c>
      <c r="S45" s="90" t="str">
        <f aca="false">IF($B45="","",الموظفون!$Q45*IF(E45="سعودي",cfg_G_SE,cfg_G_NE)*F45/cfg_DAYS_M)</f>
        <v/>
      </c>
      <c r="T45" s="90" t="str">
        <f aca="false">IF($B45="","",SUMIFS('الحركات الشهرية'!$I$6:$I$1005,'الحركات الشهرية'!$B$6:$B$1005,$B45,'الحركات الشهرية'!$A$6:$A$1005,$C$3))</f>
        <v/>
      </c>
      <c r="U45" s="90" t="str">
        <f aca="false">IF($B45="","",SUMIFS('الحركات الشهرية'!$J$6:$J$1005,'الحركات الشهرية'!$B$6:$B$1005,$B45,'الحركات الشهرية'!$A$6:$A$1005,$C$3))</f>
        <v/>
      </c>
      <c r="V45" s="90" t="str">
        <f aca="false">IF($B45="","",SUM(S45:U45))</f>
        <v/>
      </c>
      <c r="W45" s="112" t="str">
        <f aca="false">IF($B45="","",R45-V45)</f>
        <v/>
      </c>
      <c r="X45" s="90" t="str">
        <f aca="false">IF($B45="","",الموظفون!$Q45*IF(E45="سعودي",cfg_G_SR,cfg_G_NR)*F45/cfg_DAYS_M)</f>
        <v/>
      </c>
      <c r="Y45" s="90" t="str">
        <f aca="false">IF($B45="","",الموظفون!$O45*(cfg_EOS_R1*(MIN(AC45,cfg_EOS_TH)-MIN(AD45,cfg_EOS_TH))+cfg_EOS_R2*(MAX(AC45-cfg_EOS_TH,0)-MAX(AD45-cfg_EOS_TH,0))))</f>
        <v/>
      </c>
      <c r="Z45" s="90" t="str">
        <f aca="false">IF($B45="","",IF(الموظفون!$R45&lt;&gt;"",الموظفون!$R45,IF(AC45&gt;=cfg_LV_TH,cfg_LV_D2,cfg_LV_D1))/cfg_DAYS_Y*AE45*الموظفون!$P45/cfg_DAYS_M)</f>
        <v/>
      </c>
      <c r="AA45" s="90" t="str">
        <f aca="false">IF($B45="","",IF(AND(الموظفون!$S45="نعم",N(الموظفون!$U45)&gt;0),الموظفون!$T45/الموظفون!$U45*12/cfg_DAYS_Y*AE45,0))</f>
        <v/>
      </c>
      <c r="AB45" s="113" t="str">
        <f aca="false">IF($B45="","",R45+SUM(X45:AA45))</f>
        <v/>
      </c>
      <c r="AC45" s="114" t="str">
        <f aca="false">IF($B45="","",MAX(0,IF(OR(الموظفون!$X45="",الموظفون!$X45&gt;$G$3),$G$3,الموظفون!$X45)-الموظفون!$H45+1)/cfg_DAYS_Y)</f>
        <v/>
      </c>
      <c r="AD45" s="114" t="str">
        <f aca="false">IF($B45="","",MAX(0,IF(OR(الموظفون!$X45="",الموظفون!$X45&gt;($E$3-1)),($E$3-1),الموظفون!$X45)-الموظفون!$H45+1)/cfg_DAYS_Y)</f>
        <v/>
      </c>
      <c r="AE45" s="115" t="str">
        <f aca="false">IF($B45="","",MAX(0,IF(OR(الموظفون!$X45="",الموظفون!$X45&gt;$G$3),$G$3,الموظفون!$X45)-MAX($E$3,الموظفون!$H45)+1))</f>
        <v/>
      </c>
    </row>
    <row r="46" customFormat="false" ht="15" hidden="false" customHeight="false" outlineLevel="0" collapsed="false">
      <c r="A46" s="83" t="str">
        <f aca="false">IF($B46="","",الموظفون!$A46)</f>
        <v/>
      </c>
      <c r="B46" s="74" t="str">
        <f aca="false">IF(الموظفون!$B46="","",الموظفون!$B46)</f>
        <v/>
      </c>
      <c r="C46" s="74" t="str">
        <f aca="false">IF($B46="","",الموظفون!$C46)</f>
        <v/>
      </c>
      <c r="D46" s="74" t="str">
        <f aca="false">IF($B46="","",الموظفون!$F46)</f>
        <v/>
      </c>
      <c r="E46" s="74" t="str">
        <f aca="false">IF($B46="","",الموظفون!$E46)</f>
        <v/>
      </c>
      <c r="F46" s="105" t="str">
        <f aca="false">IF($B46="","",IF(AE46&gt;=DAY($G$3),cfg_DAYS_M,MIN(AE46,cfg_DAYS_M)))</f>
        <v/>
      </c>
      <c r="G46" s="105" t="str">
        <f aca="false">IF($B46="","",SUMIFS('الحركات الشهرية'!$D$6:$D$1005,'الحركات الشهرية'!$B$6:$B$1005,$B46,'الحركات الشهرية'!$A$6:$A$1005,$C$3))</f>
        <v/>
      </c>
      <c r="H46" s="105" t="str">
        <f aca="false">IF($B46="","",SUMIFS('الحركات الشهرية'!$E$6:$E$1005,'الحركات الشهرية'!$B$6:$B$1005,$B46,'الحركات الشهرية'!$A$6:$A$1005,$C$3))</f>
        <v/>
      </c>
      <c r="I46" s="105" t="str">
        <f aca="false">IF($B46="","",MAX(0,F46-G46-H46))</f>
        <v/>
      </c>
      <c r="J46" s="86" t="str">
        <f aca="false">IF($B46="","",الموظفون!$J46*$I46/cfg_DAYS_M)</f>
        <v/>
      </c>
      <c r="K46" s="86" t="str">
        <f aca="false">IF($B46="","",الموظفون!$K46*$I46/cfg_DAYS_M)</f>
        <v/>
      </c>
      <c r="L46" s="86" t="str">
        <f aca="false">IF($B46="","",الموظفون!$L46*$I46/cfg_DAYS_M)</f>
        <v/>
      </c>
      <c r="M46" s="86" t="str">
        <f aca="false">IF($B46="","",الموظفون!$M46*$I46/cfg_DAYS_M)</f>
        <v/>
      </c>
      <c r="N46" s="105" t="str">
        <f aca="false">IF($B46="","",SUMIFS('الحركات الشهرية'!$F$6:$F$1005,'الحركات الشهرية'!$B$6:$B$1005,$B46,'الحركات الشهرية'!$A$6:$A$1005,$C$3))</f>
        <v/>
      </c>
      <c r="O46" s="86" t="str">
        <f aca="false">IF($B46="","",N46*(الموظفون!$N46+الموظفون!$J46*cfg_OT_P)/cfg_DAYS_M/cfg_HRS)</f>
        <v/>
      </c>
      <c r="P46" s="86" t="str">
        <f aca="false">IF($B46="","",SUMIFS('الحركات الشهرية'!$G$6:$G$1005,'الحركات الشهرية'!$B$6:$B$1005,$B46,'الحركات الشهرية'!$A$6:$A$1005,$C$3))</f>
        <v/>
      </c>
      <c r="Q46" s="86" t="str">
        <f aca="false">IF($B46="","",SUMIFS('الحركات الشهرية'!$H$6:$H$1005,'الحركات الشهرية'!$B$6:$B$1005,$B46,'الحركات الشهرية'!$A$6:$A$1005,$C$3))</f>
        <v/>
      </c>
      <c r="R46" s="106" t="str">
        <f aca="false">IF($B46="","",SUM(J46:M46)+SUM(O46:Q46))</f>
        <v/>
      </c>
      <c r="S46" s="86" t="str">
        <f aca="false">IF($B46="","",الموظفون!$Q46*IF(E46="سعودي",cfg_G_SE,cfg_G_NE)*F46/cfg_DAYS_M)</f>
        <v/>
      </c>
      <c r="T46" s="86" t="str">
        <f aca="false">IF($B46="","",SUMIFS('الحركات الشهرية'!$I$6:$I$1005,'الحركات الشهرية'!$B$6:$B$1005,$B46,'الحركات الشهرية'!$A$6:$A$1005,$C$3))</f>
        <v/>
      </c>
      <c r="U46" s="86" t="str">
        <f aca="false">IF($B46="","",SUMIFS('الحركات الشهرية'!$J$6:$J$1005,'الحركات الشهرية'!$B$6:$B$1005,$B46,'الحركات الشهرية'!$A$6:$A$1005,$C$3))</f>
        <v/>
      </c>
      <c r="V46" s="86" t="str">
        <f aca="false">IF($B46="","",SUM(S46:U46))</f>
        <v/>
      </c>
      <c r="W46" s="107" t="str">
        <f aca="false">IF($B46="","",R46-V46)</f>
        <v/>
      </c>
      <c r="X46" s="86" t="str">
        <f aca="false">IF($B46="","",الموظفون!$Q46*IF(E46="سعودي",cfg_G_SR,cfg_G_NR)*F46/cfg_DAYS_M)</f>
        <v/>
      </c>
      <c r="Y46" s="86" t="str">
        <f aca="false">IF($B46="","",الموظفون!$O46*(cfg_EOS_R1*(MIN(AC46,cfg_EOS_TH)-MIN(AD46,cfg_EOS_TH))+cfg_EOS_R2*(MAX(AC46-cfg_EOS_TH,0)-MAX(AD46-cfg_EOS_TH,0))))</f>
        <v/>
      </c>
      <c r="Z46" s="86" t="str">
        <f aca="false">IF($B46="","",IF(الموظفون!$R46&lt;&gt;"",الموظفون!$R46,IF(AC46&gt;=cfg_LV_TH,cfg_LV_D2,cfg_LV_D1))/cfg_DAYS_Y*AE46*الموظفون!$P46/cfg_DAYS_M)</f>
        <v/>
      </c>
      <c r="AA46" s="86" t="str">
        <f aca="false">IF($B46="","",IF(AND(الموظفون!$S46="نعم",N(الموظفون!$U46)&gt;0),الموظفون!$T46/الموظفون!$U46*12/cfg_DAYS_Y*AE46,0))</f>
        <v/>
      </c>
      <c r="AB46" s="108" t="str">
        <f aca="false">IF($B46="","",R46+SUM(X46:AA46))</f>
        <v/>
      </c>
      <c r="AC46" s="109" t="str">
        <f aca="false">IF($B46="","",MAX(0,IF(OR(الموظفون!$X46="",الموظفون!$X46&gt;$G$3),$G$3,الموظفون!$X46)-الموظفون!$H46+1)/cfg_DAYS_Y)</f>
        <v/>
      </c>
      <c r="AD46" s="109" t="str">
        <f aca="false">IF($B46="","",MAX(0,IF(OR(الموظفون!$X46="",الموظفون!$X46&gt;($E$3-1)),($E$3-1),الموظفون!$X46)-الموظفون!$H46+1)/cfg_DAYS_Y)</f>
        <v/>
      </c>
      <c r="AE46" s="51" t="str">
        <f aca="false">IF($B46="","",MAX(0,IF(OR(الموظفون!$X46="",الموظفون!$X46&gt;$G$3),$G$3,الموظفون!$X46)-MAX($E$3,الموظفون!$H46)+1))</f>
        <v/>
      </c>
    </row>
    <row r="47" customFormat="false" ht="15" hidden="false" customHeight="false" outlineLevel="0" collapsed="false">
      <c r="A47" s="89" t="str">
        <f aca="false">IF($B47="","",الموظفون!$A47)</f>
        <v/>
      </c>
      <c r="B47" s="91" t="str">
        <f aca="false">IF(الموظفون!$B47="","",الموظفون!$B47)</f>
        <v/>
      </c>
      <c r="C47" s="91" t="str">
        <f aca="false">IF($B47="","",الموظفون!$C47)</f>
        <v/>
      </c>
      <c r="D47" s="91" t="str">
        <f aca="false">IF($B47="","",الموظفون!$F47)</f>
        <v/>
      </c>
      <c r="E47" s="91" t="str">
        <f aca="false">IF($B47="","",الموظفون!$E47)</f>
        <v/>
      </c>
      <c r="F47" s="110" t="str">
        <f aca="false">IF($B47="","",IF(AE47&gt;=DAY($G$3),cfg_DAYS_M,MIN(AE47,cfg_DAYS_M)))</f>
        <v/>
      </c>
      <c r="G47" s="110" t="str">
        <f aca="false">IF($B47="","",SUMIFS('الحركات الشهرية'!$D$6:$D$1005,'الحركات الشهرية'!$B$6:$B$1005,$B47,'الحركات الشهرية'!$A$6:$A$1005,$C$3))</f>
        <v/>
      </c>
      <c r="H47" s="110" t="str">
        <f aca="false">IF($B47="","",SUMIFS('الحركات الشهرية'!$E$6:$E$1005,'الحركات الشهرية'!$B$6:$B$1005,$B47,'الحركات الشهرية'!$A$6:$A$1005,$C$3))</f>
        <v/>
      </c>
      <c r="I47" s="110" t="str">
        <f aca="false">IF($B47="","",MAX(0,F47-G47-H47))</f>
        <v/>
      </c>
      <c r="J47" s="90" t="str">
        <f aca="false">IF($B47="","",الموظفون!$J47*$I47/cfg_DAYS_M)</f>
        <v/>
      </c>
      <c r="K47" s="90" t="str">
        <f aca="false">IF($B47="","",الموظفون!$K47*$I47/cfg_DAYS_M)</f>
        <v/>
      </c>
      <c r="L47" s="90" t="str">
        <f aca="false">IF($B47="","",الموظفون!$L47*$I47/cfg_DAYS_M)</f>
        <v/>
      </c>
      <c r="M47" s="90" t="str">
        <f aca="false">IF($B47="","",الموظفون!$M47*$I47/cfg_DAYS_M)</f>
        <v/>
      </c>
      <c r="N47" s="110" t="str">
        <f aca="false">IF($B47="","",SUMIFS('الحركات الشهرية'!$F$6:$F$1005,'الحركات الشهرية'!$B$6:$B$1005,$B47,'الحركات الشهرية'!$A$6:$A$1005,$C$3))</f>
        <v/>
      </c>
      <c r="O47" s="90" t="str">
        <f aca="false">IF($B47="","",N47*(الموظفون!$N47+الموظفون!$J47*cfg_OT_P)/cfg_DAYS_M/cfg_HRS)</f>
        <v/>
      </c>
      <c r="P47" s="90" t="str">
        <f aca="false">IF($B47="","",SUMIFS('الحركات الشهرية'!$G$6:$G$1005,'الحركات الشهرية'!$B$6:$B$1005,$B47,'الحركات الشهرية'!$A$6:$A$1005,$C$3))</f>
        <v/>
      </c>
      <c r="Q47" s="90" t="str">
        <f aca="false">IF($B47="","",SUMIFS('الحركات الشهرية'!$H$6:$H$1005,'الحركات الشهرية'!$B$6:$B$1005,$B47,'الحركات الشهرية'!$A$6:$A$1005,$C$3))</f>
        <v/>
      </c>
      <c r="R47" s="111" t="str">
        <f aca="false">IF($B47="","",SUM(J47:M47)+SUM(O47:Q47))</f>
        <v/>
      </c>
      <c r="S47" s="90" t="str">
        <f aca="false">IF($B47="","",الموظفون!$Q47*IF(E47="سعودي",cfg_G_SE,cfg_G_NE)*F47/cfg_DAYS_M)</f>
        <v/>
      </c>
      <c r="T47" s="90" t="str">
        <f aca="false">IF($B47="","",SUMIFS('الحركات الشهرية'!$I$6:$I$1005,'الحركات الشهرية'!$B$6:$B$1005,$B47,'الحركات الشهرية'!$A$6:$A$1005,$C$3))</f>
        <v/>
      </c>
      <c r="U47" s="90" t="str">
        <f aca="false">IF($B47="","",SUMIFS('الحركات الشهرية'!$J$6:$J$1005,'الحركات الشهرية'!$B$6:$B$1005,$B47,'الحركات الشهرية'!$A$6:$A$1005,$C$3))</f>
        <v/>
      </c>
      <c r="V47" s="90" t="str">
        <f aca="false">IF($B47="","",SUM(S47:U47))</f>
        <v/>
      </c>
      <c r="W47" s="112" t="str">
        <f aca="false">IF($B47="","",R47-V47)</f>
        <v/>
      </c>
      <c r="X47" s="90" t="str">
        <f aca="false">IF($B47="","",الموظفون!$Q47*IF(E47="سعودي",cfg_G_SR,cfg_G_NR)*F47/cfg_DAYS_M)</f>
        <v/>
      </c>
      <c r="Y47" s="90" t="str">
        <f aca="false">IF($B47="","",الموظفون!$O47*(cfg_EOS_R1*(MIN(AC47,cfg_EOS_TH)-MIN(AD47,cfg_EOS_TH))+cfg_EOS_R2*(MAX(AC47-cfg_EOS_TH,0)-MAX(AD47-cfg_EOS_TH,0))))</f>
        <v/>
      </c>
      <c r="Z47" s="90" t="str">
        <f aca="false">IF($B47="","",IF(الموظفون!$R47&lt;&gt;"",الموظفون!$R47,IF(AC47&gt;=cfg_LV_TH,cfg_LV_D2,cfg_LV_D1))/cfg_DAYS_Y*AE47*الموظفون!$P47/cfg_DAYS_M)</f>
        <v/>
      </c>
      <c r="AA47" s="90" t="str">
        <f aca="false">IF($B47="","",IF(AND(الموظفون!$S47="نعم",N(الموظفون!$U47)&gt;0),الموظفون!$T47/الموظفون!$U47*12/cfg_DAYS_Y*AE47,0))</f>
        <v/>
      </c>
      <c r="AB47" s="113" t="str">
        <f aca="false">IF($B47="","",R47+SUM(X47:AA47))</f>
        <v/>
      </c>
      <c r="AC47" s="114" t="str">
        <f aca="false">IF($B47="","",MAX(0,IF(OR(الموظفون!$X47="",الموظفون!$X47&gt;$G$3),$G$3,الموظفون!$X47)-الموظفون!$H47+1)/cfg_DAYS_Y)</f>
        <v/>
      </c>
      <c r="AD47" s="114" t="str">
        <f aca="false">IF($B47="","",MAX(0,IF(OR(الموظفون!$X47="",الموظفون!$X47&gt;($E$3-1)),($E$3-1),الموظفون!$X47)-الموظفون!$H47+1)/cfg_DAYS_Y)</f>
        <v/>
      </c>
      <c r="AE47" s="115" t="str">
        <f aca="false">IF($B47="","",MAX(0,IF(OR(الموظفون!$X47="",الموظفون!$X47&gt;$G$3),$G$3,الموظفون!$X47)-MAX($E$3,الموظفون!$H47)+1))</f>
        <v/>
      </c>
    </row>
    <row r="48" customFormat="false" ht="15" hidden="false" customHeight="false" outlineLevel="0" collapsed="false">
      <c r="A48" s="83" t="str">
        <f aca="false">IF($B48="","",الموظفون!$A48)</f>
        <v/>
      </c>
      <c r="B48" s="74" t="str">
        <f aca="false">IF(الموظفون!$B48="","",الموظفون!$B48)</f>
        <v/>
      </c>
      <c r="C48" s="74" t="str">
        <f aca="false">IF($B48="","",الموظفون!$C48)</f>
        <v/>
      </c>
      <c r="D48" s="74" t="str">
        <f aca="false">IF($B48="","",الموظفون!$F48)</f>
        <v/>
      </c>
      <c r="E48" s="74" t="str">
        <f aca="false">IF($B48="","",الموظفون!$E48)</f>
        <v/>
      </c>
      <c r="F48" s="105" t="str">
        <f aca="false">IF($B48="","",IF(AE48&gt;=DAY($G$3),cfg_DAYS_M,MIN(AE48,cfg_DAYS_M)))</f>
        <v/>
      </c>
      <c r="G48" s="105" t="str">
        <f aca="false">IF($B48="","",SUMIFS('الحركات الشهرية'!$D$6:$D$1005,'الحركات الشهرية'!$B$6:$B$1005,$B48,'الحركات الشهرية'!$A$6:$A$1005,$C$3))</f>
        <v/>
      </c>
      <c r="H48" s="105" t="str">
        <f aca="false">IF($B48="","",SUMIFS('الحركات الشهرية'!$E$6:$E$1005,'الحركات الشهرية'!$B$6:$B$1005,$B48,'الحركات الشهرية'!$A$6:$A$1005,$C$3))</f>
        <v/>
      </c>
      <c r="I48" s="105" t="str">
        <f aca="false">IF($B48="","",MAX(0,F48-G48-H48))</f>
        <v/>
      </c>
      <c r="J48" s="86" t="str">
        <f aca="false">IF($B48="","",الموظفون!$J48*$I48/cfg_DAYS_M)</f>
        <v/>
      </c>
      <c r="K48" s="86" t="str">
        <f aca="false">IF($B48="","",الموظفون!$K48*$I48/cfg_DAYS_M)</f>
        <v/>
      </c>
      <c r="L48" s="86" t="str">
        <f aca="false">IF($B48="","",الموظفون!$L48*$I48/cfg_DAYS_M)</f>
        <v/>
      </c>
      <c r="M48" s="86" t="str">
        <f aca="false">IF($B48="","",الموظفون!$M48*$I48/cfg_DAYS_M)</f>
        <v/>
      </c>
      <c r="N48" s="105" t="str">
        <f aca="false">IF($B48="","",SUMIFS('الحركات الشهرية'!$F$6:$F$1005,'الحركات الشهرية'!$B$6:$B$1005,$B48,'الحركات الشهرية'!$A$6:$A$1005,$C$3))</f>
        <v/>
      </c>
      <c r="O48" s="86" t="str">
        <f aca="false">IF($B48="","",N48*(الموظفون!$N48+الموظفون!$J48*cfg_OT_P)/cfg_DAYS_M/cfg_HRS)</f>
        <v/>
      </c>
      <c r="P48" s="86" t="str">
        <f aca="false">IF($B48="","",SUMIFS('الحركات الشهرية'!$G$6:$G$1005,'الحركات الشهرية'!$B$6:$B$1005,$B48,'الحركات الشهرية'!$A$6:$A$1005,$C$3))</f>
        <v/>
      </c>
      <c r="Q48" s="86" t="str">
        <f aca="false">IF($B48="","",SUMIFS('الحركات الشهرية'!$H$6:$H$1005,'الحركات الشهرية'!$B$6:$B$1005,$B48,'الحركات الشهرية'!$A$6:$A$1005,$C$3))</f>
        <v/>
      </c>
      <c r="R48" s="106" t="str">
        <f aca="false">IF($B48="","",SUM(J48:M48)+SUM(O48:Q48))</f>
        <v/>
      </c>
      <c r="S48" s="86" t="str">
        <f aca="false">IF($B48="","",الموظفون!$Q48*IF(E48="سعودي",cfg_G_SE,cfg_G_NE)*F48/cfg_DAYS_M)</f>
        <v/>
      </c>
      <c r="T48" s="86" t="str">
        <f aca="false">IF($B48="","",SUMIFS('الحركات الشهرية'!$I$6:$I$1005,'الحركات الشهرية'!$B$6:$B$1005,$B48,'الحركات الشهرية'!$A$6:$A$1005,$C$3))</f>
        <v/>
      </c>
      <c r="U48" s="86" t="str">
        <f aca="false">IF($B48="","",SUMIFS('الحركات الشهرية'!$J$6:$J$1005,'الحركات الشهرية'!$B$6:$B$1005,$B48,'الحركات الشهرية'!$A$6:$A$1005,$C$3))</f>
        <v/>
      </c>
      <c r="V48" s="86" t="str">
        <f aca="false">IF($B48="","",SUM(S48:U48))</f>
        <v/>
      </c>
      <c r="W48" s="107" t="str">
        <f aca="false">IF($B48="","",R48-V48)</f>
        <v/>
      </c>
      <c r="X48" s="86" t="str">
        <f aca="false">IF($B48="","",الموظفون!$Q48*IF(E48="سعودي",cfg_G_SR,cfg_G_NR)*F48/cfg_DAYS_M)</f>
        <v/>
      </c>
      <c r="Y48" s="86" t="str">
        <f aca="false">IF($B48="","",الموظفون!$O48*(cfg_EOS_R1*(MIN(AC48,cfg_EOS_TH)-MIN(AD48,cfg_EOS_TH))+cfg_EOS_R2*(MAX(AC48-cfg_EOS_TH,0)-MAX(AD48-cfg_EOS_TH,0))))</f>
        <v/>
      </c>
      <c r="Z48" s="86" t="str">
        <f aca="false">IF($B48="","",IF(الموظفون!$R48&lt;&gt;"",الموظفون!$R48,IF(AC48&gt;=cfg_LV_TH,cfg_LV_D2,cfg_LV_D1))/cfg_DAYS_Y*AE48*الموظفون!$P48/cfg_DAYS_M)</f>
        <v/>
      </c>
      <c r="AA48" s="86" t="str">
        <f aca="false">IF($B48="","",IF(AND(الموظفون!$S48="نعم",N(الموظفون!$U48)&gt;0),الموظفون!$T48/الموظفون!$U48*12/cfg_DAYS_Y*AE48,0))</f>
        <v/>
      </c>
      <c r="AB48" s="108" t="str">
        <f aca="false">IF($B48="","",R48+SUM(X48:AA48))</f>
        <v/>
      </c>
      <c r="AC48" s="109" t="str">
        <f aca="false">IF($B48="","",MAX(0,IF(OR(الموظفون!$X48="",الموظفون!$X48&gt;$G$3),$G$3,الموظفون!$X48)-الموظفون!$H48+1)/cfg_DAYS_Y)</f>
        <v/>
      </c>
      <c r="AD48" s="109" t="str">
        <f aca="false">IF($B48="","",MAX(0,IF(OR(الموظفون!$X48="",الموظفون!$X48&gt;($E$3-1)),($E$3-1),الموظفون!$X48)-الموظفون!$H48+1)/cfg_DAYS_Y)</f>
        <v/>
      </c>
      <c r="AE48" s="51" t="str">
        <f aca="false">IF($B48="","",MAX(0,IF(OR(الموظفون!$X48="",الموظفون!$X48&gt;$G$3),$G$3,الموظفون!$X48)-MAX($E$3,الموظفون!$H48)+1))</f>
        <v/>
      </c>
    </row>
    <row r="49" customFormat="false" ht="15" hidden="false" customHeight="false" outlineLevel="0" collapsed="false">
      <c r="A49" s="89" t="str">
        <f aca="false">IF($B49="","",الموظفون!$A49)</f>
        <v/>
      </c>
      <c r="B49" s="91" t="str">
        <f aca="false">IF(الموظفون!$B49="","",الموظفون!$B49)</f>
        <v/>
      </c>
      <c r="C49" s="91" t="str">
        <f aca="false">IF($B49="","",الموظفون!$C49)</f>
        <v/>
      </c>
      <c r="D49" s="91" t="str">
        <f aca="false">IF($B49="","",الموظفون!$F49)</f>
        <v/>
      </c>
      <c r="E49" s="91" t="str">
        <f aca="false">IF($B49="","",الموظفون!$E49)</f>
        <v/>
      </c>
      <c r="F49" s="110" t="str">
        <f aca="false">IF($B49="","",IF(AE49&gt;=DAY($G$3),cfg_DAYS_M,MIN(AE49,cfg_DAYS_M)))</f>
        <v/>
      </c>
      <c r="G49" s="110" t="str">
        <f aca="false">IF($B49="","",SUMIFS('الحركات الشهرية'!$D$6:$D$1005,'الحركات الشهرية'!$B$6:$B$1005,$B49,'الحركات الشهرية'!$A$6:$A$1005,$C$3))</f>
        <v/>
      </c>
      <c r="H49" s="110" t="str">
        <f aca="false">IF($B49="","",SUMIFS('الحركات الشهرية'!$E$6:$E$1005,'الحركات الشهرية'!$B$6:$B$1005,$B49,'الحركات الشهرية'!$A$6:$A$1005,$C$3))</f>
        <v/>
      </c>
      <c r="I49" s="110" t="str">
        <f aca="false">IF($B49="","",MAX(0,F49-G49-H49))</f>
        <v/>
      </c>
      <c r="J49" s="90" t="str">
        <f aca="false">IF($B49="","",الموظفون!$J49*$I49/cfg_DAYS_M)</f>
        <v/>
      </c>
      <c r="K49" s="90" t="str">
        <f aca="false">IF($B49="","",الموظفون!$K49*$I49/cfg_DAYS_M)</f>
        <v/>
      </c>
      <c r="L49" s="90" t="str">
        <f aca="false">IF($B49="","",الموظفون!$L49*$I49/cfg_DAYS_M)</f>
        <v/>
      </c>
      <c r="M49" s="90" t="str">
        <f aca="false">IF($B49="","",الموظفون!$M49*$I49/cfg_DAYS_M)</f>
        <v/>
      </c>
      <c r="N49" s="110" t="str">
        <f aca="false">IF($B49="","",SUMIFS('الحركات الشهرية'!$F$6:$F$1005,'الحركات الشهرية'!$B$6:$B$1005,$B49,'الحركات الشهرية'!$A$6:$A$1005,$C$3))</f>
        <v/>
      </c>
      <c r="O49" s="90" t="str">
        <f aca="false">IF($B49="","",N49*(الموظفون!$N49+الموظفون!$J49*cfg_OT_P)/cfg_DAYS_M/cfg_HRS)</f>
        <v/>
      </c>
      <c r="P49" s="90" t="str">
        <f aca="false">IF($B49="","",SUMIFS('الحركات الشهرية'!$G$6:$G$1005,'الحركات الشهرية'!$B$6:$B$1005,$B49,'الحركات الشهرية'!$A$6:$A$1005,$C$3))</f>
        <v/>
      </c>
      <c r="Q49" s="90" t="str">
        <f aca="false">IF($B49="","",SUMIFS('الحركات الشهرية'!$H$6:$H$1005,'الحركات الشهرية'!$B$6:$B$1005,$B49,'الحركات الشهرية'!$A$6:$A$1005,$C$3))</f>
        <v/>
      </c>
      <c r="R49" s="111" t="str">
        <f aca="false">IF($B49="","",SUM(J49:M49)+SUM(O49:Q49))</f>
        <v/>
      </c>
      <c r="S49" s="90" t="str">
        <f aca="false">IF($B49="","",الموظفون!$Q49*IF(E49="سعودي",cfg_G_SE,cfg_G_NE)*F49/cfg_DAYS_M)</f>
        <v/>
      </c>
      <c r="T49" s="90" t="str">
        <f aca="false">IF($B49="","",SUMIFS('الحركات الشهرية'!$I$6:$I$1005,'الحركات الشهرية'!$B$6:$B$1005,$B49,'الحركات الشهرية'!$A$6:$A$1005,$C$3))</f>
        <v/>
      </c>
      <c r="U49" s="90" t="str">
        <f aca="false">IF($B49="","",SUMIFS('الحركات الشهرية'!$J$6:$J$1005,'الحركات الشهرية'!$B$6:$B$1005,$B49,'الحركات الشهرية'!$A$6:$A$1005,$C$3))</f>
        <v/>
      </c>
      <c r="V49" s="90" t="str">
        <f aca="false">IF($B49="","",SUM(S49:U49))</f>
        <v/>
      </c>
      <c r="W49" s="112" t="str">
        <f aca="false">IF($B49="","",R49-V49)</f>
        <v/>
      </c>
      <c r="X49" s="90" t="str">
        <f aca="false">IF($B49="","",الموظفون!$Q49*IF(E49="سعودي",cfg_G_SR,cfg_G_NR)*F49/cfg_DAYS_M)</f>
        <v/>
      </c>
      <c r="Y49" s="90" t="str">
        <f aca="false">IF($B49="","",الموظفون!$O49*(cfg_EOS_R1*(MIN(AC49,cfg_EOS_TH)-MIN(AD49,cfg_EOS_TH))+cfg_EOS_R2*(MAX(AC49-cfg_EOS_TH,0)-MAX(AD49-cfg_EOS_TH,0))))</f>
        <v/>
      </c>
      <c r="Z49" s="90" t="str">
        <f aca="false">IF($B49="","",IF(الموظفون!$R49&lt;&gt;"",الموظفون!$R49,IF(AC49&gt;=cfg_LV_TH,cfg_LV_D2,cfg_LV_D1))/cfg_DAYS_Y*AE49*الموظفون!$P49/cfg_DAYS_M)</f>
        <v/>
      </c>
      <c r="AA49" s="90" t="str">
        <f aca="false">IF($B49="","",IF(AND(الموظفون!$S49="نعم",N(الموظفون!$U49)&gt;0),الموظفون!$T49/الموظفون!$U49*12/cfg_DAYS_Y*AE49,0))</f>
        <v/>
      </c>
      <c r="AB49" s="113" t="str">
        <f aca="false">IF($B49="","",R49+SUM(X49:AA49))</f>
        <v/>
      </c>
      <c r="AC49" s="114" t="str">
        <f aca="false">IF($B49="","",MAX(0,IF(OR(الموظفون!$X49="",الموظفون!$X49&gt;$G$3),$G$3,الموظفون!$X49)-الموظفون!$H49+1)/cfg_DAYS_Y)</f>
        <v/>
      </c>
      <c r="AD49" s="114" t="str">
        <f aca="false">IF($B49="","",MAX(0,IF(OR(الموظفون!$X49="",الموظفون!$X49&gt;($E$3-1)),($E$3-1),الموظفون!$X49)-الموظفون!$H49+1)/cfg_DAYS_Y)</f>
        <v/>
      </c>
      <c r="AE49" s="115" t="str">
        <f aca="false">IF($B49="","",MAX(0,IF(OR(الموظفون!$X49="",الموظفون!$X49&gt;$G$3),$G$3,الموظفون!$X49)-MAX($E$3,الموظفون!$H49)+1))</f>
        <v/>
      </c>
    </row>
    <row r="50" customFormat="false" ht="15" hidden="false" customHeight="false" outlineLevel="0" collapsed="false">
      <c r="A50" s="83" t="str">
        <f aca="false">IF($B50="","",الموظفون!$A50)</f>
        <v/>
      </c>
      <c r="B50" s="74" t="str">
        <f aca="false">IF(الموظفون!$B50="","",الموظفون!$B50)</f>
        <v/>
      </c>
      <c r="C50" s="74" t="str">
        <f aca="false">IF($B50="","",الموظفون!$C50)</f>
        <v/>
      </c>
      <c r="D50" s="74" t="str">
        <f aca="false">IF($B50="","",الموظفون!$F50)</f>
        <v/>
      </c>
      <c r="E50" s="74" t="str">
        <f aca="false">IF($B50="","",الموظفون!$E50)</f>
        <v/>
      </c>
      <c r="F50" s="105" t="str">
        <f aca="false">IF($B50="","",IF(AE50&gt;=DAY($G$3),cfg_DAYS_M,MIN(AE50,cfg_DAYS_M)))</f>
        <v/>
      </c>
      <c r="G50" s="105" t="str">
        <f aca="false">IF($B50="","",SUMIFS('الحركات الشهرية'!$D$6:$D$1005,'الحركات الشهرية'!$B$6:$B$1005,$B50,'الحركات الشهرية'!$A$6:$A$1005,$C$3))</f>
        <v/>
      </c>
      <c r="H50" s="105" t="str">
        <f aca="false">IF($B50="","",SUMIFS('الحركات الشهرية'!$E$6:$E$1005,'الحركات الشهرية'!$B$6:$B$1005,$B50,'الحركات الشهرية'!$A$6:$A$1005,$C$3))</f>
        <v/>
      </c>
      <c r="I50" s="105" t="str">
        <f aca="false">IF($B50="","",MAX(0,F50-G50-H50))</f>
        <v/>
      </c>
      <c r="J50" s="86" t="str">
        <f aca="false">IF($B50="","",الموظفون!$J50*$I50/cfg_DAYS_M)</f>
        <v/>
      </c>
      <c r="K50" s="86" t="str">
        <f aca="false">IF($B50="","",الموظفون!$K50*$I50/cfg_DAYS_M)</f>
        <v/>
      </c>
      <c r="L50" s="86" t="str">
        <f aca="false">IF($B50="","",الموظفون!$L50*$I50/cfg_DAYS_M)</f>
        <v/>
      </c>
      <c r="M50" s="86" t="str">
        <f aca="false">IF($B50="","",الموظفون!$M50*$I50/cfg_DAYS_M)</f>
        <v/>
      </c>
      <c r="N50" s="105" t="str">
        <f aca="false">IF($B50="","",SUMIFS('الحركات الشهرية'!$F$6:$F$1005,'الحركات الشهرية'!$B$6:$B$1005,$B50,'الحركات الشهرية'!$A$6:$A$1005,$C$3))</f>
        <v/>
      </c>
      <c r="O50" s="86" t="str">
        <f aca="false">IF($B50="","",N50*(الموظفون!$N50+الموظفون!$J50*cfg_OT_P)/cfg_DAYS_M/cfg_HRS)</f>
        <v/>
      </c>
      <c r="P50" s="86" t="str">
        <f aca="false">IF($B50="","",SUMIFS('الحركات الشهرية'!$G$6:$G$1005,'الحركات الشهرية'!$B$6:$B$1005,$B50,'الحركات الشهرية'!$A$6:$A$1005,$C$3))</f>
        <v/>
      </c>
      <c r="Q50" s="86" t="str">
        <f aca="false">IF($B50="","",SUMIFS('الحركات الشهرية'!$H$6:$H$1005,'الحركات الشهرية'!$B$6:$B$1005,$B50,'الحركات الشهرية'!$A$6:$A$1005,$C$3))</f>
        <v/>
      </c>
      <c r="R50" s="106" t="str">
        <f aca="false">IF($B50="","",SUM(J50:M50)+SUM(O50:Q50))</f>
        <v/>
      </c>
      <c r="S50" s="86" t="str">
        <f aca="false">IF($B50="","",الموظفون!$Q50*IF(E50="سعودي",cfg_G_SE,cfg_G_NE)*F50/cfg_DAYS_M)</f>
        <v/>
      </c>
      <c r="T50" s="86" t="str">
        <f aca="false">IF($B50="","",SUMIFS('الحركات الشهرية'!$I$6:$I$1005,'الحركات الشهرية'!$B$6:$B$1005,$B50,'الحركات الشهرية'!$A$6:$A$1005,$C$3))</f>
        <v/>
      </c>
      <c r="U50" s="86" t="str">
        <f aca="false">IF($B50="","",SUMIFS('الحركات الشهرية'!$J$6:$J$1005,'الحركات الشهرية'!$B$6:$B$1005,$B50,'الحركات الشهرية'!$A$6:$A$1005,$C$3))</f>
        <v/>
      </c>
      <c r="V50" s="86" t="str">
        <f aca="false">IF($B50="","",SUM(S50:U50))</f>
        <v/>
      </c>
      <c r="W50" s="107" t="str">
        <f aca="false">IF($B50="","",R50-V50)</f>
        <v/>
      </c>
      <c r="X50" s="86" t="str">
        <f aca="false">IF($B50="","",الموظفون!$Q50*IF(E50="سعودي",cfg_G_SR,cfg_G_NR)*F50/cfg_DAYS_M)</f>
        <v/>
      </c>
      <c r="Y50" s="86" t="str">
        <f aca="false">IF($B50="","",الموظفون!$O50*(cfg_EOS_R1*(MIN(AC50,cfg_EOS_TH)-MIN(AD50,cfg_EOS_TH))+cfg_EOS_R2*(MAX(AC50-cfg_EOS_TH,0)-MAX(AD50-cfg_EOS_TH,0))))</f>
        <v/>
      </c>
      <c r="Z50" s="86" t="str">
        <f aca="false">IF($B50="","",IF(الموظفون!$R50&lt;&gt;"",الموظفون!$R50,IF(AC50&gt;=cfg_LV_TH,cfg_LV_D2,cfg_LV_D1))/cfg_DAYS_Y*AE50*الموظفون!$P50/cfg_DAYS_M)</f>
        <v/>
      </c>
      <c r="AA50" s="86" t="str">
        <f aca="false">IF($B50="","",IF(AND(الموظفون!$S50="نعم",N(الموظفون!$U50)&gt;0),الموظفون!$T50/الموظفون!$U50*12/cfg_DAYS_Y*AE50,0))</f>
        <v/>
      </c>
      <c r="AB50" s="108" t="str">
        <f aca="false">IF($B50="","",R50+SUM(X50:AA50))</f>
        <v/>
      </c>
      <c r="AC50" s="109" t="str">
        <f aca="false">IF($B50="","",MAX(0,IF(OR(الموظفون!$X50="",الموظفون!$X50&gt;$G$3),$G$3,الموظفون!$X50)-الموظفون!$H50+1)/cfg_DAYS_Y)</f>
        <v/>
      </c>
      <c r="AD50" s="109" t="str">
        <f aca="false">IF($B50="","",MAX(0,IF(OR(الموظفون!$X50="",الموظفون!$X50&gt;($E$3-1)),($E$3-1),الموظفون!$X50)-الموظفون!$H50+1)/cfg_DAYS_Y)</f>
        <v/>
      </c>
      <c r="AE50" s="51" t="str">
        <f aca="false">IF($B50="","",MAX(0,IF(OR(الموظفون!$X50="",الموظفون!$X50&gt;$G$3),$G$3,الموظفون!$X50)-MAX($E$3,الموظفون!$H50)+1))</f>
        <v/>
      </c>
    </row>
    <row r="51" customFormat="false" ht="15" hidden="false" customHeight="false" outlineLevel="0" collapsed="false">
      <c r="A51" s="89" t="str">
        <f aca="false">IF($B51="","",الموظفون!$A51)</f>
        <v/>
      </c>
      <c r="B51" s="91" t="str">
        <f aca="false">IF(الموظفون!$B51="","",الموظفون!$B51)</f>
        <v/>
      </c>
      <c r="C51" s="91" t="str">
        <f aca="false">IF($B51="","",الموظفون!$C51)</f>
        <v/>
      </c>
      <c r="D51" s="91" t="str">
        <f aca="false">IF($B51="","",الموظفون!$F51)</f>
        <v/>
      </c>
      <c r="E51" s="91" t="str">
        <f aca="false">IF($B51="","",الموظفون!$E51)</f>
        <v/>
      </c>
      <c r="F51" s="110" t="str">
        <f aca="false">IF($B51="","",IF(AE51&gt;=DAY($G$3),cfg_DAYS_M,MIN(AE51,cfg_DAYS_M)))</f>
        <v/>
      </c>
      <c r="G51" s="110" t="str">
        <f aca="false">IF($B51="","",SUMIFS('الحركات الشهرية'!$D$6:$D$1005,'الحركات الشهرية'!$B$6:$B$1005,$B51,'الحركات الشهرية'!$A$6:$A$1005,$C$3))</f>
        <v/>
      </c>
      <c r="H51" s="110" t="str">
        <f aca="false">IF($B51="","",SUMIFS('الحركات الشهرية'!$E$6:$E$1005,'الحركات الشهرية'!$B$6:$B$1005,$B51,'الحركات الشهرية'!$A$6:$A$1005,$C$3))</f>
        <v/>
      </c>
      <c r="I51" s="110" t="str">
        <f aca="false">IF($B51="","",MAX(0,F51-G51-H51))</f>
        <v/>
      </c>
      <c r="J51" s="90" t="str">
        <f aca="false">IF($B51="","",الموظفون!$J51*$I51/cfg_DAYS_M)</f>
        <v/>
      </c>
      <c r="K51" s="90" t="str">
        <f aca="false">IF($B51="","",الموظفون!$K51*$I51/cfg_DAYS_M)</f>
        <v/>
      </c>
      <c r="L51" s="90" t="str">
        <f aca="false">IF($B51="","",الموظفون!$L51*$I51/cfg_DAYS_M)</f>
        <v/>
      </c>
      <c r="M51" s="90" t="str">
        <f aca="false">IF($B51="","",الموظفون!$M51*$I51/cfg_DAYS_M)</f>
        <v/>
      </c>
      <c r="N51" s="110" t="str">
        <f aca="false">IF($B51="","",SUMIFS('الحركات الشهرية'!$F$6:$F$1005,'الحركات الشهرية'!$B$6:$B$1005,$B51,'الحركات الشهرية'!$A$6:$A$1005,$C$3))</f>
        <v/>
      </c>
      <c r="O51" s="90" t="str">
        <f aca="false">IF($B51="","",N51*(الموظفون!$N51+الموظفون!$J51*cfg_OT_P)/cfg_DAYS_M/cfg_HRS)</f>
        <v/>
      </c>
      <c r="P51" s="90" t="str">
        <f aca="false">IF($B51="","",SUMIFS('الحركات الشهرية'!$G$6:$G$1005,'الحركات الشهرية'!$B$6:$B$1005,$B51,'الحركات الشهرية'!$A$6:$A$1005,$C$3))</f>
        <v/>
      </c>
      <c r="Q51" s="90" t="str">
        <f aca="false">IF($B51="","",SUMIFS('الحركات الشهرية'!$H$6:$H$1005,'الحركات الشهرية'!$B$6:$B$1005,$B51,'الحركات الشهرية'!$A$6:$A$1005,$C$3))</f>
        <v/>
      </c>
      <c r="R51" s="111" t="str">
        <f aca="false">IF($B51="","",SUM(J51:M51)+SUM(O51:Q51))</f>
        <v/>
      </c>
      <c r="S51" s="90" t="str">
        <f aca="false">IF($B51="","",الموظفون!$Q51*IF(E51="سعودي",cfg_G_SE,cfg_G_NE)*F51/cfg_DAYS_M)</f>
        <v/>
      </c>
      <c r="T51" s="90" t="str">
        <f aca="false">IF($B51="","",SUMIFS('الحركات الشهرية'!$I$6:$I$1005,'الحركات الشهرية'!$B$6:$B$1005,$B51,'الحركات الشهرية'!$A$6:$A$1005,$C$3))</f>
        <v/>
      </c>
      <c r="U51" s="90" t="str">
        <f aca="false">IF($B51="","",SUMIFS('الحركات الشهرية'!$J$6:$J$1005,'الحركات الشهرية'!$B$6:$B$1005,$B51,'الحركات الشهرية'!$A$6:$A$1005,$C$3))</f>
        <v/>
      </c>
      <c r="V51" s="90" t="str">
        <f aca="false">IF($B51="","",SUM(S51:U51))</f>
        <v/>
      </c>
      <c r="W51" s="112" t="str">
        <f aca="false">IF($B51="","",R51-V51)</f>
        <v/>
      </c>
      <c r="X51" s="90" t="str">
        <f aca="false">IF($B51="","",الموظفون!$Q51*IF(E51="سعودي",cfg_G_SR,cfg_G_NR)*F51/cfg_DAYS_M)</f>
        <v/>
      </c>
      <c r="Y51" s="90" t="str">
        <f aca="false">IF($B51="","",الموظفون!$O51*(cfg_EOS_R1*(MIN(AC51,cfg_EOS_TH)-MIN(AD51,cfg_EOS_TH))+cfg_EOS_R2*(MAX(AC51-cfg_EOS_TH,0)-MAX(AD51-cfg_EOS_TH,0))))</f>
        <v/>
      </c>
      <c r="Z51" s="90" t="str">
        <f aca="false">IF($B51="","",IF(الموظفون!$R51&lt;&gt;"",الموظفون!$R51,IF(AC51&gt;=cfg_LV_TH,cfg_LV_D2,cfg_LV_D1))/cfg_DAYS_Y*AE51*الموظفون!$P51/cfg_DAYS_M)</f>
        <v/>
      </c>
      <c r="AA51" s="90" t="str">
        <f aca="false">IF($B51="","",IF(AND(الموظفون!$S51="نعم",N(الموظفون!$U51)&gt;0),الموظفون!$T51/الموظفون!$U51*12/cfg_DAYS_Y*AE51,0))</f>
        <v/>
      </c>
      <c r="AB51" s="113" t="str">
        <f aca="false">IF($B51="","",R51+SUM(X51:AA51))</f>
        <v/>
      </c>
      <c r="AC51" s="114" t="str">
        <f aca="false">IF($B51="","",MAX(0,IF(OR(الموظفون!$X51="",الموظفون!$X51&gt;$G$3),$G$3,الموظفون!$X51)-الموظفون!$H51+1)/cfg_DAYS_Y)</f>
        <v/>
      </c>
      <c r="AD51" s="114" t="str">
        <f aca="false">IF($B51="","",MAX(0,IF(OR(الموظفون!$X51="",الموظفون!$X51&gt;($E$3-1)),($E$3-1),الموظفون!$X51)-الموظفون!$H51+1)/cfg_DAYS_Y)</f>
        <v/>
      </c>
      <c r="AE51" s="115" t="str">
        <f aca="false">IF($B51="","",MAX(0,IF(OR(الموظفون!$X51="",الموظفون!$X51&gt;$G$3),$G$3,الموظفون!$X51)-MAX($E$3,الموظفون!$H51)+1))</f>
        <v/>
      </c>
    </row>
    <row r="52" customFormat="false" ht="15" hidden="false" customHeight="false" outlineLevel="0" collapsed="false">
      <c r="A52" s="83" t="str">
        <f aca="false">IF($B52="","",الموظفون!$A52)</f>
        <v/>
      </c>
      <c r="B52" s="74" t="str">
        <f aca="false">IF(الموظفون!$B52="","",الموظفون!$B52)</f>
        <v/>
      </c>
      <c r="C52" s="74" t="str">
        <f aca="false">IF($B52="","",الموظفون!$C52)</f>
        <v/>
      </c>
      <c r="D52" s="74" t="str">
        <f aca="false">IF($B52="","",الموظفون!$F52)</f>
        <v/>
      </c>
      <c r="E52" s="74" t="str">
        <f aca="false">IF($B52="","",الموظفون!$E52)</f>
        <v/>
      </c>
      <c r="F52" s="105" t="str">
        <f aca="false">IF($B52="","",IF(AE52&gt;=DAY($G$3),cfg_DAYS_M,MIN(AE52,cfg_DAYS_M)))</f>
        <v/>
      </c>
      <c r="G52" s="105" t="str">
        <f aca="false">IF($B52="","",SUMIFS('الحركات الشهرية'!$D$6:$D$1005,'الحركات الشهرية'!$B$6:$B$1005,$B52,'الحركات الشهرية'!$A$6:$A$1005,$C$3))</f>
        <v/>
      </c>
      <c r="H52" s="105" t="str">
        <f aca="false">IF($B52="","",SUMIFS('الحركات الشهرية'!$E$6:$E$1005,'الحركات الشهرية'!$B$6:$B$1005,$B52,'الحركات الشهرية'!$A$6:$A$1005,$C$3))</f>
        <v/>
      </c>
      <c r="I52" s="105" t="str">
        <f aca="false">IF($B52="","",MAX(0,F52-G52-H52))</f>
        <v/>
      </c>
      <c r="J52" s="86" t="str">
        <f aca="false">IF($B52="","",الموظفون!$J52*$I52/cfg_DAYS_M)</f>
        <v/>
      </c>
      <c r="K52" s="86" t="str">
        <f aca="false">IF($B52="","",الموظفون!$K52*$I52/cfg_DAYS_M)</f>
        <v/>
      </c>
      <c r="L52" s="86" t="str">
        <f aca="false">IF($B52="","",الموظفون!$L52*$I52/cfg_DAYS_M)</f>
        <v/>
      </c>
      <c r="M52" s="86" t="str">
        <f aca="false">IF($B52="","",الموظفون!$M52*$I52/cfg_DAYS_M)</f>
        <v/>
      </c>
      <c r="N52" s="105" t="str">
        <f aca="false">IF($B52="","",SUMIFS('الحركات الشهرية'!$F$6:$F$1005,'الحركات الشهرية'!$B$6:$B$1005,$B52,'الحركات الشهرية'!$A$6:$A$1005,$C$3))</f>
        <v/>
      </c>
      <c r="O52" s="86" t="str">
        <f aca="false">IF($B52="","",N52*(الموظفون!$N52+الموظفون!$J52*cfg_OT_P)/cfg_DAYS_M/cfg_HRS)</f>
        <v/>
      </c>
      <c r="P52" s="86" t="str">
        <f aca="false">IF($B52="","",SUMIFS('الحركات الشهرية'!$G$6:$G$1005,'الحركات الشهرية'!$B$6:$B$1005,$B52,'الحركات الشهرية'!$A$6:$A$1005,$C$3))</f>
        <v/>
      </c>
      <c r="Q52" s="86" t="str">
        <f aca="false">IF($B52="","",SUMIFS('الحركات الشهرية'!$H$6:$H$1005,'الحركات الشهرية'!$B$6:$B$1005,$B52,'الحركات الشهرية'!$A$6:$A$1005,$C$3))</f>
        <v/>
      </c>
      <c r="R52" s="106" t="str">
        <f aca="false">IF($B52="","",SUM(J52:M52)+SUM(O52:Q52))</f>
        <v/>
      </c>
      <c r="S52" s="86" t="str">
        <f aca="false">IF($B52="","",الموظفون!$Q52*IF(E52="سعودي",cfg_G_SE,cfg_G_NE)*F52/cfg_DAYS_M)</f>
        <v/>
      </c>
      <c r="T52" s="86" t="str">
        <f aca="false">IF($B52="","",SUMIFS('الحركات الشهرية'!$I$6:$I$1005,'الحركات الشهرية'!$B$6:$B$1005,$B52,'الحركات الشهرية'!$A$6:$A$1005,$C$3))</f>
        <v/>
      </c>
      <c r="U52" s="86" t="str">
        <f aca="false">IF($B52="","",SUMIFS('الحركات الشهرية'!$J$6:$J$1005,'الحركات الشهرية'!$B$6:$B$1005,$B52,'الحركات الشهرية'!$A$6:$A$1005,$C$3))</f>
        <v/>
      </c>
      <c r="V52" s="86" t="str">
        <f aca="false">IF($B52="","",SUM(S52:U52))</f>
        <v/>
      </c>
      <c r="W52" s="107" t="str">
        <f aca="false">IF($B52="","",R52-V52)</f>
        <v/>
      </c>
      <c r="X52" s="86" t="str">
        <f aca="false">IF($B52="","",الموظفون!$Q52*IF(E52="سعودي",cfg_G_SR,cfg_G_NR)*F52/cfg_DAYS_M)</f>
        <v/>
      </c>
      <c r="Y52" s="86" t="str">
        <f aca="false">IF($B52="","",الموظفون!$O52*(cfg_EOS_R1*(MIN(AC52,cfg_EOS_TH)-MIN(AD52,cfg_EOS_TH))+cfg_EOS_R2*(MAX(AC52-cfg_EOS_TH,0)-MAX(AD52-cfg_EOS_TH,0))))</f>
        <v/>
      </c>
      <c r="Z52" s="86" t="str">
        <f aca="false">IF($B52="","",IF(الموظفون!$R52&lt;&gt;"",الموظفون!$R52,IF(AC52&gt;=cfg_LV_TH,cfg_LV_D2,cfg_LV_D1))/cfg_DAYS_Y*AE52*الموظفون!$P52/cfg_DAYS_M)</f>
        <v/>
      </c>
      <c r="AA52" s="86" t="str">
        <f aca="false">IF($B52="","",IF(AND(الموظفون!$S52="نعم",N(الموظفون!$U52)&gt;0),الموظفون!$T52/الموظفون!$U52*12/cfg_DAYS_Y*AE52,0))</f>
        <v/>
      </c>
      <c r="AB52" s="108" t="str">
        <f aca="false">IF($B52="","",R52+SUM(X52:AA52))</f>
        <v/>
      </c>
      <c r="AC52" s="109" t="str">
        <f aca="false">IF($B52="","",MAX(0,IF(OR(الموظفون!$X52="",الموظفون!$X52&gt;$G$3),$G$3,الموظفون!$X52)-الموظفون!$H52+1)/cfg_DAYS_Y)</f>
        <v/>
      </c>
      <c r="AD52" s="109" t="str">
        <f aca="false">IF($B52="","",MAX(0,IF(OR(الموظفون!$X52="",الموظفون!$X52&gt;($E$3-1)),($E$3-1),الموظفون!$X52)-الموظفون!$H52+1)/cfg_DAYS_Y)</f>
        <v/>
      </c>
      <c r="AE52" s="51" t="str">
        <f aca="false">IF($B52="","",MAX(0,IF(OR(الموظفون!$X52="",الموظفون!$X52&gt;$G$3),$G$3,الموظفون!$X52)-MAX($E$3,الموظفون!$H52)+1))</f>
        <v/>
      </c>
    </row>
    <row r="53" customFormat="false" ht="15" hidden="false" customHeight="false" outlineLevel="0" collapsed="false">
      <c r="A53" s="89" t="str">
        <f aca="false">IF($B53="","",الموظفون!$A53)</f>
        <v/>
      </c>
      <c r="B53" s="91" t="str">
        <f aca="false">IF(الموظفون!$B53="","",الموظفون!$B53)</f>
        <v/>
      </c>
      <c r="C53" s="91" t="str">
        <f aca="false">IF($B53="","",الموظفون!$C53)</f>
        <v/>
      </c>
      <c r="D53" s="91" t="str">
        <f aca="false">IF($B53="","",الموظفون!$F53)</f>
        <v/>
      </c>
      <c r="E53" s="91" t="str">
        <f aca="false">IF($B53="","",الموظفون!$E53)</f>
        <v/>
      </c>
      <c r="F53" s="110" t="str">
        <f aca="false">IF($B53="","",IF(AE53&gt;=DAY($G$3),cfg_DAYS_M,MIN(AE53,cfg_DAYS_M)))</f>
        <v/>
      </c>
      <c r="G53" s="110" t="str">
        <f aca="false">IF($B53="","",SUMIFS('الحركات الشهرية'!$D$6:$D$1005,'الحركات الشهرية'!$B$6:$B$1005,$B53,'الحركات الشهرية'!$A$6:$A$1005,$C$3))</f>
        <v/>
      </c>
      <c r="H53" s="110" t="str">
        <f aca="false">IF($B53="","",SUMIFS('الحركات الشهرية'!$E$6:$E$1005,'الحركات الشهرية'!$B$6:$B$1005,$B53,'الحركات الشهرية'!$A$6:$A$1005,$C$3))</f>
        <v/>
      </c>
      <c r="I53" s="110" t="str">
        <f aca="false">IF($B53="","",MAX(0,F53-G53-H53))</f>
        <v/>
      </c>
      <c r="J53" s="90" t="str">
        <f aca="false">IF($B53="","",الموظفون!$J53*$I53/cfg_DAYS_M)</f>
        <v/>
      </c>
      <c r="K53" s="90" t="str">
        <f aca="false">IF($B53="","",الموظفون!$K53*$I53/cfg_DAYS_M)</f>
        <v/>
      </c>
      <c r="L53" s="90" t="str">
        <f aca="false">IF($B53="","",الموظفون!$L53*$I53/cfg_DAYS_M)</f>
        <v/>
      </c>
      <c r="M53" s="90" t="str">
        <f aca="false">IF($B53="","",الموظفون!$M53*$I53/cfg_DAYS_M)</f>
        <v/>
      </c>
      <c r="N53" s="110" t="str">
        <f aca="false">IF($B53="","",SUMIFS('الحركات الشهرية'!$F$6:$F$1005,'الحركات الشهرية'!$B$6:$B$1005,$B53,'الحركات الشهرية'!$A$6:$A$1005,$C$3))</f>
        <v/>
      </c>
      <c r="O53" s="90" t="str">
        <f aca="false">IF($B53="","",N53*(الموظفون!$N53+الموظفون!$J53*cfg_OT_P)/cfg_DAYS_M/cfg_HRS)</f>
        <v/>
      </c>
      <c r="P53" s="90" t="str">
        <f aca="false">IF($B53="","",SUMIFS('الحركات الشهرية'!$G$6:$G$1005,'الحركات الشهرية'!$B$6:$B$1005,$B53,'الحركات الشهرية'!$A$6:$A$1005,$C$3))</f>
        <v/>
      </c>
      <c r="Q53" s="90" t="str">
        <f aca="false">IF($B53="","",SUMIFS('الحركات الشهرية'!$H$6:$H$1005,'الحركات الشهرية'!$B$6:$B$1005,$B53,'الحركات الشهرية'!$A$6:$A$1005,$C$3))</f>
        <v/>
      </c>
      <c r="R53" s="111" t="str">
        <f aca="false">IF($B53="","",SUM(J53:M53)+SUM(O53:Q53))</f>
        <v/>
      </c>
      <c r="S53" s="90" t="str">
        <f aca="false">IF($B53="","",الموظفون!$Q53*IF(E53="سعودي",cfg_G_SE,cfg_G_NE)*F53/cfg_DAYS_M)</f>
        <v/>
      </c>
      <c r="T53" s="90" t="str">
        <f aca="false">IF($B53="","",SUMIFS('الحركات الشهرية'!$I$6:$I$1005,'الحركات الشهرية'!$B$6:$B$1005,$B53,'الحركات الشهرية'!$A$6:$A$1005,$C$3))</f>
        <v/>
      </c>
      <c r="U53" s="90" t="str">
        <f aca="false">IF($B53="","",SUMIFS('الحركات الشهرية'!$J$6:$J$1005,'الحركات الشهرية'!$B$6:$B$1005,$B53,'الحركات الشهرية'!$A$6:$A$1005,$C$3))</f>
        <v/>
      </c>
      <c r="V53" s="90" t="str">
        <f aca="false">IF($B53="","",SUM(S53:U53))</f>
        <v/>
      </c>
      <c r="W53" s="112" t="str">
        <f aca="false">IF($B53="","",R53-V53)</f>
        <v/>
      </c>
      <c r="X53" s="90" t="str">
        <f aca="false">IF($B53="","",الموظفون!$Q53*IF(E53="سعودي",cfg_G_SR,cfg_G_NR)*F53/cfg_DAYS_M)</f>
        <v/>
      </c>
      <c r="Y53" s="90" t="str">
        <f aca="false">IF($B53="","",الموظفون!$O53*(cfg_EOS_R1*(MIN(AC53,cfg_EOS_TH)-MIN(AD53,cfg_EOS_TH))+cfg_EOS_R2*(MAX(AC53-cfg_EOS_TH,0)-MAX(AD53-cfg_EOS_TH,0))))</f>
        <v/>
      </c>
      <c r="Z53" s="90" t="str">
        <f aca="false">IF($B53="","",IF(الموظفون!$R53&lt;&gt;"",الموظفون!$R53,IF(AC53&gt;=cfg_LV_TH,cfg_LV_D2,cfg_LV_D1))/cfg_DAYS_Y*AE53*الموظفون!$P53/cfg_DAYS_M)</f>
        <v/>
      </c>
      <c r="AA53" s="90" t="str">
        <f aca="false">IF($B53="","",IF(AND(الموظفون!$S53="نعم",N(الموظفون!$U53)&gt;0),الموظفون!$T53/الموظفون!$U53*12/cfg_DAYS_Y*AE53,0))</f>
        <v/>
      </c>
      <c r="AB53" s="113" t="str">
        <f aca="false">IF($B53="","",R53+SUM(X53:AA53))</f>
        <v/>
      </c>
      <c r="AC53" s="114" t="str">
        <f aca="false">IF($B53="","",MAX(0,IF(OR(الموظفون!$X53="",الموظفون!$X53&gt;$G$3),$G$3,الموظفون!$X53)-الموظفون!$H53+1)/cfg_DAYS_Y)</f>
        <v/>
      </c>
      <c r="AD53" s="114" t="str">
        <f aca="false">IF($B53="","",MAX(0,IF(OR(الموظفون!$X53="",الموظفون!$X53&gt;($E$3-1)),($E$3-1),الموظفون!$X53)-الموظفون!$H53+1)/cfg_DAYS_Y)</f>
        <v/>
      </c>
      <c r="AE53" s="115" t="str">
        <f aca="false">IF($B53="","",MAX(0,IF(OR(الموظفون!$X53="",الموظفون!$X53&gt;$G$3),$G$3,الموظفون!$X53)-MAX($E$3,الموظفون!$H53)+1))</f>
        <v/>
      </c>
    </row>
    <row r="54" customFormat="false" ht="15" hidden="false" customHeight="false" outlineLevel="0" collapsed="false">
      <c r="A54" s="83" t="str">
        <f aca="false">IF($B54="","",الموظفون!$A54)</f>
        <v/>
      </c>
      <c r="B54" s="74" t="str">
        <f aca="false">IF(الموظفون!$B54="","",الموظفون!$B54)</f>
        <v/>
      </c>
      <c r="C54" s="74" t="str">
        <f aca="false">IF($B54="","",الموظفون!$C54)</f>
        <v/>
      </c>
      <c r="D54" s="74" t="str">
        <f aca="false">IF($B54="","",الموظفون!$F54)</f>
        <v/>
      </c>
      <c r="E54" s="74" t="str">
        <f aca="false">IF($B54="","",الموظفون!$E54)</f>
        <v/>
      </c>
      <c r="F54" s="105" t="str">
        <f aca="false">IF($B54="","",IF(AE54&gt;=DAY($G$3),cfg_DAYS_M,MIN(AE54,cfg_DAYS_M)))</f>
        <v/>
      </c>
      <c r="G54" s="105" t="str">
        <f aca="false">IF($B54="","",SUMIFS('الحركات الشهرية'!$D$6:$D$1005,'الحركات الشهرية'!$B$6:$B$1005,$B54,'الحركات الشهرية'!$A$6:$A$1005,$C$3))</f>
        <v/>
      </c>
      <c r="H54" s="105" t="str">
        <f aca="false">IF($B54="","",SUMIFS('الحركات الشهرية'!$E$6:$E$1005,'الحركات الشهرية'!$B$6:$B$1005,$B54,'الحركات الشهرية'!$A$6:$A$1005,$C$3))</f>
        <v/>
      </c>
      <c r="I54" s="105" t="str">
        <f aca="false">IF($B54="","",MAX(0,F54-G54-H54))</f>
        <v/>
      </c>
      <c r="J54" s="86" t="str">
        <f aca="false">IF($B54="","",الموظفون!$J54*$I54/cfg_DAYS_M)</f>
        <v/>
      </c>
      <c r="K54" s="86" t="str">
        <f aca="false">IF($B54="","",الموظفون!$K54*$I54/cfg_DAYS_M)</f>
        <v/>
      </c>
      <c r="L54" s="86" t="str">
        <f aca="false">IF($B54="","",الموظفون!$L54*$I54/cfg_DAYS_M)</f>
        <v/>
      </c>
      <c r="M54" s="86" t="str">
        <f aca="false">IF($B54="","",الموظفون!$M54*$I54/cfg_DAYS_M)</f>
        <v/>
      </c>
      <c r="N54" s="105" t="str">
        <f aca="false">IF($B54="","",SUMIFS('الحركات الشهرية'!$F$6:$F$1005,'الحركات الشهرية'!$B$6:$B$1005,$B54,'الحركات الشهرية'!$A$6:$A$1005,$C$3))</f>
        <v/>
      </c>
      <c r="O54" s="86" t="str">
        <f aca="false">IF($B54="","",N54*(الموظفون!$N54+الموظفون!$J54*cfg_OT_P)/cfg_DAYS_M/cfg_HRS)</f>
        <v/>
      </c>
      <c r="P54" s="86" t="str">
        <f aca="false">IF($B54="","",SUMIFS('الحركات الشهرية'!$G$6:$G$1005,'الحركات الشهرية'!$B$6:$B$1005,$B54,'الحركات الشهرية'!$A$6:$A$1005,$C$3))</f>
        <v/>
      </c>
      <c r="Q54" s="86" t="str">
        <f aca="false">IF($B54="","",SUMIFS('الحركات الشهرية'!$H$6:$H$1005,'الحركات الشهرية'!$B$6:$B$1005,$B54,'الحركات الشهرية'!$A$6:$A$1005,$C$3))</f>
        <v/>
      </c>
      <c r="R54" s="106" t="str">
        <f aca="false">IF($B54="","",SUM(J54:M54)+SUM(O54:Q54))</f>
        <v/>
      </c>
      <c r="S54" s="86" t="str">
        <f aca="false">IF($B54="","",الموظفون!$Q54*IF(E54="سعودي",cfg_G_SE,cfg_G_NE)*F54/cfg_DAYS_M)</f>
        <v/>
      </c>
      <c r="T54" s="86" t="str">
        <f aca="false">IF($B54="","",SUMIFS('الحركات الشهرية'!$I$6:$I$1005,'الحركات الشهرية'!$B$6:$B$1005,$B54,'الحركات الشهرية'!$A$6:$A$1005,$C$3))</f>
        <v/>
      </c>
      <c r="U54" s="86" t="str">
        <f aca="false">IF($B54="","",SUMIFS('الحركات الشهرية'!$J$6:$J$1005,'الحركات الشهرية'!$B$6:$B$1005,$B54,'الحركات الشهرية'!$A$6:$A$1005,$C$3))</f>
        <v/>
      </c>
      <c r="V54" s="86" t="str">
        <f aca="false">IF($B54="","",SUM(S54:U54))</f>
        <v/>
      </c>
      <c r="W54" s="107" t="str">
        <f aca="false">IF($B54="","",R54-V54)</f>
        <v/>
      </c>
      <c r="X54" s="86" t="str">
        <f aca="false">IF($B54="","",الموظفون!$Q54*IF(E54="سعودي",cfg_G_SR,cfg_G_NR)*F54/cfg_DAYS_M)</f>
        <v/>
      </c>
      <c r="Y54" s="86" t="str">
        <f aca="false">IF($B54="","",الموظفون!$O54*(cfg_EOS_R1*(MIN(AC54,cfg_EOS_TH)-MIN(AD54,cfg_EOS_TH))+cfg_EOS_R2*(MAX(AC54-cfg_EOS_TH,0)-MAX(AD54-cfg_EOS_TH,0))))</f>
        <v/>
      </c>
      <c r="Z54" s="86" t="str">
        <f aca="false">IF($B54="","",IF(الموظفون!$R54&lt;&gt;"",الموظفون!$R54,IF(AC54&gt;=cfg_LV_TH,cfg_LV_D2,cfg_LV_D1))/cfg_DAYS_Y*AE54*الموظفون!$P54/cfg_DAYS_M)</f>
        <v/>
      </c>
      <c r="AA54" s="86" t="str">
        <f aca="false">IF($B54="","",IF(AND(الموظفون!$S54="نعم",N(الموظفون!$U54)&gt;0),الموظفون!$T54/الموظفون!$U54*12/cfg_DAYS_Y*AE54,0))</f>
        <v/>
      </c>
      <c r="AB54" s="108" t="str">
        <f aca="false">IF($B54="","",R54+SUM(X54:AA54))</f>
        <v/>
      </c>
      <c r="AC54" s="109" t="str">
        <f aca="false">IF($B54="","",MAX(0,IF(OR(الموظفون!$X54="",الموظفون!$X54&gt;$G$3),$G$3,الموظفون!$X54)-الموظفون!$H54+1)/cfg_DAYS_Y)</f>
        <v/>
      </c>
      <c r="AD54" s="109" t="str">
        <f aca="false">IF($B54="","",MAX(0,IF(OR(الموظفون!$X54="",الموظفون!$X54&gt;($E$3-1)),($E$3-1),الموظفون!$X54)-الموظفون!$H54+1)/cfg_DAYS_Y)</f>
        <v/>
      </c>
      <c r="AE54" s="51" t="str">
        <f aca="false">IF($B54="","",MAX(0,IF(OR(الموظفون!$X54="",الموظفون!$X54&gt;$G$3),$G$3,الموظفون!$X54)-MAX($E$3,الموظفون!$H54)+1))</f>
        <v/>
      </c>
    </row>
    <row r="55" customFormat="false" ht="15" hidden="false" customHeight="false" outlineLevel="0" collapsed="false">
      <c r="A55" s="89" t="str">
        <f aca="false">IF($B55="","",الموظفون!$A55)</f>
        <v/>
      </c>
      <c r="B55" s="91" t="str">
        <f aca="false">IF(الموظفون!$B55="","",الموظفون!$B55)</f>
        <v/>
      </c>
      <c r="C55" s="91" t="str">
        <f aca="false">IF($B55="","",الموظفون!$C55)</f>
        <v/>
      </c>
      <c r="D55" s="91" t="str">
        <f aca="false">IF($B55="","",الموظفون!$F55)</f>
        <v/>
      </c>
      <c r="E55" s="91" t="str">
        <f aca="false">IF($B55="","",الموظفون!$E55)</f>
        <v/>
      </c>
      <c r="F55" s="110" t="str">
        <f aca="false">IF($B55="","",IF(AE55&gt;=DAY($G$3),cfg_DAYS_M,MIN(AE55,cfg_DAYS_M)))</f>
        <v/>
      </c>
      <c r="G55" s="110" t="str">
        <f aca="false">IF($B55="","",SUMIFS('الحركات الشهرية'!$D$6:$D$1005,'الحركات الشهرية'!$B$6:$B$1005,$B55,'الحركات الشهرية'!$A$6:$A$1005,$C$3))</f>
        <v/>
      </c>
      <c r="H55" s="110" t="str">
        <f aca="false">IF($B55="","",SUMIFS('الحركات الشهرية'!$E$6:$E$1005,'الحركات الشهرية'!$B$6:$B$1005,$B55,'الحركات الشهرية'!$A$6:$A$1005,$C$3))</f>
        <v/>
      </c>
      <c r="I55" s="110" t="str">
        <f aca="false">IF($B55="","",MAX(0,F55-G55-H55))</f>
        <v/>
      </c>
      <c r="J55" s="90" t="str">
        <f aca="false">IF($B55="","",الموظفون!$J55*$I55/cfg_DAYS_M)</f>
        <v/>
      </c>
      <c r="K55" s="90" t="str">
        <f aca="false">IF($B55="","",الموظفون!$K55*$I55/cfg_DAYS_M)</f>
        <v/>
      </c>
      <c r="L55" s="90" t="str">
        <f aca="false">IF($B55="","",الموظفون!$L55*$I55/cfg_DAYS_M)</f>
        <v/>
      </c>
      <c r="M55" s="90" t="str">
        <f aca="false">IF($B55="","",الموظفون!$M55*$I55/cfg_DAYS_M)</f>
        <v/>
      </c>
      <c r="N55" s="110" t="str">
        <f aca="false">IF($B55="","",SUMIFS('الحركات الشهرية'!$F$6:$F$1005,'الحركات الشهرية'!$B$6:$B$1005,$B55,'الحركات الشهرية'!$A$6:$A$1005,$C$3))</f>
        <v/>
      </c>
      <c r="O55" s="90" t="str">
        <f aca="false">IF($B55="","",N55*(الموظفون!$N55+الموظفون!$J55*cfg_OT_P)/cfg_DAYS_M/cfg_HRS)</f>
        <v/>
      </c>
      <c r="P55" s="90" t="str">
        <f aca="false">IF($B55="","",SUMIFS('الحركات الشهرية'!$G$6:$G$1005,'الحركات الشهرية'!$B$6:$B$1005,$B55,'الحركات الشهرية'!$A$6:$A$1005,$C$3))</f>
        <v/>
      </c>
      <c r="Q55" s="90" t="str">
        <f aca="false">IF($B55="","",SUMIFS('الحركات الشهرية'!$H$6:$H$1005,'الحركات الشهرية'!$B$6:$B$1005,$B55,'الحركات الشهرية'!$A$6:$A$1005,$C$3))</f>
        <v/>
      </c>
      <c r="R55" s="111" t="str">
        <f aca="false">IF($B55="","",SUM(J55:M55)+SUM(O55:Q55))</f>
        <v/>
      </c>
      <c r="S55" s="90" t="str">
        <f aca="false">IF($B55="","",الموظفون!$Q55*IF(E55="سعودي",cfg_G_SE,cfg_G_NE)*F55/cfg_DAYS_M)</f>
        <v/>
      </c>
      <c r="T55" s="90" t="str">
        <f aca="false">IF($B55="","",SUMIFS('الحركات الشهرية'!$I$6:$I$1005,'الحركات الشهرية'!$B$6:$B$1005,$B55,'الحركات الشهرية'!$A$6:$A$1005,$C$3))</f>
        <v/>
      </c>
      <c r="U55" s="90" t="str">
        <f aca="false">IF($B55="","",SUMIFS('الحركات الشهرية'!$J$6:$J$1005,'الحركات الشهرية'!$B$6:$B$1005,$B55,'الحركات الشهرية'!$A$6:$A$1005,$C$3))</f>
        <v/>
      </c>
      <c r="V55" s="90" t="str">
        <f aca="false">IF($B55="","",SUM(S55:U55))</f>
        <v/>
      </c>
      <c r="W55" s="112" t="str">
        <f aca="false">IF($B55="","",R55-V55)</f>
        <v/>
      </c>
      <c r="X55" s="90" t="str">
        <f aca="false">IF($B55="","",الموظفون!$Q55*IF(E55="سعودي",cfg_G_SR,cfg_G_NR)*F55/cfg_DAYS_M)</f>
        <v/>
      </c>
      <c r="Y55" s="90" t="str">
        <f aca="false">IF($B55="","",الموظفون!$O55*(cfg_EOS_R1*(MIN(AC55,cfg_EOS_TH)-MIN(AD55,cfg_EOS_TH))+cfg_EOS_R2*(MAX(AC55-cfg_EOS_TH,0)-MAX(AD55-cfg_EOS_TH,0))))</f>
        <v/>
      </c>
      <c r="Z55" s="90" t="str">
        <f aca="false">IF($B55="","",IF(الموظفون!$R55&lt;&gt;"",الموظفون!$R55,IF(AC55&gt;=cfg_LV_TH,cfg_LV_D2,cfg_LV_D1))/cfg_DAYS_Y*AE55*الموظفون!$P55/cfg_DAYS_M)</f>
        <v/>
      </c>
      <c r="AA55" s="90" t="str">
        <f aca="false">IF($B55="","",IF(AND(الموظفون!$S55="نعم",N(الموظفون!$U55)&gt;0),الموظفون!$T55/الموظفون!$U55*12/cfg_DAYS_Y*AE55,0))</f>
        <v/>
      </c>
      <c r="AB55" s="113" t="str">
        <f aca="false">IF($B55="","",R55+SUM(X55:AA55))</f>
        <v/>
      </c>
      <c r="AC55" s="114" t="str">
        <f aca="false">IF($B55="","",MAX(0,IF(OR(الموظفون!$X55="",الموظفون!$X55&gt;$G$3),$G$3,الموظفون!$X55)-الموظفون!$H55+1)/cfg_DAYS_Y)</f>
        <v/>
      </c>
      <c r="AD55" s="114" t="str">
        <f aca="false">IF($B55="","",MAX(0,IF(OR(الموظفون!$X55="",الموظفون!$X55&gt;($E$3-1)),($E$3-1),الموظفون!$X55)-الموظفون!$H55+1)/cfg_DAYS_Y)</f>
        <v/>
      </c>
      <c r="AE55" s="115" t="str">
        <f aca="false">IF($B55="","",MAX(0,IF(OR(الموظفون!$X55="",الموظفون!$X55&gt;$G$3),$G$3,الموظفون!$X55)-MAX($E$3,الموظفون!$H55)+1))</f>
        <v/>
      </c>
    </row>
    <row r="56" customFormat="false" ht="15" hidden="false" customHeight="false" outlineLevel="0" collapsed="false">
      <c r="A56" s="83" t="str">
        <f aca="false">IF($B56="","",الموظفون!$A56)</f>
        <v/>
      </c>
      <c r="B56" s="74" t="str">
        <f aca="false">IF(الموظفون!$B56="","",الموظفون!$B56)</f>
        <v/>
      </c>
      <c r="C56" s="74" t="str">
        <f aca="false">IF($B56="","",الموظفون!$C56)</f>
        <v/>
      </c>
      <c r="D56" s="74" t="str">
        <f aca="false">IF($B56="","",الموظفون!$F56)</f>
        <v/>
      </c>
      <c r="E56" s="74" t="str">
        <f aca="false">IF($B56="","",الموظفون!$E56)</f>
        <v/>
      </c>
      <c r="F56" s="105" t="str">
        <f aca="false">IF($B56="","",IF(AE56&gt;=DAY($G$3),cfg_DAYS_M,MIN(AE56,cfg_DAYS_M)))</f>
        <v/>
      </c>
      <c r="G56" s="105" t="str">
        <f aca="false">IF($B56="","",SUMIFS('الحركات الشهرية'!$D$6:$D$1005,'الحركات الشهرية'!$B$6:$B$1005,$B56,'الحركات الشهرية'!$A$6:$A$1005,$C$3))</f>
        <v/>
      </c>
      <c r="H56" s="105" t="str">
        <f aca="false">IF($B56="","",SUMIFS('الحركات الشهرية'!$E$6:$E$1005,'الحركات الشهرية'!$B$6:$B$1005,$B56,'الحركات الشهرية'!$A$6:$A$1005,$C$3))</f>
        <v/>
      </c>
      <c r="I56" s="105" t="str">
        <f aca="false">IF($B56="","",MAX(0,F56-G56-H56))</f>
        <v/>
      </c>
      <c r="J56" s="86" t="str">
        <f aca="false">IF($B56="","",الموظفون!$J56*$I56/cfg_DAYS_M)</f>
        <v/>
      </c>
      <c r="K56" s="86" t="str">
        <f aca="false">IF($B56="","",الموظفون!$K56*$I56/cfg_DAYS_M)</f>
        <v/>
      </c>
      <c r="L56" s="86" t="str">
        <f aca="false">IF($B56="","",الموظفون!$L56*$I56/cfg_DAYS_M)</f>
        <v/>
      </c>
      <c r="M56" s="86" t="str">
        <f aca="false">IF($B56="","",الموظفون!$M56*$I56/cfg_DAYS_M)</f>
        <v/>
      </c>
      <c r="N56" s="105" t="str">
        <f aca="false">IF($B56="","",SUMIFS('الحركات الشهرية'!$F$6:$F$1005,'الحركات الشهرية'!$B$6:$B$1005,$B56,'الحركات الشهرية'!$A$6:$A$1005,$C$3))</f>
        <v/>
      </c>
      <c r="O56" s="86" t="str">
        <f aca="false">IF($B56="","",N56*(الموظفون!$N56+الموظفون!$J56*cfg_OT_P)/cfg_DAYS_M/cfg_HRS)</f>
        <v/>
      </c>
      <c r="P56" s="86" t="str">
        <f aca="false">IF($B56="","",SUMIFS('الحركات الشهرية'!$G$6:$G$1005,'الحركات الشهرية'!$B$6:$B$1005,$B56,'الحركات الشهرية'!$A$6:$A$1005,$C$3))</f>
        <v/>
      </c>
      <c r="Q56" s="86" t="str">
        <f aca="false">IF($B56="","",SUMIFS('الحركات الشهرية'!$H$6:$H$1005,'الحركات الشهرية'!$B$6:$B$1005,$B56,'الحركات الشهرية'!$A$6:$A$1005,$C$3))</f>
        <v/>
      </c>
      <c r="R56" s="106" t="str">
        <f aca="false">IF($B56="","",SUM(J56:M56)+SUM(O56:Q56))</f>
        <v/>
      </c>
      <c r="S56" s="86" t="str">
        <f aca="false">IF($B56="","",الموظفون!$Q56*IF(E56="سعودي",cfg_G_SE,cfg_G_NE)*F56/cfg_DAYS_M)</f>
        <v/>
      </c>
      <c r="T56" s="86" t="str">
        <f aca="false">IF($B56="","",SUMIFS('الحركات الشهرية'!$I$6:$I$1005,'الحركات الشهرية'!$B$6:$B$1005,$B56,'الحركات الشهرية'!$A$6:$A$1005,$C$3))</f>
        <v/>
      </c>
      <c r="U56" s="86" t="str">
        <f aca="false">IF($B56="","",SUMIFS('الحركات الشهرية'!$J$6:$J$1005,'الحركات الشهرية'!$B$6:$B$1005,$B56,'الحركات الشهرية'!$A$6:$A$1005,$C$3))</f>
        <v/>
      </c>
      <c r="V56" s="86" t="str">
        <f aca="false">IF($B56="","",SUM(S56:U56))</f>
        <v/>
      </c>
      <c r="W56" s="107" t="str">
        <f aca="false">IF($B56="","",R56-V56)</f>
        <v/>
      </c>
      <c r="X56" s="86" t="str">
        <f aca="false">IF($B56="","",الموظفون!$Q56*IF(E56="سعودي",cfg_G_SR,cfg_G_NR)*F56/cfg_DAYS_M)</f>
        <v/>
      </c>
      <c r="Y56" s="86" t="str">
        <f aca="false">IF($B56="","",الموظفون!$O56*(cfg_EOS_R1*(MIN(AC56,cfg_EOS_TH)-MIN(AD56,cfg_EOS_TH))+cfg_EOS_R2*(MAX(AC56-cfg_EOS_TH,0)-MAX(AD56-cfg_EOS_TH,0))))</f>
        <v/>
      </c>
      <c r="Z56" s="86" t="str">
        <f aca="false">IF($B56="","",IF(الموظفون!$R56&lt;&gt;"",الموظفون!$R56,IF(AC56&gt;=cfg_LV_TH,cfg_LV_D2,cfg_LV_D1))/cfg_DAYS_Y*AE56*الموظفون!$P56/cfg_DAYS_M)</f>
        <v/>
      </c>
      <c r="AA56" s="86" t="str">
        <f aca="false">IF($B56="","",IF(AND(الموظفون!$S56="نعم",N(الموظفون!$U56)&gt;0),الموظفون!$T56/الموظفون!$U56*12/cfg_DAYS_Y*AE56,0))</f>
        <v/>
      </c>
      <c r="AB56" s="108" t="str">
        <f aca="false">IF($B56="","",R56+SUM(X56:AA56))</f>
        <v/>
      </c>
      <c r="AC56" s="109" t="str">
        <f aca="false">IF($B56="","",MAX(0,IF(OR(الموظفون!$X56="",الموظفون!$X56&gt;$G$3),$G$3,الموظفون!$X56)-الموظفون!$H56+1)/cfg_DAYS_Y)</f>
        <v/>
      </c>
      <c r="AD56" s="109" t="str">
        <f aca="false">IF($B56="","",MAX(0,IF(OR(الموظفون!$X56="",الموظفون!$X56&gt;($E$3-1)),($E$3-1),الموظفون!$X56)-الموظفون!$H56+1)/cfg_DAYS_Y)</f>
        <v/>
      </c>
      <c r="AE56" s="51" t="str">
        <f aca="false">IF($B56="","",MAX(0,IF(OR(الموظفون!$X56="",الموظفون!$X56&gt;$G$3),$G$3,الموظفون!$X56)-MAX($E$3,الموظفون!$H56)+1))</f>
        <v/>
      </c>
    </row>
    <row r="57" customFormat="false" ht="15" hidden="false" customHeight="false" outlineLevel="0" collapsed="false">
      <c r="A57" s="89" t="str">
        <f aca="false">IF($B57="","",الموظفون!$A57)</f>
        <v/>
      </c>
      <c r="B57" s="91" t="str">
        <f aca="false">IF(الموظفون!$B57="","",الموظفون!$B57)</f>
        <v/>
      </c>
      <c r="C57" s="91" t="str">
        <f aca="false">IF($B57="","",الموظفون!$C57)</f>
        <v/>
      </c>
      <c r="D57" s="91" t="str">
        <f aca="false">IF($B57="","",الموظفون!$F57)</f>
        <v/>
      </c>
      <c r="E57" s="91" t="str">
        <f aca="false">IF($B57="","",الموظفون!$E57)</f>
        <v/>
      </c>
      <c r="F57" s="110" t="str">
        <f aca="false">IF($B57="","",IF(AE57&gt;=DAY($G$3),cfg_DAYS_M,MIN(AE57,cfg_DAYS_M)))</f>
        <v/>
      </c>
      <c r="G57" s="110" t="str">
        <f aca="false">IF($B57="","",SUMIFS('الحركات الشهرية'!$D$6:$D$1005,'الحركات الشهرية'!$B$6:$B$1005,$B57,'الحركات الشهرية'!$A$6:$A$1005,$C$3))</f>
        <v/>
      </c>
      <c r="H57" s="110" t="str">
        <f aca="false">IF($B57="","",SUMIFS('الحركات الشهرية'!$E$6:$E$1005,'الحركات الشهرية'!$B$6:$B$1005,$B57,'الحركات الشهرية'!$A$6:$A$1005,$C$3))</f>
        <v/>
      </c>
      <c r="I57" s="110" t="str">
        <f aca="false">IF($B57="","",MAX(0,F57-G57-H57))</f>
        <v/>
      </c>
      <c r="J57" s="90" t="str">
        <f aca="false">IF($B57="","",الموظفون!$J57*$I57/cfg_DAYS_M)</f>
        <v/>
      </c>
      <c r="K57" s="90" t="str">
        <f aca="false">IF($B57="","",الموظفون!$K57*$I57/cfg_DAYS_M)</f>
        <v/>
      </c>
      <c r="L57" s="90" t="str">
        <f aca="false">IF($B57="","",الموظفون!$L57*$I57/cfg_DAYS_M)</f>
        <v/>
      </c>
      <c r="M57" s="90" t="str">
        <f aca="false">IF($B57="","",الموظفون!$M57*$I57/cfg_DAYS_M)</f>
        <v/>
      </c>
      <c r="N57" s="110" t="str">
        <f aca="false">IF($B57="","",SUMIFS('الحركات الشهرية'!$F$6:$F$1005,'الحركات الشهرية'!$B$6:$B$1005,$B57,'الحركات الشهرية'!$A$6:$A$1005,$C$3))</f>
        <v/>
      </c>
      <c r="O57" s="90" t="str">
        <f aca="false">IF($B57="","",N57*(الموظفون!$N57+الموظفون!$J57*cfg_OT_P)/cfg_DAYS_M/cfg_HRS)</f>
        <v/>
      </c>
      <c r="P57" s="90" t="str">
        <f aca="false">IF($B57="","",SUMIFS('الحركات الشهرية'!$G$6:$G$1005,'الحركات الشهرية'!$B$6:$B$1005,$B57,'الحركات الشهرية'!$A$6:$A$1005,$C$3))</f>
        <v/>
      </c>
      <c r="Q57" s="90" t="str">
        <f aca="false">IF($B57="","",SUMIFS('الحركات الشهرية'!$H$6:$H$1005,'الحركات الشهرية'!$B$6:$B$1005,$B57,'الحركات الشهرية'!$A$6:$A$1005,$C$3))</f>
        <v/>
      </c>
      <c r="R57" s="111" t="str">
        <f aca="false">IF($B57="","",SUM(J57:M57)+SUM(O57:Q57))</f>
        <v/>
      </c>
      <c r="S57" s="90" t="str">
        <f aca="false">IF($B57="","",الموظفون!$Q57*IF(E57="سعودي",cfg_G_SE,cfg_G_NE)*F57/cfg_DAYS_M)</f>
        <v/>
      </c>
      <c r="T57" s="90" t="str">
        <f aca="false">IF($B57="","",SUMIFS('الحركات الشهرية'!$I$6:$I$1005,'الحركات الشهرية'!$B$6:$B$1005,$B57,'الحركات الشهرية'!$A$6:$A$1005,$C$3))</f>
        <v/>
      </c>
      <c r="U57" s="90" t="str">
        <f aca="false">IF($B57="","",SUMIFS('الحركات الشهرية'!$J$6:$J$1005,'الحركات الشهرية'!$B$6:$B$1005,$B57,'الحركات الشهرية'!$A$6:$A$1005,$C$3))</f>
        <v/>
      </c>
      <c r="V57" s="90" t="str">
        <f aca="false">IF($B57="","",SUM(S57:U57))</f>
        <v/>
      </c>
      <c r="W57" s="112" t="str">
        <f aca="false">IF($B57="","",R57-V57)</f>
        <v/>
      </c>
      <c r="X57" s="90" t="str">
        <f aca="false">IF($B57="","",الموظفون!$Q57*IF(E57="سعودي",cfg_G_SR,cfg_G_NR)*F57/cfg_DAYS_M)</f>
        <v/>
      </c>
      <c r="Y57" s="90" t="str">
        <f aca="false">IF($B57="","",الموظفون!$O57*(cfg_EOS_R1*(MIN(AC57,cfg_EOS_TH)-MIN(AD57,cfg_EOS_TH))+cfg_EOS_R2*(MAX(AC57-cfg_EOS_TH,0)-MAX(AD57-cfg_EOS_TH,0))))</f>
        <v/>
      </c>
      <c r="Z57" s="90" t="str">
        <f aca="false">IF($B57="","",IF(الموظفون!$R57&lt;&gt;"",الموظفون!$R57,IF(AC57&gt;=cfg_LV_TH,cfg_LV_D2,cfg_LV_D1))/cfg_DAYS_Y*AE57*الموظفون!$P57/cfg_DAYS_M)</f>
        <v/>
      </c>
      <c r="AA57" s="90" t="str">
        <f aca="false">IF($B57="","",IF(AND(الموظفون!$S57="نعم",N(الموظفون!$U57)&gt;0),الموظفون!$T57/الموظفون!$U57*12/cfg_DAYS_Y*AE57,0))</f>
        <v/>
      </c>
      <c r="AB57" s="113" t="str">
        <f aca="false">IF($B57="","",R57+SUM(X57:AA57))</f>
        <v/>
      </c>
      <c r="AC57" s="114" t="str">
        <f aca="false">IF($B57="","",MAX(0,IF(OR(الموظفون!$X57="",الموظفون!$X57&gt;$G$3),$G$3,الموظفون!$X57)-الموظفون!$H57+1)/cfg_DAYS_Y)</f>
        <v/>
      </c>
      <c r="AD57" s="114" t="str">
        <f aca="false">IF($B57="","",MAX(0,IF(OR(الموظفون!$X57="",الموظفون!$X57&gt;($E$3-1)),($E$3-1),الموظفون!$X57)-الموظفون!$H57+1)/cfg_DAYS_Y)</f>
        <v/>
      </c>
      <c r="AE57" s="115" t="str">
        <f aca="false">IF($B57="","",MAX(0,IF(OR(الموظفون!$X57="",الموظفون!$X57&gt;$G$3),$G$3,الموظفون!$X57)-MAX($E$3,الموظفون!$H57)+1))</f>
        <v/>
      </c>
    </row>
    <row r="58" customFormat="false" ht="15" hidden="false" customHeight="false" outlineLevel="0" collapsed="false">
      <c r="A58" s="83" t="str">
        <f aca="false">IF($B58="","",الموظفون!$A58)</f>
        <v/>
      </c>
      <c r="B58" s="74" t="str">
        <f aca="false">IF(الموظفون!$B58="","",الموظفون!$B58)</f>
        <v/>
      </c>
      <c r="C58" s="74" t="str">
        <f aca="false">IF($B58="","",الموظفون!$C58)</f>
        <v/>
      </c>
      <c r="D58" s="74" t="str">
        <f aca="false">IF($B58="","",الموظفون!$F58)</f>
        <v/>
      </c>
      <c r="E58" s="74" t="str">
        <f aca="false">IF($B58="","",الموظفون!$E58)</f>
        <v/>
      </c>
      <c r="F58" s="105" t="str">
        <f aca="false">IF($B58="","",IF(AE58&gt;=DAY($G$3),cfg_DAYS_M,MIN(AE58,cfg_DAYS_M)))</f>
        <v/>
      </c>
      <c r="G58" s="105" t="str">
        <f aca="false">IF($B58="","",SUMIFS('الحركات الشهرية'!$D$6:$D$1005,'الحركات الشهرية'!$B$6:$B$1005,$B58,'الحركات الشهرية'!$A$6:$A$1005,$C$3))</f>
        <v/>
      </c>
      <c r="H58" s="105" t="str">
        <f aca="false">IF($B58="","",SUMIFS('الحركات الشهرية'!$E$6:$E$1005,'الحركات الشهرية'!$B$6:$B$1005,$B58,'الحركات الشهرية'!$A$6:$A$1005,$C$3))</f>
        <v/>
      </c>
      <c r="I58" s="105" t="str">
        <f aca="false">IF($B58="","",MAX(0,F58-G58-H58))</f>
        <v/>
      </c>
      <c r="J58" s="86" t="str">
        <f aca="false">IF($B58="","",الموظفون!$J58*$I58/cfg_DAYS_M)</f>
        <v/>
      </c>
      <c r="K58" s="86" t="str">
        <f aca="false">IF($B58="","",الموظفون!$K58*$I58/cfg_DAYS_M)</f>
        <v/>
      </c>
      <c r="L58" s="86" t="str">
        <f aca="false">IF($B58="","",الموظفون!$L58*$I58/cfg_DAYS_M)</f>
        <v/>
      </c>
      <c r="M58" s="86" t="str">
        <f aca="false">IF($B58="","",الموظفون!$M58*$I58/cfg_DAYS_M)</f>
        <v/>
      </c>
      <c r="N58" s="105" t="str">
        <f aca="false">IF($B58="","",SUMIFS('الحركات الشهرية'!$F$6:$F$1005,'الحركات الشهرية'!$B$6:$B$1005,$B58,'الحركات الشهرية'!$A$6:$A$1005,$C$3))</f>
        <v/>
      </c>
      <c r="O58" s="86" t="str">
        <f aca="false">IF($B58="","",N58*(الموظفون!$N58+الموظفون!$J58*cfg_OT_P)/cfg_DAYS_M/cfg_HRS)</f>
        <v/>
      </c>
      <c r="P58" s="86" t="str">
        <f aca="false">IF($B58="","",SUMIFS('الحركات الشهرية'!$G$6:$G$1005,'الحركات الشهرية'!$B$6:$B$1005,$B58,'الحركات الشهرية'!$A$6:$A$1005,$C$3))</f>
        <v/>
      </c>
      <c r="Q58" s="86" t="str">
        <f aca="false">IF($B58="","",SUMIFS('الحركات الشهرية'!$H$6:$H$1005,'الحركات الشهرية'!$B$6:$B$1005,$B58,'الحركات الشهرية'!$A$6:$A$1005,$C$3))</f>
        <v/>
      </c>
      <c r="R58" s="106" t="str">
        <f aca="false">IF($B58="","",SUM(J58:M58)+SUM(O58:Q58))</f>
        <v/>
      </c>
      <c r="S58" s="86" t="str">
        <f aca="false">IF($B58="","",الموظفون!$Q58*IF(E58="سعودي",cfg_G_SE,cfg_G_NE)*F58/cfg_DAYS_M)</f>
        <v/>
      </c>
      <c r="T58" s="86" t="str">
        <f aca="false">IF($B58="","",SUMIFS('الحركات الشهرية'!$I$6:$I$1005,'الحركات الشهرية'!$B$6:$B$1005,$B58,'الحركات الشهرية'!$A$6:$A$1005,$C$3))</f>
        <v/>
      </c>
      <c r="U58" s="86" t="str">
        <f aca="false">IF($B58="","",SUMIFS('الحركات الشهرية'!$J$6:$J$1005,'الحركات الشهرية'!$B$6:$B$1005,$B58,'الحركات الشهرية'!$A$6:$A$1005,$C$3))</f>
        <v/>
      </c>
      <c r="V58" s="86" t="str">
        <f aca="false">IF($B58="","",SUM(S58:U58))</f>
        <v/>
      </c>
      <c r="W58" s="107" t="str">
        <f aca="false">IF($B58="","",R58-V58)</f>
        <v/>
      </c>
      <c r="X58" s="86" t="str">
        <f aca="false">IF($B58="","",الموظفون!$Q58*IF(E58="سعودي",cfg_G_SR,cfg_G_NR)*F58/cfg_DAYS_M)</f>
        <v/>
      </c>
      <c r="Y58" s="86" t="str">
        <f aca="false">IF($B58="","",الموظفون!$O58*(cfg_EOS_R1*(MIN(AC58,cfg_EOS_TH)-MIN(AD58,cfg_EOS_TH))+cfg_EOS_R2*(MAX(AC58-cfg_EOS_TH,0)-MAX(AD58-cfg_EOS_TH,0))))</f>
        <v/>
      </c>
      <c r="Z58" s="86" t="str">
        <f aca="false">IF($B58="","",IF(الموظفون!$R58&lt;&gt;"",الموظفون!$R58,IF(AC58&gt;=cfg_LV_TH,cfg_LV_D2,cfg_LV_D1))/cfg_DAYS_Y*AE58*الموظفون!$P58/cfg_DAYS_M)</f>
        <v/>
      </c>
      <c r="AA58" s="86" t="str">
        <f aca="false">IF($B58="","",IF(AND(الموظفون!$S58="نعم",N(الموظفون!$U58)&gt;0),الموظفون!$T58/الموظفون!$U58*12/cfg_DAYS_Y*AE58,0))</f>
        <v/>
      </c>
      <c r="AB58" s="108" t="str">
        <f aca="false">IF($B58="","",R58+SUM(X58:AA58))</f>
        <v/>
      </c>
      <c r="AC58" s="109" t="str">
        <f aca="false">IF($B58="","",MAX(0,IF(OR(الموظفون!$X58="",الموظفون!$X58&gt;$G$3),$G$3,الموظفون!$X58)-الموظفون!$H58+1)/cfg_DAYS_Y)</f>
        <v/>
      </c>
      <c r="AD58" s="109" t="str">
        <f aca="false">IF($B58="","",MAX(0,IF(OR(الموظفون!$X58="",الموظفون!$X58&gt;($E$3-1)),($E$3-1),الموظفون!$X58)-الموظفون!$H58+1)/cfg_DAYS_Y)</f>
        <v/>
      </c>
      <c r="AE58" s="51" t="str">
        <f aca="false">IF($B58="","",MAX(0,IF(OR(الموظفون!$X58="",الموظفون!$X58&gt;$G$3),$G$3,الموظفون!$X58)-MAX($E$3,الموظفون!$H58)+1))</f>
        <v/>
      </c>
    </row>
    <row r="59" customFormat="false" ht="15" hidden="false" customHeight="false" outlineLevel="0" collapsed="false">
      <c r="A59" s="89" t="str">
        <f aca="false">IF($B59="","",الموظفون!$A59)</f>
        <v/>
      </c>
      <c r="B59" s="91" t="str">
        <f aca="false">IF(الموظفون!$B59="","",الموظفون!$B59)</f>
        <v/>
      </c>
      <c r="C59" s="91" t="str">
        <f aca="false">IF($B59="","",الموظفون!$C59)</f>
        <v/>
      </c>
      <c r="D59" s="91" t="str">
        <f aca="false">IF($B59="","",الموظفون!$F59)</f>
        <v/>
      </c>
      <c r="E59" s="91" t="str">
        <f aca="false">IF($B59="","",الموظفون!$E59)</f>
        <v/>
      </c>
      <c r="F59" s="110" t="str">
        <f aca="false">IF($B59="","",IF(AE59&gt;=DAY($G$3),cfg_DAYS_M,MIN(AE59,cfg_DAYS_M)))</f>
        <v/>
      </c>
      <c r="G59" s="110" t="str">
        <f aca="false">IF($B59="","",SUMIFS('الحركات الشهرية'!$D$6:$D$1005,'الحركات الشهرية'!$B$6:$B$1005,$B59,'الحركات الشهرية'!$A$6:$A$1005,$C$3))</f>
        <v/>
      </c>
      <c r="H59" s="110" t="str">
        <f aca="false">IF($B59="","",SUMIFS('الحركات الشهرية'!$E$6:$E$1005,'الحركات الشهرية'!$B$6:$B$1005,$B59,'الحركات الشهرية'!$A$6:$A$1005,$C$3))</f>
        <v/>
      </c>
      <c r="I59" s="110" t="str">
        <f aca="false">IF($B59="","",MAX(0,F59-G59-H59))</f>
        <v/>
      </c>
      <c r="J59" s="90" t="str">
        <f aca="false">IF($B59="","",الموظفون!$J59*$I59/cfg_DAYS_M)</f>
        <v/>
      </c>
      <c r="K59" s="90" t="str">
        <f aca="false">IF($B59="","",الموظفون!$K59*$I59/cfg_DAYS_M)</f>
        <v/>
      </c>
      <c r="L59" s="90" t="str">
        <f aca="false">IF($B59="","",الموظفون!$L59*$I59/cfg_DAYS_M)</f>
        <v/>
      </c>
      <c r="M59" s="90" t="str">
        <f aca="false">IF($B59="","",الموظفون!$M59*$I59/cfg_DAYS_M)</f>
        <v/>
      </c>
      <c r="N59" s="110" t="str">
        <f aca="false">IF($B59="","",SUMIFS('الحركات الشهرية'!$F$6:$F$1005,'الحركات الشهرية'!$B$6:$B$1005,$B59,'الحركات الشهرية'!$A$6:$A$1005,$C$3))</f>
        <v/>
      </c>
      <c r="O59" s="90" t="str">
        <f aca="false">IF($B59="","",N59*(الموظفون!$N59+الموظفون!$J59*cfg_OT_P)/cfg_DAYS_M/cfg_HRS)</f>
        <v/>
      </c>
      <c r="P59" s="90" t="str">
        <f aca="false">IF($B59="","",SUMIFS('الحركات الشهرية'!$G$6:$G$1005,'الحركات الشهرية'!$B$6:$B$1005,$B59,'الحركات الشهرية'!$A$6:$A$1005,$C$3))</f>
        <v/>
      </c>
      <c r="Q59" s="90" t="str">
        <f aca="false">IF($B59="","",SUMIFS('الحركات الشهرية'!$H$6:$H$1005,'الحركات الشهرية'!$B$6:$B$1005,$B59,'الحركات الشهرية'!$A$6:$A$1005,$C$3))</f>
        <v/>
      </c>
      <c r="R59" s="111" t="str">
        <f aca="false">IF($B59="","",SUM(J59:M59)+SUM(O59:Q59))</f>
        <v/>
      </c>
      <c r="S59" s="90" t="str">
        <f aca="false">IF($B59="","",الموظفون!$Q59*IF(E59="سعودي",cfg_G_SE,cfg_G_NE)*F59/cfg_DAYS_M)</f>
        <v/>
      </c>
      <c r="T59" s="90" t="str">
        <f aca="false">IF($B59="","",SUMIFS('الحركات الشهرية'!$I$6:$I$1005,'الحركات الشهرية'!$B$6:$B$1005,$B59,'الحركات الشهرية'!$A$6:$A$1005,$C$3))</f>
        <v/>
      </c>
      <c r="U59" s="90" t="str">
        <f aca="false">IF($B59="","",SUMIFS('الحركات الشهرية'!$J$6:$J$1005,'الحركات الشهرية'!$B$6:$B$1005,$B59,'الحركات الشهرية'!$A$6:$A$1005,$C$3))</f>
        <v/>
      </c>
      <c r="V59" s="90" t="str">
        <f aca="false">IF($B59="","",SUM(S59:U59))</f>
        <v/>
      </c>
      <c r="W59" s="112" t="str">
        <f aca="false">IF($B59="","",R59-V59)</f>
        <v/>
      </c>
      <c r="X59" s="90" t="str">
        <f aca="false">IF($B59="","",الموظفون!$Q59*IF(E59="سعودي",cfg_G_SR,cfg_G_NR)*F59/cfg_DAYS_M)</f>
        <v/>
      </c>
      <c r="Y59" s="90" t="str">
        <f aca="false">IF($B59="","",الموظفون!$O59*(cfg_EOS_R1*(MIN(AC59,cfg_EOS_TH)-MIN(AD59,cfg_EOS_TH))+cfg_EOS_R2*(MAX(AC59-cfg_EOS_TH,0)-MAX(AD59-cfg_EOS_TH,0))))</f>
        <v/>
      </c>
      <c r="Z59" s="90" t="str">
        <f aca="false">IF($B59="","",IF(الموظفون!$R59&lt;&gt;"",الموظفون!$R59,IF(AC59&gt;=cfg_LV_TH,cfg_LV_D2,cfg_LV_D1))/cfg_DAYS_Y*AE59*الموظفون!$P59/cfg_DAYS_M)</f>
        <v/>
      </c>
      <c r="AA59" s="90" t="str">
        <f aca="false">IF($B59="","",IF(AND(الموظفون!$S59="نعم",N(الموظفون!$U59)&gt;0),الموظفون!$T59/الموظفون!$U59*12/cfg_DAYS_Y*AE59,0))</f>
        <v/>
      </c>
      <c r="AB59" s="113" t="str">
        <f aca="false">IF($B59="","",R59+SUM(X59:AA59))</f>
        <v/>
      </c>
      <c r="AC59" s="114" t="str">
        <f aca="false">IF($B59="","",MAX(0,IF(OR(الموظفون!$X59="",الموظفون!$X59&gt;$G$3),$G$3,الموظفون!$X59)-الموظفون!$H59+1)/cfg_DAYS_Y)</f>
        <v/>
      </c>
      <c r="AD59" s="114" t="str">
        <f aca="false">IF($B59="","",MAX(0,IF(OR(الموظفون!$X59="",الموظفون!$X59&gt;($E$3-1)),($E$3-1),الموظفون!$X59)-الموظفون!$H59+1)/cfg_DAYS_Y)</f>
        <v/>
      </c>
      <c r="AE59" s="115" t="str">
        <f aca="false">IF($B59="","",MAX(0,IF(OR(الموظفون!$X59="",الموظفون!$X59&gt;$G$3),$G$3,الموظفون!$X59)-MAX($E$3,الموظفون!$H59)+1))</f>
        <v/>
      </c>
    </row>
    <row r="60" customFormat="false" ht="15" hidden="false" customHeight="false" outlineLevel="0" collapsed="false">
      <c r="A60" s="83" t="str">
        <f aca="false">IF($B60="","",الموظفون!$A60)</f>
        <v/>
      </c>
      <c r="B60" s="74" t="str">
        <f aca="false">IF(الموظفون!$B60="","",الموظفون!$B60)</f>
        <v/>
      </c>
      <c r="C60" s="74" t="str">
        <f aca="false">IF($B60="","",الموظفون!$C60)</f>
        <v/>
      </c>
      <c r="D60" s="74" t="str">
        <f aca="false">IF($B60="","",الموظفون!$F60)</f>
        <v/>
      </c>
      <c r="E60" s="74" t="str">
        <f aca="false">IF($B60="","",الموظفون!$E60)</f>
        <v/>
      </c>
      <c r="F60" s="105" t="str">
        <f aca="false">IF($B60="","",IF(AE60&gt;=DAY($G$3),cfg_DAYS_M,MIN(AE60,cfg_DAYS_M)))</f>
        <v/>
      </c>
      <c r="G60" s="105" t="str">
        <f aca="false">IF($B60="","",SUMIFS('الحركات الشهرية'!$D$6:$D$1005,'الحركات الشهرية'!$B$6:$B$1005,$B60,'الحركات الشهرية'!$A$6:$A$1005,$C$3))</f>
        <v/>
      </c>
      <c r="H60" s="105" t="str">
        <f aca="false">IF($B60="","",SUMIFS('الحركات الشهرية'!$E$6:$E$1005,'الحركات الشهرية'!$B$6:$B$1005,$B60,'الحركات الشهرية'!$A$6:$A$1005,$C$3))</f>
        <v/>
      </c>
      <c r="I60" s="105" t="str">
        <f aca="false">IF($B60="","",MAX(0,F60-G60-H60))</f>
        <v/>
      </c>
      <c r="J60" s="86" t="str">
        <f aca="false">IF($B60="","",الموظفون!$J60*$I60/cfg_DAYS_M)</f>
        <v/>
      </c>
      <c r="K60" s="86" t="str">
        <f aca="false">IF($B60="","",الموظفون!$K60*$I60/cfg_DAYS_M)</f>
        <v/>
      </c>
      <c r="L60" s="86" t="str">
        <f aca="false">IF($B60="","",الموظفون!$L60*$I60/cfg_DAYS_M)</f>
        <v/>
      </c>
      <c r="M60" s="86" t="str">
        <f aca="false">IF($B60="","",الموظفون!$M60*$I60/cfg_DAYS_M)</f>
        <v/>
      </c>
      <c r="N60" s="105" t="str">
        <f aca="false">IF($B60="","",SUMIFS('الحركات الشهرية'!$F$6:$F$1005,'الحركات الشهرية'!$B$6:$B$1005,$B60,'الحركات الشهرية'!$A$6:$A$1005,$C$3))</f>
        <v/>
      </c>
      <c r="O60" s="86" t="str">
        <f aca="false">IF($B60="","",N60*(الموظفون!$N60+الموظفون!$J60*cfg_OT_P)/cfg_DAYS_M/cfg_HRS)</f>
        <v/>
      </c>
      <c r="P60" s="86" t="str">
        <f aca="false">IF($B60="","",SUMIFS('الحركات الشهرية'!$G$6:$G$1005,'الحركات الشهرية'!$B$6:$B$1005,$B60,'الحركات الشهرية'!$A$6:$A$1005,$C$3))</f>
        <v/>
      </c>
      <c r="Q60" s="86" t="str">
        <f aca="false">IF($B60="","",SUMIFS('الحركات الشهرية'!$H$6:$H$1005,'الحركات الشهرية'!$B$6:$B$1005,$B60,'الحركات الشهرية'!$A$6:$A$1005,$C$3))</f>
        <v/>
      </c>
      <c r="R60" s="106" t="str">
        <f aca="false">IF($B60="","",SUM(J60:M60)+SUM(O60:Q60))</f>
        <v/>
      </c>
      <c r="S60" s="86" t="str">
        <f aca="false">IF($B60="","",الموظفون!$Q60*IF(E60="سعودي",cfg_G_SE,cfg_G_NE)*F60/cfg_DAYS_M)</f>
        <v/>
      </c>
      <c r="T60" s="86" t="str">
        <f aca="false">IF($B60="","",SUMIFS('الحركات الشهرية'!$I$6:$I$1005,'الحركات الشهرية'!$B$6:$B$1005,$B60,'الحركات الشهرية'!$A$6:$A$1005,$C$3))</f>
        <v/>
      </c>
      <c r="U60" s="86" t="str">
        <f aca="false">IF($B60="","",SUMIFS('الحركات الشهرية'!$J$6:$J$1005,'الحركات الشهرية'!$B$6:$B$1005,$B60,'الحركات الشهرية'!$A$6:$A$1005,$C$3))</f>
        <v/>
      </c>
      <c r="V60" s="86" t="str">
        <f aca="false">IF($B60="","",SUM(S60:U60))</f>
        <v/>
      </c>
      <c r="W60" s="107" t="str">
        <f aca="false">IF($B60="","",R60-V60)</f>
        <v/>
      </c>
      <c r="X60" s="86" t="str">
        <f aca="false">IF($B60="","",الموظفون!$Q60*IF(E60="سعودي",cfg_G_SR,cfg_G_NR)*F60/cfg_DAYS_M)</f>
        <v/>
      </c>
      <c r="Y60" s="86" t="str">
        <f aca="false">IF($B60="","",الموظفون!$O60*(cfg_EOS_R1*(MIN(AC60,cfg_EOS_TH)-MIN(AD60,cfg_EOS_TH))+cfg_EOS_R2*(MAX(AC60-cfg_EOS_TH,0)-MAX(AD60-cfg_EOS_TH,0))))</f>
        <v/>
      </c>
      <c r="Z60" s="86" t="str">
        <f aca="false">IF($B60="","",IF(الموظفون!$R60&lt;&gt;"",الموظفون!$R60,IF(AC60&gt;=cfg_LV_TH,cfg_LV_D2,cfg_LV_D1))/cfg_DAYS_Y*AE60*الموظفون!$P60/cfg_DAYS_M)</f>
        <v/>
      </c>
      <c r="AA60" s="86" t="str">
        <f aca="false">IF($B60="","",IF(AND(الموظفون!$S60="نعم",N(الموظفون!$U60)&gt;0),الموظفون!$T60/الموظفون!$U60*12/cfg_DAYS_Y*AE60,0))</f>
        <v/>
      </c>
      <c r="AB60" s="108" t="str">
        <f aca="false">IF($B60="","",R60+SUM(X60:AA60))</f>
        <v/>
      </c>
      <c r="AC60" s="109" t="str">
        <f aca="false">IF($B60="","",MAX(0,IF(OR(الموظفون!$X60="",الموظفون!$X60&gt;$G$3),$G$3,الموظفون!$X60)-الموظفون!$H60+1)/cfg_DAYS_Y)</f>
        <v/>
      </c>
      <c r="AD60" s="109" t="str">
        <f aca="false">IF($B60="","",MAX(0,IF(OR(الموظفون!$X60="",الموظفون!$X60&gt;($E$3-1)),($E$3-1),الموظفون!$X60)-الموظفون!$H60+1)/cfg_DAYS_Y)</f>
        <v/>
      </c>
      <c r="AE60" s="51" t="str">
        <f aca="false">IF($B60="","",MAX(0,IF(OR(الموظفون!$X60="",الموظفون!$X60&gt;$G$3),$G$3,الموظفون!$X60)-MAX($E$3,الموظفون!$H60)+1))</f>
        <v/>
      </c>
    </row>
    <row r="61" customFormat="false" ht="15" hidden="false" customHeight="false" outlineLevel="0" collapsed="false">
      <c r="A61" s="89" t="str">
        <f aca="false">IF($B61="","",الموظفون!$A61)</f>
        <v/>
      </c>
      <c r="B61" s="91" t="str">
        <f aca="false">IF(الموظفون!$B61="","",الموظفون!$B61)</f>
        <v/>
      </c>
      <c r="C61" s="91" t="str">
        <f aca="false">IF($B61="","",الموظفون!$C61)</f>
        <v/>
      </c>
      <c r="D61" s="91" t="str">
        <f aca="false">IF($B61="","",الموظفون!$F61)</f>
        <v/>
      </c>
      <c r="E61" s="91" t="str">
        <f aca="false">IF($B61="","",الموظفون!$E61)</f>
        <v/>
      </c>
      <c r="F61" s="110" t="str">
        <f aca="false">IF($B61="","",IF(AE61&gt;=DAY($G$3),cfg_DAYS_M,MIN(AE61,cfg_DAYS_M)))</f>
        <v/>
      </c>
      <c r="G61" s="110" t="str">
        <f aca="false">IF($B61="","",SUMIFS('الحركات الشهرية'!$D$6:$D$1005,'الحركات الشهرية'!$B$6:$B$1005,$B61,'الحركات الشهرية'!$A$6:$A$1005,$C$3))</f>
        <v/>
      </c>
      <c r="H61" s="110" t="str">
        <f aca="false">IF($B61="","",SUMIFS('الحركات الشهرية'!$E$6:$E$1005,'الحركات الشهرية'!$B$6:$B$1005,$B61,'الحركات الشهرية'!$A$6:$A$1005,$C$3))</f>
        <v/>
      </c>
      <c r="I61" s="110" t="str">
        <f aca="false">IF($B61="","",MAX(0,F61-G61-H61))</f>
        <v/>
      </c>
      <c r="J61" s="90" t="str">
        <f aca="false">IF($B61="","",الموظفون!$J61*$I61/cfg_DAYS_M)</f>
        <v/>
      </c>
      <c r="K61" s="90" t="str">
        <f aca="false">IF($B61="","",الموظفون!$K61*$I61/cfg_DAYS_M)</f>
        <v/>
      </c>
      <c r="L61" s="90" t="str">
        <f aca="false">IF($B61="","",الموظفون!$L61*$I61/cfg_DAYS_M)</f>
        <v/>
      </c>
      <c r="M61" s="90" t="str">
        <f aca="false">IF($B61="","",الموظفون!$M61*$I61/cfg_DAYS_M)</f>
        <v/>
      </c>
      <c r="N61" s="110" t="str">
        <f aca="false">IF($B61="","",SUMIFS('الحركات الشهرية'!$F$6:$F$1005,'الحركات الشهرية'!$B$6:$B$1005,$B61,'الحركات الشهرية'!$A$6:$A$1005,$C$3))</f>
        <v/>
      </c>
      <c r="O61" s="90" t="str">
        <f aca="false">IF($B61="","",N61*(الموظفون!$N61+الموظفون!$J61*cfg_OT_P)/cfg_DAYS_M/cfg_HRS)</f>
        <v/>
      </c>
      <c r="P61" s="90" t="str">
        <f aca="false">IF($B61="","",SUMIFS('الحركات الشهرية'!$G$6:$G$1005,'الحركات الشهرية'!$B$6:$B$1005,$B61,'الحركات الشهرية'!$A$6:$A$1005,$C$3))</f>
        <v/>
      </c>
      <c r="Q61" s="90" t="str">
        <f aca="false">IF($B61="","",SUMIFS('الحركات الشهرية'!$H$6:$H$1005,'الحركات الشهرية'!$B$6:$B$1005,$B61,'الحركات الشهرية'!$A$6:$A$1005,$C$3))</f>
        <v/>
      </c>
      <c r="R61" s="111" t="str">
        <f aca="false">IF($B61="","",SUM(J61:M61)+SUM(O61:Q61))</f>
        <v/>
      </c>
      <c r="S61" s="90" t="str">
        <f aca="false">IF($B61="","",الموظفون!$Q61*IF(E61="سعودي",cfg_G_SE,cfg_G_NE)*F61/cfg_DAYS_M)</f>
        <v/>
      </c>
      <c r="T61" s="90" t="str">
        <f aca="false">IF($B61="","",SUMIFS('الحركات الشهرية'!$I$6:$I$1005,'الحركات الشهرية'!$B$6:$B$1005,$B61,'الحركات الشهرية'!$A$6:$A$1005,$C$3))</f>
        <v/>
      </c>
      <c r="U61" s="90" t="str">
        <f aca="false">IF($B61="","",SUMIFS('الحركات الشهرية'!$J$6:$J$1005,'الحركات الشهرية'!$B$6:$B$1005,$B61,'الحركات الشهرية'!$A$6:$A$1005,$C$3))</f>
        <v/>
      </c>
      <c r="V61" s="90" t="str">
        <f aca="false">IF($B61="","",SUM(S61:U61))</f>
        <v/>
      </c>
      <c r="W61" s="112" t="str">
        <f aca="false">IF($B61="","",R61-V61)</f>
        <v/>
      </c>
      <c r="X61" s="90" t="str">
        <f aca="false">IF($B61="","",الموظفون!$Q61*IF(E61="سعودي",cfg_G_SR,cfg_G_NR)*F61/cfg_DAYS_M)</f>
        <v/>
      </c>
      <c r="Y61" s="90" t="str">
        <f aca="false">IF($B61="","",الموظفون!$O61*(cfg_EOS_R1*(MIN(AC61,cfg_EOS_TH)-MIN(AD61,cfg_EOS_TH))+cfg_EOS_R2*(MAX(AC61-cfg_EOS_TH,0)-MAX(AD61-cfg_EOS_TH,0))))</f>
        <v/>
      </c>
      <c r="Z61" s="90" t="str">
        <f aca="false">IF($B61="","",IF(الموظفون!$R61&lt;&gt;"",الموظفون!$R61,IF(AC61&gt;=cfg_LV_TH,cfg_LV_D2,cfg_LV_D1))/cfg_DAYS_Y*AE61*الموظفون!$P61/cfg_DAYS_M)</f>
        <v/>
      </c>
      <c r="AA61" s="90" t="str">
        <f aca="false">IF($B61="","",IF(AND(الموظفون!$S61="نعم",N(الموظفون!$U61)&gt;0),الموظفون!$T61/الموظفون!$U61*12/cfg_DAYS_Y*AE61,0))</f>
        <v/>
      </c>
      <c r="AB61" s="113" t="str">
        <f aca="false">IF($B61="","",R61+SUM(X61:AA61))</f>
        <v/>
      </c>
      <c r="AC61" s="114" t="str">
        <f aca="false">IF($B61="","",MAX(0,IF(OR(الموظفون!$X61="",الموظفون!$X61&gt;$G$3),$G$3,الموظفون!$X61)-الموظفون!$H61+1)/cfg_DAYS_Y)</f>
        <v/>
      </c>
      <c r="AD61" s="114" t="str">
        <f aca="false">IF($B61="","",MAX(0,IF(OR(الموظفون!$X61="",الموظفون!$X61&gt;($E$3-1)),($E$3-1),الموظفون!$X61)-الموظفون!$H61+1)/cfg_DAYS_Y)</f>
        <v/>
      </c>
      <c r="AE61" s="115" t="str">
        <f aca="false">IF($B61="","",MAX(0,IF(OR(الموظفون!$X61="",الموظفون!$X61&gt;$G$3),$G$3,الموظفون!$X61)-MAX($E$3,الموظفون!$H61)+1))</f>
        <v/>
      </c>
    </row>
    <row r="62" customFormat="false" ht="15" hidden="false" customHeight="false" outlineLevel="0" collapsed="false">
      <c r="A62" s="83" t="str">
        <f aca="false">IF($B62="","",الموظفون!$A62)</f>
        <v/>
      </c>
      <c r="B62" s="74" t="str">
        <f aca="false">IF(الموظفون!$B62="","",الموظفون!$B62)</f>
        <v/>
      </c>
      <c r="C62" s="74" t="str">
        <f aca="false">IF($B62="","",الموظفون!$C62)</f>
        <v/>
      </c>
      <c r="D62" s="74" t="str">
        <f aca="false">IF($B62="","",الموظفون!$F62)</f>
        <v/>
      </c>
      <c r="E62" s="74" t="str">
        <f aca="false">IF($B62="","",الموظفون!$E62)</f>
        <v/>
      </c>
      <c r="F62" s="105" t="str">
        <f aca="false">IF($B62="","",IF(AE62&gt;=DAY($G$3),cfg_DAYS_M,MIN(AE62,cfg_DAYS_M)))</f>
        <v/>
      </c>
      <c r="G62" s="105" t="str">
        <f aca="false">IF($B62="","",SUMIFS('الحركات الشهرية'!$D$6:$D$1005,'الحركات الشهرية'!$B$6:$B$1005,$B62,'الحركات الشهرية'!$A$6:$A$1005,$C$3))</f>
        <v/>
      </c>
      <c r="H62" s="105" t="str">
        <f aca="false">IF($B62="","",SUMIFS('الحركات الشهرية'!$E$6:$E$1005,'الحركات الشهرية'!$B$6:$B$1005,$B62,'الحركات الشهرية'!$A$6:$A$1005,$C$3))</f>
        <v/>
      </c>
      <c r="I62" s="105" t="str">
        <f aca="false">IF($B62="","",MAX(0,F62-G62-H62))</f>
        <v/>
      </c>
      <c r="J62" s="86" t="str">
        <f aca="false">IF($B62="","",الموظفون!$J62*$I62/cfg_DAYS_M)</f>
        <v/>
      </c>
      <c r="K62" s="86" t="str">
        <f aca="false">IF($B62="","",الموظفون!$K62*$I62/cfg_DAYS_M)</f>
        <v/>
      </c>
      <c r="L62" s="86" t="str">
        <f aca="false">IF($B62="","",الموظفون!$L62*$I62/cfg_DAYS_M)</f>
        <v/>
      </c>
      <c r="M62" s="86" t="str">
        <f aca="false">IF($B62="","",الموظفون!$M62*$I62/cfg_DAYS_M)</f>
        <v/>
      </c>
      <c r="N62" s="105" t="str">
        <f aca="false">IF($B62="","",SUMIFS('الحركات الشهرية'!$F$6:$F$1005,'الحركات الشهرية'!$B$6:$B$1005,$B62,'الحركات الشهرية'!$A$6:$A$1005,$C$3))</f>
        <v/>
      </c>
      <c r="O62" s="86" t="str">
        <f aca="false">IF($B62="","",N62*(الموظفون!$N62+الموظفون!$J62*cfg_OT_P)/cfg_DAYS_M/cfg_HRS)</f>
        <v/>
      </c>
      <c r="P62" s="86" t="str">
        <f aca="false">IF($B62="","",SUMIFS('الحركات الشهرية'!$G$6:$G$1005,'الحركات الشهرية'!$B$6:$B$1005,$B62,'الحركات الشهرية'!$A$6:$A$1005,$C$3))</f>
        <v/>
      </c>
      <c r="Q62" s="86" t="str">
        <f aca="false">IF($B62="","",SUMIFS('الحركات الشهرية'!$H$6:$H$1005,'الحركات الشهرية'!$B$6:$B$1005,$B62,'الحركات الشهرية'!$A$6:$A$1005,$C$3))</f>
        <v/>
      </c>
      <c r="R62" s="106" t="str">
        <f aca="false">IF($B62="","",SUM(J62:M62)+SUM(O62:Q62))</f>
        <v/>
      </c>
      <c r="S62" s="86" t="str">
        <f aca="false">IF($B62="","",الموظفون!$Q62*IF(E62="سعودي",cfg_G_SE,cfg_G_NE)*F62/cfg_DAYS_M)</f>
        <v/>
      </c>
      <c r="T62" s="86" t="str">
        <f aca="false">IF($B62="","",SUMIFS('الحركات الشهرية'!$I$6:$I$1005,'الحركات الشهرية'!$B$6:$B$1005,$B62,'الحركات الشهرية'!$A$6:$A$1005,$C$3))</f>
        <v/>
      </c>
      <c r="U62" s="86" t="str">
        <f aca="false">IF($B62="","",SUMIFS('الحركات الشهرية'!$J$6:$J$1005,'الحركات الشهرية'!$B$6:$B$1005,$B62,'الحركات الشهرية'!$A$6:$A$1005,$C$3))</f>
        <v/>
      </c>
      <c r="V62" s="86" t="str">
        <f aca="false">IF($B62="","",SUM(S62:U62))</f>
        <v/>
      </c>
      <c r="W62" s="107" t="str">
        <f aca="false">IF($B62="","",R62-V62)</f>
        <v/>
      </c>
      <c r="X62" s="86" t="str">
        <f aca="false">IF($B62="","",الموظفون!$Q62*IF(E62="سعودي",cfg_G_SR,cfg_G_NR)*F62/cfg_DAYS_M)</f>
        <v/>
      </c>
      <c r="Y62" s="86" t="str">
        <f aca="false">IF($B62="","",الموظفون!$O62*(cfg_EOS_R1*(MIN(AC62,cfg_EOS_TH)-MIN(AD62,cfg_EOS_TH))+cfg_EOS_R2*(MAX(AC62-cfg_EOS_TH,0)-MAX(AD62-cfg_EOS_TH,0))))</f>
        <v/>
      </c>
      <c r="Z62" s="86" t="str">
        <f aca="false">IF($B62="","",IF(الموظفون!$R62&lt;&gt;"",الموظفون!$R62,IF(AC62&gt;=cfg_LV_TH,cfg_LV_D2,cfg_LV_D1))/cfg_DAYS_Y*AE62*الموظفون!$P62/cfg_DAYS_M)</f>
        <v/>
      </c>
      <c r="AA62" s="86" t="str">
        <f aca="false">IF($B62="","",IF(AND(الموظفون!$S62="نعم",N(الموظفون!$U62)&gt;0),الموظفون!$T62/الموظفون!$U62*12/cfg_DAYS_Y*AE62,0))</f>
        <v/>
      </c>
      <c r="AB62" s="108" t="str">
        <f aca="false">IF($B62="","",R62+SUM(X62:AA62))</f>
        <v/>
      </c>
      <c r="AC62" s="109" t="str">
        <f aca="false">IF($B62="","",MAX(0,IF(OR(الموظفون!$X62="",الموظفون!$X62&gt;$G$3),$G$3,الموظفون!$X62)-الموظفون!$H62+1)/cfg_DAYS_Y)</f>
        <v/>
      </c>
      <c r="AD62" s="109" t="str">
        <f aca="false">IF($B62="","",MAX(0,IF(OR(الموظفون!$X62="",الموظفون!$X62&gt;($E$3-1)),($E$3-1),الموظفون!$X62)-الموظفون!$H62+1)/cfg_DAYS_Y)</f>
        <v/>
      </c>
      <c r="AE62" s="51" t="str">
        <f aca="false">IF($B62="","",MAX(0,IF(OR(الموظفون!$X62="",الموظفون!$X62&gt;$G$3),$G$3,الموظفون!$X62)-MAX($E$3,الموظفون!$H62)+1))</f>
        <v/>
      </c>
    </row>
    <row r="63" customFormat="false" ht="15" hidden="false" customHeight="false" outlineLevel="0" collapsed="false">
      <c r="A63" s="89" t="str">
        <f aca="false">IF($B63="","",الموظفون!$A63)</f>
        <v/>
      </c>
      <c r="B63" s="91" t="str">
        <f aca="false">IF(الموظفون!$B63="","",الموظفون!$B63)</f>
        <v/>
      </c>
      <c r="C63" s="91" t="str">
        <f aca="false">IF($B63="","",الموظفون!$C63)</f>
        <v/>
      </c>
      <c r="D63" s="91" t="str">
        <f aca="false">IF($B63="","",الموظفون!$F63)</f>
        <v/>
      </c>
      <c r="E63" s="91" t="str">
        <f aca="false">IF($B63="","",الموظفون!$E63)</f>
        <v/>
      </c>
      <c r="F63" s="110" t="str">
        <f aca="false">IF($B63="","",IF(AE63&gt;=DAY($G$3),cfg_DAYS_M,MIN(AE63,cfg_DAYS_M)))</f>
        <v/>
      </c>
      <c r="G63" s="110" t="str">
        <f aca="false">IF($B63="","",SUMIFS('الحركات الشهرية'!$D$6:$D$1005,'الحركات الشهرية'!$B$6:$B$1005,$B63,'الحركات الشهرية'!$A$6:$A$1005,$C$3))</f>
        <v/>
      </c>
      <c r="H63" s="110" t="str">
        <f aca="false">IF($B63="","",SUMIFS('الحركات الشهرية'!$E$6:$E$1005,'الحركات الشهرية'!$B$6:$B$1005,$B63,'الحركات الشهرية'!$A$6:$A$1005,$C$3))</f>
        <v/>
      </c>
      <c r="I63" s="110" t="str">
        <f aca="false">IF($B63="","",MAX(0,F63-G63-H63))</f>
        <v/>
      </c>
      <c r="J63" s="90" t="str">
        <f aca="false">IF($B63="","",الموظفون!$J63*$I63/cfg_DAYS_M)</f>
        <v/>
      </c>
      <c r="K63" s="90" t="str">
        <f aca="false">IF($B63="","",الموظفون!$K63*$I63/cfg_DAYS_M)</f>
        <v/>
      </c>
      <c r="L63" s="90" t="str">
        <f aca="false">IF($B63="","",الموظفون!$L63*$I63/cfg_DAYS_M)</f>
        <v/>
      </c>
      <c r="M63" s="90" t="str">
        <f aca="false">IF($B63="","",الموظفون!$M63*$I63/cfg_DAYS_M)</f>
        <v/>
      </c>
      <c r="N63" s="110" t="str">
        <f aca="false">IF($B63="","",SUMIFS('الحركات الشهرية'!$F$6:$F$1005,'الحركات الشهرية'!$B$6:$B$1005,$B63,'الحركات الشهرية'!$A$6:$A$1005,$C$3))</f>
        <v/>
      </c>
      <c r="O63" s="90" t="str">
        <f aca="false">IF($B63="","",N63*(الموظفون!$N63+الموظفون!$J63*cfg_OT_P)/cfg_DAYS_M/cfg_HRS)</f>
        <v/>
      </c>
      <c r="P63" s="90" t="str">
        <f aca="false">IF($B63="","",SUMIFS('الحركات الشهرية'!$G$6:$G$1005,'الحركات الشهرية'!$B$6:$B$1005,$B63,'الحركات الشهرية'!$A$6:$A$1005,$C$3))</f>
        <v/>
      </c>
      <c r="Q63" s="90" t="str">
        <f aca="false">IF($B63="","",SUMIFS('الحركات الشهرية'!$H$6:$H$1005,'الحركات الشهرية'!$B$6:$B$1005,$B63,'الحركات الشهرية'!$A$6:$A$1005,$C$3))</f>
        <v/>
      </c>
      <c r="R63" s="111" t="str">
        <f aca="false">IF($B63="","",SUM(J63:M63)+SUM(O63:Q63))</f>
        <v/>
      </c>
      <c r="S63" s="90" t="str">
        <f aca="false">IF($B63="","",الموظفون!$Q63*IF(E63="سعودي",cfg_G_SE,cfg_G_NE)*F63/cfg_DAYS_M)</f>
        <v/>
      </c>
      <c r="T63" s="90" t="str">
        <f aca="false">IF($B63="","",SUMIFS('الحركات الشهرية'!$I$6:$I$1005,'الحركات الشهرية'!$B$6:$B$1005,$B63,'الحركات الشهرية'!$A$6:$A$1005,$C$3))</f>
        <v/>
      </c>
      <c r="U63" s="90" t="str">
        <f aca="false">IF($B63="","",SUMIFS('الحركات الشهرية'!$J$6:$J$1005,'الحركات الشهرية'!$B$6:$B$1005,$B63,'الحركات الشهرية'!$A$6:$A$1005,$C$3))</f>
        <v/>
      </c>
      <c r="V63" s="90" t="str">
        <f aca="false">IF($B63="","",SUM(S63:U63))</f>
        <v/>
      </c>
      <c r="W63" s="112" t="str">
        <f aca="false">IF($B63="","",R63-V63)</f>
        <v/>
      </c>
      <c r="X63" s="90" t="str">
        <f aca="false">IF($B63="","",الموظفون!$Q63*IF(E63="سعودي",cfg_G_SR,cfg_G_NR)*F63/cfg_DAYS_M)</f>
        <v/>
      </c>
      <c r="Y63" s="90" t="str">
        <f aca="false">IF($B63="","",الموظفون!$O63*(cfg_EOS_R1*(MIN(AC63,cfg_EOS_TH)-MIN(AD63,cfg_EOS_TH))+cfg_EOS_R2*(MAX(AC63-cfg_EOS_TH,0)-MAX(AD63-cfg_EOS_TH,0))))</f>
        <v/>
      </c>
      <c r="Z63" s="90" t="str">
        <f aca="false">IF($B63="","",IF(الموظفون!$R63&lt;&gt;"",الموظفون!$R63,IF(AC63&gt;=cfg_LV_TH,cfg_LV_D2,cfg_LV_D1))/cfg_DAYS_Y*AE63*الموظفون!$P63/cfg_DAYS_M)</f>
        <v/>
      </c>
      <c r="AA63" s="90" t="str">
        <f aca="false">IF($B63="","",IF(AND(الموظفون!$S63="نعم",N(الموظفون!$U63)&gt;0),الموظفون!$T63/الموظفون!$U63*12/cfg_DAYS_Y*AE63,0))</f>
        <v/>
      </c>
      <c r="AB63" s="113" t="str">
        <f aca="false">IF($B63="","",R63+SUM(X63:AA63))</f>
        <v/>
      </c>
      <c r="AC63" s="114" t="str">
        <f aca="false">IF($B63="","",MAX(0,IF(OR(الموظفون!$X63="",الموظفون!$X63&gt;$G$3),$G$3,الموظفون!$X63)-الموظفون!$H63+1)/cfg_DAYS_Y)</f>
        <v/>
      </c>
      <c r="AD63" s="114" t="str">
        <f aca="false">IF($B63="","",MAX(0,IF(OR(الموظفون!$X63="",الموظفون!$X63&gt;($E$3-1)),($E$3-1),الموظفون!$X63)-الموظفون!$H63+1)/cfg_DAYS_Y)</f>
        <v/>
      </c>
      <c r="AE63" s="115" t="str">
        <f aca="false">IF($B63="","",MAX(0,IF(OR(الموظفون!$X63="",الموظفون!$X63&gt;$G$3),$G$3,الموظفون!$X63)-MAX($E$3,الموظفون!$H63)+1))</f>
        <v/>
      </c>
    </row>
    <row r="64" customFormat="false" ht="15" hidden="false" customHeight="false" outlineLevel="0" collapsed="false">
      <c r="A64" s="83" t="str">
        <f aca="false">IF($B64="","",الموظفون!$A64)</f>
        <v/>
      </c>
      <c r="B64" s="74" t="str">
        <f aca="false">IF(الموظفون!$B64="","",الموظفون!$B64)</f>
        <v/>
      </c>
      <c r="C64" s="74" t="str">
        <f aca="false">IF($B64="","",الموظفون!$C64)</f>
        <v/>
      </c>
      <c r="D64" s="74" t="str">
        <f aca="false">IF($B64="","",الموظفون!$F64)</f>
        <v/>
      </c>
      <c r="E64" s="74" t="str">
        <f aca="false">IF($B64="","",الموظفون!$E64)</f>
        <v/>
      </c>
      <c r="F64" s="105" t="str">
        <f aca="false">IF($B64="","",IF(AE64&gt;=DAY($G$3),cfg_DAYS_M,MIN(AE64,cfg_DAYS_M)))</f>
        <v/>
      </c>
      <c r="G64" s="105" t="str">
        <f aca="false">IF($B64="","",SUMIFS('الحركات الشهرية'!$D$6:$D$1005,'الحركات الشهرية'!$B$6:$B$1005,$B64,'الحركات الشهرية'!$A$6:$A$1005,$C$3))</f>
        <v/>
      </c>
      <c r="H64" s="105" t="str">
        <f aca="false">IF($B64="","",SUMIFS('الحركات الشهرية'!$E$6:$E$1005,'الحركات الشهرية'!$B$6:$B$1005,$B64,'الحركات الشهرية'!$A$6:$A$1005,$C$3))</f>
        <v/>
      </c>
      <c r="I64" s="105" t="str">
        <f aca="false">IF($B64="","",MAX(0,F64-G64-H64))</f>
        <v/>
      </c>
      <c r="J64" s="86" t="str">
        <f aca="false">IF($B64="","",الموظفون!$J64*$I64/cfg_DAYS_M)</f>
        <v/>
      </c>
      <c r="K64" s="86" t="str">
        <f aca="false">IF($B64="","",الموظفون!$K64*$I64/cfg_DAYS_M)</f>
        <v/>
      </c>
      <c r="L64" s="86" t="str">
        <f aca="false">IF($B64="","",الموظفون!$L64*$I64/cfg_DAYS_M)</f>
        <v/>
      </c>
      <c r="M64" s="86" t="str">
        <f aca="false">IF($B64="","",الموظفون!$M64*$I64/cfg_DAYS_M)</f>
        <v/>
      </c>
      <c r="N64" s="105" t="str">
        <f aca="false">IF($B64="","",SUMIFS('الحركات الشهرية'!$F$6:$F$1005,'الحركات الشهرية'!$B$6:$B$1005,$B64,'الحركات الشهرية'!$A$6:$A$1005,$C$3))</f>
        <v/>
      </c>
      <c r="O64" s="86" t="str">
        <f aca="false">IF($B64="","",N64*(الموظفون!$N64+الموظفون!$J64*cfg_OT_P)/cfg_DAYS_M/cfg_HRS)</f>
        <v/>
      </c>
      <c r="P64" s="86" t="str">
        <f aca="false">IF($B64="","",SUMIFS('الحركات الشهرية'!$G$6:$G$1005,'الحركات الشهرية'!$B$6:$B$1005,$B64,'الحركات الشهرية'!$A$6:$A$1005,$C$3))</f>
        <v/>
      </c>
      <c r="Q64" s="86" t="str">
        <f aca="false">IF($B64="","",SUMIFS('الحركات الشهرية'!$H$6:$H$1005,'الحركات الشهرية'!$B$6:$B$1005,$B64,'الحركات الشهرية'!$A$6:$A$1005,$C$3))</f>
        <v/>
      </c>
      <c r="R64" s="106" t="str">
        <f aca="false">IF($B64="","",SUM(J64:M64)+SUM(O64:Q64))</f>
        <v/>
      </c>
      <c r="S64" s="86" t="str">
        <f aca="false">IF($B64="","",الموظفون!$Q64*IF(E64="سعودي",cfg_G_SE,cfg_G_NE)*F64/cfg_DAYS_M)</f>
        <v/>
      </c>
      <c r="T64" s="86" t="str">
        <f aca="false">IF($B64="","",SUMIFS('الحركات الشهرية'!$I$6:$I$1005,'الحركات الشهرية'!$B$6:$B$1005,$B64,'الحركات الشهرية'!$A$6:$A$1005,$C$3))</f>
        <v/>
      </c>
      <c r="U64" s="86" t="str">
        <f aca="false">IF($B64="","",SUMIFS('الحركات الشهرية'!$J$6:$J$1005,'الحركات الشهرية'!$B$6:$B$1005,$B64,'الحركات الشهرية'!$A$6:$A$1005,$C$3))</f>
        <v/>
      </c>
      <c r="V64" s="86" t="str">
        <f aca="false">IF($B64="","",SUM(S64:U64))</f>
        <v/>
      </c>
      <c r="W64" s="107" t="str">
        <f aca="false">IF($B64="","",R64-V64)</f>
        <v/>
      </c>
      <c r="X64" s="86" t="str">
        <f aca="false">IF($B64="","",الموظفون!$Q64*IF(E64="سعودي",cfg_G_SR,cfg_G_NR)*F64/cfg_DAYS_M)</f>
        <v/>
      </c>
      <c r="Y64" s="86" t="str">
        <f aca="false">IF($B64="","",الموظفون!$O64*(cfg_EOS_R1*(MIN(AC64,cfg_EOS_TH)-MIN(AD64,cfg_EOS_TH))+cfg_EOS_R2*(MAX(AC64-cfg_EOS_TH,0)-MAX(AD64-cfg_EOS_TH,0))))</f>
        <v/>
      </c>
      <c r="Z64" s="86" t="str">
        <f aca="false">IF($B64="","",IF(الموظفون!$R64&lt;&gt;"",الموظفون!$R64,IF(AC64&gt;=cfg_LV_TH,cfg_LV_D2,cfg_LV_D1))/cfg_DAYS_Y*AE64*الموظفون!$P64/cfg_DAYS_M)</f>
        <v/>
      </c>
      <c r="AA64" s="86" t="str">
        <f aca="false">IF($B64="","",IF(AND(الموظفون!$S64="نعم",N(الموظفون!$U64)&gt;0),الموظفون!$T64/الموظفون!$U64*12/cfg_DAYS_Y*AE64,0))</f>
        <v/>
      </c>
      <c r="AB64" s="108" t="str">
        <f aca="false">IF($B64="","",R64+SUM(X64:AA64))</f>
        <v/>
      </c>
      <c r="AC64" s="109" t="str">
        <f aca="false">IF($B64="","",MAX(0,IF(OR(الموظفون!$X64="",الموظفون!$X64&gt;$G$3),$G$3,الموظفون!$X64)-الموظفون!$H64+1)/cfg_DAYS_Y)</f>
        <v/>
      </c>
      <c r="AD64" s="109" t="str">
        <f aca="false">IF($B64="","",MAX(0,IF(OR(الموظفون!$X64="",الموظفون!$X64&gt;($E$3-1)),($E$3-1),الموظفون!$X64)-الموظفون!$H64+1)/cfg_DAYS_Y)</f>
        <v/>
      </c>
      <c r="AE64" s="51" t="str">
        <f aca="false">IF($B64="","",MAX(0,IF(OR(الموظفون!$X64="",الموظفون!$X64&gt;$G$3),$G$3,الموظفون!$X64)-MAX($E$3,الموظفون!$H64)+1))</f>
        <v/>
      </c>
    </row>
    <row r="65" customFormat="false" ht="15" hidden="false" customHeight="false" outlineLevel="0" collapsed="false">
      <c r="A65" s="89" t="str">
        <f aca="false">IF($B65="","",الموظفون!$A65)</f>
        <v/>
      </c>
      <c r="B65" s="91" t="str">
        <f aca="false">IF(الموظفون!$B65="","",الموظفون!$B65)</f>
        <v/>
      </c>
      <c r="C65" s="91" t="str">
        <f aca="false">IF($B65="","",الموظفون!$C65)</f>
        <v/>
      </c>
      <c r="D65" s="91" t="str">
        <f aca="false">IF($B65="","",الموظفون!$F65)</f>
        <v/>
      </c>
      <c r="E65" s="91" t="str">
        <f aca="false">IF($B65="","",الموظفون!$E65)</f>
        <v/>
      </c>
      <c r="F65" s="110" t="str">
        <f aca="false">IF($B65="","",IF(AE65&gt;=DAY($G$3),cfg_DAYS_M,MIN(AE65,cfg_DAYS_M)))</f>
        <v/>
      </c>
      <c r="G65" s="110" t="str">
        <f aca="false">IF($B65="","",SUMIFS('الحركات الشهرية'!$D$6:$D$1005,'الحركات الشهرية'!$B$6:$B$1005,$B65,'الحركات الشهرية'!$A$6:$A$1005,$C$3))</f>
        <v/>
      </c>
      <c r="H65" s="110" t="str">
        <f aca="false">IF($B65="","",SUMIFS('الحركات الشهرية'!$E$6:$E$1005,'الحركات الشهرية'!$B$6:$B$1005,$B65,'الحركات الشهرية'!$A$6:$A$1005,$C$3))</f>
        <v/>
      </c>
      <c r="I65" s="110" t="str">
        <f aca="false">IF($B65="","",MAX(0,F65-G65-H65))</f>
        <v/>
      </c>
      <c r="J65" s="90" t="str">
        <f aca="false">IF($B65="","",الموظفون!$J65*$I65/cfg_DAYS_M)</f>
        <v/>
      </c>
      <c r="K65" s="90" t="str">
        <f aca="false">IF($B65="","",الموظفون!$K65*$I65/cfg_DAYS_M)</f>
        <v/>
      </c>
      <c r="L65" s="90" t="str">
        <f aca="false">IF($B65="","",الموظفون!$L65*$I65/cfg_DAYS_M)</f>
        <v/>
      </c>
      <c r="M65" s="90" t="str">
        <f aca="false">IF($B65="","",الموظفون!$M65*$I65/cfg_DAYS_M)</f>
        <v/>
      </c>
      <c r="N65" s="110" t="str">
        <f aca="false">IF($B65="","",SUMIFS('الحركات الشهرية'!$F$6:$F$1005,'الحركات الشهرية'!$B$6:$B$1005,$B65,'الحركات الشهرية'!$A$6:$A$1005,$C$3))</f>
        <v/>
      </c>
      <c r="O65" s="90" t="str">
        <f aca="false">IF($B65="","",N65*(الموظفون!$N65+الموظفون!$J65*cfg_OT_P)/cfg_DAYS_M/cfg_HRS)</f>
        <v/>
      </c>
      <c r="P65" s="90" t="str">
        <f aca="false">IF($B65="","",SUMIFS('الحركات الشهرية'!$G$6:$G$1005,'الحركات الشهرية'!$B$6:$B$1005,$B65,'الحركات الشهرية'!$A$6:$A$1005,$C$3))</f>
        <v/>
      </c>
      <c r="Q65" s="90" t="str">
        <f aca="false">IF($B65="","",SUMIFS('الحركات الشهرية'!$H$6:$H$1005,'الحركات الشهرية'!$B$6:$B$1005,$B65,'الحركات الشهرية'!$A$6:$A$1005,$C$3))</f>
        <v/>
      </c>
      <c r="R65" s="111" t="str">
        <f aca="false">IF($B65="","",SUM(J65:M65)+SUM(O65:Q65))</f>
        <v/>
      </c>
      <c r="S65" s="90" t="str">
        <f aca="false">IF($B65="","",الموظفون!$Q65*IF(E65="سعودي",cfg_G_SE,cfg_G_NE)*F65/cfg_DAYS_M)</f>
        <v/>
      </c>
      <c r="T65" s="90" t="str">
        <f aca="false">IF($B65="","",SUMIFS('الحركات الشهرية'!$I$6:$I$1005,'الحركات الشهرية'!$B$6:$B$1005,$B65,'الحركات الشهرية'!$A$6:$A$1005,$C$3))</f>
        <v/>
      </c>
      <c r="U65" s="90" t="str">
        <f aca="false">IF($B65="","",SUMIFS('الحركات الشهرية'!$J$6:$J$1005,'الحركات الشهرية'!$B$6:$B$1005,$B65,'الحركات الشهرية'!$A$6:$A$1005,$C$3))</f>
        <v/>
      </c>
      <c r="V65" s="90" t="str">
        <f aca="false">IF($B65="","",SUM(S65:U65))</f>
        <v/>
      </c>
      <c r="W65" s="112" t="str">
        <f aca="false">IF($B65="","",R65-V65)</f>
        <v/>
      </c>
      <c r="X65" s="90" t="str">
        <f aca="false">IF($B65="","",الموظفون!$Q65*IF(E65="سعودي",cfg_G_SR,cfg_G_NR)*F65/cfg_DAYS_M)</f>
        <v/>
      </c>
      <c r="Y65" s="90" t="str">
        <f aca="false">IF($B65="","",الموظفون!$O65*(cfg_EOS_R1*(MIN(AC65,cfg_EOS_TH)-MIN(AD65,cfg_EOS_TH))+cfg_EOS_R2*(MAX(AC65-cfg_EOS_TH,0)-MAX(AD65-cfg_EOS_TH,0))))</f>
        <v/>
      </c>
      <c r="Z65" s="90" t="str">
        <f aca="false">IF($B65="","",IF(الموظفون!$R65&lt;&gt;"",الموظفون!$R65,IF(AC65&gt;=cfg_LV_TH,cfg_LV_D2,cfg_LV_D1))/cfg_DAYS_Y*AE65*الموظفون!$P65/cfg_DAYS_M)</f>
        <v/>
      </c>
      <c r="AA65" s="90" t="str">
        <f aca="false">IF($B65="","",IF(AND(الموظفون!$S65="نعم",N(الموظفون!$U65)&gt;0),الموظفون!$T65/الموظفون!$U65*12/cfg_DAYS_Y*AE65,0))</f>
        <v/>
      </c>
      <c r="AB65" s="113" t="str">
        <f aca="false">IF($B65="","",R65+SUM(X65:AA65))</f>
        <v/>
      </c>
      <c r="AC65" s="114" t="str">
        <f aca="false">IF($B65="","",MAX(0,IF(OR(الموظفون!$X65="",الموظفون!$X65&gt;$G$3),$G$3,الموظفون!$X65)-الموظفون!$H65+1)/cfg_DAYS_Y)</f>
        <v/>
      </c>
      <c r="AD65" s="114" t="str">
        <f aca="false">IF($B65="","",MAX(0,IF(OR(الموظفون!$X65="",الموظفون!$X65&gt;($E$3-1)),($E$3-1),الموظفون!$X65)-الموظفون!$H65+1)/cfg_DAYS_Y)</f>
        <v/>
      </c>
      <c r="AE65" s="115" t="str">
        <f aca="false">IF($B65="","",MAX(0,IF(OR(الموظفون!$X65="",الموظفون!$X65&gt;$G$3),$G$3,الموظفون!$X65)-MAX($E$3,الموظفون!$H65)+1))</f>
        <v/>
      </c>
    </row>
    <row r="66" customFormat="false" ht="15" hidden="false" customHeight="false" outlineLevel="0" collapsed="false">
      <c r="A66" s="83" t="str">
        <f aca="false">IF($B66="","",الموظفون!$A66)</f>
        <v/>
      </c>
      <c r="B66" s="74" t="str">
        <f aca="false">IF(الموظفون!$B66="","",الموظفون!$B66)</f>
        <v/>
      </c>
      <c r="C66" s="74" t="str">
        <f aca="false">IF($B66="","",الموظفون!$C66)</f>
        <v/>
      </c>
      <c r="D66" s="74" t="str">
        <f aca="false">IF($B66="","",الموظفون!$F66)</f>
        <v/>
      </c>
      <c r="E66" s="74" t="str">
        <f aca="false">IF($B66="","",الموظفون!$E66)</f>
        <v/>
      </c>
      <c r="F66" s="105" t="str">
        <f aca="false">IF($B66="","",IF(AE66&gt;=DAY($G$3),cfg_DAYS_M,MIN(AE66,cfg_DAYS_M)))</f>
        <v/>
      </c>
      <c r="G66" s="105" t="str">
        <f aca="false">IF($B66="","",SUMIFS('الحركات الشهرية'!$D$6:$D$1005,'الحركات الشهرية'!$B$6:$B$1005,$B66,'الحركات الشهرية'!$A$6:$A$1005,$C$3))</f>
        <v/>
      </c>
      <c r="H66" s="105" t="str">
        <f aca="false">IF($B66="","",SUMIFS('الحركات الشهرية'!$E$6:$E$1005,'الحركات الشهرية'!$B$6:$B$1005,$B66,'الحركات الشهرية'!$A$6:$A$1005,$C$3))</f>
        <v/>
      </c>
      <c r="I66" s="105" t="str">
        <f aca="false">IF($B66="","",MAX(0,F66-G66-H66))</f>
        <v/>
      </c>
      <c r="J66" s="86" t="str">
        <f aca="false">IF($B66="","",الموظفون!$J66*$I66/cfg_DAYS_M)</f>
        <v/>
      </c>
      <c r="K66" s="86" t="str">
        <f aca="false">IF($B66="","",الموظفون!$K66*$I66/cfg_DAYS_M)</f>
        <v/>
      </c>
      <c r="L66" s="86" t="str">
        <f aca="false">IF($B66="","",الموظفون!$L66*$I66/cfg_DAYS_M)</f>
        <v/>
      </c>
      <c r="M66" s="86" t="str">
        <f aca="false">IF($B66="","",الموظفون!$M66*$I66/cfg_DAYS_M)</f>
        <v/>
      </c>
      <c r="N66" s="105" t="str">
        <f aca="false">IF($B66="","",SUMIFS('الحركات الشهرية'!$F$6:$F$1005,'الحركات الشهرية'!$B$6:$B$1005,$B66,'الحركات الشهرية'!$A$6:$A$1005,$C$3))</f>
        <v/>
      </c>
      <c r="O66" s="86" t="str">
        <f aca="false">IF($B66="","",N66*(الموظفون!$N66+الموظفون!$J66*cfg_OT_P)/cfg_DAYS_M/cfg_HRS)</f>
        <v/>
      </c>
      <c r="P66" s="86" t="str">
        <f aca="false">IF($B66="","",SUMIFS('الحركات الشهرية'!$G$6:$G$1005,'الحركات الشهرية'!$B$6:$B$1005,$B66,'الحركات الشهرية'!$A$6:$A$1005,$C$3))</f>
        <v/>
      </c>
      <c r="Q66" s="86" t="str">
        <f aca="false">IF($B66="","",SUMIFS('الحركات الشهرية'!$H$6:$H$1005,'الحركات الشهرية'!$B$6:$B$1005,$B66,'الحركات الشهرية'!$A$6:$A$1005,$C$3))</f>
        <v/>
      </c>
      <c r="R66" s="106" t="str">
        <f aca="false">IF($B66="","",SUM(J66:M66)+SUM(O66:Q66))</f>
        <v/>
      </c>
      <c r="S66" s="86" t="str">
        <f aca="false">IF($B66="","",الموظفون!$Q66*IF(E66="سعودي",cfg_G_SE,cfg_G_NE)*F66/cfg_DAYS_M)</f>
        <v/>
      </c>
      <c r="T66" s="86" t="str">
        <f aca="false">IF($B66="","",SUMIFS('الحركات الشهرية'!$I$6:$I$1005,'الحركات الشهرية'!$B$6:$B$1005,$B66,'الحركات الشهرية'!$A$6:$A$1005,$C$3))</f>
        <v/>
      </c>
      <c r="U66" s="86" t="str">
        <f aca="false">IF($B66="","",SUMIFS('الحركات الشهرية'!$J$6:$J$1005,'الحركات الشهرية'!$B$6:$B$1005,$B66,'الحركات الشهرية'!$A$6:$A$1005,$C$3))</f>
        <v/>
      </c>
      <c r="V66" s="86" t="str">
        <f aca="false">IF($B66="","",SUM(S66:U66))</f>
        <v/>
      </c>
      <c r="W66" s="107" t="str">
        <f aca="false">IF($B66="","",R66-V66)</f>
        <v/>
      </c>
      <c r="X66" s="86" t="str">
        <f aca="false">IF($B66="","",الموظفون!$Q66*IF(E66="سعودي",cfg_G_SR,cfg_G_NR)*F66/cfg_DAYS_M)</f>
        <v/>
      </c>
      <c r="Y66" s="86" t="str">
        <f aca="false">IF($B66="","",الموظفون!$O66*(cfg_EOS_R1*(MIN(AC66,cfg_EOS_TH)-MIN(AD66,cfg_EOS_TH))+cfg_EOS_R2*(MAX(AC66-cfg_EOS_TH,0)-MAX(AD66-cfg_EOS_TH,0))))</f>
        <v/>
      </c>
      <c r="Z66" s="86" t="str">
        <f aca="false">IF($B66="","",IF(الموظفون!$R66&lt;&gt;"",الموظفون!$R66,IF(AC66&gt;=cfg_LV_TH,cfg_LV_D2,cfg_LV_D1))/cfg_DAYS_Y*AE66*الموظفون!$P66/cfg_DAYS_M)</f>
        <v/>
      </c>
      <c r="AA66" s="86" t="str">
        <f aca="false">IF($B66="","",IF(AND(الموظفون!$S66="نعم",N(الموظفون!$U66)&gt;0),الموظفون!$T66/الموظفون!$U66*12/cfg_DAYS_Y*AE66,0))</f>
        <v/>
      </c>
      <c r="AB66" s="108" t="str">
        <f aca="false">IF($B66="","",R66+SUM(X66:AA66))</f>
        <v/>
      </c>
      <c r="AC66" s="109" t="str">
        <f aca="false">IF($B66="","",MAX(0,IF(OR(الموظفون!$X66="",الموظفون!$X66&gt;$G$3),$G$3,الموظفون!$X66)-الموظفون!$H66+1)/cfg_DAYS_Y)</f>
        <v/>
      </c>
      <c r="AD66" s="109" t="str">
        <f aca="false">IF($B66="","",MAX(0,IF(OR(الموظفون!$X66="",الموظفون!$X66&gt;($E$3-1)),($E$3-1),الموظفون!$X66)-الموظفون!$H66+1)/cfg_DAYS_Y)</f>
        <v/>
      </c>
      <c r="AE66" s="51" t="str">
        <f aca="false">IF($B66="","",MAX(0,IF(OR(الموظفون!$X66="",الموظفون!$X66&gt;$G$3),$G$3,الموظفون!$X66)-MAX($E$3,الموظفون!$H66)+1))</f>
        <v/>
      </c>
    </row>
    <row r="67" customFormat="false" ht="15" hidden="false" customHeight="false" outlineLevel="0" collapsed="false">
      <c r="A67" s="89" t="str">
        <f aca="false">IF($B67="","",الموظفون!$A67)</f>
        <v/>
      </c>
      <c r="B67" s="91" t="str">
        <f aca="false">IF(الموظفون!$B67="","",الموظفون!$B67)</f>
        <v/>
      </c>
      <c r="C67" s="91" t="str">
        <f aca="false">IF($B67="","",الموظفون!$C67)</f>
        <v/>
      </c>
      <c r="D67" s="91" t="str">
        <f aca="false">IF($B67="","",الموظفون!$F67)</f>
        <v/>
      </c>
      <c r="E67" s="91" t="str">
        <f aca="false">IF($B67="","",الموظفون!$E67)</f>
        <v/>
      </c>
      <c r="F67" s="110" t="str">
        <f aca="false">IF($B67="","",IF(AE67&gt;=DAY($G$3),cfg_DAYS_M,MIN(AE67,cfg_DAYS_M)))</f>
        <v/>
      </c>
      <c r="G67" s="110" t="str">
        <f aca="false">IF($B67="","",SUMIFS('الحركات الشهرية'!$D$6:$D$1005,'الحركات الشهرية'!$B$6:$B$1005,$B67,'الحركات الشهرية'!$A$6:$A$1005,$C$3))</f>
        <v/>
      </c>
      <c r="H67" s="110" t="str">
        <f aca="false">IF($B67="","",SUMIFS('الحركات الشهرية'!$E$6:$E$1005,'الحركات الشهرية'!$B$6:$B$1005,$B67,'الحركات الشهرية'!$A$6:$A$1005,$C$3))</f>
        <v/>
      </c>
      <c r="I67" s="110" t="str">
        <f aca="false">IF($B67="","",MAX(0,F67-G67-H67))</f>
        <v/>
      </c>
      <c r="J67" s="90" t="str">
        <f aca="false">IF($B67="","",الموظفون!$J67*$I67/cfg_DAYS_M)</f>
        <v/>
      </c>
      <c r="K67" s="90" t="str">
        <f aca="false">IF($B67="","",الموظفون!$K67*$I67/cfg_DAYS_M)</f>
        <v/>
      </c>
      <c r="L67" s="90" t="str">
        <f aca="false">IF($B67="","",الموظفون!$L67*$I67/cfg_DAYS_M)</f>
        <v/>
      </c>
      <c r="M67" s="90" t="str">
        <f aca="false">IF($B67="","",الموظفون!$M67*$I67/cfg_DAYS_M)</f>
        <v/>
      </c>
      <c r="N67" s="110" t="str">
        <f aca="false">IF($B67="","",SUMIFS('الحركات الشهرية'!$F$6:$F$1005,'الحركات الشهرية'!$B$6:$B$1005,$B67,'الحركات الشهرية'!$A$6:$A$1005,$C$3))</f>
        <v/>
      </c>
      <c r="O67" s="90" t="str">
        <f aca="false">IF($B67="","",N67*(الموظفون!$N67+الموظفون!$J67*cfg_OT_P)/cfg_DAYS_M/cfg_HRS)</f>
        <v/>
      </c>
      <c r="P67" s="90" t="str">
        <f aca="false">IF($B67="","",SUMIFS('الحركات الشهرية'!$G$6:$G$1005,'الحركات الشهرية'!$B$6:$B$1005,$B67,'الحركات الشهرية'!$A$6:$A$1005,$C$3))</f>
        <v/>
      </c>
      <c r="Q67" s="90" t="str">
        <f aca="false">IF($B67="","",SUMIFS('الحركات الشهرية'!$H$6:$H$1005,'الحركات الشهرية'!$B$6:$B$1005,$B67,'الحركات الشهرية'!$A$6:$A$1005,$C$3))</f>
        <v/>
      </c>
      <c r="R67" s="111" t="str">
        <f aca="false">IF($B67="","",SUM(J67:M67)+SUM(O67:Q67))</f>
        <v/>
      </c>
      <c r="S67" s="90" t="str">
        <f aca="false">IF($B67="","",الموظفون!$Q67*IF(E67="سعودي",cfg_G_SE,cfg_G_NE)*F67/cfg_DAYS_M)</f>
        <v/>
      </c>
      <c r="T67" s="90" t="str">
        <f aca="false">IF($B67="","",SUMIFS('الحركات الشهرية'!$I$6:$I$1005,'الحركات الشهرية'!$B$6:$B$1005,$B67,'الحركات الشهرية'!$A$6:$A$1005,$C$3))</f>
        <v/>
      </c>
      <c r="U67" s="90" t="str">
        <f aca="false">IF($B67="","",SUMIFS('الحركات الشهرية'!$J$6:$J$1005,'الحركات الشهرية'!$B$6:$B$1005,$B67,'الحركات الشهرية'!$A$6:$A$1005,$C$3))</f>
        <v/>
      </c>
      <c r="V67" s="90" t="str">
        <f aca="false">IF($B67="","",SUM(S67:U67))</f>
        <v/>
      </c>
      <c r="W67" s="112" t="str">
        <f aca="false">IF($B67="","",R67-V67)</f>
        <v/>
      </c>
      <c r="X67" s="90" t="str">
        <f aca="false">IF($B67="","",الموظفون!$Q67*IF(E67="سعودي",cfg_G_SR,cfg_G_NR)*F67/cfg_DAYS_M)</f>
        <v/>
      </c>
      <c r="Y67" s="90" t="str">
        <f aca="false">IF($B67="","",الموظفون!$O67*(cfg_EOS_R1*(MIN(AC67,cfg_EOS_TH)-MIN(AD67,cfg_EOS_TH))+cfg_EOS_R2*(MAX(AC67-cfg_EOS_TH,0)-MAX(AD67-cfg_EOS_TH,0))))</f>
        <v/>
      </c>
      <c r="Z67" s="90" t="str">
        <f aca="false">IF($B67="","",IF(الموظفون!$R67&lt;&gt;"",الموظفون!$R67,IF(AC67&gt;=cfg_LV_TH,cfg_LV_D2,cfg_LV_D1))/cfg_DAYS_Y*AE67*الموظفون!$P67/cfg_DAYS_M)</f>
        <v/>
      </c>
      <c r="AA67" s="90" t="str">
        <f aca="false">IF($B67="","",IF(AND(الموظفون!$S67="نعم",N(الموظفون!$U67)&gt;0),الموظفون!$T67/الموظفون!$U67*12/cfg_DAYS_Y*AE67,0))</f>
        <v/>
      </c>
      <c r="AB67" s="113" t="str">
        <f aca="false">IF($B67="","",R67+SUM(X67:AA67))</f>
        <v/>
      </c>
      <c r="AC67" s="114" t="str">
        <f aca="false">IF($B67="","",MAX(0,IF(OR(الموظفون!$X67="",الموظفون!$X67&gt;$G$3),$G$3,الموظفون!$X67)-الموظفون!$H67+1)/cfg_DAYS_Y)</f>
        <v/>
      </c>
      <c r="AD67" s="114" t="str">
        <f aca="false">IF($B67="","",MAX(0,IF(OR(الموظفون!$X67="",الموظفون!$X67&gt;($E$3-1)),($E$3-1),الموظفون!$X67)-الموظفون!$H67+1)/cfg_DAYS_Y)</f>
        <v/>
      </c>
      <c r="AE67" s="115" t="str">
        <f aca="false">IF($B67="","",MAX(0,IF(OR(الموظفون!$X67="",الموظفون!$X67&gt;$G$3),$G$3,الموظفون!$X67)-MAX($E$3,الموظفون!$H67)+1))</f>
        <v/>
      </c>
    </row>
    <row r="68" customFormat="false" ht="15" hidden="false" customHeight="false" outlineLevel="0" collapsed="false">
      <c r="A68" s="83" t="str">
        <f aca="false">IF($B68="","",الموظفون!$A68)</f>
        <v/>
      </c>
      <c r="B68" s="74" t="str">
        <f aca="false">IF(الموظفون!$B68="","",الموظفون!$B68)</f>
        <v/>
      </c>
      <c r="C68" s="74" t="str">
        <f aca="false">IF($B68="","",الموظفون!$C68)</f>
        <v/>
      </c>
      <c r="D68" s="74" t="str">
        <f aca="false">IF($B68="","",الموظفون!$F68)</f>
        <v/>
      </c>
      <c r="E68" s="74" t="str">
        <f aca="false">IF($B68="","",الموظفون!$E68)</f>
        <v/>
      </c>
      <c r="F68" s="105" t="str">
        <f aca="false">IF($B68="","",IF(AE68&gt;=DAY($G$3),cfg_DAYS_M,MIN(AE68,cfg_DAYS_M)))</f>
        <v/>
      </c>
      <c r="G68" s="105" t="str">
        <f aca="false">IF($B68="","",SUMIFS('الحركات الشهرية'!$D$6:$D$1005,'الحركات الشهرية'!$B$6:$B$1005,$B68,'الحركات الشهرية'!$A$6:$A$1005,$C$3))</f>
        <v/>
      </c>
      <c r="H68" s="105" t="str">
        <f aca="false">IF($B68="","",SUMIFS('الحركات الشهرية'!$E$6:$E$1005,'الحركات الشهرية'!$B$6:$B$1005,$B68,'الحركات الشهرية'!$A$6:$A$1005,$C$3))</f>
        <v/>
      </c>
      <c r="I68" s="105" t="str">
        <f aca="false">IF($B68="","",MAX(0,F68-G68-H68))</f>
        <v/>
      </c>
      <c r="J68" s="86" t="str">
        <f aca="false">IF($B68="","",الموظفون!$J68*$I68/cfg_DAYS_M)</f>
        <v/>
      </c>
      <c r="K68" s="86" t="str">
        <f aca="false">IF($B68="","",الموظفون!$K68*$I68/cfg_DAYS_M)</f>
        <v/>
      </c>
      <c r="L68" s="86" t="str">
        <f aca="false">IF($B68="","",الموظفون!$L68*$I68/cfg_DAYS_M)</f>
        <v/>
      </c>
      <c r="M68" s="86" t="str">
        <f aca="false">IF($B68="","",الموظفون!$M68*$I68/cfg_DAYS_M)</f>
        <v/>
      </c>
      <c r="N68" s="105" t="str">
        <f aca="false">IF($B68="","",SUMIFS('الحركات الشهرية'!$F$6:$F$1005,'الحركات الشهرية'!$B$6:$B$1005,$B68,'الحركات الشهرية'!$A$6:$A$1005,$C$3))</f>
        <v/>
      </c>
      <c r="O68" s="86" t="str">
        <f aca="false">IF($B68="","",N68*(الموظفون!$N68+الموظفون!$J68*cfg_OT_P)/cfg_DAYS_M/cfg_HRS)</f>
        <v/>
      </c>
      <c r="P68" s="86" t="str">
        <f aca="false">IF($B68="","",SUMIFS('الحركات الشهرية'!$G$6:$G$1005,'الحركات الشهرية'!$B$6:$B$1005,$B68,'الحركات الشهرية'!$A$6:$A$1005,$C$3))</f>
        <v/>
      </c>
      <c r="Q68" s="86" t="str">
        <f aca="false">IF($B68="","",SUMIFS('الحركات الشهرية'!$H$6:$H$1005,'الحركات الشهرية'!$B$6:$B$1005,$B68,'الحركات الشهرية'!$A$6:$A$1005,$C$3))</f>
        <v/>
      </c>
      <c r="R68" s="106" t="str">
        <f aca="false">IF($B68="","",SUM(J68:M68)+SUM(O68:Q68))</f>
        <v/>
      </c>
      <c r="S68" s="86" t="str">
        <f aca="false">IF($B68="","",الموظفون!$Q68*IF(E68="سعودي",cfg_G_SE,cfg_G_NE)*F68/cfg_DAYS_M)</f>
        <v/>
      </c>
      <c r="T68" s="86" t="str">
        <f aca="false">IF($B68="","",SUMIFS('الحركات الشهرية'!$I$6:$I$1005,'الحركات الشهرية'!$B$6:$B$1005,$B68,'الحركات الشهرية'!$A$6:$A$1005,$C$3))</f>
        <v/>
      </c>
      <c r="U68" s="86" t="str">
        <f aca="false">IF($B68="","",SUMIFS('الحركات الشهرية'!$J$6:$J$1005,'الحركات الشهرية'!$B$6:$B$1005,$B68,'الحركات الشهرية'!$A$6:$A$1005,$C$3))</f>
        <v/>
      </c>
      <c r="V68" s="86" t="str">
        <f aca="false">IF($B68="","",SUM(S68:U68))</f>
        <v/>
      </c>
      <c r="W68" s="107" t="str">
        <f aca="false">IF($B68="","",R68-V68)</f>
        <v/>
      </c>
      <c r="X68" s="86" t="str">
        <f aca="false">IF($B68="","",الموظفون!$Q68*IF(E68="سعودي",cfg_G_SR,cfg_G_NR)*F68/cfg_DAYS_M)</f>
        <v/>
      </c>
      <c r="Y68" s="86" t="str">
        <f aca="false">IF($B68="","",الموظفون!$O68*(cfg_EOS_R1*(MIN(AC68,cfg_EOS_TH)-MIN(AD68,cfg_EOS_TH))+cfg_EOS_R2*(MAX(AC68-cfg_EOS_TH,0)-MAX(AD68-cfg_EOS_TH,0))))</f>
        <v/>
      </c>
      <c r="Z68" s="86" t="str">
        <f aca="false">IF($B68="","",IF(الموظفون!$R68&lt;&gt;"",الموظفون!$R68,IF(AC68&gt;=cfg_LV_TH,cfg_LV_D2,cfg_LV_D1))/cfg_DAYS_Y*AE68*الموظفون!$P68/cfg_DAYS_M)</f>
        <v/>
      </c>
      <c r="AA68" s="86" t="str">
        <f aca="false">IF($B68="","",IF(AND(الموظفون!$S68="نعم",N(الموظفون!$U68)&gt;0),الموظفون!$T68/الموظفون!$U68*12/cfg_DAYS_Y*AE68,0))</f>
        <v/>
      </c>
      <c r="AB68" s="108" t="str">
        <f aca="false">IF($B68="","",R68+SUM(X68:AA68))</f>
        <v/>
      </c>
      <c r="AC68" s="109" t="str">
        <f aca="false">IF($B68="","",MAX(0,IF(OR(الموظفون!$X68="",الموظفون!$X68&gt;$G$3),$G$3,الموظفون!$X68)-الموظفون!$H68+1)/cfg_DAYS_Y)</f>
        <v/>
      </c>
      <c r="AD68" s="109" t="str">
        <f aca="false">IF($B68="","",MAX(0,IF(OR(الموظفون!$X68="",الموظفون!$X68&gt;($E$3-1)),($E$3-1),الموظفون!$X68)-الموظفون!$H68+1)/cfg_DAYS_Y)</f>
        <v/>
      </c>
      <c r="AE68" s="51" t="str">
        <f aca="false">IF($B68="","",MAX(0,IF(OR(الموظفون!$X68="",الموظفون!$X68&gt;$G$3),$G$3,الموظفون!$X68)-MAX($E$3,الموظفون!$H68)+1))</f>
        <v/>
      </c>
    </row>
    <row r="69" customFormat="false" ht="15" hidden="false" customHeight="false" outlineLevel="0" collapsed="false">
      <c r="A69" s="89" t="str">
        <f aca="false">IF($B69="","",الموظفون!$A69)</f>
        <v/>
      </c>
      <c r="B69" s="91" t="str">
        <f aca="false">IF(الموظفون!$B69="","",الموظفون!$B69)</f>
        <v/>
      </c>
      <c r="C69" s="91" t="str">
        <f aca="false">IF($B69="","",الموظفون!$C69)</f>
        <v/>
      </c>
      <c r="D69" s="91" t="str">
        <f aca="false">IF($B69="","",الموظفون!$F69)</f>
        <v/>
      </c>
      <c r="E69" s="91" t="str">
        <f aca="false">IF($B69="","",الموظفون!$E69)</f>
        <v/>
      </c>
      <c r="F69" s="110" t="str">
        <f aca="false">IF($B69="","",IF(AE69&gt;=DAY($G$3),cfg_DAYS_M,MIN(AE69,cfg_DAYS_M)))</f>
        <v/>
      </c>
      <c r="G69" s="110" t="str">
        <f aca="false">IF($B69="","",SUMIFS('الحركات الشهرية'!$D$6:$D$1005,'الحركات الشهرية'!$B$6:$B$1005,$B69,'الحركات الشهرية'!$A$6:$A$1005,$C$3))</f>
        <v/>
      </c>
      <c r="H69" s="110" t="str">
        <f aca="false">IF($B69="","",SUMIFS('الحركات الشهرية'!$E$6:$E$1005,'الحركات الشهرية'!$B$6:$B$1005,$B69,'الحركات الشهرية'!$A$6:$A$1005,$C$3))</f>
        <v/>
      </c>
      <c r="I69" s="110" t="str">
        <f aca="false">IF($B69="","",MAX(0,F69-G69-H69))</f>
        <v/>
      </c>
      <c r="J69" s="90" t="str">
        <f aca="false">IF($B69="","",الموظفون!$J69*$I69/cfg_DAYS_M)</f>
        <v/>
      </c>
      <c r="K69" s="90" t="str">
        <f aca="false">IF($B69="","",الموظفون!$K69*$I69/cfg_DAYS_M)</f>
        <v/>
      </c>
      <c r="L69" s="90" t="str">
        <f aca="false">IF($B69="","",الموظفون!$L69*$I69/cfg_DAYS_M)</f>
        <v/>
      </c>
      <c r="M69" s="90" t="str">
        <f aca="false">IF($B69="","",الموظفون!$M69*$I69/cfg_DAYS_M)</f>
        <v/>
      </c>
      <c r="N69" s="110" t="str">
        <f aca="false">IF($B69="","",SUMIFS('الحركات الشهرية'!$F$6:$F$1005,'الحركات الشهرية'!$B$6:$B$1005,$B69,'الحركات الشهرية'!$A$6:$A$1005,$C$3))</f>
        <v/>
      </c>
      <c r="O69" s="90" t="str">
        <f aca="false">IF($B69="","",N69*(الموظفون!$N69+الموظفون!$J69*cfg_OT_P)/cfg_DAYS_M/cfg_HRS)</f>
        <v/>
      </c>
      <c r="P69" s="90" t="str">
        <f aca="false">IF($B69="","",SUMIFS('الحركات الشهرية'!$G$6:$G$1005,'الحركات الشهرية'!$B$6:$B$1005,$B69,'الحركات الشهرية'!$A$6:$A$1005,$C$3))</f>
        <v/>
      </c>
      <c r="Q69" s="90" t="str">
        <f aca="false">IF($B69="","",SUMIFS('الحركات الشهرية'!$H$6:$H$1005,'الحركات الشهرية'!$B$6:$B$1005,$B69,'الحركات الشهرية'!$A$6:$A$1005,$C$3))</f>
        <v/>
      </c>
      <c r="R69" s="111" t="str">
        <f aca="false">IF($B69="","",SUM(J69:M69)+SUM(O69:Q69))</f>
        <v/>
      </c>
      <c r="S69" s="90" t="str">
        <f aca="false">IF($B69="","",الموظفون!$Q69*IF(E69="سعودي",cfg_G_SE,cfg_G_NE)*F69/cfg_DAYS_M)</f>
        <v/>
      </c>
      <c r="T69" s="90" t="str">
        <f aca="false">IF($B69="","",SUMIFS('الحركات الشهرية'!$I$6:$I$1005,'الحركات الشهرية'!$B$6:$B$1005,$B69,'الحركات الشهرية'!$A$6:$A$1005,$C$3))</f>
        <v/>
      </c>
      <c r="U69" s="90" t="str">
        <f aca="false">IF($B69="","",SUMIFS('الحركات الشهرية'!$J$6:$J$1005,'الحركات الشهرية'!$B$6:$B$1005,$B69,'الحركات الشهرية'!$A$6:$A$1005,$C$3))</f>
        <v/>
      </c>
      <c r="V69" s="90" t="str">
        <f aca="false">IF($B69="","",SUM(S69:U69))</f>
        <v/>
      </c>
      <c r="W69" s="112" t="str">
        <f aca="false">IF($B69="","",R69-V69)</f>
        <v/>
      </c>
      <c r="X69" s="90" t="str">
        <f aca="false">IF($B69="","",الموظفون!$Q69*IF(E69="سعودي",cfg_G_SR,cfg_G_NR)*F69/cfg_DAYS_M)</f>
        <v/>
      </c>
      <c r="Y69" s="90" t="str">
        <f aca="false">IF($B69="","",الموظفون!$O69*(cfg_EOS_R1*(MIN(AC69,cfg_EOS_TH)-MIN(AD69,cfg_EOS_TH))+cfg_EOS_R2*(MAX(AC69-cfg_EOS_TH,0)-MAX(AD69-cfg_EOS_TH,0))))</f>
        <v/>
      </c>
      <c r="Z69" s="90" t="str">
        <f aca="false">IF($B69="","",IF(الموظفون!$R69&lt;&gt;"",الموظفون!$R69,IF(AC69&gt;=cfg_LV_TH,cfg_LV_D2,cfg_LV_D1))/cfg_DAYS_Y*AE69*الموظفون!$P69/cfg_DAYS_M)</f>
        <v/>
      </c>
      <c r="AA69" s="90" t="str">
        <f aca="false">IF($B69="","",IF(AND(الموظفون!$S69="نعم",N(الموظفون!$U69)&gt;0),الموظفون!$T69/الموظفون!$U69*12/cfg_DAYS_Y*AE69,0))</f>
        <v/>
      </c>
      <c r="AB69" s="113" t="str">
        <f aca="false">IF($B69="","",R69+SUM(X69:AA69))</f>
        <v/>
      </c>
      <c r="AC69" s="114" t="str">
        <f aca="false">IF($B69="","",MAX(0,IF(OR(الموظفون!$X69="",الموظفون!$X69&gt;$G$3),$G$3,الموظفون!$X69)-الموظفون!$H69+1)/cfg_DAYS_Y)</f>
        <v/>
      </c>
      <c r="AD69" s="114" t="str">
        <f aca="false">IF($B69="","",MAX(0,IF(OR(الموظفون!$X69="",الموظفون!$X69&gt;($E$3-1)),($E$3-1),الموظفون!$X69)-الموظفون!$H69+1)/cfg_DAYS_Y)</f>
        <v/>
      </c>
      <c r="AE69" s="115" t="str">
        <f aca="false">IF($B69="","",MAX(0,IF(OR(الموظفون!$X69="",الموظفون!$X69&gt;$G$3),$G$3,الموظفون!$X69)-MAX($E$3,الموظفون!$H69)+1))</f>
        <v/>
      </c>
    </row>
    <row r="70" customFormat="false" ht="15" hidden="false" customHeight="false" outlineLevel="0" collapsed="false">
      <c r="A70" s="83" t="str">
        <f aca="false">IF($B70="","",الموظفون!$A70)</f>
        <v/>
      </c>
      <c r="B70" s="74" t="str">
        <f aca="false">IF(الموظفون!$B70="","",الموظفون!$B70)</f>
        <v/>
      </c>
      <c r="C70" s="74" t="str">
        <f aca="false">IF($B70="","",الموظفون!$C70)</f>
        <v/>
      </c>
      <c r="D70" s="74" t="str">
        <f aca="false">IF($B70="","",الموظفون!$F70)</f>
        <v/>
      </c>
      <c r="E70" s="74" t="str">
        <f aca="false">IF($B70="","",الموظفون!$E70)</f>
        <v/>
      </c>
      <c r="F70" s="105" t="str">
        <f aca="false">IF($B70="","",IF(AE70&gt;=DAY($G$3),cfg_DAYS_M,MIN(AE70,cfg_DAYS_M)))</f>
        <v/>
      </c>
      <c r="G70" s="105" t="str">
        <f aca="false">IF($B70="","",SUMIFS('الحركات الشهرية'!$D$6:$D$1005,'الحركات الشهرية'!$B$6:$B$1005,$B70,'الحركات الشهرية'!$A$6:$A$1005,$C$3))</f>
        <v/>
      </c>
      <c r="H70" s="105" t="str">
        <f aca="false">IF($B70="","",SUMIFS('الحركات الشهرية'!$E$6:$E$1005,'الحركات الشهرية'!$B$6:$B$1005,$B70,'الحركات الشهرية'!$A$6:$A$1005,$C$3))</f>
        <v/>
      </c>
      <c r="I70" s="105" t="str">
        <f aca="false">IF($B70="","",MAX(0,F70-G70-H70))</f>
        <v/>
      </c>
      <c r="J70" s="86" t="str">
        <f aca="false">IF($B70="","",الموظفون!$J70*$I70/cfg_DAYS_M)</f>
        <v/>
      </c>
      <c r="K70" s="86" t="str">
        <f aca="false">IF($B70="","",الموظفون!$K70*$I70/cfg_DAYS_M)</f>
        <v/>
      </c>
      <c r="L70" s="86" t="str">
        <f aca="false">IF($B70="","",الموظفون!$L70*$I70/cfg_DAYS_M)</f>
        <v/>
      </c>
      <c r="M70" s="86" t="str">
        <f aca="false">IF($B70="","",الموظفون!$M70*$I70/cfg_DAYS_M)</f>
        <v/>
      </c>
      <c r="N70" s="105" t="str">
        <f aca="false">IF($B70="","",SUMIFS('الحركات الشهرية'!$F$6:$F$1005,'الحركات الشهرية'!$B$6:$B$1005,$B70,'الحركات الشهرية'!$A$6:$A$1005,$C$3))</f>
        <v/>
      </c>
      <c r="O70" s="86" t="str">
        <f aca="false">IF($B70="","",N70*(الموظفون!$N70+الموظفون!$J70*cfg_OT_P)/cfg_DAYS_M/cfg_HRS)</f>
        <v/>
      </c>
      <c r="P70" s="86" t="str">
        <f aca="false">IF($B70="","",SUMIFS('الحركات الشهرية'!$G$6:$G$1005,'الحركات الشهرية'!$B$6:$B$1005,$B70,'الحركات الشهرية'!$A$6:$A$1005,$C$3))</f>
        <v/>
      </c>
      <c r="Q70" s="86" t="str">
        <f aca="false">IF($B70="","",SUMIFS('الحركات الشهرية'!$H$6:$H$1005,'الحركات الشهرية'!$B$6:$B$1005,$B70,'الحركات الشهرية'!$A$6:$A$1005,$C$3))</f>
        <v/>
      </c>
      <c r="R70" s="106" t="str">
        <f aca="false">IF($B70="","",SUM(J70:M70)+SUM(O70:Q70))</f>
        <v/>
      </c>
      <c r="S70" s="86" t="str">
        <f aca="false">IF($B70="","",الموظفون!$Q70*IF(E70="سعودي",cfg_G_SE,cfg_G_NE)*F70/cfg_DAYS_M)</f>
        <v/>
      </c>
      <c r="T70" s="86" t="str">
        <f aca="false">IF($B70="","",SUMIFS('الحركات الشهرية'!$I$6:$I$1005,'الحركات الشهرية'!$B$6:$B$1005,$B70,'الحركات الشهرية'!$A$6:$A$1005,$C$3))</f>
        <v/>
      </c>
      <c r="U70" s="86" t="str">
        <f aca="false">IF($B70="","",SUMIFS('الحركات الشهرية'!$J$6:$J$1005,'الحركات الشهرية'!$B$6:$B$1005,$B70,'الحركات الشهرية'!$A$6:$A$1005,$C$3))</f>
        <v/>
      </c>
      <c r="V70" s="86" t="str">
        <f aca="false">IF($B70="","",SUM(S70:U70))</f>
        <v/>
      </c>
      <c r="W70" s="107" t="str">
        <f aca="false">IF($B70="","",R70-V70)</f>
        <v/>
      </c>
      <c r="X70" s="86" t="str">
        <f aca="false">IF($B70="","",الموظفون!$Q70*IF(E70="سعودي",cfg_G_SR,cfg_G_NR)*F70/cfg_DAYS_M)</f>
        <v/>
      </c>
      <c r="Y70" s="86" t="str">
        <f aca="false">IF($B70="","",الموظفون!$O70*(cfg_EOS_R1*(MIN(AC70,cfg_EOS_TH)-MIN(AD70,cfg_EOS_TH))+cfg_EOS_R2*(MAX(AC70-cfg_EOS_TH,0)-MAX(AD70-cfg_EOS_TH,0))))</f>
        <v/>
      </c>
      <c r="Z70" s="86" t="str">
        <f aca="false">IF($B70="","",IF(الموظفون!$R70&lt;&gt;"",الموظفون!$R70,IF(AC70&gt;=cfg_LV_TH,cfg_LV_D2,cfg_LV_D1))/cfg_DAYS_Y*AE70*الموظفون!$P70/cfg_DAYS_M)</f>
        <v/>
      </c>
      <c r="AA70" s="86" t="str">
        <f aca="false">IF($B70="","",IF(AND(الموظفون!$S70="نعم",N(الموظفون!$U70)&gt;0),الموظفون!$T70/الموظفون!$U70*12/cfg_DAYS_Y*AE70,0))</f>
        <v/>
      </c>
      <c r="AB70" s="108" t="str">
        <f aca="false">IF($B70="","",R70+SUM(X70:AA70))</f>
        <v/>
      </c>
      <c r="AC70" s="109" t="str">
        <f aca="false">IF($B70="","",MAX(0,IF(OR(الموظفون!$X70="",الموظفون!$X70&gt;$G$3),$G$3,الموظفون!$X70)-الموظفون!$H70+1)/cfg_DAYS_Y)</f>
        <v/>
      </c>
      <c r="AD70" s="109" t="str">
        <f aca="false">IF($B70="","",MAX(0,IF(OR(الموظفون!$X70="",الموظفون!$X70&gt;($E$3-1)),($E$3-1),الموظفون!$X70)-الموظفون!$H70+1)/cfg_DAYS_Y)</f>
        <v/>
      </c>
      <c r="AE70" s="51" t="str">
        <f aca="false">IF($B70="","",MAX(0,IF(OR(الموظفون!$X70="",الموظفون!$X70&gt;$G$3),$G$3,الموظفون!$X70)-MAX($E$3,الموظفون!$H70)+1))</f>
        <v/>
      </c>
    </row>
    <row r="71" customFormat="false" ht="15" hidden="false" customHeight="false" outlineLevel="0" collapsed="false">
      <c r="A71" s="89" t="str">
        <f aca="false">IF($B71="","",الموظفون!$A71)</f>
        <v/>
      </c>
      <c r="B71" s="91" t="str">
        <f aca="false">IF(الموظفون!$B71="","",الموظفون!$B71)</f>
        <v/>
      </c>
      <c r="C71" s="91" t="str">
        <f aca="false">IF($B71="","",الموظفون!$C71)</f>
        <v/>
      </c>
      <c r="D71" s="91" t="str">
        <f aca="false">IF($B71="","",الموظفون!$F71)</f>
        <v/>
      </c>
      <c r="E71" s="91" t="str">
        <f aca="false">IF($B71="","",الموظفون!$E71)</f>
        <v/>
      </c>
      <c r="F71" s="110" t="str">
        <f aca="false">IF($B71="","",IF(AE71&gt;=DAY($G$3),cfg_DAYS_M,MIN(AE71,cfg_DAYS_M)))</f>
        <v/>
      </c>
      <c r="G71" s="110" t="str">
        <f aca="false">IF($B71="","",SUMIFS('الحركات الشهرية'!$D$6:$D$1005,'الحركات الشهرية'!$B$6:$B$1005,$B71,'الحركات الشهرية'!$A$6:$A$1005,$C$3))</f>
        <v/>
      </c>
      <c r="H71" s="110" t="str">
        <f aca="false">IF($B71="","",SUMIFS('الحركات الشهرية'!$E$6:$E$1005,'الحركات الشهرية'!$B$6:$B$1005,$B71,'الحركات الشهرية'!$A$6:$A$1005,$C$3))</f>
        <v/>
      </c>
      <c r="I71" s="110" t="str">
        <f aca="false">IF($B71="","",MAX(0,F71-G71-H71))</f>
        <v/>
      </c>
      <c r="J71" s="90" t="str">
        <f aca="false">IF($B71="","",الموظفون!$J71*$I71/cfg_DAYS_M)</f>
        <v/>
      </c>
      <c r="K71" s="90" t="str">
        <f aca="false">IF($B71="","",الموظفون!$K71*$I71/cfg_DAYS_M)</f>
        <v/>
      </c>
      <c r="L71" s="90" t="str">
        <f aca="false">IF($B71="","",الموظفون!$L71*$I71/cfg_DAYS_M)</f>
        <v/>
      </c>
      <c r="M71" s="90" t="str">
        <f aca="false">IF($B71="","",الموظفون!$M71*$I71/cfg_DAYS_M)</f>
        <v/>
      </c>
      <c r="N71" s="110" t="str">
        <f aca="false">IF($B71="","",SUMIFS('الحركات الشهرية'!$F$6:$F$1005,'الحركات الشهرية'!$B$6:$B$1005,$B71,'الحركات الشهرية'!$A$6:$A$1005,$C$3))</f>
        <v/>
      </c>
      <c r="O71" s="90" t="str">
        <f aca="false">IF($B71="","",N71*(الموظفون!$N71+الموظفون!$J71*cfg_OT_P)/cfg_DAYS_M/cfg_HRS)</f>
        <v/>
      </c>
      <c r="P71" s="90" t="str">
        <f aca="false">IF($B71="","",SUMIFS('الحركات الشهرية'!$G$6:$G$1005,'الحركات الشهرية'!$B$6:$B$1005,$B71,'الحركات الشهرية'!$A$6:$A$1005,$C$3))</f>
        <v/>
      </c>
      <c r="Q71" s="90" t="str">
        <f aca="false">IF($B71="","",SUMIFS('الحركات الشهرية'!$H$6:$H$1005,'الحركات الشهرية'!$B$6:$B$1005,$B71,'الحركات الشهرية'!$A$6:$A$1005,$C$3))</f>
        <v/>
      </c>
      <c r="R71" s="111" t="str">
        <f aca="false">IF($B71="","",SUM(J71:M71)+SUM(O71:Q71))</f>
        <v/>
      </c>
      <c r="S71" s="90" t="str">
        <f aca="false">IF($B71="","",الموظفون!$Q71*IF(E71="سعودي",cfg_G_SE,cfg_G_NE)*F71/cfg_DAYS_M)</f>
        <v/>
      </c>
      <c r="T71" s="90" t="str">
        <f aca="false">IF($B71="","",SUMIFS('الحركات الشهرية'!$I$6:$I$1005,'الحركات الشهرية'!$B$6:$B$1005,$B71,'الحركات الشهرية'!$A$6:$A$1005,$C$3))</f>
        <v/>
      </c>
      <c r="U71" s="90" t="str">
        <f aca="false">IF($B71="","",SUMIFS('الحركات الشهرية'!$J$6:$J$1005,'الحركات الشهرية'!$B$6:$B$1005,$B71,'الحركات الشهرية'!$A$6:$A$1005,$C$3))</f>
        <v/>
      </c>
      <c r="V71" s="90" t="str">
        <f aca="false">IF($B71="","",SUM(S71:U71))</f>
        <v/>
      </c>
      <c r="W71" s="112" t="str">
        <f aca="false">IF($B71="","",R71-V71)</f>
        <v/>
      </c>
      <c r="X71" s="90" t="str">
        <f aca="false">IF($B71="","",الموظفون!$Q71*IF(E71="سعودي",cfg_G_SR,cfg_G_NR)*F71/cfg_DAYS_M)</f>
        <v/>
      </c>
      <c r="Y71" s="90" t="str">
        <f aca="false">IF($B71="","",الموظفون!$O71*(cfg_EOS_R1*(MIN(AC71,cfg_EOS_TH)-MIN(AD71,cfg_EOS_TH))+cfg_EOS_R2*(MAX(AC71-cfg_EOS_TH,0)-MAX(AD71-cfg_EOS_TH,0))))</f>
        <v/>
      </c>
      <c r="Z71" s="90" t="str">
        <f aca="false">IF($B71="","",IF(الموظفون!$R71&lt;&gt;"",الموظفون!$R71,IF(AC71&gt;=cfg_LV_TH,cfg_LV_D2,cfg_LV_D1))/cfg_DAYS_Y*AE71*الموظفون!$P71/cfg_DAYS_M)</f>
        <v/>
      </c>
      <c r="AA71" s="90" t="str">
        <f aca="false">IF($B71="","",IF(AND(الموظفون!$S71="نعم",N(الموظفون!$U71)&gt;0),الموظفون!$T71/الموظفون!$U71*12/cfg_DAYS_Y*AE71,0))</f>
        <v/>
      </c>
      <c r="AB71" s="113" t="str">
        <f aca="false">IF($B71="","",R71+SUM(X71:AA71))</f>
        <v/>
      </c>
      <c r="AC71" s="114" t="str">
        <f aca="false">IF($B71="","",MAX(0,IF(OR(الموظفون!$X71="",الموظفون!$X71&gt;$G$3),$G$3,الموظفون!$X71)-الموظفون!$H71+1)/cfg_DAYS_Y)</f>
        <v/>
      </c>
      <c r="AD71" s="114" t="str">
        <f aca="false">IF($B71="","",MAX(0,IF(OR(الموظفون!$X71="",الموظفون!$X71&gt;($E$3-1)),($E$3-1),الموظفون!$X71)-الموظفون!$H71+1)/cfg_DAYS_Y)</f>
        <v/>
      </c>
      <c r="AE71" s="115" t="str">
        <f aca="false">IF($B71="","",MAX(0,IF(OR(الموظفون!$X71="",الموظفون!$X71&gt;$G$3),$G$3,الموظفون!$X71)-MAX($E$3,الموظفون!$H71)+1))</f>
        <v/>
      </c>
    </row>
    <row r="72" customFormat="false" ht="15" hidden="false" customHeight="false" outlineLevel="0" collapsed="false">
      <c r="A72" s="83" t="str">
        <f aca="false">IF($B72="","",الموظفون!$A72)</f>
        <v/>
      </c>
      <c r="B72" s="74" t="str">
        <f aca="false">IF(الموظفون!$B72="","",الموظفون!$B72)</f>
        <v/>
      </c>
      <c r="C72" s="74" t="str">
        <f aca="false">IF($B72="","",الموظفون!$C72)</f>
        <v/>
      </c>
      <c r="D72" s="74" t="str">
        <f aca="false">IF($B72="","",الموظفون!$F72)</f>
        <v/>
      </c>
      <c r="E72" s="74" t="str">
        <f aca="false">IF($B72="","",الموظفون!$E72)</f>
        <v/>
      </c>
      <c r="F72" s="105" t="str">
        <f aca="false">IF($B72="","",IF(AE72&gt;=DAY($G$3),cfg_DAYS_M,MIN(AE72,cfg_DAYS_M)))</f>
        <v/>
      </c>
      <c r="G72" s="105" t="str">
        <f aca="false">IF($B72="","",SUMIFS('الحركات الشهرية'!$D$6:$D$1005,'الحركات الشهرية'!$B$6:$B$1005,$B72,'الحركات الشهرية'!$A$6:$A$1005,$C$3))</f>
        <v/>
      </c>
      <c r="H72" s="105" t="str">
        <f aca="false">IF($B72="","",SUMIFS('الحركات الشهرية'!$E$6:$E$1005,'الحركات الشهرية'!$B$6:$B$1005,$B72,'الحركات الشهرية'!$A$6:$A$1005,$C$3))</f>
        <v/>
      </c>
      <c r="I72" s="105" t="str">
        <f aca="false">IF($B72="","",MAX(0,F72-G72-H72))</f>
        <v/>
      </c>
      <c r="J72" s="86" t="str">
        <f aca="false">IF($B72="","",الموظفون!$J72*$I72/cfg_DAYS_M)</f>
        <v/>
      </c>
      <c r="K72" s="86" t="str">
        <f aca="false">IF($B72="","",الموظفون!$K72*$I72/cfg_DAYS_M)</f>
        <v/>
      </c>
      <c r="L72" s="86" t="str">
        <f aca="false">IF($B72="","",الموظفون!$L72*$I72/cfg_DAYS_M)</f>
        <v/>
      </c>
      <c r="M72" s="86" t="str">
        <f aca="false">IF($B72="","",الموظفون!$M72*$I72/cfg_DAYS_M)</f>
        <v/>
      </c>
      <c r="N72" s="105" t="str">
        <f aca="false">IF($B72="","",SUMIFS('الحركات الشهرية'!$F$6:$F$1005,'الحركات الشهرية'!$B$6:$B$1005,$B72,'الحركات الشهرية'!$A$6:$A$1005,$C$3))</f>
        <v/>
      </c>
      <c r="O72" s="86" t="str">
        <f aca="false">IF($B72="","",N72*(الموظفون!$N72+الموظفون!$J72*cfg_OT_P)/cfg_DAYS_M/cfg_HRS)</f>
        <v/>
      </c>
      <c r="P72" s="86" t="str">
        <f aca="false">IF($B72="","",SUMIFS('الحركات الشهرية'!$G$6:$G$1005,'الحركات الشهرية'!$B$6:$B$1005,$B72,'الحركات الشهرية'!$A$6:$A$1005,$C$3))</f>
        <v/>
      </c>
      <c r="Q72" s="86" t="str">
        <f aca="false">IF($B72="","",SUMIFS('الحركات الشهرية'!$H$6:$H$1005,'الحركات الشهرية'!$B$6:$B$1005,$B72,'الحركات الشهرية'!$A$6:$A$1005,$C$3))</f>
        <v/>
      </c>
      <c r="R72" s="106" t="str">
        <f aca="false">IF($B72="","",SUM(J72:M72)+SUM(O72:Q72))</f>
        <v/>
      </c>
      <c r="S72" s="86" t="str">
        <f aca="false">IF($B72="","",الموظفون!$Q72*IF(E72="سعودي",cfg_G_SE,cfg_G_NE)*F72/cfg_DAYS_M)</f>
        <v/>
      </c>
      <c r="T72" s="86" t="str">
        <f aca="false">IF($B72="","",SUMIFS('الحركات الشهرية'!$I$6:$I$1005,'الحركات الشهرية'!$B$6:$B$1005,$B72,'الحركات الشهرية'!$A$6:$A$1005,$C$3))</f>
        <v/>
      </c>
      <c r="U72" s="86" t="str">
        <f aca="false">IF($B72="","",SUMIFS('الحركات الشهرية'!$J$6:$J$1005,'الحركات الشهرية'!$B$6:$B$1005,$B72,'الحركات الشهرية'!$A$6:$A$1005,$C$3))</f>
        <v/>
      </c>
      <c r="V72" s="86" t="str">
        <f aca="false">IF($B72="","",SUM(S72:U72))</f>
        <v/>
      </c>
      <c r="W72" s="107" t="str">
        <f aca="false">IF($B72="","",R72-V72)</f>
        <v/>
      </c>
      <c r="X72" s="86" t="str">
        <f aca="false">IF($B72="","",الموظفون!$Q72*IF(E72="سعودي",cfg_G_SR,cfg_G_NR)*F72/cfg_DAYS_M)</f>
        <v/>
      </c>
      <c r="Y72" s="86" t="str">
        <f aca="false">IF($B72="","",الموظفون!$O72*(cfg_EOS_R1*(MIN(AC72,cfg_EOS_TH)-MIN(AD72,cfg_EOS_TH))+cfg_EOS_R2*(MAX(AC72-cfg_EOS_TH,0)-MAX(AD72-cfg_EOS_TH,0))))</f>
        <v/>
      </c>
      <c r="Z72" s="86" t="str">
        <f aca="false">IF($B72="","",IF(الموظفون!$R72&lt;&gt;"",الموظفون!$R72,IF(AC72&gt;=cfg_LV_TH,cfg_LV_D2,cfg_LV_D1))/cfg_DAYS_Y*AE72*الموظفون!$P72/cfg_DAYS_M)</f>
        <v/>
      </c>
      <c r="AA72" s="86" t="str">
        <f aca="false">IF($B72="","",IF(AND(الموظفون!$S72="نعم",N(الموظفون!$U72)&gt;0),الموظفون!$T72/الموظفون!$U72*12/cfg_DAYS_Y*AE72,0))</f>
        <v/>
      </c>
      <c r="AB72" s="108" t="str">
        <f aca="false">IF($B72="","",R72+SUM(X72:AA72))</f>
        <v/>
      </c>
      <c r="AC72" s="109" t="str">
        <f aca="false">IF($B72="","",MAX(0,IF(OR(الموظفون!$X72="",الموظفون!$X72&gt;$G$3),$G$3,الموظفون!$X72)-الموظفون!$H72+1)/cfg_DAYS_Y)</f>
        <v/>
      </c>
      <c r="AD72" s="109" t="str">
        <f aca="false">IF($B72="","",MAX(0,IF(OR(الموظفون!$X72="",الموظفون!$X72&gt;($E$3-1)),($E$3-1),الموظفون!$X72)-الموظفون!$H72+1)/cfg_DAYS_Y)</f>
        <v/>
      </c>
      <c r="AE72" s="51" t="str">
        <f aca="false">IF($B72="","",MAX(0,IF(OR(الموظفون!$X72="",الموظفون!$X72&gt;$G$3),$G$3,الموظفون!$X72)-MAX($E$3,الموظفون!$H72)+1))</f>
        <v/>
      </c>
    </row>
    <row r="73" customFormat="false" ht="15" hidden="false" customHeight="false" outlineLevel="0" collapsed="false">
      <c r="A73" s="89" t="str">
        <f aca="false">IF($B73="","",الموظفون!$A73)</f>
        <v/>
      </c>
      <c r="B73" s="91" t="str">
        <f aca="false">IF(الموظفون!$B73="","",الموظفون!$B73)</f>
        <v/>
      </c>
      <c r="C73" s="91" t="str">
        <f aca="false">IF($B73="","",الموظفون!$C73)</f>
        <v/>
      </c>
      <c r="D73" s="91" t="str">
        <f aca="false">IF($B73="","",الموظفون!$F73)</f>
        <v/>
      </c>
      <c r="E73" s="91" t="str">
        <f aca="false">IF($B73="","",الموظفون!$E73)</f>
        <v/>
      </c>
      <c r="F73" s="110" t="str">
        <f aca="false">IF($B73="","",IF(AE73&gt;=DAY($G$3),cfg_DAYS_M,MIN(AE73,cfg_DAYS_M)))</f>
        <v/>
      </c>
      <c r="G73" s="110" t="str">
        <f aca="false">IF($B73="","",SUMIFS('الحركات الشهرية'!$D$6:$D$1005,'الحركات الشهرية'!$B$6:$B$1005,$B73,'الحركات الشهرية'!$A$6:$A$1005,$C$3))</f>
        <v/>
      </c>
      <c r="H73" s="110" t="str">
        <f aca="false">IF($B73="","",SUMIFS('الحركات الشهرية'!$E$6:$E$1005,'الحركات الشهرية'!$B$6:$B$1005,$B73,'الحركات الشهرية'!$A$6:$A$1005,$C$3))</f>
        <v/>
      </c>
      <c r="I73" s="110" t="str">
        <f aca="false">IF($B73="","",MAX(0,F73-G73-H73))</f>
        <v/>
      </c>
      <c r="J73" s="90" t="str">
        <f aca="false">IF($B73="","",الموظفون!$J73*$I73/cfg_DAYS_M)</f>
        <v/>
      </c>
      <c r="K73" s="90" t="str">
        <f aca="false">IF($B73="","",الموظفون!$K73*$I73/cfg_DAYS_M)</f>
        <v/>
      </c>
      <c r="L73" s="90" t="str">
        <f aca="false">IF($B73="","",الموظفون!$L73*$I73/cfg_DAYS_M)</f>
        <v/>
      </c>
      <c r="M73" s="90" t="str">
        <f aca="false">IF($B73="","",الموظفون!$M73*$I73/cfg_DAYS_M)</f>
        <v/>
      </c>
      <c r="N73" s="110" t="str">
        <f aca="false">IF($B73="","",SUMIFS('الحركات الشهرية'!$F$6:$F$1005,'الحركات الشهرية'!$B$6:$B$1005,$B73,'الحركات الشهرية'!$A$6:$A$1005,$C$3))</f>
        <v/>
      </c>
      <c r="O73" s="90" t="str">
        <f aca="false">IF($B73="","",N73*(الموظفون!$N73+الموظفون!$J73*cfg_OT_P)/cfg_DAYS_M/cfg_HRS)</f>
        <v/>
      </c>
      <c r="P73" s="90" t="str">
        <f aca="false">IF($B73="","",SUMIFS('الحركات الشهرية'!$G$6:$G$1005,'الحركات الشهرية'!$B$6:$B$1005,$B73,'الحركات الشهرية'!$A$6:$A$1005,$C$3))</f>
        <v/>
      </c>
      <c r="Q73" s="90" t="str">
        <f aca="false">IF($B73="","",SUMIFS('الحركات الشهرية'!$H$6:$H$1005,'الحركات الشهرية'!$B$6:$B$1005,$B73,'الحركات الشهرية'!$A$6:$A$1005,$C$3))</f>
        <v/>
      </c>
      <c r="R73" s="111" t="str">
        <f aca="false">IF($B73="","",SUM(J73:M73)+SUM(O73:Q73))</f>
        <v/>
      </c>
      <c r="S73" s="90" t="str">
        <f aca="false">IF($B73="","",الموظفون!$Q73*IF(E73="سعودي",cfg_G_SE,cfg_G_NE)*F73/cfg_DAYS_M)</f>
        <v/>
      </c>
      <c r="T73" s="90" t="str">
        <f aca="false">IF($B73="","",SUMIFS('الحركات الشهرية'!$I$6:$I$1005,'الحركات الشهرية'!$B$6:$B$1005,$B73,'الحركات الشهرية'!$A$6:$A$1005,$C$3))</f>
        <v/>
      </c>
      <c r="U73" s="90" t="str">
        <f aca="false">IF($B73="","",SUMIFS('الحركات الشهرية'!$J$6:$J$1005,'الحركات الشهرية'!$B$6:$B$1005,$B73,'الحركات الشهرية'!$A$6:$A$1005,$C$3))</f>
        <v/>
      </c>
      <c r="V73" s="90" t="str">
        <f aca="false">IF($B73="","",SUM(S73:U73))</f>
        <v/>
      </c>
      <c r="W73" s="112" t="str">
        <f aca="false">IF($B73="","",R73-V73)</f>
        <v/>
      </c>
      <c r="X73" s="90" t="str">
        <f aca="false">IF($B73="","",الموظفون!$Q73*IF(E73="سعودي",cfg_G_SR,cfg_G_NR)*F73/cfg_DAYS_M)</f>
        <v/>
      </c>
      <c r="Y73" s="90" t="str">
        <f aca="false">IF($B73="","",الموظفون!$O73*(cfg_EOS_R1*(MIN(AC73,cfg_EOS_TH)-MIN(AD73,cfg_EOS_TH))+cfg_EOS_R2*(MAX(AC73-cfg_EOS_TH,0)-MAX(AD73-cfg_EOS_TH,0))))</f>
        <v/>
      </c>
      <c r="Z73" s="90" t="str">
        <f aca="false">IF($B73="","",IF(الموظفون!$R73&lt;&gt;"",الموظفون!$R73,IF(AC73&gt;=cfg_LV_TH,cfg_LV_D2,cfg_LV_D1))/cfg_DAYS_Y*AE73*الموظفون!$P73/cfg_DAYS_M)</f>
        <v/>
      </c>
      <c r="AA73" s="90" t="str">
        <f aca="false">IF($B73="","",IF(AND(الموظفون!$S73="نعم",N(الموظفون!$U73)&gt;0),الموظفون!$T73/الموظفون!$U73*12/cfg_DAYS_Y*AE73,0))</f>
        <v/>
      </c>
      <c r="AB73" s="113" t="str">
        <f aca="false">IF($B73="","",R73+SUM(X73:AA73))</f>
        <v/>
      </c>
      <c r="AC73" s="114" t="str">
        <f aca="false">IF($B73="","",MAX(0,IF(OR(الموظفون!$X73="",الموظفون!$X73&gt;$G$3),$G$3,الموظفون!$X73)-الموظفون!$H73+1)/cfg_DAYS_Y)</f>
        <v/>
      </c>
      <c r="AD73" s="114" t="str">
        <f aca="false">IF($B73="","",MAX(0,IF(OR(الموظفون!$X73="",الموظفون!$X73&gt;($E$3-1)),($E$3-1),الموظفون!$X73)-الموظفون!$H73+1)/cfg_DAYS_Y)</f>
        <v/>
      </c>
      <c r="AE73" s="115" t="str">
        <f aca="false">IF($B73="","",MAX(0,IF(OR(الموظفون!$X73="",الموظفون!$X73&gt;$G$3),$G$3,الموظفون!$X73)-MAX($E$3,الموظفون!$H73)+1))</f>
        <v/>
      </c>
    </row>
    <row r="74" customFormat="false" ht="15" hidden="false" customHeight="false" outlineLevel="0" collapsed="false">
      <c r="A74" s="83" t="str">
        <f aca="false">IF($B74="","",الموظفون!$A74)</f>
        <v/>
      </c>
      <c r="B74" s="74" t="str">
        <f aca="false">IF(الموظفون!$B74="","",الموظفون!$B74)</f>
        <v/>
      </c>
      <c r="C74" s="74" t="str">
        <f aca="false">IF($B74="","",الموظفون!$C74)</f>
        <v/>
      </c>
      <c r="D74" s="74" t="str">
        <f aca="false">IF($B74="","",الموظفون!$F74)</f>
        <v/>
      </c>
      <c r="E74" s="74" t="str">
        <f aca="false">IF($B74="","",الموظفون!$E74)</f>
        <v/>
      </c>
      <c r="F74" s="105" t="str">
        <f aca="false">IF($B74="","",IF(AE74&gt;=DAY($G$3),cfg_DAYS_M,MIN(AE74,cfg_DAYS_M)))</f>
        <v/>
      </c>
      <c r="G74" s="105" t="str">
        <f aca="false">IF($B74="","",SUMIFS('الحركات الشهرية'!$D$6:$D$1005,'الحركات الشهرية'!$B$6:$B$1005,$B74,'الحركات الشهرية'!$A$6:$A$1005,$C$3))</f>
        <v/>
      </c>
      <c r="H74" s="105" t="str">
        <f aca="false">IF($B74="","",SUMIFS('الحركات الشهرية'!$E$6:$E$1005,'الحركات الشهرية'!$B$6:$B$1005,$B74,'الحركات الشهرية'!$A$6:$A$1005,$C$3))</f>
        <v/>
      </c>
      <c r="I74" s="105" t="str">
        <f aca="false">IF($B74="","",MAX(0,F74-G74-H74))</f>
        <v/>
      </c>
      <c r="J74" s="86" t="str">
        <f aca="false">IF($B74="","",الموظفون!$J74*$I74/cfg_DAYS_M)</f>
        <v/>
      </c>
      <c r="K74" s="86" t="str">
        <f aca="false">IF($B74="","",الموظفون!$K74*$I74/cfg_DAYS_M)</f>
        <v/>
      </c>
      <c r="L74" s="86" t="str">
        <f aca="false">IF($B74="","",الموظفون!$L74*$I74/cfg_DAYS_M)</f>
        <v/>
      </c>
      <c r="M74" s="86" t="str">
        <f aca="false">IF($B74="","",الموظفون!$M74*$I74/cfg_DAYS_M)</f>
        <v/>
      </c>
      <c r="N74" s="105" t="str">
        <f aca="false">IF($B74="","",SUMIFS('الحركات الشهرية'!$F$6:$F$1005,'الحركات الشهرية'!$B$6:$B$1005,$B74,'الحركات الشهرية'!$A$6:$A$1005,$C$3))</f>
        <v/>
      </c>
      <c r="O74" s="86" t="str">
        <f aca="false">IF($B74="","",N74*(الموظفون!$N74+الموظفون!$J74*cfg_OT_P)/cfg_DAYS_M/cfg_HRS)</f>
        <v/>
      </c>
      <c r="P74" s="86" t="str">
        <f aca="false">IF($B74="","",SUMIFS('الحركات الشهرية'!$G$6:$G$1005,'الحركات الشهرية'!$B$6:$B$1005,$B74,'الحركات الشهرية'!$A$6:$A$1005,$C$3))</f>
        <v/>
      </c>
      <c r="Q74" s="86" t="str">
        <f aca="false">IF($B74="","",SUMIFS('الحركات الشهرية'!$H$6:$H$1005,'الحركات الشهرية'!$B$6:$B$1005,$B74,'الحركات الشهرية'!$A$6:$A$1005,$C$3))</f>
        <v/>
      </c>
      <c r="R74" s="106" t="str">
        <f aca="false">IF($B74="","",SUM(J74:M74)+SUM(O74:Q74))</f>
        <v/>
      </c>
      <c r="S74" s="86" t="str">
        <f aca="false">IF($B74="","",الموظفون!$Q74*IF(E74="سعودي",cfg_G_SE,cfg_G_NE)*F74/cfg_DAYS_M)</f>
        <v/>
      </c>
      <c r="T74" s="86" t="str">
        <f aca="false">IF($B74="","",SUMIFS('الحركات الشهرية'!$I$6:$I$1005,'الحركات الشهرية'!$B$6:$B$1005,$B74,'الحركات الشهرية'!$A$6:$A$1005,$C$3))</f>
        <v/>
      </c>
      <c r="U74" s="86" t="str">
        <f aca="false">IF($B74="","",SUMIFS('الحركات الشهرية'!$J$6:$J$1005,'الحركات الشهرية'!$B$6:$B$1005,$B74,'الحركات الشهرية'!$A$6:$A$1005,$C$3))</f>
        <v/>
      </c>
      <c r="V74" s="86" t="str">
        <f aca="false">IF($B74="","",SUM(S74:U74))</f>
        <v/>
      </c>
      <c r="W74" s="107" t="str">
        <f aca="false">IF($B74="","",R74-V74)</f>
        <v/>
      </c>
      <c r="X74" s="86" t="str">
        <f aca="false">IF($B74="","",الموظفون!$Q74*IF(E74="سعودي",cfg_G_SR,cfg_G_NR)*F74/cfg_DAYS_M)</f>
        <v/>
      </c>
      <c r="Y74" s="86" t="str">
        <f aca="false">IF($B74="","",الموظفون!$O74*(cfg_EOS_R1*(MIN(AC74,cfg_EOS_TH)-MIN(AD74,cfg_EOS_TH))+cfg_EOS_R2*(MAX(AC74-cfg_EOS_TH,0)-MAX(AD74-cfg_EOS_TH,0))))</f>
        <v/>
      </c>
      <c r="Z74" s="86" t="str">
        <f aca="false">IF($B74="","",IF(الموظفون!$R74&lt;&gt;"",الموظفون!$R74,IF(AC74&gt;=cfg_LV_TH,cfg_LV_D2,cfg_LV_D1))/cfg_DAYS_Y*AE74*الموظفون!$P74/cfg_DAYS_M)</f>
        <v/>
      </c>
      <c r="AA74" s="86" t="str">
        <f aca="false">IF($B74="","",IF(AND(الموظفون!$S74="نعم",N(الموظفون!$U74)&gt;0),الموظفون!$T74/الموظفون!$U74*12/cfg_DAYS_Y*AE74,0))</f>
        <v/>
      </c>
      <c r="AB74" s="108" t="str">
        <f aca="false">IF($B74="","",R74+SUM(X74:AA74))</f>
        <v/>
      </c>
      <c r="AC74" s="109" t="str">
        <f aca="false">IF($B74="","",MAX(0,IF(OR(الموظفون!$X74="",الموظفون!$X74&gt;$G$3),$G$3,الموظفون!$X74)-الموظفون!$H74+1)/cfg_DAYS_Y)</f>
        <v/>
      </c>
      <c r="AD74" s="109" t="str">
        <f aca="false">IF($B74="","",MAX(0,IF(OR(الموظفون!$X74="",الموظفون!$X74&gt;($E$3-1)),($E$3-1),الموظفون!$X74)-الموظفون!$H74+1)/cfg_DAYS_Y)</f>
        <v/>
      </c>
      <c r="AE74" s="51" t="str">
        <f aca="false">IF($B74="","",MAX(0,IF(OR(الموظفون!$X74="",الموظفون!$X74&gt;$G$3),$G$3,الموظفون!$X74)-MAX($E$3,الموظفون!$H74)+1))</f>
        <v/>
      </c>
    </row>
    <row r="75" customFormat="false" ht="15" hidden="false" customHeight="false" outlineLevel="0" collapsed="false">
      <c r="A75" s="89" t="str">
        <f aca="false">IF($B75="","",الموظفون!$A75)</f>
        <v/>
      </c>
      <c r="B75" s="91" t="str">
        <f aca="false">IF(الموظفون!$B75="","",الموظفون!$B75)</f>
        <v/>
      </c>
      <c r="C75" s="91" t="str">
        <f aca="false">IF($B75="","",الموظفون!$C75)</f>
        <v/>
      </c>
      <c r="D75" s="91" t="str">
        <f aca="false">IF($B75="","",الموظفون!$F75)</f>
        <v/>
      </c>
      <c r="E75" s="91" t="str">
        <f aca="false">IF($B75="","",الموظفون!$E75)</f>
        <v/>
      </c>
      <c r="F75" s="110" t="str">
        <f aca="false">IF($B75="","",IF(AE75&gt;=DAY($G$3),cfg_DAYS_M,MIN(AE75,cfg_DAYS_M)))</f>
        <v/>
      </c>
      <c r="G75" s="110" t="str">
        <f aca="false">IF($B75="","",SUMIFS('الحركات الشهرية'!$D$6:$D$1005,'الحركات الشهرية'!$B$6:$B$1005,$B75,'الحركات الشهرية'!$A$6:$A$1005,$C$3))</f>
        <v/>
      </c>
      <c r="H75" s="110" t="str">
        <f aca="false">IF($B75="","",SUMIFS('الحركات الشهرية'!$E$6:$E$1005,'الحركات الشهرية'!$B$6:$B$1005,$B75,'الحركات الشهرية'!$A$6:$A$1005,$C$3))</f>
        <v/>
      </c>
      <c r="I75" s="110" t="str">
        <f aca="false">IF($B75="","",MAX(0,F75-G75-H75))</f>
        <v/>
      </c>
      <c r="J75" s="90" t="str">
        <f aca="false">IF($B75="","",الموظفون!$J75*$I75/cfg_DAYS_M)</f>
        <v/>
      </c>
      <c r="K75" s="90" t="str">
        <f aca="false">IF($B75="","",الموظفون!$K75*$I75/cfg_DAYS_M)</f>
        <v/>
      </c>
      <c r="L75" s="90" t="str">
        <f aca="false">IF($B75="","",الموظفون!$L75*$I75/cfg_DAYS_M)</f>
        <v/>
      </c>
      <c r="M75" s="90" t="str">
        <f aca="false">IF($B75="","",الموظفون!$M75*$I75/cfg_DAYS_M)</f>
        <v/>
      </c>
      <c r="N75" s="110" t="str">
        <f aca="false">IF($B75="","",SUMIFS('الحركات الشهرية'!$F$6:$F$1005,'الحركات الشهرية'!$B$6:$B$1005,$B75,'الحركات الشهرية'!$A$6:$A$1005,$C$3))</f>
        <v/>
      </c>
      <c r="O75" s="90" t="str">
        <f aca="false">IF($B75="","",N75*(الموظفون!$N75+الموظفون!$J75*cfg_OT_P)/cfg_DAYS_M/cfg_HRS)</f>
        <v/>
      </c>
      <c r="P75" s="90" t="str">
        <f aca="false">IF($B75="","",SUMIFS('الحركات الشهرية'!$G$6:$G$1005,'الحركات الشهرية'!$B$6:$B$1005,$B75,'الحركات الشهرية'!$A$6:$A$1005,$C$3))</f>
        <v/>
      </c>
      <c r="Q75" s="90" t="str">
        <f aca="false">IF($B75="","",SUMIFS('الحركات الشهرية'!$H$6:$H$1005,'الحركات الشهرية'!$B$6:$B$1005,$B75,'الحركات الشهرية'!$A$6:$A$1005,$C$3))</f>
        <v/>
      </c>
      <c r="R75" s="111" t="str">
        <f aca="false">IF($B75="","",SUM(J75:M75)+SUM(O75:Q75))</f>
        <v/>
      </c>
      <c r="S75" s="90" t="str">
        <f aca="false">IF($B75="","",الموظفون!$Q75*IF(E75="سعودي",cfg_G_SE,cfg_G_NE)*F75/cfg_DAYS_M)</f>
        <v/>
      </c>
      <c r="T75" s="90" t="str">
        <f aca="false">IF($B75="","",SUMIFS('الحركات الشهرية'!$I$6:$I$1005,'الحركات الشهرية'!$B$6:$B$1005,$B75,'الحركات الشهرية'!$A$6:$A$1005,$C$3))</f>
        <v/>
      </c>
      <c r="U75" s="90" t="str">
        <f aca="false">IF($B75="","",SUMIFS('الحركات الشهرية'!$J$6:$J$1005,'الحركات الشهرية'!$B$6:$B$1005,$B75,'الحركات الشهرية'!$A$6:$A$1005,$C$3))</f>
        <v/>
      </c>
      <c r="V75" s="90" t="str">
        <f aca="false">IF($B75="","",SUM(S75:U75))</f>
        <v/>
      </c>
      <c r="W75" s="112" t="str">
        <f aca="false">IF($B75="","",R75-V75)</f>
        <v/>
      </c>
      <c r="X75" s="90" t="str">
        <f aca="false">IF($B75="","",الموظفون!$Q75*IF(E75="سعودي",cfg_G_SR,cfg_G_NR)*F75/cfg_DAYS_M)</f>
        <v/>
      </c>
      <c r="Y75" s="90" t="str">
        <f aca="false">IF($B75="","",الموظفون!$O75*(cfg_EOS_R1*(MIN(AC75,cfg_EOS_TH)-MIN(AD75,cfg_EOS_TH))+cfg_EOS_R2*(MAX(AC75-cfg_EOS_TH,0)-MAX(AD75-cfg_EOS_TH,0))))</f>
        <v/>
      </c>
      <c r="Z75" s="90" t="str">
        <f aca="false">IF($B75="","",IF(الموظفون!$R75&lt;&gt;"",الموظفون!$R75,IF(AC75&gt;=cfg_LV_TH,cfg_LV_D2,cfg_LV_D1))/cfg_DAYS_Y*AE75*الموظفون!$P75/cfg_DAYS_M)</f>
        <v/>
      </c>
      <c r="AA75" s="90" t="str">
        <f aca="false">IF($B75="","",IF(AND(الموظفون!$S75="نعم",N(الموظفون!$U75)&gt;0),الموظفون!$T75/الموظفون!$U75*12/cfg_DAYS_Y*AE75,0))</f>
        <v/>
      </c>
      <c r="AB75" s="113" t="str">
        <f aca="false">IF($B75="","",R75+SUM(X75:AA75))</f>
        <v/>
      </c>
      <c r="AC75" s="114" t="str">
        <f aca="false">IF($B75="","",MAX(0,IF(OR(الموظفون!$X75="",الموظفون!$X75&gt;$G$3),$G$3,الموظفون!$X75)-الموظفون!$H75+1)/cfg_DAYS_Y)</f>
        <v/>
      </c>
      <c r="AD75" s="114" t="str">
        <f aca="false">IF($B75="","",MAX(0,IF(OR(الموظفون!$X75="",الموظفون!$X75&gt;($E$3-1)),($E$3-1),الموظفون!$X75)-الموظفون!$H75+1)/cfg_DAYS_Y)</f>
        <v/>
      </c>
      <c r="AE75" s="115" t="str">
        <f aca="false">IF($B75="","",MAX(0,IF(OR(الموظفون!$X75="",الموظفون!$X75&gt;$G$3),$G$3,الموظفون!$X75)-MAX($E$3,الموظفون!$H75)+1))</f>
        <v/>
      </c>
    </row>
    <row r="76" customFormat="false" ht="15" hidden="false" customHeight="false" outlineLevel="0" collapsed="false">
      <c r="A76" s="83" t="str">
        <f aca="false">IF($B76="","",الموظفون!$A76)</f>
        <v/>
      </c>
      <c r="B76" s="74" t="str">
        <f aca="false">IF(الموظفون!$B76="","",الموظفون!$B76)</f>
        <v/>
      </c>
      <c r="C76" s="74" t="str">
        <f aca="false">IF($B76="","",الموظفون!$C76)</f>
        <v/>
      </c>
      <c r="D76" s="74" t="str">
        <f aca="false">IF($B76="","",الموظفون!$F76)</f>
        <v/>
      </c>
      <c r="E76" s="74" t="str">
        <f aca="false">IF($B76="","",الموظفون!$E76)</f>
        <v/>
      </c>
      <c r="F76" s="105" t="str">
        <f aca="false">IF($B76="","",IF(AE76&gt;=DAY($G$3),cfg_DAYS_M,MIN(AE76,cfg_DAYS_M)))</f>
        <v/>
      </c>
      <c r="G76" s="105" t="str">
        <f aca="false">IF($B76="","",SUMIFS('الحركات الشهرية'!$D$6:$D$1005,'الحركات الشهرية'!$B$6:$B$1005,$B76,'الحركات الشهرية'!$A$6:$A$1005,$C$3))</f>
        <v/>
      </c>
      <c r="H76" s="105" t="str">
        <f aca="false">IF($B76="","",SUMIFS('الحركات الشهرية'!$E$6:$E$1005,'الحركات الشهرية'!$B$6:$B$1005,$B76,'الحركات الشهرية'!$A$6:$A$1005,$C$3))</f>
        <v/>
      </c>
      <c r="I76" s="105" t="str">
        <f aca="false">IF($B76="","",MAX(0,F76-G76-H76))</f>
        <v/>
      </c>
      <c r="J76" s="86" t="str">
        <f aca="false">IF($B76="","",الموظفون!$J76*$I76/cfg_DAYS_M)</f>
        <v/>
      </c>
      <c r="K76" s="86" t="str">
        <f aca="false">IF($B76="","",الموظفون!$K76*$I76/cfg_DAYS_M)</f>
        <v/>
      </c>
      <c r="L76" s="86" t="str">
        <f aca="false">IF($B76="","",الموظفون!$L76*$I76/cfg_DAYS_M)</f>
        <v/>
      </c>
      <c r="M76" s="86" t="str">
        <f aca="false">IF($B76="","",الموظفون!$M76*$I76/cfg_DAYS_M)</f>
        <v/>
      </c>
      <c r="N76" s="105" t="str">
        <f aca="false">IF($B76="","",SUMIFS('الحركات الشهرية'!$F$6:$F$1005,'الحركات الشهرية'!$B$6:$B$1005,$B76,'الحركات الشهرية'!$A$6:$A$1005,$C$3))</f>
        <v/>
      </c>
      <c r="O76" s="86" t="str">
        <f aca="false">IF($B76="","",N76*(الموظفون!$N76+الموظفون!$J76*cfg_OT_P)/cfg_DAYS_M/cfg_HRS)</f>
        <v/>
      </c>
      <c r="P76" s="86" t="str">
        <f aca="false">IF($B76="","",SUMIFS('الحركات الشهرية'!$G$6:$G$1005,'الحركات الشهرية'!$B$6:$B$1005,$B76,'الحركات الشهرية'!$A$6:$A$1005,$C$3))</f>
        <v/>
      </c>
      <c r="Q76" s="86" t="str">
        <f aca="false">IF($B76="","",SUMIFS('الحركات الشهرية'!$H$6:$H$1005,'الحركات الشهرية'!$B$6:$B$1005,$B76,'الحركات الشهرية'!$A$6:$A$1005,$C$3))</f>
        <v/>
      </c>
      <c r="R76" s="106" t="str">
        <f aca="false">IF($B76="","",SUM(J76:M76)+SUM(O76:Q76))</f>
        <v/>
      </c>
      <c r="S76" s="86" t="str">
        <f aca="false">IF($B76="","",الموظفون!$Q76*IF(E76="سعودي",cfg_G_SE,cfg_G_NE)*F76/cfg_DAYS_M)</f>
        <v/>
      </c>
      <c r="T76" s="86" t="str">
        <f aca="false">IF($B76="","",SUMIFS('الحركات الشهرية'!$I$6:$I$1005,'الحركات الشهرية'!$B$6:$B$1005,$B76,'الحركات الشهرية'!$A$6:$A$1005,$C$3))</f>
        <v/>
      </c>
      <c r="U76" s="86" t="str">
        <f aca="false">IF($B76="","",SUMIFS('الحركات الشهرية'!$J$6:$J$1005,'الحركات الشهرية'!$B$6:$B$1005,$B76,'الحركات الشهرية'!$A$6:$A$1005,$C$3))</f>
        <v/>
      </c>
      <c r="V76" s="86" t="str">
        <f aca="false">IF($B76="","",SUM(S76:U76))</f>
        <v/>
      </c>
      <c r="W76" s="107" t="str">
        <f aca="false">IF($B76="","",R76-V76)</f>
        <v/>
      </c>
      <c r="X76" s="86" t="str">
        <f aca="false">IF($B76="","",الموظفون!$Q76*IF(E76="سعودي",cfg_G_SR,cfg_G_NR)*F76/cfg_DAYS_M)</f>
        <v/>
      </c>
      <c r="Y76" s="86" t="str">
        <f aca="false">IF($B76="","",الموظفون!$O76*(cfg_EOS_R1*(MIN(AC76,cfg_EOS_TH)-MIN(AD76,cfg_EOS_TH))+cfg_EOS_R2*(MAX(AC76-cfg_EOS_TH,0)-MAX(AD76-cfg_EOS_TH,0))))</f>
        <v/>
      </c>
      <c r="Z76" s="86" t="str">
        <f aca="false">IF($B76="","",IF(الموظفون!$R76&lt;&gt;"",الموظفون!$R76,IF(AC76&gt;=cfg_LV_TH,cfg_LV_D2,cfg_LV_D1))/cfg_DAYS_Y*AE76*الموظفون!$P76/cfg_DAYS_M)</f>
        <v/>
      </c>
      <c r="AA76" s="86" t="str">
        <f aca="false">IF($B76="","",IF(AND(الموظفون!$S76="نعم",N(الموظفون!$U76)&gt;0),الموظفون!$T76/الموظفون!$U76*12/cfg_DAYS_Y*AE76,0))</f>
        <v/>
      </c>
      <c r="AB76" s="108" t="str">
        <f aca="false">IF($B76="","",R76+SUM(X76:AA76))</f>
        <v/>
      </c>
      <c r="AC76" s="109" t="str">
        <f aca="false">IF($B76="","",MAX(0,IF(OR(الموظفون!$X76="",الموظفون!$X76&gt;$G$3),$G$3,الموظفون!$X76)-الموظفون!$H76+1)/cfg_DAYS_Y)</f>
        <v/>
      </c>
      <c r="AD76" s="109" t="str">
        <f aca="false">IF($B76="","",MAX(0,IF(OR(الموظفون!$X76="",الموظفون!$X76&gt;($E$3-1)),($E$3-1),الموظفون!$X76)-الموظفون!$H76+1)/cfg_DAYS_Y)</f>
        <v/>
      </c>
      <c r="AE76" s="51" t="str">
        <f aca="false">IF($B76="","",MAX(0,IF(OR(الموظفون!$X76="",الموظفون!$X76&gt;$G$3),$G$3,الموظفون!$X76)-MAX($E$3,الموظفون!$H76)+1))</f>
        <v/>
      </c>
    </row>
    <row r="77" customFormat="false" ht="15" hidden="false" customHeight="false" outlineLevel="0" collapsed="false">
      <c r="A77" s="89" t="str">
        <f aca="false">IF($B77="","",الموظفون!$A77)</f>
        <v/>
      </c>
      <c r="B77" s="91" t="str">
        <f aca="false">IF(الموظفون!$B77="","",الموظفون!$B77)</f>
        <v/>
      </c>
      <c r="C77" s="91" t="str">
        <f aca="false">IF($B77="","",الموظفون!$C77)</f>
        <v/>
      </c>
      <c r="D77" s="91" t="str">
        <f aca="false">IF($B77="","",الموظفون!$F77)</f>
        <v/>
      </c>
      <c r="E77" s="91" t="str">
        <f aca="false">IF($B77="","",الموظفون!$E77)</f>
        <v/>
      </c>
      <c r="F77" s="110" t="str">
        <f aca="false">IF($B77="","",IF(AE77&gt;=DAY($G$3),cfg_DAYS_M,MIN(AE77,cfg_DAYS_M)))</f>
        <v/>
      </c>
      <c r="G77" s="110" t="str">
        <f aca="false">IF($B77="","",SUMIFS('الحركات الشهرية'!$D$6:$D$1005,'الحركات الشهرية'!$B$6:$B$1005,$B77,'الحركات الشهرية'!$A$6:$A$1005,$C$3))</f>
        <v/>
      </c>
      <c r="H77" s="110" t="str">
        <f aca="false">IF($B77="","",SUMIFS('الحركات الشهرية'!$E$6:$E$1005,'الحركات الشهرية'!$B$6:$B$1005,$B77,'الحركات الشهرية'!$A$6:$A$1005,$C$3))</f>
        <v/>
      </c>
      <c r="I77" s="110" t="str">
        <f aca="false">IF($B77="","",MAX(0,F77-G77-H77))</f>
        <v/>
      </c>
      <c r="J77" s="90" t="str">
        <f aca="false">IF($B77="","",الموظفون!$J77*$I77/cfg_DAYS_M)</f>
        <v/>
      </c>
      <c r="K77" s="90" t="str">
        <f aca="false">IF($B77="","",الموظفون!$K77*$I77/cfg_DAYS_M)</f>
        <v/>
      </c>
      <c r="L77" s="90" t="str">
        <f aca="false">IF($B77="","",الموظفون!$L77*$I77/cfg_DAYS_M)</f>
        <v/>
      </c>
      <c r="M77" s="90" t="str">
        <f aca="false">IF($B77="","",الموظفون!$M77*$I77/cfg_DAYS_M)</f>
        <v/>
      </c>
      <c r="N77" s="110" t="str">
        <f aca="false">IF($B77="","",SUMIFS('الحركات الشهرية'!$F$6:$F$1005,'الحركات الشهرية'!$B$6:$B$1005,$B77,'الحركات الشهرية'!$A$6:$A$1005,$C$3))</f>
        <v/>
      </c>
      <c r="O77" s="90" t="str">
        <f aca="false">IF($B77="","",N77*(الموظفون!$N77+الموظفون!$J77*cfg_OT_P)/cfg_DAYS_M/cfg_HRS)</f>
        <v/>
      </c>
      <c r="P77" s="90" t="str">
        <f aca="false">IF($B77="","",SUMIFS('الحركات الشهرية'!$G$6:$G$1005,'الحركات الشهرية'!$B$6:$B$1005,$B77,'الحركات الشهرية'!$A$6:$A$1005,$C$3))</f>
        <v/>
      </c>
      <c r="Q77" s="90" t="str">
        <f aca="false">IF($B77="","",SUMIFS('الحركات الشهرية'!$H$6:$H$1005,'الحركات الشهرية'!$B$6:$B$1005,$B77,'الحركات الشهرية'!$A$6:$A$1005,$C$3))</f>
        <v/>
      </c>
      <c r="R77" s="111" t="str">
        <f aca="false">IF($B77="","",SUM(J77:M77)+SUM(O77:Q77))</f>
        <v/>
      </c>
      <c r="S77" s="90" t="str">
        <f aca="false">IF($B77="","",الموظفون!$Q77*IF(E77="سعودي",cfg_G_SE,cfg_G_NE)*F77/cfg_DAYS_M)</f>
        <v/>
      </c>
      <c r="T77" s="90" t="str">
        <f aca="false">IF($B77="","",SUMIFS('الحركات الشهرية'!$I$6:$I$1005,'الحركات الشهرية'!$B$6:$B$1005,$B77,'الحركات الشهرية'!$A$6:$A$1005,$C$3))</f>
        <v/>
      </c>
      <c r="U77" s="90" t="str">
        <f aca="false">IF($B77="","",SUMIFS('الحركات الشهرية'!$J$6:$J$1005,'الحركات الشهرية'!$B$6:$B$1005,$B77,'الحركات الشهرية'!$A$6:$A$1005,$C$3))</f>
        <v/>
      </c>
      <c r="V77" s="90" t="str">
        <f aca="false">IF($B77="","",SUM(S77:U77))</f>
        <v/>
      </c>
      <c r="W77" s="112" t="str">
        <f aca="false">IF($B77="","",R77-V77)</f>
        <v/>
      </c>
      <c r="X77" s="90" t="str">
        <f aca="false">IF($B77="","",الموظفون!$Q77*IF(E77="سعودي",cfg_G_SR,cfg_G_NR)*F77/cfg_DAYS_M)</f>
        <v/>
      </c>
      <c r="Y77" s="90" t="str">
        <f aca="false">IF($B77="","",الموظفون!$O77*(cfg_EOS_R1*(MIN(AC77,cfg_EOS_TH)-MIN(AD77,cfg_EOS_TH))+cfg_EOS_R2*(MAX(AC77-cfg_EOS_TH,0)-MAX(AD77-cfg_EOS_TH,0))))</f>
        <v/>
      </c>
      <c r="Z77" s="90" t="str">
        <f aca="false">IF($B77="","",IF(الموظفون!$R77&lt;&gt;"",الموظفون!$R77,IF(AC77&gt;=cfg_LV_TH,cfg_LV_D2,cfg_LV_D1))/cfg_DAYS_Y*AE77*الموظفون!$P77/cfg_DAYS_M)</f>
        <v/>
      </c>
      <c r="AA77" s="90" t="str">
        <f aca="false">IF($B77="","",IF(AND(الموظفون!$S77="نعم",N(الموظفون!$U77)&gt;0),الموظفون!$T77/الموظفون!$U77*12/cfg_DAYS_Y*AE77,0))</f>
        <v/>
      </c>
      <c r="AB77" s="113" t="str">
        <f aca="false">IF($B77="","",R77+SUM(X77:AA77))</f>
        <v/>
      </c>
      <c r="AC77" s="114" t="str">
        <f aca="false">IF($B77="","",MAX(0,IF(OR(الموظفون!$X77="",الموظفون!$X77&gt;$G$3),$G$3,الموظفون!$X77)-الموظفون!$H77+1)/cfg_DAYS_Y)</f>
        <v/>
      </c>
      <c r="AD77" s="114" t="str">
        <f aca="false">IF($B77="","",MAX(0,IF(OR(الموظفون!$X77="",الموظفون!$X77&gt;($E$3-1)),($E$3-1),الموظفون!$X77)-الموظفون!$H77+1)/cfg_DAYS_Y)</f>
        <v/>
      </c>
      <c r="AE77" s="115" t="str">
        <f aca="false">IF($B77="","",MAX(0,IF(OR(الموظفون!$X77="",الموظفون!$X77&gt;$G$3),$G$3,الموظفون!$X77)-MAX($E$3,الموظفون!$H77)+1))</f>
        <v/>
      </c>
    </row>
    <row r="78" customFormat="false" ht="15" hidden="false" customHeight="false" outlineLevel="0" collapsed="false">
      <c r="A78" s="83" t="str">
        <f aca="false">IF($B78="","",الموظفون!$A78)</f>
        <v/>
      </c>
      <c r="B78" s="74" t="str">
        <f aca="false">IF(الموظفون!$B78="","",الموظفون!$B78)</f>
        <v/>
      </c>
      <c r="C78" s="74" t="str">
        <f aca="false">IF($B78="","",الموظفون!$C78)</f>
        <v/>
      </c>
      <c r="D78" s="74" t="str">
        <f aca="false">IF($B78="","",الموظفون!$F78)</f>
        <v/>
      </c>
      <c r="E78" s="74" t="str">
        <f aca="false">IF($B78="","",الموظفون!$E78)</f>
        <v/>
      </c>
      <c r="F78" s="105" t="str">
        <f aca="false">IF($B78="","",IF(AE78&gt;=DAY($G$3),cfg_DAYS_M,MIN(AE78,cfg_DAYS_M)))</f>
        <v/>
      </c>
      <c r="G78" s="105" t="str">
        <f aca="false">IF($B78="","",SUMIFS('الحركات الشهرية'!$D$6:$D$1005,'الحركات الشهرية'!$B$6:$B$1005,$B78,'الحركات الشهرية'!$A$6:$A$1005,$C$3))</f>
        <v/>
      </c>
      <c r="H78" s="105" t="str">
        <f aca="false">IF($B78="","",SUMIFS('الحركات الشهرية'!$E$6:$E$1005,'الحركات الشهرية'!$B$6:$B$1005,$B78,'الحركات الشهرية'!$A$6:$A$1005,$C$3))</f>
        <v/>
      </c>
      <c r="I78" s="105" t="str">
        <f aca="false">IF($B78="","",MAX(0,F78-G78-H78))</f>
        <v/>
      </c>
      <c r="J78" s="86" t="str">
        <f aca="false">IF($B78="","",الموظفون!$J78*$I78/cfg_DAYS_M)</f>
        <v/>
      </c>
      <c r="K78" s="86" t="str">
        <f aca="false">IF($B78="","",الموظفون!$K78*$I78/cfg_DAYS_M)</f>
        <v/>
      </c>
      <c r="L78" s="86" t="str">
        <f aca="false">IF($B78="","",الموظفون!$L78*$I78/cfg_DAYS_M)</f>
        <v/>
      </c>
      <c r="M78" s="86" t="str">
        <f aca="false">IF($B78="","",الموظفون!$M78*$I78/cfg_DAYS_M)</f>
        <v/>
      </c>
      <c r="N78" s="105" t="str">
        <f aca="false">IF($B78="","",SUMIFS('الحركات الشهرية'!$F$6:$F$1005,'الحركات الشهرية'!$B$6:$B$1005,$B78,'الحركات الشهرية'!$A$6:$A$1005,$C$3))</f>
        <v/>
      </c>
      <c r="O78" s="86" t="str">
        <f aca="false">IF($B78="","",N78*(الموظفون!$N78+الموظفون!$J78*cfg_OT_P)/cfg_DAYS_M/cfg_HRS)</f>
        <v/>
      </c>
      <c r="P78" s="86" t="str">
        <f aca="false">IF($B78="","",SUMIFS('الحركات الشهرية'!$G$6:$G$1005,'الحركات الشهرية'!$B$6:$B$1005,$B78,'الحركات الشهرية'!$A$6:$A$1005,$C$3))</f>
        <v/>
      </c>
      <c r="Q78" s="86" t="str">
        <f aca="false">IF($B78="","",SUMIFS('الحركات الشهرية'!$H$6:$H$1005,'الحركات الشهرية'!$B$6:$B$1005,$B78,'الحركات الشهرية'!$A$6:$A$1005,$C$3))</f>
        <v/>
      </c>
      <c r="R78" s="106" t="str">
        <f aca="false">IF($B78="","",SUM(J78:M78)+SUM(O78:Q78))</f>
        <v/>
      </c>
      <c r="S78" s="86" t="str">
        <f aca="false">IF($B78="","",الموظفون!$Q78*IF(E78="سعودي",cfg_G_SE,cfg_G_NE)*F78/cfg_DAYS_M)</f>
        <v/>
      </c>
      <c r="T78" s="86" t="str">
        <f aca="false">IF($B78="","",SUMIFS('الحركات الشهرية'!$I$6:$I$1005,'الحركات الشهرية'!$B$6:$B$1005,$B78,'الحركات الشهرية'!$A$6:$A$1005,$C$3))</f>
        <v/>
      </c>
      <c r="U78" s="86" t="str">
        <f aca="false">IF($B78="","",SUMIFS('الحركات الشهرية'!$J$6:$J$1005,'الحركات الشهرية'!$B$6:$B$1005,$B78,'الحركات الشهرية'!$A$6:$A$1005,$C$3))</f>
        <v/>
      </c>
      <c r="V78" s="86" t="str">
        <f aca="false">IF($B78="","",SUM(S78:U78))</f>
        <v/>
      </c>
      <c r="W78" s="107" t="str">
        <f aca="false">IF($B78="","",R78-V78)</f>
        <v/>
      </c>
      <c r="X78" s="86" t="str">
        <f aca="false">IF($B78="","",الموظفون!$Q78*IF(E78="سعودي",cfg_G_SR,cfg_G_NR)*F78/cfg_DAYS_M)</f>
        <v/>
      </c>
      <c r="Y78" s="86" t="str">
        <f aca="false">IF($B78="","",الموظفون!$O78*(cfg_EOS_R1*(MIN(AC78,cfg_EOS_TH)-MIN(AD78,cfg_EOS_TH))+cfg_EOS_R2*(MAX(AC78-cfg_EOS_TH,0)-MAX(AD78-cfg_EOS_TH,0))))</f>
        <v/>
      </c>
      <c r="Z78" s="86" t="str">
        <f aca="false">IF($B78="","",IF(الموظفون!$R78&lt;&gt;"",الموظفون!$R78,IF(AC78&gt;=cfg_LV_TH,cfg_LV_D2,cfg_LV_D1))/cfg_DAYS_Y*AE78*الموظفون!$P78/cfg_DAYS_M)</f>
        <v/>
      </c>
      <c r="AA78" s="86" t="str">
        <f aca="false">IF($B78="","",IF(AND(الموظفون!$S78="نعم",N(الموظفون!$U78)&gt;0),الموظفون!$T78/الموظفون!$U78*12/cfg_DAYS_Y*AE78,0))</f>
        <v/>
      </c>
      <c r="AB78" s="108" t="str">
        <f aca="false">IF($B78="","",R78+SUM(X78:AA78))</f>
        <v/>
      </c>
      <c r="AC78" s="109" t="str">
        <f aca="false">IF($B78="","",MAX(0,IF(OR(الموظفون!$X78="",الموظفون!$X78&gt;$G$3),$G$3,الموظفون!$X78)-الموظفون!$H78+1)/cfg_DAYS_Y)</f>
        <v/>
      </c>
      <c r="AD78" s="109" t="str">
        <f aca="false">IF($B78="","",MAX(0,IF(OR(الموظفون!$X78="",الموظفون!$X78&gt;($E$3-1)),($E$3-1),الموظفون!$X78)-الموظفون!$H78+1)/cfg_DAYS_Y)</f>
        <v/>
      </c>
      <c r="AE78" s="51" t="str">
        <f aca="false">IF($B78="","",MAX(0,IF(OR(الموظفون!$X78="",الموظفون!$X78&gt;$G$3),$G$3,الموظفون!$X78)-MAX($E$3,الموظفون!$H78)+1))</f>
        <v/>
      </c>
    </row>
    <row r="79" customFormat="false" ht="15" hidden="false" customHeight="false" outlineLevel="0" collapsed="false">
      <c r="A79" s="89" t="str">
        <f aca="false">IF($B79="","",الموظفون!$A79)</f>
        <v/>
      </c>
      <c r="B79" s="91" t="str">
        <f aca="false">IF(الموظفون!$B79="","",الموظفون!$B79)</f>
        <v/>
      </c>
      <c r="C79" s="91" t="str">
        <f aca="false">IF($B79="","",الموظفون!$C79)</f>
        <v/>
      </c>
      <c r="D79" s="91" t="str">
        <f aca="false">IF($B79="","",الموظفون!$F79)</f>
        <v/>
      </c>
      <c r="E79" s="91" t="str">
        <f aca="false">IF($B79="","",الموظفون!$E79)</f>
        <v/>
      </c>
      <c r="F79" s="110" t="str">
        <f aca="false">IF($B79="","",IF(AE79&gt;=DAY($G$3),cfg_DAYS_M,MIN(AE79,cfg_DAYS_M)))</f>
        <v/>
      </c>
      <c r="G79" s="110" t="str">
        <f aca="false">IF($B79="","",SUMIFS('الحركات الشهرية'!$D$6:$D$1005,'الحركات الشهرية'!$B$6:$B$1005,$B79,'الحركات الشهرية'!$A$6:$A$1005,$C$3))</f>
        <v/>
      </c>
      <c r="H79" s="110" t="str">
        <f aca="false">IF($B79="","",SUMIFS('الحركات الشهرية'!$E$6:$E$1005,'الحركات الشهرية'!$B$6:$B$1005,$B79,'الحركات الشهرية'!$A$6:$A$1005,$C$3))</f>
        <v/>
      </c>
      <c r="I79" s="110" t="str">
        <f aca="false">IF($B79="","",MAX(0,F79-G79-H79))</f>
        <v/>
      </c>
      <c r="J79" s="90" t="str">
        <f aca="false">IF($B79="","",الموظفون!$J79*$I79/cfg_DAYS_M)</f>
        <v/>
      </c>
      <c r="K79" s="90" t="str">
        <f aca="false">IF($B79="","",الموظفون!$K79*$I79/cfg_DAYS_M)</f>
        <v/>
      </c>
      <c r="L79" s="90" t="str">
        <f aca="false">IF($B79="","",الموظفون!$L79*$I79/cfg_DAYS_M)</f>
        <v/>
      </c>
      <c r="M79" s="90" t="str">
        <f aca="false">IF($B79="","",الموظفون!$M79*$I79/cfg_DAYS_M)</f>
        <v/>
      </c>
      <c r="N79" s="110" t="str">
        <f aca="false">IF($B79="","",SUMIFS('الحركات الشهرية'!$F$6:$F$1005,'الحركات الشهرية'!$B$6:$B$1005,$B79,'الحركات الشهرية'!$A$6:$A$1005,$C$3))</f>
        <v/>
      </c>
      <c r="O79" s="90" t="str">
        <f aca="false">IF($B79="","",N79*(الموظفون!$N79+الموظفون!$J79*cfg_OT_P)/cfg_DAYS_M/cfg_HRS)</f>
        <v/>
      </c>
      <c r="P79" s="90" t="str">
        <f aca="false">IF($B79="","",SUMIFS('الحركات الشهرية'!$G$6:$G$1005,'الحركات الشهرية'!$B$6:$B$1005,$B79,'الحركات الشهرية'!$A$6:$A$1005,$C$3))</f>
        <v/>
      </c>
      <c r="Q79" s="90" t="str">
        <f aca="false">IF($B79="","",SUMIFS('الحركات الشهرية'!$H$6:$H$1005,'الحركات الشهرية'!$B$6:$B$1005,$B79,'الحركات الشهرية'!$A$6:$A$1005,$C$3))</f>
        <v/>
      </c>
      <c r="R79" s="111" t="str">
        <f aca="false">IF($B79="","",SUM(J79:M79)+SUM(O79:Q79))</f>
        <v/>
      </c>
      <c r="S79" s="90" t="str">
        <f aca="false">IF($B79="","",الموظفون!$Q79*IF(E79="سعودي",cfg_G_SE,cfg_G_NE)*F79/cfg_DAYS_M)</f>
        <v/>
      </c>
      <c r="T79" s="90" t="str">
        <f aca="false">IF($B79="","",SUMIFS('الحركات الشهرية'!$I$6:$I$1005,'الحركات الشهرية'!$B$6:$B$1005,$B79,'الحركات الشهرية'!$A$6:$A$1005,$C$3))</f>
        <v/>
      </c>
      <c r="U79" s="90" t="str">
        <f aca="false">IF($B79="","",SUMIFS('الحركات الشهرية'!$J$6:$J$1005,'الحركات الشهرية'!$B$6:$B$1005,$B79,'الحركات الشهرية'!$A$6:$A$1005,$C$3))</f>
        <v/>
      </c>
      <c r="V79" s="90" t="str">
        <f aca="false">IF($B79="","",SUM(S79:U79))</f>
        <v/>
      </c>
      <c r="W79" s="112" t="str">
        <f aca="false">IF($B79="","",R79-V79)</f>
        <v/>
      </c>
      <c r="X79" s="90" t="str">
        <f aca="false">IF($B79="","",الموظفون!$Q79*IF(E79="سعودي",cfg_G_SR,cfg_G_NR)*F79/cfg_DAYS_M)</f>
        <v/>
      </c>
      <c r="Y79" s="90" t="str">
        <f aca="false">IF($B79="","",الموظفون!$O79*(cfg_EOS_R1*(MIN(AC79,cfg_EOS_TH)-MIN(AD79,cfg_EOS_TH))+cfg_EOS_R2*(MAX(AC79-cfg_EOS_TH,0)-MAX(AD79-cfg_EOS_TH,0))))</f>
        <v/>
      </c>
      <c r="Z79" s="90" t="str">
        <f aca="false">IF($B79="","",IF(الموظفون!$R79&lt;&gt;"",الموظفون!$R79,IF(AC79&gt;=cfg_LV_TH,cfg_LV_D2,cfg_LV_D1))/cfg_DAYS_Y*AE79*الموظفون!$P79/cfg_DAYS_M)</f>
        <v/>
      </c>
      <c r="AA79" s="90" t="str">
        <f aca="false">IF($B79="","",IF(AND(الموظفون!$S79="نعم",N(الموظفون!$U79)&gt;0),الموظفون!$T79/الموظفون!$U79*12/cfg_DAYS_Y*AE79,0))</f>
        <v/>
      </c>
      <c r="AB79" s="113" t="str">
        <f aca="false">IF($B79="","",R79+SUM(X79:AA79))</f>
        <v/>
      </c>
      <c r="AC79" s="114" t="str">
        <f aca="false">IF($B79="","",MAX(0,IF(OR(الموظفون!$X79="",الموظفون!$X79&gt;$G$3),$G$3,الموظفون!$X79)-الموظفون!$H79+1)/cfg_DAYS_Y)</f>
        <v/>
      </c>
      <c r="AD79" s="114" t="str">
        <f aca="false">IF($B79="","",MAX(0,IF(OR(الموظفون!$X79="",الموظفون!$X79&gt;($E$3-1)),($E$3-1),الموظفون!$X79)-الموظفون!$H79+1)/cfg_DAYS_Y)</f>
        <v/>
      </c>
      <c r="AE79" s="115" t="str">
        <f aca="false">IF($B79="","",MAX(0,IF(OR(الموظفون!$X79="",الموظفون!$X79&gt;$G$3),$G$3,الموظفون!$X79)-MAX($E$3,الموظفون!$H79)+1))</f>
        <v/>
      </c>
    </row>
    <row r="80" customFormat="false" ht="15" hidden="false" customHeight="false" outlineLevel="0" collapsed="false">
      <c r="A80" s="83" t="str">
        <f aca="false">IF($B80="","",الموظفون!$A80)</f>
        <v/>
      </c>
      <c r="B80" s="74" t="str">
        <f aca="false">IF(الموظفون!$B80="","",الموظفون!$B80)</f>
        <v/>
      </c>
      <c r="C80" s="74" t="str">
        <f aca="false">IF($B80="","",الموظفون!$C80)</f>
        <v/>
      </c>
      <c r="D80" s="74" t="str">
        <f aca="false">IF($B80="","",الموظفون!$F80)</f>
        <v/>
      </c>
      <c r="E80" s="74" t="str">
        <f aca="false">IF($B80="","",الموظفون!$E80)</f>
        <v/>
      </c>
      <c r="F80" s="105" t="str">
        <f aca="false">IF($B80="","",IF(AE80&gt;=DAY($G$3),cfg_DAYS_M,MIN(AE80,cfg_DAYS_M)))</f>
        <v/>
      </c>
      <c r="G80" s="105" t="str">
        <f aca="false">IF($B80="","",SUMIFS('الحركات الشهرية'!$D$6:$D$1005,'الحركات الشهرية'!$B$6:$B$1005,$B80,'الحركات الشهرية'!$A$6:$A$1005,$C$3))</f>
        <v/>
      </c>
      <c r="H80" s="105" t="str">
        <f aca="false">IF($B80="","",SUMIFS('الحركات الشهرية'!$E$6:$E$1005,'الحركات الشهرية'!$B$6:$B$1005,$B80,'الحركات الشهرية'!$A$6:$A$1005,$C$3))</f>
        <v/>
      </c>
      <c r="I80" s="105" t="str">
        <f aca="false">IF($B80="","",MAX(0,F80-G80-H80))</f>
        <v/>
      </c>
      <c r="J80" s="86" t="str">
        <f aca="false">IF($B80="","",الموظفون!$J80*$I80/cfg_DAYS_M)</f>
        <v/>
      </c>
      <c r="K80" s="86" t="str">
        <f aca="false">IF($B80="","",الموظفون!$K80*$I80/cfg_DAYS_M)</f>
        <v/>
      </c>
      <c r="L80" s="86" t="str">
        <f aca="false">IF($B80="","",الموظفون!$L80*$I80/cfg_DAYS_M)</f>
        <v/>
      </c>
      <c r="M80" s="86" t="str">
        <f aca="false">IF($B80="","",الموظفون!$M80*$I80/cfg_DAYS_M)</f>
        <v/>
      </c>
      <c r="N80" s="105" t="str">
        <f aca="false">IF($B80="","",SUMIFS('الحركات الشهرية'!$F$6:$F$1005,'الحركات الشهرية'!$B$6:$B$1005,$B80,'الحركات الشهرية'!$A$6:$A$1005,$C$3))</f>
        <v/>
      </c>
      <c r="O80" s="86" t="str">
        <f aca="false">IF($B80="","",N80*(الموظفون!$N80+الموظفون!$J80*cfg_OT_P)/cfg_DAYS_M/cfg_HRS)</f>
        <v/>
      </c>
      <c r="P80" s="86" t="str">
        <f aca="false">IF($B80="","",SUMIFS('الحركات الشهرية'!$G$6:$G$1005,'الحركات الشهرية'!$B$6:$B$1005,$B80,'الحركات الشهرية'!$A$6:$A$1005,$C$3))</f>
        <v/>
      </c>
      <c r="Q80" s="86" t="str">
        <f aca="false">IF($B80="","",SUMIFS('الحركات الشهرية'!$H$6:$H$1005,'الحركات الشهرية'!$B$6:$B$1005,$B80,'الحركات الشهرية'!$A$6:$A$1005,$C$3))</f>
        <v/>
      </c>
      <c r="R80" s="106" t="str">
        <f aca="false">IF($B80="","",SUM(J80:M80)+SUM(O80:Q80))</f>
        <v/>
      </c>
      <c r="S80" s="86" t="str">
        <f aca="false">IF($B80="","",الموظفون!$Q80*IF(E80="سعودي",cfg_G_SE,cfg_G_NE)*F80/cfg_DAYS_M)</f>
        <v/>
      </c>
      <c r="T80" s="86" t="str">
        <f aca="false">IF($B80="","",SUMIFS('الحركات الشهرية'!$I$6:$I$1005,'الحركات الشهرية'!$B$6:$B$1005,$B80,'الحركات الشهرية'!$A$6:$A$1005,$C$3))</f>
        <v/>
      </c>
      <c r="U80" s="86" t="str">
        <f aca="false">IF($B80="","",SUMIFS('الحركات الشهرية'!$J$6:$J$1005,'الحركات الشهرية'!$B$6:$B$1005,$B80,'الحركات الشهرية'!$A$6:$A$1005,$C$3))</f>
        <v/>
      </c>
      <c r="V80" s="86" t="str">
        <f aca="false">IF($B80="","",SUM(S80:U80))</f>
        <v/>
      </c>
      <c r="W80" s="107" t="str">
        <f aca="false">IF($B80="","",R80-V80)</f>
        <v/>
      </c>
      <c r="X80" s="86" t="str">
        <f aca="false">IF($B80="","",الموظفون!$Q80*IF(E80="سعودي",cfg_G_SR,cfg_G_NR)*F80/cfg_DAYS_M)</f>
        <v/>
      </c>
      <c r="Y80" s="86" t="str">
        <f aca="false">IF($B80="","",الموظفون!$O80*(cfg_EOS_R1*(MIN(AC80,cfg_EOS_TH)-MIN(AD80,cfg_EOS_TH))+cfg_EOS_R2*(MAX(AC80-cfg_EOS_TH,0)-MAX(AD80-cfg_EOS_TH,0))))</f>
        <v/>
      </c>
      <c r="Z80" s="86" t="str">
        <f aca="false">IF($B80="","",IF(الموظفون!$R80&lt;&gt;"",الموظفون!$R80,IF(AC80&gt;=cfg_LV_TH,cfg_LV_D2,cfg_LV_D1))/cfg_DAYS_Y*AE80*الموظفون!$P80/cfg_DAYS_M)</f>
        <v/>
      </c>
      <c r="AA80" s="86" t="str">
        <f aca="false">IF($B80="","",IF(AND(الموظفون!$S80="نعم",N(الموظفون!$U80)&gt;0),الموظفون!$T80/الموظفون!$U80*12/cfg_DAYS_Y*AE80,0))</f>
        <v/>
      </c>
      <c r="AB80" s="108" t="str">
        <f aca="false">IF($B80="","",R80+SUM(X80:AA80))</f>
        <v/>
      </c>
      <c r="AC80" s="109" t="str">
        <f aca="false">IF($B80="","",MAX(0,IF(OR(الموظفون!$X80="",الموظفون!$X80&gt;$G$3),$G$3,الموظفون!$X80)-الموظفون!$H80+1)/cfg_DAYS_Y)</f>
        <v/>
      </c>
      <c r="AD80" s="109" t="str">
        <f aca="false">IF($B80="","",MAX(0,IF(OR(الموظفون!$X80="",الموظفون!$X80&gt;($E$3-1)),($E$3-1),الموظفون!$X80)-الموظفون!$H80+1)/cfg_DAYS_Y)</f>
        <v/>
      </c>
      <c r="AE80" s="51" t="str">
        <f aca="false">IF($B80="","",MAX(0,IF(OR(الموظفون!$X80="",الموظفون!$X80&gt;$G$3),$G$3,الموظفون!$X80)-MAX($E$3,الموظفون!$H80)+1))</f>
        <v/>
      </c>
    </row>
    <row r="81" customFormat="false" ht="15" hidden="false" customHeight="false" outlineLevel="0" collapsed="false">
      <c r="A81" s="89" t="str">
        <f aca="false">IF($B81="","",الموظفون!$A81)</f>
        <v/>
      </c>
      <c r="B81" s="91" t="str">
        <f aca="false">IF(الموظفون!$B81="","",الموظفون!$B81)</f>
        <v/>
      </c>
      <c r="C81" s="91" t="str">
        <f aca="false">IF($B81="","",الموظفون!$C81)</f>
        <v/>
      </c>
      <c r="D81" s="91" t="str">
        <f aca="false">IF($B81="","",الموظفون!$F81)</f>
        <v/>
      </c>
      <c r="E81" s="91" t="str">
        <f aca="false">IF($B81="","",الموظفون!$E81)</f>
        <v/>
      </c>
      <c r="F81" s="110" t="str">
        <f aca="false">IF($B81="","",IF(AE81&gt;=DAY($G$3),cfg_DAYS_M,MIN(AE81,cfg_DAYS_M)))</f>
        <v/>
      </c>
      <c r="G81" s="110" t="str">
        <f aca="false">IF($B81="","",SUMIFS('الحركات الشهرية'!$D$6:$D$1005,'الحركات الشهرية'!$B$6:$B$1005,$B81,'الحركات الشهرية'!$A$6:$A$1005,$C$3))</f>
        <v/>
      </c>
      <c r="H81" s="110" t="str">
        <f aca="false">IF($B81="","",SUMIFS('الحركات الشهرية'!$E$6:$E$1005,'الحركات الشهرية'!$B$6:$B$1005,$B81,'الحركات الشهرية'!$A$6:$A$1005,$C$3))</f>
        <v/>
      </c>
      <c r="I81" s="110" t="str">
        <f aca="false">IF($B81="","",MAX(0,F81-G81-H81))</f>
        <v/>
      </c>
      <c r="J81" s="90" t="str">
        <f aca="false">IF($B81="","",الموظفون!$J81*$I81/cfg_DAYS_M)</f>
        <v/>
      </c>
      <c r="K81" s="90" t="str">
        <f aca="false">IF($B81="","",الموظفون!$K81*$I81/cfg_DAYS_M)</f>
        <v/>
      </c>
      <c r="L81" s="90" t="str">
        <f aca="false">IF($B81="","",الموظفون!$L81*$I81/cfg_DAYS_M)</f>
        <v/>
      </c>
      <c r="M81" s="90" t="str">
        <f aca="false">IF($B81="","",الموظفون!$M81*$I81/cfg_DAYS_M)</f>
        <v/>
      </c>
      <c r="N81" s="110" t="str">
        <f aca="false">IF($B81="","",SUMIFS('الحركات الشهرية'!$F$6:$F$1005,'الحركات الشهرية'!$B$6:$B$1005,$B81,'الحركات الشهرية'!$A$6:$A$1005,$C$3))</f>
        <v/>
      </c>
      <c r="O81" s="90" t="str">
        <f aca="false">IF($B81="","",N81*(الموظفون!$N81+الموظفون!$J81*cfg_OT_P)/cfg_DAYS_M/cfg_HRS)</f>
        <v/>
      </c>
      <c r="P81" s="90" t="str">
        <f aca="false">IF($B81="","",SUMIFS('الحركات الشهرية'!$G$6:$G$1005,'الحركات الشهرية'!$B$6:$B$1005,$B81,'الحركات الشهرية'!$A$6:$A$1005,$C$3))</f>
        <v/>
      </c>
      <c r="Q81" s="90" t="str">
        <f aca="false">IF($B81="","",SUMIFS('الحركات الشهرية'!$H$6:$H$1005,'الحركات الشهرية'!$B$6:$B$1005,$B81,'الحركات الشهرية'!$A$6:$A$1005,$C$3))</f>
        <v/>
      </c>
      <c r="R81" s="111" t="str">
        <f aca="false">IF($B81="","",SUM(J81:M81)+SUM(O81:Q81))</f>
        <v/>
      </c>
      <c r="S81" s="90" t="str">
        <f aca="false">IF($B81="","",الموظفون!$Q81*IF(E81="سعودي",cfg_G_SE,cfg_G_NE)*F81/cfg_DAYS_M)</f>
        <v/>
      </c>
      <c r="T81" s="90" t="str">
        <f aca="false">IF($B81="","",SUMIFS('الحركات الشهرية'!$I$6:$I$1005,'الحركات الشهرية'!$B$6:$B$1005,$B81,'الحركات الشهرية'!$A$6:$A$1005,$C$3))</f>
        <v/>
      </c>
      <c r="U81" s="90" t="str">
        <f aca="false">IF($B81="","",SUMIFS('الحركات الشهرية'!$J$6:$J$1005,'الحركات الشهرية'!$B$6:$B$1005,$B81,'الحركات الشهرية'!$A$6:$A$1005,$C$3))</f>
        <v/>
      </c>
      <c r="V81" s="90" t="str">
        <f aca="false">IF($B81="","",SUM(S81:U81))</f>
        <v/>
      </c>
      <c r="W81" s="112" t="str">
        <f aca="false">IF($B81="","",R81-V81)</f>
        <v/>
      </c>
      <c r="X81" s="90" t="str">
        <f aca="false">IF($B81="","",الموظفون!$Q81*IF(E81="سعودي",cfg_G_SR,cfg_G_NR)*F81/cfg_DAYS_M)</f>
        <v/>
      </c>
      <c r="Y81" s="90" t="str">
        <f aca="false">IF($B81="","",الموظفون!$O81*(cfg_EOS_R1*(MIN(AC81,cfg_EOS_TH)-MIN(AD81,cfg_EOS_TH))+cfg_EOS_R2*(MAX(AC81-cfg_EOS_TH,0)-MAX(AD81-cfg_EOS_TH,0))))</f>
        <v/>
      </c>
      <c r="Z81" s="90" t="str">
        <f aca="false">IF($B81="","",IF(الموظفون!$R81&lt;&gt;"",الموظفون!$R81,IF(AC81&gt;=cfg_LV_TH,cfg_LV_D2,cfg_LV_D1))/cfg_DAYS_Y*AE81*الموظفون!$P81/cfg_DAYS_M)</f>
        <v/>
      </c>
      <c r="AA81" s="90" t="str">
        <f aca="false">IF($B81="","",IF(AND(الموظفون!$S81="نعم",N(الموظفون!$U81)&gt;0),الموظفون!$T81/الموظفون!$U81*12/cfg_DAYS_Y*AE81,0))</f>
        <v/>
      </c>
      <c r="AB81" s="113" t="str">
        <f aca="false">IF($B81="","",R81+SUM(X81:AA81))</f>
        <v/>
      </c>
      <c r="AC81" s="114" t="str">
        <f aca="false">IF($B81="","",MAX(0,IF(OR(الموظفون!$X81="",الموظفون!$X81&gt;$G$3),$G$3,الموظفون!$X81)-الموظفون!$H81+1)/cfg_DAYS_Y)</f>
        <v/>
      </c>
      <c r="AD81" s="114" t="str">
        <f aca="false">IF($B81="","",MAX(0,IF(OR(الموظفون!$X81="",الموظفون!$X81&gt;($E$3-1)),($E$3-1),الموظفون!$X81)-الموظفون!$H81+1)/cfg_DAYS_Y)</f>
        <v/>
      </c>
      <c r="AE81" s="115" t="str">
        <f aca="false">IF($B81="","",MAX(0,IF(OR(الموظفون!$X81="",الموظفون!$X81&gt;$G$3),$G$3,الموظفون!$X81)-MAX($E$3,الموظفون!$H81)+1))</f>
        <v/>
      </c>
    </row>
    <row r="82" customFormat="false" ht="15" hidden="false" customHeight="false" outlineLevel="0" collapsed="false">
      <c r="A82" s="83" t="str">
        <f aca="false">IF($B82="","",الموظفون!$A82)</f>
        <v/>
      </c>
      <c r="B82" s="74" t="str">
        <f aca="false">IF(الموظفون!$B82="","",الموظفون!$B82)</f>
        <v/>
      </c>
      <c r="C82" s="74" t="str">
        <f aca="false">IF($B82="","",الموظفون!$C82)</f>
        <v/>
      </c>
      <c r="D82" s="74" t="str">
        <f aca="false">IF($B82="","",الموظفون!$F82)</f>
        <v/>
      </c>
      <c r="E82" s="74" t="str">
        <f aca="false">IF($B82="","",الموظفون!$E82)</f>
        <v/>
      </c>
      <c r="F82" s="105" t="str">
        <f aca="false">IF($B82="","",IF(AE82&gt;=DAY($G$3),cfg_DAYS_M,MIN(AE82,cfg_DAYS_M)))</f>
        <v/>
      </c>
      <c r="G82" s="105" t="str">
        <f aca="false">IF($B82="","",SUMIFS('الحركات الشهرية'!$D$6:$D$1005,'الحركات الشهرية'!$B$6:$B$1005,$B82,'الحركات الشهرية'!$A$6:$A$1005,$C$3))</f>
        <v/>
      </c>
      <c r="H82" s="105" t="str">
        <f aca="false">IF($B82="","",SUMIFS('الحركات الشهرية'!$E$6:$E$1005,'الحركات الشهرية'!$B$6:$B$1005,$B82,'الحركات الشهرية'!$A$6:$A$1005,$C$3))</f>
        <v/>
      </c>
      <c r="I82" s="105" t="str">
        <f aca="false">IF($B82="","",MAX(0,F82-G82-H82))</f>
        <v/>
      </c>
      <c r="J82" s="86" t="str">
        <f aca="false">IF($B82="","",الموظفون!$J82*$I82/cfg_DAYS_M)</f>
        <v/>
      </c>
      <c r="K82" s="86" t="str">
        <f aca="false">IF($B82="","",الموظفون!$K82*$I82/cfg_DAYS_M)</f>
        <v/>
      </c>
      <c r="L82" s="86" t="str">
        <f aca="false">IF($B82="","",الموظفون!$L82*$I82/cfg_DAYS_M)</f>
        <v/>
      </c>
      <c r="M82" s="86" t="str">
        <f aca="false">IF($B82="","",الموظفون!$M82*$I82/cfg_DAYS_M)</f>
        <v/>
      </c>
      <c r="N82" s="105" t="str">
        <f aca="false">IF($B82="","",SUMIFS('الحركات الشهرية'!$F$6:$F$1005,'الحركات الشهرية'!$B$6:$B$1005,$B82,'الحركات الشهرية'!$A$6:$A$1005,$C$3))</f>
        <v/>
      </c>
      <c r="O82" s="86" t="str">
        <f aca="false">IF($B82="","",N82*(الموظفون!$N82+الموظفون!$J82*cfg_OT_P)/cfg_DAYS_M/cfg_HRS)</f>
        <v/>
      </c>
      <c r="P82" s="86" t="str">
        <f aca="false">IF($B82="","",SUMIFS('الحركات الشهرية'!$G$6:$G$1005,'الحركات الشهرية'!$B$6:$B$1005,$B82,'الحركات الشهرية'!$A$6:$A$1005,$C$3))</f>
        <v/>
      </c>
      <c r="Q82" s="86" t="str">
        <f aca="false">IF($B82="","",SUMIFS('الحركات الشهرية'!$H$6:$H$1005,'الحركات الشهرية'!$B$6:$B$1005,$B82,'الحركات الشهرية'!$A$6:$A$1005,$C$3))</f>
        <v/>
      </c>
      <c r="R82" s="106" t="str">
        <f aca="false">IF($B82="","",SUM(J82:M82)+SUM(O82:Q82))</f>
        <v/>
      </c>
      <c r="S82" s="86" t="str">
        <f aca="false">IF($B82="","",الموظفون!$Q82*IF(E82="سعودي",cfg_G_SE,cfg_G_NE)*F82/cfg_DAYS_M)</f>
        <v/>
      </c>
      <c r="T82" s="86" t="str">
        <f aca="false">IF($B82="","",SUMIFS('الحركات الشهرية'!$I$6:$I$1005,'الحركات الشهرية'!$B$6:$B$1005,$B82,'الحركات الشهرية'!$A$6:$A$1005,$C$3))</f>
        <v/>
      </c>
      <c r="U82" s="86" t="str">
        <f aca="false">IF($B82="","",SUMIFS('الحركات الشهرية'!$J$6:$J$1005,'الحركات الشهرية'!$B$6:$B$1005,$B82,'الحركات الشهرية'!$A$6:$A$1005,$C$3))</f>
        <v/>
      </c>
      <c r="V82" s="86" t="str">
        <f aca="false">IF($B82="","",SUM(S82:U82))</f>
        <v/>
      </c>
      <c r="W82" s="107" t="str">
        <f aca="false">IF($B82="","",R82-V82)</f>
        <v/>
      </c>
      <c r="X82" s="86" t="str">
        <f aca="false">IF($B82="","",الموظفون!$Q82*IF(E82="سعودي",cfg_G_SR,cfg_G_NR)*F82/cfg_DAYS_M)</f>
        <v/>
      </c>
      <c r="Y82" s="86" t="str">
        <f aca="false">IF($B82="","",الموظفون!$O82*(cfg_EOS_R1*(MIN(AC82,cfg_EOS_TH)-MIN(AD82,cfg_EOS_TH))+cfg_EOS_R2*(MAX(AC82-cfg_EOS_TH,0)-MAX(AD82-cfg_EOS_TH,0))))</f>
        <v/>
      </c>
      <c r="Z82" s="86" t="str">
        <f aca="false">IF($B82="","",IF(الموظفون!$R82&lt;&gt;"",الموظفون!$R82,IF(AC82&gt;=cfg_LV_TH,cfg_LV_D2,cfg_LV_D1))/cfg_DAYS_Y*AE82*الموظفون!$P82/cfg_DAYS_M)</f>
        <v/>
      </c>
      <c r="AA82" s="86" t="str">
        <f aca="false">IF($B82="","",IF(AND(الموظفون!$S82="نعم",N(الموظفون!$U82)&gt;0),الموظفون!$T82/الموظفون!$U82*12/cfg_DAYS_Y*AE82,0))</f>
        <v/>
      </c>
      <c r="AB82" s="108" t="str">
        <f aca="false">IF($B82="","",R82+SUM(X82:AA82))</f>
        <v/>
      </c>
      <c r="AC82" s="109" t="str">
        <f aca="false">IF($B82="","",MAX(0,IF(OR(الموظفون!$X82="",الموظفون!$X82&gt;$G$3),$G$3,الموظفون!$X82)-الموظفون!$H82+1)/cfg_DAYS_Y)</f>
        <v/>
      </c>
      <c r="AD82" s="109" t="str">
        <f aca="false">IF($B82="","",MAX(0,IF(OR(الموظفون!$X82="",الموظفون!$X82&gt;($E$3-1)),($E$3-1),الموظفون!$X82)-الموظفون!$H82+1)/cfg_DAYS_Y)</f>
        <v/>
      </c>
      <c r="AE82" s="51" t="str">
        <f aca="false">IF($B82="","",MAX(0,IF(OR(الموظفون!$X82="",الموظفون!$X82&gt;$G$3),$G$3,الموظفون!$X82)-MAX($E$3,الموظفون!$H82)+1))</f>
        <v/>
      </c>
    </row>
    <row r="83" customFormat="false" ht="15" hidden="false" customHeight="false" outlineLevel="0" collapsed="false">
      <c r="A83" s="89" t="str">
        <f aca="false">IF($B83="","",الموظفون!$A83)</f>
        <v/>
      </c>
      <c r="B83" s="91" t="str">
        <f aca="false">IF(الموظفون!$B83="","",الموظفون!$B83)</f>
        <v/>
      </c>
      <c r="C83" s="91" t="str">
        <f aca="false">IF($B83="","",الموظفون!$C83)</f>
        <v/>
      </c>
      <c r="D83" s="91" t="str">
        <f aca="false">IF($B83="","",الموظفون!$F83)</f>
        <v/>
      </c>
      <c r="E83" s="91" t="str">
        <f aca="false">IF($B83="","",الموظفون!$E83)</f>
        <v/>
      </c>
      <c r="F83" s="110" t="str">
        <f aca="false">IF($B83="","",IF(AE83&gt;=DAY($G$3),cfg_DAYS_M,MIN(AE83,cfg_DAYS_M)))</f>
        <v/>
      </c>
      <c r="G83" s="110" t="str">
        <f aca="false">IF($B83="","",SUMIFS('الحركات الشهرية'!$D$6:$D$1005,'الحركات الشهرية'!$B$6:$B$1005,$B83,'الحركات الشهرية'!$A$6:$A$1005,$C$3))</f>
        <v/>
      </c>
      <c r="H83" s="110" t="str">
        <f aca="false">IF($B83="","",SUMIFS('الحركات الشهرية'!$E$6:$E$1005,'الحركات الشهرية'!$B$6:$B$1005,$B83,'الحركات الشهرية'!$A$6:$A$1005,$C$3))</f>
        <v/>
      </c>
      <c r="I83" s="110" t="str">
        <f aca="false">IF($B83="","",MAX(0,F83-G83-H83))</f>
        <v/>
      </c>
      <c r="J83" s="90" t="str">
        <f aca="false">IF($B83="","",الموظفون!$J83*$I83/cfg_DAYS_M)</f>
        <v/>
      </c>
      <c r="K83" s="90" t="str">
        <f aca="false">IF($B83="","",الموظفون!$K83*$I83/cfg_DAYS_M)</f>
        <v/>
      </c>
      <c r="L83" s="90" t="str">
        <f aca="false">IF($B83="","",الموظفون!$L83*$I83/cfg_DAYS_M)</f>
        <v/>
      </c>
      <c r="M83" s="90" t="str">
        <f aca="false">IF($B83="","",الموظفون!$M83*$I83/cfg_DAYS_M)</f>
        <v/>
      </c>
      <c r="N83" s="110" t="str">
        <f aca="false">IF($B83="","",SUMIFS('الحركات الشهرية'!$F$6:$F$1005,'الحركات الشهرية'!$B$6:$B$1005,$B83,'الحركات الشهرية'!$A$6:$A$1005,$C$3))</f>
        <v/>
      </c>
      <c r="O83" s="90" t="str">
        <f aca="false">IF($B83="","",N83*(الموظفون!$N83+الموظفون!$J83*cfg_OT_P)/cfg_DAYS_M/cfg_HRS)</f>
        <v/>
      </c>
      <c r="P83" s="90" t="str">
        <f aca="false">IF($B83="","",SUMIFS('الحركات الشهرية'!$G$6:$G$1005,'الحركات الشهرية'!$B$6:$B$1005,$B83,'الحركات الشهرية'!$A$6:$A$1005,$C$3))</f>
        <v/>
      </c>
      <c r="Q83" s="90" t="str">
        <f aca="false">IF($B83="","",SUMIFS('الحركات الشهرية'!$H$6:$H$1005,'الحركات الشهرية'!$B$6:$B$1005,$B83,'الحركات الشهرية'!$A$6:$A$1005,$C$3))</f>
        <v/>
      </c>
      <c r="R83" s="111" t="str">
        <f aca="false">IF($B83="","",SUM(J83:M83)+SUM(O83:Q83))</f>
        <v/>
      </c>
      <c r="S83" s="90" t="str">
        <f aca="false">IF($B83="","",الموظفون!$Q83*IF(E83="سعودي",cfg_G_SE,cfg_G_NE)*F83/cfg_DAYS_M)</f>
        <v/>
      </c>
      <c r="T83" s="90" t="str">
        <f aca="false">IF($B83="","",SUMIFS('الحركات الشهرية'!$I$6:$I$1005,'الحركات الشهرية'!$B$6:$B$1005,$B83,'الحركات الشهرية'!$A$6:$A$1005,$C$3))</f>
        <v/>
      </c>
      <c r="U83" s="90" t="str">
        <f aca="false">IF($B83="","",SUMIFS('الحركات الشهرية'!$J$6:$J$1005,'الحركات الشهرية'!$B$6:$B$1005,$B83,'الحركات الشهرية'!$A$6:$A$1005,$C$3))</f>
        <v/>
      </c>
      <c r="V83" s="90" t="str">
        <f aca="false">IF($B83="","",SUM(S83:U83))</f>
        <v/>
      </c>
      <c r="W83" s="112" t="str">
        <f aca="false">IF($B83="","",R83-V83)</f>
        <v/>
      </c>
      <c r="X83" s="90" t="str">
        <f aca="false">IF($B83="","",الموظفون!$Q83*IF(E83="سعودي",cfg_G_SR,cfg_G_NR)*F83/cfg_DAYS_M)</f>
        <v/>
      </c>
      <c r="Y83" s="90" t="str">
        <f aca="false">IF($B83="","",الموظفون!$O83*(cfg_EOS_R1*(MIN(AC83,cfg_EOS_TH)-MIN(AD83,cfg_EOS_TH))+cfg_EOS_R2*(MAX(AC83-cfg_EOS_TH,0)-MAX(AD83-cfg_EOS_TH,0))))</f>
        <v/>
      </c>
      <c r="Z83" s="90" t="str">
        <f aca="false">IF($B83="","",IF(الموظفون!$R83&lt;&gt;"",الموظفون!$R83,IF(AC83&gt;=cfg_LV_TH,cfg_LV_D2,cfg_LV_D1))/cfg_DAYS_Y*AE83*الموظفون!$P83/cfg_DAYS_M)</f>
        <v/>
      </c>
      <c r="AA83" s="90" t="str">
        <f aca="false">IF($B83="","",IF(AND(الموظفون!$S83="نعم",N(الموظفون!$U83)&gt;0),الموظفون!$T83/الموظفون!$U83*12/cfg_DAYS_Y*AE83,0))</f>
        <v/>
      </c>
      <c r="AB83" s="113" t="str">
        <f aca="false">IF($B83="","",R83+SUM(X83:AA83))</f>
        <v/>
      </c>
      <c r="AC83" s="114" t="str">
        <f aca="false">IF($B83="","",MAX(0,IF(OR(الموظفون!$X83="",الموظفون!$X83&gt;$G$3),$G$3,الموظفون!$X83)-الموظفون!$H83+1)/cfg_DAYS_Y)</f>
        <v/>
      </c>
      <c r="AD83" s="114" t="str">
        <f aca="false">IF($B83="","",MAX(0,IF(OR(الموظفون!$X83="",الموظفون!$X83&gt;($E$3-1)),($E$3-1),الموظفون!$X83)-الموظفون!$H83+1)/cfg_DAYS_Y)</f>
        <v/>
      </c>
      <c r="AE83" s="115" t="str">
        <f aca="false">IF($B83="","",MAX(0,IF(OR(الموظفون!$X83="",الموظفون!$X83&gt;$G$3),$G$3,الموظفون!$X83)-MAX($E$3,الموظفون!$H83)+1))</f>
        <v/>
      </c>
    </row>
    <row r="84" customFormat="false" ht="15" hidden="false" customHeight="false" outlineLevel="0" collapsed="false">
      <c r="A84" s="83" t="str">
        <f aca="false">IF($B84="","",الموظفون!$A84)</f>
        <v/>
      </c>
      <c r="B84" s="74" t="str">
        <f aca="false">IF(الموظفون!$B84="","",الموظفون!$B84)</f>
        <v/>
      </c>
      <c r="C84" s="74" t="str">
        <f aca="false">IF($B84="","",الموظفون!$C84)</f>
        <v/>
      </c>
      <c r="D84" s="74" t="str">
        <f aca="false">IF($B84="","",الموظفون!$F84)</f>
        <v/>
      </c>
      <c r="E84" s="74" t="str">
        <f aca="false">IF($B84="","",الموظفون!$E84)</f>
        <v/>
      </c>
      <c r="F84" s="105" t="str">
        <f aca="false">IF($B84="","",IF(AE84&gt;=DAY($G$3),cfg_DAYS_M,MIN(AE84,cfg_DAYS_M)))</f>
        <v/>
      </c>
      <c r="G84" s="105" t="str">
        <f aca="false">IF($B84="","",SUMIFS('الحركات الشهرية'!$D$6:$D$1005,'الحركات الشهرية'!$B$6:$B$1005,$B84,'الحركات الشهرية'!$A$6:$A$1005,$C$3))</f>
        <v/>
      </c>
      <c r="H84" s="105" t="str">
        <f aca="false">IF($B84="","",SUMIFS('الحركات الشهرية'!$E$6:$E$1005,'الحركات الشهرية'!$B$6:$B$1005,$B84,'الحركات الشهرية'!$A$6:$A$1005,$C$3))</f>
        <v/>
      </c>
      <c r="I84" s="105" t="str">
        <f aca="false">IF($B84="","",MAX(0,F84-G84-H84))</f>
        <v/>
      </c>
      <c r="J84" s="86" t="str">
        <f aca="false">IF($B84="","",الموظفون!$J84*$I84/cfg_DAYS_M)</f>
        <v/>
      </c>
      <c r="K84" s="86" t="str">
        <f aca="false">IF($B84="","",الموظفون!$K84*$I84/cfg_DAYS_M)</f>
        <v/>
      </c>
      <c r="L84" s="86" t="str">
        <f aca="false">IF($B84="","",الموظفون!$L84*$I84/cfg_DAYS_M)</f>
        <v/>
      </c>
      <c r="M84" s="86" t="str">
        <f aca="false">IF($B84="","",الموظفون!$M84*$I84/cfg_DAYS_M)</f>
        <v/>
      </c>
      <c r="N84" s="105" t="str">
        <f aca="false">IF($B84="","",SUMIFS('الحركات الشهرية'!$F$6:$F$1005,'الحركات الشهرية'!$B$6:$B$1005,$B84,'الحركات الشهرية'!$A$6:$A$1005,$C$3))</f>
        <v/>
      </c>
      <c r="O84" s="86" t="str">
        <f aca="false">IF($B84="","",N84*(الموظفون!$N84+الموظفون!$J84*cfg_OT_P)/cfg_DAYS_M/cfg_HRS)</f>
        <v/>
      </c>
      <c r="P84" s="86" t="str">
        <f aca="false">IF($B84="","",SUMIFS('الحركات الشهرية'!$G$6:$G$1005,'الحركات الشهرية'!$B$6:$B$1005,$B84,'الحركات الشهرية'!$A$6:$A$1005,$C$3))</f>
        <v/>
      </c>
      <c r="Q84" s="86" t="str">
        <f aca="false">IF($B84="","",SUMIFS('الحركات الشهرية'!$H$6:$H$1005,'الحركات الشهرية'!$B$6:$B$1005,$B84,'الحركات الشهرية'!$A$6:$A$1005,$C$3))</f>
        <v/>
      </c>
      <c r="R84" s="106" t="str">
        <f aca="false">IF($B84="","",SUM(J84:M84)+SUM(O84:Q84))</f>
        <v/>
      </c>
      <c r="S84" s="86" t="str">
        <f aca="false">IF($B84="","",الموظفون!$Q84*IF(E84="سعودي",cfg_G_SE,cfg_G_NE)*F84/cfg_DAYS_M)</f>
        <v/>
      </c>
      <c r="T84" s="86" t="str">
        <f aca="false">IF($B84="","",SUMIFS('الحركات الشهرية'!$I$6:$I$1005,'الحركات الشهرية'!$B$6:$B$1005,$B84,'الحركات الشهرية'!$A$6:$A$1005,$C$3))</f>
        <v/>
      </c>
      <c r="U84" s="86" t="str">
        <f aca="false">IF($B84="","",SUMIFS('الحركات الشهرية'!$J$6:$J$1005,'الحركات الشهرية'!$B$6:$B$1005,$B84,'الحركات الشهرية'!$A$6:$A$1005,$C$3))</f>
        <v/>
      </c>
      <c r="V84" s="86" t="str">
        <f aca="false">IF($B84="","",SUM(S84:U84))</f>
        <v/>
      </c>
      <c r="W84" s="107" t="str">
        <f aca="false">IF($B84="","",R84-V84)</f>
        <v/>
      </c>
      <c r="X84" s="86" t="str">
        <f aca="false">IF($B84="","",الموظفون!$Q84*IF(E84="سعودي",cfg_G_SR,cfg_G_NR)*F84/cfg_DAYS_M)</f>
        <v/>
      </c>
      <c r="Y84" s="86" t="str">
        <f aca="false">IF($B84="","",الموظفون!$O84*(cfg_EOS_R1*(MIN(AC84,cfg_EOS_TH)-MIN(AD84,cfg_EOS_TH))+cfg_EOS_R2*(MAX(AC84-cfg_EOS_TH,0)-MAX(AD84-cfg_EOS_TH,0))))</f>
        <v/>
      </c>
      <c r="Z84" s="86" t="str">
        <f aca="false">IF($B84="","",IF(الموظفون!$R84&lt;&gt;"",الموظفون!$R84,IF(AC84&gt;=cfg_LV_TH,cfg_LV_D2,cfg_LV_D1))/cfg_DAYS_Y*AE84*الموظفون!$P84/cfg_DAYS_M)</f>
        <v/>
      </c>
      <c r="AA84" s="86" t="str">
        <f aca="false">IF($B84="","",IF(AND(الموظفون!$S84="نعم",N(الموظفون!$U84)&gt;0),الموظفون!$T84/الموظفون!$U84*12/cfg_DAYS_Y*AE84,0))</f>
        <v/>
      </c>
      <c r="AB84" s="108" t="str">
        <f aca="false">IF($B84="","",R84+SUM(X84:AA84))</f>
        <v/>
      </c>
      <c r="AC84" s="109" t="str">
        <f aca="false">IF($B84="","",MAX(0,IF(OR(الموظفون!$X84="",الموظفون!$X84&gt;$G$3),$G$3,الموظفون!$X84)-الموظفون!$H84+1)/cfg_DAYS_Y)</f>
        <v/>
      </c>
      <c r="AD84" s="109" t="str">
        <f aca="false">IF($B84="","",MAX(0,IF(OR(الموظفون!$X84="",الموظفون!$X84&gt;($E$3-1)),($E$3-1),الموظفون!$X84)-الموظفون!$H84+1)/cfg_DAYS_Y)</f>
        <v/>
      </c>
      <c r="AE84" s="51" t="str">
        <f aca="false">IF($B84="","",MAX(0,IF(OR(الموظفون!$X84="",الموظفون!$X84&gt;$G$3),$G$3,الموظفون!$X84)-MAX($E$3,الموظفون!$H84)+1))</f>
        <v/>
      </c>
    </row>
    <row r="85" customFormat="false" ht="15" hidden="false" customHeight="false" outlineLevel="0" collapsed="false">
      <c r="A85" s="89" t="str">
        <f aca="false">IF($B85="","",الموظفون!$A85)</f>
        <v/>
      </c>
      <c r="B85" s="91" t="str">
        <f aca="false">IF(الموظفون!$B85="","",الموظفون!$B85)</f>
        <v/>
      </c>
      <c r="C85" s="91" t="str">
        <f aca="false">IF($B85="","",الموظفون!$C85)</f>
        <v/>
      </c>
      <c r="D85" s="91" t="str">
        <f aca="false">IF($B85="","",الموظفون!$F85)</f>
        <v/>
      </c>
      <c r="E85" s="91" t="str">
        <f aca="false">IF($B85="","",الموظفون!$E85)</f>
        <v/>
      </c>
      <c r="F85" s="110" t="str">
        <f aca="false">IF($B85="","",IF(AE85&gt;=DAY($G$3),cfg_DAYS_M,MIN(AE85,cfg_DAYS_M)))</f>
        <v/>
      </c>
      <c r="G85" s="110" t="str">
        <f aca="false">IF($B85="","",SUMIFS('الحركات الشهرية'!$D$6:$D$1005,'الحركات الشهرية'!$B$6:$B$1005,$B85,'الحركات الشهرية'!$A$6:$A$1005,$C$3))</f>
        <v/>
      </c>
      <c r="H85" s="110" t="str">
        <f aca="false">IF($B85="","",SUMIFS('الحركات الشهرية'!$E$6:$E$1005,'الحركات الشهرية'!$B$6:$B$1005,$B85,'الحركات الشهرية'!$A$6:$A$1005,$C$3))</f>
        <v/>
      </c>
      <c r="I85" s="110" t="str">
        <f aca="false">IF($B85="","",MAX(0,F85-G85-H85))</f>
        <v/>
      </c>
      <c r="J85" s="90" t="str">
        <f aca="false">IF($B85="","",الموظفون!$J85*$I85/cfg_DAYS_M)</f>
        <v/>
      </c>
      <c r="K85" s="90" t="str">
        <f aca="false">IF($B85="","",الموظفون!$K85*$I85/cfg_DAYS_M)</f>
        <v/>
      </c>
      <c r="L85" s="90" t="str">
        <f aca="false">IF($B85="","",الموظفون!$L85*$I85/cfg_DAYS_M)</f>
        <v/>
      </c>
      <c r="M85" s="90" t="str">
        <f aca="false">IF($B85="","",الموظفون!$M85*$I85/cfg_DAYS_M)</f>
        <v/>
      </c>
      <c r="N85" s="110" t="str">
        <f aca="false">IF($B85="","",SUMIFS('الحركات الشهرية'!$F$6:$F$1005,'الحركات الشهرية'!$B$6:$B$1005,$B85,'الحركات الشهرية'!$A$6:$A$1005,$C$3))</f>
        <v/>
      </c>
      <c r="O85" s="90" t="str">
        <f aca="false">IF($B85="","",N85*(الموظفون!$N85+الموظفون!$J85*cfg_OT_P)/cfg_DAYS_M/cfg_HRS)</f>
        <v/>
      </c>
      <c r="P85" s="90" t="str">
        <f aca="false">IF($B85="","",SUMIFS('الحركات الشهرية'!$G$6:$G$1005,'الحركات الشهرية'!$B$6:$B$1005,$B85,'الحركات الشهرية'!$A$6:$A$1005,$C$3))</f>
        <v/>
      </c>
      <c r="Q85" s="90" t="str">
        <f aca="false">IF($B85="","",SUMIFS('الحركات الشهرية'!$H$6:$H$1005,'الحركات الشهرية'!$B$6:$B$1005,$B85,'الحركات الشهرية'!$A$6:$A$1005,$C$3))</f>
        <v/>
      </c>
      <c r="R85" s="111" t="str">
        <f aca="false">IF($B85="","",SUM(J85:M85)+SUM(O85:Q85))</f>
        <v/>
      </c>
      <c r="S85" s="90" t="str">
        <f aca="false">IF($B85="","",الموظفون!$Q85*IF(E85="سعودي",cfg_G_SE,cfg_G_NE)*F85/cfg_DAYS_M)</f>
        <v/>
      </c>
      <c r="T85" s="90" t="str">
        <f aca="false">IF($B85="","",SUMIFS('الحركات الشهرية'!$I$6:$I$1005,'الحركات الشهرية'!$B$6:$B$1005,$B85,'الحركات الشهرية'!$A$6:$A$1005,$C$3))</f>
        <v/>
      </c>
      <c r="U85" s="90" t="str">
        <f aca="false">IF($B85="","",SUMIFS('الحركات الشهرية'!$J$6:$J$1005,'الحركات الشهرية'!$B$6:$B$1005,$B85,'الحركات الشهرية'!$A$6:$A$1005,$C$3))</f>
        <v/>
      </c>
      <c r="V85" s="90" t="str">
        <f aca="false">IF($B85="","",SUM(S85:U85))</f>
        <v/>
      </c>
      <c r="W85" s="112" t="str">
        <f aca="false">IF($B85="","",R85-V85)</f>
        <v/>
      </c>
      <c r="X85" s="90" t="str">
        <f aca="false">IF($B85="","",الموظفون!$Q85*IF(E85="سعودي",cfg_G_SR,cfg_G_NR)*F85/cfg_DAYS_M)</f>
        <v/>
      </c>
      <c r="Y85" s="90" t="str">
        <f aca="false">IF($B85="","",الموظفون!$O85*(cfg_EOS_R1*(MIN(AC85,cfg_EOS_TH)-MIN(AD85,cfg_EOS_TH))+cfg_EOS_R2*(MAX(AC85-cfg_EOS_TH,0)-MAX(AD85-cfg_EOS_TH,0))))</f>
        <v/>
      </c>
      <c r="Z85" s="90" t="str">
        <f aca="false">IF($B85="","",IF(الموظفون!$R85&lt;&gt;"",الموظفون!$R85,IF(AC85&gt;=cfg_LV_TH,cfg_LV_D2,cfg_LV_D1))/cfg_DAYS_Y*AE85*الموظفون!$P85/cfg_DAYS_M)</f>
        <v/>
      </c>
      <c r="AA85" s="90" t="str">
        <f aca="false">IF($B85="","",IF(AND(الموظفون!$S85="نعم",N(الموظفون!$U85)&gt;0),الموظفون!$T85/الموظفون!$U85*12/cfg_DAYS_Y*AE85,0))</f>
        <v/>
      </c>
      <c r="AB85" s="113" t="str">
        <f aca="false">IF($B85="","",R85+SUM(X85:AA85))</f>
        <v/>
      </c>
      <c r="AC85" s="114" t="str">
        <f aca="false">IF($B85="","",MAX(0,IF(OR(الموظفون!$X85="",الموظفون!$X85&gt;$G$3),$G$3,الموظفون!$X85)-الموظفون!$H85+1)/cfg_DAYS_Y)</f>
        <v/>
      </c>
      <c r="AD85" s="114" t="str">
        <f aca="false">IF($B85="","",MAX(0,IF(OR(الموظفون!$X85="",الموظفون!$X85&gt;($E$3-1)),($E$3-1),الموظفون!$X85)-الموظفون!$H85+1)/cfg_DAYS_Y)</f>
        <v/>
      </c>
      <c r="AE85" s="115" t="str">
        <f aca="false">IF($B85="","",MAX(0,IF(OR(الموظفون!$X85="",الموظفون!$X85&gt;$G$3),$G$3,الموظفون!$X85)-MAX($E$3,الموظفون!$H85)+1))</f>
        <v/>
      </c>
    </row>
    <row r="86" customFormat="false" ht="15" hidden="false" customHeight="false" outlineLevel="0" collapsed="false">
      <c r="A86" s="83" t="str">
        <f aca="false">IF($B86="","",الموظفون!$A86)</f>
        <v/>
      </c>
      <c r="B86" s="74" t="str">
        <f aca="false">IF(الموظفون!$B86="","",الموظفون!$B86)</f>
        <v/>
      </c>
      <c r="C86" s="74" t="str">
        <f aca="false">IF($B86="","",الموظفون!$C86)</f>
        <v/>
      </c>
      <c r="D86" s="74" t="str">
        <f aca="false">IF($B86="","",الموظفون!$F86)</f>
        <v/>
      </c>
      <c r="E86" s="74" t="str">
        <f aca="false">IF($B86="","",الموظفون!$E86)</f>
        <v/>
      </c>
      <c r="F86" s="105" t="str">
        <f aca="false">IF($B86="","",IF(AE86&gt;=DAY($G$3),cfg_DAYS_M,MIN(AE86,cfg_DAYS_M)))</f>
        <v/>
      </c>
      <c r="G86" s="105" t="str">
        <f aca="false">IF($B86="","",SUMIFS('الحركات الشهرية'!$D$6:$D$1005,'الحركات الشهرية'!$B$6:$B$1005,$B86,'الحركات الشهرية'!$A$6:$A$1005,$C$3))</f>
        <v/>
      </c>
      <c r="H86" s="105" t="str">
        <f aca="false">IF($B86="","",SUMIFS('الحركات الشهرية'!$E$6:$E$1005,'الحركات الشهرية'!$B$6:$B$1005,$B86,'الحركات الشهرية'!$A$6:$A$1005,$C$3))</f>
        <v/>
      </c>
      <c r="I86" s="105" t="str">
        <f aca="false">IF($B86="","",MAX(0,F86-G86-H86))</f>
        <v/>
      </c>
      <c r="J86" s="86" t="str">
        <f aca="false">IF($B86="","",الموظفون!$J86*$I86/cfg_DAYS_M)</f>
        <v/>
      </c>
      <c r="K86" s="86" t="str">
        <f aca="false">IF($B86="","",الموظفون!$K86*$I86/cfg_DAYS_M)</f>
        <v/>
      </c>
      <c r="L86" s="86" t="str">
        <f aca="false">IF($B86="","",الموظفون!$L86*$I86/cfg_DAYS_M)</f>
        <v/>
      </c>
      <c r="M86" s="86" t="str">
        <f aca="false">IF($B86="","",الموظفون!$M86*$I86/cfg_DAYS_M)</f>
        <v/>
      </c>
      <c r="N86" s="105" t="str">
        <f aca="false">IF($B86="","",SUMIFS('الحركات الشهرية'!$F$6:$F$1005,'الحركات الشهرية'!$B$6:$B$1005,$B86,'الحركات الشهرية'!$A$6:$A$1005,$C$3))</f>
        <v/>
      </c>
      <c r="O86" s="86" t="str">
        <f aca="false">IF($B86="","",N86*(الموظفون!$N86+الموظفون!$J86*cfg_OT_P)/cfg_DAYS_M/cfg_HRS)</f>
        <v/>
      </c>
      <c r="P86" s="86" t="str">
        <f aca="false">IF($B86="","",SUMIFS('الحركات الشهرية'!$G$6:$G$1005,'الحركات الشهرية'!$B$6:$B$1005,$B86,'الحركات الشهرية'!$A$6:$A$1005,$C$3))</f>
        <v/>
      </c>
      <c r="Q86" s="86" t="str">
        <f aca="false">IF($B86="","",SUMIFS('الحركات الشهرية'!$H$6:$H$1005,'الحركات الشهرية'!$B$6:$B$1005,$B86,'الحركات الشهرية'!$A$6:$A$1005,$C$3))</f>
        <v/>
      </c>
      <c r="R86" s="106" t="str">
        <f aca="false">IF($B86="","",SUM(J86:M86)+SUM(O86:Q86))</f>
        <v/>
      </c>
      <c r="S86" s="86" t="str">
        <f aca="false">IF($B86="","",الموظفون!$Q86*IF(E86="سعودي",cfg_G_SE,cfg_G_NE)*F86/cfg_DAYS_M)</f>
        <v/>
      </c>
      <c r="T86" s="86" t="str">
        <f aca="false">IF($B86="","",SUMIFS('الحركات الشهرية'!$I$6:$I$1005,'الحركات الشهرية'!$B$6:$B$1005,$B86,'الحركات الشهرية'!$A$6:$A$1005,$C$3))</f>
        <v/>
      </c>
      <c r="U86" s="86" t="str">
        <f aca="false">IF($B86="","",SUMIFS('الحركات الشهرية'!$J$6:$J$1005,'الحركات الشهرية'!$B$6:$B$1005,$B86,'الحركات الشهرية'!$A$6:$A$1005,$C$3))</f>
        <v/>
      </c>
      <c r="V86" s="86" t="str">
        <f aca="false">IF($B86="","",SUM(S86:U86))</f>
        <v/>
      </c>
      <c r="W86" s="107" t="str">
        <f aca="false">IF($B86="","",R86-V86)</f>
        <v/>
      </c>
      <c r="X86" s="86" t="str">
        <f aca="false">IF($B86="","",الموظفون!$Q86*IF(E86="سعودي",cfg_G_SR,cfg_G_NR)*F86/cfg_DAYS_M)</f>
        <v/>
      </c>
      <c r="Y86" s="86" t="str">
        <f aca="false">IF($B86="","",الموظفون!$O86*(cfg_EOS_R1*(MIN(AC86,cfg_EOS_TH)-MIN(AD86,cfg_EOS_TH))+cfg_EOS_R2*(MAX(AC86-cfg_EOS_TH,0)-MAX(AD86-cfg_EOS_TH,0))))</f>
        <v/>
      </c>
      <c r="Z86" s="86" t="str">
        <f aca="false">IF($B86="","",IF(الموظفون!$R86&lt;&gt;"",الموظفون!$R86,IF(AC86&gt;=cfg_LV_TH,cfg_LV_D2,cfg_LV_D1))/cfg_DAYS_Y*AE86*الموظفون!$P86/cfg_DAYS_M)</f>
        <v/>
      </c>
      <c r="AA86" s="86" t="str">
        <f aca="false">IF($B86="","",IF(AND(الموظفون!$S86="نعم",N(الموظفون!$U86)&gt;0),الموظفون!$T86/الموظفون!$U86*12/cfg_DAYS_Y*AE86,0))</f>
        <v/>
      </c>
      <c r="AB86" s="108" t="str">
        <f aca="false">IF($B86="","",R86+SUM(X86:AA86))</f>
        <v/>
      </c>
      <c r="AC86" s="109" t="str">
        <f aca="false">IF($B86="","",MAX(0,IF(OR(الموظفون!$X86="",الموظفون!$X86&gt;$G$3),$G$3,الموظفون!$X86)-الموظفون!$H86+1)/cfg_DAYS_Y)</f>
        <v/>
      </c>
      <c r="AD86" s="109" t="str">
        <f aca="false">IF($B86="","",MAX(0,IF(OR(الموظفون!$X86="",الموظفون!$X86&gt;($E$3-1)),($E$3-1),الموظفون!$X86)-الموظفون!$H86+1)/cfg_DAYS_Y)</f>
        <v/>
      </c>
      <c r="AE86" s="51" t="str">
        <f aca="false">IF($B86="","",MAX(0,IF(OR(الموظفون!$X86="",الموظفون!$X86&gt;$G$3),$G$3,الموظفون!$X86)-MAX($E$3,الموظفون!$H86)+1))</f>
        <v/>
      </c>
    </row>
    <row r="87" customFormat="false" ht="15" hidden="false" customHeight="false" outlineLevel="0" collapsed="false">
      <c r="A87" s="89" t="str">
        <f aca="false">IF($B87="","",الموظفون!$A87)</f>
        <v/>
      </c>
      <c r="B87" s="91" t="str">
        <f aca="false">IF(الموظفون!$B87="","",الموظفون!$B87)</f>
        <v/>
      </c>
      <c r="C87" s="91" t="str">
        <f aca="false">IF($B87="","",الموظفون!$C87)</f>
        <v/>
      </c>
      <c r="D87" s="91" t="str">
        <f aca="false">IF($B87="","",الموظفون!$F87)</f>
        <v/>
      </c>
      <c r="E87" s="91" t="str">
        <f aca="false">IF($B87="","",الموظفون!$E87)</f>
        <v/>
      </c>
      <c r="F87" s="110" t="str">
        <f aca="false">IF($B87="","",IF(AE87&gt;=DAY($G$3),cfg_DAYS_M,MIN(AE87,cfg_DAYS_M)))</f>
        <v/>
      </c>
      <c r="G87" s="110" t="str">
        <f aca="false">IF($B87="","",SUMIFS('الحركات الشهرية'!$D$6:$D$1005,'الحركات الشهرية'!$B$6:$B$1005,$B87,'الحركات الشهرية'!$A$6:$A$1005,$C$3))</f>
        <v/>
      </c>
      <c r="H87" s="110" t="str">
        <f aca="false">IF($B87="","",SUMIFS('الحركات الشهرية'!$E$6:$E$1005,'الحركات الشهرية'!$B$6:$B$1005,$B87,'الحركات الشهرية'!$A$6:$A$1005,$C$3))</f>
        <v/>
      </c>
      <c r="I87" s="110" t="str">
        <f aca="false">IF($B87="","",MAX(0,F87-G87-H87))</f>
        <v/>
      </c>
      <c r="J87" s="90" t="str">
        <f aca="false">IF($B87="","",الموظفون!$J87*$I87/cfg_DAYS_M)</f>
        <v/>
      </c>
      <c r="K87" s="90" t="str">
        <f aca="false">IF($B87="","",الموظفون!$K87*$I87/cfg_DAYS_M)</f>
        <v/>
      </c>
      <c r="L87" s="90" t="str">
        <f aca="false">IF($B87="","",الموظفون!$L87*$I87/cfg_DAYS_M)</f>
        <v/>
      </c>
      <c r="M87" s="90" t="str">
        <f aca="false">IF($B87="","",الموظفون!$M87*$I87/cfg_DAYS_M)</f>
        <v/>
      </c>
      <c r="N87" s="110" t="str">
        <f aca="false">IF($B87="","",SUMIFS('الحركات الشهرية'!$F$6:$F$1005,'الحركات الشهرية'!$B$6:$B$1005,$B87,'الحركات الشهرية'!$A$6:$A$1005,$C$3))</f>
        <v/>
      </c>
      <c r="O87" s="90" t="str">
        <f aca="false">IF($B87="","",N87*(الموظفون!$N87+الموظفون!$J87*cfg_OT_P)/cfg_DAYS_M/cfg_HRS)</f>
        <v/>
      </c>
      <c r="P87" s="90" t="str">
        <f aca="false">IF($B87="","",SUMIFS('الحركات الشهرية'!$G$6:$G$1005,'الحركات الشهرية'!$B$6:$B$1005,$B87,'الحركات الشهرية'!$A$6:$A$1005,$C$3))</f>
        <v/>
      </c>
      <c r="Q87" s="90" t="str">
        <f aca="false">IF($B87="","",SUMIFS('الحركات الشهرية'!$H$6:$H$1005,'الحركات الشهرية'!$B$6:$B$1005,$B87,'الحركات الشهرية'!$A$6:$A$1005,$C$3))</f>
        <v/>
      </c>
      <c r="R87" s="111" t="str">
        <f aca="false">IF($B87="","",SUM(J87:M87)+SUM(O87:Q87))</f>
        <v/>
      </c>
      <c r="S87" s="90" t="str">
        <f aca="false">IF($B87="","",الموظفون!$Q87*IF(E87="سعودي",cfg_G_SE,cfg_G_NE)*F87/cfg_DAYS_M)</f>
        <v/>
      </c>
      <c r="T87" s="90" t="str">
        <f aca="false">IF($B87="","",SUMIFS('الحركات الشهرية'!$I$6:$I$1005,'الحركات الشهرية'!$B$6:$B$1005,$B87,'الحركات الشهرية'!$A$6:$A$1005,$C$3))</f>
        <v/>
      </c>
      <c r="U87" s="90" t="str">
        <f aca="false">IF($B87="","",SUMIFS('الحركات الشهرية'!$J$6:$J$1005,'الحركات الشهرية'!$B$6:$B$1005,$B87,'الحركات الشهرية'!$A$6:$A$1005,$C$3))</f>
        <v/>
      </c>
      <c r="V87" s="90" t="str">
        <f aca="false">IF($B87="","",SUM(S87:U87))</f>
        <v/>
      </c>
      <c r="W87" s="112" t="str">
        <f aca="false">IF($B87="","",R87-V87)</f>
        <v/>
      </c>
      <c r="X87" s="90" t="str">
        <f aca="false">IF($B87="","",الموظفون!$Q87*IF(E87="سعودي",cfg_G_SR,cfg_G_NR)*F87/cfg_DAYS_M)</f>
        <v/>
      </c>
      <c r="Y87" s="90" t="str">
        <f aca="false">IF($B87="","",الموظفون!$O87*(cfg_EOS_R1*(MIN(AC87,cfg_EOS_TH)-MIN(AD87,cfg_EOS_TH))+cfg_EOS_R2*(MAX(AC87-cfg_EOS_TH,0)-MAX(AD87-cfg_EOS_TH,0))))</f>
        <v/>
      </c>
      <c r="Z87" s="90" t="str">
        <f aca="false">IF($B87="","",IF(الموظفون!$R87&lt;&gt;"",الموظفون!$R87,IF(AC87&gt;=cfg_LV_TH,cfg_LV_D2,cfg_LV_D1))/cfg_DAYS_Y*AE87*الموظفون!$P87/cfg_DAYS_M)</f>
        <v/>
      </c>
      <c r="AA87" s="90" t="str">
        <f aca="false">IF($B87="","",IF(AND(الموظفون!$S87="نعم",N(الموظفون!$U87)&gt;0),الموظفون!$T87/الموظفون!$U87*12/cfg_DAYS_Y*AE87,0))</f>
        <v/>
      </c>
      <c r="AB87" s="113" t="str">
        <f aca="false">IF($B87="","",R87+SUM(X87:AA87))</f>
        <v/>
      </c>
      <c r="AC87" s="114" t="str">
        <f aca="false">IF($B87="","",MAX(0,IF(OR(الموظفون!$X87="",الموظفون!$X87&gt;$G$3),$G$3,الموظفون!$X87)-الموظفون!$H87+1)/cfg_DAYS_Y)</f>
        <v/>
      </c>
      <c r="AD87" s="114" t="str">
        <f aca="false">IF($B87="","",MAX(0,IF(OR(الموظفون!$X87="",الموظفون!$X87&gt;($E$3-1)),($E$3-1),الموظفون!$X87)-الموظفون!$H87+1)/cfg_DAYS_Y)</f>
        <v/>
      </c>
      <c r="AE87" s="115" t="str">
        <f aca="false">IF($B87="","",MAX(0,IF(OR(الموظفون!$X87="",الموظفون!$X87&gt;$G$3),$G$3,الموظفون!$X87)-MAX($E$3,الموظفون!$H87)+1))</f>
        <v/>
      </c>
    </row>
    <row r="88" customFormat="false" ht="15" hidden="false" customHeight="false" outlineLevel="0" collapsed="false">
      <c r="A88" s="83" t="str">
        <f aca="false">IF($B88="","",الموظفون!$A88)</f>
        <v/>
      </c>
      <c r="B88" s="74" t="str">
        <f aca="false">IF(الموظفون!$B88="","",الموظفون!$B88)</f>
        <v/>
      </c>
      <c r="C88" s="74" t="str">
        <f aca="false">IF($B88="","",الموظفون!$C88)</f>
        <v/>
      </c>
      <c r="D88" s="74" t="str">
        <f aca="false">IF($B88="","",الموظفون!$F88)</f>
        <v/>
      </c>
      <c r="E88" s="74" t="str">
        <f aca="false">IF($B88="","",الموظفون!$E88)</f>
        <v/>
      </c>
      <c r="F88" s="105" t="str">
        <f aca="false">IF($B88="","",IF(AE88&gt;=DAY($G$3),cfg_DAYS_M,MIN(AE88,cfg_DAYS_M)))</f>
        <v/>
      </c>
      <c r="G88" s="105" t="str">
        <f aca="false">IF($B88="","",SUMIFS('الحركات الشهرية'!$D$6:$D$1005,'الحركات الشهرية'!$B$6:$B$1005,$B88,'الحركات الشهرية'!$A$6:$A$1005,$C$3))</f>
        <v/>
      </c>
      <c r="H88" s="105" t="str">
        <f aca="false">IF($B88="","",SUMIFS('الحركات الشهرية'!$E$6:$E$1005,'الحركات الشهرية'!$B$6:$B$1005,$B88,'الحركات الشهرية'!$A$6:$A$1005,$C$3))</f>
        <v/>
      </c>
      <c r="I88" s="105" t="str">
        <f aca="false">IF($B88="","",MAX(0,F88-G88-H88))</f>
        <v/>
      </c>
      <c r="J88" s="86" t="str">
        <f aca="false">IF($B88="","",الموظفون!$J88*$I88/cfg_DAYS_M)</f>
        <v/>
      </c>
      <c r="K88" s="86" t="str">
        <f aca="false">IF($B88="","",الموظفون!$K88*$I88/cfg_DAYS_M)</f>
        <v/>
      </c>
      <c r="L88" s="86" t="str">
        <f aca="false">IF($B88="","",الموظفون!$L88*$I88/cfg_DAYS_M)</f>
        <v/>
      </c>
      <c r="M88" s="86" t="str">
        <f aca="false">IF($B88="","",الموظفون!$M88*$I88/cfg_DAYS_M)</f>
        <v/>
      </c>
      <c r="N88" s="105" t="str">
        <f aca="false">IF($B88="","",SUMIFS('الحركات الشهرية'!$F$6:$F$1005,'الحركات الشهرية'!$B$6:$B$1005,$B88,'الحركات الشهرية'!$A$6:$A$1005,$C$3))</f>
        <v/>
      </c>
      <c r="O88" s="86" t="str">
        <f aca="false">IF($B88="","",N88*(الموظفون!$N88+الموظفون!$J88*cfg_OT_P)/cfg_DAYS_M/cfg_HRS)</f>
        <v/>
      </c>
      <c r="P88" s="86" t="str">
        <f aca="false">IF($B88="","",SUMIFS('الحركات الشهرية'!$G$6:$G$1005,'الحركات الشهرية'!$B$6:$B$1005,$B88,'الحركات الشهرية'!$A$6:$A$1005,$C$3))</f>
        <v/>
      </c>
      <c r="Q88" s="86" t="str">
        <f aca="false">IF($B88="","",SUMIFS('الحركات الشهرية'!$H$6:$H$1005,'الحركات الشهرية'!$B$6:$B$1005,$B88,'الحركات الشهرية'!$A$6:$A$1005,$C$3))</f>
        <v/>
      </c>
      <c r="R88" s="106" t="str">
        <f aca="false">IF($B88="","",SUM(J88:M88)+SUM(O88:Q88))</f>
        <v/>
      </c>
      <c r="S88" s="86" t="str">
        <f aca="false">IF($B88="","",الموظفون!$Q88*IF(E88="سعودي",cfg_G_SE,cfg_G_NE)*F88/cfg_DAYS_M)</f>
        <v/>
      </c>
      <c r="T88" s="86" t="str">
        <f aca="false">IF($B88="","",SUMIFS('الحركات الشهرية'!$I$6:$I$1005,'الحركات الشهرية'!$B$6:$B$1005,$B88,'الحركات الشهرية'!$A$6:$A$1005,$C$3))</f>
        <v/>
      </c>
      <c r="U88" s="86" t="str">
        <f aca="false">IF($B88="","",SUMIFS('الحركات الشهرية'!$J$6:$J$1005,'الحركات الشهرية'!$B$6:$B$1005,$B88,'الحركات الشهرية'!$A$6:$A$1005,$C$3))</f>
        <v/>
      </c>
      <c r="V88" s="86" t="str">
        <f aca="false">IF($B88="","",SUM(S88:U88))</f>
        <v/>
      </c>
      <c r="W88" s="107" t="str">
        <f aca="false">IF($B88="","",R88-V88)</f>
        <v/>
      </c>
      <c r="X88" s="86" t="str">
        <f aca="false">IF($B88="","",الموظفون!$Q88*IF(E88="سعودي",cfg_G_SR,cfg_G_NR)*F88/cfg_DAYS_M)</f>
        <v/>
      </c>
      <c r="Y88" s="86" t="str">
        <f aca="false">IF($B88="","",الموظفون!$O88*(cfg_EOS_R1*(MIN(AC88,cfg_EOS_TH)-MIN(AD88,cfg_EOS_TH))+cfg_EOS_R2*(MAX(AC88-cfg_EOS_TH,0)-MAX(AD88-cfg_EOS_TH,0))))</f>
        <v/>
      </c>
      <c r="Z88" s="86" t="str">
        <f aca="false">IF($B88="","",IF(الموظفون!$R88&lt;&gt;"",الموظفون!$R88,IF(AC88&gt;=cfg_LV_TH,cfg_LV_D2,cfg_LV_D1))/cfg_DAYS_Y*AE88*الموظفون!$P88/cfg_DAYS_M)</f>
        <v/>
      </c>
      <c r="AA88" s="86" t="str">
        <f aca="false">IF($B88="","",IF(AND(الموظفون!$S88="نعم",N(الموظفون!$U88)&gt;0),الموظفون!$T88/الموظفون!$U88*12/cfg_DAYS_Y*AE88,0))</f>
        <v/>
      </c>
      <c r="AB88" s="108" t="str">
        <f aca="false">IF($B88="","",R88+SUM(X88:AA88))</f>
        <v/>
      </c>
      <c r="AC88" s="109" t="str">
        <f aca="false">IF($B88="","",MAX(0,IF(OR(الموظفون!$X88="",الموظفون!$X88&gt;$G$3),$G$3,الموظفون!$X88)-الموظفون!$H88+1)/cfg_DAYS_Y)</f>
        <v/>
      </c>
      <c r="AD88" s="109" t="str">
        <f aca="false">IF($B88="","",MAX(0,IF(OR(الموظفون!$X88="",الموظفون!$X88&gt;($E$3-1)),($E$3-1),الموظفون!$X88)-الموظفون!$H88+1)/cfg_DAYS_Y)</f>
        <v/>
      </c>
      <c r="AE88" s="51" t="str">
        <f aca="false">IF($B88="","",MAX(0,IF(OR(الموظفون!$X88="",الموظفون!$X88&gt;$G$3),$G$3,الموظفون!$X88)-MAX($E$3,الموظفون!$H88)+1))</f>
        <v/>
      </c>
    </row>
    <row r="89" customFormat="false" ht="15" hidden="false" customHeight="false" outlineLevel="0" collapsed="false">
      <c r="A89" s="89" t="str">
        <f aca="false">IF($B89="","",الموظفون!$A89)</f>
        <v/>
      </c>
      <c r="B89" s="91" t="str">
        <f aca="false">IF(الموظفون!$B89="","",الموظفون!$B89)</f>
        <v/>
      </c>
      <c r="C89" s="91" t="str">
        <f aca="false">IF($B89="","",الموظفون!$C89)</f>
        <v/>
      </c>
      <c r="D89" s="91" t="str">
        <f aca="false">IF($B89="","",الموظفون!$F89)</f>
        <v/>
      </c>
      <c r="E89" s="91" t="str">
        <f aca="false">IF($B89="","",الموظفون!$E89)</f>
        <v/>
      </c>
      <c r="F89" s="110" t="str">
        <f aca="false">IF($B89="","",IF(AE89&gt;=DAY($G$3),cfg_DAYS_M,MIN(AE89,cfg_DAYS_M)))</f>
        <v/>
      </c>
      <c r="G89" s="110" t="str">
        <f aca="false">IF($B89="","",SUMIFS('الحركات الشهرية'!$D$6:$D$1005,'الحركات الشهرية'!$B$6:$B$1005,$B89,'الحركات الشهرية'!$A$6:$A$1005,$C$3))</f>
        <v/>
      </c>
      <c r="H89" s="110" t="str">
        <f aca="false">IF($B89="","",SUMIFS('الحركات الشهرية'!$E$6:$E$1005,'الحركات الشهرية'!$B$6:$B$1005,$B89,'الحركات الشهرية'!$A$6:$A$1005,$C$3))</f>
        <v/>
      </c>
      <c r="I89" s="110" t="str">
        <f aca="false">IF($B89="","",MAX(0,F89-G89-H89))</f>
        <v/>
      </c>
      <c r="J89" s="90" t="str">
        <f aca="false">IF($B89="","",الموظفون!$J89*$I89/cfg_DAYS_M)</f>
        <v/>
      </c>
      <c r="K89" s="90" t="str">
        <f aca="false">IF($B89="","",الموظفون!$K89*$I89/cfg_DAYS_M)</f>
        <v/>
      </c>
      <c r="L89" s="90" t="str">
        <f aca="false">IF($B89="","",الموظفون!$L89*$I89/cfg_DAYS_M)</f>
        <v/>
      </c>
      <c r="M89" s="90" t="str">
        <f aca="false">IF($B89="","",الموظفون!$M89*$I89/cfg_DAYS_M)</f>
        <v/>
      </c>
      <c r="N89" s="110" t="str">
        <f aca="false">IF($B89="","",SUMIFS('الحركات الشهرية'!$F$6:$F$1005,'الحركات الشهرية'!$B$6:$B$1005,$B89,'الحركات الشهرية'!$A$6:$A$1005,$C$3))</f>
        <v/>
      </c>
      <c r="O89" s="90" t="str">
        <f aca="false">IF($B89="","",N89*(الموظفون!$N89+الموظفون!$J89*cfg_OT_P)/cfg_DAYS_M/cfg_HRS)</f>
        <v/>
      </c>
      <c r="P89" s="90" t="str">
        <f aca="false">IF($B89="","",SUMIFS('الحركات الشهرية'!$G$6:$G$1005,'الحركات الشهرية'!$B$6:$B$1005,$B89,'الحركات الشهرية'!$A$6:$A$1005,$C$3))</f>
        <v/>
      </c>
      <c r="Q89" s="90" t="str">
        <f aca="false">IF($B89="","",SUMIFS('الحركات الشهرية'!$H$6:$H$1005,'الحركات الشهرية'!$B$6:$B$1005,$B89,'الحركات الشهرية'!$A$6:$A$1005,$C$3))</f>
        <v/>
      </c>
      <c r="R89" s="111" t="str">
        <f aca="false">IF($B89="","",SUM(J89:M89)+SUM(O89:Q89))</f>
        <v/>
      </c>
      <c r="S89" s="90" t="str">
        <f aca="false">IF($B89="","",الموظفون!$Q89*IF(E89="سعودي",cfg_G_SE,cfg_G_NE)*F89/cfg_DAYS_M)</f>
        <v/>
      </c>
      <c r="T89" s="90" t="str">
        <f aca="false">IF($B89="","",SUMIFS('الحركات الشهرية'!$I$6:$I$1005,'الحركات الشهرية'!$B$6:$B$1005,$B89,'الحركات الشهرية'!$A$6:$A$1005,$C$3))</f>
        <v/>
      </c>
      <c r="U89" s="90" t="str">
        <f aca="false">IF($B89="","",SUMIFS('الحركات الشهرية'!$J$6:$J$1005,'الحركات الشهرية'!$B$6:$B$1005,$B89,'الحركات الشهرية'!$A$6:$A$1005,$C$3))</f>
        <v/>
      </c>
      <c r="V89" s="90" t="str">
        <f aca="false">IF($B89="","",SUM(S89:U89))</f>
        <v/>
      </c>
      <c r="W89" s="112" t="str">
        <f aca="false">IF($B89="","",R89-V89)</f>
        <v/>
      </c>
      <c r="X89" s="90" t="str">
        <f aca="false">IF($B89="","",الموظفون!$Q89*IF(E89="سعودي",cfg_G_SR,cfg_G_NR)*F89/cfg_DAYS_M)</f>
        <v/>
      </c>
      <c r="Y89" s="90" t="str">
        <f aca="false">IF($B89="","",الموظفون!$O89*(cfg_EOS_R1*(MIN(AC89,cfg_EOS_TH)-MIN(AD89,cfg_EOS_TH))+cfg_EOS_R2*(MAX(AC89-cfg_EOS_TH,0)-MAX(AD89-cfg_EOS_TH,0))))</f>
        <v/>
      </c>
      <c r="Z89" s="90" t="str">
        <f aca="false">IF($B89="","",IF(الموظفون!$R89&lt;&gt;"",الموظفون!$R89,IF(AC89&gt;=cfg_LV_TH,cfg_LV_D2,cfg_LV_D1))/cfg_DAYS_Y*AE89*الموظفون!$P89/cfg_DAYS_M)</f>
        <v/>
      </c>
      <c r="AA89" s="90" t="str">
        <f aca="false">IF($B89="","",IF(AND(الموظفون!$S89="نعم",N(الموظفون!$U89)&gt;0),الموظفون!$T89/الموظفون!$U89*12/cfg_DAYS_Y*AE89,0))</f>
        <v/>
      </c>
      <c r="AB89" s="113" t="str">
        <f aca="false">IF($B89="","",R89+SUM(X89:AA89))</f>
        <v/>
      </c>
      <c r="AC89" s="114" t="str">
        <f aca="false">IF($B89="","",MAX(0,IF(OR(الموظفون!$X89="",الموظفون!$X89&gt;$G$3),$G$3,الموظفون!$X89)-الموظفون!$H89+1)/cfg_DAYS_Y)</f>
        <v/>
      </c>
      <c r="AD89" s="114" t="str">
        <f aca="false">IF($B89="","",MAX(0,IF(OR(الموظفون!$X89="",الموظفون!$X89&gt;($E$3-1)),($E$3-1),الموظفون!$X89)-الموظفون!$H89+1)/cfg_DAYS_Y)</f>
        <v/>
      </c>
      <c r="AE89" s="115" t="str">
        <f aca="false">IF($B89="","",MAX(0,IF(OR(الموظفون!$X89="",الموظفون!$X89&gt;$G$3),$G$3,الموظفون!$X89)-MAX($E$3,الموظفون!$H89)+1))</f>
        <v/>
      </c>
    </row>
    <row r="90" customFormat="false" ht="15" hidden="false" customHeight="false" outlineLevel="0" collapsed="false">
      <c r="A90" s="83" t="str">
        <f aca="false">IF($B90="","",الموظفون!$A90)</f>
        <v/>
      </c>
      <c r="B90" s="74" t="str">
        <f aca="false">IF(الموظفون!$B90="","",الموظفون!$B90)</f>
        <v/>
      </c>
      <c r="C90" s="74" t="str">
        <f aca="false">IF($B90="","",الموظفون!$C90)</f>
        <v/>
      </c>
      <c r="D90" s="74" t="str">
        <f aca="false">IF($B90="","",الموظفون!$F90)</f>
        <v/>
      </c>
      <c r="E90" s="74" t="str">
        <f aca="false">IF($B90="","",الموظفون!$E90)</f>
        <v/>
      </c>
      <c r="F90" s="105" t="str">
        <f aca="false">IF($B90="","",IF(AE90&gt;=DAY($G$3),cfg_DAYS_M,MIN(AE90,cfg_DAYS_M)))</f>
        <v/>
      </c>
      <c r="G90" s="105" t="str">
        <f aca="false">IF($B90="","",SUMIFS('الحركات الشهرية'!$D$6:$D$1005,'الحركات الشهرية'!$B$6:$B$1005,$B90,'الحركات الشهرية'!$A$6:$A$1005,$C$3))</f>
        <v/>
      </c>
      <c r="H90" s="105" t="str">
        <f aca="false">IF($B90="","",SUMIFS('الحركات الشهرية'!$E$6:$E$1005,'الحركات الشهرية'!$B$6:$B$1005,$B90,'الحركات الشهرية'!$A$6:$A$1005,$C$3))</f>
        <v/>
      </c>
      <c r="I90" s="105" t="str">
        <f aca="false">IF($B90="","",MAX(0,F90-G90-H90))</f>
        <v/>
      </c>
      <c r="J90" s="86" t="str">
        <f aca="false">IF($B90="","",الموظفون!$J90*$I90/cfg_DAYS_M)</f>
        <v/>
      </c>
      <c r="K90" s="86" t="str">
        <f aca="false">IF($B90="","",الموظفون!$K90*$I90/cfg_DAYS_M)</f>
        <v/>
      </c>
      <c r="L90" s="86" t="str">
        <f aca="false">IF($B90="","",الموظفون!$L90*$I90/cfg_DAYS_M)</f>
        <v/>
      </c>
      <c r="M90" s="86" t="str">
        <f aca="false">IF($B90="","",الموظفون!$M90*$I90/cfg_DAYS_M)</f>
        <v/>
      </c>
      <c r="N90" s="105" t="str">
        <f aca="false">IF($B90="","",SUMIFS('الحركات الشهرية'!$F$6:$F$1005,'الحركات الشهرية'!$B$6:$B$1005,$B90,'الحركات الشهرية'!$A$6:$A$1005,$C$3))</f>
        <v/>
      </c>
      <c r="O90" s="86" t="str">
        <f aca="false">IF($B90="","",N90*(الموظفون!$N90+الموظفون!$J90*cfg_OT_P)/cfg_DAYS_M/cfg_HRS)</f>
        <v/>
      </c>
      <c r="P90" s="86" t="str">
        <f aca="false">IF($B90="","",SUMIFS('الحركات الشهرية'!$G$6:$G$1005,'الحركات الشهرية'!$B$6:$B$1005,$B90,'الحركات الشهرية'!$A$6:$A$1005,$C$3))</f>
        <v/>
      </c>
      <c r="Q90" s="86" t="str">
        <f aca="false">IF($B90="","",SUMIFS('الحركات الشهرية'!$H$6:$H$1005,'الحركات الشهرية'!$B$6:$B$1005,$B90,'الحركات الشهرية'!$A$6:$A$1005,$C$3))</f>
        <v/>
      </c>
      <c r="R90" s="106" t="str">
        <f aca="false">IF($B90="","",SUM(J90:M90)+SUM(O90:Q90))</f>
        <v/>
      </c>
      <c r="S90" s="86" t="str">
        <f aca="false">IF($B90="","",الموظفون!$Q90*IF(E90="سعودي",cfg_G_SE,cfg_G_NE)*F90/cfg_DAYS_M)</f>
        <v/>
      </c>
      <c r="T90" s="86" t="str">
        <f aca="false">IF($B90="","",SUMIFS('الحركات الشهرية'!$I$6:$I$1005,'الحركات الشهرية'!$B$6:$B$1005,$B90,'الحركات الشهرية'!$A$6:$A$1005,$C$3))</f>
        <v/>
      </c>
      <c r="U90" s="86" t="str">
        <f aca="false">IF($B90="","",SUMIFS('الحركات الشهرية'!$J$6:$J$1005,'الحركات الشهرية'!$B$6:$B$1005,$B90,'الحركات الشهرية'!$A$6:$A$1005,$C$3))</f>
        <v/>
      </c>
      <c r="V90" s="86" t="str">
        <f aca="false">IF($B90="","",SUM(S90:U90))</f>
        <v/>
      </c>
      <c r="W90" s="107" t="str">
        <f aca="false">IF($B90="","",R90-V90)</f>
        <v/>
      </c>
      <c r="X90" s="86" t="str">
        <f aca="false">IF($B90="","",الموظفون!$Q90*IF(E90="سعودي",cfg_G_SR,cfg_G_NR)*F90/cfg_DAYS_M)</f>
        <v/>
      </c>
      <c r="Y90" s="86" t="str">
        <f aca="false">IF($B90="","",الموظفون!$O90*(cfg_EOS_R1*(MIN(AC90,cfg_EOS_TH)-MIN(AD90,cfg_EOS_TH))+cfg_EOS_R2*(MAX(AC90-cfg_EOS_TH,0)-MAX(AD90-cfg_EOS_TH,0))))</f>
        <v/>
      </c>
      <c r="Z90" s="86" t="str">
        <f aca="false">IF($B90="","",IF(الموظفون!$R90&lt;&gt;"",الموظفون!$R90,IF(AC90&gt;=cfg_LV_TH,cfg_LV_D2,cfg_LV_D1))/cfg_DAYS_Y*AE90*الموظفون!$P90/cfg_DAYS_M)</f>
        <v/>
      </c>
      <c r="AA90" s="86" t="str">
        <f aca="false">IF($B90="","",IF(AND(الموظفون!$S90="نعم",N(الموظفون!$U90)&gt;0),الموظفون!$T90/الموظفون!$U90*12/cfg_DAYS_Y*AE90,0))</f>
        <v/>
      </c>
      <c r="AB90" s="108" t="str">
        <f aca="false">IF($B90="","",R90+SUM(X90:AA90))</f>
        <v/>
      </c>
      <c r="AC90" s="109" t="str">
        <f aca="false">IF($B90="","",MAX(0,IF(OR(الموظفون!$X90="",الموظفون!$X90&gt;$G$3),$G$3,الموظفون!$X90)-الموظفون!$H90+1)/cfg_DAYS_Y)</f>
        <v/>
      </c>
      <c r="AD90" s="109" t="str">
        <f aca="false">IF($B90="","",MAX(0,IF(OR(الموظفون!$X90="",الموظفون!$X90&gt;($E$3-1)),($E$3-1),الموظفون!$X90)-الموظفون!$H90+1)/cfg_DAYS_Y)</f>
        <v/>
      </c>
      <c r="AE90" s="51" t="str">
        <f aca="false">IF($B90="","",MAX(0,IF(OR(الموظفون!$X90="",الموظفون!$X90&gt;$G$3),$G$3,الموظفون!$X90)-MAX($E$3,الموظفون!$H90)+1))</f>
        <v/>
      </c>
    </row>
    <row r="91" customFormat="false" ht="15" hidden="false" customHeight="false" outlineLevel="0" collapsed="false">
      <c r="A91" s="89" t="str">
        <f aca="false">IF($B91="","",الموظفون!$A91)</f>
        <v/>
      </c>
      <c r="B91" s="91" t="str">
        <f aca="false">IF(الموظفون!$B91="","",الموظفون!$B91)</f>
        <v/>
      </c>
      <c r="C91" s="91" t="str">
        <f aca="false">IF($B91="","",الموظفون!$C91)</f>
        <v/>
      </c>
      <c r="D91" s="91" t="str">
        <f aca="false">IF($B91="","",الموظفون!$F91)</f>
        <v/>
      </c>
      <c r="E91" s="91" t="str">
        <f aca="false">IF($B91="","",الموظفون!$E91)</f>
        <v/>
      </c>
      <c r="F91" s="110" t="str">
        <f aca="false">IF($B91="","",IF(AE91&gt;=DAY($G$3),cfg_DAYS_M,MIN(AE91,cfg_DAYS_M)))</f>
        <v/>
      </c>
      <c r="G91" s="110" t="str">
        <f aca="false">IF($B91="","",SUMIFS('الحركات الشهرية'!$D$6:$D$1005,'الحركات الشهرية'!$B$6:$B$1005,$B91,'الحركات الشهرية'!$A$6:$A$1005,$C$3))</f>
        <v/>
      </c>
      <c r="H91" s="110" t="str">
        <f aca="false">IF($B91="","",SUMIFS('الحركات الشهرية'!$E$6:$E$1005,'الحركات الشهرية'!$B$6:$B$1005,$B91,'الحركات الشهرية'!$A$6:$A$1005,$C$3))</f>
        <v/>
      </c>
      <c r="I91" s="110" t="str">
        <f aca="false">IF($B91="","",MAX(0,F91-G91-H91))</f>
        <v/>
      </c>
      <c r="J91" s="90" t="str">
        <f aca="false">IF($B91="","",الموظفون!$J91*$I91/cfg_DAYS_M)</f>
        <v/>
      </c>
      <c r="K91" s="90" t="str">
        <f aca="false">IF($B91="","",الموظفون!$K91*$I91/cfg_DAYS_M)</f>
        <v/>
      </c>
      <c r="L91" s="90" t="str">
        <f aca="false">IF($B91="","",الموظفون!$L91*$I91/cfg_DAYS_M)</f>
        <v/>
      </c>
      <c r="M91" s="90" t="str">
        <f aca="false">IF($B91="","",الموظفون!$M91*$I91/cfg_DAYS_M)</f>
        <v/>
      </c>
      <c r="N91" s="110" t="str">
        <f aca="false">IF($B91="","",SUMIFS('الحركات الشهرية'!$F$6:$F$1005,'الحركات الشهرية'!$B$6:$B$1005,$B91,'الحركات الشهرية'!$A$6:$A$1005,$C$3))</f>
        <v/>
      </c>
      <c r="O91" s="90" t="str">
        <f aca="false">IF($B91="","",N91*(الموظفون!$N91+الموظفون!$J91*cfg_OT_P)/cfg_DAYS_M/cfg_HRS)</f>
        <v/>
      </c>
      <c r="P91" s="90" t="str">
        <f aca="false">IF($B91="","",SUMIFS('الحركات الشهرية'!$G$6:$G$1005,'الحركات الشهرية'!$B$6:$B$1005,$B91,'الحركات الشهرية'!$A$6:$A$1005,$C$3))</f>
        <v/>
      </c>
      <c r="Q91" s="90" t="str">
        <f aca="false">IF($B91="","",SUMIFS('الحركات الشهرية'!$H$6:$H$1005,'الحركات الشهرية'!$B$6:$B$1005,$B91,'الحركات الشهرية'!$A$6:$A$1005,$C$3))</f>
        <v/>
      </c>
      <c r="R91" s="111" t="str">
        <f aca="false">IF($B91="","",SUM(J91:M91)+SUM(O91:Q91))</f>
        <v/>
      </c>
      <c r="S91" s="90" t="str">
        <f aca="false">IF($B91="","",الموظفون!$Q91*IF(E91="سعودي",cfg_G_SE,cfg_G_NE)*F91/cfg_DAYS_M)</f>
        <v/>
      </c>
      <c r="T91" s="90" t="str">
        <f aca="false">IF($B91="","",SUMIFS('الحركات الشهرية'!$I$6:$I$1005,'الحركات الشهرية'!$B$6:$B$1005,$B91,'الحركات الشهرية'!$A$6:$A$1005,$C$3))</f>
        <v/>
      </c>
      <c r="U91" s="90" t="str">
        <f aca="false">IF($B91="","",SUMIFS('الحركات الشهرية'!$J$6:$J$1005,'الحركات الشهرية'!$B$6:$B$1005,$B91,'الحركات الشهرية'!$A$6:$A$1005,$C$3))</f>
        <v/>
      </c>
      <c r="V91" s="90" t="str">
        <f aca="false">IF($B91="","",SUM(S91:U91))</f>
        <v/>
      </c>
      <c r="W91" s="112" t="str">
        <f aca="false">IF($B91="","",R91-V91)</f>
        <v/>
      </c>
      <c r="X91" s="90" t="str">
        <f aca="false">IF($B91="","",الموظفون!$Q91*IF(E91="سعودي",cfg_G_SR,cfg_G_NR)*F91/cfg_DAYS_M)</f>
        <v/>
      </c>
      <c r="Y91" s="90" t="str">
        <f aca="false">IF($B91="","",الموظفون!$O91*(cfg_EOS_R1*(MIN(AC91,cfg_EOS_TH)-MIN(AD91,cfg_EOS_TH))+cfg_EOS_R2*(MAX(AC91-cfg_EOS_TH,0)-MAX(AD91-cfg_EOS_TH,0))))</f>
        <v/>
      </c>
      <c r="Z91" s="90" t="str">
        <f aca="false">IF($B91="","",IF(الموظفون!$R91&lt;&gt;"",الموظفون!$R91,IF(AC91&gt;=cfg_LV_TH,cfg_LV_D2,cfg_LV_D1))/cfg_DAYS_Y*AE91*الموظفون!$P91/cfg_DAYS_M)</f>
        <v/>
      </c>
      <c r="AA91" s="90" t="str">
        <f aca="false">IF($B91="","",IF(AND(الموظفون!$S91="نعم",N(الموظفون!$U91)&gt;0),الموظفون!$T91/الموظفون!$U91*12/cfg_DAYS_Y*AE91,0))</f>
        <v/>
      </c>
      <c r="AB91" s="113" t="str">
        <f aca="false">IF($B91="","",R91+SUM(X91:AA91))</f>
        <v/>
      </c>
      <c r="AC91" s="114" t="str">
        <f aca="false">IF($B91="","",MAX(0,IF(OR(الموظفون!$X91="",الموظفون!$X91&gt;$G$3),$G$3,الموظفون!$X91)-الموظفون!$H91+1)/cfg_DAYS_Y)</f>
        <v/>
      </c>
      <c r="AD91" s="114" t="str">
        <f aca="false">IF($B91="","",MAX(0,IF(OR(الموظفون!$X91="",الموظفون!$X91&gt;($E$3-1)),($E$3-1),الموظفون!$X91)-الموظفون!$H91+1)/cfg_DAYS_Y)</f>
        <v/>
      </c>
      <c r="AE91" s="115" t="str">
        <f aca="false">IF($B91="","",MAX(0,IF(OR(الموظفون!$X91="",الموظفون!$X91&gt;$G$3),$G$3,الموظفون!$X91)-MAX($E$3,الموظفون!$H91)+1))</f>
        <v/>
      </c>
    </row>
    <row r="92" customFormat="false" ht="15" hidden="false" customHeight="false" outlineLevel="0" collapsed="false">
      <c r="A92" s="83" t="str">
        <f aca="false">IF($B92="","",الموظفون!$A92)</f>
        <v/>
      </c>
      <c r="B92" s="74" t="str">
        <f aca="false">IF(الموظفون!$B92="","",الموظفون!$B92)</f>
        <v/>
      </c>
      <c r="C92" s="74" t="str">
        <f aca="false">IF($B92="","",الموظفون!$C92)</f>
        <v/>
      </c>
      <c r="D92" s="74" t="str">
        <f aca="false">IF($B92="","",الموظفون!$F92)</f>
        <v/>
      </c>
      <c r="E92" s="74" t="str">
        <f aca="false">IF($B92="","",الموظفون!$E92)</f>
        <v/>
      </c>
      <c r="F92" s="105" t="str">
        <f aca="false">IF($B92="","",IF(AE92&gt;=DAY($G$3),cfg_DAYS_M,MIN(AE92,cfg_DAYS_M)))</f>
        <v/>
      </c>
      <c r="G92" s="105" t="str">
        <f aca="false">IF($B92="","",SUMIFS('الحركات الشهرية'!$D$6:$D$1005,'الحركات الشهرية'!$B$6:$B$1005,$B92,'الحركات الشهرية'!$A$6:$A$1005,$C$3))</f>
        <v/>
      </c>
      <c r="H92" s="105" t="str">
        <f aca="false">IF($B92="","",SUMIFS('الحركات الشهرية'!$E$6:$E$1005,'الحركات الشهرية'!$B$6:$B$1005,$B92,'الحركات الشهرية'!$A$6:$A$1005,$C$3))</f>
        <v/>
      </c>
      <c r="I92" s="105" t="str">
        <f aca="false">IF($B92="","",MAX(0,F92-G92-H92))</f>
        <v/>
      </c>
      <c r="J92" s="86" t="str">
        <f aca="false">IF($B92="","",الموظفون!$J92*$I92/cfg_DAYS_M)</f>
        <v/>
      </c>
      <c r="K92" s="86" t="str">
        <f aca="false">IF($B92="","",الموظفون!$K92*$I92/cfg_DAYS_M)</f>
        <v/>
      </c>
      <c r="L92" s="86" t="str">
        <f aca="false">IF($B92="","",الموظفون!$L92*$I92/cfg_DAYS_M)</f>
        <v/>
      </c>
      <c r="M92" s="86" t="str">
        <f aca="false">IF($B92="","",الموظفون!$M92*$I92/cfg_DAYS_M)</f>
        <v/>
      </c>
      <c r="N92" s="105" t="str">
        <f aca="false">IF($B92="","",SUMIFS('الحركات الشهرية'!$F$6:$F$1005,'الحركات الشهرية'!$B$6:$B$1005,$B92,'الحركات الشهرية'!$A$6:$A$1005,$C$3))</f>
        <v/>
      </c>
      <c r="O92" s="86" t="str">
        <f aca="false">IF($B92="","",N92*(الموظفون!$N92+الموظفون!$J92*cfg_OT_P)/cfg_DAYS_M/cfg_HRS)</f>
        <v/>
      </c>
      <c r="P92" s="86" t="str">
        <f aca="false">IF($B92="","",SUMIFS('الحركات الشهرية'!$G$6:$G$1005,'الحركات الشهرية'!$B$6:$B$1005,$B92,'الحركات الشهرية'!$A$6:$A$1005,$C$3))</f>
        <v/>
      </c>
      <c r="Q92" s="86" t="str">
        <f aca="false">IF($B92="","",SUMIFS('الحركات الشهرية'!$H$6:$H$1005,'الحركات الشهرية'!$B$6:$B$1005,$B92,'الحركات الشهرية'!$A$6:$A$1005,$C$3))</f>
        <v/>
      </c>
      <c r="R92" s="106" t="str">
        <f aca="false">IF($B92="","",SUM(J92:M92)+SUM(O92:Q92))</f>
        <v/>
      </c>
      <c r="S92" s="86" t="str">
        <f aca="false">IF($B92="","",الموظفون!$Q92*IF(E92="سعودي",cfg_G_SE,cfg_G_NE)*F92/cfg_DAYS_M)</f>
        <v/>
      </c>
      <c r="T92" s="86" t="str">
        <f aca="false">IF($B92="","",SUMIFS('الحركات الشهرية'!$I$6:$I$1005,'الحركات الشهرية'!$B$6:$B$1005,$B92,'الحركات الشهرية'!$A$6:$A$1005,$C$3))</f>
        <v/>
      </c>
      <c r="U92" s="86" t="str">
        <f aca="false">IF($B92="","",SUMIFS('الحركات الشهرية'!$J$6:$J$1005,'الحركات الشهرية'!$B$6:$B$1005,$B92,'الحركات الشهرية'!$A$6:$A$1005,$C$3))</f>
        <v/>
      </c>
      <c r="V92" s="86" t="str">
        <f aca="false">IF($B92="","",SUM(S92:U92))</f>
        <v/>
      </c>
      <c r="W92" s="107" t="str">
        <f aca="false">IF($B92="","",R92-V92)</f>
        <v/>
      </c>
      <c r="X92" s="86" t="str">
        <f aca="false">IF($B92="","",الموظفون!$Q92*IF(E92="سعودي",cfg_G_SR,cfg_G_NR)*F92/cfg_DAYS_M)</f>
        <v/>
      </c>
      <c r="Y92" s="86" t="str">
        <f aca="false">IF($B92="","",الموظفون!$O92*(cfg_EOS_R1*(MIN(AC92,cfg_EOS_TH)-MIN(AD92,cfg_EOS_TH))+cfg_EOS_R2*(MAX(AC92-cfg_EOS_TH,0)-MAX(AD92-cfg_EOS_TH,0))))</f>
        <v/>
      </c>
      <c r="Z92" s="86" t="str">
        <f aca="false">IF($B92="","",IF(الموظفون!$R92&lt;&gt;"",الموظفون!$R92,IF(AC92&gt;=cfg_LV_TH,cfg_LV_D2,cfg_LV_D1))/cfg_DAYS_Y*AE92*الموظفون!$P92/cfg_DAYS_M)</f>
        <v/>
      </c>
      <c r="AA92" s="86" t="str">
        <f aca="false">IF($B92="","",IF(AND(الموظفون!$S92="نعم",N(الموظفون!$U92)&gt;0),الموظفون!$T92/الموظفون!$U92*12/cfg_DAYS_Y*AE92,0))</f>
        <v/>
      </c>
      <c r="AB92" s="108" t="str">
        <f aca="false">IF($B92="","",R92+SUM(X92:AA92))</f>
        <v/>
      </c>
      <c r="AC92" s="109" t="str">
        <f aca="false">IF($B92="","",MAX(0,IF(OR(الموظفون!$X92="",الموظفون!$X92&gt;$G$3),$G$3,الموظفون!$X92)-الموظفون!$H92+1)/cfg_DAYS_Y)</f>
        <v/>
      </c>
      <c r="AD92" s="109" t="str">
        <f aca="false">IF($B92="","",MAX(0,IF(OR(الموظفون!$X92="",الموظفون!$X92&gt;($E$3-1)),($E$3-1),الموظفون!$X92)-الموظفون!$H92+1)/cfg_DAYS_Y)</f>
        <v/>
      </c>
      <c r="AE92" s="51" t="str">
        <f aca="false">IF($B92="","",MAX(0,IF(OR(الموظفون!$X92="",الموظفون!$X92&gt;$G$3),$G$3,الموظفون!$X92)-MAX($E$3,الموظفون!$H92)+1))</f>
        <v/>
      </c>
    </row>
    <row r="93" customFormat="false" ht="15" hidden="false" customHeight="false" outlineLevel="0" collapsed="false">
      <c r="A93" s="89" t="str">
        <f aca="false">IF($B93="","",الموظفون!$A93)</f>
        <v/>
      </c>
      <c r="B93" s="91" t="str">
        <f aca="false">IF(الموظفون!$B93="","",الموظفون!$B93)</f>
        <v/>
      </c>
      <c r="C93" s="91" t="str">
        <f aca="false">IF($B93="","",الموظفون!$C93)</f>
        <v/>
      </c>
      <c r="D93" s="91" t="str">
        <f aca="false">IF($B93="","",الموظفون!$F93)</f>
        <v/>
      </c>
      <c r="E93" s="91" t="str">
        <f aca="false">IF($B93="","",الموظفون!$E93)</f>
        <v/>
      </c>
      <c r="F93" s="110" t="str">
        <f aca="false">IF($B93="","",IF(AE93&gt;=DAY($G$3),cfg_DAYS_M,MIN(AE93,cfg_DAYS_M)))</f>
        <v/>
      </c>
      <c r="G93" s="110" t="str">
        <f aca="false">IF($B93="","",SUMIFS('الحركات الشهرية'!$D$6:$D$1005,'الحركات الشهرية'!$B$6:$B$1005,$B93,'الحركات الشهرية'!$A$6:$A$1005,$C$3))</f>
        <v/>
      </c>
      <c r="H93" s="110" t="str">
        <f aca="false">IF($B93="","",SUMIFS('الحركات الشهرية'!$E$6:$E$1005,'الحركات الشهرية'!$B$6:$B$1005,$B93,'الحركات الشهرية'!$A$6:$A$1005,$C$3))</f>
        <v/>
      </c>
      <c r="I93" s="110" t="str">
        <f aca="false">IF($B93="","",MAX(0,F93-G93-H93))</f>
        <v/>
      </c>
      <c r="J93" s="90" t="str">
        <f aca="false">IF($B93="","",الموظفون!$J93*$I93/cfg_DAYS_M)</f>
        <v/>
      </c>
      <c r="K93" s="90" t="str">
        <f aca="false">IF($B93="","",الموظفون!$K93*$I93/cfg_DAYS_M)</f>
        <v/>
      </c>
      <c r="L93" s="90" t="str">
        <f aca="false">IF($B93="","",الموظفون!$L93*$I93/cfg_DAYS_M)</f>
        <v/>
      </c>
      <c r="M93" s="90" t="str">
        <f aca="false">IF($B93="","",الموظفون!$M93*$I93/cfg_DAYS_M)</f>
        <v/>
      </c>
      <c r="N93" s="110" t="str">
        <f aca="false">IF($B93="","",SUMIFS('الحركات الشهرية'!$F$6:$F$1005,'الحركات الشهرية'!$B$6:$B$1005,$B93,'الحركات الشهرية'!$A$6:$A$1005,$C$3))</f>
        <v/>
      </c>
      <c r="O93" s="90" t="str">
        <f aca="false">IF($B93="","",N93*(الموظفون!$N93+الموظفون!$J93*cfg_OT_P)/cfg_DAYS_M/cfg_HRS)</f>
        <v/>
      </c>
      <c r="P93" s="90" t="str">
        <f aca="false">IF($B93="","",SUMIFS('الحركات الشهرية'!$G$6:$G$1005,'الحركات الشهرية'!$B$6:$B$1005,$B93,'الحركات الشهرية'!$A$6:$A$1005,$C$3))</f>
        <v/>
      </c>
      <c r="Q93" s="90" t="str">
        <f aca="false">IF($B93="","",SUMIFS('الحركات الشهرية'!$H$6:$H$1005,'الحركات الشهرية'!$B$6:$B$1005,$B93,'الحركات الشهرية'!$A$6:$A$1005,$C$3))</f>
        <v/>
      </c>
      <c r="R93" s="111" t="str">
        <f aca="false">IF($B93="","",SUM(J93:M93)+SUM(O93:Q93))</f>
        <v/>
      </c>
      <c r="S93" s="90" t="str">
        <f aca="false">IF($B93="","",الموظفون!$Q93*IF(E93="سعودي",cfg_G_SE,cfg_G_NE)*F93/cfg_DAYS_M)</f>
        <v/>
      </c>
      <c r="T93" s="90" t="str">
        <f aca="false">IF($B93="","",SUMIFS('الحركات الشهرية'!$I$6:$I$1005,'الحركات الشهرية'!$B$6:$B$1005,$B93,'الحركات الشهرية'!$A$6:$A$1005,$C$3))</f>
        <v/>
      </c>
      <c r="U93" s="90" t="str">
        <f aca="false">IF($B93="","",SUMIFS('الحركات الشهرية'!$J$6:$J$1005,'الحركات الشهرية'!$B$6:$B$1005,$B93,'الحركات الشهرية'!$A$6:$A$1005,$C$3))</f>
        <v/>
      </c>
      <c r="V93" s="90" t="str">
        <f aca="false">IF($B93="","",SUM(S93:U93))</f>
        <v/>
      </c>
      <c r="W93" s="112" t="str">
        <f aca="false">IF($B93="","",R93-V93)</f>
        <v/>
      </c>
      <c r="X93" s="90" t="str">
        <f aca="false">IF($B93="","",الموظفون!$Q93*IF(E93="سعودي",cfg_G_SR,cfg_G_NR)*F93/cfg_DAYS_M)</f>
        <v/>
      </c>
      <c r="Y93" s="90" t="str">
        <f aca="false">IF($B93="","",الموظفون!$O93*(cfg_EOS_R1*(MIN(AC93,cfg_EOS_TH)-MIN(AD93,cfg_EOS_TH))+cfg_EOS_R2*(MAX(AC93-cfg_EOS_TH,0)-MAX(AD93-cfg_EOS_TH,0))))</f>
        <v/>
      </c>
      <c r="Z93" s="90" t="str">
        <f aca="false">IF($B93="","",IF(الموظفون!$R93&lt;&gt;"",الموظفون!$R93,IF(AC93&gt;=cfg_LV_TH,cfg_LV_D2,cfg_LV_D1))/cfg_DAYS_Y*AE93*الموظفون!$P93/cfg_DAYS_M)</f>
        <v/>
      </c>
      <c r="AA93" s="90" t="str">
        <f aca="false">IF($B93="","",IF(AND(الموظفون!$S93="نعم",N(الموظفون!$U93)&gt;0),الموظفون!$T93/الموظفون!$U93*12/cfg_DAYS_Y*AE93,0))</f>
        <v/>
      </c>
      <c r="AB93" s="113" t="str">
        <f aca="false">IF($B93="","",R93+SUM(X93:AA93))</f>
        <v/>
      </c>
      <c r="AC93" s="114" t="str">
        <f aca="false">IF($B93="","",MAX(0,IF(OR(الموظفون!$X93="",الموظفون!$X93&gt;$G$3),$G$3,الموظفون!$X93)-الموظفون!$H93+1)/cfg_DAYS_Y)</f>
        <v/>
      </c>
      <c r="AD93" s="114" t="str">
        <f aca="false">IF($B93="","",MAX(0,IF(OR(الموظفون!$X93="",الموظفون!$X93&gt;($E$3-1)),($E$3-1),الموظفون!$X93)-الموظفون!$H93+1)/cfg_DAYS_Y)</f>
        <v/>
      </c>
      <c r="AE93" s="115" t="str">
        <f aca="false">IF($B93="","",MAX(0,IF(OR(الموظفون!$X93="",الموظفون!$X93&gt;$G$3),$G$3,الموظفون!$X93)-MAX($E$3,الموظفون!$H93)+1))</f>
        <v/>
      </c>
    </row>
    <row r="94" customFormat="false" ht="15" hidden="false" customHeight="false" outlineLevel="0" collapsed="false">
      <c r="A94" s="83" t="str">
        <f aca="false">IF($B94="","",الموظفون!$A94)</f>
        <v/>
      </c>
      <c r="B94" s="74" t="str">
        <f aca="false">IF(الموظفون!$B94="","",الموظفون!$B94)</f>
        <v/>
      </c>
      <c r="C94" s="74" t="str">
        <f aca="false">IF($B94="","",الموظفون!$C94)</f>
        <v/>
      </c>
      <c r="D94" s="74" t="str">
        <f aca="false">IF($B94="","",الموظفون!$F94)</f>
        <v/>
      </c>
      <c r="E94" s="74" t="str">
        <f aca="false">IF($B94="","",الموظفون!$E94)</f>
        <v/>
      </c>
      <c r="F94" s="105" t="str">
        <f aca="false">IF($B94="","",IF(AE94&gt;=DAY($G$3),cfg_DAYS_M,MIN(AE94,cfg_DAYS_M)))</f>
        <v/>
      </c>
      <c r="G94" s="105" t="str">
        <f aca="false">IF($B94="","",SUMIFS('الحركات الشهرية'!$D$6:$D$1005,'الحركات الشهرية'!$B$6:$B$1005,$B94,'الحركات الشهرية'!$A$6:$A$1005,$C$3))</f>
        <v/>
      </c>
      <c r="H94" s="105" t="str">
        <f aca="false">IF($B94="","",SUMIFS('الحركات الشهرية'!$E$6:$E$1005,'الحركات الشهرية'!$B$6:$B$1005,$B94,'الحركات الشهرية'!$A$6:$A$1005,$C$3))</f>
        <v/>
      </c>
      <c r="I94" s="105" t="str">
        <f aca="false">IF($B94="","",MAX(0,F94-G94-H94))</f>
        <v/>
      </c>
      <c r="J94" s="86" t="str">
        <f aca="false">IF($B94="","",الموظفون!$J94*$I94/cfg_DAYS_M)</f>
        <v/>
      </c>
      <c r="K94" s="86" t="str">
        <f aca="false">IF($B94="","",الموظفون!$K94*$I94/cfg_DAYS_M)</f>
        <v/>
      </c>
      <c r="L94" s="86" t="str">
        <f aca="false">IF($B94="","",الموظفون!$L94*$I94/cfg_DAYS_M)</f>
        <v/>
      </c>
      <c r="M94" s="86" t="str">
        <f aca="false">IF($B94="","",الموظفون!$M94*$I94/cfg_DAYS_M)</f>
        <v/>
      </c>
      <c r="N94" s="105" t="str">
        <f aca="false">IF($B94="","",SUMIFS('الحركات الشهرية'!$F$6:$F$1005,'الحركات الشهرية'!$B$6:$B$1005,$B94,'الحركات الشهرية'!$A$6:$A$1005,$C$3))</f>
        <v/>
      </c>
      <c r="O94" s="86" t="str">
        <f aca="false">IF($B94="","",N94*(الموظفون!$N94+الموظفون!$J94*cfg_OT_P)/cfg_DAYS_M/cfg_HRS)</f>
        <v/>
      </c>
      <c r="P94" s="86" t="str">
        <f aca="false">IF($B94="","",SUMIFS('الحركات الشهرية'!$G$6:$G$1005,'الحركات الشهرية'!$B$6:$B$1005,$B94,'الحركات الشهرية'!$A$6:$A$1005,$C$3))</f>
        <v/>
      </c>
      <c r="Q94" s="86" t="str">
        <f aca="false">IF($B94="","",SUMIFS('الحركات الشهرية'!$H$6:$H$1005,'الحركات الشهرية'!$B$6:$B$1005,$B94,'الحركات الشهرية'!$A$6:$A$1005,$C$3))</f>
        <v/>
      </c>
      <c r="R94" s="106" t="str">
        <f aca="false">IF($B94="","",SUM(J94:M94)+SUM(O94:Q94))</f>
        <v/>
      </c>
      <c r="S94" s="86" t="str">
        <f aca="false">IF($B94="","",الموظفون!$Q94*IF(E94="سعودي",cfg_G_SE,cfg_G_NE)*F94/cfg_DAYS_M)</f>
        <v/>
      </c>
      <c r="T94" s="86" t="str">
        <f aca="false">IF($B94="","",SUMIFS('الحركات الشهرية'!$I$6:$I$1005,'الحركات الشهرية'!$B$6:$B$1005,$B94,'الحركات الشهرية'!$A$6:$A$1005,$C$3))</f>
        <v/>
      </c>
      <c r="U94" s="86" t="str">
        <f aca="false">IF($B94="","",SUMIFS('الحركات الشهرية'!$J$6:$J$1005,'الحركات الشهرية'!$B$6:$B$1005,$B94,'الحركات الشهرية'!$A$6:$A$1005,$C$3))</f>
        <v/>
      </c>
      <c r="V94" s="86" t="str">
        <f aca="false">IF($B94="","",SUM(S94:U94))</f>
        <v/>
      </c>
      <c r="W94" s="107" t="str">
        <f aca="false">IF($B94="","",R94-V94)</f>
        <v/>
      </c>
      <c r="X94" s="86" t="str">
        <f aca="false">IF($B94="","",الموظفون!$Q94*IF(E94="سعودي",cfg_G_SR,cfg_G_NR)*F94/cfg_DAYS_M)</f>
        <v/>
      </c>
      <c r="Y94" s="86" t="str">
        <f aca="false">IF($B94="","",الموظفون!$O94*(cfg_EOS_R1*(MIN(AC94,cfg_EOS_TH)-MIN(AD94,cfg_EOS_TH))+cfg_EOS_R2*(MAX(AC94-cfg_EOS_TH,0)-MAX(AD94-cfg_EOS_TH,0))))</f>
        <v/>
      </c>
      <c r="Z94" s="86" t="str">
        <f aca="false">IF($B94="","",IF(الموظفون!$R94&lt;&gt;"",الموظفون!$R94,IF(AC94&gt;=cfg_LV_TH,cfg_LV_D2,cfg_LV_D1))/cfg_DAYS_Y*AE94*الموظفون!$P94/cfg_DAYS_M)</f>
        <v/>
      </c>
      <c r="AA94" s="86" t="str">
        <f aca="false">IF($B94="","",IF(AND(الموظفون!$S94="نعم",N(الموظفون!$U94)&gt;0),الموظفون!$T94/الموظفون!$U94*12/cfg_DAYS_Y*AE94,0))</f>
        <v/>
      </c>
      <c r="AB94" s="108" t="str">
        <f aca="false">IF($B94="","",R94+SUM(X94:AA94))</f>
        <v/>
      </c>
      <c r="AC94" s="109" t="str">
        <f aca="false">IF($B94="","",MAX(0,IF(OR(الموظفون!$X94="",الموظفون!$X94&gt;$G$3),$G$3,الموظفون!$X94)-الموظفون!$H94+1)/cfg_DAYS_Y)</f>
        <v/>
      </c>
      <c r="AD94" s="109" t="str">
        <f aca="false">IF($B94="","",MAX(0,IF(OR(الموظفون!$X94="",الموظفون!$X94&gt;($E$3-1)),($E$3-1),الموظفون!$X94)-الموظفون!$H94+1)/cfg_DAYS_Y)</f>
        <v/>
      </c>
      <c r="AE94" s="51" t="str">
        <f aca="false">IF($B94="","",MAX(0,IF(OR(الموظفون!$X94="",الموظفون!$X94&gt;$G$3),$G$3,الموظفون!$X94)-MAX($E$3,الموظفون!$H94)+1))</f>
        <v/>
      </c>
    </row>
    <row r="95" customFormat="false" ht="15" hidden="false" customHeight="false" outlineLevel="0" collapsed="false">
      <c r="A95" s="89" t="str">
        <f aca="false">IF($B95="","",الموظفون!$A95)</f>
        <v/>
      </c>
      <c r="B95" s="91" t="str">
        <f aca="false">IF(الموظفون!$B95="","",الموظفون!$B95)</f>
        <v/>
      </c>
      <c r="C95" s="91" t="str">
        <f aca="false">IF($B95="","",الموظفون!$C95)</f>
        <v/>
      </c>
      <c r="D95" s="91" t="str">
        <f aca="false">IF($B95="","",الموظفون!$F95)</f>
        <v/>
      </c>
      <c r="E95" s="91" t="str">
        <f aca="false">IF($B95="","",الموظفون!$E95)</f>
        <v/>
      </c>
      <c r="F95" s="110" t="str">
        <f aca="false">IF($B95="","",IF(AE95&gt;=DAY($G$3),cfg_DAYS_M,MIN(AE95,cfg_DAYS_M)))</f>
        <v/>
      </c>
      <c r="G95" s="110" t="str">
        <f aca="false">IF($B95="","",SUMIFS('الحركات الشهرية'!$D$6:$D$1005,'الحركات الشهرية'!$B$6:$B$1005,$B95,'الحركات الشهرية'!$A$6:$A$1005,$C$3))</f>
        <v/>
      </c>
      <c r="H95" s="110" t="str">
        <f aca="false">IF($B95="","",SUMIFS('الحركات الشهرية'!$E$6:$E$1005,'الحركات الشهرية'!$B$6:$B$1005,$B95,'الحركات الشهرية'!$A$6:$A$1005,$C$3))</f>
        <v/>
      </c>
      <c r="I95" s="110" t="str">
        <f aca="false">IF($B95="","",MAX(0,F95-G95-H95))</f>
        <v/>
      </c>
      <c r="J95" s="90" t="str">
        <f aca="false">IF($B95="","",الموظفون!$J95*$I95/cfg_DAYS_M)</f>
        <v/>
      </c>
      <c r="K95" s="90" t="str">
        <f aca="false">IF($B95="","",الموظفون!$K95*$I95/cfg_DAYS_M)</f>
        <v/>
      </c>
      <c r="L95" s="90" t="str">
        <f aca="false">IF($B95="","",الموظفون!$L95*$I95/cfg_DAYS_M)</f>
        <v/>
      </c>
      <c r="M95" s="90" t="str">
        <f aca="false">IF($B95="","",الموظفون!$M95*$I95/cfg_DAYS_M)</f>
        <v/>
      </c>
      <c r="N95" s="110" t="str">
        <f aca="false">IF($B95="","",SUMIFS('الحركات الشهرية'!$F$6:$F$1005,'الحركات الشهرية'!$B$6:$B$1005,$B95,'الحركات الشهرية'!$A$6:$A$1005,$C$3))</f>
        <v/>
      </c>
      <c r="O95" s="90" t="str">
        <f aca="false">IF($B95="","",N95*(الموظفون!$N95+الموظفون!$J95*cfg_OT_P)/cfg_DAYS_M/cfg_HRS)</f>
        <v/>
      </c>
      <c r="P95" s="90" t="str">
        <f aca="false">IF($B95="","",SUMIFS('الحركات الشهرية'!$G$6:$G$1005,'الحركات الشهرية'!$B$6:$B$1005,$B95,'الحركات الشهرية'!$A$6:$A$1005,$C$3))</f>
        <v/>
      </c>
      <c r="Q95" s="90" t="str">
        <f aca="false">IF($B95="","",SUMIFS('الحركات الشهرية'!$H$6:$H$1005,'الحركات الشهرية'!$B$6:$B$1005,$B95,'الحركات الشهرية'!$A$6:$A$1005,$C$3))</f>
        <v/>
      </c>
      <c r="R95" s="111" t="str">
        <f aca="false">IF($B95="","",SUM(J95:M95)+SUM(O95:Q95))</f>
        <v/>
      </c>
      <c r="S95" s="90" t="str">
        <f aca="false">IF($B95="","",الموظفون!$Q95*IF(E95="سعودي",cfg_G_SE,cfg_G_NE)*F95/cfg_DAYS_M)</f>
        <v/>
      </c>
      <c r="T95" s="90" t="str">
        <f aca="false">IF($B95="","",SUMIFS('الحركات الشهرية'!$I$6:$I$1005,'الحركات الشهرية'!$B$6:$B$1005,$B95,'الحركات الشهرية'!$A$6:$A$1005,$C$3))</f>
        <v/>
      </c>
      <c r="U95" s="90" t="str">
        <f aca="false">IF($B95="","",SUMIFS('الحركات الشهرية'!$J$6:$J$1005,'الحركات الشهرية'!$B$6:$B$1005,$B95,'الحركات الشهرية'!$A$6:$A$1005,$C$3))</f>
        <v/>
      </c>
      <c r="V95" s="90" t="str">
        <f aca="false">IF($B95="","",SUM(S95:U95))</f>
        <v/>
      </c>
      <c r="W95" s="112" t="str">
        <f aca="false">IF($B95="","",R95-V95)</f>
        <v/>
      </c>
      <c r="X95" s="90" t="str">
        <f aca="false">IF($B95="","",الموظفون!$Q95*IF(E95="سعودي",cfg_G_SR,cfg_G_NR)*F95/cfg_DAYS_M)</f>
        <v/>
      </c>
      <c r="Y95" s="90" t="str">
        <f aca="false">IF($B95="","",الموظفون!$O95*(cfg_EOS_R1*(MIN(AC95,cfg_EOS_TH)-MIN(AD95,cfg_EOS_TH))+cfg_EOS_R2*(MAX(AC95-cfg_EOS_TH,0)-MAX(AD95-cfg_EOS_TH,0))))</f>
        <v/>
      </c>
      <c r="Z95" s="90" t="str">
        <f aca="false">IF($B95="","",IF(الموظفون!$R95&lt;&gt;"",الموظفون!$R95,IF(AC95&gt;=cfg_LV_TH,cfg_LV_D2,cfg_LV_D1))/cfg_DAYS_Y*AE95*الموظفون!$P95/cfg_DAYS_M)</f>
        <v/>
      </c>
      <c r="AA95" s="90" t="str">
        <f aca="false">IF($B95="","",IF(AND(الموظفون!$S95="نعم",N(الموظفون!$U95)&gt;0),الموظفون!$T95/الموظفون!$U95*12/cfg_DAYS_Y*AE95,0))</f>
        <v/>
      </c>
      <c r="AB95" s="113" t="str">
        <f aca="false">IF($B95="","",R95+SUM(X95:AA95))</f>
        <v/>
      </c>
      <c r="AC95" s="114" t="str">
        <f aca="false">IF($B95="","",MAX(0,IF(OR(الموظفون!$X95="",الموظفون!$X95&gt;$G$3),$G$3,الموظفون!$X95)-الموظفون!$H95+1)/cfg_DAYS_Y)</f>
        <v/>
      </c>
      <c r="AD95" s="114" t="str">
        <f aca="false">IF($B95="","",MAX(0,IF(OR(الموظفون!$X95="",الموظفون!$X95&gt;($E$3-1)),($E$3-1),الموظفون!$X95)-الموظفون!$H95+1)/cfg_DAYS_Y)</f>
        <v/>
      </c>
      <c r="AE95" s="115" t="str">
        <f aca="false">IF($B95="","",MAX(0,IF(OR(الموظفون!$X95="",الموظفون!$X95&gt;$G$3),$G$3,الموظفون!$X95)-MAX($E$3,الموظفون!$H95)+1))</f>
        <v/>
      </c>
    </row>
    <row r="96" customFormat="false" ht="15" hidden="false" customHeight="false" outlineLevel="0" collapsed="false">
      <c r="A96" s="83" t="str">
        <f aca="false">IF($B96="","",الموظفون!$A96)</f>
        <v/>
      </c>
      <c r="B96" s="74" t="str">
        <f aca="false">IF(الموظفون!$B96="","",الموظفون!$B96)</f>
        <v/>
      </c>
      <c r="C96" s="74" t="str">
        <f aca="false">IF($B96="","",الموظفون!$C96)</f>
        <v/>
      </c>
      <c r="D96" s="74" t="str">
        <f aca="false">IF($B96="","",الموظفون!$F96)</f>
        <v/>
      </c>
      <c r="E96" s="74" t="str">
        <f aca="false">IF($B96="","",الموظفون!$E96)</f>
        <v/>
      </c>
      <c r="F96" s="105" t="str">
        <f aca="false">IF($B96="","",IF(AE96&gt;=DAY($G$3),cfg_DAYS_M,MIN(AE96,cfg_DAYS_M)))</f>
        <v/>
      </c>
      <c r="G96" s="105" t="str">
        <f aca="false">IF($B96="","",SUMIFS('الحركات الشهرية'!$D$6:$D$1005,'الحركات الشهرية'!$B$6:$B$1005,$B96,'الحركات الشهرية'!$A$6:$A$1005,$C$3))</f>
        <v/>
      </c>
      <c r="H96" s="105" t="str">
        <f aca="false">IF($B96="","",SUMIFS('الحركات الشهرية'!$E$6:$E$1005,'الحركات الشهرية'!$B$6:$B$1005,$B96,'الحركات الشهرية'!$A$6:$A$1005,$C$3))</f>
        <v/>
      </c>
      <c r="I96" s="105" t="str">
        <f aca="false">IF($B96="","",MAX(0,F96-G96-H96))</f>
        <v/>
      </c>
      <c r="J96" s="86" t="str">
        <f aca="false">IF($B96="","",الموظفون!$J96*$I96/cfg_DAYS_M)</f>
        <v/>
      </c>
      <c r="K96" s="86" t="str">
        <f aca="false">IF($B96="","",الموظفون!$K96*$I96/cfg_DAYS_M)</f>
        <v/>
      </c>
      <c r="L96" s="86" t="str">
        <f aca="false">IF($B96="","",الموظفون!$L96*$I96/cfg_DAYS_M)</f>
        <v/>
      </c>
      <c r="M96" s="86" t="str">
        <f aca="false">IF($B96="","",الموظفون!$M96*$I96/cfg_DAYS_M)</f>
        <v/>
      </c>
      <c r="N96" s="105" t="str">
        <f aca="false">IF($B96="","",SUMIFS('الحركات الشهرية'!$F$6:$F$1005,'الحركات الشهرية'!$B$6:$B$1005,$B96,'الحركات الشهرية'!$A$6:$A$1005,$C$3))</f>
        <v/>
      </c>
      <c r="O96" s="86" t="str">
        <f aca="false">IF($B96="","",N96*(الموظفون!$N96+الموظفون!$J96*cfg_OT_P)/cfg_DAYS_M/cfg_HRS)</f>
        <v/>
      </c>
      <c r="P96" s="86" t="str">
        <f aca="false">IF($B96="","",SUMIFS('الحركات الشهرية'!$G$6:$G$1005,'الحركات الشهرية'!$B$6:$B$1005,$B96,'الحركات الشهرية'!$A$6:$A$1005,$C$3))</f>
        <v/>
      </c>
      <c r="Q96" s="86" t="str">
        <f aca="false">IF($B96="","",SUMIFS('الحركات الشهرية'!$H$6:$H$1005,'الحركات الشهرية'!$B$6:$B$1005,$B96,'الحركات الشهرية'!$A$6:$A$1005,$C$3))</f>
        <v/>
      </c>
      <c r="R96" s="106" t="str">
        <f aca="false">IF($B96="","",SUM(J96:M96)+SUM(O96:Q96))</f>
        <v/>
      </c>
      <c r="S96" s="86" t="str">
        <f aca="false">IF($B96="","",الموظفون!$Q96*IF(E96="سعودي",cfg_G_SE,cfg_G_NE)*F96/cfg_DAYS_M)</f>
        <v/>
      </c>
      <c r="T96" s="86" t="str">
        <f aca="false">IF($B96="","",SUMIFS('الحركات الشهرية'!$I$6:$I$1005,'الحركات الشهرية'!$B$6:$B$1005,$B96,'الحركات الشهرية'!$A$6:$A$1005,$C$3))</f>
        <v/>
      </c>
      <c r="U96" s="86" t="str">
        <f aca="false">IF($B96="","",SUMIFS('الحركات الشهرية'!$J$6:$J$1005,'الحركات الشهرية'!$B$6:$B$1005,$B96,'الحركات الشهرية'!$A$6:$A$1005,$C$3))</f>
        <v/>
      </c>
      <c r="V96" s="86" t="str">
        <f aca="false">IF($B96="","",SUM(S96:U96))</f>
        <v/>
      </c>
      <c r="W96" s="107" t="str">
        <f aca="false">IF($B96="","",R96-V96)</f>
        <v/>
      </c>
      <c r="X96" s="86" t="str">
        <f aca="false">IF($B96="","",الموظفون!$Q96*IF(E96="سعودي",cfg_G_SR,cfg_G_NR)*F96/cfg_DAYS_M)</f>
        <v/>
      </c>
      <c r="Y96" s="86" t="str">
        <f aca="false">IF($B96="","",الموظفون!$O96*(cfg_EOS_R1*(MIN(AC96,cfg_EOS_TH)-MIN(AD96,cfg_EOS_TH))+cfg_EOS_R2*(MAX(AC96-cfg_EOS_TH,0)-MAX(AD96-cfg_EOS_TH,0))))</f>
        <v/>
      </c>
      <c r="Z96" s="86" t="str">
        <f aca="false">IF($B96="","",IF(الموظفون!$R96&lt;&gt;"",الموظفون!$R96,IF(AC96&gt;=cfg_LV_TH,cfg_LV_D2,cfg_LV_D1))/cfg_DAYS_Y*AE96*الموظفون!$P96/cfg_DAYS_M)</f>
        <v/>
      </c>
      <c r="AA96" s="86" t="str">
        <f aca="false">IF($B96="","",IF(AND(الموظفون!$S96="نعم",N(الموظفون!$U96)&gt;0),الموظفون!$T96/الموظفون!$U96*12/cfg_DAYS_Y*AE96,0))</f>
        <v/>
      </c>
      <c r="AB96" s="108" t="str">
        <f aca="false">IF($B96="","",R96+SUM(X96:AA96))</f>
        <v/>
      </c>
      <c r="AC96" s="109" t="str">
        <f aca="false">IF($B96="","",MAX(0,IF(OR(الموظفون!$X96="",الموظفون!$X96&gt;$G$3),$G$3,الموظفون!$X96)-الموظفون!$H96+1)/cfg_DAYS_Y)</f>
        <v/>
      </c>
      <c r="AD96" s="109" t="str">
        <f aca="false">IF($B96="","",MAX(0,IF(OR(الموظفون!$X96="",الموظفون!$X96&gt;($E$3-1)),($E$3-1),الموظفون!$X96)-الموظفون!$H96+1)/cfg_DAYS_Y)</f>
        <v/>
      </c>
      <c r="AE96" s="51" t="str">
        <f aca="false">IF($B96="","",MAX(0,IF(OR(الموظفون!$X96="",الموظفون!$X96&gt;$G$3),$G$3,الموظفون!$X96)-MAX($E$3,الموظفون!$H96)+1))</f>
        <v/>
      </c>
    </row>
    <row r="97" customFormat="false" ht="15" hidden="false" customHeight="false" outlineLevel="0" collapsed="false">
      <c r="A97" s="89" t="str">
        <f aca="false">IF($B97="","",الموظفون!$A97)</f>
        <v/>
      </c>
      <c r="B97" s="91" t="str">
        <f aca="false">IF(الموظفون!$B97="","",الموظفون!$B97)</f>
        <v/>
      </c>
      <c r="C97" s="91" t="str">
        <f aca="false">IF($B97="","",الموظفون!$C97)</f>
        <v/>
      </c>
      <c r="D97" s="91" t="str">
        <f aca="false">IF($B97="","",الموظفون!$F97)</f>
        <v/>
      </c>
      <c r="E97" s="91" t="str">
        <f aca="false">IF($B97="","",الموظفون!$E97)</f>
        <v/>
      </c>
      <c r="F97" s="110" t="str">
        <f aca="false">IF($B97="","",IF(AE97&gt;=DAY($G$3),cfg_DAYS_M,MIN(AE97,cfg_DAYS_M)))</f>
        <v/>
      </c>
      <c r="G97" s="110" t="str">
        <f aca="false">IF($B97="","",SUMIFS('الحركات الشهرية'!$D$6:$D$1005,'الحركات الشهرية'!$B$6:$B$1005,$B97,'الحركات الشهرية'!$A$6:$A$1005,$C$3))</f>
        <v/>
      </c>
      <c r="H97" s="110" t="str">
        <f aca="false">IF($B97="","",SUMIFS('الحركات الشهرية'!$E$6:$E$1005,'الحركات الشهرية'!$B$6:$B$1005,$B97,'الحركات الشهرية'!$A$6:$A$1005,$C$3))</f>
        <v/>
      </c>
      <c r="I97" s="110" t="str">
        <f aca="false">IF($B97="","",MAX(0,F97-G97-H97))</f>
        <v/>
      </c>
      <c r="J97" s="90" t="str">
        <f aca="false">IF($B97="","",الموظفون!$J97*$I97/cfg_DAYS_M)</f>
        <v/>
      </c>
      <c r="K97" s="90" t="str">
        <f aca="false">IF($B97="","",الموظفون!$K97*$I97/cfg_DAYS_M)</f>
        <v/>
      </c>
      <c r="L97" s="90" t="str">
        <f aca="false">IF($B97="","",الموظفون!$L97*$I97/cfg_DAYS_M)</f>
        <v/>
      </c>
      <c r="M97" s="90" t="str">
        <f aca="false">IF($B97="","",الموظفون!$M97*$I97/cfg_DAYS_M)</f>
        <v/>
      </c>
      <c r="N97" s="110" t="str">
        <f aca="false">IF($B97="","",SUMIFS('الحركات الشهرية'!$F$6:$F$1005,'الحركات الشهرية'!$B$6:$B$1005,$B97,'الحركات الشهرية'!$A$6:$A$1005,$C$3))</f>
        <v/>
      </c>
      <c r="O97" s="90" t="str">
        <f aca="false">IF($B97="","",N97*(الموظفون!$N97+الموظفون!$J97*cfg_OT_P)/cfg_DAYS_M/cfg_HRS)</f>
        <v/>
      </c>
      <c r="P97" s="90" t="str">
        <f aca="false">IF($B97="","",SUMIFS('الحركات الشهرية'!$G$6:$G$1005,'الحركات الشهرية'!$B$6:$B$1005,$B97,'الحركات الشهرية'!$A$6:$A$1005,$C$3))</f>
        <v/>
      </c>
      <c r="Q97" s="90" t="str">
        <f aca="false">IF($B97="","",SUMIFS('الحركات الشهرية'!$H$6:$H$1005,'الحركات الشهرية'!$B$6:$B$1005,$B97,'الحركات الشهرية'!$A$6:$A$1005,$C$3))</f>
        <v/>
      </c>
      <c r="R97" s="111" t="str">
        <f aca="false">IF($B97="","",SUM(J97:M97)+SUM(O97:Q97))</f>
        <v/>
      </c>
      <c r="S97" s="90" t="str">
        <f aca="false">IF($B97="","",الموظفون!$Q97*IF(E97="سعودي",cfg_G_SE,cfg_G_NE)*F97/cfg_DAYS_M)</f>
        <v/>
      </c>
      <c r="T97" s="90" t="str">
        <f aca="false">IF($B97="","",SUMIFS('الحركات الشهرية'!$I$6:$I$1005,'الحركات الشهرية'!$B$6:$B$1005,$B97,'الحركات الشهرية'!$A$6:$A$1005,$C$3))</f>
        <v/>
      </c>
      <c r="U97" s="90" t="str">
        <f aca="false">IF($B97="","",SUMIFS('الحركات الشهرية'!$J$6:$J$1005,'الحركات الشهرية'!$B$6:$B$1005,$B97,'الحركات الشهرية'!$A$6:$A$1005,$C$3))</f>
        <v/>
      </c>
      <c r="V97" s="90" t="str">
        <f aca="false">IF($B97="","",SUM(S97:U97))</f>
        <v/>
      </c>
      <c r="W97" s="112" t="str">
        <f aca="false">IF($B97="","",R97-V97)</f>
        <v/>
      </c>
      <c r="X97" s="90" t="str">
        <f aca="false">IF($B97="","",الموظفون!$Q97*IF(E97="سعودي",cfg_G_SR,cfg_G_NR)*F97/cfg_DAYS_M)</f>
        <v/>
      </c>
      <c r="Y97" s="90" t="str">
        <f aca="false">IF($B97="","",الموظفون!$O97*(cfg_EOS_R1*(MIN(AC97,cfg_EOS_TH)-MIN(AD97,cfg_EOS_TH))+cfg_EOS_R2*(MAX(AC97-cfg_EOS_TH,0)-MAX(AD97-cfg_EOS_TH,0))))</f>
        <v/>
      </c>
      <c r="Z97" s="90" t="str">
        <f aca="false">IF($B97="","",IF(الموظفون!$R97&lt;&gt;"",الموظفون!$R97,IF(AC97&gt;=cfg_LV_TH,cfg_LV_D2,cfg_LV_D1))/cfg_DAYS_Y*AE97*الموظفون!$P97/cfg_DAYS_M)</f>
        <v/>
      </c>
      <c r="AA97" s="90" t="str">
        <f aca="false">IF($B97="","",IF(AND(الموظفون!$S97="نعم",N(الموظفون!$U97)&gt;0),الموظفون!$T97/الموظفون!$U97*12/cfg_DAYS_Y*AE97,0))</f>
        <v/>
      </c>
      <c r="AB97" s="113" t="str">
        <f aca="false">IF($B97="","",R97+SUM(X97:AA97))</f>
        <v/>
      </c>
      <c r="AC97" s="114" t="str">
        <f aca="false">IF($B97="","",MAX(0,IF(OR(الموظفون!$X97="",الموظفون!$X97&gt;$G$3),$G$3,الموظفون!$X97)-الموظفون!$H97+1)/cfg_DAYS_Y)</f>
        <v/>
      </c>
      <c r="AD97" s="114" t="str">
        <f aca="false">IF($B97="","",MAX(0,IF(OR(الموظفون!$X97="",الموظفون!$X97&gt;($E$3-1)),($E$3-1),الموظفون!$X97)-الموظفون!$H97+1)/cfg_DAYS_Y)</f>
        <v/>
      </c>
      <c r="AE97" s="115" t="str">
        <f aca="false">IF($B97="","",MAX(0,IF(OR(الموظفون!$X97="",الموظفون!$X97&gt;$G$3),$G$3,الموظفون!$X97)-MAX($E$3,الموظفون!$H97)+1))</f>
        <v/>
      </c>
    </row>
    <row r="98" customFormat="false" ht="15" hidden="false" customHeight="false" outlineLevel="0" collapsed="false">
      <c r="A98" s="83" t="str">
        <f aca="false">IF($B98="","",الموظفون!$A98)</f>
        <v/>
      </c>
      <c r="B98" s="74" t="str">
        <f aca="false">IF(الموظفون!$B98="","",الموظفون!$B98)</f>
        <v/>
      </c>
      <c r="C98" s="74" t="str">
        <f aca="false">IF($B98="","",الموظفون!$C98)</f>
        <v/>
      </c>
      <c r="D98" s="74" t="str">
        <f aca="false">IF($B98="","",الموظفون!$F98)</f>
        <v/>
      </c>
      <c r="E98" s="74" t="str">
        <f aca="false">IF($B98="","",الموظفون!$E98)</f>
        <v/>
      </c>
      <c r="F98" s="105" t="str">
        <f aca="false">IF($B98="","",IF(AE98&gt;=DAY($G$3),cfg_DAYS_M,MIN(AE98,cfg_DAYS_M)))</f>
        <v/>
      </c>
      <c r="G98" s="105" t="str">
        <f aca="false">IF($B98="","",SUMIFS('الحركات الشهرية'!$D$6:$D$1005,'الحركات الشهرية'!$B$6:$B$1005,$B98,'الحركات الشهرية'!$A$6:$A$1005,$C$3))</f>
        <v/>
      </c>
      <c r="H98" s="105" t="str">
        <f aca="false">IF($B98="","",SUMIFS('الحركات الشهرية'!$E$6:$E$1005,'الحركات الشهرية'!$B$6:$B$1005,$B98,'الحركات الشهرية'!$A$6:$A$1005,$C$3))</f>
        <v/>
      </c>
      <c r="I98" s="105" t="str">
        <f aca="false">IF($B98="","",MAX(0,F98-G98-H98))</f>
        <v/>
      </c>
      <c r="J98" s="86" t="str">
        <f aca="false">IF($B98="","",الموظفون!$J98*$I98/cfg_DAYS_M)</f>
        <v/>
      </c>
      <c r="K98" s="86" t="str">
        <f aca="false">IF($B98="","",الموظفون!$K98*$I98/cfg_DAYS_M)</f>
        <v/>
      </c>
      <c r="L98" s="86" t="str">
        <f aca="false">IF($B98="","",الموظفون!$L98*$I98/cfg_DAYS_M)</f>
        <v/>
      </c>
      <c r="M98" s="86" t="str">
        <f aca="false">IF($B98="","",الموظفون!$M98*$I98/cfg_DAYS_M)</f>
        <v/>
      </c>
      <c r="N98" s="105" t="str">
        <f aca="false">IF($B98="","",SUMIFS('الحركات الشهرية'!$F$6:$F$1005,'الحركات الشهرية'!$B$6:$B$1005,$B98,'الحركات الشهرية'!$A$6:$A$1005,$C$3))</f>
        <v/>
      </c>
      <c r="O98" s="86" t="str">
        <f aca="false">IF($B98="","",N98*(الموظفون!$N98+الموظفون!$J98*cfg_OT_P)/cfg_DAYS_M/cfg_HRS)</f>
        <v/>
      </c>
      <c r="P98" s="86" t="str">
        <f aca="false">IF($B98="","",SUMIFS('الحركات الشهرية'!$G$6:$G$1005,'الحركات الشهرية'!$B$6:$B$1005,$B98,'الحركات الشهرية'!$A$6:$A$1005,$C$3))</f>
        <v/>
      </c>
      <c r="Q98" s="86" t="str">
        <f aca="false">IF($B98="","",SUMIFS('الحركات الشهرية'!$H$6:$H$1005,'الحركات الشهرية'!$B$6:$B$1005,$B98,'الحركات الشهرية'!$A$6:$A$1005,$C$3))</f>
        <v/>
      </c>
      <c r="R98" s="106" t="str">
        <f aca="false">IF($B98="","",SUM(J98:M98)+SUM(O98:Q98))</f>
        <v/>
      </c>
      <c r="S98" s="86" t="str">
        <f aca="false">IF($B98="","",الموظفون!$Q98*IF(E98="سعودي",cfg_G_SE,cfg_G_NE)*F98/cfg_DAYS_M)</f>
        <v/>
      </c>
      <c r="T98" s="86" t="str">
        <f aca="false">IF($B98="","",SUMIFS('الحركات الشهرية'!$I$6:$I$1005,'الحركات الشهرية'!$B$6:$B$1005,$B98,'الحركات الشهرية'!$A$6:$A$1005,$C$3))</f>
        <v/>
      </c>
      <c r="U98" s="86" t="str">
        <f aca="false">IF($B98="","",SUMIFS('الحركات الشهرية'!$J$6:$J$1005,'الحركات الشهرية'!$B$6:$B$1005,$B98,'الحركات الشهرية'!$A$6:$A$1005,$C$3))</f>
        <v/>
      </c>
      <c r="V98" s="86" t="str">
        <f aca="false">IF($B98="","",SUM(S98:U98))</f>
        <v/>
      </c>
      <c r="W98" s="107" t="str">
        <f aca="false">IF($B98="","",R98-V98)</f>
        <v/>
      </c>
      <c r="X98" s="86" t="str">
        <f aca="false">IF($B98="","",الموظفون!$Q98*IF(E98="سعودي",cfg_G_SR,cfg_G_NR)*F98/cfg_DAYS_M)</f>
        <v/>
      </c>
      <c r="Y98" s="86" t="str">
        <f aca="false">IF($B98="","",الموظفون!$O98*(cfg_EOS_R1*(MIN(AC98,cfg_EOS_TH)-MIN(AD98,cfg_EOS_TH))+cfg_EOS_R2*(MAX(AC98-cfg_EOS_TH,0)-MAX(AD98-cfg_EOS_TH,0))))</f>
        <v/>
      </c>
      <c r="Z98" s="86" t="str">
        <f aca="false">IF($B98="","",IF(الموظفون!$R98&lt;&gt;"",الموظفون!$R98,IF(AC98&gt;=cfg_LV_TH,cfg_LV_D2,cfg_LV_D1))/cfg_DAYS_Y*AE98*الموظفون!$P98/cfg_DAYS_M)</f>
        <v/>
      </c>
      <c r="AA98" s="86" t="str">
        <f aca="false">IF($B98="","",IF(AND(الموظفون!$S98="نعم",N(الموظفون!$U98)&gt;0),الموظفون!$T98/الموظفون!$U98*12/cfg_DAYS_Y*AE98,0))</f>
        <v/>
      </c>
      <c r="AB98" s="108" t="str">
        <f aca="false">IF($B98="","",R98+SUM(X98:AA98))</f>
        <v/>
      </c>
      <c r="AC98" s="109" t="str">
        <f aca="false">IF($B98="","",MAX(0,IF(OR(الموظفون!$X98="",الموظفون!$X98&gt;$G$3),$G$3,الموظفون!$X98)-الموظفون!$H98+1)/cfg_DAYS_Y)</f>
        <v/>
      </c>
      <c r="AD98" s="109" t="str">
        <f aca="false">IF($B98="","",MAX(0,IF(OR(الموظفون!$X98="",الموظفون!$X98&gt;($E$3-1)),($E$3-1),الموظفون!$X98)-الموظفون!$H98+1)/cfg_DAYS_Y)</f>
        <v/>
      </c>
      <c r="AE98" s="51" t="str">
        <f aca="false">IF($B98="","",MAX(0,IF(OR(الموظفون!$X98="",الموظفون!$X98&gt;$G$3),$G$3,الموظفون!$X98)-MAX($E$3,الموظفون!$H98)+1))</f>
        <v/>
      </c>
    </row>
    <row r="99" customFormat="false" ht="15" hidden="false" customHeight="false" outlineLevel="0" collapsed="false">
      <c r="A99" s="89" t="str">
        <f aca="false">IF($B99="","",الموظفون!$A99)</f>
        <v/>
      </c>
      <c r="B99" s="91" t="str">
        <f aca="false">IF(الموظفون!$B99="","",الموظفون!$B99)</f>
        <v/>
      </c>
      <c r="C99" s="91" t="str">
        <f aca="false">IF($B99="","",الموظفون!$C99)</f>
        <v/>
      </c>
      <c r="D99" s="91" t="str">
        <f aca="false">IF($B99="","",الموظفون!$F99)</f>
        <v/>
      </c>
      <c r="E99" s="91" t="str">
        <f aca="false">IF($B99="","",الموظفون!$E99)</f>
        <v/>
      </c>
      <c r="F99" s="110" t="str">
        <f aca="false">IF($B99="","",IF(AE99&gt;=DAY($G$3),cfg_DAYS_M,MIN(AE99,cfg_DAYS_M)))</f>
        <v/>
      </c>
      <c r="G99" s="110" t="str">
        <f aca="false">IF($B99="","",SUMIFS('الحركات الشهرية'!$D$6:$D$1005,'الحركات الشهرية'!$B$6:$B$1005,$B99,'الحركات الشهرية'!$A$6:$A$1005,$C$3))</f>
        <v/>
      </c>
      <c r="H99" s="110" t="str">
        <f aca="false">IF($B99="","",SUMIFS('الحركات الشهرية'!$E$6:$E$1005,'الحركات الشهرية'!$B$6:$B$1005,$B99,'الحركات الشهرية'!$A$6:$A$1005,$C$3))</f>
        <v/>
      </c>
      <c r="I99" s="110" t="str">
        <f aca="false">IF($B99="","",MAX(0,F99-G99-H99))</f>
        <v/>
      </c>
      <c r="J99" s="90" t="str">
        <f aca="false">IF($B99="","",الموظفون!$J99*$I99/cfg_DAYS_M)</f>
        <v/>
      </c>
      <c r="K99" s="90" t="str">
        <f aca="false">IF($B99="","",الموظفون!$K99*$I99/cfg_DAYS_M)</f>
        <v/>
      </c>
      <c r="L99" s="90" t="str">
        <f aca="false">IF($B99="","",الموظفون!$L99*$I99/cfg_DAYS_M)</f>
        <v/>
      </c>
      <c r="M99" s="90" t="str">
        <f aca="false">IF($B99="","",الموظفون!$M99*$I99/cfg_DAYS_M)</f>
        <v/>
      </c>
      <c r="N99" s="110" t="str">
        <f aca="false">IF($B99="","",SUMIFS('الحركات الشهرية'!$F$6:$F$1005,'الحركات الشهرية'!$B$6:$B$1005,$B99,'الحركات الشهرية'!$A$6:$A$1005,$C$3))</f>
        <v/>
      </c>
      <c r="O99" s="90" t="str">
        <f aca="false">IF($B99="","",N99*(الموظفون!$N99+الموظفون!$J99*cfg_OT_P)/cfg_DAYS_M/cfg_HRS)</f>
        <v/>
      </c>
      <c r="P99" s="90" t="str">
        <f aca="false">IF($B99="","",SUMIFS('الحركات الشهرية'!$G$6:$G$1005,'الحركات الشهرية'!$B$6:$B$1005,$B99,'الحركات الشهرية'!$A$6:$A$1005,$C$3))</f>
        <v/>
      </c>
      <c r="Q99" s="90" t="str">
        <f aca="false">IF($B99="","",SUMIFS('الحركات الشهرية'!$H$6:$H$1005,'الحركات الشهرية'!$B$6:$B$1005,$B99,'الحركات الشهرية'!$A$6:$A$1005,$C$3))</f>
        <v/>
      </c>
      <c r="R99" s="111" t="str">
        <f aca="false">IF($B99="","",SUM(J99:M99)+SUM(O99:Q99))</f>
        <v/>
      </c>
      <c r="S99" s="90" t="str">
        <f aca="false">IF($B99="","",الموظفون!$Q99*IF(E99="سعودي",cfg_G_SE,cfg_G_NE)*F99/cfg_DAYS_M)</f>
        <v/>
      </c>
      <c r="T99" s="90" t="str">
        <f aca="false">IF($B99="","",SUMIFS('الحركات الشهرية'!$I$6:$I$1005,'الحركات الشهرية'!$B$6:$B$1005,$B99,'الحركات الشهرية'!$A$6:$A$1005,$C$3))</f>
        <v/>
      </c>
      <c r="U99" s="90" t="str">
        <f aca="false">IF($B99="","",SUMIFS('الحركات الشهرية'!$J$6:$J$1005,'الحركات الشهرية'!$B$6:$B$1005,$B99,'الحركات الشهرية'!$A$6:$A$1005,$C$3))</f>
        <v/>
      </c>
      <c r="V99" s="90" t="str">
        <f aca="false">IF($B99="","",SUM(S99:U99))</f>
        <v/>
      </c>
      <c r="W99" s="112" t="str">
        <f aca="false">IF($B99="","",R99-V99)</f>
        <v/>
      </c>
      <c r="X99" s="90" t="str">
        <f aca="false">IF($B99="","",الموظفون!$Q99*IF(E99="سعودي",cfg_G_SR,cfg_G_NR)*F99/cfg_DAYS_M)</f>
        <v/>
      </c>
      <c r="Y99" s="90" t="str">
        <f aca="false">IF($B99="","",الموظفون!$O99*(cfg_EOS_R1*(MIN(AC99,cfg_EOS_TH)-MIN(AD99,cfg_EOS_TH))+cfg_EOS_R2*(MAX(AC99-cfg_EOS_TH,0)-MAX(AD99-cfg_EOS_TH,0))))</f>
        <v/>
      </c>
      <c r="Z99" s="90" t="str">
        <f aca="false">IF($B99="","",IF(الموظفون!$R99&lt;&gt;"",الموظفون!$R99,IF(AC99&gt;=cfg_LV_TH,cfg_LV_D2,cfg_LV_D1))/cfg_DAYS_Y*AE99*الموظفون!$P99/cfg_DAYS_M)</f>
        <v/>
      </c>
      <c r="AA99" s="90" t="str">
        <f aca="false">IF($B99="","",IF(AND(الموظفون!$S99="نعم",N(الموظفون!$U99)&gt;0),الموظفون!$T99/الموظفون!$U99*12/cfg_DAYS_Y*AE99,0))</f>
        <v/>
      </c>
      <c r="AB99" s="113" t="str">
        <f aca="false">IF($B99="","",R99+SUM(X99:AA99))</f>
        <v/>
      </c>
      <c r="AC99" s="114" t="str">
        <f aca="false">IF($B99="","",MAX(0,IF(OR(الموظفون!$X99="",الموظفون!$X99&gt;$G$3),$G$3,الموظفون!$X99)-الموظفون!$H99+1)/cfg_DAYS_Y)</f>
        <v/>
      </c>
      <c r="AD99" s="114" t="str">
        <f aca="false">IF($B99="","",MAX(0,IF(OR(الموظفون!$X99="",الموظفون!$X99&gt;($E$3-1)),($E$3-1),الموظفون!$X99)-الموظفون!$H99+1)/cfg_DAYS_Y)</f>
        <v/>
      </c>
      <c r="AE99" s="115" t="str">
        <f aca="false">IF($B99="","",MAX(0,IF(OR(الموظفون!$X99="",الموظفون!$X99&gt;$G$3),$G$3,الموظفون!$X99)-MAX($E$3,الموظفون!$H99)+1))</f>
        <v/>
      </c>
    </row>
    <row r="100" customFormat="false" ht="15" hidden="false" customHeight="false" outlineLevel="0" collapsed="false">
      <c r="A100" s="83" t="str">
        <f aca="false">IF($B100="","",الموظفون!$A100)</f>
        <v/>
      </c>
      <c r="B100" s="74" t="str">
        <f aca="false">IF(الموظفون!$B100="","",الموظفون!$B100)</f>
        <v/>
      </c>
      <c r="C100" s="74" t="str">
        <f aca="false">IF($B100="","",الموظفون!$C100)</f>
        <v/>
      </c>
      <c r="D100" s="74" t="str">
        <f aca="false">IF($B100="","",الموظفون!$F100)</f>
        <v/>
      </c>
      <c r="E100" s="74" t="str">
        <f aca="false">IF($B100="","",الموظفون!$E100)</f>
        <v/>
      </c>
      <c r="F100" s="105" t="str">
        <f aca="false">IF($B100="","",IF(AE100&gt;=DAY($G$3),cfg_DAYS_M,MIN(AE100,cfg_DAYS_M)))</f>
        <v/>
      </c>
      <c r="G100" s="105" t="str">
        <f aca="false">IF($B100="","",SUMIFS('الحركات الشهرية'!$D$6:$D$1005,'الحركات الشهرية'!$B$6:$B$1005,$B100,'الحركات الشهرية'!$A$6:$A$1005,$C$3))</f>
        <v/>
      </c>
      <c r="H100" s="105" t="str">
        <f aca="false">IF($B100="","",SUMIFS('الحركات الشهرية'!$E$6:$E$1005,'الحركات الشهرية'!$B$6:$B$1005,$B100,'الحركات الشهرية'!$A$6:$A$1005,$C$3))</f>
        <v/>
      </c>
      <c r="I100" s="105" t="str">
        <f aca="false">IF($B100="","",MAX(0,F100-G100-H100))</f>
        <v/>
      </c>
      <c r="J100" s="86" t="str">
        <f aca="false">IF($B100="","",الموظفون!$J100*$I100/cfg_DAYS_M)</f>
        <v/>
      </c>
      <c r="K100" s="86" t="str">
        <f aca="false">IF($B100="","",الموظفون!$K100*$I100/cfg_DAYS_M)</f>
        <v/>
      </c>
      <c r="L100" s="86" t="str">
        <f aca="false">IF($B100="","",الموظفون!$L100*$I100/cfg_DAYS_M)</f>
        <v/>
      </c>
      <c r="M100" s="86" t="str">
        <f aca="false">IF($B100="","",الموظفون!$M100*$I100/cfg_DAYS_M)</f>
        <v/>
      </c>
      <c r="N100" s="105" t="str">
        <f aca="false">IF($B100="","",SUMIFS('الحركات الشهرية'!$F$6:$F$1005,'الحركات الشهرية'!$B$6:$B$1005,$B100,'الحركات الشهرية'!$A$6:$A$1005,$C$3))</f>
        <v/>
      </c>
      <c r="O100" s="86" t="str">
        <f aca="false">IF($B100="","",N100*(الموظفون!$N100+الموظفون!$J100*cfg_OT_P)/cfg_DAYS_M/cfg_HRS)</f>
        <v/>
      </c>
      <c r="P100" s="86" t="str">
        <f aca="false">IF($B100="","",SUMIFS('الحركات الشهرية'!$G$6:$G$1005,'الحركات الشهرية'!$B$6:$B$1005,$B100,'الحركات الشهرية'!$A$6:$A$1005,$C$3))</f>
        <v/>
      </c>
      <c r="Q100" s="86" t="str">
        <f aca="false">IF($B100="","",SUMIFS('الحركات الشهرية'!$H$6:$H$1005,'الحركات الشهرية'!$B$6:$B$1005,$B100,'الحركات الشهرية'!$A$6:$A$1005,$C$3))</f>
        <v/>
      </c>
      <c r="R100" s="106" t="str">
        <f aca="false">IF($B100="","",SUM(J100:M100)+SUM(O100:Q100))</f>
        <v/>
      </c>
      <c r="S100" s="86" t="str">
        <f aca="false">IF($B100="","",الموظفون!$Q100*IF(E100="سعودي",cfg_G_SE,cfg_G_NE)*F100/cfg_DAYS_M)</f>
        <v/>
      </c>
      <c r="T100" s="86" t="str">
        <f aca="false">IF($B100="","",SUMIFS('الحركات الشهرية'!$I$6:$I$1005,'الحركات الشهرية'!$B$6:$B$1005,$B100,'الحركات الشهرية'!$A$6:$A$1005,$C$3))</f>
        <v/>
      </c>
      <c r="U100" s="86" t="str">
        <f aca="false">IF($B100="","",SUMIFS('الحركات الشهرية'!$J$6:$J$1005,'الحركات الشهرية'!$B$6:$B$1005,$B100,'الحركات الشهرية'!$A$6:$A$1005,$C$3))</f>
        <v/>
      </c>
      <c r="V100" s="86" t="str">
        <f aca="false">IF($B100="","",SUM(S100:U100))</f>
        <v/>
      </c>
      <c r="W100" s="107" t="str">
        <f aca="false">IF($B100="","",R100-V100)</f>
        <v/>
      </c>
      <c r="X100" s="86" t="str">
        <f aca="false">IF($B100="","",الموظفون!$Q100*IF(E100="سعودي",cfg_G_SR,cfg_G_NR)*F100/cfg_DAYS_M)</f>
        <v/>
      </c>
      <c r="Y100" s="86" t="str">
        <f aca="false">IF($B100="","",الموظفون!$O100*(cfg_EOS_R1*(MIN(AC100,cfg_EOS_TH)-MIN(AD100,cfg_EOS_TH))+cfg_EOS_R2*(MAX(AC100-cfg_EOS_TH,0)-MAX(AD100-cfg_EOS_TH,0))))</f>
        <v/>
      </c>
      <c r="Z100" s="86" t="str">
        <f aca="false">IF($B100="","",IF(الموظفون!$R100&lt;&gt;"",الموظفون!$R100,IF(AC100&gt;=cfg_LV_TH,cfg_LV_D2,cfg_LV_D1))/cfg_DAYS_Y*AE100*الموظفون!$P100/cfg_DAYS_M)</f>
        <v/>
      </c>
      <c r="AA100" s="86" t="str">
        <f aca="false">IF($B100="","",IF(AND(الموظفون!$S100="نعم",N(الموظفون!$U100)&gt;0),الموظفون!$T100/الموظفون!$U100*12/cfg_DAYS_Y*AE100,0))</f>
        <v/>
      </c>
      <c r="AB100" s="108" t="str">
        <f aca="false">IF($B100="","",R100+SUM(X100:AA100))</f>
        <v/>
      </c>
      <c r="AC100" s="109" t="str">
        <f aca="false">IF($B100="","",MAX(0,IF(OR(الموظفون!$X100="",الموظفون!$X100&gt;$G$3),$G$3,الموظفون!$X100)-الموظفون!$H100+1)/cfg_DAYS_Y)</f>
        <v/>
      </c>
      <c r="AD100" s="109" t="str">
        <f aca="false">IF($B100="","",MAX(0,IF(OR(الموظفون!$X100="",الموظفون!$X100&gt;($E$3-1)),($E$3-1),الموظفون!$X100)-الموظفون!$H100+1)/cfg_DAYS_Y)</f>
        <v/>
      </c>
      <c r="AE100" s="51" t="str">
        <f aca="false">IF($B100="","",MAX(0,IF(OR(الموظفون!$X100="",الموظفون!$X100&gt;$G$3),$G$3,الموظفون!$X100)-MAX($E$3,الموظفون!$H100)+1))</f>
        <v/>
      </c>
    </row>
    <row r="101" customFormat="false" ht="15" hidden="false" customHeight="false" outlineLevel="0" collapsed="false">
      <c r="A101" s="89" t="str">
        <f aca="false">IF($B101="","",الموظفون!$A101)</f>
        <v/>
      </c>
      <c r="B101" s="91" t="str">
        <f aca="false">IF(الموظفون!$B101="","",الموظفون!$B101)</f>
        <v/>
      </c>
      <c r="C101" s="91" t="str">
        <f aca="false">IF($B101="","",الموظفون!$C101)</f>
        <v/>
      </c>
      <c r="D101" s="91" t="str">
        <f aca="false">IF($B101="","",الموظفون!$F101)</f>
        <v/>
      </c>
      <c r="E101" s="91" t="str">
        <f aca="false">IF($B101="","",الموظفون!$E101)</f>
        <v/>
      </c>
      <c r="F101" s="110" t="str">
        <f aca="false">IF($B101="","",IF(AE101&gt;=DAY($G$3),cfg_DAYS_M,MIN(AE101,cfg_DAYS_M)))</f>
        <v/>
      </c>
      <c r="G101" s="110" t="str">
        <f aca="false">IF($B101="","",SUMIFS('الحركات الشهرية'!$D$6:$D$1005,'الحركات الشهرية'!$B$6:$B$1005,$B101,'الحركات الشهرية'!$A$6:$A$1005,$C$3))</f>
        <v/>
      </c>
      <c r="H101" s="110" t="str">
        <f aca="false">IF($B101="","",SUMIFS('الحركات الشهرية'!$E$6:$E$1005,'الحركات الشهرية'!$B$6:$B$1005,$B101,'الحركات الشهرية'!$A$6:$A$1005,$C$3))</f>
        <v/>
      </c>
      <c r="I101" s="110" t="str">
        <f aca="false">IF($B101="","",MAX(0,F101-G101-H101))</f>
        <v/>
      </c>
      <c r="J101" s="90" t="str">
        <f aca="false">IF($B101="","",الموظفون!$J101*$I101/cfg_DAYS_M)</f>
        <v/>
      </c>
      <c r="K101" s="90" t="str">
        <f aca="false">IF($B101="","",الموظفون!$K101*$I101/cfg_DAYS_M)</f>
        <v/>
      </c>
      <c r="L101" s="90" t="str">
        <f aca="false">IF($B101="","",الموظفون!$L101*$I101/cfg_DAYS_M)</f>
        <v/>
      </c>
      <c r="M101" s="90" t="str">
        <f aca="false">IF($B101="","",الموظفون!$M101*$I101/cfg_DAYS_M)</f>
        <v/>
      </c>
      <c r="N101" s="110" t="str">
        <f aca="false">IF($B101="","",SUMIFS('الحركات الشهرية'!$F$6:$F$1005,'الحركات الشهرية'!$B$6:$B$1005,$B101,'الحركات الشهرية'!$A$6:$A$1005,$C$3))</f>
        <v/>
      </c>
      <c r="O101" s="90" t="str">
        <f aca="false">IF($B101="","",N101*(الموظفون!$N101+الموظفون!$J101*cfg_OT_P)/cfg_DAYS_M/cfg_HRS)</f>
        <v/>
      </c>
      <c r="P101" s="90" t="str">
        <f aca="false">IF($B101="","",SUMIFS('الحركات الشهرية'!$G$6:$G$1005,'الحركات الشهرية'!$B$6:$B$1005,$B101,'الحركات الشهرية'!$A$6:$A$1005,$C$3))</f>
        <v/>
      </c>
      <c r="Q101" s="90" t="str">
        <f aca="false">IF($B101="","",SUMIFS('الحركات الشهرية'!$H$6:$H$1005,'الحركات الشهرية'!$B$6:$B$1005,$B101,'الحركات الشهرية'!$A$6:$A$1005,$C$3))</f>
        <v/>
      </c>
      <c r="R101" s="111" t="str">
        <f aca="false">IF($B101="","",SUM(J101:M101)+SUM(O101:Q101))</f>
        <v/>
      </c>
      <c r="S101" s="90" t="str">
        <f aca="false">IF($B101="","",الموظفون!$Q101*IF(E101="سعودي",cfg_G_SE,cfg_G_NE)*F101/cfg_DAYS_M)</f>
        <v/>
      </c>
      <c r="T101" s="90" t="str">
        <f aca="false">IF($B101="","",SUMIFS('الحركات الشهرية'!$I$6:$I$1005,'الحركات الشهرية'!$B$6:$B$1005,$B101,'الحركات الشهرية'!$A$6:$A$1005,$C$3))</f>
        <v/>
      </c>
      <c r="U101" s="90" t="str">
        <f aca="false">IF($B101="","",SUMIFS('الحركات الشهرية'!$J$6:$J$1005,'الحركات الشهرية'!$B$6:$B$1005,$B101,'الحركات الشهرية'!$A$6:$A$1005,$C$3))</f>
        <v/>
      </c>
      <c r="V101" s="90" t="str">
        <f aca="false">IF($B101="","",SUM(S101:U101))</f>
        <v/>
      </c>
      <c r="W101" s="112" t="str">
        <f aca="false">IF($B101="","",R101-V101)</f>
        <v/>
      </c>
      <c r="X101" s="90" t="str">
        <f aca="false">IF($B101="","",الموظفون!$Q101*IF(E101="سعودي",cfg_G_SR,cfg_G_NR)*F101/cfg_DAYS_M)</f>
        <v/>
      </c>
      <c r="Y101" s="90" t="str">
        <f aca="false">IF($B101="","",الموظفون!$O101*(cfg_EOS_R1*(MIN(AC101,cfg_EOS_TH)-MIN(AD101,cfg_EOS_TH))+cfg_EOS_R2*(MAX(AC101-cfg_EOS_TH,0)-MAX(AD101-cfg_EOS_TH,0))))</f>
        <v/>
      </c>
      <c r="Z101" s="90" t="str">
        <f aca="false">IF($B101="","",IF(الموظفون!$R101&lt;&gt;"",الموظفون!$R101,IF(AC101&gt;=cfg_LV_TH,cfg_LV_D2,cfg_LV_D1))/cfg_DAYS_Y*AE101*الموظفون!$P101/cfg_DAYS_M)</f>
        <v/>
      </c>
      <c r="AA101" s="90" t="str">
        <f aca="false">IF($B101="","",IF(AND(الموظفون!$S101="نعم",N(الموظفون!$U101)&gt;0),الموظفون!$T101/الموظفون!$U101*12/cfg_DAYS_Y*AE101,0))</f>
        <v/>
      </c>
      <c r="AB101" s="113" t="str">
        <f aca="false">IF($B101="","",R101+SUM(X101:AA101))</f>
        <v/>
      </c>
      <c r="AC101" s="114" t="str">
        <f aca="false">IF($B101="","",MAX(0,IF(OR(الموظفون!$X101="",الموظفون!$X101&gt;$G$3),$G$3,الموظفون!$X101)-الموظفون!$H101+1)/cfg_DAYS_Y)</f>
        <v/>
      </c>
      <c r="AD101" s="114" t="str">
        <f aca="false">IF($B101="","",MAX(0,IF(OR(الموظفون!$X101="",الموظفون!$X101&gt;($E$3-1)),($E$3-1),الموظفون!$X101)-الموظفون!$H101+1)/cfg_DAYS_Y)</f>
        <v/>
      </c>
      <c r="AE101" s="115" t="str">
        <f aca="false">IF($B101="","",MAX(0,IF(OR(الموظفون!$X101="",الموظفون!$X101&gt;$G$3),$G$3,الموظفون!$X101)-MAX($E$3,الموظفون!$H101)+1))</f>
        <v/>
      </c>
    </row>
    <row r="102" customFormat="false" ht="15" hidden="false" customHeight="false" outlineLevel="0" collapsed="false">
      <c r="A102" s="83" t="str">
        <f aca="false">IF($B102="","",الموظفون!$A102)</f>
        <v/>
      </c>
      <c r="B102" s="74" t="str">
        <f aca="false">IF(الموظفون!$B102="","",الموظفون!$B102)</f>
        <v/>
      </c>
      <c r="C102" s="74" t="str">
        <f aca="false">IF($B102="","",الموظفون!$C102)</f>
        <v/>
      </c>
      <c r="D102" s="74" t="str">
        <f aca="false">IF($B102="","",الموظفون!$F102)</f>
        <v/>
      </c>
      <c r="E102" s="74" t="str">
        <f aca="false">IF($B102="","",الموظفون!$E102)</f>
        <v/>
      </c>
      <c r="F102" s="105" t="str">
        <f aca="false">IF($B102="","",IF(AE102&gt;=DAY($G$3),cfg_DAYS_M,MIN(AE102,cfg_DAYS_M)))</f>
        <v/>
      </c>
      <c r="G102" s="105" t="str">
        <f aca="false">IF($B102="","",SUMIFS('الحركات الشهرية'!$D$6:$D$1005,'الحركات الشهرية'!$B$6:$B$1005,$B102,'الحركات الشهرية'!$A$6:$A$1005,$C$3))</f>
        <v/>
      </c>
      <c r="H102" s="105" t="str">
        <f aca="false">IF($B102="","",SUMIFS('الحركات الشهرية'!$E$6:$E$1005,'الحركات الشهرية'!$B$6:$B$1005,$B102,'الحركات الشهرية'!$A$6:$A$1005,$C$3))</f>
        <v/>
      </c>
      <c r="I102" s="105" t="str">
        <f aca="false">IF($B102="","",MAX(0,F102-G102-H102))</f>
        <v/>
      </c>
      <c r="J102" s="86" t="str">
        <f aca="false">IF($B102="","",الموظفون!$J102*$I102/cfg_DAYS_M)</f>
        <v/>
      </c>
      <c r="K102" s="86" t="str">
        <f aca="false">IF($B102="","",الموظفون!$K102*$I102/cfg_DAYS_M)</f>
        <v/>
      </c>
      <c r="L102" s="86" t="str">
        <f aca="false">IF($B102="","",الموظفون!$L102*$I102/cfg_DAYS_M)</f>
        <v/>
      </c>
      <c r="M102" s="86" t="str">
        <f aca="false">IF($B102="","",الموظفون!$M102*$I102/cfg_DAYS_M)</f>
        <v/>
      </c>
      <c r="N102" s="105" t="str">
        <f aca="false">IF($B102="","",SUMIFS('الحركات الشهرية'!$F$6:$F$1005,'الحركات الشهرية'!$B$6:$B$1005,$B102,'الحركات الشهرية'!$A$6:$A$1005,$C$3))</f>
        <v/>
      </c>
      <c r="O102" s="86" t="str">
        <f aca="false">IF($B102="","",N102*(الموظفون!$N102+الموظفون!$J102*cfg_OT_P)/cfg_DAYS_M/cfg_HRS)</f>
        <v/>
      </c>
      <c r="P102" s="86" t="str">
        <f aca="false">IF($B102="","",SUMIFS('الحركات الشهرية'!$G$6:$G$1005,'الحركات الشهرية'!$B$6:$B$1005,$B102,'الحركات الشهرية'!$A$6:$A$1005,$C$3))</f>
        <v/>
      </c>
      <c r="Q102" s="86" t="str">
        <f aca="false">IF($B102="","",SUMIFS('الحركات الشهرية'!$H$6:$H$1005,'الحركات الشهرية'!$B$6:$B$1005,$B102,'الحركات الشهرية'!$A$6:$A$1005,$C$3))</f>
        <v/>
      </c>
      <c r="R102" s="106" t="str">
        <f aca="false">IF($B102="","",SUM(J102:M102)+SUM(O102:Q102))</f>
        <v/>
      </c>
      <c r="S102" s="86" t="str">
        <f aca="false">IF($B102="","",الموظفون!$Q102*IF(E102="سعودي",cfg_G_SE,cfg_G_NE)*F102/cfg_DAYS_M)</f>
        <v/>
      </c>
      <c r="T102" s="86" t="str">
        <f aca="false">IF($B102="","",SUMIFS('الحركات الشهرية'!$I$6:$I$1005,'الحركات الشهرية'!$B$6:$B$1005,$B102,'الحركات الشهرية'!$A$6:$A$1005,$C$3))</f>
        <v/>
      </c>
      <c r="U102" s="86" t="str">
        <f aca="false">IF($B102="","",SUMIFS('الحركات الشهرية'!$J$6:$J$1005,'الحركات الشهرية'!$B$6:$B$1005,$B102,'الحركات الشهرية'!$A$6:$A$1005,$C$3))</f>
        <v/>
      </c>
      <c r="V102" s="86" t="str">
        <f aca="false">IF($B102="","",SUM(S102:U102))</f>
        <v/>
      </c>
      <c r="W102" s="107" t="str">
        <f aca="false">IF($B102="","",R102-V102)</f>
        <v/>
      </c>
      <c r="X102" s="86" t="str">
        <f aca="false">IF($B102="","",الموظفون!$Q102*IF(E102="سعودي",cfg_G_SR,cfg_G_NR)*F102/cfg_DAYS_M)</f>
        <v/>
      </c>
      <c r="Y102" s="86" t="str">
        <f aca="false">IF($B102="","",الموظفون!$O102*(cfg_EOS_R1*(MIN(AC102,cfg_EOS_TH)-MIN(AD102,cfg_EOS_TH))+cfg_EOS_R2*(MAX(AC102-cfg_EOS_TH,0)-MAX(AD102-cfg_EOS_TH,0))))</f>
        <v/>
      </c>
      <c r="Z102" s="86" t="str">
        <f aca="false">IF($B102="","",IF(الموظفون!$R102&lt;&gt;"",الموظفون!$R102,IF(AC102&gt;=cfg_LV_TH,cfg_LV_D2,cfg_LV_D1))/cfg_DAYS_Y*AE102*الموظفون!$P102/cfg_DAYS_M)</f>
        <v/>
      </c>
      <c r="AA102" s="86" t="str">
        <f aca="false">IF($B102="","",IF(AND(الموظفون!$S102="نعم",N(الموظفون!$U102)&gt;0),الموظفون!$T102/الموظفون!$U102*12/cfg_DAYS_Y*AE102,0))</f>
        <v/>
      </c>
      <c r="AB102" s="108" t="str">
        <f aca="false">IF($B102="","",R102+SUM(X102:AA102))</f>
        <v/>
      </c>
      <c r="AC102" s="109" t="str">
        <f aca="false">IF($B102="","",MAX(0,IF(OR(الموظفون!$X102="",الموظفون!$X102&gt;$G$3),$G$3,الموظفون!$X102)-الموظفون!$H102+1)/cfg_DAYS_Y)</f>
        <v/>
      </c>
      <c r="AD102" s="109" t="str">
        <f aca="false">IF($B102="","",MAX(0,IF(OR(الموظفون!$X102="",الموظفون!$X102&gt;($E$3-1)),($E$3-1),الموظفون!$X102)-الموظفون!$H102+1)/cfg_DAYS_Y)</f>
        <v/>
      </c>
      <c r="AE102" s="51" t="str">
        <f aca="false">IF($B102="","",MAX(0,IF(OR(الموظفون!$X102="",الموظفون!$X102&gt;$G$3),$G$3,الموظفون!$X102)-MAX($E$3,الموظفون!$H102)+1))</f>
        <v/>
      </c>
    </row>
    <row r="103" customFormat="false" ht="15" hidden="false" customHeight="false" outlineLevel="0" collapsed="false">
      <c r="A103" s="89" t="str">
        <f aca="false">IF($B103="","",الموظفون!$A103)</f>
        <v/>
      </c>
      <c r="B103" s="91" t="str">
        <f aca="false">IF(الموظفون!$B103="","",الموظفون!$B103)</f>
        <v/>
      </c>
      <c r="C103" s="91" t="str">
        <f aca="false">IF($B103="","",الموظفون!$C103)</f>
        <v/>
      </c>
      <c r="D103" s="91" t="str">
        <f aca="false">IF($B103="","",الموظفون!$F103)</f>
        <v/>
      </c>
      <c r="E103" s="91" t="str">
        <f aca="false">IF($B103="","",الموظفون!$E103)</f>
        <v/>
      </c>
      <c r="F103" s="110" t="str">
        <f aca="false">IF($B103="","",IF(AE103&gt;=DAY($G$3),cfg_DAYS_M,MIN(AE103,cfg_DAYS_M)))</f>
        <v/>
      </c>
      <c r="G103" s="110" t="str">
        <f aca="false">IF($B103="","",SUMIFS('الحركات الشهرية'!$D$6:$D$1005,'الحركات الشهرية'!$B$6:$B$1005,$B103,'الحركات الشهرية'!$A$6:$A$1005,$C$3))</f>
        <v/>
      </c>
      <c r="H103" s="110" t="str">
        <f aca="false">IF($B103="","",SUMIFS('الحركات الشهرية'!$E$6:$E$1005,'الحركات الشهرية'!$B$6:$B$1005,$B103,'الحركات الشهرية'!$A$6:$A$1005,$C$3))</f>
        <v/>
      </c>
      <c r="I103" s="110" t="str">
        <f aca="false">IF($B103="","",MAX(0,F103-G103-H103))</f>
        <v/>
      </c>
      <c r="J103" s="90" t="str">
        <f aca="false">IF($B103="","",الموظفون!$J103*$I103/cfg_DAYS_M)</f>
        <v/>
      </c>
      <c r="K103" s="90" t="str">
        <f aca="false">IF($B103="","",الموظفون!$K103*$I103/cfg_DAYS_M)</f>
        <v/>
      </c>
      <c r="L103" s="90" t="str">
        <f aca="false">IF($B103="","",الموظفون!$L103*$I103/cfg_DAYS_M)</f>
        <v/>
      </c>
      <c r="M103" s="90" t="str">
        <f aca="false">IF($B103="","",الموظفون!$M103*$I103/cfg_DAYS_M)</f>
        <v/>
      </c>
      <c r="N103" s="110" t="str">
        <f aca="false">IF($B103="","",SUMIFS('الحركات الشهرية'!$F$6:$F$1005,'الحركات الشهرية'!$B$6:$B$1005,$B103,'الحركات الشهرية'!$A$6:$A$1005,$C$3))</f>
        <v/>
      </c>
      <c r="O103" s="90" t="str">
        <f aca="false">IF($B103="","",N103*(الموظفون!$N103+الموظفون!$J103*cfg_OT_P)/cfg_DAYS_M/cfg_HRS)</f>
        <v/>
      </c>
      <c r="P103" s="90" t="str">
        <f aca="false">IF($B103="","",SUMIFS('الحركات الشهرية'!$G$6:$G$1005,'الحركات الشهرية'!$B$6:$B$1005,$B103,'الحركات الشهرية'!$A$6:$A$1005,$C$3))</f>
        <v/>
      </c>
      <c r="Q103" s="90" t="str">
        <f aca="false">IF($B103="","",SUMIFS('الحركات الشهرية'!$H$6:$H$1005,'الحركات الشهرية'!$B$6:$B$1005,$B103,'الحركات الشهرية'!$A$6:$A$1005,$C$3))</f>
        <v/>
      </c>
      <c r="R103" s="111" t="str">
        <f aca="false">IF($B103="","",SUM(J103:M103)+SUM(O103:Q103))</f>
        <v/>
      </c>
      <c r="S103" s="90" t="str">
        <f aca="false">IF($B103="","",الموظفون!$Q103*IF(E103="سعودي",cfg_G_SE,cfg_G_NE)*F103/cfg_DAYS_M)</f>
        <v/>
      </c>
      <c r="T103" s="90" t="str">
        <f aca="false">IF($B103="","",SUMIFS('الحركات الشهرية'!$I$6:$I$1005,'الحركات الشهرية'!$B$6:$B$1005,$B103,'الحركات الشهرية'!$A$6:$A$1005,$C$3))</f>
        <v/>
      </c>
      <c r="U103" s="90" t="str">
        <f aca="false">IF($B103="","",SUMIFS('الحركات الشهرية'!$J$6:$J$1005,'الحركات الشهرية'!$B$6:$B$1005,$B103,'الحركات الشهرية'!$A$6:$A$1005,$C$3))</f>
        <v/>
      </c>
      <c r="V103" s="90" t="str">
        <f aca="false">IF($B103="","",SUM(S103:U103))</f>
        <v/>
      </c>
      <c r="W103" s="112" t="str">
        <f aca="false">IF($B103="","",R103-V103)</f>
        <v/>
      </c>
      <c r="X103" s="90" t="str">
        <f aca="false">IF($B103="","",الموظفون!$Q103*IF(E103="سعودي",cfg_G_SR,cfg_G_NR)*F103/cfg_DAYS_M)</f>
        <v/>
      </c>
      <c r="Y103" s="90" t="str">
        <f aca="false">IF($B103="","",الموظفون!$O103*(cfg_EOS_R1*(MIN(AC103,cfg_EOS_TH)-MIN(AD103,cfg_EOS_TH))+cfg_EOS_R2*(MAX(AC103-cfg_EOS_TH,0)-MAX(AD103-cfg_EOS_TH,0))))</f>
        <v/>
      </c>
      <c r="Z103" s="90" t="str">
        <f aca="false">IF($B103="","",IF(الموظفون!$R103&lt;&gt;"",الموظفون!$R103,IF(AC103&gt;=cfg_LV_TH,cfg_LV_D2,cfg_LV_D1))/cfg_DAYS_Y*AE103*الموظفون!$P103/cfg_DAYS_M)</f>
        <v/>
      </c>
      <c r="AA103" s="90" t="str">
        <f aca="false">IF($B103="","",IF(AND(الموظفون!$S103="نعم",N(الموظفون!$U103)&gt;0),الموظفون!$T103/الموظفون!$U103*12/cfg_DAYS_Y*AE103,0))</f>
        <v/>
      </c>
      <c r="AB103" s="113" t="str">
        <f aca="false">IF($B103="","",R103+SUM(X103:AA103))</f>
        <v/>
      </c>
      <c r="AC103" s="114" t="str">
        <f aca="false">IF($B103="","",MAX(0,IF(OR(الموظفون!$X103="",الموظفون!$X103&gt;$G$3),$G$3,الموظفون!$X103)-الموظفون!$H103+1)/cfg_DAYS_Y)</f>
        <v/>
      </c>
      <c r="AD103" s="114" t="str">
        <f aca="false">IF($B103="","",MAX(0,IF(OR(الموظفون!$X103="",الموظفون!$X103&gt;($E$3-1)),($E$3-1),الموظفون!$X103)-الموظفون!$H103+1)/cfg_DAYS_Y)</f>
        <v/>
      </c>
      <c r="AE103" s="115" t="str">
        <f aca="false">IF($B103="","",MAX(0,IF(OR(الموظفون!$X103="",الموظفون!$X103&gt;$G$3),$G$3,الموظفون!$X103)-MAX($E$3,الموظفون!$H103)+1))</f>
        <v/>
      </c>
    </row>
    <row r="104" customFormat="false" ht="15" hidden="false" customHeight="false" outlineLevel="0" collapsed="false">
      <c r="A104" s="83" t="str">
        <f aca="false">IF($B104="","",الموظفون!$A104)</f>
        <v/>
      </c>
      <c r="B104" s="74" t="str">
        <f aca="false">IF(الموظفون!$B104="","",الموظفون!$B104)</f>
        <v/>
      </c>
      <c r="C104" s="74" t="str">
        <f aca="false">IF($B104="","",الموظفون!$C104)</f>
        <v/>
      </c>
      <c r="D104" s="74" t="str">
        <f aca="false">IF($B104="","",الموظفون!$F104)</f>
        <v/>
      </c>
      <c r="E104" s="74" t="str">
        <f aca="false">IF($B104="","",الموظفون!$E104)</f>
        <v/>
      </c>
      <c r="F104" s="105" t="str">
        <f aca="false">IF($B104="","",IF(AE104&gt;=DAY($G$3),cfg_DAYS_M,MIN(AE104,cfg_DAYS_M)))</f>
        <v/>
      </c>
      <c r="G104" s="105" t="str">
        <f aca="false">IF($B104="","",SUMIFS('الحركات الشهرية'!$D$6:$D$1005,'الحركات الشهرية'!$B$6:$B$1005,$B104,'الحركات الشهرية'!$A$6:$A$1005,$C$3))</f>
        <v/>
      </c>
      <c r="H104" s="105" t="str">
        <f aca="false">IF($B104="","",SUMIFS('الحركات الشهرية'!$E$6:$E$1005,'الحركات الشهرية'!$B$6:$B$1005,$B104,'الحركات الشهرية'!$A$6:$A$1005,$C$3))</f>
        <v/>
      </c>
      <c r="I104" s="105" t="str">
        <f aca="false">IF($B104="","",MAX(0,F104-G104-H104))</f>
        <v/>
      </c>
      <c r="J104" s="86" t="str">
        <f aca="false">IF($B104="","",الموظفون!$J104*$I104/cfg_DAYS_M)</f>
        <v/>
      </c>
      <c r="K104" s="86" t="str">
        <f aca="false">IF($B104="","",الموظفون!$K104*$I104/cfg_DAYS_M)</f>
        <v/>
      </c>
      <c r="L104" s="86" t="str">
        <f aca="false">IF($B104="","",الموظفون!$L104*$I104/cfg_DAYS_M)</f>
        <v/>
      </c>
      <c r="M104" s="86" t="str">
        <f aca="false">IF($B104="","",الموظفون!$M104*$I104/cfg_DAYS_M)</f>
        <v/>
      </c>
      <c r="N104" s="105" t="str">
        <f aca="false">IF($B104="","",SUMIFS('الحركات الشهرية'!$F$6:$F$1005,'الحركات الشهرية'!$B$6:$B$1005,$B104,'الحركات الشهرية'!$A$6:$A$1005,$C$3))</f>
        <v/>
      </c>
      <c r="O104" s="86" t="str">
        <f aca="false">IF($B104="","",N104*(الموظفون!$N104+الموظفون!$J104*cfg_OT_P)/cfg_DAYS_M/cfg_HRS)</f>
        <v/>
      </c>
      <c r="P104" s="86" t="str">
        <f aca="false">IF($B104="","",SUMIFS('الحركات الشهرية'!$G$6:$G$1005,'الحركات الشهرية'!$B$6:$B$1005,$B104,'الحركات الشهرية'!$A$6:$A$1005,$C$3))</f>
        <v/>
      </c>
      <c r="Q104" s="86" t="str">
        <f aca="false">IF($B104="","",SUMIFS('الحركات الشهرية'!$H$6:$H$1005,'الحركات الشهرية'!$B$6:$B$1005,$B104,'الحركات الشهرية'!$A$6:$A$1005,$C$3))</f>
        <v/>
      </c>
      <c r="R104" s="106" t="str">
        <f aca="false">IF($B104="","",SUM(J104:M104)+SUM(O104:Q104))</f>
        <v/>
      </c>
      <c r="S104" s="86" t="str">
        <f aca="false">IF($B104="","",الموظفون!$Q104*IF(E104="سعودي",cfg_G_SE,cfg_G_NE)*F104/cfg_DAYS_M)</f>
        <v/>
      </c>
      <c r="T104" s="86" t="str">
        <f aca="false">IF($B104="","",SUMIFS('الحركات الشهرية'!$I$6:$I$1005,'الحركات الشهرية'!$B$6:$B$1005,$B104,'الحركات الشهرية'!$A$6:$A$1005,$C$3))</f>
        <v/>
      </c>
      <c r="U104" s="86" t="str">
        <f aca="false">IF($B104="","",SUMIFS('الحركات الشهرية'!$J$6:$J$1005,'الحركات الشهرية'!$B$6:$B$1005,$B104,'الحركات الشهرية'!$A$6:$A$1005,$C$3))</f>
        <v/>
      </c>
      <c r="V104" s="86" t="str">
        <f aca="false">IF($B104="","",SUM(S104:U104))</f>
        <v/>
      </c>
      <c r="W104" s="107" t="str">
        <f aca="false">IF($B104="","",R104-V104)</f>
        <v/>
      </c>
      <c r="X104" s="86" t="str">
        <f aca="false">IF($B104="","",الموظفون!$Q104*IF(E104="سعودي",cfg_G_SR,cfg_G_NR)*F104/cfg_DAYS_M)</f>
        <v/>
      </c>
      <c r="Y104" s="86" t="str">
        <f aca="false">IF($B104="","",الموظفون!$O104*(cfg_EOS_R1*(MIN(AC104,cfg_EOS_TH)-MIN(AD104,cfg_EOS_TH))+cfg_EOS_R2*(MAX(AC104-cfg_EOS_TH,0)-MAX(AD104-cfg_EOS_TH,0))))</f>
        <v/>
      </c>
      <c r="Z104" s="86" t="str">
        <f aca="false">IF($B104="","",IF(الموظفون!$R104&lt;&gt;"",الموظفون!$R104,IF(AC104&gt;=cfg_LV_TH,cfg_LV_D2,cfg_LV_D1))/cfg_DAYS_Y*AE104*الموظفون!$P104/cfg_DAYS_M)</f>
        <v/>
      </c>
      <c r="AA104" s="86" t="str">
        <f aca="false">IF($B104="","",IF(AND(الموظفون!$S104="نعم",N(الموظفون!$U104)&gt;0),الموظفون!$T104/الموظفون!$U104*12/cfg_DAYS_Y*AE104,0))</f>
        <v/>
      </c>
      <c r="AB104" s="108" t="str">
        <f aca="false">IF($B104="","",R104+SUM(X104:AA104))</f>
        <v/>
      </c>
      <c r="AC104" s="109" t="str">
        <f aca="false">IF($B104="","",MAX(0,IF(OR(الموظفون!$X104="",الموظفون!$X104&gt;$G$3),$G$3,الموظفون!$X104)-الموظفون!$H104+1)/cfg_DAYS_Y)</f>
        <v/>
      </c>
      <c r="AD104" s="109" t="str">
        <f aca="false">IF($B104="","",MAX(0,IF(OR(الموظفون!$X104="",الموظفون!$X104&gt;($E$3-1)),($E$3-1),الموظفون!$X104)-الموظفون!$H104+1)/cfg_DAYS_Y)</f>
        <v/>
      </c>
      <c r="AE104" s="51" t="str">
        <f aca="false">IF($B104="","",MAX(0,IF(OR(الموظفون!$X104="",الموظفون!$X104&gt;$G$3),$G$3,الموظفون!$X104)-MAX($E$3,الموظفون!$H104)+1))</f>
        <v/>
      </c>
    </row>
    <row r="105" customFormat="false" ht="15" hidden="false" customHeight="false" outlineLevel="0" collapsed="false">
      <c r="A105" s="89" t="str">
        <f aca="false">IF($B105="","",الموظفون!$A105)</f>
        <v/>
      </c>
      <c r="B105" s="91" t="str">
        <f aca="false">IF(الموظفون!$B105="","",الموظفون!$B105)</f>
        <v/>
      </c>
      <c r="C105" s="91" t="str">
        <f aca="false">IF($B105="","",الموظفون!$C105)</f>
        <v/>
      </c>
      <c r="D105" s="91" t="str">
        <f aca="false">IF($B105="","",الموظفون!$F105)</f>
        <v/>
      </c>
      <c r="E105" s="91" t="str">
        <f aca="false">IF($B105="","",الموظفون!$E105)</f>
        <v/>
      </c>
      <c r="F105" s="110" t="str">
        <f aca="false">IF($B105="","",IF(AE105&gt;=DAY($G$3),cfg_DAYS_M,MIN(AE105,cfg_DAYS_M)))</f>
        <v/>
      </c>
      <c r="G105" s="110" t="str">
        <f aca="false">IF($B105="","",SUMIFS('الحركات الشهرية'!$D$6:$D$1005,'الحركات الشهرية'!$B$6:$B$1005,$B105,'الحركات الشهرية'!$A$6:$A$1005,$C$3))</f>
        <v/>
      </c>
      <c r="H105" s="110" t="str">
        <f aca="false">IF($B105="","",SUMIFS('الحركات الشهرية'!$E$6:$E$1005,'الحركات الشهرية'!$B$6:$B$1005,$B105,'الحركات الشهرية'!$A$6:$A$1005,$C$3))</f>
        <v/>
      </c>
      <c r="I105" s="110" t="str">
        <f aca="false">IF($B105="","",MAX(0,F105-G105-H105))</f>
        <v/>
      </c>
      <c r="J105" s="90" t="str">
        <f aca="false">IF($B105="","",الموظفون!$J105*$I105/cfg_DAYS_M)</f>
        <v/>
      </c>
      <c r="K105" s="90" t="str">
        <f aca="false">IF($B105="","",الموظفون!$K105*$I105/cfg_DAYS_M)</f>
        <v/>
      </c>
      <c r="L105" s="90" t="str">
        <f aca="false">IF($B105="","",الموظفون!$L105*$I105/cfg_DAYS_M)</f>
        <v/>
      </c>
      <c r="M105" s="90" t="str">
        <f aca="false">IF($B105="","",الموظفون!$M105*$I105/cfg_DAYS_M)</f>
        <v/>
      </c>
      <c r="N105" s="110" t="str">
        <f aca="false">IF($B105="","",SUMIFS('الحركات الشهرية'!$F$6:$F$1005,'الحركات الشهرية'!$B$6:$B$1005,$B105,'الحركات الشهرية'!$A$6:$A$1005,$C$3))</f>
        <v/>
      </c>
      <c r="O105" s="90" t="str">
        <f aca="false">IF($B105="","",N105*(الموظفون!$N105+الموظفون!$J105*cfg_OT_P)/cfg_DAYS_M/cfg_HRS)</f>
        <v/>
      </c>
      <c r="P105" s="90" t="str">
        <f aca="false">IF($B105="","",SUMIFS('الحركات الشهرية'!$G$6:$G$1005,'الحركات الشهرية'!$B$6:$B$1005,$B105,'الحركات الشهرية'!$A$6:$A$1005,$C$3))</f>
        <v/>
      </c>
      <c r="Q105" s="90" t="str">
        <f aca="false">IF($B105="","",SUMIFS('الحركات الشهرية'!$H$6:$H$1005,'الحركات الشهرية'!$B$6:$B$1005,$B105,'الحركات الشهرية'!$A$6:$A$1005,$C$3))</f>
        <v/>
      </c>
      <c r="R105" s="111" t="str">
        <f aca="false">IF($B105="","",SUM(J105:M105)+SUM(O105:Q105))</f>
        <v/>
      </c>
      <c r="S105" s="90" t="str">
        <f aca="false">IF($B105="","",الموظفون!$Q105*IF(E105="سعودي",cfg_G_SE,cfg_G_NE)*F105/cfg_DAYS_M)</f>
        <v/>
      </c>
      <c r="T105" s="90" t="str">
        <f aca="false">IF($B105="","",SUMIFS('الحركات الشهرية'!$I$6:$I$1005,'الحركات الشهرية'!$B$6:$B$1005,$B105,'الحركات الشهرية'!$A$6:$A$1005,$C$3))</f>
        <v/>
      </c>
      <c r="U105" s="90" t="str">
        <f aca="false">IF($B105="","",SUMIFS('الحركات الشهرية'!$J$6:$J$1005,'الحركات الشهرية'!$B$6:$B$1005,$B105,'الحركات الشهرية'!$A$6:$A$1005,$C$3))</f>
        <v/>
      </c>
      <c r="V105" s="90" t="str">
        <f aca="false">IF($B105="","",SUM(S105:U105))</f>
        <v/>
      </c>
      <c r="W105" s="112" t="str">
        <f aca="false">IF($B105="","",R105-V105)</f>
        <v/>
      </c>
      <c r="X105" s="90" t="str">
        <f aca="false">IF($B105="","",الموظفون!$Q105*IF(E105="سعودي",cfg_G_SR,cfg_G_NR)*F105/cfg_DAYS_M)</f>
        <v/>
      </c>
      <c r="Y105" s="90" t="str">
        <f aca="false">IF($B105="","",الموظفون!$O105*(cfg_EOS_R1*(MIN(AC105,cfg_EOS_TH)-MIN(AD105,cfg_EOS_TH))+cfg_EOS_R2*(MAX(AC105-cfg_EOS_TH,0)-MAX(AD105-cfg_EOS_TH,0))))</f>
        <v/>
      </c>
      <c r="Z105" s="90" t="str">
        <f aca="false">IF($B105="","",IF(الموظفون!$R105&lt;&gt;"",الموظفون!$R105,IF(AC105&gt;=cfg_LV_TH,cfg_LV_D2,cfg_LV_D1))/cfg_DAYS_Y*AE105*الموظفون!$P105/cfg_DAYS_M)</f>
        <v/>
      </c>
      <c r="AA105" s="90" t="str">
        <f aca="false">IF($B105="","",IF(AND(الموظفون!$S105="نعم",N(الموظفون!$U105)&gt;0),الموظفون!$T105/الموظفون!$U105*12/cfg_DAYS_Y*AE105,0))</f>
        <v/>
      </c>
      <c r="AB105" s="113" t="str">
        <f aca="false">IF($B105="","",R105+SUM(X105:AA105))</f>
        <v/>
      </c>
      <c r="AC105" s="114" t="str">
        <f aca="false">IF($B105="","",MAX(0,IF(OR(الموظفون!$X105="",الموظفون!$X105&gt;$G$3),$G$3,الموظفون!$X105)-الموظفون!$H105+1)/cfg_DAYS_Y)</f>
        <v/>
      </c>
      <c r="AD105" s="114" t="str">
        <f aca="false">IF($B105="","",MAX(0,IF(OR(الموظفون!$X105="",الموظفون!$X105&gt;($E$3-1)),($E$3-1),الموظفون!$X105)-الموظفون!$H105+1)/cfg_DAYS_Y)</f>
        <v/>
      </c>
      <c r="AE105" s="115" t="str">
        <f aca="false">IF($B105="","",MAX(0,IF(OR(الموظفون!$X105="",الموظفون!$X105&gt;$G$3),$G$3,الموظفون!$X105)-MAX($E$3,الموظفون!$H105)+1))</f>
        <v/>
      </c>
    </row>
    <row r="106" customFormat="false" ht="24" hidden="false" customHeight="true" outlineLevel="0" collapsed="false">
      <c r="A106" s="92"/>
      <c r="B106" s="92" t="str">
        <f aca="false">COUNTIF(F6:F105,"&gt;0")&amp;" موظف"</f>
        <v>11 موظف</v>
      </c>
      <c r="C106" s="92" t="s">
        <v>101</v>
      </c>
      <c r="D106" s="92"/>
      <c r="E106" s="92"/>
      <c r="F106" s="92"/>
      <c r="G106" s="116" t="n">
        <f aca="false">SUM(G6:G105)</f>
        <v>0</v>
      </c>
      <c r="H106" s="116" t="n">
        <f aca="false">SUM(H6:H105)</f>
        <v>0</v>
      </c>
      <c r="I106" s="116" t="n">
        <f aca="false">SUM(I6:I105)</f>
        <v>330</v>
      </c>
      <c r="J106" s="92" t="n">
        <f aca="false">SUM(J6:J105)</f>
        <v>132500</v>
      </c>
      <c r="K106" s="92" t="n">
        <f aca="false">SUM(K6:K105)</f>
        <v>33125</v>
      </c>
      <c r="L106" s="92" t="n">
        <f aca="false">SUM(L6:L105)</f>
        <v>13250</v>
      </c>
      <c r="M106" s="92" t="n">
        <f aca="false">SUM(M6:M105)</f>
        <v>10300</v>
      </c>
      <c r="N106" s="116" t="n">
        <f aca="false">SUM(N6:N105)</f>
        <v>8</v>
      </c>
      <c r="O106" s="92" t="n">
        <f aca="false">SUM(O6:O105)</f>
        <v>540.833333333333</v>
      </c>
      <c r="P106" s="92" t="n">
        <f aca="false">SUM(P6:P105)</f>
        <v>5000</v>
      </c>
      <c r="Q106" s="92" t="n">
        <f aca="false">SUM(Q6:Q105)</f>
        <v>0</v>
      </c>
      <c r="R106" s="92" t="n">
        <f aca="false">SUM(R6:R105)</f>
        <v>194715.833333333</v>
      </c>
      <c r="S106" s="92" t="n">
        <f aca="false">SUM(S6:S105)</f>
        <v>11273.4375</v>
      </c>
      <c r="T106" s="92" t="n">
        <f aca="false">SUM(T6:T105)</f>
        <v>1000</v>
      </c>
      <c r="U106" s="92" t="n">
        <f aca="false">SUM(U6:U105)</f>
        <v>0</v>
      </c>
      <c r="V106" s="92" t="n">
        <f aca="false">SUM(V6:V105)</f>
        <v>12273.4375</v>
      </c>
      <c r="W106" s="92" t="n">
        <f aca="false">SUM(W6:W105)</f>
        <v>182442.395833333</v>
      </c>
      <c r="X106" s="92" t="n">
        <f aca="false">SUM(X6:X105)</f>
        <v>14585.9375</v>
      </c>
      <c r="Y106" s="92" t="n">
        <f aca="false">SUM(Y6:Y105)</f>
        <v>12712.1917808219</v>
      </c>
      <c r="Z106" s="92" t="n">
        <f aca="false">SUM(Z6:Z105)</f>
        <v>13116.0821917808</v>
      </c>
      <c r="AA106" s="92" t="n">
        <f aca="false">SUM(AA6:AA105)</f>
        <v>866.849315068493</v>
      </c>
      <c r="AB106" s="92" t="n">
        <f aca="false">SUM(AB6:AB105)</f>
        <v>235996.894121005</v>
      </c>
      <c r="AC106" s="92"/>
      <c r="AD106" s="92"/>
      <c r="AE106" s="92"/>
    </row>
    <row r="107" customFormat="false" ht="43.5" hidden="false" customHeight="true" outlineLevel="0" collapsed="false">
      <c r="A107" s="21" t="s">
        <v>347</v>
      </c>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row>
  </sheetData>
  <autoFilter ref="A5:AE105"/>
  <mergeCells count="5">
    <mergeCell ref="A1:AB1"/>
    <mergeCell ref="A2:AB2"/>
    <mergeCell ref="J3:K3"/>
    <mergeCell ref="L3:M3"/>
    <mergeCell ref="A107:AE107"/>
  </mergeCells>
  <conditionalFormatting sqref="H3">
    <cfRule type="expression" priority="2" aboveAverage="0" equalAverage="0" bottom="0" percent="0" rank="0" text="" dxfId="0">
      <formula>ISNUMBER(SEARCH("✔",H3))</formula>
    </cfRule>
    <cfRule type="expression" priority="3" aboveAverage="0" equalAverage="0" bottom="0" percent="0" rank="0" text="" dxfId="1">
      <formula>ISNUMBER(SEARCH("✖",H3))</formula>
    </cfRule>
    <cfRule type="expression" priority="4" aboveAverage="0" equalAverage="0" bottom="0" percent="0" rank="0" text="" dxfId="2">
      <formula>ISNUMBER(SEARCH("⚠",H3))</formula>
    </cfRule>
  </conditionalFormatting>
  <conditionalFormatting sqref="A6:AE105">
    <cfRule type="expression" priority="5" aboveAverage="0" equalAverage="0" bottom="0" percent="0" rank="0" text="" dxfId="20">
      <formula>AND($B6&lt;&gt;"",$F6=0)</formula>
    </cfRule>
  </conditionalFormatting>
  <conditionalFormatting sqref="W6:W105">
    <cfRule type="expression" priority="6" aboveAverage="0" equalAverage="0" bottom="0" percent="0" rank="0" text="" dxfId="1">
      <formula>AND(ISNUMBER(W6),W6&lt;0)</formula>
    </cfRule>
  </conditionalFormatting>
  <hyperlinks>
    <hyperlink ref="J3" location="'مسير يناير'!A1" display="◀ الشهر السابق"/>
    <hyperlink ref="L3" location="'مسير مارس'!A1" display="الشهر التالي ▶"/>
    <hyperlink ref="O3" location="'الرئيسية'!A1" display="🏠 الرئيسية"/>
    <hyperlink ref="P3" location="'لوحة التحكم'!A1" display="📊 لوحة التحكم"/>
    <hyperlink ref="R3" location="'الموظفون'!A1" display="👥 الموظفون"/>
    <hyperlink ref="S3" location="'الحركات الشهرية'!A1" display="✍ الحركات"/>
    <hyperlink ref="U3" location="'الملخص الشهري'!A1" display="📅 الملخص الشهري"/>
    <hyperlink ref="W3" location="'قيود الرواتب'!A1" display="🧾 القيود"/>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791F"/>
    <pageSetUpPr fitToPage="true"/>
  </sheetPr>
  <dimension ref="A1:AE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9"/>
    <col collapsed="false" customWidth="true" hidden="false" outlineLevel="0" max="8" min="7" style="0" width="8"/>
    <col collapsed="false" customWidth="true" hidden="false" outlineLevel="0" max="9" min="9" style="0" width="9"/>
    <col collapsed="false" customWidth="true" hidden="false" outlineLevel="0" max="10" min="10" style="0" width="12"/>
    <col collapsed="false" customWidth="true" hidden="false" outlineLevel="0" max="11" min="11" style="0" width="11"/>
    <col collapsed="false" customWidth="true" hidden="false" outlineLevel="0" max="13" min="12" style="0" width="10"/>
    <col collapsed="false" customWidth="true" hidden="false" outlineLevel="0" max="14" min="14" style="0" width="8"/>
    <col collapsed="false" customWidth="true" hidden="false" outlineLevel="0" max="17" min="15" style="0" width="11"/>
    <col collapsed="false" customWidth="true" hidden="false" outlineLevel="0" max="18" min="18" style="0" width="13"/>
    <col collapsed="false" customWidth="true" hidden="false" outlineLevel="0" max="19" min="19" style="0" width="11"/>
    <col collapsed="false" customWidth="true" hidden="false" outlineLevel="0" max="21" min="20" style="0" width="10"/>
    <col collapsed="false" customWidth="true" hidden="false" outlineLevel="0" max="22" min="22" style="0" width="12"/>
    <col collapsed="false" customWidth="true" hidden="false" outlineLevel="0" max="23" min="23" style="0" width="13"/>
    <col collapsed="false" customWidth="true" hidden="false" outlineLevel="0" max="24" min="24" style="0" width="11"/>
    <col collapsed="false" customWidth="true" hidden="false" outlineLevel="0" max="25" min="25" style="0" width="12"/>
    <col collapsed="false" customWidth="true" hidden="false" outlineLevel="0" max="27" min="26" style="0" width="11"/>
    <col collapsed="false" customWidth="true" hidden="false" outlineLevel="0" max="28" min="28" style="0" width="13"/>
    <col collapsed="false" customWidth="true" hidden="false" outlineLevel="0" max="31" min="29" style="0" width="9"/>
  </cols>
  <sheetData>
    <row r="1" customFormat="false" ht="37.5" hidden="false" customHeight="true" outlineLevel="0" collapsed="false">
      <c r="A1" s="1" t="str">
        <f aca="false">"💵 مسير رواتب شهر مارس "&amp;cfg_FY</f>
        <v>💵 مسير رواتب شهر مارس 2026</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9.5" hidden="false" customHeight="true" outlineLevel="0" collapsed="false">
      <c r="A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row>
    <row r="3" customFormat="false" ht="25.5" hidden="false" customHeight="true" outlineLevel="0" collapsed="false">
      <c r="B3" s="93" t="s">
        <v>103</v>
      </c>
      <c r="C3" s="94" t="n">
        <v>3</v>
      </c>
      <c r="D3" s="93" t="s">
        <v>322</v>
      </c>
      <c r="E3" s="95" t="n">
        <f aca="false">DATE(cfg_FY,C3,1)</f>
        <v>46082</v>
      </c>
      <c r="F3" s="93" t="s">
        <v>323</v>
      </c>
      <c r="G3" s="95" t="n">
        <f aca="false">EOMONTH(E3,0)</f>
        <v>46112</v>
      </c>
      <c r="H3" s="96" t="str">
        <f aca="false">IF(C3&lt;=cfg_VAL_M,"✔ فعلي","⚠ متوقع")</f>
        <v>✔ فعلي</v>
      </c>
      <c r="J3" s="97" t="s">
        <v>348</v>
      </c>
      <c r="K3" s="97"/>
      <c r="L3" s="97" t="s">
        <v>324</v>
      </c>
      <c r="M3" s="97"/>
      <c r="O3" s="22" t="s">
        <v>61</v>
      </c>
      <c r="P3" s="12" t="s">
        <v>111</v>
      </c>
      <c r="R3" s="23" t="s">
        <v>63</v>
      </c>
      <c r="S3" s="23" t="s">
        <v>64</v>
      </c>
      <c r="U3" s="23" t="s">
        <v>39</v>
      </c>
      <c r="W3" s="23" t="s">
        <v>65</v>
      </c>
    </row>
    <row r="4" customFormat="false" ht="7.5" hidden="false" customHeight="true" outlineLevel="0" collapsed="false"/>
    <row r="5" customFormat="false" ht="48" hidden="false" customHeight="true" outlineLevel="0" collapsed="false">
      <c r="A5" s="98" t="s">
        <v>207</v>
      </c>
      <c r="B5" s="98" t="s">
        <v>208</v>
      </c>
      <c r="C5" s="98" t="s">
        <v>209</v>
      </c>
      <c r="D5" s="98" t="s">
        <v>96</v>
      </c>
      <c r="E5" s="98" t="s">
        <v>84</v>
      </c>
      <c r="F5" s="99" t="s">
        <v>325</v>
      </c>
      <c r="G5" s="99" t="s">
        <v>326</v>
      </c>
      <c r="H5" s="99" t="s">
        <v>327</v>
      </c>
      <c r="I5" s="99" t="s">
        <v>328</v>
      </c>
      <c r="J5" s="100" t="s">
        <v>329</v>
      </c>
      <c r="K5" s="100" t="s">
        <v>330</v>
      </c>
      <c r="L5" s="100" t="s">
        <v>331</v>
      </c>
      <c r="M5" s="100" t="s">
        <v>332</v>
      </c>
      <c r="N5" s="100" t="s">
        <v>333</v>
      </c>
      <c r="O5" s="100" t="s">
        <v>334</v>
      </c>
      <c r="P5" s="100" t="s">
        <v>298</v>
      </c>
      <c r="Q5" s="100" t="s">
        <v>335</v>
      </c>
      <c r="R5" s="100" t="s">
        <v>74</v>
      </c>
      <c r="S5" s="101" t="s">
        <v>336</v>
      </c>
      <c r="T5" s="101" t="s">
        <v>300</v>
      </c>
      <c r="U5" s="101" t="s">
        <v>301</v>
      </c>
      <c r="V5" s="101" t="s">
        <v>337</v>
      </c>
      <c r="W5" s="102" t="s">
        <v>338</v>
      </c>
      <c r="X5" s="103" t="s">
        <v>339</v>
      </c>
      <c r="Y5" s="103" t="s">
        <v>340</v>
      </c>
      <c r="Z5" s="103" t="s">
        <v>341</v>
      </c>
      <c r="AA5" s="103" t="s">
        <v>342</v>
      </c>
      <c r="AB5" s="103" t="s">
        <v>343</v>
      </c>
      <c r="AC5" s="104" t="s">
        <v>344</v>
      </c>
      <c r="AD5" s="104" t="s">
        <v>345</v>
      </c>
      <c r="AE5" s="104" t="s">
        <v>346</v>
      </c>
    </row>
    <row r="6" customFormat="false" ht="15" hidden="false" customHeight="false" outlineLevel="0" collapsed="false">
      <c r="A6" s="83" t="n">
        <f aca="false">IF($B6="","",الموظفون!$A6)</f>
        <v>1</v>
      </c>
      <c r="B6" s="74" t="str">
        <f aca="false">IF(الموظفون!$B6="","",الموظفون!$B6)</f>
        <v>E001</v>
      </c>
      <c r="C6" s="74" t="str">
        <f aca="false">IF($B6="","",الموظفون!$C6)</f>
        <v>عبدالله محمد العتيبي</v>
      </c>
      <c r="D6" s="74" t="str">
        <f aca="false">IF($B6="","",الموظفون!$F6)</f>
        <v>الإدارة العليا</v>
      </c>
      <c r="E6" s="74" t="str">
        <f aca="false">IF($B6="","",الموظفون!$E6)</f>
        <v>سعودي</v>
      </c>
      <c r="F6" s="105" t="n">
        <f aca="false">IF($B6="","",IF(AE6&gt;=DAY($G$3),cfg_DAYS_M,MIN(AE6,cfg_DAYS_M)))</f>
        <v>30</v>
      </c>
      <c r="G6" s="105" t="n">
        <f aca="false">IF($B6="","",SUMIFS('الحركات الشهرية'!$D$6:$D$1005,'الحركات الشهرية'!$B$6:$B$1005,$B6,'الحركات الشهرية'!$A$6:$A$1005,$C$3))</f>
        <v>0</v>
      </c>
      <c r="H6" s="105" t="n">
        <f aca="false">IF($B6="","",SUMIFS('الحركات الشهرية'!$E$6:$E$1005,'الحركات الشهرية'!$B$6:$B$1005,$B6,'الحركات الشهرية'!$A$6:$A$1005,$C$3))</f>
        <v>0</v>
      </c>
      <c r="I6" s="105" t="n">
        <f aca="false">IF($B6="","",MAX(0,F6-G6-H6))</f>
        <v>30</v>
      </c>
      <c r="J6" s="86" t="n">
        <f aca="false">IF($B6="","",الموظفون!$J6*$I6/cfg_DAYS_M)</f>
        <v>28000</v>
      </c>
      <c r="K6" s="86" t="n">
        <f aca="false">IF($B6="","",الموظفون!$K6*$I6/cfg_DAYS_M)</f>
        <v>7000</v>
      </c>
      <c r="L6" s="86" t="n">
        <f aca="false">IF($B6="","",الموظفون!$L6*$I6/cfg_DAYS_M)</f>
        <v>2800</v>
      </c>
      <c r="M6" s="86" t="n">
        <f aca="false">IF($B6="","",الموظفون!$M6*$I6/cfg_DAYS_M)</f>
        <v>3000</v>
      </c>
      <c r="N6" s="105" t="n">
        <f aca="false">IF($B6="","",SUMIFS('الحركات الشهرية'!$F$6:$F$1005,'الحركات الشهرية'!$B$6:$B$1005,$B6,'الحركات الشهرية'!$A$6:$A$1005,$C$3))</f>
        <v>0</v>
      </c>
      <c r="O6" s="86" t="n">
        <f aca="false">IF($B6="","",N6*(الموظفون!$N6+الموظفون!$J6*cfg_OT_P)/cfg_DAYS_M/cfg_HRS)</f>
        <v>0</v>
      </c>
      <c r="P6" s="86" t="n">
        <f aca="false">IF($B6="","",SUMIFS('الحركات الشهرية'!$G$6:$G$1005,'الحركات الشهرية'!$B$6:$B$1005,$B6,'الحركات الشهرية'!$A$6:$A$1005,$C$3))</f>
        <v>0</v>
      </c>
      <c r="Q6" s="86" t="n">
        <f aca="false">IF($B6="","",SUMIFS('الحركات الشهرية'!$H$6:$H$1005,'الحركات الشهرية'!$B$6:$B$1005,$B6,'الحركات الشهرية'!$A$6:$A$1005,$C$3))</f>
        <v>0</v>
      </c>
      <c r="R6" s="106" t="n">
        <f aca="false">IF($B6="","",SUM(J6:M6)+SUM(O6:Q6))</f>
        <v>40800</v>
      </c>
      <c r="S6" s="86" t="n">
        <f aca="false">IF($B6="","",الموظفون!$Q6*IF(E6="سعودي",cfg_G_SE,cfg_G_NE)*F6/cfg_DAYS_M)</f>
        <v>3412.5</v>
      </c>
      <c r="T6" s="86" t="n">
        <f aca="false">IF($B6="","",SUMIFS('الحركات الشهرية'!$I$6:$I$1005,'الحركات الشهرية'!$B$6:$B$1005,$B6,'الحركات الشهرية'!$A$6:$A$1005,$C$3))</f>
        <v>0</v>
      </c>
      <c r="U6" s="86" t="n">
        <f aca="false">IF($B6="","",SUMIFS('الحركات الشهرية'!$J$6:$J$1005,'الحركات الشهرية'!$B$6:$B$1005,$B6,'الحركات الشهرية'!$A$6:$A$1005,$C$3))</f>
        <v>0</v>
      </c>
      <c r="V6" s="86" t="n">
        <f aca="false">IF($B6="","",SUM(S6:U6))</f>
        <v>3412.5</v>
      </c>
      <c r="W6" s="107" t="n">
        <f aca="false">IF($B6="","",R6-V6)</f>
        <v>37387.5</v>
      </c>
      <c r="X6" s="86" t="n">
        <f aca="false">IF($B6="","",الموظفون!$Q6*IF(E6="سعودي",cfg_G_SR,cfg_G_NR)*F6/cfg_DAYS_M)</f>
        <v>4112.5</v>
      </c>
      <c r="Y6" s="86" t="n">
        <f aca="false">IF($B6="","",الموظفون!$O6*(cfg_EOS_R1*(MIN(AC6,cfg_EOS_TH)-MIN(AD6,cfg_EOS_TH))+cfg_EOS_R2*(MAX(AC6-cfg_EOS_TH,0)-MAX(AD6-cfg_EOS_TH,0))))</f>
        <v>3210.41095890413</v>
      </c>
      <c r="Z6" s="86" t="n">
        <f aca="false">IF($B6="","",IF(الموظفون!$R6&lt;&gt;"",الموظفون!$R6,IF(AC6&gt;=cfg_LV_TH,cfg_LV_D2,cfg_LV_D1))/cfg_DAYS_Y*AE6*الموظفون!$P6/cfg_DAYS_M)</f>
        <v>3210.41095890411</v>
      </c>
      <c r="AA6" s="86" t="n">
        <f aca="false">IF($B6="","",IF(AND(الموظفون!$S6="نعم",N(الموظفون!$U6)&gt;0),الموظفون!$T6/الموظفون!$U6*12/cfg_DAYS_Y*AE6,0))</f>
        <v>0</v>
      </c>
      <c r="AB6" s="108" t="n">
        <f aca="false">IF($B6="","",R6+SUM(X6:AA6))</f>
        <v>51333.3219178082</v>
      </c>
      <c r="AC6" s="109" t="n">
        <f aca="false">IF($B6="","",MAX(0,IF(OR(الموظفون!$X6="",الموظفون!$X6&gt;$G$3),$G$3,الموظفون!$X6)-الموظفون!$H6+1)/cfg_DAYS_Y)</f>
        <v>14.2191780821918</v>
      </c>
      <c r="AD6" s="109" t="n">
        <f aca="false">IF($B6="","",MAX(0,IF(OR(الموظفون!$X6="",الموظفون!$X6&gt;($E$3-1)),($E$3-1),الموظفون!$X6)-الموظفون!$H6+1)/cfg_DAYS_Y)</f>
        <v>14.1342465753425</v>
      </c>
      <c r="AE6" s="51" t="n">
        <f aca="false">IF($B6="","",MAX(0,IF(OR(الموظفون!$X6="",الموظفون!$X6&gt;$G$3),$G$3,الموظفون!$X6)-MAX($E$3,الموظفون!$H6)+1))</f>
        <v>31</v>
      </c>
    </row>
    <row r="7" customFormat="false" ht="15" hidden="false" customHeight="false" outlineLevel="0" collapsed="false">
      <c r="A7" s="89" t="n">
        <f aca="false">IF($B7="","",الموظفون!$A7)</f>
        <v>2</v>
      </c>
      <c r="B7" s="91" t="str">
        <f aca="false">IF(الموظفون!$B7="","",الموظفون!$B7)</f>
        <v>E002</v>
      </c>
      <c r="C7" s="91" t="str">
        <f aca="false">IF($B7="","",الموظفون!$C7)</f>
        <v>أحمد سعيد القحطاني</v>
      </c>
      <c r="D7" s="91" t="str">
        <f aca="false">IF($B7="","",الموظفون!$F7)</f>
        <v>المالية</v>
      </c>
      <c r="E7" s="91" t="str">
        <f aca="false">IF($B7="","",الموظفون!$E7)</f>
        <v>سعودي</v>
      </c>
      <c r="F7" s="110" t="n">
        <f aca="false">IF($B7="","",IF(AE7&gt;=DAY($G$3),cfg_DAYS_M,MIN(AE7,cfg_DAYS_M)))</f>
        <v>30</v>
      </c>
      <c r="G7" s="110" t="n">
        <f aca="false">IF($B7="","",SUMIFS('الحركات الشهرية'!$D$6:$D$1005,'الحركات الشهرية'!$B$6:$B$1005,$B7,'الحركات الشهرية'!$A$6:$A$1005,$C$3))</f>
        <v>0</v>
      </c>
      <c r="H7" s="110" t="n">
        <f aca="false">IF($B7="","",SUMIFS('الحركات الشهرية'!$E$6:$E$1005,'الحركات الشهرية'!$B$6:$B$1005,$B7,'الحركات الشهرية'!$A$6:$A$1005,$C$3))</f>
        <v>0</v>
      </c>
      <c r="I7" s="110" t="n">
        <f aca="false">IF($B7="","",MAX(0,F7-G7-H7))</f>
        <v>30</v>
      </c>
      <c r="J7" s="90" t="n">
        <f aca="false">IF($B7="","",الموظفون!$J7*$I7/cfg_DAYS_M)</f>
        <v>18000</v>
      </c>
      <c r="K7" s="90" t="n">
        <f aca="false">IF($B7="","",الموظفون!$K7*$I7/cfg_DAYS_M)</f>
        <v>4500</v>
      </c>
      <c r="L7" s="90" t="n">
        <f aca="false">IF($B7="","",الموظفون!$L7*$I7/cfg_DAYS_M)</f>
        <v>1800</v>
      </c>
      <c r="M7" s="90" t="n">
        <f aca="false">IF($B7="","",الموظفون!$M7*$I7/cfg_DAYS_M)</f>
        <v>1000</v>
      </c>
      <c r="N7" s="110" t="n">
        <f aca="false">IF($B7="","",SUMIFS('الحركات الشهرية'!$F$6:$F$1005,'الحركات الشهرية'!$B$6:$B$1005,$B7,'الحركات الشهرية'!$A$6:$A$1005,$C$3))</f>
        <v>0</v>
      </c>
      <c r="O7" s="90" t="n">
        <f aca="false">IF($B7="","",N7*(الموظفون!$N7+الموظفون!$J7*cfg_OT_P)/cfg_DAYS_M/cfg_HRS)</f>
        <v>0</v>
      </c>
      <c r="P7" s="90" t="n">
        <f aca="false">IF($B7="","",SUMIFS('الحركات الشهرية'!$G$6:$G$1005,'الحركات الشهرية'!$B$6:$B$1005,$B7,'الحركات الشهرية'!$A$6:$A$1005,$C$3))</f>
        <v>0</v>
      </c>
      <c r="Q7" s="90" t="n">
        <f aca="false">IF($B7="","",SUMIFS('الحركات الشهرية'!$H$6:$H$1005,'الحركات الشهرية'!$B$6:$B$1005,$B7,'الحركات الشهرية'!$A$6:$A$1005,$C$3))</f>
        <v>0</v>
      </c>
      <c r="R7" s="111" t="n">
        <f aca="false">IF($B7="","",SUM(J7:M7)+SUM(O7:Q7))</f>
        <v>25300</v>
      </c>
      <c r="S7" s="90" t="n">
        <f aca="false">IF($B7="","",الموظفون!$Q7*IF(E7="سعودي",cfg_G_SE,cfg_G_NE)*F7/cfg_DAYS_M)</f>
        <v>2193.75</v>
      </c>
      <c r="T7" s="90" t="n">
        <f aca="false">IF($B7="","",SUMIFS('الحركات الشهرية'!$I$6:$I$1005,'الحركات الشهرية'!$B$6:$B$1005,$B7,'الحركات الشهرية'!$A$6:$A$1005,$C$3))</f>
        <v>0</v>
      </c>
      <c r="U7" s="90" t="n">
        <f aca="false">IF($B7="","",SUMIFS('الحركات الشهرية'!$J$6:$J$1005,'الحركات الشهرية'!$B$6:$B$1005,$B7,'الحركات الشهرية'!$A$6:$A$1005,$C$3))</f>
        <v>0</v>
      </c>
      <c r="V7" s="90" t="n">
        <f aca="false">IF($B7="","",SUM(S7:U7))</f>
        <v>2193.75</v>
      </c>
      <c r="W7" s="112" t="n">
        <f aca="false">IF($B7="","",R7-V7)</f>
        <v>23106.25</v>
      </c>
      <c r="X7" s="90" t="n">
        <f aca="false">IF($B7="","",الموظفون!$Q7*IF(E7="سعودي",cfg_G_SR,cfg_G_NR)*F7/cfg_DAYS_M)</f>
        <v>2643.75</v>
      </c>
      <c r="Y7" s="90" t="n">
        <f aca="false">IF($B7="","",الموظفون!$O7*(cfg_EOS_R1*(MIN(AC7,cfg_EOS_TH)-MIN(AD7,cfg_EOS_TH))+cfg_EOS_R2*(MAX(AC7-cfg_EOS_TH,0)-MAX(AD7-cfg_EOS_TH,0))))</f>
        <v>2063.83561643837</v>
      </c>
      <c r="Z7" s="90" t="n">
        <f aca="false">IF($B7="","",IF(الموظفون!$R7&lt;&gt;"",الموظفون!$R7,IF(AC7&gt;=cfg_LV_TH,cfg_LV_D2,cfg_LV_D1))/cfg_DAYS_Y*AE7*الموظفون!$P7/cfg_DAYS_M)</f>
        <v>2063.83561643836</v>
      </c>
      <c r="AA7" s="90" t="n">
        <f aca="false">IF($B7="","",IF(AND(الموظفون!$S7="نعم",N(الموظفون!$U7)&gt;0),الموظفون!$T7/الموظفون!$U7*12/cfg_DAYS_Y*AE7,0))</f>
        <v>0</v>
      </c>
      <c r="AB7" s="113" t="n">
        <f aca="false">IF($B7="","",R7+SUM(X7:AA7))</f>
        <v>32071.4212328767</v>
      </c>
      <c r="AC7" s="114" t="n">
        <f aca="false">IF($B7="","",MAX(0,IF(OR(الموظفون!$X7="",الموظفون!$X7&gt;$G$3),$G$3,الموظفون!$X7)-الموظفون!$H7+1)/cfg_DAYS_Y)</f>
        <v>9.83835616438356</v>
      </c>
      <c r="AD7" s="114" t="n">
        <f aca="false">IF($B7="","",MAX(0,IF(OR(الموظفون!$X7="",الموظفون!$X7&gt;($E$3-1)),($E$3-1),الموظفون!$X7)-الموظفون!$H7+1)/cfg_DAYS_Y)</f>
        <v>9.75342465753425</v>
      </c>
      <c r="AE7" s="115" t="n">
        <f aca="false">IF($B7="","",MAX(0,IF(OR(الموظفون!$X7="",الموظفون!$X7&gt;$G$3),$G$3,الموظفون!$X7)-MAX($E$3,الموظفون!$H7)+1))</f>
        <v>31</v>
      </c>
    </row>
    <row r="8" customFormat="false" ht="15" hidden="false" customHeight="false" outlineLevel="0" collapsed="false">
      <c r="A8" s="83" t="n">
        <f aca="false">IF($B8="","",الموظفون!$A8)</f>
        <v>3</v>
      </c>
      <c r="B8" s="74" t="str">
        <f aca="false">IF(الموظفون!$B8="","",الموظفون!$B8)</f>
        <v>E003</v>
      </c>
      <c r="C8" s="74" t="str">
        <f aca="false">IF($B8="","",الموظفون!$C8)</f>
        <v>محمد علي حسن</v>
      </c>
      <c r="D8" s="74" t="str">
        <f aca="false">IF($B8="","",الموظفون!$F8)</f>
        <v>المالية</v>
      </c>
      <c r="E8" s="74" t="str">
        <f aca="false">IF($B8="","",الموظفون!$E8)</f>
        <v>غير سعودي</v>
      </c>
      <c r="F8" s="105" t="n">
        <f aca="false">IF($B8="","",IF(AE8&gt;=DAY($G$3),cfg_DAYS_M,MIN(AE8,cfg_DAYS_M)))</f>
        <v>30</v>
      </c>
      <c r="G8" s="105" t="n">
        <f aca="false">IF($B8="","",SUMIFS('الحركات الشهرية'!$D$6:$D$1005,'الحركات الشهرية'!$B$6:$B$1005,$B8,'الحركات الشهرية'!$A$6:$A$1005,$C$3))</f>
        <v>0</v>
      </c>
      <c r="H8" s="105" t="n">
        <f aca="false">IF($B8="","",SUMIFS('الحركات الشهرية'!$E$6:$E$1005,'الحركات الشهرية'!$B$6:$B$1005,$B8,'الحركات الشهرية'!$A$6:$A$1005,$C$3))</f>
        <v>0</v>
      </c>
      <c r="I8" s="105" t="n">
        <f aca="false">IF($B8="","",MAX(0,F8-G8-H8))</f>
        <v>30</v>
      </c>
      <c r="J8" s="86" t="n">
        <f aca="false">IF($B8="","",الموظفون!$J8*$I8/cfg_DAYS_M)</f>
        <v>8500</v>
      </c>
      <c r="K8" s="86" t="n">
        <f aca="false">IF($B8="","",الموظفون!$K8*$I8/cfg_DAYS_M)</f>
        <v>2125</v>
      </c>
      <c r="L8" s="86" t="n">
        <f aca="false">IF($B8="","",الموظفون!$L8*$I8/cfg_DAYS_M)</f>
        <v>850</v>
      </c>
      <c r="M8" s="86" t="n">
        <f aca="false">IF($B8="","",الموظفون!$M8*$I8/cfg_DAYS_M)</f>
        <v>500</v>
      </c>
      <c r="N8" s="105" t="n">
        <f aca="false">IF($B8="","",SUMIFS('الحركات الشهرية'!$F$6:$F$1005,'الحركات الشهرية'!$B$6:$B$1005,$B8,'الحركات الشهرية'!$A$6:$A$1005,$C$3))</f>
        <v>0</v>
      </c>
      <c r="O8" s="86" t="n">
        <f aca="false">IF($B8="","",N8*(الموظفون!$N8+الموظفون!$J8*cfg_OT_P)/cfg_DAYS_M/cfg_HRS)</f>
        <v>0</v>
      </c>
      <c r="P8" s="86" t="n">
        <f aca="false">IF($B8="","",SUMIFS('الحركات الشهرية'!$G$6:$G$1005,'الحركات الشهرية'!$B$6:$B$1005,$B8,'الحركات الشهرية'!$A$6:$A$1005,$C$3))</f>
        <v>0</v>
      </c>
      <c r="Q8" s="86" t="n">
        <f aca="false">IF($B8="","",SUMIFS('الحركات الشهرية'!$H$6:$H$1005,'الحركات الشهرية'!$B$6:$B$1005,$B8,'الحركات الشهرية'!$A$6:$A$1005,$C$3))</f>
        <v>0</v>
      </c>
      <c r="R8" s="106" t="n">
        <f aca="false">IF($B8="","",SUM(J8:M8)+SUM(O8:Q8))</f>
        <v>11975</v>
      </c>
      <c r="S8" s="86" t="n">
        <f aca="false">IF($B8="","",الموظفون!$Q8*IF(E8="سعودي",cfg_G_SE,cfg_G_NE)*F8/cfg_DAYS_M)</f>
        <v>0</v>
      </c>
      <c r="T8" s="86" t="n">
        <f aca="false">IF($B8="","",SUMIFS('الحركات الشهرية'!$I$6:$I$1005,'الحركات الشهرية'!$B$6:$B$1005,$B8,'الحركات الشهرية'!$A$6:$A$1005,$C$3))</f>
        <v>1000</v>
      </c>
      <c r="U8" s="86" t="n">
        <f aca="false">IF($B8="","",SUMIFS('الحركات الشهرية'!$J$6:$J$1005,'الحركات الشهرية'!$B$6:$B$1005,$B8,'الحركات الشهرية'!$A$6:$A$1005,$C$3))</f>
        <v>0</v>
      </c>
      <c r="V8" s="86" t="n">
        <f aca="false">IF($B8="","",SUM(S8:U8))</f>
        <v>1000</v>
      </c>
      <c r="W8" s="107" t="n">
        <f aca="false">IF($B8="","",R8-V8)</f>
        <v>10975</v>
      </c>
      <c r="X8" s="86" t="n">
        <f aca="false">IF($B8="","",الموظفون!$Q8*IF(E8="سعودي",cfg_G_SR,cfg_G_NR)*F8/cfg_DAYS_M)</f>
        <v>212.5</v>
      </c>
      <c r="Y8" s="86" t="n">
        <f aca="false">IF($B8="","",الموظفون!$O8*(cfg_EOS_R1*(MIN(AC8,cfg_EOS_TH)-MIN(AD8,cfg_EOS_TH))+cfg_EOS_R2*(MAX(AC8-cfg_EOS_TH,0)-MAX(AD8-cfg_EOS_TH,0))))</f>
        <v>974.589041095895</v>
      </c>
      <c r="Z8" s="86" t="n">
        <f aca="false">IF($B8="","",IF(الموظفون!$R8&lt;&gt;"",الموظفون!$R8,IF(AC8&gt;=cfg_LV_TH,cfg_LV_D2,cfg_LV_D1))/cfg_DAYS_Y*AE8*الموظفون!$P8/cfg_DAYS_M)</f>
        <v>974.589041095891</v>
      </c>
      <c r="AA8" s="86" t="n">
        <f aca="false">IF($B8="","",IF(AND(الموظفون!$S8="نعم",N(الموظفون!$U8)&gt;0),الموظفون!$T8/الموظفون!$U8*12/cfg_DAYS_Y*AE8,0))</f>
        <v>135.890410958904</v>
      </c>
      <c r="AB8" s="108" t="n">
        <f aca="false">IF($B8="","",R8+SUM(X8:AA8))</f>
        <v>14272.5684931507</v>
      </c>
      <c r="AC8" s="109" t="n">
        <f aca="false">IF($B8="","",MAX(0,IF(OR(الموظفون!$X8="",الموظفون!$X8&gt;$G$3),$G$3,الموظفون!$X8)-الموظفون!$H8+1)/cfg_DAYS_Y)</f>
        <v>7.56164383561644</v>
      </c>
      <c r="AD8" s="109" t="n">
        <f aca="false">IF($B8="","",MAX(0,IF(OR(الموظفون!$X8="",الموظفون!$X8&gt;($E$3-1)),($E$3-1),الموظفون!$X8)-الموظفون!$H8+1)/cfg_DAYS_Y)</f>
        <v>7.47671232876712</v>
      </c>
      <c r="AE8" s="51" t="n">
        <f aca="false">IF($B8="","",MAX(0,IF(OR(الموظفون!$X8="",الموظفون!$X8&gt;$G$3),$G$3,الموظفون!$X8)-MAX($E$3,الموظفون!$H8)+1))</f>
        <v>31</v>
      </c>
    </row>
    <row r="9" customFormat="false" ht="15" hidden="false" customHeight="false" outlineLevel="0" collapsed="false">
      <c r="A9" s="89" t="n">
        <f aca="false">IF($B9="","",الموظفون!$A9)</f>
        <v>4</v>
      </c>
      <c r="B9" s="91" t="str">
        <f aca="false">IF(الموظفون!$B9="","",الموظفون!$B9)</f>
        <v>E004</v>
      </c>
      <c r="C9" s="91" t="str">
        <f aca="false">IF($B9="","",الموظفون!$C9)</f>
        <v>نورة خالد الدوسري</v>
      </c>
      <c r="D9" s="91" t="str">
        <f aca="false">IF($B9="","",الموظفون!$F9)</f>
        <v>الموارد البشرية</v>
      </c>
      <c r="E9" s="91" t="str">
        <f aca="false">IF($B9="","",الموظفون!$E9)</f>
        <v>سعودي</v>
      </c>
      <c r="F9" s="110" t="n">
        <f aca="false">IF($B9="","",IF(AE9&gt;=DAY($G$3),cfg_DAYS_M,MIN(AE9,cfg_DAYS_M)))</f>
        <v>30</v>
      </c>
      <c r="G9" s="110" t="n">
        <f aca="false">IF($B9="","",SUMIFS('الحركات الشهرية'!$D$6:$D$1005,'الحركات الشهرية'!$B$6:$B$1005,$B9,'الحركات الشهرية'!$A$6:$A$1005,$C$3))</f>
        <v>0</v>
      </c>
      <c r="H9" s="110" t="n">
        <f aca="false">IF($B9="","",SUMIFS('الحركات الشهرية'!$E$6:$E$1005,'الحركات الشهرية'!$B$6:$B$1005,$B9,'الحركات الشهرية'!$A$6:$A$1005,$C$3))</f>
        <v>0</v>
      </c>
      <c r="I9" s="110" t="n">
        <f aca="false">IF($B9="","",MAX(0,F9-G9-H9))</f>
        <v>30</v>
      </c>
      <c r="J9" s="90" t="n">
        <f aca="false">IF($B9="","",الموظفون!$J9*$I9/cfg_DAYS_M)</f>
        <v>14000</v>
      </c>
      <c r="K9" s="90" t="n">
        <f aca="false">IF($B9="","",الموظفون!$K9*$I9/cfg_DAYS_M)</f>
        <v>3500</v>
      </c>
      <c r="L9" s="90" t="n">
        <f aca="false">IF($B9="","",الموظفون!$L9*$I9/cfg_DAYS_M)</f>
        <v>1400</v>
      </c>
      <c r="M9" s="90" t="n">
        <f aca="false">IF($B9="","",الموظفون!$M9*$I9/cfg_DAYS_M)</f>
        <v>0</v>
      </c>
      <c r="N9" s="110" t="n">
        <f aca="false">IF($B9="","",SUMIFS('الحركات الشهرية'!$F$6:$F$1005,'الحركات الشهرية'!$B$6:$B$1005,$B9,'الحركات الشهرية'!$A$6:$A$1005,$C$3))</f>
        <v>0</v>
      </c>
      <c r="O9" s="90" t="n">
        <f aca="false">IF($B9="","",N9*(الموظفون!$N9+الموظفون!$J9*cfg_OT_P)/cfg_DAYS_M/cfg_HRS)</f>
        <v>0</v>
      </c>
      <c r="P9" s="90" t="n">
        <f aca="false">IF($B9="","",SUMIFS('الحركات الشهرية'!$G$6:$G$1005,'الحركات الشهرية'!$B$6:$B$1005,$B9,'الحركات الشهرية'!$A$6:$A$1005,$C$3))</f>
        <v>0</v>
      </c>
      <c r="Q9" s="90" t="n">
        <f aca="false">IF($B9="","",SUMIFS('الحركات الشهرية'!$H$6:$H$1005,'الحركات الشهرية'!$B$6:$B$1005,$B9,'الحركات الشهرية'!$A$6:$A$1005,$C$3))</f>
        <v>0</v>
      </c>
      <c r="R9" s="111" t="n">
        <f aca="false">IF($B9="","",SUM(J9:M9)+SUM(O9:Q9))</f>
        <v>18900</v>
      </c>
      <c r="S9" s="90" t="n">
        <f aca="false">IF($B9="","",الموظفون!$Q9*IF(E9="سعودي",cfg_G_SE,cfg_G_NE)*F9/cfg_DAYS_M)</f>
        <v>1706.25</v>
      </c>
      <c r="T9" s="90" t="n">
        <f aca="false">IF($B9="","",SUMIFS('الحركات الشهرية'!$I$6:$I$1005,'الحركات الشهرية'!$B$6:$B$1005,$B9,'الحركات الشهرية'!$A$6:$A$1005,$C$3))</f>
        <v>0</v>
      </c>
      <c r="U9" s="90" t="n">
        <f aca="false">IF($B9="","",SUMIFS('الحركات الشهرية'!$J$6:$J$1005,'الحركات الشهرية'!$B$6:$B$1005,$B9,'الحركات الشهرية'!$A$6:$A$1005,$C$3))</f>
        <v>0</v>
      </c>
      <c r="V9" s="90" t="n">
        <f aca="false">IF($B9="","",SUM(S9:U9))</f>
        <v>1706.25</v>
      </c>
      <c r="W9" s="112" t="n">
        <f aca="false">IF($B9="","",R9-V9)</f>
        <v>17193.75</v>
      </c>
      <c r="X9" s="90" t="n">
        <f aca="false">IF($B9="","",الموظفون!$Q9*IF(E9="سعودي",cfg_G_SR,cfg_G_NR)*F9/cfg_DAYS_M)</f>
        <v>2056.25</v>
      </c>
      <c r="Y9" s="90" t="n">
        <f aca="false">IF($B9="","",الموظفون!$O9*(cfg_EOS_R1*(MIN(AC9,cfg_EOS_TH)-MIN(AD9,cfg_EOS_TH))+cfg_EOS_R2*(MAX(AC9-cfg_EOS_TH,0)-MAX(AD9-cfg_EOS_TH,0))))</f>
        <v>1605.20547945205</v>
      </c>
      <c r="Z9" s="90" t="n">
        <f aca="false">IF($B9="","",IF(الموظفون!$R9&lt;&gt;"",الموظفون!$R9,IF(AC9&gt;=cfg_LV_TH,cfg_LV_D2,cfg_LV_D1))/cfg_DAYS_Y*AE9*الموظفون!$P9/cfg_DAYS_M)</f>
        <v>1605.20547945205</v>
      </c>
      <c r="AA9" s="90" t="n">
        <f aca="false">IF($B9="","",IF(AND(الموظفون!$S9="نعم",N(الموظفون!$U9)&gt;0),الموظفون!$T9/الموظفون!$U9*12/cfg_DAYS_Y*AE9,0))</f>
        <v>0</v>
      </c>
      <c r="AB9" s="113" t="n">
        <f aca="false">IF($B9="","",R9+SUM(X9:AA9))</f>
        <v>24166.6609589041</v>
      </c>
      <c r="AC9" s="114" t="n">
        <f aca="false">IF($B9="","",MAX(0,IF(OR(الموظفون!$X9="",الموظفون!$X9&gt;$G$3),$G$3,الموظفون!$X9)-الموظفون!$H9+1)/cfg_DAYS_Y)</f>
        <v>7.16712328767123</v>
      </c>
      <c r="AD9" s="114" t="n">
        <f aca="false">IF($B9="","",MAX(0,IF(OR(الموظفون!$X9="",الموظفون!$X9&gt;($E$3-1)),($E$3-1),الموظفون!$X9)-الموظفون!$H9+1)/cfg_DAYS_Y)</f>
        <v>7.08219178082192</v>
      </c>
      <c r="AE9" s="115" t="n">
        <f aca="false">IF($B9="","",MAX(0,IF(OR(الموظفون!$X9="",الموظفون!$X9&gt;$G$3),$G$3,الموظفون!$X9)-MAX($E$3,الموظفون!$H9)+1))</f>
        <v>31</v>
      </c>
    </row>
    <row r="10" customFormat="false" ht="15" hidden="false" customHeight="false" outlineLevel="0" collapsed="false">
      <c r="A10" s="83" t="n">
        <f aca="false">IF($B10="","",الموظفون!$A10)</f>
        <v>5</v>
      </c>
      <c r="B10" s="74" t="str">
        <f aca="false">IF(الموظفون!$B10="","",الموظفون!$B10)</f>
        <v>E005</v>
      </c>
      <c r="C10" s="74" t="str">
        <f aca="false">IF($B10="","",الموظفون!$C10)</f>
        <v>راجيش كومار</v>
      </c>
      <c r="D10" s="74" t="str">
        <f aca="false">IF($B10="","",الموظفون!$F10)</f>
        <v>تقنية المعلومات</v>
      </c>
      <c r="E10" s="74" t="str">
        <f aca="false">IF($B10="","",الموظفون!$E10)</f>
        <v>غير سعودي</v>
      </c>
      <c r="F10" s="105" t="n">
        <f aca="false">IF($B10="","",IF(AE10&gt;=DAY($G$3),cfg_DAYS_M,MIN(AE10,cfg_DAYS_M)))</f>
        <v>30</v>
      </c>
      <c r="G10" s="105" t="n">
        <f aca="false">IF($B10="","",SUMIFS('الحركات الشهرية'!$D$6:$D$1005,'الحركات الشهرية'!$B$6:$B$1005,$B10,'الحركات الشهرية'!$A$6:$A$1005,$C$3))</f>
        <v>0</v>
      </c>
      <c r="H10" s="105" t="n">
        <f aca="false">IF($B10="","",SUMIFS('الحركات الشهرية'!$E$6:$E$1005,'الحركات الشهرية'!$B$6:$B$1005,$B10,'الحركات الشهرية'!$A$6:$A$1005,$C$3))</f>
        <v>0</v>
      </c>
      <c r="I10" s="105" t="n">
        <f aca="false">IF($B10="","",MAX(0,F10-G10-H10))</f>
        <v>30</v>
      </c>
      <c r="J10" s="86" t="n">
        <f aca="false">IF($B10="","",الموظفون!$J10*$I10/cfg_DAYS_M)</f>
        <v>9000</v>
      </c>
      <c r="K10" s="86" t="n">
        <f aca="false">IF($B10="","",الموظفون!$K10*$I10/cfg_DAYS_M)</f>
        <v>2250</v>
      </c>
      <c r="L10" s="86" t="n">
        <f aca="false">IF($B10="","",الموظفون!$L10*$I10/cfg_DAYS_M)</f>
        <v>900</v>
      </c>
      <c r="M10" s="86" t="n">
        <f aca="false">IF($B10="","",الموظفون!$M10*$I10/cfg_DAYS_M)</f>
        <v>700</v>
      </c>
      <c r="N10" s="105" t="n">
        <f aca="false">IF($B10="","",SUMIFS('الحركات الشهرية'!$F$6:$F$1005,'الحركات الشهرية'!$B$6:$B$1005,$B10,'الحركات الشهرية'!$A$6:$A$1005,$C$3))</f>
        <v>0</v>
      </c>
      <c r="O10" s="86" t="n">
        <f aca="false">IF($B10="","",N10*(الموظفون!$N10+الموظفون!$J10*cfg_OT_P)/cfg_DAYS_M/cfg_HRS)</f>
        <v>0</v>
      </c>
      <c r="P10" s="86" t="n">
        <f aca="false">IF($B10="","",SUMIFS('الحركات الشهرية'!$G$6:$G$1005,'الحركات الشهرية'!$B$6:$B$1005,$B10,'الحركات الشهرية'!$A$6:$A$1005,$C$3))</f>
        <v>0</v>
      </c>
      <c r="Q10" s="86" t="n">
        <f aca="false">IF($B10="","",SUMIFS('الحركات الشهرية'!$H$6:$H$1005,'الحركات الشهرية'!$B$6:$B$1005,$B10,'الحركات الشهرية'!$A$6:$A$1005,$C$3))</f>
        <v>0</v>
      </c>
      <c r="R10" s="106" t="n">
        <f aca="false">IF($B10="","",SUM(J10:M10)+SUM(O10:Q10))</f>
        <v>12850</v>
      </c>
      <c r="S10" s="86" t="n">
        <f aca="false">IF($B10="","",الموظفون!$Q10*IF(E10="سعودي",cfg_G_SE,cfg_G_NE)*F10/cfg_DAYS_M)</f>
        <v>0</v>
      </c>
      <c r="T10" s="86" t="n">
        <f aca="false">IF($B10="","",SUMIFS('الحركات الشهرية'!$I$6:$I$1005,'الحركات الشهرية'!$B$6:$B$1005,$B10,'الحركات الشهرية'!$A$6:$A$1005,$C$3))</f>
        <v>0</v>
      </c>
      <c r="U10" s="86" t="n">
        <f aca="false">IF($B10="","",SUMIFS('الحركات الشهرية'!$J$6:$J$1005,'الحركات الشهرية'!$B$6:$B$1005,$B10,'الحركات الشهرية'!$A$6:$A$1005,$C$3))</f>
        <v>0</v>
      </c>
      <c r="V10" s="86" t="n">
        <f aca="false">IF($B10="","",SUM(S10:U10))</f>
        <v>0</v>
      </c>
      <c r="W10" s="107" t="n">
        <f aca="false">IF($B10="","",R10-V10)</f>
        <v>12850</v>
      </c>
      <c r="X10" s="86" t="n">
        <f aca="false">IF($B10="","",الموظفون!$Q10*IF(E10="سعودي",cfg_G_SR,cfg_G_NR)*F10/cfg_DAYS_M)</f>
        <v>225</v>
      </c>
      <c r="Y10" s="86" t="n">
        <f aca="false">IF($B10="","",الموظفون!$O10*(cfg_EOS_R1*(MIN(AC10,cfg_EOS_TH)-MIN(AD10,cfg_EOS_TH))+cfg_EOS_R2*(MAX(AC10-cfg_EOS_TH,0)-MAX(AD10-cfg_EOS_TH,0))))</f>
        <v>1031.91780821917</v>
      </c>
      <c r="Z10" s="86" t="n">
        <f aca="false">IF($B10="","",IF(الموظفون!$R10&lt;&gt;"",الموظفون!$R10,IF(AC10&gt;=cfg_LV_TH,cfg_LV_D2,cfg_LV_D1))/cfg_DAYS_Y*AE10*الموظفون!$P10/cfg_DAYS_M)</f>
        <v>1031.91780821918</v>
      </c>
      <c r="AA10" s="86" t="n">
        <f aca="false">IF($B10="","",IF(AND(الموظفون!$S10="نعم",N(الموظفون!$U10)&gt;0),الموظفون!$T10/الموظفون!$U10*12/cfg_DAYS_Y*AE10,0))</f>
        <v>237.808219178082</v>
      </c>
      <c r="AB10" s="108" t="n">
        <f aca="false">IF($B10="","",R10+SUM(X10:AA10))</f>
        <v>15376.6438356164</v>
      </c>
      <c r="AC10" s="109" t="n">
        <f aca="false">IF($B10="","",MAX(0,IF(OR(الموظفون!$X10="",الموظفون!$X10&gt;$G$3),$G$3,الموظفون!$X10)-الموظفون!$H10+1)/cfg_DAYS_Y)</f>
        <v>5.97260273972603</v>
      </c>
      <c r="AD10" s="109" t="n">
        <f aca="false">IF($B10="","",MAX(0,IF(OR(الموظفون!$X10="",الموظفون!$X10&gt;($E$3-1)),($E$3-1),الموظفون!$X10)-الموظفون!$H10+1)/cfg_DAYS_Y)</f>
        <v>5.88767123287671</v>
      </c>
      <c r="AE10" s="51" t="n">
        <f aca="false">IF($B10="","",MAX(0,IF(OR(الموظفون!$X10="",الموظفون!$X10&gt;$G$3),$G$3,الموظفون!$X10)-MAX($E$3,الموظفون!$H10)+1))</f>
        <v>31</v>
      </c>
    </row>
    <row r="11" customFormat="false" ht="15" hidden="false" customHeight="false" outlineLevel="0" collapsed="false">
      <c r="A11" s="89" t="n">
        <f aca="false">IF($B11="","",الموظفون!$A11)</f>
        <v>6</v>
      </c>
      <c r="B11" s="91" t="str">
        <f aca="false">IF(الموظفون!$B11="","",الموظفون!$B11)</f>
        <v>E006</v>
      </c>
      <c r="C11" s="91" t="str">
        <f aca="false">IF($B11="","",الموظفون!$C11)</f>
        <v>فهد ناصر الشمري</v>
      </c>
      <c r="D11" s="91" t="str">
        <f aca="false">IF($B11="","",الموظفون!$F11)</f>
        <v>المبيعات</v>
      </c>
      <c r="E11" s="91" t="str">
        <f aca="false">IF($B11="","",الموظفون!$E11)</f>
        <v>سعودي</v>
      </c>
      <c r="F11" s="110" t="n">
        <f aca="false">IF($B11="","",IF(AE11&gt;=DAY($G$3),cfg_DAYS_M,MIN(AE11,cfg_DAYS_M)))</f>
        <v>30</v>
      </c>
      <c r="G11" s="110" t="n">
        <f aca="false">IF($B11="","",SUMIFS('الحركات الشهرية'!$D$6:$D$1005,'الحركات الشهرية'!$B$6:$B$1005,$B11,'الحركات الشهرية'!$A$6:$A$1005,$C$3))</f>
        <v>0</v>
      </c>
      <c r="H11" s="110" t="n">
        <f aca="false">IF($B11="","",SUMIFS('الحركات الشهرية'!$E$6:$E$1005,'الحركات الشهرية'!$B$6:$B$1005,$B11,'الحركات الشهرية'!$A$6:$A$1005,$C$3))</f>
        <v>0</v>
      </c>
      <c r="I11" s="110" t="n">
        <f aca="false">IF($B11="","",MAX(0,F11-G11-H11))</f>
        <v>30</v>
      </c>
      <c r="J11" s="90" t="n">
        <f aca="false">IF($B11="","",الموظفون!$J11*$I11/cfg_DAYS_M)</f>
        <v>13000</v>
      </c>
      <c r="K11" s="90" t="n">
        <f aca="false">IF($B11="","",الموظفون!$K11*$I11/cfg_DAYS_M)</f>
        <v>3250</v>
      </c>
      <c r="L11" s="90" t="n">
        <f aca="false">IF($B11="","",الموظفون!$L11*$I11/cfg_DAYS_M)</f>
        <v>1300</v>
      </c>
      <c r="M11" s="90" t="n">
        <f aca="false">IF($B11="","",الموظفون!$M11*$I11/cfg_DAYS_M)</f>
        <v>2500</v>
      </c>
      <c r="N11" s="110" t="n">
        <f aca="false">IF($B11="","",SUMIFS('الحركات الشهرية'!$F$6:$F$1005,'الحركات الشهرية'!$B$6:$B$1005,$B11,'الحركات الشهرية'!$A$6:$A$1005,$C$3))</f>
        <v>0</v>
      </c>
      <c r="O11" s="90" t="n">
        <f aca="false">IF($B11="","",N11*(الموظفون!$N11+الموظفون!$J11*cfg_OT_P)/cfg_DAYS_M/cfg_HRS)</f>
        <v>0</v>
      </c>
      <c r="P11" s="90" t="n">
        <f aca="false">IF($B11="","",SUMIFS('الحركات الشهرية'!$G$6:$G$1005,'الحركات الشهرية'!$B$6:$B$1005,$B11,'الحركات الشهرية'!$A$6:$A$1005,$C$3))</f>
        <v>0</v>
      </c>
      <c r="Q11" s="90" t="n">
        <f aca="false">IF($B11="","",SUMIFS('الحركات الشهرية'!$H$6:$H$1005,'الحركات الشهرية'!$B$6:$B$1005,$B11,'الحركات الشهرية'!$A$6:$A$1005,$C$3))</f>
        <v>0</v>
      </c>
      <c r="R11" s="111" t="n">
        <f aca="false">IF($B11="","",SUM(J11:M11)+SUM(O11:Q11))</f>
        <v>20050</v>
      </c>
      <c r="S11" s="90" t="n">
        <f aca="false">IF($B11="","",الموظفون!$Q11*IF(E11="سعودي",cfg_G_SE,cfg_G_NE)*F11/cfg_DAYS_M)</f>
        <v>1584.375</v>
      </c>
      <c r="T11" s="90" t="n">
        <f aca="false">IF($B11="","",SUMIFS('الحركات الشهرية'!$I$6:$I$1005,'الحركات الشهرية'!$B$6:$B$1005,$B11,'الحركات الشهرية'!$A$6:$A$1005,$C$3))</f>
        <v>0</v>
      </c>
      <c r="U11" s="90" t="n">
        <f aca="false">IF($B11="","",SUMIFS('الحركات الشهرية'!$J$6:$J$1005,'الحركات الشهرية'!$B$6:$B$1005,$B11,'الحركات الشهرية'!$A$6:$A$1005,$C$3))</f>
        <v>0</v>
      </c>
      <c r="V11" s="90" t="n">
        <f aca="false">IF($B11="","",SUM(S11:U11))</f>
        <v>1584.375</v>
      </c>
      <c r="W11" s="112" t="n">
        <f aca="false">IF($B11="","",R11-V11)</f>
        <v>18465.625</v>
      </c>
      <c r="X11" s="90" t="n">
        <f aca="false">IF($B11="","",الموظفون!$Q11*IF(E11="سعودي",cfg_G_SR,cfg_G_NR)*F11/cfg_DAYS_M)</f>
        <v>1909.375</v>
      </c>
      <c r="Y11" s="90" t="n">
        <f aca="false">IF($B11="","",الموظفون!$O11*(cfg_EOS_R1*(MIN(AC11,cfg_EOS_TH)-MIN(AD11,cfg_EOS_TH))+cfg_EOS_R2*(MAX(AC11-cfg_EOS_TH,0)-MAX(AD11-cfg_EOS_TH,0))))</f>
        <v>1490.54794520549</v>
      </c>
      <c r="Z11" s="90" t="n">
        <f aca="false">IF($B11="","",IF(الموظفون!$R11&lt;&gt;"",الموظفون!$R11,IF(AC11&gt;=cfg_LV_TH,cfg_LV_D2,cfg_LV_D1))/cfg_DAYS_Y*AE11*الموظفون!$P11/cfg_DAYS_M)</f>
        <v>1490.54794520548</v>
      </c>
      <c r="AA11" s="90" t="n">
        <f aca="false">IF($B11="","",IF(AND(الموظفون!$S11="نعم",N(الموظفون!$U11)&gt;0),الموظفون!$T11/الموظفون!$U11*12/cfg_DAYS_Y*AE11,0))</f>
        <v>0</v>
      </c>
      <c r="AB11" s="113" t="n">
        <f aca="false">IF($B11="","",R11+SUM(X11:AA11))</f>
        <v>24940.470890411</v>
      </c>
      <c r="AC11" s="114" t="n">
        <f aca="false">IF($B11="","",MAX(0,IF(OR(الموظفون!$X11="",الموظفون!$X11&gt;$G$3),$G$3,الموظفون!$X11)-الموظفون!$H11+1)/cfg_DAYS_Y)</f>
        <v>8.40821917808219</v>
      </c>
      <c r="AD11" s="114" t="n">
        <f aca="false">IF($B11="","",MAX(0,IF(OR(الموظفون!$X11="",الموظفون!$X11&gt;($E$3-1)),($E$3-1),الموظفون!$X11)-الموظفون!$H11+1)/cfg_DAYS_Y)</f>
        <v>8.32328767123288</v>
      </c>
      <c r="AE11" s="115" t="n">
        <f aca="false">IF($B11="","",MAX(0,IF(OR(الموظفون!$X11="",الموظفون!$X11&gt;$G$3),$G$3,الموظفون!$X11)-MAX($E$3,الموظفون!$H11)+1))</f>
        <v>31</v>
      </c>
    </row>
    <row r="12" customFormat="false" ht="15" hidden="false" customHeight="false" outlineLevel="0" collapsed="false">
      <c r="A12" s="83" t="n">
        <f aca="false">IF($B12="","",الموظفون!$A12)</f>
        <v>7</v>
      </c>
      <c r="B12" s="74" t="str">
        <f aca="false">IF(الموظفون!$B12="","",الموظفون!$B12)</f>
        <v>E007</v>
      </c>
      <c r="C12" s="74" t="str">
        <f aca="false">IF($B12="","",الموظفون!$C12)</f>
        <v>خالد يوسف الأحمد</v>
      </c>
      <c r="D12" s="74" t="str">
        <f aca="false">IF($B12="","",الموظفون!$F12)</f>
        <v>المشاريع</v>
      </c>
      <c r="E12" s="74" t="str">
        <f aca="false">IF($B12="","",الموظفون!$E12)</f>
        <v>غير سعودي</v>
      </c>
      <c r="F12" s="105" t="n">
        <f aca="false">IF($B12="","",IF(AE12&gt;=DAY($G$3),cfg_DAYS_M,MIN(AE12,cfg_DAYS_M)))</f>
        <v>30</v>
      </c>
      <c r="G12" s="105" t="n">
        <f aca="false">IF($B12="","",SUMIFS('الحركات الشهرية'!$D$6:$D$1005,'الحركات الشهرية'!$B$6:$B$1005,$B12,'الحركات الشهرية'!$A$6:$A$1005,$C$3))</f>
        <v>0</v>
      </c>
      <c r="H12" s="105" t="n">
        <f aca="false">IF($B12="","",SUMIFS('الحركات الشهرية'!$E$6:$E$1005,'الحركات الشهرية'!$B$6:$B$1005,$B12,'الحركات الشهرية'!$A$6:$A$1005,$C$3))</f>
        <v>0</v>
      </c>
      <c r="I12" s="105" t="n">
        <f aca="false">IF($B12="","",MAX(0,F12-G12-H12))</f>
        <v>30</v>
      </c>
      <c r="J12" s="86" t="n">
        <f aca="false">IF($B12="","",الموظفون!$J12*$I12/cfg_DAYS_M)</f>
        <v>11000</v>
      </c>
      <c r="K12" s="86" t="n">
        <f aca="false">IF($B12="","",الموظفون!$K12*$I12/cfg_DAYS_M)</f>
        <v>2750</v>
      </c>
      <c r="L12" s="86" t="n">
        <f aca="false">IF($B12="","",الموظفون!$L12*$I12/cfg_DAYS_M)</f>
        <v>1100</v>
      </c>
      <c r="M12" s="86" t="n">
        <f aca="false">IF($B12="","",الموظفون!$M12*$I12/cfg_DAYS_M)</f>
        <v>800</v>
      </c>
      <c r="N12" s="105" t="n">
        <f aca="false">IF($B12="","",SUMIFS('الحركات الشهرية'!$F$6:$F$1005,'الحركات الشهرية'!$B$6:$B$1005,$B12,'الحركات الشهرية'!$A$6:$A$1005,$C$3))</f>
        <v>10</v>
      </c>
      <c r="O12" s="86" t="n">
        <f aca="false">IF($B12="","",N12*(الموظفون!$N12+الموظفون!$J12*cfg_OT_P)/cfg_DAYS_M/cfg_HRS)</f>
        <v>881.25</v>
      </c>
      <c r="P12" s="86" t="n">
        <f aca="false">IF($B12="","",SUMIFS('الحركات الشهرية'!$G$6:$G$1005,'الحركات الشهرية'!$B$6:$B$1005,$B12,'الحركات الشهرية'!$A$6:$A$1005,$C$3))</f>
        <v>0</v>
      </c>
      <c r="Q12" s="86" t="n">
        <f aca="false">IF($B12="","",SUMIFS('الحركات الشهرية'!$H$6:$H$1005,'الحركات الشهرية'!$B$6:$B$1005,$B12,'الحركات الشهرية'!$A$6:$A$1005,$C$3))</f>
        <v>0</v>
      </c>
      <c r="R12" s="106" t="n">
        <f aca="false">IF($B12="","",SUM(J12:M12)+SUM(O12:Q12))</f>
        <v>16531.25</v>
      </c>
      <c r="S12" s="86" t="n">
        <f aca="false">IF($B12="","",الموظفون!$Q12*IF(E12="سعودي",cfg_G_SE,cfg_G_NE)*F12/cfg_DAYS_M)</f>
        <v>0</v>
      </c>
      <c r="T12" s="86" t="n">
        <f aca="false">IF($B12="","",SUMIFS('الحركات الشهرية'!$I$6:$I$1005,'الحركات الشهرية'!$B$6:$B$1005,$B12,'الحركات الشهرية'!$A$6:$A$1005,$C$3))</f>
        <v>0</v>
      </c>
      <c r="U12" s="86" t="n">
        <f aca="false">IF($B12="","",SUMIFS('الحركات الشهرية'!$J$6:$J$1005,'الحركات الشهرية'!$B$6:$B$1005,$B12,'الحركات الشهرية'!$A$6:$A$1005,$C$3))</f>
        <v>0</v>
      </c>
      <c r="V12" s="86" t="n">
        <f aca="false">IF($B12="","",SUM(S12:U12))</f>
        <v>0</v>
      </c>
      <c r="W12" s="107" t="n">
        <f aca="false">IF($B12="","",R12-V12)</f>
        <v>16531.25</v>
      </c>
      <c r="X12" s="86" t="n">
        <f aca="false">IF($B12="","",الموظفون!$Q12*IF(E12="سعودي",cfg_G_SR,cfg_G_NR)*F12/cfg_DAYS_M)</f>
        <v>275</v>
      </c>
      <c r="Y12" s="86" t="n">
        <f aca="false">IF($B12="","",الموظفون!$O12*(cfg_EOS_R1*(MIN(AC12,cfg_EOS_TH)-MIN(AD12,cfg_EOS_TH))+cfg_EOS_R2*(MAX(AC12-cfg_EOS_TH,0)-MAX(AD12-cfg_EOS_TH,0))))</f>
        <v>1261.23287671234</v>
      </c>
      <c r="Z12" s="86" t="n">
        <f aca="false">IF($B12="","",IF(الموظفون!$R12&lt;&gt;"",الموظفون!$R12,IF(AC12&gt;=cfg_LV_TH,cfg_LV_D2,cfg_LV_D1))/cfg_DAYS_Y*AE12*الموظفون!$P12/cfg_DAYS_M)</f>
        <v>1261.23287671233</v>
      </c>
      <c r="AA12" s="86" t="n">
        <f aca="false">IF($B12="","",IF(AND(الموظفون!$S12="نعم",N(الموظفون!$U12)&gt;0),الموظفون!$T12/الموظفون!$U12*12/cfg_DAYS_Y*AE12,0))</f>
        <v>382.191780821918</v>
      </c>
      <c r="AB12" s="108" t="n">
        <f aca="false">IF($B12="","",R12+SUM(X12:AA12))</f>
        <v>19710.9075342466</v>
      </c>
      <c r="AC12" s="109" t="n">
        <f aca="false">IF($B12="","",MAX(0,IF(OR(الموظفون!$X12="",الموظفون!$X12&gt;$G$3),$G$3,الموظفون!$X12)-الموظفون!$H12+1)/cfg_DAYS_Y)</f>
        <v>5.1972602739726</v>
      </c>
      <c r="AD12" s="109" t="n">
        <f aca="false">IF($B12="","",MAX(0,IF(OR(الموظفون!$X12="",الموظفون!$X12&gt;($E$3-1)),($E$3-1),الموظفون!$X12)-الموظفون!$H12+1)/cfg_DAYS_Y)</f>
        <v>5.11232876712329</v>
      </c>
      <c r="AE12" s="51" t="n">
        <f aca="false">IF($B12="","",MAX(0,IF(OR(الموظفون!$X12="",الموظفون!$X12&gt;$G$3),$G$3,الموظفون!$X12)-MAX($E$3,الموظفون!$H12)+1))</f>
        <v>31</v>
      </c>
    </row>
    <row r="13" customFormat="false" ht="15" hidden="false" customHeight="false" outlineLevel="0" collapsed="false">
      <c r="A13" s="89" t="n">
        <f aca="false">IF($B13="","",الموظفون!$A13)</f>
        <v>8</v>
      </c>
      <c r="B13" s="91" t="str">
        <f aca="false">IF(الموظفون!$B13="","",الموظفون!$B13)</f>
        <v>E008</v>
      </c>
      <c r="C13" s="91" t="str">
        <f aca="false">IF($B13="","",الموظفون!$C13)</f>
        <v>سارة عبدالرحمن الزهراني</v>
      </c>
      <c r="D13" s="91" t="str">
        <f aca="false">IF($B13="","",الموظفون!$F13)</f>
        <v>المالية</v>
      </c>
      <c r="E13" s="91" t="str">
        <f aca="false">IF($B13="","",الموظفون!$E13)</f>
        <v>سعودي</v>
      </c>
      <c r="F13" s="110" t="n">
        <f aca="false">IF($B13="","",IF(AE13&gt;=DAY($G$3),cfg_DAYS_M,MIN(AE13,cfg_DAYS_M)))</f>
        <v>30</v>
      </c>
      <c r="G13" s="110" t="n">
        <f aca="false">IF($B13="","",SUMIFS('الحركات الشهرية'!$D$6:$D$1005,'الحركات الشهرية'!$B$6:$B$1005,$B13,'الحركات الشهرية'!$A$6:$A$1005,$C$3))</f>
        <v>0</v>
      </c>
      <c r="H13" s="110" t="n">
        <f aca="false">IF($B13="","",SUMIFS('الحركات الشهرية'!$E$6:$E$1005,'الحركات الشهرية'!$B$6:$B$1005,$B13,'الحركات الشهرية'!$A$6:$A$1005,$C$3))</f>
        <v>0</v>
      </c>
      <c r="I13" s="110" t="n">
        <f aca="false">IF($B13="","",MAX(0,F13-G13-H13))</f>
        <v>30</v>
      </c>
      <c r="J13" s="90" t="n">
        <f aca="false">IF($B13="","",الموظفون!$J13*$I13/cfg_DAYS_M)</f>
        <v>7500</v>
      </c>
      <c r="K13" s="90" t="n">
        <f aca="false">IF($B13="","",الموظفون!$K13*$I13/cfg_DAYS_M)</f>
        <v>1875</v>
      </c>
      <c r="L13" s="90" t="n">
        <f aca="false">IF($B13="","",الموظفون!$L13*$I13/cfg_DAYS_M)</f>
        <v>750</v>
      </c>
      <c r="M13" s="90" t="n">
        <f aca="false">IF($B13="","",الموظفون!$M13*$I13/cfg_DAYS_M)</f>
        <v>0</v>
      </c>
      <c r="N13" s="110" t="n">
        <f aca="false">IF($B13="","",SUMIFS('الحركات الشهرية'!$F$6:$F$1005,'الحركات الشهرية'!$B$6:$B$1005,$B13,'الحركات الشهرية'!$A$6:$A$1005,$C$3))</f>
        <v>0</v>
      </c>
      <c r="O13" s="90" t="n">
        <f aca="false">IF($B13="","",N13*(الموظفون!$N13+الموظفون!$J13*cfg_OT_P)/cfg_DAYS_M/cfg_HRS)</f>
        <v>0</v>
      </c>
      <c r="P13" s="90" t="n">
        <f aca="false">IF($B13="","",SUMIFS('الحركات الشهرية'!$G$6:$G$1005,'الحركات الشهرية'!$B$6:$B$1005,$B13,'الحركات الشهرية'!$A$6:$A$1005,$C$3))</f>
        <v>0</v>
      </c>
      <c r="Q13" s="90" t="n">
        <f aca="false">IF($B13="","",SUMIFS('الحركات الشهرية'!$H$6:$H$1005,'الحركات الشهرية'!$B$6:$B$1005,$B13,'الحركات الشهرية'!$A$6:$A$1005,$C$3))</f>
        <v>0</v>
      </c>
      <c r="R13" s="111" t="n">
        <f aca="false">IF($B13="","",SUM(J13:M13)+SUM(O13:Q13))</f>
        <v>10125</v>
      </c>
      <c r="S13" s="90" t="n">
        <f aca="false">IF($B13="","",الموظفون!$Q13*IF(E13="سعودي",cfg_G_SE,cfg_G_NE)*F13/cfg_DAYS_M)</f>
        <v>914.0625</v>
      </c>
      <c r="T13" s="90" t="n">
        <f aca="false">IF($B13="","",SUMIFS('الحركات الشهرية'!$I$6:$I$1005,'الحركات الشهرية'!$B$6:$B$1005,$B13,'الحركات الشهرية'!$A$6:$A$1005,$C$3))</f>
        <v>0</v>
      </c>
      <c r="U13" s="90" t="n">
        <f aca="false">IF($B13="","",SUMIFS('الحركات الشهرية'!$J$6:$J$1005,'الحركات الشهرية'!$B$6:$B$1005,$B13,'الحركات الشهرية'!$A$6:$A$1005,$C$3))</f>
        <v>0</v>
      </c>
      <c r="V13" s="90" t="n">
        <f aca="false">IF($B13="","",SUM(S13:U13))</f>
        <v>914.0625</v>
      </c>
      <c r="W13" s="112" t="n">
        <f aca="false">IF($B13="","",R13-V13)</f>
        <v>9210.9375</v>
      </c>
      <c r="X13" s="90" t="n">
        <f aca="false">IF($B13="","",الموظفون!$Q13*IF(E13="سعودي",cfg_G_SR,cfg_G_NR)*F13/cfg_DAYS_M)</f>
        <v>1101.5625</v>
      </c>
      <c r="Y13" s="90" t="n">
        <f aca="false">IF($B13="","",الموظفون!$O13*(cfg_EOS_R1*(MIN(AC13,cfg_EOS_TH)-MIN(AD13,cfg_EOS_TH))+cfg_EOS_R2*(MAX(AC13-cfg_EOS_TH,0)-MAX(AD13-cfg_EOS_TH,0))))</f>
        <v>429.965753424657</v>
      </c>
      <c r="Z13" s="90" t="n">
        <f aca="false">IF($B13="","",IF(الموظفون!$R13&lt;&gt;"",الموظفون!$R13,IF(AC13&gt;=cfg_LV_TH,cfg_LV_D2,cfg_LV_D1))/cfg_DAYS_Y*AE13*الموظفون!$P13/cfg_DAYS_M)</f>
        <v>601.952054794521</v>
      </c>
      <c r="AA13" s="90" t="n">
        <f aca="false">IF($B13="","",IF(AND(الموظفون!$S13="نعم",N(الموظفون!$U13)&gt;0),الموظفون!$T13/الموظفون!$U13*12/cfg_DAYS_Y*AE13,0))</f>
        <v>0</v>
      </c>
      <c r="AB13" s="113" t="n">
        <f aca="false">IF($B13="","",R13+SUM(X13:AA13))</f>
        <v>12258.4803082192</v>
      </c>
      <c r="AC13" s="114" t="n">
        <f aca="false">IF($B13="","",MAX(0,IF(OR(الموظفون!$X13="",الموظفون!$X13&gt;$G$3),$G$3,الموظفون!$X13)-الموظفون!$H13+1)/cfg_DAYS_Y)</f>
        <v>3.08767123287671</v>
      </c>
      <c r="AD13" s="114" t="n">
        <f aca="false">IF($B13="","",MAX(0,IF(OR(الموظفون!$X13="",الموظفون!$X13&gt;($E$3-1)),($E$3-1),الموظفون!$X13)-الموظفون!$H13+1)/cfg_DAYS_Y)</f>
        <v>3.0027397260274</v>
      </c>
      <c r="AE13" s="115" t="n">
        <f aca="false">IF($B13="","",MAX(0,IF(OR(الموظفون!$X13="",الموظفون!$X13&gt;$G$3),$G$3,الموظفون!$X13)-MAX($E$3,الموظفون!$H13)+1))</f>
        <v>31</v>
      </c>
    </row>
    <row r="14" customFormat="false" ht="15" hidden="false" customHeight="false" outlineLevel="0" collapsed="false">
      <c r="A14" s="83" t="n">
        <f aca="false">IF($B14="","",الموظفون!$A14)</f>
        <v>9</v>
      </c>
      <c r="B14" s="74" t="str">
        <f aca="false">IF(الموظفون!$B14="","",الموظفون!$B14)</f>
        <v>E009</v>
      </c>
      <c r="C14" s="74" t="str">
        <f aca="false">IF($B14="","",الموظفون!$C14)</f>
        <v>محمد رفيق</v>
      </c>
      <c r="D14" s="74" t="str">
        <f aca="false">IF($B14="","",الموظفون!$F14)</f>
        <v>العمليات</v>
      </c>
      <c r="E14" s="74" t="str">
        <f aca="false">IF($B14="","",الموظفون!$E14)</f>
        <v>غير سعودي</v>
      </c>
      <c r="F14" s="105" t="n">
        <f aca="false">IF($B14="","",IF(AE14&gt;=DAY($G$3),cfg_DAYS_M,MIN(AE14,cfg_DAYS_M)))</f>
        <v>30</v>
      </c>
      <c r="G14" s="105" t="n">
        <f aca="false">IF($B14="","",SUMIFS('الحركات الشهرية'!$D$6:$D$1005,'الحركات الشهرية'!$B$6:$B$1005,$B14,'الحركات الشهرية'!$A$6:$A$1005,$C$3))</f>
        <v>0</v>
      </c>
      <c r="H14" s="105" t="n">
        <f aca="false">IF($B14="","",SUMIFS('الحركات الشهرية'!$E$6:$E$1005,'الحركات الشهرية'!$B$6:$B$1005,$B14,'الحركات الشهرية'!$A$6:$A$1005,$C$3))</f>
        <v>0</v>
      </c>
      <c r="I14" s="105" t="n">
        <f aca="false">IF($B14="","",MAX(0,F14-G14-H14))</f>
        <v>30</v>
      </c>
      <c r="J14" s="86" t="n">
        <f aca="false">IF($B14="","",الموظفون!$J14*$I14/cfg_DAYS_M)</f>
        <v>6500</v>
      </c>
      <c r="K14" s="86" t="n">
        <f aca="false">IF($B14="","",الموظفون!$K14*$I14/cfg_DAYS_M)</f>
        <v>1625</v>
      </c>
      <c r="L14" s="86" t="n">
        <f aca="false">IF($B14="","",الموظفون!$L14*$I14/cfg_DAYS_M)</f>
        <v>650</v>
      </c>
      <c r="M14" s="86" t="n">
        <f aca="false">IF($B14="","",الموظفون!$M14*$I14/cfg_DAYS_M)</f>
        <v>300</v>
      </c>
      <c r="N14" s="105" t="n">
        <f aca="false">IF($B14="","",SUMIFS('الحركات الشهرية'!$F$6:$F$1005,'الحركات الشهرية'!$B$6:$B$1005,$B14,'الحركات الشهرية'!$A$6:$A$1005,$C$3))</f>
        <v>0</v>
      </c>
      <c r="O14" s="86" t="n">
        <f aca="false">IF($B14="","",N14*(الموظفون!$N14+الموظفون!$J14*cfg_OT_P)/cfg_DAYS_M/cfg_HRS)</f>
        <v>0</v>
      </c>
      <c r="P14" s="86" t="n">
        <f aca="false">IF($B14="","",SUMIFS('الحركات الشهرية'!$G$6:$G$1005,'الحركات الشهرية'!$B$6:$B$1005,$B14,'الحركات الشهرية'!$A$6:$A$1005,$C$3))</f>
        <v>0</v>
      </c>
      <c r="Q14" s="86" t="n">
        <f aca="false">IF($B14="","",SUMIFS('الحركات الشهرية'!$H$6:$H$1005,'الحركات الشهرية'!$B$6:$B$1005,$B14,'الحركات الشهرية'!$A$6:$A$1005,$C$3))</f>
        <v>0</v>
      </c>
      <c r="R14" s="106" t="n">
        <f aca="false">IF($B14="","",SUM(J14:M14)+SUM(O14:Q14))</f>
        <v>9075</v>
      </c>
      <c r="S14" s="86" t="n">
        <f aca="false">IF($B14="","",الموظفون!$Q14*IF(E14="سعودي",cfg_G_SE,cfg_G_NE)*F14/cfg_DAYS_M)</f>
        <v>0</v>
      </c>
      <c r="T14" s="86" t="n">
        <f aca="false">IF($B14="","",SUMIFS('الحركات الشهرية'!$I$6:$I$1005,'الحركات الشهرية'!$B$6:$B$1005,$B14,'الحركات الشهرية'!$A$6:$A$1005,$C$3))</f>
        <v>0</v>
      </c>
      <c r="U14" s="86" t="n">
        <f aca="false">IF($B14="","",SUMIFS('الحركات الشهرية'!$J$6:$J$1005,'الحركات الشهرية'!$B$6:$B$1005,$B14,'الحركات الشهرية'!$A$6:$A$1005,$C$3))</f>
        <v>0</v>
      </c>
      <c r="V14" s="86" t="n">
        <f aca="false">IF($B14="","",SUM(S14:U14))</f>
        <v>0</v>
      </c>
      <c r="W14" s="107" t="n">
        <f aca="false">IF($B14="","",R14-V14)</f>
        <v>9075</v>
      </c>
      <c r="X14" s="86" t="n">
        <f aca="false">IF($B14="","",الموظفون!$Q14*IF(E14="سعودي",cfg_G_SR,cfg_G_NR)*F14/cfg_DAYS_M)</f>
        <v>162.5</v>
      </c>
      <c r="Y14" s="86" t="n">
        <f aca="false">IF($B14="","",الموظفون!$O14*(cfg_EOS_R1*(MIN(AC14,cfg_EOS_TH)-MIN(AD14,cfg_EOS_TH))+cfg_EOS_R2*(MAX(AC14-cfg_EOS_TH,0)-MAX(AD14-cfg_EOS_TH,0))))</f>
        <v>745.273972602744</v>
      </c>
      <c r="Z14" s="86" t="n">
        <f aca="false">IF($B14="","",IF(الموظفون!$R14&lt;&gt;"",الموظفون!$R14,IF(AC14&gt;=cfg_LV_TH,cfg_LV_D2,cfg_LV_D1))/cfg_DAYS_Y*AE14*الموظفون!$P14/cfg_DAYS_M)</f>
        <v>745.27397260274</v>
      </c>
      <c r="AA14" s="86" t="n">
        <f aca="false">IF($B14="","",IF(AND(الموظفون!$S14="نعم",N(الموظفون!$U14)&gt;0),الموظفون!$T14/الموظفون!$U14*12/cfg_DAYS_Y*AE14,0))</f>
        <v>93.4246575342466</v>
      </c>
      <c r="AB14" s="108" t="n">
        <f aca="false">IF($B14="","",R14+SUM(X14:AA14))</f>
        <v>10821.4726027397</v>
      </c>
      <c r="AC14" s="109" t="n">
        <f aca="false">IF($B14="","",MAX(0,IF(OR(الموظفون!$X14="",الموظفون!$X14&gt;$G$3),$G$3,الموظفون!$X14)-الموظفون!$H14+1)/cfg_DAYS_Y)</f>
        <v>11.627397260274</v>
      </c>
      <c r="AD14" s="109" t="n">
        <f aca="false">IF($B14="","",MAX(0,IF(OR(الموظفون!$X14="",الموظفون!$X14&gt;($E$3-1)),($E$3-1),الموظفون!$X14)-الموظفون!$H14+1)/cfg_DAYS_Y)</f>
        <v>11.5424657534247</v>
      </c>
      <c r="AE14" s="51" t="n">
        <f aca="false">IF($B14="","",MAX(0,IF(OR(الموظفون!$X14="",الموظفون!$X14&gt;$G$3),$G$3,الموظفون!$X14)-MAX($E$3,الموظفون!$H14)+1))</f>
        <v>31</v>
      </c>
    </row>
    <row r="15" customFormat="false" ht="15" hidden="false" customHeight="false" outlineLevel="0" collapsed="false">
      <c r="A15" s="89" t="n">
        <f aca="false">IF($B15="","",الموظفون!$A15)</f>
        <v>10</v>
      </c>
      <c r="B15" s="91" t="str">
        <f aca="false">IF(الموظفون!$B15="","",الموظفون!$B15)</f>
        <v>E010</v>
      </c>
      <c r="C15" s="91" t="str">
        <f aca="false">IF($B15="","",الموظفون!$C15)</f>
        <v>ريم سلطان المطيري</v>
      </c>
      <c r="D15" s="91" t="str">
        <f aca="false">IF($B15="","",الموظفون!$F15)</f>
        <v>المبيعات</v>
      </c>
      <c r="E15" s="91" t="str">
        <f aca="false">IF($B15="","",الموظفون!$E15)</f>
        <v>سعودي</v>
      </c>
      <c r="F15" s="110" t="n">
        <f aca="false">IF($B15="","",IF(AE15&gt;=DAY($G$3),cfg_DAYS_M,MIN(AE15,cfg_DAYS_M)))</f>
        <v>0</v>
      </c>
      <c r="G15" s="110" t="n">
        <f aca="false">IF($B15="","",SUMIFS('الحركات الشهرية'!$D$6:$D$1005,'الحركات الشهرية'!$B$6:$B$1005,$B15,'الحركات الشهرية'!$A$6:$A$1005,$C$3))</f>
        <v>0</v>
      </c>
      <c r="H15" s="110" t="n">
        <f aca="false">IF($B15="","",SUMIFS('الحركات الشهرية'!$E$6:$E$1005,'الحركات الشهرية'!$B$6:$B$1005,$B15,'الحركات الشهرية'!$A$6:$A$1005,$C$3))</f>
        <v>0</v>
      </c>
      <c r="I15" s="110" t="n">
        <f aca="false">IF($B15="","",MAX(0,F15-G15-H15))</f>
        <v>0</v>
      </c>
      <c r="J15" s="90" t="n">
        <f aca="false">IF($B15="","",الموظفون!$J15*$I15/cfg_DAYS_M)</f>
        <v>0</v>
      </c>
      <c r="K15" s="90" t="n">
        <f aca="false">IF($B15="","",الموظفون!$K15*$I15/cfg_DAYS_M)</f>
        <v>0</v>
      </c>
      <c r="L15" s="90" t="n">
        <f aca="false">IF($B15="","",الموظفون!$L15*$I15/cfg_DAYS_M)</f>
        <v>0</v>
      </c>
      <c r="M15" s="90" t="n">
        <f aca="false">IF($B15="","",الموظفون!$M15*$I15/cfg_DAYS_M)</f>
        <v>0</v>
      </c>
      <c r="N15" s="110" t="n">
        <f aca="false">IF($B15="","",SUMIFS('الحركات الشهرية'!$F$6:$F$1005,'الحركات الشهرية'!$B$6:$B$1005,$B15,'الحركات الشهرية'!$A$6:$A$1005,$C$3))</f>
        <v>0</v>
      </c>
      <c r="O15" s="90" t="n">
        <f aca="false">IF($B15="","",N15*(الموظفون!$N15+الموظفون!$J15*cfg_OT_P)/cfg_DAYS_M/cfg_HRS)</f>
        <v>0</v>
      </c>
      <c r="P15" s="90" t="n">
        <f aca="false">IF($B15="","",SUMIFS('الحركات الشهرية'!$G$6:$G$1005,'الحركات الشهرية'!$B$6:$B$1005,$B15,'الحركات الشهرية'!$A$6:$A$1005,$C$3))</f>
        <v>0</v>
      </c>
      <c r="Q15" s="90" t="n">
        <f aca="false">IF($B15="","",SUMIFS('الحركات الشهرية'!$H$6:$H$1005,'الحركات الشهرية'!$B$6:$B$1005,$B15,'الحركات الشهرية'!$A$6:$A$1005,$C$3))</f>
        <v>0</v>
      </c>
      <c r="R15" s="111" t="n">
        <f aca="false">IF($B15="","",SUM(J15:M15)+SUM(O15:Q15))</f>
        <v>0</v>
      </c>
      <c r="S15" s="90" t="n">
        <f aca="false">IF($B15="","",الموظفون!$Q15*IF(E15="سعودي",cfg_G_SE,cfg_G_NE)*F15/cfg_DAYS_M)</f>
        <v>0</v>
      </c>
      <c r="T15" s="90" t="n">
        <f aca="false">IF($B15="","",SUMIFS('الحركات الشهرية'!$I$6:$I$1005,'الحركات الشهرية'!$B$6:$B$1005,$B15,'الحركات الشهرية'!$A$6:$A$1005,$C$3))</f>
        <v>0</v>
      </c>
      <c r="U15" s="90" t="n">
        <f aca="false">IF($B15="","",SUMIFS('الحركات الشهرية'!$J$6:$J$1005,'الحركات الشهرية'!$B$6:$B$1005,$B15,'الحركات الشهرية'!$A$6:$A$1005,$C$3))</f>
        <v>0</v>
      </c>
      <c r="V15" s="90" t="n">
        <f aca="false">IF($B15="","",SUM(S15:U15))</f>
        <v>0</v>
      </c>
      <c r="W15" s="112" t="n">
        <f aca="false">IF($B15="","",R15-V15)</f>
        <v>0</v>
      </c>
      <c r="X15" s="90" t="n">
        <f aca="false">IF($B15="","",الموظفون!$Q15*IF(E15="سعودي",cfg_G_SR,cfg_G_NR)*F15/cfg_DAYS_M)</f>
        <v>0</v>
      </c>
      <c r="Y15" s="90" t="n">
        <f aca="false">IF($B15="","",الموظفون!$O15*(cfg_EOS_R1*(MIN(AC15,cfg_EOS_TH)-MIN(AD15,cfg_EOS_TH))+cfg_EOS_R2*(MAX(AC15-cfg_EOS_TH,0)-MAX(AD15-cfg_EOS_TH,0))))</f>
        <v>0</v>
      </c>
      <c r="Z15" s="90" t="n">
        <f aca="false">IF($B15="","",IF(الموظفون!$R15&lt;&gt;"",الموظفون!$R15,IF(AC15&gt;=cfg_LV_TH,cfg_LV_D2,cfg_LV_D1))/cfg_DAYS_Y*AE15*الموظفون!$P15/cfg_DAYS_M)</f>
        <v>0</v>
      </c>
      <c r="AA15" s="90" t="n">
        <f aca="false">IF($B15="","",IF(AND(الموظفون!$S15="نعم",N(الموظفون!$U15)&gt;0),الموظفون!$T15/الموظفون!$U15*12/cfg_DAYS_Y*AE15,0))</f>
        <v>0</v>
      </c>
      <c r="AB15" s="113" t="n">
        <f aca="false">IF($B15="","",R15+SUM(X15:AA15))</f>
        <v>0</v>
      </c>
      <c r="AC15" s="114" t="n">
        <f aca="false">IF($B15="","",MAX(0,IF(OR(الموظفون!$X15="",الموظفون!$X15&gt;$G$3),$G$3,الموظفون!$X15)-الموظفون!$H15+1)/cfg_DAYS_Y)</f>
        <v>0</v>
      </c>
      <c r="AD15" s="114" t="n">
        <f aca="false">IF($B15="","",MAX(0,IF(OR(الموظفون!$X15="",الموظفون!$X15&gt;($E$3-1)),($E$3-1),الموظفون!$X15)-الموظفون!$H15+1)/cfg_DAYS_Y)</f>
        <v>0</v>
      </c>
      <c r="AE15" s="115" t="n">
        <f aca="false">IF($B15="","",MAX(0,IF(OR(الموظفون!$X15="",الموظفون!$X15&gt;$G$3),$G$3,الموظفون!$X15)-MAX($E$3,الموظفون!$H15)+1))</f>
        <v>0</v>
      </c>
    </row>
    <row r="16" customFormat="false" ht="15" hidden="false" customHeight="false" outlineLevel="0" collapsed="false">
      <c r="A16" s="83" t="n">
        <f aca="false">IF($B16="","",الموظفون!$A16)</f>
        <v>11</v>
      </c>
      <c r="B16" s="74" t="str">
        <f aca="false">IF(الموظفون!$B16="","",الموظفون!$B16)</f>
        <v>E011</v>
      </c>
      <c r="C16" s="74" t="str">
        <f aca="false">IF($B16="","",الموظفون!$C16)</f>
        <v>جون ماتيو</v>
      </c>
      <c r="D16" s="74" t="str">
        <f aca="false">IF($B16="","",الموظفون!$F16)</f>
        <v>العمليات</v>
      </c>
      <c r="E16" s="74" t="str">
        <f aca="false">IF($B16="","",الموظفون!$E16)</f>
        <v>غير سعودي</v>
      </c>
      <c r="F16" s="105" t="n">
        <f aca="false">IF($B16="","",IF(AE16&gt;=DAY($G$3),cfg_DAYS_M,MIN(AE16,cfg_DAYS_M)))</f>
        <v>30</v>
      </c>
      <c r="G16" s="105" t="n">
        <f aca="false">IF($B16="","",SUMIFS('الحركات الشهرية'!$D$6:$D$1005,'الحركات الشهرية'!$B$6:$B$1005,$B16,'الحركات الشهرية'!$A$6:$A$1005,$C$3))</f>
        <v>0</v>
      </c>
      <c r="H16" s="105" t="n">
        <f aca="false">IF($B16="","",SUMIFS('الحركات الشهرية'!$E$6:$E$1005,'الحركات الشهرية'!$B$6:$B$1005,$B16,'الحركات الشهرية'!$A$6:$A$1005,$C$3))</f>
        <v>0</v>
      </c>
      <c r="I16" s="105" t="n">
        <f aca="false">IF($B16="","",MAX(0,F16-G16-H16))</f>
        <v>30</v>
      </c>
      <c r="J16" s="86" t="n">
        <f aca="false">IF($B16="","",الموظفون!$J16*$I16/cfg_DAYS_M)</f>
        <v>5000</v>
      </c>
      <c r="K16" s="86" t="n">
        <f aca="false">IF($B16="","",الموظفون!$K16*$I16/cfg_DAYS_M)</f>
        <v>1250</v>
      </c>
      <c r="L16" s="86" t="n">
        <f aca="false">IF($B16="","",الموظفون!$L16*$I16/cfg_DAYS_M)</f>
        <v>500</v>
      </c>
      <c r="M16" s="86" t="n">
        <f aca="false">IF($B16="","",الموظفون!$M16*$I16/cfg_DAYS_M)</f>
        <v>0</v>
      </c>
      <c r="N16" s="105" t="n">
        <f aca="false">IF($B16="","",SUMIFS('الحركات الشهرية'!$F$6:$F$1005,'الحركات الشهرية'!$B$6:$B$1005,$B16,'الحركات الشهرية'!$A$6:$A$1005,$C$3))</f>
        <v>0</v>
      </c>
      <c r="O16" s="86" t="n">
        <f aca="false">IF($B16="","",N16*(الموظفون!$N16+الموظفون!$J16*cfg_OT_P)/cfg_DAYS_M/cfg_HRS)</f>
        <v>0</v>
      </c>
      <c r="P16" s="86" t="n">
        <f aca="false">IF($B16="","",SUMIFS('الحركات الشهرية'!$G$6:$G$1005,'الحركات الشهرية'!$B$6:$B$1005,$B16,'الحركات الشهرية'!$A$6:$A$1005,$C$3))</f>
        <v>0</v>
      </c>
      <c r="Q16" s="86" t="n">
        <f aca="false">IF($B16="","",SUMIFS('الحركات الشهرية'!$H$6:$H$1005,'الحركات الشهرية'!$B$6:$B$1005,$B16,'الحركات الشهرية'!$A$6:$A$1005,$C$3))</f>
        <v>0</v>
      </c>
      <c r="R16" s="106" t="n">
        <f aca="false">IF($B16="","",SUM(J16:M16)+SUM(O16:Q16))</f>
        <v>6750</v>
      </c>
      <c r="S16" s="86" t="n">
        <f aca="false">IF($B16="","",الموظفون!$Q16*IF(E16="سعودي",cfg_G_SE,cfg_G_NE)*F16/cfg_DAYS_M)</f>
        <v>0</v>
      </c>
      <c r="T16" s="86" t="n">
        <f aca="false">IF($B16="","",SUMIFS('الحركات الشهرية'!$I$6:$I$1005,'الحركات الشهرية'!$B$6:$B$1005,$B16,'الحركات الشهرية'!$A$6:$A$1005,$C$3))</f>
        <v>0</v>
      </c>
      <c r="U16" s="86" t="n">
        <f aca="false">IF($B16="","",SUMIFS('الحركات الشهرية'!$J$6:$J$1005,'الحركات الشهرية'!$B$6:$B$1005,$B16,'الحركات الشهرية'!$A$6:$A$1005,$C$3))</f>
        <v>0</v>
      </c>
      <c r="V16" s="86" t="n">
        <f aca="false">IF($B16="","",SUM(S16:U16))</f>
        <v>0</v>
      </c>
      <c r="W16" s="107" t="n">
        <f aca="false">IF($B16="","",R16-V16)</f>
        <v>6750</v>
      </c>
      <c r="X16" s="86" t="n">
        <f aca="false">IF($B16="","",الموظفون!$Q16*IF(E16="سعودي",cfg_G_SR,cfg_G_NR)*F16/cfg_DAYS_M)</f>
        <v>125</v>
      </c>
      <c r="Y16" s="86" t="n">
        <f aca="false">IF($B16="","",الموظفون!$O16*(cfg_EOS_R1*(MIN(AC16,cfg_EOS_TH)-MIN(AD16,cfg_EOS_TH))+cfg_EOS_R2*(MAX(AC16-cfg_EOS_TH,0)-MAX(AD16-cfg_EOS_TH,0))))</f>
        <v>573.287671232874</v>
      </c>
      <c r="Z16" s="86" t="n">
        <f aca="false">IF($B16="","",IF(الموظفون!$R16&lt;&gt;"",الموظفون!$R16,IF(AC16&gt;=cfg_LV_TH,cfg_LV_D2,cfg_LV_D1))/cfg_DAYS_Y*AE16*الموظفون!$P16/cfg_DAYS_M)</f>
        <v>573.287671232877</v>
      </c>
      <c r="AA16" s="86" t="n">
        <f aca="false">IF($B16="","",IF(AND(الموظفون!$S16="نعم",N(الموظفون!$U16)&gt;0),الموظفون!$T16/الموظفون!$U16*12/cfg_DAYS_Y*AE16,0))</f>
        <v>110.41095890411</v>
      </c>
      <c r="AB16" s="108" t="n">
        <f aca="false">IF($B16="","",R16+SUM(X16:AA16))</f>
        <v>8131.98630136986</v>
      </c>
      <c r="AC16" s="109" t="n">
        <f aca="false">IF($B16="","",MAX(0,IF(OR(الموظفون!$X16="",الموظفون!$X16&gt;$G$3),$G$3,الموظفون!$X16)-الموظفون!$H16+1)/cfg_DAYS_Y)</f>
        <v>7.09041095890411</v>
      </c>
      <c r="AD16" s="109" t="n">
        <f aca="false">IF($B16="","",MAX(0,IF(OR(الموظفون!$X16="",الموظفون!$X16&gt;($E$3-1)),($E$3-1),الموظفون!$X16)-الموظفون!$H16+1)/cfg_DAYS_Y)</f>
        <v>7.0054794520548</v>
      </c>
      <c r="AE16" s="51" t="n">
        <f aca="false">IF($B16="","",MAX(0,IF(OR(الموظفون!$X16="",الموظفون!$X16&gt;$G$3),$G$3,الموظفون!$X16)-MAX($E$3,الموظفون!$H16)+1))</f>
        <v>31</v>
      </c>
    </row>
    <row r="17" customFormat="false" ht="15" hidden="false" customHeight="false" outlineLevel="0" collapsed="false">
      <c r="A17" s="89" t="n">
        <f aca="false">IF($B17="","",الموظفون!$A17)</f>
        <v>12</v>
      </c>
      <c r="B17" s="91" t="str">
        <f aca="false">IF(الموظفون!$B17="","",الموظفون!$B17)</f>
        <v>E012</v>
      </c>
      <c r="C17" s="91" t="str">
        <f aca="false">IF($B17="","",الموظفون!$C17)</f>
        <v>عمر حسين البيشي</v>
      </c>
      <c r="D17" s="91" t="str">
        <f aca="false">IF($B17="","",الموظفون!$F17)</f>
        <v>تقنية المعلومات</v>
      </c>
      <c r="E17" s="91" t="str">
        <f aca="false">IF($B17="","",الموظفون!$E17)</f>
        <v>سعودي</v>
      </c>
      <c r="F17" s="110" t="n">
        <f aca="false">IF($B17="","",IF(AE17&gt;=DAY($G$3),cfg_DAYS_M,MIN(AE17,cfg_DAYS_M)))</f>
        <v>30</v>
      </c>
      <c r="G17" s="110" t="n">
        <f aca="false">IF($B17="","",SUMIFS('الحركات الشهرية'!$D$6:$D$1005,'الحركات الشهرية'!$B$6:$B$1005,$B17,'الحركات الشهرية'!$A$6:$A$1005,$C$3))</f>
        <v>0</v>
      </c>
      <c r="H17" s="110" t="n">
        <f aca="false">IF($B17="","",SUMIFS('الحركات الشهرية'!$E$6:$E$1005,'الحركات الشهرية'!$B$6:$B$1005,$B17,'الحركات الشهرية'!$A$6:$A$1005,$C$3))</f>
        <v>0</v>
      </c>
      <c r="I17" s="110" t="n">
        <f aca="false">IF($B17="","",MAX(0,F17-G17-H17))</f>
        <v>30</v>
      </c>
      <c r="J17" s="90" t="n">
        <f aca="false">IF($B17="","",الموظفون!$J17*$I17/cfg_DAYS_M)</f>
        <v>12000</v>
      </c>
      <c r="K17" s="90" t="n">
        <f aca="false">IF($B17="","",الموظفون!$K17*$I17/cfg_DAYS_M)</f>
        <v>3000</v>
      </c>
      <c r="L17" s="90" t="n">
        <f aca="false">IF($B17="","",الموظفون!$L17*$I17/cfg_DAYS_M)</f>
        <v>1200</v>
      </c>
      <c r="M17" s="90" t="n">
        <f aca="false">IF($B17="","",الموظفون!$M17*$I17/cfg_DAYS_M)</f>
        <v>1500</v>
      </c>
      <c r="N17" s="110" t="n">
        <f aca="false">IF($B17="","",SUMIFS('الحركات الشهرية'!$F$6:$F$1005,'الحركات الشهرية'!$B$6:$B$1005,$B17,'الحركات الشهرية'!$A$6:$A$1005,$C$3))</f>
        <v>0</v>
      </c>
      <c r="O17" s="90" t="n">
        <f aca="false">IF($B17="","",N17*(الموظفون!$N17+الموظفون!$J17*cfg_OT_P)/cfg_DAYS_M/cfg_HRS)</f>
        <v>0</v>
      </c>
      <c r="P17" s="90" t="n">
        <f aca="false">IF($B17="","",SUMIFS('الحركات الشهرية'!$G$6:$G$1005,'الحركات الشهرية'!$B$6:$B$1005,$B17,'الحركات الشهرية'!$A$6:$A$1005,$C$3))</f>
        <v>0</v>
      </c>
      <c r="Q17" s="90" t="n">
        <f aca="false">IF($B17="","",SUMIFS('الحركات الشهرية'!$H$6:$H$1005,'الحركات الشهرية'!$B$6:$B$1005,$B17,'الحركات الشهرية'!$A$6:$A$1005,$C$3))</f>
        <v>0</v>
      </c>
      <c r="R17" s="111" t="n">
        <f aca="false">IF($B17="","",SUM(J17:M17)+SUM(O17:Q17))</f>
        <v>17700</v>
      </c>
      <c r="S17" s="90" t="n">
        <f aca="false">IF($B17="","",الموظفون!$Q17*IF(E17="سعودي",cfg_G_SE,cfg_G_NE)*F17/cfg_DAYS_M)</f>
        <v>1462.5</v>
      </c>
      <c r="T17" s="90" t="n">
        <f aca="false">IF($B17="","",SUMIFS('الحركات الشهرية'!$I$6:$I$1005,'الحركات الشهرية'!$B$6:$B$1005,$B17,'الحركات الشهرية'!$A$6:$A$1005,$C$3))</f>
        <v>0</v>
      </c>
      <c r="U17" s="90" t="n">
        <f aca="false">IF($B17="","",SUMIFS('الحركات الشهرية'!$J$6:$J$1005,'الحركات الشهرية'!$B$6:$B$1005,$B17,'الحركات الشهرية'!$A$6:$A$1005,$C$3))</f>
        <v>0</v>
      </c>
      <c r="V17" s="90" t="n">
        <f aca="false">IF($B17="","",SUM(S17:U17))</f>
        <v>1462.5</v>
      </c>
      <c r="W17" s="112" t="n">
        <f aca="false">IF($B17="","",R17-V17)</f>
        <v>16237.5</v>
      </c>
      <c r="X17" s="90" t="n">
        <f aca="false">IF($B17="","",الموظفون!$Q17*IF(E17="سعودي",cfg_G_SR,cfg_G_NR)*F17/cfg_DAYS_M)</f>
        <v>1762.5</v>
      </c>
      <c r="Y17" s="90" t="n">
        <f aca="false">IF($B17="","",الموظفون!$O17*(cfg_EOS_R1*(MIN(AC17,cfg_EOS_TH)-MIN(AD17,cfg_EOS_TH))+cfg_EOS_R2*(MAX(AC17-cfg_EOS_TH,0)-MAX(AD17-cfg_EOS_TH,0))))</f>
        <v>687.945205479452</v>
      </c>
      <c r="Z17" s="90" t="n">
        <f aca="false">IF($B17="","",IF(الموظفون!$R17&lt;&gt;"",الموظفون!$R17,IF(AC17&gt;=cfg_LV_TH,cfg_LV_D2,cfg_LV_D1))/cfg_DAYS_Y*AE17*الموظفون!$P17/cfg_DAYS_M)</f>
        <v>963.123287671233</v>
      </c>
      <c r="AA17" s="90" t="n">
        <f aca="false">IF($B17="","",IF(AND(الموظفون!$S17="نعم",N(الموظفون!$U17)&gt;0),الموظفون!$T17/الموظفون!$U17*12/cfg_DAYS_Y*AE17,0))</f>
        <v>0</v>
      </c>
      <c r="AB17" s="113" t="n">
        <f aca="false">IF($B17="","",R17+SUM(X17:AA17))</f>
        <v>21113.5684931507</v>
      </c>
      <c r="AC17" s="114" t="n">
        <f aca="false">IF($B17="","",MAX(0,IF(OR(الموظفون!$X17="",الموظفون!$X17&gt;$G$3),$G$3,الموظفون!$X17)-الموظفون!$H17+1)/cfg_DAYS_Y)</f>
        <v>3.72876712328767</v>
      </c>
      <c r="AD17" s="114" t="n">
        <f aca="false">IF($B17="","",MAX(0,IF(OR(الموظفون!$X17="",الموظفون!$X17&gt;($E$3-1)),($E$3-1),الموظفون!$X17)-الموظفون!$H17+1)/cfg_DAYS_Y)</f>
        <v>3.64383561643836</v>
      </c>
      <c r="AE17" s="115" t="n">
        <f aca="false">IF($B17="","",MAX(0,IF(OR(الموظفون!$X17="",الموظفون!$X17&gt;$G$3),$G$3,الموظفون!$X17)-MAX($E$3,الموظفون!$H17)+1))</f>
        <v>31</v>
      </c>
    </row>
    <row r="18" customFormat="false" ht="15" hidden="false" customHeight="false" outlineLevel="0" collapsed="false">
      <c r="A18" s="83" t="str">
        <f aca="false">IF($B18="","",الموظفون!$A18)</f>
        <v/>
      </c>
      <c r="B18" s="74" t="str">
        <f aca="false">IF(الموظفون!$B18="","",الموظفون!$B18)</f>
        <v/>
      </c>
      <c r="C18" s="74" t="str">
        <f aca="false">IF($B18="","",الموظفون!$C18)</f>
        <v/>
      </c>
      <c r="D18" s="74" t="str">
        <f aca="false">IF($B18="","",الموظفون!$F18)</f>
        <v/>
      </c>
      <c r="E18" s="74" t="str">
        <f aca="false">IF($B18="","",الموظفون!$E18)</f>
        <v/>
      </c>
      <c r="F18" s="105" t="str">
        <f aca="false">IF($B18="","",IF(AE18&gt;=DAY($G$3),cfg_DAYS_M,MIN(AE18,cfg_DAYS_M)))</f>
        <v/>
      </c>
      <c r="G18" s="105" t="str">
        <f aca="false">IF($B18="","",SUMIFS('الحركات الشهرية'!$D$6:$D$1005,'الحركات الشهرية'!$B$6:$B$1005,$B18,'الحركات الشهرية'!$A$6:$A$1005,$C$3))</f>
        <v/>
      </c>
      <c r="H18" s="105" t="str">
        <f aca="false">IF($B18="","",SUMIFS('الحركات الشهرية'!$E$6:$E$1005,'الحركات الشهرية'!$B$6:$B$1005,$B18,'الحركات الشهرية'!$A$6:$A$1005,$C$3))</f>
        <v/>
      </c>
      <c r="I18" s="105" t="str">
        <f aca="false">IF($B18="","",MAX(0,F18-G18-H18))</f>
        <v/>
      </c>
      <c r="J18" s="86" t="str">
        <f aca="false">IF($B18="","",الموظفون!$J18*$I18/cfg_DAYS_M)</f>
        <v/>
      </c>
      <c r="K18" s="86" t="str">
        <f aca="false">IF($B18="","",الموظفون!$K18*$I18/cfg_DAYS_M)</f>
        <v/>
      </c>
      <c r="L18" s="86" t="str">
        <f aca="false">IF($B18="","",الموظفون!$L18*$I18/cfg_DAYS_M)</f>
        <v/>
      </c>
      <c r="M18" s="86" t="str">
        <f aca="false">IF($B18="","",الموظفون!$M18*$I18/cfg_DAYS_M)</f>
        <v/>
      </c>
      <c r="N18" s="105" t="str">
        <f aca="false">IF($B18="","",SUMIFS('الحركات الشهرية'!$F$6:$F$1005,'الحركات الشهرية'!$B$6:$B$1005,$B18,'الحركات الشهرية'!$A$6:$A$1005,$C$3))</f>
        <v/>
      </c>
      <c r="O18" s="86" t="str">
        <f aca="false">IF($B18="","",N18*(الموظفون!$N18+الموظفون!$J18*cfg_OT_P)/cfg_DAYS_M/cfg_HRS)</f>
        <v/>
      </c>
      <c r="P18" s="86" t="str">
        <f aca="false">IF($B18="","",SUMIFS('الحركات الشهرية'!$G$6:$G$1005,'الحركات الشهرية'!$B$6:$B$1005,$B18,'الحركات الشهرية'!$A$6:$A$1005,$C$3))</f>
        <v/>
      </c>
      <c r="Q18" s="86" t="str">
        <f aca="false">IF($B18="","",SUMIFS('الحركات الشهرية'!$H$6:$H$1005,'الحركات الشهرية'!$B$6:$B$1005,$B18,'الحركات الشهرية'!$A$6:$A$1005,$C$3))</f>
        <v/>
      </c>
      <c r="R18" s="106" t="str">
        <f aca="false">IF($B18="","",SUM(J18:M18)+SUM(O18:Q18))</f>
        <v/>
      </c>
      <c r="S18" s="86" t="str">
        <f aca="false">IF($B18="","",الموظفون!$Q18*IF(E18="سعودي",cfg_G_SE,cfg_G_NE)*F18/cfg_DAYS_M)</f>
        <v/>
      </c>
      <c r="T18" s="86" t="str">
        <f aca="false">IF($B18="","",SUMIFS('الحركات الشهرية'!$I$6:$I$1005,'الحركات الشهرية'!$B$6:$B$1005,$B18,'الحركات الشهرية'!$A$6:$A$1005,$C$3))</f>
        <v/>
      </c>
      <c r="U18" s="86" t="str">
        <f aca="false">IF($B18="","",SUMIFS('الحركات الشهرية'!$J$6:$J$1005,'الحركات الشهرية'!$B$6:$B$1005,$B18,'الحركات الشهرية'!$A$6:$A$1005,$C$3))</f>
        <v/>
      </c>
      <c r="V18" s="86" t="str">
        <f aca="false">IF($B18="","",SUM(S18:U18))</f>
        <v/>
      </c>
      <c r="W18" s="107" t="str">
        <f aca="false">IF($B18="","",R18-V18)</f>
        <v/>
      </c>
      <c r="X18" s="86" t="str">
        <f aca="false">IF($B18="","",الموظفون!$Q18*IF(E18="سعودي",cfg_G_SR,cfg_G_NR)*F18/cfg_DAYS_M)</f>
        <v/>
      </c>
      <c r="Y18" s="86" t="str">
        <f aca="false">IF($B18="","",الموظفون!$O18*(cfg_EOS_R1*(MIN(AC18,cfg_EOS_TH)-MIN(AD18,cfg_EOS_TH))+cfg_EOS_R2*(MAX(AC18-cfg_EOS_TH,0)-MAX(AD18-cfg_EOS_TH,0))))</f>
        <v/>
      </c>
      <c r="Z18" s="86" t="str">
        <f aca="false">IF($B18="","",IF(الموظفون!$R18&lt;&gt;"",الموظفون!$R18,IF(AC18&gt;=cfg_LV_TH,cfg_LV_D2,cfg_LV_D1))/cfg_DAYS_Y*AE18*الموظفون!$P18/cfg_DAYS_M)</f>
        <v/>
      </c>
      <c r="AA18" s="86" t="str">
        <f aca="false">IF($B18="","",IF(AND(الموظفون!$S18="نعم",N(الموظفون!$U18)&gt;0),الموظفون!$T18/الموظفون!$U18*12/cfg_DAYS_Y*AE18,0))</f>
        <v/>
      </c>
      <c r="AB18" s="108" t="str">
        <f aca="false">IF($B18="","",R18+SUM(X18:AA18))</f>
        <v/>
      </c>
      <c r="AC18" s="109" t="str">
        <f aca="false">IF($B18="","",MAX(0,IF(OR(الموظفون!$X18="",الموظفون!$X18&gt;$G$3),$G$3,الموظفون!$X18)-الموظفون!$H18+1)/cfg_DAYS_Y)</f>
        <v/>
      </c>
      <c r="AD18" s="109" t="str">
        <f aca="false">IF($B18="","",MAX(0,IF(OR(الموظفون!$X18="",الموظفون!$X18&gt;($E$3-1)),($E$3-1),الموظفون!$X18)-الموظفون!$H18+1)/cfg_DAYS_Y)</f>
        <v/>
      </c>
      <c r="AE18" s="51" t="str">
        <f aca="false">IF($B18="","",MAX(0,IF(OR(الموظفون!$X18="",الموظفون!$X18&gt;$G$3),$G$3,الموظفون!$X18)-MAX($E$3,الموظفون!$H18)+1))</f>
        <v/>
      </c>
    </row>
    <row r="19" customFormat="false" ht="15" hidden="false" customHeight="false" outlineLevel="0" collapsed="false">
      <c r="A19" s="89" t="str">
        <f aca="false">IF($B19="","",الموظفون!$A19)</f>
        <v/>
      </c>
      <c r="B19" s="91" t="str">
        <f aca="false">IF(الموظفون!$B19="","",الموظفون!$B19)</f>
        <v/>
      </c>
      <c r="C19" s="91" t="str">
        <f aca="false">IF($B19="","",الموظفون!$C19)</f>
        <v/>
      </c>
      <c r="D19" s="91" t="str">
        <f aca="false">IF($B19="","",الموظفون!$F19)</f>
        <v/>
      </c>
      <c r="E19" s="91" t="str">
        <f aca="false">IF($B19="","",الموظفون!$E19)</f>
        <v/>
      </c>
      <c r="F19" s="110" t="str">
        <f aca="false">IF($B19="","",IF(AE19&gt;=DAY($G$3),cfg_DAYS_M,MIN(AE19,cfg_DAYS_M)))</f>
        <v/>
      </c>
      <c r="G19" s="110" t="str">
        <f aca="false">IF($B19="","",SUMIFS('الحركات الشهرية'!$D$6:$D$1005,'الحركات الشهرية'!$B$6:$B$1005,$B19,'الحركات الشهرية'!$A$6:$A$1005,$C$3))</f>
        <v/>
      </c>
      <c r="H19" s="110" t="str">
        <f aca="false">IF($B19="","",SUMIFS('الحركات الشهرية'!$E$6:$E$1005,'الحركات الشهرية'!$B$6:$B$1005,$B19,'الحركات الشهرية'!$A$6:$A$1005,$C$3))</f>
        <v/>
      </c>
      <c r="I19" s="110" t="str">
        <f aca="false">IF($B19="","",MAX(0,F19-G19-H19))</f>
        <v/>
      </c>
      <c r="J19" s="90" t="str">
        <f aca="false">IF($B19="","",الموظفون!$J19*$I19/cfg_DAYS_M)</f>
        <v/>
      </c>
      <c r="K19" s="90" t="str">
        <f aca="false">IF($B19="","",الموظفون!$K19*$I19/cfg_DAYS_M)</f>
        <v/>
      </c>
      <c r="L19" s="90" t="str">
        <f aca="false">IF($B19="","",الموظفون!$L19*$I19/cfg_DAYS_M)</f>
        <v/>
      </c>
      <c r="M19" s="90" t="str">
        <f aca="false">IF($B19="","",الموظفون!$M19*$I19/cfg_DAYS_M)</f>
        <v/>
      </c>
      <c r="N19" s="110" t="str">
        <f aca="false">IF($B19="","",SUMIFS('الحركات الشهرية'!$F$6:$F$1005,'الحركات الشهرية'!$B$6:$B$1005,$B19,'الحركات الشهرية'!$A$6:$A$1005,$C$3))</f>
        <v/>
      </c>
      <c r="O19" s="90" t="str">
        <f aca="false">IF($B19="","",N19*(الموظفون!$N19+الموظفون!$J19*cfg_OT_P)/cfg_DAYS_M/cfg_HRS)</f>
        <v/>
      </c>
      <c r="P19" s="90" t="str">
        <f aca="false">IF($B19="","",SUMIFS('الحركات الشهرية'!$G$6:$G$1005,'الحركات الشهرية'!$B$6:$B$1005,$B19,'الحركات الشهرية'!$A$6:$A$1005,$C$3))</f>
        <v/>
      </c>
      <c r="Q19" s="90" t="str">
        <f aca="false">IF($B19="","",SUMIFS('الحركات الشهرية'!$H$6:$H$1005,'الحركات الشهرية'!$B$6:$B$1005,$B19,'الحركات الشهرية'!$A$6:$A$1005,$C$3))</f>
        <v/>
      </c>
      <c r="R19" s="111" t="str">
        <f aca="false">IF($B19="","",SUM(J19:M19)+SUM(O19:Q19))</f>
        <v/>
      </c>
      <c r="S19" s="90" t="str">
        <f aca="false">IF($B19="","",الموظفون!$Q19*IF(E19="سعودي",cfg_G_SE,cfg_G_NE)*F19/cfg_DAYS_M)</f>
        <v/>
      </c>
      <c r="T19" s="90" t="str">
        <f aca="false">IF($B19="","",SUMIFS('الحركات الشهرية'!$I$6:$I$1005,'الحركات الشهرية'!$B$6:$B$1005,$B19,'الحركات الشهرية'!$A$6:$A$1005,$C$3))</f>
        <v/>
      </c>
      <c r="U19" s="90" t="str">
        <f aca="false">IF($B19="","",SUMIFS('الحركات الشهرية'!$J$6:$J$1005,'الحركات الشهرية'!$B$6:$B$1005,$B19,'الحركات الشهرية'!$A$6:$A$1005,$C$3))</f>
        <v/>
      </c>
      <c r="V19" s="90" t="str">
        <f aca="false">IF($B19="","",SUM(S19:U19))</f>
        <v/>
      </c>
      <c r="W19" s="112" t="str">
        <f aca="false">IF($B19="","",R19-V19)</f>
        <v/>
      </c>
      <c r="X19" s="90" t="str">
        <f aca="false">IF($B19="","",الموظفون!$Q19*IF(E19="سعودي",cfg_G_SR,cfg_G_NR)*F19/cfg_DAYS_M)</f>
        <v/>
      </c>
      <c r="Y19" s="90" t="str">
        <f aca="false">IF($B19="","",الموظفون!$O19*(cfg_EOS_R1*(MIN(AC19,cfg_EOS_TH)-MIN(AD19,cfg_EOS_TH))+cfg_EOS_R2*(MAX(AC19-cfg_EOS_TH,0)-MAX(AD19-cfg_EOS_TH,0))))</f>
        <v/>
      </c>
      <c r="Z19" s="90" t="str">
        <f aca="false">IF($B19="","",IF(الموظفون!$R19&lt;&gt;"",الموظفون!$R19,IF(AC19&gt;=cfg_LV_TH,cfg_LV_D2,cfg_LV_D1))/cfg_DAYS_Y*AE19*الموظفون!$P19/cfg_DAYS_M)</f>
        <v/>
      </c>
      <c r="AA19" s="90" t="str">
        <f aca="false">IF($B19="","",IF(AND(الموظفون!$S19="نعم",N(الموظفون!$U19)&gt;0),الموظفون!$T19/الموظفون!$U19*12/cfg_DAYS_Y*AE19,0))</f>
        <v/>
      </c>
      <c r="AB19" s="113" t="str">
        <f aca="false">IF($B19="","",R19+SUM(X19:AA19))</f>
        <v/>
      </c>
      <c r="AC19" s="114" t="str">
        <f aca="false">IF($B19="","",MAX(0,IF(OR(الموظفون!$X19="",الموظفون!$X19&gt;$G$3),$G$3,الموظفون!$X19)-الموظفون!$H19+1)/cfg_DAYS_Y)</f>
        <v/>
      </c>
      <c r="AD19" s="114" t="str">
        <f aca="false">IF($B19="","",MAX(0,IF(OR(الموظفون!$X19="",الموظفون!$X19&gt;($E$3-1)),($E$3-1),الموظفون!$X19)-الموظفون!$H19+1)/cfg_DAYS_Y)</f>
        <v/>
      </c>
      <c r="AE19" s="115" t="str">
        <f aca="false">IF($B19="","",MAX(0,IF(OR(الموظفون!$X19="",الموظفون!$X19&gt;$G$3),$G$3,الموظفون!$X19)-MAX($E$3,الموظفون!$H19)+1))</f>
        <v/>
      </c>
    </row>
    <row r="20" customFormat="false" ht="15" hidden="false" customHeight="false" outlineLevel="0" collapsed="false">
      <c r="A20" s="83" t="str">
        <f aca="false">IF($B20="","",الموظفون!$A20)</f>
        <v/>
      </c>
      <c r="B20" s="74" t="str">
        <f aca="false">IF(الموظفون!$B20="","",الموظفون!$B20)</f>
        <v/>
      </c>
      <c r="C20" s="74" t="str">
        <f aca="false">IF($B20="","",الموظفون!$C20)</f>
        <v/>
      </c>
      <c r="D20" s="74" t="str">
        <f aca="false">IF($B20="","",الموظفون!$F20)</f>
        <v/>
      </c>
      <c r="E20" s="74" t="str">
        <f aca="false">IF($B20="","",الموظفون!$E20)</f>
        <v/>
      </c>
      <c r="F20" s="105" t="str">
        <f aca="false">IF($B20="","",IF(AE20&gt;=DAY($G$3),cfg_DAYS_M,MIN(AE20,cfg_DAYS_M)))</f>
        <v/>
      </c>
      <c r="G20" s="105" t="str">
        <f aca="false">IF($B20="","",SUMIFS('الحركات الشهرية'!$D$6:$D$1005,'الحركات الشهرية'!$B$6:$B$1005,$B20,'الحركات الشهرية'!$A$6:$A$1005,$C$3))</f>
        <v/>
      </c>
      <c r="H20" s="105" t="str">
        <f aca="false">IF($B20="","",SUMIFS('الحركات الشهرية'!$E$6:$E$1005,'الحركات الشهرية'!$B$6:$B$1005,$B20,'الحركات الشهرية'!$A$6:$A$1005,$C$3))</f>
        <v/>
      </c>
      <c r="I20" s="105" t="str">
        <f aca="false">IF($B20="","",MAX(0,F20-G20-H20))</f>
        <v/>
      </c>
      <c r="J20" s="86" t="str">
        <f aca="false">IF($B20="","",الموظفون!$J20*$I20/cfg_DAYS_M)</f>
        <v/>
      </c>
      <c r="K20" s="86" t="str">
        <f aca="false">IF($B20="","",الموظفون!$K20*$I20/cfg_DAYS_M)</f>
        <v/>
      </c>
      <c r="L20" s="86" t="str">
        <f aca="false">IF($B20="","",الموظفون!$L20*$I20/cfg_DAYS_M)</f>
        <v/>
      </c>
      <c r="M20" s="86" t="str">
        <f aca="false">IF($B20="","",الموظفون!$M20*$I20/cfg_DAYS_M)</f>
        <v/>
      </c>
      <c r="N20" s="105" t="str">
        <f aca="false">IF($B20="","",SUMIFS('الحركات الشهرية'!$F$6:$F$1005,'الحركات الشهرية'!$B$6:$B$1005,$B20,'الحركات الشهرية'!$A$6:$A$1005,$C$3))</f>
        <v/>
      </c>
      <c r="O20" s="86" t="str">
        <f aca="false">IF($B20="","",N20*(الموظفون!$N20+الموظفون!$J20*cfg_OT_P)/cfg_DAYS_M/cfg_HRS)</f>
        <v/>
      </c>
      <c r="P20" s="86" t="str">
        <f aca="false">IF($B20="","",SUMIFS('الحركات الشهرية'!$G$6:$G$1005,'الحركات الشهرية'!$B$6:$B$1005,$B20,'الحركات الشهرية'!$A$6:$A$1005,$C$3))</f>
        <v/>
      </c>
      <c r="Q20" s="86" t="str">
        <f aca="false">IF($B20="","",SUMIFS('الحركات الشهرية'!$H$6:$H$1005,'الحركات الشهرية'!$B$6:$B$1005,$B20,'الحركات الشهرية'!$A$6:$A$1005,$C$3))</f>
        <v/>
      </c>
      <c r="R20" s="106" t="str">
        <f aca="false">IF($B20="","",SUM(J20:M20)+SUM(O20:Q20))</f>
        <v/>
      </c>
      <c r="S20" s="86" t="str">
        <f aca="false">IF($B20="","",الموظفون!$Q20*IF(E20="سعودي",cfg_G_SE,cfg_G_NE)*F20/cfg_DAYS_M)</f>
        <v/>
      </c>
      <c r="T20" s="86" t="str">
        <f aca="false">IF($B20="","",SUMIFS('الحركات الشهرية'!$I$6:$I$1005,'الحركات الشهرية'!$B$6:$B$1005,$B20,'الحركات الشهرية'!$A$6:$A$1005,$C$3))</f>
        <v/>
      </c>
      <c r="U20" s="86" t="str">
        <f aca="false">IF($B20="","",SUMIFS('الحركات الشهرية'!$J$6:$J$1005,'الحركات الشهرية'!$B$6:$B$1005,$B20,'الحركات الشهرية'!$A$6:$A$1005,$C$3))</f>
        <v/>
      </c>
      <c r="V20" s="86" t="str">
        <f aca="false">IF($B20="","",SUM(S20:U20))</f>
        <v/>
      </c>
      <c r="W20" s="107" t="str">
        <f aca="false">IF($B20="","",R20-V20)</f>
        <v/>
      </c>
      <c r="X20" s="86" t="str">
        <f aca="false">IF($B20="","",الموظفون!$Q20*IF(E20="سعودي",cfg_G_SR,cfg_G_NR)*F20/cfg_DAYS_M)</f>
        <v/>
      </c>
      <c r="Y20" s="86" t="str">
        <f aca="false">IF($B20="","",الموظفون!$O20*(cfg_EOS_R1*(MIN(AC20,cfg_EOS_TH)-MIN(AD20,cfg_EOS_TH))+cfg_EOS_R2*(MAX(AC20-cfg_EOS_TH,0)-MAX(AD20-cfg_EOS_TH,0))))</f>
        <v/>
      </c>
      <c r="Z20" s="86" t="str">
        <f aca="false">IF($B20="","",IF(الموظفون!$R20&lt;&gt;"",الموظفون!$R20,IF(AC20&gt;=cfg_LV_TH,cfg_LV_D2,cfg_LV_D1))/cfg_DAYS_Y*AE20*الموظفون!$P20/cfg_DAYS_M)</f>
        <v/>
      </c>
      <c r="AA20" s="86" t="str">
        <f aca="false">IF($B20="","",IF(AND(الموظفون!$S20="نعم",N(الموظفون!$U20)&gt;0),الموظفون!$T20/الموظفون!$U20*12/cfg_DAYS_Y*AE20,0))</f>
        <v/>
      </c>
      <c r="AB20" s="108" t="str">
        <f aca="false">IF($B20="","",R20+SUM(X20:AA20))</f>
        <v/>
      </c>
      <c r="AC20" s="109" t="str">
        <f aca="false">IF($B20="","",MAX(0,IF(OR(الموظفون!$X20="",الموظفون!$X20&gt;$G$3),$G$3,الموظفون!$X20)-الموظفون!$H20+1)/cfg_DAYS_Y)</f>
        <v/>
      </c>
      <c r="AD20" s="109" t="str">
        <f aca="false">IF($B20="","",MAX(0,IF(OR(الموظفون!$X20="",الموظفون!$X20&gt;($E$3-1)),($E$3-1),الموظفون!$X20)-الموظفون!$H20+1)/cfg_DAYS_Y)</f>
        <v/>
      </c>
      <c r="AE20" s="51" t="str">
        <f aca="false">IF($B20="","",MAX(0,IF(OR(الموظفون!$X20="",الموظفون!$X20&gt;$G$3),$G$3,الموظفون!$X20)-MAX($E$3,الموظفون!$H20)+1))</f>
        <v/>
      </c>
    </row>
    <row r="21" customFormat="false" ht="15" hidden="false" customHeight="false" outlineLevel="0" collapsed="false">
      <c r="A21" s="89" t="str">
        <f aca="false">IF($B21="","",الموظفون!$A21)</f>
        <v/>
      </c>
      <c r="B21" s="91" t="str">
        <f aca="false">IF(الموظفون!$B21="","",الموظفون!$B21)</f>
        <v/>
      </c>
      <c r="C21" s="91" t="str">
        <f aca="false">IF($B21="","",الموظفون!$C21)</f>
        <v/>
      </c>
      <c r="D21" s="91" t="str">
        <f aca="false">IF($B21="","",الموظفون!$F21)</f>
        <v/>
      </c>
      <c r="E21" s="91" t="str">
        <f aca="false">IF($B21="","",الموظفون!$E21)</f>
        <v/>
      </c>
      <c r="F21" s="110" t="str">
        <f aca="false">IF($B21="","",IF(AE21&gt;=DAY($G$3),cfg_DAYS_M,MIN(AE21,cfg_DAYS_M)))</f>
        <v/>
      </c>
      <c r="G21" s="110" t="str">
        <f aca="false">IF($B21="","",SUMIFS('الحركات الشهرية'!$D$6:$D$1005,'الحركات الشهرية'!$B$6:$B$1005,$B21,'الحركات الشهرية'!$A$6:$A$1005,$C$3))</f>
        <v/>
      </c>
      <c r="H21" s="110" t="str">
        <f aca="false">IF($B21="","",SUMIFS('الحركات الشهرية'!$E$6:$E$1005,'الحركات الشهرية'!$B$6:$B$1005,$B21,'الحركات الشهرية'!$A$6:$A$1005,$C$3))</f>
        <v/>
      </c>
      <c r="I21" s="110" t="str">
        <f aca="false">IF($B21="","",MAX(0,F21-G21-H21))</f>
        <v/>
      </c>
      <c r="J21" s="90" t="str">
        <f aca="false">IF($B21="","",الموظفون!$J21*$I21/cfg_DAYS_M)</f>
        <v/>
      </c>
      <c r="K21" s="90" t="str">
        <f aca="false">IF($B21="","",الموظفون!$K21*$I21/cfg_DAYS_M)</f>
        <v/>
      </c>
      <c r="L21" s="90" t="str">
        <f aca="false">IF($B21="","",الموظفون!$L21*$I21/cfg_DAYS_M)</f>
        <v/>
      </c>
      <c r="M21" s="90" t="str">
        <f aca="false">IF($B21="","",الموظفون!$M21*$I21/cfg_DAYS_M)</f>
        <v/>
      </c>
      <c r="N21" s="110" t="str">
        <f aca="false">IF($B21="","",SUMIFS('الحركات الشهرية'!$F$6:$F$1005,'الحركات الشهرية'!$B$6:$B$1005,$B21,'الحركات الشهرية'!$A$6:$A$1005,$C$3))</f>
        <v/>
      </c>
      <c r="O21" s="90" t="str">
        <f aca="false">IF($B21="","",N21*(الموظفون!$N21+الموظفون!$J21*cfg_OT_P)/cfg_DAYS_M/cfg_HRS)</f>
        <v/>
      </c>
      <c r="P21" s="90" t="str">
        <f aca="false">IF($B21="","",SUMIFS('الحركات الشهرية'!$G$6:$G$1005,'الحركات الشهرية'!$B$6:$B$1005,$B21,'الحركات الشهرية'!$A$6:$A$1005,$C$3))</f>
        <v/>
      </c>
      <c r="Q21" s="90" t="str">
        <f aca="false">IF($B21="","",SUMIFS('الحركات الشهرية'!$H$6:$H$1005,'الحركات الشهرية'!$B$6:$B$1005,$B21,'الحركات الشهرية'!$A$6:$A$1005,$C$3))</f>
        <v/>
      </c>
      <c r="R21" s="111" t="str">
        <f aca="false">IF($B21="","",SUM(J21:M21)+SUM(O21:Q21))</f>
        <v/>
      </c>
      <c r="S21" s="90" t="str">
        <f aca="false">IF($B21="","",الموظفون!$Q21*IF(E21="سعودي",cfg_G_SE,cfg_G_NE)*F21/cfg_DAYS_M)</f>
        <v/>
      </c>
      <c r="T21" s="90" t="str">
        <f aca="false">IF($B21="","",SUMIFS('الحركات الشهرية'!$I$6:$I$1005,'الحركات الشهرية'!$B$6:$B$1005,$B21,'الحركات الشهرية'!$A$6:$A$1005,$C$3))</f>
        <v/>
      </c>
      <c r="U21" s="90" t="str">
        <f aca="false">IF($B21="","",SUMIFS('الحركات الشهرية'!$J$6:$J$1005,'الحركات الشهرية'!$B$6:$B$1005,$B21,'الحركات الشهرية'!$A$6:$A$1005,$C$3))</f>
        <v/>
      </c>
      <c r="V21" s="90" t="str">
        <f aca="false">IF($B21="","",SUM(S21:U21))</f>
        <v/>
      </c>
      <c r="W21" s="112" t="str">
        <f aca="false">IF($B21="","",R21-V21)</f>
        <v/>
      </c>
      <c r="X21" s="90" t="str">
        <f aca="false">IF($B21="","",الموظفون!$Q21*IF(E21="سعودي",cfg_G_SR,cfg_G_NR)*F21/cfg_DAYS_M)</f>
        <v/>
      </c>
      <c r="Y21" s="90" t="str">
        <f aca="false">IF($B21="","",الموظفون!$O21*(cfg_EOS_R1*(MIN(AC21,cfg_EOS_TH)-MIN(AD21,cfg_EOS_TH))+cfg_EOS_R2*(MAX(AC21-cfg_EOS_TH,0)-MAX(AD21-cfg_EOS_TH,0))))</f>
        <v/>
      </c>
      <c r="Z21" s="90" t="str">
        <f aca="false">IF($B21="","",IF(الموظفون!$R21&lt;&gt;"",الموظفون!$R21,IF(AC21&gt;=cfg_LV_TH,cfg_LV_D2,cfg_LV_D1))/cfg_DAYS_Y*AE21*الموظفون!$P21/cfg_DAYS_M)</f>
        <v/>
      </c>
      <c r="AA21" s="90" t="str">
        <f aca="false">IF($B21="","",IF(AND(الموظفون!$S21="نعم",N(الموظفون!$U21)&gt;0),الموظفون!$T21/الموظفون!$U21*12/cfg_DAYS_Y*AE21,0))</f>
        <v/>
      </c>
      <c r="AB21" s="113" t="str">
        <f aca="false">IF($B21="","",R21+SUM(X21:AA21))</f>
        <v/>
      </c>
      <c r="AC21" s="114" t="str">
        <f aca="false">IF($B21="","",MAX(0,IF(OR(الموظفون!$X21="",الموظفون!$X21&gt;$G$3),$G$3,الموظفون!$X21)-الموظفون!$H21+1)/cfg_DAYS_Y)</f>
        <v/>
      </c>
      <c r="AD21" s="114" t="str">
        <f aca="false">IF($B21="","",MAX(0,IF(OR(الموظفون!$X21="",الموظفون!$X21&gt;($E$3-1)),($E$3-1),الموظفون!$X21)-الموظفون!$H21+1)/cfg_DAYS_Y)</f>
        <v/>
      </c>
      <c r="AE21" s="115" t="str">
        <f aca="false">IF($B21="","",MAX(0,IF(OR(الموظفون!$X21="",الموظفون!$X21&gt;$G$3),$G$3,الموظفون!$X21)-MAX($E$3,الموظفون!$H21)+1))</f>
        <v/>
      </c>
    </row>
    <row r="22" customFormat="false" ht="15" hidden="false" customHeight="false" outlineLevel="0" collapsed="false">
      <c r="A22" s="83" t="str">
        <f aca="false">IF($B22="","",الموظفون!$A22)</f>
        <v/>
      </c>
      <c r="B22" s="74" t="str">
        <f aca="false">IF(الموظفون!$B22="","",الموظفون!$B22)</f>
        <v/>
      </c>
      <c r="C22" s="74" t="str">
        <f aca="false">IF($B22="","",الموظفون!$C22)</f>
        <v/>
      </c>
      <c r="D22" s="74" t="str">
        <f aca="false">IF($B22="","",الموظفون!$F22)</f>
        <v/>
      </c>
      <c r="E22" s="74" t="str">
        <f aca="false">IF($B22="","",الموظفون!$E22)</f>
        <v/>
      </c>
      <c r="F22" s="105" t="str">
        <f aca="false">IF($B22="","",IF(AE22&gt;=DAY($G$3),cfg_DAYS_M,MIN(AE22,cfg_DAYS_M)))</f>
        <v/>
      </c>
      <c r="G22" s="105" t="str">
        <f aca="false">IF($B22="","",SUMIFS('الحركات الشهرية'!$D$6:$D$1005,'الحركات الشهرية'!$B$6:$B$1005,$B22,'الحركات الشهرية'!$A$6:$A$1005,$C$3))</f>
        <v/>
      </c>
      <c r="H22" s="105" t="str">
        <f aca="false">IF($B22="","",SUMIFS('الحركات الشهرية'!$E$6:$E$1005,'الحركات الشهرية'!$B$6:$B$1005,$B22,'الحركات الشهرية'!$A$6:$A$1005,$C$3))</f>
        <v/>
      </c>
      <c r="I22" s="105" t="str">
        <f aca="false">IF($B22="","",MAX(0,F22-G22-H22))</f>
        <v/>
      </c>
      <c r="J22" s="86" t="str">
        <f aca="false">IF($B22="","",الموظفون!$J22*$I22/cfg_DAYS_M)</f>
        <v/>
      </c>
      <c r="K22" s="86" t="str">
        <f aca="false">IF($B22="","",الموظفون!$K22*$I22/cfg_DAYS_M)</f>
        <v/>
      </c>
      <c r="L22" s="86" t="str">
        <f aca="false">IF($B22="","",الموظفون!$L22*$I22/cfg_DAYS_M)</f>
        <v/>
      </c>
      <c r="M22" s="86" t="str">
        <f aca="false">IF($B22="","",الموظفون!$M22*$I22/cfg_DAYS_M)</f>
        <v/>
      </c>
      <c r="N22" s="105" t="str">
        <f aca="false">IF($B22="","",SUMIFS('الحركات الشهرية'!$F$6:$F$1005,'الحركات الشهرية'!$B$6:$B$1005,$B22,'الحركات الشهرية'!$A$6:$A$1005,$C$3))</f>
        <v/>
      </c>
      <c r="O22" s="86" t="str">
        <f aca="false">IF($B22="","",N22*(الموظفون!$N22+الموظفون!$J22*cfg_OT_P)/cfg_DAYS_M/cfg_HRS)</f>
        <v/>
      </c>
      <c r="P22" s="86" t="str">
        <f aca="false">IF($B22="","",SUMIFS('الحركات الشهرية'!$G$6:$G$1005,'الحركات الشهرية'!$B$6:$B$1005,$B22,'الحركات الشهرية'!$A$6:$A$1005,$C$3))</f>
        <v/>
      </c>
      <c r="Q22" s="86" t="str">
        <f aca="false">IF($B22="","",SUMIFS('الحركات الشهرية'!$H$6:$H$1005,'الحركات الشهرية'!$B$6:$B$1005,$B22,'الحركات الشهرية'!$A$6:$A$1005,$C$3))</f>
        <v/>
      </c>
      <c r="R22" s="106" t="str">
        <f aca="false">IF($B22="","",SUM(J22:M22)+SUM(O22:Q22))</f>
        <v/>
      </c>
      <c r="S22" s="86" t="str">
        <f aca="false">IF($B22="","",الموظفون!$Q22*IF(E22="سعودي",cfg_G_SE,cfg_G_NE)*F22/cfg_DAYS_M)</f>
        <v/>
      </c>
      <c r="T22" s="86" t="str">
        <f aca="false">IF($B22="","",SUMIFS('الحركات الشهرية'!$I$6:$I$1005,'الحركات الشهرية'!$B$6:$B$1005,$B22,'الحركات الشهرية'!$A$6:$A$1005,$C$3))</f>
        <v/>
      </c>
      <c r="U22" s="86" t="str">
        <f aca="false">IF($B22="","",SUMIFS('الحركات الشهرية'!$J$6:$J$1005,'الحركات الشهرية'!$B$6:$B$1005,$B22,'الحركات الشهرية'!$A$6:$A$1005,$C$3))</f>
        <v/>
      </c>
      <c r="V22" s="86" t="str">
        <f aca="false">IF($B22="","",SUM(S22:U22))</f>
        <v/>
      </c>
      <c r="W22" s="107" t="str">
        <f aca="false">IF($B22="","",R22-V22)</f>
        <v/>
      </c>
      <c r="X22" s="86" t="str">
        <f aca="false">IF($B22="","",الموظفون!$Q22*IF(E22="سعودي",cfg_G_SR,cfg_G_NR)*F22/cfg_DAYS_M)</f>
        <v/>
      </c>
      <c r="Y22" s="86" t="str">
        <f aca="false">IF($B22="","",الموظفون!$O22*(cfg_EOS_R1*(MIN(AC22,cfg_EOS_TH)-MIN(AD22,cfg_EOS_TH))+cfg_EOS_R2*(MAX(AC22-cfg_EOS_TH,0)-MAX(AD22-cfg_EOS_TH,0))))</f>
        <v/>
      </c>
      <c r="Z22" s="86" t="str">
        <f aca="false">IF($B22="","",IF(الموظفون!$R22&lt;&gt;"",الموظفون!$R22,IF(AC22&gt;=cfg_LV_TH,cfg_LV_D2,cfg_LV_D1))/cfg_DAYS_Y*AE22*الموظفون!$P22/cfg_DAYS_M)</f>
        <v/>
      </c>
      <c r="AA22" s="86" t="str">
        <f aca="false">IF($B22="","",IF(AND(الموظفون!$S22="نعم",N(الموظفون!$U22)&gt;0),الموظفون!$T22/الموظفون!$U22*12/cfg_DAYS_Y*AE22,0))</f>
        <v/>
      </c>
      <c r="AB22" s="108" t="str">
        <f aca="false">IF($B22="","",R22+SUM(X22:AA22))</f>
        <v/>
      </c>
      <c r="AC22" s="109" t="str">
        <f aca="false">IF($B22="","",MAX(0,IF(OR(الموظفون!$X22="",الموظفون!$X22&gt;$G$3),$G$3,الموظفون!$X22)-الموظفون!$H22+1)/cfg_DAYS_Y)</f>
        <v/>
      </c>
      <c r="AD22" s="109" t="str">
        <f aca="false">IF($B22="","",MAX(0,IF(OR(الموظفون!$X22="",الموظفون!$X22&gt;($E$3-1)),($E$3-1),الموظفون!$X22)-الموظفون!$H22+1)/cfg_DAYS_Y)</f>
        <v/>
      </c>
      <c r="AE22" s="51" t="str">
        <f aca="false">IF($B22="","",MAX(0,IF(OR(الموظفون!$X22="",الموظفون!$X22&gt;$G$3),$G$3,الموظفون!$X22)-MAX($E$3,الموظفون!$H22)+1))</f>
        <v/>
      </c>
    </row>
    <row r="23" customFormat="false" ht="15" hidden="false" customHeight="false" outlineLevel="0" collapsed="false">
      <c r="A23" s="89" t="str">
        <f aca="false">IF($B23="","",الموظفون!$A23)</f>
        <v/>
      </c>
      <c r="B23" s="91" t="str">
        <f aca="false">IF(الموظفون!$B23="","",الموظفون!$B23)</f>
        <v/>
      </c>
      <c r="C23" s="91" t="str">
        <f aca="false">IF($B23="","",الموظفون!$C23)</f>
        <v/>
      </c>
      <c r="D23" s="91" t="str">
        <f aca="false">IF($B23="","",الموظفون!$F23)</f>
        <v/>
      </c>
      <c r="E23" s="91" t="str">
        <f aca="false">IF($B23="","",الموظفون!$E23)</f>
        <v/>
      </c>
      <c r="F23" s="110" t="str">
        <f aca="false">IF($B23="","",IF(AE23&gt;=DAY($G$3),cfg_DAYS_M,MIN(AE23,cfg_DAYS_M)))</f>
        <v/>
      </c>
      <c r="G23" s="110" t="str">
        <f aca="false">IF($B23="","",SUMIFS('الحركات الشهرية'!$D$6:$D$1005,'الحركات الشهرية'!$B$6:$B$1005,$B23,'الحركات الشهرية'!$A$6:$A$1005,$C$3))</f>
        <v/>
      </c>
      <c r="H23" s="110" t="str">
        <f aca="false">IF($B23="","",SUMIFS('الحركات الشهرية'!$E$6:$E$1005,'الحركات الشهرية'!$B$6:$B$1005,$B23,'الحركات الشهرية'!$A$6:$A$1005,$C$3))</f>
        <v/>
      </c>
      <c r="I23" s="110" t="str">
        <f aca="false">IF($B23="","",MAX(0,F23-G23-H23))</f>
        <v/>
      </c>
      <c r="J23" s="90" t="str">
        <f aca="false">IF($B23="","",الموظفون!$J23*$I23/cfg_DAYS_M)</f>
        <v/>
      </c>
      <c r="K23" s="90" t="str">
        <f aca="false">IF($B23="","",الموظفون!$K23*$I23/cfg_DAYS_M)</f>
        <v/>
      </c>
      <c r="L23" s="90" t="str">
        <f aca="false">IF($B23="","",الموظفون!$L23*$I23/cfg_DAYS_M)</f>
        <v/>
      </c>
      <c r="M23" s="90" t="str">
        <f aca="false">IF($B23="","",الموظفون!$M23*$I23/cfg_DAYS_M)</f>
        <v/>
      </c>
      <c r="N23" s="110" t="str">
        <f aca="false">IF($B23="","",SUMIFS('الحركات الشهرية'!$F$6:$F$1005,'الحركات الشهرية'!$B$6:$B$1005,$B23,'الحركات الشهرية'!$A$6:$A$1005,$C$3))</f>
        <v/>
      </c>
      <c r="O23" s="90" t="str">
        <f aca="false">IF($B23="","",N23*(الموظفون!$N23+الموظفون!$J23*cfg_OT_P)/cfg_DAYS_M/cfg_HRS)</f>
        <v/>
      </c>
      <c r="P23" s="90" t="str">
        <f aca="false">IF($B23="","",SUMIFS('الحركات الشهرية'!$G$6:$G$1005,'الحركات الشهرية'!$B$6:$B$1005,$B23,'الحركات الشهرية'!$A$6:$A$1005,$C$3))</f>
        <v/>
      </c>
      <c r="Q23" s="90" t="str">
        <f aca="false">IF($B23="","",SUMIFS('الحركات الشهرية'!$H$6:$H$1005,'الحركات الشهرية'!$B$6:$B$1005,$B23,'الحركات الشهرية'!$A$6:$A$1005,$C$3))</f>
        <v/>
      </c>
      <c r="R23" s="111" t="str">
        <f aca="false">IF($B23="","",SUM(J23:M23)+SUM(O23:Q23))</f>
        <v/>
      </c>
      <c r="S23" s="90" t="str">
        <f aca="false">IF($B23="","",الموظفون!$Q23*IF(E23="سعودي",cfg_G_SE,cfg_G_NE)*F23/cfg_DAYS_M)</f>
        <v/>
      </c>
      <c r="T23" s="90" t="str">
        <f aca="false">IF($B23="","",SUMIFS('الحركات الشهرية'!$I$6:$I$1005,'الحركات الشهرية'!$B$6:$B$1005,$B23,'الحركات الشهرية'!$A$6:$A$1005,$C$3))</f>
        <v/>
      </c>
      <c r="U23" s="90" t="str">
        <f aca="false">IF($B23="","",SUMIFS('الحركات الشهرية'!$J$6:$J$1005,'الحركات الشهرية'!$B$6:$B$1005,$B23,'الحركات الشهرية'!$A$6:$A$1005,$C$3))</f>
        <v/>
      </c>
      <c r="V23" s="90" t="str">
        <f aca="false">IF($B23="","",SUM(S23:U23))</f>
        <v/>
      </c>
      <c r="W23" s="112" t="str">
        <f aca="false">IF($B23="","",R23-V23)</f>
        <v/>
      </c>
      <c r="X23" s="90" t="str">
        <f aca="false">IF($B23="","",الموظفون!$Q23*IF(E23="سعودي",cfg_G_SR,cfg_G_NR)*F23/cfg_DAYS_M)</f>
        <v/>
      </c>
      <c r="Y23" s="90" t="str">
        <f aca="false">IF($B23="","",الموظفون!$O23*(cfg_EOS_R1*(MIN(AC23,cfg_EOS_TH)-MIN(AD23,cfg_EOS_TH))+cfg_EOS_R2*(MAX(AC23-cfg_EOS_TH,0)-MAX(AD23-cfg_EOS_TH,0))))</f>
        <v/>
      </c>
      <c r="Z23" s="90" t="str">
        <f aca="false">IF($B23="","",IF(الموظفون!$R23&lt;&gt;"",الموظفون!$R23,IF(AC23&gt;=cfg_LV_TH,cfg_LV_D2,cfg_LV_D1))/cfg_DAYS_Y*AE23*الموظفون!$P23/cfg_DAYS_M)</f>
        <v/>
      </c>
      <c r="AA23" s="90" t="str">
        <f aca="false">IF($B23="","",IF(AND(الموظفون!$S23="نعم",N(الموظفون!$U23)&gt;0),الموظفون!$T23/الموظفون!$U23*12/cfg_DAYS_Y*AE23,0))</f>
        <v/>
      </c>
      <c r="AB23" s="113" t="str">
        <f aca="false">IF($B23="","",R23+SUM(X23:AA23))</f>
        <v/>
      </c>
      <c r="AC23" s="114" t="str">
        <f aca="false">IF($B23="","",MAX(0,IF(OR(الموظفون!$X23="",الموظفون!$X23&gt;$G$3),$G$3,الموظفون!$X23)-الموظفون!$H23+1)/cfg_DAYS_Y)</f>
        <v/>
      </c>
      <c r="AD23" s="114" t="str">
        <f aca="false">IF($B23="","",MAX(0,IF(OR(الموظفون!$X23="",الموظفون!$X23&gt;($E$3-1)),($E$3-1),الموظفون!$X23)-الموظفون!$H23+1)/cfg_DAYS_Y)</f>
        <v/>
      </c>
      <c r="AE23" s="115" t="str">
        <f aca="false">IF($B23="","",MAX(0,IF(OR(الموظفون!$X23="",الموظفون!$X23&gt;$G$3),$G$3,الموظفون!$X23)-MAX($E$3,الموظفون!$H23)+1))</f>
        <v/>
      </c>
    </row>
    <row r="24" customFormat="false" ht="15" hidden="false" customHeight="false" outlineLevel="0" collapsed="false">
      <c r="A24" s="83" t="str">
        <f aca="false">IF($B24="","",الموظفون!$A24)</f>
        <v/>
      </c>
      <c r="B24" s="74" t="str">
        <f aca="false">IF(الموظفون!$B24="","",الموظفون!$B24)</f>
        <v/>
      </c>
      <c r="C24" s="74" t="str">
        <f aca="false">IF($B24="","",الموظفون!$C24)</f>
        <v/>
      </c>
      <c r="D24" s="74" t="str">
        <f aca="false">IF($B24="","",الموظفون!$F24)</f>
        <v/>
      </c>
      <c r="E24" s="74" t="str">
        <f aca="false">IF($B24="","",الموظفون!$E24)</f>
        <v/>
      </c>
      <c r="F24" s="105" t="str">
        <f aca="false">IF($B24="","",IF(AE24&gt;=DAY($G$3),cfg_DAYS_M,MIN(AE24,cfg_DAYS_M)))</f>
        <v/>
      </c>
      <c r="G24" s="105" t="str">
        <f aca="false">IF($B24="","",SUMIFS('الحركات الشهرية'!$D$6:$D$1005,'الحركات الشهرية'!$B$6:$B$1005,$B24,'الحركات الشهرية'!$A$6:$A$1005,$C$3))</f>
        <v/>
      </c>
      <c r="H24" s="105" t="str">
        <f aca="false">IF($B24="","",SUMIFS('الحركات الشهرية'!$E$6:$E$1005,'الحركات الشهرية'!$B$6:$B$1005,$B24,'الحركات الشهرية'!$A$6:$A$1005,$C$3))</f>
        <v/>
      </c>
      <c r="I24" s="105" t="str">
        <f aca="false">IF($B24="","",MAX(0,F24-G24-H24))</f>
        <v/>
      </c>
      <c r="J24" s="86" t="str">
        <f aca="false">IF($B24="","",الموظفون!$J24*$I24/cfg_DAYS_M)</f>
        <v/>
      </c>
      <c r="K24" s="86" t="str">
        <f aca="false">IF($B24="","",الموظفون!$K24*$I24/cfg_DAYS_M)</f>
        <v/>
      </c>
      <c r="L24" s="86" t="str">
        <f aca="false">IF($B24="","",الموظفون!$L24*$I24/cfg_DAYS_M)</f>
        <v/>
      </c>
      <c r="M24" s="86" t="str">
        <f aca="false">IF($B24="","",الموظفون!$M24*$I24/cfg_DAYS_M)</f>
        <v/>
      </c>
      <c r="N24" s="105" t="str">
        <f aca="false">IF($B24="","",SUMIFS('الحركات الشهرية'!$F$6:$F$1005,'الحركات الشهرية'!$B$6:$B$1005,$B24,'الحركات الشهرية'!$A$6:$A$1005,$C$3))</f>
        <v/>
      </c>
      <c r="O24" s="86" t="str">
        <f aca="false">IF($B24="","",N24*(الموظفون!$N24+الموظفون!$J24*cfg_OT_P)/cfg_DAYS_M/cfg_HRS)</f>
        <v/>
      </c>
      <c r="P24" s="86" t="str">
        <f aca="false">IF($B24="","",SUMIFS('الحركات الشهرية'!$G$6:$G$1005,'الحركات الشهرية'!$B$6:$B$1005,$B24,'الحركات الشهرية'!$A$6:$A$1005,$C$3))</f>
        <v/>
      </c>
      <c r="Q24" s="86" t="str">
        <f aca="false">IF($B24="","",SUMIFS('الحركات الشهرية'!$H$6:$H$1005,'الحركات الشهرية'!$B$6:$B$1005,$B24,'الحركات الشهرية'!$A$6:$A$1005,$C$3))</f>
        <v/>
      </c>
      <c r="R24" s="106" t="str">
        <f aca="false">IF($B24="","",SUM(J24:M24)+SUM(O24:Q24))</f>
        <v/>
      </c>
      <c r="S24" s="86" t="str">
        <f aca="false">IF($B24="","",الموظفون!$Q24*IF(E24="سعودي",cfg_G_SE,cfg_G_NE)*F24/cfg_DAYS_M)</f>
        <v/>
      </c>
      <c r="T24" s="86" t="str">
        <f aca="false">IF($B24="","",SUMIFS('الحركات الشهرية'!$I$6:$I$1005,'الحركات الشهرية'!$B$6:$B$1005,$B24,'الحركات الشهرية'!$A$6:$A$1005,$C$3))</f>
        <v/>
      </c>
      <c r="U24" s="86" t="str">
        <f aca="false">IF($B24="","",SUMIFS('الحركات الشهرية'!$J$6:$J$1005,'الحركات الشهرية'!$B$6:$B$1005,$B24,'الحركات الشهرية'!$A$6:$A$1005,$C$3))</f>
        <v/>
      </c>
      <c r="V24" s="86" t="str">
        <f aca="false">IF($B24="","",SUM(S24:U24))</f>
        <v/>
      </c>
      <c r="W24" s="107" t="str">
        <f aca="false">IF($B24="","",R24-V24)</f>
        <v/>
      </c>
      <c r="X24" s="86" t="str">
        <f aca="false">IF($B24="","",الموظفون!$Q24*IF(E24="سعودي",cfg_G_SR,cfg_G_NR)*F24/cfg_DAYS_M)</f>
        <v/>
      </c>
      <c r="Y24" s="86" t="str">
        <f aca="false">IF($B24="","",الموظفون!$O24*(cfg_EOS_R1*(MIN(AC24,cfg_EOS_TH)-MIN(AD24,cfg_EOS_TH))+cfg_EOS_R2*(MAX(AC24-cfg_EOS_TH,0)-MAX(AD24-cfg_EOS_TH,0))))</f>
        <v/>
      </c>
      <c r="Z24" s="86" t="str">
        <f aca="false">IF($B24="","",IF(الموظفون!$R24&lt;&gt;"",الموظفون!$R24,IF(AC24&gt;=cfg_LV_TH,cfg_LV_D2,cfg_LV_D1))/cfg_DAYS_Y*AE24*الموظفون!$P24/cfg_DAYS_M)</f>
        <v/>
      </c>
      <c r="AA24" s="86" t="str">
        <f aca="false">IF($B24="","",IF(AND(الموظفون!$S24="نعم",N(الموظفون!$U24)&gt;0),الموظفون!$T24/الموظفون!$U24*12/cfg_DAYS_Y*AE24,0))</f>
        <v/>
      </c>
      <c r="AB24" s="108" t="str">
        <f aca="false">IF($B24="","",R24+SUM(X24:AA24))</f>
        <v/>
      </c>
      <c r="AC24" s="109" t="str">
        <f aca="false">IF($B24="","",MAX(0,IF(OR(الموظفون!$X24="",الموظفون!$X24&gt;$G$3),$G$3,الموظفون!$X24)-الموظفون!$H24+1)/cfg_DAYS_Y)</f>
        <v/>
      </c>
      <c r="AD24" s="109" t="str">
        <f aca="false">IF($B24="","",MAX(0,IF(OR(الموظفون!$X24="",الموظفون!$X24&gt;($E$3-1)),($E$3-1),الموظفون!$X24)-الموظفون!$H24+1)/cfg_DAYS_Y)</f>
        <v/>
      </c>
      <c r="AE24" s="51" t="str">
        <f aca="false">IF($B24="","",MAX(0,IF(OR(الموظفون!$X24="",الموظفون!$X24&gt;$G$3),$G$3,الموظفون!$X24)-MAX($E$3,الموظفون!$H24)+1))</f>
        <v/>
      </c>
    </row>
    <row r="25" customFormat="false" ht="15" hidden="false" customHeight="false" outlineLevel="0" collapsed="false">
      <c r="A25" s="89" t="str">
        <f aca="false">IF($B25="","",الموظفون!$A25)</f>
        <v/>
      </c>
      <c r="B25" s="91" t="str">
        <f aca="false">IF(الموظفون!$B25="","",الموظفون!$B25)</f>
        <v/>
      </c>
      <c r="C25" s="91" t="str">
        <f aca="false">IF($B25="","",الموظفون!$C25)</f>
        <v/>
      </c>
      <c r="D25" s="91" t="str">
        <f aca="false">IF($B25="","",الموظفون!$F25)</f>
        <v/>
      </c>
      <c r="E25" s="91" t="str">
        <f aca="false">IF($B25="","",الموظفون!$E25)</f>
        <v/>
      </c>
      <c r="F25" s="110" t="str">
        <f aca="false">IF($B25="","",IF(AE25&gt;=DAY($G$3),cfg_DAYS_M,MIN(AE25,cfg_DAYS_M)))</f>
        <v/>
      </c>
      <c r="G25" s="110" t="str">
        <f aca="false">IF($B25="","",SUMIFS('الحركات الشهرية'!$D$6:$D$1005,'الحركات الشهرية'!$B$6:$B$1005,$B25,'الحركات الشهرية'!$A$6:$A$1005,$C$3))</f>
        <v/>
      </c>
      <c r="H25" s="110" t="str">
        <f aca="false">IF($B25="","",SUMIFS('الحركات الشهرية'!$E$6:$E$1005,'الحركات الشهرية'!$B$6:$B$1005,$B25,'الحركات الشهرية'!$A$6:$A$1005,$C$3))</f>
        <v/>
      </c>
      <c r="I25" s="110" t="str">
        <f aca="false">IF($B25="","",MAX(0,F25-G25-H25))</f>
        <v/>
      </c>
      <c r="J25" s="90" t="str">
        <f aca="false">IF($B25="","",الموظفون!$J25*$I25/cfg_DAYS_M)</f>
        <v/>
      </c>
      <c r="K25" s="90" t="str">
        <f aca="false">IF($B25="","",الموظفون!$K25*$I25/cfg_DAYS_M)</f>
        <v/>
      </c>
      <c r="L25" s="90" t="str">
        <f aca="false">IF($B25="","",الموظفون!$L25*$I25/cfg_DAYS_M)</f>
        <v/>
      </c>
      <c r="M25" s="90" t="str">
        <f aca="false">IF($B25="","",الموظفون!$M25*$I25/cfg_DAYS_M)</f>
        <v/>
      </c>
      <c r="N25" s="110" t="str">
        <f aca="false">IF($B25="","",SUMIFS('الحركات الشهرية'!$F$6:$F$1005,'الحركات الشهرية'!$B$6:$B$1005,$B25,'الحركات الشهرية'!$A$6:$A$1005,$C$3))</f>
        <v/>
      </c>
      <c r="O25" s="90" t="str">
        <f aca="false">IF($B25="","",N25*(الموظفون!$N25+الموظفون!$J25*cfg_OT_P)/cfg_DAYS_M/cfg_HRS)</f>
        <v/>
      </c>
      <c r="P25" s="90" t="str">
        <f aca="false">IF($B25="","",SUMIFS('الحركات الشهرية'!$G$6:$G$1005,'الحركات الشهرية'!$B$6:$B$1005,$B25,'الحركات الشهرية'!$A$6:$A$1005,$C$3))</f>
        <v/>
      </c>
      <c r="Q25" s="90" t="str">
        <f aca="false">IF($B25="","",SUMIFS('الحركات الشهرية'!$H$6:$H$1005,'الحركات الشهرية'!$B$6:$B$1005,$B25,'الحركات الشهرية'!$A$6:$A$1005,$C$3))</f>
        <v/>
      </c>
      <c r="R25" s="111" t="str">
        <f aca="false">IF($B25="","",SUM(J25:M25)+SUM(O25:Q25))</f>
        <v/>
      </c>
      <c r="S25" s="90" t="str">
        <f aca="false">IF($B25="","",الموظفون!$Q25*IF(E25="سعودي",cfg_G_SE,cfg_G_NE)*F25/cfg_DAYS_M)</f>
        <v/>
      </c>
      <c r="T25" s="90" t="str">
        <f aca="false">IF($B25="","",SUMIFS('الحركات الشهرية'!$I$6:$I$1005,'الحركات الشهرية'!$B$6:$B$1005,$B25,'الحركات الشهرية'!$A$6:$A$1005,$C$3))</f>
        <v/>
      </c>
      <c r="U25" s="90" t="str">
        <f aca="false">IF($B25="","",SUMIFS('الحركات الشهرية'!$J$6:$J$1005,'الحركات الشهرية'!$B$6:$B$1005,$B25,'الحركات الشهرية'!$A$6:$A$1005,$C$3))</f>
        <v/>
      </c>
      <c r="V25" s="90" t="str">
        <f aca="false">IF($B25="","",SUM(S25:U25))</f>
        <v/>
      </c>
      <c r="W25" s="112" t="str">
        <f aca="false">IF($B25="","",R25-V25)</f>
        <v/>
      </c>
      <c r="X25" s="90" t="str">
        <f aca="false">IF($B25="","",الموظفون!$Q25*IF(E25="سعودي",cfg_G_SR,cfg_G_NR)*F25/cfg_DAYS_M)</f>
        <v/>
      </c>
      <c r="Y25" s="90" t="str">
        <f aca="false">IF($B25="","",الموظفون!$O25*(cfg_EOS_R1*(MIN(AC25,cfg_EOS_TH)-MIN(AD25,cfg_EOS_TH))+cfg_EOS_R2*(MAX(AC25-cfg_EOS_TH,0)-MAX(AD25-cfg_EOS_TH,0))))</f>
        <v/>
      </c>
      <c r="Z25" s="90" t="str">
        <f aca="false">IF($B25="","",IF(الموظفون!$R25&lt;&gt;"",الموظفون!$R25,IF(AC25&gt;=cfg_LV_TH,cfg_LV_D2,cfg_LV_D1))/cfg_DAYS_Y*AE25*الموظفون!$P25/cfg_DAYS_M)</f>
        <v/>
      </c>
      <c r="AA25" s="90" t="str">
        <f aca="false">IF($B25="","",IF(AND(الموظفون!$S25="نعم",N(الموظفون!$U25)&gt;0),الموظفون!$T25/الموظفون!$U25*12/cfg_DAYS_Y*AE25,0))</f>
        <v/>
      </c>
      <c r="AB25" s="113" t="str">
        <f aca="false">IF($B25="","",R25+SUM(X25:AA25))</f>
        <v/>
      </c>
      <c r="AC25" s="114" t="str">
        <f aca="false">IF($B25="","",MAX(0,IF(OR(الموظفون!$X25="",الموظفون!$X25&gt;$G$3),$G$3,الموظفون!$X25)-الموظفون!$H25+1)/cfg_DAYS_Y)</f>
        <v/>
      </c>
      <c r="AD25" s="114" t="str">
        <f aca="false">IF($B25="","",MAX(0,IF(OR(الموظفون!$X25="",الموظفون!$X25&gt;($E$3-1)),($E$3-1),الموظفون!$X25)-الموظفون!$H25+1)/cfg_DAYS_Y)</f>
        <v/>
      </c>
      <c r="AE25" s="115" t="str">
        <f aca="false">IF($B25="","",MAX(0,IF(OR(الموظفون!$X25="",الموظفون!$X25&gt;$G$3),$G$3,الموظفون!$X25)-MAX($E$3,الموظفون!$H25)+1))</f>
        <v/>
      </c>
    </row>
    <row r="26" customFormat="false" ht="15" hidden="false" customHeight="false" outlineLevel="0" collapsed="false">
      <c r="A26" s="83" t="str">
        <f aca="false">IF($B26="","",الموظفون!$A26)</f>
        <v/>
      </c>
      <c r="B26" s="74" t="str">
        <f aca="false">IF(الموظفون!$B26="","",الموظفون!$B26)</f>
        <v/>
      </c>
      <c r="C26" s="74" t="str">
        <f aca="false">IF($B26="","",الموظفون!$C26)</f>
        <v/>
      </c>
      <c r="D26" s="74" t="str">
        <f aca="false">IF($B26="","",الموظفون!$F26)</f>
        <v/>
      </c>
      <c r="E26" s="74" t="str">
        <f aca="false">IF($B26="","",الموظفون!$E26)</f>
        <v/>
      </c>
      <c r="F26" s="105" t="str">
        <f aca="false">IF($B26="","",IF(AE26&gt;=DAY($G$3),cfg_DAYS_M,MIN(AE26,cfg_DAYS_M)))</f>
        <v/>
      </c>
      <c r="G26" s="105" t="str">
        <f aca="false">IF($B26="","",SUMIFS('الحركات الشهرية'!$D$6:$D$1005,'الحركات الشهرية'!$B$6:$B$1005,$B26,'الحركات الشهرية'!$A$6:$A$1005,$C$3))</f>
        <v/>
      </c>
      <c r="H26" s="105" t="str">
        <f aca="false">IF($B26="","",SUMIFS('الحركات الشهرية'!$E$6:$E$1005,'الحركات الشهرية'!$B$6:$B$1005,$B26,'الحركات الشهرية'!$A$6:$A$1005,$C$3))</f>
        <v/>
      </c>
      <c r="I26" s="105" t="str">
        <f aca="false">IF($B26="","",MAX(0,F26-G26-H26))</f>
        <v/>
      </c>
      <c r="J26" s="86" t="str">
        <f aca="false">IF($B26="","",الموظفون!$J26*$I26/cfg_DAYS_M)</f>
        <v/>
      </c>
      <c r="K26" s="86" t="str">
        <f aca="false">IF($B26="","",الموظفون!$K26*$I26/cfg_DAYS_M)</f>
        <v/>
      </c>
      <c r="L26" s="86" t="str">
        <f aca="false">IF($B26="","",الموظفون!$L26*$I26/cfg_DAYS_M)</f>
        <v/>
      </c>
      <c r="M26" s="86" t="str">
        <f aca="false">IF($B26="","",الموظفون!$M26*$I26/cfg_DAYS_M)</f>
        <v/>
      </c>
      <c r="N26" s="105" t="str">
        <f aca="false">IF($B26="","",SUMIFS('الحركات الشهرية'!$F$6:$F$1005,'الحركات الشهرية'!$B$6:$B$1005,$B26,'الحركات الشهرية'!$A$6:$A$1005,$C$3))</f>
        <v/>
      </c>
      <c r="O26" s="86" t="str">
        <f aca="false">IF($B26="","",N26*(الموظفون!$N26+الموظفون!$J26*cfg_OT_P)/cfg_DAYS_M/cfg_HRS)</f>
        <v/>
      </c>
      <c r="P26" s="86" t="str">
        <f aca="false">IF($B26="","",SUMIFS('الحركات الشهرية'!$G$6:$G$1005,'الحركات الشهرية'!$B$6:$B$1005,$B26,'الحركات الشهرية'!$A$6:$A$1005,$C$3))</f>
        <v/>
      </c>
      <c r="Q26" s="86" t="str">
        <f aca="false">IF($B26="","",SUMIFS('الحركات الشهرية'!$H$6:$H$1005,'الحركات الشهرية'!$B$6:$B$1005,$B26,'الحركات الشهرية'!$A$6:$A$1005,$C$3))</f>
        <v/>
      </c>
      <c r="R26" s="106" t="str">
        <f aca="false">IF($B26="","",SUM(J26:M26)+SUM(O26:Q26))</f>
        <v/>
      </c>
      <c r="S26" s="86" t="str">
        <f aca="false">IF($B26="","",الموظفون!$Q26*IF(E26="سعودي",cfg_G_SE,cfg_G_NE)*F26/cfg_DAYS_M)</f>
        <v/>
      </c>
      <c r="T26" s="86" t="str">
        <f aca="false">IF($B26="","",SUMIFS('الحركات الشهرية'!$I$6:$I$1005,'الحركات الشهرية'!$B$6:$B$1005,$B26,'الحركات الشهرية'!$A$6:$A$1005,$C$3))</f>
        <v/>
      </c>
      <c r="U26" s="86" t="str">
        <f aca="false">IF($B26="","",SUMIFS('الحركات الشهرية'!$J$6:$J$1005,'الحركات الشهرية'!$B$6:$B$1005,$B26,'الحركات الشهرية'!$A$6:$A$1005,$C$3))</f>
        <v/>
      </c>
      <c r="V26" s="86" t="str">
        <f aca="false">IF($B26="","",SUM(S26:U26))</f>
        <v/>
      </c>
      <c r="W26" s="107" t="str">
        <f aca="false">IF($B26="","",R26-V26)</f>
        <v/>
      </c>
      <c r="X26" s="86" t="str">
        <f aca="false">IF($B26="","",الموظفون!$Q26*IF(E26="سعودي",cfg_G_SR,cfg_G_NR)*F26/cfg_DAYS_M)</f>
        <v/>
      </c>
      <c r="Y26" s="86" t="str">
        <f aca="false">IF($B26="","",الموظفون!$O26*(cfg_EOS_R1*(MIN(AC26,cfg_EOS_TH)-MIN(AD26,cfg_EOS_TH))+cfg_EOS_R2*(MAX(AC26-cfg_EOS_TH,0)-MAX(AD26-cfg_EOS_TH,0))))</f>
        <v/>
      </c>
      <c r="Z26" s="86" t="str">
        <f aca="false">IF($B26="","",IF(الموظفون!$R26&lt;&gt;"",الموظفون!$R26,IF(AC26&gt;=cfg_LV_TH,cfg_LV_D2,cfg_LV_D1))/cfg_DAYS_Y*AE26*الموظفون!$P26/cfg_DAYS_M)</f>
        <v/>
      </c>
      <c r="AA26" s="86" t="str">
        <f aca="false">IF($B26="","",IF(AND(الموظفون!$S26="نعم",N(الموظفون!$U26)&gt;0),الموظفون!$T26/الموظفون!$U26*12/cfg_DAYS_Y*AE26,0))</f>
        <v/>
      </c>
      <c r="AB26" s="108" t="str">
        <f aca="false">IF($B26="","",R26+SUM(X26:AA26))</f>
        <v/>
      </c>
      <c r="AC26" s="109" t="str">
        <f aca="false">IF($B26="","",MAX(0,IF(OR(الموظفون!$X26="",الموظفون!$X26&gt;$G$3),$G$3,الموظفون!$X26)-الموظفون!$H26+1)/cfg_DAYS_Y)</f>
        <v/>
      </c>
      <c r="AD26" s="109" t="str">
        <f aca="false">IF($B26="","",MAX(0,IF(OR(الموظفون!$X26="",الموظفون!$X26&gt;($E$3-1)),($E$3-1),الموظفون!$X26)-الموظفون!$H26+1)/cfg_DAYS_Y)</f>
        <v/>
      </c>
      <c r="AE26" s="51" t="str">
        <f aca="false">IF($B26="","",MAX(0,IF(OR(الموظفون!$X26="",الموظفون!$X26&gt;$G$3),$G$3,الموظفون!$X26)-MAX($E$3,الموظفون!$H26)+1))</f>
        <v/>
      </c>
    </row>
    <row r="27" customFormat="false" ht="15" hidden="false" customHeight="false" outlineLevel="0" collapsed="false">
      <c r="A27" s="89" t="str">
        <f aca="false">IF($B27="","",الموظفون!$A27)</f>
        <v/>
      </c>
      <c r="B27" s="91" t="str">
        <f aca="false">IF(الموظفون!$B27="","",الموظفون!$B27)</f>
        <v/>
      </c>
      <c r="C27" s="91" t="str">
        <f aca="false">IF($B27="","",الموظفون!$C27)</f>
        <v/>
      </c>
      <c r="D27" s="91" t="str">
        <f aca="false">IF($B27="","",الموظفون!$F27)</f>
        <v/>
      </c>
      <c r="E27" s="91" t="str">
        <f aca="false">IF($B27="","",الموظفون!$E27)</f>
        <v/>
      </c>
      <c r="F27" s="110" t="str">
        <f aca="false">IF($B27="","",IF(AE27&gt;=DAY($G$3),cfg_DAYS_M,MIN(AE27,cfg_DAYS_M)))</f>
        <v/>
      </c>
      <c r="G27" s="110" t="str">
        <f aca="false">IF($B27="","",SUMIFS('الحركات الشهرية'!$D$6:$D$1005,'الحركات الشهرية'!$B$6:$B$1005,$B27,'الحركات الشهرية'!$A$6:$A$1005,$C$3))</f>
        <v/>
      </c>
      <c r="H27" s="110" t="str">
        <f aca="false">IF($B27="","",SUMIFS('الحركات الشهرية'!$E$6:$E$1005,'الحركات الشهرية'!$B$6:$B$1005,$B27,'الحركات الشهرية'!$A$6:$A$1005,$C$3))</f>
        <v/>
      </c>
      <c r="I27" s="110" t="str">
        <f aca="false">IF($B27="","",MAX(0,F27-G27-H27))</f>
        <v/>
      </c>
      <c r="J27" s="90" t="str">
        <f aca="false">IF($B27="","",الموظفون!$J27*$I27/cfg_DAYS_M)</f>
        <v/>
      </c>
      <c r="K27" s="90" t="str">
        <f aca="false">IF($B27="","",الموظفون!$K27*$I27/cfg_DAYS_M)</f>
        <v/>
      </c>
      <c r="L27" s="90" t="str">
        <f aca="false">IF($B27="","",الموظفون!$L27*$I27/cfg_DAYS_M)</f>
        <v/>
      </c>
      <c r="M27" s="90" t="str">
        <f aca="false">IF($B27="","",الموظفون!$M27*$I27/cfg_DAYS_M)</f>
        <v/>
      </c>
      <c r="N27" s="110" t="str">
        <f aca="false">IF($B27="","",SUMIFS('الحركات الشهرية'!$F$6:$F$1005,'الحركات الشهرية'!$B$6:$B$1005,$B27,'الحركات الشهرية'!$A$6:$A$1005,$C$3))</f>
        <v/>
      </c>
      <c r="O27" s="90" t="str">
        <f aca="false">IF($B27="","",N27*(الموظفون!$N27+الموظفون!$J27*cfg_OT_P)/cfg_DAYS_M/cfg_HRS)</f>
        <v/>
      </c>
      <c r="P27" s="90" t="str">
        <f aca="false">IF($B27="","",SUMIFS('الحركات الشهرية'!$G$6:$G$1005,'الحركات الشهرية'!$B$6:$B$1005,$B27,'الحركات الشهرية'!$A$6:$A$1005,$C$3))</f>
        <v/>
      </c>
      <c r="Q27" s="90" t="str">
        <f aca="false">IF($B27="","",SUMIFS('الحركات الشهرية'!$H$6:$H$1005,'الحركات الشهرية'!$B$6:$B$1005,$B27,'الحركات الشهرية'!$A$6:$A$1005,$C$3))</f>
        <v/>
      </c>
      <c r="R27" s="111" t="str">
        <f aca="false">IF($B27="","",SUM(J27:M27)+SUM(O27:Q27))</f>
        <v/>
      </c>
      <c r="S27" s="90" t="str">
        <f aca="false">IF($B27="","",الموظفون!$Q27*IF(E27="سعودي",cfg_G_SE,cfg_G_NE)*F27/cfg_DAYS_M)</f>
        <v/>
      </c>
      <c r="T27" s="90" t="str">
        <f aca="false">IF($B27="","",SUMIFS('الحركات الشهرية'!$I$6:$I$1005,'الحركات الشهرية'!$B$6:$B$1005,$B27,'الحركات الشهرية'!$A$6:$A$1005,$C$3))</f>
        <v/>
      </c>
      <c r="U27" s="90" t="str">
        <f aca="false">IF($B27="","",SUMIFS('الحركات الشهرية'!$J$6:$J$1005,'الحركات الشهرية'!$B$6:$B$1005,$B27,'الحركات الشهرية'!$A$6:$A$1005,$C$3))</f>
        <v/>
      </c>
      <c r="V27" s="90" t="str">
        <f aca="false">IF($B27="","",SUM(S27:U27))</f>
        <v/>
      </c>
      <c r="W27" s="112" t="str">
        <f aca="false">IF($B27="","",R27-V27)</f>
        <v/>
      </c>
      <c r="X27" s="90" t="str">
        <f aca="false">IF($B27="","",الموظفون!$Q27*IF(E27="سعودي",cfg_G_SR,cfg_G_NR)*F27/cfg_DAYS_M)</f>
        <v/>
      </c>
      <c r="Y27" s="90" t="str">
        <f aca="false">IF($B27="","",الموظفون!$O27*(cfg_EOS_R1*(MIN(AC27,cfg_EOS_TH)-MIN(AD27,cfg_EOS_TH))+cfg_EOS_R2*(MAX(AC27-cfg_EOS_TH,0)-MAX(AD27-cfg_EOS_TH,0))))</f>
        <v/>
      </c>
      <c r="Z27" s="90" t="str">
        <f aca="false">IF($B27="","",IF(الموظفون!$R27&lt;&gt;"",الموظفون!$R27,IF(AC27&gt;=cfg_LV_TH,cfg_LV_D2,cfg_LV_D1))/cfg_DAYS_Y*AE27*الموظفون!$P27/cfg_DAYS_M)</f>
        <v/>
      </c>
      <c r="AA27" s="90" t="str">
        <f aca="false">IF($B27="","",IF(AND(الموظفون!$S27="نعم",N(الموظفون!$U27)&gt;0),الموظفون!$T27/الموظفون!$U27*12/cfg_DAYS_Y*AE27,0))</f>
        <v/>
      </c>
      <c r="AB27" s="113" t="str">
        <f aca="false">IF($B27="","",R27+SUM(X27:AA27))</f>
        <v/>
      </c>
      <c r="AC27" s="114" t="str">
        <f aca="false">IF($B27="","",MAX(0,IF(OR(الموظفون!$X27="",الموظفون!$X27&gt;$G$3),$G$3,الموظفون!$X27)-الموظفون!$H27+1)/cfg_DAYS_Y)</f>
        <v/>
      </c>
      <c r="AD27" s="114" t="str">
        <f aca="false">IF($B27="","",MAX(0,IF(OR(الموظفون!$X27="",الموظفون!$X27&gt;($E$3-1)),($E$3-1),الموظفون!$X27)-الموظفون!$H27+1)/cfg_DAYS_Y)</f>
        <v/>
      </c>
      <c r="AE27" s="115" t="str">
        <f aca="false">IF($B27="","",MAX(0,IF(OR(الموظفون!$X27="",الموظفون!$X27&gt;$G$3),$G$3,الموظفون!$X27)-MAX($E$3,الموظفون!$H27)+1))</f>
        <v/>
      </c>
    </row>
    <row r="28" customFormat="false" ht="15" hidden="false" customHeight="false" outlineLevel="0" collapsed="false">
      <c r="A28" s="83" t="str">
        <f aca="false">IF($B28="","",الموظفون!$A28)</f>
        <v/>
      </c>
      <c r="B28" s="74" t="str">
        <f aca="false">IF(الموظفون!$B28="","",الموظفون!$B28)</f>
        <v/>
      </c>
      <c r="C28" s="74" t="str">
        <f aca="false">IF($B28="","",الموظفون!$C28)</f>
        <v/>
      </c>
      <c r="D28" s="74" t="str">
        <f aca="false">IF($B28="","",الموظفون!$F28)</f>
        <v/>
      </c>
      <c r="E28" s="74" t="str">
        <f aca="false">IF($B28="","",الموظفون!$E28)</f>
        <v/>
      </c>
      <c r="F28" s="105" t="str">
        <f aca="false">IF($B28="","",IF(AE28&gt;=DAY($G$3),cfg_DAYS_M,MIN(AE28,cfg_DAYS_M)))</f>
        <v/>
      </c>
      <c r="G28" s="105" t="str">
        <f aca="false">IF($B28="","",SUMIFS('الحركات الشهرية'!$D$6:$D$1005,'الحركات الشهرية'!$B$6:$B$1005,$B28,'الحركات الشهرية'!$A$6:$A$1005,$C$3))</f>
        <v/>
      </c>
      <c r="H28" s="105" t="str">
        <f aca="false">IF($B28="","",SUMIFS('الحركات الشهرية'!$E$6:$E$1005,'الحركات الشهرية'!$B$6:$B$1005,$B28,'الحركات الشهرية'!$A$6:$A$1005,$C$3))</f>
        <v/>
      </c>
      <c r="I28" s="105" t="str">
        <f aca="false">IF($B28="","",MAX(0,F28-G28-H28))</f>
        <v/>
      </c>
      <c r="J28" s="86" t="str">
        <f aca="false">IF($B28="","",الموظفون!$J28*$I28/cfg_DAYS_M)</f>
        <v/>
      </c>
      <c r="K28" s="86" t="str">
        <f aca="false">IF($B28="","",الموظفون!$K28*$I28/cfg_DAYS_M)</f>
        <v/>
      </c>
      <c r="L28" s="86" t="str">
        <f aca="false">IF($B28="","",الموظفون!$L28*$I28/cfg_DAYS_M)</f>
        <v/>
      </c>
      <c r="M28" s="86" t="str">
        <f aca="false">IF($B28="","",الموظفون!$M28*$I28/cfg_DAYS_M)</f>
        <v/>
      </c>
      <c r="N28" s="105" t="str">
        <f aca="false">IF($B28="","",SUMIFS('الحركات الشهرية'!$F$6:$F$1005,'الحركات الشهرية'!$B$6:$B$1005,$B28,'الحركات الشهرية'!$A$6:$A$1005,$C$3))</f>
        <v/>
      </c>
      <c r="O28" s="86" t="str">
        <f aca="false">IF($B28="","",N28*(الموظفون!$N28+الموظفون!$J28*cfg_OT_P)/cfg_DAYS_M/cfg_HRS)</f>
        <v/>
      </c>
      <c r="P28" s="86" t="str">
        <f aca="false">IF($B28="","",SUMIFS('الحركات الشهرية'!$G$6:$G$1005,'الحركات الشهرية'!$B$6:$B$1005,$B28,'الحركات الشهرية'!$A$6:$A$1005,$C$3))</f>
        <v/>
      </c>
      <c r="Q28" s="86" t="str">
        <f aca="false">IF($B28="","",SUMIFS('الحركات الشهرية'!$H$6:$H$1005,'الحركات الشهرية'!$B$6:$B$1005,$B28,'الحركات الشهرية'!$A$6:$A$1005,$C$3))</f>
        <v/>
      </c>
      <c r="R28" s="106" t="str">
        <f aca="false">IF($B28="","",SUM(J28:M28)+SUM(O28:Q28))</f>
        <v/>
      </c>
      <c r="S28" s="86" t="str">
        <f aca="false">IF($B28="","",الموظفون!$Q28*IF(E28="سعودي",cfg_G_SE,cfg_G_NE)*F28/cfg_DAYS_M)</f>
        <v/>
      </c>
      <c r="T28" s="86" t="str">
        <f aca="false">IF($B28="","",SUMIFS('الحركات الشهرية'!$I$6:$I$1005,'الحركات الشهرية'!$B$6:$B$1005,$B28,'الحركات الشهرية'!$A$6:$A$1005,$C$3))</f>
        <v/>
      </c>
      <c r="U28" s="86" t="str">
        <f aca="false">IF($B28="","",SUMIFS('الحركات الشهرية'!$J$6:$J$1005,'الحركات الشهرية'!$B$6:$B$1005,$B28,'الحركات الشهرية'!$A$6:$A$1005,$C$3))</f>
        <v/>
      </c>
      <c r="V28" s="86" t="str">
        <f aca="false">IF($B28="","",SUM(S28:U28))</f>
        <v/>
      </c>
      <c r="W28" s="107" t="str">
        <f aca="false">IF($B28="","",R28-V28)</f>
        <v/>
      </c>
      <c r="X28" s="86" t="str">
        <f aca="false">IF($B28="","",الموظفون!$Q28*IF(E28="سعودي",cfg_G_SR,cfg_G_NR)*F28/cfg_DAYS_M)</f>
        <v/>
      </c>
      <c r="Y28" s="86" t="str">
        <f aca="false">IF($B28="","",الموظفون!$O28*(cfg_EOS_R1*(MIN(AC28,cfg_EOS_TH)-MIN(AD28,cfg_EOS_TH))+cfg_EOS_R2*(MAX(AC28-cfg_EOS_TH,0)-MAX(AD28-cfg_EOS_TH,0))))</f>
        <v/>
      </c>
      <c r="Z28" s="86" t="str">
        <f aca="false">IF($B28="","",IF(الموظفون!$R28&lt;&gt;"",الموظفون!$R28,IF(AC28&gt;=cfg_LV_TH,cfg_LV_D2,cfg_LV_D1))/cfg_DAYS_Y*AE28*الموظفون!$P28/cfg_DAYS_M)</f>
        <v/>
      </c>
      <c r="AA28" s="86" t="str">
        <f aca="false">IF($B28="","",IF(AND(الموظفون!$S28="نعم",N(الموظفون!$U28)&gt;0),الموظفون!$T28/الموظفون!$U28*12/cfg_DAYS_Y*AE28,0))</f>
        <v/>
      </c>
      <c r="AB28" s="108" t="str">
        <f aca="false">IF($B28="","",R28+SUM(X28:AA28))</f>
        <v/>
      </c>
      <c r="AC28" s="109" t="str">
        <f aca="false">IF($B28="","",MAX(0,IF(OR(الموظفون!$X28="",الموظفون!$X28&gt;$G$3),$G$3,الموظفون!$X28)-الموظفون!$H28+1)/cfg_DAYS_Y)</f>
        <v/>
      </c>
      <c r="AD28" s="109" t="str">
        <f aca="false">IF($B28="","",MAX(0,IF(OR(الموظفون!$X28="",الموظفون!$X28&gt;($E$3-1)),($E$3-1),الموظفون!$X28)-الموظفون!$H28+1)/cfg_DAYS_Y)</f>
        <v/>
      </c>
      <c r="AE28" s="51" t="str">
        <f aca="false">IF($B28="","",MAX(0,IF(OR(الموظفون!$X28="",الموظفون!$X28&gt;$G$3),$G$3,الموظفون!$X28)-MAX($E$3,الموظفون!$H28)+1))</f>
        <v/>
      </c>
    </row>
    <row r="29" customFormat="false" ht="15" hidden="false" customHeight="false" outlineLevel="0" collapsed="false">
      <c r="A29" s="89" t="str">
        <f aca="false">IF($B29="","",الموظفون!$A29)</f>
        <v/>
      </c>
      <c r="B29" s="91" t="str">
        <f aca="false">IF(الموظفون!$B29="","",الموظفون!$B29)</f>
        <v/>
      </c>
      <c r="C29" s="91" t="str">
        <f aca="false">IF($B29="","",الموظفون!$C29)</f>
        <v/>
      </c>
      <c r="D29" s="91" t="str">
        <f aca="false">IF($B29="","",الموظفون!$F29)</f>
        <v/>
      </c>
      <c r="E29" s="91" t="str">
        <f aca="false">IF($B29="","",الموظفون!$E29)</f>
        <v/>
      </c>
      <c r="F29" s="110" t="str">
        <f aca="false">IF($B29="","",IF(AE29&gt;=DAY($G$3),cfg_DAYS_M,MIN(AE29,cfg_DAYS_M)))</f>
        <v/>
      </c>
      <c r="G29" s="110" t="str">
        <f aca="false">IF($B29="","",SUMIFS('الحركات الشهرية'!$D$6:$D$1005,'الحركات الشهرية'!$B$6:$B$1005,$B29,'الحركات الشهرية'!$A$6:$A$1005,$C$3))</f>
        <v/>
      </c>
      <c r="H29" s="110" t="str">
        <f aca="false">IF($B29="","",SUMIFS('الحركات الشهرية'!$E$6:$E$1005,'الحركات الشهرية'!$B$6:$B$1005,$B29,'الحركات الشهرية'!$A$6:$A$1005,$C$3))</f>
        <v/>
      </c>
      <c r="I29" s="110" t="str">
        <f aca="false">IF($B29="","",MAX(0,F29-G29-H29))</f>
        <v/>
      </c>
      <c r="J29" s="90" t="str">
        <f aca="false">IF($B29="","",الموظفون!$J29*$I29/cfg_DAYS_M)</f>
        <v/>
      </c>
      <c r="K29" s="90" t="str">
        <f aca="false">IF($B29="","",الموظفون!$K29*$I29/cfg_DAYS_M)</f>
        <v/>
      </c>
      <c r="L29" s="90" t="str">
        <f aca="false">IF($B29="","",الموظفون!$L29*$I29/cfg_DAYS_M)</f>
        <v/>
      </c>
      <c r="M29" s="90" t="str">
        <f aca="false">IF($B29="","",الموظفون!$M29*$I29/cfg_DAYS_M)</f>
        <v/>
      </c>
      <c r="N29" s="110" t="str">
        <f aca="false">IF($B29="","",SUMIFS('الحركات الشهرية'!$F$6:$F$1005,'الحركات الشهرية'!$B$6:$B$1005,$B29,'الحركات الشهرية'!$A$6:$A$1005,$C$3))</f>
        <v/>
      </c>
      <c r="O29" s="90" t="str">
        <f aca="false">IF($B29="","",N29*(الموظفون!$N29+الموظفون!$J29*cfg_OT_P)/cfg_DAYS_M/cfg_HRS)</f>
        <v/>
      </c>
      <c r="P29" s="90" t="str">
        <f aca="false">IF($B29="","",SUMIFS('الحركات الشهرية'!$G$6:$G$1005,'الحركات الشهرية'!$B$6:$B$1005,$B29,'الحركات الشهرية'!$A$6:$A$1005,$C$3))</f>
        <v/>
      </c>
      <c r="Q29" s="90" t="str">
        <f aca="false">IF($B29="","",SUMIFS('الحركات الشهرية'!$H$6:$H$1005,'الحركات الشهرية'!$B$6:$B$1005,$B29,'الحركات الشهرية'!$A$6:$A$1005,$C$3))</f>
        <v/>
      </c>
      <c r="R29" s="111" t="str">
        <f aca="false">IF($B29="","",SUM(J29:M29)+SUM(O29:Q29))</f>
        <v/>
      </c>
      <c r="S29" s="90" t="str">
        <f aca="false">IF($B29="","",الموظفون!$Q29*IF(E29="سعودي",cfg_G_SE,cfg_G_NE)*F29/cfg_DAYS_M)</f>
        <v/>
      </c>
      <c r="T29" s="90" t="str">
        <f aca="false">IF($B29="","",SUMIFS('الحركات الشهرية'!$I$6:$I$1005,'الحركات الشهرية'!$B$6:$B$1005,$B29,'الحركات الشهرية'!$A$6:$A$1005,$C$3))</f>
        <v/>
      </c>
      <c r="U29" s="90" t="str">
        <f aca="false">IF($B29="","",SUMIFS('الحركات الشهرية'!$J$6:$J$1005,'الحركات الشهرية'!$B$6:$B$1005,$B29,'الحركات الشهرية'!$A$6:$A$1005,$C$3))</f>
        <v/>
      </c>
      <c r="V29" s="90" t="str">
        <f aca="false">IF($B29="","",SUM(S29:U29))</f>
        <v/>
      </c>
      <c r="W29" s="112" t="str">
        <f aca="false">IF($B29="","",R29-V29)</f>
        <v/>
      </c>
      <c r="X29" s="90" t="str">
        <f aca="false">IF($B29="","",الموظفون!$Q29*IF(E29="سعودي",cfg_G_SR,cfg_G_NR)*F29/cfg_DAYS_M)</f>
        <v/>
      </c>
      <c r="Y29" s="90" t="str">
        <f aca="false">IF($B29="","",الموظفون!$O29*(cfg_EOS_R1*(MIN(AC29,cfg_EOS_TH)-MIN(AD29,cfg_EOS_TH))+cfg_EOS_R2*(MAX(AC29-cfg_EOS_TH,0)-MAX(AD29-cfg_EOS_TH,0))))</f>
        <v/>
      </c>
      <c r="Z29" s="90" t="str">
        <f aca="false">IF($B29="","",IF(الموظفون!$R29&lt;&gt;"",الموظفون!$R29,IF(AC29&gt;=cfg_LV_TH,cfg_LV_D2,cfg_LV_D1))/cfg_DAYS_Y*AE29*الموظفون!$P29/cfg_DAYS_M)</f>
        <v/>
      </c>
      <c r="AA29" s="90" t="str">
        <f aca="false">IF($B29="","",IF(AND(الموظفون!$S29="نعم",N(الموظفون!$U29)&gt;0),الموظفون!$T29/الموظفون!$U29*12/cfg_DAYS_Y*AE29,0))</f>
        <v/>
      </c>
      <c r="AB29" s="113" t="str">
        <f aca="false">IF($B29="","",R29+SUM(X29:AA29))</f>
        <v/>
      </c>
      <c r="AC29" s="114" t="str">
        <f aca="false">IF($B29="","",MAX(0,IF(OR(الموظفون!$X29="",الموظفون!$X29&gt;$G$3),$G$3,الموظفون!$X29)-الموظفون!$H29+1)/cfg_DAYS_Y)</f>
        <v/>
      </c>
      <c r="AD29" s="114" t="str">
        <f aca="false">IF($B29="","",MAX(0,IF(OR(الموظفون!$X29="",الموظفون!$X29&gt;($E$3-1)),($E$3-1),الموظفون!$X29)-الموظفون!$H29+1)/cfg_DAYS_Y)</f>
        <v/>
      </c>
      <c r="AE29" s="115" t="str">
        <f aca="false">IF($B29="","",MAX(0,IF(OR(الموظفون!$X29="",الموظفون!$X29&gt;$G$3),$G$3,الموظفون!$X29)-MAX($E$3,الموظفون!$H29)+1))</f>
        <v/>
      </c>
    </row>
    <row r="30" customFormat="false" ht="15" hidden="false" customHeight="false" outlineLevel="0" collapsed="false">
      <c r="A30" s="83" t="str">
        <f aca="false">IF($B30="","",الموظفون!$A30)</f>
        <v/>
      </c>
      <c r="B30" s="74" t="str">
        <f aca="false">IF(الموظفون!$B30="","",الموظفون!$B30)</f>
        <v/>
      </c>
      <c r="C30" s="74" t="str">
        <f aca="false">IF($B30="","",الموظفون!$C30)</f>
        <v/>
      </c>
      <c r="D30" s="74" t="str">
        <f aca="false">IF($B30="","",الموظفون!$F30)</f>
        <v/>
      </c>
      <c r="E30" s="74" t="str">
        <f aca="false">IF($B30="","",الموظفون!$E30)</f>
        <v/>
      </c>
      <c r="F30" s="105" t="str">
        <f aca="false">IF($B30="","",IF(AE30&gt;=DAY($G$3),cfg_DAYS_M,MIN(AE30,cfg_DAYS_M)))</f>
        <v/>
      </c>
      <c r="G30" s="105" t="str">
        <f aca="false">IF($B30="","",SUMIFS('الحركات الشهرية'!$D$6:$D$1005,'الحركات الشهرية'!$B$6:$B$1005,$B30,'الحركات الشهرية'!$A$6:$A$1005,$C$3))</f>
        <v/>
      </c>
      <c r="H30" s="105" t="str">
        <f aca="false">IF($B30="","",SUMIFS('الحركات الشهرية'!$E$6:$E$1005,'الحركات الشهرية'!$B$6:$B$1005,$B30,'الحركات الشهرية'!$A$6:$A$1005,$C$3))</f>
        <v/>
      </c>
      <c r="I30" s="105" t="str">
        <f aca="false">IF($B30="","",MAX(0,F30-G30-H30))</f>
        <v/>
      </c>
      <c r="J30" s="86" t="str">
        <f aca="false">IF($B30="","",الموظفون!$J30*$I30/cfg_DAYS_M)</f>
        <v/>
      </c>
      <c r="K30" s="86" t="str">
        <f aca="false">IF($B30="","",الموظفون!$K30*$I30/cfg_DAYS_M)</f>
        <v/>
      </c>
      <c r="L30" s="86" t="str">
        <f aca="false">IF($B30="","",الموظفون!$L30*$I30/cfg_DAYS_M)</f>
        <v/>
      </c>
      <c r="M30" s="86" t="str">
        <f aca="false">IF($B30="","",الموظفون!$M30*$I30/cfg_DAYS_M)</f>
        <v/>
      </c>
      <c r="N30" s="105" t="str">
        <f aca="false">IF($B30="","",SUMIFS('الحركات الشهرية'!$F$6:$F$1005,'الحركات الشهرية'!$B$6:$B$1005,$B30,'الحركات الشهرية'!$A$6:$A$1005,$C$3))</f>
        <v/>
      </c>
      <c r="O30" s="86" t="str">
        <f aca="false">IF($B30="","",N30*(الموظفون!$N30+الموظفون!$J30*cfg_OT_P)/cfg_DAYS_M/cfg_HRS)</f>
        <v/>
      </c>
      <c r="P30" s="86" t="str">
        <f aca="false">IF($B30="","",SUMIFS('الحركات الشهرية'!$G$6:$G$1005,'الحركات الشهرية'!$B$6:$B$1005,$B30,'الحركات الشهرية'!$A$6:$A$1005,$C$3))</f>
        <v/>
      </c>
      <c r="Q30" s="86" t="str">
        <f aca="false">IF($B30="","",SUMIFS('الحركات الشهرية'!$H$6:$H$1005,'الحركات الشهرية'!$B$6:$B$1005,$B30,'الحركات الشهرية'!$A$6:$A$1005,$C$3))</f>
        <v/>
      </c>
      <c r="R30" s="106" t="str">
        <f aca="false">IF($B30="","",SUM(J30:M30)+SUM(O30:Q30))</f>
        <v/>
      </c>
      <c r="S30" s="86" t="str">
        <f aca="false">IF($B30="","",الموظفون!$Q30*IF(E30="سعودي",cfg_G_SE,cfg_G_NE)*F30/cfg_DAYS_M)</f>
        <v/>
      </c>
      <c r="T30" s="86" t="str">
        <f aca="false">IF($B30="","",SUMIFS('الحركات الشهرية'!$I$6:$I$1005,'الحركات الشهرية'!$B$6:$B$1005,$B30,'الحركات الشهرية'!$A$6:$A$1005,$C$3))</f>
        <v/>
      </c>
      <c r="U30" s="86" t="str">
        <f aca="false">IF($B30="","",SUMIFS('الحركات الشهرية'!$J$6:$J$1005,'الحركات الشهرية'!$B$6:$B$1005,$B30,'الحركات الشهرية'!$A$6:$A$1005,$C$3))</f>
        <v/>
      </c>
      <c r="V30" s="86" t="str">
        <f aca="false">IF($B30="","",SUM(S30:U30))</f>
        <v/>
      </c>
      <c r="W30" s="107" t="str">
        <f aca="false">IF($B30="","",R30-V30)</f>
        <v/>
      </c>
      <c r="X30" s="86" t="str">
        <f aca="false">IF($B30="","",الموظفون!$Q30*IF(E30="سعودي",cfg_G_SR,cfg_G_NR)*F30/cfg_DAYS_M)</f>
        <v/>
      </c>
      <c r="Y30" s="86" t="str">
        <f aca="false">IF($B30="","",الموظفون!$O30*(cfg_EOS_R1*(MIN(AC30,cfg_EOS_TH)-MIN(AD30,cfg_EOS_TH))+cfg_EOS_R2*(MAX(AC30-cfg_EOS_TH,0)-MAX(AD30-cfg_EOS_TH,0))))</f>
        <v/>
      </c>
      <c r="Z30" s="86" t="str">
        <f aca="false">IF($B30="","",IF(الموظفون!$R30&lt;&gt;"",الموظفون!$R30,IF(AC30&gt;=cfg_LV_TH,cfg_LV_D2,cfg_LV_D1))/cfg_DAYS_Y*AE30*الموظفون!$P30/cfg_DAYS_M)</f>
        <v/>
      </c>
      <c r="AA30" s="86" t="str">
        <f aca="false">IF($B30="","",IF(AND(الموظفون!$S30="نعم",N(الموظفون!$U30)&gt;0),الموظفون!$T30/الموظفون!$U30*12/cfg_DAYS_Y*AE30,0))</f>
        <v/>
      </c>
      <c r="AB30" s="108" t="str">
        <f aca="false">IF($B30="","",R30+SUM(X30:AA30))</f>
        <v/>
      </c>
      <c r="AC30" s="109" t="str">
        <f aca="false">IF($B30="","",MAX(0,IF(OR(الموظفون!$X30="",الموظفون!$X30&gt;$G$3),$G$3,الموظفون!$X30)-الموظفون!$H30+1)/cfg_DAYS_Y)</f>
        <v/>
      </c>
      <c r="AD30" s="109" t="str">
        <f aca="false">IF($B30="","",MAX(0,IF(OR(الموظفون!$X30="",الموظفون!$X30&gt;($E$3-1)),($E$3-1),الموظفون!$X30)-الموظفون!$H30+1)/cfg_DAYS_Y)</f>
        <v/>
      </c>
      <c r="AE30" s="51" t="str">
        <f aca="false">IF($B30="","",MAX(0,IF(OR(الموظفون!$X30="",الموظفون!$X30&gt;$G$3),$G$3,الموظفون!$X30)-MAX($E$3,الموظفون!$H30)+1))</f>
        <v/>
      </c>
    </row>
    <row r="31" customFormat="false" ht="15" hidden="false" customHeight="false" outlineLevel="0" collapsed="false">
      <c r="A31" s="89" t="str">
        <f aca="false">IF($B31="","",الموظفون!$A31)</f>
        <v/>
      </c>
      <c r="B31" s="91" t="str">
        <f aca="false">IF(الموظفون!$B31="","",الموظفون!$B31)</f>
        <v/>
      </c>
      <c r="C31" s="91" t="str">
        <f aca="false">IF($B31="","",الموظفون!$C31)</f>
        <v/>
      </c>
      <c r="D31" s="91" t="str">
        <f aca="false">IF($B31="","",الموظفون!$F31)</f>
        <v/>
      </c>
      <c r="E31" s="91" t="str">
        <f aca="false">IF($B31="","",الموظفون!$E31)</f>
        <v/>
      </c>
      <c r="F31" s="110" t="str">
        <f aca="false">IF($B31="","",IF(AE31&gt;=DAY($G$3),cfg_DAYS_M,MIN(AE31,cfg_DAYS_M)))</f>
        <v/>
      </c>
      <c r="G31" s="110" t="str">
        <f aca="false">IF($B31="","",SUMIFS('الحركات الشهرية'!$D$6:$D$1005,'الحركات الشهرية'!$B$6:$B$1005,$B31,'الحركات الشهرية'!$A$6:$A$1005,$C$3))</f>
        <v/>
      </c>
      <c r="H31" s="110" t="str">
        <f aca="false">IF($B31="","",SUMIFS('الحركات الشهرية'!$E$6:$E$1005,'الحركات الشهرية'!$B$6:$B$1005,$B31,'الحركات الشهرية'!$A$6:$A$1005,$C$3))</f>
        <v/>
      </c>
      <c r="I31" s="110" t="str">
        <f aca="false">IF($B31="","",MAX(0,F31-G31-H31))</f>
        <v/>
      </c>
      <c r="J31" s="90" t="str">
        <f aca="false">IF($B31="","",الموظفون!$J31*$I31/cfg_DAYS_M)</f>
        <v/>
      </c>
      <c r="K31" s="90" t="str">
        <f aca="false">IF($B31="","",الموظفون!$K31*$I31/cfg_DAYS_M)</f>
        <v/>
      </c>
      <c r="L31" s="90" t="str">
        <f aca="false">IF($B31="","",الموظفون!$L31*$I31/cfg_DAYS_M)</f>
        <v/>
      </c>
      <c r="M31" s="90" t="str">
        <f aca="false">IF($B31="","",الموظفون!$M31*$I31/cfg_DAYS_M)</f>
        <v/>
      </c>
      <c r="N31" s="110" t="str">
        <f aca="false">IF($B31="","",SUMIFS('الحركات الشهرية'!$F$6:$F$1005,'الحركات الشهرية'!$B$6:$B$1005,$B31,'الحركات الشهرية'!$A$6:$A$1005,$C$3))</f>
        <v/>
      </c>
      <c r="O31" s="90" t="str">
        <f aca="false">IF($B31="","",N31*(الموظفون!$N31+الموظفون!$J31*cfg_OT_P)/cfg_DAYS_M/cfg_HRS)</f>
        <v/>
      </c>
      <c r="P31" s="90" t="str">
        <f aca="false">IF($B31="","",SUMIFS('الحركات الشهرية'!$G$6:$G$1005,'الحركات الشهرية'!$B$6:$B$1005,$B31,'الحركات الشهرية'!$A$6:$A$1005,$C$3))</f>
        <v/>
      </c>
      <c r="Q31" s="90" t="str">
        <f aca="false">IF($B31="","",SUMIFS('الحركات الشهرية'!$H$6:$H$1005,'الحركات الشهرية'!$B$6:$B$1005,$B31,'الحركات الشهرية'!$A$6:$A$1005,$C$3))</f>
        <v/>
      </c>
      <c r="R31" s="111" t="str">
        <f aca="false">IF($B31="","",SUM(J31:M31)+SUM(O31:Q31))</f>
        <v/>
      </c>
      <c r="S31" s="90" t="str">
        <f aca="false">IF($B31="","",الموظفون!$Q31*IF(E31="سعودي",cfg_G_SE,cfg_G_NE)*F31/cfg_DAYS_M)</f>
        <v/>
      </c>
      <c r="T31" s="90" t="str">
        <f aca="false">IF($B31="","",SUMIFS('الحركات الشهرية'!$I$6:$I$1005,'الحركات الشهرية'!$B$6:$B$1005,$B31,'الحركات الشهرية'!$A$6:$A$1005,$C$3))</f>
        <v/>
      </c>
      <c r="U31" s="90" t="str">
        <f aca="false">IF($B31="","",SUMIFS('الحركات الشهرية'!$J$6:$J$1005,'الحركات الشهرية'!$B$6:$B$1005,$B31,'الحركات الشهرية'!$A$6:$A$1005,$C$3))</f>
        <v/>
      </c>
      <c r="V31" s="90" t="str">
        <f aca="false">IF($B31="","",SUM(S31:U31))</f>
        <v/>
      </c>
      <c r="W31" s="112" t="str">
        <f aca="false">IF($B31="","",R31-V31)</f>
        <v/>
      </c>
      <c r="X31" s="90" t="str">
        <f aca="false">IF($B31="","",الموظفون!$Q31*IF(E31="سعودي",cfg_G_SR,cfg_G_NR)*F31/cfg_DAYS_M)</f>
        <v/>
      </c>
      <c r="Y31" s="90" t="str">
        <f aca="false">IF($B31="","",الموظفون!$O31*(cfg_EOS_R1*(MIN(AC31,cfg_EOS_TH)-MIN(AD31,cfg_EOS_TH))+cfg_EOS_R2*(MAX(AC31-cfg_EOS_TH,0)-MAX(AD31-cfg_EOS_TH,0))))</f>
        <v/>
      </c>
      <c r="Z31" s="90" t="str">
        <f aca="false">IF($B31="","",IF(الموظفون!$R31&lt;&gt;"",الموظفون!$R31,IF(AC31&gt;=cfg_LV_TH,cfg_LV_D2,cfg_LV_D1))/cfg_DAYS_Y*AE31*الموظفون!$P31/cfg_DAYS_M)</f>
        <v/>
      </c>
      <c r="AA31" s="90" t="str">
        <f aca="false">IF($B31="","",IF(AND(الموظفون!$S31="نعم",N(الموظفون!$U31)&gt;0),الموظفون!$T31/الموظفون!$U31*12/cfg_DAYS_Y*AE31,0))</f>
        <v/>
      </c>
      <c r="AB31" s="113" t="str">
        <f aca="false">IF($B31="","",R31+SUM(X31:AA31))</f>
        <v/>
      </c>
      <c r="AC31" s="114" t="str">
        <f aca="false">IF($B31="","",MAX(0,IF(OR(الموظفون!$X31="",الموظفون!$X31&gt;$G$3),$G$3,الموظفون!$X31)-الموظفون!$H31+1)/cfg_DAYS_Y)</f>
        <v/>
      </c>
      <c r="AD31" s="114" t="str">
        <f aca="false">IF($B31="","",MAX(0,IF(OR(الموظفون!$X31="",الموظفون!$X31&gt;($E$3-1)),($E$3-1),الموظفون!$X31)-الموظفون!$H31+1)/cfg_DAYS_Y)</f>
        <v/>
      </c>
      <c r="AE31" s="115" t="str">
        <f aca="false">IF($B31="","",MAX(0,IF(OR(الموظفون!$X31="",الموظفون!$X31&gt;$G$3),$G$3,الموظفون!$X31)-MAX($E$3,الموظفون!$H31)+1))</f>
        <v/>
      </c>
    </row>
    <row r="32" customFormat="false" ht="15" hidden="false" customHeight="false" outlineLevel="0" collapsed="false">
      <c r="A32" s="83" t="str">
        <f aca="false">IF($B32="","",الموظفون!$A32)</f>
        <v/>
      </c>
      <c r="B32" s="74" t="str">
        <f aca="false">IF(الموظفون!$B32="","",الموظفون!$B32)</f>
        <v/>
      </c>
      <c r="C32" s="74" t="str">
        <f aca="false">IF($B32="","",الموظفون!$C32)</f>
        <v/>
      </c>
      <c r="D32" s="74" t="str">
        <f aca="false">IF($B32="","",الموظفون!$F32)</f>
        <v/>
      </c>
      <c r="E32" s="74" t="str">
        <f aca="false">IF($B32="","",الموظفون!$E32)</f>
        <v/>
      </c>
      <c r="F32" s="105" t="str">
        <f aca="false">IF($B32="","",IF(AE32&gt;=DAY($G$3),cfg_DAYS_M,MIN(AE32,cfg_DAYS_M)))</f>
        <v/>
      </c>
      <c r="G32" s="105" t="str">
        <f aca="false">IF($B32="","",SUMIFS('الحركات الشهرية'!$D$6:$D$1005,'الحركات الشهرية'!$B$6:$B$1005,$B32,'الحركات الشهرية'!$A$6:$A$1005,$C$3))</f>
        <v/>
      </c>
      <c r="H32" s="105" t="str">
        <f aca="false">IF($B32="","",SUMIFS('الحركات الشهرية'!$E$6:$E$1005,'الحركات الشهرية'!$B$6:$B$1005,$B32,'الحركات الشهرية'!$A$6:$A$1005,$C$3))</f>
        <v/>
      </c>
      <c r="I32" s="105" t="str">
        <f aca="false">IF($B32="","",MAX(0,F32-G32-H32))</f>
        <v/>
      </c>
      <c r="J32" s="86" t="str">
        <f aca="false">IF($B32="","",الموظفون!$J32*$I32/cfg_DAYS_M)</f>
        <v/>
      </c>
      <c r="K32" s="86" t="str">
        <f aca="false">IF($B32="","",الموظفون!$K32*$I32/cfg_DAYS_M)</f>
        <v/>
      </c>
      <c r="L32" s="86" t="str">
        <f aca="false">IF($B32="","",الموظفون!$L32*$I32/cfg_DAYS_M)</f>
        <v/>
      </c>
      <c r="M32" s="86" t="str">
        <f aca="false">IF($B32="","",الموظفون!$M32*$I32/cfg_DAYS_M)</f>
        <v/>
      </c>
      <c r="N32" s="105" t="str">
        <f aca="false">IF($B32="","",SUMIFS('الحركات الشهرية'!$F$6:$F$1005,'الحركات الشهرية'!$B$6:$B$1005,$B32,'الحركات الشهرية'!$A$6:$A$1005,$C$3))</f>
        <v/>
      </c>
      <c r="O32" s="86" t="str">
        <f aca="false">IF($B32="","",N32*(الموظفون!$N32+الموظفون!$J32*cfg_OT_P)/cfg_DAYS_M/cfg_HRS)</f>
        <v/>
      </c>
      <c r="P32" s="86" t="str">
        <f aca="false">IF($B32="","",SUMIFS('الحركات الشهرية'!$G$6:$G$1005,'الحركات الشهرية'!$B$6:$B$1005,$B32,'الحركات الشهرية'!$A$6:$A$1005,$C$3))</f>
        <v/>
      </c>
      <c r="Q32" s="86" t="str">
        <f aca="false">IF($B32="","",SUMIFS('الحركات الشهرية'!$H$6:$H$1005,'الحركات الشهرية'!$B$6:$B$1005,$B32,'الحركات الشهرية'!$A$6:$A$1005,$C$3))</f>
        <v/>
      </c>
      <c r="R32" s="106" t="str">
        <f aca="false">IF($B32="","",SUM(J32:M32)+SUM(O32:Q32))</f>
        <v/>
      </c>
      <c r="S32" s="86" t="str">
        <f aca="false">IF($B32="","",الموظفون!$Q32*IF(E32="سعودي",cfg_G_SE,cfg_G_NE)*F32/cfg_DAYS_M)</f>
        <v/>
      </c>
      <c r="T32" s="86" t="str">
        <f aca="false">IF($B32="","",SUMIFS('الحركات الشهرية'!$I$6:$I$1005,'الحركات الشهرية'!$B$6:$B$1005,$B32,'الحركات الشهرية'!$A$6:$A$1005,$C$3))</f>
        <v/>
      </c>
      <c r="U32" s="86" t="str">
        <f aca="false">IF($B32="","",SUMIFS('الحركات الشهرية'!$J$6:$J$1005,'الحركات الشهرية'!$B$6:$B$1005,$B32,'الحركات الشهرية'!$A$6:$A$1005,$C$3))</f>
        <v/>
      </c>
      <c r="V32" s="86" t="str">
        <f aca="false">IF($B32="","",SUM(S32:U32))</f>
        <v/>
      </c>
      <c r="W32" s="107" t="str">
        <f aca="false">IF($B32="","",R32-V32)</f>
        <v/>
      </c>
      <c r="X32" s="86" t="str">
        <f aca="false">IF($B32="","",الموظفون!$Q32*IF(E32="سعودي",cfg_G_SR,cfg_G_NR)*F32/cfg_DAYS_M)</f>
        <v/>
      </c>
      <c r="Y32" s="86" t="str">
        <f aca="false">IF($B32="","",الموظفون!$O32*(cfg_EOS_R1*(MIN(AC32,cfg_EOS_TH)-MIN(AD32,cfg_EOS_TH))+cfg_EOS_R2*(MAX(AC32-cfg_EOS_TH,0)-MAX(AD32-cfg_EOS_TH,0))))</f>
        <v/>
      </c>
      <c r="Z32" s="86" t="str">
        <f aca="false">IF($B32="","",IF(الموظفون!$R32&lt;&gt;"",الموظفون!$R32,IF(AC32&gt;=cfg_LV_TH,cfg_LV_D2,cfg_LV_D1))/cfg_DAYS_Y*AE32*الموظفون!$P32/cfg_DAYS_M)</f>
        <v/>
      </c>
      <c r="AA32" s="86" t="str">
        <f aca="false">IF($B32="","",IF(AND(الموظفون!$S32="نعم",N(الموظفون!$U32)&gt;0),الموظفون!$T32/الموظفون!$U32*12/cfg_DAYS_Y*AE32,0))</f>
        <v/>
      </c>
      <c r="AB32" s="108" t="str">
        <f aca="false">IF($B32="","",R32+SUM(X32:AA32))</f>
        <v/>
      </c>
      <c r="AC32" s="109" t="str">
        <f aca="false">IF($B32="","",MAX(0,IF(OR(الموظفون!$X32="",الموظفون!$X32&gt;$G$3),$G$3,الموظفون!$X32)-الموظفون!$H32+1)/cfg_DAYS_Y)</f>
        <v/>
      </c>
      <c r="AD32" s="109" t="str">
        <f aca="false">IF($B32="","",MAX(0,IF(OR(الموظفون!$X32="",الموظفون!$X32&gt;($E$3-1)),($E$3-1),الموظفون!$X32)-الموظفون!$H32+1)/cfg_DAYS_Y)</f>
        <v/>
      </c>
      <c r="AE32" s="51" t="str">
        <f aca="false">IF($B32="","",MAX(0,IF(OR(الموظفون!$X32="",الموظفون!$X32&gt;$G$3),$G$3,الموظفون!$X32)-MAX($E$3,الموظفون!$H32)+1))</f>
        <v/>
      </c>
    </row>
    <row r="33" customFormat="false" ht="15" hidden="false" customHeight="false" outlineLevel="0" collapsed="false">
      <c r="A33" s="89" t="str">
        <f aca="false">IF($B33="","",الموظفون!$A33)</f>
        <v/>
      </c>
      <c r="B33" s="91" t="str">
        <f aca="false">IF(الموظفون!$B33="","",الموظفون!$B33)</f>
        <v/>
      </c>
      <c r="C33" s="91" t="str">
        <f aca="false">IF($B33="","",الموظفون!$C33)</f>
        <v/>
      </c>
      <c r="D33" s="91" t="str">
        <f aca="false">IF($B33="","",الموظفون!$F33)</f>
        <v/>
      </c>
      <c r="E33" s="91" t="str">
        <f aca="false">IF($B33="","",الموظفون!$E33)</f>
        <v/>
      </c>
      <c r="F33" s="110" t="str">
        <f aca="false">IF($B33="","",IF(AE33&gt;=DAY($G$3),cfg_DAYS_M,MIN(AE33,cfg_DAYS_M)))</f>
        <v/>
      </c>
      <c r="G33" s="110" t="str">
        <f aca="false">IF($B33="","",SUMIFS('الحركات الشهرية'!$D$6:$D$1005,'الحركات الشهرية'!$B$6:$B$1005,$B33,'الحركات الشهرية'!$A$6:$A$1005,$C$3))</f>
        <v/>
      </c>
      <c r="H33" s="110" t="str">
        <f aca="false">IF($B33="","",SUMIFS('الحركات الشهرية'!$E$6:$E$1005,'الحركات الشهرية'!$B$6:$B$1005,$B33,'الحركات الشهرية'!$A$6:$A$1005,$C$3))</f>
        <v/>
      </c>
      <c r="I33" s="110" t="str">
        <f aca="false">IF($B33="","",MAX(0,F33-G33-H33))</f>
        <v/>
      </c>
      <c r="J33" s="90" t="str">
        <f aca="false">IF($B33="","",الموظفون!$J33*$I33/cfg_DAYS_M)</f>
        <v/>
      </c>
      <c r="K33" s="90" t="str">
        <f aca="false">IF($B33="","",الموظفون!$K33*$I33/cfg_DAYS_M)</f>
        <v/>
      </c>
      <c r="L33" s="90" t="str">
        <f aca="false">IF($B33="","",الموظفون!$L33*$I33/cfg_DAYS_M)</f>
        <v/>
      </c>
      <c r="M33" s="90" t="str">
        <f aca="false">IF($B33="","",الموظفون!$M33*$I33/cfg_DAYS_M)</f>
        <v/>
      </c>
      <c r="N33" s="110" t="str">
        <f aca="false">IF($B33="","",SUMIFS('الحركات الشهرية'!$F$6:$F$1005,'الحركات الشهرية'!$B$6:$B$1005,$B33,'الحركات الشهرية'!$A$6:$A$1005,$C$3))</f>
        <v/>
      </c>
      <c r="O33" s="90" t="str">
        <f aca="false">IF($B33="","",N33*(الموظفون!$N33+الموظفون!$J33*cfg_OT_P)/cfg_DAYS_M/cfg_HRS)</f>
        <v/>
      </c>
      <c r="P33" s="90" t="str">
        <f aca="false">IF($B33="","",SUMIFS('الحركات الشهرية'!$G$6:$G$1005,'الحركات الشهرية'!$B$6:$B$1005,$B33,'الحركات الشهرية'!$A$6:$A$1005,$C$3))</f>
        <v/>
      </c>
      <c r="Q33" s="90" t="str">
        <f aca="false">IF($B33="","",SUMIFS('الحركات الشهرية'!$H$6:$H$1005,'الحركات الشهرية'!$B$6:$B$1005,$B33,'الحركات الشهرية'!$A$6:$A$1005,$C$3))</f>
        <v/>
      </c>
      <c r="R33" s="111" t="str">
        <f aca="false">IF($B33="","",SUM(J33:M33)+SUM(O33:Q33))</f>
        <v/>
      </c>
      <c r="S33" s="90" t="str">
        <f aca="false">IF($B33="","",الموظفون!$Q33*IF(E33="سعودي",cfg_G_SE,cfg_G_NE)*F33/cfg_DAYS_M)</f>
        <v/>
      </c>
      <c r="T33" s="90" t="str">
        <f aca="false">IF($B33="","",SUMIFS('الحركات الشهرية'!$I$6:$I$1005,'الحركات الشهرية'!$B$6:$B$1005,$B33,'الحركات الشهرية'!$A$6:$A$1005,$C$3))</f>
        <v/>
      </c>
      <c r="U33" s="90" t="str">
        <f aca="false">IF($B33="","",SUMIFS('الحركات الشهرية'!$J$6:$J$1005,'الحركات الشهرية'!$B$6:$B$1005,$B33,'الحركات الشهرية'!$A$6:$A$1005,$C$3))</f>
        <v/>
      </c>
      <c r="V33" s="90" t="str">
        <f aca="false">IF($B33="","",SUM(S33:U33))</f>
        <v/>
      </c>
      <c r="W33" s="112" t="str">
        <f aca="false">IF($B33="","",R33-V33)</f>
        <v/>
      </c>
      <c r="X33" s="90" t="str">
        <f aca="false">IF($B33="","",الموظفون!$Q33*IF(E33="سعودي",cfg_G_SR,cfg_G_NR)*F33/cfg_DAYS_M)</f>
        <v/>
      </c>
      <c r="Y33" s="90" t="str">
        <f aca="false">IF($B33="","",الموظفون!$O33*(cfg_EOS_R1*(MIN(AC33,cfg_EOS_TH)-MIN(AD33,cfg_EOS_TH))+cfg_EOS_R2*(MAX(AC33-cfg_EOS_TH,0)-MAX(AD33-cfg_EOS_TH,0))))</f>
        <v/>
      </c>
      <c r="Z33" s="90" t="str">
        <f aca="false">IF($B33="","",IF(الموظفون!$R33&lt;&gt;"",الموظفون!$R33,IF(AC33&gt;=cfg_LV_TH,cfg_LV_D2,cfg_LV_D1))/cfg_DAYS_Y*AE33*الموظفون!$P33/cfg_DAYS_M)</f>
        <v/>
      </c>
      <c r="AA33" s="90" t="str">
        <f aca="false">IF($B33="","",IF(AND(الموظفون!$S33="نعم",N(الموظفون!$U33)&gt;0),الموظفون!$T33/الموظفون!$U33*12/cfg_DAYS_Y*AE33,0))</f>
        <v/>
      </c>
      <c r="AB33" s="113" t="str">
        <f aca="false">IF($B33="","",R33+SUM(X33:AA33))</f>
        <v/>
      </c>
      <c r="AC33" s="114" t="str">
        <f aca="false">IF($B33="","",MAX(0,IF(OR(الموظفون!$X33="",الموظفون!$X33&gt;$G$3),$G$3,الموظفون!$X33)-الموظفون!$H33+1)/cfg_DAYS_Y)</f>
        <v/>
      </c>
      <c r="AD33" s="114" t="str">
        <f aca="false">IF($B33="","",MAX(0,IF(OR(الموظفون!$X33="",الموظفون!$X33&gt;($E$3-1)),($E$3-1),الموظفون!$X33)-الموظفون!$H33+1)/cfg_DAYS_Y)</f>
        <v/>
      </c>
      <c r="AE33" s="115" t="str">
        <f aca="false">IF($B33="","",MAX(0,IF(OR(الموظفون!$X33="",الموظفون!$X33&gt;$G$3),$G$3,الموظفون!$X33)-MAX($E$3,الموظفون!$H33)+1))</f>
        <v/>
      </c>
    </row>
    <row r="34" customFormat="false" ht="15" hidden="false" customHeight="false" outlineLevel="0" collapsed="false">
      <c r="A34" s="83" t="str">
        <f aca="false">IF($B34="","",الموظفون!$A34)</f>
        <v/>
      </c>
      <c r="B34" s="74" t="str">
        <f aca="false">IF(الموظفون!$B34="","",الموظفون!$B34)</f>
        <v/>
      </c>
      <c r="C34" s="74" t="str">
        <f aca="false">IF($B34="","",الموظفون!$C34)</f>
        <v/>
      </c>
      <c r="D34" s="74" t="str">
        <f aca="false">IF($B34="","",الموظفون!$F34)</f>
        <v/>
      </c>
      <c r="E34" s="74" t="str">
        <f aca="false">IF($B34="","",الموظفون!$E34)</f>
        <v/>
      </c>
      <c r="F34" s="105" t="str">
        <f aca="false">IF($B34="","",IF(AE34&gt;=DAY($G$3),cfg_DAYS_M,MIN(AE34,cfg_DAYS_M)))</f>
        <v/>
      </c>
      <c r="G34" s="105" t="str">
        <f aca="false">IF($B34="","",SUMIFS('الحركات الشهرية'!$D$6:$D$1005,'الحركات الشهرية'!$B$6:$B$1005,$B34,'الحركات الشهرية'!$A$6:$A$1005,$C$3))</f>
        <v/>
      </c>
      <c r="H34" s="105" t="str">
        <f aca="false">IF($B34="","",SUMIFS('الحركات الشهرية'!$E$6:$E$1005,'الحركات الشهرية'!$B$6:$B$1005,$B34,'الحركات الشهرية'!$A$6:$A$1005,$C$3))</f>
        <v/>
      </c>
      <c r="I34" s="105" t="str">
        <f aca="false">IF($B34="","",MAX(0,F34-G34-H34))</f>
        <v/>
      </c>
      <c r="J34" s="86" t="str">
        <f aca="false">IF($B34="","",الموظفون!$J34*$I34/cfg_DAYS_M)</f>
        <v/>
      </c>
      <c r="K34" s="86" t="str">
        <f aca="false">IF($B34="","",الموظفون!$K34*$I34/cfg_DAYS_M)</f>
        <v/>
      </c>
      <c r="L34" s="86" t="str">
        <f aca="false">IF($B34="","",الموظفون!$L34*$I34/cfg_DAYS_M)</f>
        <v/>
      </c>
      <c r="M34" s="86" t="str">
        <f aca="false">IF($B34="","",الموظفون!$M34*$I34/cfg_DAYS_M)</f>
        <v/>
      </c>
      <c r="N34" s="105" t="str">
        <f aca="false">IF($B34="","",SUMIFS('الحركات الشهرية'!$F$6:$F$1005,'الحركات الشهرية'!$B$6:$B$1005,$B34,'الحركات الشهرية'!$A$6:$A$1005,$C$3))</f>
        <v/>
      </c>
      <c r="O34" s="86" t="str">
        <f aca="false">IF($B34="","",N34*(الموظفون!$N34+الموظفون!$J34*cfg_OT_P)/cfg_DAYS_M/cfg_HRS)</f>
        <v/>
      </c>
      <c r="P34" s="86" t="str">
        <f aca="false">IF($B34="","",SUMIFS('الحركات الشهرية'!$G$6:$G$1005,'الحركات الشهرية'!$B$6:$B$1005,$B34,'الحركات الشهرية'!$A$6:$A$1005,$C$3))</f>
        <v/>
      </c>
      <c r="Q34" s="86" t="str">
        <f aca="false">IF($B34="","",SUMIFS('الحركات الشهرية'!$H$6:$H$1005,'الحركات الشهرية'!$B$6:$B$1005,$B34,'الحركات الشهرية'!$A$6:$A$1005,$C$3))</f>
        <v/>
      </c>
      <c r="R34" s="106" t="str">
        <f aca="false">IF($B34="","",SUM(J34:M34)+SUM(O34:Q34))</f>
        <v/>
      </c>
      <c r="S34" s="86" t="str">
        <f aca="false">IF($B34="","",الموظفون!$Q34*IF(E34="سعودي",cfg_G_SE,cfg_G_NE)*F34/cfg_DAYS_M)</f>
        <v/>
      </c>
      <c r="T34" s="86" t="str">
        <f aca="false">IF($B34="","",SUMIFS('الحركات الشهرية'!$I$6:$I$1005,'الحركات الشهرية'!$B$6:$B$1005,$B34,'الحركات الشهرية'!$A$6:$A$1005,$C$3))</f>
        <v/>
      </c>
      <c r="U34" s="86" t="str">
        <f aca="false">IF($B34="","",SUMIFS('الحركات الشهرية'!$J$6:$J$1005,'الحركات الشهرية'!$B$6:$B$1005,$B34,'الحركات الشهرية'!$A$6:$A$1005,$C$3))</f>
        <v/>
      </c>
      <c r="V34" s="86" t="str">
        <f aca="false">IF($B34="","",SUM(S34:U34))</f>
        <v/>
      </c>
      <c r="W34" s="107" t="str">
        <f aca="false">IF($B34="","",R34-V34)</f>
        <v/>
      </c>
      <c r="X34" s="86" t="str">
        <f aca="false">IF($B34="","",الموظفون!$Q34*IF(E34="سعودي",cfg_G_SR,cfg_G_NR)*F34/cfg_DAYS_M)</f>
        <v/>
      </c>
      <c r="Y34" s="86" t="str">
        <f aca="false">IF($B34="","",الموظفون!$O34*(cfg_EOS_R1*(MIN(AC34,cfg_EOS_TH)-MIN(AD34,cfg_EOS_TH))+cfg_EOS_R2*(MAX(AC34-cfg_EOS_TH,0)-MAX(AD34-cfg_EOS_TH,0))))</f>
        <v/>
      </c>
      <c r="Z34" s="86" t="str">
        <f aca="false">IF($B34="","",IF(الموظفون!$R34&lt;&gt;"",الموظفون!$R34,IF(AC34&gt;=cfg_LV_TH,cfg_LV_D2,cfg_LV_D1))/cfg_DAYS_Y*AE34*الموظفون!$P34/cfg_DAYS_M)</f>
        <v/>
      </c>
      <c r="AA34" s="86" t="str">
        <f aca="false">IF($B34="","",IF(AND(الموظفون!$S34="نعم",N(الموظفون!$U34)&gt;0),الموظفون!$T34/الموظفون!$U34*12/cfg_DAYS_Y*AE34,0))</f>
        <v/>
      </c>
      <c r="AB34" s="108" t="str">
        <f aca="false">IF($B34="","",R34+SUM(X34:AA34))</f>
        <v/>
      </c>
      <c r="AC34" s="109" t="str">
        <f aca="false">IF($B34="","",MAX(0,IF(OR(الموظفون!$X34="",الموظفون!$X34&gt;$G$3),$G$3,الموظفون!$X34)-الموظفون!$H34+1)/cfg_DAYS_Y)</f>
        <v/>
      </c>
      <c r="AD34" s="109" t="str">
        <f aca="false">IF($B34="","",MAX(0,IF(OR(الموظفون!$X34="",الموظفون!$X34&gt;($E$3-1)),($E$3-1),الموظفون!$X34)-الموظفون!$H34+1)/cfg_DAYS_Y)</f>
        <v/>
      </c>
      <c r="AE34" s="51" t="str">
        <f aca="false">IF($B34="","",MAX(0,IF(OR(الموظفون!$X34="",الموظفون!$X34&gt;$G$3),$G$3,الموظفون!$X34)-MAX($E$3,الموظفون!$H34)+1))</f>
        <v/>
      </c>
    </row>
    <row r="35" customFormat="false" ht="15" hidden="false" customHeight="false" outlineLevel="0" collapsed="false">
      <c r="A35" s="89" t="str">
        <f aca="false">IF($B35="","",الموظفون!$A35)</f>
        <v/>
      </c>
      <c r="B35" s="91" t="str">
        <f aca="false">IF(الموظفون!$B35="","",الموظفون!$B35)</f>
        <v/>
      </c>
      <c r="C35" s="91" t="str">
        <f aca="false">IF($B35="","",الموظفون!$C35)</f>
        <v/>
      </c>
      <c r="D35" s="91" t="str">
        <f aca="false">IF($B35="","",الموظفون!$F35)</f>
        <v/>
      </c>
      <c r="E35" s="91" t="str">
        <f aca="false">IF($B35="","",الموظفون!$E35)</f>
        <v/>
      </c>
      <c r="F35" s="110" t="str">
        <f aca="false">IF($B35="","",IF(AE35&gt;=DAY($G$3),cfg_DAYS_M,MIN(AE35,cfg_DAYS_M)))</f>
        <v/>
      </c>
      <c r="G35" s="110" t="str">
        <f aca="false">IF($B35="","",SUMIFS('الحركات الشهرية'!$D$6:$D$1005,'الحركات الشهرية'!$B$6:$B$1005,$B35,'الحركات الشهرية'!$A$6:$A$1005,$C$3))</f>
        <v/>
      </c>
      <c r="H35" s="110" t="str">
        <f aca="false">IF($B35="","",SUMIFS('الحركات الشهرية'!$E$6:$E$1005,'الحركات الشهرية'!$B$6:$B$1005,$B35,'الحركات الشهرية'!$A$6:$A$1005,$C$3))</f>
        <v/>
      </c>
      <c r="I35" s="110" t="str">
        <f aca="false">IF($B35="","",MAX(0,F35-G35-H35))</f>
        <v/>
      </c>
      <c r="J35" s="90" t="str">
        <f aca="false">IF($B35="","",الموظفون!$J35*$I35/cfg_DAYS_M)</f>
        <v/>
      </c>
      <c r="K35" s="90" t="str">
        <f aca="false">IF($B35="","",الموظفون!$K35*$I35/cfg_DAYS_M)</f>
        <v/>
      </c>
      <c r="L35" s="90" t="str">
        <f aca="false">IF($B35="","",الموظفون!$L35*$I35/cfg_DAYS_M)</f>
        <v/>
      </c>
      <c r="M35" s="90" t="str">
        <f aca="false">IF($B35="","",الموظفون!$M35*$I35/cfg_DAYS_M)</f>
        <v/>
      </c>
      <c r="N35" s="110" t="str">
        <f aca="false">IF($B35="","",SUMIFS('الحركات الشهرية'!$F$6:$F$1005,'الحركات الشهرية'!$B$6:$B$1005,$B35,'الحركات الشهرية'!$A$6:$A$1005,$C$3))</f>
        <v/>
      </c>
      <c r="O35" s="90" t="str">
        <f aca="false">IF($B35="","",N35*(الموظفون!$N35+الموظفون!$J35*cfg_OT_P)/cfg_DAYS_M/cfg_HRS)</f>
        <v/>
      </c>
      <c r="P35" s="90" t="str">
        <f aca="false">IF($B35="","",SUMIFS('الحركات الشهرية'!$G$6:$G$1005,'الحركات الشهرية'!$B$6:$B$1005,$B35,'الحركات الشهرية'!$A$6:$A$1005,$C$3))</f>
        <v/>
      </c>
      <c r="Q35" s="90" t="str">
        <f aca="false">IF($B35="","",SUMIFS('الحركات الشهرية'!$H$6:$H$1005,'الحركات الشهرية'!$B$6:$B$1005,$B35,'الحركات الشهرية'!$A$6:$A$1005,$C$3))</f>
        <v/>
      </c>
      <c r="R35" s="111" t="str">
        <f aca="false">IF($B35="","",SUM(J35:M35)+SUM(O35:Q35))</f>
        <v/>
      </c>
      <c r="S35" s="90" t="str">
        <f aca="false">IF($B35="","",الموظفون!$Q35*IF(E35="سعودي",cfg_G_SE,cfg_G_NE)*F35/cfg_DAYS_M)</f>
        <v/>
      </c>
      <c r="T35" s="90" t="str">
        <f aca="false">IF($B35="","",SUMIFS('الحركات الشهرية'!$I$6:$I$1005,'الحركات الشهرية'!$B$6:$B$1005,$B35,'الحركات الشهرية'!$A$6:$A$1005,$C$3))</f>
        <v/>
      </c>
      <c r="U35" s="90" t="str">
        <f aca="false">IF($B35="","",SUMIFS('الحركات الشهرية'!$J$6:$J$1005,'الحركات الشهرية'!$B$6:$B$1005,$B35,'الحركات الشهرية'!$A$6:$A$1005,$C$3))</f>
        <v/>
      </c>
      <c r="V35" s="90" t="str">
        <f aca="false">IF($B35="","",SUM(S35:U35))</f>
        <v/>
      </c>
      <c r="W35" s="112" t="str">
        <f aca="false">IF($B35="","",R35-V35)</f>
        <v/>
      </c>
      <c r="X35" s="90" t="str">
        <f aca="false">IF($B35="","",الموظفون!$Q35*IF(E35="سعودي",cfg_G_SR,cfg_G_NR)*F35/cfg_DAYS_M)</f>
        <v/>
      </c>
      <c r="Y35" s="90" t="str">
        <f aca="false">IF($B35="","",الموظفون!$O35*(cfg_EOS_R1*(MIN(AC35,cfg_EOS_TH)-MIN(AD35,cfg_EOS_TH))+cfg_EOS_R2*(MAX(AC35-cfg_EOS_TH,0)-MAX(AD35-cfg_EOS_TH,0))))</f>
        <v/>
      </c>
      <c r="Z35" s="90" t="str">
        <f aca="false">IF($B35="","",IF(الموظفون!$R35&lt;&gt;"",الموظفون!$R35,IF(AC35&gt;=cfg_LV_TH,cfg_LV_D2,cfg_LV_D1))/cfg_DAYS_Y*AE35*الموظفون!$P35/cfg_DAYS_M)</f>
        <v/>
      </c>
      <c r="AA35" s="90" t="str">
        <f aca="false">IF($B35="","",IF(AND(الموظفون!$S35="نعم",N(الموظفون!$U35)&gt;0),الموظفون!$T35/الموظفون!$U35*12/cfg_DAYS_Y*AE35,0))</f>
        <v/>
      </c>
      <c r="AB35" s="113" t="str">
        <f aca="false">IF($B35="","",R35+SUM(X35:AA35))</f>
        <v/>
      </c>
      <c r="AC35" s="114" t="str">
        <f aca="false">IF($B35="","",MAX(0,IF(OR(الموظفون!$X35="",الموظفون!$X35&gt;$G$3),$G$3,الموظفون!$X35)-الموظفون!$H35+1)/cfg_DAYS_Y)</f>
        <v/>
      </c>
      <c r="AD35" s="114" t="str">
        <f aca="false">IF($B35="","",MAX(0,IF(OR(الموظفون!$X35="",الموظفون!$X35&gt;($E$3-1)),($E$3-1),الموظفون!$X35)-الموظفون!$H35+1)/cfg_DAYS_Y)</f>
        <v/>
      </c>
      <c r="AE35" s="115" t="str">
        <f aca="false">IF($B35="","",MAX(0,IF(OR(الموظفون!$X35="",الموظفون!$X35&gt;$G$3),$G$3,الموظفون!$X35)-MAX($E$3,الموظفون!$H35)+1))</f>
        <v/>
      </c>
    </row>
    <row r="36" customFormat="false" ht="15" hidden="false" customHeight="false" outlineLevel="0" collapsed="false">
      <c r="A36" s="83" t="str">
        <f aca="false">IF($B36="","",الموظفون!$A36)</f>
        <v/>
      </c>
      <c r="B36" s="74" t="str">
        <f aca="false">IF(الموظفون!$B36="","",الموظفون!$B36)</f>
        <v/>
      </c>
      <c r="C36" s="74" t="str">
        <f aca="false">IF($B36="","",الموظفون!$C36)</f>
        <v/>
      </c>
      <c r="D36" s="74" t="str">
        <f aca="false">IF($B36="","",الموظفون!$F36)</f>
        <v/>
      </c>
      <c r="E36" s="74" t="str">
        <f aca="false">IF($B36="","",الموظفون!$E36)</f>
        <v/>
      </c>
      <c r="F36" s="105" t="str">
        <f aca="false">IF($B36="","",IF(AE36&gt;=DAY($G$3),cfg_DAYS_M,MIN(AE36,cfg_DAYS_M)))</f>
        <v/>
      </c>
      <c r="G36" s="105" t="str">
        <f aca="false">IF($B36="","",SUMIFS('الحركات الشهرية'!$D$6:$D$1005,'الحركات الشهرية'!$B$6:$B$1005,$B36,'الحركات الشهرية'!$A$6:$A$1005,$C$3))</f>
        <v/>
      </c>
      <c r="H36" s="105" t="str">
        <f aca="false">IF($B36="","",SUMIFS('الحركات الشهرية'!$E$6:$E$1005,'الحركات الشهرية'!$B$6:$B$1005,$B36,'الحركات الشهرية'!$A$6:$A$1005,$C$3))</f>
        <v/>
      </c>
      <c r="I36" s="105" t="str">
        <f aca="false">IF($B36="","",MAX(0,F36-G36-H36))</f>
        <v/>
      </c>
      <c r="J36" s="86" t="str">
        <f aca="false">IF($B36="","",الموظفون!$J36*$I36/cfg_DAYS_M)</f>
        <v/>
      </c>
      <c r="K36" s="86" t="str">
        <f aca="false">IF($B36="","",الموظفون!$K36*$I36/cfg_DAYS_M)</f>
        <v/>
      </c>
      <c r="L36" s="86" t="str">
        <f aca="false">IF($B36="","",الموظفون!$L36*$I36/cfg_DAYS_M)</f>
        <v/>
      </c>
      <c r="M36" s="86" t="str">
        <f aca="false">IF($B36="","",الموظفون!$M36*$I36/cfg_DAYS_M)</f>
        <v/>
      </c>
      <c r="N36" s="105" t="str">
        <f aca="false">IF($B36="","",SUMIFS('الحركات الشهرية'!$F$6:$F$1005,'الحركات الشهرية'!$B$6:$B$1005,$B36,'الحركات الشهرية'!$A$6:$A$1005,$C$3))</f>
        <v/>
      </c>
      <c r="O36" s="86" t="str">
        <f aca="false">IF($B36="","",N36*(الموظفون!$N36+الموظفون!$J36*cfg_OT_P)/cfg_DAYS_M/cfg_HRS)</f>
        <v/>
      </c>
      <c r="P36" s="86" t="str">
        <f aca="false">IF($B36="","",SUMIFS('الحركات الشهرية'!$G$6:$G$1005,'الحركات الشهرية'!$B$6:$B$1005,$B36,'الحركات الشهرية'!$A$6:$A$1005,$C$3))</f>
        <v/>
      </c>
      <c r="Q36" s="86" t="str">
        <f aca="false">IF($B36="","",SUMIFS('الحركات الشهرية'!$H$6:$H$1005,'الحركات الشهرية'!$B$6:$B$1005,$B36,'الحركات الشهرية'!$A$6:$A$1005,$C$3))</f>
        <v/>
      </c>
      <c r="R36" s="106" t="str">
        <f aca="false">IF($B36="","",SUM(J36:M36)+SUM(O36:Q36))</f>
        <v/>
      </c>
      <c r="S36" s="86" t="str">
        <f aca="false">IF($B36="","",الموظفون!$Q36*IF(E36="سعودي",cfg_G_SE,cfg_G_NE)*F36/cfg_DAYS_M)</f>
        <v/>
      </c>
      <c r="T36" s="86" t="str">
        <f aca="false">IF($B36="","",SUMIFS('الحركات الشهرية'!$I$6:$I$1005,'الحركات الشهرية'!$B$6:$B$1005,$B36,'الحركات الشهرية'!$A$6:$A$1005,$C$3))</f>
        <v/>
      </c>
      <c r="U36" s="86" t="str">
        <f aca="false">IF($B36="","",SUMIFS('الحركات الشهرية'!$J$6:$J$1005,'الحركات الشهرية'!$B$6:$B$1005,$B36,'الحركات الشهرية'!$A$6:$A$1005,$C$3))</f>
        <v/>
      </c>
      <c r="V36" s="86" t="str">
        <f aca="false">IF($B36="","",SUM(S36:U36))</f>
        <v/>
      </c>
      <c r="W36" s="107" t="str">
        <f aca="false">IF($B36="","",R36-V36)</f>
        <v/>
      </c>
      <c r="X36" s="86" t="str">
        <f aca="false">IF($B36="","",الموظفون!$Q36*IF(E36="سعودي",cfg_G_SR,cfg_G_NR)*F36/cfg_DAYS_M)</f>
        <v/>
      </c>
      <c r="Y36" s="86" t="str">
        <f aca="false">IF($B36="","",الموظفون!$O36*(cfg_EOS_R1*(MIN(AC36,cfg_EOS_TH)-MIN(AD36,cfg_EOS_TH))+cfg_EOS_R2*(MAX(AC36-cfg_EOS_TH,0)-MAX(AD36-cfg_EOS_TH,0))))</f>
        <v/>
      </c>
      <c r="Z36" s="86" t="str">
        <f aca="false">IF($B36="","",IF(الموظفون!$R36&lt;&gt;"",الموظفون!$R36,IF(AC36&gt;=cfg_LV_TH,cfg_LV_D2,cfg_LV_D1))/cfg_DAYS_Y*AE36*الموظفون!$P36/cfg_DAYS_M)</f>
        <v/>
      </c>
      <c r="AA36" s="86" t="str">
        <f aca="false">IF($B36="","",IF(AND(الموظفون!$S36="نعم",N(الموظفون!$U36)&gt;0),الموظفون!$T36/الموظفون!$U36*12/cfg_DAYS_Y*AE36,0))</f>
        <v/>
      </c>
      <c r="AB36" s="108" t="str">
        <f aca="false">IF($B36="","",R36+SUM(X36:AA36))</f>
        <v/>
      </c>
      <c r="AC36" s="109" t="str">
        <f aca="false">IF($B36="","",MAX(0,IF(OR(الموظفون!$X36="",الموظفون!$X36&gt;$G$3),$G$3,الموظفون!$X36)-الموظفون!$H36+1)/cfg_DAYS_Y)</f>
        <v/>
      </c>
      <c r="AD36" s="109" t="str">
        <f aca="false">IF($B36="","",MAX(0,IF(OR(الموظفون!$X36="",الموظفون!$X36&gt;($E$3-1)),($E$3-1),الموظفون!$X36)-الموظفون!$H36+1)/cfg_DAYS_Y)</f>
        <v/>
      </c>
      <c r="AE36" s="51" t="str">
        <f aca="false">IF($B36="","",MAX(0,IF(OR(الموظفون!$X36="",الموظفون!$X36&gt;$G$3),$G$3,الموظفون!$X36)-MAX($E$3,الموظفون!$H36)+1))</f>
        <v/>
      </c>
    </row>
    <row r="37" customFormat="false" ht="15" hidden="false" customHeight="false" outlineLevel="0" collapsed="false">
      <c r="A37" s="89" t="str">
        <f aca="false">IF($B37="","",الموظفون!$A37)</f>
        <v/>
      </c>
      <c r="B37" s="91" t="str">
        <f aca="false">IF(الموظفون!$B37="","",الموظفون!$B37)</f>
        <v/>
      </c>
      <c r="C37" s="91" t="str">
        <f aca="false">IF($B37="","",الموظفون!$C37)</f>
        <v/>
      </c>
      <c r="D37" s="91" t="str">
        <f aca="false">IF($B37="","",الموظفون!$F37)</f>
        <v/>
      </c>
      <c r="E37" s="91" t="str">
        <f aca="false">IF($B37="","",الموظفون!$E37)</f>
        <v/>
      </c>
      <c r="F37" s="110" t="str">
        <f aca="false">IF($B37="","",IF(AE37&gt;=DAY($G$3),cfg_DAYS_M,MIN(AE37,cfg_DAYS_M)))</f>
        <v/>
      </c>
      <c r="G37" s="110" t="str">
        <f aca="false">IF($B37="","",SUMIFS('الحركات الشهرية'!$D$6:$D$1005,'الحركات الشهرية'!$B$6:$B$1005,$B37,'الحركات الشهرية'!$A$6:$A$1005,$C$3))</f>
        <v/>
      </c>
      <c r="H37" s="110" t="str">
        <f aca="false">IF($B37="","",SUMIFS('الحركات الشهرية'!$E$6:$E$1005,'الحركات الشهرية'!$B$6:$B$1005,$B37,'الحركات الشهرية'!$A$6:$A$1005,$C$3))</f>
        <v/>
      </c>
      <c r="I37" s="110" t="str">
        <f aca="false">IF($B37="","",MAX(0,F37-G37-H37))</f>
        <v/>
      </c>
      <c r="J37" s="90" t="str">
        <f aca="false">IF($B37="","",الموظفون!$J37*$I37/cfg_DAYS_M)</f>
        <v/>
      </c>
      <c r="K37" s="90" t="str">
        <f aca="false">IF($B37="","",الموظفون!$K37*$I37/cfg_DAYS_M)</f>
        <v/>
      </c>
      <c r="L37" s="90" t="str">
        <f aca="false">IF($B37="","",الموظفون!$L37*$I37/cfg_DAYS_M)</f>
        <v/>
      </c>
      <c r="M37" s="90" t="str">
        <f aca="false">IF($B37="","",الموظفون!$M37*$I37/cfg_DAYS_M)</f>
        <v/>
      </c>
      <c r="N37" s="110" t="str">
        <f aca="false">IF($B37="","",SUMIFS('الحركات الشهرية'!$F$6:$F$1005,'الحركات الشهرية'!$B$6:$B$1005,$B37,'الحركات الشهرية'!$A$6:$A$1005,$C$3))</f>
        <v/>
      </c>
      <c r="O37" s="90" t="str">
        <f aca="false">IF($B37="","",N37*(الموظفون!$N37+الموظفون!$J37*cfg_OT_P)/cfg_DAYS_M/cfg_HRS)</f>
        <v/>
      </c>
      <c r="P37" s="90" t="str">
        <f aca="false">IF($B37="","",SUMIFS('الحركات الشهرية'!$G$6:$G$1005,'الحركات الشهرية'!$B$6:$B$1005,$B37,'الحركات الشهرية'!$A$6:$A$1005,$C$3))</f>
        <v/>
      </c>
      <c r="Q37" s="90" t="str">
        <f aca="false">IF($B37="","",SUMIFS('الحركات الشهرية'!$H$6:$H$1005,'الحركات الشهرية'!$B$6:$B$1005,$B37,'الحركات الشهرية'!$A$6:$A$1005,$C$3))</f>
        <v/>
      </c>
      <c r="R37" s="111" t="str">
        <f aca="false">IF($B37="","",SUM(J37:M37)+SUM(O37:Q37))</f>
        <v/>
      </c>
      <c r="S37" s="90" t="str">
        <f aca="false">IF($B37="","",الموظفون!$Q37*IF(E37="سعودي",cfg_G_SE,cfg_G_NE)*F37/cfg_DAYS_M)</f>
        <v/>
      </c>
      <c r="T37" s="90" t="str">
        <f aca="false">IF($B37="","",SUMIFS('الحركات الشهرية'!$I$6:$I$1005,'الحركات الشهرية'!$B$6:$B$1005,$B37,'الحركات الشهرية'!$A$6:$A$1005,$C$3))</f>
        <v/>
      </c>
      <c r="U37" s="90" t="str">
        <f aca="false">IF($B37="","",SUMIFS('الحركات الشهرية'!$J$6:$J$1005,'الحركات الشهرية'!$B$6:$B$1005,$B37,'الحركات الشهرية'!$A$6:$A$1005,$C$3))</f>
        <v/>
      </c>
      <c r="V37" s="90" t="str">
        <f aca="false">IF($B37="","",SUM(S37:U37))</f>
        <v/>
      </c>
      <c r="W37" s="112" t="str">
        <f aca="false">IF($B37="","",R37-V37)</f>
        <v/>
      </c>
      <c r="X37" s="90" t="str">
        <f aca="false">IF($B37="","",الموظفون!$Q37*IF(E37="سعودي",cfg_G_SR,cfg_G_NR)*F37/cfg_DAYS_M)</f>
        <v/>
      </c>
      <c r="Y37" s="90" t="str">
        <f aca="false">IF($B37="","",الموظفون!$O37*(cfg_EOS_R1*(MIN(AC37,cfg_EOS_TH)-MIN(AD37,cfg_EOS_TH))+cfg_EOS_R2*(MAX(AC37-cfg_EOS_TH,0)-MAX(AD37-cfg_EOS_TH,0))))</f>
        <v/>
      </c>
      <c r="Z37" s="90" t="str">
        <f aca="false">IF($B37="","",IF(الموظفون!$R37&lt;&gt;"",الموظفون!$R37,IF(AC37&gt;=cfg_LV_TH,cfg_LV_D2,cfg_LV_D1))/cfg_DAYS_Y*AE37*الموظفون!$P37/cfg_DAYS_M)</f>
        <v/>
      </c>
      <c r="AA37" s="90" t="str">
        <f aca="false">IF($B37="","",IF(AND(الموظفون!$S37="نعم",N(الموظفون!$U37)&gt;0),الموظفون!$T37/الموظفون!$U37*12/cfg_DAYS_Y*AE37,0))</f>
        <v/>
      </c>
      <c r="AB37" s="113" t="str">
        <f aca="false">IF($B37="","",R37+SUM(X37:AA37))</f>
        <v/>
      </c>
      <c r="AC37" s="114" t="str">
        <f aca="false">IF($B37="","",MAX(0,IF(OR(الموظفون!$X37="",الموظفون!$X37&gt;$G$3),$G$3,الموظفون!$X37)-الموظفون!$H37+1)/cfg_DAYS_Y)</f>
        <v/>
      </c>
      <c r="AD37" s="114" t="str">
        <f aca="false">IF($B37="","",MAX(0,IF(OR(الموظفون!$X37="",الموظفون!$X37&gt;($E$3-1)),($E$3-1),الموظفون!$X37)-الموظفون!$H37+1)/cfg_DAYS_Y)</f>
        <v/>
      </c>
      <c r="AE37" s="115" t="str">
        <f aca="false">IF($B37="","",MAX(0,IF(OR(الموظفون!$X37="",الموظفون!$X37&gt;$G$3),$G$3,الموظفون!$X37)-MAX($E$3,الموظفون!$H37)+1))</f>
        <v/>
      </c>
    </row>
    <row r="38" customFormat="false" ht="15" hidden="false" customHeight="false" outlineLevel="0" collapsed="false">
      <c r="A38" s="83" t="str">
        <f aca="false">IF($B38="","",الموظفون!$A38)</f>
        <v/>
      </c>
      <c r="B38" s="74" t="str">
        <f aca="false">IF(الموظفون!$B38="","",الموظفون!$B38)</f>
        <v/>
      </c>
      <c r="C38" s="74" t="str">
        <f aca="false">IF($B38="","",الموظفون!$C38)</f>
        <v/>
      </c>
      <c r="D38" s="74" t="str">
        <f aca="false">IF($B38="","",الموظفون!$F38)</f>
        <v/>
      </c>
      <c r="E38" s="74" t="str">
        <f aca="false">IF($B38="","",الموظفون!$E38)</f>
        <v/>
      </c>
      <c r="F38" s="105" t="str">
        <f aca="false">IF($B38="","",IF(AE38&gt;=DAY($G$3),cfg_DAYS_M,MIN(AE38,cfg_DAYS_M)))</f>
        <v/>
      </c>
      <c r="G38" s="105" t="str">
        <f aca="false">IF($B38="","",SUMIFS('الحركات الشهرية'!$D$6:$D$1005,'الحركات الشهرية'!$B$6:$B$1005,$B38,'الحركات الشهرية'!$A$6:$A$1005,$C$3))</f>
        <v/>
      </c>
      <c r="H38" s="105" t="str">
        <f aca="false">IF($B38="","",SUMIFS('الحركات الشهرية'!$E$6:$E$1005,'الحركات الشهرية'!$B$6:$B$1005,$B38,'الحركات الشهرية'!$A$6:$A$1005,$C$3))</f>
        <v/>
      </c>
      <c r="I38" s="105" t="str">
        <f aca="false">IF($B38="","",MAX(0,F38-G38-H38))</f>
        <v/>
      </c>
      <c r="J38" s="86" t="str">
        <f aca="false">IF($B38="","",الموظفون!$J38*$I38/cfg_DAYS_M)</f>
        <v/>
      </c>
      <c r="K38" s="86" t="str">
        <f aca="false">IF($B38="","",الموظفون!$K38*$I38/cfg_DAYS_M)</f>
        <v/>
      </c>
      <c r="L38" s="86" t="str">
        <f aca="false">IF($B38="","",الموظفون!$L38*$I38/cfg_DAYS_M)</f>
        <v/>
      </c>
      <c r="M38" s="86" t="str">
        <f aca="false">IF($B38="","",الموظفون!$M38*$I38/cfg_DAYS_M)</f>
        <v/>
      </c>
      <c r="N38" s="105" t="str">
        <f aca="false">IF($B38="","",SUMIFS('الحركات الشهرية'!$F$6:$F$1005,'الحركات الشهرية'!$B$6:$B$1005,$B38,'الحركات الشهرية'!$A$6:$A$1005,$C$3))</f>
        <v/>
      </c>
      <c r="O38" s="86" t="str">
        <f aca="false">IF($B38="","",N38*(الموظفون!$N38+الموظفون!$J38*cfg_OT_P)/cfg_DAYS_M/cfg_HRS)</f>
        <v/>
      </c>
      <c r="P38" s="86" t="str">
        <f aca="false">IF($B38="","",SUMIFS('الحركات الشهرية'!$G$6:$G$1005,'الحركات الشهرية'!$B$6:$B$1005,$B38,'الحركات الشهرية'!$A$6:$A$1005,$C$3))</f>
        <v/>
      </c>
      <c r="Q38" s="86" t="str">
        <f aca="false">IF($B38="","",SUMIFS('الحركات الشهرية'!$H$6:$H$1005,'الحركات الشهرية'!$B$6:$B$1005,$B38,'الحركات الشهرية'!$A$6:$A$1005,$C$3))</f>
        <v/>
      </c>
      <c r="R38" s="106" t="str">
        <f aca="false">IF($B38="","",SUM(J38:M38)+SUM(O38:Q38))</f>
        <v/>
      </c>
      <c r="S38" s="86" t="str">
        <f aca="false">IF($B38="","",الموظفون!$Q38*IF(E38="سعودي",cfg_G_SE,cfg_G_NE)*F38/cfg_DAYS_M)</f>
        <v/>
      </c>
      <c r="T38" s="86" t="str">
        <f aca="false">IF($B38="","",SUMIFS('الحركات الشهرية'!$I$6:$I$1005,'الحركات الشهرية'!$B$6:$B$1005,$B38,'الحركات الشهرية'!$A$6:$A$1005,$C$3))</f>
        <v/>
      </c>
      <c r="U38" s="86" t="str">
        <f aca="false">IF($B38="","",SUMIFS('الحركات الشهرية'!$J$6:$J$1005,'الحركات الشهرية'!$B$6:$B$1005,$B38,'الحركات الشهرية'!$A$6:$A$1005,$C$3))</f>
        <v/>
      </c>
      <c r="V38" s="86" t="str">
        <f aca="false">IF($B38="","",SUM(S38:U38))</f>
        <v/>
      </c>
      <c r="W38" s="107" t="str">
        <f aca="false">IF($B38="","",R38-V38)</f>
        <v/>
      </c>
      <c r="X38" s="86" t="str">
        <f aca="false">IF($B38="","",الموظفون!$Q38*IF(E38="سعودي",cfg_G_SR,cfg_G_NR)*F38/cfg_DAYS_M)</f>
        <v/>
      </c>
      <c r="Y38" s="86" t="str">
        <f aca="false">IF($B38="","",الموظفون!$O38*(cfg_EOS_R1*(MIN(AC38,cfg_EOS_TH)-MIN(AD38,cfg_EOS_TH))+cfg_EOS_R2*(MAX(AC38-cfg_EOS_TH,0)-MAX(AD38-cfg_EOS_TH,0))))</f>
        <v/>
      </c>
      <c r="Z38" s="86" t="str">
        <f aca="false">IF($B38="","",IF(الموظفون!$R38&lt;&gt;"",الموظفون!$R38,IF(AC38&gt;=cfg_LV_TH,cfg_LV_D2,cfg_LV_D1))/cfg_DAYS_Y*AE38*الموظفون!$P38/cfg_DAYS_M)</f>
        <v/>
      </c>
      <c r="AA38" s="86" t="str">
        <f aca="false">IF($B38="","",IF(AND(الموظفون!$S38="نعم",N(الموظفون!$U38)&gt;0),الموظفون!$T38/الموظفون!$U38*12/cfg_DAYS_Y*AE38,0))</f>
        <v/>
      </c>
      <c r="AB38" s="108" t="str">
        <f aca="false">IF($B38="","",R38+SUM(X38:AA38))</f>
        <v/>
      </c>
      <c r="AC38" s="109" t="str">
        <f aca="false">IF($B38="","",MAX(0,IF(OR(الموظفون!$X38="",الموظفون!$X38&gt;$G$3),$G$3,الموظفون!$X38)-الموظفون!$H38+1)/cfg_DAYS_Y)</f>
        <v/>
      </c>
      <c r="AD38" s="109" t="str">
        <f aca="false">IF($B38="","",MAX(0,IF(OR(الموظفون!$X38="",الموظفون!$X38&gt;($E$3-1)),($E$3-1),الموظفون!$X38)-الموظفون!$H38+1)/cfg_DAYS_Y)</f>
        <v/>
      </c>
      <c r="AE38" s="51" t="str">
        <f aca="false">IF($B38="","",MAX(0,IF(OR(الموظفون!$X38="",الموظفون!$X38&gt;$G$3),$G$3,الموظفون!$X38)-MAX($E$3,الموظفون!$H38)+1))</f>
        <v/>
      </c>
    </row>
    <row r="39" customFormat="false" ht="15" hidden="false" customHeight="false" outlineLevel="0" collapsed="false">
      <c r="A39" s="89" t="str">
        <f aca="false">IF($B39="","",الموظفون!$A39)</f>
        <v/>
      </c>
      <c r="B39" s="91" t="str">
        <f aca="false">IF(الموظفون!$B39="","",الموظفون!$B39)</f>
        <v/>
      </c>
      <c r="C39" s="91" t="str">
        <f aca="false">IF($B39="","",الموظفون!$C39)</f>
        <v/>
      </c>
      <c r="D39" s="91" t="str">
        <f aca="false">IF($B39="","",الموظفون!$F39)</f>
        <v/>
      </c>
      <c r="E39" s="91" t="str">
        <f aca="false">IF($B39="","",الموظفون!$E39)</f>
        <v/>
      </c>
      <c r="F39" s="110" t="str">
        <f aca="false">IF($B39="","",IF(AE39&gt;=DAY($G$3),cfg_DAYS_M,MIN(AE39,cfg_DAYS_M)))</f>
        <v/>
      </c>
      <c r="G39" s="110" t="str">
        <f aca="false">IF($B39="","",SUMIFS('الحركات الشهرية'!$D$6:$D$1005,'الحركات الشهرية'!$B$6:$B$1005,$B39,'الحركات الشهرية'!$A$6:$A$1005,$C$3))</f>
        <v/>
      </c>
      <c r="H39" s="110" t="str">
        <f aca="false">IF($B39="","",SUMIFS('الحركات الشهرية'!$E$6:$E$1005,'الحركات الشهرية'!$B$6:$B$1005,$B39,'الحركات الشهرية'!$A$6:$A$1005,$C$3))</f>
        <v/>
      </c>
      <c r="I39" s="110" t="str">
        <f aca="false">IF($B39="","",MAX(0,F39-G39-H39))</f>
        <v/>
      </c>
      <c r="J39" s="90" t="str">
        <f aca="false">IF($B39="","",الموظفون!$J39*$I39/cfg_DAYS_M)</f>
        <v/>
      </c>
      <c r="K39" s="90" t="str">
        <f aca="false">IF($B39="","",الموظفون!$K39*$I39/cfg_DAYS_M)</f>
        <v/>
      </c>
      <c r="L39" s="90" t="str">
        <f aca="false">IF($B39="","",الموظفون!$L39*$I39/cfg_DAYS_M)</f>
        <v/>
      </c>
      <c r="M39" s="90" t="str">
        <f aca="false">IF($B39="","",الموظفون!$M39*$I39/cfg_DAYS_M)</f>
        <v/>
      </c>
      <c r="N39" s="110" t="str">
        <f aca="false">IF($B39="","",SUMIFS('الحركات الشهرية'!$F$6:$F$1005,'الحركات الشهرية'!$B$6:$B$1005,$B39,'الحركات الشهرية'!$A$6:$A$1005,$C$3))</f>
        <v/>
      </c>
      <c r="O39" s="90" t="str">
        <f aca="false">IF($B39="","",N39*(الموظفون!$N39+الموظفون!$J39*cfg_OT_P)/cfg_DAYS_M/cfg_HRS)</f>
        <v/>
      </c>
      <c r="P39" s="90" t="str">
        <f aca="false">IF($B39="","",SUMIFS('الحركات الشهرية'!$G$6:$G$1005,'الحركات الشهرية'!$B$6:$B$1005,$B39,'الحركات الشهرية'!$A$6:$A$1005,$C$3))</f>
        <v/>
      </c>
      <c r="Q39" s="90" t="str">
        <f aca="false">IF($B39="","",SUMIFS('الحركات الشهرية'!$H$6:$H$1005,'الحركات الشهرية'!$B$6:$B$1005,$B39,'الحركات الشهرية'!$A$6:$A$1005,$C$3))</f>
        <v/>
      </c>
      <c r="R39" s="111" t="str">
        <f aca="false">IF($B39="","",SUM(J39:M39)+SUM(O39:Q39))</f>
        <v/>
      </c>
      <c r="S39" s="90" t="str">
        <f aca="false">IF($B39="","",الموظفون!$Q39*IF(E39="سعودي",cfg_G_SE,cfg_G_NE)*F39/cfg_DAYS_M)</f>
        <v/>
      </c>
      <c r="T39" s="90" t="str">
        <f aca="false">IF($B39="","",SUMIFS('الحركات الشهرية'!$I$6:$I$1005,'الحركات الشهرية'!$B$6:$B$1005,$B39,'الحركات الشهرية'!$A$6:$A$1005,$C$3))</f>
        <v/>
      </c>
      <c r="U39" s="90" t="str">
        <f aca="false">IF($B39="","",SUMIFS('الحركات الشهرية'!$J$6:$J$1005,'الحركات الشهرية'!$B$6:$B$1005,$B39,'الحركات الشهرية'!$A$6:$A$1005,$C$3))</f>
        <v/>
      </c>
      <c r="V39" s="90" t="str">
        <f aca="false">IF($B39="","",SUM(S39:U39))</f>
        <v/>
      </c>
      <c r="W39" s="112" t="str">
        <f aca="false">IF($B39="","",R39-V39)</f>
        <v/>
      </c>
      <c r="X39" s="90" t="str">
        <f aca="false">IF($B39="","",الموظفون!$Q39*IF(E39="سعودي",cfg_G_SR,cfg_G_NR)*F39/cfg_DAYS_M)</f>
        <v/>
      </c>
      <c r="Y39" s="90" t="str">
        <f aca="false">IF($B39="","",الموظفون!$O39*(cfg_EOS_R1*(MIN(AC39,cfg_EOS_TH)-MIN(AD39,cfg_EOS_TH))+cfg_EOS_R2*(MAX(AC39-cfg_EOS_TH,0)-MAX(AD39-cfg_EOS_TH,0))))</f>
        <v/>
      </c>
      <c r="Z39" s="90" t="str">
        <f aca="false">IF($B39="","",IF(الموظفون!$R39&lt;&gt;"",الموظفون!$R39,IF(AC39&gt;=cfg_LV_TH,cfg_LV_D2,cfg_LV_D1))/cfg_DAYS_Y*AE39*الموظفون!$P39/cfg_DAYS_M)</f>
        <v/>
      </c>
      <c r="AA39" s="90" t="str">
        <f aca="false">IF($B39="","",IF(AND(الموظفون!$S39="نعم",N(الموظفون!$U39)&gt;0),الموظفون!$T39/الموظفون!$U39*12/cfg_DAYS_Y*AE39,0))</f>
        <v/>
      </c>
      <c r="AB39" s="113" t="str">
        <f aca="false">IF($B39="","",R39+SUM(X39:AA39))</f>
        <v/>
      </c>
      <c r="AC39" s="114" t="str">
        <f aca="false">IF($B39="","",MAX(0,IF(OR(الموظفون!$X39="",الموظفون!$X39&gt;$G$3),$G$3,الموظفون!$X39)-الموظفون!$H39+1)/cfg_DAYS_Y)</f>
        <v/>
      </c>
      <c r="AD39" s="114" t="str">
        <f aca="false">IF($B39="","",MAX(0,IF(OR(الموظفون!$X39="",الموظفون!$X39&gt;($E$3-1)),($E$3-1),الموظفون!$X39)-الموظفون!$H39+1)/cfg_DAYS_Y)</f>
        <v/>
      </c>
      <c r="AE39" s="115" t="str">
        <f aca="false">IF($B39="","",MAX(0,IF(OR(الموظفون!$X39="",الموظفون!$X39&gt;$G$3),$G$3,الموظفون!$X39)-MAX($E$3,الموظفون!$H39)+1))</f>
        <v/>
      </c>
    </row>
    <row r="40" customFormat="false" ht="15" hidden="false" customHeight="false" outlineLevel="0" collapsed="false">
      <c r="A40" s="83" t="str">
        <f aca="false">IF($B40="","",الموظفون!$A40)</f>
        <v/>
      </c>
      <c r="B40" s="74" t="str">
        <f aca="false">IF(الموظفون!$B40="","",الموظفون!$B40)</f>
        <v/>
      </c>
      <c r="C40" s="74" t="str">
        <f aca="false">IF($B40="","",الموظفون!$C40)</f>
        <v/>
      </c>
      <c r="D40" s="74" t="str">
        <f aca="false">IF($B40="","",الموظفون!$F40)</f>
        <v/>
      </c>
      <c r="E40" s="74" t="str">
        <f aca="false">IF($B40="","",الموظفون!$E40)</f>
        <v/>
      </c>
      <c r="F40" s="105" t="str">
        <f aca="false">IF($B40="","",IF(AE40&gt;=DAY($G$3),cfg_DAYS_M,MIN(AE40,cfg_DAYS_M)))</f>
        <v/>
      </c>
      <c r="G40" s="105" t="str">
        <f aca="false">IF($B40="","",SUMIFS('الحركات الشهرية'!$D$6:$D$1005,'الحركات الشهرية'!$B$6:$B$1005,$B40,'الحركات الشهرية'!$A$6:$A$1005,$C$3))</f>
        <v/>
      </c>
      <c r="H40" s="105" t="str">
        <f aca="false">IF($B40="","",SUMIFS('الحركات الشهرية'!$E$6:$E$1005,'الحركات الشهرية'!$B$6:$B$1005,$B40,'الحركات الشهرية'!$A$6:$A$1005,$C$3))</f>
        <v/>
      </c>
      <c r="I40" s="105" t="str">
        <f aca="false">IF($B40="","",MAX(0,F40-G40-H40))</f>
        <v/>
      </c>
      <c r="J40" s="86" t="str">
        <f aca="false">IF($B40="","",الموظفون!$J40*$I40/cfg_DAYS_M)</f>
        <v/>
      </c>
      <c r="K40" s="86" t="str">
        <f aca="false">IF($B40="","",الموظفون!$K40*$I40/cfg_DAYS_M)</f>
        <v/>
      </c>
      <c r="L40" s="86" t="str">
        <f aca="false">IF($B40="","",الموظفون!$L40*$I40/cfg_DAYS_M)</f>
        <v/>
      </c>
      <c r="M40" s="86" t="str">
        <f aca="false">IF($B40="","",الموظفون!$M40*$I40/cfg_DAYS_M)</f>
        <v/>
      </c>
      <c r="N40" s="105" t="str">
        <f aca="false">IF($B40="","",SUMIFS('الحركات الشهرية'!$F$6:$F$1005,'الحركات الشهرية'!$B$6:$B$1005,$B40,'الحركات الشهرية'!$A$6:$A$1005,$C$3))</f>
        <v/>
      </c>
      <c r="O40" s="86" t="str">
        <f aca="false">IF($B40="","",N40*(الموظفون!$N40+الموظفون!$J40*cfg_OT_P)/cfg_DAYS_M/cfg_HRS)</f>
        <v/>
      </c>
      <c r="P40" s="86" t="str">
        <f aca="false">IF($B40="","",SUMIFS('الحركات الشهرية'!$G$6:$G$1005,'الحركات الشهرية'!$B$6:$B$1005,$B40,'الحركات الشهرية'!$A$6:$A$1005,$C$3))</f>
        <v/>
      </c>
      <c r="Q40" s="86" t="str">
        <f aca="false">IF($B40="","",SUMIFS('الحركات الشهرية'!$H$6:$H$1005,'الحركات الشهرية'!$B$6:$B$1005,$B40,'الحركات الشهرية'!$A$6:$A$1005,$C$3))</f>
        <v/>
      </c>
      <c r="R40" s="106" t="str">
        <f aca="false">IF($B40="","",SUM(J40:M40)+SUM(O40:Q40))</f>
        <v/>
      </c>
      <c r="S40" s="86" t="str">
        <f aca="false">IF($B40="","",الموظفون!$Q40*IF(E40="سعودي",cfg_G_SE,cfg_G_NE)*F40/cfg_DAYS_M)</f>
        <v/>
      </c>
      <c r="T40" s="86" t="str">
        <f aca="false">IF($B40="","",SUMIFS('الحركات الشهرية'!$I$6:$I$1005,'الحركات الشهرية'!$B$6:$B$1005,$B40,'الحركات الشهرية'!$A$6:$A$1005,$C$3))</f>
        <v/>
      </c>
      <c r="U40" s="86" t="str">
        <f aca="false">IF($B40="","",SUMIFS('الحركات الشهرية'!$J$6:$J$1005,'الحركات الشهرية'!$B$6:$B$1005,$B40,'الحركات الشهرية'!$A$6:$A$1005,$C$3))</f>
        <v/>
      </c>
      <c r="V40" s="86" t="str">
        <f aca="false">IF($B40="","",SUM(S40:U40))</f>
        <v/>
      </c>
      <c r="W40" s="107" t="str">
        <f aca="false">IF($B40="","",R40-V40)</f>
        <v/>
      </c>
      <c r="X40" s="86" t="str">
        <f aca="false">IF($B40="","",الموظفون!$Q40*IF(E40="سعودي",cfg_G_SR,cfg_G_NR)*F40/cfg_DAYS_M)</f>
        <v/>
      </c>
      <c r="Y40" s="86" t="str">
        <f aca="false">IF($B40="","",الموظفون!$O40*(cfg_EOS_R1*(MIN(AC40,cfg_EOS_TH)-MIN(AD40,cfg_EOS_TH))+cfg_EOS_R2*(MAX(AC40-cfg_EOS_TH,0)-MAX(AD40-cfg_EOS_TH,0))))</f>
        <v/>
      </c>
      <c r="Z40" s="86" t="str">
        <f aca="false">IF($B40="","",IF(الموظفون!$R40&lt;&gt;"",الموظفون!$R40,IF(AC40&gt;=cfg_LV_TH,cfg_LV_D2,cfg_LV_D1))/cfg_DAYS_Y*AE40*الموظفون!$P40/cfg_DAYS_M)</f>
        <v/>
      </c>
      <c r="AA40" s="86" t="str">
        <f aca="false">IF($B40="","",IF(AND(الموظفون!$S40="نعم",N(الموظفون!$U40)&gt;0),الموظفون!$T40/الموظفون!$U40*12/cfg_DAYS_Y*AE40,0))</f>
        <v/>
      </c>
      <c r="AB40" s="108" t="str">
        <f aca="false">IF($B40="","",R40+SUM(X40:AA40))</f>
        <v/>
      </c>
      <c r="AC40" s="109" t="str">
        <f aca="false">IF($B40="","",MAX(0,IF(OR(الموظفون!$X40="",الموظفون!$X40&gt;$G$3),$G$3,الموظفون!$X40)-الموظفون!$H40+1)/cfg_DAYS_Y)</f>
        <v/>
      </c>
      <c r="AD40" s="109" t="str">
        <f aca="false">IF($B40="","",MAX(0,IF(OR(الموظفون!$X40="",الموظفون!$X40&gt;($E$3-1)),($E$3-1),الموظفون!$X40)-الموظفون!$H40+1)/cfg_DAYS_Y)</f>
        <v/>
      </c>
      <c r="AE40" s="51" t="str">
        <f aca="false">IF($B40="","",MAX(0,IF(OR(الموظفون!$X40="",الموظفون!$X40&gt;$G$3),$G$3,الموظفون!$X40)-MAX($E$3,الموظفون!$H40)+1))</f>
        <v/>
      </c>
    </row>
    <row r="41" customFormat="false" ht="15" hidden="false" customHeight="false" outlineLevel="0" collapsed="false">
      <c r="A41" s="89" t="str">
        <f aca="false">IF($B41="","",الموظفون!$A41)</f>
        <v/>
      </c>
      <c r="B41" s="91" t="str">
        <f aca="false">IF(الموظفون!$B41="","",الموظفون!$B41)</f>
        <v/>
      </c>
      <c r="C41" s="91" t="str">
        <f aca="false">IF($B41="","",الموظفون!$C41)</f>
        <v/>
      </c>
      <c r="D41" s="91" t="str">
        <f aca="false">IF($B41="","",الموظفون!$F41)</f>
        <v/>
      </c>
      <c r="E41" s="91" t="str">
        <f aca="false">IF($B41="","",الموظفون!$E41)</f>
        <v/>
      </c>
      <c r="F41" s="110" t="str">
        <f aca="false">IF($B41="","",IF(AE41&gt;=DAY($G$3),cfg_DAYS_M,MIN(AE41,cfg_DAYS_M)))</f>
        <v/>
      </c>
      <c r="G41" s="110" t="str">
        <f aca="false">IF($B41="","",SUMIFS('الحركات الشهرية'!$D$6:$D$1005,'الحركات الشهرية'!$B$6:$B$1005,$B41,'الحركات الشهرية'!$A$6:$A$1005,$C$3))</f>
        <v/>
      </c>
      <c r="H41" s="110" t="str">
        <f aca="false">IF($B41="","",SUMIFS('الحركات الشهرية'!$E$6:$E$1005,'الحركات الشهرية'!$B$6:$B$1005,$B41,'الحركات الشهرية'!$A$6:$A$1005,$C$3))</f>
        <v/>
      </c>
      <c r="I41" s="110" t="str">
        <f aca="false">IF($B41="","",MAX(0,F41-G41-H41))</f>
        <v/>
      </c>
      <c r="J41" s="90" t="str">
        <f aca="false">IF($B41="","",الموظفون!$J41*$I41/cfg_DAYS_M)</f>
        <v/>
      </c>
      <c r="K41" s="90" t="str">
        <f aca="false">IF($B41="","",الموظفون!$K41*$I41/cfg_DAYS_M)</f>
        <v/>
      </c>
      <c r="L41" s="90" t="str">
        <f aca="false">IF($B41="","",الموظفون!$L41*$I41/cfg_DAYS_M)</f>
        <v/>
      </c>
      <c r="M41" s="90" t="str">
        <f aca="false">IF($B41="","",الموظفون!$M41*$I41/cfg_DAYS_M)</f>
        <v/>
      </c>
      <c r="N41" s="110" t="str">
        <f aca="false">IF($B41="","",SUMIFS('الحركات الشهرية'!$F$6:$F$1005,'الحركات الشهرية'!$B$6:$B$1005,$B41,'الحركات الشهرية'!$A$6:$A$1005,$C$3))</f>
        <v/>
      </c>
      <c r="O41" s="90" t="str">
        <f aca="false">IF($B41="","",N41*(الموظفون!$N41+الموظفون!$J41*cfg_OT_P)/cfg_DAYS_M/cfg_HRS)</f>
        <v/>
      </c>
      <c r="P41" s="90" t="str">
        <f aca="false">IF($B41="","",SUMIFS('الحركات الشهرية'!$G$6:$G$1005,'الحركات الشهرية'!$B$6:$B$1005,$B41,'الحركات الشهرية'!$A$6:$A$1005,$C$3))</f>
        <v/>
      </c>
      <c r="Q41" s="90" t="str">
        <f aca="false">IF($B41="","",SUMIFS('الحركات الشهرية'!$H$6:$H$1005,'الحركات الشهرية'!$B$6:$B$1005,$B41,'الحركات الشهرية'!$A$6:$A$1005,$C$3))</f>
        <v/>
      </c>
      <c r="R41" s="111" t="str">
        <f aca="false">IF($B41="","",SUM(J41:M41)+SUM(O41:Q41))</f>
        <v/>
      </c>
      <c r="S41" s="90" t="str">
        <f aca="false">IF($B41="","",الموظفون!$Q41*IF(E41="سعودي",cfg_G_SE,cfg_G_NE)*F41/cfg_DAYS_M)</f>
        <v/>
      </c>
      <c r="T41" s="90" t="str">
        <f aca="false">IF($B41="","",SUMIFS('الحركات الشهرية'!$I$6:$I$1005,'الحركات الشهرية'!$B$6:$B$1005,$B41,'الحركات الشهرية'!$A$6:$A$1005,$C$3))</f>
        <v/>
      </c>
      <c r="U41" s="90" t="str">
        <f aca="false">IF($B41="","",SUMIFS('الحركات الشهرية'!$J$6:$J$1005,'الحركات الشهرية'!$B$6:$B$1005,$B41,'الحركات الشهرية'!$A$6:$A$1005,$C$3))</f>
        <v/>
      </c>
      <c r="V41" s="90" t="str">
        <f aca="false">IF($B41="","",SUM(S41:U41))</f>
        <v/>
      </c>
      <c r="W41" s="112" t="str">
        <f aca="false">IF($B41="","",R41-V41)</f>
        <v/>
      </c>
      <c r="X41" s="90" t="str">
        <f aca="false">IF($B41="","",الموظفون!$Q41*IF(E41="سعودي",cfg_G_SR,cfg_G_NR)*F41/cfg_DAYS_M)</f>
        <v/>
      </c>
      <c r="Y41" s="90" t="str">
        <f aca="false">IF($B41="","",الموظفون!$O41*(cfg_EOS_R1*(MIN(AC41,cfg_EOS_TH)-MIN(AD41,cfg_EOS_TH))+cfg_EOS_R2*(MAX(AC41-cfg_EOS_TH,0)-MAX(AD41-cfg_EOS_TH,0))))</f>
        <v/>
      </c>
      <c r="Z41" s="90" t="str">
        <f aca="false">IF($B41="","",IF(الموظفون!$R41&lt;&gt;"",الموظفون!$R41,IF(AC41&gt;=cfg_LV_TH,cfg_LV_D2,cfg_LV_D1))/cfg_DAYS_Y*AE41*الموظفون!$P41/cfg_DAYS_M)</f>
        <v/>
      </c>
      <c r="AA41" s="90" t="str">
        <f aca="false">IF($B41="","",IF(AND(الموظفون!$S41="نعم",N(الموظفون!$U41)&gt;0),الموظفون!$T41/الموظفون!$U41*12/cfg_DAYS_Y*AE41,0))</f>
        <v/>
      </c>
      <c r="AB41" s="113" t="str">
        <f aca="false">IF($B41="","",R41+SUM(X41:AA41))</f>
        <v/>
      </c>
      <c r="AC41" s="114" t="str">
        <f aca="false">IF($B41="","",MAX(0,IF(OR(الموظفون!$X41="",الموظفون!$X41&gt;$G$3),$G$3,الموظفون!$X41)-الموظفون!$H41+1)/cfg_DAYS_Y)</f>
        <v/>
      </c>
      <c r="AD41" s="114" t="str">
        <f aca="false">IF($B41="","",MAX(0,IF(OR(الموظفون!$X41="",الموظفون!$X41&gt;($E$3-1)),($E$3-1),الموظفون!$X41)-الموظفون!$H41+1)/cfg_DAYS_Y)</f>
        <v/>
      </c>
      <c r="AE41" s="115" t="str">
        <f aca="false">IF($B41="","",MAX(0,IF(OR(الموظفون!$X41="",الموظفون!$X41&gt;$G$3),$G$3,الموظفون!$X41)-MAX($E$3,الموظفون!$H41)+1))</f>
        <v/>
      </c>
    </row>
    <row r="42" customFormat="false" ht="15" hidden="false" customHeight="false" outlineLevel="0" collapsed="false">
      <c r="A42" s="83" t="str">
        <f aca="false">IF($B42="","",الموظفون!$A42)</f>
        <v/>
      </c>
      <c r="B42" s="74" t="str">
        <f aca="false">IF(الموظفون!$B42="","",الموظفون!$B42)</f>
        <v/>
      </c>
      <c r="C42" s="74" t="str">
        <f aca="false">IF($B42="","",الموظفون!$C42)</f>
        <v/>
      </c>
      <c r="D42" s="74" t="str">
        <f aca="false">IF($B42="","",الموظفون!$F42)</f>
        <v/>
      </c>
      <c r="E42" s="74" t="str">
        <f aca="false">IF($B42="","",الموظفون!$E42)</f>
        <v/>
      </c>
      <c r="F42" s="105" t="str">
        <f aca="false">IF($B42="","",IF(AE42&gt;=DAY($G$3),cfg_DAYS_M,MIN(AE42,cfg_DAYS_M)))</f>
        <v/>
      </c>
      <c r="G42" s="105" t="str">
        <f aca="false">IF($B42="","",SUMIFS('الحركات الشهرية'!$D$6:$D$1005,'الحركات الشهرية'!$B$6:$B$1005,$B42,'الحركات الشهرية'!$A$6:$A$1005,$C$3))</f>
        <v/>
      </c>
      <c r="H42" s="105" t="str">
        <f aca="false">IF($B42="","",SUMIFS('الحركات الشهرية'!$E$6:$E$1005,'الحركات الشهرية'!$B$6:$B$1005,$B42,'الحركات الشهرية'!$A$6:$A$1005,$C$3))</f>
        <v/>
      </c>
      <c r="I42" s="105" t="str">
        <f aca="false">IF($B42="","",MAX(0,F42-G42-H42))</f>
        <v/>
      </c>
      <c r="J42" s="86" t="str">
        <f aca="false">IF($B42="","",الموظفون!$J42*$I42/cfg_DAYS_M)</f>
        <v/>
      </c>
      <c r="K42" s="86" t="str">
        <f aca="false">IF($B42="","",الموظفون!$K42*$I42/cfg_DAYS_M)</f>
        <v/>
      </c>
      <c r="L42" s="86" t="str">
        <f aca="false">IF($B42="","",الموظفون!$L42*$I42/cfg_DAYS_M)</f>
        <v/>
      </c>
      <c r="M42" s="86" t="str">
        <f aca="false">IF($B42="","",الموظفون!$M42*$I42/cfg_DAYS_M)</f>
        <v/>
      </c>
      <c r="N42" s="105" t="str">
        <f aca="false">IF($B42="","",SUMIFS('الحركات الشهرية'!$F$6:$F$1005,'الحركات الشهرية'!$B$6:$B$1005,$B42,'الحركات الشهرية'!$A$6:$A$1005,$C$3))</f>
        <v/>
      </c>
      <c r="O42" s="86" t="str">
        <f aca="false">IF($B42="","",N42*(الموظفون!$N42+الموظفون!$J42*cfg_OT_P)/cfg_DAYS_M/cfg_HRS)</f>
        <v/>
      </c>
      <c r="P42" s="86" t="str">
        <f aca="false">IF($B42="","",SUMIFS('الحركات الشهرية'!$G$6:$G$1005,'الحركات الشهرية'!$B$6:$B$1005,$B42,'الحركات الشهرية'!$A$6:$A$1005,$C$3))</f>
        <v/>
      </c>
      <c r="Q42" s="86" t="str">
        <f aca="false">IF($B42="","",SUMIFS('الحركات الشهرية'!$H$6:$H$1005,'الحركات الشهرية'!$B$6:$B$1005,$B42,'الحركات الشهرية'!$A$6:$A$1005,$C$3))</f>
        <v/>
      </c>
      <c r="R42" s="106" t="str">
        <f aca="false">IF($B42="","",SUM(J42:M42)+SUM(O42:Q42))</f>
        <v/>
      </c>
      <c r="S42" s="86" t="str">
        <f aca="false">IF($B42="","",الموظفون!$Q42*IF(E42="سعودي",cfg_G_SE,cfg_G_NE)*F42/cfg_DAYS_M)</f>
        <v/>
      </c>
      <c r="T42" s="86" t="str">
        <f aca="false">IF($B42="","",SUMIFS('الحركات الشهرية'!$I$6:$I$1005,'الحركات الشهرية'!$B$6:$B$1005,$B42,'الحركات الشهرية'!$A$6:$A$1005,$C$3))</f>
        <v/>
      </c>
      <c r="U42" s="86" t="str">
        <f aca="false">IF($B42="","",SUMIFS('الحركات الشهرية'!$J$6:$J$1005,'الحركات الشهرية'!$B$6:$B$1005,$B42,'الحركات الشهرية'!$A$6:$A$1005,$C$3))</f>
        <v/>
      </c>
      <c r="V42" s="86" t="str">
        <f aca="false">IF($B42="","",SUM(S42:U42))</f>
        <v/>
      </c>
      <c r="W42" s="107" t="str">
        <f aca="false">IF($B42="","",R42-V42)</f>
        <v/>
      </c>
      <c r="X42" s="86" t="str">
        <f aca="false">IF($B42="","",الموظفون!$Q42*IF(E42="سعودي",cfg_G_SR,cfg_G_NR)*F42/cfg_DAYS_M)</f>
        <v/>
      </c>
      <c r="Y42" s="86" t="str">
        <f aca="false">IF($B42="","",الموظفون!$O42*(cfg_EOS_R1*(MIN(AC42,cfg_EOS_TH)-MIN(AD42,cfg_EOS_TH))+cfg_EOS_R2*(MAX(AC42-cfg_EOS_TH,0)-MAX(AD42-cfg_EOS_TH,0))))</f>
        <v/>
      </c>
      <c r="Z42" s="86" t="str">
        <f aca="false">IF($B42="","",IF(الموظفون!$R42&lt;&gt;"",الموظفون!$R42,IF(AC42&gt;=cfg_LV_TH,cfg_LV_D2,cfg_LV_D1))/cfg_DAYS_Y*AE42*الموظفون!$P42/cfg_DAYS_M)</f>
        <v/>
      </c>
      <c r="AA42" s="86" t="str">
        <f aca="false">IF($B42="","",IF(AND(الموظفون!$S42="نعم",N(الموظفون!$U42)&gt;0),الموظفون!$T42/الموظفون!$U42*12/cfg_DAYS_Y*AE42,0))</f>
        <v/>
      </c>
      <c r="AB42" s="108" t="str">
        <f aca="false">IF($B42="","",R42+SUM(X42:AA42))</f>
        <v/>
      </c>
      <c r="AC42" s="109" t="str">
        <f aca="false">IF($B42="","",MAX(0,IF(OR(الموظفون!$X42="",الموظفون!$X42&gt;$G$3),$G$3,الموظفون!$X42)-الموظفون!$H42+1)/cfg_DAYS_Y)</f>
        <v/>
      </c>
      <c r="AD42" s="109" t="str">
        <f aca="false">IF($B42="","",MAX(0,IF(OR(الموظفون!$X42="",الموظفون!$X42&gt;($E$3-1)),($E$3-1),الموظفون!$X42)-الموظفون!$H42+1)/cfg_DAYS_Y)</f>
        <v/>
      </c>
      <c r="AE42" s="51" t="str">
        <f aca="false">IF($B42="","",MAX(0,IF(OR(الموظفون!$X42="",الموظفون!$X42&gt;$G$3),$G$3,الموظفون!$X42)-MAX($E$3,الموظفون!$H42)+1))</f>
        <v/>
      </c>
    </row>
    <row r="43" customFormat="false" ht="15" hidden="false" customHeight="false" outlineLevel="0" collapsed="false">
      <c r="A43" s="89" t="str">
        <f aca="false">IF($B43="","",الموظفون!$A43)</f>
        <v/>
      </c>
      <c r="B43" s="91" t="str">
        <f aca="false">IF(الموظفون!$B43="","",الموظفون!$B43)</f>
        <v/>
      </c>
      <c r="C43" s="91" t="str">
        <f aca="false">IF($B43="","",الموظفون!$C43)</f>
        <v/>
      </c>
      <c r="D43" s="91" t="str">
        <f aca="false">IF($B43="","",الموظفون!$F43)</f>
        <v/>
      </c>
      <c r="E43" s="91" t="str">
        <f aca="false">IF($B43="","",الموظفون!$E43)</f>
        <v/>
      </c>
      <c r="F43" s="110" t="str">
        <f aca="false">IF($B43="","",IF(AE43&gt;=DAY($G$3),cfg_DAYS_M,MIN(AE43,cfg_DAYS_M)))</f>
        <v/>
      </c>
      <c r="G43" s="110" t="str">
        <f aca="false">IF($B43="","",SUMIFS('الحركات الشهرية'!$D$6:$D$1005,'الحركات الشهرية'!$B$6:$B$1005,$B43,'الحركات الشهرية'!$A$6:$A$1005,$C$3))</f>
        <v/>
      </c>
      <c r="H43" s="110" t="str">
        <f aca="false">IF($B43="","",SUMIFS('الحركات الشهرية'!$E$6:$E$1005,'الحركات الشهرية'!$B$6:$B$1005,$B43,'الحركات الشهرية'!$A$6:$A$1005,$C$3))</f>
        <v/>
      </c>
      <c r="I43" s="110" t="str">
        <f aca="false">IF($B43="","",MAX(0,F43-G43-H43))</f>
        <v/>
      </c>
      <c r="J43" s="90" t="str">
        <f aca="false">IF($B43="","",الموظفون!$J43*$I43/cfg_DAYS_M)</f>
        <v/>
      </c>
      <c r="K43" s="90" t="str">
        <f aca="false">IF($B43="","",الموظفون!$K43*$I43/cfg_DAYS_M)</f>
        <v/>
      </c>
      <c r="L43" s="90" t="str">
        <f aca="false">IF($B43="","",الموظفون!$L43*$I43/cfg_DAYS_M)</f>
        <v/>
      </c>
      <c r="M43" s="90" t="str">
        <f aca="false">IF($B43="","",الموظفون!$M43*$I43/cfg_DAYS_M)</f>
        <v/>
      </c>
      <c r="N43" s="110" t="str">
        <f aca="false">IF($B43="","",SUMIFS('الحركات الشهرية'!$F$6:$F$1005,'الحركات الشهرية'!$B$6:$B$1005,$B43,'الحركات الشهرية'!$A$6:$A$1005,$C$3))</f>
        <v/>
      </c>
      <c r="O43" s="90" t="str">
        <f aca="false">IF($B43="","",N43*(الموظفون!$N43+الموظفون!$J43*cfg_OT_P)/cfg_DAYS_M/cfg_HRS)</f>
        <v/>
      </c>
      <c r="P43" s="90" t="str">
        <f aca="false">IF($B43="","",SUMIFS('الحركات الشهرية'!$G$6:$G$1005,'الحركات الشهرية'!$B$6:$B$1005,$B43,'الحركات الشهرية'!$A$6:$A$1005,$C$3))</f>
        <v/>
      </c>
      <c r="Q43" s="90" t="str">
        <f aca="false">IF($B43="","",SUMIFS('الحركات الشهرية'!$H$6:$H$1005,'الحركات الشهرية'!$B$6:$B$1005,$B43,'الحركات الشهرية'!$A$6:$A$1005,$C$3))</f>
        <v/>
      </c>
      <c r="R43" s="111" t="str">
        <f aca="false">IF($B43="","",SUM(J43:M43)+SUM(O43:Q43))</f>
        <v/>
      </c>
      <c r="S43" s="90" t="str">
        <f aca="false">IF($B43="","",الموظفون!$Q43*IF(E43="سعودي",cfg_G_SE,cfg_G_NE)*F43/cfg_DAYS_M)</f>
        <v/>
      </c>
      <c r="T43" s="90" t="str">
        <f aca="false">IF($B43="","",SUMIFS('الحركات الشهرية'!$I$6:$I$1005,'الحركات الشهرية'!$B$6:$B$1005,$B43,'الحركات الشهرية'!$A$6:$A$1005,$C$3))</f>
        <v/>
      </c>
      <c r="U43" s="90" t="str">
        <f aca="false">IF($B43="","",SUMIFS('الحركات الشهرية'!$J$6:$J$1005,'الحركات الشهرية'!$B$6:$B$1005,$B43,'الحركات الشهرية'!$A$6:$A$1005,$C$3))</f>
        <v/>
      </c>
      <c r="V43" s="90" t="str">
        <f aca="false">IF($B43="","",SUM(S43:U43))</f>
        <v/>
      </c>
      <c r="W43" s="112" t="str">
        <f aca="false">IF($B43="","",R43-V43)</f>
        <v/>
      </c>
      <c r="X43" s="90" t="str">
        <f aca="false">IF($B43="","",الموظفون!$Q43*IF(E43="سعودي",cfg_G_SR,cfg_G_NR)*F43/cfg_DAYS_M)</f>
        <v/>
      </c>
      <c r="Y43" s="90" t="str">
        <f aca="false">IF($B43="","",الموظفون!$O43*(cfg_EOS_R1*(MIN(AC43,cfg_EOS_TH)-MIN(AD43,cfg_EOS_TH))+cfg_EOS_R2*(MAX(AC43-cfg_EOS_TH,0)-MAX(AD43-cfg_EOS_TH,0))))</f>
        <v/>
      </c>
      <c r="Z43" s="90" t="str">
        <f aca="false">IF($B43="","",IF(الموظفون!$R43&lt;&gt;"",الموظفون!$R43,IF(AC43&gt;=cfg_LV_TH,cfg_LV_D2,cfg_LV_D1))/cfg_DAYS_Y*AE43*الموظفون!$P43/cfg_DAYS_M)</f>
        <v/>
      </c>
      <c r="AA43" s="90" t="str">
        <f aca="false">IF($B43="","",IF(AND(الموظفون!$S43="نعم",N(الموظفون!$U43)&gt;0),الموظفون!$T43/الموظفون!$U43*12/cfg_DAYS_Y*AE43,0))</f>
        <v/>
      </c>
      <c r="AB43" s="113" t="str">
        <f aca="false">IF($B43="","",R43+SUM(X43:AA43))</f>
        <v/>
      </c>
      <c r="AC43" s="114" t="str">
        <f aca="false">IF($B43="","",MAX(0,IF(OR(الموظفون!$X43="",الموظفون!$X43&gt;$G$3),$G$3,الموظفون!$X43)-الموظفون!$H43+1)/cfg_DAYS_Y)</f>
        <v/>
      </c>
      <c r="AD43" s="114" t="str">
        <f aca="false">IF($B43="","",MAX(0,IF(OR(الموظفون!$X43="",الموظفون!$X43&gt;($E$3-1)),($E$3-1),الموظفون!$X43)-الموظفون!$H43+1)/cfg_DAYS_Y)</f>
        <v/>
      </c>
      <c r="AE43" s="115" t="str">
        <f aca="false">IF($B43="","",MAX(0,IF(OR(الموظفون!$X43="",الموظفون!$X43&gt;$G$3),$G$3,الموظفون!$X43)-MAX($E$3,الموظفون!$H43)+1))</f>
        <v/>
      </c>
    </row>
    <row r="44" customFormat="false" ht="15" hidden="false" customHeight="false" outlineLevel="0" collapsed="false">
      <c r="A44" s="83" t="str">
        <f aca="false">IF($B44="","",الموظفون!$A44)</f>
        <v/>
      </c>
      <c r="B44" s="74" t="str">
        <f aca="false">IF(الموظفون!$B44="","",الموظفون!$B44)</f>
        <v/>
      </c>
      <c r="C44" s="74" t="str">
        <f aca="false">IF($B44="","",الموظفون!$C44)</f>
        <v/>
      </c>
      <c r="D44" s="74" t="str">
        <f aca="false">IF($B44="","",الموظفون!$F44)</f>
        <v/>
      </c>
      <c r="E44" s="74" t="str">
        <f aca="false">IF($B44="","",الموظفون!$E44)</f>
        <v/>
      </c>
      <c r="F44" s="105" t="str">
        <f aca="false">IF($B44="","",IF(AE44&gt;=DAY($G$3),cfg_DAYS_M,MIN(AE44,cfg_DAYS_M)))</f>
        <v/>
      </c>
      <c r="G44" s="105" t="str">
        <f aca="false">IF($B44="","",SUMIFS('الحركات الشهرية'!$D$6:$D$1005,'الحركات الشهرية'!$B$6:$B$1005,$B44,'الحركات الشهرية'!$A$6:$A$1005,$C$3))</f>
        <v/>
      </c>
      <c r="H44" s="105" t="str">
        <f aca="false">IF($B44="","",SUMIFS('الحركات الشهرية'!$E$6:$E$1005,'الحركات الشهرية'!$B$6:$B$1005,$B44,'الحركات الشهرية'!$A$6:$A$1005,$C$3))</f>
        <v/>
      </c>
      <c r="I44" s="105" t="str">
        <f aca="false">IF($B44="","",MAX(0,F44-G44-H44))</f>
        <v/>
      </c>
      <c r="J44" s="86" t="str">
        <f aca="false">IF($B44="","",الموظفون!$J44*$I44/cfg_DAYS_M)</f>
        <v/>
      </c>
      <c r="K44" s="86" t="str">
        <f aca="false">IF($B44="","",الموظفون!$K44*$I44/cfg_DAYS_M)</f>
        <v/>
      </c>
      <c r="L44" s="86" t="str">
        <f aca="false">IF($B44="","",الموظفون!$L44*$I44/cfg_DAYS_M)</f>
        <v/>
      </c>
      <c r="M44" s="86" t="str">
        <f aca="false">IF($B44="","",الموظفون!$M44*$I44/cfg_DAYS_M)</f>
        <v/>
      </c>
      <c r="N44" s="105" t="str">
        <f aca="false">IF($B44="","",SUMIFS('الحركات الشهرية'!$F$6:$F$1005,'الحركات الشهرية'!$B$6:$B$1005,$B44,'الحركات الشهرية'!$A$6:$A$1005,$C$3))</f>
        <v/>
      </c>
      <c r="O44" s="86" t="str">
        <f aca="false">IF($B44="","",N44*(الموظفون!$N44+الموظفون!$J44*cfg_OT_P)/cfg_DAYS_M/cfg_HRS)</f>
        <v/>
      </c>
      <c r="P44" s="86" t="str">
        <f aca="false">IF($B44="","",SUMIFS('الحركات الشهرية'!$G$6:$G$1005,'الحركات الشهرية'!$B$6:$B$1005,$B44,'الحركات الشهرية'!$A$6:$A$1005,$C$3))</f>
        <v/>
      </c>
      <c r="Q44" s="86" t="str">
        <f aca="false">IF($B44="","",SUMIFS('الحركات الشهرية'!$H$6:$H$1005,'الحركات الشهرية'!$B$6:$B$1005,$B44,'الحركات الشهرية'!$A$6:$A$1005,$C$3))</f>
        <v/>
      </c>
      <c r="R44" s="106" t="str">
        <f aca="false">IF($B44="","",SUM(J44:M44)+SUM(O44:Q44))</f>
        <v/>
      </c>
      <c r="S44" s="86" t="str">
        <f aca="false">IF($B44="","",الموظفون!$Q44*IF(E44="سعودي",cfg_G_SE,cfg_G_NE)*F44/cfg_DAYS_M)</f>
        <v/>
      </c>
      <c r="T44" s="86" t="str">
        <f aca="false">IF($B44="","",SUMIFS('الحركات الشهرية'!$I$6:$I$1005,'الحركات الشهرية'!$B$6:$B$1005,$B44,'الحركات الشهرية'!$A$6:$A$1005,$C$3))</f>
        <v/>
      </c>
      <c r="U44" s="86" t="str">
        <f aca="false">IF($B44="","",SUMIFS('الحركات الشهرية'!$J$6:$J$1005,'الحركات الشهرية'!$B$6:$B$1005,$B44,'الحركات الشهرية'!$A$6:$A$1005,$C$3))</f>
        <v/>
      </c>
      <c r="V44" s="86" t="str">
        <f aca="false">IF($B44="","",SUM(S44:U44))</f>
        <v/>
      </c>
      <c r="W44" s="107" t="str">
        <f aca="false">IF($B44="","",R44-V44)</f>
        <v/>
      </c>
      <c r="X44" s="86" t="str">
        <f aca="false">IF($B44="","",الموظفون!$Q44*IF(E44="سعودي",cfg_G_SR,cfg_G_NR)*F44/cfg_DAYS_M)</f>
        <v/>
      </c>
      <c r="Y44" s="86" t="str">
        <f aca="false">IF($B44="","",الموظفون!$O44*(cfg_EOS_R1*(MIN(AC44,cfg_EOS_TH)-MIN(AD44,cfg_EOS_TH))+cfg_EOS_R2*(MAX(AC44-cfg_EOS_TH,0)-MAX(AD44-cfg_EOS_TH,0))))</f>
        <v/>
      </c>
      <c r="Z44" s="86" t="str">
        <f aca="false">IF($B44="","",IF(الموظفون!$R44&lt;&gt;"",الموظفون!$R44,IF(AC44&gt;=cfg_LV_TH,cfg_LV_D2,cfg_LV_D1))/cfg_DAYS_Y*AE44*الموظفون!$P44/cfg_DAYS_M)</f>
        <v/>
      </c>
      <c r="AA44" s="86" t="str">
        <f aca="false">IF($B44="","",IF(AND(الموظفون!$S44="نعم",N(الموظفون!$U44)&gt;0),الموظفون!$T44/الموظفون!$U44*12/cfg_DAYS_Y*AE44,0))</f>
        <v/>
      </c>
      <c r="AB44" s="108" t="str">
        <f aca="false">IF($B44="","",R44+SUM(X44:AA44))</f>
        <v/>
      </c>
      <c r="AC44" s="109" t="str">
        <f aca="false">IF($B44="","",MAX(0,IF(OR(الموظفون!$X44="",الموظفون!$X44&gt;$G$3),$G$3,الموظفون!$X44)-الموظفون!$H44+1)/cfg_DAYS_Y)</f>
        <v/>
      </c>
      <c r="AD44" s="109" t="str">
        <f aca="false">IF($B44="","",MAX(0,IF(OR(الموظفون!$X44="",الموظفون!$X44&gt;($E$3-1)),($E$3-1),الموظفون!$X44)-الموظفون!$H44+1)/cfg_DAYS_Y)</f>
        <v/>
      </c>
      <c r="AE44" s="51" t="str">
        <f aca="false">IF($B44="","",MAX(0,IF(OR(الموظفون!$X44="",الموظفون!$X44&gt;$G$3),$G$3,الموظفون!$X44)-MAX($E$3,الموظفون!$H44)+1))</f>
        <v/>
      </c>
    </row>
    <row r="45" customFormat="false" ht="15" hidden="false" customHeight="false" outlineLevel="0" collapsed="false">
      <c r="A45" s="89" t="str">
        <f aca="false">IF($B45="","",الموظفون!$A45)</f>
        <v/>
      </c>
      <c r="B45" s="91" t="str">
        <f aca="false">IF(الموظفون!$B45="","",الموظفون!$B45)</f>
        <v/>
      </c>
      <c r="C45" s="91" t="str">
        <f aca="false">IF($B45="","",الموظفون!$C45)</f>
        <v/>
      </c>
      <c r="D45" s="91" t="str">
        <f aca="false">IF($B45="","",الموظفون!$F45)</f>
        <v/>
      </c>
      <c r="E45" s="91" t="str">
        <f aca="false">IF($B45="","",الموظفون!$E45)</f>
        <v/>
      </c>
      <c r="F45" s="110" t="str">
        <f aca="false">IF($B45="","",IF(AE45&gt;=DAY($G$3),cfg_DAYS_M,MIN(AE45,cfg_DAYS_M)))</f>
        <v/>
      </c>
      <c r="G45" s="110" t="str">
        <f aca="false">IF($B45="","",SUMIFS('الحركات الشهرية'!$D$6:$D$1005,'الحركات الشهرية'!$B$6:$B$1005,$B45,'الحركات الشهرية'!$A$6:$A$1005,$C$3))</f>
        <v/>
      </c>
      <c r="H45" s="110" t="str">
        <f aca="false">IF($B45="","",SUMIFS('الحركات الشهرية'!$E$6:$E$1005,'الحركات الشهرية'!$B$6:$B$1005,$B45,'الحركات الشهرية'!$A$6:$A$1005,$C$3))</f>
        <v/>
      </c>
      <c r="I45" s="110" t="str">
        <f aca="false">IF($B45="","",MAX(0,F45-G45-H45))</f>
        <v/>
      </c>
      <c r="J45" s="90" t="str">
        <f aca="false">IF($B45="","",الموظفون!$J45*$I45/cfg_DAYS_M)</f>
        <v/>
      </c>
      <c r="K45" s="90" t="str">
        <f aca="false">IF($B45="","",الموظفون!$K45*$I45/cfg_DAYS_M)</f>
        <v/>
      </c>
      <c r="L45" s="90" t="str">
        <f aca="false">IF($B45="","",الموظفون!$L45*$I45/cfg_DAYS_M)</f>
        <v/>
      </c>
      <c r="M45" s="90" t="str">
        <f aca="false">IF($B45="","",الموظفون!$M45*$I45/cfg_DAYS_M)</f>
        <v/>
      </c>
      <c r="N45" s="110" t="str">
        <f aca="false">IF($B45="","",SUMIFS('الحركات الشهرية'!$F$6:$F$1005,'الحركات الشهرية'!$B$6:$B$1005,$B45,'الحركات الشهرية'!$A$6:$A$1005,$C$3))</f>
        <v/>
      </c>
      <c r="O45" s="90" t="str">
        <f aca="false">IF($B45="","",N45*(الموظفون!$N45+الموظفون!$J45*cfg_OT_P)/cfg_DAYS_M/cfg_HRS)</f>
        <v/>
      </c>
      <c r="P45" s="90" t="str">
        <f aca="false">IF($B45="","",SUMIFS('الحركات الشهرية'!$G$6:$G$1005,'الحركات الشهرية'!$B$6:$B$1005,$B45,'الحركات الشهرية'!$A$6:$A$1005,$C$3))</f>
        <v/>
      </c>
      <c r="Q45" s="90" t="str">
        <f aca="false">IF($B45="","",SUMIFS('الحركات الشهرية'!$H$6:$H$1005,'الحركات الشهرية'!$B$6:$B$1005,$B45,'الحركات الشهرية'!$A$6:$A$1005,$C$3))</f>
        <v/>
      </c>
      <c r="R45" s="111" t="str">
        <f aca="false">IF($B45="","",SUM(J45:M45)+SUM(O45:Q45))</f>
        <v/>
      </c>
      <c r="S45" s="90" t="str">
        <f aca="false">IF($B45="","",الموظفون!$Q45*IF(E45="سعودي",cfg_G_SE,cfg_G_NE)*F45/cfg_DAYS_M)</f>
        <v/>
      </c>
      <c r="T45" s="90" t="str">
        <f aca="false">IF($B45="","",SUMIFS('الحركات الشهرية'!$I$6:$I$1005,'الحركات الشهرية'!$B$6:$B$1005,$B45,'الحركات الشهرية'!$A$6:$A$1005,$C$3))</f>
        <v/>
      </c>
      <c r="U45" s="90" t="str">
        <f aca="false">IF($B45="","",SUMIFS('الحركات الشهرية'!$J$6:$J$1005,'الحركات الشهرية'!$B$6:$B$1005,$B45,'الحركات الشهرية'!$A$6:$A$1005,$C$3))</f>
        <v/>
      </c>
      <c r="V45" s="90" t="str">
        <f aca="false">IF($B45="","",SUM(S45:U45))</f>
        <v/>
      </c>
      <c r="W45" s="112" t="str">
        <f aca="false">IF($B45="","",R45-V45)</f>
        <v/>
      </c>
      <c r="X45" s="90" t="str">
        <f aca="false">IF($B45="","",الموظفون!$Q45*IF(E45="سعودي",cfg_G_SR,cfg_G_NR)*F45/cfg_DAYS_M)</f>
        <v/>
      </c>
      <c r="Y45" s="90" t="str">
        <f aca="false">IF($B45="","",الموظفون!$O45*(cfg_EOS_R1*(MIN(AC45,cfg_EOS_TH)-MIN(AD45,cfg_EOS_TH))+cfg_EOS_R2*(MAX(AC45-cfg_EOS_TH,0)-MAX(AD45-cfg_EOS_TH,0))))</f>
        <v/>
      </c>
      <c r="Z45" s="90" t="str">
        <f aca="false">IF($B45="","",IF(الموظفون!$R45&lt;&gt;"",الموظفون!$R45,IF(AC45&gt;=cfg_LV_TH,cfg_LV_D2,cfg_LV_D1))/cfg_DAYS_Y*AE45*الموظفون!$P45/cfg_DAYS_M)</f>
        <v/>
      </c>
      <c r="AA45" s="90" t="str">
        <f aca="false">IF($B45="","",IF(AND(الموظفون!$S45="نعم",N(الموظفون!$U45)&gt;0),الموظفون!$T45/الموظفون!$U45*12/cfg_DAYS_Y*AE45,0))</f>
        <v/>
      </c>
      <c r="AB45" s="113" t="str">
        <f aca="false">IF($B45="","",R45+SUM(X45:AA45))</f>
        <v/>
      </c>
      <c r="AC45" s="114" t="str">
        <f aca="false">IF($B45="","",MAX(0,IF(OR(الموظفون!$X45="",الموظفون!$X45&gt;$G$3),$G$3,الموظفون!$X45)-الموظفون!$H45+1)/cfg_DAYS_Y)</f>
        <v/>
      </c>
      <c r="AD45" s="114" t="str">
        <f aca="false">IF($B45="","",MAX(0,IF(OR(الموظفون!$X45="",الموظفون!$X45&gt;($E$3-1)),($E$3-1),الموظفون!$X45)-الموظفون!$H45+1)/cfg_DAYS_Y)</f>
        <v/>
      </c>
      <c r="AE45" s="115" t="str">
        <f aca="false">IF($B45="","",MAX(0,IF(OR(الموظفون!$X45="",الموظفون!$X45&gt;$G$3),$G$3,الموظفون!$X45)-MAX($E$3,الموظفون!$H45)+1))</f>
        <v/>
      </c>
    </row>
    <row r="46" customFormat="false" ht="15" hidden="false" customHeight="false" outlineLevel="0" collapsed="false">
      <c r="A46" s="83" t="str">
        <f aca="false">IF($B46="","",الموظفون!$A46)</f>
        <v/>
      </c>
      <c r="B46" s="74" t="str">
        <f aca="false">IF(الموظفون!$B46="","",الموظفون!$B46)</f>
        <v/>
      </c>
      <c r="C46" s="74" t="str">
        <f aca="false">IF($B46="","",الموظفون!$C46)</f>
        <v/>
      </c>
      <c r="D46" s="74" t="str">
        <f aca="false">IF($B46="","",الموظفون!$F46)</f>
        <v/>
      </c>
      <c r="E46" s="74" t="str">
        <f aca="false">IF($B46="","",الموظفون!$E46)</f>
        <v/>
      </c>
      <c r="F46" s="105" t="str">
        <f aca="false">IF($B46="","",IF(AE46&gt;=DAY($G$3),cfg_DAYS_M,MIN(AE46,cfg_DAYS_M)))</f>
        <v/>
      </c>
      <c r="G46" s="105" t="str">
        <f aca="false">IF($B46="","",SUMIFS('الحركات الشهرية'!$D$6:$D$1005,'الحركات الشهرية'!$B$6:$B$1005,$B46,'الحركات الشهرية'!$A$6:$A$1005,$C$3))</f>
        <v/>
      </c>
      <c r="H46" s="105" t="str">
        <f aca="false">IF($B46="","",SUMIFS('الحركات الشهرية'!$E$6:$E$1005,'الحركات الشهرية'!$B$6:$B$1005,$B46,'الحركات الشهرية'!$A$6:$A$1005,$C$3))</f>
        <v/>
      </c>
      <c r="I46" s="105" t="str">
        <f aca="false">IF($B46="","",MAX(0,F46-G46-H46))</f>
        <v/>
      </c>
      <c r="J46" s="86" t="str">
        <f aca="false">IF($B46="","",الموظفون!$J46*$I46/cfg_DAYS_M)</f>
        <v/>
      </c>
      <c r="K46" s="86" t="str">
        <f aca="false">IF($B46="","",الموظفون!$K46*$I46/cfg_DAYS_M)</f>
        <v/>
      </c>
      <c r="L46" s="86" t="str">
        <f aca="false">IF($B46="","",الموظفون!$L46*$I46/cfg_DAYS_M)</f>
        <v/>
      </c>
      <c r="M46" s="86" t="str">
        <f aca="false">IF($B46="","",الموظفون!$M46*$I46/cfg_DAYS_M)</f>
        <v/>
      </c>
      <c r="N46" s="105" t="str">
        <f aca="false">IF($B46="","",SUMIFS('الحركات الشهرية'!$F$6:$F$1005,'الحركات الشهرية'!$B$6:$B$1005,$B46,'الحركات الشهرية'!$A$6:$A$1005,$C$3))</f>
        <v/>
      </c>
      <c r="O46" s="86" t="str">
        <f aca="false">IF($B46="","",N46*(الموظفون!$N46+الموظفون!$J46*cfg_OT_P)/cfg_DAYS_M/cfg_HRS)</f>
        <v/>
      </c>
      <c r="P46" s="86" t="str">
        <f aca="false">IF($B46="","",SUMIFS('الحركات الشهرية'!$G$6:$G$1005,'الحركات الشهرية'!$B$6:$B$1005,$B46,'الحركات الشهرية'!$A$6:$A$1005,$C$3))</f>
        <v/>
      </c>
      <c r="Q46" s="86" t="str">
        <f aca="false">IF($B46="","",SUMIFS('الحركات الشهرية'!$H$6:$H$1005,'الحركات الشهرية'!$B$6:$B$1005,$B46,'الحركات الشهرية'!$A$6:$A$1005,$C$3))</f>
        <v/>
      </c>
      <c r="R46" s="106" t="str">
        <f aca="false">IF($B46="","",SUM(J46:M46)+SUM(O46:Q46))</f>
        <v/>
      </c>
      <c r="S46" s="86" t="str">
        <f aca="false">IF($B46="","",الموظفون!$Q46*IF(E46="سعودي",cfg_G_SE,cfg_G_NE)*F46/cfg_DAYS_M)</f>
        <v/>
      </c>
      <c r="T46" s="86" t="str">
        <f aca="false">IF($B46="","",SUMIFS('الحركات الشهرية'!$I$6:$I$1005,'الحركات الشهرية'!$B$6:$B$1005,$B46,'الحركات الشهرية'!$A$6:$A$1005,$C$3))</f>
        <v/>
      </c>
      <c r="U46" s="86" t="str">
        <f aca="false">IF($B46="","",SUMIFS('الحركات الشهرية'!$J$6:$J$1005,'الحركات الشهرية'!$B$6:$B$1005,$B46,'الحركات الشهرية'!$A$6:$A$1005,$C$3))</f>
        <v/>
      </c>
      <c r="V46" s="86" t="str">
        <f aca="false">IF($B46="","",SUM(S46:U46))</f>
        <v/>
      </c>
      <c r="W46" s="107" t="str">
        <f aca="false">IF($B46="","",R46-V46)</f>
        <v/>
      </c>
      <c r="X46" s="86" t="str">
        <f aca="false">IF($B46="","",الموظفون!$Q46*IF(E46="سعودي",cfg_G_SR,cfg_G_NR)*F46/cfg_DAYS_M)</f>
        <v/>
      </c>
      <c r="Y46" s="86" t="str">
        <f aca="false">IF($B46="","",الموظفون!$O46*(cfg_EOS_R1*(MIN(AC46,cfg_EOS_TH)-MIN(AD46,cfg_EOS_TH))+cfg_EOS_R2*(MAX(AC46-cfg_EOS_TH,0)-MAX(AD46-cfg_EOS_TH,0))))</f>
        <v/>
      </c>
      <c r="Z46" s="86" t="str">
        <f aca="false">IF($B46="","",IF(الموظفون!$R46&lt;&gt;"",الموظفون!$R46,IF(AC46&gt;=cfg_LV_TH,cfg_LV_D2,cfg_LV_D1))/cfg_DAYS_Y*AE46*الموظفون!$P46/cfg_DAYS_M)</f>
        <v/>
      </c>
      <c r="AA46" s="86" t="str">
        <f aca="false">IF($B46="","",IF(AND(الموظفون!$S46="نعم",N(الموظفون!$U46)&gt;0),الموظفون!$T46/الموظفون!$U46*12/cfg_DAYS_Y*AE46,0))</f>
        <v/>
      </c>
      <c r="AB46" s="108" t="str">
        <f aca="false">IF($B46="","",R46+SUM(X46:AA46))</f>
        <v/>
      </c>
      <c r="AC46" s="109" t="str">
        <f aca="false">IF($B46="","",MAX(0,IF(OR(الموظفون!$X46="",الموظفون!$X46&gt;$G$3),$G$3,الموظفون!$X46)-الموظفون!$H46+1)/cfg_DAYS_Y)</f>
        <v/>
      </c>
      <c r="AD46" s="109" t="str">
        <f aca="false">IF($B46="","",MAX(0,IF(OR(الموظفون!$X46="",الموظفون!$X46&gt;($E$3-1)),($E$3-1),الموظفون!$X46)-الموظفون!$H46+1)/cfg_DAYS_Y)</f>
        <v/>
      </c>
      <c r="AE46" s="51" t="str">
        <f aca="false">IF($B46="","",MAX(0,IF(OR(الموظفون!$X46="",الموظفون!$X46&gt;$G$3),$G$3,الموظفون!$X46)-MAX($E$3,الموظفون!$H46)+1))</f>
        <v/>
      </c>
    </row>
    <row r="47" customFormat="false" ht="15" hidden="false" customHeight="false" outlineLevel="0" collapsed="false">
      <c r="A47" s="89" t="str">
        <f aca="false">IF($B47="","",الموظفون!$A47)</f>
        <v/>
      </c>
      <c r="B47" s="91" t="str">
        <f aca="false">IF(الموظفون!$B47="","",الموظفون!$B47)</f>
        <v/>
      </c>
      <c r="C47" s="91" t="str">
        <f aca="false">IF($B47="","",الموظفون!$C47)</f>
        <v/>
      </c>
      <c r="D47" s="91" t="str">
        <f aca="false">IF($B47="","",الموظفون!$F47)</f>
        <v/>
      </c>
      <c r="E47" s="91" t="str">
        <f aca="false">IF($B47="","",الموظفون!$E47)</f>
        <v/>
      </c>
      <c r="F47" s="110" t="str">
        <f aca="false">IF($B47="","",IF(AE47&gt;=DAY($G$3),cfg_DAYS_M,MIN(AE47,cfg_DAYS_M)))</f>
        <v/>
      </c>
      <c r="G47" s="110" t="str">
        <f aca="false">IF($B47="","",SUMIFS('الحركات الشهرية'!$D$6:$D$1005,'الحركات الشهرية'!$B$6:$B$1005,$B47,'الحركات الشهرية'!$A$6:$A$1005,$C$3))</f>
        <v/>
      </c>
      <c r="H47" s="110" t="str">
        <f aca="false">IF($B47="","",SUMIFS('الحركات الشهرية'!$E$6:$E$1005,'الحركات الشهرية'!$B$6:$B$1005,$B47,'الحركات الشهرية'!$A$6:$A$1005,$C$3))</f>
        <v/>
      </c>
      <c r="I47" s="110" t="str">
        <f aca="false">IF($B47="","",MAX(0,F47-G47-H47))</f>
        <v/>
      </c>
      <c r="J47" s="90" t="str">
        <f aca="false">IF($B47="","",الموظفون!$J47*$I47/cfg_DAYS_M)</f>
        <v/>
      </c>
      <c r="K47" s="90" t="str">
        <f aca="false">IF($B47="","",الموظفون!$K47*$I47/cfg_DAYS_M)</f>
        <v/>
      </c>
      <c r="L47" s="90" t="str">
        <f aca="false">IF($B47="","",الموظفون!$L47*$I47/cfg_DAYS_M)</f>
        <v/>
      </c>
      <c r="M47" s="90" t="str">
        <f aca="false">IF($B47="","",الموظفون!$M47*$I47/cfg_DAYS_M)</f>
        <v/>
      </c>
      <c r="N47" s="110" t="str">
        <f aca="false">IF($B47="","",SUMIFS('الحركات الشهرية'!$F$6:$F$1005,'الحركات الشهرية'!$B$6:$B$1005,$B47,'الحركات الشهرية'!$A$6:$A$1005,$C$3))</f>
        <v/>
      </c>
      <c r="O47" s="90" t="str">
        <f aca="false">IF($B47="","",N47*(الموظفون!$N47+الموظفون!$J47*cfg_OT_P)/cfg_DAYS_M/cfg_HRS)</f>
        <v/>
      </c>
      <c r="P47" s="90" t="str">
        <f aca="false">IF($B47="","",SUMIFS('الحركات الشهرية'!$G$6:$G$1005,'الحركات الشهرية'!$B$6:$B$1005,$B47,'الحركات الشهرية'!$A$6:$A$1005,$C$3))</f>
        <v/>
      </c>
      <c r="Q47" s="90" t="str">
        <f aca="false">IF($B47="","",SUMIFS('الحركات الشهرية'!$H$6:$H$1005,'الحركات الشهرية'!$B$6:$B$1005,$B47,'الحركات الشهرية'!$A$6:$A$1005,$C$3))</f>
        <v/>
      </c>
      <c r="R47" s="111" t="str">
        <f aca="false">IF($B47="","",SUM(J47:M47)+SUM(O47:Q47))</f>
        <v/>
      </c>
      <c r="S47" s="90" t="str">
        <f aca="false">IF($B47="","",الموظفون!$Q47*IF(E47="سعودي",cfg_G_SE,cfg_G_NE)*F47/cfg_DAYS_M)</f>
        <v/>
      </c>
      <c r="T47" s="90" t="str">
        <f aca="false">IF($B47="","",SUMIFS('الحركات الشهرية'!$I$6:$I$1005,'الحركات الشهرية'!$B$6:$B$1005,$B47,'الحركات الشهرية'!$A$6:$A$1005,$C$3))</f>
        <v/>
      </c>
      <c r="U47" s="90" t="str">
        <f aca="false">IF($B47="","",SUMIFS('الحركات الشهرية'!$J$6:$J$1005,'الحركات الشهرية'!$B$6:$B$1005,$B47,'الحركات الشهرية'!$A$6:$A$1005,$C$3))</f>
        <v/>
      </c>
      <c r="V47" s="90" t="str">
        <f aca="false">IF($B47="","",SUM(S47:U47))</f>
        <v/>
      </c>
      <c r="W47" s="112" t="str">
        <f aca="false">IF($B47="","",R47-V47)</f>
        <v/>
      </c>
      <c r="X47" s="90" t="str">
        <f aca="false">IF($B47="","",الموظفون!$Q47*IF(E47="سعودي",cfg_G_SR,cfg_G_NR)*F47/cfg_DAYS_M)</f>
        <v/>
      </c>
      <c r="Y47" s="90" t="str">
        <f aca="false">IF($B47="","",الموظفون!$O47*(cfg_EOS_R1*(MIN(AC47,cfg_EOS_TH)-MIN(AD47,cfg_EOS_TH))+cfg_EOS_R2*(MAX(AC47-cfg_EOS_TH,0)-MAX(AD47-cfg_EOS_TH,0))))</f>
        <v/>
      </c>
      <c r="Z47" s="90" t="str">
        <f aca="false">IF($B47="","",IF(الموظفون!$R47&lt;&gt;"",الموظفون!$R47,IF(AC47&gt;=cfg_LV_TH,cfg_LV_D2,cfg_LV_D1))/cfg_DAYS_Y*AE47*الموظفون!$P47/cfg_DAYS_M)</f>
        <v/>
      </c>
      <c r="AA47" s="90" t="str">
        <f aca="false">IF($B47="","",IF(AND(الموظفون!$S47="نعم",N(الموظفون!$U47)&gt;0),الموظفون!$T47/الموظفون!$U47*12/cfg_DAYS_Y*AE47,0))</f>
        <v/>
      </c>
      <c r="AB47" s="113" t="str">
        <f aca="false">IF($B47="","",R47+SUM(X47:AA47))</f>
        <v/>
      </c>
      <c r="AC47" s="114" t="str">
        <f aca="false">IF($B47="","",MAX(0,IF(OR(الموظفون!$X47="",الموظفون!$X47&gt;$G$3),$G$3,الموظفون!$X47)-الموظفون!$H47+1)/cfg_DAYS_Y)</f>
        <v/>
      </c>
      <c r="AD47" s="114" t="str">
        <f aca="false">IF($B47="","",MAX(0,IF(OR(الموظفون!$X47="",الموظفون!$X47&gt;($E$3-1)),($E$3-1),الموظفون!$X47)-الموظفون!$H47+1)/cfg_DAYS_Y)</f>
        <v/>
      </c>
      <c r="AE47" s="115" t="str">
        <f aca="false">IF($B47="","",MAX(0,IF(OR(الموظفون!$X47="",الموظفون!$X47&gt;$G$3),$G$3,الموظفون!$X47)-MAX($E$3,الموظفون!$H47)+1))</f>
        <v/>
      </c>
    </row>
    <row r="48" customFormat="false" ht="15" hidden="false" customHeight="false" outlineLevel="0" collapsed="false">
      <c r="A48" s="83" t="str">
        <f aca="false">IF($B48="","",الموظفون!$A48)</f>
        <v/>
      </c>
      <c r="B48" s="74" t="str">
        <f aca="false">IF(الموظفون!$B48="","",الموظفون!$B48)</f>
        <v/>
      </c>
      <c r="C48" s="74" t="str">
        <f aca="false">IF($B48="","",الموظفون!$C48)</f>
        <v/>
      </c>
      <c r="D48" s="74" t="str">
        <f aca="false">IF($B48="","",الموظفون!$F48)</f>
        <v/>
      </c>
      <c r="E48" s="74" t="str">
        <f aca="false">IF($B48="","",الموظفون!$E48)</f>
        <v/>
      </c>
      <c r="F48" s="105" t="str">
        <f aca="false">IF($B48="","",IF(AE48&gt;=DAY($G$3),cfg_DAYS_M,MIN(AE48,cfg_DAYS_M)))</f>
        <v/>
      </c>
      <c r="G48" s="105" t="str">
        <f aca="false">IF($B48="","",SUMIFS('الحركات الشهرية'!$D$6:$D$1005,'الحركات الشهرية'!$B$6:$B$1005,$B48,'الحركات الشهرية'!$A$6:$A$1005,$C$3))</f>
        <v/>
      </c>
      <c r="H48" s="105" t="str">
        <f aca="false">IF($B48="","",SUMIFS('الحركات الشهرية'!$E$6:$E$1005,'الحركات الشهرية'!$B$6:$B$1005,$B48,'الحركات الشهرية'!$A$6:$A$1005,$C$3))</f>
        <v/>
      </c>
      <c r="I48" s="105" t="str">
        <f aca="false">IF($B48="","",MAX(0,F48-G48-H48))</f>
        <v/>
      </c>
      <c r="J48" s="86" t="str">
        <f aca="false">IF($B48="","",الموظفون!$J48*$I48/cfg_DAYS_M)</f>
        <v/>
      </c>
      <c r="K48" s="86" t="str">
        <f aca="false">IF($B48="","",الموظفون!$K48*$I48/cfg_DAYS_M)</f>
        <v/>
      </c>
      <c r="L48" s="86" t="str">
        <f aca="false">IF($B48="","",الموظفون!$L48*$I48/cfg_DAYS_M)</f>
        <v/>
      </c>
      <c r="M48" s="86" t="str">
        <f aca="false">IF($B48="","",الموظفون!$M48*$I48/cfg_DAYS_M)</f>
        <v/>
      </c>
      <c r="N48" s="105" t="str">
        <f aca="false">IF($B48="","",SUMIFS('الحركات الشهرية'!$F$6:$F$1005,'الحركات الشهرية'!$B$6:$B$1005,$B48,'الحركات الشهرية'!$A$6:$A$1005,$C$3))</f>
        <v/>
      </c>
      <c r="O48" s="86" t="str">
        <f aca="false">IF($B48="","",N48*(الموظفون!$N48+الموظفون!$J48*cfg_OT_P)/cfg_DAYS_M/cfg_HRS)</f>
        <v/>
      </c>
      <c r="P48" s="86" t="str">
        <f aca="false">IF($B48="","",SUMIFS('الحركات الشهرية'!$G$6:$G$1005,'الحركات الشهرية'!$B$6:$B$1005,$B48,'الحركات الشهرية'!$A$6:$A$1005,$C$3))</f>
        <v/>
      </c>
      <c r="Q48" s="86" t="str">
        <f aca="false">IF($B48="","",SUMIFS('الحركات الشهرية'!$H$6:$H$1005,'الحركات الشهرية'!$B$6:$B$1005,$B48,'الحركات الشهرية'!$A$6:$A$1005,$C$3))</f>
        <v/>
      </c>
      <c r="R48" s="106" t="str">
        <f aca="false">IF($B48="","",SUM(J48:M48)+SUM(O48:Q48))</f>
        <v/>
      </c>
      <c r="S48" s="86" t="str">
        <f aca="false">IF($B48="","",الموظفون!$Q48*IF(E48="سعودي",cfg_G_SE,cfg_G_NE)*F48/cfg_DAYS_M)</f>
        <v/>
      </c>
      <c r="T48" s="86" t="str">
        <f aca="false">IF($B48="","",SUMIFS('الحركات الشهرية'!$I$6:$I$1005,'الحركات الشهرية'!$B$6:$B$1005,$B48,'الحركات الشهرية'!$A$6:$A$1005,$C$3))</f>
        <v/>
      </c>
      <c r="U48" s="86" t="str">
        <f aca="false">IF($B48="","",SUMIFS('الحركات الشهرية'!$J$6:$J$1005,'الحركات الشهرية'!$B$6:$B$1005,$B48,'الحركات الشهرية'!$A$6:$A$1005,$C$3))</f>
        <v/>
      </c>
      <c r="V48" s="86" t="str">
        <f aca="false">IF($B48="","",SUM(S48:U48))</f>
        <v/>
      </c>
      <c r="W48" s="107" t="str">
        <f aca="false">IF($B48="","",R48-V48)</f>
        <v/>
      </c>
      <c r="X48" s="86" t="str">
        <f aca="false">IF($B48="","",الموظفون!$Q48*IF(E48="سعودي",cfg_G_SR,cfg_G_NR)*F48/cfg_DAYS_M)</f>
        <v/>
      </c>
      <c r="Y48" s="86" t="str">
        <f aca="false">IF($B48="","",الموظفون!$O48*(cfg_EOS_R1*(MIN(AC48,cfg_EOS_TH)-MIN(AD48,cfg_EOS_TH))+cfg_EOS_R2*(MAX(AC48-cfg_EOS_TH,0)-MAX(AD48-cfg_EOS_TH,0))))</f>
        <v/>
      </c>
      <c r="Z48" s="86" t="str">
        <f aca="false">IF($B48="","",IF(الموظفون!$R48&lt;&gt;"",الموظفون!$R48,IF(AC48&gt;=cfg_LV_TH,cfg_LV_D2,cfg_LV_D1))/cfg_DAYS_Y*AE48*الموظفون!$P48/cfg_DAYS_M)</f>
        <v/>
      </c>
      <c r="AA48" s="86" t="str">
        <f aca="false">IF($B48="","",IF(AND(الموظفون!$S48="نعم",N(الموظفون!$U48)&gt;0),الموظفون!$T48/الموظفون!$U48*12/cfg_DAYS_Y*AE48,0))</f>
        <v/>
      </c>
      <c r="AB48" s="108" t="str">
        <f aca="false">IF($B48="","",R48+SUM(X48:AA48))</f>
        <v/>
      </c>
      <c r="AC48" s="109" t="str">
        <f aca="false">IF($B48="","",MAX(0,IF(OR(الموظفون!$X48="",الموظفون!$X48&gt;$G$3),$G$3,الموظفون!$X48)-الموظفون!$H48+1)/cfg_DAYS_Y)</f>
        <v/>
      </c>
      <c r="AD48" s="109" t="str">
        <f aca="false">IF($B48="","",MAX(0,IF(OR(الموظفون!$X48="",الموظفون!$X48&gt;($E$3-1)),($E$3-1),الموظفون!$X48)-الموظفون!$H48+1)/cfg_DAYS_Y)</f>
        <v/>
      </c>
      <c r="AE48" s="51" t="str">
        <f aca="false">IF($B48="","",MAX(0,IF(OR(الموظفون!$X48="",الموظفون!$X48&gt;$G$3),$G$3,الموظفون!$X48)-MAX($E$3,الموظفون!$H48)+1))</f>
        <v/>
      </c>
    </row>
    <row r="49" customFormat="false" ht="15" hidden="false" customHeight="false" outlineLevel="0" collapsed="false">
      <c r="A49" s="89" t="str">
        <f aca="false">IF($B49="","",الموظفون!$A49)</f>
        <v/>
      </c>
      <c r="B49" s="91" t="str">
        <f aca="false">IF(الموظفون!$B49="","",الموظفون!$B49)</f>
        <v/>
      </c>
      <c r="C49" s="91" t="str">
        <f aca="false">IF($B49="","",الموظفون!$C49)</f>
        <v/>
      </c>
      <c r="D49" s="91" t="str">
        <f aca="false">IF($B49="","",الموظفون!$F49)</f>
        <v/>
      </c>
      <c r="E49" s="91" t="str">
        <f aca="false">IF($B49="","",الموظفون!$E49)</f>
        <v/>
      </c>
      <c r="F49" s="110" t="str">
        <f aca="false">IF($B49="","",IF(AE49&gt;=DAY($G$3),cfg_DAYS_M,MIN(AE49,cfg_DAYS_M)))</f>
        <v/>
      </c>
      <c r="G49" s="110" t="str">
        <f aca="false">IF($B49="","",SUMIFS('الحركات الشهرية'!$D$6:$D$1005,'الحركات الشهرية'!$B$6:$B$1005,$B49,'الحركات الشهرية'!$A$6:$A$1005,$C$3))</f>
        <v/>
      </c>
      <c r="H49" s="110" t="str">
        <f aca="false">IF($B49="","",SUMIFS('الحركات الشهرية'!$E$6:$E$1005,'الحركات الشهرية'!$B$6:$B$1005,$B49,'الحركات الشهرية'!$A$6:$A$1005,$C$3))</f>
        <v/>
      </c>
      <c r="I49" s="110" t="str">
        <f aca="false">IF($B49="","",MAX(0,F49-G49-H49))</f>
        <v/>
      </c>
      <c r="J49" s="90" t="str">
        <f aca="false">IF($B49="","",الموظفون!$J49*$I49/cfg_DAYS_M)</f>
        <v/>
      </c>
      <c r="K49" s="90" t="str">
        <f aca="false">IF($B49="","",الموظفون!$K49*$I49/cfg_DAYS_M)</f>
        <v/>
      </c>
      <c r="L49" s="90" t="str">
        <f aca="false">IF($B49="","",الموظفون!$L49*$I49/cfg_DAYS_M)</f>
        <v/>
      </c>
      <c r="M49" s="90" t="str">
        <f aca="false">IF($B49="","",الموظفون!$M49*$I49/cfg_DAYS_M)</f>
        <v/>
      </c>
      <c r="N49" s="110" t="str">
        <f aca="false">IF($B49="","",SUMIFS('الحركات الشهرية'!$F$6:$F$1005,'الحركات الشهرية'!$B$6:$B$1005,$B49,'الحركات الشهرية'!$A$6:$A$1005,$C$3))</f>
        <v/>
      </c>
      <c r="O49" s="90" t="str">
        <f aca="false">IF($B49="","",N49*(الموظفون!$N49+الموظفون!$J49*cfg_OT_P)/cfg_DAYS_M/cfg_HRS)</f>
        <v/>
      </c>
      <c r="P49" s="90" t="str">
        <f aca="false">IF($B49="","",SUMIFS('الحركات الشهرية'!$G$6:$G$1005,'الحركات الشهرية'!$B$6:$B$1005,$B49,'الحركات الشهرية'!$A$6:$A$1005,$C$3))</f>
        <v/>
      </c>
      <c r="Q49" s="90" t="str">
        <f aca="false">IF($B49="","",SUMIFS('الحركات الشهرية'!$H$6:$H$1005,'الحركات الشهرية'!$B$6:$B$1005,$B49,'الحركات الشهرية'!$A$6:$A$1005,$C$3))</f>
        <v/>
      </c>
      <c r="R49" s="111" t="str">
        <f aca="false">IF($B49="","",SUM(J49:M49)+SUM(O49:Q49))</f>
        <v/>
      </c>
      <c r="S49" s="90" t="str">
        <f aca="false">IF($B49="","",الموظفون!$Q49*IF(E49="سعودي",cfg_G_SE,cfg_G_NE)*F49/cfg_DAYS_M)</f>
        <v/>
      </c>
      <c r="T49" s="90" t="str">
        <f aca="false">IF($B49="","",SUMIFS('الحركات الشهرية'!$I$6:$I$1005,'الحركات الشهرية'!$B$6:$B$1005,$B49,'الحركات الشهرية'!$A$6:$A$1005,$C$3))</f>
        <v/>
      </c>
      <c r="U49" s="90" t="str">
        <f aca="false">IF($B49="","",SUMIFS('الحركات الشهرية'!$J$6:$J$1005,'الحركات الشهرية'!$B$6:$B$1005,$B49,'الحركات الشهرية'!$A$6:$A$1005,$C$3))</f>
        <v/>
      </c>
      <c r="V49" s="90" t="str">
        <f aca="false">IF($B49="","",SUM(S49:U49))</f>
        <v/>
      </c>
      <c r="W49" s="112" t="str">
        <f aca="false">IF($B49="","",R49-V49)</f>
        <v/>
      </c>
      <c r="X49" s="90" t="str">
        <f aca="false">IF($B49="","",الموظفون!$Q49*IF(E49="سعودي",cfg_G_SR,cfg_G_NR)*F49/cfg_DAYS_M)</f>
        <v/>
      </c>
      <c r="Y49" s="90" t="str">
        <f aca="false">IF($B49="","",الموظفون!$O49*(cfg_EOS_R1*(MIN(AC49,cfg_EOS_TH)-MIN(AD49,cfg_EOS_TH))+cfg_EOS_R2*(MAX(AC49-cfg_EOS_TH,0)-MAX(AD49-cfg_EOS_TH,0))))</f>
        <v/>
      </c>
      <c r="Z49" s="90" t="str">
        <f aca="false">IF($B49="","",IF(الموظفون!$R49&lt;&gt;"",الموظفون!$R49,IF(AC49&gt;=cfg_LV_TH,cfg_LV_D2,cfg_LV_D1))/cfg_DAYS_Y*AE49*الموظفون!$P49/cfg_DAYS_M)</f>
        <v/>
      </c>
      <c r="AA49" s="90" t="str">
        <f aca="false">IF($B49="","",IF(AND(الموظفون!$S49="نعم",N(الموظفون!$U49)&gt;0),الموظفون!$T49/الموظفون!$U49*12/cfg_DAYS_Y*AE49,0))</f>
        <v/>
      </c>
      <c r="AB49" s="113" t="str">
        <f aca="false">IF($B49="","",R49+SUM(X49:AA49))</f>
        <v/>
      </c>
      <c r="AC49" s="114" t="str">
        <f aca="false">IF($B49="","",MAX(0,IF(OR(الموظفون!$X49="",الموظفون!$X49&gt;$G$3),$G$3,الموظفون!$X49)-الموظفون!$H49+1)/cfg_DAYS_Y)</f>
        <v/>
      </c>
      <c r="AD49" s="114" t="str">
        <f aca="false">IF($B49="","",MAX(0,IF(OR(الموظفون!$X49="",الموظفون!$X49&gt;($E$3-1)),($E$3-1),الموظفون!$X49)-الموظفون!$H49+1)/cfg_DAYS_Y)</f>
        <v/>
      </c>
      <c r="AE49" s="115" t="str">
        <f aca="false">IF($B49="","",MAX(0,IF(OR(الموظفون!$X49="",الموظفون!$X49&gt;$G$3),$G$3,الموظفون!$X49)-MAX($E$3,الموظفون!$H49)+1))</f>
        <v/>
      </c>
    </row>
    <row r="50" customFormat="false" ht="15" hidden="false" customHeight="false" outlineLevel="0" collapsed="false">
      <c r="A50" s="83" t="str">
        <f aca="false">IF($B50="","",الموظفون!$A50)</f>
        <v/>
      </c>
      <c r="B50" s="74" t="str">
        <f aca="false">IF(الموظفون!$B50="","",الموظفون!$B50)</f>
        <v/>
      </c>
      <c r="C50" s="74" t="str">
        <f aca="false">IF($B50="","",الموظفون!$C50)</f>
        <v/>
      </c>
      <c r="D50" s="74" t="str">
        <f aca="false">IF($B50="","",الموظفون!$F50)</f>
        <v/>
      </c>
      <c r="E50" s="74" t="str">
        <f aca="false">IF($B50="","",الموظفون!$E50)</f>
        <v/>
      </c>
      <c r="F50" s="105" t="str">
        <f aca="false">IF($B50="","",IF(AE50&gt;=DAY($G$3),cfg_DAYS_M,MIN(AE50,cfg_DAYS_M)))</f>
        <v/>
      </c>
      <c r="G50" s="105" t="str">
        <f aca="false">IF($B50="","",SUMIFS('الحركات الشهرية'!$D$6:$D$1005,'الحركات الشهرية'!$B$6:$B$1005,$B50,'الحركات الشهرية'!$A$6:$A$1005,$C$3))</f>
        <v/>
      </c>
      <c r="H50" s="105" t="str">
        <f aca="false">IF($B50="","",SUMIFS('الحركات الشهرية'!$E$6:$E$1005,'الحركات الشهرية'!$B$6:$B$1005,$B50,'الحركات الشهرية'!$A$6:$A$1005,$C$3))</f>
        <v/>
      </c>
      <c r="I50" s="105" t="str">
        <f aca="false">IF($B50="","",MAX(0,F50-G50-H50))</f>
        <v/>
      </c>
      <c r="J50" s="86" t="str">
        <f aca="false">IF($B50="","",الموظفون!$J50*$I50/cfg_DAYS_M)</f>
        <v/>
      </c>
      <c r="K50" s="86" t="str">
        <f aca="false">IF($B50="","",الموظفون!$K50*$I50/cfg_DAYS_M)</f>
        <v/>
      </c>
      <c r="L50" s="86" t="str">
        <f aca="false">IF($B50="","",الموظفون!$L50*$I50/cfg_DAYS_M)</f>
        <v/>
      </c>
      <c r="M50" s="86" t="str">
        <f aca="false">IF($B50="","",الموظفون!$M50*$I50/cfg_DAYS_M)</f>
        <v/>
      </c>
      <c r="N50" s="105" t="str">
        <f aca="false">IF($B50="","",SUMIFS('الحركات الشهرية'!$F$6:$F$1005,'الحركات الشهرية'!$B$6:$B$1005,$B50,'الحركات الشهرية'!$A$6:$A$1005,$C$3))</f>
        <v/>
      </c>
      <c r="O50" s="86" t="str">
        <f aca="false">IF($B50="","",N50*(الموظفون!$N50+الموظفون!$J50*cfg_OT_P)/cfg_DAYS_M/cfg_HRS)</f>
        <v/>
      </c>
      <c r="P50" s="86" t="str">
        <f aca="false">IF($B50="","",SUMIFS('الحركات الشهرية'!$G$6:$G$1005,'الحركات الشهرية'!$B$6:$B$1005,$B50,'الحركات الشهرية'!$A$6:$A$1005,$C$3))</f>
        <v/>
      </c>
      <c r="Q50" s="86" t="str">
        <f aca="false">IF($B50="","",SUMIFS('الحركات الشهرية'!$H$6:$H$1005,'الحركات الشهرية'!$B$6:$B$1005,$B50,'الحركات الشهرية'!$A$6:$A$1005,$C$3))</f>
        <v/>
      </c>
      <c r="R50" s="106" t="str">
        <f aca="false">IF($B50="","",SUM(J50:M50)+SUM(O50:Q50))</f>
        <v/>
      </c>
      <c r="S50" s="86" t="str">
        <f aca="false">IF($B50="","",الموظفون!$Q50*IF(E50="سعودي",cfg_G_SE,cfg_G_NE)*F50/cfg_DAYS_M)</f>
        <v/>
      </c>
      <c r="T50" s="86" t="str">
        <f aca="false">IF($B50="","",SUMIFS('الحركات الشهرية'!$I$6:$I$1005,'الحركات الشهرية'!$B$6:$B$1005,$B50,'الحركات الشهرية'!$A$6:$A$1005,$C$3))</f>
        <v/>
      </c>
      <c r="U50" s="86" t="str">
        <f aca="false">IF($B50="","",SUMIFS('الحركات الشهرية'!$J$6:$J$1005,'الحركات الشهرية'!$B$6:$B$1005,$B50,'الحركات الشهرية'!$A$6:$A$1005,$C$3))</f>
        <v/>
      </c>
      <c r="V50" s="86" t="str">
        <f aca="false">IF($B50="","",SUM(S50:U50))</f>
        <v/>
      </c>
      <c r="W50" s="107" t="str">
        <f aca="false">IF($B50="","",R50-V50)</f>
        <v/>
      </c>
      <c r="X50" s="86" t="str">
        <f aca="false">IF($B50="","",الموظفون!$Q50*IF(E50="سعودي",cfg_G_SR,cfg_G_NR)*F50/cfg_DAYS_M)</f>
        <v/>
      </c>
      <c r="Y50" s="86" t="str">
        <f aca="false">IF($B50="","",الموظفون!$O50*(cfg_EOS_R1*(MIN(AC50,cfg_EOS_TH)-MIN(AD50,cfg_EOS_TH))+cfg_EOS_R2*(MAX(AC50-cfg_EOS_TH,0)-MAX(AD50-cfg_EOS_TH,0))))</f>
        <v/>
      </c>
      <c r="Z50" s="86" t="str">
        <f aca="false">IF($B50="","",IF(الموظفون!$R50&lt;&gt;"",الموظفون!$R50,IF(AC50&gt;=cfg_LV_TH,cfg_LV_D2,cfg_LV_D1))/cfg_DAYS_Y*AE50*الموظفون!$P50/cfg_DAYS_M)</f>
        <v/>
      </c>
      <c r="AA50" s="86" t="str">
        <f aca="false">IF($B50="","",IF(AND(الموظفون!$S50="نعم",N(الموظفون!$U50)&gt;0),الموظفون!$T50/الموظفون!$U50*12/cfg_DAYS_Y*AE50,0))</f>
        <v/>
      </c>
      <c r="AB50" s="108" t="str">
        <f aca="false">IF($B50="","",R50+SUM(X50:AA50))</f>
        <v/>
      </c>
      <c r="AC50" s="109" t="str">
        <f aca="false">IF($B50="","",MAX(0,IF(OR(الموظفون!$X50="",الموظفون!$X50&gt;$G$3),$G$3,الموظفون!$X50)-الموظفون!$H50+1)/cfg_DAYS_Y)</f>
        <v/>
      </c>
      <c r="AD50" s="109" t="str">
        <f aca="false">IF($B50="","",MAX(0,IF(OR(الموظفون!$X50="",الموظفون!$X50&gt;($E$3-1)),($E$3-1),الموظفون!$X50)-الموظفون!$H50+1)/cfg_DAYS_Y)</f>
        <v/>
      </c>
      <c r="AE50" s="51" t="str">
        <f aca="false">IF($B50="","",MAX(0,IF(OR(الموظفون!$X50="",الموظفون!$X50&gt;$G$3),$G$3,الموظفون!$X50)-MAX($E$3,الموظفون!$H50)+1))</f>
        <v/>
      </c>
    </row>
    <row r="51" customFormat="false" ht="15" hidden="false" customHeight="false" outlineLevel="0" collapsed="false">
      <c r="A51" s="89" t="str">
        <f aca="false">IF($B51="","",الموظفون!$A51)</f>
        <v/>
      </c>
      <c r="B51" s="91" t="str">
        <f aca="false">IF(الموظفون!$B51="","",الموظفون!$B51)</f>
        <v/>
      </c>
      <c r="C51" s="91" t="str">
        <f aca="false">IF($B51="","",الموظفون!$C51)</f>
        <v/>
      </c>
      <c r="D51" s="91" t="str">
        <f aca="false">IF($B51="","",الموظفون!$F51)</f>
        <v/>
      </c>
      <c r="E51" s="91" t="str">
        <f aca="false">IF($B51="","",الموظفون!$E51)</f>
        <v/>
      </c>
      <c r="F51" s="110" t="str">
        <f aca="false">IF($B51="","",IF(AE51&gt;=DAY($G$3),cfg_DAYS_M,MIN(AE51,cfg_DAYS_M)))</f>
        <v/>
      </c>
      <c r="G51" s="110" t="str">
        <f aca="false">IF($B51="","",SUMIFS('الحركات الشهرية'!$D$6:$D$1005,'الحركات الشهرية'!$B$6:$B$1005,$B51,'الحركات الشهرية'!$A$6:$A$1005,$C$3))</f>
        <v/>
      </c>
      <c r="H51" s="110" t="str">
        <f aca="false">IF($B51="","",SUMIFS('الحركات الشهرية'!$E$6:$E$1005,'الحركات الشهرية'!$B$6:$B$1005,$B51,'الحركات الشهرية'!$A$6:$A$1005,$C$3))</f>
        <v/>
      </c>
      <c r="I51" s="110" t="str">
        <f aca="false">IF($B51="","",MAX(0,F51-G51-H51))</f>
        <v/>
      </c>
      <c r="J51" s="90" t="str">
        <f aca="false">IF($B51="","",الموظفون!$J51*$I51/cfg_DAYS_M)</f>
        <v/>
      </c>
      <c r="K51" s="90" t="str">
        <f aca="false">IF($B51="","",الموظفون!$K51*$I51/cfg_DAYS_M)</f>
        <v/>
      </c>
      <c r="L51" s="90" t="str">
        <f aca="false">IF($B51="","",الموظفون!$L51*$I51/cfg_DAYS_M)</f>
        <v/>
      </c>
      <c r="M51" s="90" t="str">
        <f aca="false">IF($B51="","",الموظفون!$M51*$I51/cfg_DAYS_M)</f>
        <v/>
      </c>
      <c r="N51" s="110" t="str">
        <f aca="false">IF($B51="","",SUMIFS('الحركات الشهرية'!$F$6:$F$1005,'الحركات الشهرية'!$B$6:$B$1005,$B51,'الحركات الشهرية'!$A$6:$A$1005,$C$3))</f>
        <v/>
      </c>
      <c r="O51" s="90" t="str">
        <f aca="false">IF($B51="","",N51*(الموظفون!$N51+الموظفون!$J51*cfg_OT_P)/cfg_DAYS_M/cfg_HRS)</f>
        <v/>
      </c>
      <c r="P51" s="90" t="str">
        <f aca="false">IF($B51="","",SUMIFS('الحركات الشهرية'!$G$6:$G$1005,'الحركات الشهرية'!$B$6:$B$1005,$B51,'الحركات الشهرية'!$A$6:$A$1005,$C$3))</f>
        <v/>
      </c>
      <c r="Q51" s="90" t="str">
        <f aca="false">IF($B51="","",SUMIFS('الحركات الشهرية'!$H$6:$H$1005,'الحركات الشهرية'!$B$6:$B$1005,$B51,'الحركات الشهرية'!$A$6:$A$1005,$C$3))</f>
        <v/>
      </c>
      <c r="R51" s="111" t="str">
        <f aca="false">IF($B51="","",SUM(J51:M51)+SUM(O51:Q51))</f>
        <v/>
      </c>
      <c r="S51" s="90" t="str">
        <f aca="false">IF($B51="","",الموظفون!$Q51*IF(E51="سعودي",cfg_G_SE,cfg_G_NE)*F51/cfg_DAYS_M)</f>
        <v/>
      </c>
      <c r="T51" s="90" t="str">
        <f aca="false">IF($B51="","",SUMIFS('الحركات الشهرية'!$I$6:$I$1005,'الحركات الشهرية'!$B$6:$B$1005,$B51,'الحركات الشهرية'!$A$6:$A$1005,$C$3))</f>
        <v/>
      </c>
      <c r="U51" s="90" t="str">
        <f aca="false">IF($B51="","",SUMIFS('الحركات الشهرية'!$J$6:$J$1005,'الحركات الشهرية'!$B$6:$B$1005,$B51,'الحركات الشهرية'!$A$6:$A$1005,$C$3))</f>
        <v/>
      </c>
      <c r="V51" s="90" t="str">
        <f aca="false">IF($B51="","",SUM(S51:U51))</f>
        <v/>
      </c>
      <c r="W51" s="112" t="str">
        <f aca="false">IF($B51="","",R51-V51)</f>
        <v/>
      </c>
      <c r="X51" s="90" t="str">
        <f aca="false">IF($B51="","",الموظفون!$Q51*IF(E51="سعودي",cfg_G_SR,cfg_G_NR)*F51/cfg_DAYS_M)</f>
        <v/>
      </c>
      <c r="Y51" s="90" t="str">
        <f aca="false">IF($B51="","",الموظفون!$O51*(cfg_EOS_R1*(MIN(AC51,cfg_EOS_TH)-MIN(AD51,cfg_EOS_TH))+cfg_EOS_R2*(MAX(AC51-cfg_EOS_TH,0)-MAX(AD51-cfg_EOS_TH,0))))</f>
        <v/>
      </c>
      <c r="Z51" s="90" t="str">
        <f aca="false">IF($B51="","",IF(الموظفون!$R51&lt;&gt;"",الموظفون!$R51,IF(AC51&gt;=cfg_LV_TH,cfg_LV_D2,cfg_LV_D1))/cfg_DAYS_Y*AE51*الموظفون!$P51/cfg_DAYS_M)</f>
        <v/>
      </c>
      <c r="AA51" s="90" t="str">
        <f aca="false">IF($B51="","",IF(AND(الموظفون!$S51="نعم",N(الموظفون!$U51)&gt;0),الموظفون!$T51/الموظفون!$U51*12/cfg_DAYS_Y*AE51,0))</f>
        <v/>
      </c>
      <c r="AB51" s="113" t="str">
        <f aca="false">IF($B51="","",R51+SUM(X51:AA51))</f>
        <v/>
      </c>
      <c r="AC51" s="114" t="str">
        <f aca="false">IF($B51="","",MAX(0,IF(OR(الموظفون!$X51="",الموظفون!$X51&gt;$G$3),$G$3,الموظفون!$X51)-الموظفون!$H51+1)/cfg_DAYS_Y)</f>
        <v/>
      </c>
      <c r="AD51" s="114" t="str">
        <f aca="false">IF($B51="","",MAX(0,IF(OR(الموظفون!$X51="",الموظفون!$X51&gt;($E$3-1)),($E$3-1),الموظفون!$X51)-الموظفون!$H51+1)/cfg_DAYS_Y)</f>
        <v/>
      </c>
      <c r="AE51" s="115" t="str">
        <f aca="false">IF($B51="","",MAX(0,IF(OR(الموظفون!$X51="",الموظفون!$X51&gt;$G$3),$G$3,الموظفون!$X51)-MAX($E$3,الموظفون!$H51)+1))</f>
        <v/>
      </c>
    </row>
    <row r="52" customFormat="false" ht="15" hidden="false" customHeight="false" outlineLevel="0" collapsed="false">
      <c r="A52" s="83" t="str">
        <f aca="false">IF($B52="","",الموظفون!$A52)</f>
        <v/>
      </c>
      <c r="B52" s="74" t="str">
        <f aca="false">IF(الموظفون!$B52="","",الموظفون!$B52)</f>
        <v/>
      </c>
      <c r="C52" s="74" t="str">
        <f aca="false">IF($B52="","",الموظفون!$C52)</f>
        <v/>
      </c>
      <c r="D52" s="74" t="str">
        <f aca="false">IF($B52="","",الموظفون!$F52)</f>
        <v/>
      </c>
      <c r="E52" s="74" t="str">
        <f aca="false">IF($B52="","",الموظفون!$E52)</f>
        <v/>
      </c>
      <c r="F52" s="105" t="str">
        <f aca="false">IF($B52="","",IF(AE52&gt;=DAY($G$3),cfg_DAYS_M,MIN(AE52,cfg_DAYS_M)))</f>
        <v/>
      </c>
      <c r="G52" s="105" t="str">
        <f aca="false">IF($B52="","",SUMIFS('الحركات الشهرية'!$D$6:$D$1005,'الحركات الشهرية'!$B$6:$B$1005,$B52,'الحركات الشهرية'!$A$6:$A$1005,$C$3))</f>
        <v/>
      </c>
      <c r="H52" s="105" t="str">
        <f aca="false">IF($B52="","",SUMIFS('الحركات الشهرية'!$E$6:$E$1005,'الحركات الشهرية'!$B$6:$B$1005,$B52,'الحركات الشهرية'!$A$6:$A$1005,$C$3))</f>
        <v/>
      </c>
      <c r="I52" s="105" t="str">
        <f aca="false">IF($B52="","",MAX(0,F52-G52-H52))</f>
        <v/>
      </c>
      <c r="J52" s="86" t="str">
        <f aca="false">IF($B52="","",الموظفون!$J52*$I52/cfg_DAYS_M)</f>
        <v/>
      </c>
      <c r="K52" s="86" t="str">
        <f aca="false">IF($B52="","",الموظفون!$K52*$I52/cfg_DAYS_M)</f>
        <v/>
      </c>
      <c r="L52" s="86" t="str">
        <f aca="false">IF($B52="","",الموظفون!$L52*$I52/cfg_DAYS_M)</f>
        <v/>
      </c>
      <c r="M52" s="86" t="str">
        <f aca="false">IF($B52="","",الموظفون!$M52*$I52/cfg_DAYS_M)</f>
        <v/>
      </c>
      <c r="N52" s="105" t="str">
        <f aca="false">IF($B52="","",SUMIFS('الحركات الشهرية'!$F$6:$F$1005,'الحركات الشهرية'!$B$6:$B$1005,$B52,'الحركات الشهرية'!$A$6:$A$1005,$C$3))</f>
        <v/>
      </c>
      <c r="O52" s="86" t="str">
        <f aca="false">IF($B52="","",N52*(الموظفون!$N52+الموظفون!$J52*cfg_OT_P)/cfg_DAYS_M/cfg_HRS)</f>
        <v/>
      </c>
      <c r="P52" s="86" t="str">
        <f aca="false">IF($B52="","",SUMIFS('الحركات الشهرية'!$G$6:$G$1005,'الحركات الشهرية'!$B$6:$B$1005,$B52,'الحركات الشهرية'!$A$6:$A$1005,$C$3))</f>
        <v/>
      </c>
      <c r="Q52" s="86" t="str">
        <f aca="false">IF($B52="","",SUMIFS('الحركات الشهرية'!$H$6:$H$1005,'الحركات الشهرية'!$B$6:$B$1005,$B52,'الحركات الشهرية'!$A$6:$A$1005,$C$3))</f>
        <v/>
      </c>
      <c r="R52" s="106" t="str">
        <f aca="false">IF($B52="","",SUM(J52:M52)+SUM(O52:Q52))</f>
        <v/>
      </c>
      <c r="S52" s="86" t="str">
        <f aca="false">IF($B52="","",الموظفون!$Q52*IF(E52="سعودي",cfg_G_SE,cfg_G_NE)*F52/cfg_DAYS_M)</f>
        <v/>
      </c>
      <c r="T52" s="86" t="str">
        <f aca="false">IF($B52="","",SUMIFS('الحركات الشهرية'!$I$6:$I$1005,'الحركات الشهرية'!$B$6:$B$1005,$B52,'الحركات الشهرية'!$A$6:$A$1005,$C$3))</f>
        <v/>
      </c>
      <c r="U52" s="86" t="str">
        <f aca="false">IF($B52="","",SUMIFS('الحركات الشهرية'!$J$6:$J$1005,'الحركات الشهرية'!$B$6:$B$1005,$B52,'الحركات الشهرية'!$A$6:$A$1005,$C$3))</f>
        <v/>
      </c>
      <c r="V52" s="86" t="str">
        <f aca="false">IF($B52="","",SUM(S52:U52))</f>
        <v/>
      </c>
      <c r="W52" s="107" t="str">
        <f aca="false">IF($B52="","",R52-V52)</f>
        <v/>
      </c>
      <c r="X52" s="86" t="str">
        <f aca="false">IF($B52="","",الموظفون!$Q52*IF(E52="سعودي",cfg_G_SR,cfg_G_NR)*F52/cfg_DAYS_M)</f>
        <v/>
      </c>
      <c r="Y52" s="86" t="str">
        <f aca="false">IF($B52="","",الموظفون!$O52*(cfg_EOS_R1*(MIN(AC52,cfg_EOS_TH)-MIN(AD52,cfg_EOS_TH))+cfg_EOS_R2*(MAX(AC52-cfg_EOS_TH,0)-MAX(AD52-cfg_EOS_TH,0))))</f>
        <v/>
      </c>
      <c r="Z52" s="86" t="str">
        <f aca="false">IF($B52="","",IF(الموظفون!$R52&lt;&gt;"",الموظفون!$R52,IF(AC52&gt;=cfg_LV_TH,cfg_LV_D2,cfg_LV_D1))/cfg_DAYS_Y*AE52*الموظفون!$P52/cfg_DAYS_M)</f>
        <v/>
      </c>
      <c r="AA52" s="86" t="str">
        <f aca="false">IF($B52="","",IF(AND(الموظفون!$S52="نعم",N(الموظفون!$U52)&gt;0),الموظفون!$T52/الموظفون!$U52*12/cfg_DAYS_Y*AE52,0))</f>
        <v/>
      </c>
      <c r="AB52" s="108" t="str">
        <f aca="false">IF($B52="","",R52+SUM(X52:AA52))</f>
        <v/>
      </c>
      <c r="AC52" s="109" t="str">
        <f aca="false">IF($B52="","",MAX(0,IF(OR(الموظفون!$X52="",الموظفون!$X52&gt;$G$3),$G$3,الموظفون!$X52)-الموظفون!$H52+1)/cfg_DAYS_Y)</f>
        <v/>
      </c>
      <c r="AD52" s="109" t="str">
        <f aca="false">IF($B52="","",MAX(0,IF(OR(الموظفون!$X52="",الموظفون!$X52&gt;($E$3-1)),($E$3-1),الموظفون!$X52)-الموظفون!$H52+1)/cfg_DAYS_Y)</f>
        <v/>
      </c>
      <c r="AE52" s="51" t="str">
        <f aca="false">IF($B52="","",MAX(0,IF(OR(الموظفون!$X52="",الموظفون!$X52&gt;$G$3),$G$3,الموظفون!$X52)-MAX($E$3,الموظفون!$H52)+1))</f>
        <v/>
      </c>
    </row>
    <row r="53" customFormat="false" ht="15" hidden="false" customHeight="false" outlineLevel="0" collapsed="false">
      <c r="A53" s="89" t="str">
        <f aca="false">IF($B53="","",الموظفون!$A53)</f>
        <v/>
      </c>
      <c r="B53" s="91" t="str">
        <f aca="false">IF(الموظفون!$B53="","",الموظفون!$B53)</f>
        <v/>
      </c>
      <c r="C53" s="91" t="str">
        <f aca="false">IF($B53="","",الموظفون!$C53)</f>
        <v/>
      </c>
      <c r="D53" s="91" t="str">
        <f aca="false">IF($B53="","",الموظفون!$F53)</f>
        <v/>
      </c>
      <c r="E53" s="91" t="str">
        <f aca="false">IF($B53="","",الموظفون!$E53)</f>
        <v/>
      </c>
      <c r="F53" s="110" t="str">
        <f aca="false">IF($B53="","",IF(AE53&gt;=DAY($G$3),cfg_DAYS_M,MIN(AE53,cfg_DAYS_M)))</f>
        <v/>
      </c>
      <c r="G53" s="110" t="str">
        <f aca="false">IF($B53="","",SUMIFS('الحركات الشهرية'!$D$6:$D$1005,'الحركات الشهرية'!$B$6:$B$1005,$B53,'الحركات الشهرية'!$A$6:$A$1005,$C$3))</f>
        <v/>
      </c>
      <c r="H53" s="110" t="str">
        <f aca="false">IF($B53="","",SUMIFS('الحركات الشهرية'!$E$6:$E$1005,'الحركات الشهرية'!$B$6:$B$1005,$B53,'الحركات الشهرية'!$A$6:$A$1005,$C$3))</f>
        <v/>
      </c>
      <c r="I53" s="110" t="str">
        <f aca="false">IF($B53="","",MAX(0,F53-G53-H53))</f>
        <v/>
      </c>
      <c r="J53" s="90" t="str">
        <f aca="false">IF($B53="","",الموظفون!$J53*$I53/cfg_DAYS_M)</f>
        <v/>
      </c>
      <c r="K53" s="90" t="str">
        <f aca="false">IF($B53="","",الموظفون!$K53*$I53/cfg_DAYS_M)</f>
        <v/>
      </c>
      <c r="L53" s="90" t="str">
        <f aca="false">IF($B53="","",الموظفون!$L53*$I53/cfg_DAYS_M)</f>
        <v/>
      </c>
      <c r="M53" s="90" t="str">
        <f aca="false">IF($B53="","",الموظفون!$M53*$I53/cfg_DAYS_M)</f>
        <v/>
      </c>
      <c r="N53" s="110" t="str">
        <f aca="false">IF($B53="","",SUMIFS('الحركات الشهرية'!$F$6:$F$1005,'الحركات الشهرية'!$B$6:$B$1005,$B53,'الحركات الشهرية'!$A$6:$A$1005,$C$3))</f>
        <v/>
      </c>
      <c r="O53" s="90" t="str">
        <f aca="false">IF($B53="","",N53*(الموظفون!$N53+الموظفون!$J53*cfg_OT_P)/cfg_DAYS_M/cfg_HRS)</f>
        <v/>
      </c>
      <c r="P53" s="90" t="str">
        <f aca="false">IF($B53="","",SUMIFS('الحركات الشهرية'!$G$6:$G$1005,'الحركات الشهرية'!$B$6:$B$1005,$B53,'الحركات الشهرية'!$A$6:$A$1005,$C$3))</f>
        <v/>
      </c>
      <c r="Q53" s="90" t="str">
        <f aca="false">IF($B53="","",SUMIFS('الحركات الشهرية'!$H$6:$H$1005,'الحركات الشهرية'!$B$6:$B$1005,$B53,'الحركات الشهرية'!$A$6:$A$1005,$C$3))</f>
        <v/>
      </c>
      <c r="R53" s="111" t="str">
        <f aca="false">IF($B53="","",SUM(J53:M53)+SUM(O53:Q53))</f>
        <v/>
      </c>
      <c r="S53" s="90" t="str">
        <f aca="false">IF($B53="","",الموظفون!$Q53*IF(E53="سعودي",cfg_G_SE,cfg_G_NE)*F53/cfg_DAYS_M)</f>
        <v/>
      </c>
      <c r="T53" s="90" t="str">
        <f aca="false">IF($B53="","",SUMIFS('الحركات الشهرية'!$I$6:$I$1005,'الحركات الشهرية'!$B$6:$B$1005,$B53,'الحركات الشهرية'!$A$6:$A$1005,$C$3))</f>
        <v/>
      </c>
      <c r="U53" s="90" t="str">
        <f aca="false">IF($B53="","",SUMIFS('الحركات الشهرية'!$J$6:$J$1005,'الحركات الشهرية'!$B$6:$B$1005,$B53,'الحركات الشهرية'!$A$6:$A$1005,$C$3))</f>
        <v/>
      </c>
      <c r="V53" s="90" t="str">
        <f aca="false">IF($B53="","",SUM(S53:U53))</f>
        <v/>
      </c>
      <c r="W53" s="112" t="str">
        <f aca="false">IF($B53="","",R53-V53)</f>
        <v/>
      </c>
      <c r="X53" s="90" t="str">
        <f aca="false">IF($B53="","",الموظفون!$Q53*IF(E53="سعودي",cfg_G_SR,cfg_G_NR)*F53/cfg_DAYS_M)</f>
        <v/>
      </c>
      <c r="Y53" s="90" t="str">
        <f aca="false">IF($B53="","",الموظفون!$O53*(cfg_EOS_R1*(MIN(AC53,cfg_EOS_TH)-MIN(AD53,cfg_EOS_TH))+cfg_EOS_R2*(MAX(AC53-cfg_EOS_TH,0)-MAX(AD53-cfg_EOS_TH,0))))</f>
        <v/>
      </c>
      <c r="Z53" s="90" t="str">
        <f aca="false">IF($B53="","",IF(الموظفون!$R53&lt;&gt;"",الموظفون!$R53,IF(AC53&gt;=cfg_LV_TH,cfg_LV_D2,cfg_LV_D1))/cfg_DAYS_Y*AE53*الموظفون!$P53/cfg_DAYS_M)</f>
        <v/>
      </c>
      <c r="AA53" s="90" t="str">
        <f aca="false">IF($B53="","",IF(AND(الموظفون!$S53="نعم",N(الموظفون!$U53)&gt;0),الموظفون!$T53/الموظفون!$U53*12/cfg_DAYS_Y*AE53,0))</f>
        <v/>
      </c>
      <c r="AB53" s="113" t="str">
        <f aca="false">IF($B53="","",R53+SUM(X53:AA53))</f>
        <v/>
      </c>
      <c r="AC53" s="114" t="str">
        <f aca="false">IF($B53="","",MAX(0,IF(OR(الموظفون!$X53="",الموظفون!$X53&gt;$G$3),$G$3,الموظفون!$X53)-الموظفون!$H53+1)/cfg_DAYS_Y)</f>
        <v/>
      </c>
      <c r="AD53" s="114" t="str">
        <f aca="false">IF($B53="","",MAX(0,IF(OR(الموظفون!$X53="",الموظفون!$X53&gt;($E$3-1)),($E$3-1),الموظفون!$X53)-الموظفون!$H53+1)/cfg_DAYS_Y)</f>
        <v/>
      </c>
      <c r="AE53" s="115" t="str">
        <f aca="false">IF($B53="","",MAX(0,IF(OR(الموظفون!$X53="",الموظفون!$X53&gt;$G$3),$G$3,الموظفون!$X53)-MAX($E$3,الموظفون!$H53)+1))</f>
        <v/>
      </c>
    </row>
    <row r="54" customFormat="false" ht="15" hidden="false" customHeight="false" outlineLevel="0" collapsed="false">
      <c r="A54" s="83" t="str">
        <f aca="false">IF($B54="","",الموظفون!$A54)</f>
        <v/>
      </c>
      <c r="B54" s="74" t="str">
        <f aca="false">IF(الموظفون!$B54="","",الموظفون!$B54)</f>
        <v/>
      </c>
      <c r="C54" s="74" t="str">
        <f aca="false">IF($B54="","",الموظفون!$C54)</f>
        <v/>
      </c>
      <c r="D54" s="74" t="str">
        <f aca="false">IF($B54="","",الموظفون!$F54)</f>
        <v/>
      </c>
      <c r="E54" s="74" t="str">
        <f aca="false">IF($B54="","",الموظفون!$E54)</f>
        <v/>
      </c>
      <c r="F54" s="105" t="str">
        <f aca="false">IF($B54="","",IF(AE54&gt;=DAY($G$3),cfg_DAYS_M,MIN(AE54,cfg_DAYS_M)))</f>
        <v/>
      </c>
      <c r="G54" s="105" t="str">
        <f aca="false">IF($B54="","",SUMIFS('الحركات الشهرية'!$D$6:$D$1005,'الحركات الشهرية'!$B$6:$B$1005,$B54,'الحركات الشهرية'!$A$6:$A$1005,$C$3))</f>
        <v/>
      </c>
      <c r="H54" s="105" t="str">
        <f aca="false">IF($B54="","",SUMIFS('الحركات الشهرية'!$E$6:$E$1005,'الحركات الشهرية'!$B$6:$B$1005,$B54,'الحركات الشهرية'!$A$6:$A$1005,$C$3))</f>
        <v/>
      </c>
      <c r="I54" s="105" t="str">
        <f aca="false">IF($B54="","",MAX(0,F54-G54-H54))</f>
        <v/>
      </c>
      <c r="J54" s="86" t="str">
        <f aca="false">IF($B54="","",الموظفون!$J54*$I54/cfg_DAYS_M)</f>
        <v/>
      </c>
      <c r="K54" s="86" t="str">
        <f aca="false">IF($B54="","",الموظفون!$K54*$I54/cfg_DAYS_M)</f>
        <v/>
      </c>
      <c r="L54" s="86" t="str">
        <f aca="false">IF($B54="","",الموظفون!$L54*$I54/cfg_DAYS_M)</f>
        <v/>
      </c>
      <c r="M54" s="86" t="str">
        <f aca="false">IF($B54="","",الموظفون!$M54*$I54/cfg_DAYS_M)</f>
        <v/>
      </c>
      <c r="N54" s="105" t="str">
        <f aca="false">IF($B54="","",SUMIFS('الحركات الشهرية'!$F$6:$F$1005,'الحركات الشهرية'!$B$6:$B$1005,$B54,'الحركات الشهرية'!$A$6:$A$1005,$C$3))</f>
        <v/>
      </c>
      <c r="O54" s="86" t="str">
        <f aca="false">IF($B54="","",N54*(الموظفون!$N54+الموظفون!$J54*cfg_OT_P)/cfg_DAYS_M/cfg_HRS)</f>
        <v/>
      </c>
      <c r="P54" s="86" t="str">
        <f aca="false">IF($B54="","",SUMIFS('الحركات الشهرية'!$G$6:$G$1005,'الحركات الشهرية'!$B$6:$B$1005,$B54,'الحركات الشهرية'!$A$6:$A$1005,$C$3))</f>
        <v/>
      </c>
      <c r="Q54" s="86" t="str">
        <f aca="false">IF($B54="","",SUMIFS('الحركات الشهرية'!$H$6:$H$1005,'الحركات الشهرية'!$B$6:$B$1005,$B54,'الحركات الشهرية'!$A$6:$A$1005,$C$3))</f>
        <v/>
      </c>
      <c r="R54" s="106" t="str">
        <f aca="false">IF($B54="","",SUM(J54:M54)+SUM(O54:Q54))</f>
        <v/>
      </c>
      <c r="S54" s="86" t="str">
        <f aca="false">IF($B54="","",الموظفون!$Q54*IF(E54="سعودي",cfg_G_SE,cfg_G_NE)*F54/cfg_DAYS_M)</f>
        <v/>
      </c>
      <c r="T54" s="86" t="str">
        <f aca="false">IF($B54="","",SUMIFS('الحركات الشهرية'!$I$6:$I$1005,'الحركات الشهرية'!$B$6:$B$1005,$B54,'الحركات الشهرية'!$A$6:$A$1005,$C$3))</f>
        <v/>
      </c>
      <c r="U54" s="86" t="str">
        <f aca="false">IF($B54="","",SUMIFS('الحركات الشهرية'!$J$6:$J$1005,'الحركات الشهرية'!$B$6:$B$1005,$B54,'الحركات الشهرية'!$A$6:$A$1005,$C$3))</f>
        <v/>
      </c>
      <c r="V54" s="86" t="str">
        <f aca="false">IF($B54="","",SUM(S54:U54))</f>
        <v/>
      </c>
      <c r="W54" s="107" t="str">
        <f aca="false">IF($B54="","",R54-V54)</f>
        <v/>
      </c>
      <c r="X54" s="86" t="str">
        <f aca="false">IF($B54="","",الموظفون!$Q54*IF(E54="سعودي",cfg_G_SR,cfg_G_NR)*F54/cfg_DAYS_M)</f>
        <v/>
      </c>
      <c r="Y54" s="86" t="str">
        <f aca="false">IF($B54="","",الموظفون!$O54*(cfg_EOS_R1*(MIN(AC54,cfg_EOS_TH)-MIN(AD54,cfg_EOS_TH))+cfg_EOS_R2*(MAX(AC54-cfg_EOS_TH,0)-MAX(AD54-cfg_EOS_TH,0))))</f>
        <v/>
      </c>
      <c r="Z54" s="86" t="str">
        <f aca="false">IF($B54="","",IF(الموظفون!$R54&lt;&gt;"",الموظفون!$R54,IF(AC54&gt;=cfg_LV_TH,cfg_LV_D2,cfg_LV_D1))/cfg_DAYS_Y*AE54*الموظفون!$P54/cfg_DAYS_M)</f>
        <v/>
      </c>
      <c r="AA54" s="86" t="str">
        <f aca="false">IF($B54="","",IF(AND(الموظفون!$S54="نعم",N(الموظفون!$U54)&gt;0),الموظفون!$T54/الموظفون!$U54*12/cfg_DAYS_Y*AE54,0))</f>
        <v/>
      </c>
      <c r="AB54" s="108" t="str">
        <f aca="false">IF($B54="","",R54+SUM(X54:AA54))</f>
        <v/>
      </c>
      <c r="AC54" s="109" t="str">
        <f aca="false">IF($B54="","",MAX(0,IF(OR(الموظفون!$X54="",الموظفون!$X54&gt;$G$3),$G$3,الموظفون!$X54)-الموظفون!$H54+1)/cfg_DAYS_Y)</f>
        <v/>
      </c>
      <c r="AD54" s="109" t="str">
        <f aca="false">IF($B54="","",MAX(0,IF(OR(الموظفون!$X54="",الموظفون!$X54&gt;($E$3-1)),($E$3-1),الموظفون!$X54)-الموظفون!$H54+1)/cfg_DAYS_Y)</f>
        <v/>
      </c>
      <c r="AE54" s="51" t="str">
        <f aca="false">IF($B54="","",MAX(0,IF(OR(الموظفون!$X54="",الموظفون!$X54&gt;$G$3),$G$3,الموظفون!$X54)-MAX($E$3,الموظفون!$H54)+1))</f>
        <v/>
      </c>
    </row>
    <row r="55" customFormat="false" ht="15" hidden="false" customHeight="false" outlineLevel="0" collapsed="false">
      <c r="A55" s="89" t="str">
        <f aca="false">IF($B55="","",الموظفون!$A55)</f>
        <v/>
      </c>
      <c r="B55" s="91" t="str">
        <f aca="false">IF(الموظفون!$B55="","",الموظفون!$B55)</f>
        <v/>
      </c>
      <c r="C55" s="91" t="str">
        <f aca="false">IF($B55="","",الموظفون!$C55)</f>
        <v/>
      </c>
      <c r="D55" s="91" t="str">
        <f aca="false">IF($B55="","",الموظفون!$F55)</f>
        <v/>
      </c>
      <c r="E55" s="91" t="str">
        <f aca="false">IF($B55="","",الموظفون!$E55)</f>
        <v/>
      </c>
      <c r="F55" s="110" t="str">
        <f aca="false">IF($B55="","",IF(AE55&gt;=DAY($G$3),cfg_DAYS_M,MIN(AE55,cfg_DAYS_M)))</f>
        <v/>
      </c>
      <c r="G55" s="110" t="str">
        <f aca="false">IF($B55="","",SUMIFS('الحركات الشهرية'!$D$6:$D$1005,'الحركات الشهرية'!$B$6:$B$1005,$B55,'الحركات الشهرية'!$A$6:$A$1005,$C$3))</f>
        <v/>
      </c>
      <c r="H55" s="110" t="str">
        <f aca="false">IF($B55="","",SUMIFS('الحركات الشهرية'!$E$6:$E$1005,'الحركات الشهرية'!$B$6:$B$1005,$B55,'الحركات الشهرية'!$A$6:$A$1005,$C$3))</f>
        <v/>
      </c>
      <c r="I55" s="110" t="str">
        <f aca="false">IF($B55="","",MAX(0,F55-G55-H55))</f>
        <v/>
      </c>
      <c r="J55" s="90" t="str">
        <f aca="false">IF($B55="","",الموظفون!$J55*$I55/cfg_DAYS_M)</f>
        <v/>
      </c>
      <c r="K55" s="90" t="str">
        <f aca="false">IF($B55="","",الموظفون!$K55*$I55/cfg_DAYS_M)</f>
        <v/>
      </c>
      <c r="L55" s="90" t="str">
        <f aca="false">IF($B55="","",الموظفون!$L55*$I55/cfg_DAYS_M)</f>
        <v/>
      </c>
      <c r="M55" s="90" t="str">
        <f aca="false">IF($B55="","",الموظفون!$M55*$I55/cfg_DAYS_M)</f>
        <v/>
      </c>
      <c r="N55" s="110" t="str">
        <f aca="false">IF($B55="","",SUMIFS('الحركات الشهرية'!$F$6:$F$1005,'الحركات الشهرية'!$B$6:$B$1005,$B55,'الحركات الشهرية'!$A$6:$A$1005,$C$3))</f>
        <v/>
      </c>
      <c r="O55" s="90" t="str">
        <f aca="false">IF($B55="","",N55*(الموظفون!$N55+الموظفون!$J55*cfg_OT_P)/cfg_DAYS_M/cfg_HRS)</f>
        <v/>
      </c>
      <c r="P55" s="90" t="str">
        <f aca="false">IF($B55="","",SUMIFS('الحركات الشهرية'!$G$6:$G$1005,'الحركات الشهرية'!$B$6:$B$1005,$B55,'الحركات الشهرية'!$A$6:$A$1005,$C$3))</f>
        <v/>
      </c>
      <c r="Q55" s="90" t="str">
        <f aca="false">IF($B55="","",SUMIFS('الحركات الشهرية'!$H$6:$H$1005,'الحركات الشهرية'!$B$6:$B$1005,$B55,'الحركات الشهرية'!$A$6:$A$1005,$C$3))</f>
        <v/>
      </c>
      <c r="R55" s="111" t="str">
        <f aca="false">IF($B55="","",SUM(J55:M55)+SUM(O55:Q55))</f>
        <v/>
      </c>
      <c r="S55" s="90" t="str">
        <f aca="false">IF($B55="","",الموظفون!$Q55*IF(E55="سعودي",cfg_G_SE,cfg_G_NE)*F55/cfg_DAYS_M)</f>
        <v/>
      </c>
      <c r="T55" s="90" t="str">
        <f aca="false">IF($B55="","",SUMIFS('الحركات الشهرية'!$I$6:$I$1005,'الحركات الشهرية'!$B$6:$B$1005,$B55,'الحركات الشهرية'!$A$6:$A$1005,$C$3))</f>
        <v/>
      </c>
      <c r="U55" s="90" t="str">
        <f aca="false">IF($B55="","",SUMIFS('الحركات الشهرية'!$J$6:$J$1005,'الحركات الشهرية'!$B$6:$B$1005,$B55,'الحركات الشهرية'!$A$6:$A$1005,$C$3))</f>
        <v/>
      </c>
      <c r="V55" s="90" t="str">
        <f aca="false">IF($B55="","",SUM(S55:U55))</f>
        <v/>
      </c>
      <c r="W55" s="112" t="str">
        <f aca="false">IF($B55="","",R55-V55)</f>
        <v/>
      </c>
      <c r="X55" s="90" t="str">
        <f aca="false">IF($B55="","",الموظفون!$Q55*IF(E55="سعودي",cfg_G_SR,cfg_G_NR)*F55/cfg_DAYS_M)</f>
        <v/>
      </c>
      <c r="Y55" s="90" t="str">
        <f aca="false">IF($B55="","",الموظفون!$O55*(cfg_EOS_R1*(MIN(AC55,cfg_EOS_TH)-MIN(AD55,cfg_EOS_TH))+cfg_EOS_R2*(MAX(AC55-cfg_EOS_TH,0)-MAX(AD55-cfg_EOS_TH,0))))</f>
        <v/>
      </c>
      <c r="Z55" s="90" t="str">
        <f aca="false">IF($B55="","",IF(الموظفون!$R55&lt;&gt;"",الموظفون!$R55,IF(AC55&gt;=cfg_LV_TH,cfg_LV_D2,cfg_LV_D1))/cfg_DAYS_Y*AE55*الموظفون!$P55/cfg_DAYS_M)</f>
        <v/>
      </c>
      <c r="AA55" s="90" t="str">
        <f aca="false">IF($B55="","",IF(AND(الموظفون!$S55="نعم",N(الموظفون!$U55)&gt;0),الموظفون!$T55/الموظفون!$U55*12/cfg_DAYS_Y*AE55,0))</f>
        <v/>
      </c>
      <c r="AB55" s="113" t="str">
        <f aca="false">IF($B55="","",R55+SUM(X55:AA55))</f>
        <v/>
      </c>
      <c r="AC55" s="114" t="str">
        <f aca="false">IF($B55="","",MAX(0,IF(OR(الموظفون!$X55="",الموظفون!$X55&gt;$G$3),$G$3,الموظفون!$X55)-الموظفون!$H55+1)/cfg_DAYS_Y)</f>
        <v/>
      </c>
      <c r="AD55" s="114" t="str">
        <f aca="false">IF($B55="","",MAX(0,IF(OR(الموظفون!$X55="",الموظفون!$X55&gt;($E$3-1)),($E$3-1),الموظفون!$X55)-الموظفون!$H55+1)/cfg_DAYS_Y)</f>
        <v/>
      </c>
      <c r="AE55" s="115" t="str">
        <f aca="false">IF($B55="","",MAX(0,IF(OR(الموظفون!$X55="",الموظفون!$X55&gt;$G$3),$G$3,الموظفون!$X55)-MAX($E$3,الموظفون!$H55)+1))</f>
        <v/>
      </c>
    </row>
    <row r="56" customFormat="false" ht="15" hidden="false" customHeight="false" outlineLevel="0" collapsed="false">
      <c r="A56" s="83" t="str">
        <f aca="false">IF($B56="","",الموظفون!$A56)</f>
        <v/>
      </c>
      <c r="B56" s="74" t="str">
        <f aca="false">IF(الموظفون!$B56="","",الموظفون!$B56)</f>
        <v/>
      </c>
      <c r="C56" s="74" t="str">
        <f aca="false">IF($B56="","",الموظفون!$C56)</f>
        <v/>
      </c>
      <c r="D56" s="74" t="str">
        <f aca="false">IF($B56="","",الموظفون!$F56)</f>
        <v/>
      </c>
      <c r="E56" s="74" t="str">
        <f aca="false">IF($B56="","",الموظفون!$E56)</f>
        <v/>
      </c>
      <c r="F56" s="105" t="str">
        <f aca="false">IF($B56="","",IF(AE56&gt;=DAY($G$3),cfg_DAYS_M,MIN(AE56,cfg_DAYS_M)))</f>
        <v/>
      </c>
      <c r="G56" s="105" t="str">
        <f aca="false">IF($B56="","",SUMIFS('الحركات الشهرية'!$D$6:$D$1005,'الحركات الشهرية'!$B$6:$B$1005,$B56,'الحركات الشهرية'!$A$6:$A$1005,$C$3))</f>
        <v/>
      </c>
      <c r="H56" s="105" t="str">
        <f aca="false">IF($B56="","",SUMIFS('الحركات الشهرية'!$E$6:$E$1005,'الحركات الشهرية'!$B$6:$B$1005,$B56,'الحركات الشهرية'!$A$6:$A$1005,$C$3))</f>
        <v/>
      </c>
      <c r="I56" s="105" t="str">
        <f aca="false">IF($B56="","",MAX(0,F56-G56-H56))</f>
        <v/>
      </c>
      <c r="J56" s="86" t="str">
        <f aca="false">IF($B56="","",الموظفون!$J56*$I56/cfg_DAYS_M)</f>
        <v/>
      </c>
      <c r="K56" s="86" t="str">
        <f aca="false">IF($B56="","",الموظفون!$K56*$I56/cfg_DAYS_M)</f>
        <v/>
      </c>
      <c r="L56" s="86" t="str">
        <f aca="false">IF($B56="","",الموظفون!$L56*$I56/cfg_DAYS_M)</f>
        <v/>
      </c>
      <c r="M56" s="86" t="str">
        <f aca="false">IF($B56="","",الموظفون!$M56*$I56/cfg_DAYS_M)</f>
        <v/>
      </c>
      <c r="N56" s="105" t="str">
        <f aca="false">IF($B56="","",SUMIFS('الحركات الشهرية'!$F$6:$F$1005,'الحركات الشهرية'!$B$6:$B$1005,$B56,'الحركات الشهرية'!$A$6:$A$1005,$C$3))</f>
        <v/>
      </c>
      <c r="O56" s="86" t="str">
        <f aca="false">IF($B56="","",N56*(الموظفون!$N56+الموظفون!$J56*cfg_OT_P)/cfg_DAYS_M/cfg_HRS)</f>
        <v/>
      </c>
      <c r="P56" s="86" t="str">
        <f aca="false">IF($B56="","",SUMIFS('الحركات الشهرية'!$G$6:$G$1005,'الحركات الشهرية'!$B$6:$B$1005,$B56,'الحركات الشهرية'!$A$6:$A$1005,$C$3))</f>
        <v/>
      </c>
      <c r="Q56" s="86" t="str">
        <f aca="false">IF($B56="","",SUMIFS('الحركات الشهرية'!$H$6:$H$1005,'الحركات الشهرية'!$B$6:$B$1005,$B56,'الحركات الشهرية'!$A$6:$A$1005,$C$3))</f>
        <v/>
      </c>
      <c r="R56" s="106" t="str">
        <f aca="false">IF($B56="","",SUM(J56:M56)+SUM(O56:Q56))</f>
        <v/>
      </c>
      <c r="S56" s="86" t="str">
        <f aca="false">IF($B56="","",الموظفون!$Q56*IF(E56="سعودي",cfg_G_SE,cfg_G_NE)*F56/cfg_DAYS_M)</f>
        <v/>
      </c>
      <c r="T56" s="86" t="str">
        <f aca="false">IF($B56="","",SUMIFS('الحركات الشهرية'!$I$6:$I$1005,'الحركات الشهرية'!$B$6:$B$1005,$B56,'الحركات الشهرية'!$A$6:$A$1005,$C$3))</f>
        <v/>
      </c>
      <c r="U56" s="86" t="str">
        <f aca="false">IF($B56="","",SUMIFS('الحركات الشهرية'!$J$6:$J$1005,'الحركات الشهرية'!$B$6:$B$1005,$B56,'الحركات الشهرية'!$A$6:$A$1005,$C$3))</f>
        <v/>
      </c>
      <c r="V56" s="86" t="str">
        <f aca="false">IF($B56="","",SUM(S56:U56))</f>
        <v/>
      </c>
      <c r="W56" s="107" t="str">
        <f aca="false">IF($B56="","",R56-V56)</f>
        <v/>
      </c>
      <c r="X56" s="86" t="str">
        <f aca="false">IF($B56="","",الموظفون!$Q56*IF(E56="سعودي",cfg_G_SR,cfg_G_NR)*F56/cfg_DAYS_M)</f>
        <v/>
      </c>
      <c r="Y56" s="86" t="str">
        <f aca="false">IF($B56="","",الموظفون!$O56*(cfg_EOS_R1*(MIN(AC56,cfg_EOS_TH)-MIN(AD56,cfg_EOS_TH))+cfg_EOS_R2*(MAX(AC56-cfg_EOS_TH,0)-MAX(AD56-cfg_EOS_TH,0))))</f>
        <v/>
      </c>
      <c r="Z56" s="86" t="str">
        <f aca="false">IF($B56="","",IF(الموظفون!$R56&lt;&gt;"",الموظفون!$R56,IF(AC56&gt;=cfg_LV_TH,cfg_LV_D2,cfg_LV_D1))/cfg_DAYS_Y*AE56*الموظفون!$P56/cfg_DAYS_M)</f>
        <v/>
      </c>
      <c r="AA56" s="86" t="str">
        <f aca="false">IF($B56="","",IF(AND(الموظفون!$S56="نعم",N(الموظفون!$U56)&gt;0),الموظفون!$T56/الموظفون!$U56*12/cfg_DAYS_Y*AE56,0))</f>
        <v/>
      </c>
      <c r="AB56" s="108" t="str">
        <f aca="false">IF($B56="","",R56+SUM(X56:AA56))</f>
        <v/>
      </c>
      <c r="AC56" s="109" t="str">
        <f aca="false">IF($B56="","",MAX(0,IF(OR(الموظفون!$X56="",الموظفون!$X56&gt;$G$3),$G$3,الموظفون!$X56)-الموظفون!$H56+1)/cfg_DAYS_Y)</f>
        <v/>
      </c>
      <c r="AD56" s="109" t="str">
        <f aca="false">IF($B56="","",MAX(0,IF(OR(الموظفون!$X56="",الموظفون!$X56&gt;($E$3-1)),($E$3-1),الموظفون!$X56)-الموظفون!$H56+1)/cfg_DAYS_Y)</f>
        <v/>
      </c>
      <c r="AE56" s="51" t="str">
        <f aca="false">IF($B56="","",MAX(0,IF(OR(الموظفون!$X56="",الموظفون!$X56&gt;$G$3),$G$3,الموظفون!$X56)-MAX($E$3,الموظفون!$H56)+1))</f>
        <v/>
      </c>
    </row>
    <row r="57" customFormat="false" ht="15" hidden="false" customHeight="false" outlineLevel="0" collapsed="false">
      <c r="A57" s="89" t="str">
        <f aca="false">IF($B57="","",الموظفون!$A57)</f>
        <v/>
      </c>
      <c r="B57" s="91" t="str">
        <f aca="false">IF(الموظفون!$B57="","",الموظفون!$B57)</f>
        <v/>
      </c>
      <c r="C57" s="91" t="str">
        <f aca="false">IF($B57="","",الموظفون!$C57)</f>
        <v/>
      </c>
      <c r="D57" s="91" t="str">
        <f aca="false">IF($B57="","",الموظفون!$F57)</f>
        <v/>
      </c>
      <c r="E57" s="91" t="str">
        <f aca="false">IF($B57="","",الموظفون!$E57)</f>
        <v/>
      </c>
      <c r="F57" s="110" t="str">
        <f aca="false">IF($B57="","",IF(AE57&gt;=DAY($G$3),cfg_DAYS_M,MIN(AE57,cfg_DAYS_M)))</f>
        <v/>
      </c>
      <c r="G57" s="110" t="str">
        <f aca="false">IF($B57="","",SUMIFS('الحركات الشهرية'!$D$6:$D$1005,'الحركات الشهرية'!$B$6:$B$1005,$B57,'الحركات الشهرية'!$A$6:$A$1005,$C$3))</f>
        <v/>
      </c>
      <c r="H57" s="110" t="str">
        <f aca="false">IF($B57="","",SUMIFS('الحركات الشهرية'!$E$6:$E$1005,'الحركات الشهرية'!$B$6:$B$1005,$B57,'الحركات الشهرية'!$A$6:$A$1005,$C$3))</f>
        <v/>
      </c>
      <c r="I57" s="110" t="str">
        <f aca="false">IF($B57="","",MAX(0,F57-G57-H57))</f>
        <v/>
      </c>
      <c r="J57" s="90" t="str">
        <f aca="false">IF($B57="","",الموظفون!$J57*$I57/cfg_DAYS_M)</f>
        <v/>
      </c>
      <c r="K57" s="90" t="str">
        <f aca="false">IF($B57="","",الموظفون!$K57*$I57/cfg_DAYS_M)</f>
        <v/>
      </c>
      <c r="L57" s="90" t="str">
        <f aca="false">IF($B57="","",الموظفون!$L57*$I57/cfg_DAYS_M)</f>
        <v/>
      </c>
      <c r="M57" s="90" t="str">
        <f aca="false">IF($B57="","",الموظفون!$M57*$I57/cfg_DAYS_M)</f>
        <v/>
      </c>
      <c r="N57" s="110" t="str">
        <f aca="false">IF($B57="","",SUMIFS('الحركات الشهرية'!$F$6:$F$1005,'الحركات الشهرية'!$B$6:$B$1005,$B57,'الحركات الشهرية'!$A$6:$A$1005,$C$3))</f>
        <v/>
      </c>
      <c r="O57" s="90" t="str">
        <f aca="false">IF($B57="","",N57*(الموظفون!$N57+الموظفون!$J57*cfg_OT_P)/cfg_DAYS_M/cfg_HRS)</f>
        <v/>
      </c>
      <c r="P57" s="90" t="str">
        <f aca="false">IF($B57="","",SUMIFS('الحركات الشهرية'!$G$6:$G$1005,'الحركات الشهرية'!$B$6:$B$1005,$B57,'الحركات الشهرية'!$A$6:$A$1005,$C$3))</f>
        <v/>
      </c>
      <c r="Q57" s="90" t="str">
        <f aca="false">IF($B57="","",SUMIFS('الحركات الشهرية'!$H$6:$H$1005,'الحركات الشهرية'!$B$6:$B$1005,$B57,'الحركات الشهرية'!$A$6:$A$1005,$C$3))</f>
        <v/>
      </c>
      <c r="R57" s="111" t="str">
        <f aca="false">IF($B57="","",SUM(J57:M57)+SUM(O57:Q57))</f>
        <v/>
      </c>
      <c r="S57" s="90" t="str">
        <f aca="false">IF($B57="","",الموظفون!$Q57*IF(E57="سعودي",cfg_G_SE,cfg_G_NE)*F57/cfg_DAYS_M)</f>
        <v/>
      </c>
      <c r="T57" s="90" t="str">
        <f aca="false">IF($B57="","",SUMIFS('الحركات الشهرية'!$I$6:$I$1005,'الحركات الشهرية'!$B$6:$B$1005,$B57,'الحركات الشهرية'!$A$6:$A$1005,$C$3))</f>
        <v/>
      </c>
      <c r="U57" s="90" t="str">
        <f aca="false">IF($B57="","",SUMIFS('الحركات الشهرية'!$J$6:$J$1005,'الحركات الشهرية'!$B$6:$B$1005,$B57,'الحركات الشهرية'!$A$6:$A$1005,$C$3))</f>
        <v/>
      </c>
      <c r="V57" s="90" t="str">
        <f aca="false">IF($B57="","",SUM(S57:U57))</f>
        <v/>
      </c>
      <c r="W57" s="112" t="str">
        <f aca="false">IF($B57="","",R57-V57)</f>
        <v/>
      </c>
      <c r="X57" s="90" t="str">
        <f aca="false">IF($B57="","",الموظفون!$Q57*IF(E57="سعودي",cfg_G_SR,cfg_G_NR)*F57/cfg_DAYS_M)</f>
        <v/>
      </c>
      <c r="Y57" s="90" t="str">
        <f aca="false">IF($B57="","",الموظفون!$O57*(cfg_EOS_R1*(MIN(AC57,cfg_EOS_TH)-MIN(AD57,cfg_EOS_TH))+cfg_EOS_R2*(MAX(AC57-cfg_EOS_TH,0)-MAX(AD57-cfg_EOS_TH,0))))</f>
        <v/>
      </c>
      <c r="Z57" s="90" t="str">
        <f aca="false">IF($B57="","",IF(الموظفون!$R57&lt;&gt;"",الموظفون!$R57,IF(AC57&gt;=cfg_LV_TH,cfg_LV_D2,cfg_LV_D1))/cfg_DAYS_Y*AE57*الموظفون!$P57/cfg_DAYS_M)</f>
        <v/>
      </c>
      <c r="AA57" s="90" t="str">
        <f aca="false">IF($B57="","",IF(AND(الموظفون!$S57="نعم",N(الموظفون!$U57)&gt;0),الموظفون!$T57/الموظفون!$U57*12/cfg_DAYS_Y*AE57,0))</f>
        <v/>
      </c>
      <c r="AB57" s="113" t="str">
        <f aca="false">IF($B57="","",R57+SUM(X57:AA57))</f>
        <v/>
      </c>
      <c r="AC57" s="114" t="str">
        <f aca="false">IF($B57="","",MAX(0,IF(OR(الموظفون!$X57="",الموظفون!$X57&gt;$G$3),$G$3,الموظفون!$X57)-الموظفون!$H57+1)/cfg_DAYS_Y)</f>
        <v/>
      </c>
      <c r="AD57" s="114" t="str">
        <f aca="false">IF($B57="","",MAX(0,IF(OR(الموظفون!$X57="",الموظفون!$X57&gt;($E$3-1)),($E$3-1),الموظفون!$X57)-الموظفون!$H57+1)/cfg_DAYS_Y)</f>
        <v/>
      </c>
      <c r="AE57" s="115" t="str">
        <f aca="false">IF($B57="","",MAX(0,IF(OR(الموظفون!$X57="",الموظفون!$X57&gt;$G$3),$G$3,الموظفون!$X57)-MAX($E$3,الموظفون!$H57)+1))</f>
        <v/>
      </c>
    </row>
    <row r="58" customFormat="false" ht="15" hidden="false" customHeight="false" outlineLevel="0" collapsed="false">
      <c r="A58" s="83" t="str">
        <f aca="false">IF($B58="","",الموظفون!$A58)</f>
        <v/>
      </c>
      <c r="B58" s="74" t="str">
        <f aca="false">IF(الموظفون!$B58="","",الموظفون!$B58)</f>
        <v/>
      </c>
      <c r="C58" s="74" t="str">
        <f aca="false">IF($B58="","",الموظفون!$C58)</f>
        <v/>
      </c>
      <c r="D58" s="74" t="str">
        <f aca="false">IF($B58="","",الموظفون!$F58)</f>
        <v/>
      </c>
      <c r="E58" s="74" t="str">
        <f aca="false">IF($B58="","",الموظفون!$E58)</f>
        <v/>
      </c>
      <c r="F58" s="105" t="str">
        <f aca="false">IF($B58="","",IF(AE58&gt;=DAY($G$3),cfg_DAYS_M,MIN(AE58,cfg_DAYS_M)))</f>
        <v/>
      </c>
      <c r="G58" s="105" t="str">
        <f aca="false">IF($B58="","",SUMIFS('الحركات الشهرية'!$D$6:$D$1005,'الحركات الشهرية'!$B$6:$B$1005,$B58,'الحركات الشهرية'!$A$6:$A$1005,$C$3))</f>
        <v/>
      </c>
      <c r="H58" s="105" t="str">
        <f aca="false">IF($B58="","",SUMIFS('الحركات الشهرية'!$E$6:$E$1005,'الحركات الشهرية'!$B$6:$B$1005,$B58,'الحركات الشهرية'!$A$6:$A$1005,$C$3))</f>
        <v/>
      </c>
      <c r="I58" s="105" t="str">
        <f aca="false">IF($B58="","",MAX(0,F58-G58-H58))</f>
        <v/>
      </c>
      <c r="J58" s="86" t="str">
        <f aca="false">IF($B58="","",الموظفون!$J58*$I58/cfg_DAYS_M)</f>
        <v/>
      </c>
      <c r="K58" s="86" t="str">
        <f aca="false">IF($B58="","",الموظفون!$K58*$I58/cfg_DAYS_M)</f>
        <v/>
      </c>
      <c r="L58" s="86" t="str">
        <f aca="false">IF($B58="","",الموظفون!$L58*$I58/cfg_DAYS_M)</f>
        <v/>
      </c>
      <c r="M58" s="86" t="str">
        <f aca="false">IF($B58="","",الموظفون!$M58*$I58/cfg_DAYS_M)</f>
        <v/>
      </c>
      <c r="N58" s="105" t="str">
        <f aca="false">IF($B58="","",SUMIFS('الحركات الشهرية'!$F$6:$F$1005,'الحركات الشهرية'!$B$6:$B$1005,$B58,'الحركات الشهرية'!$A$6:$A$1005,$C$3))</f>
        <v/>
      </c>
      <c r="O58" s="86" t="str">
        <f aca="false">IF($B58="","",N58*(الموظفون!$N58+الموظفون!$J58*cfg_OT_P)/cfg_DAYS_M/cfg_HRS)</f>
        <v/>
      </c>
      <c r="P58" s="86" t="str">
        <f aca="false">IF($B58="","",SUMIFS('الحركات الشهرية'!$G$6:$G$1005,'الحركات الشهرية'!$B$6:$B$1005,$B58,'الحركات الشهرية'!$A$6:$A$1005,$C$3))</f>
        <v/>
      </c>
      <c r="Q58" s="86" t="str">
        <f aca="false">IF($B58="","",SUMIFS('الحركات الشهرية'!$H$6:$H$1005,'الحركات الشهرية'!$B$6:$B$1005,$B58,'الحركات الشهرية'!$A$6:$A$1005,$C$3))</f>
        <v/>
      </c>
      <c r="R58" s="106" t="str">
        <f aca="false">IF($B58="","",SUM(J58:M58)+SUM(O58:Q58))</f>
        <v/>
      </c>
      <c r="S58" s="86" t="str">
        <f aca="false">IF($B58="","",الموظفون!$Q58*IF(E58="سعودي",cfg_G_SE,cfg_G_NE)*F58/cfg_DAYS_M)</f>
        <v/>
      </c>
      <c r="T58" s="86" t="str">
        <f aca="false">IF($B58="","",SUMIFS('الحركات الشهرية'!$I$6:$I$1005,'الحركات الشهرية'!$B$6:$B$1005,$B58,'الحركات الشهرية'!$A$6:$A$1005,$C$3))</f>
        <v/>
      </c>
      <c r="U58" s="86" t="str">
        <f aca="false">IF($B58="","",SUMIFS('الحركات الشهرية'!$J$6:$J$1005,'الحركات الشهرية'!$B$6:$B$1005,$B58,'الحركات الشهرية'!$A$6:$A$1005,$C$3))</f>
        <v/>
      </c>
      <c r="V58" s="86" t="str">
        <f aca="false">IF($B58="","",SUM(S58:U58))</f>
        <v/>
      </c>
      <c r="W58" s="107" t="str">
        <f aca="false">IF($B58="","",R58-V58)</f>
        <v/>
      </c>
      <c r="X58" s="86" t="str">
        <f aca="false">IF($B58="","",الموظفون!$Q58*IF(E58="سعودي",cfg_G_SR,cfg_G_NR)*F58/cfg_DAYS_M)</f>
        <v/>
      </c>
      <c r="Y58" s="86" t="str">
        <f aca="false">IF($B58="","",الموظفون!$O58*(cfg_EOS_R1*(MIN(AC58,cfg_EOS_TH)-MIN(AD58,cfg_EOS_TH))+cfg_EOS_R2*(MAX(AC58-cfg_EOS_TH,0)-MAX(AD58-cfg_EOS_TH,0))))</f>
        <v/>
      </c>
      <c r="Z58" s="86" t="str">
        <f aca="false">IF($B58="","",IF(الموظفون!$R58&lt;&gt;"",الموظفون!$R58,IF(AC58&gt;=cfg_LV_TH,cfg_LV_D2,cfg_LV_D1))/cfg_DAYS_Y*AE58*الموظفون!$P58/cfg_DAYS_M)</f>
        <v/>
      </c>
      <c r="AA58" s="86" t="str">
        <f aca="false">IF($B58="","",IF(AND(الموظفون!$S58="نعم",N(الموظفون!$U58)&gt;0),الموظفون!$T58/الموظفون!$U58*12/cfg_DAYS_Y*AE58,0))</f>
        <v/>
      </c>
      <c r="AB58" s="108" t="str">
        <f aca="false">IF($B58="","",R58+SUM(X58:AA58))</f>
        <v/>
      </c>
      <c r="AC58" s="109" t="str">
        <f aca="false">IF($B58="","",MAX(0,IF(OR(الموظفون!$X58="",الموظفون!$X58&gt;$G$3),$G$3,الموظفون!$X58)-الموظفون!$H58+1)/cfg_DAYS_Y)</f>
        <v/>
      </c>
      <c r="AD58" s="109" t="str">
        <f aca="false">IF($B58="","",MAX(0,IF(OR(الموظفون!$X58="",الموظفون!$X58&gt;($E$3-1)),($E$3-1),الموظفون!$X58)-الموظفون!$H58+1)/cfg_DAYS_Y)</f>
        <v/>
      </c>
      <c r="AE58" s="51" t="str">
        <f aca="false">IF($B58="","",MAX(0,IF(OR(الموظفون!$X58="",الموظفون!$X58&gt;$G$3),$G$3,الموظفون!$X58)-MAX($E$3,الموظفون!$H58)+1))</f>
        <v/>
      </c>
    </row>
    <row r="59" customFormat="false" ht="15" hidden="false" customHeight="false" outlineLevel="0" collapsed="false">
      <c r="A59" s="89" t="str">
        <f aca="false">IF($B59="","",الموظفون!$A59)</f>
        <v/>
      </c>
      <c r="B59" s="91" t="str">
        <f aca="false">IF(الموظفون!$B59="","",الموظفون!$B59)</f>
        <v/>
      </c>
      <c r="C59" s="91" t="str">
        <f aca="false">IF($B59="","",الموظفون!$C59)</f>
        <v/>
      </c>
      <c r="D59" s="91" t="str">
        <f aca="false">IF($B59="","",الموظفون!$F59)</f>
        <v/>
      </c>
      <c r="E59" s="91" t="str">
        <f aca="false">IF($B59="","",الموظفون!$E59)</f>
        <v/>
      </c>
      <c r="F59" s="110" t="str">
        <f aca="false">IF($B59="","",IF(AE59&gt;=DAY($G$3),cfg_DAYS_M,MIN(AE59,cfg_DAYS_M)))</f>
        <v/>
      </c>
      <c r="G59" s="110" t="str">
        <f aca="false">IF($B59="","",SUMIFS('الحركات الشهرية'!$D$6:$D$1005,'الحركات الشهرية'!$B$6:$B$1005,$B59,'الحركات الشهرية'!$A$6:$A$1005,$C$3))</f>
        <v/>
      </c>
      <c r="H59" s="110" t="str">
        <f aca="false">IF($B59="","",SUMIFS('الحركات الشهرية'!$E$6:$E$1005,'الحركات الشهرية'!$B$6:$B$1005,$B59,'الحركات الشهرية'!$A$6:$A$1005,$C$3))</f>
        <v/>
      </c>
      <c r="I59" s="110" t="str">
        <f aca="false">IF($B59="","",MAX(0,F59-G59-H59))</f>
        <v/>
      </c>
      <c r="J59" s="90" t="str">
        <f aca="false">IF($B59="","",الموظفون!$J59*$I59/cfg_DAYS_M)</f>
        <v/>
      </c>
      <c r="K59" s="90" t="str">
        <f aca="false">IF($B59="","",الموظفون!$K59*$I59/cfg_DAYS_M)</f>
        <v/>
      </c>
      <c r="L59" s="90" t="str">
        <f aca="false">IF($B59="","",الموظفون!$L59*$I59/cfg_DAYS_M)</f>
        <v/>
      </c>
      <c r="M59" s="90" t="str">
        <f aca="false">IF($B59="","",الموظفون!$M59*$I59/cfg_DAYS_M)</f>
        <v/>
      </c>
      <c r="N59" s="110" t="str">
        <f aca="false">IF($B59="","",SUMIFS('الحركات الشهرية'!$F$6:$F$1005,'الحركات الشهرية'!$B$6:$B$1005,$B59,'الحركات الشهرية'!$A$6:$A$1005,$C$3))</f>
        <v/>
      </c>
      <c r="O59" s="90" t="str">
        <f aca="false">IF($B59="","",N59*(الموظفون!$N59+الموظفون!$J59*cfg_OT_P)/cfg_DAYS_M/cfg_HRS)</f>
        <v/>
      </c>
      <c r="P59" s="90" t="str">
        <f aca="false">IF($B59="","",SUMIFS('الحركات الشهرية'!$G$6:$G$1005,'الحركات الشهرية'!$B$6:$B$1005,$B59,'الحركات الشهرية'!$A$6:$A$1005,$C$3))</f>
        <v/>
      </c>
      <c r="Q59" s="90" t="str">
        <f aca="false">IF($B59="","",SUMIFS('الحركات الشهرية'!$H$6:$H$1005,'الحركات الشهرية'!$B$6:$B$1005,$B59,'الحركات الشهرية'!$A$6:$A$1005,$C$3))</f>
        <v/>
      </c>
      <c r="R59" s="111" t="str">
        <f aca="false">IF($B59="","",SUM(J59:M59)+SUM(O59:Q59))</f>
        <v/>
      </c>
      <c r="S59" s="90" t="str">
        <f aca="false">IF($B59="","",الموظفون!$Q59*IF(E59="سعودي",cfg_G_SE,cfg_G_NE)*F59/cfg_DAYS_M)</f>
        <v/>
      </c>
      <c r="T59" s="90" t="str">
        <f aca="false">IF($B59="","",SUMIFS('الحركات الشهرية'!$I$6:$I$1005,'الحركات الشهرية'!$B$6:$B$1005,$B59,'الحركات الشهرية'!$A$6:$A$1005,$C$3))</f>
        <v/>
      </c>
      <c r="U59" s="90" t="str">
        <f aca="false">IF($B59="","",SUMIFS('الحركات الشهرية'!$J$6:$J$1005,'الحركات الشهرية'!$B$6:$B$1005,$B59,'الحركات الشهرية'!$A$6:$A$1005,$C$3))</f>
        <v/>
      </c>
      <c r="V59" s="90" t="str">
        <f aca="false">IF($B59="","",SUM(S59:U59))</f>
        <v/>
      </c>
      <c r="W59" s="112" t="str">
        <f aca="false">IF($B59="","",R59-V59)</f>
        <v/>
      </c>
      <c r="X59" s="90" t="str">
        <f aca="false">IF($B59="","",الموظفون!$Q59*IF(E59="سعودي",cfg_G_SR,cfg_G_NR)*F59/cfg_DAYS_M)</f>
        <v/>
      </c>
      <c r="Y59" s="90" t="str">
        <f aca="false">IF($B59="","",الموظفون!$O59*(cfg_EOS_R1*(MIN(AC59,cfg_EOS_TH)-MIN(AD59,cfg_EOS_TH))+cfg_EOS_R2*(MAX(AC59-cfg_EOS_TH,0)-MAX(AD59-cfg_EOS_TH,0))))</f>
        <v/>
      </c>
      <c r="Z59" s="90" t="str">
        <f aca="false">IF($B59="","",IF(الموظفون!$R59&lt;&gt;"",الموظفون!$R59,IF(AC59&gt;=cfg_LV_TH,cfg_LV_D2,cfg_LV_D1))/cfg_DAYS_Y*AE59*الموظفون!$P59/cfg_DAYS_M)</f>
        <v/>
      </c>
      <c r="AA59" s="90" t="str">
        <f aca="false">IF($B59="","",IF(AND(الموظفون!$S59="نعم",N(الموظفون!$U59)&gt;0),الموظفون!$T59/الموظفون!$U59*12/cfg_DAYS_Y*AE59,0))</f>
        <v/>
      </c>
      <c r="AB59" s="113" t="str">
        <f aca="false">IF($B59="","",R59+SUM(X59:AA59))</f>
        <v/>
      </c>
      <c r="AC59" s="114" t="str">
        <f aca="false">IF($B59="","",MAX(0,IF(OR(الموظفون!$X59="",الموظفون!$X59&gt;$G$3),$G$3,الموظفون!$X59)-الموظفون!$H59+1)/cfg_DAYS_Y)</f>
        <v/>
      </c>
      <c r="AD59" s="114" t="str">
        <f aca="false">IF($B59="","",MAX(0,IF(OR(الموظفون!$X59="",الموظفون!$X59&gt;($E$3-1)),($E$3-1),الموظفون!$X59)-الموظفون!$H59+1)/cfg_DAYS_Y)</f>
        <v/>
      </c>
      <c r="AE59" s="115" t="str">
        <f aca="false">IF($B59="","",MAX(0,IF(OR(الموظفون!$X59="",الموظفون!$X59&gt;$G$3),$G$3,الموظفون!$X59)-MAX($E$3,الموظفون!$H59)+1))</f>
        <v/>
      </c>
    </row>
    <row r="60" customFormat="false" ht="15" hidden="false" customHeight="false" outlineLevel="0" collapsed="false">
      <c r="A60" s="83" t="str">
        <f aca="false">IF($B60="","",الموظفون!$A60)</f>
        <v/>
      </c>
      <c r="B60" s="74" t="str">
        <f aca="false">IF(الموظفون!$B60="","",الموظفون!$B60)</f>
        <v/>
      </c>
      <c r="C60" s="74" t="str">
        <f aca="false">IF($B60="","",الموظفون!$C60)</f>
        <v/>
      </c>
      <c r="D60" s="74" t="str">
        <f aca="false">IF($B60="","",الموظفون!$F60)</f>
        <v/>
      </c>
      <c r="E60" s="74" t="str">
        <f aca="false">IF($B60="","",الموظفون!$E60)</f>
        <v/>
      </c>
      <c r="F60" s="105" t="str">
        <f aca="false">IF($B60="","",IF(AE60&gt;=DAY($G$3),cfg_DAYS_M,MIN(AE60,cfg_DAYS_M)))</f>
        <v/>
      </c>
      <c r="G60" s="105" t="str">
        <f aca="false">IF($B60="","",SUMIFS('الحركات الشهرية'!$D$6:$D$1005,'الحركات الشهرية'!$B$6:$B$1005,$B60,'الحركات الشهرية'!$A$6:$A$1005,$C$3))</f>
        <v/>
      </c>
      <c r="H60" s="105" t="str">
        <f aca="false">IF($B60="","",SUMIFS('الحركات الشهرية'!$E$6:$E$1005,'الحركات الشهرية'!$B$6:$B$1005,$B60,'الحركات الشهرية'!$A$6:$A$1005,$C$3))</f>
        <v/>
      </c>
      <c r="I60" s="105" t="str">
        <f aca="false">IF($B60="","",MAX(0,F60-G60-H60))</f>
        <v/>
      </c>
      <c r="J60" s="86" t="str">
        <f aca="false">IF($B60="","",الموظفون!$J60*$I60/cfg_DAYS_M)</f>
        <v/>
      </c>
      <c r="K60" s="86" t="str">
        <f aca="false">IF($B60="","",الموظفون!$K60*$I60/cfg_DAYS_M)</f>
        <v/>
      </c>
      <c r="L60" s="86" t="str">
        <f aca="false">IF($B60="","",الموظفون!$L60*$I60/cfg_DAYS_M)</f>
        <v/>
      </c>
      <c r="M60" s="86" t="str">
        <f aca="false">IF($B60="","",الموظفون!$M60*$I60/cfg_DAYS_M)</f>
        <v/>
      </c>
      <c r="N60" s="105" t="str">
        <f aca="false">IF($B60="","",SUMIFS('الحركات الشهرية'!$F$6:$F$1005,'الحركات الشهرية'!$B$6:$B$1005,$B60,'الحركات الشهرية'!$A$6:$A$1005,$C$3))</f>
        <v/>
      </c>
      <c r="O60" s="86" t="str">
        <f aca="false">IF($B60="","",N60*(الموظفون!$N60+الموظفون!$J60*cfg_OT_P)/cfg_DAYS_M/cfg_HRS)</f>
        <v/>
      </c>
      <c r="P60" s="86" t="str">
        <f aca="false">IF($B60="","",SUMIFS('الحركات الشهرية'!$G$6:$G$1005,'الحركات الشهرية'!$B$6:$B$1005,$B60,'الحركات الشهرية'!$A$6:$A$1005,$C$3))</f>
        <v/>
      </c>
      <c r="Q60" s="86" t="str">
        <f aca="false">IF($B60="","",SUMIFS('الحركات الشهرية'!$H$6:$H$1005,'الحركات الشهرية'!$B$6:$B$1005,$B60,'الحركات الشهرية'!$A$6:$A$1005,$C$3))</f>
        <v/>
      </c>
      <c r="R60" s="106" t="str">
        <f aca="false">IF($B60="","",SUM(J60:M60)+SUM(O60:Q60))</f>
        <v/>
      </c>
      <c r="S60" s="86" t="str">
        <f aca="false">IF($B60="","",الموظفون!$Q60*IF(E60="سعودي",cfg_G_SE,cfg_G_NE)*F60/cfg_DAYS_M)</f>
        <v/>
      </c>
      <c r="T60" s="86" t="str">
        <f aca="false">IF($B60="","",SUMIFS('الحركات الشهرية'!$I$6:$I$1005,'الحركات الشهرية'!$B$6:$B$1005,$B60,'الحركات الشهرية'!$A$6:$A$1005,$C$3))</f>
        <v/>
      </c>
      <c r="U60" s="86" t="str">
        <f aca="false">IF($B60="","",SUMIFS('الحركات الشهرية'!$J$6:$J$1005,'الحركات الشهرية'!$B$6:$B$1005,$B60,'الحركات الشهرية'!$A$6:$A$1005,$C$3))</f>
        <v/>
      </c>
      <c r="V60" s="86" t="str">
        <f aca="false">IF($B60="","",SUM(S60:U60))</f>
        <v/>
      </c>
      <c r="W60" s="107" t="str">
        <f aca="false">IF($B60="","",R60-V60)</f>
        <v/>
      </c>
      <c r="X60" s="86" t="str">
        <f aca="false">IF($B60="","",الموظفون!$Q60*IF(E60="سعودي",cfg_G_SR,cfg_G_NR)*F60/cfg_DAYS_M)</f>
        <v/>
      </c>
      <c r="Y60" s="86" t="str">
        <f aca="false">IF($B60="","",الموظفون!$O60*(cfg_EOS_R1*(MIN(AC60,cfg_EOS_TH)-MIN(AD60,cfg_EOS_TH))+cfg_EOS_R2*(MAX(AC60-cfg_EOS_TH,0)-MAX(AD60-cfg_EOS_TH,0))))</f>
        <v/>
      </c>
      <c r="Z60" s="86" t="str">
        <f aca="false">IF($B60="","",IF(الموظفون!$R60&lt;&gt;"",الموظفون!$R60,IF(AC60&gt;=cfg_LV_TH,cfg_LV_D2,cfg_LV_D1))/cfg_DAYS_Y*AE60*الموظفون!$P60/cfg_DAYS_M)</f>
        <v/>
      </c>
      <c r="AA60" s="86" t="str">
        <f aca="false">IF($B60="","",IF(AND(الموظفون!$S60="نعم",N(الموظفون!$U60)&gt;0),الموظفون!$T60/الموظفون!$U60*12/cfg_DAYS_Y*AE60,0))</f>
        <v/>
      </c>
      <c r="AB60" s="108" t="str">
        <f aca="false">IF($B60="","",R60+SUM(X60:AA60))</f>
        <v/>
      </c>
      <c r="AC60" s="109" t="str">
        <f aca="false">IF($B60="","",MAX(0,IF(OR(الموظفون!$X60="",الموظفون!$X60&gt;$G$3),$G$3,الموظفون!$X60)-الموظفون!$H60+1)/cfg_DAYS_Y)</f>
        <v/>
      </c>
      <c r="AD60" s="109" t="str">
        <f aca="false">IF($B60="","",MAX(0,IF(OR(الموظفون!$X60="",الموظفون!$X60&gt;($E$3-1)),($E$3-1),الموظفون!$X60)-الموظفون!$H60+1)/cfg_DAYS_Y)</f>
        <v/>
      </c>
      <c r="AE60" s="51" t="str">
        <f aca="false">IF($B60="","",MAX(0,IF(OR(الموظفون!$X60="",الموظفون!$X60&gt;$G$3),$G$3,الموظفون!$X60)-MAX($E$3,الموظفون!$H60)+1))</f>
        <v/>
      </c>
    </row>
    <row r="61" customFormat="false" ht="15" hidden="false" customHeight="false" outlineLevel="0" collapsed="false">
      <c r="A61" s="89" t="str">
        <f aca="false">IF($B61="","",الموظفون!$A61)</f>
        <v/>
      </c>
      <c r="B61" s="91" t="str">
        <f aca="false">IF(الموظفون!$B61="","",الموظفون!$B61)</f>
        <v/>
      </c>
      <c r="C61" s="91" t="str">
        <f aca="false">IF($B61="","",الموظفون!$C61)</f>
        <v/>
      </c>
      <c r="D61" s="91" t="str">
        <f aca="false">IF($B61="","",الموظفون!$F61)</f>
        <v/>
      </c>
      <c r="E61" s="91" t="str">
        <f aca="false">IF($B61="","",الموظفون!$E61)</f>
        <v/>
      </c>
      <c r="F61" s="110" t="str">
        <f aca="false">IF($B61="","",IF(AE61&gt;=DAY($G$3),cfg_DAYS_M,MIN(AE61,cfg_DAYS_M)))</f>
        <v/>
      </c>
      <c r="G61" s="110" t="str">
        <f aca="false">IF($B61="","",SUMIFS('الحركات الشهرية'!$D$6:$D$1005,'الحركات الشهرية'!$B$6:$B$1005,$B61,'الحركات الشهرية'!$A$6:$A$1005,$C$3))</f>
        <v/>
      </c>
      <c r="H61" s="110" t="str">
        <f aca="false">IF($B61="","",SUMIFS('الحركات الشهرية'!$E$6:$E$1005,'الحركات الشهرية'!$B$6:$B$1005,$B61,'الحركات الشهرية'!$A$6:$A$1005,$C$3))</f>
        <v/>
      </c>
      <c r="I61" s="110" t="str">
        <f aca="false">IF($B61="","",MAX(0,F61-G61-H61))</f>
        <v/>
      </c>
      <c r="J61" s="90" t="str">
        <f aca="false">IF($B61="","",الموظفون!$J61*$I61/cfg_DAYS_M)</f>
        <v/>
      </c>
      <c r="K61" s="90" t="str">
        <f aca="false">IF($B61="","",الموظفون!$K61*$I61/cfg_DAYS_M)</f>
        <v/>
      </c>
      <c r="L61" s="90" t="str">
        <f aca="false">IF($B61="","",الموظفون!$L61*$I61/cfg_DAYS_M)</f>
        <v/>
      </c>
      <c r="M61" s="90" t="str">
        <f aca="false">IF($B61="","",الموظفون!$M61*$I61/cfg_DAYS_M)</f>
        <v/>
      </c>
      <c r="N61" s="110" t="str">
        <f aca="false">IF($B61="","",SUMIFS('الحركات الشهرية'!$F$6:$F$1005,'الحركات الشهرية'!$B$6:$B$1005,$B61,'الحركات الشهرية'!$A$6:$A$1005,$C$3))</f>
        <v/>
      </c>
      <c r="O61" s="90" t="str">
        <f aca="false">IF($B61="","",N61*(الموظفون!$N61+الموظفون!$J61*cfg_OT_P)/cfg_DAYS_M/cfg_HRS)</f>
        <v/>
      </c>
      <c r="P61" s="90" t="str">
        <f aca="false">IF($B61="","",SUMIFS('الحركات الشهرية'!$G$6:$G$1005,'الحركات الشهرية'!$B$6:$B$1005,$B61,'الحركات الشهرية'!$A$6:$A$1005,$C$3))</f>
        <v/>
      </c>
      <c r="Q61" s="90" t="str">
        <f aca="false">IF($B61="","",SUMIFS('الحركات الشهرية'!$H$6:$H$1005,'الحركات الشهرية'!$B$6:$B$1005,$B61,'الحركات الشهرية'!$A$6:$A$1005,$C$3))</f>
        <v/>
      </c>
      <c r="R61" s="111" t="str">
        <f aca="false">IF($B61="","",SUM(J61:M61)+SUM(O61:Q61))</f>
        <v/>
      </c>
      <c r="S61" s="90" t="str">
        <f aca="false">IF($B61="","",الموظفون!$Q61*IF(E61="سعودي",cfg_G_SE,cfg_G_NE)*F61/cfg_DAYS_M)</f>
        <v/>
      </c>
      <c r="T61" s="90" t="str">
        <f aca="false">IF($B61="","",SUMIFS('الحركات الشهرية'!$I$6:$I$1005,'الحركات الشهرية'!$B$6:$B$1005,$B61,'الحركات الشهرية'!$A$6:$A$1005,$C$3))</f>
        <v/>
      </c>
      <c r="U61" s="90" t="str">
        <f aca="false">IF($B61="","",SUMIFS('الحركات الشهرية'!$J$6:$J$1005,'الحركات الشهرية'!$B$6:$B$1005,$B61,'الحركات الشهرية'!$A$6:$A$1005,$C$3))</f>
        <v/>
      </c>
      <c r="V61" s="90" t="str">
        <f aca="false">IF($B61="","",SUM(S61:U61))</f>
        <v/>
      </c>
      <c r="W61" s="112" t="str">
        <f aca="false">IF($B61="","",R61-V61)</f>
        <v/>
      </c>
      <c r="X61" s="90" t="str">
        <f aca="false">IF($B61="","",الموظفون!$Q61*IF(E61="سعودي",cfg_G_SR,cfg_G_NR)*F61/cfg_DAYS_M)</f>
        <v/>
      </c>
      <c r="Y61" s="90" t="str">
        <f aca="false">IF($B61="","",الموظفون!$O61*(cfg_EOS_R1*(MIN(AC61,cfg_EOS_TH)-MIN(AD61,cfg_EOS_TH))+cfg_EOS_R2*(MAX(AC61-cfg_EOS_TH,0)-MAX(AD61-cfg_EOS_TH,0))))</f>
        <v/>
      </c>
      <c r="Z61" s="90" t="str">
        <f aca="false">IF($B61="","",IF(الموظفون!$R61&lt;&gt;"",الموظفون!$R61,IF(AC61&gt;=cfg_LV_TH,cfg_LV_D2,cfg_LV_D1))/cfg_DAYS_Y*AE61*الموظفون!$P61/cfg_DAYS_M)</f>
        <v/>
      </c>
      <c r="AA61" s="90" t="str">
        <f aca="false">IF($B61="","",IF(AND(الموظفون!$S61="نعم",N(الموظفون!$U61)&gt;0),الموظفون!$T61/الموظفون!$U61*12/cfg_DAYS_Y*AE61,0))</f>
        <v/>
      </c>
      <c r="AB61" s="113" t="str">
        <f aca="false">IF($B61="","",R61+SUM(X61:AA61))</f>
        <v/>
      </c>
      <c r="AC61" s="114" t="str">
        <f aca="false">IF($B61="","",MAX(0,IF(OR(الموظفون!$X61="",الموظفون!$X61&gt;$G$3),$G$3,الموظفون!$X61)-الموظفون!$H61+1)/cfg_DAYS_Y)</f>
        <v/>
      </c>
      <c r="AD61" s="114" t="str">
        <f aca="false">IF($B61="","",MAX(0,IF(OR(الموظفون!$X61="",الموظفون!$X61&gt;($E$3-1)),($E$3-1),الموظفون!$X61)-الموظفون!$H61+1)/cfg_DAYS_Y)</f>
        <v/>
      </c>
      <c r="AE61" s="115" t="str">
        <f aca="false">IF($B61="","",MAX(0,IF(OR(الموظفون!$X61="",الموظفون!$X61&gt;$G$3),$G$3,الموظفون!$X61)-MAX($E$3,الموظفون!$H61)+1))</f>
        <v/>
      </c>
    </row>
    <row r="62" customFormat="false" ht="15" hidden="false" customHeight="false" outlineLevel="0" collapsed="false">
      <c r="A62" s="83" t="str">
        <f aca="false">IF($B62="","",الموظفون!$A62)</f>
        <v/>
      </c>
      <c r="B62" s="74" t="str">
        <f aca="false">IF(الموظفون!$B62="","",الموظفون!$B62)</f>
        <v/>
      </c>
      <c r="C62" s="74" t="str">
        <f aca="false">IF($B62="","",الموظفون!$C62)</f>
        <v/>
      </c>
      <c r="D62" s="74" t="str">
        <f aca="false">IF($B62="","",الموظفون!$F62)</f>
        <v/>
      </c>
      <c r="E62" s="74" t="str">
        <f aca="false">IF($B62="","",الموظفون!$E62)</f>
        <v/>
      </c>
      <c r="F62" s="105" t="str">
        <f aca="false">IF($B62="","",IF(AE62&gt;=DAY($G$3),cfg_DAYS_M,MIN(AE62,cfg_DAYS_M)))</f>
        <v/>
      </c>
      <c r="G62" s="105" t="str">
        <f aca="false">IF($B62="","",SUMIFS('الحركات الشهرية'!$D$6:$D$1005,'الحركات الشهرية'!$B$6:$B$1005,$B62,'الحركات الشهرية'!$A$6:$A$1005,$C$3))</f>
        <v/>
      </c>
      <c r="H62" s="105" t="str">
        <f aca="false">IF($B62="","",SUMIFS('الحركات الشهرية'!$E$6:$E$1005,'الحركات الشهرية'!$B$6:$B$1005,$B62,'الحركات الشهرية'!$A$6:$A$1005,$C$3))</f>
        <v/>
      </c>
      <c r="I62" s="105" t="str">
        <f aca="false">IF($B62="","",MAX(0,F62-G62-H62))</f>
        <v/>
      </c>
      <c r="J62" s="86" t="str">
        <f aca="false">IF($B62="","",الموظفون!$J62*$I62/cfg_DAYS_M)</f>
        <v/>
      </c>
      <c r="K62" s="86" t="str">
        <f aca="false">IF($B62="","",الموظفون!$K62*$I62/cfg_DAYS_M)</f>
        <v/>
      </c>
      <c r="L62" s="86" t="str">
        <f aca="false">IF($B62="","",الموظفون!$L62*$I62/cfg_DAYS_M)</f>
        <v/>
      </c>
      <c r="M62" s="86" t="str">
        <f aca="false">IF($B62="","",الموظفون!$M62*$I62/cfg_DAYS_M)</f>
        <v/>
      </c>
      <c r="N62" s="105" t="str">
        <f aca="false">IF($B62="","",SUMIFS('الحركات الشهرية'!$F$6:$F$1005,'الحركات الشهرية'!$B$6:$B$1005,$B62,'الحركات الشهرية'!$A$6:$A$1005,$C$3))</f>
        <v/>
      </c>
      <c r="O62" s="86" t="str">
        <f aca="false">IF($B62="","",N62*(الموظفون!$N62+الموظفون!$J62*cfg_OT_P)/cfg_DAYS_M/cfg_HRS)</f>
        <v/>
      </c>
      <c r="P62" s="86" t="str">
        <f aca="false">IF($B62="","",SUMIFS('الحركات الشهرية'!$G$6:$G$1005,'الحركات الشهرية'!$B$6:$B$1005,$B62,'الحركات الشهرية'!$A$6:$A$1005,$C$3))</f>
        <v/>
      </c>
      <c r="Q62" s="86" t="str">
        <f aca="false">IF($B62="","",SUMIFS('الحركات الشهرية'!$H$6:$H$1005,'الحركات الشهرية'!$B$6:$B$1005,$B62,'الحركات الشهرية'!$A$6:$A$1005,$C$3))</f>
        <v/>
      </c>
      <c r="R62" s="106" t="str">
        <f aca="false">IF($B62="","",SUM(J62:M62)+SUM(O62:Q62))</f>
        <v/>
      </c>
      <c r="S62" s="86" t="str">
        <f aca="false">IF($B62="","",الموظفون!$Q62*IF(E62="سعودي",cfg_G_SE,cfg_G_NE)*F62/cfg_DAYS_M)</f>
        <v/>
      </c>
      <c r="T62" s="86" t="str">
        <f aca="false">IF($B62="","",SUMIFS('الحركات الشهرية'!$I$6:$I$1005,'الحركات الشهرية'!$B$6:$B$1005,$B62,'الحركات الشهرية'!$A$6:$A$1005,$C$3))</f>
        <v/>
      </c>
      <c r="U62" s="86" t="str">
        <f aca="false">IF($B62="","",SUMIFS('الحركات الشهرية'!$J$6:$J$1005,'الحركات الشهرية'!$B$6:$B$1005,$B62,'الحركات الشهرية'!$A$6:$A$1005,$C$3))</f>
        <v/>
      </c>
      <c r="V62" s="86" t="str">
        <f aca="false">IF($B62="","",SUM(S62:U62))</f>
        <v/>
      </c>
      <c r="W62" s="107" t="str">
        <f aca="false">IF($B62="","",R62-V62)</f>
        <v/>
      </c>
      <c r="X62" s="86" t="str">
        <f aca="false">IF($B62="","",الموظفون!$Q62*IF(E62="سعودي",cfg_G_SR,cfg_G_NR)*F62/cfg_DAYS_M)</f>
        <v/>
      </c>
      <c r="Y62" s="86" t="str">
        <f aca="false">IF($B62="","",الموظفون!$O62*(cfg_EOS_R1*(MIN(AC62,cfg_EOS_TH)-MIN(AD62,cfg_EOS_TH))+cfg_EOS_R2*(MAX(AC62-cfg_EOS_TH,0)-MAX(AD62-cfg_EOS_TH,0))))</f>
        <v/>
      </c>
      <c r="Z62" s="86" t="str">
        <f aca="false">IF($B62="","",IF(الموظفون!$R62&lt;&gt;"",الموظفون!$R62,IF(AC62&gt;=cfg_LV_TH,cfg_LV_D2,cfg_LV_D1))/cfg_DAYS_Y*AE62*الموظفون!$P62/cfg_DAYS_M)</f>
        <v/>
      </c>
      <c r="AA62" s="86" t="str">
        <f aca="false">IF($B62="","",IF(AND(الموظفون!$S62="نعم",N(الموظفون!$U62)&gt;0),الموظفون!$T62/الموظفون!$U62*12/cfg_DAYS_Y*AE62,0))</f>
        <v/>
      </c>
      <c r="AB62" s="108" t="str">
        <f aca="false">IF($B62="","",R62+SUM(X62:AA62))</f>
        <v/>
      </c>
      <c r="AC62" s="109" t="str">
        <f aca="false">IF($B62="","",MAX(0,IF(OR(الموظفون!$X62="",الموظفون!$X62&gt;$G$3),$G$3,الموظفون!$X62)-الموظفون!$H62+1)/cfg_DAYS_Y)</f>
        <v/>
      </c>
      <c r="AD62" s="109" t="str">
        <f aca="false">IF($B62="","",MAX(0,IF(OR(الموظفون!$X62="",الموظفون!$X62&gt;($E$3-1)),($E$3-1),الموظفون!$X62)-الموظفون!$H62+1)/cfg_DAYS_Y)</f>
        <v/>
      </c>
      <c r="AE62" s="51" t="str">
        <f aca="false">IF($B62="","",MAX(0,IF(OR(الموظفون!$X62="",الموظفون!$X62&gt;$G$3),$G$3,الموظفون!$X62)-MAX($E$3,الموظفون!$H62)+1))</f>
        <v/>
      </c>
    </row>
    <row r="63" customFormat="false" ht="15" hidden="false" customHeight="false" outlineLevel="0" collapsed="false">
      <c r="A63" s="89" t="str">
        <f aca="false">IF($B63="","",الموظفون!$A63)</f>
        <v/>
      </c>
      <c r="B63" s="91" t="str">
        <f aca="false">IF(الموظفون!$B63="","",الموظفون!$B63)</f>
        <v/>
      </c>
      <c r="C63" s="91" t="str">
        <f aca="false">IF($B63="","",الموظفون!$C63)</f>
        <v/>
      </c>
      <c r="D63" s="91" t="str">
        <f aca="false">IF($B63="","",الموظفون!$F63)</f>
        <v/>
      </c>
      <c r="E63" s="91" t="str">
        <f aca="false">IF($B63="","",الموظفون!$E63)</f>
        <v/>
      </c>
      <c r="F63" s="110" t="str">
        <f aca="false">IF($B63="","",IF(AE63&gt;=DAY($G$3),cfg_DAYS_M,MIN(AE63,cfg_DAYS_M)))</f>
        <v/>
      </c>
      <c r="G63" s="110" t="str">
        <f aca="false">IF($B63="","",SUMIFS('الحركات الشهرية'!$D$6:$D$1005,'الحركات الشهرية'!$B$6:$B$1005,$B63,'الحركات الشهرية'!$A$6:$A$1005,$C$3))</f>
        <v/>
      </c>
      <c r="H63" s="110" t="str">
        <f aca="false">IF($B63="","",SUMIFS('الحركات الشهرية'!$E$6:$E$1005,'الحركات الشهرية'!$B$6:$B$1005,$B63,'الحركات الشهرية'!$A$6:$A$1005,$C$3))</f>
        <v/>
      </c>
      <c r="I63" s="110" t="str">
        <f aca="false">IF($B63="","",MAX(0,F63-G63-H63))</f>
        <v/>
      </c>
      <c r="J63" s="90" t="str">
        <f aca="false">IF($B63="","",الموظفون!$J63*$I63/cfg_DAYS_M)</f>
        <v/>
      </c>
      <c r="K63" s="90" t="str">
        <f aca="false">IF($B63="","",الموظفون!$K63*$I63/cfg_DAYS_M)</f>
        <v/>
      </c>
      <c r="L63" s="90" t="str">
        <f aca="false">IF($B63="","",الموظفون!$L63*$I63/cfg_DAYS_M)</f>
        <v/>
      </c>
      <c r="M63" s="90" t="str">
        <f aca="false">IF($B63="","",الموظفون!$M63*$I63/cfg_DAYS_M)</f>
        <v/>
      </c>
      <c r="N63" s="110" t="str">
        <f aca="false">IF($B63="","",SUMIFS('الحركات الشهرية'!$F$6:$F$1005,'الحركات الشهرية'!$B$6:$B$1005,$B63,'الحركات الشهرية'!$A$6:$A$1005,$C$3))</f>
        <v/>
      </c>
      <c r="O63" s="90" t="str">
        <f aca="false">IF($B63="","",N63*(الموظفون!$N63+الموظفون!$J63*cfg_OT_P)/cfg_DAYS_M/cfg_HRS)</f>
        <v/>
      </c>
      <c r="P63" s="90" t="str">
        <f aca="false">IF($B63="","",SUMIFS('الحركات الشهرية'!$G$6:$G$1005,'الحركات الشهرية'!$B$6:$B$1005,$B63,'الحركات الشهرية'!$A$6:$A$1005,$C$3))</f>
        <v/>
      </c>
      <c r="Q63" s="90" t="str">
        <f aca="false">IF($B63="","",SUMIFS('الحركات الشهرية'!$H$6:$H$1005,'الحركات الشهرية'!$B$6:$B$1005,$B63,'الحركات الشهرية'!$A$6:$A$1005,$C$3))</f>
        <v/>
      </c>
      <c r="R63" s="111" t="str">
        <f aca="false">IF($B63="","",SUM(J63:M63)+SUM(O63:Q63))</f>
        <v/>
      </c>
      <c r="S63" s="90" t="str">
        <f aca="false">IF($B63="","",الموظفون!$Q63*IF(E63="سعودي",cfg_G_SE,cfg_G_NE)*F63/cfg_DAYS_M)</f>
        <v/>
      </c>
      <c r="T63" s="90" t="str">
        <f aca="false">IF($B63="","",SUMIFS('الحركات الشهرية'!$I$6:$I$1005,'الحركات الشهرية'!$B$6:$B$1005,$B63,'الحركات الشهرية'!$A$6:$A$1005,$C$3))</f>
        <v/>
      </c>
      <c r="U63" s="90" t="str">
        <f aca="false">IF($B63="","",SUMIFS('الحركات الشهرية'!$J$6:$J$1005,'الحركات الشهرية'!$B$6:$B$1005,$B63,'الحركات الشهرية'!$A$6:$A$1005,$C$3))</f>
        <v/>
      </c>
      <c r="V63" s="90" t="str">
        <f aca="false">IF($B63="","",SUM(S63:U63))</f>
        <v/>
      </c>
      <c r="W63" s="112" t="str">
        <f aca="false">IF($B63="","",R63-V63)</f>
        <v/>
      </c>
      <c r="X63" s="90" t="str">
        <f aca="false">IF($B63="","",الموظفون!$Q63*IF(E63="سعودي",cfg_G_SR,cfg_G_NR)*F63/cfg_DAYS_M)</f>
        <v/>
      </c>
      <c r="Y63" s="90" t="str">
        <f aca="false">IF($B63="","",الموظفون!$O63*(cfg_EOS_R1*(MIN(AC63,cfg_EOS_TH)-MIN(AD63,cfg_EOS_TH))+cfg_EOS_R2*(MAX(AC63-cfg_EOS_TH,0)-MAX(AD63-cfg_EOS_TH,0))))</f>
        <v/>
      </c>
      <c r="Z63" s="90" t="str">
        <f aca="false">IF($B63="","",IF(الموظفون!$R63&lt;&gt;"",الموظفون!$R63,IF(AC63&gt;=cfg_LV_TH,cfg_LV_D2,cfg_LV_D1))/cfg_DAYS_Y*AE63*الموظفون!$P63/cfg_DAYS_M)</f>
        <v/>
      </c>
      <c r="AA63" s="90" t="str">
        <f aca="false">IF($B63="","",IF(AND(الموظفون!$S63="نعم",N(الموظفون!$U63)&gt;0),الموظفون!$T63/الموظفون!$U63*12/cfg_DAYS_Y*AE63,0))</f>
        <v/>
      </c>
      <c r="AB63" s="113" t="str">
        <f aca="false">IF($B63="","",R63+SUM(X63:AA63))</f>
        <v/>
      </c>
      <c r="AC63" s="114" t="str">
        <f aca="false">IF($B63="","",MAX(0,IF(OR(الموظفون!$X63="",الموظفون!$X63&gt;$G$3),$G$3,الموظفون!$X63)-الموظفون!$H63+1)/cfg_DAYS_Y)</f>
        <v/>
      </c>
      <c r="AD63" s="114" t="str">
        <f aca="false">IF($B63="","",MAX(0,IF(OR(الموظفون!$X63="",الموظفون!$X63&gt;($E$3-1)),($E$3-1),الموظفون!$X63)-الموظفون!$H63+1)/cfg_DAYS_Y)</f>
        <v/>
      </c>
      <c r="AE63" s="115" t="str">
        <f aca="false">IF($B63="","",MAX(0,IF(OR(الموظفون!$X63="",الموظفون!$X63&gt;$G$3),$G$3,الموظفون!$X63)-MAX($E$3,الموظفون!$H63)+1))</f>
        <v/>
      </c>
    </row>
    <row r="64" customFormat="false" ht="15" hidden="false" customHeight="false" outlineLevel="0" collapsed="false">
      <c r="A64" s="83" t="str">
        <f aca="false">IF($B64="","",الموظفون!$A64)</f>
        <v/>
      </c>
      <c r="B64" s="74" t="str">
        <f aca="false">IF(الموظفون!$B64="","",الموظفون!$B64)</f>
        <v/>
      </c>
      <c r="C64" s="74" t="str">
        <f aca="false">IF($B64="","",الموظفون!$C64)</f>
        <v/>
      </c>
      <c r="D64" s="74" t="str">
        <f aca="false">IF($B64="","",الموظفون!$F64)</f>
        <v/>
      </c>
      <c r="E64" s="74" t="str">
        <f aca="false">IF($B64="","",الموظفون!$E64)</f>
        <v/>
      </c>
      <c r="F64" s="105" t="str">
        <f aca="false">IF($B64="","",IF(AE64&gt;=DAY($G$3),cfg_DAYS_M,MIN(AE64,cfg_DAYS_M)))</f>
        <v/>
      </c>
      <c r="G64" s="105" t="str">
        <f aca="false">IF($B64="","",SUMIFS('الحركات الشهرية'!$D$6:$D$1005,'الحركات الشهرية'!$B$6:$B$1005,$B64,'الحركات الشهرية'!$A$6:$A$1005,$C$3))</f>
        <v/>
      </c>
      <c r="H64" s="105" t="str">
        <f aca="false">IF($B64="","",SUMIFS('الحركات الشهرية'!$E$6:$E$1005,'الحركات الشهرية'!$B$6:$B$1005,$B64,'الحركات الشهرية'!$A$6:$A$1005,$C$3))</f>
        <v/>
      </c>
      <c r="I64" s="105" t="str">
        <f aca="false">IF($B64="","",MAX(0,F64-G64-H64))</f>
        <v/>
      </c>
      <c r="J64" s="86" t="str">
        <f aca="false">IF($B64="","",الموظفون!$J64*$I64/cfg_DAYS_M)</f>
        <v/>
      </c>
      <c r="K64" s="86" t="str">
        <f aca="false">IF($B64="","",الموظفون!$K64*$I64/cfg_DAYS_M)</f>
        <v/>
      </c>
      <c r="L64" s="86" t="str">
        <f aca="false">IF($B64="","",الموظفون!$L64*$I64/cfg_DAYS_M)</f>
        <v/>
      </c>
      <c r="M64" s="86" t="str">
        <f aca="false">IF($B64="","",الموظفون!$M64*$I64/cfg_DAYS_M)</f>
        <v/>
      </c>
      <c r="N64" s="105" t="str">
        <f aca="false">IF($B64="","",SUMIFS('الحركات الشهرية'!$F$6:$F$1005,'الحركات الشهرية'!$B$6:$B$1005,$B64,'الحركات الشهرية'!$A$6:$A$1005,$C$3))</f>
        <v/>
      </c>
      <c r="O64" s="86" t="str">
        <f aca="false">IF($B64="","",N64*(الموظفون!$N64+الموظفون!$J64*cfg_OT_P)/cfg_DAYS_M/cfg_HRS)</f>
        <v/>
      </c>
      <c r="P64" s="86" t="str">
        <f aca="false">IF($B64="","",SUMIFS('الحركات الشهرية'!$G$6:$G$1005,'الحركات الشهرية'!$B$6:$B$1005,$B64,'الحركات الشهرية'!$A$6:$A$1005,$C$3))</f>
        <v/>
      </c>
      <c r="Q64" s="86" t="str">
        <f aca="false">IF($B64="","",SUMIFS('الحركات الشهرية'!$H$6:$H$1005,'الحركات الشهرية'!$B$6:$B$1005,$B64,'الحركات الشهرية'!$A$6:$A$1005,$C$3))</f>
        <v/>
      </c>
      <c r="R64" s="106" t="str">
        <f aca="false">IF($B64="","",SUM(J64:M64)+SUM(O64:Q64))</f>
        <v/>
      </c>
      <c r="S64" s="86" t="str">
        <f aca="false">IF($B64="","",الموظفون!$Q64*IF(E64="سعودي",cfg_G_SE,cfg_G_NE)*F64/cfg_DAYS_M)</f>
        <v/>
      </c>
      <c r="T64" s="86" t="str">
        <f aca="false">IF($B64="","",SUMIFS('الحركات الشهرية'!$I$6:$I$1005,'الحركات الشهرية'!$B$6:$B$1005,$B64,'الحركات الشهرية'!$A$6:$A$1005,$C$3))</f>
        <v/>
      </c>
      <c r="U64" s="86" t="str">
        <f aca="false">IF($B64="","",SUMIFS('الحركات الشهرية'!$J$6:$J$1005,'الحركات الشهرية'!$B$6:$B$1005,$B64,'الحركات الشهرية'!$A$6:$A$1005,$C$3))</f>
        <v/>
      </c>
      <c r="V64" s="86" t="str">
        <f aca="false">IF($B64="","",SUM(S64:U64))</f>
        <v/>
      </c>
      <c r="W64" s="107" t="str">
        <f aca="false">IF($B64="","",R64-V64)</f>
        <v/>
      </c>
      <c r="X64" s="86" t="str">
        <f aca="false">IF($B64="","",الموظفون!$Q64*IF(E64="سعودي",cfg_G_SR,cfg_G_NR)*F64/cfg_DAYS_M)</f>
        <v/>
      </c>
      <c r="Y64" s="86" t="str">
        <f aca="false">IF($B64="","",الموظفون!$O64*(cfg_EOS_R1*(MIN(AC64,cfg_EOS_TH)-MIN(AD64,cfg_EOS_TH))+cfg_EOS_R2*(MAX(AC64-cfg_EOS_TH,0)-MAX(AD64-cfg_EOS_TH,0))))</f>
        <v/>
      </c>
      <c r="Z64" s="86" t="str">
        <f aca="false">IF($B64="","",IF(الموظفون!$R64&lt;&gt;"",الموظفون!$R64,IF(AC64&gt;=cfg_LV_TH,cfg_LV_D2,cfg_LV_D1))/cfg_DAYS_Y*AE64*الموظفون!$P64/cfg_DAYS_M)</f>
        <v/>
      </c>
      <c r="AA64" s="86" t="str">
        <f aca="false">IF($B64="","",IF(AND(الموظفون!$S64="نعم",N(الموظفون!$U64)&gt;0),الموظفون!$T64/الموظفون!$U64*12/cfg_DAYS_Y*AE64,0))</f>
        <v/>
      </c>
      <c r="AB64" s="108" t="str">
        <f aca="false">IF($B64="","",R64+SUM(X64:AA64))</f>
        <v/>
      </c>
      <c r="AC64" s="109" t="str">
        <f aca="false">IF($B64="","",MAX(0,IF(OR(الموظفون!$X64="",الموظفون!$X64&gt;$G$3),$G$3,الموظفون!$X64)-الموظفون!$H64+1)/cfg_DAYS_Y)</f>
        <v/>
      </c>
      <c r="AD64" s="109" t="str">
        <f aca="false">IF($B64="","",MAX(0,IF(OR(الموظفون!$X64="",الموظفون!$X64&gt;($E$3-1)),($E$3-1),الموظفون!$X64)-الموظفون!$H64+1)/cfg_DAYS_Y)</f>
        <v/>
      </c>
      <c r="AE64" s="51" t="str">
        <f aca="false">IF($B64="","",MAX(0,IF(OR(الموظفون!$X64="",الموظفون!$X64&gt;$G$3),$G$3,الموظفون!$X64)-MAX($E$3,الموظفون!$H64)+1))</f>
        <v/>
      </c>
    </row>
    <row r="65" customFormat="false" ht="15" hidden="false" customHeight="false" outlineLevel="0" collapsed="false">
      <c r="A65" s="89" t="str">
        <f aca="false">IF($B65="","",الموظفون!$A65)</f>
        <v/>
      </c>
      <c r="B65" s="91" t="str">
        <f aca="false">IF(الموظفون!$B65="","",الموظفون!$B65)</f>
        <v/>
      </c>
      <c r="C65" s="91" t="str">
        <f aca="false">IF($B65="","",الموظفون!$C65)</f>
        <v/>
      </c>
      <c r="D65" s="91" t="str">
        <f aca="false">IF($B65="","",الموظفون!$F65)</f>
        <v/>
      </c>
      <c r="E65" s="91" t="str">
        <f aca="false">IF($B65="","",الموظفون!$E65)</f>
        <v/>
      </c>
      <c r="F65" s="110" t="str">
        <f aca="false">IF($B65="","",IF(AE65&gt;=DAY($G$3),cfg_DAYS_M,MIN(AE65,cfg_DAYS_M)))</f>
        <v/>
      </c>
      <c r="G65" s="110" t="str">
        <f aca="false">IF($B65="","",SUMIFS('الحركات الشهرية'!$D$6:$D$1005,'الحركات الشهرية'!$B$6:$B$1005,$B65,'الحركات الشهرية'!$A$6:$A$1005,$C$3))</f>
        <v/>
      </c>
      <c r="H65" s="110" t="str">
        <f aca="false">IF($B65="","",SUMIFS('الحركات الشهرية'!$E$6:$E$1005,'الحركات الشهرية'!$B$6:$B$1005,$B65,'الحركات الشهرية'!$A$6:$A$1005,$C$3))</f>
        <v/>
      </c>
      <c r="I65" s="110" t="str">
        <f aca="false">IF($B65="","",MAX(0,F65-G65-H65))</f>
        <v/>
      </c>
      <c r="J65" s="90" t="str">
        <f aca="false">IF($B65="","",الموظفون!$J65*$I65/cfg_DAYS_M)</f>
        <v/>
      </c>
      <c r="K65" s="90" t="str">
        <f aca="false">IF($B65="","",الموظفون!$K65*$I65/cfg_DAYS_M)</f>
        <v/>
      </c>
      <c r="L65" s="90" t="str">
        <f aca="false">IF($B65="","",الموظفون!$L65*$I65/cfg_DAYS_M)</f>
        <v/>
      </c>
      <c r="M65" s="90" t="str">
        <f aca="false">IF($B65="","",الموظفون!$M65*$I65/cfg_DAYS_M)</f>
        <v/>
      </c>
      <c r="N65" s="110" t="str">
        <f aca="false">IF($B65="","",SUMIFS('الحركات الشهرية'!$F$6:$F$1005,'الحركات الشهرية'!$B$6:$B$1005,$B65,'الحركات الشهرية'!$A$6:$A$1005,$C$3))</f>
        <v/>
      </c>
      <c r="O65" s="90" t="str">
        <f aca="false">IF($B65="","",N65*(الموظفون!$N65+الموظفون!$J65*cfg_OT_P)/cfg_DAYS_M/cfg_HRS)</f>
        <v/>
      </c>
      <c r="P65" s="90" t="str">
        <f aca="false">IF($B65="","",SUMIFS('الحركات الشهرية'!$G$6:$G$1005,'الحركات الشهرية'!$B$6:$B$1005,$B65,'الحركات الشهرية'!$A$6:$A$1005,$C$3))</f>
        <v/>
      </c>
      <c r="Q65" s="90" t="str">
        <f aca="false">IF($B65="","",SUMIFS('الحركات الشهرية'!$H$6:$H$1005,'الحركات الشهرية'!$B$6:$B$1005,$B65,'الحركات الشهرية'!$A$6:$A$1005,$C$3))</f>
        <v/>
      </c>
      <c r="R65" s="111" t="str">
        <f aca="false">IF($B65="","",SUM(J65:M65)+SUM(O65:Q65))</f>
        <v/>
      </c>
      <c r="S65" s="90" t="str">
        <f aca="false">IF($B65="","",الموظفون!$Q65*IF(E65="سعودي",cfg_G_SE,cfg_G_NE)*F65/cfg_DAYS_M)</f>
        <v/>
      </c>
      <c r="T65" s="90" t="str">
        <f aca="false">IF($B65="","",SUMIFS('الحركات الشهرية'!$I$6:$I$1005,'الحركات الشهرية'!$B$6:$B$1005,$B65,'الحركات الشهرية'!$A$6:$A$1005,$C$3))</f>
        <v/>
      </c>
      <c r="U65" s="90" t="str">
        <f aca="false">IF($B65="","",SUMIFS('الحركات الشهرية'!$J$6:$J$1005,'الحركات الشهرية'!$B$6:$B$1005,$B65,'الحركات الشهرية'!$A$6:$A$1005,$C$3))</f>
        <v/>
      </c>
      <c r="V65" s="90" t="str">
        <f aca="false">IF($B65="","",SUM(S65:U65))</f>
        <v/>
      </c>
      <c r="W65" s="112" t="str">
        <f aca="false">IF($B65="","",R65-V65)</f>
        <v/>
      </c>
      <c r="X65" s="90" t="str">
        <f aca="false">IF($B65="","",الموظفون!$Q65*IF(E65="سعودي",cfg_G_SR,cfg_G_NR)*F65/cfg_DAYS_M)</f>
        <v/>
      </c>
      <c r="Y65" s="90" t="str">
        <f aca="false">IF($B65="","",الموظفون!$O65*(cfg_EOS_R1*(MIN(AC65,cfg_EOS_TH)-MIN(AD65,cfg_EOS_TH))+cfg_EOS_R2*(MAX(AC65-cfg_EOS_TH,0)-MAX(AD65-cfg_EOS_TH,0))))</f>
        <v/>
      </c>
      <c r="Z65" s="90" t="str">
        <f aca="false">IF($B65="","",IF(الموظفون!$R65&lt;&gt;"",الموظفون!$R65,IF(AC65&gt;=cfg_LV_TH,cfg_LV_D2,cfg_LV_D1))/cfg_DAYS_Y*AE65*الموظفون!$P65/cfg_DAYS_M)</f>
        <v/>
      </c>
      <c r="AA65" s="90" t="str">
        <f aca="false">IF($B65="","",IF(AND(الموظفون!$S65="نعم",N(الموظفون!$U65)&gt;0),الموظفون!$T65/الموظفون!$U65*12/cfg_DAYS_Y*AE65,0))</f>
        <v/>
      </c>
      <c r="AB65" s="113" t="str">
        <f aca="false">IF($B65="","",R65+SUM(X65:AA65))</f>
        <v/>
      </c>
      <c r="AC65" s="114" t="str">
        <f aca="false">IF($B65="","",MAX(0,IF(OR(الموظفون!$X65="",الموظفون!$X65&gt;$G$3),$G$3,الموظفون!$X65)-الموظفون!$H65+1)/cfg_DAYS_Y)</f>
        <v/>
      </c>
      <c r="AD65" s="114" t="str">
        <f aca="false">IF($B65="","",MAX(0,IF(OR(الموظفون!$X65="",الموظفون!$X65&gt;($E$3-1)),($E$3-1),الموظفون!$X65)-الموظفون!$H65+1)/cfg_DAYS_Y)</f>
        <v/>
      </c>
      <c r="AE65" s="115" t="str">
        <f aca="false">IF($B65="","",MAX(0,IF(OR(الموظفون!$X65="",الموظفون!$X65&gt;$G$3),$G$3,الموظفون!$X65)-MAX($E$3,الموظفون!$H65)+1))</f>
        <v/>
      </c>
    </row>
    <row r="66" customFormat="false" ht="15" hidden="false" customHeight="false" outlineLevel="0" collapsed="false">
      <c r="A66" s="83" t="str">
        <f aca="false">IF($B66="","",الموظفون!$A66)</f>
        <v/>
      </c>
      <c r="B66" s="74" t="str">
        <f aca="false">IF(الموظفون!$B66="","",الموظفون!$B66)</f>
        <v/>
      </c>
      <c r="C66" s="74" t="str">
        <f aca="false">IF($B66="","",الموظفون!$C66)</f>
        <v/>
      </c>
      <c r="D66" s="74" t="str">
        <f aca="false">IF($B66="","",الموظفون!$F66)</f>
        <v/>
      </c>
      <c r="E66" s="74" t="str">
        <f aca="false">IF($B66="","",الموظفون!$E66)</f>
        <v/>
      </c>
      <c r="F66" s="105" t="str">
        <f aca="false">IF($B66="","",IF(AE66&gt;=DAY($G$3),cfg_DAYS_M,MIN(AE66,cfg_DAYS_M)))</f>
        <v/>
      </c>
      <c r="G66" s="105" t="str">
        <f aca="false">IF($B66="","",SUMIFS('الحركات الشهرية'!$D$6:$D$1005,'الحركات الشهرية'!$B$6:$B$1005,$B66,'الحركات الشهرية'!$A$6:$A$1005,$C$3))</f>
        <v/>
      </c>
      <c r="H66" s="105" t="str">
        <f aca="false">IF($B66="","",SUMIFS('الحركات الشهرية'!$E$6:$E$1005,'الحركات الشهرية'!$B$6:$B$1005,$B66,'الحركات الشهرية'!$A$6:$A$1005,$C$3))</f>
        <v/>
      </c>
      <c r="I66" s="105" t="str">
        <f aca="false">IF($B66="","",MAX(0,F66-G66-H66))</f>
        <v/>
      </c>
      <c r="J66" s="86" t="str">
        <f aca="false">IF($B66="","",الموظفون!$J66*$I66/cfg_DAYS_M)</f>
        <v/>
      </c>
      <c r="K66" s="86" t="str">
        <f aca="false">IF($B66="","",الموظفون!$K66*$I66/cfg_DAYS_M)</f>
        <v/>
      </c>
      <c r="L66" s="86" t="str">
        <f aca="false">IF($B66="","",الموظفون!$L66*$I66/cfg_DAYS_M)</f>
        <v/>
      </c>
      <c r="M66" s="86" t="str">
        <f aca="false">IF($B66="","",الموظفون!$M66*$I66/cfg_DAYS_M)</f>
        <v/>
      </c>
      <c r="N66" s="105" t="str">
        <f aca="false">IF($B66="","",SUMIFS('الحركات الشهرية'!$F$6:$F$1005,'الحركات الشهرية'!$B$6:$B$1005,$B66,'الحركات الشهرية'!$A$6:$A$1005,$C$3))</f>
        <v/>
      </c>
      <c r="O66" s="86" t="str">
        <f aca="false">IF($B66="","",N66*(الموظفون!$N66+الموظفون!$J66*cfg_OT_P)/cfg_DAYS_M/cfg_HRS)</f>
        <v/>
      </c>
      <c r="P66" s="86" t="str">
        <f aca="false">IF($B66="","",SUMIFS('الحركات الشهرية'!$G$6:$G$1005,'الحركات الشهرية'!$B$6:$B$1005,$B66,'الحركات الشهرية'!$A$6:$A$1005,$C$3))</f>
        <v/>
      </c>
      <c r="Q66" s="86" t="str">
        <f aca="false">IF($B66="","",SUMIFS('الحركات الشهرية'!$H$6:$H$1005,'الحركات الشهرية'!$B$6:$B$1005,$B66,'الحركات الشهرية'!$A$6:$A$1005,$C$3))</f>
        <v/>
      </c>
      <c r="R66" s="106" t="str">
        <f aca="false">IF($B66="","",SUM(J66:M66)+SUM(O66:Q66))</f>
        <v/>
      </c>
      <c r="S66" s="86" t="str">
        <f aca="false">IF($B66="","",الموظفون!$Q66*IF(E66="سعودي",cfg_G_SE,cfg_G_NE)*F66/cfg_DAYS_M)</f>
        <v/>
      </c>
      <c r="T66" s="86" t="str">
        <f aca="false">IF($B66="","",SUMIFS('الحركات الشهرية'!$I$6:$I$1005,'الحركات الشهرية'!$B$6:$B$1005,$B66,'الحركات الشهرية'!$A$6:$A$1005,$C$3))</f>
        <v/>
      </c>
      <c r="U66" s="86" t="str">
        <f aca="false">IF($B66="","",SUMIFS('الحركات الشهرية'!$J$6:$J$1005,'الحركات الشهرية'!$B$6:$B$1005,$B66,'الحركات الشهرية'!$A$6:$A$1005,$C$3))</f>
        <v/>
      </c>
      <c r="V66" s="86" t="str">
        <f aca="false">IF($B66="","",SUM(S66:U66))</f>
        <v/>
      </c>
      <c r="W66" s="107" t="str">
        <f aca="false">IF($B66="","",R66-V66)</f>
        <v/>
      </c>
      <c r="X66" s="86" t="str">
        <f aca="false">IF($B66="","",الموظفون!$Q66*IF(E66="سعودي",cfg_G_SR,cfg_G_NR)*F66/cfg_DAYS_M)</f>
        <v/>
      </c>
      <c r="Y66" s="86" t="str">
        <f aca="false">IF($B66="","",الموظفون!$O66*(cfg_EOS_R1*(MIN(AC66,cfg_EOS_TH)-MIN(AD66,cfg_EOS_TH))+cfg_EOS_R2*(MAX(AC66-cfg_EOS_TH,0)-MAX(AD66-cfg_EOS_TH,0))))</f>
        <v/>
      </c>
      <c r="Z66" s="86" t="str">
        <f aca="false">IF($B66="","",IF(الموظفون!$R66&lt;&gt;"",الموظفون!$R66,IF(AC66&gt;=cfg_LV_TH,cfg_LV_D2,cfg_LV_D1))/cfg_DAYS_Y*AE66*الموظفون!$P66/cfg_DAYS_M)</f>
        <v/>
      </c>
      <c r="AA66" s="86" t="str">
        <f aca="false">IF($B66="","",IF(AND(الموظفون!$S66="نعم",N(الموظفون!$U66)&gt;0),الموظفون!$T66/الموظفون!$U66*12/cfg_DAYS_Y*AE66,0))</f>
        <v/>
      </c>
      <c r="AB66" s="108" t="str">
        <f aca="false">IF($B66="","",R66+SUM(X66:AA66))</f>
        <v/>
      </c>
      <c r="AC66" s="109" t="str">
        <f aca="false">IF($B66="","",MAX(0,IF(OR(الموظفون!$X66="",الموظفون!$X66&gt;$G$3),$G$3,الموظفون!$X66)-الموظفون!$H66+1)/cfg_DAYS_Y)</f>
        <v/>
      </c>
      <c r="AD66" s="109" t="str">
        <f aca="false">IF($B66="","",MAX(0,IF(OR(الموظفون!$X66="",الموظفون!$X66&gt;($E$3-1)),($E$3-1),الموظفون!$X66)-الموظفون!$H66+1)/cfg_DAYS_Y)</f>
        <v/>
      </c>
      <c r="AE66" s="51" t="str">
        <f aca="false">IF($B66="","",MAX(0,IF(OR(الموظفون!$X66="",الموظفون!$X66&gt;$G$3),$G$3,الموظفون!$X66)-MAX($E$3,الموظفون!$H66)+1))</f>
        <v/>
      </c>
    </row>
    <row r="67" customFormat="false" ht="15" hidden="false" customHeight="false" outlineLevel="0" collapsed="false">
      <c r="A67" s="89" t="str">
        <f aca="false">IF($B67="","",الموظفون!$A67)</f>
        <v/>
      </c>
      <c r="B67" s="91" t="str">
        <f aca="false">IF(الموظفون!$B67="","",الموظفون!$B67)</f>
        <v/>
      </c>
      <c r="C67" s="91" t="str">
        <f aca="false">IF($B67="","",الموظفون!$C67)</f>
        <v/>
      </c>
      <c r="D67" s="91" t="str">
        <f aca="false">IF($B67="","",الموظفون!$F67)</f>
        <v/>
      </c>
      <c r="E67" s="91" t="str">
        <f aca="false">IF($B67="","",الموظفون!$E67)</f>
        <v/>
      </c>
      <c r="F67" s="110" t="str">
        <f aca="false">IF($B67="","",IF(AE67&gt;=DAY($G$3),cfg_DAYS_M,MIN(AE67,cfg_DAYS_M)))</f>
        <v/>
      </c>
      <c r="G67" s="110" t="str">
        <f aca="false">IF($B67="","",SUMIFS('الحركات الشهرية'!$D$6:$D$1005,'الحركات الشهرية'!$B$6:$B$1005,$B67,'الحركات الشهرية'!$A$6:$A$1005,$C$3))</f>
        <v/>
      </c>
      <c r="H67" s="110" t="str">
        <f aca="false">IF($B67="","",SUMIFS('الحركات الشهرية'!$E$6:$E$1005,'الحركات الشهرية'!$B$6:$B$1005,$B67,'الحركات الشهرية'!$A$6:$A$1005,$C$3))</f>
        <v/>
      </c>
      <c r="I67" s="110" t="str">
        <f aca="false">IF($B67="","",MAX(0,F67-G67-H67))</f>
        <v/>
      </c>
      <c r="J67" s="90" t="str">
        <f aca="false">IF($B67="","",الموظفون!$J67*$I67/cfg_DAYS_M)</f>
        <v/>
      </c>
      <c r="K67" s="90" t="str">
        <f aca="false">IF($B67="","",الموظفون!$K67*$I67/cfg_DAYS_M)</f>
        <v/>
      </c>
      <c r="L67" s="90" t="str">
        <f aca="false">IF($B67="","",الموظفون!$L67*$I67/cfg_DAYS_M)</f>
        <v/>
      </c>
      <c r="M67" s="90" t="str">
        <f aca="false">IF($B67="","",الموظفون!$M67*$I67/cfg_DAYS_M)</f>
        <v/>
      </c>
      <c r="N67" s="110" t="str">
        <f aca="false">IF($B67="","",SUMIFS('الحركات الشهرية'!$F$6:$F$1005,'الحركات الشهرية'!$B$6:$B$1005,$B67,'الحركات الشهرية'!$A$6:$A$1005,$C$3))</f>
        <v/>
      </c>
      <c r="O67" s="90" t="str">
        <f aca="false">IF($B67="","",N67*(الموظفون!$N67+الموظفون!$J67*cfg_OT_P)/cfg_DAYS_M/cfg_HRS)</f>
        <v/>
      </c>
      <c r="P67" s="90" t="str">
        <f aca="false">IF($B67="","",SUMIFS('الحركات الشهرية'!$G$6:$G$1005,'الحركات الشهرية'!$B$6:$B$1005,$B67,'الحركات الشهرية'!$A$6:$A$1005,$C$3))</f>
        <v/>
      </c>
      <c r="Q67" s="90" t="str">
        <f aca="false">IF($B67="","",SUMIFS('الحركات الشهرية'!$H$6:$H$1005,'الحركات الشهرية'!$B$6:$B$1005,$B67,'الحركات الشهرية'!$A$6:$A$1005,$C$3))</f>
        <v/>
      </c>
      <c r="R67" s="111" t="str">
        <f aca="false">IF($B67="","",SUM(J67:M67)+SUM(O67:Q67))</f>
        <v/>
      </c>
      <c r="S67" s="90" t="str">
        <f aca="false">IF($B67="","",الموظفون!$Q67*IF(E67="سعودي",cfg_G_SE,cfg_G_NE)*F67/cfg_DAYS_M)</f>
        <v/>
      </c>
      <c r="T67" s="90" t="str">
        <f aca="false">IF($B67="","",SUMIFS('الحركات الشهرية'!$I$6:$I$1005,'الحركات الشهرية'!$B$6:$B$1005,$B67,'الحركات الشهرية'!$A$6:$A$1005,$C$3))</f>
        <v/>
      </c>
      <c r="U67" s="90" t="str">
        <f aca="false">IF($B67="","",SUMIFS('الحركات الشهرية'!$J$6:$J$1005,'الحركات الشهرية'!$B$6:$B$1005,$B67,'الحركات الشهرية'!$A$6:$A$1005,$C$3))</f>
        <v/>
      </c>
      <c r="V67" s="90" t="str">
        <f aca="false">IF($B67="","",SUM(S67:U67))</f>
        <v/>
      </c>
      <c r="W67" s="112" t="str">
        <f aca="false">IF($B67="","",R67-V67)</f>
        <v/>
      </c>
      <c r="X67" s="90" t="str">
        <f aca="false">IF($B67="","",الموظفون!$Q67*IF(E67="سعودي",cfg_G_SR,cfg_G_NR)*F67/cfg_DAYS_M)</f>
        <v/>
      </c>
      <c r="Y67" s="90" t="str">
        <f aca="false">IF($B67="","",الموظفون!$O67*(cfg_EOS_R1*(MIN(AC67,cfg_EOS_TH)-MIN(AD67,cfg_EOS_TH))+cfg_EOS_R2*(MAX(AC67-cfg_EOS_TH,0)-MAX(AD67-cfg_EOS_TH,0))))</f>
        <v/>
      </c>
      <c r="Z67" s="90" t="str">
        <f aca="false">IF($B67="","",IF(الموظفون!$R67&lt;&gt;"",الموظفون!$R67,IF(AC67&gt;=cfg_LV_TH,cfg_LV_D2,cfg_LV_D1))/cfg_DAYS_Y*AE67*الموظفون!$P67/cfg_DAYS_M)</f>
        <v/>
      </c>
      <c r="AA67" s="90" t="str">
        <f aca="false">IF($B67="","",IF(AND(الموظفون!$S67="نعم",N(الموظفون!$U67)&gt;0),الموظفون!$T67/الموظفون!$U67*12/cfg_DAYS_Y*AE67,0))</f>
        <v/>
      </c>
      <c r="AB67" s="113" t="str">
        <f aca="false">IF($B67="","",R67+SUM(X67:AA67))</f>
        <v/>
      </c>
      <c r="AC67" s="114" t="str">
        <f aca="false">IF($B67="","",MAX(0,IF(OR(الموظفون!$X67="",الموظفون!$X67&gt;$G$3),$G$3,الموظفون!$X67)-الموظفون!$H67+1)/cfg_DAYS_Y)</f>
        <v/>
      </c>
      <c r="AD67" s="114" t="str">
        <f aca="false">IF($B67="","",MAX(0,IF(OR(الموظفون!$X67="",الموظفون!$X67&gt;($E$3-1)),($E$3-1),الموظفون!$X67)-الموظفون!$H67+1)/cfg_DAYS_Y)</f>
        <v/>
      </c>
      <c r="AE67" s="115" t="str">
        <f aca="false">IF($B67="","",MAX(0,IF(OR(الموظفون!$X67="",الموظفون!$X67&gt;$G$3),$G$3,الموظفون!$X67)-MAX($E$3,الموظفون!$H67)+1))</f>
        <v/>
      </c>
    </row>
    <row r="68" customFormat="false" ht="15" hidden="false" customHeight="false" outlineLevel="0" collapsed="false">
      <c r="A68" s="83" t="str">
        <f aca="false">IF($B68="","",الموظفون!$A68)</f>
        <v/>
      </c>
      <c r="B68" s="74" t="str">
        <f aca="false">IF(الموظفون!$B68="","",الموظفون!$B68)</f>
        <v/>
      </c>
      <c r="C68" s="74" t="str">
        <f aca="false">IF($B68="","",الموظفون!$C68)</f>
        <v/>
      </c>
      <c r="D68" s="74" t="str">
        <f aca="false">IF($B68="","",الموظفون!$F68)</f>
        <v/>
      </c>
      <c r="E68" s="74" t="str">
        <f aca="false">IF($B68="","",الموظفون!$E68)</f>
        <v/>
      </c>
      <c r="F68" s="105" t="str">
        <f aca="false">IF($B68="","",IF(AE68&gt;=DAY($G$3),cfg_DAYS_M,MIN(AE68,cfg_DAYS_M)))</f>
        <v/>
      </c>
      <c r="G68" s="105" t="str">
        <f aca="false">IF($B68="","",SUMIFS('الحركات الشهرية'!$D$6:$D$1005,'الحركات الشهرية'!$B$6:$B$1005,$B68,'الحركات الشهرية'!$A$6:$A$1005,$C$3))</f>
        <v/>
      </c>
      <c r="H68" s="105" t="str">
        <f aca="false">IF($B68="","",SUMIFS('الحركات الشهرية'!$E$6:$E$1005,'الحركات الشهرية'!$B$6:$B$1005,$B68,'الحركات الشهرية'!$A$6:$A$1005,$C$3))</f>
        <v/>
      </c>
      <c r="I68" s="105" t="str">
        <f aca="false">IF($B68="","",MAX(0,F68-G68-H68))</f>
        <v/>
      </c>
      <c r="J68" s="86" t="str">
        <f aca="false">IF($B68="","",الموظفون!$J68*$I68/cfg_DAYS_M)</f>
        <v/>
      </c>
      <c r="K68" s="86" t="str">
        <f aca="false">IF($B68="","",الموظفون!$K68*$I68/cfg_DAYS_M)</f>
        <v/>
      </c>
      <c r="L68" s="86" t="str">
        <f aca="false">IF($B68="","",الموظفون!$L68*$I68/cfg_DAYS_M)</f>
        <v/>
      </c>
      <c r="M68" s="86" t="str">
        <f aca="false">IF($B68="","",الموظفون!$M68*$I68/cfg_DAYS_M)</f>
        <v/>
      </c>
      <c r="N68" s="105" t="str">
        <f aca="false">IF($B68="","",SUMIFS('الحركات الشهرية'!$F$6:$F$1005,'الحركات الشهرية'!$B$6:$B$1005,$B68,'الحركات الشهرية'!$A$6:$A$1005,$C$3))</f>
        <v/>
      </c>
      <c r="O68" s="86" t="str">
        <f aca="false">IF($B68="","",N68*(الموظفون!$N68+الموظفون!$J68*cfg_OT_P)/cfg_DAYS_M/cfg_HRS)</f>
        <v/>
      </c>
      <c r="P68" s="86" t="str">
        <f aca="false">IF($B68="","",SUMIFS('الحركات الشهرية'!$G$6:$G$1005,'الحركات الشهرية'!$B$6:$B$1005,$B68,'الحركات الشهرية'!$A$6:$A$1005,$C$3))</f>
        <v/>
      </c>
      <c r="Q68" s="86" t="str">
        <f aca="false">IF($B68="","",SUMIFS('الحركات الشهرية'!$H$6:$H$1005,'الحركات الشهرية'!$B$6:$B$1005,$B68,'الحركات الشهرية'!$A$6:$A$1005,$C$3))</f>
        <v/>
      </c>
      <c r="R68" s="106" t="str">
        <f aca="false">IF($B68="","",SUM(J68:M68)+SUM(O68:Q68))</f>
        <v/>
      </c>
      <c r="S68" s="86" t="str">
        <f aca="false">IF($B68="","",الموظفون!$Q68*IF(E68="سعودي",cfg_G_SE,cfg_G_NE)*F68/cfg_DAYS_M)</f>
        <v/>
      </c>
      <c r="T68" s="86" t="str">
        <f aca="false">IF($B68="","",SUMIFS('الحركات الشهرية'!$I$6:$I$1005,'الحركات الشهرية'!$B$6:$B$1005,$B68,'الحركات الشهرية'!$A$6:$A$1005,$C$3))</f>
        <v/>
      </c>
      <c r="U68" s="86" t="str">
        <f aca="false">IF($B68="","",SUMIFS('الحركات الشهرية'!$J$6:$J$1005,'الحركات الشهرية'!$B$6:$B$1005,$B68,'الحركات الشهرية'!$A$6:$A$1005,$C$3))</f>
        <v/>
      </c>
      <c r="V68" s="86" t="str">
        <f aca="false">IF($B68="","",SUM(S68:U68))</f>
        <v/>
      </c>
      <c r="W68" s="107" t="str">
        <f aca="false">IF($B68="","",R68-V68)</f>
        <v/>
      </c>
      <c r="X68" s="86" t="str">
        <f aca="false">IF($B68="","",الموظفون!$Q68*IF(E68="سعودي",cfg_G_SR,cfg_G_NR)*F68/cfg_DAYS_M)</f>
        <v/>
      </c>
      <c r="Y68" s="86" t="str">
        <f aca="false">IF($B68="","",الموظفون!$O68*(cfg_EOS_R1*(MIN(AC68,cfg_EOS_TH)-MIN(AD68,cfg_EOS_TH))+cfg_EOS_R2*(MAX(AC68-cfg_EOS_TH,0)-MAX(AD68-cfg_EOS_TH,0))))</f>
        <v/>
      </c>
      <c r="Z68" s="86" t="str">
        <f aca="false">IF($B68="","",IF(الموظفون!$R68&lt;&gt;"",الموظفون!$R68,IF(AC68&gt;=cfg_LV_TH,cfg_LV_D2,cfg_LV_D1))/cfg_DAYS_Y*AE68*الموظفون!$P68/cfg_DAYS_M)</f>
        <v/>
      </c>
      <c r="AA68" s="86" t="str">
        <f aca="false">IF($B68="","",IF(AND(الموظفون!$S68="نعم",N(الموظفون!$U68)&gt;0),الموظفون!$T68/الموظفون!$U68*12/cfg_DAYS_Y*AE68,0))</f>
        <v/>
      </c>
      <c r="AB68" s="108" t="str">
        <f aca="false">IF($B68="","",R68+SUM(X68:AA68))</f>
        <v/>
      </c>
      <c r="AC68" s="109" t="str">
        <f aca="false">IF($B68="","",MAX(0,IF(OR(الموظفون!$X68="",الموظفون!$X68&gt;$G$3),$G$3,الموظفون!$X68)-الموظفون!$H68+1)/cfg_DAYS_Y)</f>
        <v/>
      </c>
      <c r="AD68" s="109" t="str">
        <f aca="false">IF($B68="","",MAX(0,IF(OR(الموظفون!$X68="",الموظفون!$X68&gt;($E$3-1)),($E$3-1),الموظفون!$X68)-الموظفون!$H68+1)/cfg_DAYS_Y)</f>
        <v/>
      </c>
      <c r="AE68" s="51" t="str">
        <f aca="false">IF($B68="","",MAX(0,IF(OR(الموظفون!$X68="",الموظفون!$X68&gt;$G$3),$G$3,الموظفون!$X68)-MAX($E$3,الموظفون!$H68)+1))</f>
        <v/>
      </c>
    </row>
    <row r="69" customFormat="false" ht="15" hidden="false" customHeight="false" outlineLevel="0" collapsed="false">
      <c r="A69" s="89" t="str">
        <f aca="false">IF($B69="","",الموظفون!$A69)</f>
        <v/>
      </c>
      <c r="B69" s="91" t="str">
        <f aca="false">IF(الموظفون!$B69="","",الموظفون!$B69)</f>
        <v/>
      </c>
      <c r="C69" s="91" t="str">
        <f aca="false">IF($B69="","",الموظفون!$C69)</f>
        <v/>
      </c>
      <c r="D69" s="91" t="str">
        <f aca="false">IF($B69="","",الموظفون!$F69)</f>
        <v/>
      </c>
      <c r="E69" s="91" t="str">
        <f aca="false">IF($B69="","",الموظفون!$E69)</f>
        <v/>
      </c>
      <c r="F69" s="110" t="str">
        <f aca="false">IF($B69="","",IF(AE69&gt;=DAY($G$3),cfg_DAYS_M,MIN(AE69,cfg_DAYS_M)))</f>
        <v/>
      </c>
      <c r="G69" s="110" t="str">
        <f aca="false">IF($B69="","",SUMIFS('الحركات الشهرية'!$D$6:$D$1005,'الحركات الشهرية'!$B$6:$B$1005,$B69,'الحركات الشهرية'!$A$6:$A$1005,$C$3))</f>
        <v/>
      </c>
      <c r="H69" s="110" t="str">
        <f aca="false">IF($B69="","",SUMIFS('الحركات الشهرية'!$E$6:$E$1005,'الحركات الشهرية'!$B$6:$B$1005,$B69,'الحركات الشهرية'!$A$6:$A$1005,$C$3))</f>
        <v/>
      </c>
      <c r="I69" s="110" t="str">
        <f aca="false">IF($B69="","",MAX(0,F69-G69-H69))</f>
        <v/>
      </c>
      <c r="J69" s="90" t="str">
        <f aca="false">IF($B69="","",الموظفون!$J69*$I69/cfg_DAYS_M)</f>
        <v/>
      </c>
      <c r="K69" s="90" t="str">
        <f aca="false">IF($B69="","",الموظفون!$K69*$I69/cfg_DAYS_M)</f>
        <v/>
      </c>
      <c r="L69" s="90" t="str">
        <f aca="false">IF($B69="","",الموظفون!$L69*$I69/cfg_DAYS_M)</f>
        <v/>
      </c>
      <c r="M69" s="90" t="str">
        <f aca="false">IF($B69="","",الموظفون!$M69*$I69/cfg_DAYS_M)</f>
        <v/>
      </c>
      <c r="N69" s="110" t="str">
        <f aca="false">IF($B69="","",SUMIFS('الحركات الشهرية'!$F$6:$F$1005,'الحركات الشهرية'!$B$6:$B$1005,$B69,'الحركات الشهرية'!$A$6:$A$1005,$C$3))</f>
        <v/>
      </c>
      <c r="O69" s="90" t="str">
        <f aca="false">IF($B69="","",N69*(الموظفون!$N69+الموظفون!$J69*cfg_OT_P)/cfg_DAYS_M/cfg_HRS)</f>
        <v/>
      </c>
      <c r="P69" s="90" t="str">
        <f aca="false">IF($B69="","",SUMIFS('الحركات الشهرية'!$G$6:$G$1005,'الحركات الشهرية'!$B$6:$B$1005,$B69,'الحركات الشهرية'!$A$6:$A$1005,$C$3))</f>
        <v/>
      </c>
      <c r="Q69" s="90" t="str">
        <f aca="false">IF($B69="","",SUMIFS('الحركات الشهرية'!$H$6:$H$1005,'الحركات الشهرية'!$B$6:$B$1005,$B69,'الحركات الشهرية'!$A$6:$A$1005,$C$3))</f>
        <v/>
      </c>
      <c r="R69" s="111" t="str">
        <f aca="false">IF($B69="","",SUM(J69:M69)+SUM(O69:Q69))</f>
        <v/>
      </c>
      <c r="S69" s="90" t="str">
        <f aca="false">IF($B69="","",الموظفون!$Q69*IF(E69="سعودي",cfg_G_SE,cfg_G_NE)*F69/cfg_DAYS_M)</f>
        <v/>
      </c>
      <c r="T69" s="90" t="str">
        <f aca="false">IF($B69="","",SUMIFS('الحركات الشهرية'!$I$6:$I$1005,'الحركات الشهرية'!$B$6:$B$1005,$B69,'الحركات الشهرية'!$A$6:$A$1005,$C$3))</f>
        <v/>
      </c>
      <c r="U69" s="90" t="str">
        <f aca="false">IF($B69="","",SUMIFS('الحركات الشهرية'!$J$6:$J$1005,'الحركات الشهرية'!$B$6:$B$1005,$B69,'الحركات الشهرية'!$A$6:$A$1005,$C$3))</f>
        <v/>
      </c>
      <c r="V69" s="90" t="str">
        <f aca="false">IF($B69="","",SUM(S69:U69))</f>
        <v/>
      </c>
      <c r="W69" s="112" t="str">
        <f aca="false">IF($B69="","",R69-V69)</f>
        <v/>
      </c>
      <c r="X69" s="90" t="str">
        <f aca="false">IF($B69="","",الموظفون!$Q69*IF(E69="سعودي",cfg_G_SR,cfg_G_NR)*F69/cfg_DAYS_M)</f>
        <v/>
      </c>
      <c r="Y69" s="90" t="str">
        <f aca="false">IF($B69="","",الموظفون!$O69*(cfg_EOS_R1*(MIN(AC69,cfg_EOS_TH)-MIN(AD69,cfg_EOS_TH))+cfg_EOS_R2*(MAX(AC69-cfg_EOS_TH,0)-MAX(AD69-cfg_EOS_TH,0))))</f>
        <v/>
      </c>
      <c r="Z69" s="90" t="str">
        <f aca="false">IF($B69="","",IF(الموظفون!$R69&lt;&gt;"",الموظفون!$R69,IF(AC69&gt;=cfg_LV_TH,cfg_LV_D2,cfg_LV_D1))/cfg_DAYS_Y*AE69*الموظفون!$P69/cfg_DAYS_M)</f>
        <v/>
      </c>
      <c r="AA69" s="90" t="str">
        <f aca="false">IF($B69="","",IF(AND(الموظفون!$S69="نعم",N(الموظفون!$U69)&gt;0),الموظفون!$T69/الموظفون!$U69*12/cfg_DAYS_Y*AE69,0))</f>
        <v/>
      </c>
      <c r="AB69" s="113" t="str">
        <f aca="false">IF($B69="","",R69+SUM(X69:AA69))</f>
        <v/>
      </c>
      <c r="AC69" s="114" t="str">
        <f aca="false">IF($B69="","",MAX(0,IF(OR(الموظفون!$X69="",الموظفون!$X69&gt;$G$3),$G$3,الموظفون!$X69)-الموظفون!$H69+1)/cfg_DAYS_Y)</f>
        <v/>
      </c>
      <c r="AD69" s="114" t="str">
        <f aca="false">IF($B69="","",MAX(0,IF(OR(الموظفون!$X69="",الموظفون!$X69&gt;($E$3-1)),($E$3-1),الموظفون!$X69)-الموظفون!$H69+1)/cfg_DAYS_Y)</f>
        <v/>
      </c>
      <c r="AE69" s="115" t="str">
        <f aca="false">IF($B69="","",MAX(0,IF(OR(الموظفون!$X69="",الموظفون!$X69&gt;$G$3),$G$3,الموظفون!$X69)-MAX($E$3,الموظفون!$H69)+1))</f>
        <v/>
      </c>
    </row>
    <row r="70" customFormat="false" ht="15" hidden="false" customHeight="false" outlineLevel="0" collapsed="false">
      <c r="A70" s="83" t="str">
        <f aca="false">IF($B70="","",الموظفون!$A70)</f>
        <v/>
      </c>
      <c r="B70" s="74" t="str">
        <f aca="false">IF(الموظفون!$B70="","",الموظفون!$B70)</f>
        <v/>
      </c>
      <c r="C70" s="74" t="str">
        <f aca="false">IF($B70="","",الموظفون!$C70)</f>
        <v/>
      </c>
      <c r="D70" s="74" t="str">
        <f aca="false">IF($B70="","",الموظفون!$F70)</f>
        <v/>
      </c>
      <c r="E70" s="74" t="str">
        <f aca="false">IF($B70="","",الموظفون!$E70)</f>
        <v/>
      </c>
      <c r="F70" s="105" t="str">
        <f aca="false">IF($B70="","",IF(AE70&gt;=DAY($G$3),cfg_DAYS_M,MIN(AE70,cfg_DAYS_M)))</f>
        <v/>
      </c>
      <c r="G70" s="105" t="str">
        <f aca="false">IF($B70="","",SUMIFS('الحركات الشهرية'!$D$6:$D$1005,'الحركات الشهرية'!$B$6:$B$1005,$B70,'الحركات الشهرية'!$A$6:$A$1005,$C$3))</f>
        <v/>
      </c>
      <c r="H70" s="105" t="str">
        <f aca="false">IF($B70="","",SUMIFS('الحركات الشهرية'!$E$6:$E$1005,'الحركات الشهرية'!$B$6:$B$1005,$B70,'الحركات الشهرية'!$A$6:$A$1005,$C$3))</f>
        <v/>
      </c>
      <c r="I70" s="105" t="str">
        <f aca="false">IF($B70="","",MAX(0,F70-G70-H70))</f>
        <v/>
      </c>
      <c r="J70" s="86" t="str">
        <f aca="false">IF($B70="","",الموظفون!$J70*$I70/cfg_DAYS_M)</f>
        <v/>
      </c>
      <c r="K70" s="86" t="str">
        <f aca="false">IF($B70="","",الموظفون!$K70*$I70/cfg_DAYS_M)</f>
        <v/>
      </c>
      <c r="L70" s="86" t="str">
        <f aca="false">IF($B70="","",الموظفون!$L70*$I70/cfg_DAYS_M)</f>
        <v/>
      </c>
      <c r="M70" s="86" t="str">
        <f aca="false">IF($B70="","",الموظفون!$M70*$I70/cfg_DAYS_M)</f>
        <v/>
      </c>
      <c r="N70" s="105" t="str">
        <f aca="false">IF($B70="","",SUMIFS('الحركات الشهرية'!$F$6:$F$1005,'الحركات الشهرية'!$B$6:$B$1005,$B70,'الحركات الشهرية'!$A$6:$A$1005,$C$3))</f>
        <v/>
      </c>
      <c r="O70" s="86" t="str">
        <f aca="false">IF($B70="","",N70*(الموظفون!$N70+الموظفون!$J70*cfg_OT_P)/cfg_DAYS_M/cfg_HRS)</f>
        <v/>
      </c>
      <c r="P70" s="86" t="str">
        <f aca="false">IF($B70="","",SUMIFS('الحركات الشهرية'!$G$6:$G$1005,'الحركات الشهرية'!$B$6:$B$1005,$B70,'الحركات الشهرية'!$A$6:$A$1005,$C$3))</f>
        <v/>
      </c>
      <c r="Q70" s="86" t="str">
        <f aca="false">IF($B70="","",SUMIFS('الحركات الشهرية'!$H$6:$H$1005,'الحركات الشهرية'!$B$6:$B$1005,$B70,'الحركات الشهرية'!$A$6:$A$1005,$C$3))</f>
        <v/>
      </c>
      <c r="R70" s="106" t="str">
        <f aca="false">IF($B70="","",SUM(J70:M70)+SUM(O70:Q70))</f>
        <v/>
      </c>
      <c r="S70" s="86" t="str">
        <f aca="false">IF($B70="","",الموظفون!$Q70*IF(E70="سعودي",cfg_G_SE,cfg_G_NE)*F70/cfg_DAYS_M)</f>
        <v/>
      </c>
      <c r="T70" s="86" t="str">
        <f aca="false">IF($B70="","",SUMIFS('الحركات الشهرية'!$I$6:$I$1005,'الحركات الشهرية'!$B$6:$B$1005,$B70,'الحركات الشهرية'!$A$6:$A$1005,$C$3))</f>
        <v/>
      </c>
      <c r="U70" s="86" t="str">
        <f aca="false">IF($B70="","",SUMIFS('الحركات الشهرية'!$J$6:$J$1005,'الحركات الشهرية'!$B$6:$B$1005,$B70,'الحركات الشهرية'!$A$6:$A$1005,$C$3))</f>
        <v/>
      </c>
      <c r="V70" s="86" t="str">
        <f aca="false">IF($B70="","",SUM(S70:U70))</f>
        <v/>
      </c>
      <c r="W70" s="107" t="str">
        <f aca="false">IF($B70="","",R70-V70)</f>
        <v/>
      </c>
      <c r="X70" s="86" t="str">
        <f aca="false">IF($B70="","",الموظفون!$Q70*IF(E70="سعودي",cfg_G_SR,cfg_G_NR)*F70/cfg_DAYS_M)</f>
        <v/>
      </c>
      <c r="Y70" s="86" t="str">
        <f aca="false">IF($B70="","",الموظفون!$O70*(cfg_EOS_R1*(MIN(AC70,cfg_EOS_TH)-MIN(AD70,cfg_EOS_TH))+cfg_EOS_R2*(MAX(AC70-cfg_EOS_TH,0)-MAX(AD70-cfg_EOS_TH,0))))</f>
        <v/>
      </c>
      <c r="Z70" s="86" t="str">
        <f aca="false">IF($B70="","",IF(الموظفون!$R70&lt;&gt;"",الموظفون!$R70,IF(AC70&gt;=cfg_LV_TH,cfg_LV_D2,cfg_LV_D1))/cfg_DAYS_Y*AE70*الموظفون!$P70/cfg_DAYS_M)</f>
        <v/>
      </c>
      <c r="AA70" s="86" t="str">
        <f aca="false">IF($B70="","",IF(AND(الموظفون!$S70="نعم",N(الموظفون!$U70)&gt;0),الموظفون!$T70/الموظفون!$U70*12/cfg_DAYS_Y*AE70,0))</f>
        <v/>
      </c>
      <c r="AB70" s="108" t="str">
        <f aca="false">IF($B70="","",R70+SUM(X70:AA70))</f>
        <v/>
      </c>
      <c r="AC70" s="109" t="str">
        <f aca="false">IF($B70="","",MAX(0,IF(OR(الموظفون!$X70="",الموظفون!$X70&gt;$G$3),$G$3,الموظفون!$X70)-الموظفون!$H70+1)/cfg_DAYS_Y)</f>
        <v/>
      </c>
      <c r="AD70" s="109" t="str">
        <f aca="false">IF($B70="","",MAX(0,IF(OR(الموظفون!$X70="",الموظفون!$X70&gt;($E$3-1)),($E$3-1),الموظفون!$X70)-الموظفون!$H70+1)/cfg_DAYS_Y)</f>
        <v/>
      </c>
      <c r="AE70" s="51" t="str">
        <f aca="false">IF($B70="","",MAX(0,IF(OR(الموظفون!$X70="",الموظفون!$X70&gt;$G$3),$G$3,الموظفون!$X70)-MAX($E$3,الموظفون!$H70)+1))</f>
        <v/>
      </c>
    </row>
    <row r="71" customFormat="false" ht="15" hidden="false" customHeight="false" outlineLevel="0" collapsed="false">
      <c r="A71" s="89" t="str">
        <f aca="false">IF($B71="","",الموظفون!$A71)</f>
        <v/>
      </c>
      <c r="B71" s="91" t="str">
        <f aca="false">IF(الموظفون!$B71="","",الموظفون!$B71)</f>
        <v/>
      </c>
      <c r="C71" s="91" t="str">
        <f aca="false">IF($B71="","",الموظفون!$C71)</f>
        <v/>
      </c>
      <c r="D71" s="91" t="str">
        <f aca="false">IF($B71="","",الموظفون!$F71)</f>
        <v/>
      </c>
      <c r="E71" s="91" t="str">
        <f aca="false">IF($B71="","",الموظفون!$E71)</f>
        <v/>
      </c>
      <c r="F71" s="110" t="str">
        <f aca="false">IF($B71="","",IF(AE71&gt;=DAY($G$3),cfg_DAYS_M,MIN(AE71,cfg_DAYS_M)))</f>
        <v/>
      </c>
      <c r="G71" s="110" t="str">
        <f aca="false">IF($B71="","",SUMIFS('الحركات الشهرية'!$D$6:$D$1005,'الحركات الشهرية'!$B$6:$B$1005,$B71,'الحركات الشهرية'!$A$6:$A$1005,$C$3))</f>
        <v/>
      </c>
      <c r="H71" s="110" t="str">
        <f aca="false">IF($B71="","",SUMIFS('الحركات الشهرية'!$E$6:$E$1005,'الحركات الشهرية'!$B$6:$B$1005,$B71,'الحركات الشهرية'!$A$6:$A$1005,$C$3))</f>
        <v/>
      </c>
      <c r="I71" s="110" t="str">
        <f aca="false">IF($B71="","",MAX(0,F71-G71-H71))</f>
        <v/>
      </c>
      <c r="J71" s="90" t="str">
        <f aca="false">IF($B71="","",الموظفون!$J71*$I71/cfg_DAYS_M)</f>
        <v/>
      </c>
      <c r="K71" s="90" t="str">
        <f aca="false">IF($B71="","",الموظفون!$K71*$I71/cfg_DAYS_M)</f>
        <v/>
      </c>
      <c r="L71" s="90" t="str">
        <f aca="false">IF($B71="","",الموظفون!$L71*$I71/cfg_DAYS_M)</f>
        <v/>
      </c>
      <c r="M71" s="90" t="str">
        <f aca="false">IF($B71="","",الموظفون!$M71*$I71/cfg_DAYS_M)</f>
        <v/>
      </c>
      <c r="N71" s="110" t="str">
        <f aca="false">IF($B71="","",SUMIFS('الحركات الشهرية'!$F$6:$F$1005,'الحركات الشهرية'!$B$6:$B$1005,$B71,'الحركات الشهرية'!$A$6:$A$1005,$C$3))</f>
        <v/>
      </c>
      <c r="O71" s="90" t="str">
        <f aca="false">IF($B71="","",N71*(الموظفون!$N71+الموظفون!$J71*cfg_OT_P)/cfg_DAYS_M/cfg_HRS)</f>
        <v/>
      </c>
      <c r="P71" s="90" t="str">
        <f aca="false">IF($B71="","",SUMIFS('الحركات الشهرية'!$G$6:$G$1005,'الحركات الشهرية'!$B$6:$B$1005,$B71,'الحركات الشهرية'!$A$6:$A$1005,$C$3))</f>
        <v/>
      </c>
      <c r="Q71" s="90" t="str">
        <f aca="false">IF($B71="","",SUMIFS('الحركات الشهرية'!$H$6:$H$1005,'الحركات الشهرية'!$B$6:$B$1005,$B71,'الحركات الشهرية'!$A$6:$A$1005,$C$3))</f>
        <v/>
      </c>
      <c r="R71" s="111" t="str">
        <f aca="false">IF($B71="","",SUM(J71:M71)+SUM(O71:Q71))</f>
        <v/>
      </c>
      <c r="S71" s="90" t="str">
        <f aca="false">IF($B71="","",الموظفون!$Q71*IF(E71="سعودي",cfg_G_SE,cfg_G_NE)*F71/cfg_DAYS_M)</f>
        <v/>
      </c>
      <c r="T71" s="90" t="str">
        <f aca="false">IF($B71="","",SUMIFS('الحركات الشهرية'!$I$6:$I$1005,'الحركات الشهرية'!$B$6:$B$1005,$B71,'الحركات الشهرية'!$A$6:$A$1005,$C$3))</f>
        <v/>
      </c>
      <c r="U71" s="90" t="str">
        <f aca="false">IF($B71="","",SUMIFS('الحركات الشهرية'!$J$6:$J$1005,'الحركات الشهرية'!$B$6:$B$1005,$B71,'الحركات الشهرية'!$A$6:$A$1005,$C$3))</f>
        <v/>
      </c>
      <c r="V71" s="90" t="str">
        <f aca="false">IF($B71="","",SUM(S71:U71))</f>
        <v/>
      </c>
      <c r="W71" s="112" t="str">
        <f aca="false">IF($B71="","",R71-V71)</f>
        <v/>
      </c>
      <c r="X71" s="90" t="str">
        <f aca="false">IF($B71="","",الموظفون!$Q71*IF(E71="سعودي",cfg_G_SR,cfg_G_NR)*F71/cfg_DAYS_M)</f>
        <v/>
      </c>
      <c r="Y71" s="90" t="str">
        <f aca="false">IF($B71="","",الموظفون!$O71*(cfg_EOS_R1*(MIN(AC71,cfg_EOS_TH)-MIN(AD71,cfg_EOS_TH))+cfg_EOS_R2*(MAX(AC71-cfg_EOS_TH,0)-MAX(AD71-cfg_EOS_TH,0))))</f>
        <v/>
      </c>
      <c r="Z71" s="90" t="str">
        <f aca="false">IF($B71="","",IF(الموظفون!$R71&lt;&gt;"",الموظفون!$R71,IF(AC71&gt;=cfg_LV_TH,cfg_LV_D2,cfg_LV_D1))/cfg_DAYS_Y*AE71*الموظفون!$P71/cfg_DAYS_M)</f>
        <v/>
      </c>
      <c r="AA71" s="90" t="str">
        <f aca="false">IF($B71="","",IF(AND(الموظفون!$S71="نعم",N(الموظفون!$U71)&gt;0),الموظفون!$T71/الموظفون!$U71*12/cfg_DAYS_Y*AE71,0))</f>
        <v/>
      </c>
      <c r="AB71" s="113" t="str">
        <f aca="false">IF($B71="","",R71+SUM(X71:AA71))</f>
        <v/>
      </c>
      <c r="AC71" s="114" t="str">
        <f aca="false">IF($B71="","",MAX(0,IF(OR(الموظفون!$X71="",الموظفون!$X71&gt;$G$3),$G$3,الموظفون!$X71)-الموظفون!$H71+1)/cfg_DAYS_Y)</f>
        <v/>
      </c>
      <c r="AD71" s="114" t="str">
        <f aca="false">IF($B71="","",MAX(0,IF(OR(الموظفون!$X71="",الموظفون!$X71&gt;($E$3-1)),($E$3-1),الموظفون!$X71)-الموظفون!$H71+1)/cfg_DAYS_Y)</f>
        <v/>
      </c>
      <c r="AE71" s="115" t="str">
        <f aca="false">IF($B71="","",MAX(0,IF(OR(الموظفون!$X71="",الموظفون!$X71&gt;$G$3),$G$3,الموظفون!$X71)-MAX($E$3,الموظفون!$H71)+1))</f>
        <v/>
      </c>
    </row>
    <row r="72" customFormat="false" ht="15" hidden="false" customHeight="false" outlineLevel="0" collapsed="false">
      <c r="A72" s="83" t="str">
        <f aca="false">IF($B72="","",الموظفون!$A72)</f>
        <v/>
      </c>
      <c r="B72" s="74" t="str">
        <f aca="false">IF(الموظفون!$B72="","",الموظفون!$B72)</f>
        <v/>
      </c>
      <c r="C72" s="74" t="str">
        <f aca="false">IF($B72="","",الموظفون!$C72)</f>
        <v/>
      </c>
      <c r="D72" s="74" t="str">
        <f aca="false">IF($B72="","",الموظفون!$F72)</f>
        <v/>
      </c>
      <c r="E72" s="74" t="str">
        <f aca="false">IF($B72="","",الموظفون!$E72)</f>
        <v/>
      </c>
      <c r="F72" s="105" t="str">
        <f aca="false">IF($B72="","",IF(AE72&gt;=DAY($G$3),cfg_DAYS_M,MIN(AE72,cfg_DAYS_M)))</f>
        <v/>
      </c>
      <c r="G72" s="105" t="str">
        <f aca="false">IF($B72="","",SUMIFS('الحركات الشهرية'!$D$6:$D$1005,'الحركات الشهرية'!$B$6:$B$1005,$B72,'الحركات الشهرية'!$A$6:$A$1005,$C$3))</f>
        <v/>
      </c>
      <c r="H72" s="105" t="str">
        <f aca="false">IF($B72="","",SUMIFS('الحركات الشهرية'!$E$6:$E$1005,'الحركات الشهرية'!$B$6:$B$1005,$B72,'الحركات الشهرية'!$A$6:$A$1005,$C$3))</f>
        <v/>
      </c>
      <c r="I72" s="105" t="str">
        <f aca="false">IF($B72="","",MAX(0,F72-G72-H72))</f>
        <v/>
      </c>
      <c r="J72" s="86" t="str">
        <f aca="false">IF($B72="","",الموظفون!$J72*$I72/cfg_DAYS_M)</f>
        <v/>
      </c>
      <c r="K72" s="86" t="str">
        <f aca="false">IF($B72="","",الموظفون!$K72*$I72/cfg_DAYS_M)</f>
        <v/>
      </c>
      <c r="L72" s="86" t="str">
        <f aca="false">IF($B72="","",الموظفون!$L72*$I72/cfg_DAYS_M)</f>
        <v/>
      </c>
      <c r="M72" s="86" t="str">
        <f aca="false">IF($B72="","",الموظفون!$M72*$I72/cfg_DAYS_M)</f>
        <v/>
      </c>
      <c r="N72" s="105" t="str">
        <f aca="false">IF($B72="","",SUMIFS('الحركات الشهرية'!$F$6:$F$1005,'الحركات الشهرية'!$B$6:$B$1005,$B72,'الحركات الشهرية'!$A$6:$A$1005,$C$3))</f>
        <v/>
      </c>
      <c r="O72" s="86" t="str">
        <f aca="false">IF($B72="","",N72*(الموظفون!$N72+الموظفون!$J72*cfg_OT_P)/cfg_DAYS_M/cfg_HRS)</f>
        <v/>
      </c>
      <c r="P72" s="86" t="str">
        <f aca="false">IF($B72="","",SUMIFS('الحركات الشهرية'!$G$6:$G$1005,'الحركات الشهرية'!$B$6:$B$1005,$B72,'الحركات الشهرية'!$A$6:$A$1005,$C$3))</f>
        <v/>
      </c>
      <c r="Q72" s="86" t="str">
        <f aca="false">IF($B72="","",SUMIFS('الحركات الشهرية'!$H$6:$H$1005,'الحركات الشهرية'!$B$6:$B$1005,$B72,'الحركات الشهرية'!$A$6:$A$1005,$C$3))</f>
        <v/>
      </c>
      <c r="R72" s="106" t="str">
        <f aca="false">IF($B72="","",SUM(J72:M72)+SUM(O72:Q72))</f>
        <v/>
      </c>
      <c r="S72" s="86" t="str">
        <f aca="false">IF($B72="","",الموظفون!$Q72*IF(E72="سعودي",cfg_G_SE,cfg_G_NE)*F72/cfg_DAYS_M)</f>
        <v/>
      </c>
      <c r="T72" s="86" t="str">
        <f aca="false">IF($B72="","",SUMIFS('الحركات الشهرية'!$I$6:$I$1005,'الحركات الشهرية'!$B$6:$B$1005,$B72,'الحركات الشهرية'!$A$6:$A$1005,$C$3))</f>
        <v/>
      </c>
      <c r="U72" s="86" t="str">
        <f aca="false">IF($B72="","",SUMIFS('الحركات الشهرية'!$J$6:$J$1005,'الحركات الشهرية'!$B$6:$B$1005,$B72,'الحركات الشهرية'!$A$6:$A$1005,$C$3))</f>
        <v/>
      </c>
      <c r="V72" s="86" t="str">
        <f aca="false">IF($B72="","",SUM(S72:U72))</f>
        <v/>
      </c>
      <c r="W72" s="107" t="str">
        <f aca="false">IF($B72="","",R72-V72)</f>
        <v/>
      </c>
      <c r="X72" s="86" t="str">
        <f aca="false">IF($B72="","",الموظفون!$Q72*IF(E72="سعودي",cfg_G_SR,cfg_G_NR)*F72/cfg_DAYS_M)</f>
        <v/>
      </c>
      <c r="Y72" s="86" t="str">
        <f aca="false">IF($B72="","",الموظفون!$O72*(cfg_EOS_R1*(MIN(AC72,cfg_EOS_TH)-MIN(AD72,cfg_EOS_TH))+cfg_EOS_R2*(MAX(AC72-cfg_EOS_TH,0)-MAX(AD72-cfg_EOS_TH,0))))</f>
        <v/>
      </c>
      <c r="Z72" s="86" t="str">
        <f aca="false">IF($B72="","",IF(الموظفون!$R72&lt;&gt;"",الموظفون!$R72,IF(AC72&gt;=cfg_LV_TH,cfg_LV_D2,cfg_LV_D1))/cfg_DAYS_Y*AE72*الموظفون!$P72/cfg_DAYS_M)</f>
        <v/>
      </c>
      <c r="AA72" s="86" t="str">
        <f aca="false">IF($B72="","",IF(AND(الموظفون!$S72="نعم",N(الموظفون!$U72)&gt;0),الموظفون!$T72/الموظفون!$U72*12/cfg_DAYS_Y*AE72,0))</f>
        <v/>
      </c>
      <c r="AB72" s="108" t="str">
        <f aca="false">IF($B72="","",R72+SUM(X72:AA72))</f>
        <v/>
      </c>
      <c r="AC72" s="109" t="str">
        <f aca="false">IF($B72="","",MAX(0,IF(OR(الموظفون!$X72="",الموظفون!$X72&gt;$G$3),$G$3,الموظفون!$X72)-الموظفون!$H72+1)/cfg_DAYS_Y)</f>
        <v/>
      </c>
      <c r="AD72" s="109" t="str">
        <f aca="false">IF($B72="","",MAX(0,IF(OR(الموظفون!$X72="",الموظفون!$X72&gt;($E$3-1)),($E$3-1),الموظفون!$X72)-الموظفون!$H72+1)/cfg_DAYS_Y)</f>
        <v/>
      </c>
      <c r="AE72" s="51" t="str">
        <f aca="false">IF($B72="","",MAX(0,IF(OR(الموظفون!$X72="",الموظفون!$X72&gt;$G$3),$G$3,الموظفون!$X72)-MAX($E$3,الموظفون!$H72)+1))</f>
        <v/>
      </c>
    </row>
    <row r="73" customFormat="false" ht="15" hidden="false" customHeight="false" outlineLevel="0" collapsed="false">
      <c r="A73" s="89" t="str">
        <f aca="false">IF($B73="","",الموظفون!$A73)</f>
        <v/>
      </c>
      <c r="B73" s="91" t="str">
        <f aca="false">IF(الموظفون!$B73="","",الموظفون!$B73)</f>
        <v/>
      </c>
      <c r="C73" s="91" t="str">
        <f aca="false">IF($B73="","",الموظفون!$C73)</f>
        <v/>
      </c>
      <c r="D73" s="91" t="str">
        <f aca="false">IF($B73="","",الموظفون!$F73)</f>
        <v/>
      </c>
      <c r="E73" s="91" t="str">
        <f aca="false">IF($B73="","",الموظفون!$E73)</f>
        <v/>
      </c>
      <c r="F73" s="110" t="str">
        <f aca="false">IF($B73="","",IF(AE73&gt;=DAY($G$3),cfg_DAYS_M,MIN(AE73,cfg_DAYS_M)))</f>
        <v/>
      </c>
      <c r="G73" s="110" t="str">
        <f aca="false">IF($B73="","",SUMIFS('الحركات الشهرية'!$D$6:$D$1005,'الحركات الشهرية'!$B$6:$B$1005,$B73,'الحركات الشهرية'!$A$6:$A$1005,$C$3))</f>
        <v/>
      </c>
      <c r="H73" s="110" t="str">
        <f aca="false">IF($B73="","",SUMIFS('الحركات الشهرية'!$E$6:$E$1005,'الحركات الشهرية'!$B$6:$B$1005,$B73,'الحركات الشهرية'!$A$6:$A$1005,$C$3))</f>
        <v/>
      </c>
      <c r="I73" s="110" t="str">
        <f aca="false">IF($B73="","",MAX(0,F73-G73-H73))</f>
        <v/>
      </c>
      <c r="J73" s="90" t="str">
        <f aca="false">IF($B73="","",الموظفون!$J73*$I73/cfg_DAYS_M)</f>
        <v/>
      </c>
      <c r="K73" s="90" t="str">
        <f aca="false">IF($B73="","",الموظفون!$K73*$I73/cfg_DAYS_M)</f>
        <v/>
      </c>
      <c r="L73" s="90" t="str">
        <f aca="false">IF($B73="","",الموظفون!$L73*$I73/cfg_DAYS_M)</f>
        <v/>
      </c>
      <c r="M73" s="90" t="str">
        <f aca="false">IF($B73="","",الموظفون!$M73*$I73/cfg_DAYS_M)</f>
        <v/>
      </c>
      <c r="N73" s="110" t="str">
        <f aca="false">IF($B73="","",SUMIFS('الحركات الشهرية'!$F$6:$F$1005,'الحركات الشهرية'!$B$6:$B$1005,$B73,'الحركات الشهرية'!$A$6:$A$1005,$C$3))</f>
        <v/>
      </c>
      <c r="O73" s="90" t="str">
        <f aca="false">IF($B73="","",N73*(الموظفون!$N73+الموظفون!$J73*cfg_OT_P)/cfg_DAYS_M/cfg_HRS)</f>
        <v/>
      </c>
      <c r="P73" s="90" t="str">
        <f aca="false">IF($B73="","",SUMIFS('الحركات الشهرية'!$G$6:$G$1005,'الحركات الشهرية'!$B$6:$B$1005,$B73,'الحركات الشهرية'!$A$6:$A$1005,$C$3))</f>
        <v/>
      </c>
      <c r="Q73" s="90" t="str">
        <f aca="false">IF($B73="","",SUMIFS('الحركات الشهرية'!$H$6:$H$1005,'الحركات الشهرية'!$B$6:$B$1005,$B73,'الحركات الشهرية'!$A$6:$A$1005,$C$3))</f>
        <v/>
      </c>
      <c r="R73" s="111" t="str">
        <f aca="false">IF($B73="","",SUM(J73:M73)+SUM(O73:Q73))</f>
        <v/>
      </c>
      <c r="S73" s="90" t="str">
        <f aca="false">IF($B73="","",الموظفون!$Q73*IF(E73="سعودي",cfg_G_SE,cfg_G_NE)*F73/cfg_DAYS_M)</f>
        <v/>
      </c>
      <c r="T73" s="90" t="str">
        <f aca="false">IF($B73="","",SUMIFS('الحركات الشهرية'!$I$6:$I$1005,'الحركات الشهرية'!$B$6:$B$1005,$B73,'الحركات الشهرية'!$A$6:$A$1005,$C$3))</f>
        <v/>
      </c>
      <c r="U73" s="90" t="str">
        <f aca="false">IF($B73="","",SUMIFS('الحركات الشهرية'!$J$6:$J$1005,'الحركات الشهرية'!$B$6:$B$1005,$B73,'الحركات الشهرية'!$A$6:$A$1005,$C$3))</f>
        <v/>
      </c>
      <c r="V73" s="90" t="str">
        <f aca="false">IF($B73="","",SUM(S73:U73))</f>
        <v/>
      </c>
      <c r="W73" s="112" t="str">
        <f aca="false">IF($B73="","",R73-V73)</f>
        <v/>
      </c>
      <c r="X73" s="90" t="str">
        <f aca="false">IF($B73="","",الموظفون!$Q73*IF(E73="سعودي",cfg_G_SR,cfg_G_NR)*F73/cfg_DAYS_M)</f>
        <v/>
      </c>
      <c r="Y73" s="90" t="str">
        <f aca="false">IF($B73="","",الموظفون!$O73*(cfg_EOS_R1*(MIN(AC73,cfg_EOS_TH)-MIN(AD73,cfg_EOS_TH))+cfg_EOS_R2*(MAX(AC73-cfg_EOS_TH,0)-MAX(AD73-cfg_EOS_TH,0))))</f>
        <v/>
      </c>
      <c r="Z73" s="90" t="str">
        <f aca="false">IF($B73="","",IF(الموظفون!$R73&lt;&gt;"",الموظفون!$R73,IF(AC73&gt;=cfg_LV_TH,cfg_LV_D2,cfg_LV_D1))/cfg_DAYS_Y*AE73*الموظفون!$P73/cfg_DAYS_M)</f>
        <v/>
      </c>
      <c r="AA73" s="90" t="str">
        <f aca="false">IF($B73="","",IF(AND(الموظفون!$S73="نعم",N(الموظفون!$U73)&gt;0),الموظفون!$T73/الموظفون!$U73*12/cfg_DAYS_Y*AE73,0))</f>
        <v/>
      </c>
      <c r="AB73" s="113" t="str">
        <f aca="false">IF($B73="","",R73+SUM(X73:AA73))</f>
        <v/>
      </c>
      <c r="AC73" s="114" t="str">
        <f aca="false">IF($B73="","",MAX(0,IF(OR(الموظفون!$X73="",الموظفون!$X73&gt;$G$3),$G$3,الموظفون!$X73)-الموظفون!$H73+1)/cfg_DAYS_Y)</f>
        <v/>
      </c>
      <c r="AD73" s="114" t="str">
        <f aca="false">IF($B73="","",MAX(0,IF(OR(الموظفون!$X73="",الموظفون!$X73&gt;($E$3-1)),($E$3-1),الموظفون!$X73)-الموظفون!$H73+1)/cfg_DAYS_Y)</f>
        <v/>
      </c>
      <c r="AE73" s="115" t="str">
        <f aca="false">IF($B73="","",MAX(0,IF(OR(الموظفون!$X73="",الموظفون!$X73&gt;$G$3),$G$3,الموظفون!$X73)-MAX($E$3,الموظفون!$H73)+1))</f>
        <v/>
      </c>
    </row>
    <row r="74" customFormat="false" ht="15" hidden="false" customHeight="false" outlineLevel="0" collapsed="false">
      <c r="A74" s="83" t="str">
        <f aca="false">IF($B74="","",الموظفون!$A74)</f>
        <v/>
      </c>
      <c r="B74" s="74" t="str">
        <f aca="false">IF(الموظفون!$B74="","",الموظفون!$B74)</f>
        <v/>
      </c>
      <c r="C74" s="74" t="str">
        <f aca="false">IF($B74="","",الموظفون!$C74)</f>
        <v/>
      </c>
      <c r="D74" s="74" t="str">
        <f aca="false">IF($B74="","",الموظفون!$F74)</f>
        <v/>
      </c>
      <c r="E74" s="74" t="str">
        <f aca="false">IF($B74="","",الموظفون!$E74)</f>
        <v/>
      </c>
      <c r="F74" s="105" t="str">
        <f aca="false">IF($B74="","",IF(AE74&gt;=DAY($G$3),cfg_DAYS_M,MIN(AE74,cfg_DAYS_M)))</f>
        <v/>
      </c>
      <c r="G74" s="105" t="str">
        <f aca="false">IF($B74="","",SUMIFS('الحركات الشهرية'!$D$6:$D$1005,'الحركات الشهرية'!$B$6:$B$1005,$B74,'الحركات الشهرية'!$A$6:$A$1005,$C$3))</f>
        <v/>
      </c>
      <c r="H74" s="105" t="str">
        <f aca="false">IF($B74="","",SUMIFS('الحركات الشهرية'!$E$6:$E$1005,'الحركات الشهرية'!$B$6:$B$1005,$B74,'الحركات الشهرية'!$A$6:$A$1005,$C$3))</f>
        <v/>
      </c>
      <c r="I74" s="105" t="str">
        <f aca="false">IF($B74="","",MAX(0,F74-G74-H74))</f>
        <v/>
      </c>
      <c r="J74" s="86" t="str">
        <f aca="false">IF($B74="","",الموظفون!$J74*$I74/cfg_DAYS_M)</f>
        <v/>
      </c>
      <c r="K74" s="86" t="str">
        <f aca="false">IF($B74="","",الموظفون!$K74*$I74/cfg_DAYS_M)</f>
        <v/>
      </c>
      <c r="L74" s="86" t="str">
        <f aca="false">IF($B74="","",الموظفون!$L74*$I74/cfg_DAYS_M)</f>
        <v/>
      </c>
      <c r="M74" s="86" t="str">
        <f aca="false">IF($B74="","",الموظفون!$M74*$I74/cfg_DAYS_M)</f>
        <v/>
      </c>
      <c r="N74" s="105" t="str">
        <f aca="false">IF($B74="","",SUMIFS('الحركات الشهرية'!$F$6:$F$1005,'الحركات الشهرية'!$B$6:$B$1005,$B74,'الحركات الشهرية'!$A$6:$A$1005,$C$3))</f>
        <v/>
      </c>
      <c r="O74" s="86" t="str">
        <f aca="false">IF($B74="","",N74*(الموظفون!$N74+الموظفون!$J74*cfg_OT_P)/cfg_DAYS_M/cfg_HRS)</f>
        <v/>
      </c>
      <c r="P74" s="86" t="str">
        <f aca="false">IF($B74="","",SUMIFS('الحركات الشهرية'!$G$6:$G$1005,'الحركات الشهرية'!$B$6:$B$1005,$B74,'الحركات الشهرية'!$A$6:$A$1005,$C$3))</f>
        <v/>
      </c>
      <c r="Q74" s="86" t="str">
        <f aca="false">IF($B74="","",SUMIFS('الحركات الشهرية'!$H$6:$H$1005,'الحركات الشهرية'!$B$6:$B$1005,$B74,'الحركات الشهرية'!$A$6:$A$1005,$C$3))</f>
        <v/>
      </c>
      <c r="R74" s="106" t="str">
        <f aca="false">IF($B74="","",SUM(J74:M74)+SUM(O74:Q74))</f>
        <v/>
      </c>
      <c r="S74" s="86" t="str">
        <f aca="false">IF($B74="","",الموظفون!$Q74*IF(E74="سعودي",cfg_G_SE,cfg_G_NE)*F74/cfg_DAYS_M)</f>
        <v/>
      </c>
      <c r="T74" s="86" t="str">
        <f aca="false">IF($B74="","",SUMIFS('الحركات الشهرية'!$I$6:$I$1005,'الحركات الشهرية'!$B$6:$B$1005,$B74,'الحركات الشهرية'!$A$6:$A$1005,$C$3))</f>
        <v/>
      </c>
      <c r="U74" s="86" t="str">
        <f aca="false">IF($B74="","",SUMIFS('الحركات الشهرية'!$J$6:$J$1005,'الحركات الشهرية'!$B$6:$B$1005,$B74,'الحركات الشهرية'!$A$6:$A$1005,$C$3))</f>
        <v/>
      </c>
      <c r="V74" s="86" t="str">
        <f aca="false">IF($B74="","",SUM(S74:U74))</f>
        <v/>
      </c>
      <c r="W74" s="107" t="str">
        <f aca="false">IF($B74="","",R74-V74)</f>
        <v/>
      </c>
      <c r="X74" s="86" t="str">
        <f aca="false">IF($B74="","",الموظفون!$Q74*IF(E74="سعودي",cfg_G_SR,cfg_G_NR)*F74/cfg_DAYS_M)</f>
        <v/>
      </c>
      <c r="Y74" s="86" t="str">
        <f aca="false">IF($B74="","",الموظفون!$O74*(cfg_EOS_R1*(MIN(AC74,cfg_EOS_TH)-MIN(AD74,cfg_EOS_TH))+cfg_EOS_R2*(MAX(AC74-cfg_EOS_TH,0)-MAX(AD74-cfg_EOS_TH,0))))</f>
        <v/>
      </c>
      <c r="Z74" s="86" t="str">
        <f aca="false">IF($B74="","",IF(الموظفون!$R74&lt;&gt;"",الموظفون!$R74,IF(AC74&gt;=cfg_LV_TH,cfg_LV_D2,cfg_LV_D1))/cfg_DAYS_Y*AE74*الموظفون!$P74/cfg_DAYS_M)</f>
        <v/>
      </c>
      <c r="AA74" s="86" t="str">
        <f aca="false">IF($B74="","",IF(AND(الموظفون!$S74="نعم",N(الموظفون!$U74)&gt;0),الموظفون!$T74/الموظفون!$U74*12/cfg_DAYS_Y*AE74,0))</f>
        <v/>
      </c>
      <c r="AB74" s="108" t="str">
        <f aca="false">IF($B74="","",R74+SUM(X74:AA74))</f>
        <v/>
      </c>
      <c r="AC74" s="109" t="str">
        <f aca="false">IF($B74="","",MAX(0,IF(OR(الموظفون!$X74="",الموظفون!$X74&gt;$G$3),$G$3,الموظفون!$X74)-الموظفون!$H74+1)/cfg_DAYS_Y)</f>
        <v/>
      </c>
      <c r="AD74" s="109" t="str">
        <f aca="false">IF($B74="","",MAX(0,IF(OR(الموظفون!$X74="",الموظفون!$X74&gt;($E$3-1)),($E$3-1),الموظفون!$X74)-الموظفون!$H74+1)/cfg_DAYS_Y)</f>
        <v/>
      </c>
      <c r="AE74" s="51" t="str">
        <f aca="false">IF($B74="","",MAX(0,IF(OR(الموظفون!$X74="",الموظفون!$X74&gt;$G$3),$G$3,الموظفون!$X74)-MAX($E$3,الموظفون!$H74)+1))</f>
        <v/>
      </c>
    </row>
    <row r="75" customFormat="false" ht="15" hidden="false" customHeight="false" outlineLevel="0" collapsed="false">
      <c r="A75" s="89" t="str">
        <f aca="false">IF($B75="","",الموظفون!$A75)</f>
        <v/>
      </c>
      <c r="B75" s="91" t="str">
        <f aca="false">IF(الموظفون!$B75="","",الموظفون!$B75)</f>
        <v/>
      </c>
      <c r="C75" s="91" t="str">
        <f aca="false">IF($B75="","",الموظفون!$C75)</f>
        <v/>
      </c>
      <c r="D75" s="91" t="str">
        <f aca="false">IF($B75="","",الموظفون!$F75)</f>
        <v/>
      </c>
      <c r="E75" s="91" t="str">
        <f aca="false">IF($B75="","",الموظفون!$E75)</f>
        <v/>
      </c>
      <c r="F75" s="110" t="str">
        <f aca="false">IF($B75="","",IF(AE75&gt;=DAY($G$3),cfg_DAYS_M,MIN(AE75,cfg_DAYS_M)))</f>
        <v/>
      </c>
      <c r="G75" s="110" t="str">
        <f aca="false">IF($B75="","",SUMIFS('الحركات الشهرية'!$D$6:$D$1005,'الحركات الشهرية'!$B$6:$B$1005,$B75,'الحركات الشهرية'!$A$6:$A$1005,$C$3))</f>
        <v/>
      </c>
      <c r="H75" s="110" t="str">
        <f aca="false">IF($B75="","",SUMIFS('الحركات الشهرية'!$E$6:$E$1005,'الحركات الشهرية'!$B$6:$B$1005,$B75,'الحركات الشهرية'!$A$6:$A$1005,$C$3))</f>
        <v/>
      </c>
      <c r="I75" s="110" t="str">
        <f aca="false">IF($B75="","",MAX(0,F75-G75-H75))</f>
        <v/>
      </c>
      <c r="J75" s="90" t="str">
        <f aca="false">IF($B75="","",الموظفون!$J75*$I75/cfg_DAYS_M)</f>
        <v/>
      </c>
      <c r="K75" s="90" t="str">
        <f aca="false">IF($B75="","",الموظفون!$K75*$I75/cfg_DAYS_M)</f>
        <v/>
      </c>
      <c r="L75" s="90" t="str">
        <f aca="false">IF($B75="","",الموظفون!$L75*$I75/cfg_DAYS_M)</f>
        <v/>
      </c>
      <c r="M75" s="90" t="str">
        <f aca="false">IF($B75="","",الموظفون!$M75*$I75/cfg_DAYS_M)</f>
        <v/>
      </c>
      <c r="N75" s="110" t="str">
        <f aca="false">IF($B75="","",SUMIFS('الحركات الشهرية'!$F$6:$F$1005,'الحركات الشهرية'!$B$6:$B$1005,$B75,'الحركات الشهرية'!$A$6:$A$1005,$C$3))</f>
        <v/>
      </c>
      <c r="O75" s="90" t="str">
        <f aca="false">IF($B75="","",N75*(الموظفون!$N75+الموظفون!$J75*cfg_OT_P)/cfg_DAYS_M/cfg_HRS)</f>
        <v/>
      </c>
      <c r="P75" s="90" t="str">
        <f aca="false">IF($B75="","",SUMIFS('الحركات الشهرية'!$G$6:$G$1005,'الحركات الشهرية'!$B$6:$B$1005,$B75,'الحركات الشهرية'!$A$6:$A$1005,$C$3))</f>
        <v/>
      </c>
      <c r="Q75" s="90" t="str">
        <f aca="false">IF($B75="","",SUMIFS('الحركات الشهرية'!$H$6:$H$1005,'الحركات الشهرية'!$B$6:$B$1005,$B75,'الحركات الشهرية'!$A$6:$A$1005,$C$3))</f>
        <v/>
      </c>
      <c r="R75" s="111" t="str">
        <f aca="false">IF($B75="","",SUM(J75:M75)+SUM(O75:Q75))</f>
        <v/>
      </c>
      <c r="S75" s="90" t="str">
        <f aca="false">IF($B75="","",الموظفون!$Q75*IF(E75="سعودي",cfg_G_SE,cfg_G_NE)*F75/cfg_DAYS_M)</f>
        <v/>
      </c>
      <c r="T75" s="90" t="str">
        <f aca="false">IF($B75="","",SUMIFS('الحركات الشهرية'!$I$6:$I$1005,'الحركات الشهرية'!$B$6:$B$1005,$B75,'الحركات الشهرية'!$A$6:$A$1005,$C$3))</f>
        <v/>
      </c>
      <c r="U75" s="90" t="str">
        <f aca="false">IF($B75="","",SUMIFS('الحركات الشهرية'!$J$6:$J$1005,'الحركات الشهرية'!$B$6:$B$1005,$B75,'الحركات الشهرية'!$A$6:$A$1005,$C$3))</f>
        <v/>
      </c>
      <c r="V75" s="90" t="str">
        <f aca="false">IF($B75="","",SUM(S75:U75))</f>
        <v/>
      </c>
      <c r="W75" s="112" t="str">
        <f aca="false">IF($B75="","",R75-V75)</f>
        <v/>
      </c>
      <c r="X75" s="90" t="str">
        <f aca="false">IF($B75="","",الموظفون!$Q75*IF(E75="سعودي",cfg_G_SR,cfg_G_NR)*F75/cfg_DAYS_M)</f>
        <v/>
      </c>
      <c r="Y75" s="90" t="str">
        <f aca="false">IF($B75="","",الموظفون!$O75*(cfg_EOS_R1*(MIN(AC75,cfg_EOS_TH)-MIN(AD75,cfg_EOS_TH))+cfg_EOS_R2*(MAX(AC75-cfg_EOS_TH,0)-MAX(AD75-cfg_EOS_TH,0))))</f>
        <v/>
      </c>
      <c r="Z75" s="90" t="str">
        <f aca="false">IF($B75="","",IF(الموظفون!$R75&lt;&gt;"",الموظفون!$R75,IF(AC75&gt;=cfg_LV_TH,cfg_LV_D2,cfg_LV_D1))/cfg_DAYS_Y*AE75*الموظفون!$P75/cfg_DAYS_M)</f>
        <v/>
      </c>
      <c r="AA75" s="90" t="str">
        <f aca="false">IF($B75="","",IF(AND(الموظفون!$S75="نعم",N(الموظفون!$U75)&gt;0),الموظفون!$T75/الموظفون!$U75*12/cfg_DAYS_Y*AE75,0))</f>
        <v/>
      </c>
      <c r="AB75" s="113" t="str">
        <f aca="false">IF($B75="","",R75+SUM(X75:AA75))</f>
        <v/>
      </c>
      <c r="AC75" s="114" t="str">
        <f aca="false">IF($B75="","",MAX(0,IF(OR(الموظفون!$X75="",الموظفون!$X75&gt;$G$3),$G$3,الموظفون!$X75)-الموظفون!$H75+1)/cfg_DAYS_Y)</f>
        <v/>
      </c>
      <c r="AD75" s="114" t="str">
        <f aca="false">IF($B75="","",MAX(0,IF(OR(الموظفون!$X75="",الموظفون!$X75&gt;($E$3-1)),($E$3-1),الموظفون!$X75)-الموظفون!$H75+1)/cfg_DAYS_Y)</f>
        <v/>
      </c>
      <c r="AE75" s="115" t="str">
        <f aca="false">IF($B75="","",MAX(0,IF(OR(الموظفون!$X75="",الموظفون!$X75&gt;$G$3),$G$3,الموظفون!$X75)-MAX($E$3,الموظفون!$H75)+1))</f>
        <v/>
      </c>
    </row>
    <row r="76" customFormat="false" ht="15" hidden="false" customHeight="false" outlineLevel="0" collapsed="false">
      <c r="A76" s="83" t="str">
        <f aca="false">IF($B76="","",الموظفون!$A76)</f>
        <v/>
      </c>
      <c r="B76" s="74" t="str">
        <f aca="false">IF(الموظفون!$B76="","",الموظفون!$B76)</f>
        <v/>
      </c>
      <c r="C76" s="74" t="str">
        <f aca="false">IF($B76="","",الموظفون!$C76)</f>
        <v/>
      </c>
      <c r="D76" s="74" t="str">
        <f aca="false">IF($B76="","",الموظفون!$F76)</f>
        <v/>
      </c>
      <c r="E76" s="74" t="str">
        <f aca="false">IF($B76="","",الموظفون!$E76)</f>
        <v/>
      </c>
      <c r="F76" s="105" t="str">
        <f aca="false">IF($B76="","",IF(AE76&gt;=DAY($G$3),cfg_DAYS_M,MIN(AE76,cfg_DAYS_M)))</f>
        <v/>
      </c>
      <c r="G76" s="105" t="str">
        <f aca="false">IF($B76="","",SUMIFS('الحركات الشهرية'!$D$6:$D$1005,'الحركات الشهرية'!$B$6:$B$1005,$B76,'الحركات الشهرية'!$A$6:$A$1005,$C$3))</f>
        <v/>
      </c>
      <c r="H76" s="105" t="str">
        <f aca="false">IF($B76="","",SUMIFS('الحركات الشهرية'!$E$6:$E$1005,'الحركات الشهرية'!$B$6:$B$1005,$B76,'الحركات الشهرية'!$A$6:$A$1005,$C$3))</f>
        <v/>
      </c>
      <c r="I76" s="105" t="str">
        <f aca="false">IF($B76="","",MAX(0,F76-G76-H76))</f>
        <v/>
      </c>
      <c r="J76" s="86" t="str">
        <f aca="false">IF($B76="","",الموظفون!$J76*$I76/cfg_DAYS_M)</f>
        <v/>
      </c>
      <c r="K76" s="86" t="str">
        <f aca="false">IF($B76="","",الموظفون!$K76*$I76/cfg_DAYS_M)</f>
        <v/>
      </c>
      <c r="L76" s="86" t="str">
        <f aca="false">IF($B76="","",الموظفون!$L76*$I76/cfg_DAYS_M)</f>
        <v/>
      </c>
      <c r="M76" s="86" t="str">
        <f aca="false">IF($B76="","",الموظفون!$M76*$I76/cfg_DAYS_M)</f>
        <v/>
      </c>
      <c r="N76" s="105" t="str">
        <f aca="false">IF($B76="","",SUMIFS('الحركات الشهرية'!$F$6:$F$1005,'الحركات الشهرية'!$B$6:$B$1005,$B76,'الحركات الشهرية'!$A$6:$A$1005,$C$3))</f>
        <v/>
      </c>
      <c r="O76" s="86" t="str">
        <f aca="false">IF($B76="","",N76*(الموظفون!$N76+الموظفون!$J76*cfg_OT_P)/cfg_DAYS_M/cfg_HRS)</f>
        <v/>
      </c>
      <c r="P76" s="86" t="str">
        <f aca="false">IF($B76="","",SUMIFS('الحركات الشهرية'!$G$6:$G$1005,'الحركات الشهرية'!$B$6:$B$1005,$B76,'الحركات الشهرية'!$A$6:$A$1005,$C$3))</f>
        <v/>
      </c>
      <c r="Q76" s="86" t="str">
        <f aca="false">IF($B76="","",SUMIFS('الحركات الشهرية'!$H$6:$H$1005,'الحركات الشهرية'!$B$6:$B$1005,$B76,'الحركات الشهرية'!$A$6:$A$1005,$C$3))</f>
        <v/>
      </c>
      <c r="R76" s="106" t="str">
        <f aca="false">IF($B76="","",SUM(J76:M76)+SUM(O76:Q76))</f>
        <v/>
      </c>
      <c r="S76" s="86" t="str">
        <f aca="false">IF($B76="","",الموظفون!$Q76*IF(E76="سعودي",cfg_G_SE,cfg_G_NE)*F76/cfg_DAYS_M)</f>
        <v/>
      </c>
      <c r="T76" s="86" t="str">
        <f aca="false">IF($B76="","",SUMIFS('الحركات الشهرية'!$I$6:$I$1005,'الحركات الشهرية'!$B$6:$B$1005,$B76,'الحركات الشهرية'!$A$6:$A$1005,$C$3))</f>
        <v/>
      </c>
      <c r="U76" s="86" t="str">
        <f aca="false">IF($B76="","",SUMIFS('الحركات الشهرية'!$J$6:$J$1005,'الحركات الشهرية'!$B$6:$B$1005,$B76,'الحركات الشهرية'!$A$6:$A$1005,$C$3))</f>
        <v/>
      </c>
      <c r="V76" s="86" t="str">
        <f aca="false">IF($B76="","",SUM(S76:U76))</f>
        <v/>
      </c>
      <c r="W76" s="107" t="str">
        <f aca="false">IF($B76="","",R76-V76)</f>
        <v/>
      </c>
      <c r="X76" s="86" t="str">
        <f aca="false">IF($B76="","",الموظفون!$Q76*IF(E76="سعودي",cfg_G_SR,cfg_G_NR)*F76/cfg_DAYS_M)</f>
        <v/>
      </c>
      <c r="Y76" s="86" t="str">
        <f aca="false">IF($B76="","",الموظفون!$O76*(cfg_EOS_R1*(MIN(AC76,cfg_EOS_TH)-MIN(AD76,cfg_EOS_TH))+cfg_EOS_R2*(MAX(AC76-cfg_EOS_TH,0)-MAX(AD76-cfg_EOS_TH,0))))</f>
        <v/>
      </c>
      <c r="Z76" s="86" t="str">
        <f aca="false">IF($B76="","",IF(الموظفون!$R76&lt;&gt;"",الموظفون!$R76,IF(AC76&gt;=cfg_LV_TH,cfg_LV_D2,cfg_LV_D1))/cfg_DAYS_Y*AE76*الموظفون!$P76/cfg_DAYS_M)</f>
        <v/>
      </c>
      <c r="AA76" s="86" t="str">
        <f aca="false">IF($B76="","",IF(AND(الموظفون!$S76="نعم",N(الموظفون!$U76)&gt;0),الموظفون!$T76/الموظفون!$U76*12/cfg_DAYS_Y*AE76,0))</f>
        <v/>
      </c>
      <c r="AB76" s="108" t="str">
        <f aca="false">IF($B76="","",R76+SUM(X76:AA76))</f>
        <v/>
      </c>
      <c r="AC76" s="109" t="str">
        <f aca="false">IF($B76="","",MAX(0,IF(OR(الموظفون!$X76="",الموظفون!$X76&gt;$G$3),$G$3,الموظفون!$X76)-الموظفون!$H76+1)/cfg_DAYS_Y)</f>
        <v/>
      </c>
      <c r="AD76" s="109" t="str">
        <f aca="false">IF($B76="","",MAX(0,IF(OR(الموظفون!$X76="",الموظفون!$X76&gt;($E$3-1)),($E$3-1),الموظفون!$X76)-الموظفون!$H76+1)/cfg_DAYS_Y)</f>
        <v/>
      </c>
      <c r="AE76" s="51" t="str">
        <f aca="false">IF($B76="","",MAX(0,IF(OR(الموظفون!$X76="",الموظفون!$X76&gt;$G$3),$G$3,الموظفون!$X76)-MAX($E$3,الموظفون!$H76)+1))</f>
        <v/>
      </c>
    </row>
    <row r="77" customFormat="false" ht="15" hidden="false" customHeight="false" outlineLevel="0" collapsed="false">
      <c r="A77" s="89" t="str">
        <f aca="false">IF($B77="","",الموظفون!$A77)</f>
        <v/>
      </c>
      <c r="B77" s="91" t="str">
        <f aca="false">IF(الموظفون!$B77="","",الموظفون!$B77)</f>
        <v/>
      </c>
      <c r="C77" s="91" t="str">
        <f aca="false">IF($B77="","",الموظفون!$C77)</f>
        <v/>
      </c>
      <c r="D77" s="91" t="str">
        <f aca="false">IF($B77="","",الموظفون!$F77)</f>
        <v/>
      </c>
      <c r="E77" s="91" t="str">
        <f aca="false">IF($B77="","",الموظفون!$E77)</f>
        <v/>
      </c>
      <c r="F77" s="110" t="str">
        <f aca="false">IF($B77="","",IF(AE77&gt;=DAY($G$3),cfg_DAYS_M,MIN(AE77,cfg_DAYS_M)))</f>
        <v/>
      </c>
      <c r="G77" s="110" t="str">
        <f aca="false">IF($B77="","",SUMIFS('الحركات الشهرية'!$D$6:$D$1005,'الحركات الشهرية'!$B$6:$B$1005,$B77,'الحركات الشهرية'!$A$6:$A$1005,$C$3))</f>
        <v/>
      </c>
      <c r="H77" s="110" t="str">
        <f aca="false">IF($B77="","",SUMIFS('الحركات الشهرية'!$E$6:$E$1005,'الحركات الشهرية'!$B$6:$B$1005,$B77,'الحركات الشهرية'!$A$6:$A$1005,$C$3))</f>
        <v/>
      </c>
      <c r="I77" s="110" t="str">
        <f aca="false">IF($B77="","",MAX(0,F77-G77-H77))</f>
        <v/>
      </c>
      <c r="J77" s="90" t="str">
        <f aca="false">IF($B77="","",الموظفون!$J77*$I77/cfg_DAYS_M)</f>
        <v/>
      </c>
      <c r="K77" s="90" t="str">
        <f aca="false">IF($B77="","",الموظفون!$K77*$I77/cfg_DAYS_M)</f>
        <v/>
      </c>
      <c r="L77" s="90" t="str">
        <f aca="false">IF($B77="","",الموظفون!$L77*$I77/cfg_DAYS_M)</f>
        <v/>
      </c>
      <c r="M77" s="90" t="str">
        <f aca="false">IF($B77="","",الموظفون!$M77*$I77/cfg_DAYS_M)</f>
        <v/>
      </c>
      <c r="N77" s="110" t="str">
        <f aca="false">IF($B77="","",SUMIFS('الحركات الشهرية'!$F$6:$F$1005,'الحركات الشهرية'!$B$6:$B$1005,$B77,'الحركات الشهرية'!$A$6:$A$1005,$C$3))</f>
        <v/>
      </c>
      <c r="O77" s="90" t="str">
        <f aca="false">IF($B77="","",N77*(الموظفون!$N77+الموظفون!$J77*cfg_OT_P)/cfg_DAYS_M/cfg_HRS)</f>
        <v/>
      </c>
      <c r="P77" s="90" t="str">
        <f aca="false">IF($B77="","",SUMIFS('الحركات الشهرية'!$G$6:$G$1005,'الحركات الشهرية'!$B$6:$B$1005,$B77,'الحركات الشهرية'!$A$6:$A$1005,$C$3))</f>
        <v/>
      </c>
      <c r="Q77" s="90" t="str">
        <f aca="false">IF($B77="","",SUMIFS('الحركات الشهرية'!$H$6:$H$1005,'الحركات الشهرية'!$B$6:$B$1005,$B77,'الحركات الشهرية'!$A$6:$A$1005,$C$3))</f>
        <v/>
      </c>
      <c r="R77" s="111" t="str">
        <f aca="false">IF($B77="","",SUM(J77:M77)+SUM(O77:Q77))</f>
        <v/>
      </c>
      <c r="S77" s="90" t="str">
        <f aca="false">IF($B77="","",الموظفون!$Q77*IF(E77="سعودي",cfg_G_SE,cfg_G_NE)*F77/cfg_DAYS_M)</f>
        <v/>
      </c>
      <c r="T77" s="90" t="str">
        <f aca="false">IF($B77="","",SUMIFS('الحركات الشهرية'!$I$6:$I$1005,'الحركات الشهرية'!$B$6:$B$1005,$B77,'الحركات الشهرية'!$A$6:$A$1005,$C$3))</f>
        <v/>
      </c>
      <c r="U77" s="90" t="str">
        <f aca="false">IF($B77="","",SUMIFS('الحركات الشهرية'!$J$6:$J$1005,'الحركات الشهرية'!$B$6:$B$1005,$B77,'الحركات الشهرية'!$A$6:$A$1005,$C$3))</f>
        <v/>
      </c>
      <c r="V77" s="90" t="str">
        <f aca="false">IF($B77="","",SUM(S77:U77))</f>
        <v/>
      </c>
      <c r="W77" s="112" t="str">
        <f aca="false">IF($B77="","",R77-V77)</f>
        <v/>
      </c>
      <c r="X77" s="90" t="str">
        <f aca="false">IF($B77="","",الموظفون!$Q77*IF(E77="سعودي",cfg_G_SR,cfg_G_NR)*F77/cfg_DAYS_M)</f>
        <v/>
      </c>
      <c r="Y77" s="90" t="str">
        <f aca="false">IF($B77="","",الموظفون!$O77*(cfg_EOS_R1*(MIN(AC77,cfg_EOS_TH)-MIN(AD77,cfg_EOS_TH))+cfg_EOS_R2*(MAX(AC77-cfg_EOS_TH,0)-MAX(AD77-cfg_EOS_TH,0))))</f>
        <v/>
      </c>
      <c r="Z77" s="90" t="str">
        <f aca="false">IF($B77="","",IF(الموظفون!$R77&lt;&gt;"",الموظفون!$R77,IF(AC77&gt;=cfg_LV_TH,cfg_LV_D2,cfg_LV_D1))/cfg_DAYS_Y*AE77*الموظفون!$P77/cfg_DAYS_M)</f>
        <v/>
      </c>
      <c r="AA77" s="90" t="str">
        <f aca="false">IF($B77="","",IF(AND(الموظفون!$S77="نعم",N(الموظفون!$U77)&gt;0),الموظفون!$T77/الموظفون!$U77*12/cfg_DAYS_Y*AE77,0))</f>
        <v/>
      </c>
      <c r="AB77" s="113" t="str">
        <f aca="false">IF($B77="","",R77+SUM(X77:AA77))</f>
        <v/>
      </c>
      <c r="AC77" s="114" t="str">
        <f aca="false">IF($B77="","",MAX(0,IF(OR(الموظفون!$X77="",الموظفون!$X77&gt;$G$3),$G$3,الموظفون!$X77)-الموظفون!$H77+1)/cfg_DAYS_Y)</f>
        <v/>
      </c>
      <c r="AD77" s="114" t="str">
        <f aca="false">IF($B77="","",MAX(0,IF(OR(الموظفون!$X77="",الموظفون!$X77&gt;($E$3-1)),($E$3-1),الموظفون!$X77)-الموظفون!$H77+1)/cfg_DAYS_Y)</f>
        <v/>
      </c>
      <c r="AE77" s="115" t="str">
        <f aca="false">IF($B77="","",MAX(0,IF(OR(الموظفون!$X77="",الموظفون!$X77&gt;$G$3),$G$3,الموظفون!$X77)-MAX($E$3,الموظفون!$H77)+1))</f>
        <v/>
      </c>
    </row>
    <row r="78" customFormat="false" ht="15" hidden="false" customHeight="false" outlineLevel="0" collapsed="false">
      <c r="A78" s="83" t="str">
        <f aca="false">IF($B78="","",الموظفون!$A78)</f>
        <v/>
      </c>
      <c r="B78" s="74" t="str">
        <f aca="false">IF(الموظفون!$B78="","",الموظفون!$B78)</f>
        <v/>
      </c>
      <c r="C78" s="74" t="str">
        <f aca="false">IF($B78="","",الموظفون!$C78)</f>
        <v/>
      </c>
      <c r="D78" s="74" t="str">
        <f aca="false">IF($B78="","",الموظفون!$F78)</f>
        <v/>
      </c>
      <c r="E78" s="74" t="str">
        <f aca="false">IF($B78="","",الموظفون!$E78)</f>
        <v/>
      </c>
      <c r="F78" s="105" t="str">
        <f aca="false">IF($B78="","",IF(AE78&gt;=DAY($G$3),cfg_DAYS_M,MIN(AE78,cfg_DAYS_M)))</f>
        <v/>
      </c>
      <c r="G78" s="105" t="str">
        <f aca="false">IF($B78="","",SUMIFS('الحركات الشهرية'!$D$6:$D$1005,'الحركات الشهرية'!$B$6:$B$1005,$B78,'الحركات الشهرية'!$A$6:$A$1005,$C$3))</f>
        <v/>
      </c>
      <c r="H78" s="105" t="str">
        <f aca="false">IF($B78="","",SUMIFS('الحركات الشهرية'!$E$6:$E$1005,'الحركات الشهرية'!$B$6:$B$1005,$B78,'الحركات الشهرية'!$A$6:$A$1005,$C$3))</f>
        <v/>
      </c>
      <c r="I78" s="105" t="str">
        <f aca="false">IF($B78="","",MAX(0,F78-G78-H78))</f>
        <v/>
      </c>
      <c r="J78" s="86" t="str">
        <f aca="false">IF($B78="","",الموظفون!$J78*$I78/cfg_DAYS_M)</f>
        <v/>
      </c>
      <c r="K78" s="86" t="str">
        <f aca="false">IF($B78="","",الموظفون!$K78*$I78/cfg_DAYS_M)</f>
        <v/>
      </c>
      <c r="L78" s="86" t="str">
        <f aca="false">IF($B78="","",الموظفون!$L78*$I78/cfg_DAYS_M)</f>
        <v/>
      </c>
      <c r="M78" s="86" t="str">
        <f aca="false">IF($B78="","",الموظفون!$M78*$I78/cfg_DAYS_M)</f>
        <v/>
      </c>
      <c r="N78" s="105" t="str">
        <f aca="false">IF($B78="","",SUMIFS('الحركات الشهرية'!$F$6:$F$1005,'الحركات الشهرية'!$B$6:$B$1005,$B78,'الحركات الشهرية'!$A$6:$A$1005,$C$3))</f>
        <v/>
      </c>
      <c r="O78" s="86" t="str">
        <f aca="false">IF($B78="","",N78*(الموظفون!$N78+الموظفون!$J78*cfg_OT_P)/cfg_DAYS_M/cfg_HRS)</f>
        <v/>
      </c>
      <c r="P78" s="86" t="str">
        <f aca="false">IF($B78="","",SUMIFS('الحركات الشهرية'!$G$6:$G$1005,'الحركات الشهرية'!$B$6:$B$1005,$B78,'الحركات الشهرية'!$A$6:$A$1005,$C$3))</f>
        <v/>
      </c>
      <c r="Q78" s="86" t="str">
        <f aca="false">IF($B78="","",SUMIFS('الحركات الشهرية'!$H$6:$H$1005,'الحركات الشهرية'!$B$6:$B$1005,$B78,'الحركات الشهرية'!$A$6:$A$1005,$C$3))</f>
        <v/>
      </c>
      <c r="R78" s="106" t="str">
        <f aca="false">IF($B78="","",SUM(J78:M78)+SUM(O78:Q78))</f>
        <v/>
      </c>
      <c r="S78" s="86" t="str">
        <f aca="false">IF($B78="","",الموظفون!$Q78*IF(E78="سعودي",cfg_G_SE,cfg_G_NE)*F78/cfg_DAYS_M)</f>
        <v/>
      </c>
      <c r="T78" s="86" t="str">
        <f aca="false">IF($B78="","",SUMIFS('الحركات الشهرية'!$I$6:$I$1005,'الحركات الشهرية'!$B$6:$B$1005,$B78,'الحركات الشهرية'!$A$6:$A$1005,$C$3))</f>
        <v/>
      </c>
      <c r="U78" s="86" t="str">
        <f aca="false">IF($B78="","",SUMIFS('الحركات الشهرية'!$J$6:$J$1005,'الحركات الشهرية'!$B$6:$B$1005,$B78,'الحركات الشهرية'!$A$6:$A$1005,$C$3))</f>
        <v/>
      </c>
      <c r="V78" s="86" t="str">
        <f aca="false">IF($B78="","",SUM(S78:U78))</f>
        <v/>
      </c>
      <c r="W78" s="107" t="str">
        <f aca="false">IF($B78="","",R78-V78)</f>
        <v/>
      </c>
      <c r="X78" s="86" t="str">
        <f aca="false">IF($B78="","",الموظفون!$Q78*IF(E78="سعودي",cfg_G_SR,cfg_G_NR)*F78/cfg_DAYS_M)</f>
        <v/>
      </c>
      <c r="Y78" s="86" t="str">
        <f aca="false">IF($B78="","",الموظفون!$O78*(cfg_EOS_R1*(MIN(AC78,cfg_EOS_TH)-MIN(AD78,cfg_EOS_TH))+cfg_EOS_R2*(MAX(AC78-cfg_EOS_TH,0)-MAX(AD78-cfg_EOS_TH,0))))</f>
        <v/>
      </c>
      <c r="Z78" s="86" t="str">
        <f aca="false">IF($B78="","",IF(الموظفون!$R78&lt;&gt;"",الموظفون!$R78,IF(AC78&gt;=cfg_LV_TH,cfg_LV_D2,cfg_LV_D1))/cfg_DAYS_Y*AE78*الموظفون!$P78/cfg_DAYS_M)</f>
        <v/>
      </c>
      <c r="AA78" s="86" t="str">
        <f aca="false">IF($B78="","",IF(AND(الموظفون!$S78="نعم",N(الموظفون!$U78)&gt;0),الموظفون!$T78/الموظفون!$U78*12/cfg_DAYS_Y*AE78,0))</f>
        <v/>
      </c>
      <c r="AB78" s="108" t="str">
        <f aca="false">IF($B78="","",R78+SUM(X78:AA78))</f>
        <v/>
      </c>
      <c r="AC78" s="109" t="str">
        <f aca="false">IF($B78="","",MAX(0,IF(OR(الموظفون!$X78="",الموظفون!$X78&gt;$G$3),$G$3,الموظفون!$X78)-الموظفون!$H78+1)/cfg_DAYS_Y)</f>
        <v/>
      </c>
      <c r="AD78" s="109" t="str">
        <f aca="false">IF($B78="","",MAX(0,IF(OR(الموظفون!$X78="",الموظفون!$X78&gt;($E$3-1)),($E$3-1),الموظفون!$X78)-الموظفون!$H78+1)/cfg_DAYS_Y)</f>
        <v/>
      </c>
      <c r="AE78" s="51" t="str">
        <f aca="false">IF($B78="","",MAX(0,IF(OR(الموظفون!$X78="",الموظفون!$X78&gt;$G$3),$G$3,الموظفون!$X78)-MAX($E$3,الموظفون!$H78)+1))</f>
        <v/>
      </c>
    </row>
    <row r="79" customFormat="false" ht="15" hidden="false" customHeight="false" outlineLevel="0" collapsed="false">
      <c r="A79" s="89" t="str">
        <f aca="false">IF($B79="","",الموظفون!$A79)</f>
        <v/>
      </c>
      <c r="B79" s="91" t="str">
        <f aca="false">IF(الموظفون!$B79="","",الموظفون!$B79)</f>
        <v/>
      </c>
      <c r="C79" s="91" t="str">
        <f aca="false">IF($B79="","",الموظفون!$C79)</f>
        <v/>
      </c>
      <c r="D79" s="91" t="str">
        <f aca="false">IF($B79="","",الموظفون!$F79)</f>
        <v/>
      </c>
      <c r="E79" s="91" t="str">
        <f aca="false">IF($B79="","",الموظفون!$E79)</f>
        <v/>
      </c>
      <c r="F79" s="110" t="str">
        <f aca="false">IF($B79="","",IF(AE79&gt;=DAY($G$3),cfg_DAYS_M,MIN(AE79,cfg_DAYS_M)))</f>
        <v/>
      </c>
      <c r="G79" s="110" t="str">
        <f aca="false">IF($B79="","",SUMIFS('الحركات الشهرية'!$D$6:$D$1005,'الحركات الشهرية'!$B$6:$B$1005,$B79,'الحركات الشهرية'!$A$6:$A$1005,$C$3))</f>
        <v/>
      </c>
      <c r="H79" s="110" t="str">
        <f aca="false">IF($B79="","",SUMIFS('الحركات الشهرية'!$E$6:$E$1005,'الحركات الشهرية'!$B$6:$B$1005,$B79,'الحركات الشهرية'!$A$6:$A$1005,$C$3))</f>
        <v/>
      </c>
      <c r="I79" s="110" t="str">
        <f aca="false">IF($B79="","",MAX(0,F79-G79-H79))</f>
        <v/>
      </c>
      <c r="J79" s="90" t="str">
        <f aca="false">IF($B79="","",الموظفون!$J79*$I79/cfg_DAYS_M)</f>
        <v/>
      </c>
      <c r="K79" s="90" t="str">
        <f aca="false">IF($B79="","",الموظفون!$K79*$I79/cfg_DAYS_M)</f>
        <v/>
      </c>
      <c r="L79" s="90" t="str">
        <f aca="false">IF($B79="","",الموظفون!$L79*$I79/cfg_DAYS_M)</f>
        <v/>
      </c>
      <c r="M79" s="90" t="str">
        <f aca="false">IF($B79="","",الموظفون!$M79*$I79/cfg_DAYS_M)</f>
        <v/>
      </c>
      <c r="N79" s="110" t="str">
        <f aca="false">IF($B79="","",SUMIFS('الحركات الشهرية'!$F$6:$F$1005,'الحركات الشهرية'!$B$6:$B$1005,$B79,'الحركات الشهرية'!$A$6:$A$1005,$C$3))</f>
        <v/>
      </c>
      <c r="O79" s="90" t="str">
        <f aca="false">IF($B79="","",N79*(الموظفون!$N79+الموظفون!$J79*cfg_OT_P)/cfg_DAYS_M/cfg_HRS)</f>
        <v/>
      </c>
      <c r="P79" s="90" t="str">
        <f aca="false">IF($B79="","",SUMIFS('الحركات الشهرية'!$G$6:$G$1005,'الحركات الشهرية'!$B$6:$B$1005,$B79,'الحركات الشهرية'!$A$6:$A$1005,$C$3))</f>
        <v/>
      </c>
      <c r="Q79" s="90" t="str">
        <f aca="false">IF($B79="","",SUMIFS('الحركات الشهرية'!$H$6:$H$1005,'الحركات الشهرية'!$B$6:$B$1005,$B79,'الحركات الشهرية'!$A$6:$A$1005,$C$3))</f>
        <v/>
      </c>
      <c r="R79" s="111" t="str">
        <f aca="false">IF($B79="","",SUM(J79:M79)+SUM(O79:Q79))</f>
        <v/>
      </c>
      <c r="S79" s="90" t="str">
        <f aca="false">IF($B79="","",الموظفون!$Q79*IF(E79="سعودي",cfg_G_SE,cfg_G_NE)*F79/cfg_DAYS_M)</f>
        <v/>
      </c>
      <c r="T79" s="90" t="str">
        <f aca="false">IF($B79="","",SUMIFS('الحركات الشهرية'!$I$6:$I$1005,'الحركات الشهرية'!$B$6:$B$1005,$B79,'الحركات الشهرية'!$A$6:$A$1005,$C$3))</f>
        <v/>
      </c>
      <c r="U79" s="90" t="str">
        <f aca="false">IF($B79="","",SUMIFS('الحركات الشهرية'!$J$6:$J$1005,'الحركات الشهرية'!$B$6:$B$1005,$B79,'الحركات الشهرية'!$A$6:$A$1005,$C$3))</f>
        <v/>
      </c>
      <c r="V79" s="90" t="str">
        <f aca="false">IF($B79="","",SUM(S79:U79))</f>
        <v/>
      </c>
      <c r="W79" s="112" t="str">
        <f aca="false">IF($B79="","",R79-V79)</f>
        <v/>
      </c>
      <c r="X79" s="90" t="str">
        <f aca="false">IF($B79="","",الموظفون!$Q79*IF(E79="سعودي",cfg_G_SR,cfg_G_NR)*F79/cfg_DAYS_M)</f>
        <v/>
      </c>
      <c r="Y79" s="90" t="str">
        <f aca="false">IF($B79="","",الموظفون!$O79*(cfg_EOS_R1*(MIN(AC79,cfg_EOS_TH)-MIN(AD79,cfg_EOS_TH))+cfg_EOS_R2*(MAX(AC79-cfg_EOS_TH,0)-MAX(AD79-cfg_EOS_TH,0))))</f>
        <v/>
      </c>
      <c r="Z79" s="90" t="str">
        <f aca="false">IF($B79="","",IF(الموظفون!$R79&lt;&gt;"",الموظفون!$R79,IF(AC79&gt;=cfg_LV_TH,cfg_LV_D2,cfg_LV_D1))/cfg_DAYS_Y*AE79*الموظفون!$P79/cfg_DAYS_M)</f>
        <v/>
      </c>
      <c r="AA79" s="90" t="str">
        <f aca="false">IF($B79="","",IF(AND(الموظفون!$S79="نعم",N(الموظفون!$U79)&gt;0),الموظفون!$T79/الموظفون!$U79*12/cfg_DAYS_Y*AE79,0))</f>
        <v/>
      </c>
      <c r="AB79" s="113" t="str">
        <f aca="false">IF($B79="","",R79+SUM(X79:AA79))</f>
        <v/>
      </c>
      <c r="AC79" s="114" t="str">
        <f aca="false">IF($B79="","",MAX(0,IF(OR(الموظفون!$X79="",الموظفون!$X79&gt;$G$3),$G$3,الموظفون!$X79)-الموظفون!$H79+1)/cfg_DAYS_Y)</f>
        <v/>
      </c>
      <c r="AD79" s="114" t="str">
        <f aca="false">IF($B79="","",MAX(0,IF(OR(الموظفون!$X79="",الموظفون!$X79&gt;($E$3-1)),($E$3-1),الموظفون!$X79)-الموظفون!$H79+1)/cfg_DAYS_Y)</f>
        <v/>
      </c>
      <c r="AE79" s="115" t="str">
        <f aca="false">IF($B79="","",MAX(0,IF(OR(الموظفون!$X79="",الموظفون!$X79&gt;$G$3),$G$3,الموظفون!$X79)-MAX($E$3,الموظفون!$H79)+1))</f>
        <v/>
      </c>
    </row>
    <row r="80" customFormat="false" ht="15" hidden="false" customHeight="false" outlineLevel="0" collapsed="false">
      <c r="A80" s="83" t="str">
        <f aca="false">IF($B80="","",الموظفون!$A80)</f>
        <v/>
      </c>
      <c r="B80" s="74" t="str">
        <f aca="false">IF(الموظفون!$B80="","",الموظفون!$B80)</f>
        <v/>
      </c>
      <c r="C80" s="74" t="str">
        <f aca="false">IF($B80="","",الموظفون!$C80)</f>
        <v/>
      </c>
      <c r="D80" s="74" t="str">
        <f aca="false">IF($B80="","",الموظفون!$F80)</f>
        <v/>
      </c>
      <c r="E80" s="74" t="str">
        <f aca="false">IF($B80="","",الموظفون!$E80)</f>
        <v/>
      </c>
      <c r="F80" s="105" t="str">
        <f aca="false">IF($B80="","",IF(AE80&gt;=DAY($G$3),cfg_DAYS_M,MIN(AE80,cfg_DAYS_M)))</f>
        <v/>
      </c>
      <c r="G80" s="105" t="str">
        <f aca="false">IF($B80="","",SUMIFS('الحركات الشهرية'!$D$6:$D$1005,'الحركات الشهرية'!$B$6:$B$1005,$B80,'الحركات الشهرية'!$A$6:$A$1005,$C$3))</f>
        <v/>
      </c>
      <c r="H80" s="105" t="str">
        <f aca="false">IF($B80="","",SUMIFS('الحركات الشهرية'!$E$6:$E$1005,'الحركات الشهرية'!$B$6:$B$1005,$B80,'الحركات الشهرية'!$A$6:$A$1005,$C$3))</f>
        <v/>
      </c>
      <c r="I80" s="105" t="str">
        <f aca="false">IF($B80="","",MAX(0,F80-G80-H80))</f>
        <v/>
      </c>
      <c r="J80" s="86" t="str">
        <f aca="false">IF($B80="","",الموظفون!$J80*$I80/cfg_DAYS_M)</f>
        <v/>
      </c>
      <c r="K80" s="86" t="str">
        <f aca="false">IF($B80="","",الموظفون!$K80*$I80/cfg_DAYS_M)</f>
        <v/>
      </c>
      <c r="L80" s="86" t="str">
        <f aca="false">IF($B80="","",الموظفون!$L80*$I80/cfg_DAYS_M)</f>
        <v/>
      </c>
      <c r="M80" s="86" t="str">
        <f aca="false">IF($B80="","",الموظفون!$M80*$I80/cfg_DAYS_M)</f>
        <v/>
      </c>
      <c r="N80" s="105" t="str">
        <f aca="false">IF($B80="","",SUMIFS('الحركات الشهرية'!$F$6:$F$1005,'الحركات الشهرية'!$B$6:$B$1005,$B80,'الحركات الشهرية'!$A$6:$A$1005,$C$3))</f>
        <v/>
      </c>
      <c r="O80" s="86" t="str">
        <f aca="false">IF($B80="","",N80*(الموظفون!$N80+الموظفون!$J80*cfg_OT_P)/cfg_DAYS_M/cfg_HRS)</f>
        <v/>
      </c>
      <c r="P80" s="86" t="str">
        <f aca="false">IF($B80="","",SUMIFS('الحركات الشهرية'!$G$6:$G$1005,'الحركات الشهرية'!$B$6:$B$1005,$B80,'الحركات الشهرية'!$A$6:$A$1005,$C$3))</f>
        <v/>
      </c>
      <c r="Q80" s="86" t="str">
        <f aca="false">IF($B80="","",SUMIFS('الحركات الشهرية'!$H$6:$H$1005,'الحركات الشهرية'!$B$6:$B$1005,$B80,'الحركات الشهرية'!$A$6:$A$1005,$C$3))</f>
        <v/>
      </c>
      <c r="R80" s="106" t="str">
        <f aca="false">IF($B80="","",SUM(J80:M80)+SUM(O80:Q80))</f>
        <v/>
      </c>
      <c r="S80" s="86" t="str">
        <f aca="false">IF($B80="","",الموظفون!$Q80*IF(E80="سعودي",cfg_G_SE,cfg_G_NE)*F80/cfg_DAYS_M)</f>
        <v/>
      </c>
      <c r="T80" s="86" t="str">
        <f aca="false">IF($B80="","",SUMIFS('الحركات الشهرية'!$I$6:$I$1005,'الحركات الشهرية'!$B$6:$B$1005,$B80,'الحركات الشهرية'!$A$6:$A$1005,$C$3))</f>
        <v/>
      </c>
      <c r="U80" s="86" t="str">
        <f aca="false">IF($B80="","",SUMIFS('الحركات الشهرية'!$J$6:$J$1005,'الحركات الشهرية'!$B$6:$B$1005,$B80,'الحركات الشهرية'!$A$6:$A$1005,$C$3))</f>
        <v/>
      </c>
      <c r="V80" s="86" t="str">
        <f aca="false">IF($B80="","",SUM(S80:U80))</f>
        <v/>
      </c>
      <c r="W80" s="107" t="str">
        <f aca="false">IF($B80="","",R80-V80)</f>
        <v/>
      </c>
      <c r="X80" s="86" t="str">
        <f aca="false">IF($B80="","",الموظفون!$Q80*IF(E80="سعودي",cfg_G_SR,cfg_G_NR)*F80/cfg_DAYS_M)</f>
        <v/>
      </c>
      <c r="Y80" s="86" t="str">
        <f aca="false">IF($B80="","",الموظفون!$O80*(cfg_EOS_R1*(MIN(AC80,cfg_EOS_TH)-MIN(AD80,cfg_EOS_TH))+cfg_EOS_R2*(MAX(AC80-cfg_EOS_TH,0)-MAX(AD80-cfg_EOS_TH,0))))</f>
        <v/>
      </c>
      <c r="Z80" s="86" t="str">
        <f aca="false">IF($B80="","",IF(الموظفون!$R80&lt;&gt;"",الموظفون!$R80,IF(AC80&gt;=cfg_LV_TH,cfg_LV_D2,cfg_LV_D1))/cfg_DAYS_Y*AE80*الموظفون!$P80/cfg_DAYS_M)</f>
        <v/>
      </c>
      <c r="AA80" s="86" t="str">
        <f aca="false">IF($B80="","",IF(AND(الموظفون!$S80="نعم",N(الموظفون!$U80)&gt;0),الموظفون!$T80/الموظفون!$U80*12/cfg_DAYS_Y*AE80,0))</f>
        <v/>
      </c>
      <c r="AB80" s="108" t="str">
        <f aca="false">IF($B80="","",R80+SUM(X80:AA80))</f>
        <v/>
      </c>
      <c r="AC80" s="109" t="str">
        <f aca="false">IF($B80="","",MAX(0,IF(OR(الموظفون!$X80="",الموظفون!$X80&gt;$G$3),$G$3,الموظفون!$X80)-الموظفون!$H80+1)/cfg_DAYS_Y)</f>
        <v/>
      </c>
      <c r="AD80" s="109" t="str">
        <f aca="false">IF($B80="","",MAX(0,IF(OR(الموظفون!$X80="",الموظفون!$X80&gt;($E$3-1)),($E$3-1),الموظفون!$X80)-الموظفون!$H80+1)/cfg_DAYS_Y)</f>
        <v/>
      </c>
      <c r="AE80" s="51" t="str">
        <f aca="false">IF($B80="","",MAX(0,IF(OR(الموظفون!$X80="",الموظفون!$X80&gt;$G$3),$G$3,الموظفون!$X80)-MAX($E$3,الموظفون!$H80)+1))</f>
        <v/>
      </c>
    </row>
    <row r="81" customFormat="false" ht="15" hidden="false" customHeight="false" outlineLevel="0" collapsed="false">
      <c r="A81" s="89" t="str">
        <f aca="false">IF($B81="","",الموظفون!$A81)</f>
        <v/>
      </c>
      <c r="B81" s="91" t="str">
        <f aca="false">IF(الموظفون!$B81="","",الموظفون!$B81)</f>
        <v/>
      </c>
      <c r="C81" s="91" t="str">
        <f aca="false">IF($B81="","",الموظفون!$C81)</f>
        <v/>
      </c>
      <c r="D81" s="91" t="str">
        <f aca="false">IF($B81="","",الموظفون!$F81)</f>
        <v/>
      </c>
      <c r="E81" s="91" t="str">
        <f aca="false">IF($B81="","",الموظفون!$E81)</f>
        <v/>
      </c>
      <c r="F81" s="110" t="str">
        <f aca="false">IF($B81="","",IF(AE81&gt;=DAY($G$3),cfg_DAYS_M,MIN(AE81,cfg_DAYS_M)))</f>
        <v/>
      </c>
      <c r="G81" s="110" t="str">
        <f aca="false">IF($B81="","",SUMIFS('الحركات الشهرية'!$D$6:$D$1005,'الحركات الشهرية'!$B$6:$B$1005,$B81,'الحركات الشهرية'!$A$6:$A$1005,$C$3))</f>
        <v/>
      </c>
      <c r="H81" s="110" t="str">
        <f aca="false">IF($B81="","",SUMIFS('الحركات الشهرية'!$E$6:$E$1005,'الحركات الشهرية'!$B$6:$B$1005,$B81,'الحركات الشهرية'!$A$6:$A$1005,$C$3))</f>
        <v/>
      </c>
      <c r="I81" s="110" t="str">
        <f aca="false">IF($B81="","",MAX(0,F81-G81-H81))</f>
        <v/>
      </c>
      <c r="J81" s="90" t="str">
        <f aca="false">IF($B81="","",الموظفون!$J81*$I81/cfg_DAYS_M)</f>
        <v/>
      </c>
      <c r="K81" s="90" t="str">
        <f aca="false">IF($B81="","",الموظفون!$K81*$I81/cfg_DAYS_M)</f>
        <v/>
      </c>
      <c r="L81" s="90" t="str">
        <f aca="false">IF($B81="","",الموظفون!$L81*$I81/cfg_DAYS_M)</f>
        <v/>
      </c>
      <c r="M81" s="90" t="str">
        <f aca="false">IF($B81="","",الموظفون!$M81*$I81/cfg_DAYS_M)</f>
        <v/>
      </c>
      <c r="N81" s="110" t="str">
        <f aca="false">IF($B81="","",SUMIFS('الحركات الشهرية'!$F$6:$F$1005,'الحركات الشهرية'!$B$6:$B$1005,$B81,'الحركات الشهرية'!$A$6:$A$1005,$C$3))</f>
        <v/>
      </c>
      <c r="O81" s="90" t="str">
        <f aca="false">IF($B81="","",N81*(الموظفون!$N81+الموظفون!$J81*cfg_OT_P)/cfg_DAYS_M/cfg_HRS)</f>
        <v/>
      </c>
      <c r="P81" s="90" t="str">
        <f aca="false">IF($B81="","",SUMIFS('الحركات الشهرية'!$G$6:$G$1005,'الحركات الشهرية'!$B$6:$B$1005,$B81,'الحركات الشهرية'!$A$6:$A$1005,$C$3))</f>
        <v/>
      </c>
      <c r="Q81" s="90" t="str">
        <f aca="false">IF($B81="","",SUMIFS('الحركات الشهرية'!$H$6:$H$1005,'الحركات الشهرية'!$B$6:$B$1005,$B81,'الحركات الشهرية'!$A$6:$A$1005,$C$3))</f>
        <v/>
      </c>
      <c r="R81" s="111" t="str">
        <f aca="false">IF($B81="","",SUM(J81:M81)+SUM(O81:Q81))</f>
        <v/>
      </c>
      <c r="S81" s="90" t="str">
        <f aca="false">IF($B81="","",الموظفون!$Q81*IF(E81="سعودي",cfg_G_SE,cfg_G_NE)*F81/cfg_DAYS_M)</f>
        <v/>
      </c>
      <c r="T81" s="90" t="str">
        <f aca="false">IF($B81="","",SUMIFS('الحركات الشهرية'!$I$6:$I$1005,'الحركات الشهرية'!$B$6:$B$1005,$B81,'الحركات الشهرية'!$A$6:$A$1005,$C$3))</f>
        <v/>
      </c>
      <c r="U81" s="90" t="str">
        <f aca="false">IF($B81="","",SUMIFS('الحركات الشهرية'!$J$6:$J$1005,'الحركات الشهرية'!$B$6:$B$1005,$B81,'الحركات الشهرية'!$A$6:$A$1005,$C$3))</f>
        <v/>
      </c>
      <c r="V81" s="90" t="str">
        <f aca="false">IF($B81="","",SUM(S81:U81))</f>
        <v/>
      </c>
      <c r="W81" s="112" t="str">
        <f aca="false">IF($B81="","",R81-V81)</f>
        <v/>
      </c>
      <c r="X81" s="90" t="str">
        <f aca="false">IF($B81="","",الموظفون!$Q81*IF(E81="سعودي",cfg_G_SR,cfg_G_NR)*F81/cfg_DAYS_M)</f>
        <v/>
      </c>
      <c r="Y81" s="90" t="str">
        <f aca="false">IF($B81="","",الموظفون!$O81*(cfg_EOS_R1*(MIN(AC81,cfg_EOS_TH)-MIN(AD81,cfg_EOS_TH))+cfg_EOS_R2*(MAX(AC81-cfg_EOS_TH,0)-MAX(AD81-cfg_EOS_TH,0))))</f>
        <v/>
      </c>
      <c r="Z81" s="90" t="str">
        <f aca="false">IF($B81="","",IF(الموظفون!$R81&lt;&gt;"",الموظفون!$R81,IF(AC81&gt;=cfg_LV_TH,cfg_LV_D2,cfg_LV_D1))/cfg_DAYS_Y*AE81*الموظفون!$P81/cfg_DAYS_M)</f>
        <v/>
      </c>
      <c r="AA81" s="90" t="str">
        <f aca="false">IF($B81="","",IF(AND(الموظفون!$S81="نعم",N(الموظفون!$U81)&gt;0),الموظفون!$T81/الموظفون!$U81*12/cfg_DAYS_Y*AE81,0))</f>
        <v/>
      </c>
      <c r="AB81" s="113" t="str">
        <f aca="false">IF($B81="","",R81+SUM(X81:AA81))</f>
        <v/>
      </c>
      <c r="AC81" s="114" t="str">
        <f aca="false">IF($B81="","",MAX(0,IF(OR(الموظفون!$X81="",الموظفون!$X81&gt;$G$3),$G$3,الموظفون!$X81)-الموظفون!$H81+1)/cfg_DAYS_Y)</f>
        <v/>
      </c>
      <c r="AD81" s="114" t="str">
        <f aca="false">IF($B81="","",MAX(0,IF(OR(الموظفون!$X81="",الموظفون!$X81&gt;($E$3-1)),($E$3-1),الموظفون!$X81)-الموظفون!$H81+1)/cfg_DAYS_Y)</f>
        <v/>
      </c>
      <c r="AE81" s="115" t="str">
        <f aca="false">IF($B81="","",MAX(0,IF(OR(الموظفون!$X81="",الموظفون!$X81&gt;$G$3),$G$3,الموظفون!$X81)-MAX($E$3,الموظفون!$H81)+1))</f>
        <v/>
      </c>
    </row>
    <row r="82" customFormat="false" ht="15" hidden="false" customHeight="false" outlineLevel="0" collapsed="false">
      <c r="A82" s="83" t="str">
        <f aca="false">IF($B82="","",الموظفون!$A82)</f>
        <v/>
      </c>
      <c r="B82" s="74" t="str">
        <f aca="false">IF(الموظفون!$B82="","",الموظفون!$B82)</f>
        <v/>
      </c>
      <c r="C82" s="74" t="str">
        <f aca="false">IF($B82="","",الموظفون!$C82)</f>
        <v/>
      </c>
      <c r="D82" s="74" t="str">
        <f aca="false">IF($B82="","",الموظفون!$F82)</f>
        <v/>
      </c>
      <c r="E82" s="74" t="str">
        <f aca="false">IF($B82="","",الموظفون!$E82)</f>
        <v/>
      </c>
      <c r="F82" s="105" t="str">
        <f aca="false">IF($B82="","",IF(AE82&gt;=DAY($G$3),cfg_DAYS_M,MIN(AE82,cfg_DAYS_M)))</f>
        <v/>
      </c>
      <c r="G82" s="105" t="str">
        <f aca="false">IF($B82="","",SUMIFS('الحركات الشهرية'!$D$6:$D$1005,'الحركات الشهرية'!$B$6:$B$1005,$B82,'الحركات الشهرية'!$A$6:$A$1005,$C$3))</f>
        <v/>
      </c>
      <c r="H82" s="105" t="str">
        <f aca="false">IF($B82="","",SUMIFS('الحركات الشهرية'!$E$6:$E$1005,'الحركات الشهرية'!$B$6:$B$1005,$B82,'الحركات الشهرية'!$A$6:$A$1005,$C$3))</f>
        <v/>
      </c>
      <c r="I82" s="105" t="str">
        <f aca="false">IF($B82="","",MAX(0,F82-G82-H82))</f>
        <v/>
      </c>
      <c r="J82" s="86" t="str">
        <f aca="false">IF($B82="","",الموظفون!$J82*$I82/cfg_DAYS_M)</f>
        <v/>
      </c>
      <c r="K82" s="86" t="str">
        <f aca="false">IF($B82="","",الموظفون!$K82*$I82/cfg_DAYS_M)</f>
        <v/>
      </c>
      <c r="L82" s="86" t="str">
        <f aca="false">IF($B82="","",الموظفون!$L82*$I82/cfg_DAYS_M)</f>
        <v/>
      </c>
      <c r="M82" s="86" t="str">
        <f aca="false">IF($B82="","",الموظفون!$M82*$I82/cfg_DAYS_M)</f>
        <v/>
      </c>
      <c r="N82" s="105" t="str">
        <f aca="false">IF($B82="","",SUMIFS('الحركات الشهرية'!$F$6:$F$1005,'الحركات الشهرية'!$B$6:$B$1005,$B82,'الحركات الشهرية'!$A$6:$A$1005,$C$3))</f>
        <v/>
      </c>
      <c r="O82" s="86" t="str">
        <f aca="false">IF($B82="","",N82*(الموظفون!$N82+الموظفون!$J82*cfg_OT_P)/cfg_DAYS_M/cfg_HRS)</f>
        <v/>
      </c>
      <c r="P82" s="86" t="str">
        <f aca="false">IF($B82="","",SUMIFS('الحركات الشهرية'!$G$6:$G$1005,'الحركات الشهرية'!$B$6:$B$1005,$B82,'الحركات الشهرية'!$A$6:$A$1005,$C$3))</f>
        <v/>
      </c>
      <c r="Q82" s="86" t="str">
        <f aca="false">IF($B82="","",SUMIFS('الحركات الشهرية'!$H$6:$H$1005,'الحركات الشهرية'!$B$6:$B$1005,$B82,'الحركات الشهرية'!$A$6:$A$1005,$C$3))</f>
        <v/>
      </c>
      <c r="R82" s="106" t="str">
        <f aca="false">IF($B82="","",SUM(J82:M82)+SUM(O82:Q82))</f>
        <v/>
      </c>
      <c r="S82" s="86" t="str">
        <f aca="false">IF($B82="","",الموظفون!$Q82*IF(E82="سعودي",cfg_G_SE,cfg_G_NE)*F82/cfg_DAYS_M)</f>
        <v/>
      </c>
      <c r="T82" s="86" t="str">
        <f aca="false">IF($B82="","",SUMIFS('الحركات الشهرية'!$I$6:$I$1005,'الحركات الشهرية'!$B$6:$B$1005,$B82,'الحركات الشهرية'!$A$6:$A$1005,$C$3))</f>
        <v/>
      </c>
      <c r="U82" s="86" t="str">
        <f aca="false">IF($B82="","",SUMIFS('الحركات الشهرية'!$J$6:$J$1005,'الحركات الشهرية'!$B$6:$B$1005,$B82,'الحركات الشهرية'!$A$6:$A$1005,$C$3))</f>
        <v/>
      </c>
      <c r="V82" s="86" t="str">
        <f aca="false">IF($B82="","",SUM(S82:U82))</f>
        <v/>
      </c>
      <c r="W82" s="107" t="str">
        <f aca="false">IF($B82="","",R82-V82)</f>
        <v/>
      </c>
      <c r="X82" s="86" t="str">
        <f aca="false">IF($B82="","",الموظفون!$Q82*IF(E82="سعودي",cfg_G_SR,cfg_G_NR)*F82/cfg_DAYS_M)</f>
        <v/>
      </c>
      <c r="Y82" s="86" t="str">
        <f aca="false">IF($B82="","",الموظفون!$O82*(cfg_EOS_R1*(MIN(AC82,cfg_EOS_TH)-MIN(AD82,cfg_EOS_TH))+cfg_EOS_R2*(MAX(AC82-cfg_EOS_TH,0)-MAX(AD82-cfg_EOS_TH,0))))</f>
        <v/>
      </c>
      <c r="Z82" s="86" t="str">
        <f aca="false">IF($B82="","",IF(الموظفون!$R82&lt;&gt;"",الموظفون!$R82,IF(AC82&gt;=cfg_LV_TH,cfg_LV_D2,cfg_LV_D1))/cfg_DAYS_Y*AE82*الموظفون!$P82/cfg_DAYS_M)</f>
        <v/>
      </c>
      <c r="AA82" s="86" t="str">
        <f aca="false">IF($B82="","",IF(AND(الموظفون!$S82="نعم",N(الموظفون!$U82)&gt;0),الموظفون!$T82/الموظفون!$U82*12/cfg_DAYS_Y*AE82,0))</f>
        <v/>
      </c>
      <c r="AB82" s="108" t="str">
        <f aca="false">IF($B82="","",R82+SUM(X82:AA82))</f>
        <v/>
      </c>
      <c r="AC82" s="109" t="str">
        <f aca="false">IF($B82="","",MAX(0,IF(OR(الموظفون!$X82="",الموظفون!$X82&gt;$G$3),$G$3,الموظفون!$X82)-الموظفون!$H82+1)/cfg_DAYS_Y)</f>
        <v/>
      </c>
      <c r="AD82" s="109" t="str">
        <f aca="false">IF($B82="","",MAX(0,IF(OR(الموظفون!$X82="",الموظفون!$X82&gt;($E$3-1)),($E$3-1),الموظفون!$X82)-الموظفون!$H82+1)/cfg_DAYS_Y)</f>
        <v/>
      </c>
      <c r="AE82" s="51" t="str">
        <f aca="false">IF($B82="","",MAX(0,IF(OR(الموظفون!$X82="",الموظفون!$X82&gt;$G$3),$G$3,الموظفون!$X82)-MAX($E$3,الموظفون!$H82)+1))</f>
        <v/>
      </c>
    </row>
    <row r="83" customFormat="false" ht="15" hidden="false" customHeight="false" outlineLevel="0" collapsed="false">
      <c r="A83" s="89" t="str">
        <f aca="false">IF($B83="","",الموظفون!$A83)</f>
        <v/>
      </c>
      <c r="B83" s="91" t="str">
        <f aca="false">IF(الموظفون!$B83="","",الموظفون!$B83)</f>
        <v/>
      </c>
      <c r="C83" s="91" t="str">
        <f aca="false">IF($B83="","",الموظفون!$C83)</f>
        <v/>
      </c>
      <c r="D83" s="91" t="str">
        <f aca="false">IF($B83="","",الموظفون!$F83)</f>
        <v/>
      </c>
      <c r="E83" s="91" t="str">
        <f aca="false">IF($B83="","",الموظفون!$E83)</f>
        <v/>
      </c>
      <c r="F83" s="110" t="str">
        <f aca="false">IF($B83="","",IF(AE83&gt;=DAY($G$3),cfg_DAYS_M,MIN(AE83,cfg_DAYS_M)))</f>
        <v/>
      </c>
      <c r="G83" s="110" t="str">
        <f aca="false">IF($B83="","",SUMIFS('الحركات الشهرية'!$D$6:$D$1005,'الحركات الشهرية'!$B$6:$B$1005,$B83,'الحركات الشهرية'!$A$6:$A$1005,$C$3))</f>
        <v/>
      </c>
      <c r="H83" s="110" t="str">
        <f aca="false">IF($B83="","",SUMIFS('الحركات الشهرية'!$E$6:$E$1005,'الحركات الشهرية'!$B$6:$B$1005,$B83,'الحركات الشهرية'!$A$6:$A$1005,$C$3))</f>
        <v/>
      </c>
      <c r="I83" s="110" t="str">
        <f aca="false">IF($B83="","",MAX(0,F83-G83-H83))</f>
        <v/>
      </c>
      <c r="J83" s="90" t="str">
        <f aca="false">IF($B83="","",الموظفون!$J83*$I83/cfg_DAYS_M)</f>
        <v/>
      </c>
      <c r="K83" s="90" t="str">
        <f aca="false">IF($B83="","",الموظفون!$K83*$I83/cfg_DAYS_M)</f>
        <v/>
      </c>
      <c r="L83" s="90" t="str">
        <f aca="false">IF($B83="","",الموظفون!$L83*$I83/cfg_DAYS_M)</f>
        <v/>
      </c>
      <c r="M83" s="90" t="str">
        <f aca="false">IF($B83="","",الموظفون!$M83*$I83/cfg_DAYS_M)</f>
        <v/>
      </c>
      <c r="N83" s="110" t="str">
        <f aca="false">IF($B83="","",SUMIFS('الحركات الشهرية'!$F$6:$F$1005,'الحركات الشهرية'!$B$6:$B$1005,$B83,'الحركات الشهرية'!$A$6:$A$1005,$C$3))</f>
        <v/>
      </c>
      <c r="O83" s="90" t="str">
        <f aca="false">IF($B83="","",N83*(الموظفون!$N83+الموظفون!$J83*cfg_OT_P)/cfg_DAYS_M/cfg_HRS)</f>
        <v/>
      </c>
      <c r="P83" s="90" t="str">
        <f aca="false">IF($B83="","",SUMIFS('الحركات الشهرية'!$G$6:$G$1005,'الحركات الشهرية'!$B$6:$B$1005,$B83,'الحركات الشهرية'!$A$6:$A$1005,$C$3))</f>
        <v/>
      </c>
      <c r="Q83" s="90" t="str">
        <f aca="false">IF($B83="","",SUMIFS('الحركات الشهرية'!$H$6:$H$1005,'الحركات الشهرية'!$B$6:$B$1005,$B83,'الحركات الشهرية'!$A$6:$A$1005,$C$3))</f>
        <v/>
      </c>
      <c r="R83" s="111" t="str">
        <f aca="false">IF($B83="","",SUM(J83:M83)+SUM(O83:Q83))</f>
        <v/>
      </c>
      <c r="S83" s="90" t="str">
        <f aca="false">IF($B83="","",الموظفون!$Q83*IF(E83="سعودي",cfg_G_SE,cfg_G_NE)*F83/cfg_DAYS_M)</f>
        <v/>
      </c>
      <c r="T83" s="90" t="str">
        <f aca="false">IF($B83="","",SUMIFS('الحركات الشهرية'!$I$6:$I$1005,'الحركات الشهرية'!$B$6:$B$1005,$B83,'الحركات الشهرية'!$A$6:$A$1005,$C$3))</f>
        <v/>
      </c>
      <c r="U83" s="90" t="str">
        <f aca="false">IF($B83="","",SUMIFS('الحركات الشهرية'!$J$6:$J$1005,'الحركات الشهرية'!$B$6:$B$1005,$B83,'الحركات الشهرية'!$A$6:$A$1005,$C$3))</f>
        <v/>
      </c>
      <c r="V83" s="90" t="str">
        <f aca="false">IF($B83="","",SUM(S83:U83))</f>
        <v/>
      </c>
      <c r="W83" s="112" t="str">
        <f aca="false">IF($B83="","",R83-V83)</f>
        <v/>
      </c>
      <c r="X83" s="90" t="str">
        <f aca="false">IF($B83="","",الموظفون!$Q83*IF(E83="سعودي",cfg_G_SR,cfg_G_NR)*F83/cfg_DAYS_M)</f>
        <v/>
      </c>
      <c r="Y83" s="90" t="str">
        <f aca="false">IF($B83="","",الموظفون!$O83*(cfg_EOS_R1*(MIN(AC83,cfg_EOS_TH)-MIN(AD83,cfg_EOS_TH))+cfg_EOS_R2*(MAX(AC83-cfg_EOS_TH,0)-MAX(AD83-cfg_EOS_TH,0))))</f>
        <v/>
      </c>
      <c r="Z83" s="90" t="str">
        <f aca="false">IF($B83="","",IF(الموظفون!$R83&lt;&gt;"",الموظفون!$R83,IF(AC83&gt;=cfg_LV_TH,cfg_LV_D2,cfg_LV_D1))/cfg_DAYS_Y*AE83*الموظفون!$P83/cfg_DAYS_M)</f>
        <v/>
      </c>
      <c r="AA83" s="90" t="str">
        <f aca="false">IF($B83="","",IF(AND(الموظفون!$S83="نعم",N(الموظفون!$U83)&gt;0),الموظفون!$T83/الموظفون!$U83*12/cfg_DAYS_Y*AE83,0))</f>
        <v/>
      </c>
      <c r="AB83" s="113" t="str">
        <f aca="false">IF($B83="","",R83+SUM(X83:AA83))</f>
        <v/>
      </c>
      <c r="AC83" s="114" t="str">
        <f aca="false">IF($B83="","",MAX(0,IF(OR(الموظفون!$X83="",الموظفون!$X83&gt;$G$3),$G$3,الموظفون!$X83)-الموظفون!$H83+1)/cfg_DAYS_Y)</f>
        <v/>
      </c>
      <c r="AD83" s="114" t="str">
        <f aca="false">IF($B83="","",MAX(0,IF(OR(الموظفون!$X83="",الموظفون!$X83&gt;($E$3-1)),($E$3-1),الموظفون!$X83)-الموظفون!$H83+1)/cfg_DAYS_Y)</f>
        <v/>
      </c>
      <c r="AE83" s="115" t="str">
        <f aca="false">IF($B83="","",MAX(0,IF(OR(الموظفون!$X83="",الموظفون!$X83&gt;$G$3),$G$3,الموظفون!$X83)-MAX($E$3,الموظفون!$H83)+1))</f>
        <v/>
      </c>
    </row>
    <row r="84" customFormat="false" ht="15" hidden="false" customHeight="false" outlineLevel="0" collapsed="false">
      <c r="A84" s="83" t="str">
        <f aca="false">IF($B84="","",الموظفون!$A84)</f>
        <v/>
      </c>
      <c r="B84" s="74" t="str">
        <f aca="false">IF(الموظفون!$B84="","",الموظفون!$B84)</f>
        <v/>
      </c>
      <c r="C84" s="74" t="str">
        <f aca="false">IF($B84="","",الموظفون!$C84)</f>
        <v/>
      </c>
      <c r="D84" s="74" t="str">
        <f aca="false">IF($B84="","",الموظفون!$F84)</f>
        <v/>
      </c>
      <c r="E84" s="74" t="str">
        <f aca="false">IF($B84="","",الموظفون!$E84)</f>
        <v/>
      </c>
      <c r="F84" s="105" t="str">
        <f aca="false">IF($B84="","",IF(AE84&gt;=DAY($G$3),cfg_DAYS_M,MIN(AE84,cfg_DAYS_M)))</f>
        <v/>
      </c>
      <c r="G84" s="105" t="str">
        <f aca="false">IF($B84="","",SUMIFS('الحركات الشهرية'!$D$6:$D$1005,'الحركات الشهرية'!$B$6:$B$1005,$B84,'الحركات الشهرية'!$A$6:$A$1005,$C$3))</f>
        <v/>
      </c>
      <c r="H84" s="105" t="str">
        <f aca="false">IF($B84="","",SUMIFS('الحركات الشهرية'!$E$6:$E$1005,'الحركات الشهرية'!$B$6:$B$1005,$B84,'الحركات الشهرية'!$A$6:$A$1005,$C$3))</f>
        <v/>
      </c>
      <c r="I84" s="105" t="str">
        <f aca="false">IF($B84="","",MAX(0,F84-G84-H84))</f>
        <v/>
      </c>
      <c r="J84" s="86" t="str">
        <f aca="false">IF($B84="","",الموظفون!$J84*$I84/cfg_DAYS_M)</f>
        <v/>
      </c>
      <c r="K84" s="86" t="str">
        <f aca="false">IF($B84="","",الموظفون!$K84*$I84/cfg_DAYS_M)</f>
        <v/>
      </c>
      <c r="L84" s="86" t="str">
        <f aca="false">IF($B84="","",الموظفون!$L84*$I84/cfg_DAYS_M)</f>
        <v/>
      </c>
      <c r="M84" s="86" t="str">
        <f aca="false">IF($B84="","",الموظفون!$M84*$I84/cfg_DAYS_M)</f>
        <v/>
      </c>
      <c r="N84" s="105" t="str">
        <f aca="false">IF($B84="","",SUMIFS('الحركات الشهرية'!$F$6:$F$1005,'الحركات الشهرية'!$B$6:$B$1005,$B84,'الحركات الشهرية'!$A$6:$A$1005,$C$3))</f>
        <v/>
      </c>
      <c r="O84" s="86" t="str">
        <f aca="false">IF($B84="","",N84*(الموظفون!$N84+الموظفون!$J84*cfg_OT_P)/cfg_DAYS_M/cfg_HRS)</f>
        <v/>
      </c>
      <c r="P84" s="86" t="str">
        <f aca="false">IF($B84="","",SUMIFS('الحركات الشهرية'!$G$6:$G$1005,'الحركات الشهرية'!$B$6:$B$1005,$B84,'الحركات الشهرية'!$A$6:$A$1005,$C$3))</f>
        <v/>
      </c>
      <c r="Q84" s="86" t="str">
        <f aca="false">IF($B84="","",SUMIFS('الحركات الشهرية'!$H$6:$H$1005,'الحركات الشهرية'!$B$6:$B$1005,$B84,'الحركات الشهرية'!$A$6:$A$1005,$C$3))</f>
        <v/>
      </c>
      <c r="R84" s="106" t="str">
        <f aca="false">IF($B84="","",SUM(J84:M84)+SUM(O84:Q84))</f>
        <v/>
      </c>
      <c r="S84" s="86" t="str">
        <f aca="false">IF($B84="","",الموظفون!$Q84*IF(E84="سعودي",cfg_G_SE,cfg_G_NE)*F84/cfg_DAYS_M)</f>
        <v/>
      </c>
      <c r="T84" s="86" t="str">
        <f aca="false">IF($B84="","",SUMIFS('الحركات الشهرية'!$I$6:$I$1005,'الحركات الشهرية'!$B$6:$B$1005,$B84,'الحركات الشهرية'!$A$6:$A$1005,$C$3))</f>
        <v/>
      </c>
      <c r="U84" s="86" t="str">
        <f aca="false">IF($B84="","",SUMIFS('الحركات الشهرية'!$J$6:$J$1005,'الحركات الشهرية'!$B$6:$B$1005,$B84,'الحركات الشهرية'!$A$6:$A$1005,$C$3))</f>
        <v/>
      </c>
      <c r="V84" s="86" t="str">
        <f aca="false">IF($B84="","",SUM(S84:U84))</f>
        <v/>
      </c>
      <c r="W84" s="107" t="str">
        <f aca="false">IF($B84="","",R84-V84)</f>
        <v/>
      </c>
      <c r="X84" s="86" t="str">
        <f aca="false">IF($B84="","",الموظفون!$Q84*IF(E84="سعودي",cfg_G_SR,cfg_G_NR)*F84/cfg_DAYS_M)</f>
        <v/>
      </c>
      <c r="Y84" s="86" t="str">
        <f aca="false">IF($B84="","",الموظفون!$O84*(cfg_EOS_R1*(MIN(AC84,cfg_EOS_TH)-MIN(AD84,cfg_EOS_TH))+cfg_EOS_R2*(MAX(AC84-cfg_EOS_TH,0)-MAX(AD84-cfg_EOS_TH,0))))</f>
        <v/>
      </c>
      <c r="Z84" s="86" t="str">
        <f aca="false">IF($B84="","",IF(الموظفون!$R84&lt;&gt;"",الموظفون!$R84,IF(AC84&gt;=cfg_LV_TH,cfg_LV_D2,cfg_LV_D1))/cfg_DAYS_Y*AE84*الموظفون!$P84/cfg_DAYS_M)</f>
        <v/>
      </c>
      <c r="AA84" s="86" t="str">
        <f aca="false">IF($B84="","",IF(AND(الموظفون!$S84="نعم",N(الموظفون!$U84)&gt;0),الموظفون!$T84/الموظفون!$U84*12/cfg_DAYS_Y*AE84,0))</f>
        <v/>
      </c>
      <c r="AB84" s="108" t="str">
        <f aca="false">IF($B84="","",R84+SUM(X84:AA84))</f>
        <v/>
      </c>
      <c r="AC84" s="109" t="str">
        <f aca="false">IF($B84="","",MAX(0,IF(OR(الموظفون!$X84="",الموظفون!$X84&gt;$G$3),$G$3,الموظفون!$X84)-الموظفون!$H84+1)/cfg_DAYS_Y)</f>
        <v/>
      </c>
      <c r="AD84" s="109" t="str">
        <f aca="false">IF($B84="","",MAX(0,IF(OR(الموظفون!$X84="",الموظفون!$X84&gt;($E$3-1)),($E$3-1),الموظفون!$X84)-الموظفون!$H84+1)/cfg_DAYS_Y)</f>
        <v/>
      </c>
      <c r="AE84" s="51" t="str">
        <f aca="false">IF($B84="","",MAX(0,IF(OR(الموظفون!$X84="",الموظفون!$X84&gt;$G$3),$G$3,الموظفون!$X84)-MAX($E$3,الموظفون!$H84)+1))</f>
        <v/>
      </c>
    </row>
    <row r="85" customFormat="false" ht="15" hidden="false" customHeight="false" outlineLevel="0" collapsed="false">
      <c r="A85" s="89" t="str">
        <f aca="false">IF($B85="","",الموظفون!$A85)</f>
        <v/>
      </c>
      <c r="B85" s="91" t="str">
        <f aca="false">IF(الموظفون!$B85="","",الموظفون!$B85)</f>
        <v/>
      </c>
      <c r="C85" s="91" t="str">
        <f aca="false">IF($B85="","",الموظفون!$C85)</f>
        <v/>
      </c>
      <c r="D85" s="91" t="str">
        <f aca="false">IF($B85="","",الموظفون!$F85)</f>
        <v/>
      </c>
      <c r="E85" s="91" t="str">
        <f aca="false">IF($B85="","",الموظفون!$E85)</f>
        <v/>
      </c>
      <c r="F85" s="110" t="str">
        <f aca="false">IF($B85="","",IF(AE85&gt;=DAY($G$3),cfg_DAYS_M,MIN(AE85,cfg_DAYS_M)))</f>
        <v/>
      </c>
      <c r="G85" s="110" t="str">
        <f aca="false">IF($B85="","",SUMIFS('الحركات الشهرية'!$D$6:$D$1005,'الحركات الشهرية'!$B$6:$B$1005,$B85,'الحركات الشهرية'!$A$6:$A$1005,$C$3))</f>
        <v/>
      </c>
      <c r="H85" s="110" t="str">
        <f aca="false">IF($B85="","",SUMIFS('الحركات الشهرية'!$E$6:$E$1005,'الحركات الشهرية'!$B$6:$B$1005,$B85,'الحركات الشهرية'!$A$6:$A$1005,$C$3))</f>
        <v/>
      </c>
      <c r="I85" s="110" t="str">
        <f aca="false">IF($B85="","",MAX(0,F85-G85-H85))</f>
        <v/>
      </c>
      <c r="J85" s="90" t="str">
        <f aca="false">IF($B85="","",الموظفون!$J85*$I85/cfg_DAYS_M)</f>
        <v/>
      </c>
      <c r="K85" s="90" t="str">
        <f aca="false">IF($B85="","",الموظفون!$K85*$I85/cfg_DAYS_M)</f>
        <v/>
      </c>
      <c r="L85" s="90" t="str">
        <f aca="false">IF($B85="","",الموظفون!$L85*$I85/cfg_DAYS_M)</f>
        <v/>
      </c>
      <c r="M85" s="90" t="str">
        <f aca="false">IF($B85="","",الموظفون!$M85*$I85/cfg_DAYS_M)</f>
        <v/>
      </c>
      <c r="N85" s="110" t="str">
        <f aca="false">IF($B85="","",SUMIFS('الحركات الشهرية'!$F$6:$F$1005,'الحركات الشهرية'!$B$6:$B$1005,$B85,'الحركات الشهرية'!$A$6:$A$1005,$C$3))</f>
        <v/>
      </c>
      <c r="O85" s="90" t="str">
        <f aca="false">IF($B85="","",N85*(الموظفون!$N85+الموظفون!$J85*cfg_OT_P)/cfg_DAYS_M/cfg_HRS)</f>
        <v/>
      </c>
      <c r="P85" s="90" t="str">
        <f aca="false">IF($B85="","",SUMIFS('الحركات الشهرية'!$G$6:$G$1005,'الحركات الشهرية'!$B$6:$B$1005,$B85,'الحركات الشهرية'!$A$6:$A$1005,$C$3))</f>
        <v/>
      </c>
      <c r="Q85" s="90" t="str">
        <f aca="false">IF($B85="","",SUMIFS('الحركات الشهرية'!$H$6:$H$1005,'الحركات الشهرية'!$B$6:$B$1005,$B85,'الحركات الشهرية'!$A$6:$A$1005,$C$3))</f>
        <v/>
      </c>
      <c r="R85" s="111" t="str">
        <f aca="false">IF($B85="","",SUM(J85:M85)+SUM(O85:Q85))</f>
        <v/>
      </c>
      <c r="S85" s="90" t="str">
        <f aca="false">IF($B85="","",الموظفون!$Q85*IF(E85="سعودي",cfg_G_SE,cfg_G_NE)*F85/cfg_DAYS_M)</f>
        <v/>
      </c>
      <c r="T85" s="90" t="str">
        <f aca="false">IF($B85="","",SUMIFS('الحركات الشهرية'!$I$6:$I$1005,'الحركات الشهرية'!$B$6:$B$1005,$B85,'الحركات الشهرية'!$A$6:$A$1005,$C$3))</f>
        <v/>
      </c>
      <c r="U85" s="90" t="str">
        <f aca="false">IF($B85="","",SUMIFS('الحركات الشهرية'!$J$6:$J$1005,'الحركات الشهرية'!$B$6:$B$1005,$B85,'الحركات الشهرية'!$A$6:$A$1005,$C$3))</f>
        <v/>
      </c>
      <c r="V85" s="90" t="str">
        <f aca="false">IF($B85="","",SUM(S85:U85))</f>
        <v/>
      </c>
      <c r="W85" s="112" t="str">
        <f aca="false">IF($B85="","",R85-V85)</f>
        <v/>
      </c>
      <c r="X85" s="90" t="str">
        <f aca="false">IF($B85="","",الموظفون!$Q85*IF(E85="سعودي",cfg_G_SR,cfg_G_NR)*F85/cfg_DAYS_M)</f>
        <v/>
      </c>
      <c r="Y85" s="90" t="str">
        <f aca="false">IF($B85="","",الموظفون!$O85*(cfg_EOS_R1*(MIN(AC85,cfg_EOS_TH)-MIN(AD85,cfg_EOS_TH))+cfg_EOS_R2*(MAX(AC85-cfg_EOS_TH,0)-MAX(AD85-cfg_EOS_TH,0))))</f>
        <v/>
      </c>
      <c r="Z85" s="90" t="str">
        <f aca="false">IF($B85="","",IF(الموظفون!$R85&lt;&gt;"",الموظفون!$R85,IF(AC85&gt;=cfg_LV_TH,cfg_LV_D2,cfg_LV_D1))/cfg_DAYS_Y*AE85*الموظفون!$P85/cfg_DAYS_M)</f>
        <v/>
      </c>
      <c r="AA85" s="90" t="str">
        <f aca="false">IF($B85="","",IF(AND(الموظفون!$S85="نعم",N(الموظفون!$U85)&gt;0),الموظفون!$T85/الموظفون!$U85*12/cfg_DAYS_Y*AE85,0))</f>
        <v/>
      </c>
      <c r="AB85" s="113" t="str">
        <f aca="false">IF($B85="","",R85+SUM(X85:AA85))</f>
        <v/>
      </c>
      <c r="AC85" s="114" t="str">
        <f aca="false">IF($B85="","",MAX(0,IF(OR(الموظفون!$X85="",الموظفون!$X85&gt;$G$3),$G$3,الموظفون!$X85)-الموظفون!$H85+1)/cfg_DAYS_Y)</f>
        <v/>
      </c>
      <c r="AD85" s="114" t="str">
        <f aca="false">IF($B85="","",MAX(0,IF(OR(الموظفون!$X85="",الموظفون!$X85&gt;($E$3-1)),($E$3-1),الموظفون!$X85)-الموظفون!$H85+1)/cfg_DAYS_Y)</f>
        <v/>
      </c>
      <c r="AE85" s="115" t="str">
        <f aca="false">IF($B85="","",MAX(0,IF(OR(الموظفون!$X85="",الموظفون!$X85&gt;$G$3),$G$3,الموظفون!$X85)-MAX($E$3,الموظفون!$H85)+1))</f>
        <v/>
      </c>
    </row>
    <row r="86" customFormat="false" ht="15" hidden="false" customHeight="false" outlineLevel="0" collapsed="false">
      <c r="A86" s="83" t="str">
        <f aca="false">IF($B86="","",الموظفون!$A86)</f>
        <v/>
      </c>
      <c r="B86" s="74" t="str">
        <f aca="false">IF(الموظفون!$B86="","",الموظفون!$B86)</f>
        <v/>
      </c>
      <c r="C86" s="74" t="str">
        <f aca="false">IF($B86="","",الموظفون!$C86)</f>
        <v/>
      </c>
      <c r="D86" s="74" t="str">
        <f aca="false">IF($B86="","",الموظفون!$F86)</f>
        <v/>
      </c>
      <c r="E86" s="74" t="str">
        <f aca="false">IF($B86="","",الموظفون!$E86)</f>
        <v/>
      </c>
      <c r="F86" s="105" t="str">
        <f aca="false">IF($B86="","",IF(AE86&gt;=DAY($G$3),cfg_DAYS_M,MIN(AE86,cfg_DAYS_M)))</f>
        <v/>
      </c>
      <c r="G86" s="105" t="str">
        <f aca="false">IF($B86="","",SUMIFS('الحركات الشهرية'!$D$6:$D$1005,'الحركات الشهرية'!$B$6:$B$1005,$B86,'الحركات الشهرية'!$A$6:$A$1005,$C$3))</f>
        <v/>
      </c>
      <c r="H86" s="105" t="str">
        <f aca="false">IF($B86="","",SUMIFS('الحركات الشهرية'!$E$6:$E$1005,'الحركات الشهرية'!$B$6:$B$1005,$B86,'الحركات الشهرية'!$A$6:$A$1005,$C$3))</f>
        <v/>
      </c>
      <c r="I86" s="105" t="str">
        <f aca="false">IF($B86="","",MAX(0,F86-G86-H86))</f>
        <v/>
      </c>
      <c r="J86" s="86" t="str">
        <f aca="false">IF($B86="","",الموظفون!$J86*$I86/cfg_DAYS_M)</f>
        <v/>
      </c>
      <c r="K86" s="86" t="str">
        <f aca="false">IF($B86="","",الموظفون!$K86*$I86/cfg_DAYS_M)</f>
        <v/>
      </c>
      <c r="L86" s="86" t="str">
        <f aca="false">IF($B86="","",الموظفون!$L86*$I86/cfg_DAYS_M)</f>
        <v/>
      </c>
      <c r="M86" s="86" t="str">
        <f aca="false">IF($B86="","",الموظفون!$M86*$I86/cfg_DAYS_M)</f>
        <v/>
      </c>
      <c r="N86" s="105" t="str">
        <f aca="false">IF($B86="","",SUMIFS('الحركات الشهرية'!$F$6:$F$1005,'الحركات الشهرية'!$B$6:$B$1005,$B86,'الحركات الشهرية'!$A$6:$A$1005,$C$3))</f>
        <v/>
      </c>
      <c r="O86" s="86" t="str">
        <f aca="false">IF($B86="","",N86*(الموظفون!$N86+الموظفون!$J86*cfg_OT_P)/cfg_DAYS_M/cfg_HRS)</f>
        <v/>
      </c>
      <c r="P86" s="86" t="str">
        <f aca="false">IF($B86="","",SUMIFS('الحركات الشهرية'!$G$6:$G$1005,'الحركات الشهرية'!$B$6:$B$1005,$B86,'الحركات الشهرية'!$A$6:$A$1005,$C$3))</f>
        <v/>
      </c>
      <c r="Q86" s="86" t="str">
        <f aca="false">IF($B86="","",SUMIFS('الحركات الشهرية'!$H$6:$H$1005,'الحركات الشهرية'!$B$6:$B$1005,$B86,'الحركات الشهرية'!$A$6:$A$1005,$C$3))</f>
        <v/>
      </c>
      <c r="R86" s="106" t="str">
        <f aca="false">IF($B86="","",SUM(J86:M86)+SUM(O86:Q86))</f>
        <v/>
      </c>
      <c r="S86" s="86" t="str">
        <f aca="false">IF($B86="","",الموظفون!$Q86*IF(E86="سعودي",cfg_G_SE,cfg_G_NE)*F86/cfg_DAYS_M)</f>
        <v/>
      </c>
      <c r="T86" s="86" t="str">
        <f aca="false">IF($B86="","",SUMIFS('الحركات الشهرية'!$I$6:$I$1005,'الحركات الشهرية'!$B$6:$B$1005,$B86,'الحركات الشهرية'!$A$6:$A$1005,$C$3))</f>
        <v/>
      </c>
      <c r="U86" s="86" t="str">
        <f aca="false">IF($B86="","",SUMIFS('الحركات الشهرية'!$J$6:$J$1005,'الحركات الشهرية'!$B$6:$B$1005,$B86,'الحركات الشهرية'!$A$6:$A$1005,$C$3))</f>
        <v/>
      </c>
      <c r="V86" s="86" t="str">
        <f aca="false">IF($B86="","",SUM(S86:U86))</f>
        <v/>
      </c>
      <c r="W86" s="107" t="str">
        <f aca="false">IF($B86="","",R86-V86)</f>
        <v/>
      </c>
      <c r="X86" s="86" t="str">
        <f aca="false">IF($B86="","",الموظفون!$Q86*IF(E86="سعودي",cfg_G_SR,cfg_G_NR)*F86/cfg_DAYS_M)</f>
        <v/>
      </c>
      <c r="Y86" s="86" t="str">
        <f aca="false">IF($B86="","",الموظفون!$O86*(cfg_EOS_R1*(MIN(AC86,cfg_EOS_TH)-MIN(AD86,cfg_EOS_TH))+cfg_EOS_R2*(MAX(AC86-cfg_EOS_TH,0)-MAX(AD86-cfg_EOS_TH,0))))</f>
        <v/>
      </c>
      <c r="Z86" s="86" t="str">
        <f aca="false">IF($B86="","",IF(الموظفون!$R86&lt;&gt;"",الموظفون!$R86,IF(AC86&gt;=cfg_LV_TH,cfg_LV_D2,cfg_LV_D1))/cfg_DAYS_Y*AE86*الموظفون!$P86/cfg_DAYS_M)</f>
        <v/>
      </c>
      <c r="AA86" s="86" t="str">
        <f aca="false">IF($B86="","",IF(AND(الموظفون!$S86="نعم",N(الموظفون!$U86)&gt;0),الموظفون!$T86/الموظفون!$U86*12/cfg_DAYS_Y*AE86,0))</f>
        <v/>
      </c>
      <c r="AB86" s="108" t="str">
        <f aca="false">IF($B86="","",R86+SUM(X86:AA86))</f>
        <v/>
      </c>
      <c r="AC86" s="109" t="str">
        <f aca="false">IF($B86="","",MAX(0,IF(OR(الموظفون!$X86="",الموظفون!$X86&gt;$G$3),$G$3,الموظفون!$X86)-الموظفون!$H86+1)/cfg_DAYS_Y)</f>
        <v/>
      </c>
      <c r="AD86" s="109" t="str">
        <f aca="false">IF($B86="","",MAX(0,IF(OR(الموظفون!$X86="",الموظفون!$X86&gt;($E$3-1)),($E$3-1),الموظفون!$X86)-الموظفون!$H86+1)/cfg_DAYS_Y)</f>
        <v/>
      </c>
      <c r="AE86" s="51" t="str">
        <f aca="false">IF($B86="","",MAX(0,IF(OR(الموظفون!$X86="",الموظفون!$X86&gt;$G$3),$G$3,الموظفون!$X86)-MAX($E$3,الموظفون!$H86)+1))</f>
        <v/>
      </c>
    </row>
    <row r="87" customFormat="false" ht="15" hidden="false" customHeight="false" outlineLevel="0" collapsed="false">
      <c r="A87" s="89" t="str">
        <f aca="false">IF($B87="","",الموظفون!$A87)</f>
        <v/>
      </c>
      <c r="B87" s="91" t="str">
        <f aca="false">IF(الموظفون!$B87="","",الموظفون!$B87)</f>
        <v/>
      </c>
      <c r="C87" s="91" t="str">
        <f aca="false">IF($B87="","",الموظفون!$C87)</f>
        <v/>
      </c>
      <c r="D87" s="91" t="str">
        <f aca="false">IF($B87="","",الموظفون!$F87)</f>
        <v/>
      </c>
      <c r="E87" s="91" t="str">
        <f aca="false">IF($B87="","",الموظفون!$E87)</f>
        <v/>
      </c>
      <c r="F87" s="110" t="str">
        <f aca="false">IF($B87="","",IF(AE87&gt;=DAY($G$3),cfg_DAYS_M,MIN(AE87,cfg_DAYS_M)))</f>
        <v/>
      </c>
      <c r="G87" s="110" t="str">
        <f aca="false">IF($B87="","",SUMIFS('الحركات الشهرية'!$D$6:$D$1005,'الحركات الشهرية'!$B$6:$B$1005,$B87,'الحركات الشهرية'!$A$6:$A$1005,$C$3))</f>
        <v/>
      </c>
      <c r="H87" s="110" t="str">
        <f aca="false">IF($B87="","",SUMIFS('الحركات الشهرية'!$E$6:$E$1005,'الحركات الشهرية'!$B$6:$B$1005,$B87,'الحركات الشهرية'!$A$6:$A$1005,$C$3))</f>
        <v/>
      </c>
      <c r="I87" s="110" t="str">
        <f aca="false">IF($B87="","",MAX(0,F87-G87-H87))</f>
        <v/>
      </c>
      <c r="J87" s="90" t="str">
        <f aca="false">IF($B87="","",الموظفون!$J87*$I87/cfg_DAYS_M)</f>
        <v/>
      </c>
      <c r="K87" s="90" t="str">
        <f aca="false">IF($B87="","",الموظفون!$K87*$I87/cfg_DAYS_M)</f>
        <v/>
      </c>
      <c r="L87" s="90" t="str">
        <f aca="false">IF($B87="","",الموظفون!$L87*$I87/cfg_DAYS_M)</f>
        <v/>
      </c>
      <c r="M87" s="90" t="str">
        <f aca="false">IF($B87="","",الموظفون!$M87*$I87/cfg_DAYS_M)</f>
        <v/>
      </c>
      <c r="N87" s="110" t="str">
        <f aca="false">IF($B87="","",SUMIFS('الحركات الشهرية'!$F$6:$F$1005,'الحركات الشهرية'!$B$6:$B$1005,$B87,'الحركات الشهرية'!$A$6:$A$1005,$C$3))</f>
        <v/>
      </c>
      <c r="O87" s="90" t="str">
        <f aca="false">IF($B87="","",N87*(الموظفون!$N87+الموظفون!$J87*cfg_OT_P)/cfg_DAYS_M/cfg_HRS)</f>
        <v/>
      </c>
      <c r="P87" s="90" t="str">
        <f aca="false">IF($B87="","",SUMIFS('الحركات الشهرية'!$G$6:$G$1005,'الحركات الشهرية'!$B$6:$B$1005,$B87,'الحركات الشهرية'!$A$6:$A$1005,$C$3))</f>
        <v/>
      </c>
      <c r="Q87" s="90" t="str">
        <f aca="false">IF($B87="","",SUMIFS('الحركات الشهرية'!$H$6:$H$1005,'الحركات الشهرية'!$B$6:$B$1005,$B87,'الحركات الشهرية'!$A$6:$A$1005,$C$3))</f>
        <v/>
      </c>
      <c r="R87" s="111" t="str">
        <f aca="false">IF($B87="","",SUM(J87:M87)+SUM(O87:Q87))</f>
        <v/>
      </c>
      <c r="S87" s="90" t="str">
        <f aca="false">IF($B87="","",الموظفون!$Q87*IF(E87="سعودي",cfg_G_SE,cfg_G_NE)*F87/cfg_DAYS_M)</f>
        <v/>
      </c>
      <c r="T87" s="90" t="str">
        <f aca="false">IF($B87="","",SUMIFS('الحركات الشهرية'!$I$6:$I$1005,'الحركات الشهرية'!$B$6:$B$1005,$B87,'الحركات الشهرية'!$A$6:$A$1005,$C$3))</f>
        <v/>
      </c>
      <c r="U87" s="90" t="str">
        <f aca="false">IF($B87="","",SUMIFS('الحركات الشهرية'!$J$6:$J$1005,'الحركات الشهرية'!$B$6:$B$1005,$B87,'الحركات الشهرية'!$A$6:$A$1005,$C$3))</f>
        <v/>
      </c>
      <c r="V87" s="90" t="str">
        <f aca="false">IF($B87="","",SUM(S87:U87))</f>
        <v/>
      </c>
      <c r="W87" s="112" t="str">
        <f aca="false">IF($B87="","",R87-V87)</f>
        <v/>
      </c>
      <c r="X87" s="90" t="str">
        <f aca="false">IF($B87="","",الموظفون!$Q87*IF(E87="سعودي",cfg_G_SR,cfg_G_NR)*F87/cfg_DAYS_M)</f>
        <v/>
      </c>
      <c r="Y87" s="90" t="str">
        <f aca="false">IF($B87="","",الموظفون!$O87*(cfg_EOS_R1*(MIN(AC87,cfg_EOS_TH)-MIN(AD87,cfg_EOS_TH))+cfg_EOS_R2*(MAX(AC87-cfg_EOS_TH,0)-MAX(AD87-cfg_EOS_TH,0))))</f>
        <v/>
      </c>
      <c r="Z87" s="90" t="str">
        <f aca="false">IF($B87="","",IF(الموظفون!$R87&lt;&gt;"",الموظفون!$R87,IF(AC87&gt;=cfg_LV_TH,cfg_LV_D2,cfg_LV_D1))/cfg_DAYS_Y*AE87*الموظفون!$P87/cfg_DAYS_M)</f>
        <v/>
      </c>
      <c r="AA87" s="90" t="str">
        <f aca="false">IF($B87="","",IF(AND(الموظفون!$S87="نعم",N(الموظفون!$U87)&gt;0),الموظفون!$T87/الموظفون!$U87*12/cfg_DAYS_Y*AE87,0))</f>
        <v/>
      </c>
      <c r="AB87" s="113" t="str">
        <f aca="false">IF($B87="","",R87+SUM(X87:AA87))</f>
        <v/>
      </c>
      <c r="AC87" s="114" t="str">
        <f aca="false">IF($B87="","",MAX(0,IF(OR(الموظفون!$X87="",الموظفون!$X87&gt;$G$3),$G$3,الموظفون!$X87)-الموظفون!$H87+1)/cfg_DAYS_Y)</f>
        <v/>
      </c>
      <c r="AD87" s="114" t="str">
        <f aca="false">IF($B87="","",MAX(0,IF(OR(الموظفون!$X87="",الموظفون!$X87&gt;($E$3-1)),($E$3-1),الموظفون!$X87)-الموظفون!$H87+1)/cfg_DAYS_Y)</f>
        <v/>
      </c>
      <c r="AE87" s="115" t="str">
        <f aca="false">IF($B87="","",MAX(0,IF(OR(الموظفون!$X87="",الموظفون!$X87&gt;$G$3),$G$3,الموظفون!$X87)-MAX($E$3,الموظفون!$H87)+1))</f>
        <v/>
      </c>
    </row>
    <row r="88" customFormat="false" ht="15" hidden="false" customHeight="false" outlineLevel="0" collapsed="false">
      <c r="A88" s="83" t="str">
        <f aca="false">IF($B88="","",الموظفون!$A88)</f>
        <v/>
      </c>
      <c r="B88" s="74" t="str">
        <f aca="false">IF(الموظفون!$B88="","",الموظفون!$B88)</f>
        <v/>
      </c>
      <c r="C88" s="74" t="str">
        <f aca="false">IF($B88="","",الموظفون!$C88)</f>
        <v/>
      </c>
      <c r="D88" s="74" t="str">
        <f aca="false">IF($B88="","",الموظفون!$F88)</f>
        <v/>
      </c>
      <c r="E88" s="74" t="str">
        <f aca="false">IF($B88="","",الموظفون!$E88)</f>
        <v/>
      </c>
      <c r="F88" s="105" t="str">
        <f aca="false">IF($B88="","",IF(AE88&gt;=DAY($G$3),cfg_DAYS_M,MIN(AE88,cfg_DAYS_M)))</f>
        <v/>
      </c>
      <c r="G88" s="105" t="str">
        <f aca="false">IF($B88="","",SUMIFS('الحركات الشهرية'!$D$6:$D$1005,'الحركات الشهرية'!$B$6:$B$1005,$B88,'الحركات الشهرية'!$A$6:$A$1005,$C$3))</f>
        <v/>
      </c>
      <c r="H88" s="105" t="str">
        <f aca="false">IF($B88="","",SUMIFS('الحركات الشهرية'!$E$6:$E$1005,'الحركات الشهرية'!$B$6:$B$1005,$B88,'الحركات الشهرية'!$A$6:$A$1005,$C$3))</f>
        <v/>
      </c>
      <c r="I88" s="105" t="str">
        <f aca="false">IF($B88="","",MAX(0,F88-G88-H88))</f>
        <v/>
      </c>
      <c r="J88" s="86" t="str">
        <f aca="false">IF($B88="","",الموظفون!$J88*$I88/cfg_DAYS_M)</f>
        <v/>
      </c>
      <c r="K88" s="86" t="str">
        <f aca="false">IF($B88="","",الموظفون!$K88*$I88/cfg_DAYS_M)</f>
        <v/>
      </c>
      <c r="L88" s="86" t="str">
        <f aca="false">IF($B88="","",الموظفون!$L88*$I88/cfg_DAYS_M)</f>
        <v/>
      </c>
      <c r="M88" s="86" t="str">
        <f aca="false">IF($B88="","",الموظفون!$M88*$I88/cfg_DAYS_M)</f>
        <v/>
      </c>
      <c r="N88" s="105" t="str">
        <f aca="false">IF($B88="","",SUMIFS('الحركات الشهرية'!$F$6:$F$1005,'الحركات الشهرية'!$B$6:$B$1005,$B88,'الحركات الشهرية'!$A$6:$A$1005,$C$3))</f>
        <v/>
      </c>
      <c r="O88" s="86" t="str">
        <f aca="false">IF($B88="","",N88*(الموظفون!$N88+الموظفون!$J88*cfg_OT_P)/cfg_DAYS_M/cfg_HRS)</f>
        <v/>
      </c>
      <c r="P88" s="86" t="str">
        <f aca="false">IF($B88="","",SUMIFS('الحركات الشهرية'!$G$6:$G$1005,'الحركات الشهرية'!$B$6:$B$1005,$B88,'الحركات الشهرية'!$A$6:$A$1005,$C$3))</f>
        <v/>
      </c>
      <c r="Q88" s="86" t="str">
        <f aca="false">IF($B88="","",SUMIFS('الحركات الشهرية'!$H$6:$H$1005,'الحركات الشهرية'!$B$6:$B$1005,$B88,'الحركات الشهرية'!$A$6:$A$1005,$C$3))</f>
        <v/>
      </c>
      <c r="R88" s="106" t="str">
        <f aca="false">IF($B88="","",SUM(J88:M88)+SUM(O88:Q88))</f>
        <v/>
      </c>
      <c r="S88" s="86" t="str">
        <f aca="false">IF($B88="","",الموظفون!$Q88*IF(E88="سعودي",cfg_G_SE,cfg_G_NE)*F88/cfg_DAYS_M)</f>
        <v/>
      </c>
      <c r="T88" s="86" t="str">
        <f aca="false">IF($B88="","",SUMIFS('الحركات الشهرية'!$I$6:$I$1005,'الحركات الشهرية'!$B$6:$B$1005,$B88,'الحركات الشهرية'!$A$6:$A$1005,$C$3))</f>
        <v/>
      </c>
      <c r="U88" s="86" t="str">
        <f aca="false">IF($B88="","",SUMIFS('الحركات الشهرية'!$J$6:$J$1005,'الحركات الشهرية'!$B$6:$B$1005,$B88,'الحركات الشهرية'!$A$6:$A$1005,$C$3))</f>
        <v/>
      </c>
      <c r="V88" s="86" t="str">
        <f aca="false">IF($B88="","",SUM(S88:U88))</f>
        <v/>
      </c>
      <c r="W88" s="107" t="str">
        <f aca="false">IF($B88="","",R88-V88)</f>
        <v/>
      </c>
      <c r="X88" s="86" t="str">
        <f aca="false">IF($B88="","",الموظفون!$Q88*IF(E88="سعودي",cfg_G_SR,cfg_G_NR)*F88/cfg_DAYS_M)</f>
        <v/>
      </c>
      <c r="Y88" s="86" t="str">
        <f aca="false">IF($B88="","",الموظفون!$O88*(cfg_EOS_R1*(MIN(AC88,cfg_EOS_TH)-MIN(AD88,cfg_EOS_TH))+cfg_EOS_R2*(MAX(AC88-cfg_EOS_TH,0)-MAX(AD88-cfg_EOS_TH,0))))</f>
        <v/>
      </c>
      <c r="Z88" s="86" t="str">
        <f aca="false">IF($B88="","",IF(الموظفون!$R88&lt;&gt;"",الموظفون!$R88,IF(AC88&gt;=cfg_LV_TH,cfg_LV_D2,cfg_LV_D1))/cfg_DAYS_Y*AE88*الموظفون!$P88/cfg_DAYS_M)</f>
        <v/>
      </c>
      <c r="AA88" s="86" t="str">
        <f aca="false">IF($B88="","",IF(AND(الموظفون!$S88="نعم",N(الموظفون!$U88)&gt;0),الموظفون!$T88/الموظفون!$U88*12/cfg_DAYS_Y*AE88,0))</f>
        <v/>
      </c>
      <c r="AB88" s="108" t="str">
        <f aca="false">IF($B88="","",R88+SUM(X88:AA88))</f>
        <v/>
      </c>
      <c r="AC88" s="109" t="str">
        <f aca="false">IF($B88="","",MAX(0,IF(OR(الموظفون!$X88="",الموظفون!$X88&gt;$G$3),$G$3,الموظفون!$X88)-الموظفون!$H88+1)/cfg_DAYS_Y)</f>
        <v/>
      </c>
      <c r="AD88" s="109" t="str">
        <f aca="false">IF($B88="","",MAX(0,IF(OR(الموظفون!$X88="",الموظفون!$X88&gt;($E$3-1)),($E$3-1),الموظفون!$X88)-الموظفون!$H88+1)/cfg_DAYS_Y)</f>
        <v/>
      </c>
      <c r="AE88" s="51" t="str">
        <f aca="false">IF($B88="","",MAX(0,IF(OR(الموظفون!$X88="",الموظفون!$X88&gt;$G$3),$G$3,الموظفون!$X88)-MAX($E$3,الموظفون!$H88)+1))</f>
        <v/>
      </c>
    </row>
    <row r="89" customFormat="false" ht="15" hidden="false" customHeight="false" outlineLevel="0" collapsed="false">
      <c r="A89" s="89" t="str">
        <f aca="false">IF($B89="","",الموظفون!$A89)</f>
        <v/>
      </c>
      <c r="B89" s="91" t="str">
        <f aca="false">IF(الموظفون!$B89="","",الموظفون!$B89)</f>
        <v/>
      </c>
      <c r="C89" s="91" t="str">
        <f aca="false">IF($B89="","",الموظفون!$C89)</f>
        <v/>
      </c>
      <c r="D89" s="91" t="str">
        <f aca="false">IF($B89="","",الموظفون!$F89)</f>
        <v/>
      </c>
      <c r="E89" s="91" t="str">
        <f aca="false">IF($B89="","",الموظفون!$E89)</f>
        <v/>
      </c>
      <c r="F89" s="110" t="str">
        <f aca="false">IF($B89="","",IF(AE89&gt;=DAY($G$3),cfg_DAYS_M,MIN(AE89,cfg_DAYS_M)))</f>
        <v/>
      </c>
      <c r="G89" s="110" t="str">
        <f aca="false">IF($B89="","",SUMIFS('الحركات الشهرية'!$D$6:$D$1005,'الحركات الشهرية'!$B$6:$B$1005,$B89,'الحركات الشهرية'!$A$6:$A$1005,$C$3))</f>
        <v/>
      </c>
      <c r="H89" s="110" t="str">
        <f aca="false">IF($B89="","",SUMIFS('الحركات الشهرية'!$E$6:$E$1005,'الحركات الشهرية'!$B$6:$B$1005,$B89,'الحركات الشهرية'!$A$6:$A$1005,$C$3))</f>
        <v/>
      </c>
      <c r="I89" s="110" t="str">
        <f aca="false">IF($B89="","",MAX(0,F89-G89-H89))</f>
        <v/>
      </c>
      <c r="J89" s="90" t="str">
        <f aca="false">IF($B89="","",الموظفون!$J89*$I89/cfg_DAYS_M)</f>
        <v/>
      </c>
      <c r="K89" s="90" t="str">
        <f aca="false">IF($B89="","",الموظفون!$K89*$I89/cfg_DAYS_M)</f>
        <v/>
      </c>
      <c r="L89" s="90" t="str">
        <f aca="false">IF($B89="","",الموظفون!$L89*$I89/cfg_DAYS_M)</f>
        <v/>
      </c>
      <c r="M89" s="90" t="str">
        <f aca="false">IF($B89="","",الموظفون!$M89*$I89/cfg_DAYS_M)</f>
        <v/>
      </c>
      <c r="N89" s="110" t="str">
        <f aca="false">IF($B89="","",SUMIFS('الحركات الشهرية'!$F$6:$F$1005,'الحركات الشهرية'!$B$6:$B$1005,$B89,'الحركات الشهرية'!$A$6:$A$1005,$C$3))</f>
        <v/>
      </c>
      <c r="O89" s="90" t="str">
        <f aca="false">IF($B89="","",N89*(الموظفون!$N89+الموظفون!$J89*cfg_OT_P)/cfg_DAYS_M/cfg_HRS)</f>
        <v/>
      </c>
      <c r="P89" s="90" t="str">
        <f aca="false">IF($B89="","",SUMIFS('الحركات الشهرية'!$G$6:$G$1005,'الحركات الشهرية'!$B$6:$B$1005,$B89,'الحركات الشهرية'!$A$6:$A$1005,$C$3))</f>
        <v/>
      </c>
      <c r="Q89" s="90" t="str">
        <f aca="false">IF($B89="","",SUMIFS('الحركات الشهرية'!$H$6:$H$1005,'الحركات الشهرية'!$B$6:$B$1005,$B89,'الحركات الشهرية'!$A$6:$A$1005,$C$3))</f>
        <v/>
      </c>
      <c r="R89" s="111" t="str">
        <f aca="false">IF($B89="","",SUM(J89:M89)+SUM(O89:Q89))</f>
        <v/>
      </c>
      <c r="S89" s="90" t="str">
        <f aca="false">IF($B89="","",الموظفون!$Q89*IF(E89="سعودي",cfg_G_SE,cfg_G_NE)*F89/cfg_DAYS_M)</f>
        <v/>
      </c>
      <c r="T89" s="90" t="str">
        <f aca="false">IF($B89="","",SUMIFS('الحركات الشهرية'!$I$6:$I$1005,'الحركات الشهرية'!$B$6:$B$1005,$B89,'الحركات الشهرية'!$A$6:$A$1005,$C$3))</f>
        <v/>
      </c>
      <c r="U89" s="90" t="str">
        <f aca="false">IF($B89="","",SUMIFS('الحركات الشهرية'!$J$6:$J$1005,'الحركات الشهرية'!$B$6:$B$1005,$B89,'الحركات الشهرية'!$A$6:$A$1005,$C$3))</f>
        <v/>
      </c>
      <c r="V89" s="90" t="str">
        <f aca="false">IF($B89="","",SUM(S89:U89))</f>
        <v/>
      </c>
      <c r="W89" s="112" t="str">
        <f aca="false">IF($B89="","",R89-V89)</f>
        <v/>
      </c>
      <c r="X89" s="90" t="str">
        <f aca="false">IF($B89="","",الموظفون!$Q89*IF(E89="سعودي",cfg_G_SR,cfg_G_NR)*F89/cfg_DAYS_M)</f>
        <v/>
      </c>
      <c r="Y89" s="90" t="str">
        <f aca="false">IF($B89="","",الموظفون!$O89*(cfg_EOS_R1*(MIN(AC89,cfg_EOS_TH)-MIN(AD89,cfg_EOS_TH))+cfg_EOS_R2*(MAX(AC89-cfg_EOS_TH,0)-MAX(AD89-cfg_EOS_TH,0))))</f>
        <v/>
      </c>
      <c r="Z89" s="90" t="str">
        <f aca="false">IF($B89="","",IF(الموظفون!$R89&lt;&gt;"",الموظفون!$R89,IF(AC89&gt;=cfg_LV_TH,cfg_LV_D2,cfg_LV_D1))/cfg_DAYS_Y*AE89*الموظفون!$P89/cfg_DAYS_M)</f>
        <v/>
      </c>
      <c r="AA89" s="90" t="str">
        <f aca="false">IF($B89="","",IF(AND(الموظفون!$S89="نعم",N(الموظفون!$U89)&gt;0),الموظفون!$T89/الموظفون!$U89*12/cfg_DAYS_Y*AE89,0))</f>
        <v/>
      </c>
      <c r="AB89" s="113" t="str">
        <f aca="false">IF($B89="","",R89+SUM(X89:AA89))</f>
        <v/>
      </c>
      <c r="AC89" s="114" t="str">
        <f aca="false">IF($B89="","",MAX(0,IF(OR(الموظفون!$X89="",الموظفون!$X89&gt;$G$3),$G$3,الموظفون!$X89)-الموظفون!$H89+1)/cfg_DAYS_Y)</f>
        <v/>
      </c>
      <c r="AD89" s="114" t="str">
        <f aca="false">IF($B89="","",MAX(0,IF(OR(الموظفون!$X89="",الموظفون!$X89&gt;($E$3-1)),($E$3-1),الموظفون!$X89)-الموظفون!$H89+1)/cfg_DAYS_Y)</f>
        <v/>
      </c>
      <c r="AE89" s="115" t="str">
        <f aca="false">IF($B89="","",MAX(0,IF(OR(الموظفون!$X89="",الموظفون!$X89&gt;$G$3),$G$3,الموظفون!$X89)-MAX($E$3,الموظفون!$H89)+1))</f>
        <v/>
      </c>
    </row>
    <row r="90" customFormat="false" ht="15" hidden="false" customHeight="false" outlineLevel="0" collapsed="false">
      <c r="A90" s="83" t="str">
        <f aca="false">IF($B90="","",الموظفون!$A90)</f>
        <v/>
      </c>
      <c r="B90" s="74" t="str">
        <f aca="false">IF(الموظفون!$B90="","",الموظفون!$B90)</f>
        <v/>
      </c>
      <c r="C90" s="74" t="str">
        <f aca="false">IF($B90="","",الموظفون!$C90)</f>
        <v/>
      </c>
      <c r="D90" s="74" t="str">
        <f aca="false">IF($B90="","",الموظفون!$F90)</f>
        <v/>
      </c>
      <c r="E90" s="74" t="str">
        <f aca="false">IF($B90="","",الموظفون!$E90)</f>
        <v/>
      </c>
      <c r="F90" s="105" t="str">
        <f aca="false">IF($B90="","",IF(AE90&gt;=DAY($G$3),cfg_DAYS_M,MIN(AE90,cfg_DAYS_M)))</f>
        <v/>
      </c>
      <c r="G90" s="105" t="str">
        <f aca="false">IF($B90="","",SUMIFS('الحركات الشهرية'!$D$6:$D$1005,'الحركات الشهرية'!$B$6:$B$1005,$B90,'الحركات الشهرية'!$A$6:$A$1005,$C$3))</f>
        <v/>
      </c>
      <c r="H90" s="105" t="str">
        <f aca="false">IF($B90="","",SUMIFS('الحركات الشهرية'!$E$6:$E$1005,'الحركات الشهرية'!$B$6:$B$1005,$B90,'الحركات الشهرية'!$A$6:$A$1005,$C$3))</f>
        <v/>
      </c>
      <c r="I90" s="105" t="str">
        <f aca="false">IF($B90="","",MAX(0,F90-G90-H90))</f>
        <v/>
      </c>
      <c r="J90" s="86" t="str">
        <f aca="false">IF($B90="","",الموظفون!$J90*$I90/cfg_DAYS_M)</f>
        <v/>
      </c>
      <c r="K90" s="86" t="str">
        <f aca="false">IF($B90="","",الموظفون!$K90*$I90/cfg_DAYS_M)</f>
        <v/>
      </c>
      <c r="L90" s="86" t="str">
        <f aca="false">IF($B90="","",الموظفون!$L90*$I90/cfg_DAYS_M)</f>
        <v/>
      </c>
      <c r="M90" s="86" t="str">
        <f aca="false">IF($B90="","",الموظفون!$M90*$I90/cfg_DAYS_M)</f>
        <v/>
      </c>
      <c r="N90" s="105" t="str">
        <f aca="false">IF($B90="","",SUMIFS('الحركات الشهرية'!$F$6:$F$1005,'الحركات الشهرية'!$B$6:$B$1005,$B90,'الحركات الشهرية'!$A$6:$A$1005,$C$3))</f>
        <v/>
      </c>
      <c r="O90" s="86" t="str">
        <f aca="false">IF($B90="","",N90*(الموظفون!$N90+الموظفون!$J90*cfg_OT_P)/cfg_DAYS_M/cfg_HRS)</f>
        <v/>
      </c>
      <c r="P90" s="86" t="str">
        <f aca="false">IF($B90="","",SUMIFS('الحركات الشهرية'!$G$6:$G$1005,'الحركات الشهرية'!$B$6:$B$1005,$B90,'الحركات الشهرية'!$A$6:$A$1005,$C$3))</f>
        <v/>
      </c>
      <c r="Q90" s="86" t="str">
        <f aca="false">IF($B90="","",SUMIFS('الحركات الشهرية'!$H$6:$H$1005,'الحركات الشهرية'!$B$6:$B$1005,$B90,'الحركات الشهرية'!$A$6:$A$1005,$C$3))</f>
        <v/>
      </c>
      <c r="R90" s="106" t="str">
        <f aca="false">IF($B90="","",SUM(J90:M90)+SUM(O90:Q90))</f>
        <v/>
      </c>
      <c r="S90" s="86" t="str">
        <f aca="false">IF($B90="","",الموظفون!$Q90*IF(E90="سعودي",cfg_G_SE,cfg_G_NE)*F90/cfg_DAYS_M)</f>
        <v/>
      </c>
      <c r="T90" s="86" t="str">
        <f aca="false">IF($B90="","",SUMIFS('الحركات الشهرية'!$I$6:$I$1005,'الحركات الشهرية'!$B$6:$B$1005,$B90,'الحركات الشهرية'!$A$6:$A$1005,$C$3))</f>
        <v/>
      </c>
      <c r="U90" s="86" t="str">
        <f aca="false">IF($B90="","",SUMIFS('الحركات الشهرية'!$J$6:$J$1005,'الحركات الشهرية'!$B$6:$B$1005,$B90,'الحركات الشهرية'!$A$6:$A$1005,$C$3))</f>
        <v/>
      </c>
      <c r="V90" s="86" t="str">
        <f aca="false">IF($B90="","",SUM(S90:U90))</f>
        <v/>
      </c>
      <c r="W90" s="107" t="str">
        <f aca="false">IF($B90="","",R90-V90)</f>
        <v/>
      </c>
      <c r="X90" s="86" t="str">
        <f aca="false">IF($B90="","",الموظفون!$Q90*IF(E90="سعودي",cfg_G_SR,cfg_G_NR)*F90/cfg_DAYS_M)</f>
        <v/>
      </c>
      <c r="Y90" s="86" t="str">
        <f aca="false">IF($B90="","",الموظفون!$O90*(cfg_EOS_R1*(MIN(AC90,cfg_EOS_TH)-MIN(AD90,cfg_EOS_TH))+cfg_EOS_R2*(MAX(AC90-cfg_EOS_TH,0)-MAX(AD90-cfg_EOS_TH,0))))</f>
        <v/>
      </c>
      <c r="Z90" s="86" t="str">
        <f aca="false">IF($B90="","",IF(الموظفون!$R90&lt;&gt;"",الموظفون!$R90,IF(AC90&gt;=cfg_LV_TH,cfg_LV_D2,cfg_LV_D1))/cfg_DAYS_Y*AE90*الموظفون!$P90/cfg_DAYS_M)</f>
        <v/>
      </c>
      <c r="AA90" s="86" t="str">
        <f aca="false">IF($B90="","",IF(AND(الموظفون!$S90="نعم",N(الموظفون!$U90)&gt;0),الموظفون!$T90/الموظفون!$U90*12/cfg_DAYS_Y*AE90,0))</f>
        <v/>
      </c>
      <c r="AB90" s="108" t="str">
        <f aca="false">IF($B90="","",R90+SUM(X90:AA90))</f>
        <v/>
      </c>
      <c r="AC90" s="109" t="str">
        <f aca="false">IF($B90="","",MAX(0,IF(OR(الموظفون!$X90="",الموظفون!$X90&gt;$G$3),$G$3,الموظفون!$X90)-الموظفون!$H90+1)/cfg_DAYS_Y)</f>
        <v/>
      </c>
      <c r="AD90" s="109" t="str">
        <f aca="false">IF($B90="","",MAX(0,IF(OR(الموظفون!$X90="",الموظفون!$X90&gt;($E$3-1)),($E$3-1),الموظفون!$X90)-الموظفون!$H90+1)/cfg_DAYS_Y)</f>
        <v/>
      </c>
      <c r="AE90" s="51" t="str">
        <f aca="false">IF($B90="","",MAX(0,IF(OR(الموظفون!$X90="",الموظفون!$X90&gt;$G$3),$G$3,الموظفون!$X90)-MAX($E$3,الموظفون!$H90)+1))</f>
        <v/>
      </c>
    </row>
    <row r="91" customFormat="false" ht="15" hidden="false" customHeight="false" outlineLevel="0" collapsed="false">
      <c r="A91" s="89" t="str">
        <f aca="false">IF($B91="","",الموظفون!$A91)</f>
        <v/>
      </c>
      <c r="B91" s="91" t="str">
        <f aca="false">IF(الموظفون!$B91="","",الموظفون!$B91)</f>
        <v/>
      </c>
      <c r="C91" s="91" t="str">
        <f aca="false">IF($B91="","",الموظفون!$C91)</f>
        <v/>
      </c>
      <c r="D91" s="91" t="str">
        <f aca="false">IF($B91="","",الموظفون!$F91)</f>
        <v/>
      </c>
      <c r="E91" s="91" t="str">
        <f aca="false">IF($B91="","",الموظفون!$E91)</f>
        <v/>
      </c>
      <c r="F91" s="110" t="str">
        <f aca="false">IF($B91="","",IF(AE91&gt;=DAY($G$3),cfg_DAYS_M,MIN(AE91,cfg_DAYS_M)))</f>
        <v/>
      </c>
      <c r="G91" s="110" t="str">
        <f aca="false">IF($B91="","",SUMIFS('الحركات الشهرية'!$D$6:$D$1005,'الحركات الشهرية'!$B$6:$B$1005,$B91,'الحركات الشهرية'!$A$6:$A$1005,$C$3))</f>
        <v/>
      </c>
      <c r="H91" s="110" t="str">
        <f aca="false">IF($B91="","",SUMIFS('الحركات الشهرية'!$E$6:$E$1005,'الحركات الشهرية'!$B$6:$B$1005,$B91,'الحركات الشهرية'!$A$6:$A$1005,$C$3))</f>
        <v/>
      </c>
      <c r="I91" s="110" t="str">
        <f aca="false">IF($B91="","",MAX(0,F91-G91-H91))</f>
        <v/>
      </c>
      <c r="J91" s="90" t="str">
        <f aca="false">IF($B91="","",الموظفون!$J91*$I91/cfg_DAYS_M)</f>
        <v/>
      </c>
      <c r="K91" s="90" t="str">
        <f aca="false">IF($B91="","",الموظفون!$K91*$I91/cfg_DAYS_M)</f>
        <v/>
      </c>
      <c r="L91" s="90" t="str">
        <f aca="false">IF($B91="","",الموظفون!$L91*$I91/cfg_DAYS_M)</f>
        <v/>
      </c>
      <c r="M91" s="90" t="str">
        <f aca="false">IF($B91="","",الموظفون!$M91*$I91/cfg_DAYS_M)</f>
        <v/>
      </c>
      <c r="N91" s="110" t="str">
        <f aca="false">IF($B91="","",SUMIFS('الحركات الشهرية'!$F$6:$F$1005,'الحركات الشهرية'!$B$6:$B$1005,$B91,'الحركات الشهرية'!$A$6:$A$1005,$C$3))</f>
        <v/>
      </c>
      <c r="O91" s="90" t="str">
        <f aca="false">IF($B91="","",N91*(الموظفون!$N91+الموظفون!$J91*cfg_OT_P)/cfg_DAYS_M/cfg_HRS)</f>
        <v/>
      </c>
      <c r="P91" s="90" t="str">
        <f aca="false">IF($B91="","",SUMIFS('الحركات الشهرية'!$G$6:$G$1005,'الحركات الشهرية'!$B$6:$B$1005,$B91,'الحركات الشهرية'!$A$6:$A$1005,$C$3))</f>
        <v/>
      </c>
      <c r="Q91" s="90" t="str">
        <f aca="false">IF($B91="","",SUMIFS('الحركات الشهرية'!$H$6:$H$1005,'الحركات الشهرية'!$B$6:$B$1005,$B91,'الحركات الشهرية'!$A$6:$A$1005,$C$3))</f>
        <v/>
      </c>
      <c r="R91" s="111" t="str">
        <f aca="false">IF($B91="","",SUM(J91:M91)+SUM(O91:Q91))</f>
        <v/>
      </c>
      <c r="S91" s="90" t="str">
        <f aca="false">IF($B91="","",الموظفون!$Q91*IF(E91="سعودي",cfg_G_SE,cfg_G_NE)*F91/cfg_DAYS_M)</f>
        <v/>
      </c>
      <c r="T91" s="90" t="str">
        <f aca="false">IF($B91="","",SUMIFS('الحركات الشهرية'!$I$6:$I$1005,'الحركات الشهرية'!$B$6:$B$1005,$B91,'الحركات الشهرية'!$A$6:$A$1005,$C$3))</f>
        <v/>
      </c>
      <c r="U91" s="90" t="str">
        <f aca="false">IF($B91="","",SUMIFS('الحركات الشهرية'!$J$6:$J$1005,'الحركات الشهرية'!$B$6:$B$1005,$B91,'الحركات الشهرية'!$A$6:$A$1005,$C$3))</f>
        <v/>
      </c>
      <c r="V91" s="90" t="str">
        <f aca="false">IF($B91="","",SUM(S91:U91))</f>
        <v/>
      </c>
      <c r="W91" s="112" t="str">
        <f aca="false">IF($B91="","",R91-V91)</f>
        <v/>
      </c>
      <c r="X91" s="90" t="str">
        <f aca="false">IF($B91="","",الموظفون!$Q91*IF(E91="سعودي",cfg_G_SR,cfg_G_NR)*F91/cfg_DAYS_M)</f>
        <v/>
      </c>
      <c r="Y91" s="90" t="str">
        <f aca="false">IF($B91="","",الموظفون!$O91*(cfg_EOS_R1*(MIN(AC91,cfg_EOS_TH)-MIN(AD91,cfg_EOS_TH))+cfg_EOS_R2*(MAX(AC91-cfg_EOS_TH,0)-MAX(AD91-cfg_EOS_TH,0))))</f>
        <v/>
      </c>
      <c r="Z91" s="90" t="str">
        <f aca="false">IF($B91="","",IF(الموظفون!$R91&lt;&gt;"",الموظفون!$R91,IF(AC91&gt;=cfg_LV_TH,cfg_LV_D2,cfg_LV_D1))/cfg_DAYS_Y*AE91*الموظفون!$P91/cfg_DAYS_M)</f>
        <v/>
      </c>
      <c r="AA91" s="90" t="str">
        <f aca="false">IF($B91="","",IF(AND(الموظفون!$S91="نعم",N(الموظفون!$U91)&gt;0),الموظفون!$T91/الموظفون!$U91*12/cfg_DAYS_Y*AE91,0))</f>
        <v/>
      </c>
      <c r="AB91" s="113" t="str">
        <f aca="false">IF($B91="","",R91+SUM(X91:AA91))</f>
        <v/>
      </c>
      <c r="AC91" s="114" t="str">
        <f aca="false">IF($B91="","",MAX(0,IF(OR(الموظفون!$X91="",الموظفون!$X91&gt;$G$3),$G$3,الموظفون!$X91)-الموظفون!$H91+1)/cfg_DAYS_Y)</f>
        <v/>
      </c>
      <c r="AD91" s="114" t="str">
        <f aca="false">IF($B91="","",MAX(0,IF(OR(الموظفون!$X91="",الموظفون!$X91&gt;($E$3-1)),($E$3-1),الموظفون!$X91)-الموظفون!$H91+1)/cfg_DAYS_Y)</f>
        <v/>
      </c>
      <c r="AE91" s="115" t="str">
        <f aca="false">IF($B91="","",MAX(0,IF(OR(الموظفون!$X91="",الموظفون!$X91&gt;$G$3),$G$3,الموظفون!$X91)-MAX($E$3,الموظفون!$H91)+1))</f>
        <v/>
      </c>
    </row>
    <row r="92" customFormat="false" ht="15" hidden="false" customHeight="false" outlineLevel="0" collapsed="false">
      <c r="A92" s="83" t="str">
        <f aca="false">IF($B92="","",الموظفون!$A92)</f>
        <v/>
      </c>
      <c r="B92" s="74" t="str">
        <f aca="false">IF(الموظفون!$B92="","",الموظفون!$B92)</f>
        <v/>
      </c>
      <c r="C92" s="74" t="str">
        <f aca="false">IF($B92="","",الموظفون!$C92)</f>
        <v/>
      </c>
      <c r="D92" s="74" t="str">
        <f aca="false">IF($B92="","",الموظفون!$F92)</f>
        <v/>
      </c>
      <c r="E92" s="74" t="str">
        <f aca="false">IF($B92="","",الموظفون!$E92)</f>
        <v/>
      </c>
      <c r="F92" s="105" t="str">
        <f aca="false">IF($B92="","",IF(AE92&gt;=DAY($G$3),cfg_DAYS_M,MIN(AE92,cfg_DAYS_M)))</f>
        <v/>
      </c>
      <c r="G92" s="105" t="str">
        <f aca="false">IF($B92="","",SUMIFS('الحركات الشهرية'!$D$6:$D$1005,'الحركات الشهرية'!$B$6:$B$1005,$B92,'الحركات الشهرية'!$A$6:$A$1005,$C$3))</f>
        <v/>
      </c>
      <c r="H92" s="105" t="str">
        <f aca="false">IF($B92="","",SUMIFS('الحركات الشهرية'!$E$6:$E$1005,'الحركات الشهرية'!$B$6:$B$1005,$B92,'الحركات الشهرية'!$A$6:$A$1005,$C$3))</f>
        <v/>
      </c>
      <c r="I92" s="105" t="str">
        <f aca="false">IF($B92="","",MAX(0,F92-G92-H92))</f>
        <v/>
      </c>
      <c r="J92" s="86" t="str">
        <f aca="false">IF($B92="","",الموظفون!$J92*$I92/cfg_DAYS_M)</f>
        <v/>
      </c>
      <c r="K92" s="86" t="str">
        <f aca="false">IF($B92="","",الموظفون!$K92*$I92/cfg_DAYS_M)</f>
        <v/>
      </c>
      <c r="L92" s="86" t="str">
        <f aca="false">IF($B92="","",الموظفون!$L92*$I92/cfg_DAYS_M)</f>
        <v/>
      </c>
      <c r="M92" s="86" t="str">
        <f aca="false">IF($B92="","",الموظفون!$M92*$I92/cfg_DAYS_M)</f>
        <v/>
      </c>
      <c r="N92" s="105" t="str">
        <f aca="false">IF($B92="","",SUMIFS('الحركات الشهرية'!$F$6:$F$1005,'الحركات الشهرية'!$B$6:$B$1005,$B92,'الحركات الشهرية'!$A$6:$A$1005,$C$3))</f>
        <v/>
      </c>
      <c r="O92" s="86" t="str">
        <f aca="false">IF($B92="","",N92*(الموظفون!$N92+الموظفون!$J92*cfg_OT_P)/cfg_DAYS_M/cfg_HRS)</f>
        <v/>
      </c>
      <c r="P92" s="86" t="str">
        <f aca="false">IF($B92="","",SUMIFS('الحركات الشهرية'!$G$6:$G$1005,'الحركات الشهرية'!$B$6:$B$1005,$B92,'الحركات الشهرية'!$A$6:$A$1005,$C$3))</f>
        <v/>
      </c>
      <c r="Q92" s="86" t="str">
        <f aca="false">IF($B92="","",SUMIFS('الحركات الشهرية'!$H$6:$H$1005,'الحركات الشهرية'!$B$6:$B$1005,$B92,'الحركات الشهرية'!$A$6:$A$1005,$C$3))</f>
        <v/>
      </c>
      <c r="R92" s="106" t="str">
        <f aca="false">IF($B92="","",SUM(J92:M92)+SUM(O92:Q92))</f>
        <v/>
      </c>
      <c r="S92" s="86" t="str">
        <f aca="false">IF($B92="","",الموظفون!$Q92*IF(E92="سعودي",cfg_G_SE,cfg_G_NE)*F92/cfg_DAYS_M)</f>
        <v/>
      </c>
      <c r="T92" s="86" t="str">
        <f aca="false">IF($B92="","",SUMIFS('الحركات الشهرية'!$I$6:$I$1005,'الحركات الشهرية'!$B$6:$B$1005,$B92,'الحركات الشهرية'!$A$6:$A$1005,$C$3))</f>
        <v/>
      </c>
      <c r="U92" s="86" t="str">
        <f aca="false">IF($B92="","",SUMIFS('الحركات الشهرية'!$J$6:$J$1005,'الحركات الشهرية'!$B$6:$B$1005,$B92,'الحركات الشهرية'!$A$6:$A$1005,$C$3))</f>
        <v/>
      </c>
      <c r="V92" s="86" t="str">
        <f aca="false">IF($B92="","",SUM(S92:U92))</f>
        <v/>
      </c>
      <c r="W92" s="107" t="str">
        <f aca="false">IF($B92="","",R92-V92)</f>
        <v/>
      </c>
      <c r="X92" s="86" t="str">
        <f aca="false">IF($B92="","",الموظفون!$Q92*IF(E92="سعودي",cfg_G_SR,cfg_G_NR)*F92/cfg_DAYS_M)</f>
        <v/>
      </c>
      <c r="Y92" s="86" t="str">
        <f aca="false">IF($B92="","",الموظفون!$O92*(cfg_EOS_R1*(MIN(AC92,cfg_EOS_TH)-MIN(AD92,cfg_EOS_TH))+cfg_EOS_R2*(MAX(AC92-cfg_EOS_TH,0)-MAX(AD92-cfg_EOS_TH,0))))</f>
        <v/>
      </c>
      <c r="Z92" s="86" t="str">
        <f aca="false">IF($B92="","",IF(الموظفون!$R92&lt;&gt;"",الموظفون!$R92,IF(AC92&gt;=cfg_LV_TH,cfg_LV_D2,cfg_LV_D1))/cfg_DAYS_Y*AE92*الموظفون!$P92/cfg_DAYS_M)</f>
        <v/>
      </c>
      <c r="AA92" s="86" t="str">
        <f aca="false">IF($B92="","",IF(AND(الموظفون!$S92="نعم",N(الموظفون!$U92)&gt;0),الموظفون!$T92/الموظفون!$U92*12/cfg_DAYS_Y*AE92,0))</f>
        <v/>
      </c>
      <c r="AB92" s="108" t="str">
        <f aca="false">IF($B92="","",R92+SUM(X92:AA92))</f>
        <v/>
      </c>
      <c r="AC92" s="109" t="str">
        <f aca="false">IF($B92="","",MAX(0,IF(OR(الموظفون!$X92="",الموظفون!$X92&gt;$G$3),$G$3,الموظفون!$X92)-الموظفون!$H92+1)/cfg_DAYS_Y)</f>
        <v/>
      </c>
      <c r="AD92" s="109" t="str">
        <f aca="false">IF($B92="","",MAX(0,IF(OR(الموظفون!$X92="",الموظفون!$X92&gt;($E$3-1)),($E$3-1),الموظفون!$X92)-الموظفون!$H92+1)/cfg_DAYS_Y)</f>
        <v/>
      </c>
      <c r="AE92" s="51" t="str">
        <f aca="false">IF($B92="","",MAX(0,IF(OR(الموظفون!$X92="",الموظفون!$X92&gt;$G$3),$G$3,الموظفون!$X92)-MAX($E$3,الموظفون!$H92)+1))</f>
        <v/>
      </c>
    </row>
    <row r="93" customFormat="false" ht="15" hidden="false" customHeight="false" outlineLevel="0" collapsed="false">
      <c r="A93" s="89" t="str">
        <f aca="false">IF($B93="","",الموظفون!$A93)</f>
        <v/>
      </c>
      <c r="B93" s="91" t="str">
        <f aca="false">IF(الموظفون!$B93="","",الموظفون!$B93)</f>
        <v/>
      </c>
      <c r="C93" s="91" t="str">
        <f aca="false">IF($B93="","",الموظفون!$C93)</f>
        <v/>
      </c>
      <c r="D93" s="91" t="str">
        <f aca="false">IF($B93="","",الموظفون!$F93)</f>
        <v/>
      </c>
      <c r="E93" s="91" t="str">
        <f aca="false">IF($B93="","",الموظفون!$E93)</f>
        <v/>
      </c>
      <c r="F93" s="110" t="str">
        <f aca="false">IF($B93="","",IF(AE93&gt;=DAY($G$3),cfg_DAYS_M,MIN(AE93,cfg_DAYS_M)))</f>
        <v/>
      </c>
      <c r="G93" s="110" t="str">
        <f aca="false">IF($B93="","",SUMIFS('الحركات الشهرية'!$D$6:$D$1005,'الحركات الشهرية'!$B$6:$B$1005,$B93,'الحركات الشهرية'!$A$6:$A$1005,$C$3))</f>
        <v/>
      </c>
      <c r="H93" s="110" t="str">
        <f aca="false">IF($B93="","",SUMIFS('الحركات الشهرية'!$E$6:$E$1005,'الحركات الشهرية'!$B$6:$B$1005,$B93,'الحركات الشهرية'!$A$6:$A$1005,$C$3))</f>
        <v/>
      </c>
      <c r="I93" s="110" t="str">
        <f aca="false">IF($B93="","",MAX(0,F93-G93-H93))</f>
        <v/>
      </c>
      <c r="J93" s="90" t="str">
        <f aca="false">IF($B93="","",الموظفون!$J93*$I93/cfg_DAYS_M)</f>
        <v/>
      </c>
      <c r="K93" s="90" t="str">
        <f aca="false">IF($B93="","",الموظفون!$K93*$I93/cfg_DAYS_M)</f>
        <v/>
      </c>
      <c r="L93" s="90" t="str">
        <f aca="false">IF($B93="","",الموظفون!$L93*$I93/cfg_DAYS_M)</f>
        <v/>
      </c>
      <c r="M93" s="90" t="str">
        <f aca="false">IF($B93="","",الموظفون!$M93*$I93/cfg_DAYS_M)</f>
        <v/>
      </c>
      <c r="N93" s="110" t="str">
        <f aca="false">IF($B93="","",SUMIFS('الحركات الشهرية'!$F$6:$F$1005,'الحركات الشهرية'!$B$6:$B$1005,$B93,'الحركات الشهرية'!$A$6:$A$1005,$C$3))</f>
        <v/>
      </c>
      <c r="O93" s="90" t="str">
        <f aca="false">IF($B93="","",N93*(الموظفون!$N93+الموظفون!$J93*cfg_OT_P)/cfg_DAYS_M/cfg_HRS)</f>
        <v/>
      </c>
      <c r="P93" s="90" t="str">
        <f aca="false">IF($B93="","",SUMIFS('الحركات الشهرية'!$G$6:$G$1005,'الحركات الشهرية'!$B$6:$B$1005,$B93,'الحركات الشهرية'!$A$6:$A$1005,$C$3))</f>
        <v/>
      </c>
      <c r="Q93" s="90" t="str">
        <f aca="false">IF($B93="","",SUMIFS('الحركات الشهرية'!$H$6:$H$1005,'الحركات الشهرية'!$B$6:$B$1005,$B93,'الحركات الشهرية'!$A$6:$A$1005,$C$3))</f>
        <v/>
      </c>
      <c r="R93" s="111" t="str">
        <f aca="false">IF($B93="","",SUM(J93:M93)+SUM(O93:Q93))</f>
        <v/>
      </c>
      <c r="S93" s="90" t="str">
        <f aca="false">IF($B93="","",الموظفون!$Q93*IF(E93="سعودي",cfg_G_SE,cfg_G_NE)*F93/cfg_DAYS_M)</f>
        <v/>
      </c>
      <c r="T93" s="90" t="str">
        <f aca="false">IF($B93="","",SUMIFS('الحركات الشهرية'!$I$6:$I$1005,'الحركات الشهرية'!$B$6:$B$1005,$B93,'الحركات الشهرية'!$A$6:$A$1005,$C$3))</f>
        <v/>
      </c>
      <c r="U93" s="90" t="str">
        <f aca="false">IF($B93="","",SUMIFS('الحركات الشهرية'!$J$6:$J$1005,'الحركات الشهرية'!$B$6:$B$1005,$B93,'الحركات الشهرية'!$A$6:$A$1005,$C$3))</f>
        <v/>
      </c>
      <c r="V93" s="90" t="str">
        <f aca="false">IF($B93="","",SUM(S93:U93))</f>
        <v/>
      </c>
      <c r="W93" s="112" t="str">
        <f aca="false">IF($B93="","",R93-V93)</f>
        <v/>
      </c>
      <c r="X93" s="90" t="str">
        <f aca="false">IF($B93="","",الموظفون!$Q93*IF(E93="سعودي",cfg_G_SR,cfg_G_NR)*F93/cfg_DAYS_M)</f>
        <v/>
      </c>
      <c r="Y93" s="90" t="str">
        <f aca="false">IF($B93="","",الموظفون!$O93*(cfg_EOS_R1*(MIN(AC93,cfg_EOS_TH)-MIN(AD93,cfg_EOS_TH))+cfg_EOS_R2*(MAX(AC93-cfg_EOS_TH,0)-MAX(AD93-cfg_EOS_TH,0))))</f>
        <v/>
      </c>
      <c r="Z93" s="90" t="str">
        <f aca="false">IF($B93="","",IF(الموظفون!$R93&lt;&gt;"",الموظفون!$R93,IF(AC93&gt;=cfg_LV_TH,cfg_LV_D2,cfg_LV_D1))/cfg_DAYS_Y*AE93*الموظفون!$P93/cfg_DAYS_M)</f>
        <v/>
      </c>
      <c r="AA93" s="90" t="str">
        <f aca="false">IF($B93="","",IF(AND(الموظفون!$S93="نعم",N(الموظفون!$U93)&gt;0),الموظفون!$T93/الموظفون!$U93*12/cfg_DAYS_Y*AE93,0))</f>
        <v/>
      </c>
      <c r="AB93" s="113" t="str">
        <f aca="false">IF($B93="","",R93+SUM(X93:AA93))</f>
        <v/>
      </c>
      <c r="AC93" s="114" t="str">
        <f aca="false">IF($B93="","",MAX(0,IF(OR(الموظفون!$X93="",الموظفون!$X93&gt;$G$3),$G$3,الموظفون!$X93)-الموظفون!$H93+1)/cfg_DAYS_Y)</f>
        <v/>
      </c>
      <c r="AD93" s="114" t="str">
        <f aca="false">IF($B93="","",MAX(0,IF(OR(الموظفون!$X93="",الموظفون!$X93&gt;($E$3-1)),($E$3-1),الموظفون!$X93)-الموظفون!$H93+1)/cfg_DAYS_Y)</f>
        <v/>
      </c>
      <c r="AE93" s="115" t="str">
        <f aca="false">IF($B93="","",MAX(0,IF(OR(الموظفون!$X93="",الموظفون!$X93&gt;$G$3),$G$3,الموظفون!$X93)-MAX($E$3,الموظفون!$H93)+1))</f>
        <v/>
      </c>
    </row>
    <row r="94" customFormat="false" ht="15" hidden="false" customHeight="false" outlineLevel="0" collapsed="false">
      <c r="A94" s="83" t="str">
        <f aca="false">IF($B94="","",الموظفون!$A94)</f>
        <v/>
      </c>
      <c r="B94" s="74" t="str">
        <f aca="false">IF(الموظفون!$B94="","",الموظفون!$B94)</f>
        <v/>
      </c>
      <c r="C94" s="74" t="str">
        <f aca="false">IF($B94="","",الموظفون!$C94)</f>
        <v/>
      </c>
      <c r="D94" s="74" t="str">
        <f aca="false">IF($B94="","",الموظفون!$F94)</f>
        <v/>
      </c>
      <c r="E94" s="74" t="str">
        <f aca="false">IF($B94="","",الموظفون!$E94)</f>
        <v/>
      </c>
      <c r="F94" s="105" t="str">
        <f aca="false">IF($B94="","",IF(AE94&gt;=DAY($G$3),cfg_DAYS_M,MIN(AE94,cfg_DAYS_M)))</f>
        <v/>
      </c>
      <c r="G94" s="105" t="str">
        <f aca="false">IF($B94="","",SUMIFS('الحركات الشهرية'!$D$6:$D$1005,'الحركات الشهرية'!$B$6:$B$1005,$B94,'الحركات الشهرية'!$A$6:$A$1005,$C$3))</f>
        <v/>
      </c>
      <c r="H94" s="105" t="str">
        <f aca="false">IF($B94="","",SUMIFS('الحركات الشهرية'!$E$6:$E$1005,'الحركات الشهرية'!$B$6:$B$1005,$B94,'الحركات الشهرية'!$A$6:$A$1005,$C$3))</f>
        <v/>
      </c>
      <c r="I94" s="105" t="str">
        <f aca="false">IF($B94="","",MAX(0,F94-G94-H94))</f>
        <v/>
      </c>
      <c r="J94" s="86" t="str">
        <f aca="false">IF($B94="","",الموظفون!$J94*$I94/cfg_DAYS_M)</f>
        <v/>
      </c>
      <c r="K94" s="86" t="str">
        <f aca="false">IF($B94="","",الموظفون!$K94*$I94/cfg_DAYS_M)</f>
        <v/>
      </c>
      <c r="L94" s="86" t="str">
        <f aca="false">IF($B94="","",الموظفون!$L94*$I94/cfg_DAYS_M)</f>
        <v/>
      </c>
      <c r="M94" s="86" t="str">
        <f aca="false">IF($B94="","",الموظفون!$M94*$I94/cfg_DAYS_M)</f>
        <v/>
      </c>
      <c r="N94" s="105" t="str">
        <f aca="false">IF($B94="","",SUMIFS('الحركات الشهرية'!$F$6:$F$1005,'الحركات الشهرية'!$B$6:$B$1005,$B94,'الحركات الشهرية'!$A$6:$A$1005,$C$3))</f>
        <v/>
      </c>
      <c r="O94" s="86" t="str">
        <f aca="false">IF($B94="","",N94*(الموظفون!$N94+الموظفون!$J94*cfg_OT_P)/cfg_DAYS_M/cfg_HRS)</f>
        <v/>
      </c>
      <c r="P94" s="86" t="str">
        <f aca="false">IF($B94="","",SUMIFS('الحركات الشهرية'!$G$6:$G$1005,'الحركات الشهرية'!$B$6:$B$1005,$B94,'الحركات الشهرية'!$A$6:$A$1005,$C$3))</f>
        <v/>
      </c>
      <c r="Q94" s="86" t="str">
        <f aca="false">IF($B94="","",SUMIFS('الحركات الشهرية'!$H$6:$H$1005,'الحركات الشهرية'!$B$6:$B$1005,$B94,'الحركات الشهرية'!$A$6:$A$1005,$C$3))</f>
        <v/>
      </c>
      <c r="R94" s="106" t="str">
        <f aca="false">IF($B94="","",SUM(J94:M94)+SUM(O94:Q94))</f>
        <v/>
      </c>
      <c r="S94" s="86" t="str">
        <f aca="false">IF($B94="","",الموظفون!$Q94*IF(E94="سعودي",cfg_G_SE,cfg_G_NE)*F94/cfg_DAYS_M)</f>
        <v/>
      </c>
      <c r="T94" s="86" t="str">
        <f aca="false">IF($B94="","",SUMIFS('الحركات الشهرية'!$I$6:$I$1005,'الحركات الشهرية'!$B$6:$B$1005,$B94,'الحركات الشهرية'!$A$6:$A$1005,$C$3))</f>
        <v/>
      </c>
      <c r="U94" s="86" t="str">
        <f aca="false">IF($B94="","",SUMIFS('الحركات الشهرية'!$J$6:$J$1005,'الحركات الشهرية'!$B$6:$B$1005,$B94,'الحركات الشهرية'!$A$6:$A$1005,$C$3))</f>
        <v/>
      </c>
      <c r="V94" s="86" t="str">
        <f aca="false">IF($B94="","",SUM(S94:U94))</f>
        <v/>
      </c>
      <c r="W94" s="107" t="str">
        <f aca="false">IF($B94="","",R94-V94)</f>
        <v/>
      </c>
      <c r="X94" s="86" t="str">
        <f aca="false">IF($B94="","",الموظفون!$Q94*IF(E94="سعودي",cfg_G_SR,cfg_G_NR)*F94/cfg_DAYS_M)</f>
        <v/>
      </c>
      <c r="Y94" s="86" t="str">
        <f aca="false">IF($B94="","",الموظفون!$O94*(cfg_EOS_R1*(MIN(AC94,cfg_EOS_TH)-MIN(AD94,cfg_EOS_TH))+cfg_EOS_R2*(MAX(AC94-cfg_EOS_TH,0)-MAX(AD94-cfg_EOS_TH,0))))</f>
        <v/>
      </c>
      <c r="Z94" s="86" t="str">
        <f aca="false">IF($B94="","",IF(الموظفون!$R94&lt;&gt;"",الموظفون!$R94,IF(AC94&gt;=cfg_LV_TH,cfg_LV_D2,cfg_LV_D1))/cfg_DAYS_Y*AE94*الموظفون!$P94/cfg_DAYS_M)</f>
        <v/>
      </c>
      <c r="AA94" s="86" t="str">
        <f aca="false">IF($B94="","",IF(AND(الموظفون!$S94="نعم",N(الموظفون!$U94)&gt;0),الموظفون!$T94/الموظفون!$U94*12/cfg_DAYS_Y*AE94,0))</f>
        <v/>
      </c>
      <c r="AB94" s="108" t="str">
        <f aca="false">IF($B94="","",R94+SUM(X94:AA94))</f>
        <v/>
      </c>
      <c r="AC94" s="109" t="str">
        <f aca="false">IF($B94="","",MAX(0,IF(OR(الموظفون!$X94="",الموظفون!$X94&gt;$G$3),$G$3,الموظفون!$X94)-الموظفون!$H94+1)/cfg_DAYS_Y)</f>
        <v/>
      </c>
      <c r="AD94" s="109" t="str">
        <f aca="false">IF($B94="","",MAX(0,IF(OR(الموظفون!$X94="",الموظفون!$X94&gt;($E$3-1)),($E$3-1),الموظفون!$X94)-الموظفون!$H94+1)/cfg_DAYS_Y)</f>
        <v/>
      </c>
      <c r="AE94" s="51" t="str">
        <f aca="false">IF($B94="","",MAX(0,IF(OR(الموظفون!$X94="",الموظفون!$X94&gt;$G$3),$G$3,الموظفون!$X94)-MAX($E$3,الموظفون!$H94)+1))</f>
        <v/>
      </c>
    </row>
    <row r="95" customFormat="false" ht="15" hidden="false" customHeight="false" outlineLevel="0" collapsed="false">
      <c r="A95" s="89" t="str">
        <f aca="false">IF($B95="","",الموظفون!$A95)</f>
        <v/>
      </c>
      <c r="B95" s="91" t="str">
        <f aca="false">IF(الموظفون!$B95="","",الموظفون!$B95)</f>
        <v/>
      </c>
      <c r="C95" s="91" t="str">
        <f aca="false">IF($B95="","",الموظفون!$C95)</f>
        <v/>
      </c>
      <c r="D95" s="91" t="str">
        <f aca="false">IF($B95="","",الموظفون!$F95)</f>
        <v/>
      </c>
      <c r="E95" s="91" t="str">
        <f aca="false">IF($B95="","",الموظفون!$E95)</f>
        <v/>
      </c>
      <c r="F95" s="110" t="str">
        <f aca="false">IF($B95="","",IF(AE95&gt;=DAY($G$3),cfg_DAYS_M,MIN(AE95,cfg_DAYS_M)))</f>
        <v/>
      </c>
      <c r="G95" s="110" t="str">
        <f aca="false">IF($B95="","",SUMIFS('الحركات الشهرية'!$D$6:$D$1005,'الحركات الشهرية'!$B$6:$B$1005,$B95,'الحركات الشهرية'!$A$6:$A$1005,$C$3))</f>
        <v/>
      </c>
      <c r="H95" s="110" t="str">
        <f aca="false">IF($B95="","",SUMIFS('الحركات الشهرية'!$E$6:$E$1005,'الحركات الشهرية'!$B$6:$B$1005,$B95,'الحركات الشهرية'!$A$6:$A$1005,$C$3))</f>
        <v/>
      </c>
      <c r="I95" s="110" t="str">
        <f aca="false">IF($B95="","",MAX(0,F95-G95-H95))</f>
        <v/>
      </c>
      <c r="J95" s="90" t="str">
        <f aca="false">IF($B95="","",الموظفون!$J95*$I95/cfg_DAYS_M)</f>
        <v/>
      </c>
      <c r="K95" s="90" t="str">
        <f aca="false">IF($B95="","",الموظفون!$K95*$I95/cfg_DAYS_M)</f>
        <v/>
      </c>
      <c r="L95" s="90" t="str">
        <f aca="false">IF($B95="","",الموظفون!$L95*$I95/cfg_DAYS_M)</f>
        <v/>
      </c>
      <c r="M95" s="90" t="str">
        <f aca="false">IF($B95="","",الموظفون!$M95*$I95/cfg_DAYS_M)</f>
        <v/>
      </c>
      <c r="N95" s="110" t="str">
        <f aca="false">IF($B95="","",SUMIFS('الحركات الشهرية'!$F$6:$F$1005,'الحركات الشهرية'!$B$6:$B$1005,$B95,'الحركات الشهرية'!$A$6:$A$1005,$C$3))</f>
        <v/>
      </c>
      <c r="O95" s="90" t="str">
        <f aca="false">IF($B95="","",N95*(الموظفون!$N95+الموظفون!$J95*cfg_OT_P)/cfg_DAYS_M/cfg_HRS)</f>
        <v/>
      </c>
      <c r="P95" s="90" t="str">
        <f aca="false">IF($B95="","",SUMIFS('الحركات الشهرية'!$G$6:$G$1005,'الحركات الشهرية'!$B$6:$B$1005,$B95,'الحركات الشهرية'!$A$6:$A$1005,$C$3))</f>
        <v/>
      </c>
      <c r="Q95" s="90" t="str">
        <f aca="false">IF($B95="","",SUMIFS('الحركات الشهرية'!$H$6:$H$1005,'الحركات الشهرية'!$B$6:$B$1005,$B95,'الحركات الشهرية'!$A$6:$A$1005,$C$3))</f>
        <v/>
      </c>
      <c r="R95" s="111" t="str">
        <f aca="false">IF($B95="","",SUM(J95:M95)+SUM(O95:Q95))</f>
        <v/>
      </c>
      <c r="S95" s="90" t="str">
        <f aca="false">IF($B95="","",الموظفون!$Q95*IF(E95="سعودي",cfg_G_SE,cfg_G_NE)*F95/cfg_DAYS_M)</f>
        <v/>
      </c>
      <c r="T95" s="90" t="str">
        <f aca="false">IF($B95="","",SUMIFS('الحركات الشهرية'!$I$6:$I$1005,'الحركات الشهرية'!$B$6:$B$1005,$B95,'الحركات الشهرية'!$A$6:$A$1005,$C$3))</f>
        <v/>
      </c>
      <c r="U95" s="90" t="str">
        <f aca="false">IF($B95="","",SUMIFS('الحركات الشهرية'!$J$6:$J$1005,'الحركات الشهرية'!$B$6:$B$1005,$B95,'الحركات الشهرية'!$A$6:$A$1005,$C$3))</f>
        <v/>
      </c>
      <c r="V95" s="90" t="str">
        <f aca="false">IF($B95="","",SUM(S95:U95))</f>
        <v/>
      </c>
      <c r="W95" s="112" t="str">
        <f aca="false">IF($B95="","",R95-V95)</f>
        <v/>
      </c>
      <c r="X95" s="90" t="str">
        <f aca="false">IF($B95="","",الموظفون!$Q95*IF(E95="سعودي",cfg_G_SR,cfg_G_NR)*F95/cfg_DAYS_M)</f>
        <v/>
      </c>
      <c r="Y95" s="90" t="str">
        <f aca="false">IF($B95="","",الموظفون!$O95*(cfg_EOS_R1*(MIN(AC95,cfg_EOS_TH)-MIN(AD95,cfg_EOS_TH))+cfg_EOS_R2*(MAX(AC95-cfg_EOS_TH,0)-MAX(AD95-cfg_EOS_TH,0))))</f>
        <v/>
      </c>
      <c r="Z95" s="90" t="str">
        <f aca="false">IF($B95="","",IF(الموظفون!$R95&lt;&gt;"",الموظفون!$R95,IF(AC95&gt;=cfg_LV_TH,cfg_LV_D2,cfg_LV_D1))/cfg_DAYS_Y*AE95*الموظفون!$P95/cfg_DAYS_M)</f>
        <v/>
      </c>
      <c r="AA95" s="90" t="str">
        <f aca="false">IF($B95="","",IF(AND(الموظفون!$S95="نعم",N(الموظفون!$U95)&gt;0),الموظفون!$T95/الموظفون!$U95*12/cfg_DAYS_Y*AE95,0))</f>
        <v/>
      </c>
      <c r="AB95" s="113" t="str">
        <f aca="false">IF($B95="","",R95+SUM(X95:AA95))</f>
        <v/>
      </c>
      <c r="AC95" s="114" t="str">
        <f aca="false">IF($B95="","",MAX(0,IF(OR(الموظفون!$X95="",الموظفون!$X95&gt;$G$3),$G$3,الموظفون!$X95)-الموظفون!$H95+1)/cfg_DAYS_Y)</f>
        <v/>
      </c>
      <c r="AD95" s="114" t="str">
        <f aca="false">IF($B95="","",MAX(0,IF(OR(الموظفون!$X95="",الموظفون!$X95&gt;($E$3-1)),($E$3-1),الموظفون!$X95)-الموظفون!$H95+1)/cfg_DAYS_Y)</f>
        <v/>
      </c>
      <c r="AE95" s="115" t="str">
        <f aca="false">IF($B95="","",MAX(0,IF(OR(الموظفون!$X95="",الموظفون!$X95&gt;$G$3),$G$3,الموظفون!$X95)-MAX($E$3,الموظفون!$H95)+1))</f>
        <v/>
      </c>
    </row>
    <row r="96" customFormat="false" ht="15" hidden="false" customHeight="false" outlineLevel="0" collapsed="false">
      <c r="A96" s="83" t="str">
        <f aca="false">IF($B96="","",الموظفون!$A96)</f>
        <v/>
      </c>
      <c r="B96" s="74" t="str">
        <f aca="false">IF(الموظفون!$B96="","",الموظفون!$B96)</f>
        <v/>
      </c>
      <c r="C96" s="74" t="str">
        <f aca="false">IF($B96="","",الموظفون!$C96)</f>
        <v/>
      </c>
      <c r="D96" s="74" t="str">
        <f aca="false">IF($B96="","",الموظفون!$F96)</f>
        <v/>
      </c>
      <c r="E96" s="74" t="str">
        <f aca="false">IF($B96="","",الموظفون!$E96)</f>
        <v/>
      </c>
      <c r="F96" s="105" t="str">
        <f aca="false">IF($B96="","",IF(AE96&gt;=DAY($G$3),cfg_DAYS_M,MIN(AE96,cfg_DAYS_M)))</f>
        <v/>
      </c>
      <c r="G96" s="105" t="str">
        <f aca="false">IF($B96="","",SUMIFS('الحركات الشهرية'!$D$6:$D$1005,'الحركات الشهرية'!$B$6:$B$1005,$B96,'الحركات الشهرية'!$A$6:$A$1005,$C$3))</f>
        <v/>
      </c>
      <c r="H96" s="105" t="str">
        <f aca="false">IF($B96="","",SUMIFS('الحركات الشهرية'!$E$6:$E$1005,'الحركات الشهرية'!$B$6:$B$1005,$B96,'الحركات الشهرية'!$A$6:$A$1005,$C$3))</f>
        <v/>
      </c>
      <c r="I96" s="105" t="str">
        <f aca="false">IF($B96="","",MAX(0,F96-G96-H96))</f>
        <v/>
      </c>
      <c r="J96" s="86" t="str">
        <f aca="false">IF($B96="","",الموظفون!$J96*$I96/cfg_DAYS_M)</f>
        <v/>
      </c>
      <c r="K96" s="86" t="str">
        <f aca="false">IF($B96="","",الموظفون!$K96*$I96/cfg_DAYS_M)</f>
        <v/>
      </c>
      <c r="L96" s="86" t="str">
        <f aca="false">IF($B96="","",الموظفون!$L96*$I96/cfg_DAYS_M)</f>
        <v/>
      </c>
      <c r="M96" s="86" t="str">
        <f aca="false">IF($B96="","",الموظفون!$M96*$I96/cfg_DAYS_M)</f>
        <v/>
      </c>
      <c r="N96" s="105" t="str">
        <f aca="false">IF($B96="","",SUMIFS('الحركات الشهرية'!$F$6:$F$1005,'الحركات الشهرية'!$B$6:$B$1005,$B96,'الحركات الشهرية'!$A$6:$A$1005,$C$3))</f>
        <v/>
      </c>
      <c r="O96" s="86" t="str">
        <f aca="false">IF($B96="","",N96*(الموظفون!$N96+الموظفون!$J96*cfg_OT_P)/cfg_DAYS_M/cfg_HRS)</f>
        <v/>
      </c>
      <c r="P96" s="86" t="str">
        <f aca="false">IF($B96="","",SUMIFS('الحركات الشهرية'!$G$6:$G$1005,'الحركات الشهرية'!$B$6:$B$1005,$B96,'الحركات الشهرية'!$A$6:$A$1005,$C$3))</f>
        <v/>
      </c>
      <c r="Q96" s="86" t="str">
        <f aca="false">IF($B96="","",SUMIFS('الحركات الشهرية'!$H$6:$H$1005,'الحركات الشهرية'!$B$6:$B$1005,$B96,'الحركات الشهرية'!$A$6:$A$1005,$C$3))</f>
        <v/>
      </c>
      <c r="R96" s="106" t="str">
        <f aca="false">IF($B96="","",SUM(J96:M96)+SUM(O96:Q96))</f>
        <v/>
      </c>
      <c r="S96" s="86" t="str">
        <f aca="false">IF($B96="","",الموظفون!$Q96*IF(E96="سعودي",cfg_G_SE,cfg_G_NE)*F96/cfg_DAYS_M)</f>
        <v/>
      </c>
      <c r="T96" s="86" t="str">
        <f aca="false">IF($B96="","",SUMIFS('الحركات الشهرية'!$I$6:$I$1005,'الحركات الشهرية'!$B$6:$B$1005,$B96,'الحركات الشهرية'!$A$6:$A$1005,$C$3))</f>
        <v/>
      </c>
      <c r="U96" s="86" t="str">
        <f aca="false">IF($B96="","",SUMIFS('الحركات الشهرية'!$J$6:$J$1005,'الحركات الشهرية'!$B$6:$B$1005,$B96,'الحركات الشهرية'!$A$6:$A$1005,$C$3))</f>
        <v/>
      </c>
      <c r="V96" s="86" t="str">
        <f aca="false">IF($B96="","",SUM(S96:U96))</f>
        <v/>
      </c>
      <c r="W96" s="107" t="str">
        <f aca="false">IF($B96="","",R96-V96)</f>
        <v/>
      </c>
      <c r="X96" s="86" t="str">
        <f aca="false">IF($B96="","",الموظفون!$Q96*IF(E96="سعودي",cfg_G_SR,cfg_G_NR)*F96/cfg_DAYS_M)</f>
        <v/>
      </c>
      <c r="Y96" s="86" t="str">
        <f aca="false">IF($B96="","",الموظفون!$O96*(cfg_EOS_R1*(MIN(AC96,cfg_EOS_TH)-MIN(AD96,cfg_EOS_TH))+cfg_EOS_R2*(MAX(AC96-cfg_EOS_TH,0)-MAX(AD96-cfg_EOS_TH,0))))</f>
        <v/>
      </c>
      <c r="Z96" s="86" t="str">
        <f aca="false">IF($B96="","",IF(الموظفون!$R96&lt;&gt;"",الموظفون!$R96,IF(AC96&gt;=cfg_LV_TH,cfg_LV_D2,cfg_LV_D1))/cfg_DAYS_Y*AE96*الموظفون!$P96/cfg_DAYS_M)</f>
        <v/>
      </c>
      <c r="AA96" s="86" t="str">
        <f aca="false">IF($B96="","",IF(AND(الموظفون!$S96="نعم",N(الموظفون!$U96)&gt;0),الموظفون!$T96/الموظفون!$U96*12/cfg_DAYS_Y*AE96,0))</f>
        <v/>
      </c>
      <c r="AB96" s="108" t="str">
        <f aca="false">IF($B96="","",R96+SUM(X96:AA96))</f>
        <v/>
      </c>
      <c r="AC96" s="109" t="str">
        <f aca="false">IF($B96="","",MAX(0,IF(OR(الموظفون!$X96="",الموظفون!$X96&gt;$G$3),$G$3,الموظفون!$X96)-الموظفون!$H96+1)/cfg_DAYS_Y)</f>
        <v/>
      </c>
      <c r="AD96" s="109" t="str">
        <f aca="false">IF($B96="","",MAX(0,IF(OR(الموظفون!$X96="",الموظفون!$X96&gt;($E$3-1)),($E$3-1),الموظفون!$X96)-الموظفون!$H96+1)/cfg_DAYS_Y)</f>
        <v/>
      </c>
      <c r="AE96" s="51" t="str">
        <f aca="false">IF($B96="","",MAX(0,IF(OR(الموظفون!$X96="",الموظفون!$X96&gt;$G$3),$G$3,الموظفون!$X96)-MAX($E$3,الموظفون!$H96)+1))</f>
        <v/>
      </c>
    </row>
    <row r="97" customFormat="false" ht="15" hidden="false" customHeight="false" outlineLevel="0" collapsed="false">
      <c r="A97" s="89" t="str">
        <f aca="false">IF($B97="","",الموظفون!$A97)</f>
        <v/>
      </c>
      <c r="B97" s="91" t="str">
        <f aca="false">IF(الموظفون!$B97="","",الموظفون!$B97)</f>
        <v/>
      </c>
      <c r="C97" s="91" t="str">
        <f aca="false">IF($B97="","",الموظفون!$C97)</f>
        <v/>
      </c>
      <c r="D97" s="91" t="str">
        <f aca="false">IF($B97="","",الموظفون!$F97)</f>
        <v/>
      </c>
      <c r="E97" s="91" t="str">
        <f aca="false">IF($B97="","",الموظفون!$E97)</f>
        <v/>
      </c>
      <c r="F97" s="110" t="str">
        <f aca="false">IF($B97="","",IF(AE97&gt;=DAY($G$3),cfg_DAYS_M,MIN(AE97,cfg_DAYS_M)))</f>
        <v/>
      </c>
      <c r="G97" s="110" t="str">
        <f aca="false">IF($B97="","",SUMIFS('الحركات الشهرية'!$D$6:$D$1005,'الحركات الشهرية'!$B$6:$B$1005,$B97,'الحركات الشهرية'!$A$6:$A$1005,$C$3))</f>
        <v/>
      </c>
      <c r="H97" s="110" t="str">
        <f aca="false">IF($B97="","",SUMIFS('الحركات الشهرية'!$E$6:$E$1005,'الحركات الشهرية'!$B$6:$B$1005,$B97,'الحركات الشهرية'!$A$6:$A$1005,$C$3))</f>
        <v/>
      </c>
      <c r="I97" s="110" t="str">
        <f aca="false">IF($B97="","",MAX(0,F97-G97-H97))</f>
        <v/>
      </c>
      <c r="J97" s="90" t="str">
        <f aca="false">IF($B97="","",الموظفون!$J97*$I97/cfg_DAYS_M)</f>
        <v/>
      </c>
      <c r="K97" s="90" t="str">
        <f aca="false">IF($B97="","",الموظفون!$K97*$I97/cfg_DAYS_M)</f>
        <v/>
      </c>
      <c r="L97" s="90" t="str">
        <f aca="false">IF($B97="","",الموظفون!$L97*$I97/cfg_DAYS_M)</f>
        <v/>
      </c>
      <c r="M97" s="90" t="str">
        <f aca="false">IF($B97="","",الموظفون!$M97*$I97/cfg_DAYS_M)</f>
        <v/>
      </c>
      <c r="N97" s="110" t="str">
        <f aca="false">IF($B97="","",SUMIFS('الحركات الشهرية'!$F$6:$F$1005,'الحركات الشهرية'!$B$6:$B$1005,$B97,'الحركات الشهرية'!$A$6:$A$1005,$C$3))</f>
        <v/>
      </c>
      <c r="O97" s="90" t="str">
        <f aca="false">IF($B97="","",N97*(الموظفون!$N97+الموظفون!$J97*cfg_OT_P)/cfg_DAYS_M/cfg_HRS)</f>
        <v/>
      </c>
      <c r="P97" s="90" t="str">
        <f aca="false">IF($B97="","",SUMIFS('الحركات الشهرية'!$G$6:$G$1005,'الحركات الشهرية'!$B$6:$B$1005,$B97,'الحركات الشهرية'!$A$6:$A$1005,$C$3))</f>
        <v/>
      </c>
      <c r="Q97" s="90" t="str">
        <f aca="false">IF($B97="","",SUMIFS('الحركات الشهرية'!$H$6:$H$1005,'الحركات الشهرية'!$B$6:$B$1005,$B97,'الحركات الشهرية'!$A$6:$A$1005,$C$3))</f>
        <v/>
      </c>
      <c r="R97" s="111" t="str">
        <f aca="false">IF($B97="","",SUM(J97:M97)+SUM(O97:Q97))</f>
        <v/>
      </c>
      <c r="S97" s="90" t="str">
        <f aca="false">IF($B97="","",الموظفون!$Q97*IF(E97="سعودي",cfg_G_SE,cfg_G_NE)*F97/cfg_DAYS_M)</f>
        <v/>
      </c>
      <c r="T97" s="90" t="str">
        <f aca="false">IF($B97="","",SUMIFS('الحركات الشهرية'!$I$6:$I$1005,'الحركات الشهرية'!$B$6:$B$1005,$B97,'الحركات الشهرية'!$A$6:$A$1005,$C$3))</f>
        <v/>
      </c>
      <c r="U97" s="90" t="str">
        <f aca="false">IF($B97="","",SUMIFS('الحركات الشهرية'!$J$6:$J$1005,'الحركات الشهرية'!$B$6:$B$1005,$B97,'الحركات الشهرية'!$A$6:$A$1005,$C$3))</f>
        <v/>
      </c>
      <c r="V97" s="90" t="str">
        <f aca="false">IF($B97="","",SUM(S97:U97))</f>
        <v/>
      </c>
      <c r="W97" s="112" t="str">
        <f aca="false">IF($B97="","",R97-V97)</f>
        <v/>
      </c>
      <c r="X97" s="90" t="str">
        <f aca="false">IF($B97="","",الموظفون!$Q97*IF(E97="سعودي",cfg_G_SR,cfg_G_NR)*F97/cfg_DAYS_M)</f>
        <v/>
      </c>
      <c r="Y97" s="90" t="str">
        <f aca="false">IF($B97="","",الموظفون!$O97*(cfg_EOS_R1*(MIN(AC97,cfg_EOS_TH)-MIN(AD97,cfg_EOS_TH))+cfg_EOS_R2*(MAX(AC97-cfg_EOS_TH,0)-MAX(AD97-cfg_EOS_TH,0))))</f>
        <v/>
      </c>
      <c r="Z97" s="90" t="str">
        <f aca="false">IF($B97="","",IF(الموظفون!$R97&lt;&gt;"",الموظفون!$R97,IF(AC97&gt;=cfg_LV_TH,cfg_LV_D2,cfg_LV_D1))/cfg_DAYS_Y*AE97*الموظفون!$P97/cfg_DAYS_M)</f>
        <v/>
      </c>
      <c r="AA97" s="90" t="str">
        <f aca="false">IF($B97="","",IF(AND(الموظفون!$S97="نعم",N(الموظفون!$U97)&gt;0),الموظفون!$T97/الموظفون!$U97*12/cfg_DAYS_Y*AE97,0))</f>
        <v/>
      </c>
      <c r="AB97" s="113" t="str">
        <f aca="false">IF($B97="","",R97+SUM(X97:AA97))</f>
        <v/>
      </c>
      <c r="AC97" s="114" t="str">
        <f aca="false">IF($B97="","",MAX(0,IF(OR(الموظفون!$X97="",الموظفون!$X97&gt;$G$3),$G$3,الموظفون!$X97)-الموظفون!$H97+1)/cfg_DAYS_Y)</f>
        <v/>
      </c>
      <c r="AD97" s="114" t="str">
        <f aca="false">IF($B97="","",MAX(0,IF(OR(الموظفون!$X97="",الموظفون!$X97&gt;($E$3-1)),($E$3-1),الموظفون!$X97)-الموظفون!$H97+1)/cfg_DAYS_Y)</f>
        <v/>
      </c>
      <c r="AE97" s="115" t="str">
        <f aca="false">IF($B97="","",MAX(0,IF(OR(الموظفون!$X97="",الموظفون!$X97&gt;$G$3),$G$3,الموظفون!$X97)-MAX($E$3,الموظفون!$H97)+1))</f>
        <v/>
      </c>
    </row>
    <row r="98" customFormat="false" ht="15" hidden="false" customHeight="false" outlineLevel="0" collapsed="false">
      <c r="A98" s="83" t="str">
        <f aca="false">IF($B98="","",الموظفون!$A98)</f>
        <v/>
      </c>
      <c r="B98" s="74" t="str">
        <f aca="false">IF(الموظفون!$B98="","",الموظفون!$B98)</f>
        <v/>
      </c>
      <c r="C98" s="74" t="str">
        <f aca="false">IF($B98="","",الموظفون!$C98)</f>
        <v/>
      </c>
      <c r="D98" s="74" t="str">
        <f aca="false">IF($B98="","",الموظفون!$F98)</f>
        <v/>
      </c>
      <c r="E98" s="74" t="str">
        <f aca="false">IF($B98="","",الموظفون!$E98)</f>
        <v/>
      </c>
      <c r="F98" s="105" t="str">
        <f aca="false">IF($B98="","",IF(AE98&gt;=DAY($G$3),cfg_DAYS_M,MIN(AE98,cfg_DAYS_M)))</f>
        <v/>
      </c>
      <c r="G98" s="105" t="str">
        <f aca="false">IF($B98="","",SUMIFS('الحركات الشهرية'!$D$6:$D$1005,'الحركات الشهرية'!$B$6:$B$1005,$B98,'الحركات الشهرية'!$A$6:$A$1005,$C$3))</f>
        <v/>
      </c>
      <c r="H98" s="105" t="str">
        <f aca="false">IF($B98="","",SUMIFS('الحركات الشهرية'!$E$6:$E$1005,'الحركات الشهرية'!$B$6:$B$1005,$B98,'الحركات الشهرية'!$A$6:$A$1005,$C$3))</f>
        <v/>
      </c>
      <c r="I98" s="105" t="str">
        <f aca="false">IF($B98="","",MAX(0,F98-G98-H98))</f>
        <v/>
      </c>
      <c r="J98" s="86" t="str">
        <f aca="false">IF($B98="","",الموظفون!$J98*$I98/cfg_DAYS_M)</f>
        <v/>
      </c>
      <c r="K98" s="86" t="str">
        <f aca="false">IF($B98="","",الموظفون!$K98*$I98/cfg_DAYS_M)</f>
        <v/>
      </c>
      <c r="L98" s="86" t="str">
        <f aca="false">IF($B98="","",الموظفون!$L98*$I98/cfg_DAYS_M)</f>
        <v/>
      </c>
      <c r="M98" s="86" t="str">
        <f aca="false">IF($B98="","",الموظفون!$M98*$I98/cfg_DAYS_M)</f>
        <v/>
      </c>
      <c r="N98" s="105" t="str">
        <f aca="false">IF($B98="","",SUMIFS('الحركات الشهرية'!$F$6:$F$1005,'الحركات الشهرية'!$B$6:$B$1005,$B98,'الحركات الشهرية'!$A$6:$A$1005,$C$3))</f>
        <v/>
      </c>
      <c r="O98" s="86" t="str">
        <f aca="false">IF($B98="","",N98*(الموظفون!$N98+الموظفون!$J98*cfg_OT_P)/cfg_DAYS_M/cfg_HRS)</f>
        <v/>
      </c>
      <c r="P98" s="86" t="str">
        <f aca="false">IF($B98="","",SUMIFS('الحركات الشهرية'!$G$6:$G$1005,'الحركات الشهرية'!$B$6:$B$1005,$B98,'الحركات الشهرية'!$A$6:$A$1005,$C$3))</f>
        <v/>
      </c>
      <c r="Q98" s="86" t="str">
        <f aca="false">IF($B98="","",SUMIFS('الحركات الشهرية'!$H$6:$H$1005,'الحركات الشهرية'!$B$6:$B$1005,$B98,'الحركات الشهرية'!$A$6:$A$1005,$C$3))</f>
        <v/>
      </c>
      <c r="R98" s="106" t="str">
        <f aca="false">IF($B98="","",SUM(J98:M98)+SUM(O98:Q98))</f>
        <v/>
      </c>
      <c r="S98" s="86" t="str">
        <f aca="false">IF($B98="","",الموظفون!$Q98*IF(E98="سعودي",cfg_G_SE,cfg_G_NE)*F98/cfg_DAYS_M)</f>
        <v/>
      </c>
      <c r="T98" s="86" t="str">
        <f aca="false">IF($B98="","",SUMIFS('الحركات الشهرية'!$I$6:$I$1005,'الحركات الشهرية'!$B$6:$B$1005,$B98,'الحركات الشهرية'!$A$6:$A$1005,$C$3))</f>
        <v/>
      </c>
      <c r="U98" s="86" t="str">
        <f aca="false">IF($B98="","",SUMIFS('الحركات الشهرية'!$J$6:$J$1005,'الحركات الشهرية'!$B$6:$B$1005,$B98,'الحركات الشهرية'!$A$6:$A$1005,$C$3))</f>
        <v/>
      </c>
      <c r="V98" s="86" t="str">
        <f aca="false">IF($B98="","",SUM(S98:U98))</f>
        <v/>
      </c>
      <c r="W98" s="107" t="str">
        <f aca="false">IF($B98="","",R98-V98)</f>
        <v/>
      </c>
      <c r="X98" s="86" t="str">
        <f aca="false">IF($B98="","",الموظفون!$Q98*IF(E98="سعودي",cfg_G_SR,cfg_G_NR)*F98/cfg_DAYS_M)</f>
        <v/>
      </c>
      <c r="Y98" s="86" t="str">
        <f aca="false">IF($B98="","",الموظفون!$O98*(cfg_EOS_R1*(MIN(AC98,cfg_EOS_TH)-MIN(AD98,cfg_EOS_TH))+cfg_EOS_R2*(MAX(AC98-cfg_EOS_TH,0)-MAX(AD98-cfg_EOS_TH,0))))</f>
        <v/>
      </c>
      <c r="Z98" s="86" t="str">
        <f aca="false">IF($B98="","",IF(الموظفون!$R98&lt;&gt;"",الموظفون!$R98,IF(AC98&gt;=cfg_LV_TH,cfg_LV_D2,cfg_LV_D1))/cfg_DAYS_Y*AE98*الموظفون!$P98/cfg_DAYS_M)</f>
        <v/>
      </c>
      <c r="AA98" s="86" t="str">
        <f aca="false">IF($B98="","",IF(AND(الموظفون!$S98="نعم",N(الموظفون!$U98)&gt;0),الموظفون!$T98/الموظفون!$U98*12/cfg_DAYS_Y*AE98,0))</f>
        <v/>
      </c>
      <c r="AB98" s="108" t="str">
        <f aca="false">IF($B98="","",R98+SUM(X98:AA98))</f>
        <v/>
      </c>
      <c r="AC98" s="109" t="str">
        <f aca="false">IF($B98="","",MAX(0,IF(OR(الموظفون!$X98="",الموظفون!$X98&gt;$G$3),$G$3,الموظفون!$X98)-الموظفون!$H98+1)/cfg_DAYS_Y)</f>
        <v/>
      </c>
      <c r="AD98" s="109" t="str">
        <f aca="false">IF($B98="","",MAX(0,IF(OR(الموظفون!$X98="",الموظفون!$X98&gt;($E$3-1)),($E$3-1),الموظفون!$X98)-الموظفون!$H98+1)/cfg_DAYS_Y)</f>
        <v/>
      </c>
      <c r="AE98" s="51" t="str">
        <f aca="false">IF($B98="","",MAX(0,IF(OR(الموظفون!$X98="",الموظفون!$X98&gt;$G$3),$G$3,الموظفون!$X98)-MAX($E$3,الموظفون!$H98)+1))</f>
        <v/>
      </c>
    </row>
    <row r="99" customFormat="false" ht="15" hidden="false" customHeight="false" outlineLevel="0" collapsed="false">
      <c r="A99" s="89" t="str">
        <f aca="false">IF($B99="","",الموظفون!$A99)</f>
        <v/>
      </c>
      <c r="B99" s="91" t="str">
        <f aca="false">IF(الموظفون!$B99="","",الموظفون!$B99)</f>
        <v/>
      </c>
      <c r="C99" s="91" t="str">
        <f aca="false">IF($B99="","",الموظفون!$C99)</f>
        <v/>
      </c>
      <c r="D99" s="91" t="str">
        <f aca="false">IF($B99="","",الموظفون!$F99)</f>
        <v/>
      </c>
      <c r="E99" s="91" t="str">
        <f aca="false">IF($B99="","",الموظفون!$E99)</f>
        <v/>
      </c>
      <c r="F99" s="110" t="str">
        <f aca="false">IF($B99="","",IF(AE99&gt;=DAY($G$3),cfg_DAYS_M,MIN(AE99,cfg_DAYS_M)))</f>
        <v/>
      </c>
      <c r="G99" s="110" t="str">
        <f aca="false">IF($B99="","",SUMIFS('الحركات الشهرية'!$D$6:$D$1005,'الحركات الشهرية'!$B$6:$B$1005,$B99,'الحركات الشهرية'!$A$6:$A$1005,$C$3))</f>
        <v/>
      </c>
      <c r="H99" s="110" t="str">
        <f aca="false">IF($B99="","",SUMIFS('الحركات الشهرية'!$E$6:$E$1005,'الحركات الشهرية'!$B$6:$B$1005,$B99,'الحركات الشهرية'!$A$6:$A$1005,$C$3))</f>
        <v/>
      </c>
      <c r="I99" s="110" t="str">
        <f aca="false">IF($B99="","",MAX(0,F99-G99-H99))</f>
        <v/>
      </c>
      <c r="J99" s="90" t="str">
        <f aca="false">IF($B99="","",الموظفون!$J99*$I99/cfg_DAYS_M)</f>
        <v/>
      </c>
      <c r="K99" s="90" t="str">
        <f aca="false">IF($B99="","",الموظفون!$K99*$I99/cfg_DAYS_M)</f>
        <v/>
      </c>
      <c r="L99" s="90" t="str">
        <f aca="false">IF($B99="","",الموظفون!$L99*$I99/cfg_DAYS_M)</f>
        <v/>
      </c>
      <c r="M99" s="90" t="str">
        <f aca="false">IF($B99="","",الموظفون!$M99*$I99/cfg_DAYS_M)</f>
        <v/>
      </c>
      <c r="N99" s="110" t="str">
        <f aca="false">IF($B99="","",SUMIFS('الحركات الشهرية'!$F$6:$F$1005,'الحركات الشهرية'!$B$6:$B$1005,$B99,'الحركات الشهرية'!$A$6:$A$1005,$C$3))</f>
        <v/>
      </c>
      <c r="O99" s="90" t="str">
        <f aca="false">IF($B99="","",N99*(الموظفون!$N99+الموظفون!$J99*cfg_OT_P)/cfg_DAYS_M/cfg_HRS)</f>
        <v/>
      </c>
      <c r="P99" s="90" t="str">
        <f aca="false">IF($B99="","",SUMIFS('الحركات الشهرية'!$G$6:$G$1005,'الحركات الشهرية'!$B$6:$B$1005,$B99,'الحركات الشهرية'!$A$6:$A$1005,$C$3))</f>
        <v/>
      </c>
      <c r="Q99" s="90" t="str">
        <f aca="false">IF($B99="","",SUMIFS('الحركات الشهرية'!$H$6:$H$1005,'الحركات الشهرية'!$B$6:$B$1005,$B99,'الحركات الشهرية'!$A$6:$A$1005,$C$3))</f>
        <v/>
      </c>
      <c r="R99" s="111" t="str">
        <f aca="false">IF($B99="","",SUM(J99:M99)+SUM(O99:Q99))</f>
        <v/>
      </c>
      <c r="S99" s="90" t="str">
        <f aca="false">IF($B99="","",الموظفون!$Q99*IF(E99="سعودي",cfg_G_SE,cfg_G_NE)*F99/cfg_DAYS_M)</f>
        <v/>
      </c>
      <c r="T99" s="90" t="str">
        <f aca="false">IF($B99="","",SUMIFS('الحركات الشهرية'!$I$6:$I$1005,'الحركات الشهرية'!$B$6:$B$1005,$B99,'الحركات الشهرية'!$A$6:$A$1005,$C$3))</f>
        <v/>
      </c>
      <c r="U99" s="90" t="str">
        <f aca="false">IF($B99="","",SUMIFS('الحركات الشهرية'!$J$6:$J$1005,'الحركات الشهرية'!$B$6:$B$1005,$B99,'الحركات الشهرية'!$A$6:$A$1005,$C$3))</f>
        <v/>
      </c>
      <c r="V99" s="90" t="str">
        <f aca="false">IF($B99="","",SUM(S99:U99))</f>
        <v/>
      </c>
      <c r="W99" s="112" t="str">
        <f aca="false">IF($B99="","",R99-V99)</f>
        <v/>
      </c>
      <c r="X99" s="90" t="str">
        <f aca="false">IF($B99="","",الموظفون!$Q99*IF(E99="سعودي",cfg_G_SR,cfg_G_NR)*F99/cfg_DAYS_M)</f>
        <v/>
      </c>
      <c r="Y99" s="90" t="str">
        <f aca="false">IF($B99="","",الموظفون!$O99*(cfg_EOS_R1*(MIN(AC99,cfg_EOS_TH)-MIN(AD99,cfg_EOS_TH))+cfg_EOS_R2*(MAX(AC99-cfg_EOS_TH,0)-MAX(AD99-cfg_EOS_TH,0))))</f>
        <v/>
      </c>
      <c r="Z99" s="90" t="str">
        <f aca="false">IF($B99="","",IF(الموظفون!$R99&lt;&gt;"",الموظفون!$R99,IF(AC99&gt;=cfg_LV_TH,cfg_LV_D2,cfg_LV_D1))/cfg_DAYS_Y*AE99*الموظفون!$P99/cfg_DAYS_M)</f>
        <v/>
      </c>
      <c r="AA99" s="90" t="str">
        <f aca="false">IF($B99="","",IF(AND(الموظفون!$S99="نعم",N(الموظفون!$U99)&gt;0),الموظفون!$T99/الموظفون!$U99*12/cfg_DAYS_Y*AE99,0))</f>
        <v/>
      </c>
      <c r="AB99" s="113" t="str">
        <f aca="false">IF($B99="","",R99+SUM(X99:AA99))</f>
        <v/>
      </c>
      <c r="AC99" s="114" t="str">
        <f aca="false">IF($B99="","",MAX(0,IF(OR(الموظفون!$X99="",الموظفون!$X99&gt;$G$3),$G$3,الموظفون!$X99)-الموظفون!$H99+1)/cfg_DAYS_Y)</f>
        <v/>
      </c>
      <c r="AD99" s="114" t="str">
        <f aca="false">IF($B99="","",MAX(0,IF(OR(الموظفون!$X99="",الموظفون!$X99&gt;($E$3-1)),($E$3-1),الموظفون!$X99)-الموظفون!$H99+1)/cfg_DAYS_Y)</f>
        <v/>
      </c>
      <c r="AE99" s="115" t="str">
        <f aca="false">IF($B99="","",MAX(0,IF(OR(الموظفون!$X99="",الموظفون!$X99&gt;$G$3),$G$3,الموظفون!$X99)-MAX($E$3,الموظفون!$H99)+1))</f>
        <v/>
      </c>
    </row>
    <row r="100" customFormat="false" ht="15" hidden="false" customHeight="false" outlineLevel="0" collapsed="false">
      <c r="A100" s="83" t="str">
        <f aca="false">IF($B100="","",الموظفون!$A100)</f>
        <v/>
      </c>
      <c r="B100" s="74" t="str">
        <f aca="false">IF(الموظفون!$B100="","",الموظفون!$B100)</f>
        <v/>
      </c>
      <c r="C100" s="74" t="str">
        <f aca="false">IF($B100="","",الموظفون!$C100)</f>
        <v/>
      </c>
      <c r="D100" s="74" t="str">
        <f aca="false">IF($B100="","",الموظفون!$F100)</f>
        <v/>
      </c>
      <c r="E100" s="74" t="str">
        <f aca="false">IF($B100="","",الموظفون!$E100)</f>
        <v/>
      </c>
      <c r="F100" s="105" t="str">
        <f aca="false">IF($B100="","",IF(AE100&gt;=DAY($G$3),cfg_DAYS_M,MIN(AE100,cfg_DAYS_M)))</f>
        <v/>
      </c>
      <c r="G100" s="105" t="str">
        <f aca="false">IF($B100="","",SUMIFS('الحركات الشهرية'!$D$6:$D$1005,'الحركات الشهرية'!$B$6:$B$1005,$B100,'الحركات الشهرية'!$A$6:$A$1005,$C$3))</f>
        <v/>
      </c>
      <c r="H100" s="105" t="str">
        <f aca="false">IF($B100="","",SUMIFS('الحركات الشهرية'!$E$6:$E$1005,'الحركات الشهرية'!$B$6:$B$1005,$B100,'الحركات الشهرية'!$A$6:$A$1005,$C$3))</f>
        <v/>
      </c>
      <c r="I100" s="105" t="str">
        <f aca="false">IF($B100="","",MAX(0,F100-G100-H100))</f>
        <v/>
      </c>
      <c r="J100" s="86" t="str">
        <f aca="false">IF($B100="","",الموظفون!$J100*$I100/cfg_DAYS_M)</f>
        <v/>
      </c>
      <c r="K100" s="86" t="str">
        <f aca="false">IF($B100="","",الموظفون!$K100*$I100/cfg_DAYS_M)</f>
        <v/>
      </c>
      <c r="L100" s="86" t="str">
        <f aca="false">IF($B100="","",الموظفون!$L100*$I100/cfg_DAYS_M)</f>
        <v/>
      </c>
      <c r="M100" s="86" t="str">
        <f aca="false">IF($B100="","",الموظفون!$M100*$I100/cfg_DAYS_M)</f>
        <v/>
      </c>
      <c r="N100" s="105" t="str">
        <f aca="false">IF($B100="","",SUMIFS('الحركات الشهرية'!$F$6:$F$1005,'الحركات الشهرية'!$B$6:$B$1005,$B100,'الحركات الشهرية'!$A$6:$A$1005,$C$3))</f>
        <v/>
      </c>
      <c r="O100" s="86" t="str">
        <f aca="false">IF($B100="","",N100*(الموظفون!$N100+الموظفون!$J100*cfg_OT_P)/cfg_DAYS_M/cfg_HRS)</f>
        <v/>
      </c>
      <c r="P100" s="86" t="str">
        <f aca="false">IF($B100="","",SUMIFS('الحركات الشهرية'!$G$6:$G$1005,'الحركات الشهرية'!$B$6:$B$1005,$B100,'الحركات الشهرية'!$A$6:$A$1005,$C$3))</f>
        <v/>
      </c>
      <c r="Q100" s="86" t="str">
        <f aca="false">IF($B100="","",SUMIFS('الحركات الشهرية'!$H$6:$H$1005,'الحركات الشهرية'!$B$6:$B$1005,$B100,'الحركات الشهرية'!$A$6:$A$1005,$C$3))</f>
        <v/>
      </c>
      <c r="R100" s="106" t="str">
        <f aca="false">IF($B100="","",SUM(J100:M100)+SUM(O100:Q100))</f>
        <v/>
      </c>
      <c r="S100" s="86" t="str">
        <f aca="false">IF($B100="","",الموظفون!$Q100*IF(E100="سعودي",cfg_G_SE,cfg_G_NE)*F100/cfg_DAYS_M)</f>
        <v/>
      </c>
      <c r="T100" s="86" t="str">
        <f aca="false">IF($B100="","",SUMIFS('الحركات الشهرية'!$I$6:$I$1005,'الحركات الشهرية'!$B$6:$B$1005,$B100,'الحركات الشهرية'!$A$6:$A$1005,$C$3))</f>
        <v/>
      </c>
      <c r="U100" s="86" t="str">
        <f aca="false">IF($B100="","",SUMIFS('الحركات الشهرية'!$J$6:$J$1005,'الحركات الشهرية'!$B$6:$B$1005,$B100,'الحركات الشهرية'!$A$6:$A$1005,$C$3))</f>
        <v/>
      </c>
      <c r="V100" s="86" t="str">
        <f aca="false">IF($B100="","",SUM(S100:U100))</f>
        <v/>
      </c>
      <c r="W100" s="107" t="str">
        <f aca="false">IF($B100="","",R100-V100)</f>
        <v/>
      </c>
      <c r="X100" s="86" t="str">
        <f aca="false">IF($B100="","",الموظفون!$Q100*IF(E100="سعودي",cfg_G_SR,cfg_G_NR)*F100/cfg_DAYS_M)</f>
        <v/>
      </c>
      <c r="Y100" s="86" t="str">
        <f aca="false">IF($B100="","",الموظفون!$O100*(cfg_EOS_R1*(MIN(AC100,cfg_EOS_TH)-MIN(AD100,cfg_EOS_TH))+cfg_EOS_R2*(MAX(AC100-cfg_EOS_TH,0)-MAX(AD100-cfg_EOS_TH,0))))</f>
        <v/>
      </c>
      <c r="Z100" s="86" t="str">
        <f aca="false">IF($B100="","",IF(الموظفون!$R100&lt;&gt;"",الموظفون!$R100,IF(AC100&gt;=cfg_LV_TH,cfg_LV_D2,cfg_LV_D1))/cfg_DAYS_Y*AE100*الموظفون!$P100/cfg_DAYS_M)</f>
        <v/>
      </c>
      <c r="AA100" s="86" t="str">
        <f aca="false">IF($B100="","",IF(AND(الموظفون!$S100="نعم",N(الموظفون!$U100)&gt;0),الموظفون!$T100/الموظفون!$U100*12/cfg_DAYS_Y*AE100,0))</f>
        <v/>
      </c>
      <c r="AB100" s="108" t="str">
        <f aca="false">IF($B100="","",R100+SUM(X100:AA100))</f>
        <v/>
      </c>
      <c r="AC100" s="109" t="str">
        <f aca="false">IF($B100="","",MAX(0,IF(OR(الموظفون!$X100="",الموظفون!$X100&gt;$G$3),$G$3,الموظفون!$X100)-الموظفون!$H100+1)/cfg_DAYS_Y)</f>
        <v/>
      </c>
      <c r="AD100" s="109" t="str">
        <f aca="false">IF($B100="","",MAX(0,IF(OR(الموظفون!$X100="",الموظفون!$X100&gt;($E$3-1)),($E$3-1),الموظفون!$X100)-الموظفون!$H100+1)/cfg_DAYS_Y)</f>
        <v/>
      </c>
      <c r="AE100" s="51" t="str">
        <f aca="false">IF($B100="","",MAX(0,IF(OR(الموظفون!$X100="",الموظفون!$X100&gt;$G$3),$G$3,الموظفون!$X100)-MAX($E$3,الموظفون!$H100)+1))</f>
        <v/>
      </c>
    </row>
    <row r="101" customFormat="false" ht="15" hidden="false" customHeight="false" outlineLevel="0" collapsed="false">
      <c r="A101" s="89" t="str">
        <f aca="false">IF($B101="","",الموظفون!$A101)</f>
        <v/>
      </c>
      <c r="B101" s="91" t="str">
        <f aca="false">IF(الموظفون!$B101="","",الموظفون!$B101)</f>
        <v/>
      </c>
      <c r="C101" s="91" t="str">
        <f aca="false">IF($B101="","",الموظفون!$C101)</f>
        <v/>
      </c>
      <c r="D101" s="91" t="str">
        <f aca="false">IF($B101="","",الموظفون!$F101)</f>
        <v/>
      </c>
      <c r="E101" s="91" t="str">
        <f aca="false">IF($B101="","",الموظفون!$E101)</f>
        <v/>
      </c>
      <c r="F101" s="110" t="str">
        <f aca="false">IF($B101="","",IF(AE101&gt;=DAY($G$3),cfg_DAYS_M,MIN(AE101,cfg_DAYS_M)))</f>
        <v/>
      </c>
      <c r="G101" s="110" t="str">
        <f aca="false">IF($B101="","",SUMIFS('الحركات الشهرية'!$D$6:$D$1005,'الحركات الشهرية'!$B$6:$B$1005,$B101,'الحركات الشهرية'!$A$6:$A$1005,$C$3))</f>
        <v/>
      </c>
      <c r="H101" s="110" t="str">
        <f aca="false">IF($B101="","",SUMIFS('الحركات الشهرية'!$E$6:$E$1005,'الحركات الشهرية'!$B$6:$B$1005,$B101,'الحركات الشهرية'!$A$6:$A$1005,$C$3))</f>
        <v/>
      </c>
      <c r="I101" s="110" t="str">
        <f aca="false">IF($B101="","",MAX(0,F101-G101-H101))</f>
        <v/>
      </c>
      <c r="J101" s="90" t="str">
        <f aca="false">IF($B101="","",الموظفون!$J101*$I101/cfg_DAYS_M)</f>
        <v/>
      </c>
      <c r="K101" s="90" t="str">
        <f aca="false">IF($B101="","",الموظفون!$K101*$I101/cfg_DAYS_M)</f>
        <v/>
      </c>
      <c r="L101" s="90" t="str">
        <f aca="false">IF($B101="","",الموظفون!$L101*$I101/cfg_DAYS_M)</f>
        <v/>
      </c>
      <c r="M101" s="90" t="str">
        <f aca="false">IF($B101="","",الموظفون!$M101*$I101/cfg_DAYS_M)</f>
        <v/>
      </c>
      <c r="N101" s="110" t="str">
        <f aca="false">IF($B101="","",SUMIFS('الحركات الشهرية'!$F$6:$F$1005,'الحركات الشهرية'!$B$6:$B$1005,$B101,'الحركات الشهرية'!$A$6:$A$1005,$C$3))</f>
        <v/>
      </c>
      <c r="O101" s="90" t="str">
        <f aca="false">IF($B101="","",N101*(الموظفون!$N101+الموظفون!$J101*cfg_OT_P)/cfg_DAYS_M/cfg_HRS)</f>
        <v/>
      </c>
      <c r="P101" s="90" t="str">
        <f aca="false">IF($B101="","",SUMIFS('الحركات الشهرية'!$G$6:$G$1005,'الحركات الشهرية'!$B$6:$B$1005,$B101,'الحركات الشهرية'!$A$6:$A$1005,$C$3))</f>
        <v/>
      </c>
      <c r="Q101" s="90" t="str">
        <f aca="false">IF($B101="","",SUMIFS('الحركات الشهرية'!$H$6:$H$1005,'الحركات الشهرية'!$B$6:$B$1005,$B101,'الحركات الشهرية'!$A$6:$A$1005,$C$3))</f>
        <v/>
      </c>
      <c r="R101" s="111" t="str">
        <f aca="false">IF($B101="","",SUM(J101:M101)+SUM(O101:Q101))</f>
        <v/>
      </c>
      <c r="S101" s="90" t="str">
        <f aca="false">IF($B101="","",الموظفون!$Q101*IF(E101="سعودي",cfg_G_SE,cfg_G_NE)*F101/cfg_DAYS_M)</f>
        <v/>
      </c>
      <c r="T101" s="90" t="str">
        <f aca="false">IF($B101="","",SUMIFS('الحركات الشهرية'!$I$6:$I$1005,'الحركات الشهرية'!$B$6:$B$1005,$B101,'الحركات الشهرية'!$A$6:$A$1005,$C$3))</f>
        <v/>
      </c>
      <c r="U101" s="90" t="str">
        <f aca="false">IF($B101="","",SUMIFS('الحركات الشهرية'!$J$6:$J$1005,'الحركات الشهرية'!$B$6:$B$1005,$B101,'الحركات الشهرية'!$A$6:$A$1005,$C$3))</f>
        <v/>
      </c>
      <c r="V101" s="90" t="str">
        <f aca="false">IF($B101="","",SUM(S101:U101))</f>
        <v/>
      </c>
      <c r="W101" s="112" t="str">
        <f aca="false">IF($B101="","",R101-V101)</f>
        <v/>
      </c>
      <c r="X101" s="90" t="str">
        <f aca="false">IF($B101="","",الموظفون!$Q101*IF(E101="سعودي",cfg_G_SR,cfg_G_NR)*F101/cfg_DAYS_M)</f>
        <v/>
      </c>
      <c r="Y101" s="90" t="str">
        <f aca="false">IF($B101="","",الموظفون!$O101*(cfg_EOS_R1*(MIN(AC101,cfg_EOS_TH)-MIN(AD101,cfg_EOS_TH))+cfg_EOS_R2*(MAX(AC101-cfg_EOS_TH,0)-MAX(AD101-cfg_EOS_TH,0))))</f>
        <v/>
      </c>
      <c r="Z101" s="90" t="str">
        <f aca="false">IF($B101="","",IF(الموظفون!$R101&lt;&gt;"",الموظفون!$R101,IF(AC101&gt;=cfg_LV_TH,cfg_LV_D2,cfg_LV_D1))/cfg_DAYS_Y*AE101*الموظفون!$P101/cfg_DAYS_M)</f>
        <v/>
      </c>
      <c r="AA101" s="90" t="str">
        <f aca="false">IF($B101="","",IF(AND(الموظفون!$S101="نعم",N(الموظفون!$U101)&gt;0),الموظفون!$T101/الموظفون!$U101*12/cfg_DAYS_Y*AE101,0))</f>
        <v/>
      </c>
      <c r="AB101" s="113" t="str">
        <f aca="false">IF($B101="","",R101+SUM(X101:AA101))</f>
        <v/>
      </c>
      <c r="AC101" s="114" t="str">
        <f aca="false">IF($B101="","",MAX(0,IF(OR(الموظفون!$X101="",الموظفون!$X101&gt;$G$3),$G$3,الموظفون!$X101)-الموظفون!$H101+1)/cfg_DAYS_Y)</f>
        <v/>
      </c>
      <c r="AD101" s="114" t="str">
        <f aca="false">IF($B101="","",MAX(0,IF(OR(الموظفون!$X101="",الموظفون!$X101&gt;($E$3-1)),($E$3-1),الموظفون!$X101)-الموظفون!$H101+1)/cfg_DAYS_Y)</f>
        <v/>
      </c>
      <c r="AE101" s="115" t="str">
        <f aca="false">IF($B101="","",MAX(0,IF(OR(الموظفون!$X101="",الموظفون!$X101&gt;$G$3),$G$3,الموظفون!$X101)-MAX($E$3,الموظفون!$H101)+1))</f>
        <v/>
      </c>
    </row>
    <row r="102" customFormat="false" ht="15" hidden="false" customHeight="false" outlineLevel="0" collapsed="false">
      <c r="A102" s="83" t="str">
        <f aca="false">IF($B102="","",الموظفون!$A102)</f>
        <v/>
      </c>
      <c r="B102" s="74" t="str">
        <f aca="false">IF(الموظفون!$B102="","",الموظفون!$B102)</f>
        <v/>
      </c>
      <c r="C102" s="74" t="str">
        <f aca="false">IF($B102="","",الموظفون!$C102)</f>
        <v/>
      </c>
      <c r="D102" s="74" t="str">
        <f aca="false">IF($B102="","",الموظفون!$F102)</f>
        <v/>
      </c>
      <c r="E102" s="74" t="str">
        <f aca="false">IF($B102="","",الموظفون!$E102)</f>
        <v/>
      </c>
      <c r="F102" s="105" t="str">
        <f aca="false">IF($B102="","",IF(AE102&gt;=DAY($G$3),cfg_DAYS_M,MIN(AE102,cfg_DAYS_M)))</f>
        <v/>
      </c>
      <c r="G102" s="105" t="str">
        <f aca="false">IF($B102="","",SUMIFS('الحركات الشهرية'!$D$6:$D$1005,'الحركات الشهرية'!$B$6:$B$1005,$B102,'الحركات الشهرية'!$A$6:$A$1005,$C$3))</f>
        <v/>
      </c>
      <c r="H102" s="105" t="str">
        <f aca="false">IF($B102="","",SUMIFS('الحركات الشهرية'!$E$6:$E$1005,'الحركات الشهرية'!$B$6:$B$1005,$B102,'الحركات الشهرية'!$A$6:$A$1005,$C$3))</f>
        <v/>
      </c>
      <c r="I102" s="105" t="str">
        <f aca="false">IF($B102="","",MAX(0,F102-G102-H102))</f>
        <v/>
      </c>
      <c r="J102" s="86" t="str">
        <f aca="false">IF($B102="","",الموظفون!$J102*$I102/cfg_DAYS_M)</f>
        <v/>
      </c>
      <c r="K102" s="86" t="str">
        <f aca="false">IF($B102="","",الموظفون!$K102*$I102/cfg_DAYS_M)</f>
        <v/>
      </c>
      <c r="L102" s="86" t="str">
        <f aca="false">IF($B102="","",الموظفون!$L102*$I102/cfg_DAYS_M)</f>
        <v/>
      </c>
      <c r="M102" s="86" t="str">
        <f aca="false">IF($B102="","",الموظفون!$M102*$I102/cfg_DAYS_M)</f>
        <v/>
      </c>
      <c r="N102" s="105" t="str">
        <f aca="false">IF($B102="","",SUMIFS('الحركات الشهرية'!$F$6:$F$1005,'الحركات الشهرية'!$B$6:$B$1005,$B102,'الحركات الشهرية'!$A$6:$A$1005,$C$3))</f>
        <v/>
      </c>
      <c r="O102" s="86" t="str">
        <f aca="false">IF($B102="","",N102*(الموظفون!$N102+الموظفون!$J102*cfg_OT_P)/cfg_DAYS_M/cfg_HRS)</f>
        <v/>
      </c>
      <c r="P102" s="86" t="str">
        <f aca="false">IF($B102="","",SUMIFS('الحركات الشهرية'!$G$6:$G$1005,'الحركات الشهرية'!$B$6:$B$1005,$B102,'الحركات الشهرية'!$A$6:$A$1005,$C$3))</f>
        <v/>
      </c>
      <c r="Q102" s="86" t="str">
        <f aca="false">IF($B102="","",SUMIFS('الحركات الشهرية'!$H$6:$H$1005,'الحركات الشهرية'!$B$6:$B$1005,$B102,'الحركات الشهرية'!$A$6:$A$1005,$C$3))</f>
        <v/>
      </c>
      <c r="R102" s="106" t="str">
        <f aca="false">IF($B102="","",SUM(J102:M102)+SUM(O102:Q102))</f>
        <v/>
      </c>
      <c r="S102" s="86" t="str">
        <f aca="false">IF($B102="","",الموظفون!$Q102*IF(E102="سعودي",cfg_G_SE,cfg_G_NE)*F102/cfg_DAYS_M)</f>
        <v/>
      </c>
      <c r="T102" s="86" t="str">
        <f aca="false">IF($B102="","",SUMIFS('الحركات الشهرية'!$I$6:$I$1005,'الحركات الشهرية'!$B$6:$B$1005,$B102,'الحركات الشهرية'!$A$6:$A$1005,$C$3))</f>
        <v/>
      </c>
      <c r="U102" s="86" t="str">
        <f aca="false">IF($B102="","",SUMIFS('الحركات الشهرية'!$J$6:$J$1005,'الحركات الشهرية'!$B$6:$B$1005,$B102,'الحركات الشهرية'!$A$6:$A$1005,$C$3))</f>
        <v/>
      </c>
      <c r="V102" s="86" t="str">
        <f aca="false">IF($B102="","",SUM(S102:U102))</f>
        <v/>
      </c>
      <c r="W102" s="107" t="str">
        <f aca="false">IF($B102="","",R102-V102)</f>
        <v/>
      </c>
      <c r="X102" s="86" t="str">
        <f aca="false">IF($B102="","",الموظفون!$Q102*IF(E102="سعودي",cfg_G_SR,cfg_G_NR)*F102/cfg_DAYS_M)</f>
        <v/>
      </c>
      <c r="Y102" s="86" t="str">
        <f aca="false">IF($B102="","",الموظفون!$O102*(cfg_EOS_R1*(MIN(AC102,cfg_EOS_TH)-MIN(AD102,cfg_EOS_TH))+cfg_EOS_R2*(MAX(AC102-cfg_EOS_TH,0)-MAX(AD102-cfg_EOS_TH,0))))</f>
        <v/>
      </c>
      <c r="Z102" s="86" t="str">
        <f aca="false">IF($B102="","",IF(الموظفون!$R102&lt;&gt;"",الموظفون!$R102,IF(AC102&gt;=cfg_LV_TH,cfg_LV_D2,cfg_LV_D1))/cfg_DAYS_Y*AE102*الموظفون!$P102/cfg_DAYS_M)</f>
        <v/>
      </c>
      <c r="AA102" s="86" t="str">
        <f aca="false">IF($B102="","",IF(AND(الموظفون!$S102="نعم",N(الموظفون!$U102)&gt;0),الموظفون!$T102/الموظفون!$U102*12/cfg_DAYS_Y*AE102,0))</f>
        <v/>
      </c>
      <c r="AB102" s="108" t="str">
        <f aca="false">IF($B102="","",R102+SUM(X102:AA102))</f>
        <v/>
      </c>
      <c r="AC102" s="109" t="str">
        <f aca="false">IF($B102="","",MAX(0,IF(OR(الموظفون!$X102="",الموظفون!$X102&gt;$G$3),$G$3,الموظفون!$X102)-الموظفون!$H102+1)/cfg_DAYS_Y)</f>
        <v/>
      </c>
      <c r="AD102" s="109" t="str">
        <f aca="false">IF($B102="","",MAX(0,IF(OR(الموظفون!$X102="",الموظفون!$X102&gt;($E$3-1)),($E$3-1),الموظفون!$X102)-الموظفون!$H102+1)/cfg_DAYS_Y)</f>
        <v/>
      </c>
      <c r="AE102" s="51" t="str">
        <f aca="false">IF($B102="","",MAX(0,IF(OR(الموظفون!$X102="",الموظفون!$X102&gt;$G$3),$G$3,الموظفون!$X102)-MAX($E$3,الموظفون!$H102)+1))</f>
        <v/>
      </c>
    </row>
    <row r="103" customFormat="false" ht="15" hidden="false" customHeight="false" outlineLevel="0" collapsed="false">
      <c r="A103" s="89" t="str">
        <f aca="false">IF($B103="","",الموظفون!$A103)</f>
        <v/>
      </c>
      <c r="B103" s="91" t="str">
        <f aca="false">IF(الموظفون!$B103="","",الموظفون!$B103)</f>
        <v/>
      </c>
      <c r="C103" s="91" t="str">
        <f aca="false">IF($B103="","",الموظفون!$C103)</f>
        <v/>
      </c>
      <c r="D103" s="91" t="str">
        <f aca="false">IF($B103="","",الموظفون!$F103)</f>
        <v/>
      </c>
      <c r="E103" s="91" t="str">
        <f aca="false">IF($B103="","",الموظفون!$E103)</f>
        <v/>
      </c>
      <c r="F103" s="110" t="str">
        <f aca="false">IF($B103="","",IF(AE103&gt;=DAY($G$3),cfg_DAYS_M,MIN(AE103,cfg_DAYS_M)))</f>
        <v/>
      </c>
      <c r="G103" s="110" t="str">
        <f aca="false">IF($B103="","",SUMIFS('الحركات الشهرية'!$D$6:$D$1005,'الحركات الشهرية'!$B$6:$B$1005,$B103,'الحركات الشهرية'!$A$6:$A$1005,$C$3))</f>
        <v/>
      </c>
      <c r="H103" s="110" t="str">
        <f aca="false">IF($B103="","",SUMIFS('الحركات الشهرية'!$E$6:$E$1005,'الحركات الشهرية'!$B$6:$B$1005,$B103,'الحركات الشهرية'!$A$6:$A$1005,$C$3))</f>
        <v/>
      </c>
      <c r="I103" s="110" t="str">
        <f aca="false">IF($B103="","",MAX(0,F103-G103-H103))</f>
        <v/>
      </c>
      <c r="J103" s="90" t="str">
        <f aca="false">IF($B103="","",الموظفون!$J103*$I103/cfg_DAYS_M)</f>
        <v/>
      </c>
      <c r="K103" s="90" t="str">
        <f aca="false">IF($B103="","",الموظفون!$K103*$I103/cfg_DAYS_M)</f>
        <v/>
      </c>
      <c r="L103" s="90" t="str">
        <f aca="false">IF($B103="","",الموظفون!$L103*$I103/cfg_DAYS_M)</f>
        <v/>
      </c>
      <c r="M103" s="90" t="str">
        <f aca="false">IF($B103="","",الموظفون!$M103*$I103/cfg_DAYS_M)</f>
        <v/>
      </c>
      <c r="N103" s="110" t="str">
        <f aca="false">IF($B103="","",SUMIFS('الحركات الشهرية'!$F$6:$F$1005,'الحركات الشهرية'!$B$6:$B$1005,$B103,'الحركات الشهرية'!$A$6:$A$1005,$C$3))</f>
        <v/>
      </c>
      <c r="O103" s="90" t="str">
        <f aca="false">IF($B103="","",N103*(الموظفون!$N103+الموظفون!$J103*cfg_OT_P)/cfg_DAYS_M/cfg_HRS)</f>
        <v/>
      </c>
      <c r="P103" s="90" t="str">
        <f aca="false">IF($B103="","",SUMIFS('الحركات الشهرية'!$G$6:$G$1005,'الحركات الشهرية'!$B$6:$B$1005,$B103,'الحركات الشهرية'!$A$6:$A$1005,$C$3))</f>
        <v/>
      </c>
      <c r="Q103" s="90" t="str">
        <f aca="false">IF($B103="","",SUMIFS('الحركات الشهرية'!$H$6:$H$1005,'الحركات الشهرية'!$B$6:$B$1005,$B103,'الحركات الشهرية'!$A$6:$A$1005,$C$3))</f>
        <v/>
      </c>
      <c r="R103" s="111" t="str">
        <f aca="false">IF($B103="","",SUM(J103:M103)+SUM(O103:Q103))</f>
        <v/>
      </c>
      <c r="S103" s="90" t="str">
        <f aca="false">IF($B103="","",الموظفون!$Q103*IF(E103="سعودي",cfg_G_SE,cfg_G_NE)*F103/cfg_DAYS_M)</f>
        <v/>
      </c>
      <c r="T103" s="90" t="str">
        <f aca="false">IF($B103="","",SUMIFS('الحركات الشهرية'!$I$6:$I$1005,'الحركات الشهرية'!$B$6:$B$1005,$B103,'الحركات الشهرية'!$A$6:$A$1005,$C$3))</f>
        <v/>
      </c>
      <c r="U103" s="90" t="str">
        <f aca="false">IF($B103="","",SUMIFS('الحركات الشهرية'!$J$6:$J$1005,'الحركات الشهرية'!$B$6:$B$1005,$B103,'الحركات الشهرية'!$A$6:$A$1005,$C$3))</f>
        <v/>
      </c>
      <c r="V103" s="90" t="str">
        <f aca="false">IF($B103="","",SUM(S103:U103))</f>
        <v/>
      </c>
      <c r="W103" s="112" t="str">
        <f aca="false">IF($B103="","",R103-V103)</f>
        <v/>
      </c>
      <c r="X103" s="90" t="str">
        <f aca="false">IF($B103="","",الموظفون!$Q103*IF(E103="سعودي",cfg_G_SR,cfg_G_NR)*F103/cfg_DAYS_M)</f>
        <v/>
      </c>
      <c r="Y103" s="90" t="str">
        <f aca="false">IF($B103="","",الموظفون!$O103*(cfg_EOS_R1*(MIN(AC103,cfg_EOS_TH)-MIN(AD103,cfg_EOS_TH))+cfg_EOS_R2*(MAX(AC103-cfg_EOS_TH,0)-MAX(AD103-cfg_EOS_TH,0))))</f>
        <v/>
      </c>
      <c r="Z103" s="90" t="str">
        <f aca="false">IF($B103="","",IF(الموظفون!$R103&lt;&gt;"",الموظفون!$R103,IF(AC103&gt;=cfg_LV_TH,cfg_LV_D2,cfg_LV_D1))/cfg_DAYS_Y*AE103*الموظفون!$P103/cfg_DAYS_M)</f>
        <v/>
      </c>
      <c r="AA103" s="90" t="str">
        <f aca="false">IF($B103="","",IF(AND(الموظفون!$S103="نعم",N(الموظفون!$U103)&gt;0),الموظفون!$T103/الموظفون!$U103*12/cfg_DAYS_Y*AE103,0))</f>
        <v/>
      </c>
      <c r="AB103" s="113" t="str">
        <f aca="false">IF($B103="","",R103+SUM(X103:AA103))</f>
        <v/>
      </c>
      <c r="AC103" s="114" t="str">
        <f aca="false">IF($B103="","",MAX(0,IF(OR(الموظفون!$X103="",الموظفون!$X103&gt;$G$3),$G$3,الموظفون!$X103)-الموظفون!$H103+1)/cfg_DAYS_Y)</f>
        <v/>
      </c>
      <c r="AD103" s="114" t="str">
        <f aca="false">IF($B103="","",MAX(0,IF(OR(الموظفون!$X103="",الموظفون!$X103&gt;($E$3-1)),($E$3-1),الموظفون!$X103)-الموظفون!$H103+1)/cfg_DAYS_Y)</f>
        <v/>
      </c>
      <c r="AE103" s="115" t="str">
        <f aca="false">IF($B103="","",MAX(0,IF(OR(الموظفون!$X103="",الموظفون!$X103&gt;$G$3),$G$3,الموظفون!$X103)-MAX($E$3,الموظفون!$H103)+1))</f>
        <v/>
      </c>
    </row>
    <row r="104" customFormat="false" ht="15" hidden="false" customHeight="false" outlineLevel="0" collapsed="false">
      <c r="A104" s="83" t="str">
        <f aca="false">IF($B104="","",الموظفون!$A104)</f>
        <v/>
      </c>
      <c r="B104" s="74" t="str">
        <f aca="false">IF(الموظفون!$B104="","",الموظفون!$B104)</f>
        <v/>
      </c>
      <c r="C104" s="74" t="str">
        <f aca="false">IF($B104="","",الموظفون!$C104)</f>
        <v/>
      </c>
      <c r="D104" s="74" t="str">
        <f aca="false">IF($B104="","",الموظفون!$F104)</f>
        <v/>
      </c>
      <c r="E104" s="74" t="str">
        <f aca="false">IF($B104="","",الموظفون!$E104)</f>
        <v/>
      </c>
      <c r="F104" s="105" t="str">
        <f aca="false">IF($B104="","",IF(AE104&gt;=DAY($G$3),cfg_DAYS_M,MIN(AE104,cfg_DAYS_M)))</f>
        <v/>
      </c>
      <c r="G104" s="105" t="str">
        <f aca="false">IF($B104="","",SUMIFS('الحركات الشهرية'!$D$6:$D$1005,'الحركات الشهرية'!$B$6:$B$1005,$B104,'الحركات الشهرية'!$A$6:$A$1005,$C$3))</f>
        <v/>
      </c>
      <c r="H104" s="105" t="str">
        <f aca="false">IF($B104="","",SUMIFS('الحركات الشهرية'!$E$6:$E$1005,'الحركات الشهرية'!$B$6:$B$1005,$B104,'الحركات الشهرية'!$A$6:$A$1005,$C$3))</f>
        <v/>
      </c>
      <c r="I104" s="105" t="str">
        <f aca="false">IF($B104="","",MAX(0,F104-G104-H104))</f>
        <v/>
      </c>
      <c r="J104" s="86" t="str">
        <f aca="false">IF($B104="","",الموظفون!$J104*$I104/cfg_DAYS_M)</f>
        <v/>
      </c>
      <c r="K104" s="86" t="str">
        <f aca="false">IF($B104="","",الموظفون!$K104*$I104/cfg_DAYS_M)</f>
        <v/>
      </c>
      <c r="L104" s="86" t="str">
        <f aca="false">IF($B104="","",الموظفون!$L104*$I104/cfg_DAYS_M)</f>
        <v/>
      </c>
      <c r="M104" s="86" t="str">
        <f aca="false">IF($B104="","",الموظفون!$M104*$I104/cfg_DAYS_M)</f>
        <v/>
      </c>
      <c r="N104" s="105" t="str">
        <f aca="false">IF($B104="","",SUMIFS('الحركات الشهرية'!$F$6:$F$1005,'الحركات الشهرية'!$B$6:$B$1005,$B104,'الحركات الشهرية'!$A$6:$A$1005,$C$3))</f>
        <v/>
      </c>
      <c r="O104" s="86" t="str">
        <f aca="false">IF($B104="","",N104*(الموظفون!$N104+الموظفون!$J104*cfg_OT_P)/cfg_DAYS_M/cfg_HRS)</f>
        <v/>
      </c>
      <c r="P104" s="86" t="str">
        <f aca="false">IF($B104="","",SUMIFS('الحركات الشهرية'!$G$6:$G$1005,'الحركات الشهرية'!$B$6:$B$1005,$B104,'الحركات الشهرية'!$A$6:$A$1005,$C$3))</f>
        <v/>
      </c>
      <c r="Q104" s="86" t="str">
        <f aca="false">IF($B104="","",SUMIFS('الحركات الشهرية'!$H$6:$H$1005,'الحركات الشهرية'!$B$6:$B$1005,$B104,'الحركات الشهرية'!$A$6:$A$1005,$C$3))</f>
        <v/>
      </c>
      <c r="R104" s="106" t="str">
        <f aca="false">IF($B104="","",SUM(J104:M104)+SUM(O104:Q104))</f>
        <v/>
      </c>
      <c r="S104" s="86" t="str">
        <f aca="false">IF($B104="","",الموظفون!$Q104*IF(E104="سعودي",cfg_G_SE,cfg_G_NE)*F104/cfg_DAYS_M)</f>
        <v/>
      </c>
      <c r="T104" s="86" t="str">
        <f aca="false">IF($B104="","",SUMIFS('الحركات الشهرية'!$I$6:$I$1005,'الحركات الشهرية'!$B$6:$B$1005,$B104,'الحركات الشهرية'!$A$6:$A$1005,$C$3))</f>
        <v/>
      </c>
      <c r="U104" s="86" t="str">
        <f aca="false">IF($B104="","",SUMIFS('الحركات الشهرية'!$J$6:$J$1005,'الحركات الشهرية'!$B$6:$B$1005,$B104,'الحركات الشهرية'!$A$6:$A$1005,$C$3))</f>
        <v/>
      </c>
      <c r="V104" s="86" t="str">
        <f aca="false">IF($B104="","",SUM(S104:U104))</f>
        <v/>
      </c>
      <c r="W104" s="107" t="str">
        <f aca="false">IF($B104="","",R104-V104)</f>
        <v/>
      </c>
      <c r="X104" s="86" t="str">
        <f aca="false">IF($B104="","",الموظفون!$Q104*IF(E104="سعودي",cfg_G_SR,cfg_G_NR)*F104/cfg_DAYS_M)</f>
        <v/>
      </c>
      <c r="Y104" s="86" t="str">
        <f aca="false">IF($B104="","",الموظفون!$O104*(cfg_EOS_R1*(MIN(AC104,cfg_EOS_TH)-MIN(AD104,cfg_EOS_TH))+cfg_EOS_R2*(MAX(AC104-cfg_EOS_TH,0)-MAX(AD104-cfg_EOS_TH,0))))</f>
        <v/>
      </c>
      <c r="Z104" s="86" t="str">
        <f aca="false">IF($B104="","",IF(الموظفون!$R104&lt;&gt;"",الموظفون!$R104,IF(AC104&gt;=cfg_LV_TH,cfg_LV_D2,cfg_LV_D1))/cfg_DAYS_Y*AE104*الموظفون!$P104/cfg_DAYS_M)</f>
        <v/>
      </c>
      <c r="AA104" s="86" t="str">
        <f aca="false">IF($B104="","",IF(AND(الموظفون!$S104="نعم",N(الموظفون!$U104)&gt;0),الموظفون!$T104/الموظفون!$U104*12/cfg_DAYS_Y*AE104,0))</f>
        <v/>
      </c>
      <c r="AB104" s="108" t="str">
        <f aca="false">IF($B104="","",R104+SUM(X104:AA104))</f>
        <v/>
      </c>
      <c r="AC104" s="109" t="str">
        <f aca="false">IF($B104="","",MAX(0,IF(OR(الموظفون!$X104="",الموظفون!$X104&gt;$G$3),$G$3,الموظفون!$X104)-الموظفون!$H104+1)/cfg_DAYS_Y)</f>
        <v/>
      </c>
      <c r="AD104" s="109" t="str">
        <f aca="false">IF($B104="","",MAX(0,IF(OR(الموظفون!$X104="",الموظفون!$X104&gt;($E$3-1)),($E$3-1),الموظفون!$X104)-الموظفون!$H104+1)/cfg_DAYS_Y)</f>
        <v/>
      </c>
      <c r="AE104" s="51" t="str">
        <f aca="false">IF($B104="","",MAX(0,IF(OR(الموظفون!$X104="",الموظفون!$X104&gt;$G$3),$G$3,الموظفون!$X104)-MAX($E$3,الموظفون!$H104)+1))</f>
        <v/>
      </c>
    </row>
    <row r="105" customFormat="false" ht="15" hidden="false" customHeight="false" outlineLevel="0" collapsed="false">
      <c r="A105" s="89" t="str">
        <f aca="false">IF($B105="","",الموظفون!$A105)</f>
        <v/>
      </c>
      <c r="B105" s="91" t="str">
        <f aca="false">IF(الموظفون!$B105="","",الموظفون!$B105)</f>
        <v/>
      </c>
      <c r="C105" s="91" t="str">
        <f aca="false">IF($B105="","",الموظفون!$C105)</f>
        <v/>
      </c>
      <c r="D105" s="91" t="str">
        <f aca="false">IF($B105="","",الموظفون!$F105)</f>
        <v/>
      </c>
      <c r="E105" s="91" t="str">
        <f aca="false">IF($B105="","",الموظفون!$E105)</f>
        <v/>
      </c>
      <c r="F105" s="110" t="str">
        <f aca="false">IF($B105="","",IF(AE105&gt;=DAY($G$3),cfg_DAYS_M,MIN(AE105,cfg_DAYS_M)))</f>
        <v/>
      </c>
      <c r="G105" s="110" t="str">
        <f aca="false">IF($B105="","",SUMIFS('الحركات الشهرية'!$D$6:$D$1005,'الحركات الشهرية'!$B$6:$B$1005,$B105,'الحركات الشهرية'!$A$6:$A$1005,$C$3))</f>
        <v/>
      </c>
      <c r="H105" s="110" t="str">
        <f aca="false">IF($B105="","",SUMIFS('الحركات الشهرية'!$E$6:$E$1005,'الحركات الشهرية'!$B$6:$B$1005,$B105,'الحركات الشهرية'!$A$6:$A$1005,$C$3))</f>
        <v/>
      </c>
      <c r="I105" s="110" t="str">
        <f aca="false">IF($B105="","",MAX(0,F105-G105-H105))</f>
        <v/>
      </c>
      <c r="J105" s="90" t="str">
        <f aca="false">IF($B105="","",الموظفون!$J105*$I105/cfg_DAYS_M)</f>
        <v/>
      </c>
      <c r="K105" s="90" t="str">
        <f aca="false">IF($B105="","",الموظفون!$K105*$I105/cfg_DAYS_M)</f>
        <v/>
      </c>
      <c r="L105" s="90" t="str">
        <f aca="false">IF($B105="","",الموظفون!$L105*$I105/cfg_DAYS_M)</f>
        <v/>
      </c>
      <c r="M105" s="90" t="str">
        <f aca="false">IF($B105="","",الموظفون!$M105*$I105/cfg_DAYS_M)</f>
        <v/>
      </c>
      <c r="N105" s="110" t="str">
        <f aca="false">IF($B105="","",SUMIFS('الحركات الشهرية'!$F$6:$F$1005,'الحركات الشهرية'!$B$6:$B$1005,$B105,'الحركات الشهرية'!$A$6:$A$1005,$C$3))</f>
        <v/>
      </c>
      <c r="O105" s="90" t="str">
        <f aca="false">IF($B105="","",N105*(الموظفون!$N105+الموظفون!$J105*cfg_OT_P)/cfg_DAYS_M/cfg_HRS)</f>
        <v/>
      </c>
      <c r="P105" s="90" t="str">
        <f aca="false">IF($B105="","",SUMIFS('الحركات الشهرية'!$G$6:$G$1005,'الحركات الشهرية'!$B$6:$B$1005,$B105,'الحركات الشهرية'!$A$6:$A$1005,$C$3))</f>
        <v/>
      </c>
      <c r="Q105" s="90" t="str">
        <f aca="false">IF($B105="","",SUMIFS('الحركات الشهرية'!$H$6:$H$1005,'الحركات الشهرية'!$B$6:$B$1005,$B105,'الحركات الشهرية'!$A$6:$A$1005,$C$3))</f>
        <v/>
      </c>
      <c r="R105" s="111" t="str">
        <f aca="false">IF($B105="","",SUM(J105:M105)+SUM(O105:Q105))</f>
        <v/>
      </c>
      <c r="S105" s="90" t="str">
        <f aca="false">IF($B105="","",الموظفون!$Q105*IF(E105="سعودي",cfg_G_SE,cfg_G_NE)*F105/cfg_DAYS_M)</f>
        <v/>
      </c>
      <c r="T105" s="90" t="str">
        <f aca="false">IF($B105="","",SUMIFS('الحركات الشهرية'!$I$6:$I$1005,'الحركات الشهرية'!$B$6:$B$1005,$B105,'الحركات الشهرية'!$A$6:$A$1005,$C$3))</f>
        <v/>
      </c>
      <c r="U105" s="90" t="str">
        <f aca="false">IF($B105="","",SUMIFS('الحركات الشهرية'!$J$6:$J$1005,'الحركات الشهرية'!$B$6:$B$1005,$B105,'الحركات الشهرية'!$A$6:$A$1005,$C$3))</f>
        <v/>
      </c>
      <c r="V105" s="90" t="str">
        <f aca="false">IF($B105="","",SUM(S105:U105))</f>
        <v/>
      </c>
      <c r="W105" s="112" t="str">
        <f aca="false">IF($B105="","",R105-V105)</f>
        <v/>
      </c>
      <c r="X105" s="90" t="str">
        <f aca="false">IF($B105="","",الموظفون!$Q105*IF(E105="سعودي",cfg_G_SR,cfg_G_NR)*F105/cfg_DAYS_M)</f>
        <v/>
      </c>
      <c r="Y105" s="90" t="str">
        <f aca="false">IF($B105="","",الموظفون!$O105*(cfg_EOS_R1*(MIN(AC105,cfg_EOS_TH)-MIN(AD105,cfg_EOS_TH))+cfg_EOS_R2*(MAX(AC105-cfg_EOS_TH,0)-MAX(AD105-cfg_EOS_TH,0))))</f>
        <v/>
      </c>
      <c r="Z105" s="90" t="str">
        <f aca="false">IF($B105="","",IF(الموظفون!$R105&lt;&gt;"",الموظفون!$R105,IF(AC105&gt;=cfg_LV_TH,cfg_LV_D2,cfg_LV_D1))/cfg_DAYS_Y*AE105*الموظفون!$P105/cfg_DAYS_M)</f>
        <v/>
      </c>
      <c r="AA105" s="90" t="str">
        <f aca="false">IF($B105="","",IF(AND(الموظفون!$S105="نعم",N(الموظفون!$U105)&gt;0),الموظفون!$T105/الموظفون!$U105*12/cfg_DAYS_Y*AE105,0))</f>
        <v/>
      </c>
      <c r="AB105" s="113" t="str">
        <f aca="false">IF($B105="","",R105+SUM(X105:AA105))</f>
        <v/>
      </c>
      <c r="AC105" s="114" t="str">
        <f aca="false">IF($B105="","",MAX(0,IF(OR(الموظفون!$X105="",الموظفون!$X105&gt;$G$3),$G$3,الموظفون!$X105)-الموظفون!$H105+1)/cfg_DAYS_Y)</f>
        <v/>
      </c>
      <c r="AD105" s="114" t="str">
        <f aca="false">IF($B105="","",MAX(0,IF(OR(الموظفون!$X105="",الموظفون!$X105&gt;($E$3-1)),($E$3-1),الموظفون!$X105)-الموظفون!$H105+1)/cfg_DAYS_Y)</f>
        <v/>
      </c>
      <c r="AE105" s="115" t="str">
        <f aca="false">IF($B105="","",MAX(0,IF(OR(الموظفون!$X105="",الموظفون!$X105&gt;$G$3),$G$3,الموظفون!$X105)-MAX($E$3,الموظفون!$H105)+1))</f>
        <v/>
      </c>
    </row>
    <row r="106" customFormat="false" ht="24" hidden="false" customHeight="true" outlineLevel="0" collapsed="false">
      <c r="A106" s="92"/>
      <c r="B106" s="92" t="str">
        <f aca="false">COUNTIF(F6:F105,"&gt;0")&amp;" موظف"</f>
        <v>11 موظف</v>
      </c>
      <c r="C106" s="92" t="s">
        <v>101</v>
      </c>
      <c r="D106" s="92"/>
      <c r="E106" s="92"/>
      <c r="F106" s="92"/>
      <c r="G106" s="116" t="n">
        <f aca="false">SUM(G6:G105)</f>
        <v>0</v>
      </c>
      <c r="H106" s="116" t="n">
        <f aca="false">SUM(H6:H105)</f>
        <v>0</v>
      </c>
      <c r="I106" s="116" t="n">
        <f aca="false">SUM(I6:I105)</f>
        <v>330</v>
      </c>
      <c r="J106" s="92" t="n">
        <f aca="false">SUM(J6:J105)</f>
        <v>132500</v>
      </c>
      <c r="K106" s="92" t="n">
        <f aca="false">SUM(K6:K105)</f>
        <v>33125</v>
      </c>
      <c r="L106" s="92" t="n">
        <f aca="false">SUM(L6:L105)</f>
        <v>13250</v>
      </c>
      <c r="M106" s="92" t="n">
        <f aca="false">SUM(M6:M105)</f>
        <v>10300</v>
      </c>
      <c r="N106" s="116" t="n">
        <f aca="false">SUM(N6:N105)</f>
        <v>10</v>
      </c>
      <c r="O106" s="92" t="n">
        <f aca="false">SUM(O6:O105)</f>
        <v>881.25</v>
      </c>
      <c r="P106" s="92" t="n">
        <f aca="false">SUM(P6:P105)</f>
        <v>0</v>
      </c>
      <c r="Q106" s="92" t="n">
        <f aca="false">SUM(Q6:Q105)</f>
        <v>0</v>
      </c>
      <c r="R106" s="92" t="n">
        <f aca="false">SUM(R6:R105)</f>
        <v>190056.25</v>
      </c>
      <c r="S106" s="92" t="n">
        <f aca="false">SUM(S6:S105)</f>
        <v>11273.4375</v>
      </c>
      <c r="T106" s="92" t="n">
        <f aca="false">SUM(T6:T105)</f>
        <v>1000</v>
      </c>
      <c r="U106" s="92" t="n">
        <f aca="false">SUM(U6:U105)</f>
        <v>0</v>
      </c>
      <c r="V106" s="92" t="n">
        <f aca="false">SUM(V6:V105)</f>
        <v>12273.4375</v>
      </c>
      <c r="W106" s="92" t="n">
        <f aca="false">SUM(W6:W105)</f>
        <v>177782.8125</v>
      </c>
      <c r="X106" s="92" t="n">
        <f aca="false">SUM(X6:X105)</f>
        <v>14585.9375</v>
      </c>
      <c r="Y106" s="92" t="n">
        <f aca="false">SUM(Y6:Y105)</f>
        <v>14074.2123287672</v>
      </c>
      <c r="Z106" s="92" t="n">
        <f aca="false">SUM(Z6:Z105)</f>
        <v>14521.3767123288</v>
      </c>
      <c r="AA106" s="92" t="n">
        <f aca="false">SUM(AA6:AA105)</f>
        <v>959.72602739726</v>
      </c>
      <c r="AB106" s="92" t="n">
        <f aca="false">SUM(AB6:AB105)</f>
        <v>234197.502568493</v>
      </c>
      <c r="AC106" s="92"/>
      <c r="AD106" s="92"/>
      <c r="AE106" s="92"/>
    </row>
    <row r="107" customFormat="false" ht="43.5" hidden="false" customHeight="true" outlineLevel="0" collapsed="false">
      <c r="A107" s="21" t="s">
        <v>347</v>
      </c>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row>
  </sheetData>
  <autoFilter ref="A5:AE105"/>
  <mergeCells count="5">
    <mergeCell ref="A1:AB1"/>
    <mergeCell ref="A2:AB2"/>
    <mergeCell ref="J3:K3"/>
    <mergeCell ref="L3:M3"/>
    <mergeCell ref="A107:AE107"/>
  </mergeCells>
  <conditionalFormatting sqref="H3">
    <cfRule type="expression" priority="2" aboveAverage="0" equalAverage="0" bottom="0" percent="0" rank="0" text="" dxfId="0">
      <formula>ISNUMBER(SEARCH("✔",H3))</formula>
    </cfRule>
    <cfRule type="expression" priority="3" aboveAverage="0" equalAverage="0" bottom="0" percent="0" rank="0" text="" dxfId="1">
      <formula>ISNUMBER(SEARCH("✖",H3))</formula>
    </cfRule>
    <cfRule type="expression" priority="4" aboveAverage="0" equalAverage="0" bottom="0" percent="0" rank="0" text="" dxfId="2">
      <formula>ISNUMBER(SEARCH("⚠",H3))</formula>
    </cfRule>
  </conditionalFormatting>
  <conditionalFormatting sqref="A6:AE105">
    <cfRule type="expression" priority="5" aboveAverage="0" equalAverage="0" bottom="0" percent="0" rank="0" text="" dxfId="20">
      <formula>AND($B6&lt;&gt;"",$F6=0)</formula>
    </cfRule>
  </conditionalFormatting>
  <conditionalFormatting sqref="W6:W105">
    <cfRule type="expression" priority="6" aboveAverage="0" equalAverage="0" bottom="0" percent="0" rank="0" text="" dxfId="1">
      <formula>AND(ISNUMBER(W6),W6&lt;0)</formula>
    </cfRule>
  </conditionalFormatting>
  <hyperlinks>
    <hyperlink ref="J3" location="'مسير فبراير'!A1" display="◀ الشهر السابق"/>
    <hyperlink ref="L3" location="'مسير أبريل'!A1" display="الشهر التالي ▶"/>
    <hyperlink ref="O3" location="'الرئيسية'!A1" display="🏠 الرئيسية"/>
    <hyperlink ref="P3" location="'لوحة التحكم'!A1" display="📊 لوحة التحكم"/>
    <hyperlink ref="R3" location="'الموظفون'!A1" display="👥 الموظفون"/>
    <hyperlink ref="S3" location="'الحركات الشهرية'!A1" display="✍ الحركات"/>
    <hyperlink ref="U3" location="'الملخص الشهري'!A1" display="📅 الملخص الشهري"/>
    <hyperlink ref="W3" location="'قيود الرواتب'!A1" display="🧾 القيود"/>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5621"/>
    <pageSetUpPr fitToPage="true"/>
  </sheetPr>
  <dimension ref="A1:AE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9"/>
    <col collapsed="false" customWidth="true" hidden="false" outlineLevel="0" max="8" min="7" style="0" width="8"/>
    <col collapsed="false" customWidth="true" hidden="false" outlineLevel="0" max="9" min="9" style="0" width="9"/>
    <col collapsed="false" customWidth="true" hidden="false" outlineLevel="0" max="10" min="10" style="0" width="12"/>
    <col collapsed="false" customWidth="true" hidden="false" outlineLevel="0" max="11" min="11" style="0" width="11"/>
    <col collapsed="false" customWidth="true" hidden="false" outlineLevel="0" max="13" min="12" style="0" width="10"/>
    <col collapsed="false" customWidth="true" hidden="false" outlineLevel="0" max="14" min="14" style="0" width="8"/>
    <col collapsed="false" customWidth="true" hidden="false" outlineLevel="0" max="17" min="15" style="0" width="11"/>
    <col collapsed="false" customWidth="true" hidden="false" outlineLevel="0" max="18" min="18" style="0" width="13"/>
    <col collapsed="false" customWidth="true" hidden="false" outlineLevel="0" max="19" min="19" style="0" width="11"/>
    <col collapsed="false" customWidth="true" hidden="false" outlineLevel="0" max="21" min="20" style="0" width="10"/>
    <col collapsed="false" customWidth="true" hidden="false" outlineLevel="0" max="22" min="22" style="0" width="12"/>
    <col collapsed="false" customWidth="true" hidden="false" outlineLevel="0" max="23" min="23" style="0" width="13"/>
    <col collapsed="false" customWidth="true" hidden="false" outlineLevel="0" max="24" min="24" style="0" width="11"/>
    <col collapsed="false" customWidth="true" hidden="false" outlineLevel="0" max="25" min="25" style="0" width="12"/>
    <col collapsed="false" customWidth="true" hidden="false" outlineLevel="0" max="27" min="26" style="0" width="11"/>
    <col collapsed="false" customWidth="true" hidden="false" outlineLevel="0" max="28" min="28" style="0" width="13"/>
    <col collapsed="false" customWidth="true" hidden="false" outlineLevel="0" max="31" min="29" style="0" width="9"/>
  </cols>
  <sheetData>
    <row r="1" customFormat="false" ht="37.5" hidden="false" customHeight="true" outlineLevel="0" collapsed="false">
      <c r="A1" s="1" t="str">
        <f aca="false">"💵 مسير رواتب شهر أبريل "&amp;cfg_FY</f>
        <v>💵 مسير رواتب شهر أبريل 2026</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9.5" hidden="false" customHeight="true" outlineLevel="0" collapsed="false">
      <c r="A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row>
    <row r="3" customFormat="false" ht="25.5" hidden="false" customHeight="true" outlineLevel="0" collapsed="false">
      <c r="B3" s="93" t="s">
        <v>103</v>
      </c>
      <c r="C3" s="94" t="n">
        <v>4</v>
      </c>
      <c r="D3" s="93" t="s">
        <v>322</v>
      </c>
      <c r="E3" s="95" t="n">
        <f aca="false">DATE(cfg_FY,C3,1)</f>
        <v>46113</v>
      </c>
      <c r="F3" s="93" t="s">
        <v>323</v>
      </c>
      <c r="G3" s="95" t="n">
        <f aca="false">EOMONTH(E3,0)</f>
        <v>46142</v>
      </c>
      <c r="H3" s="96" t="str">
        <f aca="false">IF(C3&lt;=cfg_VAL_M,"✔ فعلي","⚠ متوقع")</f>
        <v>✔ فعلي</v>
      </c>
      <c r="J3" s="97" t="s">
        <v>348</v>
      </c>
      <c r="K3" s="97"/>
      <c r="L3" s="97" t="s">
        <v>324</v>
      </c>
      <c r="M3" s="97"/>
      <c r="O3" s="22" t="s">
        <v>61</v>
      </c>
      <c r="P3" s="12" t="s">
        <v>111</v>
      </c>
      <c r="R3" s="23" t="s">
        <v>63</v>
      </c>
      <c r="S3" s="23" t="s">
        <v>64</v>
      </c>
      <c r="U3" s="23" t="s">
        <v>39</v>
      </c>
      <c r="W3" s="23" t="s">
        <v>65</v>
      </c>
    </row>
    <row r="4" customFormat="false" ht="7.5" hidden="false" customHeight="true" outlineLevel="0" collapsed="false"/>
    <row r="5" customFormat="false" ht="48" hidden="false" customHeight="true" outlineLevel="0" collapsed="false">
      <c r="A5" s="98" t="s">
        <v>207</v>
      </c>
      <c r="B5" s="98" t="s">
        <v>208</v>
      </c>
      <c r="C5" s="98" t="s">
        <v>209</v>
      </c>
      <c r="D5" s="98" t="s">
        <v>96</v>
      </c>
      <c r="E5" s="98" t="s">
        <v>84</v>
      </c>
      <c r="F5" s="99" t="s">
        <v>325</v>
      </c>
      <c r="G5" s="99" t="s">
        <v>326</v>
      </c>
      <c r="H5" s="99" t="s">
        <v>327</v>
      </c>
      <c r="I5" s="99" t="s">
        <v>328</v>
      </c>
      <c r="J5" s="100" t="s">
        <v>329</v>
      </c>
      <c r="K5" s="100" t="s">
        <v>330</v>
      </c>
      <c r="L5" s="100" t="s">
        <v>331</v>
      </c>
      <c r="M5" s="100" t="s">
        <v>332</v>
      </c>
      <c r="N5" s="100" t="s">
        <v>333</v>
      </c>
      <c r="O5" s="100" t="s">
        <v>334</v>
      </c>
      <c r="P5" s="100" t="s">
        <v>298</v>
      </c>
      <c r="Q5" s="100" t="s">
        <v>335</v>
      </c>
      <c r="R5" s="100" t="s">
        <v>74</v>
      </c>
      <c r="S5" s="101" t="s">
        <v>336</v>
      </c>
      <c r="T5" s="101" t="s">
        <v>300</v>
      </c>
      <c r="U5" s="101" t="s">
        <v>301</v>
      </c>
      <c r="V5" s="101" t="s">
        <v>337</v>
      </c>
      <c r="W5" s="102" t="s">
        <v>338</v>
      </c>
      <c r="X5" s="103" t="s">
        <v>339</v>
      </c>
      <c r="Y5" s="103" t="s">
        <v>340</v>
      </c>
      <c r="Z5" s="103" t="s">
        <v>341</v>
      </c>
      <c r="AA5" s="103" t="s">
        <v>342</v>
      </c>
      <c r="AB5" s="103" t="s">
        <v>343</v>
      </c>
      <c r="AC5" s="104" t="s">
        <v>344</v>
      </c>
      <c r="AD5" s="104" t="s">
        <v>345</v>
      </c>
      <c r="AE5" s="104" t="s">
        <v>346</v>
      </c>
    </row>
    <row r="6" customFormat="false" ht="15" hidden="false" customHeight="false" outlineLevel="0" collapsed="false">
      <c r="A6" s="83" t="n">
        <f aca="false">IF($B6="","",الموظفون!$A6)</f>
        <v>1</v>
      </c>
      <c r="B6" s="74" t="str">
        <f aca="false">IF(الموظفون!$B6="","",الموظفون!$B6)</f>
        <v>E001</v>
      </c>
      <c r="C6" s="74" t="str">
        <f aca="false">IF($B6="","",الموظفون!$C6)</f>
        <v>عبدالله محمد العتيبي</v>
      </c>
      <c r="D6" s="74" t="str">
        <f aca="false">IF($B6="","",الموظفون!$F6)</f>
        <v>الإدارة العليا</v>
      </c>
      <c r="E6" s="74" t="str">
        <f aca="false">IF($B6="","",الموظفون!$E6)</f>
        <v>سعودي</v>
      </c>
      <c r="F6" s="105" t="n">
        <f aca="false">IF($B6="","",IF(AE6&gt;=DAY($G$3),cfg_DAYS_M,MIN(AE6,cfg_DAYS_M)))</f>
        <v>30</v>
      </c>
      <c r="G6" s="105" t="n">
        <f aca="false">IF($B6="","",SUMIFS('الحركات الشهرية'!$D$6:$D$1005,'الحركات الشهرية'!$B$6:$B$1005,$B6,'الحركات الشهرية'!$A$6:$A$1005,$C$3))</f>
        <v>0</v>
      </c>
      <c r="H6" s="105" t="n">
        <f aca="false">IF($B6="","",SUMIFS('الحركات الشهرية'!$E$6:$E$1005,'الحركات الشهرية'!$B$6:$B$1005,$B6,'الحركات الشهرية'!$A$6:$A$1005,$C$3))</f>
        <v>0</v>
      </c>
      <c r="I6" s="105" t="n">
        <f aca="false">IF($B6="","",MAX(0,F6-G6-H6))</f>
        <v>30</v>
      </c>
      <c r="J6" s="86" t="n">
        <f aca="false">IF($B6="","",الموظفون!$J6*$I6/cfg_DAYS_M)</f>
        <v>28000</v>
      </c>
      <c r="K6" s="86" t="n">
        <f aca="false">IF($B6="","",الموظفون!$K6*$I6/cfg_DAYS_M)</f>
        <v>7000</v>
      </c>
      <c r="L6" s="86" t="n">
        <f aca="false">IF($B6="","",الموظفون!$L6*$I6/cfg_DAYS_M)</f>
        <v>2800</v>
      </c>
      <c r="M6" s="86" t="n">
        <f aca="false">IF($B6="","",الموظفون!$M6*$I6/cfg_DAYS_M)</f>
        <v>3000</v>
      </c>
      <c r="N6" s="105" t="n">
        <f aca="false">IF($B6="","",SUMIFS('الحركات الشهرية'!$F$6:$F$1005,'الحركات الشهرية'!$B$6:$B$1005,$B6,'الحركات الشهرية'!$A$6:$A$1005,$C$3))</f>
        <v>0</v>
      </c>
      <c r="O6" s="86" t="n">
        <f aca="false">IF($B6="","",N6*(الموظفون!$N6+الموظفون!$J6*cfg_OT_P)/cfg_DAYS_M/cfg_HRS)</f>
        <v>0</v>
      </c>
      <c r="P6" s="86" t="n">
        <f aca="false">IF($B6="","",SUMIFS('الحركات الشهرية'!$G$6:$G$1005,'الحركات الشهرية'!$B$6:$B$1005,$B6,'الحركات الشهرية'!$A$6:$A$1005,$C$3))</f>
        <v>0</v>
      </c>
      <c r="Q6" s="86" t="n">
        <f aca="false">IF($B6="","",SUMIFS('الحركات الشهرية'!$H$6:$H$1005,'الحركات الشهرية'!$B$6:$B$1005,$B6,'الحركات الشهرية'!$A$6:$A$1005,$C$3))</f>
        <v>0</v>
      </c>
      <c r="R6" s="106" t="n">
        <f aca="false">IF($B6="","",SUM(J6:M6)+SUM(O6:Q6))</f>
        <v>40800</v>
      </c>
      <c r="S6" s="86" t="n">
        <f aca="false">IF($B6="","",الموظفون!$Q6*IF(E6="سعودي",cfg_G_SE,cfg_G_NE)*F6/cfg_DAYS_M)</f>
        <v>3412.5</v>
      </c>
      <c r="T6" s="86" t="n">
        <f aca="false">IF($B6="","",SUMIFS('الحركات الشهرية'!$I$6:$I$1005,'الحركات الشهرية'!$B$6:$B$1005,$B6,'الحركات الشهرية'!$A$6:$A$1005,$C$3))</f>
        <v>0</v>
      </c>
      <c r="U6" s="86" t="n">
        <f aca="false">IF($B6="","",SUMIFS('الحركات الشهرية'!$J$6:$J$1005,'الحركات الشهرية'!$B$6:$B$1005,$B6,'الحركات الشهرية'!$A$6:$A$1005,$C$3))</f>
        <v>0</v>
      </c>
      <c r="V6" s="86" t="n">
        <f aca="false">IF($B6="","",SUM(S6:U6))</f>
        <v>3412.5</v>
      </c>
      <c r="W6" s="107" t="n">
        <f aca="false">IF($B6="","",R6-V6)</f>
        <v>37387.5</v>
      </c>
      <c r="X6" s="86" t="n">
        <f aca="false">IF($B6="","",الموظفون!$Q6*IF(E6="سعودي",cfg_G_SR,cfg_G_NR)*F6/cfg_DAYS_M)</f>
        <v>4112.5</v>
      </c>
      <c r="Y6" s="86" t="n">
        <f aca="false">IF($B6="","",الموظفون!$O6*(cfg_EOS_R1*(MIN(AC6,cfg_EOS_TH)-MIN(AD6,cfg_EOS_TH))+cfg_EOS_R2*(MAX(AC6-cfg_EOS_TH,0)-MAX(AD6-cfg_EOS_TH,0))))</f>
        <v>3106.84931506847</v>
      </c>
      <c r="Z6" s="86" t="n">
        <f aca="false">IF($B6="","",IF(الموظفون!$R6&lt;&gt;"",الموظفون!$R6,IF(AC6&gt;=cfg_LV_TH,cfg_LV_D2,cfg_LV_D1))/cfg_DAYS_Y*AE6*الموظفون!$P6/cfg_DAYS_M)</f>
        <v>3106.84931506849</v>
      </c>
      <c r="AA6" s="86" t="n">
        <f aca="false">IF($B6="","",IF(AND(الموظفون!$S6="نعم",N(الموظفون!$U6)&gt;0),الموظفون!$T6/الموظفون!$U6*12/cfg_DAYS_Y*AE6,0))</f>
        <v>0</v>
      </c>
      <c r="AB6" s="108" t="n">
        <f aca="false">IF($B6="","",R6+SUM(X6:AA6))</f>
        <v>51126.198630137</v>
      </c>
      <c r="AC6" s="109" t="n">
        <f aca="false">IF($B6="","",MAX(0,IF(OR(الموظفون!$X6="",الموظفون!$X6&gt;$G$3),$G$3,الموظفون!$X6)-الموظفون!$H6+1)/cfg_DAYS_Y)</f>
        <v>14.3013698630137</v>
      </c>
      <c r="AD6" s="109" t="n">
        <f aca="false">IF($B6="","",MAX(0,IF(OR(الموظفون!$X6="",الموظفون!$X6&gt;($E$3-1)),($E$3-1),الموظفون!$X6)-الموظفون!$H6+1)/cfg_DAYS_Y)</f>
        <v>14.2191780821918</v>
      </c>
      <c r="AE6" s="51" t="n">
        <f aca="false">IF($B6="","",MAX(0,IF(OR(الموظفون!$X6="",الموظفون!$X6&gt;$G$3),$G$3,الموظفون!$X6)-MAX($E$3,الموظفون!$H6)+1))</f>
        <v>30</v>
      </c>
    </row>
    <row r="7" customFormat="false" ht="15" hidden="false" customHeight="false" outlineLevel="0" collapsed="false">
      <c r="A7" s="89" t="n">
        <f aca="false">IF($B7="","",الموظفون!$A7)</f>
        <v>2</v>
      </c>
      <c r="B7" s="91" t="str">
        <f aca="false">IF(الموظفون!$B7="","",الموظفون!$B7)</f>
        <v>E002</v>
      </c>
      <c r="C7" s="91" t="str">
        <f aca="false">IF($B7="","",الموظفون!$C7)</f>
        <v>أحمد سعيد القحطاني</v>
      </c>
      <c r="D7" s="91" t="str">
        <f aca="false">IF($B7="","",الموظفون!$F7)</f>
        <v>المالية</v>
      </c>
      <c r="E7" s="91" t="str">
        <f aca="false">IF($B7="","",الموظفون!$E7)</f>
        <v>سعودي</v>
      </c>
      <c r="F7" s="110" t="n">
        <f aca="false">IF($B7="","",IF(AE7&gt;=DAY($G$3),cfg_DAYS_M,MIN(AE7,cfg_DAYS_M)))</f>
        <v>30</v>
      </c>
      <c r="G7" s="110" t="n">
        <f aca="false">IF($B7="","",SUMIFS('الحركات الشهرية'!$D$6:$D$1005,'الحركات الشهرية'!$B$6:$B$1005,$B7,'الحركات الشهرية'!$A$6:$A$1005,$C$3))</f>
        <v>0</v>
      </c>
      <c r="H7" s="110" t="n">
        <f aca="false">IF($B7="","",SUMIFS('الحركات الشهرية'!$E$6:$E$1005,'الحركات الشهرية'!$B$6:$B$1005,$B7,'الحركات الشهرية'!$A$6:$A$1005,$C$3))</f>
        <v>0</v>
      </c>
      <c r="I7" s="110" t="n">
        <f aca="false">IF($B7="","",MAX(0,F7-G7-H7))</f>
        <v>30</v>
      </c>
      <c r="J7" s="90" t="n">
        <f aca="false">IF($B7="","",الموظفون!$J7*$I7/cfg_DAYS_M)</f>
        <v>18000</v>
      </c>
      <c r="K7" s="90" t="n">
        <f aca="false">IF($B7="","",الموظفون!$K7*$I7/cfg_DAYS_M)</f>
        <v>4500</v>
      </c>
      <c r="L7" s="90" t="n">
        <f aca="false">IF($B7="","",الموظفون!$L7*$I7/cfg_DAYS_M)</f>
        <v>1800</v>
      </c>
      <c r="M7" s="90" t="n">
        <f aca="false">IF($B7="","",الموظفون!$M7*$I7/cfg_DAYS_M)</f>
        <v>1000</v>
      </c>
      <c r="N7" s="110" t="n">
        <f aca="false">IF($B7="","",SUMIFS('الحركات الشهرية'!$F$6:$F$1005,'الحركات الشهرية'!$B$6:$B$1005,$B7,'الحركات الشهرية'!$A$6:$A$1005,$C$3))</f>
        <v>0</v>
      </c>
      <c r="O7" s="90" t="n">
        <f aca="false">IF($B7="","",N7*(الموظفون!$N7+الموظفون!$J7*cfg_OT_P)/cfg_DAYS_M/cfg_HRS)</f>
        <v>0</v>
      </c>
      <c r="P7" s="90" t="n">
        <f aca="false">IF($B7="","",SUMIFS('الحركات الشهرية'!$G$6:$G$1005,'الحركات الشهرية'!$B$6:$B$1005,$B7,'الحركات الشهرية'!$A$6:$A$1005,$C$3))</f>
        <v>0</v>
      </c>
      <c r="Q7" s="90" t="n">
        <f aca="false">IF($B7="","",SUMIFS('الحركات الشهرية'!$H$6:$H$1005,'الحركات الشهرية'!$B$6:$B$1005,$B7,'الحركات الشهرية'!$A$6:$A$1005,$C$3))</f>
        <v>0</v>
      </c>
      <c r="R7" s="111" t="n">
        <f aca="false">IF($B7="","",SUM(J7:M7)+SUM(O7:Q7))</f>
        <v>25300</v>
      </c>
      <c r="S7" s="90" t="n">
        <f aca="false">IF($B7="","",الموظفون!$Q7*IF(E7="سعودي",cfg_G_SE,cfg_G_NE)*F7/cfg_DAYS_M)</f>
        <v>2193.75</v>
      </c>
      <c r="T7" s="90" t="n">
        <f aca="false">IF($B7="","",SUMIFS('الحركات الشهرية'!$I$6:$I$1005,'الحركات الشهرية'!$B$6:$B$1005,$B7,'الحركات الشهرية'!$A$6:$A$1005,$C$3))</f>
        <v>0</v>
      </c>
      <c r="U7" s="90" t="n">
        <f aca="false">IF($B7="","",SUMIFS('الحركات الشهرية'!$J$6:$J$1005,'الحركات الشهرية'!$B$6:$B$1005,$B7,'الحركات الشهرية'!$A$6:$A$1005,$C$3))</f>
        <v>0</v>
      </c>
      <c r="V7" s="90" t="n">
        <f aca="false">IF($B7="","",SUM(S7:U7))</f>
        <v>2193.75</v>
      </c>
      <c r="W7" s="112" t="n">
        <f aca="false">IF($B7="","",R7-V7)</f>
        <v>23106.25</v>
      </c>
      <c r="X7" s="90" t="n">
        <f aca="false">IF($B7="","",الموظفون!$Q7*IF(E7="سعودي",cfg_G_SR,cfg_G_NR)*F7/cfg_DAYS_M)</f>
        <v>2643.75</v>
      </c>
      <c r="Y7" s="90" t="n">
        <f aca="false">IF($B7="","",الموظفون!$O7*(cfg_EOS_R1*(MIN(AC7,cfg_EOS_TH)-MIN(AD7,cfg_EOS_TH))+cfg_EOS_R2*(MAX(AC7-cfg_EOS_TH,0)-MAX(AD7-cfg_EOS_TH,0))))</f>
        <v>1997.26027397259</v>
      </c>
      <c r="Z7" s="90" t="n">
        <f aca="false">IF($B7="","",IF(الموظفون!$R7&lt;&gt;"",الموظفون!$R7,IF(AC7&gt;=cfg_LV_TH,cfg_LV_D2,cfg_LV_D1))/cfg_DAYS_Y*AE7*الموظفون!$P7/cfg_DAYS_M)</f>
        <v>1997.2602739726</v>
      </c>
      <c r="AA7" s="90" t="n">
        <f aca="false">IF($B7="","",IF(AND(الموظفون!$S7="نعم",N(الموظفون!$U7)&gt;0),الموظفون!$T7/الموظفون!$U7*12/cfg_DAYS_Y*AE7,0))</f>
        <v>0</v>
      </c>
      <c r="AB7" s="113" t="n">
        <f aca="false">IF($B7="","",R7+SUM(X7:AA7))</f>
        <v>31938.2705479452</v>
      </c>
      <c r="AC7" s="114" t="n">
        <f aca="false">IF($B7="","",MAX(0,IF(OR(الموظفون!$X7="",الموظفون!$X7&gt;$G$3),$G$3,الموظفون!$X7)-الموظفون!$H7+1)/cfg_DAYS_Y)</f>
        <v>9.92054794520548</v>
      </c>
      <c r="AD7" s="114" t="n">
        <f aca="false">IF($B7="","",MAX(0,IF(OR(الموظفون!$X7="",الموظفون!$X7&gt;($E$3-1)),($E$3-1),الموظفون!$X7)-الموظفون!$H7+1)/cfg_DAYS_Y)</f>
        <v>9.83835616438356</v>
      </c>
      <c r="AE7" s="115" t="n">
        <f aca="false">IF($B7="","",MAX(0,IF(OR(الموظفون!$X7="",الموظفون!$X7&gt;$G$3),$G$3,الموظفون!$X7)-MAX($E$3,الموظفون!$H7)+1))</f>
        <v>30</v>
      </c>
    </row>
    <row r="8" customFormat="false" ht="15" hidden="false" customHeight="false" outlineLevel="0" collapsed="false">
      <c r="A8" s="83" t="n">
        <f aca="false">IF($B8="","",الموظفون!$A8)</f>
        <v>3</v>
      </c>
      <c r="B8" s="74" t="str">
        <f aca="false">IF(الموظفون!$B8="","",الموظفون!$B8)</f>
        <v>E003</v>
      </c>
      <c r="C8" s="74" t="str">
        <f aca="false">IF($B8="","",الموظفون!$C8)</f>
        <v>محمد علي حسن</v>
      </c>
      <c r="D8" s="74" t="str">
        <f aca="false">IF($B8="","",الموظفون!$F8)</f>
        <v>المالية</v>
      </c>
      <c r="E8" s="74" t="str">
        <f aca="false">IF($B8="","",الموظفون!$E8)</f>
        <v>غير سعودي</v>
      </c>
      <c r="F8" s="105" t="n">
        <f aca="false">IF($B8="","",IF(AE8&gt;=DAY($G$3),cfg_DAYS_M,MIN(AE8,cfg_DAYS_M)))</f>
        <v>30</v>
      </c>
      <c r="G8" s="105" t="n">
        <f aca="false">IF($B8="","",SUMIFS('الحركات الشهرية'!$D$6:$D$1005,'الحركات الشهرية'!$B$6:$B$1005,$B8,'الحركات الشهرية'!$A$6:$A$1005,$C$3))</f>
        <v>0</v>
      </c>
      <c r="H8" s="105" t="n">
        <f aca="false">IF($B8="","",SUMIFS('الحركات الشهرية'!$E$6:$E$1005,'الحركات الشهرية'!$B$6:$B$1005,$B8,'الحركات الشهرية'!$A$6:$A$1005,$C$3))</f>
        <v>0</v>
      </c>
      <c r="I8" s="105" t="n">
        <f aca="false">IF($B8="","",MAX(0,F8-G8-H8))</f>
        <v>30</v>
      </c>
      <c r="J8" s="86" t="n">
        <f aca="false">IF($B8="","",الموظفون!$J8*$I8/cfg_DAYS_M)</f>
        <v>8500</v>
      </c>
      <c r="K8" s="86" t="n">
        <f aca="false">IF($B8="","",الموظفون!$K8*$I8/cfg_DAYS_M)</f>
        <v>2125</v>
      </c>
      <c r="L8" s="86" t="n">
        <f aca="false">IF($B8="","",الموظفون!$L8*$I8/cfg_DAYS_M)</f>
        <v>850</v>
      </c>
      <c r="M8" s="86" t="n">
        <f aca="false">IF($B8="","",الموظفون!$M8*$I8/cfg_DAYS_M)</f>
        <v>500</v>
      </c>
      <c r="N8" s="105" t="n">
        <f aca="false">IF($B8="","",SUMIFS('الحركات الشهرية'!$F$6:$F$1005,'الحركات الشهرية'!$B$6:$B$1005,$B8,'الحركات الشهرية'!$A$6:$A$1005,$C$3))</f>
        <v>0</v>
      </c>
      <c r="O8" s="86" t="n">
        <f aca="false">IF($B8="","",N8*(الموظفون!$N8+الموظفون!$J8*cfg_OT_P)/cfg_DAYS_M/cfg_HRS)</f>
        <v>0</v>
      </c>
      <c r="P8" s="86" t="n">
        <f aca="false">IF($B8="","",SUMIFS('الحركات الشهرية'!$G$6:$G$1005,'الحركات الشهرية'!$B$6:$B$1005,$B8,'الحركات الشهرية'!$A$6:$A$1005,$C$3))</f>
        <v>0</v>
      </c>
      <c r="Q8" s="86" t="n">
        <f aca="false">IF($B8="","",SUMIFS('الحركات الشهرية'!$H$6:$H$1005,'الحركات الشهرية'!$B$6:$B$1005,$B8,'الحركات الشهرية'!$A$6:$A$1005,$C$3))</f>
        <v>0</v>
      </c>
      <c r="R8" s="106" t="n">
        <f aca="false">IF($B8="","",SUM(J8:M8)+SUM(O8:Q8))</f>
        <v>11975</v>
      </c>
      <c r="S8" s="86" t="n">
        <f aca="false">IF($B8="","",الموظفون!$Q8*IF(E8="سعودي",cfg_G_SE,cfg_G_NE)*F8/cfg_DAYS_M)</f>
        <v>0</v>
      </c>
      <c r="T8" s="86" t="n">
        <f aca="false">IF($B8="","",SUMIFS('الحركات الشهرية'!$I$6:$I$1005,'الحركات الشهرية'!$B$6:$B$1005,$B8,'الحركات الشهرية'!$A$6:$A$1005,$C$3))</f>
        <v>1000</v>
      </c>
      <c r="U8" s="86" t="n">
        <f aca="false">IF($B8="","",SUMIFS('الحركات الشهرية'!$J$6:$J$1005,'الحركات الشهرية'!$B$6:$B$1005,$B8,'الحركات الشهرية'!$A$6:$A$1005,$C$3))</f>
        <v>0</v>
      </c>
      <c r="V8" s="86" t="n">
        <f aca="false">IF($B8="","",SUM(S8:U8))</f>
        <v>1000</v>
      </c>
      <c r="W8" s="107" t="n">
        <f aca="false">IF($B8="","",R8-V8)</f>
        <v>10975</v>
      </c>
      <c r="X8" s="86" t="n">
        <f aca="false">IF($B8="","",الموظفون!$Q8*IF(E8="سعودي",cfg_G_SR,cfg_G_NR)*F8/cfg_DAYS_M)</f>
        <v>212.5</v>
      </c>
      <c r="Y8" s="86" t="n">
        <f aca="false">IF($B8="","",الموظفون!$O8*(cfg_EOS_R1*(MIN(AC8,cfg_EOS_TH)-MIN(AD8,cfg_EOS_TH))+cfg_EOS_R2*(MAX(AC8-cfg_EOS_TH,0)-MAX(AD8-cfg_EOS_TH,0))))</f>
        <v>943.150684931511</v>
      </c>
      <c r="Z8" s="86" t="n">
        <f aca="false">IF($B8="","",IF(الموظفون!$R8&lt;&gt;"",الموظفون!$R8,IF(AC8&gt;=cfg_LV_TH,cfg_LV_D2,cfg_LV_D1))/cfg_DAYS_Y*AE8*الموظفون!$P8/cfg_DAYS_M)</f>
        <v>943.150684931507</v>
      </c>
      <c r="AA8" s="86" t="n">
        <f aca="false">IF($B8="","",IF(AND(الموظفون!$S8="نعم",N(الموظفون!$U8)&gt;0),الموظفون!$T8/الموظفون!$U8*12/cfg_DAYS_Y*AE8,0))</f>
        <v>131.506849315068</v>
      </c>
      <c r="AB8" s="108" t="n">
        <f aca="false">IF($B8="","",R8+SUM(X8:AA8))</f>
        <v>14205.3082191781</v>
      </c>
      <c r="AC8" s="109" t="n">
        <f aca="false">IF($B8="","",MAX(0,IF(OR(الموظفون!$X8="",الموظفون!$X8&gt;$G$3),$G$3,الموظفون!$X8)-الموظفون!$H8+1)/cfg_DAYS_Y)</f>
        <v>7.64383561643836</v>
      </c>
      <c r="AD8" s="109" t="n">
        <f aca="false">IF($B8="","",MAX(0,IF(OR(الموظفون!$X8="",الموظفون!$X8&gt;($E$3-1)),($E$3-1),الموظفون!$X8)-الموظفون!$H8+1)/cfg_DAYS_Y)</f>
        <v>7.56164383561644</v>
      </c>
      <c r="AE8" s="51" t="n">
        <f aca="false">IF($B8="","",MAX(0,IF(OR(الموظفون!$X8="",الموظفون!$X8&gt;$G$3),$G$3,الموظفون!$X8)-MAX($E$3,الموظفون!$H8)+1))</f>
        <v>30</v>
      </c>
    </row>
    <row r="9" customFormat="false" ht="15" hidden="false" customHeight="false" outlineLevel="0" collapsed="false">
      <c r="A9" s="89" t="n">
        <f aca="false">IF($B9="","",الموظفون!$A9)</f>
        <v>4</v>
      </c>
      <c r="B9" s="91" t="str">
        <f aca="false">IF(الموظفون!$B9="","",الموظفون!$B9)</f>
        <v>E004</v>
      </c>
      <c r="C9" s="91" t="str">
        <f aca="false">IF($B9="","",الموظفون!$C9)</f>
        <v>نورة خالد الدوسري</v>
      </c>
      <c r="D9" s="91" t="str">
        <f aca="false">IF($B9="","",الموظفون!$F9)</f>
        <v>الموارد البشرية</v>
      </c>
      <c r="E9" s="91" t="str">
        <f aca="false">IF($B9="","",الموظفون!$E9)</f>
        <v>سعودي</v>
      </c>
      <c r="F9" s="110" t="n">
        <f aca="false">IF($B9="","",IF(AE9&gt;=DAY($G$3),cfg_DAYS_M,MIN(AE9,cfg_DAYS_M)))</f>
        <v>30</v>
      </c>
      <c r="G9" s="110" t="n">
        <f aca="false">IF($B9="","",SUMIFS('الحركات الشهرية'!$D$6:$D$1005,'الحركات الشهرية'!$B$6:$B$1005,$B9,'الحركات الشهرية'!$A$6:$A$1005,$C$3))</f>
        <v>0</v>
      </c>
      <c r="H9" s="110" t="n">
        <f aca="false">IF($B9="","",SUMIFS('الحركات الشهرية'!$E$6:$E$1005,'الحركات الشهرية'!$B$6:$B$1005,$B9,'الحركات الشهرية'!$A$6:$A$1005,$C$3))</f>
        <v>0</v>
      </c>
      <c r="I9" s="110" t="n">
        <f aca="false">IF($B9="","",MAX(0,F9-G9-H9))</f>
        <v>30</v>
      </c>
      <c r="J9" s="90" t="n">
        <f aca="false">IF($B9="","",الموظفون!$J9*$I9/cfg_DAYS_M)</f>
        <v>14000</v>
      </c>
      <c r="K9" s="90" t="n">
        <f aca="false">IF($B9="","",الموظفون!$K9*$I9/cfg_DAYS_M)</f>
        <v>3500</v>
      </c>
      <c r="L9" s="90" t="n">
        <f aca="false">IF($B9="","",الموظفون!$L9*$I9/cfg_DAYS_M)</f>
        <v>1400</v>
      </c>
      <c r="M9" s="90" t="n">
        <f aca="false">IF($B9="","",الموظفون!$M9*$I9/cfg_DAYS_M)</f>
        <v>0</v>
      </c>
      <c r="N9" s="110" t="n">
        <f aca="false">IF($B9="","",SUMIFS('الحركات الشهرية'!$F$6:$F$1005,'الحركات الشهرية'!$B$6:$B$1005,$B9,'الحركات الشهرية'!$A$6:$A$1005,$C$3))</f>
        <v>0</v>
      </c>
      <c r="O9" s="90" t="n">
        <f aca="false">IF($B9="","",N9*(الموظفون!$N9+الموظفون!$J9*cfg_OT_P)/cfg_DAYS_M/cfg_HRS)</f>
        <v>0</v>
      </c>
      <c r="P9" s="90" t="n">
        <f aca="false">IF($B9="","",SUMIFS('الحركات الشهرية'!$G$6:$G$1005,'الحركات الشهرية'!$B$6:$B$1005,$B9,'الحركات الشهرية'!$A$6:$A$1005,$C$3))</f>
        <v>0</v>
      </c>
      <c r="Q9" s="90" t="n">
        <f aca="false">IF($B9="","",SUMIFS('الحركات الشهرية'!$H$6:$H$1005,'الحركات الشهرية'!$B$6:$B$1005,$B9,'الحركات الشهرية'!$A$6:$A$1005,$C$3))</f>
        <v>0</v>
      </c>
      <c r="R9" s="111" t="n">
        <f aca="false">IF($B9="","",SUM(J9:M9)+SUM(O9:Q9))</f>
        <v>18900</v>
      </c>
      <c r="S9" s="90" t="n">
        <f aca="false">IF($B9="","",الموظفون!$Q9*IF(E9="سعودي",cfg_G_SE,cfg_G_NE)*F9/cfg_DAYS_M)</f>
        <v>1706.25</v>
      </c>
      <c r="T9" s="90" t="n">
        <f aca="false">IF($B9="","",SUMIFS('الحركات الشهرية'!$I$6:$I$1005,'الحركات الشهرية'!$B$6:$B$1005,$B9,'الحركات الشهرية'!$A$6:$A$1005,$C$3))</f>
        <v>0</v>
      </c>
      <c r="U9" s="90" t="n">
        <f aca="false">IF($B9="","",SUMIFS('الحركات الشهرية'!$J$6:$J$1005,'الحركات الشهرية'!$B$6:$B$1005,$B9,'الحركات الشهرية'!$A$6:$A$1005,$C$3))</f>
        <v>0</v>
      </c>
      <c r="V9" s="90" t="n">
        <f aca="false">IF($B9="","",SUM(S9:U9))</f>
        <v>1706.25</v>
      </c>
      <c r="W9" s="112" t="n">
        <f aca="false">IF($B9="","",R9-V9)</f>
        <v>17193.75</v>
      </c>
      <c r="X9" s="90" t="n">
        <f aca="false">IF($B9="","",الموظفون!$Q9*IF(E9="سعودي",cfg_G_SR,cfg_G_NR)*F9/cfg_DAYS_M)</f>
        <v>2056.25</v>
      </c>
      <c r="Y9" s="90" t="n">
        <f aca="false">IF($B9="","",الموظفون!$O9*(cfg_EOS_R1*(MIN(AC9,cfg_EOS_TH)-MIN(AD9,cfg_EOS_TH))+cfg_EOS_R2*(MAX(AC9-cfg_EOS_TH,0)-MAX(AD9-cfg_EOS_TH,0))))</f>
        <v>1553.42465753425</v>
      </c>
      <c r="Z9" s="90" t="n">
        <f aca="false">IF($B9="","",IF(الموظفون!$R9&lt;&gt;"",الموظفون!$R9,IF(AC9&gt;=cfg_LV_TH,cfg_LV_D2,cfg_LV_D1))/cfg_DAYS_Y*AE9*الموظفون!$P9/cfg_DAYS_M)</f>
        <v>1553.42465753425</v>
      </c>
      <c r="AA9" s="90" t="n">
        <f aca="false">IF($B9="","",IF(AND(الموظفون!$S9="نعم",N(الموظفون!$U9)&gt;0),الموظفون!$T9/الموظفون!$U9*12/cfg_DAYS_Y*AE9,0))</f>
        <v>0</v>
      </c>
      <c r="AB9" s="113" t="n">
        <f aca="false">IF($B9="","",R9+SUM(X9:AA9))</f>
        <v>24063.0993150685</v>
      </c>
      <c r="AC9" s="114" t="n">
        <f aca="false">IF($B9="","",MAX(0,IF(OR(الموظفون!$X9="",الموظفون!$X9&gt;$G$3),$G$3,الموظفون!$X9)-الموظفون!$H9+1)/cfg_DAYS_Y)</f>
        <v>7.24931506849315</v>
      </c>
      <c r="AD9" s="114" t="n">
        <f aca="false">IF($B9="","",MAX(0,IF(OR(الموظفون!$X9="",الموظفون!$X9&gt;($E$3-1)),($E$3-1),الموظفون!$X9)-الموظفون!$H9+1)/cfg_DAYS_Y)</f>
        <v>7.16712328767123</v>
      </c>
      <c r="AE9" s="115" t="n">
        <f aca="false">IF($B9="","",MAX(0,IF(OR(الموظفون!$X9="",الموظفون!$X9&gt;$G$3),$G$3,الموظفون!$X9)-MAX($E$3,الموظفون!$H9)+1))</f>
        <v>30</v>
      </c>
    </row>
    <row r="10" customFormat="false" ht="15" hidden="false" customHeight="false" outlineLevel="0" collapsed="false">
      <c r="A10" s="83" t="n">
        <f aca="false">IF($B10="","",الموظفون!$A10)</f>
        <v>5</v>
      </c>
      <c r="B10" s="74" t="str">
        <f aca="false">IF(الموظفون!$B10="","",الموظفون!$B10)</f>
        <v>E005</v>
      </c>
      <c r="C10" s="74" t="str">
        <f aca="false">IF($B10="","",الموظفون!$C10)</f>
        <v>راجيش كومار</v>
      </c>
      <c r="D10" s="74" t="str">
        <f aca="false">IF($B10="","",الموظفون!$F10)</f>
        <v>تقنية المعلومات</v>
      </c>
      <c r="E10" s="74" t="str">
        <f aca="false">IF($B10="","",الموظفون!$E10)</f>
        <v>غير سعودي</v>
      </c>
      <c r="F10" s="105" t="n">
        <f aca="false">IF($B10="","",IF(AE10&gt;=DAY($G$3),cfg_DAYS_M,MIN(AE10,cfg_DAYS_M)))</f>
        <v>30</v>
      </c>
      <c r="G10" s="105" t="n">
        <f aca="false">IF($B10="","",SUMIFS('الحركات الشهرية'!$D$6:$D$1005,'الحركات الشهرية'!$B$6:$B$1005,$B10,'الحركات الشهرية'!$A$6:$A$1005,$C$3))</f>
        <v>0</v>
      </c>
      <c r="H10" s="105" t="n">
        <f aca="false">IF($B10="","",SUMIFS('الحركات الشهرية'!$E$6:$E$1005,'الحركات الشهرية'!$B$6:$B$1005,$B10,'الحركات الشهرية'!$A$6:$A$1005,$C$3))</f>
        <v>0</v>
      </c>
      <c r="I10" s="105" t="n">
        <f aca="false">IF($B10="","",MAX(0,F10-G10-H10))</f>
        <v>30</v>
      </c>
      <c r="J10" s="86" t="n">
        <f aca="false">IF($B10="","",الموظفون!$J10*$I10/cfg_DAYS_M)</f>
        <v>9000</v>
      </c>
      <c r="K10" s="86" t="n">
        <f aca="false">IF($B10="","",الموظفون!$K10*$I10/cfg_DAYS_M)</f>
        <v>2250</v>
      </c>
      <c r="L10" s="86" t="n">
        <f aca="false">IF($B10="","",الموظفون!$L10*$I10/cfg_DAYS_M)</f>
        <v>900</v>
      </c>
      <c r="M10" s="86" t="n">
        <f aca="false">IF($B10="","",الموظفون!$M10*$I10/cfg_DAYS_M)</f>
        <v>700</v>
      </c>
      <c r="N10" s="105" t="n">
        <f aca="false">IF($B10="","",SUMIFS('الحركات الشهرية'!$F$6:$F$1005,'الحركات الشهرية'!$B$6:$B$1005,$B10,'الحركات الشهرية'!$A$6:$A$1005,$C$3))</f>
        <v>0</v>
      </c>
      <c r="O10" s="86" t="n">
        <f aca="false">IF($B10="","",N10*(الموظفون!$N10+الموظفون!$J10*cfg_OT_P)/cfg_DAYS_M/cfg_HRS)</f>
        <v>0</v>
      </c>
      <c r="P10" s="86" t="n">
        <f aca="false">IF($B10="","",SUMIFS('الحركات الشهرية'!$G$6:$G$1005,'الحركات الشهرية'!$B$6:$B$1005,$B10,'الحركات الشهرية'!$A$6:$A$1005,$C$3))</f>
        <v>0</v>
      </c>
      <c r="Q10" s="86" t="n">
        <f aca="false">IF($B10="","",SUMIFS('الحركات الشهرية'!$H$6:$H$1005,'الحركات الشهرية'!$B$6:$B$1005,$B10,'الحركات الشهرية'!$A$6:$A$1005,$C$3))</f>
        <v>0</v>
      </c>
      <c r="R10" s="106" t="n">
        <f aca="false">IF($B10="","",SUM(J10:M10)+SUM(O10:Q10))</f>
        <v>12850</v>
      </c>
      <c r="S10" s="86" t="n">
        <f aca="false">IF($B10="","",الموظفون!$Q10*IF(E10="سعودي",cfg_G_SE,cfg_G_NE)*F10/cfg_DAYS_M)</f>
        <v>0</v>
      </c>
      <c r="T10" s="86" t="n">
        <f aca="false">IF($B10="","",SUMIFS('الحركات الشهرية'!$I$6:$I$1005,'الحركات الشهرية'!$B$6:$B$1005,$B10,'الحركات الشهرية'!$A$6:$A$1005,$C$3))</f>
        <v>0</v>
      </c>
      <c r="U10" s="86" t="n">
        <f aca="false">IF($B10="","",SUMIFS('الحركات الشهرية'!$J$6:$J$1005,'الحركات الشهرية'!$B$6:$B$1005,$B10,'الحركات الشهرية'!$A$6:$A$1005,$C$3))</f>
        <v>0</v>
      </c>
      <c r="V10" s="86" t="n">
        <f aca="false">IF($B10="","",SUM(S10:U10))</f>
        <v>0</v>
      </c>
      <c r="W10" s="107" t="n">
        <f aca="false">IF($B10="","",R10-V10)</f>
        <v>12850</v>
      </c>
      <c r="X10" s="86" t="n">
        <f aca="false">IF($B10="","",الموظفون!$Q10*IF(E10="سعودي",cfg_G_SR,cfg_G_NR)*F10/cfg_DAYS_M)</f>
        <v>225</v>
      </c>
      <c r="Y10" s="86" t="n">
        <f aca="false">IF($B10="","",الموظفون!$O10*(cfg_EOS_R1*(MIN(AC10,cfg_EOS_TH)-MIN(AD10,cfg_EOS_TH))+cfg_EOS_R2*(MAX(AC10-cfg_EOS_TH,0)-MAX(AD10-cfg_EOS_TH,0))))</f>
        <v>998.630136986305</v>
      </c>
      <c r="Z10" s="86" t="n">
        <f aca="false">IF($B10="","",IF(الموظفون!$R10&lt;&gt;"",الموظفون!$R10,IF(AC10&gt;=cfg_LV_TH,cfg_LV_D2,cfg_LV_D1))/cfg_DAYS_Y*AE10*الموظفون!$P10/cfg_DAYS_M)</f>
        <v>998.630136986301</v>
      </c>
      <c r="AA10" s="86" t="n">
        <f aca="false">IF($B10="","",IF(AND(الموظفون!$S10="نعم",N(الموظفون!$U10)&gt;0),الموظفون!$T10/الموظفون!$U10*12/cfg_DAYS_Y*AE10,0))</f>
        <v>230.13698630137</v>
      </c>
      <c r="AB10" s="108" t="n">
        <f aca="false">IF($B10="","",R10+SUM(X10:AA10))</f>
        <v>15302.397260274</v>
      </c>
      <c r="AC10" s="109" t="n">
        <f aca="false">IF($B10="","",MAX(0,IF(OR(الموظفون!$X10="",الموظفون!$X10&gt;$G$3),$G$3,الموظفون!$X10)-الموظفون!$H10+1)/cfg_DAYS_Y)</f>
        <v>6.05479452054795</v>
      </c>
      <c r="AD10" s="109" t="n">
        <f aca="false">IF($B10="","",MAX(0,IF(OR(الموظفون!$X10="",الموظفون!$X10&gt;($E$3-1)),($E$3-1),الموظفون!$X10)-الموظفون!$H10+1)/cfg_DAYS_Y)</f>
        <v>5.97260273972603</v>
      </c>
      <c r="AE10" s="51" t="n">
        <f aca="false">IF($B10="","",MAX(0,IF(OR(الموظفون!$X10="",الموظفون!$X10&gt;$G$3),$G$3,الموظفون!$X10)-MAX($E$3,الموظفون!$H10)+1))</f>
        <v>30</v>
      </c>
    </row>
    <row r="11" customFormat="false" ht="15" hidden="false" customHeight="false" outlineLevel="0" collapsed="false">
      <c r="A11" s="89" t="n">
        <f aca="false">IF($B11="","",الموظفون!$A11)</f>
        <v>6</v>
      </c>
      <c r="B11" s="91" t="str">
        <f aca="false">IF(الموظفون!$B11="","",الموظفون!$B11)</f>
        <v>E006</v>
      </c>
      <c r="C11" s="91" t="str">
        <f aca="false">IF($B11="","",الموظفون!$C11)</f>
        <v>فهد ناصر الشمري</v>
      </c>
      <c r="D11" s="91" t="str">
        <f aca="false">IF($B11="","",الموظفون!$F11)</f>
        <v>المبيعات</v>
      </c>
      <c r="E11" s="91" t="str">
        <f aca="false">IF($B11="","",الموظفون!$E11)</f>
        <v>سعودي</v>
      </c>
      <c r="F11" s="110" t="n">
        <f aca="false">IF($B11="","",IF(AE11&gt;=DAY($G$3),cfg_DAYS_M,MIN(AE11,cfg_DAYS_M)))</f>
        <v>30</v>
      </c>
      <c r="G11" s="110" t="n">
        <f aca="false">IF($B11="","",SUMIFS('الحركات الشهرية'!$D$6:$D$1005,'الحركات الشهرية'!$B$6:$B$1005,$B11,'الحركات الشهرية'!$A$6:$A$1005,$C$3))</f>
        <v>0</v>
      </c>
      <c r="H11" s="110" t="n">
        <f aca="false">IF($B11="","",SUMIFS('الحركات الشهرية'!$E$6:$E$1005,'الحركات الشهرية'!$B$6:$B$1005,$B11,'الحركات الشهرية'!$A$6:$A$1005,$C$3))</f>
        <v>0</v>
      </c>
      <c r="I11" s="110" t="n">
        <f aca="false">IF($B11="","",MAX(0,F11-G11-H11))</f>
        <v>30</v>
      </c>
      <c r="J11" s="90" t="n">
        <f aca="false">IF($B11="","",الموظفون!$J11*$I11/cfg_DAYS_M)</f>
        <v>13000</v>
      </c>
      <c r="K11" s="90" t="n">
        <f aca="false">IF($B11="","",الموظفون!$K11*$I11/cfg_DAYS_M)</f>
        <v>3250</v>
      </c>
      <c r="L11" s="90" t="n">
        <f aca="false">IF($B11="","",الموظفون!$L11*$I11/cfg_DAYS_M)</f>
        <v>1300</v>
      </c>
      <c r="M11" s="90" t="n">
        <f aca="false">IF($B11="","",الموظفون!$M11*$I11/cfg_DAYS_M)</f>
        <v>2500</v>
      </c>
      <c r="N11" s="110" t="n">
        <f aca="false">IF($B11="","",SUMIFS('الحركات الشهرية'!$F$6:$F$1005,'الحركات الشهرية'!$B$6:$B$1005,$B11,'الحركات الشهرية'!$A$6:$A$1005,$C$3))</f>
        <v>0</v>
      </c>
      <c r="O11" s="90" t="n">
        <f aca="false">IF($B11="","",N11*(الموظفون!$N11+الموظفون!$J11*cfg_OT_P)/cfg_DAYS_M/cfg_HRS)</f>
        <v>0</v>
      </c>
      <c r="P11" s="90" t="n">
        <f aca="false">IF($B11="","",SUMIFS('الحركات الشهرية'!$G$6:$G$1005,'الحركات الشهرية'!$B$6:$B$1005,$B11,'الحركات الشهرية'!$A$6:$A$1005,$C$3))</f>
        <v>0</v>
      </c>
      <c r="Q11" s="90" t="n">
        <f aca="false">IF($B11="","",SUMIFS('الحركات الشهرية'!$H$6:$H$1005,'الحركات الشهرية'!$B$6:$B$1005,$B11,'الحركات الشهرية'!$A$6:$A$1005,$C$3))</f>
        <v>0</v>
      </c>
      <c r="R11" s="111" t="n">
        <f aca="false">IF($B11="","",SUM(J11:M11)+SUM(O11:Q11))</f>
        <v>20050</v>
      </c>
      <c r="S11" s="90" t="n">
        <f aca="false">IF($B11="","",الموظفون!$Q11*IF(E11="سعودي",cfg_G_SE,cfg_G_NE)*F11/cfg_DAYS_M)</f>
        <v>1584.375</v>
      </c>
      <c r="T11" s="90" t="n">
        <f aca="false">IF($B11="","",SUMIFS('الحركات الشهرية'!$I$6:$I$1005,'الحركات الشهرية'!$B$6:$B$1005,$B11,'الحركات الشهرية'!$A$6:$A$1005,$C$3))</f>
        <v>0</v>
      </c>
      <c r="U11" s="90" t="n">
        <f aca="false">IF($B11="","",SUMIFS('الحركات الشهرية'!$J$6:$J$1005,'الحركات الشهرية'!$B$6:$B$1005,$B11,'الحركات الشهرية'!$A$6:$A$1005,$C$3))</f>
        <v>0</v>
      </c>
      <c r="V11" s="90" t="n">
        <f aca="false">IF($B11="","",SUM(S11:U11))</f>
        <v>1584.375</v>
      </c>
      <c r="W11" s="112" t="n">
        <f aca="false">IF($B11="","",R11-V11)</f>
        <v>18465.625</v>
      </c>
      <c r="X11" s="90" t="n">
        <f aca="false">IF($B11="","",الموظفون!$Q11*IF(E11="سعودي",cfg_G_SR,cfg_G_NR)*F11/cfg_DAYS_M)</f>
        <v>1909.375</v>
      </c>
      <c r="Y11" s="90" t="n">
        <f aca="false">IF($B11="","",الموظفون!$O11*(cfg_EOS_R1*(MIN(AC11,cfg_EOS_TH)-MIN(AD11,cfg_EOS_TH))+cfg_EOS_R2*(MAX(AC11-cfg_EOS_TH,0)-MAX(AD11-cfg_EOS_TH,0))))</f>
        <v>1442.46575342465</v>
      </c>
      <c r="Z11" s="90" t="n">
        <f aca="false">IF($B11="","",IF(الموظفون!$R11&lt;&gt;"",الموظفون!$R11,IF(AC11&gt;=cfg_LV_TH,cfg_LV_D2,cfg_LV_D1))/cfg_DAYS_Y*AE11*الموظفون!$P11/cfg_DAYS_M)</f>
        <v>1442.46575342466</v>
      </c>
      <c r="AA11" s="90" t="n">
        <f aca="false">IF($B11="","",IF(AND(الموظفون!$S11="نعم",N(الموظفون!$U11)&gt;0),الموظفون!$T11/الموظفون!$U11*12/cfg_DAYS_Y*AE11,0))</f>
        <v>0</v>
      </c>
      <c r="AB11" s="113" t="n">
        <f aca="false">IF($B11="","",R11+SUM(X11:AA11))</f>
        <v>24844.3065068493</v>
      </c>
      <c r="AC11" s="114" t="n">
        <f aca="false">IF($B11="","",MAX(0,IF(OR(الموظفون!$X11="",الموظفون!$X11&gt;$G$3),$G$3,الموظفون!$X11)-الموظفون!$H11+1)/cfg_DAYS_Y)</f>
        <v>8.49041095890411</v>
      </c>
      <c r="AD11" s="114" t="n">
        <f aca="false">IF($B11="","",MAX(0,IF(OR(الموظفون!$X11="",الموظفون!$X11&gt;($E$3-1)),($E$3-1),الموظفون!$X11)-الموظفون!$H11+1)/cfg_DAYS_Y)</f>
        <v>8.40821917808219</v>
      </c>
      <c r="AE11" s="115" t="n">
        <f aca="false">IF($B11="","",MAX(0,IF(OR(الموظفون!$X11="",الموظفون!$X11&gt;$G$3),$G$3,الموظفون!$X11)-MAX($E$3,الموظفون!$H11)+1))</f>
        <v>30</v>
      </c>
    </row>
    <row r="12" customFormat="false" ht="15" hidden="false" customHeight="false" outlineLevel="0" collapsed="false">
      <c r="A12" s="83" t="n">
        <f aca="false">IF($B12="","",الموظفون!$A12)</f>
        <v>7</v>
      </c>
      <c r="B12" s="74" t="str">
        <f aca="false">IF(الموظفون!$B12="","",الموظفون!$B12)</f>
        <v>E007</v>
      </c>
      <c r="C12" s="74" t="str">
        <f aca="false">IF($B12="","",الموظفون!$C12)</f>
        <v>خالد يوسف الأحمد</v>
      </c>
      <c r="D12" s="74" t="str">
        <f aca="false">IF($B12="","",الموظفون!$F12)</f>
        <v>المشاريع</v>
      </c>
      <c r="E12" s="74" t="str">
        <f aca="false">IF($B12="","",الموظفون!$E12)</f>
        <v>غير سعودي</v>
      </c>
      <c r="F12" s="105" t="n">
        <f aca="false">IF($B12="","",IF(AE12&gt;=DAY($G$3),cfg_DAYS_M,MIN(AE12,cfg_DAYS_M)))</f>
        <v>30</v>
      </c>
      <c r="G12" s="105" t="n">
        <f aca="false">IF($B12="","",SUMIFS('الحركات الشهرية'!$D$6:$D$1005,'الحركات الشهرية'!$B$6:$B$1005,$B12,'الحركات الشهرية'!$A$6:$A$1005,$C$3))</f>
        <v>0</v>
      </c>
      <c r="H12" s="105" t="n">
        <f aca="false">IF($B12="","",SUMIFS('الحركات الشهرية'!$E$6:$E$1005,'الحركات الشهرية'!$B$6:$B$1005,$B12,'الحركات الشهرية'!$A$6:$A$1005,$C$3))</f>
        <v>0</v>
      </c>
      <c r="I12" s="105" t="n">
        <f aca="false">IF($B12="","",MAX(0,F12-G12-H12))</f>
        <v>30</v>
      </c>
      <c r="J12" s="86" t="n">
        <f aca="false">IF($B12="","",الموظفون!$J12*$I12/cfg_DAYS_M)</f>
        <v>11000</v>
      </c>
      <c r="K12" s="86" t="n">
        <f aca="false">IF($B12="","",الموظفون!$K12*$I12/cfg_DAYS_M)</f>
        <v>2750</v>
      </c>
      <c r="L12" s="86" t="n">
        <f aca="false">IF($B12="","",الموظفون!$L12*$I12/cfg_DAYS_M)</f>
        <v>1100</v>
      </c>
      <c r="M12" s="86" t="n">
        <f aca="false">IF($B12="","",الموظفون!$M12*$I12/cfg_DAYS_M)</f>
        <v>800</v>
      </c>
      <c r="N12" s="105" t="n">
        <f aca="false">IF($B12="","",SUMIFS('الحركات الشهرية'!$F$6:$F$1005,'الحركات الشهرية'!$B$6:$B$1005,$B12,'الحركات الشهرية'!$A$6:$A$1005,$C$3))</f>
        <v>0</v>
      </c>
      <c r="O12" s="86" t="n">
        <f aca="false">IF($B12="","",N12*(الموظفون!$N12+الموظفون!$J12*cfg_OT_P)/cfg_DAYS_M/cfg_HRS)</f>
        <v>0</v>
      </c>
      <c r="P12" s="86" t="n">
        <f aca="false">IF($B12="","",SUMIFS('الحركات الشهرية'!$G$6:$G$1005,'الحركات الشهرية'!$B$6:$B$1005,$B12,'الحركات الشهرية'!$A$6:$A$1005,$C$3))</f>
        <v>0</v>
      </c>
      <c r="Q12" s="86" t="n">
        <f aca="false">IF($B12="","",SUMIFS('الحركات الشهرية'!$H$6:$H$1005,'الحركات الشهرية'!$B$6:$B$1005,$B12,'الحركات الشهرية'!$A$6:$A$1005,$C$3))</f>
        <v>0</v>
      </c>
      <c r="R12" s="106" t="n">
        <f aca="false">IF($B12="","",SUM(J12:M12)+SUM(O12:Q12))</f>
        <v>15650</v>
      </c>
      <c r="S12" s="86" t="n">
        <f aca="false">IF($B12="","",الموظفون!$Q12*IF(E12="سعودي",cfg_G_SE,cfg_G_NE)*F12/cfg_DAYS_M)</f>
        <v>0</v>
      </c>
      <c r="T12" s="86" t="n">
        <f aca="false">IF($B12="","",SUMIFS('الحركات الشهرية'!$I$6:$I$1005,'الحركات الشهرية'!$B$6:$B$1005,$B12,'الحركات الشهرية'!$A$6:$A$1005,$C$3))</f>
        <v>0</v>
      </c>
      <c r="U12" s="86" t="n">
        <f aca="false">IF($B12="","",SUMIFS('الحركات الشهرية'!$J$6:$J$1005,'الحركات الشهرية'!$B$6:$B$1005,$B12,'الحركات الشهرية'!$A$6:$A$1005,$C$3))</f>
        <v>0</v>
      </c>
      <c r="V12" s="86" t="n">
        <f aca="false">IF($B12="","",SUM(S12:U12))</f>
        <v>0</v>
      </c>
      <c r="W12" s="107" t="n">
        <f aca="false">IF($B12="","",R12-V12)</f>
        <v>15650</v>
      </c>
      <c r="X12" s="86" t="n">
        <f aca="false">IF($B12="","",الموظفون!$Q12*IF(E12="سعودي",cfg_G_SR,cfg_G_NR)*F12/cfg_DAYS_M)</f>
        <v>275</v>
      </c>
      <c r="Y12" s="86" t="n">
        <f aca="false">IF($B12="","",الموظفون!$O12*(cfg_EOS_R1*(MIN(AC12,cfg_EOS_TH)-MIN(AD12,cfg_EOS_TH))+cfg_EOS_R2*(MAX(AC12-cfg_EOS_TH,0)-MAX(AD12-cfg_EOS_TH,0))))</f>
        <v>1220.54794520548</v>
      </c>
      <c r="Z12" s="86" t="n">
        <f aca="false">IF($B12="","",IF(الموظفون!$R12&lt;&gt;"",الموظفون!$R12,IF(AC12&gt;=cfg_LV_TH,cfg_LV_D2,cfg_LV_D1))/cfg_DAYS_Y*AE12*الموظفون!$P12/cfg_DAYS_M)</f>
        <v>1220.54794520548</v>
      </c>
      <c r="AA12" s="86" t="n">
        <f aca="false">IF($B12="","",IF(AND(الموظفون!$S12="نعم",N(الموظفون!$U12)&gt;0),الموظفون!$T12/الموظفون!$U12*12/cfg_DAYS_Y*AE12,0))</f>
        <v>369.86301369863</v>
      </c>
      <c r="AB12" s="108" t="n">
        <f aca="false">IF($B12="","",R12+SUM(X12:AA12))</f>
        <v>18735.9589041096</v>
      </c>
      <c r="AC12" s="109" t="n">
        <f aca="false">IF($B12="","",MAX(0,IF(OR(الموظفون!$X12="",الموظفون!$X12&gt;$G$3),$G$3,الموظفون!$X12)-الموظفون!$H12+1)/cfg_DAYS_Y)</f>
        <v>5.27945205479452</v>
      </c>
      <c r="AD12" s="109" t="n">
        <f aca="false">IF($B12="","",MAX(0,IF(OR(الموظفون!$X12="",الموظفون!$X12&gt;($E$3-1)),($E$3-1),الموظفون!$X12)-الموظفون!$H12+1)/cfg_DAYS_Y)</f>
        <v>5.1972602739726</v>
      </c>
      <c r="AE12" s="51" t="n">
        <f aca="false">IF($B12="","",MAX(0,IF(OR(الموظفون!$X12="",الموظفون!$X12&gt;$G$3),$G$3,الموظفون!$X12)-MAX($E$3,الموظفون!$H12)+1))</f>
        <v>30</v>
      </c>
    </row>
    <row r="13" customFormat="false" ht="15" hidden="false" customHeight="false" outlineLevel="0" collapsed="false">
      <c r="A13" s="89" t="n">
        <f aca="false">IF($B13="","",الموظفون!$A13)</f>
        <v>8</v>
      </c>
      <c r="B13" s="91" t="str">
        <f aca="false">IF(الموظفون!$B13="","",الموظفون!$B13)</f>
        <v>E008</v>
      </c>
      <c r="C13" s="91" t="str">
        <f aca="false">IF($B13="","",الموظفون!$C13)</f>
        <v>سارة عبدالرحمن الزهراني</v>
      </c>
      <c r="D13" s="91" t="str">
        <f aca="false">IF($B13="","",الموظفون!$F13)</f>
        <v>المالية</v>
      </c>
      <c r="E13" s="91" t="str">
        <f aca="false">IF($B13="","",الموظفون!$E13)</f>
        <v>سعودي</v>
      </c>
      <c r="F13" s="110" t="n">
        <f aca="false">IF($B13="","",IF(AE13&gt;=DAY($G$3),cfg_DAYS_M,MIN(AE13,cfg_DAYS_M)))</f>
        <v>30</v>
      </c>
      <c r="G13" s="110" t="n">
        <f aca="false">IF($B13="","",SUMIFS('الحركات الشهرية'!$D$6:$D$1005,'الحركات الشهرية'!$B$6:$B$1005,$B13,'الحركات الشهرية'!$A$6:$A$1005,$C$3))</f>
        <v>0</v>
      </c>
      <c r="H13" s="110" t="n">
        <f aca="false">IF($B13="","",SUMIFS('الحركات الشهرية'!$E$6:$E$1005,'الحركات الشهرية'!$B$6:$B$1005,$B13,'الحركات الشهرية'!$A$6:$A$1005,$C$3))</f>
        <v>0</v>
      </c>
      <c r="I13" s="110" t="n">
        <f aca="false">IF($B13="","",MAX(0,F13-G13-H13))</f>
        <v>30</v>
      </c>
      <c r="J13" s="90" t="n">
        <f aca="false">IF($B13="","",الموظفون!$J13*$I13/cfg_DAYS_M)</f>
        <v>7500</v>
      </c>
      <c r="K13" s="90" t="n">
        <f aca="false">IF($B13="","",الموظفون!$K13*$I13/cfg_DAYS_M)</f>
        <v>1875</v>
      </c>
      <c r="L13" s="90" t="n">
        <f aca="false">IF($B13="","",الموظفون!$L13*$I13/cfg_DAYS_M)</f>
        <v>750</v>
      </c>
      <c r="M13" s="90" t="n">
        <f aca="false">IF($B13="","",الموظفون!$M13*$I13/cfg_DAYS_M)</f>
        <v>0</v>
      </c>
      <c r="N13" s="110" t="n">
        <f aca="false">IF($B13="","",SUMIFS('الحركات الشهرية'!$F$6:$F$1005,'الحركات الشهرية'!$B$6:$B$1005,$B13,'الحركات الشهرية'!$A$6:$A$1005,$C$3))</f>
        <v>0</v>
      </c>
      <c r="O13" s="90" t="n">
        <f aca="false">IF($B13="","",N13*(الموظفون!$N13+الموظفون!$J13*cfg_OT_P)/cfg_DAYS_M/cfg_HRS)</f>
        <v>0</v>
      </c>
      <c r="P13" s="90" t="n">
        <f aca="false">IF($B13="","",SUMIFS('الحركات الشهرية'!$G$6:$G$1005,'الحركات الشهرية'!$B$6:$B$1005,$B13,'الحركات الشهرية'!$A$6:$A$1005,$C$3))</f>
        <v>0</v>
      </c>
      <c r="Q13" s="90" t="n">
        <f aca="false">IF($B13="","",SUMIFS('الحركات الشهرية'!$H$6:$H$1005,'الحركات الشهرية'!$B$6:$B$1005,$B13,'الحركات الشهرية'!$A$6:$A$1005,$C$3))</f>
        <v>0</v>
      </c>
      <c r="R13" s="111" t="n">
        <f aca="false">IF($B13="","",SUM(J13:M13)+SUM(O13:Q13))</f>
        <v>10125</v>
      </c>
      <c r="S13" s="90" t="n">
        <f aca="false">IF($B13="","",الموظفون!$Q13*IF(E13="سعودي",cfg_G_SE,cfg_G_NE)*F13/cfg_DAYS_M)</f>
        <v>914.0625</v>
      </c>
      <c r="T13" s="90" t="n">
        <f aca="false">IF($B13="","",SUMIFS('الحركات الشهرية'!$I$6:$I$1005,'الحركات الشهرية'!$B$6:$B$1005,$B13,'الحركات الشهرية'!$A$6:$A$1005,$C$3))</f>
        <v>0</v>
      </c>
      <c r="U13" s="90" t="n">
        <f aca="false">IF($B13="","",SUMIFS('الحركات الشهرية'!$J$6:$J$1005,'الحركات الشهرية'!$B$6:$B$1005,$B13,'الحركات الشهرية'!$A$6:$A$1005,$C$3))</f>
        <v>0</v>
      </c>
      <c r="V13" s="90" t="n">
        <f aca="false">IF($B13="","",SUM(S13:U13))</f>
        <v>914.0625</v>
      </c>
      <c r="W13" s="112" t="n">
        <f aca="false">IF($B13="","",R13-V13)</f>
        <v>9210.9375</v>
      </c>
      <c r="X13" s="90" t="n">
        <f aca="false">IF($B13="","",الموظفون!$Q13*IF(E13="سعودي",cfg_G_SR,cfg_G_NR)*F13/cfg_DAYS_M)</f>
        <v>1101.5625</v>
      </c>
      <c r="Y13" s="90" t="n">
        <f aca="false">IF($B13="","",الموظفون!$O13*(cfg_EOS_R1*(MIN(AC13,cfg_EOS_TH)-MIN(AD13,cfg_EOS_TH))+cfg_EOS_R2*(MAX(AC13-cfg_EOS_TH,0)-MAX(AD13-cfg_EOS_TH,0))))</f>
        <v>416.095890410958</v>
      </c>
      <c r="Z13" s="90" t="n">
        <f aca="false">IF($B13="","",IF(الموظفون!$R13&lt;&gt;"",الموظفون!$R13,IF(AC13&gt;=cfg_LV_TH,cfg_LV_D2,cfg_LV_D1))/cfg_DAYS_Y*AE13*الموظفون!$P13/cfg_DAYS_M)</f>
        <v>582.534246575342</v>
      </c>
      <c r="AA13" s="90" t="n">
        <f aca="false">IF($B13="","",IF(AND(الموظفون!$S13="نعم",N(الموظفون!$U13)&gt;0),الموظفون!$T13/الموظفون!$U13*12/cfg_DAYS_Y*AE13,0))</f>
        <v>0</v>
      </c>
      <c r="AB13" s="113" t="n">
        <f aca="false">IF($B13="","",R13+SUM(X13:AA13))</f>
        <v>12225.1926369863</v>
      </c>
      <c r="AC13" s="114" t="n">
        <f aca="false">IF($B13="","",MAX(0,IF(OR(الموظفون!$X13="",الموظفون!$X13&gt;$G$3),$G$3,الموظفون!$X13)-الموظفون!$H13+1)/cfg_DAYS_Y)</f>
        <v>3.16986301369863</v>
      </c>
      <c r="AD13" s="114" t="n">
        <f aca="false">IF($B13="","",MAX(0,IF(OR(الموظفون!$X13="",الموظفون!$X13&gt;($E$3-1)),($E$3-1),الموظفون!$X13)-الموظفون!$H13+1)/cfg_DAYS_Y)</f>
        <v>3.08767123287671</v>
      </c>
      <c r="AE13" s="115" t="n">
        <f aca="false">IF($B13="","",MAX(0,IF(OR(الموظفون!$X13="",الموظفون!$X13&gt;$G$3),$G$3,الموظفون!$X13)-MAX($E$3,الموظفون!$H13)+1))</f>
        <v>30</v>
      </c>
    </row>
    <row r="14" customFormat="false" ht="15" hidden="false" customHeight="false" outlineLevel="0" collapsed="false">
      <c r="A14" s="83" t="n">
        <f aca="false">IF($B14="","",الموظفون!$A14)</f>
        <v>9</v>
      </c>
      <c r="B14" s="74" t="str">
        <f aca="false">IF(الموظفون!$B14="","",الموظفون!$B14)</f>
        <v>E009</v>
      </c>
      <c r="C14" s="74" t="str">
        <f aca="false">IF($B14="","",الموظفون!$C14)</f>
        <v>محمد رفيق</v>
      </c>
      <c r="D14" s="74" t="str">
        <f aca="false">IF($B14="","",الموظفون!$F14)</f>
        <v>العمليات</v>
      </c>
      <c r="E14" s="74" t="str">
        <f aca="false">IF($B14="","",الموظفون!$E14)</f>
        <v>غير سعودي</v>
      </c>
      <c r="F14" s="105" t="n">
        <f aca="false">IF($B14="","",IF(AE14&gt;=DAY($G$3),cfg_DAYS_M,MIN(AE14,cfg_DAYS_M)))</f>
        <v>30</v>
      </c>
      <c r="G14" s="105" t="n">
        <f aca="false">IF($B14="","",SUMIFS('الحركات الشهرية'!$D$6:$D$1005,'الحركات الشهرية'!$B$6:$B$1005,$B14,'الحركات الشهرية'!$A$6:$A$1005,$C$3))</f>
        <v>0</v>
      </c>
      <c r="H14" s="105" t="n">
        <f aca="false">IF($B14="","",SUMIFS('الحركات الشهرية'!$E$6:$E$1005,'الحركات الشهرية'!$B$6:$B$1005,$B14,'الحركات الشهرية'!$A$6:$A$1005,$C$3))</f>
        <v>0</v>
      </c>
      <c r="I14" s="105" t="n">
        <f aca="false">IF($B14="","",MAX(0,F14-G14-H14))</f>
        <v>30</v>
      </c>
      <c r="J14" s="86" t="n">
        <f aca="false">IF($B14="","",الموظفون!$J14*$I14/cfg_DAYS_M)</f>
        <v>6500</v>
      </c>
      <c r="K14" s="86" t="n">
        <f aca="false">IF($B14="","",الموظفون!$K14*$I14/cfg_DAYS_M)</f>
        <v>1625</v>
      </c>
      <c r="L14" s="86" t="n">
        <f aca="false">IF($B14="","",الموظفون!$L14*$I14/cfg_DAYS_M)</f>
        <v>650</v>
      </c>
      <c r="M14" s="86" t="n">
        <f aca="false">IF($B14="","",الموظفون!$M14*$I14/cfg_DAYS_M)</f>
        <v>300</v>
      </c>
      <c r="N14" s="105" t="n">
        <f aca="false">IF($B14="","",SUMIFS('الحركات الشهرية'!$F$6:$F$1005,'الحركات الشهرية'!$B$6:$B$1005,$B14,'الحركات الشهرية'!$A$6:$A$1005,$C$3))</f>
        <v>0</v>
      </c>
      <c r="O14" s="86" t="n">
        <f aca="false">IF($B14="","",N14*(الموظفون!$N14+الموظفون!$J14*cfg_OT_P)/cfg_DAYS_M/cfg_HRS)</f>
        <v>0</v>
      </c>
      <c r="P14" s="86" t="n">
        <f aca="false">IF($B14="","",SUMIFS('الحركات الشهرية'!$G$6:$G$1005,'الحركات الشهرية'!$B$6:$B$1005,$B14,'الحركات الشهرية'!$A$6:$A$1005,$C$3))</f>
        <v>0</v>
      </c>
      <c r="Q14" s="86" t="n">
        <f aca="false">IF($B14="","",SUMIFS('الحركات الشهرية'!$H$6:$H$1005,'الحركات الشهرية'!$B$6:$B$1005,$B14,'الحركات الشهرية'!$A$6:$A$1005,$C$3))</f>
        <v>0</v>
      </c>
      <c r="R14" s="106" t="n">
        <f aca="false">IF($B14="","",SUM(J14:M14)+SUM(O14:Q14))</f>
        <v>9075</v>
      </c>
      <c r="S14" s="86" t="n">
        <f aca="false">IF($B14="","",الموظفون!$Q14*IF(E14="سعودي",cfg_G_SE,cfg_G_NE)*F14/cfg_DAYS_M)</f>
        <v>0</v>
      </c>
      <c r="T14" s="86" t="n">
        <f aca="false">IF($B14="","",SUMIFS('الحركات الشهرية'!$I$6:$I$1005,'الحركات الشهرية'!$B$6:$B$1005,$B14,'الحركات الشهرية'!$A$6:$A$1005,$C$3))</f>
        <v>0</v>
      </c>
      <c r="U14" s="86" t="n">
        <f aca="false">IF($B14="","",SUMIFS('الحركات الشهرية'!$J$6:$J$1005,'الحركات الشهرية'!$B$6:$B$1005,$B14,'الحركات الشهرية'!$A$6:$A$1005,$C$3))</f>
        <v>0</v>
      </c>
      <c r="V14" s="86" t="n">
        <f aca="false">IF($B14="","",SUM(S14:U14))</f>
        <v>0</v>
      </c>
      <c r="W14" s="107" t="n">
        <f aca="false">IF($B14="","",R14-V14)</f>
        <v>9075</v>
      </c>
      <c r="X14" s="86" t="n">
        <f aca="false">IF($B14="","",الموظفون!$Q14*IF(E14="سعودي",cfg_G_SR,cfg_G_NR)*F14/cfg_DAYS_M)</f>
        <v>162.5</v>
      </c>
      <c r="Y14" s="86" t="n">
        <f aca="false">IF($B14="","",الموظفون!$O14*(cfg_EOS_R1*(MIN(AC14,cfg_EOS_TH)-MIN(AD14,cfg_EOS_TH))+cfg_EOS_R2*(MAX(AC14-cfg_EOS_TH,0)-MAX(AD14-cfg_EOS_TH,0))))</f>
        <v>721.232876712324</v>
      </c>
      <c r="Z14" s="86" t="n">
        <f aca="false">IF($B14="","",IF(الموظفون!$R14&lt;&gt;"",الموظفون!$R14,IF(AC14&gt;=cfg_LV_TH,cfg_LV_D2,cfg_LV_D1))/cfg_DAYS_Y*AE14*الموظفون!$P14/cfg_DAYS_M)</f>
        <v>721.232876712329</v>
      </c>
      <c r="AA14" s="86" t="n">
        <f aca="false">IF($B14="","",IF(AND(الموظفون!$S14="نعم",N(الموظفون!$U14)&gt;0),الموظفون!$T14/الموظفون!$U14*12/cfg_DAYS_Y*AE14,0))</f>
        <v>90.4109589041096</v>
      </c>
      <c r="AB14" s="108" t="n">
        <f aca="false">IF($B14="","",R14+SUM(X14:AA14))</f>
        <v>10770.3767123288</v>
      </c>
      <c r="AC14" s="109" t="n">
        <f aca="false">IF($B14="","",MAX(0,IF(OR(الموظفون!$X14="",الموظفون!$X14&gt;$G$3),$G$3,الموظفون!$X14)-الموظفون!$H14+1)/cfg_DAYS_Y)</f>
        <v>11.7095890410959</v>
      </c>
      <c r="AD14" s="109" t="n">
        <f aca="false">IF($B14="","",MAX(0,IF(OR(الموظفون!$X14="",الموظفون!$X14&gt;($E$3-1)),($E$3-1),الموظفون!$X14)-الموظفون!$H14+1)/cfg_DAYS_Y)</f>
        <v>11.627397260274</v>
      </c>
      <c r="AE14" s="51" t="n">
        <f aca="false">IF($B14="","",MAX(0,IF(OR(الموظفون!$X14="",الموظفون!$X14&gt;$G$3),$G$3,الموظفون!$X14)-MAX($E$3,الموظفون!$H14)+1))</f>
        <v>30</v>
      </c>
    </row>
    <row r="15" customFormat="false" ht="15" hidden="false" customHeight="false" outlineLevel="0" collapsed="false">
      <c r="A15" s="89" t="n">
        <f aca="false">IF($B15="","",الموظفون!$A15)</f>
        <v>10</v>
      </c>
      <c r="B15" s="91" t="str">
        <f aca="false">IF(الموظفون!$B15="","",الموظفون!$B15)</f>
        <v>E010</v>
      </c>
      <c r="C15" s="91" t="str">
        <f aca="false">IF($B15="","",الموظفون!$C15)</f>
        <v>ريم سلطان المطيري</v>
      </c>
      <c r="D15" s="91" t="str">
        <f aca="false">IF($B15="","",الموظفون!$F15)</f>
        <v>المبيعات</v>
      </c>
      <c r="E15" s="91" t="str">
        <f aca="false">IF($B15="","",الموظفون!$E15)</f>
        <v>سعودي</v>
      </c>
      <c r="F15" s="110" t="n">
        <f aca="false">IF($B15="","",IF(AE15&gt;=DAY($G$3),cfg_DAYS_M,MIN(AE15,cfg_DAYS_M)))</f>
        <v>16</v>
      </c>
      <c r="G15" s="110" t="n">
        <f aca="false">IF($B15="","",SUMIFS('الحركات الشهرية'!$D$6:$D$1005,'الحركات الشهرية'!$B$6:$B$1005,$B15,'الحركات الشهرية'!$A$6:$A$1005,$C$3))</f>
        <v>0</v>
      </c>
      <c r="H15" s="110" t="n">
        <f aca="false">IF($B15="","",SUMIFS('الحركات الشهرية'!$E$6:$E$1005,'الحركات الشهرية'!$B$6:$B$1005,$B15,'الحركات الشهرية'!$A$6:$A$1005,$C$3))</f>
        <v>0</v>
      </c>
      <c r="I15" s="110" t="n">
        <f aca="false">IF($B15="","",MAX(0,F15-G15-H15))</f>
        <v>16</v>
      </c>
      <c r="J15" s="90" t="n">
        <f aca="false">IF($B15="","",الموظفون!$J15*$I15/cfg_DAYS_M)</f>
        <v>4800</v>
      </c>
      <c r="K15" s="90" t="n">
        <f aca="false">IF($B15="","",الموظفون!$K15*$I15/cfg_DAYS_M)</f>
        <v>1200</v>
      </c>
      <c r="L15" s="90" t="n">
        <f aca="false">IF($B15="","",الموظفون!$L15*$I15/cfg_DAYS_M)</f>
        <v>480</v>
      </c>
      <c r="M15" s="90" t="n">
        <f aca="false">IF($B15="","",الموظفون!$M15*$I15/cfg_DAYS_M)</f>
        <v>0</v>
      </c>
      <c r="N15" s="110" t="n">
        <f aca="false">IF($B15="","",SUMIFS('الحركات الشهرية'!$F$6:$F$1005,'الحركات الشهرية'!$B$6:$B$1005,$B15,'الحركات الشهرية'!$A$6:$A$1005,$C$3))</f>
        <v>0</v>
      </c>
      <c r="O15" s="90" t="n">
        <f aca="false">IF($B15="","",N15*(الموظفون!$N15+الموظفون!$J15*cfg_OT_P)/cfg_DAYS_M/cfg_HRS)</f>
        <v>0</v>
      </c>
      <c r="P15" s="90" t="n">
        <f aca="false">IF($B15="","",SUMIFS('الحركات الشهرية'!$G$6:$G$1005,'الحركات الشهرية'!$B$6:$B$1005,$B15,'الحركات الشهرية'!$A$6:$A$1005,$C$3))</f>
        <v>0</v>
      </c>
      <c r="Q15" s="90" t="n">
        <f aca="false">IF($B15="","",SUMIFS('الحركات الشهرية'!$H$6:$H$1005,'الحركات الشهرية'!$B$6:$B$1005,$B15,'الحركات الشهرية'!$A$6:$A$1005,$C$3))</f>
        <v>0</v>
      </c>
      <c r="R15" s="111" t="n">
        <f aca="false">IF($B15="","",SUM(J15:M15)+SUM(O15:Q15))</f>
        <v>6480</v>
      </c>
      <c r="S15" s="90" t="n">
        <f aca="false">IF($B15="","",الموظفون!$Q15*IF(E15="سعودي",cfg_G_SE,cfg_G_NE)*F15/cfg_DAYS_M)</f>
        <v>585</v>
      </c>
      <c r="T15" s="90" t="n">
        <f aca="false">IF($B15="","",SUMIFS('الحركات الشهرية'!$I$6:$I$1005,'الحركات الشهرية'!$B$6:$B$1005,$B15,'الحركات الشهرية'!$A$6:$A$1005,$C$3))</f>
        <v>0</v>
      </c>
      <c r="U15" s="90" t="n">
        <f aca="false">IF($B15="","",SUMIFS('الحركات الشهرية'!$J$6:$J$1005,'الحركات الشهرية'!$B$6:$B$1005,$B15,'الحركات الشهرية'!$A$6:$A$1005,$C$3))</f>
        <v>0</v>
      </c>
      <c r="V15" s="90" t="n">
        <f aca="false">IF($B15="","",SUM(S15:U15))</f>
        <v>585</v>
      </c>
      <c r="W15" s="112" t="n">
        <f aca="false">IF($B15="","",R15-V15)</f>
        <v>5895</v>
      </c>
      <c r="X15" s="90" t="n">
        <f aca="false">IF($B15="","",الموظفون!$Q15*IF(E15="سعودي",cfg_G_SR,cfg_G_NR)*F15/cfg_DAYS_M)</f>
        <v>705</v>
      </c>
      <c r="Y15" s="90" t="n">
        <f aca="false">IF($B15="","",الموظفون!$O15*(cfg_EOS_R1*(MIN(AC15,cfg_EOS_TH)-MIN(AD15,cfg_EOS_TH))+cfg_EOS_R2*(MAX(AC15-cfg_EOS_TH,0)-MAX(AD15-cfg_EOS_TH,0))))</f>
        <v>266.301369863014</v>
      </c>
      <c r="Z15" s="90" t="n">
        <f aca="false">IF($B15="","",IF(الموظفون!$R15&lt;&gt;"",الموظفون!$R15,IF(AC15&gt;=cfg_LV_TH,cfg_LV_D2,cfg_LV_D1))/cfg_DAYS_Y*AE15*الموظفون!$P15/cfg_DAYS_M)</f>
        <v>372.821917808219</v>
      </c>
      <c r="AA15" s="90" t="n">
        <f aca="false">IF($B15="","",IF(AND(الموظفون!$S15="نعم",N(الموظفون!$U15)&gt;0),الموظفون!$T15/الموظفون!$U15*12/cfg_DAYS_Y*AE15,0))</f>
        <v>0</v>
      </c>
      <c r="AB15" s="113" t="n">
        <f aca="false">IF($B15="","",R15+SUM(X15:AA15))</f>
        <v>7824.12328767123</v>
      </c>
      <c r="AC15" s="114" t="n">
        <f aca="false">IF($B15="","",MAX(0,IF(OR(الموظفون!$X15="",الموظفون!$X15&gt;$G$3),$G$3,الموظفون!$X15)-الموظفون!$H15+1)/cfg_DAYS_Y)</f>
        <v>0.0438356164383562</v>
      </c>
      <c r="AD15" s="114" t="n">
        <f aca="false">IF($B15="","",MAX(0,IF(OR(الموظفون!$X15="",الموظفون!$X15&gt;($E$3-1)),($E$3-1),الموظفون!$X15)-الموظفون!$H15+1)/cfg_DAYS_Y)</f>
        <v>0</v>
      </c>
      <c r="AE15" s="115" t="n">
        <f aca="false">IF($B15="","",MAX(0,IF(OR(الموظفون!$X15="",الموظفون!$X15&gt;$G$3),$G$3,الموظفون!$X15)-MAX($E$3,الموظفون!$H15)+1))</f>
        <v>16</v>
      </c>
    </row>
    <row r="16" customFormat="false" ht="15" hidden="false" customHeight="false" outlineLevel="0" collapsed="false">
      <c r="A16" s="83" t="n">
        <f aca="false">IF($B16="","",الموظفون!$A16)</f>
        <v>11</v>
      </c>
      <c r="B16" s="74" t="str">
        <f aca="false">IF(الموظفون!$B16="","",الموظفون!$B16)</f>
        <v>E011</v>
      </c>
      <c r="C16" s="74" t="str">
        <f aca="false">IF($B16="","",الموظفون!$C16)</f>
        <v>جون ماتيو</v>
      </c>
      <c r="D16" s="74" t="str">
        <f aca="false">IF($B16="","",الموظفون!$F16)</f>
        <v>العمليات</v>
      </c>
      <c r="E16" s="74" t="str">
        <f aca="false">IF($B16="","",الموظفون!$E16)</f>
        <v>غير سعودي</v>
      </c>
      <c r="F16" s="105" t="n">
        <f aca="false">IF($B16="","",IF(AE16&gt;=DAY($G$3),cfg_DAYS_M,MIN(AE16,cfg_DAYS_M)))</f>
        <v>30</v>
      </c>
      <c r="G16" s="105" t="n">
        <f aca="false">IF($B16="","",SUMIFS('الحركات الشهرية'!$D$6:$D$1005,'الحركات الشهرية'!$B$6:$B$1005,$B16,'الحركات الشهرية'!$A$6:$A$1005,$C$3))</f>
        <v>0</v>
      </c>
      <c r="H16" s="105" t="n">
        <f aca="false">IF($B16="","",SUMIFS('الحركات الشهرية'!$E$6:$E$1005,'الحركات الشهرية'!$B$6:$B$1005,$B16,'الحركات الشهرية'!$A$6:$A$1005,$C$3))</f>
        <v>0</v>
      </c>
      <c r="I16" s="105" t="n">
        <f aca="false">IF($B16="","",MAX(0,F16-G16-H16))</f>
        <v>30</v>
      </c>
      <c r="J16" s="86" t="n">
        <f aca="false">IF($B16="","",الموظفون!$J16*$I16/cfg_DAYS_M)</f>
        <v>5000</v>
      </c>
      <c r="K16" s="86" t="n">
        <f aca="false">IF($B16="","",الموظفون!$K16*$I16/cfg_DAYS_M)</f>
        <v>1250</v>
      </c>
      <c r="L16" s="86" t="n">
        <f aca="false">IF($B16="","",الموظفون!$L16*$I16/cfg_DAYS_M)</f>
        <v>500</v>
      </c>
      <c r="M16" s="86" t="n">
        <f aca="false">IF($B16="","",الموظفون!$M16*$I16/cfg_DAYS_M)</f>
        <v>0</v>
      </c>
      <c r="N16" s="105" t="n">
        <f aca="false">IF($B16="","",SUMIFS('الحركات الشهرية'!$F$6:$F$1005,'الحركات الشهرية'!$B$6:$B$1005,$B16,'الحركات الشهرية'!$A$6:$A$1005,$C$3))</f>
        <v>0</v>
      </c>
      <c r="O16" s="86" t="n">
        <f aca="false">IF($B16="","",N16*(الموظفون!$N16+الموظفون!$J16*cfg_OT_P)/cfg_DAYS_M/cfg_HRS)</f>
        <v>0</v>
      </c>
      <c r="P16" s="86" t="n">
        <f aca="false">IF($B16="","",SUMIFS('الحركات الشهرية'!$G$6:$G$1005,'الحركات الشهرية'!$B$6:$B$1005,$B16,'الحركات الشهرية'!$A$6:$A$1005,$C$3))</f>
        <v>0</v>
      </c>
      <c r="Q16" s="86" t="n">
        <f aca="false">IF($B16="","",SUMIFS('الحركات الشهرية'!$H$6:$H$1005,'الحركات الشهرية'!$B$6:$B$1005,$B16,'الحركات الشهرية'!$A$6:$A$1005,$C$3))</f>
        <v>0</v>
      </c>
      <c r="R16" s="106" t="n">
        <f aca="false">IF($B16="","",SUM(J16:M16)+SUM(O16:Q16))</f>
        <v>6750</v>
      </c>
      <c r="S16" s="86" t="n">
        <f aca="false">IF($B16="","",الموظفون!$Q16*IF(E16="سعودي",cfg_G_SE,cfg_G_NE)*F16/cfg_DAYS_M)</f>
        <v>0</v>
      </c>
      <c r="T16" s="86" t="n">
        <f aca="false">IF($B16="","",SUMIFS('الحركات الشهرية'!$I$6:$I$1005,'الحركات الشهرية'!$B$6:$B$1005,$B16,'الحركات الشهرية'!$A$6:$A$1005,$C$3))</f>
        <v>0</v>
      </c>
      <c r="U16" s="86" t="n">
        <f aca="false">IF($B16="","",SUMIFS('الحركات الشهرية'!$J$6:$J$1005,'الحركات الشهرية'!$B$6:$B$1005,$B16,'الحركات الشهرية'!$A$6:$A$1005,$C$3))</f>
        <v>0</v>
      </c>
      <c r="V16" s="86" t="n">
        <f aca="false">IF($B16="","",SUM(S16:U16))</f>
        <v>0</v>
      </c>
      <c r="W16" s="107" t="n">
        <f aca="false">IF($B16="","",R16-V16)</f>
        <v>6750</v>
      </c>
      <c r="X16" s="86" t="n">
        <f aca="false">IF($B16="","",الموظفون!$Q16*IF(E16="سعودي",cfg_G_SR,cfg_G_NR)*F16/cfg_DAYS_M)</f>
        <v>125</v>
      </c>
      <c r="Y16" s="86" t="n">
        <f aca="false">IF($B16="","",الموظفون!$O16*(cfg_EOS_R1*(MIN(AC16,cfg_EOS_TH)-MIN(AD16,cfg_EOS_TH))+cfg_EOS_R2*(MAX(AC16-cfg_EOS_TH,0)-MAX(AD16-cfg_EOS_TH,0))))</f>
        <v>554.794520547947</v>
      </c>
      <c r="Z16" s="86" t="n">
        <f aca="false">IF($B16="","",IF(الموظفون!$R16&lt;&gt;"",الموظفون!$R16,IF(AC16&gt;=cfg_LV_TH,cfg_LV_D2,cfg_LV_D1))/cfg_DAYS_Y*AE16*الموظفون!$P16/cfg_DAYS_M)</f>
        <v>554.794520547945</v>
      </c>
      <c r="AA16" s="86" t="n">
        <f aca="false">IF($B16="","",IF(AND(الموظفون!$S16="نعم",N(الموظفون!$U16)&gt;0),الموظفون!$T16/الموظفون!$U16*12/cfg_DAYS_Y*AE16,0))</f>
        <v>106.849315068493</v>
      </c>
      <c r="AB16" s="108" t="n">
        <f aca="false">IF($B16="","",R16+SUM(X16:AA16))</f>
        <v>8091.43835616439</v>
      </c>
      <c r="AC16" s="109" t="n">
        <f aca="false">IF($B16="","",MAX(0,IF(OR(الموظفون!$X16="",الموظفون!$X16&gt;$G$3),$G$3,الموظفون!$X16)-الموظفون!$H16+1)/cfg_DAYS_Y)</f>
        <v>7.17260273972603</v>
      </c>
      <c r="AD16" s="109" t="n">
        <f aca="false">IF($B16="","",MAX(0,IF(OR(الموظفون!$X16="",الموظفون!$X16&gt;($E$3-1)),($E$3-1),الموظفون!$X16)-الموظفون!$H16+1)/cfg_DAYS_Y)</f>
        <v>7.09041095890411</v>
      </c>
      <c r="AE16" s="51" t="n">
        <f aca="false">IF($B16="","",MAX(0,IF(OR(الموظفون!$X16="",الموظفون!$X16&gt;$G$3),$G$3,الموظفون!$X16)-MAX($E$3,الموظفون!$H16)+1))</f>
        <v>30</v>
      </c>
    </row>
    <row r="17" customFormat="false" ht="15" hidden="false" customHeight="false" outlineLevel="0" collapsed="false">
      <c r="A17" s="89" t="n">
        <f aca="false">IF($B17="","",الموظفون!$A17)</f>
        <v>12</v>
      </c>
      <c r="B17" s="91" t="str">
        <f aca="false">IF(الموظفون!$B17="","",الموظفون!$B17)</f>
        <v>E012</v>
      </c>
      <c r="C17" s="91" t="str">
        <f aca="false">IF($B17="","",الموظفون!$C17)</f>
        <v>عمر حسين البيشي</v>
      </c>
      <c r="D17" s="91" t="str">
        <f aca="false">IF($B17="","",الموظفون!$F17)</f>
        <v>تقنية المعلومات</v>
      </c>
      <c r="E17" s="91" t="str">
        <f aca="false">IF($B17="","",الموظفون!$E17)</f>
        <v>سعودي</v>
      </c>
      <c r="F17" s="110" t="n">
        <f aca="false">IF($B17="","",IF(AE17&gt;=DAY($G$3),cfg_DAYS_M,MIN(AE17,cfg_DAYS_M)))</f>
        <v>30</v>
      </c>
      <c r="G17" s="110" t="n">
        <f aca="false">IF($B17="","",SUMIFS('الحركات الشهرية'!$D$6:$D$1005,'الحركات الشهرية'!$B$6:$B$1005,$B17,'الحركات الشهرية'!$A$6:$A$1005,$C$3))</f>
        <v>2</v>
      </c>
      <c r="H17" s="110" t="n">
        <f aca="false">IF($B17="","",SUMIFS('الحركات الشهرية'!$E$6:$E$1005,'الحركات الشهرية'!$B$6:$B$1005,$B17,'الحركات الشهرية'!$A$6:$A$1005,$C$3))</f>
        <v>0</v>
      </c>
      <c r="I17" s="110" t="n">
        <f aca="false">IF($B17="","",MAX(0,F17-G17-H17))</f>
        <v>28</v>
      </c>
      <c r="J17" s="90" t="n">
        <f aca="false">IF($B17="","",الموظفون!$J17*$I17/cfg_DAYS_M)</f>
        <v>11200</v>
      </c>
      <c r="K17" s="90" t="n">
        <f aca="false">IF($B17="","",الموظفون!$K17*$I17/cfg_DAYS_M)</f>
        <v>2800</v>
      </c>
      <c r="L17" s="90" t="n">
        <f aca="false">IF($B17="","",الموظفون!$L17*$I17/cfg_DAYS_M)</f>
        <v>1120</v>
      </c>
      <c r="M17" s="90" t="n">
        <f aca="false">IF($B17="","",الموظفون!$M17*$I17/cfg_DAYS_M)</f>
        <v>1400</v>
      </c>
      <c r="N17" s="110" t="n">
        <f aca="false">IF($B17="","",SUMIFS('الحركات الشهرية'!$F$6:$F$1005,'الحركات الشهرية'!$B$6:$B$1005,$B17,'الحركات الشهرية'!$A$6:$A$1005,$C$3))</f>
        <v>0</v>
      </c>
      <c r="O17" s="90" t="n">
        <f aca="false">IF($B17="","",N17*(الموظفون!$N17+الموظفون!$J17*cfg_OT_P)/cfg_DAYS_M/cfg_HRS)</f>
        <v>0</v>
      </c>
      <c r="P17" s="90" t="n">
        <f aca="false">IF($B17="","",SUMIFS('الحركات الشهرية'!$G$6:$G$1005,'الحركات الشهرية'!$B$6:$B$1005,$B17,'الحركات الشهرية'!$A$6:$A$1005,$C$3))</f>
        <v>0</v>
      </c>
      <c r="Q17" s="90" t="n">
        <f aca="false">IF($B17="","",SUMIFS('الحركات الشهرية'!$H$6:$H$1005,'الحركات الشهرية'!$B$6:$B$1005,$B17,'الحركات الشهرية'!$A$6:$A$1005,$C$3))</f>
        <v>0</v>
      </c>
      <c r="R17" s="111" t="n">
        <f aca="false">IF($B17="","",SUM(J17:M17)+SUM(O17:Q17))</f>
        <v>16520</v>
      </c>
      <c r="S17" s="90" t="n">
        <f aca="false">IF($B17="","",الموظفون!$Q17*IF(E17="سعودي",cfg_G_SE,cfg_G_NE)*F17/cfg_DAYS_M)</f>
        <v>1462.5</v>
      </c>
      <c r="T17" s="90" t="n">
        <f aca="false">IF($B17="","",SUMIFS('الحركات الشهرية'!$I$6:$I$1005,'الحركات الشهرية'!$B$6:$B$1005,$B17,'الحركات الشهرية'!$A$6:$A$1005,$C$3))</f>
        <v>0</v>
      </c>
      <c r="U17" s="90" t="n">
        <f aca="false">IF($B17="","",SUMIFS('الحركات الشهرية'!$J$6:$J$1005,'الحركات الشهرية'!$B$6:$B$1005,$B17,'الحركات الشهرية'!$A$6:$A$1005,$C$3))</f>
        <v>0</v>
      </c>
      <c r="V17" s="90" t="n">
        <f aca="false">IF($B17="","",SUM(S17:U17))</f>
        <v>1462.5</v>
      </c>
      <c r="W17" s="112" t="n">
        <f aca="false">IF($B17="","",R17-V17)</f>
        <v>15057.5</v>
      </c>
      <c r="X17" s="90" t="n">
        <f aca="false">IF($B17="","",الموظفون!$Q17*IF(E17="سعودي",cfg_G_SR,cfg_G_NR)*F17/cfg_DAYS_M)</f>
        <v>1762.5</v>
      </c>
      <c r="Y17" s="90" t="n">
        <f aca="false">IF($B17="","",الموظفون!$O17*(cfg_EOS_R1*(MIN(AC17,cfg_EOS_TH)-MIN(AD17,cfg_EOS_TH))+cfg_EOS_R2*(MAX(AC17-cfg_EOS_TH,0)-MAX(AD17-cfg_EOS_TH,0))))</f>
        <v>665.753424657537</v>
      </c>
      <c r="Z17" s="90" t="n">
        <f aca="false">IF($B17="","",IF(الموظفون!$R17&lt;&gt;"",الموظفون!$R17,IF(AC17&gt;=cfg_LV_TH,cfg_LV_D2,cfg_LV_D1))/cfg_DAYS_Y*AE17*الموظفون!$P17/cfg_DAYS_M)</f>
        <v>932.054794520548</v>
      </c>
      <c r="AA17" s="90" t="n">
        <f aca="false">IF($B17="","",IF(AND(الموظفون!$S17="نعم",N(الموظفون!$U17)&gt;0),الموظفون!$T17/الموظفون!$U17*12/cfg_DAYS_Y*AE17,0))</f>
        <v>0</v>
      </c>
      <c r="AB17" s="113" t="n">
        <f aca="false">IF($B17="","",R17+SUM(X17:AA17))</f>
        <v>19880.3082191781</v>
      </c>
      <c r="AC17" s="114" t="n">
        <f aca="false">IF($B17="","",MAX(0,IF(OR(الموظفون!$X17="",الموظفون!$X17&gt;$G$3),$G$3,الموظفون!$X17)-الموظفون!$H17+1)/cfg_DAYS_Y)</f>
        <v>3.81095890410959</v>
      </c>
      <c r="AD17" s="114" t="n">
        <f aca="false">IF($B17="","",MAX(0,IF(OR(الموظفون!$X17="",الموظفون!$X17&gt;($E$3-1)),($E$3-1),الموظفون!$X17)-الموظفون!$H17+1)/cfg_DAYS_Y)</f>
        <v>3.72876712328767</v>
      </c>
      <c r="AE17" s="115" t="n">
        <f aca="false">IF($B17="","",MAX(0,IF(OR(الموظفون!$X17="",الموظفون!$X17&gt;$G$3),$G$3,الموظفون!$X17)-MAX($E$3,الموظفون!$H17)+1))</f>
        <v>30</v>
      </c>
    </row>
    <row r="18" customFormat="false" ht="15" hidden="false" customHeight="false" outlineLevel="0" collapsed="false">
      <c r="A18" s="83" t="str">
        <f aca="false">IF($B18="","",الموظفون!$A18)</f>
        <v/>
      </c>
      <c r="B18" s="74" t="str">
        <f aca="false">IF(الموظفون!$B18="","",الموظفون!$B18)</f>
        <v/>
      </c>
      <c r="C18" s="74" t="str">
        <f aca="false">IF($B18="","",الموظفون!$C18)</f>
        <v/>
      </c>
      <c r="D18" s="74" t="str">
        <f aca="false">IF($B18="","",الموظفون!$F18)</f>
        <v/>
      </c>
      <c r="E18" s="74" t="str">
        <f aca="false">IF($B18="","",الموظفون!$E18)</f>
        <v/>
      </c>
      <c r="F18" s="105" t="str">
        <f aca="false">IF($B18="","",IF(AE18&gt;=DAY($G$3),cfg_DAYS_M,MIN(AE18,cfg_DAYS_M)))</f>
        <v/>
      </c>
      <c r="G18" s="105" t="str">
        <f aca="false">IF($B18="","",SUMIFS('الحركات الشهرية'!$D$6:$D$1005,'الحركات الشهرية'!$B$6:$B$1005,$B18,'الحركات الشهرية'!$A$6:$A$1005,$C$3))</f>
        <v/>
      </c>
      <c r="H18" s="105" t="str">
        <f aca="false">IF($B18="","",SUMIFS('الحركات الشهرية'!$E$6:$E$1005,'الحركات الشهرية'!$B$6:$B$1005,$B18,'الحركات الشهرية'!$A$6:$A$1005,$C$3))</f>
        <v/>
      </c>
      <c r="I18" s="105" t="str">
        <f aca="false">IF($B18="","",MAX(0,F18-G18-H18))</f>
        <v/>
      </c>
      <c r="J18" s="86" t="str">
        <f aca="false">IF($B18="","",الموظفون!$J18*$I18/cfg_DAYS_M)</f>
        <v/>
      </c>
      <c r="K18" s="86" t="str">
        <f aca="false">IF($B18="","",الموظفون!$K18*$I18/cfg_DAYS_M)</f>
        <v/>
      </c>
      <c r="L18" s="86" t="str">
        <f aca="false">IF($B18="","",الموظفون!$L18*$I18/cfg_DAYS_M)</f>
        <v/>
      </c>
      <c r="M18" s="86" t="str">
        <f aca="false">IF($B18="","",الموظفون!$M18*$I18/cfg_DAYS_M)</f>
        <v/>
      </c>
      <c r="N18" s="105" t="str">
        <f aca="false">IF($B18="","",SUMIFS('الحركات الشهرية'!$F$6:$F$1005,'الحركات الشهرية'!$B$6:$B$1005,$B18,'الحركات الشهرية'!$A$6:$A$1005,$C$3))</f>
        <v/>
      </c>
      <c r="O18" s="86" t="str">
        <f aca="false">IF($B18="","",N18*(الموظفون!$N18+الموظفون!$J18*cfg_OT_P)/cfg_DAYS_M/cfg_HRS)</f>
        <v/>
      </c>
      <c r="P18" s="86" t="str">
        <f aca="false">IF($B18="","",SUMIFS('الحركات الشهرية'!$G$6:$G$1005,'الحركات الشهرية'!$B$6:$B$1005,$B18,'الحركات الشهرية'!$A$6:$A$1005,$C$3))</f>
        <v/>
      </c>
      <c r="Q18" s="86" t="str">
        <f aca="false">IF($B18="","",SUMIFS('الحركات الشهرية'!$H$6:$H$1005,'الحركات الشهرية'!$B$6:$B$1005,$B18,'الحركات الشهرية'!$A$6:$A$1005,$C$3))</f>
        <v/>
      </c>
      <c r="R18" s="106" t="str">
        <f aca="false">IF($B18="","",SUM(J18:M18)+SUM(O18:Q18))</f>
        <v/>
      </c>
      <c r="S18" s="86" t="str">
        <f aca="false">IF($B18="","",الموظفون!$Q18*IF(E18="سعودي",cfg_G_SE,cfg_G_NE)*F18/cfg_DAYS_M)</f>
        <v/>
      </c>
      <c r="T18" s="86" t="str">
        <f aca="false">IF($B18="","",SUMIFS('الحركات الشهرية'!$I$6:$I$1005,'الحركات الشهرية'!$B$6:$B$1005,$B18,'الحركات الشهرية'!$A$6:$A$1005,$C$3))</f>
        <v/>
      </c>
      <c r="U18" s="86" t="str">
        <f aca="false">IF($B18="","",SUMIFS('الحركات الشهرية'!$J$6:$J$1005,'الحركات الشهرية'!$B$6:$B$1005,$B18,'الحركات الشهرية'!$A$6:$A$1005,$C$3))</f>
        <v/>
      </c>
      <c r="V18" s="86" t="str">
        <f aca="false">IF($B18="","",SUM(S18:U18))</f>
        <v/>
      </c>
      <c r="W18" s="107" t="str">
        <f aca="false">IF($B18="","",R18-V18)</f>
        <v/>
      </c>
      <c r="X18" s="86" t="str">
        <f aca="false">IF($B18="","",الموظفون!$Q18*IF(E18="سعودي",cfg_G_SR,cfg_G_NR)*F18/cfg_DAYS_M)</f>
        <v/>
      </c>
      <c r="Y18" s="86" t="str">
        <f aca="false">IF($B18="","",الموظفون!$O18*(cfg_EOS_R1*(MIN(AC18,cfg_EOS_TH)-MIN(AD18,cfg_EOS_TH))+cfg_EOS_R2*(MAX(AC18-cfg_EOS_TH,0)-MAX(AD18-cfg_EOS_TH,0))))</f>
        <v/>
      </c>
      <c r="Z18" s="86" t="str">
        <f aca="false">IF($B18="","",IF(الموظفون!$R18&lt;&gt;"",الموظفون!$R18,IF(AC18&gt;=cfg_LV_TH,cfg_LV_D2,cfg_LV_D1))/cfg_DAYS_Y*AE18*الموظفون!$P18/cfg_DAYS_M)</f>
        <v/>
      </c>
      <c r="AA18" s="86" t="str">
        <f aca="false">IF($B18="","",IF(AND(الموظفون!$S18="نعم",N(الموظفون!$U18)&gt;0),الموظفون!$T18/الموظفون!$U18*12/cfg_DAYS_Y*AE18,0))</f>
        <v/>
      </c>
      <c r="AB18" s="108" t="str">
        <f aca="false">IF($B18="","",R18+SUM(X18:AA18))</f>
        <v/>
      </c>
      <c r="AC18" s="109" t="str">
        <f aca="false">IF($B18="","",MAX(0,IF(OR(الموظفون!$X18="",الموظفون!$X18&gt;$G$3),$G$3,الموظفون!$X18)-الموظفون!$H18+1)/cfg_DAYS_Y)</f>
        <v/>
      </c>
      <c r="AD18" s="109" t="str">
        <f aca="false">IF($B18="","",MAX(0,IF(OR(الموظفون!$X18="",الموظفون!$X18&gt;($E$3-1)),($E$3-1),الموظفون!$X18)-الموظفون!$H18+1)/cfg_DAYS_Y)</f>
        <v/>
      </c>
      <c r="AE18" s="51" t="str">
        <f aca="false">IF($B18="","",MAX(0,IF(OR(الموظفون!$X18="",الموظفون!$X18&gt;$G$3),$G$3,الموظفون!$X18)-MAX($E$3,الموظفون!$H18)+1))</f>
        <v/>
      </c>
    </row>
    <row r="19" customFormat="false" ht="15" hidden="false" customHeight="false" outlineLevel="0" collapsed="false">
      <c r="A19" s="89" t="str">
        <f aca="false">IF($B19="","",الموظفون!$A19)</f>
        <v/>
      </c>
      <c r="B19" s="91" t="str">
        <f aca="false">IF(الموظفون!$B19="","",الموظفون!$B19)</f>
        <v/>
      </c>
      <c r="C19" s="91" t="str">
        <f aca="false">IF($B19="","",الموظفون!$C19)</f>
        <v/>
      </c>
      <c r="D19" s="91" t="str">
        <f aca="false">IF($B19="","",الموظفون!$F19)</f>
        <v/>
      </c>
      <c r="E19" s="91" t="str">
        <f aca="false">IF($B19="","",الموظفون!$E19)</f>
        <v/>
      </c>
      <c r="F19" s="110" t="str">
        <f aca="false">IF($B19="","",IF(AE19&gt;=DAY($G$3),cfg_DAYS_M,MIN(AE19,cfg_DAYS_M)))</f>
        <v/>
      </c>
      <c r="G19" s="110" t="str">
        <f aca="false">IF($B19="","",SUMIFS('الحركات الشهرية'!$D$6:$D$1005,'الحركات الشهرية'!$B$6:$B$1005,$B19,'الحركات الشهرية'!$A$6:$A$1005,$C$3))</f>
        <v/>
      </c>
      <c r="H19" s="110" t="str">
        <f aca="false">IF($B19="","",SUMIFS('الحركات الشهرية'!$E$6:$E$1005,'الحركات الشهرية'!$B$6:$B$1005,$B19,'الحركات الشهرية'!$A$6:$A$1005,$C$3))</f>
        <v/>
      </c>
      <c r="I19" s="110" t="str">
        <f aca="false">IF($B19="","",MAX(0,F19-G19-H19))</f>
        <v/>
      </c>
      <c r="J19" s="90" t="str">
        <f aca="false">IF($B19="","",الموظفون!$J19*$I19/cfg_DAYS_M)</f>
        <v/>
      </c>
      <c r="K19" s="90" t="str">
        <f aca="false">IF($B19="","",الموظفون!$K19*$I19/cfg_DAYS_M)</f>
        <v/>
      </c>
      <c r="L19" s="90" t="str">
        <f aca="false">IF($B19="","",الموظفون!$L19*$I19/cfg_DAYS_M)</f>
        <v/>
      </c>
      <c r="M19" s="90" t="str">
        <f aca="false">IF($B19="","",الموظفون!$M19*$I19/cfg_DAYS_M)</f>
        <v/>
      </c>
      <c r="N19" s="110" t="str">
        <f aca="false">IF($B19="","",SUMIFS('الحركات الشهرية'!$F$6:$F$1005,'الحركات الشهرية'!$B$6:$B$1005,$B19,'الحركات الشهرية'!$A$6:$A$1005,$C$3))</f>
        <v/>
      </c>
      <c r="O19" s="90" t="str">
        <f aca="false">IF($B19="","",N19*(الموظفون!$N19+الموظفون!$J19*cfg_OT_P)/cfg_DAYS_M/cfg_HRS)</f>
        <v/>
      </c>
      <c r="P19" s="90" t="str">
        <f aca="false">IF($B19="","",SUMIFS('الحركات الشهرية'!$G$6:$G$1005,'الحركات الشهرية'!$B$6:$B$1005,$B19,'الحركات الشهرية'!$A$6:$A$1005,$C$3))</f>
        <v/>
      </c>
      <c r="Q19" s="90" t="str">
        <f aca="false">IF($B19="","",SUMIFS('الحركات الشهرية'!$H$6:$H$1005,'الحركات الشهرية'!$B$6:$B$1005,$B19,'الحركات الشهرية'!$A$6:$A$1005,$C$3))</f>
        <v/>
      </c>
      <c r="R19" s="111" t="str">
        <f aca="false">IF($B19="","",SUM(J19:M19)+SUM(O19:Q19))</f>
        <v/>
      </c>
      <c r="S19" s="90" t="str">
        <f aca="false">IF($B19="","",الموظفون!$Q19*IF(E19="سعودي",cfg_G_SE,cfg_G_NE)*F19/cfg_DAYS_M)</f>
        <v/>
      </c>
      <c r="T19" s="90" t="str">
        <f aca="false">IF($B19="","",SUMIFS('الحركات الشهرية'!$I$6:$I$1005,'الحركات الشهرية'!$B$6:$B$1005,$B19,'الحركات الشهرية'!$A$6:$A$1005,$C$3))</f>
        <v/>
      </c>
      <c r="U19" s="90" t="str">
        <f aca="false">IF($B19="","",SUMIFS('الحركات الشهرية'!$J$6:$J$1005,'الحركات الشهرية'!$B$6:$B$1005,$B19,'الحركات الشهرية'!$A$6:$A$1005,$C$3))</f>
        <v/>
      </c>
      <c r="V19" s="90" t="str">
        <f aca="false">IF($B19="","",SUM(S19:U19))</f>
        <v/>
      </c>
      <c r="W19" s="112" t="str">
        <f aca="false">IF($B19="","",R19-V19)</f>
        <v/>
      </c>
      <c r="X19" s="90" t="str">
        <f aca="false">IF($B19="","",الموظفون!$Q19*IF(E19="سعودي",cfg_G_SR,cfg_G_NR)*F19/cfg_DAYS_M)</f>
        <v/>
      </c>
      <c r="Y19" s="90" t="str">
        <f aca="false">IF($B19="","",الموظفون!$O19*(cfg_EOS_R1*(MIN(AC19,cfg_EOS_TH)-MIN(AD19,cfg_EOS_TH))+cfg_EOS_R2*(MAX(AC19-cfg_EOS_TH,0)-MAX(AD19-cfg_EOS_TH,0))))</f>
        <v/>
      </c>
      <c r="Z19" s="90" t="str">
        <f aca="false">IF($B19="","",IF(الموظفون!$R19&lt;&gt;"",الموظفون!$R19,IF(AC19&gt;=cfg_LV_TH,cfg_LV_D2,cfg_LV_D1))/cfg_DAYS_Y*AE19*الموظفون!$P19/cfg_DAYS_M)</f>
        <v/>
      </c>
      <c r="AA19" s="90" t="str">
        <f aca="false">IF($B19="","",IF(AND(الموظفون!$S19="نعم",N(الموظفون!$U19)&gt;0),الموظفون!$T19/الموظفون!$U19*12/cfg_DAYS_Y*AE19,0))</f>
        <v/>
      </c>
      <c r="AB19" s="113" t="str">
        <f aca="false">IF($B19="","",R19+SUM(X19:AA19))</f>
        <v/>
      </c>
      <c r="AC19" s="114" t="str">
        <f aca="false">IF($B19="","",MAX(0,IF(OR(الموظفون!$X19="",الموظفون!$X19&gt;$G$3),$G$3,الموظفون!$X19)-الموظفون!$H19+1)/cfg_DAYS_Y)</f>
        <v/>
      </c>
      <c r="AD19" s="114" t="str">
        <f aca="false">IF($B19="","",MAX(0,IF(OR(الموظفون!$X19="",الموظفون!$X19&gt;($E$3-1)),($E$3-1),الموظفون!$X19)-الموظفون!$H19+1)/cfg_DAYS_Y)</f>
        <v/>
      </c>
      <c r="AE19" s="115" t="str">
        <f aca="false">IF($B19="","",MAX(0,IF(OR(الموظفون!$X19="",الموظفون!$X19&gt;$G$3),$G$3,الموظفون!$X19)-MAX($E$3,الموظفون!$H19)+1))</f>
        <v/>
      </c>
    </row>
    <row r="20" customFormat="false" ht="15" hidden="false" customHeight="false" outlineLevel="0" collapsed="false">
      <c r="A20" s="83" t="str">
        <f aca="false">IF($B20="","",الموظفون!$A20)</f>
        <v/>
      </c>
      <c r="B20" s="74" t="str">
        <f aca="false">IF(الموظفون!$B20="","",الموظفون!$B20)</f>
        <v/>
      </c>
      <c r="C20" s="74" t="str">
        <f aca="false">IF($B20="","",الموظفون!$C20)</f>
        <v/>
      </c>
      <c r="D20" s="74" t="str">
        <f aca="false">IF($B20="","",الموظفون!$F20)</f>
        <v/>
      </c>
      <c r="E20" s="74" t="str">
        <f aca="false">IF($B20="","",الموظفون!$E20)</f>
        <v/>
      </c>
      <c r="F20" s="105" t="str">
        <f aca="false">IF($B20="","",IF(AE20&gt;=DAY($G$3),cfg_DAYS_M,MIN(AE20,cfg_DAYS_M)))</f>
        <v/>
      </c>
      <c r="G20" s="105" t="str">
        <f aca="false">IF($B20="","",SUMIFS('الحركات الشهرية'!$D$6:$D$1005,'الحركات الشهرية'!$B$6:$B$1005,$B20,'الحركات الشهرية'!$A$6:$A$1005,$C$3))</f>
        <v/>
      </c>
      <c r="H20" s="105" t="str">
        <f aca="false">IF($B20="","",SUMIFS('الحركات الشهرية'!$E$6:$E$1005,'الحركات الشهرية'!$B$6:$B$1005,$B20,'الحركات الشهرية'!$A$6:$A$1005,$C$3))</f>
        <v/>
      </c>
      <c r="I20" s="105" t="str">
        <f aca="false">IF($B20="","",MAX(0,F20-G20-H20))</f>
        <v/>
      </c>
      <c r="J20" s="86" t="str">
        <f aca="false">IF($B20="","",الموظفون!$J20*$I20/cfg_DAYS_M)</f>
        <v/>
      </c>
      <c r="K20" s="86" t="str">
        <f aca="false">IF($B20="","",الموظفون!$K20*$I20/cfg_DAYS_M)</f>
        <v/>
      </c>
      <c r="L20" s="86" t="str">
        <f aca="false">IF($B20="","",الموظفون!$L20*$I20/cfg_DAYS_M)</f>
        <v/>
      </c>
      <c r="M20" s="86" t="str">
        <f aca="false">IF($B20="","",الموظفون!$M20*$I20/cfg_DAYS_M)</f>
        <v/>
      </c>
      <c r="N20" s="105" t="str">
        <f aca="false">IF($B20="","",SUMIFS('الحركات الشهرية'!$F$6:$F$1005,'الحركات الشهرية'!$B$6:$B$1005,$B20,'الحركات الشهرية'!$A$6:$A$1005,$C$3))</f>
        <v/>
      </c>
      <c r="O20" s="86" t="str">
        <f aca="false">IF($B20="","",N20*(الموظفون!$N20+الموظفون!$J20*cfg_OT_P)/cfg_DAYS_M/cfg_HRS)</f>
        <v/>
      </c>
      <c r="P20" s="86" t="str">
        <f aca="false">IF($B20="","",SUMIFS('الحركات الشهرية'!$G$6:$G$1005,'الحركات الشهرية'!$B$6:$B$1005,$B20,'الحركات الشهرية'!$A$6:$A$1005,$C$3))</f>
        <v/>
      </c>
      <c r="Q20" s="86" t="str">
        <f aca="false">IF($B20="","",SUMIFS('الحركات الشهرية'!$H$6:$H$1005,'الحركات الشهرية'!$B$6:$B$1005,$B20,'الحركات الشهرية'!$A$6:$A$1005,$C$3))</f>
        <v/>
      </c>
      <c r="R20" s="106" t="str">
        <f aca="false">IF($B20="","",SUM(J20:M20)+SUM(O20:Q20))</f>
        <v/>
      </c>
      <c r="S20" s="86" t="str">
        <f aca="false">IF($B20="","",الموظفون!$Q20*IF(E20="سعودي",cfg_G_SE,cfg_G_NE)*F20/cfg_DAYS_M)</f>
        <v/>
      </c>
      <c r="T20" s="86" t="str">
        <f aca="false">IF($B20="","",SUMIFS('الحركات الشهرية'!$I$6:$I$1005,'الحركات الشهرية'!$B$6:$B$1005,$B20,'الحركات الشهرية'!$A$6:$A$1005,$C$3))</f>
        <v/>
      </c>
      <c r="U20" s="86" t="str">
        <f aca="false">IF($B20="","",SUMIFS('الحركات الشهرية'!$J$6:$J$1005,'الحركات الشهرية'!$B$6:$B$1005,$B20,'الحركات الشهرية'!$A$6:$A$1005,$C$3))</f>
        <v/>
      </c>
      <c r="V20" s="86" t="str">
        <f aca="false">IF($B20="","",SUM(S20:U20))</f>
        <v/>
      </c>
      <c r="W20" s="107" t="str">
        <f aca="false">IF($B20="","",R20-V20)</f>
        <v/>
      </c>
      <c r="X20" s="86" t="str">
        <f aca="false">IF($B20="","",الموظفون!$Q20*IF(E20="سعودي",cfg_G_SR,cfg_G_NR)*F20/cfg_DAYS_M)</f>
        <v/>
      </c>
      <c r="Y20" s="86" t="str">
        <f aca="false">IF($B20="","",الموظفون!$O20*(cfg_EOS_R1*(MIN(AC20,cfg_EOS_TH)-MIN(AD20,cfg_EOS_TH))+cfg_EOS_R2*(MAX(AC20-cfg_EOS_TH,0)-MAX(AD20-cfg_EOS_TH,0))))</f>
        <v/>
      </c>
      <c r="Z20" s="86" t="str">
        <f aca="false">IF($B20="","",IF(الموظفون!$R20&lt;&gt;"",الموظفون!$R20,IF(AC20&gt;=cfg_LV_TH,cfg_LV_D2,cfg_LV_D1))/cfg_DAYS_Y*AE20*الموظفون!$P20/cfg_DAYS_M)</f>
        <v/>
      </c>
      <c r="AA20" s="86" t="str">
        <f aca="false">IF($B20="","",IF(AND(الموظفون!$S20="نعم",N(الموظفون!$U20)&gt;0),الموظفون!$T20/الموظفون!$U20*12/cfg_DAYS_Y*AE20,0))</f>
        <v/>
      </c>
      <c r="AB20" s="108" t="str">
        <f aca="false">IF($B20="","",R20+SUM(X20:AA20))</f>
        <v/>
      </c>
      <c r="AC20" s="109" t="str">
        <f aca="false">IF($B20="","",MAX(0,IF(OR(الموظفون!$X20="",الموظفون!$X20&gt;$G$3),$G$3,الموظفون!$X20)-الموظفون!$H20+1)/cfg_DAYS_Y)</f>
        <v/>
      </c>
      <c r="AD20" s="109" t="str">
        <f aca="false">IF($B20="","",MAX(0,IF(OR(الموظفون!$X20="",الموظفون!$X20&gt;($E$3-1)),($E$3-1),الموظفون!$X20)-الموظفون!$H20+1)/cfg_DAYS_Y)</f>
        <v/>
      </c>
      <c r="AE20" s="51" t="str">
        <f aca="false">IF($B20="","",MAX(0,IF(OR(الموظفون!$X20="",الموظفون!$X20&gt;$G$3),$G$3,الموظفون!$X20)-MAX($E$3,الموظفون!$H20)+1))</f>
        <v/>
      </c>
    </row>
    <row r="21" customFormat="false" ht="15" hidden="false" customHeight="false" outlineLevel="0" collapsed="false">
      <c r="A21" s="89" t="str">
        <f aca="false">IF($B21="","",الموظفون!$A21)</f>
        <v/>
      </c>
      <c r="B21" s="91" t="str">
        <f aca="false">IF(الموظفون!$B21="","",الموظفون!$B21)</f>
        <v/>
      </c>
      <c r="C21" s="91" t="str">
        <f aca="false">IF($B21="","",الموظفون!$C21)</f>
        <v/>
      </c>
      <c r="D21" s="91" t="str">
        <f aca="false">IF($B21="","",الموظفون!$F21)</f>
        <v/>
      </c>
      <c r="E21" s="91" t="str">
        <f aca="false">IF($B21="","",الموظفون!$E21)</f>
        <v/>
      </c>
      <c r="F21" s="110" t="str">
        <f aca="false">IF($B21="","",IF(AE21&gt;=DAY($G$3),cfg_DAYS_M,MIN(AE21,cfg_DAYS_M)))</f>
        <v/>
      </c>
      <c r="G21" s="110" t="str">
        <f aca="false">IF($B21="","",SUMIFS('الحركات الشهرية'!$D$6:$D$1005,'الحركات الشهرية'!$B$6:$B$1005,$B21,'الحركات الشهرية'!$A$6:$A$1005,$C$3))</f>
        <v/>
      </c>
      <c r="H21" s="110" t="str">
        <f aca="false">IF($B21="","",SUMIFS('الحركات الشهرية'!$E$6:$E$1005,'الحركات الشهرية'!$B$6:$B$1005,$B21,'الحركات الشهرية'!$A$6:$A$1005,$C$3))</f>
        <v/>
      </c>
      <c r="I21" s="110" t="str">
        <f aca="false">IF($B21="","",MAX(0,F21-G21-H21))</f>
        <v/>
      </c>
      <c r="J21" s="90" t="str">
        <f aca="false">IF($B21="","",الموظفون!$J21*$I21/cfg_DAYS_M)</f>
        <v/>
      </c>
      <c r="K21" s="90" t="str">
        <f aca="false">IF($B21="","",الموظفون!$K21*$I21/cfg_DAYS_M)</f>
        <v/>
      </c>
      <c r="L21" s="90" t="str">
        <f aca="false">IF($B21="","",الموظفون!$L21*$I21/cfg_DAYS_M)</f>
        <v/>
      </c>
      <c r="M21" s="90" t="str">
        <f aca="false">IF($B21="","",الموظفون!$M21*$I21/cfg_DAYS_M)</f>
        <v/>
      </c>
      <c r="N21" s="110" t="str">
        <f aca="false">IF($B21="","",SUMIFS('الحركات الشهرية'!$F$6:$F$1005,'الحركات الشهرية'!$B$6:$B$1005,$B21,'الحركات الشهرية'!$A$6:$A$1005,$C$3))</f>
        <v/>
      </c>
      <c r="O21" s="90" t="str">
        <f aca="false">IF($B21="","",N21*(الموظفون!$N21+الموظفون!$J21*cfg_OT_P)/cfg_DAYS_M/cfg_HRS)</f>
        <v/>
      </c>
      <c r="P21" s="90" t="str">
        <f aca="false">IF($B21="","",SUMIFS('الحركات الشهرية'!$G$6:$G$1005,'الحركات الشهرية'!$B$6:$B$1005,$B21,'الحركات الشهرية'!$A$6:$A$1005,$C$3))</f>
        <v/>
      </c>
      <c r="Q21" s="90" t="str">
        <f aca="false">IF($B21="","",SUMIFS('الحركات الشهرية'!$H$6:$H$1005,'الحركات الشهرية'!$B$6:$B$1005,$B21,'الحركات الشهرية'!$A$6:$A$1005,$C$3))</f>
        <v/>
      </c>
      <c r="R21" s="111" t="str">
        <f aca="false">IF($B21="","",SUM(J21:M21)+SUM(O21:Q21))</f>
        <v/>
      </c>
      <c r="S21" s="90" t="str">
        <f aca="false">IF($B21="","",الموظفون!$Q21*IF(E21="سعودي",cfg_G_SE,cfg_G_NE)*F21/cfg_DAYS_M)</f>
        <v/>
      </c>
      <c r="T21" s="90" t="str">
        <f aca="false">IF($B21="","",SUMIFS('الحركات الشهرية'!$I$6:$I$1005,'الحركات الشهرية'!$B$6:$B$1005,$B21,'الحركات الشهرية'!$A$6:$A$1005,$C$3))</f>
        <v/>
      </c>
      <c r="U21" s="90" t="str">
        <f aca="false">IF($B21="","",SUMIFS('الحركات الشهرية'!$J$6:$J$1005,'الحركات الشهرية'!$B$6:$B$1005,$B21,'الحركات الشهرية'!$A$6:$A$1005,$C$3))</f>
        <v/>
      </c>
      <c r="V21" s="90" t="str">
        <f aca="false">IF($B21="","",SUM(S21:U21))</f>
        <v/>
      </c>
      <c r="W21" s="112" t="str">
        <f aca="false">IF($B21="","",R21-V21)</f>
        <v/>
      </c>
      <c r="X21" s="90" t="str">
        <f aca="false">IF($B21="","",الموظفون!$Q21*IF(E21="سعودي",cfg_G_SR,cfg_G_NR)*F21/cfg_DAYS_M)</f>
        <v/>
      </c>
      <c r="Y21" s="90" t="str">
        <f aca="false">IF($B21="","",الموظفون!$O21*(cfg_EOS_R1*(MIN(AC21,cfg_EOS_TH)-MIN(AD21,cfg_EOS_TH))+cfg_EOS_R2*(MAX(AC21-cfg_EOS_TH,0)-MAX(AD21-cfg_EOS_TH,0))))</f>
        <v/>
      </c>
      <c r="Z21" s="90" t="str">
        <f aca="false">IF($B21="","",IF(الموظفون!$R21&lt;&gt;"",الموظفون!$R21,IF(AC21&gt;=cfg_LV_TH,cfg_LV_D2,cfg_LV_D1))/cfg_DAYS_Y*AE21*الموظفون!$P21/cfg_DAYS_M)</f>
        <v/>
      </c>
      <c r="AA21" s="90" t="str">
        <f aca="false">IF($B21="","",IF(AND(الموظفون!$S21="نعم",N(الموظفون!$U21)&gt;0),الموظفون!$T21/الموظفون!$U21*12/cfg_DAYS_Y*AE21,0))</f>
        <v/>
      </c>
      <c r="AB21" s="113" t="str">
        <f aca="false">IF($B21="","",R21+SUM(X21:AA21))</f>
        <v/>
      </c>
      <c r="AC21" s="114" t="str">
        <f aca="false">IF($B21="","",MAX(0,IF(OR(الموظفون!$X21="",الموظفون!$X21&gt;$G$3),$G$3,الموظفون!$X21)-الموظفون!$H21+1)/cfg_DAYS_Y)</f>
        <v/>
      </c>
      <c r="AD21" s="114" t="str">
        <f aca="false">IF($B21="","",MAX(0,IF(OR(الموظفون!$X21="",الموظفون!$X21&gt;($E$3-1)),($E$3-1),الموظفون!$X21)-الموظفون!$H21+1)/cfg_DAYS_Y)</f>
        <v/>
      </c>
      <c r="AE21" s="115" t="str">
        <f aca="false">IF($B21="","",MAX(0,IF(OR(الموظفون!$X21="",الموظفون!$X21&gt;$G$3),$G$3,الموظفون!$X21)-MAX($E$3,الموظفون!$H21)+1))</f>
        <v/>
      </c>
    </row>
    <row r="22" customFormat="false" ht="15" hidden="false" customHeight="false" outlineLevel="0" collapsed="false">
      <c r="A22" s="83" t="str">
        <f aca="false">IF($B22="","",الموظفون!$A22)</f>
        <v/>
      </c>
      <c r="B22" s="74" t="str">
        <f aca="false">IF(الموظفون!$B22="","",الموظفون!$B22)</f>
        <v/>
      </c>
      <c r="C22" s="74" t="str">
        <f aca="false">IF($B22="","",الموظفون!$C22)</f>
        <v/>
      </c>
      <c r="D22" s="74" t="str">
        <f aca="false">IF($B22="","",الموظفون!$F22)</f>
        <v/>
      </c>
      <c r="E22" s="74" t="str">
        <f aca="false">IF($B22="","",الموظفون!$E22)</f>
        <v/>
      </c>
      <c r="F22" s="105" t="str">
        <f aca="false">IF($B22="","",IF(AE22&gt;=DAY($G$3),cfg_DAYS_M,MIN(AE22,cfg_DAYS_M)))</f>
        <v/>
      </c>
      <c r="G22" s="105" t="str">
        <f aca="false">IF($B22="","",SUMIFS('الحركات الشهرية'!$D$6:$D$1005,'الحركات الشهرية'!$B$6:$B$1005,$B22,'الحركات الشهرية'!$A$6:$A$1005,$C$3))</f>
        <v/>
      </c>
      <c r="H22" s="105" t="str">
        <f aca="false">IF($B22="","",SUMIFS('الحركات الشهرية'!$E$6:$E$1005,'الحركات الشهرية'!$B$6:$B$1005,$B22,'الحركات الشهرية'!$A$6:$A$1005,$C$3))</f>
        <v/>
      </c>
      <c r="I22" s="105" t="str">
        <f aca="false">IF($B22="","",MAX(0,F22-G22-H22))</f>
        <v/>
      </c>
      <c r="J22" s="86" t="str">
        <f aca="false">IF($B22="","",الموظفون!$J22*$I22/cfg_DAYS_M)</f>
        <v/>
      </c>
      <c r="K22" s="86" t="str">
        <f aca="false">IF($B22="","",الموظفون!$K22*$I22/cfg_DAYS_M)</f>
        <v/>
      </c>
      <c r="L22" s="86" t="str">
        <f aca="false">IF($B22="","",الموظفون!$L22*$I22/cfg_DAYS_M)</f>
        <v/>
      </c>
      <c r="M22" s="86" t="str">
        <f aca="false">IF($B22="","",الموظفون!$M22*$I22/cfg_DAYS_M)</f>
        <v/>
      </c>
      <c r="N22" s="105" t="str">
        <f aca="false">IF($B22="","",SUMIFS('الحركات الشهرية'!$F$6:$F$1005,'الحركات الشهرية'!$B$6:$B$1005,$B22,'الحركات الشهرية'!$A$6:$A$1005,$C$3))</f>
        <v/>
      </c>
      <c r="O22" s="86" t="str">
        <f aca="false">IF($B22="","",N22*(الموظفون!$N22+الموظفون!$J22*cfg_OT_P)/cfg_DAYS_M/cfg_HRS)</f>
        <v/>
      </c>
      <c r="P22" s="86" t="str">
        <f aca="false">IF($B22="","",SUMIFS('الحركات الشهرية'!$G$6:$G$1005,'الحركات الشهرية'!$B$6:$B$1005,$B22,'الحركات الشهرية'!$A$6:$A$1005,$C$3))</f>
        <v/>
      </c>
      <c r="Q22" s="86" t="str">
        <f aca="false">IF($B22="","",SUMIFS('الحركات الشهرية'!$H$6:$H$1005,'الحركات الشهرية'!$B$6:$B$1005,$B22,'الحركات الشهرية'!$A$6:$A$1005,$C$3))</f>
        <v/>
      </c>
      <c r="R22" s="106" t="str">
        <f aca="false">IF($B22="","",SUM(J22:M22)+SUM(O22:Q22))</f>
        <v/>
      </c>
      <c r="S22" s="86" t="str">
        <f aca="false">IF($B22="","",الموظفون!$Q22*IF(E22="سعودي",cfg_G_SE,cfg_G_NE)*F22/cfg_DAYS_M)</f>
        <v/>
      </c>
      <c r="T22" s="86" t="str">
        <f aca="false">IF($B22="","",SUMIFS('الحركات الشهرية'!$I$6:$I$1005,'الحركات الشهرية'!$B$6:$B$1005,$B22,'الحركات الشهرية'!$A$6:$A$1005,$C$3))</f>
        <v/>
      </c>
      <c r="U22" s="86" t="str">
        <f aca="false">IF($B22="","",SUMIFS('الحركات الشهرية'!$J$6:$J$1005,'الحركات الشهرية'!$B$6:$B$1005,$B22,'الحركات الشهرية'!$A$6:$A$1005,$C$3))</f>
        <v/>
      </c>
      <c r="V22" s="86" t="str">
        <f aca="false">IF($B22="","",SUM(S22:U22))</f>
        <v/>
      </c>
      <c r="W22" s="107" t="str">
        <f aca="false">IF($B22="","",R22-V22)</f>
        <v/>
      </c>
      <c r="X22" s="86" t="str">
        <f aca="false">IF($B22="","",الموظفون!$Q22*IF(E22="سعودي",cfg_G_SR,cfg_G_NR)*F22/cfg_DAYS_M)</f>
        <v/>
      </c>
      <c r="Y22" s="86" t="str">
        <f aca="false">IF($B22="","",الموظفون!$O22*(cfg_EOS_R1*(MIN(AC22,cfg_EOS_TH)-MIN(AD22,cfg_EOS_TH))+cfg_EOS_R2*(MAX(AC22-cfg_EOS_TH,0)-MAX(AD22-cfg_EOS_TH,0))))</f>
        <v/>
      </c>
      <c r="Z22" s="86" t="str">
        <f aca="false">IF($B22="","",IF(الموظفون!$R22&lt;&gt;"",الموظفون!$R22,IF(AC22&gt;=cfg_LV_TH,cfg_LV_D2,cfg_LV_D1))/cfg_DAYS_Y*AE22*الموظفون!$P22/cfg_DAYS_M)</f>
        <v/>
      </c>
      <c r="AA22" s="86" t="str">
        <f aca="false">IF($B22="","",IF(AND(الموظفون!$S22="نعم",N(الموظفون!$U22)&gt;0),الموظفون!$T22/الموظفون!$U22*12/cfg_DAYS_Y*AE22,0))</f>
        <v/>
      </c>
      <c r="AB22" s="108" t="str">
        <f aca="false">IF($B22="","",R22+SUM(X22:AA22))</f>
        <v/>
      </c>
      <c r="AC22" s="109" t="str">
        <f aca="false">IF($B22="","",MAX(0,IF(OR(الموظفون!$X22="",الموظفون!$X22&gt;$G$3),$G$3,الموظفون!$X22)-الموظفون!$H22+1)/cfg_DAYS_Y)</f>
        <v/>
      </c>
      <c r="AD22" s="109" t="str">
        <f aca="false">IF($B22="","",MAX(0,IF(OR(الموظفون!$X22="",الموظفون!$X22&gt;($E$3-1)),($E$3-1),الموظفون!$X22)-الموظفون!$H22+1)/cfg_DAYS_Y)</f>
        <v/>
      </c>
      <c r="AE22" s="51" t="str">
        <f aca="false">IF($B22="","",MAX(0,IF(OR(الموظفون!$X22="",الموظفون!$X22&gt;$G$3),$G$3,الموظفون!$X22)-MAX($E$3,الموظفون!$H22)+1))</f>
        <v/>
      </c>
    </row>
    <row r="23" customFormat="false" ht="15" hidden="false" customHeight="false" outlineLevel="0" collapsed="false">
      <c r="A23" s="89" t="str">
        <f aca="false">IF($B23="","",الموظفون!$A23)</f>
        <v/>
      </c>
      <c r="B23" s="91" t="str">
        <f aca="false">IF(الموظفون!$B23="","",الموظفون!$B23)</f>
        <v/>
      </c>
      <c r="C23" s="91" t="str">
        <f aca="false">IF($B23="","",الموظفون!$C23)</f>
        <v/>
      </c>
      <c r="D23" s="91" t="str">
        <f aca="false">IF($B23="","",الموظفون!$F23)</f>
        <v/>
      </c>
      <c r="E23" s="91" t="str">
        <f aca="false">IF($B23="","",الموظفون!$E23)</f>
        <v/>
      </c>
      <c r="F23" s="110" t="str">
        <f aca="false">IF($B23="","",IF(AE23&gt;=DAY($G$3),cfg_DAYS_M,MIN(AE23,cfg_DAYS_M)))</f>
        <v/>
      </c>
      <c r="G23" s="110" t="str">
        <f aca="false">IF($B23="","",SUMIFS('الحركات الشهرية'!$D$6:$D$1005,'الحركات الشهرية'!$B$6:$B$1005,$B23,'الحركات الشهرية'!$A$6:$A$1005,$C$3))</f>
        <v/>
      </c>
      <c r="H23" s="110" t="str">
        <f aca="false">IF($B23="","",SUMIFS('الحركات الشهرية'!$E$6:$E$1005,'الحركات الشهرية'!$B$6:$B$1005,$B23,'الحركات الشهرية'!$A$6:$A$1005,$C$3))</f>
        <v/>
      </c>
      <c r="I23" s="110" t="str">
        <f aca="false">IF($B23="","",MAX(0,F23-G23-H23))</f>
        <v/>
      </c>
      <c r="J23" s="90" t="str">
        <f aca="false">IF($B23="","",الموظفون!$J23*$I23/cfg_DAYS_M)</f>
        <v/>
      </c>
      <c r="K23" s="90" t="str">
        <f aca="false">IF($B23="","",الموظفون!$K23*$I23/cfg_DAYS_M)</f>
        <v/>
      </c>
      <c r="L23" s="90" t="str">
        <f aca="false">IF($B23="","",الموظفون!$L23*$I23/cfg_DAYS_M)</f>
        <v/>
      </c>
      <c r="M23" s="90" t="str">
        <f aca="false">IF($B23="","",الموظفون!$M23*$I23/cfg_DAYS_M)</f>
        <v/>
      </c>
      <c r="N23" s="110" t="str">
        <f aca="false">IF($B23="","",SUMIFS('الحركات الشهرية'!$F$6:$F$1005,'الحركات الشهرية'!$B$6:$B$1005,$B23,'الحركات الشهرية'!$A$6:$A$1005,$C$3))</f>
        <v/>
      </c>
      <c r="O23" s="90" t="str">
        <f aca="false">IF($B23="","",N23*(الموظفون!$N23+الموظفون!$J23*cfg_OT_P)/cfg_DAYS_M/cfg_HRS)</f>
        <v/>
      </c>
      <c r="P23" s="90" t="str">
        <f aca="false">IF($B23="","",SUMIFS('الحركات الشهرية'!$G$6:$G$1005,'الحركات الشهرية'!$B$6:$B$1005,$B23,'الحركات الشهرية'!$A$6:$A$1005,$C$3))</f>
        <v/>
      </c>
      <c r="Q23" s="90" t="str">
        <f aca="false">IF($B23="","",SUMIFS('الحركات الشهرية'!$H$6:$H$1005,'الحركات الشهرية'!$B$6:$B$1005,$B23,'الحركات الشهرية'!$A$6:$A$1005,$C$3))</f>
        <v/>
      </c>
      <c r="R23" s="111" t="str">
        <f aca="false">IF($B23="","",SUM(J23:M23)+SUM(O23:Q23))</f>
        <v/>
      </c>
      <c r="S23" s="90" t="str">
        <f aca="false">IF($B23="","",الموظفون!$Q23*IF(E23="سعودي",cfg_G_SE,cfg_G_NE)*F23/cfg_DAYS_M)</f>
        <v/>
      </c>
      <c r="T23" s="90" t="str">
        <f aca="false">IF($B23="","",SUMIFS('الحركات الشهرية'!$I$6:$I$1005,'الحركات الشهرية'!$B$6:$B$1005,$B23,'الحركات الشهرية'!$A$6:$A$1005,$C$3))</f>
        <v/>
      </c>
      <c r="U23" s="90" t="str">
        <f aca="false">IF($B23="","",SUMIFS('الحركات الشهرية'!$J$6:$J$1005,'الحركات الشهرية'!$B$6:$B$1005,$B23,'الحركات الشهرية'!$A$6:$A$1005,$C$3))</f>
        <v/>
      </c>
      <c r="V23" s="90" t="str">
        <f aca="false">IF($B23="","",SUM(S23:U23))</f>
        <v/>
      </c>
      <c r="W23" s="112" t="str">
        <f aca="false">IF($B23="","",R23-V23)</f>
        <v/>
      </c>
      <c r="X23" s="90" t="str">
        <f aca="false">IF($B23="","",الموظفون!$Q23*IF(E23="سعودي",cfg_G_SR,cfg_G_NR)*F23/cfg_DAYS_M)</f>
        <v/>
      </c>
      <c r="Y23" s="90" t="str">
        <f aca="false">IF($B23="","",الموظفون!$O23*(cfg_EOS_R1*(MIN(AC23,cfg_EOS_TH)-MIN(AD23,cfg_EOS_TH))+cfg_EOS_R2*(MAX(AC23-cfg_EOS_TH,0)-MAX(AD23-cfg_EOS_TH,0))))</f>
        <v/>
      </c>
      <c r="Z23" s="90" t="str">
        <f aca="false">IF($B23="","",IF(الموظفون!$R23&lt;&gt;"",الموظفون!$R23,IF(AC23&gt;=cfg_LV_TH,cfg_LV_D2,cfg_LV_D1))/cfg_DAYS_Y*AE23*الموظفون!$P23/cfg_DAYS_M)</f>
        <v/>
      </c>
      <c r="AA23" s="90" t="str">
        <f aca="false">IF($B23="","",IF(AND(الموظفون!$S23="نعم",N(الموظفون!$U23)&gt;0),الموظفون!$T23/الموظفون!$U23*12/cfg_DAYS_Y*AE23,0))</f>
        <v/>
      </c>
      <c r="AB23" s="113" t="str">
        <f aca="false">IF($B23="","",R23+SUM(X23:AA23))</f>
        <v/>
      </c>
      <c r="AC23" s="114" t="str">
        <f aca="false">IF($B23="","",MAX(0,IF(OR(الموظفون!$X23="",الموظفون!$X23&gt;$G$3),$G$3,الموظفون!$X23)-الموظفون!$H23+1)/cfg_DAYS_Y)</f>
        <v/>
      </c>
      <c r="AD23" s="114" t="str">
        <f aca="false">IF($B23="","",MAX(0,IF(OR(الموظفون!$X23="",الموظفون!$X23&gt;($E$3-1)),($E$3-1),الموظفون!$X23)-الموظفون!$H23+1)/cfg_DAYS_Y)</f>
        <v/>
      </c>
      <c r="AE23" s="115" t="str">
        <f aca="false">IF($B23="","",MAX(0,IF(OR(الموظفون!$X23="",الموظفون!$X23&gt;$G$3),$G$3,الموظفون!$X23)-MAX($E$3,الموظفون!$H23)+1))</f>
        <v/>
      </c>
    </row>
    <row r="24" customFormat="false" ht="15" hidden="false" customHeight="false" outlineLevel="0" collapsed="false">
      <c r="A24" s="83" t="str">
        <f aca="false">IF($B24="","",الموظفون!$A24)</f>
        <v/>
      </c>
      <c r="B24" s="74" t="str">
        <f aca="false">IF(الموظفون!$B24="","",الموظفون!$B24)</f>
        <v/>
      </c>
      <c r="C24" s="74" t="str">
        <f aca="false">IF($B24="","",الموظفون!$C24)</f>
        <v/>
      </c>
      <c r="D24" s="74" t="str">
        <f aca="false">IF($B24="","",الموظفون!$F24)</f>
        <v/>
      </c>
      <c r="E24" s="74" t="str">
        <f aca="false">IF($B24="","",الموظفون!$E24)</f>
        <v/>
      </c>
      <c r="F24" s="105" t="str">
        <f aca="false">IF($B24="","",IF(AE24&gt;=DAY($G$3),cfg_DAYS_M,MIN(AE24,cfg_DAYS_M)))</f>
        <v/>
      </c>
      <c r="G24" s="105" t="str">
        <f aca="false">IF($B24="","",SUMIFS('الحركات الشهرية'!$D$6:$D$1005,'الحركات الشهرية'!$B$6:$B$1005,$B24,'الحركات الشهرية'!$A$6:$A$1005,$C$3))</f>
        <v/>
      </c>
      <c r="H24" s="105" t="str">
        <f aca="false">IF($B24="","",SUMIFS('الحركات الشهرية'!$E$6:$E$1005,'الحركات الشهرية'!$B$6:$B$1005,$B24,'الحركات الشهرية'!$A$6:$A$1005,$C$3))</f>
        <v/>
      </c>
      <c r="I24" s="105" t="str">
        <f aca="false">IF($B24="","",MAX(0,F24-G24-H24))</f>
        <v/>
      </c>
      <c r="J24" s="86" t="str">
        <f aca="false">IF($B24="","",الموظفون!$J24*$I24/cfg_DAYS_M)</f>
        <v/>
      </c>
      <c r="K24" s="86" t="str">
        <f aca="false">IF($B24="","",الموظفون!$K24*$I24/cfg_DAYS_M)</f>
        <v/>
      </c>
      <c r="L24" s="86" t="str">
        <f aca="false">IF($B24="","",الموظفون!$L24*$I24/cfg_DAYS_M)</f>
        <v/>
      </c>
      <c r="M24" s="86" t="str">
        <f aca="false">IF($B24="","",الموظفون!$M24*$I24/cfg_DAYS_M)</f>
        <v/>
      </c>
      <c r="N24" s="105" t="str">
        <f aca="false">IF($B24="","",SUMIFS('الحركات الشهرية'!$F$6:$F$1005,'الحركات الشهرية'!$B$6:$B$1005,$B24,'الحركات الشهرية'!$A$6:$A$1005,$C$3))</f>
        <v/>
      </c>
      <c r="O24" s="86" t="str">
        <f aca="false">IF($B24="","",N24*(الموظفون!$N24+الموظفون!$J24*cfg_OT_P)/cfg_DAYS_M/cfg_HRS)</f>
        <v/>
      </c>
      <c r="P24" s="86" t="str">
        <f aca="false">IF($B24="","",SUMIFS('الحركات الشهرية'!$G$6:$G$1005,'الحركات الشهرية'!$B$6:$B$1005,$B24,'الحركات الشهرية'!$A$6:$A$1005,$C$3))</f>
        <v/>
      </c>
      <c r="Q24" s="86" t="str">
        <f aca="false">IF($B24="","",SUMIFS('الحركات الشهرية'!$H$6:$H$1005,'الحركات الشهرية'!$B$6:$B$1005,$B24,'الحركات الشهرية'!$A$6:$A$1005,$C$3))</f>
        <v/>
      </c>
      <c r="R24" s="106" t="str">
        <f aca="false">IF($B24="","",SUM(J24:M24)+SUM(O24:Q24))</f>
        <v/>
      </c>
      <c r="S24" s="86" t="str">
        <f aca="false">IF($B24="","",الموظفون!$Q24*IF(E24="سعودي",cfg_G_SE,cfg_G_NE)*F24/cfg_DAYS_M)</f>
        <v/>
      </c>
      <c r="T24" s="86" t="str">
        <f aca="false">IF($B24="","",SUMIFS('الحركات الشهرية'!$I$6:$I$1005,'الحركات الشهرية'!$B$6:$B$1005,$B24,'الحركات الشهرية'!$A$6:$A$1005,$C$3))</f>
        <v/>
      </c>
      <c r="U24" s="86" t="str">
        <f aca="false">IF($B24="","",SUMIFS('الحركات الشهرية'!$J$6:$J$1005,'الحركات الشهرية'!$B$6:$B$1005,$B24,'الحركات الشهرية'!$A$6:$A$1005,$C$3))</f>
        <v/>
      </c>
      <c r="V24" s="86" t="str">
        <f aca="false">IF($B24="","",SUM(S24:U24))</f>
        <v/>
      </c>
      <c r="W24" s="107" t="str">
        <f aca="false">IF($B24="","",R24-V24)</f>
        <v/>
      </c>
      <c r="X24" s="86" t="str">
        <f aca="false">IF($B24="","",الموظفون!$Q24*IF(E24="سعودي",cfg_G_SR,cfg_G_NR)*F24/cfg_DAYS_M)</f>
        <v/>
      </c>
      <c r="Y24" s="86" t="str">
        <f aca="false">IF($B24="","",الموظفون!$O24*(cfg_EOS_R1*(MIN(AC24,cfg_EOS_TH)-MIN(AD24,cfg_EOS_TH))+cfg_EOS_R2*(MAX(AC24-cfg_EOS_TH,0)-MAX(AD24-cfg_EOS_TH,0))))</f>
        <v/>
      </c>
      <c r="Z24" s="86" t="str">
        <f aca="false">IF($B24="","",IF(الموظفون!$R24&lt;&gt;"",الموظفون!$R24,IF(AC24&gt;=cfg_LV_TH,cfg_LV_D2,cfg_LV_D1))/cfg_DAYS_Y*AE24*الموظفون!$P24/cfg_DAYS_M)</f>
        <v/>
      </c>
      <c r="AA24" s="86" t="str">
        <f aca="false">IF($B24="","",IF(AND(الموظفون!$S24="نعم",N(الموظفون!$U24)&gt;0),الموظفون!$T24/الموظفون!$U24*12/cfg_DAYS_Y*AE24,0))</f>
        <v/>
      </c>
      <c r="AB24" s="108" t="str">
        <f aca="false">IF($B24="","",R24+SUM(X24:AA24))</f>
        <v/>
      </c>
      <c r="AC24" s="109" t="str">
        <f aca="false">IF($B24="","",MAX(0,IF(OR(الموظفون!$X24="",الموظفون!$X24&gt;$G$3),$G$3,الموظفون!$X24)-الموظفون!$H24+1)/cfg_DAYS_Y)</f>
        <v/>
      </c>
      <c r="AD24" s="109" t="str">
        <f aca="false">IF($B24="","",MAX(0,IF(OR(الموظفون!$X24="",الموظفون!$X24&gt;($E$3-1)),($E$3-1),الموظفون!$X24)-الموظفون!$H24+1)/cfg_DAYS_Y)</f>
        <v/>
      </c>
      <c r="AE24" s="51" t="str">
        <f aca="false">IF($B24="","",MAX(0,IF(OR(الموظفون!$X24="",الموظفون!$X24&gt;$G$3),$G$3,الموظفون!$X24)-MAX($E$3,الموظفون!$H24)+1))</f>
        <v/>
      </c>
    </row>
    <row r="25" customFormat="false" ht="15" hidden="false" customHeight="false" outlineLevel="0" collapsed="false">
      <c r="A25" s="89" t="str">
        <f aca="false">IF($B25="","",الموظفون!$A25)</f>
        <v/>
      </c>
      <c r="B25" s="91" t="str">
        <f aca="false">IF(الموظفون!$B25="","",الموظفون!$B25)</f>
        <v/>
      </c>
      <c r="C25" s="91" t="str">
        <f aca="false">IF($B25="","",الموظفون!$C25)</f>
        <v/>
      </c>
      <c r="D25" s="91" t="str">
        <f aca="false">IF($B25="","",الموظفون!$F25)</f>
        <v/>
      </c>
      <c r="E25" s="91" t="str">
        <f aca="false">IF($B25="","",الموظفون!$E25)</f>
        <v/>
      </c>
      <c r="F25" s="110" t="str">
        <f aca="false">IF($B25="","",IF(AE25&gt;=DAY($G$3),cfg_DAYS_M,MIN(AE25,cfg_DAYS_M)))</f>
        <v/>
      </c>
      <c r="G25" s="110" t="str">
        <f aca="false">IF($B25="","",SUMIFS('الحركات الشهرية'!$D$6:$D$1005,'الحركات الشهرية'!$B$6:$B$1005,$B25,'الحركات الشهرية'!$A$6:$A$1005,$C$3))</f>
        <v/>
      </c>
      <c r="H25" s="110" t="str">
        <f aca="false">IF($B25="","",SUMIFS('الحركات الشهرية'!$E$6:$E$1005,'الحركات الشهرية'!$B$6:$B$1005,$B25,'الحركات الشهرية'!$A$6:$A$1005,$C$3))</f>
        <v/>
      </c>
      <c r="I25" s="110" t="str">
        <f aca="false">IF($B25="","",MAX(0,F25-G25-H25))</f>
        <v/>
      </c>
      <c r="J25" s="90" t="str">
        <f aca="false">IF($B25="","",الموظفون!$J25*$I25/cfg_DAYS_M)</f>
        <v/>
      </c>
      <c r="K25" s="90" t="str">
        <f aca="false">IF($B25="","",الموظفون!$K25*$I25/cfg_DAYS_M)</f>
        <v/>
      </c>
      <c r="L25" s="90" t="str">
        <f aca="false">IF($B25="","",الموظفون!$L25*$I25/cfg_DAYS_M)</f>
        <v/>
      </c>
      <c r="M25" s="90" t="str">
        <f aca="false">IF($B25="","",الموظفون!$M25*$I25/cfg_DAYS_M)</f>
        <v/>
      </c>
      <c r="N25" s="110" t="str">
        <f aca="false">IF($B25="","",SUMIFS('الحركات الشهرية'!$F$6:$F$1005,'الحركات الشهرية'!$B$6:$B$1005,$B25,'الحركات الشهرية'!$A$6:$A$1005,$C$3))</f>
        <v/>
      </c>
      <c r="O25" s="90" t="str">
        <f aca="false">IF($B25="","",N25*(الموظفون!$N25+الموظفون!$J25*cfg_OT_P)/cfg_DAYS_M/cfg_HRS)</f>
        <v/>
      </c>
      <c r="P25" s="90" t="str">
        <f aca="false">IF($B25="","",SUMIFS('الحركات الشهرية'!$G$6:$G$1005,'الحركات الشهرية'!$B$6:$B$1005,$B25,'الحركات الشهرية'!$A$6:$A$1005,$C$3))</f>
        <v/>
      </c>
      <c r="Q25" s="90" t="str">
        <f aca="false">IF($B25="","",SUMIFS('الحركات الشهرية'!$H$6:$H$1005,'الحركات الشهرية'!$B$6:$B$1005,$B25,'الحركات الشهرية'!$A$6:$A$1005,$C$3))</f>
        <v/>
      </c>
      <c r="R25" s="111" t="str">
        <f aca="false">IF($B25="","",SUM(J25:M25)+SUM(O25:Q25))</f>
        <v/>
      </c>
      <c r="S25" s="90" t="str">
        <f aca="false">IF($B25="","",الموظفون!$Q25*IF(E25="سعودي",cfg_G_SE,cfg_G_NE)*F25/cfg_DAYS_M)</f>
        <v/>
      </c>
      <c r="T25" s="90" t="str">
        <f aca="false">IF($B25="","",SUMIFS('الحركات الشهرية'!$I$6:$I$1005,'الحركات الشهرية'!$B$6:$B$1005,$B25,'الحركات الشهرية'!$A$6:$A$1005,$C$3))</f>
        <v/>
      </c>
      <c r="U25" s="90" t="str">
        <f aca="false">IF($B25="","",SUMIFS('الحركات الشهرية'!$J$6:$J$1005,'الحركات الشهرية'!$B$6:$B$1005,$B25,'الحركات الشهرية'!$A$6:$A$1005,$C$3))</f>
        <v/>
      </c>
      <c r="V25" s="90" t="str">
        <f aca="false">IF($B25="","",SUM(S25:U25))</f>
        <v/>
      </c>
      <c r="W25" s="112" t="str">
        <f aca="false">IF($B25="","",R25-V25)</f>
        <v/>
      </c>
      <c r="X25" s="90" t="str">
        <f aca="false">IF($B25="","",الموظفون!$Q25*IF(E25="سعودي",cfg_G_SR,cfg_G_NR)*F25/cfg_DAYS_M)</f>
        <v/>
      </c>
      <c r="Y25" s="90" t="str">
        <f aca="false">IF($B25="","",الموظفون!$O25*(cfg_EOS_R1*(MIN(AC25,cfg_EOS_TH)-MIN(AD25,cfg_EOS_TH))+cfg_EOS_R2*(MAX(AC25-cfg_EOS_TH,0)-MAX(AD25-cfg_EOS_TH,0))))</f>
        <v/>
      </c>
      <c r="Z25" s="90" t="str">
        <f aca="false">IF($B25="","",IF(الموظفون!$R25&lt;&gt;"",الموظفون!$R25,IF(AC25&gt;=cfg_LV_TH,cfg_LV_D2,cfg_LV_D1))/cfg_DAYS_Y*AE25*الموظفون!$P25/cfg_DAYS_M)</f>
        <v/>
      </c>
      <c r="AA25" s="90" t="str">
        <f aca="false">IF($B25="","",IF(AND(الموظفون!$S25="نعم",N(الموظفون!$U25)&gt;0),الموظفون!$T25/الموظفون!$U25*12/cfg_DAYS_Y*AE25,0))</f>
        <v/>
      </c>
      <c r="AB25" s="113" t="str">
        <f aca="false">IF($B25="","",R25+SUM(X25:AA25))</f>
        <v/>
      </c>
      <c r="AC25" s="114" t="str">
        <f aca="false">IF($B25="","",MAX(0,IF(OR(الموظفون!$X25="",الموظفون!$X25&gt;$G$3),$G$3,الموظفون!$X25)-الموظفون!$H25+1)/cfg_DAYS_Y)</f>
        <v/>
      </c>
      <c r="AD25" s="114" t="str">
        <f aca="false">IF($B25="","",MAX(0,IF(OR(الموظفون!$X25="",الموظفون!$X25&gt;($E$3-1)),($E$3-1),الموظفون!$X25)-الموظفون!$H25+1)/cfg_DAYS_Y)</f>
        <v/>
      </c>
      <c r="AE25" s="115" t="str">
        <f aca="false">IF($B25="","",MAX(0,IF(OR(الموظفون!$X25="",الموظفون!$X25&gt;$G$3),$G$3,الموظفون!$X25)-MAX($E$3,الموظفون!$H25)+1))</f>
        <v/>
      </c>
    </row>
    <row r="26" customFormat="false" ht="15" hidden="false" customHeight="false" outlineLevel="0" collapsed="false">
      <c r="A26" s="83" t="str">
        <f aca="false">IF($B26="","",الموظفون!$A26)</f>
        <v/>
      </c>
      <c r="B26" s="74" t="str">
        <f aca="false">IF(الموظفون!$B26="","",الموظفون!$B26)</f>
        <v/>
      </c>
      <c r="C26" s="74" t="str">
        <f aca="false">IF($B26="","",الموظفون!$C26)</f>
        <v/>
      </c>
      <c r="D26" s="74" t="str">
        <f aca="false">IF($B26="","",الموظفون!$F26)</f>
        <v/>
      </c>
      <c r="E26" s="74" t="str">
        <f aca="false">IF($B26="","",الموظفون!$E26)</f>
        <v/>
      </c>
      <c r="F26" s="105" t="str">
        <f aca="false">IF($B26="","",IF(AE26&gt;=DAY($G$3),cfg_DAYS_M,MIN(AE26,cfg_DAYS_M)))</f>
        <v/>
      </c>
      <c r="G26" s="105" t="str">
        <f aca="false">IF($B26="","",SUMIFS('الحركات الشهرية'!$D$6:$D$1005,'الحركات الشهرية'!$B$6:$B$1005,$B26,'الحركات الشهرية'!$A$6:$A$1005,$C$3))</f>
        <v/>
      </c>
      <c r="H26" s="105" t="str">
        <f aca="false">IF($B26="","",SUMIFS('الحركات الشهرية'!$E$6:$E$1005,'الحركات الشهرية'!$B$6:$B$1005,$B26,'الحركات الشهرية'!$A$6:$A$1005,$C$3))</f>
        <v/>
      </c>
      <c r="I26" s="105" t="str">
        <f aca="false">IF($B26="","",MAX(0,F26-G26-H26))</f>
        <v/>
      </c>
      <c r="J26" s="86" t="str">
        <f aca="false">IF($B26="","",الموظفون!$J26*$I26/cfg_DAYS_M)</f>
        <v/>
      </c>
      <c r="K26" s="86" t="str">
        <f aca="false">IF($B26="","",الموظفون!$K26*$I26/cfg_DAYS_M)</f>
        <v/>
      </c>
      <c r="L26" s="86" t="str">
        <f aca="false">IF($B26="","",الموظفون!$L26*$I26/cfg_DAYS_M)</f>
        <v/>
      </c>
      <c r="M26" s="86" t="str">
        <f aca="false">IF($B26="","",الموظفون!$M26*$I26/cfg_DAYS_M)</f>
        <v/>
      </c>
      <c r="N26" s="105" t="str">
        <f aca="false">IF($B26="","",SUMIFS('الحركات الشهرية'!$F$6:$F$1005,'الحركات الشهرية'!$B$6:$B$1005,$B26,'الحركات الشهرية'!$A$6:$A$1005,$C$3))</f>
        <v/>
      </c>
      <c r="O26" s="86" t="str">
        <f aca="false">IF($B26="","",N26*(الموظفون!$N26+الموظفون!$J26*cfg_OT_P)/cfg_DAYS_M/cfg_HRS)</f>
        <v/>
      </c>
      <c r="P26" s="86" t="str">
        <f aca="false">IF($B26="","",SUMIFS('الحركات الشهرية'!$G$6:$G$1005,'الحركات الشهرية'!$B$6:$B$1005,$B26,'الحركات الشهرية'!$A$6:$A$1005,$C$3))</f>
        <v/>
      </c>
      <c r="Q26" s="86" t="str">
        <f aca="false">IF($B26="","",SUMIFS('الحركات الشهرية'!$H$6:$H$1005,'الحركات الشهرية'!$B$6:$B$1005,$B26,'الحركات الشهرية'!$A$6:$A$1005,$C$3))</f>
        <v/>
      </c>
      <c r="R26" s="106" t="str">
        <f aca="false">IF($B26="","",SUM(J26:M26)+SUM(O26:Q26))</f>
        <v/>
      </c>
      <c r="S26" s="86" t="str">
        <f aca="false">IF($B26="","",الموظفون!$Q26*IF(E26="سعودي",cfg_G_SE,cfg_G_NE)*F26/cfg_DAYS_M)</f>
        <v/>
      </c>
      <c r="T26" s="86" t="str">
        <f aca="false">IF($B26="","",SUMIFS('الحركات الشهرية'!$I$6:$I$1005,'الحركات الشهرية'!$B$6:$B$1005,$B26,'الحركات الشهرية'!$A$6:$A$1005,$C$3))</f>
        <v/>
      </c>
      <c r="U26" s="86" t="str">
        <f aca="false">IF($B26="","",SUMIFS('الحركات الشهرية'!$J$6:$J$1005,'الحركات الشهرية'!$B$6:$B$1005,$B26,'الحركات الشهرية'!$A$6:$A$1005,$C$3))</f>
        <v/>
      </c>
      <c r="V26" s="86" t="str">
        <f aca="false">IF($B26="","",SUM(S26:U26))</f>
        <v/>
      </c>
      <c r="W26" s="107" t="str">
        <f aca="false">IF($B26="","",R26-V26)</f>
        <v/>
      </c>
      <c r="X26" s="86" t="str">
        <f aca="false">IF($B26="","",الموظفون!$Q26*IF(E26="سعودي",cfg_G_SR,cfg_G_NR)*F26/cfg_DAYS_M)</f>
        <v/>
      </c>
      <c r="Y26" s="86" t="str">
        <f aca="false">IF($B26="","",الموظفون!$O26*(cfg_EOS_R1*(MIN(AC26,cfg_EOS_TH)-MIN(AD26,cfg_EOS_TH))+cfg_EOS_R2*(MAX(AC26-cfg_EOS_TH,0)-MAX(AD26-cfg_EOS_TH,0))))</f>
        <v/>
      </c>
      <c r="Z26" s="86" t="str">
        <f aca="false">IF($B26="","",IF(الموظفون!$R26&lt;&gt;"",الموظفون!$R26,IF(AC26&gt;=cfg_LV_TH,cfg_LV_D2,cfg_LV_D1))/cfg_DAYS_Y*AE26*الموظفون!$P26/cfg_DAYS_M)</f>
        <v/>
      </c>
      <c r="AA26" s="86" t="str">
        <f aca="false">IF($B26="","",IF(AND(الموظفون!$S26="نعم",N(الموظفون!$U26)&gt;0),الموظفون!$T26/الموظفون!$U26*12/cfg_DAYS_Y*AE26,0))</f>
        <v/>
      </c>
      <c r="AB26" s="108" t="str">
        <f aca="false">IF($B26="","",R26+SUM(X26:AA26))</f>
        <v/>
      </c>
      <c r="AC26" s="109" t="str">
        <f aca="false">IF($B26="","",MAX(0,IF(OR(الموظفون!$X26="",الموظفون!$X26&gt;$G$3),$G$3,الموظفون!$X26)-الموظفون!$H26+1)/cfg_DAYS_Y)</f>
        <v/>
      </c>
      <c r="AD26" s="109" t="str">
        <f aca="false">IF($B26="","",MAX(0,IF(OR(الموظفون!$X26="",الموظفون!$X26&gt;($E$3-1)),($E$3-1),الموظفون!$X26)-الموظفون!$H26+1)/cfg_DAYS_Y)</f>
        <v/>
      </c>
      <c r="AE26" s="51" t="str">
        <f aca="false">IF($B26="","",MAX(0,IF(OR(الموظفون!$X26="",الموظفون!$X26&gt;$G$3),$G$3,الموظفون!$X26)-MAX($E$3,الموظفون!$H26)+1))</f>
        <v/>
      </c>
    </row>
    <row r="27" customFormat="false" ht="15" hidden="false" customHeight="false" outlineLevel="0" collapsed="false">
      <c r="A27" s="89" t="str">
        <f aca="false">IF($B27="","",الموظفون!$A27)</f>
        <v/>
      </c>
      <c r="B27" s="91" t="str">
        <f aca="false">IF(الموظفون!$B27="","",الموظفون!$B27)</f>
        <v/>
      </c>
      <c r="C27" s="91" t="str">
        <f aca="false">IF($B27="","",الموظفون!$C27)</f>
        <v/>
      </c>
      <c r="D27" s="91" t="str">
        <f aca="false">IF($B27="","",الموظفون!$F27)</f>
        <v/>
      </c>
      <c r="E27" s="91" t="str">
        <f aca="false">IF($B27="","",الموظفون!$E27)</f>
        <v/>
      </c>
      <c r="F27" s="110" t="str">
        <f aca="false">IF($B27="","",IF(AE27&gt;=DAY($G$3),cfg_DAYS_M,MIN(AE27,cfg_DAYS_M)))</f>
        <v/>
      </c>
      <c r="G27" s="110" t="str">
        <f aca="false">IF($B27="","",SUMIFS('الحركات الشهرية'!$D$6:$D$1005,'الحركات الشهرية'!$B$6:$B$1005,$B27,'الحركات الشهرية'!$A$6:$A$1005,$C$3))</f>
        <v/>
      </c>
      <c r="H27" s="110" t="str">
        <f aca="false">IF($B27="","",SUMIFS('الحركات الشهرية'!$E$6:$E$1005,'الحركات الشهرية'!$B$6:$B$1005,$B27,'الحركات الشهرية'!$A$6:$A$1005,$C$3))</f>
        <v/>
      </c>
      <c r="I27" s="110" t="str">
        <f aca="false">IF($B27="","",MAX(0,F27-G27-H27))</f>
        <v/>
      </c>
      <c r="J27" s="90" t="str">
        <f aca="false">IF($B27="","",الموظفون!$J27*$I27/cfg_DAYS_M)</f>
        <v/>
      </c>
      <c r="K27" s="90" t="str">
        <f aca="false">IF($B27="","",الموظفون!$K27*$I27/cfg_DAYS_M)</f>
        <v/>
      </c>
      <c r="L27" s="90" t="str">
        <f aca="false">IF($B27="","",الموظفون!$L27*$I27/cfg_DAYS_M)</f>
        <v/>
      </c>
      <c r="M27" s="90" t="str">
        <f aca="false">IF($B27="","",الموظفون!$M27*$I27/cfg_DAYS_M)</f>
        <v/>
      </c>
      <c r="N27" s="110" t="str">
        <f aca="false">IF($B27="","",SUMIFS('الحركات الشهرية'!$F$6:$F$1005,'الحركات الشهرية'!$B$6:$B$1005,$B27,'الحركات الشهرية'!$A$6:$A$1005,$C$3))</f>
        <v/>
      </c>
      <c r="O27" s="90" t="str">
        <f aca="false">IF($B27="","",N27*(الموظفون!$N27+الموظفون!$J27*cfg_OT_P)/cfg_DAYS_M/cfg_HRS)</f>
        <v/>
      </c>
      <c r="P27" s="90" t="str">
        <f aca="false">IF($B27="","",SUMIFS('الحركات الشهرية'!$G$6:$G$1005,'الحركات الشهرية'!$B$6:$B$1005,$B27,'الحركات الشهرية'!$A$6:$A$1005,$C$3))</f>
        <v/>
      </c>
      <c r="Q27" s="90" t="str">
        <f aca="false">IF($B27="","",SUMIFS('الحركات الشهرية'!$H$6:$H$1005,'الحركات الشهرية'!$B$6:$B$1005,$B27,'الحركات الشهرية'!$A$6:$A$1005,$C$3))</f>
        <v/>
      </c>
      <c r="R27" s="111" t="str">
        <f aca="false">IF($B27="","",SUM(J27:M27)+SUM(O27:Q27))</f>
        <v/>
      </c>
      <c r="S27" s="90" t="str">
        <f aca="false">IF($B27="","",الموظفون!$Q27*IF(E27="سعودي",cfg_G_SE,cfg_G_NE)*F27/cfg_DAYS_M)</f>
        <v/>
      </c>
      <c r="T27" s="90" t="str">
        <f aca="false">IF($B27="","",SUMIFS('الحركات الشهرية'!$I$6:$I$1005,'الحركات الشهرية'!$B$6:$B$1005,$B27,'الحركات الشهرية'!$A$6:$A$1005,$C$3))</f>
        <v/>
      </c>
      <c r="U27" s="90" t="str">
        <f aca="false">IF($B27="","",SUMIFS('الحركات الشهرية'!$J$6:$J$1005,'الحركات الشهرية'!$B$6:$B$1005,$B27,'الحركات الشهرية'!$A$6:$A$1005,$C$3))</f>
        <v/>
      </c>
      <c r="V27" s="90" t="str">
        <f aca="false">IF($B27="","",SUM(S27:U27))</f>
        <v/>
      </c>
      <c r="W27" s="112" t="str">
        <f aca="false">IF($B27="","",R27-V27)</f>
        <v/>
      </c>
      <c r="X27" s="90" t="str">
        <f aca="false">IF($B27="","",الموظفون!$Q27*IF(E27="سعودي",cfg_G_SR,cfg_G_NR)*F27/cfg_DAYS_M)</f>
        <v/>
      </c>
      <c r="Y27" s="90" t="str">
        <f aca="false">IF($B27="","",الموظفون!$O27*(cfg_EOS_R1*(MIN(AC27,cfg_EOS_TH)-MIN(AD27,cfg_EOS_TH))+cfg_EOS_R2*(MAX(AC27-cfg_EOS_TH,0)-MAX(AD27-cfg_EOS_TH,0))))</f>
        <v/>
      </c>
      <c r="Z27" s="90" t="str">
        <f aca="false">IF($B27="","",IF(الموظفون!$R27&lt;&gt;"",الموظفون!$R27,IF(AC27&gt;=cfg_LV_TH,cfg_LV_D2,cfg_LV_D1))/cfg_DAYS_Y*AE27*الموظفون!$P27/cfg_DAYS_M)</f>
        <v/>
      </c>
      <c r="AA27" s="90" t="str">
        <f aca="false">IF($B27="","",IF(AND(الموظفون!$S27="نعم",N(الموظفون!$U27)&gt;0),الموظفون!$T27/الموظفون!$U27*12/cfg_DAYS_Y*AE27,0))</f>
        <v/>
      </c>
      <c r="AB27" s="113" t="str">
        <f aca="false">IF($B27="","",R27+SUM(X27:AA27))</f>
        <v/>
      </c>
      <c r="AC27" s="114" t="str">
        <f aca="false">IF($B27="","",MAX(0,IF(OR(الموظفون!$X27="",الموظفون!$X27&gt;$G$3),$G$3,الموظفون!$X27)-الموظفون!$H27+1)/cfg_DAYS_Y)</f>
        <v/>
      </c>
      <c r="AD27" s="114" t="str">
        <f aca="false">IF($B27="","",MAX(0,IF(OR(الموظفون!$X27="",الموظفون!$X27&gt;($E$3-1)),($E$3-1),الموظفون!$X27)-الموظفون!$H27+1)/cfg_DAYS_Y)</f>
        <v/>
      </c>
      <c r="AE27" s="115" t="str">
        <f aca="false">IF($B27="","",MAX(0,IF(OR(الموظفون!$X27="",الموظفون!$X27&gt;$G$3),$G$3,الموظفون!$X27)-MAX($E$3,الموظفون!$H27)+1))</f>
        <v/>
      </c>
    </row>
    <row r="28" customFormat="false" ht="15" hidden="false" customHeight="false" outlineLevel="0" collapsed="false">
      <c r="A28" s="83" t="str">
        <f aca="false">IF($B28="","",الموظفون!$A28)</f>
        <v/>
      </c>
      <c r="B28" s="74" t="str">
        <f aca="false">IF(الموظفون!$B28="","",الموظفون!$B28)</f>
        <v/>
      </c>
      <c r="C28" s="74" t="str">
        <f aca="false">IF($B28="","",الموظفون!$C28)</f>
        <v/>
      </c>
      <c r="D28" s="74" t="str">
        <f aca="false">IF($B28="","",الموظفون!$F28)</f>
        <v/>
      </c>
      <c r="E28" s="74" t="str">
        <f aca="false">IF($B28="","",الموظفون!$E28)</f>
        <v/>
      </c>
      <c r="F28" s="105" t="str">
        <f aca="false">IF($B28="","",IF(AE28&gt;=DAY($G$3),cfg_DAYS_M,MIN(AE28,cfg_DAYS_M)))</f>
        <v/>
      </c>
      <c r="G28" s="105" t="str">
        <f aca="false">IF($B28="","",SUMIFS('الحركات الشهرية'!$D$6:$D$1005,'الحركات الشهرية'!$B$6:$B$1005,$B28,'الحركات الشهرية'!$A$6:$A$1005,$C$3))</f>
        <v/>
      </c>
      <c r="H28" s="105" t="str">
        <f aca="false">IF($B28="","",SUMIFS('الحركات الشهرية'!$E$6:$E$1005,'الحركات الشهرية'!$B$6:$B$1005,$B28,'الحركات الشهرية'!$A$6:$A$1005,$C$3))</f>
        <v/>
      </c>
      <c r="I28" s="105" t="str">
        <f aca="false">IF($B28="","",MAX(0,F28-G28-H28))</f>
        <v/>
      </c>
      <c r="J28" s="86" t="str">
        <f aca="false">IF($B28="","",الموظفون!$J28*$I28/cfg_DAYS_M)</f>
        <v/>
      </c>
      <c r="K28" s="86" t="str">
        <f aca="false">IF($B28="","",الموظفون!$K28*$I28/cfg_DAYS_M)</f>
        <v/>
      </c>
      <c r="L28" s="86" t="str">
        <f aca="false">IF($B28="","",الموظفون!$L28*$I28/cfg_DAYS_M)</f>
        <v/>
      </c>
      <c r="M28" s="86" t="str">
        <f aca="false">IF($B28="","",الموظفون!$M28*$I28/cfg_DAYS_M)</f>
        <v/>
      </c>
      <c r="N28" s="105" t="str">
        <f aca="false">IF($B28="","",SUMIFS('الحركات الشهرية'!$F$6:$F$1005,'الحركات الشهرية'!$B$6:$B$1005,$B28,'الحركات الشهرية'!$A$6:$A$1005,$C$3))</f>
        <v/>
      </c>
      <c r="O28" s="86" t="str">
        <f aca="false">IF($B28="","",N28*(الموظفون!$N28+الموظفون!$J28*cfg_OT_P)/cfg_DAYS_M/cfg_HRS)</f>
        <v/>
      </c>
      <c r="P28" s="86" t="str">
        <f aca="false">IF($B28="","",SUMIFS('الحركات الشهرية'!$G$6:$G$1005,'الحركات الشهرية'!$B$6:$B$1005,$B28,'الحركات الشهرية'!$A$6:$A$1005,$C$3))</f>
        <v/>
      </c>
      <c r="Q28" s="86" t="str">
        <f aca="false">IF($B28="","",SUMIFS('الحركات الشهرية'!$H$6:$H$1005,'الحركات الشهرية'!$B$6:$B$1005,$B28,'الحركات الشهرية'!$A$6:$A$1005,$C$3))</f>
        <v/>
      </c>
      <c r="R28" s="106" t="str">
        <f aca="false">IF($B28="","",SUM(J28:M28)+SUM(O28:Q28))</f>
        <v/>
      </c>
      <c r="S28" s="86" t="str">
        <f aca="false">IF($B28="","",الموظفون!$Q28*IF(E28="سعودي",cfg_G_SE,cfg_G_NE)*F28/cfg_DAYS_M)</f>
        <v/>
      </c>
      <c r="T28" s="86" t="str">
        <f aca="false">IF($B28="","",SUMIFS('الحركات الشهرية'!$I$6:$I$1005,'الحركات الشهرية'!$B$6:$B$1005,$B28,'الحركات الشهرية'!$A$6:$A$1005,$C$3))</f>
        <v/>
      </c>
      <c r="U28" s="86" t="str">
        <f aca="false">IF($B28="","",SUMIFS('الحركات الشهرية'!$J$6:$J$1005,'الحركات الشهرية'!$B$6:$B$1005,$B28,'الحركات الشهرية'!$A$6:$A$1005,$C$3))</f>
        <v/>
      </c>
      <c r="V28" s="86" t="str">
        <f aca="false">IF($B28="","",SUM(S28:U28))</f>
        <v/>
      </c>
      <c r="W28" s="107" t="str">
        <f aca="false">IF($B28="","",R28-V28)</f>
        <v/>
      </c>
      <c r="X28" s="86" t="str">
        <f aca="false">IF($B28="","",الموظفون!$Q28*IF(E28="سعودي",cfg_G_SR,cfg_G_NR)*F28/cfg_DAYS_M)</f>
        <v/>
      </c>
      <c r="Y28" s="86" t="str">
        <f aca="false">IF($B28="","",الموظفون!$O28*(cfg_EOS_R1*(MIN(AC28,cfg_EOS_TH)-MIN(AD28,cfg_EOS_TH))+cfg_EOS_R2*(MAX(AC28-cfg_EOS_TH,0)-MAX(AD28-cfg_EOS_TH,0))))</f>
        <v/>
      </c>
      <c r="Z28" s="86" t="str">
        <f aca="false">IF($B28="","",IF(الموظفون!$R28&lt;&gt;"",الموظفون!$R28,IF(AC28&gt;=cfg_LV_TH,cfg_LV_D2,cfg_LV_D1))/cfg_DAYS_Y*AE28*الموظفون!$P28/cfg_DAYS_M)</f>
        <v/>
      </c>
      <c r="AA28" s="86" t="str">
        <f aca="false">IF($B28="","",IF(AND(الموظفون!$S28="نعم",N(الموظفون!$U28)&gt;0),الموظفون!$T28/الموظفون!$U28*12/cfg_DAYS_Y*AE28,0))</f>
        <v/>
      </c>
      <c r="AB28" s="108" t="str">
        <f aca="false">IF($B28="","",R28+SUM(X28:AA28))</f>
        <v/>
      </c>
      <c r="AC28" s="109" t="str">
        <f aca="false">IF($B28="","",MAX(0,IF(OR(الموظفون!$X28="",الموظفون!$X28&gt;$G$3),$G$3,الموظفون!$X28)-الموظفون!$H28+1)/cfg_DAYS_Y)</f>
        <v/>
      </c>
      <c r="AD28" s="109" t="str">
        <f aca="false">IF($B28="","",MAX(0,IF(OR(الموظفون!$X28="",الموظفون!$X28&gt;($E$3-1)),($E$3-1),الموظفون!$X28)-الموظفون!$H28+1)/cfg_DAYS_Y)</f>
        <v/>
      </c>
      <c r="AE28" s="51" t="str">
        <f aca="false">IF($B28="","",MAX(0,IF(OR(الموظفون!$X28="",الموظفون!$X28&gt;$G$3),$G$3,الموظفون!$X28)-MAX($E$3,الموظفون!$H28)+1))</f>
        <v/>
      </c>
    </row>
    <row r="29" customFormat="false" ht="15" hidden="false" customHeight="false" outlineLevel="0" collapsed="false">
      <c r="A29" s="89" t="str">
        <f aca="false">IF($B29="","",الموظفون!$A29)</f>
        <v/>
      </c>
      <c r="B29" s="91" t="str">
        <f aca="false">IF(الموظفون!$B29="","",الموظفون!$B29)</f>
        <v/>
      </c>
      <c r="C29" s="91" t="str">
        <f aca="false">IF($B29="","",الموظفون!$C29)</f>
        <v/>
      </c>
      <c r="D29" s="91" t="str">
        <f aca="false">IF($B29="","",الموظفون!$F29)</f>
        <v/>
      </c>
      <c r="E29" s="91" t="str">
        <f aca="false">IF($B29="","",الموظفون!$E29)</f>
        <v/>
      </c>
      <c r="F29" s="110" t="str">
        <f aca="false">IF($B29="","",IF(AE29&gt;=DAY($G$3),cfg_DAYS_M,MIN(AE29,cfg_DAYS_M)))</f>
        <v/>
      </c>
      <c r="G29" s="110" t="str">
        <f aca="false">IF($B29="","",SUMIFS('الحركات الشهرية'!$D$6:$D$1005,'الحركات الشهرية'!$B$6:$B$1005,$B29,'الحركات الشهرية'!$A$6:$A$1005,$C$3))</f>
        <v/>
      </c>
      <c r="H29" s="110" t="str">
        <f aca="false">IF($B29="","",SUMIFS('الحركات الشهرية'!$E$6:$E$1005,'الحركات الشهرية'!$B$6:$B$1005,$B29,'الحركات الشهرية'!$A$6:$A$1005,$C$3))</f>
        <v/>
      </c>
      <c r="I29" s="110" t="str">
        <f aca="false">IF($B29="","",MAX(0,F29-G29-H29))</f>
        <v/>
      </c>
      <c r="J29" s="90" t="str">
        <f aca="false">IF($B29="","",الموظفون!$J29*$I29/cfg_DAYS_M)</f>
        <v/>
      </c>
      <c r="K29" s="90" t="str">
        <f aca="false">IF($B29="","",الموظفون!$K29*$I29/cfg_DAYS_M)</f>
        <v/>
      </c>
      <c r="L29" s="90" t="str">
        <f aca="false">IF($B29="","",الموظفون!$L29*$I29/cfg_DAYS_M)</f>
        <v/>
      </c>
      <c r="M29" s="90" t="str">
        <f aca="false">IF($B29="","",الموظفون!$M29*$I29/cfg_DAYS_M)</f>
        <v/>
      </c>
      <c r="N29" s="110" t="str">
        <f aca="false">IF($B29="","",SUMIFS('الحركات الشهرية'!$F$6:$F$1005,'الحركات الشهرية'!$B$6:$B$1005,$B29,'الحركات الشهرية'!$A$6:$A$1005,$C$3))</f>
        <v/>
      </c>
      <c r="O29" s="90" t="str">
        <f aca="false">IF($B29="","",N29*(الموظفون!$N29+الموظفون!$J29*cfg_OT_P)/cfg_DAYS_M/cfg_HRS)</f>
        <v/>
      </c>
      <c r="P29" s="90" t="str">
        <f aca="false">IF($B29="","",SUMIFS('الحركات الشهرية'!$G$6:$G$1005,'الحركات الشهرية'!$B$6:$B$1005,$B29,'الحركات الشهرية'!$A$6:$A$1005,$C$3))</f>
        <v/>
      </c>
      <c r="Q29" s="90" t="str">
        <f aca="false">IF($B29="","",SUMIFS('الحركات الشهرية'!$H$6:$H$1005,'الحركات الشهرية'!$B$6:$B$1005,$B29,'الحركات الشهرية'!$A$6:$A$1005,$C$3))</f>
        <v/>
      </c>
      <c r="R29" s="111" t="str">
        <f aca="false">IF($B29="","",SUM(J29:M29)+SUM(O29:Q29))</f>
        <v/>
      </c>
      <c r="S29" s="90" t="str">
        <f aca="false">IF($B29="","",الموظفون!$Q29*IF(E29="سعودي",cfg_G_SE,cfg_G_NE)*F29/cfg_DAYS_M)</f>
        <v/>
      </c>
      <c r="T29" s="90" t="str">
        <f aca="false">IF($B29="","",SUMIFS('الحركات الشهرية'!$I$6:$I$1005,'الحركات الشهرية'!$B$6:$B$1005,$B29,'الحركات الشهرية'!$A$6:$A$1005,$C$3))</f>
        <v/>
      </c>
      <c r="U29" s="90" t="str">
        <f aca="false">IF($B29="","",SUMIFS('الحركات الشهرية'!$J$6:$J$1005,'الحركات الشهرية'!$B$6:$B$1005,$B29,'الحركات الشهرية'!$A$6:$A$1005,$C$3))</f>
        <v/>
      </c>
      <c r="V29" s="90" t="str">
        <f aca="false">IF($B29="","",SUM(S29:U29))</f>
        <v/>
      </c>
      <c r="W29" s="112" t="str">
        <f aca="false">IF($B29="","",R29-V29)</f>
        <v/>
      </c>
      <c r="X29" s="90" t="str">
        <f aca="false">IF($B29="","",الموظفون!$Q29*IF(E29="سعودي",cfg_G_SR,cfg_G_NR)*F29/cfg_DAYS_M)</f>
        <v/>
      </c>
      <c r="Y29" s="90" t="str">
        <f aca="false">IF($B29="","",الموظفون!$O29*(cfg_EOS_R1*(MIN(AC29,cfg_EOS_TH)-MIN(AD29,cfg_EOS_TH))+cfg_EOS_R2*(MAX(AC29-cfg_EOS_TH,0)-MAX(AD29-cfg_EOS_TH,0))))</f>
        <v/>
      </c>
      <c r="Z29" s="90" t="str">
        <f aca="false">IF($B29="","",IF(الموظفون!$R29&lt;&gt;"",الموظفون!$R29,IF(AC29&gt;=cfg_LV_TH,cfg_LV_D2,cfg_LV_D1))/cfg_DAYS_Y*AE29*الموظفون!$P29/cfg_DAYS_M)</f>
        <v/>
      </c>
      <c r="AA29" s="90" t="str">
        <f aca="false">IF($B29="","",IF(AND(الموظفون!$S29="نعم",N(الموظفون!$U29)&gt;0),الموظفون!$T29/الموظفون!$U29*12/cfg_DAYS_Y*AE29,0))</f>
        <v/>
      </c>
      <c r="AB29" s="113" t="str">
        <f aca="false">IF($B29="","",R29+SUM(X29:AA29))</f>
        <v/>
      </c>
      <c r="AC29" s="114" t="str">
        <f aca="false">IF($B29="","",MAX(0,IF(OR(الموظفون!$X29="",الموظفون!$X29&gt;$G$3),$G$3,الموظفون!$X29)-الموظفون!$H29+1)/cfg_DAYS_Y)</f>
        <v/>
      </c>
      <c r="AD29" s="114" t="str">
        <f aca="false">IF($B29="","",MAX(0,IF(OR(الموظفون!$X29="",الموظفون!$X29&gt;($E$3-1)),($E$3-1),الموظفون!$X29)-الموظفون!$H29+1)/cfg_DAYS_Y)</f>
        <v/>
      </c>
      <c r="AE29" s="115" t="str">
        <f aca="false">IF($B29="","",MAX(0,IF(OR(الموظفون!$X29="",الموظفون!$X29&gt;$G$3),$G$3,الموظفون!$X29)-MAX($E$3,الموظفون!$H29)+1))</f>
        <v/>
      </c>
    </row>
    <row r="30" customFormat="false" ht="15" hidden="false" customHeight="false" outlineLevel="0" collapsed="false">
      <c r="A30" s="83" t="str">
        <f aca="false">IF($B30="","",الموظفون!$A30)</f>
        <v/>
      </c>
      <c r="B30" s="74" t="str">
        <f aca="false">IF(الموظفون!$B30="","",الموظفون!$B30)</f>
        <v/>
      </c>
      <c r="C30" s="74" t="str">
        <f aca="false">IF($B30="","",الموظفون!$C30)</f>
        <v/>
      </c>
      <c r="D30" s="74" t="str">
        <f aca="false">IF($B30="","",الموظفون!$F30)</f>
        <v/>
      </c>
      <c r="E30" s="74" t="str">
        <f aca="false">IF($B30="","",الموظفون!$E30)</f>
        <v/>
      </c>
      <c r="F30" s="105" t="str">
        <f aca="false">IF($B30="","",IF(AE30&gt;=DAY($G$3),cfg_DAYS_M,MIN(AE30,cfg_DAYS_M)))</f>
        <v/>
      </c>
      <c r="G30" s="105" t="str">
        <f aca="false">IF($B30="","",SUMIFS('الحركات الشهرية'!$D$6:$D$1005,'الحركات الشهرية'!$B$6:$B$1005,$B30,'الحركات الشهرية'!$A$6:$A$1005,$C$3))</f>
        <v/>
      </c>
      <c r="H30" s="105" t="str">
        <f aca="false">IF($B30="","",SUMIFS('الحركات الشهرية'!$E$6:$E$1005,'الحركات الشهرية'!$B$6:$B$1005,$B30,'الحركات الشهرية'!$A$6:$A$1005,$C$3))</f>
        <v/>
      </c>
      <c r="I30" s="105" t="str">
        <f aca="false">IF($B30="","",MAX(0,F30-G30-H30))</f>
        <v/>
      </c>
      <c r="J30" s="86" t="str">
        <f aca="false">IF($B30="","",الموظفون!$J30*$I30/cfg_DAYS_M)</f>
        <v/>
      </c>
      <c r="K30" s="86" t="str">
        <f aca="false">IF($B30="","",الموظفون!$K30*$I30/cfg_DAYS_M)</f>
        <v/>
      </c>
      <c r="L30" s="86" t="str">
        <f aca="false">IF($B30="","",الموظفون!$L30*$I30/cfg_DAYS_M)</f>
        <v/>
      </c>
      <c r="M30" s="86" t="str">
        <f aca="false">IF($B30="","",الموظفون!$M30*$I30/cfg_DAYS_M)</f>
        <v/>
      </c>
      <c r="N30" s="105" t="str">
        <f aca="false">IF($B30="","",SUMIFS('الحركات الشهرية'!$F$6:$F$1005,'الحركات الشهرية'!$B$6:$B$1005,$B30,'الحركات الشهرية'!$A$6:$A$1005,$C$3))</f>
        <v/>
      </c>
      <c r="O30" s="86" t="str">
        <f aca="false">IF($B30="","",N30*(الموظفون!$N30+الموظفون!$J30*cfg_OT_P)/cfg_DAYS_M/cfg_HRS)</f>
        <v/>
      </c>
      <c r="P30" s="86" t="str">
        <f aca="false">IF($B30="","",SUMIFS('الحركات الشهرية'!$G$6:$G$1005,'الحركات الشهرية'!$B$6:$B$1005,$B30,'الحركات الشهرية'!$A$6:$A$1005,$C$3))</f>
        <v/>
      </c>
      <c r="Q30" s="86" t="str">
        <f aca="false">IF($B30="","",SUMIFS('الحركات الشهرية'!$H$6:$H$1005,'الحركات الشهرية'!$B$6:$B$1005,$B30,'الحركات الشهرية'!$A$6:$A$1005,$C$3))</f>
        <v/>
      </c>
      <c r="R30" s="106" t="str">
        <f aca="false">IF($B30="","",SUM(J30:M30)+SUM(O30:Q30))</f>
        <v/>
      </c>
      <c r="S30" s="86" t="str">
        <f aca="false">IF($B30="","",الموظفون!$Q30*IF(E30="سعودي",cfg_G_SE,cfg_G_NE)*F30/cfg_DAYS_M)</f>
        <v/>
      </c>
      <c r="T30" s="86" t="str">
        <f aca="false">IF($B30="","",SUMIFS('الحركات الشهرية'!$I$6:$I$1005,'الحركات الشهرية'!$B$6:$B$1005,$B30,'الحركات الشهرية'!$A$6:$A$1005,$C$3))</f>
        <v/>
      </c>
      <c r="U30" s="86" t="str">
        <f aca="false">IF($B30="","",SUMIFS('الحركات الشهرية'!$J$6:$J$1005,'الحركات الشهرية'!$B$6:$B$1005,$B30,'الحركات الشهرية'!$A$6:$A$1005,$C$3))</f>
        <v/>
      </c>
      <c r="V30" s="86" t="str">
        <f aca="false">IF($B30="","",SUM(S30:U30))</f>
        <v/>
      </c>
      <c r="W30" s="107" t="str">
        <f aca="false">IF($B30="","",R30-V30)</f>
        <v/>
      </c>
      <c r="X30" s="86" t="str">
        <f aca="false">IF($B30="","",الموظفون!$Q30*IF(E30="سعودي",cfg_G_SR,cfg_G_NR)*F30/cfg_DAYS_M)</f>
        <v/>
      </c>
      <c r="Y30" s="86" t="str">
        <f aca="false">IF($B30="","",الموظفون!$O30*(cfg_EOS_R1*(MIN(AC30,cfg_EOS_TH)-MIN(AD30,cfg_EOS_TH))+cfg_EOS_R2*(MAX(AC30-cfg_EOS_TH,0)-MAX(AD30-cfg_EOS_TH,0))))</f>
        <v/>
      </c>
      <c r="Z30" s="86" t="str">
        <f aca="false">IF($B30="","",IF(الموظفون!$R30&lt;&gt;"",الموظفون!$R30,IF(AC30&gt;=cfg_LV_TH,cfg_LV_D2,cfg_LV_D1))/cfg_DAYS_Y*AE30*الموظفون!$P30/cfg_DAYS_M)</f>
        <v/>
      </c>
      <c r="AA30" s="86" t="str">
        <f aca="false">IF($B30="","",IF(AND(الموظفون!$S30="نعم",N(الموظفون!$U30)&gt;0),الموظفون!$T30/الموظفون!$U30*12/cfg_DAYS_Y*AE30,0))</f>
        <v/>
      </c>
      <c r="AB30" s="108" t="str">
        <f aca="false">IF($B30="","",R30+SUM(X30:AA30))</f>
        <v/>
      </c>
      <c r="AC30" s="109" t="str">
        <f aca="false">IF($B30="","",MAX(0,IF(OR(الموظفون!$X30="",الموظفون!$X30&gt;$G$3),$G$3,الموظفون!$X30)-الموظفون!$H30+1)/cfg_DAYS_Y)</f>
        <v/>
      </c>
      <c r="AD30" s="109" t="str">
        <f aca="false">IF($B30="","",MAX(0,IF(OR(الموظفون!$X30="",الموظفون!$X30&gt;($E$3-1)),($E$3-1),الموظفون!$X30)-الموظفون!$H30+1)/cfg_DAYS_Y)</f>
        <v/>
      </c>
      <c r="AE30" s="51" t="str">
        <f aca="false">IF($B30="","",MAX(0,IF(OR(الموظفون!$X30="",الموظفون!$X30&gt;$G$3),$G$3,الموظفون!$X30)-MAX($E$3,الموظفون!$H30)+1))</f>
        <v/>
      </c>
    </row>
    <row r="31" customFormat="false" ht="15" hidden="false" customHeight="false" outlineLevel="0" collapsed="false">
      <c r="A31" s="89" t="str">
        <f aca="false">IF($B31="","",الموظفون!$A31)</f>
        <v/>
      </c>
      <c r="B31" s="91" t="str">
        <f aca="false">IF(الموظفون!$B31="","",الموظفون!$B31)</f>
        <v/>
      </c>
      <c r="C31" s="91" t="str">
        <f aca="false">IF($B31="","",الموظفون!$C31)</f>
        <v/>
      </c>
      <c r="D31" s="91" t="str">
        <f aca="false">IF($B31="","",الموظفون!$F31)</f>
        <v/>
      </c>
      <c r="E31" s="91" t="str">
        <f aca="false">IF($B31="","",الموظفون!$E31)</f>
        <v/>
      </c>
      <c r="F31" s="110" t="str">
        <f aca="false">IF($B31="","",IF(AE31&gt;=DAY($G$3),cfg_DAYS_M,MIN(AE31,cfg_DAYS_M)))</f>
        <v/>
      </c>
      <c r="G31" s="110" t="str">
        <f aca="false">IF($B31="","",SUMIFS('الحركات الشهرية'!$D$6:$D$1005,'الحركات الشهرية'!$B$6:$B$1005,$B31,'الحركات الشهرية'!$A$6:$A$1005,$C$3))</f>
        <v/>
      </c>
      <c r="H31" s="110" t="str">
        <f aca="false">IF($B31="","",SUMIFS('الحركات الشهرية'!$E$6:$E$1005,'الحركات الشهرية'!$B$6:$B$1005,$B31,'الحركات الشهرية'!$A$6:$A$1005,$C$3))</f>
        <v/>
      </c>
      <c r="I31" s="110" t="str">
        <f aca="false">IF($B31="","",MAX(0,F31-G31-H31))</f>
        <v/>
      </c>
      <c r="J31" s="90" t="str">
        <f aca="false">IF($B31="","",الموظفون!$J31*$I31/cfg_DAYS_M)</f>
        <v/>
      </c>
      <c r="K31" s="90" t="str">
        <f aca="false">IF($B31="","",الموظفون!$K31*$I31/cfg_DAYS_M)</f>
        <v/>
      </c>
      <c r="L31" s="90" t="str">
        <f aca="false">IF($B31="","",الموظفون!$L31*$I31/cfg_DAYS_M)</f>
        <v/>
      </c>
      <c r="M31" s="90" t="str">
        <f aca="false">IF($B31="","",الموظفون!$M31*$I31/cfg_DAYS_M)</f>
        <v/>
      </c>
      <c r="N31" s="110" t="str">
        <f aca="false">IF($B31="","",SUMIFS('الحركات الشهرية'!$F$6:$F$1005,'الحركات الشهرية'!$B$6:$B$1005,$B31,'الحركات الشهرية'!$A$6:$A$1005,$C$3))</f>
        <v/>
      </c>
      <c r="O31" s="90" t="str">
        <f aca="false">IF($B31="","",N31*(الموظفون!$N31+الموظفون!$J31*cfg_OT_P)/cfg_DAYS_M/cfg_HRS)</f>
        <v/>
      </c>
      <c r="P31" s="90" t="str">
        <f aca="false">IF($B31="","",SUMIFS('الحركات الشهرية'!$G$6:$G$1005,'الحركات الشهرية'!$B$6:$B$1005,$B31,'الحركات الشهرية'!$A$6:$A$1005,$C$3))</f>
        <v/>
      </c>
      <c r="Q31" s="90" t="str">
        <f aca="false">IF($B31="","",SUMIFS('الحركات الشهرية'!$H$6:$H$1005,'الحركات الشهرية'!$B$6:$B$1005,$B31,'الحركات الشهرية'!$A$6:$A$1005,$C$3))</f>
        <v/>
      </c>
      <c r="R31" s="111" t="str">
        <f aca="false">IF($B31="","",SUM(J31:M31)+SUM(O31:Q31))</f>
        <v/>
      </c>
      <c r="S31" s="90" t="str">
        <f aca="false">IF($B31="","",الموظفون!$Q31*IF(E31="سعودي",cfg_G_SE,cfg_G_NE)*F31/cfg_DAYS_M)</f>
        <v/>
      </c>
      <c r="T31" s="90" t="str">
        <f aca="false">IF($B31="","",SUMIFS('الحركات الشهرية'!$I$6:$I$1005,'الحركات الشهرية'!$B$6:$B$1005,$B31,'الحركات الشهرية'!$A$6:$A$1005,$C$3))</f>
        <v/>
      </c>
      <c r="U31" s="90" t="str">
        <f aca="false">IF($B31="","",SUMIFS('الحركات الشهرية'!$J$6:$J$1005,'الحركات الشهرية'!$B$6:$B$1005,$B31,'الحركات الشهرية'!$A$6:$A$1005,$C$3))</f>
        <v/>
      </c>
      <c r="V31" s="90" t="str">
        <f aca="false">IF($B31="","",SUM(S31:U31))</f>
        <v/>
      </c>
      <c r="W31" s="112" t="str">
        <f aca="false">IF($B31="","",R31-V31)</f>
        <v/>
      </c>
      <c r="X31" s="90" t="str">
        <f aca="false">IF($B31="","",الموظفون!$Q31*IF(E31="سعودي",cfg_G_SR,cfg_G_NR)*F31/cfg_DAYS_M)</f>
        <v/>
      </c>
      <c r="Y31" s="90" t="str">
        <f aca="false">IF($B31="","",الموظفون!$O31*(cfg_EOS_R1*(MIN(AC31,cfg_EOS_TH)-MIN(AD31,cfg_EOS_TH))+cfg_EOS_R2*(MAX(AC31-cfg_EOS_TH,0)-MAX(AD31-cfg_EOS_TH,0))))</f>
        <v/>
      </c>
      <c r="Z31" s="90" t="str">
        <f aca="false">IF($B31="","",IF(الموظفون!$R31&lt;&gt;"",الموظفون!$R31,IF(AC31&gt;=cfg_LV_TH,cfg_LV_D2,cfg_LV_D1))/cfg_DAYS_Y*AE31*الموظفون!$P31/cfg_DAYS_M)</f>
        <v/>
      </c>
      <c r="AA31" s="90" t="str">
        <f aca="false">IF($B31="","",IF(AND(الموظفون!$S31="نعم",N(الموظفون!$U31)&gt;0),الموظفون!$T31/الموظفون!$U31*12/cfg_DAYS_Y*AE31,0))</f>
        <v/>
      </c>
      <c r="AB31" s="113" t="str">
        <f aca="false">IF($B31="","",R31+SUM(X31:AA31))</f>
        <v/>
      </c>
      <c r="AC31" s="114" t="str">
        <f aca="false">IF($B31="","",MAX(0,IF(OR(الموظفون!$X31="",الموظفون!$X31&gt;$G$3),$G$3,الموظفون!$X31)-الموظفون!$H31+1)/cfg_DAYS_Y)</f>
        <v/>
      </c>
      <c r="AD31" s="114" t="str">
        <f aca="false">IF($B31="","",MAX(0,IF(OR(الموظفون!$X31="",الموظفون!$X31&gt;($E$3-1)),($E$3-1),الموظفون!$X31)-الموظفون!$H31+1)/cfg_DAYS_Y)</f>
        <v/>
      </c>
      <c r="AE31" s="115" t="str">
        <f aca="false">IF($B31="","",MAX(0,IF(OR(الموظفون!$X31="",الموظفون!$X31&gt;$G$3),$G$3,الموظفون!$X31)-MAX($E$3,الموظفون!$H31)+1))</f>
        <v/>
      </c>
    </row>
    <row r="32" customFormat="false" ht="15" hidden="false" customHeight="false" outlineLevel="0" collapsed="false">
      <c r="A32" s="83" t="str">
        <f aca="false">IF($B32="","",الموظفون!$A32)</f>
        <v/>
      </c>
      <c r="B32" s="74" t="str">
        <f aca="false">IF(الموظفون!$B32="","",الموظفون!$B32)</f>
        <v/>
      </c>
      <c r="C32" s="74" t="str">
        <f aca="false">IF($B32="","",الموظفون!$C32)</f>
        <v/>
      </c>
      <c r="D32" s="74" t="str">
        <f aca="false">IF($B32="","",الموظفون!$F32)</f>
        <v/>
      </c>
      <c r="E32" s="74" t="str">
        <f aca="false">IF($B32="","",الموظفون!$E32)</f>
        <v/>
      </c>
      <c r="F32" s="105" t="str">
        <f aca="false">IF($B32="","",IF(AE32&gt;=DAY($G$3),cfg_DAYS_M,MIN(AE32,cfg_DAYS_M)))</f>
        <v/>
      </c>
      <c r="G32" s="105" t="str">
        <f aca="false">IF($B32="","",SUMIFS('الحركات الشهرية'!$D$6:$D$1005,'الحركات الشهرية'!$B$6:$B$1005,$B32,'الحركات الشهرية'!$A$6:$A$1005,$C$3))</f>
        <v/>
      </c>
      <c r="H32" s="105" t="str">
        <f aca="false">IF($B32="","",SUMIFS('الحركات الشهرية'!$E$6:$E$1005,'الحركات الشهرية'!$B$6:$B$1005,$B32,'الحركات الشهرية'!$A$6:$A$1005,$C$3))</f>
        <v/>
      </c>
      <c r="I32" s="105" t="str">
        <f aca="false">IF($B32="","",MAX(0,F32-G32-H32))</f>
        <v/>
      </c>
      <c r="J32" s="86" t="str">
        <f aca="false">IF($B32="","",الموظفون!$J32*$I32/cfg_DAYS_M)</f>
        <v/>
      </c>
      <c r="K32" s="86" t="str">
        <f aca="false">IF($B32="","",الموظفون!$K32*$I32/cfg_DAYS_M)</f>
        <v/>
      </c>
      <c r="L32" s="86" t="str">
        <f aca="false">IF($B32="","",الموظفون!$L32*$I32/cfg_DAYS_M)</f>
        <v/>
      </c>
      <c r="M32" s="86" t="str">
        <f aca="false">IF($B32="","",الموظفون!$M32*$I32/cfg_DAYS_M)</f>
        <v/>
      </c>
      <c r="N32" s="105" t="str">
        <f aca="false">IF($B32="","",SUMIFS('الحركات الشهرية'!$F$6:$F$1005,'الحركات الشهرية'!$B$6:$B$1005,$B32,'الحركات الشهرية'!$A$6:$A$1005,$C$3))</f>
        <v/>
      </c>
      <c r="O32" s="86" t="str">
        <f aca="false">IF($B32="","",N32*(الموظفون!$N32+الموظفون!$J32*cfg_OT_P)/cfg_DAYS_M/cfg_HRS)</f>
        <v/>
      </c>
      <c r="P32" s="86" t="str">
        <f aca="false">IF($B32="","",SUMIFS('الحركات الشهرية'!$G$6:$G$1005,'الحركات الشهرية'!$B$6:$B$1005,$B32,'الحركات الشهرية'!$A$6:$A$1005,$C$3))</f>
        <v/>
      </c>
      <c r="Q32" s="86" t="str">
        <f aca="false">IF($B32="","",SUMIFS('الحركات الشهرية'!$H$6:$H$1005,'الحركات الشهرية'!$B$6:$B$1005,$B32,'الحركات الشهرية'!$A$6:$A$1005,$C$3))</f>
        <v/>
      </c>
      <c r="R32" s="106" t="str">
        <f aca="false">IF($B32="","",SUM(J32:M32)+SUM(O32:Q32))</f>
        <v/>
      </c>
      <c r="S32" s="86" t="str">
        <f aca="false">IF($B32="","",الموظفون!$Q32*IF(E32="سعودي",cfg_G_SE,cfg_G_NE)*F32/cfg_DAYS_M)</f>
        <v/>
      </c>
      <c r="T32" s="86" t="str">
        <f aca="false">IF($B32="","",SUMIFS('الحركات الشهرية'!$I$6:$I$1005,'الحركات الشهرية'!$B$6:$B$1005,$B32,'الحركات الشهرية'!$A$6:$A$1005,$C$3))</f>
        <v/>
      </c>
      <c r="U32" s="86" t="str">
        <f aca="false">IF($B32="","",SUMIFS('الحركات الشهرية'!$J$6:$J$1005,'الحركات الشهرية'!$B$6:$B$1005,$B32,'الحركات الشهرية'!$A$6:$A$1005,$C$3))</f>
        <v/>
      </c>
      <c r="V32" s="86" t="str">
        <f aca="false">IF($B32="","",SUM(S32:U32))</f>
        <v/>
      </c>
      <c r="W32" s="107" t="str">
        <f aca="false">IF($B32="","",R32-V32)</f>
        <v/>
      </c>
      <c r="X32" s="86" t="str">
        <f aca="false">IF($B32="","",الموظفون!$Q32*IF(E32="سعودي",cfg_G_SR,cfg_G_NR)*F32/cfg_DAYS_M)</f>
        <v/>
      </c>
      <c r="Y32" s="86" t="str">
        <f aca="false">IF($B32="","",الموظفون!$O32*(cfg_EOS_R1*(MIN(AC32,cfg_EOS_TH)-MIN(AD32,cfg_EOS_TH))+cfg_EOS_R2*(MAX(AC32-cfg_EOS_TH,0)-MAX(AD32-cfg_EOS_TH,0))))</f>
        <v/>
      </c>
      <c r="Z32" s="86" t="str">
        <f aca="false">IF($B32="","",IF(الموظفون!$R32&lt;&gt;"",الموظفون!$R32,IF(AC32&gt;=cfg_LV_TH,cfg_LV_D2,cfg_LV_D1))/cfg_DAYS_Y*AE32*الموظفون!$P32/cfg_DAYS_M)</f>
        <v/>
      </c>
      <c r="AA32" s="86" t="str">
        <f aca="false">IF($B32="","",IF(AND(الموظفون!$S32="نعم",N(الموظفون!$U32)&gt;0),الموظفون!$T32/الموظفون!$U32*12/cfg_DAYS_Y*AE32,0))</f>
        <v/>
      </c>
      <c r="AB32" s="108" t="str">
        <f aca="false">IF($B32="","",R32+SUM(X32:AA32))</f>
        <v/>
      </c>
      <c r="AC32" s="109" t="str">
        <f aca="false">IF($B32="","",MAX(0,IF(OR(الموظفون!$X32="",الموظفون!$X32&gt;$G$3),$G$3,الموظفون!$X32)-الموظفون!$H32+1)/cfg_DAYS_Y)</f>
        <v/>
      </c>
      <c r="AD32" s="109" t="str">
        <f aca="false">IF($B32="","",MAX(0,IF(OR(الموظفون!$X32="",الموظفون!$X32&gt;($E$3-1)),($E$3-1),الموظفون!$X32)-الموظفون!$H32+1)/cfg_DAYS_Y)</f>
        <v/>
      </c>
      <c r="AE32" s="51" t="str">
        <f aca="false">IF($B32="","",MAX(0,IF(OR(الموظفون!$X32="",الموظفون!$X32&gt;$G$3),$G$3,الموظفون!$X32)-MAX($E$3,الموظفون!$H32)+1))</f>
        <v/>
      </c>
    </row>
    <row r="33" customFormat="false" ht="15" hidden="false" customHeight="false" outlineLevel="0" collapsed="false">
      <c r="A33" s="89" t="str">
        <f aca="false">IF($B33="","",الموظفون!$A33)</f>
        <v/>
      </c>
      <c r="B33" s="91" t="str">
        <f aca="false">IF(الموظفون!$B33="","",الموظفون!$B33)</f>
        <v/>
      </c>
      <c r="C33" s="91" t="str">
        <f aca="false">IF($B33="","",الموظفون!$C33)</f>
        <v/>
      </c>
      <c r="D33" s="91" t="str">
        <f aca="false">IF($B33="","",الموظفون!$F33)</f>
        <v/>
      </c>
      <c r="E33" s="91" t="str">
        <f aca="false">IF($B33="","",الموظفون!$E33)</f>
        <v/>
      </c>
      <c r="F33" s="110" t="str">
        <f aca="false">IF($B33="","",IF(AE33&gt;=DAY($G$3),cfg_DAYS_M,MIN(AE33,cfg_DAYS_M)))</f>
        <v/>
      </c>
      <c r="G33" s="110" t="str">
        <f aca="false">IF($B33="","",SUMIFS('الحركات الشهرية'!$D$6:$D$1005,'الحركات الشهرية'!$B$6:$B$1005,$B33,'الحركات الشهرية'!$A$6:$A$1005,$C$3))</f>
        <v/>
      </c>
      <c r="H33" s="110" t="str">
        <f aca="false">IF($B33="","",SUMIFS('الحركات الشهرية'!$E$6:$E$1005,'الحركات الشهرية'!$B$6:$B$1005,$B33,'الحركات الشهرية'!$A$6:$A$1005,$C$3))</f>
        <v/>
      </c>
      <c r="I33" s="110" t="str">
        <f aca="false">IF($B33="","",MAX(0,F33-G33-H33))</f>
        <v/>
      </c>
      <c r="J33" s="90" t="str">
        <f aca="false">IF($B33="","",الموظفون!$J33*$I33/cfg_DAYS_M)</f>
        <v/>
      </c>
      <c r="K33" s="90" t="str">
        <f aca="false">IF($B33="","",الموظفون!$K33*$I33/cfg_DAYS_M)</f>
        <v/>
      </c>
      <c r="L33" s="90" t="str">
        <f aca="false">IF($B33="","",الموظفون!$L33*$I33/cfg_DAYS_M)</f>
        <v/>
      </c>
      <c r="M33" s="90" t="str">
        <f aca="false">IF($B33="","",الموظفون!$M33*$I33/cfg_DAYS_M)</f>
        <v/>
      </c>
      <c r="N33" s="110" t="str">
        <f aca="false">IF($B33="","",SUMIFS('الحركات الشهرية'!$F$6:$F$1005,'الحركات الشهرية'!$B$6:$B$1005,$B33,'الحركات الشهرية'!$A$6:$A$1005,$C$3))</f>
        <v/>
      </c>
      <c r="O33" s="90" t="str">
        <f aca="false">IF($B33="","",N33*(الموظفون!$N33+الموظفون!$J33*cfg_OT_P)/cfg_DAYS_M/cfg_HRS)</f>
        <v/>
      </c>
      <c r="P33" s="90" t="str">
        <f aca="false">IF($B33="","",SUMIFS('الحركات الشهرية'!$G$6:$G$1005,'الحركات الشهرية'!$B$6:$B$1005,$B33,'الحركات الشهرية'!$A$6:$A$1005,$C$3))</f>
        <v/>
      </c>
      <c r="Q33" s="90" t="str">
        <f aca="false">IF($B33="","",SUMIFS('الحركات الشهرية'!$H$6:$H$1005,'الحركات الشهرية'!$B$6:$B$1005,$B33,'الحركات الشهرية'!$A$6:$A$1005,$C$3))</f>
        <v/>
      </c>
      <c r="R33" s="111" t="str">
        <f aca="false">IF($B33="","",SUM(J33:M33)+SUM(O33:Q33))</f>
        <v/>
      </c>
      <c r="S33" s="90" t="str">
        <f aca="false">IF($B33="","",الموظفون!$Q33*IF(E33="سعودي",cfg_G_SE,cfg_G_NE)*F33/cfg_DAYS_M)</f>
        <v/>
      </c>
      <c r="T33" s="90" t="str">
        <f aca="false">IF($B33="","",SUMIFS('الحركات الشهرية'!$I$6:$I$1005,'الحركات الشهرية'!$B$6:$B$1005,$B33,'الحركات الشهرية'!$A$6:$A$1005,$C$3))</f>
        <v/>
      </c>
      <c r="U33" s="90" t="str">
        <f aca="false">IF($B33="","",SUMIFS('الحركات الشهرية'!$J$6:$J$1005,'الحركات الشهرية'!$B$6:$B$1005,$B33,'الحركات الشهرية'!$A$6:$A$1005,$C$3))</f>
        <v/>
      </c>
      <c r="V33" s="90" t="str">
        <f aca="false">IF($B33="","",SUM(S33:U33))</f>
        <v/>
      </c>
      <c r="W33" s="112" t="str">
        <f aca="false">IF($B33="","",R33-V33)</f>
        <v/>
      </c>
      <c r="X33" s="90" t="str">
        <f aca="false">IF($B33="","",الموظفون!$Q33*IF(E33="سعودي",cfg_G_SR,cfg_G_NR)*F33/cfg_DAYS_M)</f>
        <v/>
      </c>
      <c r="Y33" s="90" t="str">
        <f aca="false">IF($B33="","",الموظفون!$O33*(cfg_EOS_R1*(MIN(AC33,cfg_EOS_TH)-MIN(AD33,cfg_EOS_TH))+cfg_EOS_R2*(MAX(AC33-cfg_EOS_TH,0)-MAX(AD33-cfg_EOS_TH,0))))</f>
        <v/>
      </c>
      <c r="Z33" s="90" t="str">
        <f aca="false">IF($B33="","",IF(الموظفون!$R33&lt;&gt;"",الموظفون!$R33,IF(AC33&gt;=cfg_LV_TH,cfg_LV_D2,cfg_LV_D1))/cfg_DAYS_Y*AE33*الموظفون!$P33/cfg_DAYS_M)</f>
        <v/>
      </c>
      <c r="AA33" s="90" t="str">
        <f aca="false">IF($B33="","",IF(AND(الموظفون!$S33="نعم",N(الموظفون!$U33)&gt;0),الموظفون!$T33/الموظفون!$U33*12/cfg_DAYS_Y*AE33,0))</f>
        <v/>
      </c>
      <c r="AB33" s="113" t="str">
        <f aca="false">IF($B33="","",R33+SUM(X33:AA33))</f>
        <v/>
      </c>
      <c r="AC33" s="114" t="str">
        <f aca="false">IF($B33="","",MAX(0,IF(OR(الموظفون!$X33="",الموظفون!$X33&gt;$G$3),$G$3,الموظفون!$X33)-الموظفون!$H33+1)/cfg_DAYS_Y)</f>
        <v/>
      </c>
      <c r="AD33" s="114" t="str">
        <f aca="false">IF($B33="","",MAX(0,IF(OR(الموظفون!$X33="",الموظفون!$X33&gt;($E$3-1)),($E$3-1),الموظفون!$X33)-الموظفون!$H33+1)/cfg_DAYS_Y)</f>
        <v/>
      </c>
      <c r="AE33" s="115" t="str">
        <f aca="false">IF($B33="","",MAX(0,IF(OR(الموظفون!$X33="",الموظفون!$X33&gt;$G$3),$G$3,الموظفون!$X33)-MAX($E$3,الموظفون!$H33)+1))</f>
        <v/>
      </c>
    </row>
    <row r="34" customFormat="false" ht="15" hidden="false" customHeight="false" outlineLevel="0" collapsed="false">
      <c r="A34" s="83" t="str">
        <f aca="false">IF($B34="","",الموظفون!$A34)</f>
        <v/>
      </c>
      <c r="B34" s="74" t="str">
        <f aca="false">IF(الموظفون!$B34="","",الموظفون!$B34)</f>
        <v/>
      </c>
      <c r="C34" s="74" t="str">
        <f aca="false">IF($B34="","",الموظفون!$C34)</f>
        <v/>
      </c>
      <c r="D34" s="74" t="str">
        <f aca="false">IF($B34="","",الموظفون!$F34)</f>
        <v/>
      </c>
      <c r="E34" s="74" t="str">
        <f aca="false">IF($B34="","",الموظفون!$E34)</f>
        <v/>
      </c>
      <c r="F34" s="105" t="str">
        <f aca="false">IF($B34="","",IF(AE34&gt;=DAY($G$3),cfg_DAYS_M,MIN(AE34,cfg_DAYS_M)))</f>
        <v/>
      </c>
      <c r="G34" s="105" t="str">
        <f aca="false">IF($B34="","",SUMIFS('الحركات الشهرية'!$D$6:$D$1005,'الحركات الشهرية'!$B$6:$B$1005,$B34,'الحركات الشهرية'!$A$6:$A$1005,$C$3))</f>
        <v/>
      </c>
      <c r="H34" s="105" t="str">
        <f aca="false">IF($B34="","",SUMIFS('الحركات الشهرية'!$E$6:$E$1005,'الحركات الشهرية'!$B$6:$B$1005,$B34,'الحركات الشهرية'!$A$6:$A$1005,$C$3))</f>
        <v/>
      </c>
      <c r="I34" s="105" t="str">
        <f aca="false">IF($B34="","",MAX(0,F34-G34-H34))</f>
        <v/>
      </c>
      <c r="J34" s="86" t="str">
        <f aca="false">IF($B34="","",الموظفون!$J34*$I34/cfg_DAYS_M)</f>
        <v/>
      </c>
      <c r="K34" s="86" t="str">
        <f aca="false">IF($B34="","",الموظفون!$K34*$I34/cfg_DAYS_M)</f>
        <v/>
      </c>
      <c r="L34" s="86" t="str">
        <f aca="false">IF($B34="","",الموظفون!$L34*$I34/cfg_DAYS_M)</f>
        <v/>
      </c>
      <c r="M34" s="86" t="str">
        <f aca="false">IF($B34="","",الموظفون!$M34*$I34/cfg_DAYS_M)</f>
        <v/>
      </c>
      <c r="N34" s="105" t="str">
        <f aca="false">IF($B34="","",SUMIFS('الحركات الشهرية'!$F$6:$F$1005,'الحركات الشهرية'!$B$6:$B$1005,$B34,'الحركات الشهرية'!$A$6:$A$1005,$C$3))</f>
        <v/>
      </c>
      <c r="O34" s="86" t="str">
        <f aca="false">IF($B34="","",N34*(الموظفون!$N34+الموظفون!$J34*cfg_OT_P)/cfg_DAYS_M/cfg_HRS)</f>
        <v/>
      </c>
      <c r="P34" s="86" t="str">
        <f aca="false">IF($B34="","",SUMIFS('الحركات الشهرية'!$G$6:$G$1005,'الحركات الشهرية'!$B$6:$B$1005,$B34,'الحركات الشهرية'!$A$6:$A$1005,$C$3))</f>
        <v/>
      </c>
      <c r="Q34" s="86" t="str">
        <f aca="false">IF($B34="","",SUMIFS('الحركات الشهرية'!$H$6:$H$1005,'الحركات الشهرية'!$B$6:$B$1005,$B34,'الحركات الشهرية'!$A$6:$A$1005,$C$3))</f>
        <v/>
      </c>
      <c r="R34" s="106" t="str">
        <f aca="false">IF($B34="","",SUM(J34:M34)+SUM(O34:Q34))</f>
        <v/>
      </c>
      <c r="S34" s="86" t="str">
        <f aca="false">IF($B34="","",الموظفون!$Q34*IF(E34="سعودي",cfg_G_SE,cfg_G_NE)*F34/cfg_DAYS_M)</f>
        <v/>
      </c>
      <c r="T34" s="86" t="str">
        <f aca="false">IF($B34="","",SUMIFS('الحركات الشهرية'!$I$6:$I$1005,'الحركات الشهرية'!$B$6:$B$1005,$B34,'الحركات الشهرية'!$A$6:$A$1005,$C$3))</f>
        <v/>
      </c>
      <c r="U34" s="86" t="str">
        <f aca="false">IF($B34="","",SUMIFS('الحركات الشهرية'!$J$6:$J$1005,'الحركات الشهرية'!$B$6:$B$1005,$B34,'الحركات الشهرية'!$A$6:$A$1005,$C$3))</f>
        <v/>
      </c>
      <c r="V34" s="86" t="str">
        <f aca="false">IF($B34="","",SUM(S34:U34))</f>
        <v/>
      </c>
      <c r="W34" s="107" t="str">
        <f aca="false">IF($B34="","",R34-V34)</f>
        <v/>
      </c>
      <c r="X34" s="86" t="str">
        <f aca="false">IF($B34="","",الموظفون!$Q34*IF(E34="سعودي",cfg_G_SR,cfg_G_NR)*F34/cfg_DAYS_M)</f>
        <v/>
      </c>
      <c r="Y34" s="86" t="str">
        <f aca="false">IF($B34="","",الموظفون!$O34*(cfg_EOS_R1*(MIN(AC34,cfg_EOS_TH)-MIN(AD34,cfg_EOS_TH))+cfg_EOS_R2*(MAX(AC34-cfg_EOS_TH,0)-MAX(AD34-cfg_EOS_TH,0))))</f>
        <v/>
      </c>
      <c r="Z34" s="86" t="str">
        <f aca="false">IF($B34="","",IF(الموظفون!$R34&lt;&gt;"",الموظفون!$R34,IF(AC34&gt;=cfg_LV_TH,cfg_LV_D2,cfg_LV_D1))/cfg_DAYS_Y*AE34*الموظفون!$P34/cfg_DAYS_M)</f>
        <v/>
      </c>
      <c r="AA34" s="86" t="str">
        <f aca="false">IF($B34="","",IF(AND(الموظفون!$S34="نعم",N(الموظفون!$U34)&gt;0),الموظفون!$T34/الموظفون!$U34*12/cfg_DAYS_Y*AE34,0))</f>
        <v/>
      </c>
      <c r="AB34" s="108" t="str">
        <f aca="false">IF($B34="","",R34+SUM(X34:AA34))</f>
        <v/>
      </c>
      <c r="AC34" s="109" t="str">
        <f aca="false">IF($B34="","",MAX(0,IF(OR(الموظفون!$X34="",الموظفون!$X34&gt;$G$3),$G$3,الموظفون!$X34)-الموظفون!$H34+1)/cfg_DAYS_Y)</f>
        <v/>
      </c>
      <c r="AD34" s="109" t="str">
        <f aca="false">IF($B34="","",MAX(0,IF(OR(الموظفون!$X34="",الموظفون!$X34&gt;($E$3-1)),($E$3-1),الموظفون!$X34)-الموظفون!$H34+1)/cfg_DAYS_Y)</f>
        <v/>
      </c>
      <c r="AE34" s="51" t="str">
        <f aca="false">IF($B34="","",MAX(0,IF(OR(الموظفون!$X34="",الموظفون!$X34&gt;$G$3),$G$3,الموظفون!$X34)-MAX($E$3,الموظفون!$H34)+1))</f>
        <v/>
      </c>
    </row>
    <row r="35" customFormat="false" ht="15" hidden="false" customHeight="false" outlineLevel="0" collapsed="false">
      <c r="A35" s="89" t="str">
        <f aca="false">IF($B35="","",الموظفون!$A35)</f>
        <v/>
      </c>
      <c r="B35" s="91" t="str">
        <f aca="false">IF(الموظفون!$B35="","",الموظفون!$B35)</f>
        <v/>
      </c>
      <c r="C35" s="91" t="str">
        <f aca="false">IF($B35="","",الموظفون!$C35)</f>
        <v/>
      </c>
      <c r="D35" s="91" t="str">
        <f aca="false">IF($B35="","",الموظفون!$F35)</f>
        <v/>
      </c>
      <c r="E35" s="91" t="str">
        <f aca="false">IF($B35="","",الموظفون!$E35)</f>
        <v/>
      </c>
      <c r="F35" s="110" t="str">
        <f aca="false">IF($B35="","",IF(AE35&gt;=DAY($G$3),cfg_DAYS_M,MIN(AE35,cfg_DAYS_M)))</f>
        <v/>
      </c>
      <c r="G35" s="110" t="str">
        <f aca="false">IF($B35="","",SUMIFS('الحركات الشهرية'!$D$6:$D$1005,'الحركات الشهرية'!$B$6:$B$1005,$B35,'الحركات الشهرية'!$A$6:$A$1005,$C$3))</f>
        <v/>
      </c>
      <c r="H35" s="110" t="str">
        <f aca="false">IF($B35="","",SUMIFS('الحركات الشهرية'!$E$6:$E$1005,'الحركات الشهرية'!$B$6:$B$1005,$B35,'الحركات الشهرية'!$A$6:$A$1005,$C$3))</f>
        <v/>
      </c>
      <c r="I35" s="110" t="str">
        <f aca="false">IF($B35="","",MAX(0,F35-G35-H35))</f>
        <v/>
      </c>
      <c r="J35" s="90" t="str">
        <f aca="false">IF($B35="","",الموظفون!$J35*$I35/cfg_DAYS_M)</f>
        <v/>
      </c>
      <c r="K35" s="90" t="str">
        <f aca="false">IF($B35="","",الموظفون!$K35*$I35/cfg_DAYS_M)</f>
        <v/>
      </c>
      <c r="L35" s="90" t="str">
        <f aca="false">IF($B35="","",الموظفون!$L35*$I35/cfg_DAYS_M)</f>
        <v/>
      </c>
      <c r="M35" s="90" t="str">
        <f aca="false">IF($B35="","",الموظفون!$M35*$I35/cfg_DAYS_M)</f>
        <v/>
      </c>
      <c r="N35" s="110" t="str">
        <f aca="false">IF($B35="","",SUMIFS('الحركات الشهرية'!$F$6:$F$1005,'الحركات الشهرية'!$B$6:$B$1005,$B35,'الحركات الشهرية'!$A$6:$A$1005,$C$3))</f>
        <v/>
      </c>
      <c r="O35" s="90" t="str">
        <f aca="false">IF($B35="","",N35*(الموظفون!$N35+الموظفون!$J35*cfg_OT_P)/cfg_DAYS_M/cfg_HRS)</f>
        <v/>
      </c>
      <c r="P35" s="90" t="str">
        <f aca="false">IF($B35="","",SUMIFS('الحركات الشهرية'!$G$6:$G$1005,'الحركات الشهرية'!$B$6:$B$1005,$B35,'الحركات الشهرية'!$A$6:$A$1005,$C$3))</f>
        <v/>
      </c>
      <c r="Q35" s="90" t="str">
        <f aca="false">IF($B35="","",SUMIFS('الحركات الشهرية'!$H$6:$H$1005,'الحركات الشهرية'!$B$6:$B$1005,$B35,'الحركات الشهرية'!$A$6:$A$1005,$C$3))</f>
        <v/>
      </c>
      <c r="R35" s="111" t="str">
        <f aca="false">IF($B35="","",SUM(J35:M35)+SUM(O35:Q35))</f>
        <v/>
      </c>
      <c r="S35" s="90" t="str">
        <f aca="false">IF($B35="","",الموظفون!$Q35*IF(E35="سعودي",cfg_G_SE,cfg_G_NE)*F35/cfg_DAYS_M)</f>
        <v/>
      </c>
      <c r="T35" s="90" t="str">
        <f aca="false">IF($B35="","",SUMIFS('الحركات الشهرية'!$I$6:$I$1005,'الحركات الشهرية'!$B$6:$B$1005,$B35,'الحركات الشهرية'!$A$6:$A$1005,$C$3))</f>
        <v/>
      </c>
      <c r="U35" s="90" t="str">
        <f aca="false">IF($B35="","",SUMIFS('الحركات الشهرية'!$J$6:$J$1005,'الحركات الشهرية'!$B$6:$B$1005,$B35,'الحركات الشهرية'!$A$6:$A$1005,$C$3))</f>
        <v/>
      </c>
      <c r="V35" s="90" t="str">
        <f aca="false">IF($B35="","",SUM(S35:U35))</f>
        <v/>
      </c>
      <c r="W35" s="112" t="str">
        <f aca="false">IF($B35="","",R35-V35)</f>
        <v/>
      </c>
      <c r="X35" s="90" t="str">
        <f aca="false">IF($B35="","",الموظفون!$Q35*IF(E35="سعودي",cfg_G_SR,cfg_G_NR)*F35/cfg_DAYS_M)</f>
        <v/>
      </c>
      <c r="Y35" s="90" t="str">
        <f aca="false">IF($B35="","",الموظفون!$O35*(cfg_EOS_R1*(MIN(AC35,cfg_EOS_TH)-MIN(AD35,cfg_EOS_TH))+cfg_EOS_R2*(MAX(AC35-cfg_EOS_TH,0)-MAX(AD35-cfg_EOS_TH,0))))</f>
        <v/>
      </c>
      <c r="Z35" s="90" t="str">
        <f aca="false">IF($B35="","",IF(الموظفون!$R35&lt;&gt;"",الموظفون!$R35,IF(AC35&gt;=cfg_LV_TH,cfg_LV_D2,cfg_LV_D1))/cfg_DAYS_Y*AE35*الموظفون!$P35/cfg_DAYS_M)</f>
        <v/>
      </c>
      <c r="AA35" s="90" t="str">
        <f aca="false">IF($B35="","",IF(AND(الموظفون!$S35="نعم",N(الموظفون!$U35)&gt;0),الموظفون!$T35/الموظفون!$U35*12/cfg_DAYS_Y*AE35,0))</f>
        <v/>
      </c>
      <c r="AB35" s="113" t="str">
        <f aca="false">IF($B35="","",R35+SUM(X35:AA35))</f>
        <v/>
      </c>
      <c r="AC35" s="114" t="str">
        <f aca="false">IF($B35="","",MAX(0,IF(OR(الموظفون!$X35="",الموظفون!$X35&gt;$G$3),$G$3,الموظفون!$X35)-الموظفون!$H35+1)/cfg_DAYS_Y)</f>
        <v/>
      </c>
      <c r="AD35" s="114" t="str">
        <f aca="false">IF($B35="","",MAX(0,IF(OR(الموظفون!$X35="",الموظفون!$X35&gt;($E$3-1)),($E$3-1),الموظفون!$X35)-الموظفون!$H35+1)/cfg_DAYS_Y)</f>
        <v/>
      </c>
      <c r="AE35" s="115" t="str">
        <f aca="false">IF($B35="","",MAX(0,IF(OR(الموظفون!$X35="",الموظفون!$X35&gt;$G$3),$G$3,الموظفون!$X35)-MAX($E$3,الموظفون!$H35)+1))</f>
        <v/>
      </c>
    </row>
    <row r="36" customFormat="false" ht="15" hidden="false" customHeight="false" outlineLevel="0" collapsed="false">
      <c r="A36" s="83" t="str">
        <f aca="false">IF($B36="","",الموظفون!$A36)</f>
        <v/>
      </c>
      <c r="B36" s="74" t="str">
        <f aca="false">IF(الموظفون!$B36="","",الموظفون!$B36)</f>
        <v/>
      </c>
      <c r="C36" s="74" t="str">
        <f aca="false">IF($B36="","",الموظفون!$C36)</f>
        <v/>
      </c>
      <c r="D36" s="74" t="str">
        <f aca="false">IF($B36="","",الموظفون!$F36)</f>
        <v/>
      </c>
      <c r="E36" s="74" t="str">
        <f aca="false">IF($B36="","",الموظفون!$E36)</f>
        <v/>
      </c>
      <c r="F36" s="105" t="str">
        <f aca="false">IF($B36="","",IF(AE36&gt;=DAY($G$3),cfg_DAYS_M,MIN(AE36,cfg_DAYS_M)))</f>
        <v/>
      </c>
      <c r="G36" s="105" t="str">
        <f aca="false">IF($B36="","",SUMIFS('الحركات الشهرية'!$D$6:$D$1005,'الحركات الشهرية'!$B$6:$B$1005,$B36,'الحركات الشهرية'!$A$6:$A$1005,$C$3))</f>
        <v/>
      </c>
      <c r="H36" s="105" t="str">
        <f aca="false">IF($B36="","",SUMIFS('الحركات الشهرية'!$E$6:$E$1005,'الحركات الشهرية'!$B$6:$B$1005,$B36,'الحركات الشهرية'!$A$6:$A$1005,$C$3))</f>
        <v/>
      </c>
      <c r="I36" s="105" t="str">
        <f aca="false">IF($B36="","",MAX(0,F36-G36-H36))</f>
        <v/>
      </c>
      <c r="J36" s="86" t="str">
        <f aca="false">IF($B36="","",الموظفون!$J36*$I36/cfg_DAYS_M)</f>
        <v/>
      </c>
      <c r="K36" s="86" t="str">
        <f aca="false">IF($B36="","",الموظفون!$K36*$I36/cfg_DAYS_M)</f>
        <v/>
      </c>
      <c r="L36" s="86" t="str">
        <f aca="false">IF($B36="","",الموظفون!$L36*$I36/cfg_DAYS_M)</f>
        <v/>
      </c>
      <c r="M36" s="86" t="str">
        <f aca="false">IF($B36="","",الموظفون!$M36*$I36/cfg_DAYS_M)</f>
        <v/>
      </c>
      <c r="N36" s="105" t="str">
        <f aca="false">IF($B36="","",SUMIFS('الحركات الشهرية'!$F$6:$F$1005,'الحركات الشهرية'!$B$6:$B$1005,$B36,'الحركات الشهرية'!$A$6:$A$1005,$C$3))</f>
        <v/>
      </c>
      <c r="O36" s="86" t="str">
        <f aca="false">IF($B36="","",N36*(الموظفون!$N36+الموظفون!$J36*cfg_OT_P)/cfg_DAYS_M/cfg_HRS)</f>
        <v/>
      </c>
      <c r="P36" s="86" t="str">
        <f aca="false">IF($B36="","",SUMIFS('الحركات الشهرية'!$G$6:$G$1005,'الحركات الشهرية'!$B$6:$B$1005,$B36,'الحركات الشهرية'!$A$6:$A$1005,$C$3))</f>
        <v/>
      </c>
      <c r="Q36" s="86" t="str">
        <f aca="false">IF($B36="","",SUMIFS('الحركات الشهرية'!$H$6:$H$1005,'الحركات الشهرية'!$B$6:$B$1005,$B36,'الحركات الشهرية'!$A$6:$A$1005,$C$3))</f>
        <v/>
      </c>
      <c r="R36" s="106" t="str">
        <f aca="false">IF($B36="","",SUM(J36:M36)+SUM(O36:Q36))</f>
        <v/>
      </c>
      <c r="S36" s="86" t="str">
        <f aca="false">IF($B36="","",الموظفون!$Q36*IF(E36="سعودي",cfg_G_SE,cfg_G_NE)*F36/cfg_DAYS_M)</f>
        <v/>
      </c>
      <c r="T36" s="86" t="str">
        <f aca="false">IF($B36="","",SUMIFS('الحركات الشهرية'!$I$6:$I$1005,'الحركات الشهرية'!$B$6:$B$1005,$B36,'الحركات الشهرية'!$A$6:$A$1005,$C$3))</f>
        <v/>
      </c>
      <c r="U36" s="86" t="str">
        <f aca="false">IF($B36="","",SUMIFS('الحركات الشهرية'!$J$6:$J$1005,'الحركات الشهرية'!$B$6:$B$1005,$B36,'الحركات الشهرية'!$A$6:$A$1005,$C$3))</f>
        <v/>
      </c>
      <c r="V36" s="86" t="str">
        <f aca="false">IF($B36="","",SUM(S36:U36))</f>
        <v/>
      </c>
      <c r="W36" s="107" t="str">
        <f aca="false">IF($B36="","",R36-V36)</f>
        <v/>
      </c>
      <c r="X36" s="86" t="str">
        <f aca="false">IF($B36="","",الموظفون!$Q36*IF(E36="سعودي",cfg_G_SR,cfg_G_NR)*F36/cfg_DAYS_M)</f>
        <v/>
      </c>
      <c r="Y36" s="86" t="str">
        <f aca="false">IF($B36="","",الموظفون!$O36*(cfg_EOS_R1*(MIN(AC36,cfg_EOS_TH)-MIN(AD36,cfg_EOS_TH))+cfg_EOS_R2*(MAX(AC36-cfg_EOS_TH,0)-MAX(AD36-cfg_EOS_TH,0))))</f>
        <v/>
      </c>
      <c r="Z36" s="86" t="str">
        <f aca="false">IF($B36="","",IF(الموظفون!$R36&lt;&gt;"",الموظفون!$R36,IF(AC36&gt;=cfg_LV_TH,cfg_LV_D2,cfg_LV_D1))/cfg_DAYS_Y*AE36*الموظفون!$P36/cfg_DAYS_M)</f>
        <v/>
      </c>
      <c r="AA36" s="86" t="str">
        <f aca="false">IF($B36="","",IF(AND(الموظفون!$S36="نعم",N(الموظفون!$U36)&gt;0),الموظفون!$T36/الموظفون!$U36*12/cfg_DAYS_Y*AE36,0))</f>
        <v/>
      </c>
      <c r="AB36" s="108" t="str">
        <f aca="false">IF($B36="","",R36+SUM(X36:AA36))</f>
        <v/>
      </c>
      <c r="AC36" s="109" t="str">
        <f aca="false">IF($B36="","",MAX(0,IF(OR(الموظفون!$X36="",الموظفون!$X36&gt;$G$3),$G$3,الموظفون!$X36)-الموظفون!$H36+1)/cfg_DAYS_Y)</f>
        <v/>
      </c>
      <c r="AD36" s="109" t="str">
        <f aca="false">IF($B36="","",MAX(0,IF(OR(الموظفون!$X36="",الموظفون!$X36&gt;($E$3-1)),($E$3-1),الموظفون!$X36)-الموظفون!$H36+1)/cfg_DAYS_Y)</f>
        <v/>
      </c>
      <c r="AE36" s="51" t="str">
        <f aca="false">IF($B36="","",MAX(0,IF(OR(الموظفون!$X36="",الموظفون!$X36&gt;$G$3),$G$3,الموظفون!$X36)-MAX($E$3,الموظفون!$H36)+1))</f>
        <v/>
      </c>
    </row>
    <row r="37" customFormat="false" ht="15" hidden="false" customHeight="false" outlineLevel="0" collapsed="false">
      <c r="A37" s="89" t="str">
        <f aca="false">IF($B37="","",الموظفون!$A37)</f>
        <v/>
      </c>
      <c r="B37" s="91" t="str">
        <f aca="false">IF(الموظفون!$B37="","",الموظفون!$B37)</f>
        <v/>
      </c>
      <c r="C37" s="91" t="str">
        <f aca="false">IF($B37="","",الموظفون!$C37)</f>
        <v/>
      </c>
      <c r="D37" s="91" t="str">
        <f aca="false">IF($B37="","",الموظفون!$F37)</f>
        <v/>
      </c>
      <c r="E37" s="91" t="str">
        <f aca="false">IF($B37="","",الموظفون!$E37)</f>
        <v/>
      </c>
      <c r="F37" s="110" t="str">
        <f aca="false">IF($B37="","",IF(AE37&gt;=DAY($G$3),cfg_DAYS_M,MIN(AE37,cfg_DAYS_M)))</f>
        <v/>
      </c>
      <c r="G37" s="110" t="str">
        <f aca="false">IF($B37="","",SUMIFS('الحركات الشهرية'!$D$6:$D$1005,'الحركات الشهرية'!$B$6:$B$1005,$B37,'الحركات الشهرية'!$A$6:$A$1005,$C$3))</f>
        <v/>
      </c>
      <c r="H37" s="110" t="str">
        <f aca="false">IF($B37="","",SUMIFS('الحركات الشهرية'!$E$6:$E$1005,'الحركات الشهرية'!$B$6:$B$1005,$B37,'الحركات الشهرية'!$A$6:$A$1005,$C$3))</f>
        <v/>
      </c>
      <c r="I37" s="110" t="str">
        <f aca="false">IF($B37="","",MAX(0,F37-G37-H37))</f>
        <v/>
      </c>
      <c r="J37" s="90" t="str">
        <f aca="false">IF($B37="","",الموظفون!$J37*$I37/cfg_DAYS_M)</f>
        <v/>
      </c>
      <c r="K37" s="90" t="str">
        <f aca="false">IF($B37="","",الموظفون!$K37*$I37/cfg_DAYS_M)</f>
        <v/>
      </c>
      <c r="L37" s="90" t="str">
        <f aca="false">IF($B37="","",الموظفون!$L37*$I37/cfg_DAYS_M)</f>
        <v/>
      </c>
      <c r="M37" s="90" t="str">
        <f aca="false">IF($B37="","",الموظفون!$M37*$I37/cfg_DAYS_M)</f>
        <v/>
      </c>
      <c r="N37" s="110" t="str">
        <f aca="false">IF($B37="","",SUMIFS('الحركات الشهرية'!$F$6:$F$1005,'الحركات الشهرية'!$B$6:$B$1005,$B37,'الحركات الشهرية'!$A$6:$A$1005,$C$3))</f>
        <v/>
      </c>
      <c r="O37" s="90" t="str">
        <f aca="false">IF($B37="","",N37*(الموظفون!$N37+الموظفون!$J37*cfg_OT_P)/cfg_DAYS_M/cfg_HRS)</f>
        <v/>
      </c>
      <c r="P37" s="90" t="str">
        <f aca="false">IF($B37="","",SUMIFS('الحركات الشهرية'!$G$6:$G$1005,'الحركات الشهرية'!$B$6:$B$1005,$B37,'الحركات الشهرية'!$A$6:$A$1005,$C$3))</f>
        <v/>
      </c>
      <c r="Q37" s="90" t="str">
        <f aca="false">IF($B37="","",SUMIFS('الحركات الشهرية'!$H$6:$H$1005,'الحركات الشهرية'!$B$6:$B$1005,$B37,'الحركات الشهرية'!$A$6:$A$1005,$C$3))</f>
        <v/>
      </c>
      <c r="R37" s="111" t="str">
        <f aca="false">IF($B37="","",SUM(J37:M37)+SUM(O37:Q37))</f>
        <v/>
      </c>
      <c r="S37" s="90" t="str">
        <f aca="false">IF($B37="","",الموظفون!$Q37*IF(E37="سعودي",cfg_G_SE,cfg_G_NE)*F37/cfg_DAYS_M)</f>
        <v/>
      </c>
      <c r="T37" s="90" t="str">
        <f aca="false">IF($B37="","",SUMIFS('الحركات الشهرية'!$I$6:$I$1005,'الحركات الشهرية'!$B$6:$B$1005,$B37,'الحركات الشهرية'!$A$6:$A$1005,$C$3))</f>
        <v/>
      </c>
      <c r="U37" s="90" t="str">
        <f aca="false">IF($B37="","",SUMIFS('الحركات الشهرية'!$J$6:$J$1005,'الحركات الشهرية'!$B$6:$B$1005,$B37,'الحركات الشهرية'!$A$6:$A$1005,$C$3))</f>
        <v/>
      </c>
      <c r="V37" s="90" t="str">
        <f aca="false">IF($B37="","",SUM(S37:U37))</f>
        <v/>
      </c>
      <c r="W37" s="112" t="str">
        <f aca="false">IF($B37="","",R37-V37)</f>
        <v/>
      </c>
      <c r="X37" s="90" t="str">
        <f aca="false">IF($B37="","",الموظفون!$Q37*IF(E37="سعودي",cfg_G_SR,cfg_G_NR)*F37/cfg_DAYS_M)</f>
        <v/>
      </c>
      <c r="Y37" s="90" t="str">
        <f aca="false">IF($B37="","",الموظفون!$O37*(cfg_EOS_R1*(MIN(AC37,cfg_EOS_TH)-MIN(AD37,cfg_EOS_TH))+cfg_EOS_R2*(MAX(AC37-cfg_EOS_TH,0)-MAX(AD37-cfg_EOS_TH,0))))</f>
        <v/>
      </c>
      <c r="Z37" s="90" t="str">
        <f aca="false">IF($B37="","",IF(الموظفون!$R37&lt;&gt;"",الموظفون!$R37,IF(AC37&gt;=cfg_LV_TH,cfg_LV_D2,cfg_LV_D1))/cfg_DAYS_Y*AE37*الموظفون!$P37/cfg_DAYS_M)</f>
        <v/>
      </c>
      <c r="AA37" s="90" t="str">
        <f aca="false">IF($B37="","",IF(AND(الموظفون!$S37="نعم",N(الموظفون!$U37)&gt;0),الموظفون!$T37/الموظفون!$U37*12/cfg_DAYS_Y*AE37,0))</f>
        <v/>
      </c>
      <c r="AB37" s="113" t="str">
        <f aca="false">IF($B37="","",R37+SUM(X37:AA37))</f>
        <v/>
      </c>
      <c r="AC37" s="114" t="str">
        <f aca="false">IF($B37="","",MAX(0,IF(OR(الموظفون!$X37="",الموظفون!$X37&gt;$G$3),$G$3,الموظفون!$X37)-الموظفون!$H37+1)/cfg_DAYS_Y)</f>
        <v/>
      </c>
      <c r="AD37" s="114" t="str">
        <f aca="false">IF($B37="","",MAX(0,IF(OR(الموظفون!$X37="",الموظفون!$X37&gt;($E$3-1)),($E$3-1),الموظفون!$X37)-الموظفون!$H37+1)/cfg_DAYS_Y)</f>
        <v/>
      </c>
      <c r="AE37" s="115" t="str">
        <f aca="false">IF($B37="","",MAX(0,IF(OR(الموظفون!$X37="",الموظفون!$X37&gt;$G$3),$G$3,الموظفون!$X37)-MAX($E$3,الموظفون!$H37)+1))</f>
        <v/>
      </c>
    </row>
    <row r="38" customFormat="false" ht="15" hidden="false" customHeight="false" outlineLevel="0" collapsed="false">
      <c r="A38" s="83" t="str">
        <f aca="false">IF($B38="","",الموظفون!$A38)</f>
        <v/>
      </c>
      <c r="B38" s="74" t="str">
        <f aca="false">IF(الموظفون!$B38="","",الموظفون!$B38)</f>
        <v/>
      </c>
      <c r="C38" s="74" t="str">
        <f aca="false">IF($B38="","",الموظفون!$C38)</f>
        <v/>
      </c>
      <c r="D38" s="74" t="str">
        <f aca="false">IF($B38="","",الموظفون!$F38)</f>
        <v/>
      </c>
      <c r="E38" s="74" t="str">
        <f aca="false">IF($B38="","",الموظفون!$E38)</f>
        <v/>
      </c>
      <c r="F38" s="105" t="str">
        <f aca="false">IF($B38="","",IF(AE38&gt;=DAY($G$3),cfg_DAYS_M,MIN(AE38,cfg_DAYS_M)))</f>
        <v/>
      </c>
      <c r="G38" s="105" t="str">
        <f aca="false">IF($B38="","",SUMIFS('الحركات الشهرية'!$D$6:$D$1005,'الحركات الشهرية'!$B$6:$B$1005,$B38,'الحركات الشهرية'!$A$6:$A$1005,$C$3))</f>
        <v/>
      </c>
      <c r="H38" s="105" t="str">
        <f aca="false">IF($B38="","",SUMIFS('الحركات الشهرية'!$E$6:$E$1005,'الحركات الشهرية'!$B$6:$B$1005,$B38,'الحركات الشهرية'!$A$6:$A$1005,$C$3))</f>
        <v/>
      </c>
      <c r="I38" s="105" t="str">
        <f aca="false">IF($B38="","",MAX(0,F38-G38-H38))</f>
        <v/>
      </c>
      <c r="J38" s="86" t="str">
        <f aca="false">IF($B38="","",الموظفون!$J38*$I38/cfg_DAYS_M)</f>
        <v/>
      </c>
      <c r="K38" s="86" t="str">
        <f aca="false">IF($B38="","",الموظفون!$K38*$I38/cfg_DAYS_M)</f>
        <v/>
      </c>
      <c r="L38" s="86" t="str">
        <f aca="false">IF($B38="","",الموظفون!$L38*$I38/cfg_DAYS_M)</f>
        <v/>
      </c>
      <c r="M38" s="86" t="str">
        <f aca="false">IF($B38="","",الموظفون!$M38*$I38/cfg_DAYS_M)</f>
        <v/>
      </c>
      <c r="N38" s="105" t="str">
        <f aca="false">IF($B38="","",SUMIFS('الحركات الشهرية'!$F$6:$F$1005,'الحركات الشهرية'!$B$6:$B$1005,$B38,'الحركات الشهرية'!$A$6:$A$1005,$C$3))</f>
        <v/>
      </c>
      <c r="O38" s="86" t="str">
        <f aca="false">IF($B38="","",N38*(الموظفون!$N38+الموظفون!$J38*cfg_OT_P)/cfg_DAYS_M/cfg_HRS)</f>
        <v/>
      </c>
      <c r="P38" s="86" t="str">
        <f aca="false">IF($B38="","",SUMIFS('الحركات الشهرية'!$G$6:$G$1005,'الحركات الشهرية'!$B$6:$B$1005,$B38,'الحركات الشهرية'!$A$6:$A$1005,$C$3))</f>
        <v/>
      </c>
      <c r="Q38" s="86" t="str">
        <f aca="false">IF($B38="","",SUMIFS('الحركات الشهرية'!$H$6:$H$1005,'الحركات الشهرية'!$B$6:$B$1005,$B38,'الحركات الشهرية'!$A$6:$A$1005,$C$3))</f>
        <v/>
      </c>
      <c r="R38" s="106" t="str">
        <f aca="false">IF($B38="","",SUM(J38:M38)+SUM(O38:Q38))</f>
        <v/>
      </c>
      <c r="S38" s="86" t="str">
        <f aca="false">IF($B38="","",الموظفون!$Q38*IF(E38="سعودي",cfg_G_SE,cfg_G_NE)*F38/cfg_DAYS_M)</f>
        <v/>
      </c>
      <c r="T38" s="86" t="str">
        <f aca="false">IF($B38="","",SUMIFS('الحركات الشهرية'!$I$6:$I$1005,'الحركات الشهرية'!$B$6:$B$1005,$B38,'الحركات الشهرية'!$A$6:$A$1005,$C$3))</f>
        <v/>
      </c>
      <c r="U38" s="86" t="str">
        <f aca="false">IF($B38="","",SUMIFS('الحركات الشهرية'!$J$6:$J$1005,'الحركات الشهرية'!$B$6:$B$1005,$B38,'الحركات الشهرية'!$A$6:$A$1005,$C$3))</f>
        <v/>
      </c>
      <c r="V38" s="86" t="str">
        <f aca="false">IF($B38="","",SUM(S38:U38))</f>
        <v/>
      </c>
      <c r="W38" s="107" t="str">
        <f aca="false">IF($B38="","",R38-V38)</f>
        <v/>
      </c>
      <c r="X38" s="86" t="str">
        <f aca="false">IF($B38="","",الموظفون!$Q38*IF(E38="سعودي",cfg_G_SR,cfg_G_NR)*F38/cfg_DAYS_M)</f>
        <v/>
      </c>
      <c r="Y38" s="86" t="str">
        <f aca="false">IF($B38="","",الموظفون!$O38*(cfg_EOS_R1*(MIN(AC38,cfg_EOS_TH)-MIN(AD38,cfg_EOS_TH))+cfg_EOS_R2*(MAX(AC38-cfg_EOS_TH,0)-MAX(AD38-cfg_EOS_TH,0))))</f>
        <v/>
      </c>
      <c r="Z38" s="86" t="str">
        <f aca="false">IF($B38="","",IF(الموظفون!$R38&lt;&gt;"",الموظفون!$R38,IF(AC38&gt;=cfg_LV_TH,cfg_LV_D2,cfg_LV_D1))/cfg_DAYS_Y*AE38*الموظفون!$P38/cfg_DAYS_M)</f>
        <v/>
      </c>
      <c r="AA38" s="86" t="str">
        <f aca="false">IF($B38="","",IF(AND(الموظفون!$S38="نعم",N(الموظفون!$U38)&gt;0),الموظفون!$T38/الموظفون!$U38*12/cfg_DAYS_Y*AE38,0))</f>
        <v/>
      </c>
      <c r="AB38" s="108" t="str">
        <f aca="false">IF($B38="","",R38+SUM(X38:AA38))</f>
        <v/>
      </c>
      <c r="AC38" s="109" t="str">
        <f aca="false">IF($B38="","",MAX(0,IF(OR(الموظفون!$X38="",الموظفون!$X38&gt;$G$3),$G$3,الموظفون!$X38)-الموظفون!$H38+1)/cfg_DAYS_Y)</f>
        <v/>
      </c>
      <c r="AD38" s="109" t="str">
        <f aca="false">IF($B38="","",MAX(0,IF(OR(الموظفون!$X38="",الموظفون!$X38&gt;($E$3-1)),($E$3-1),الموظفون!$X38)-الموظفون!$H38+1)/cfg_DAYS_Y)</f>
        <v/>
      </c>
      <c r="AE38" s="51" t="str">
        <f aca="false">IF($B38="","",MAX(0,IF(OR(الموظفون!$X38="",الموظفون!$X38&gt;$G$3),$G$3,الموظفون!$X38)-MAX($E$3,الموظفون!$H38)+1))</f>
        <v/>
      </c>
    </row>
    <row r="39" customFormat="false" ht="15" hidden="false" customHeight="false" outlineLevel="0" collapsed="false">
      <c r="A39" s="89" t="str">
        <f aca="false">IF($B39="","",الموظفون!$A39)</f>
        <v/>
      </c>
      <c r="B39" s="91" t="str">
        <f aca="false">IF(الموظفون!$B39="","",الموظفون!$B39)</f>
        <v/>
      </c>
      <c r="C39" s="91" t="str">
        <f aca="false">IF($B39="","",الموظفون!$C39)</f>
        <v/>
      </c>
      <c r="D39" s="91" t="str">
        <f aca="false">IF($B39="","",الموظفون!$F39)</f>
        <v/>
      </c>
      <c r="E39" s="91" t="str">
        <f aca="false">IF($B39="","",الموظفون!$E39)</f>
        <v/>
      </c>
      <c r="F39" s="110" t="str">
        <f aca="false">IF($B39="","",IF(AE39&gt;=DAY($G$3),cfg_DAYS_M,MIN(AE39,cfg_DAYS_M)))</f>
        <v/>
      </c>
      <c r="G39" s="110" t="str">
        <f aca="false">IF($B39="","",SUMIFS('الحركات الشهرية'!$D$6:$D$1005,'الحركات الشهرية'!$B$6:$B$1005,$B39,'الحركات الشهرية'!$A$6:$A$1005,$C$3))</f>
        <v/>
      </c>
      <c r="H39" s="110" t="str">
        <f aca="false">IF($B39="","",SUMIFS('الحركات الشهرية'!$E$6:$E$1005,'الحركات الشهرية'!$B$6:$B$1005,$B39,'الحركات الشهرية'!$A$6:$A$1005,$C$3))</f>
        <v/>
      </c>
      <c r="I39" s="110" t="str">
        <f aca="false">IF($B39="","",MAX(0,F39-G39-H39))</f>
        <v/>
      </c>
      <c r="J39" s="90" t="str">
        <f aca="false">IF($B39="","",الموظفون!$J39*$I39/cfg_DAYS_M)</f>
        <v/>
      </c>
      <c r="K39" s="90" t="str">
        <f aca="false">IF($B39="","",الموظفون!$K39*$I39/cfg_DAYS_M)</f>
        <v/>
      </c>
      <c r="L39" s="90" t="str">
        <f aca="false">IF($B39="","",الموظفون!$L39*$I39/cfg_DAYS_M)</f>
        <v/>
      </c>
      <c r="M39" s="90" t="str">
        <f aca="false">IF($B39="","",الموظفون!$M39*$I39/cfg_DAYS_M)</f>
        <v/>
      </c>
      <c r="N39" s="110" t="str">
        <f aca="false">IF($B39="","",SUMIFS('الحركات الشهرية'!$F$6:$F$1005,'الحركات الشهرية'!$B$6:$B$1005,$B39,'الحركات الشهرية'!$A$6:$A$1005,$C$3))</f>
        <v/>
      </c>
      <c r="O39" s="90" t="str">
        <f aca="false">IF($B39="","",N39*(الموظفون!$N39+الموظفون!$J39*cfg_OT_P)/cfg_DAYS_M/cfg_HRS)</f>
        <v/>
      </c>
      <c r="P39" s="90" t="str">
        <f aca="false">IF($B39="","",SUMIFS('الحركات الشهرية'!$G$6:$G$1005,'الحركات الشهرية'!$B$6:$B$1005,$B39,'الحركات الشهرية'!$A$6:$A$1005,$C$3))</f>
        <v/>
      </c>
      <c r="Q39" s="90" t="str">
        <f aca="false">IF($B39="","",SUMIFS('الحركات الشهرية'!$H$6:$H$1005,'الحركات الشهرية'!$B$6:$B$1005,$B39,'الحركات الشهرية'!$A$6:$A$1005,$C$3))</f>
        <v/>
      </c>
      <c r="R39" s="111" t="str">
        <f aca="false">IF($B39="","",SUM(J39:M39)+SUM(O39:Q39))</f>
        <v/>
      </c>
      <c r="S39" s="90" t="str">
        <f aca="false">IF($B39="","",الموظفون!$Q39*IF(E39="سعودي",cfg_G_SE,cfg_G_NE)*F39/cfg_DAYS_M)</f>
        <v/>
      </c>
      <c r="T39" s="90" t="str">
        <f aca="false">IF($B39="","",SUMIFS('الحركات الشهرية'!$I$6:$I$1005,'الحركات الشهرية'!$B$6:$B$1005,$B39,'الحركات الشهرية'!$A$6:$A$1005,$C$3))</f>
        <v/>
      </c>
      <c r="U39" s="90" t="str">
        <f aca="false">IF($B39="","",SUMIFS('الحركات الشهرية'!$J$6:$J$1005,'الحركات الشهرية'!$B$6:$B$1005,$B39,'الحركات الشهرية'!$A$6:$A$1005,$C$3))</f>
        <v/>
      </c>
      <c r="V39" s="90" t="str">
        <f aca="false">IF($B39="","",SUM(S39:U39))</f>
        <v/>
      </c>
      <c r="W39" s="112" t="str">
        <f aca="false">IF($B39="","",R39-V39)</f>
        <v/>
      </c>
      <c r="X39" s="90" t="str">
        <f aca="false">IF($B39="","",الموظفون!$Q39*IF(E39="سعودي",cfg_G_SR,cfg_G_NR)*F39/cfg_DAYS_M)</f>
        <v/>
      </c>
      <c r="Y39" s="90" t="str">
        <f aca="false">IF($B39="","",الموظفون!$O39*(cfg_EOS_R1*(MIN(AC39,cfg_EOS_TH)-MIN(AD39,cfg_EOS_TH))+cfg_EOS_R2*(MAX(AC39-cfg_EOS_TH,0)-MAX(AD39-cfg_EOS_TH,0))))</f>
        <v/>
      </c>
      <c r="Z39" s="90" t="str">
        <f aca="false">IF($B39="","",IF(الموظفون!$R39&lt;&gt;"",الموظفون!$R39,IF(AC39&gt;=cfg_LV_TH,cfg_LV_D2,cfg_LV_D1))/cfg_DAYS_Y*AE39*الموظفون!$P39/cfg_DAYS_M)</f>
        <v/>
      </c>
      <c r="AA39" s="90" t="str">
        <f aca="false">IF($B39="","",IF(AND(الموظفون!$S39="نعم",N(الموظفون!$U39)&gt;0),الموظفون!$T39/الموظفون!$U39*12/cfg_DAYS_Y*AE39,0))</f>
        <v/>
      </c>
      <c r="AB39" s="113" t="str">
        <f aca="false">IF($B39="","",R39+SUM(X39:AA39))</f>
        <v/>
      </c>
      <c r="AC39" s="114" t="str">
        <f aca="false">IF($B39="","",MAX(0,IF(OR(الموظفون!$X39="",الموظفون!$X39&gt;$G$3),$G$3,الموظفون!$X39)-الموظفون!$H39+1)/cfg_DAYS_Y)</f>
        <v/>
      </c>
      <c r="AD39" s="114" t="str">
        <f aca="false">IF($B39="","",MAX(0,IF(OR(الموظفون!$X39="",الموظفون!$X39&gt;($E$3-1)),($E$3-1),الموظفون!$X39)-الموظفون!$H39+1)/cfg_DAYS_Y)</f>
        <v/>
      </c>
      <c r="AE39" s="115" t="str">
        <f aca="false">IF($B39="","",MAX(0,IF(OR(الموظفون!$X39="",الموظفون!$X39&gt;$G$3),$G$3,الموظفون!$X39)-MAX($E$3,الموظفون!$H39)+1))</f>
        <v/>
      </c>
    </row>
    <row r="40" customFormat="false" ht="15" hidden="false" customHeight="false" outlineLevel="0" collapsed="false">
      <c r="A40" s="83" t="str">
        <f aca="false">IF($B40="","",الموظفون!$A40)</f>
        <v/>
      </c>
      <c r="B40" s="74" t="str">
        <f aca="false">IF(الموظفون!$B40="","",الموظفون!$B40)</f>
        <v/>
      </c>
      <c r="C40" s="74" t="str">
        <f aca="false">IF($B40="","",الموظفون!$C40)</f>
        <v/>
      </c>
      <c r="D40" s="74" t="str">
        <f aca="false">IF($B40="","",الموظفون!$F40)</f>
        <v/>
      </c>
      <c r="E40" s="74" t="str">
        <f aca="false">IF($B40="","",الموظفون!$E40)</f>
        <v/>
      </c>
      <c r="F40" s="105" t="str">
        <f aca="false">IF($B40="","",IF(AE40&gt;=DAY($G$3),cfg_DAYS_M,MIN(AE40,cfg_DAYS_M)))</f>
        <v/>
      </c>
      <c r="G40" s="105" t="str">
        <f aca="false">IF($B40="","",SUMIFS('الحركات الشهرية'!$D$6:$D$1005,'الحركات الشهرية'!$B$6:$B$1005,$B40,'الحركات الشهرية'!$A$6:$A$1005,$C$3))</f>
        <v/>
      </c>
      <c r="H40" s="105" t="str">
        <f aca="false">IF($B40="","",SUMIFS('الحركات الشهرية'!$E$6:$E$1005,'الحركات الشهرية'!$B$6:$B$1005,$B40,'الحركات الشهرية'!$A$6:$A$1005,$C$3))</f>
        <v/>
      </c>
      <c r="I40" s="105" t="str">
        <f aca="false">IF($B40="","",MAX(0,F40-G40-H40))</f>
        <v/>
      </c>
      <c r="J40" s="86" t="str">
        <f aca="false">IF($B40="","",الموظفون!$J40*$I40/cfg_DAYS_M)</f>
        <v/>
      </c>
      <c r="K40" s="86" t="str">
        <f aca="false">IF($B40="","",الموظفون!$K40*$I40/cfg_DAYS_M)</f>
        <v/>
      </c>
      <c r="L40" s="86" t="str">
        <f aca="false">IF($B40="","",الموظفون!$L40*$I40/cfg_DAYS_M)</f>
        <v/>
      </c>
      <c r="M40" s="86" t="str">
        <f aca="false">IF($B40="","",الموظفون!$M40*$I40/cfg_DAYS_M)</f>
        <v/>
      </c>
      <c r="N40" s="105" t="str">
        <f aca="false">IF($B40="","",SUMIFS('الحركات الشهرية'!$F$6:$F$1005,'الحركات الشهرية'!$B$6:$B$1005,$B40,'الحركات الشهرية'!$A$6:$A$1005,$C$3))</f>
        <v/>
      </c>
      <c r="O40" s="86" t="str">
        <f aca="false">IF($B40="","",N40*(الموظفون!$N40+الموظفون!$J40*cfg_OT_P)/cfg_DAYS_M/cfg_HRS)</f>
        <v/>
      </c>
      <c r="P40" s="86" t="str">
        <f aca="false">IF($B40="","",SUMIFS('الحركات الشهرية'!$G$6:$G$1005,'الحركات الشهرية'!$B$6:$B$1005,$B40,'الحركات الشهرية'!$A$6:$A$1005,$C$3))</f>
        <v/>
      </c>
      <c r="Q40" s="86" t="str">
        <f aca="false">IF($B40="","",SUMIFS('الحركات الشهرية'!$H$6:$H$1005,'الحركات الشهرية'!$B$6:$B$1005,$B40,'الحركات الشهرية'!$A$6:$A$1005,$C$3))</f>
        <v/>
      </c>
      <c r="R40" s="106" t="str">
        <f aca="false">IF($B40="","",SUM(J40:M40)+SUM(O40:Q40))</f>
        <v/>
      </c>
      <c r="S40" s="86" t="str">
        <f aca="false">IF($B40="","",الموظفون!$Q40*IF(E40="سعودي",cfg_G_SE,cfg_G_NE)*F40/cfg_DAYS_M)</f>
        <v/>
      </c>
      <c r="T40" s="86" t="str">
        <f aca="false">IF($B40="","",SUMIFS('الحركات الشهرية'!$I$6:$I$1005,'الحركات الشهرية'!$B$6:$B$1005,$B40,'الحركات الشهرية'!$A$6:$A$1005,$C$3))</f>
        <v/>
      </c>
      <c r="U40" s="86" t="str">
        <f aca="false">IF($B40="","",SUMIFS('الحركات الشهرية'!$J$6:$J$1005,'الحركات الشهرية'!$B$6:$B$1005,$B40,'الحركات الشهرية'!$A$6:$A$1005,$C$3))</f>
        <v/>
      </c>
      <c r="V40" s="86" t="str">
        <f aca="false">IF($B40="","",SUM(S40:U40))</f>
        <v/>
      </c>
      <c r="W40" s="107" t="str">
        <f aca="false">IF($B40="","",R40-V40)</f>
        <v/>
      </c>
      <c r="X40" s="86" t="str">
        <f aca="false">IF($B40="","",الموظفون!$Q40*IF(E40="سعودي",cfg_G_SR,cfg_G_NR)*F40/cfg_DAYS_M)</f>
        <v/>
      </c>
      <c r="Y40" s="86" t="str">
        <f aca="false">IF($B40="","",الموظفون!$O40*(cfg_EOS_R1*(MIN(AC40,cfg_EOS_TH)-MIN(AD40,cfg_EOS_TH))+cfg_EOS_R2*(MAX(AC40-cfg_EOS_TH,0)-MAX(AD40-cfg_EOS_TH,0))))</f>
        <v/>
      </c>
      <c r="Z40" s="86" t="str">
        <f aca="false">IF($B40="","",IF(الموظفون!$R40&lt;&gt;"",الموظفون!$R40,IF(AC40&gt;=cfg_LV_TH,cfg_LV_D2,cfg_LV_D1))/cfg_DAYS_Y*AE40*الموظفون!$P40/cfg_DAYS_M)</f>
        <v/>
      </c>
      <c r="AA40" s="86" t="str">
        <f aca="false">IF($B40="","",IF(AND(الموظفون!$S40="نعم",N(الموظفون!$U40)&gt;0),الموظفون!$T40/الموظفون!$U40*12/cfg_DAYS_Y*AE40,0))</f>
        <v/>
      </c>
      <c r="AB40" s="108" t="str">
        <f aca="false">IF($B40="","",R40+SUM(X40:AA40))</f>
        <v/>
      </c>
      <c r="AC40" s="109" t="str">
        <f aca="false">IF($B40="","",MAX(0,IF(OR(الموظفون!$X40="",الموظفون!$X40&gt;$G$3),$G$3,الموظفون!$X40)-الموظفون!$H40+1)/cfg_DAYS_Y)</f>
        <v/>
      </c>
      <c r="AD40" s="109" t="str">
        <f aca="false">IF($B40="","",MAX(0,IF(OR(الموظفون!$X40="",الموظفون!$X40&gt;($E$3-1)),($E$3-1),الموظفون!$X40)-الموظفون!$H40+1)/cfg_DAYS_Y)</f>
        <v/>
      </c>
      <c r="AE40" s="51" t="str">
        <f aca="false">IF($B40="","",MAX(0,IF(OR(الموظفون!$X40="",الموظفون!$X40&gt;$G$3),$G$3,الموظفون!$X40)-MAX($E$3,الموظفون!$H40)+1))</f>
        <v/>
      </c>
    </row>
    <row r="41" customFormat="false" ht="15" hidden="false" customHeight="false" outlineLevel="0" collapsed="false">
      <c r="A41" s="89" t="str">
        <f aca="false">IF($B41="","",الموظفون!$A41)</f>
        <v/>
      </c>
      <c r="B41" s="91" t="str">
        <f aca="false">IF(الموظفون!$B41="","",الموظفون!$B41)</f>
        <v/>
      </c>
      <c r="C41" s="91" t="str">
        <f aca="false">IF($B41="","",الموظفون!$C41)</f>
        <v/>
      </c>
      <c r="D41" s="91" t="str">
        <f aca="false">IF($B41="","",الموظفون!$F41)</f>
        <v/>
      </c>
      <c r="E41" s="91" t="str">
        <f aca="false">IF($B41="","",الموظفون!$E41)</f>
        <v/>
      </c>
      <c r="F41" s="110" t="str">
        <f aca="false">IF($B41="","",IF(AE41&gt;=DAY($G$3),cfg_DAYS_M,MIN(AE41,cfg_DAYS_M)))</f>
        <v/>
      </c>
      <c r="G41" s="110" t="str">
        <f aca="false">IF($B41="","",SUMIFS('الحركات الشهرية'!$D$6:$D$1005,'الحركات الشهرية'!$B$6:$B$1005,$B41,'الحركات الشهرية'!$A$6:$A$1005,$C$3))</f>
        <v/>
      </c>
      <c r="H41" s="110" t="str">
        <f aca="false">IF($B41="","",SUMIFS('الحركات الشهرية'!$E$6:$E$1005,'الحركات الشهرية'!$B$6:$B$1005,$B41,'الحركات الشهرية'!$A$6:$A$1005,$C$3))</f>
        <v/>
      </c>
      <c r="I41" s="110" t="str">
        <f aca="false">IF($B41="","",MAX(0,F41-G41-H41))</f>
        <v/>
      </c>
      <c r="J41" s="90" t="str">
        <f aca="false">IF($B41="","",الموظفون!$J41*$I41/cfg_DAYS_M)</f>
        <v/>
      </c>
      <c r="K41" s="90" t="str">
        <f aca="false">IF($B41="","",الموظفون!$K41*$I41/cfg_DAYS_M)</f>
        <v/>
      </c>
      <c r="L41" s="90" t="str">
        <f aca="false">IF($B41="","",الموظفون!$L41*$I41/cfg_DAYS_M)</f>
        <v/>
      </c>
      <c r="M41" s="90" t="str">
        <f aca="false">IF($B41="","",الموظفون!$M41*$I41/cfg_DAYS_M)</f>
        <v/>
      </c>
      <c r="N41" s="110" t="str">
        <f aca="false">IF($B41="","",SUMIFS('الحركات الشهرية'!$F$6:$F$1005,'الحركات الشهرية'!$B$6:$B$1005,$B41,'الحركات الشهرية'!$A$6:$A$1005,$C$3))</f>
        <v/>
      </c>
      <c r="O41" s="90" t="str">
        <f aca="false">IF($B41="","",N41*(الموظفون!$N41+الموظفون!$J41*cfg_OT_P)/cfg_DAYS_M/cfg_HRS)</f>
        <v/>
      </c>
      <c r="P41" s="90" t="str">
        <f aca="false">IF($B41="","",SUMIFS('الحركات الشهرية'!$G$6:$G$1005,'الحركات الشهرية'!$B$6:$B$1005,$B41,'الحركات الشهرية'!$A$6:$A$1005,$C$3))</f>
        <v/>
      </c>
      <c r="Q41" s="90" t="str">
        <f aca="false">IF($B41="","",SUMIFS('الحركات الشهرية'!$H$6:$H$1005,'الحركات الشهرية'!$B$6:$B$1005,$B41,'الحركات الشهرية'!$A$6:$A$1005,$C$3))</f>
        <v/>
      </c>
      <c r="R41" s="111" t="str">
        <f aca="false">IF($B41="","",SUM(J41:M41)+SUM(O41:Q41))</f>
        <v/>
      </c>
      <c r="S41" s="90" t="str">
        <f aca="false">IF($B41="","",الموظفون!$Q41*IF(E41="سعودي",cfg_G_SE,cfg_G_NE)*F41/cfg_DAYS_M)</f>
        <v/>
      </c>
      <c r="T41" s="90" t="str">
        <f aca="false">IF($B41="","",SUMIFS('الحركات الشهرية'!$I$6:$I$1005,'الحركات الشهرية'!$B$6:$B$1005,$B41,'الحركات الشهرية'!$A$6:$A$1005,$C$3))</f>
        <v/>
      </c>
      <c r="U41" s="90" t="str">
        <f aca="false">IF($B41="","",SUMIFS('الحركات الشهرية'!$J$6:$J$1005,'الحركات الشهرية'!$B$6:$B$1005,$B41,'الحركات الشهرية'!$A$6:$A$1005,$C$3))</f>
        <v/>
      </c>
      <c r="V41" s="90" t="str">
        <f aca="false">IF($B41="","",SUM(S41:U41))</f>
        <v/>
      </c>
      <c r="W41" s="112" t="str">
        <f aca="false">IF($B41="","",R41-V41)</f>
        <v/>
      </c>
      <c r="X41" s="90" t="str">
        <f aca="false">IF($B41="","",الموظفون!$Q41*IF(E41="سعودي",cfg_G_SR,cfg_G_NR)*F41/cfg_DAYS_M)</f>
        <v/>
      </c>
      <c r="Y41" s="90" t="str">
        <f aca="false">IF($B41="","",الموظفون!$O41*(cfg_EOS_R1*(MIN(AC41,cfg_EOS_TH)-MIN(AD41,cfg_EOS_TH))+cfg_EOS_R2*(MAX(AC41-cfg_EOS_TH,0)-MAX(AD41-cfg_EOS_TH,0))))</f>
        <v/>
      </c>
      <c r="Z41" s="90" t="str">
        <f aca="false">IF($B41="","",IF(الموظفون!$R41&lt;&gt;"",الموظفون!$R41,IF(AC41&gt;=cfg_LV_TH,cfg_LV_D2,cfg_LV_D1))/cfg_DAYS_Y*AE41*الموظفون!$P41/cfg_DAYS_M)</f>
        <v/>
      </c>
      <c r="AA41" s="90" t="str">
        <f aca="false">IF($B41="","",IF(AND(الموظفون!$S41="نعم",N(الموظفون!$U41)&gt;0),الموظفون!$T41/الموظفون!$U41*12/cfg_DAYS_Y*AE41,0))</f>
        <v/>
      </c>
      <c r="AB41" s="113" t="str">
        <f aca="false">IF($B41="","",R41+SUM(X41:AA41))</f>
        <v/>
      </c>
      <c r="AC41" s="114" t="str">
        <f aca="false">IF($B41="","",MAX(0,IF(OR(الموظفون!$X41="",الموظفون!$X41&gt;$G$3),$G$3,الموظفون!$X41)-الموظفون!$H41+1)/cfg_DAYS_Y)</f>
        <v/>
      </c>
      <c r="AD41" s="114" t="str">
        <f aca="false">IF($B41="","",MAX(0,IF(OR(الموظفون!$X41="",الموظفون!$X41&gt;($E$3-1)),($E$3-1),الموظفون!$X41)-الموظفون!$H41+1)/cfg_DAYS_Y)</f>
        <v/>
      </c>
      <c r="AE41" s="115" t="str">
        <f aca="false">IF($B41="","",MAX(0,IF(OR(الموظفون!$X41="",الموظفون!$X41&gt;$G$3),$G$3,الموظفون!$X41)-MAX($E$3,الموظفون!$H41)+1))</f>
        <v/>
      </c>
    </row>
    <row r="42" customFormat="false" ht="15" hidden="false" customHeight="false" outlineLevel="0" collapsed="false">
      <c r="A42" s="83" t="str">
        <f aca="false">IF($B42="","",الموظفون!$A42)</f>
        <v/>
      </c>
      <c r="B42" s="74" t="str">
        <f aca="false">IF(الموظفون!$B42="","",الموظفون!$B42)</f>
        <v/>
      </c>
      <c r="C42" s="74" t="str">
        <f aca="false">IF($B42="","",الموظفون!$C42)</f>
        <v/>
      </c>
      <c r="D42" s="74" t="str">
        <f aca="false">IF($B42="","",الموظفون!$F42)</f>
        <v/>
      </c>
      <c r="E42" s="74" t="str">
        <f aca="false">IF($B42="","",الموظفون!$E42)</f>
        <v/>
      </c>
      <c r="F42" s="105" t="str">
        <f aca="false">IF($B42="","",IF(AE42&gt;=DAY($G$3),cfg_DAYS_M,MIN(AE42,cfg_DAYS_M)))</f>
        <v/>
      </c>
      <c r="G42" s="105" t="str">
        <f aca="false">IF($B42="","",SUMIFS('الحركات الشهرية'!$D$6:$D$1005,'الحركات الشهرية'!$B$6:$B$1005,$B42,'الحركات الشهرية'!$A$6:$A$1005,$C$3))</f>
        <v/>
      </c>
      <c r="H42" s="105" t="str">
        <f aca="false">IF($B42="","",SUMIFS('الحركات الشهرية'!$E$6:$E$1005,'الحركات الشهرية'!$B$6:$B$1005,$B42,'الحركات الشهرية'!$A$6:$A$1005,$C$3))</f>
        <v/>
      </c>
      <c r="I42" s="105" t="str">
        <f aca="false">IF($B42="","",MAX(0,F42-G42-H42))</f>
        <v/>
      </c>
      <c r="J42" s="86" t="str">
        <f aca="false">IF($B42="","",الموظفون!$J42*$I42/cfg_DAYS_M)</f>
        <v/>
      </c>
      <c r="K42" s="86" t="str">
        <f aca="false">IF($B42="","",الموظفون!$K42*$I42/cfg_DAYS_M)</f>
        <v/>
      </c>
      <c r="L42" s="86" t="str">
        <f aca="false">IF($B42="","",الموظفون!$L42*$I42/cfg_DAYS_M)</f>
        <v/>
      </c>
      <c r="M42" s="86" t="str">
        <f aca="false">IF($B42="","",الموظفون!$M42*$I42/cfg_DAYS_M)</f>
        <v/>
      </c>
      <c r="N42" s="105" t="str">
        <f aca="false">IF($B42="","",SUMIFS('الحركات الشهرية'!$F$6:$F$1005,'الحركات الشهرية'!$B$6:$B$1005,$B42,'الحركات الشهرية'!$A$6:$A$1005,$C$3))</f>
        <v/>
      </c>
      <c r="O42" s="86" t="str">
        <f aca="false">IF($B42="","",N42*(الموظفون!$N42+الموظفون!$J42*cfg_OT_P)/cfg_DAYS_M/cfg_HRS)</f>
        <v/>
      </c>
      <c r="P42" s="86" t="str">
        <f aca="false">IF($B42="","",SUMIFS('الحركات الشهرية'!$G$6:$G$1005,'الحركات الشهرية'!$B$6:$B$1005,$B42,'الحركات الشهرية'!$A$6:$A$1005,$C$3))</f>
        <v/>
      </c>
      <c r="Q42" s="86" t="str">
        <f aca="false">IF($B42="","",SUMIFS('الحركات الشهرية'!$H$6:$H$1005,'الحركات الشهرية'!$B$6:$B$1005,$B42,'الحركات الشهرية'!$A$6:$A$1005,$C$3))</f>
        <v/>
      </c>
      <c r="R42" s="106" t="str">
        <f aca="false">IF($B42="","",SUM(J42:M42)+SUM(O42:Q42))</f>
        <v/>
      </c>
      <c r="S42" s="86" t="str">
        <f aca="false">IF($B42="","",الموظفون!$Q42*IF(E42="سعودي",cfg_G_SE,cfg_G_NE)*F42/cfg_DAYS_M)</f>
        <v/>
      </c>
      <c r="T42" s="86" t="str">
        <f aca="false">IF($B42="","",SUMIFS('الحركات الشهرية'!$I$6:$I$1005,'الحركات الشهرية'!$B$6:$B$1005,$B42,'الحركات الشهرية'!$A$6:$A$1005,$C$3))</f>
        <v/>
      </c>
      <c r="U42" s="86" t="str">
        <f aca="false">IF($B42="","",SUMIFS('الحركات الشهرية'!$J$6:$J$1005,'الحركات الشهرية'!$B$6:$B$1005,$B42,'الحركات الشهرية'!$A$6:$A$1005,$C$3))</f>
        <v/>
      </c>
      <c r="V42" s="86" t="str">
        <f aca="false">IF($B42="","",SUM(S42:U42))</f>
        <v/>
      </c>
      <c r="W42" s="107" t="str">
        <f aca="false">IF($B42="","",R42-V42)</f>
        <v/>
      </c>
      <c r="X42" s="86" t="str">
        <f aca="false">IF($B42="","",الموظفون!$Q42*IF(E42="سعودي",cfg_G_SR,cfg_G_NR)*F42/cfg_DAYS_M)</f>
        <v/>
      </c>
      <c r="Y42" s="86" t="str">
        <f aca="false">IF($B42="","",الموظفون!$O42*(cfg_EOS_R1*(MIN(AC42,cfg_EOS_TH)-MIN(AD42,cfg_EOS_TH))+cfg_EOS_R2*(MAX(AC42-cfg_EOS_TH,0)-MAX(AD42-cfg_EOS_TH,0))))</f>
        <v/>
      </c>
      <c r="Z42" s="86" t="str">
        <f aca="false">IF($B42="","",IF(الموظفون!$R42&lt;&gt;"",الموظفون!$R42,IF(AC42&gt;=cfg_LV_TH,cfg_LV_D2,cfg_LV_D1))/cfg_DAYS_Y*AE42*الموظفون!$P42/cfg_DAYS_M)</f>
        <v/>
      </c>
      <c r="AA42" s="86" t="str">
        <f aca="false">IF($B42="","",IF(AND(الموظفون!$S42="نعم",N(الموظفون!$U42)&gt;0),الموظفون!$T42/الموظفون!$U42*12/cfg_DAYS_Y*AE42,0))</f>
        <v/>
      </c>
      <c r="AB42" s="108" t="str">
        <f aca="false">IF($B42="","",R42+SUM(X42:AA42))</f>
        <v/>
      </c>
      <c r="AC42" s="109" t="str">
        <f aca="false">IF($B42="","",MAX(0,IF(OR(الموظفون!$X42="",الموظفون!$X42&gt;$G$3),$G$3,الموظفون!$X42)-الموظفون!$H42+1)/cfg_DAYS_Y)</f>
        <v/>
      </c>
      <c r="AD42" s="109" t="str">
        <f aca="false">IF($B42="","",MAX(0,IF(OR(الموظفون!$X42="",الموظفون!$X42&gt;($E$3-1)),($E$3-1),الموظفون!$X42)-الموظفون!$H42+1)/cfg_DAYS_Y)</f>
        <v/>
      </c>
      <c r="AE42" s="51" t="str">
        <f aca="false">IF($B42="","",MAX(0,IF(OR(الموظفون!$X42="",الموظفون!$X42&gt;$G$3),$G$3,الموظفون!$X42)-MAX($E$3,الموظفون!$H42)+1))</f>
        <v/>
      </c>
    </row>
    <row r="43" customFormat="false" ht="15" hidden="false" customHeight="false" outlineLevel="0" collapsed="false">
      <c r="A43" s="89" t="str">
        <f aca="false">IF($B43="","",الموظفون!$A43)</f>
        <v/>
      </c>
      <c r="B43" s="91" t="str">
        <f aca="false">IF(الموظفون!$B43="","",الموظفون!$B43)</f>
        <v/>
      </c>
      <c r="C43" s="91" t="str">
        <f aca="false">IF($B43="","",الموظفون!$C43)</f>
        <v/>
      </c>
      <c r="D43" s="91" t="str">
        <f aca="false">IF($B43="","",الموظفون!$F43)</f>
        <v/>
      </c>
      <c r="E43" s="91" t="str">
        <f aca="false">IF($B43="","",الموظفون!$E43)</f>
        <v/>
      </c>
      <c r="F43" s="110" t="str">
        <f aca="false">IF($B43="","",IF(AE43&gt;=DAY($G$3),cfg_DAYS_M,MIN(AE43,cfg_DAYS_M)))</f>
        <v/>
      </c>
      <c r="G43" s="110" t="str">
        <f aca="false">IF($B43="","",SUMIFS('الحركات الشهرية'!$D$6:$D$1005,'الحركات الشهرية'!$B$6:$B$1005,$B43,'الحركات الشهرية'!$A$6:$A$1005,$C$3))</f>
        <v/>
      </c>
      <c r="H43" s="110" t="str">
        <f aca="false">IF($B43="","",SUMIFS('الحركات الشهرية'!$E$6:$E$1005,'الحركات الشهرية'!$B$6:$B$1005,$B43,'الحركات الشهرية'!$A$6:$A$1005,$C$3))</f>
        <v/>
      </c>
      <c r="I43" s="110" t="str">
        <f aca="false">IF($B43="","",MAX(0,F43-G43-H43))</f>
        <v/>
      </c>
      <c r="J43" s="90" t="str">
        <f aca="false">IF($B43="","",الموظفون!$J43*$I43/cfg_DAYS_M)</f>
        <v/>
      </c>
      <c r="K43" s="90" t="str">
        <f aca="false">IF($B43="","",الموظفون!$K43*$I43/cfg_DAYS_M)</f>
        <v/>
      </c>
      <c r="L43" s="90" t="str">
        <f aca="false">IF($B43="","",الموظفون!$L43*$I43/cfg_DAYS_M)</f>
        <v/>
      </c>
      <c r="M43" s="90" t="str">
        <f aca="false">IF($B43="","",الموظفون!$M43*$I43/cfg_DAYS_M)</f>
        <v/>
      </c>
      <c r="N43" s="110" t="str">
        <f aca="false">IF($B43="","",SUMIFS('الحركات الشهرية'!$F$6:$F$1005,'الحركات الشهرية'!$B$6:$B$1005,$B43,'الحركات الشهرية'!$A$6:$A$1005,$C$3))</f>
        <v/>
      </c>
      <c r="O43" s="90" t="str">
        <f aca="false">IF($B43="","",N43*(الموظفون!$N43+الموظفون!$J43*cfg_OT_P)/cfg_DAYS_M/cfg_HRS)</f>
        <v/>
      </c>
      <c r="P43" s="90" t="str">
        <f aca="false">IF($B43="","",SUMIFS('الحركات الشهرية'!$G$6:$G$1005,'الحركات الشهرية'!$B$6:$B$1005,$B43,'الحركات الشهرية'!$A$6:$A$1005,$C$3))</f>
        <v/>
      </c>
      <c r="Q43" s="90" t="str">
        <f aca="false">IF($B43="","",SUMIFS('الحركات الشهرية'!$H$6:$H$1005,'الحركات الشهرية'!$B$6:$B$1005,$B43,'الحركات الشهرية'!$A$6:$A$1005,$C$3))</f>
        <v/>
      </c>
      <c r="R43" s="111" t="str">
        <f aca="false">IF($B43="","",SUM(J43:M43)+SUM(O43:Q43))</f>
        <v/>
      </c>
      <c r="S43" s="90" t="str">
        <f aca="false">IF($B43="","",الموظفون!$Q43*IF(E43="سعودي",cfg_G_SE,cfg_G_NE)*F43/cfg_DAYS_M)</f>
        <v/>
      </c>
      <c r="T43" s="90" t="str">
        <f aca="false">IF($B43="","",SUMIFS('الحركات الشهرية'!$I$6:$I$1005,'الحركات الشهرية'!$B$6:$B$1005,$B43,'الحركات الشهرية'!$A$6:$A$1005,$C$3))</f>
        <v/>
      </c>
      <c r="U43" s="90" t="str">
        <f aca="false">IF($B43="","",SUMIFS('الحركات الشهرية'!$J$6:$J$1005,'الحركات الشهرية'!$B$6:$B$1005,$B43,'الحركات الشهرية'!$A$6:$A$1005,$C$3))</f>
        <v/>
      </c>
      <c r="V43" s="90" t="str">
        <f aca="false">IF($B43="","",SUM(S43:U43))</f>
        <v/>
      </c>
      <c r="W43" s="112" t="str">
        <f aca="false">IF($B43="","",R43-V43)</f>
        <v/>
      </c>
      <c r="X43" s="90" t="str">
        <f aca="false">IF($B43="","",الموظفون!$Q43*IF(E43="سعودي",cfg_G_SR,cfg_G_NR)*F43/cfg_DAYS_M)</f>
        <v/>
      </c>
      <c r="Y43" s="90" t="str">
        <f aca="false">IF($B43="","",الموظفون!$O43*(cfg_EOS_R1*(MIN(AC43,cfg_EOS_TH)-MIN(AD43,cfg_EOS_TH))+cfg_EOS_R2*(MAX(AC43-cfg_EOS_TH,0)-MAX(AD43-cfg_EOS_TH,0))))</f>
        <v/>
      </c>
      <c r="Z43" s="90" t="str">
        <f aca="false">IF($B43="","",IF(الموظفون!$R43&lt;&gt;"",الموظفون!$R43,IF(AC43&gt;=cfg_LV_TH,cfg_LV_D2,cfg_LV_D1))/cfg_DAYS_Y*AE43*الموظفون!$P43/cfg_DAYS_M)</f>
        <v/>
      </c>
      <c r="AA43" s="90" t="str">
        <f aca="false">IF($B43="","",IF(AND(الموظفون!$S43="نعم",N(الموظفون!$U43)&gt;0),الموظفون!$T43/الموظفون!$U43*12/cfg_DAYS_Y*AE43,0))</f>
        <v/>
      </c>
      <c r="AB43" s="113" t="str">
        <f aca="false">IF($B43="","",R43+SUM(X43:AA43))</f>
        <v/>
      </c>
      <c r="AC43" s="114" t="str">
        <f aca="false">IF($B43="","",MAX(0,IF(OR(الموظفون!$X43="",الموظفون!$X43&gt;$G$3),$G$3,الموظفون!$X43)-الموظفون!$H43+1)/cfg_DAYS_Y)</f>
        <v/>
      </c>
      <c r="AD43" s="114" t="str">
        <f aca="false">IF($B43="","",MAX(0,IF(OR(الموظفون!$X43="",الموظفون!$X43&gt;($E$3-1)),($E$3-1),الموظفون!$X43)-الموظفون!$H43+1)/cfg_DAYS_Y)</f>
        <v/>
      </c>
      <c r="AE43" s="115" t="str">
        <f aca="false">IF($B43="","",MAX(0,IF(OR(الموظفون!$X43="",الموظفون!$X43&gt;$G$3),$G$3,الموظفون!$X43)-MAX($E$3,الموظفون!$H43)+1))</f>
        <v/>
      </c>
    </row>
    <row r="44" customFormat="false" ht="15" hidden="false" customHeight="false" outlineLevel="0" collapsed="false">
      <c r="A44" s="83" t="str">
        <f aca="false">IF($B44="","",الموظفون!$A44)</f>
        <v/>
      </c>
      <c r="B44" s="74" t="str">
        <f aca="false">IF(الموظفون!$B44="","",الموظفون!$B44)</f>
        <v/>
      </c>
      <c r="C44" s="74" t="str">
        <f aca="false">IF($B44="","",الموظفون!$C44)</f>
        <v/>
      </c>
      <c r="D44" s="74" t="str">
        <f aca="false">IF($B44="","",الموظفون!$F44)</f>
        <v/>
      </c>
      <c r="E44" s="74" t="str">
        <f aca="false">IF($B44="","",الموظفون!$E44)</f>
        <v/>
      </c>
      <c r="F44" s="105" t="str">
        <f aca="false">IF($B44="","",IF(AE44&gt;=DAY($G$3),cfg_DAYS_M,MIN(AE44,cfg_DAYS_M)))</f>
        <v/>
      </c>
      <c r="G44" s="105" t="str">
        <f aca="false">IF($B44="","",SUMIFS('الحركات الشهرية'!$D$6:$D$1005,'الحركات الشهرية'!$B$6:$B$1005,$B44,'الحركات الشهرية'!$A$6:$A$1005,$C$3))</f>
        <v/>
      </c>
      <c r="H44" s="105" t="str">
        <f aca="false">IF($B44="","",SUMIFS('الحركات الشهرية'!$E$6:$E$1005,'الحركات الشهرية'!$B$6:$B$1005,$B44,'الحركات الشهرية'!$A$6:$A$1005,$C$3))</f>
        <v/>
      </c>
      <c r="I44" s="105" t="str">
        <f aca="false">IF($B44="","",MAX(0,F44-G44-H44))</f>
        <v/>
      </c>
      <c r="J44" s="86" t="str">
        <f aca="false">IF($B44="","",الموظفون!$J44*$I44/cfg_DAYS_M)</f>
        <v/>
      </c>
      <c r="K44" s="86" t="str">
        <f aca="false">IF($B44="","",الموظفون!$K44*$I44/cfg_DAYS_M)</f>
        <v/>
      </c>
      <c r="L44" s="86" t="str">
        <f aca="false">IF($B44="","",الموظفون!$L44*$I44/cfg_DAYS_M)</f>
        <v/>
      </c>
      <c r="M44" s="86" t="str">
        <f aca="false">IF($B44="","",الموظفون!$M44*$I44/cfg_DAYS_M)</f>
        <v/>
      </c>
      <c r="N44" s="105" t="str">
        <f aca="false">IF($B44="","",SUMIFS('الحركات الشهرية'!$F$6:$F$1005,'الحركات الشهرية'!$B$6:$B$1005,$B44,'الحركات الشهرية'!$A$6:$A$1005,$C$3))</f>
        <v/>
      </c>
      <c r="O44" s="86" t="str">
        <f aca="false">IF($B44="","",N44*(الموظفون!$N44+الموظفون!$J44*cfg_OT_P)/cfg_DAYS_M/cfg_HRS)</f>
        <v/>
      </c>
      <c r="P44" s="86" t="str">
        <f aca="false">IF($B44="","",SUMIFS('الحركات الشهرية'!$G$6:$G$1005,'الحركات الشهرية'!$B$6:$B$1005,$B44,'الحركات الشهرية'!$A$6:$A$1005,$C$3))</f>
        <v/>
      </c>
      <c r="Q44" s="86" t="str">
        <f aca="false">IF($B44="","",SUMIFS('الحركات الشهرية'!$H$6:$H$1005,'الحركات الشهرية'!$B$6:$B$1005,$B44,'الحركات الشهرية'!$A$6:$A$1005,$C$3))</f>
        <v/>
      </c>
      <c r="R44" s="106" t="str">
        <f aca="false">IF($B44="","",SUM(J44:M44)+SUM(O44:Q44))</f>
        <v/>
      </c>
      <c r="S44" s="86" t="str">
        <f aca="false">IF($B44="","",الموظفون!$Q44*IF(E44="سعودي",cfg_G_SE,cfg_G_NE)*F44/cfg_DAYS_M)</f>
        <v/>
      </c>
      <c r="T44" s="86" t="str">
        <f aca="false">IF($B44="","",SUMIFS('الحركات الشهرية'!$I$6:$I$1005,'الحركات الشهرية'!$B$6:$B$1005,$B44,'الحركات الشهرية'!$A$6:$A$1005,$C$3))</f>
        <v/>
      </c>
      <c r="U44" s="86" t="str">
        <f aca="false">IF($B44="","",SUMIFS('الحركات الشهرية'!$J$6:$J$1005,'الحركات الشهرية'!$B$6:$B$1005,$B44,'الحركات الشهرية'!$A$6:$A$1005,$C$3))</f>
        <v/>
      </c>
      <c r="V44" s="86" t="str">
        <f aca="false">IF($B44="","",SUM(S44:U44))</f>
        <v/>
      </c>
      <c r="W44" s="107" t="str">
        <f aca="false">IF($B44="","",R44-V44)</f>
        <v/>
      </c>
      <c r="X44" s="86" t="str">
        <f aca="false">IF($B44="","",الموظفون!$Q44*IF(E44="سعودي",cfg_G_SR,cfg_G_NR)*F44/cfg_DAYS_M)</f>
        <v/>
      </c>
      <c r="Y44" s="86" t="str">
        <f aca="false">IF($B44="","",الموظفون!$O44*(cfg_EOS_R1*(MIN(AC44,cfg_EOS_TH)-MIN(AD44,cfg_EOS_TH))+cfg_EOS_R2*(MAX(AC44-cfg_EOS_TH,0)-MAX(AD44-cfg_EOS_TH,0))))</f>
        <v/>
      </c>
      <c r="Z44" s="86" t="str">
        <f aca="false">IF($B44="","",IF(الموظفون!$R44&lt;&gt;"",الموظفون!$R44,IF(AC44&gt;=cfg_LV_TH,cfg_LV_D2,cfg_LV_D1))/cfg_DAYS_Y*AE44*الموظفون!$P44/cfg_DAYS_M)</f>
        <v/>
      </c>
      <c r="AA44" s="86" t="str">
        <f aca="false">IF($B44="","",IF(AND(الموظفون!$S44="نعم",N(الموظفون!$U44)&gt;0),الموظفون!$T44/الموظفون!$U44*12/cfg_DAYS_Y*AE44,0))</f>
        <v/>
      </c>
      <c r="AB44" s="108" t="str">
        <f aca="false">IF($B44="","",R44+SUM(X44:AA44))</f>
        <v/>
      </c>
      <c r="AC44" s="109" t="str">
        <f aca="false">IF($B44="","",MAX(0,IF(OR(الموظفون!$X44="",الموظفون!$X44&gt;$G$3),$G$3,الموظفون!$X44)-الموظفون!$H44+1)/cfg_DAYS_Y)</f>
        <v/>
      </c>
      <c r="AD44" s="109" t="str">
        <f aca="false">IF($B44="","",MAX(0,IF(OR(الموظفون!$X44="",الموظفون!$X44&gt;($E$3-1)),($E$3-1),الموظفون!$X44)-الموظفون!$H44+1)/cfg_DAYS_Y)</f>
        <v/>
      </c>
      <c r="AE44" s="51" t="str">
        <f aca="false">IF($B44="","",MAX(0,IF(OR(الموظفون!$X44="",الموظفون!$X44&gt;$G$3),$G$3,الموظفون!$X44)-MAX($E$3,الموظفون!$H44)+1))</f>
        <v/>
      </c>
    </row>
    <row r="45" customFormat="false" ht="15" hidden="false" customHeight="false" outlineLevel="0" collapsed="false">
      <c r="A45" s="89" t="str">
        <f aca="false">IF($B45="","",الموظفون!$A45)</f>
        <v/>
      </c>
      <c r="B45" s="91" t="str">
        <f aca="false">IF(الموظفون!$B45="","",الموظفون!$B45)</f>
        <v/>
      </c>
      <c r="C45" s="91" t="str">
        <f aca="false">IF($B45="","",الموظفون!$C45)</f>
        <v/>
      </c>
      <c r="D45" s="91" t="str">
        <f aca="false">IF($B45="","",الموظفون!$F45)</f>
        <v/>
      </c>
      <c r="E45" s="91" t="str">
        <f aca="false">IF($B45="","",الموظفون!$E45)</f>
        <v/>
      </c>
      <c r="F45" s="110" t="str">
        <f aca="false">IF($B45="","",IF(AE45&gt;=DAY($G$3),cfg_DAYS_M,MIN(AE45,cfg_DAYS_M)))</f>
        <v/>
      </c>
      <c r="G45" s="110" t="str">
        <f aca="false">IF($B45="","",SUMIFS('الحركات الشهرية'!$D$6:$D$1005,'الحركات الشهرية'!$B$6:$B$1005,$B45,'الحركات الشهرية'!$A$6:$A$1005,$C$3))</f>
        <v/>
      </c>
      <c r="H45" s="110" t="str">
        <f aca="false">IF($B45="","",SUMIFS('الحركات الشهرية'!$E$6:$E$1005,'الحركات الشهرية'!$B$6:$B$1005,$B45,'الحركات الشهرية'!$A$6:$A$1005,$C$3))</f>
        <v/>
      </c>
      <c r="I45" s="110" t="str">
        <f aca="false">IF($B45="","",MAX(0,F45-G45-H45))</f>
        <v/>
      </c>
      <c r="J45" s="90" t="str">
        <f aca="false">IF($B45="","",الموظفون!$J45*$I45/cfg_DAYS_M)</f>
        <v/>
      </c>
      <c r="K45" s="90" t="str">
        <f aca="false">IF($B45="","",الموظفون!$K45*$I45/cfg_DAYS_M)</f>
        <v/>
      </c>
      <c r="L45" s="90" t="str">
        <f aca="false">IF($B45="","",الموظفون!$L45*$I45/cfg_DAYS_M)</f>
        <v/>
      </c>
      <c r="M45" s="90" t="str">
        <f aca="false">IF($B45="","",الموظفون!$M45*$I45/cfg_DAYS_M)</f>
        <v/>
      </c>
      <c r="N45" s="110" t="str">
        <f aca="false">IF($B45="","",SUMIFS('الحركات الشهرية'!$F$6:$F$1005,'الحركات الشهرية'!$B$6:$B$1005,$B45,'الحركات الشهرية'!$A$6:$A$1005,$C$3))</f>
        <v/>
      </c>
      <c r="O45" s="90" t="str">
        <f aca="false">IF($B45="","",N45*(الموظفون!$N45+الموظفون!$J45*cfg_OT_P)/cfg_DAYS_M/cfg_HRS)</f>
        <v/>
      </c>
      <c r="P45" s="90" t="str">
        <f aca="false">IF($B45="","",SUMIFS('الحركات الشهرية'!$G$6:$G$1005,'الحركات الشهرية'!$B$6:$B$1005,$B45,'الحركات الشهرية'!$A$6:$A$1005,$C$3))</f>
        <v/>
      </c>
      <c r="Q45" s="90" t="str">
        <f aca="false">IF($B45="","",SUMIFS('الحركات الشهرية'!$H$6:$H$1005,'الحركات الشهرية'!$B$6:$B$1005,$B45,'الحركات الشهرية'!$A$6:$A$1005,$C$3))</f>
        <v/>
      </c>
      <c r="R45" s="111" t="str">
        <f aca="false">IF($B45="","",SUM(J45:M45)+SUM(O45:Q45))</f>
        <v/>
      </c>
      <c r="S45" s="90" t="str">
        <f aca="false">IF($B45="","",الموظفون!$Q45*IF(E45="سعودي",cfg_G_SE,cfg_G_NE)*F45/cfg_DAYS_M)</f>
        <v/>
      </c>
      <c r="T45" s="90" t="str">
        <f aca="false">IF($B45="","",SUMIFS('الحركات الشهرية'!$I$6:$I$1005,'الحركات الشهرية'!$B$6:$B$1005,$B45,'الحركات الشهرية'!$A$6:$A$1005,$C$3))</f>
        <v/>
      </c>
      <c r="U45" s="90" t="str">
        <f aca="false">IF($B45="","",SUMIFS('الحركات الشهرية'!$J$6:$J$1005,'الحركات الشهرية'!$B$6:$B$1005,$B45,'الحركات الشهرية'!$A$6:$A$1005,$C$3))</f>
        <v/>
      </c>
      <c r="V45" s="90" t="str">
        <f aca="false">IF($B45="","",SUM(S45:U45))</f>
        <v/>
      </c>
      <c r="W45" s="112" t="str">
        <f aca="false">IF($B45="","",R45-V45)</f>
        <v/>
      </c>
      <c r="X45" s="90" t="str">
        <f aca="false">IF($B45="","",الموظفون!$Q45*IF(E45="سعودي",cfg_G_SR,cfg_G_NR)*F45/cfg_DAYS_M)</f>
        <v/>
      </c>
      <c r="Y45" s="90" t="str">
        <f aca="false">IF($B45="","",الموظفون!$O45*(cfg_EOS_R1*(MIN(AC45,cfg_EOS_TH)-MIN(AD45,cfg_EOS_TH))+cfg_EOS_R2*(MAX(AC45-cfg_EOS_TH,0)-MAX(AD45-cfg_EOS_TH,0))))</f>
        <v/>
      </c>
      <c r="Z45" s="90" t="str">
        <f aca="false">IF($B45="","",IF(الموظفون!$R45&lt;&gt;"",الموظفون!$R45,IF(AC45&gt;=cfg_LV_TH,cfg_LV_D2,cfg_LV_D1))/cfg_DAYS_Y*AE45*الموظفون!$P45/cfg_DAYS_M)</f>
        <v/>
      </c>
      <c r="AA45" s="90" t="str">
        <f aca="false">IF($B45="","",IF(AND(الموظفون!$S45="نعم",N(الموظفون!$U45)&gt;0),الموظفون!$T45/الموظفون!$U45*12/cfg_DAYS_Y*AE45,0))</f>
        <v/>
      </c>
      <c r="AB45" s="113" t="str">
        <f aca="false">IF($B45="","",R45+SUM(X45:AA45))</f>
        <v/>
      </c>
      <c r="AC45" s="114" t="str">
        <f aca="false">IF($B45="","",MAX(0,IF(OR(الموظفون!$X45="",الموظفون!$X45&gt;$G$3),$G$3,الموظفون!$X45)-الموظفون!$H45+1)/cfg_DAYS_Y)</f>
        <v/>
      </c>
      <c r="AD45" s="114" t="str">
        <f aca="false">IF($B45="","",MAX(0,IF(OR(الموظفون!$X45="",الموظفون!$X45&gt;($E$3-1)),($E$3-1),الموظفون!$X45)-الموظفون!$H45+1)/cfg_DAYS_Y)</f>
        <v/>
      </c>
      <c r="AE45" s="115" t="str">
        <f aca="false">IF($B45="","",MAX(0,IF(OR(الموظفون!$X45="",الموظفون!$X45&gt;$G$3),$G$3,الموظفون!$X45)-MAX($E$3,الموظفون!$H45)+1))</f>
        <v/>
      </c>
    </row>
    <row r="46" customFormat="false" ht="15" hidden="false" customHeight="false" outlineLevel="0" collapsed="false">
      <c r="A46" s="83" t="str">
        <f aca="false">IF($B46="","",الموظفون!$A46)</f>
        <v/>
      </c>
      <c r="B46" s="74" t="str">
        <f aca="false">IF(الموظفون!$B46="","",الموظفون!$B46)</f>
        <v/>
      </c>
      <c r="C46" s="74" t="str">
        <f aca="false">IF($B46="","",الموظفون!$C46)</f>
        <v/>
      </c>
      <c r="D46" s="74" t="str">
        <f aca="false">IF($B46="","",الموظفون!$F46)</f>
        <v/>
      </c>
      <c r="E46" s="74" t="str">
        <f aca="false">IF($B46="","",الموظفون!$E46)</f>
        <v/>
      </c>
      <c r="F46" s="105" t="str">
        <f aca="false">IF($B46="","",IF(AE46&gt;=DAY($G$3),cfg_DAYS_M,MIN(AE46,cfg_DAYS_M)))</f>
        <v/>
      </c>
      <c r="G46" s="105" t="str">
        <f aca="false">IF($B46="","",SUMIFS('الحركات الشهرية'!$D$6:$D$1005,'الحركات الشهرية'!$B$6:$B$1005,$B46,'الحركات الشهرية'!$A$6:$A$1005,$C$3))</f>
        <v/>
      </c>
      <c r="H46" s="105" t="str">
        <f aca="false">IF($B46="","",SUMIFS('الحركات الشهرية'!$E$6:$E$1005,'الحركات الشهرية'!$B$6:$B$1005,$B46,'الحركات الشهرية'!$A$6:$A$1005,$C$3))</f>
        <v/>
      </c>
      <c r="I46" s="105" t="str">
        <f aca="false">IF($B46="","",MAX(0,F46-G46-H46))</f>
        <v/>
      </c>
      <c r="J46" s="86" t="str">
        <f aca="false">IF($B46="","",الموظفون!$J46*$I46/cfg_DAYS_M)</f>
        <v/>
      </c>
      <c r="K46" s="86" t="str">
        <f aca="false">IF($B46="","",الموظفون!$K46*$I46/cfg_DAYS_M)</f>
        <v/>
      </c>
      <c r="L46" s="86" t="str">
        <f aca="false">IF($B46="","",الموظفون!$L46*$I46/cfg_DAYS_M)</f>
        <v/>
      </c>
      <c r="M46" s="86" t="str">
        <f aca="false">IF($B46="","",الموظفون!$M46*$I46/cfg_DAYS_M)</f>
        <v/>
      </c>
      <c r="N46" s="105" t="str">
        <f aca="false">IF($B46="","",SUMIFS('الحركات الشهرية'!$F$6:$F$1005,'الحركات الشهرية'!$B$6:$B$1005,$B46,'الحركات الشهرية'!$A$6:$A$1005,$C$3))</f>
        <v/>
      </c>
      <c r="O46" s="86" t="str">
        <f aca="false">IF($B46="","",N46*(الموظفون!$N46+الموظفون!$J46*cfg_OT_P)/cfg_DAYS_M/cfg_HRS)</f>
        <v/>
      </c>
      <c r="P46" s="86" t="str">
        <f aca="false">IF($B46="","",SUMIFS('الحركات الشهرية'!$G$6:$G$1005,'الحركات الشهرية'!$B$6:$B$1005,$B46,'الحركات الشهرية'!$A$6:$A$1005,$C$3))</f>
        <v/>
      </c>
      <c r="Q46" s="86" t="str">
        <f aca="false">IF($B46="","",SUMIFS('الحركات الشهرية'!$H$6:$H$1005,'الحركات الشهرية'!$B$6:$B$1005,$B46,'الحركات الشهرية'!$A$6:$A$1005,$C$3))</f>
        <v/>
      </c>
      <c r="R46" s="106" t="str">
        <f aca="false">IF($B46="","",SUM(J46:M46)+SUM(O46:Q46))</f>
        <v/>
      </c>
      <c r="S46" s="86" t="str">
        <f aca="false">IF($B46="","",الموظفون!$Q46*IF(E46="سعودي",cfg_G_SE,cfg_G_NE)*F46/cfg_DAYS_M)</f>
        <v/>
      </c>
      <c r="T46" s="86" t="str">
        <f aca="false">IF($B46="","",SUMIFS('الحركات الشهرية'!$I$6:$I$1005,'الحركات الشهرية'!$B$6:$B$1005,$B46,'الحركات الشهرية'!$A$6:$A$1005,$C$3))</f>
        <v/>
      </c>
      <c r="U46" s="86" t="str">
        <f aca="false">IF($B46="","",SUMIFS('الحركات الشهرية'!$J$6:$J$1005,'الحركات الشهرية'!$B$6:$B$1005,$B46,'الحركات الشهرية'!$A$6:$A$1005,$C$3))</f>
        <v/>
      </c>
      <c r="V46" s="86" t="str">
        <f aca="false">IF($B46="","",SUM(S46:U46))</f>
        <v/>
      </c>
      <c r="W46" s="107" t="str">
        <f aca="false">IF($B46="","",R46-V46)</f>
        <v/>
      </c>
      <c r="X46" s="86" t="str">
        <f aca="false">IF($B46="","",الموظفون!$Q46*IF(E46="سعودي",cfg_G_SR,cfg_G_NR)*F46/cfg_DAYS_M)</f>
        <v/>
      </c>
      <c r="Y46" s="86" t="str">
        <f aca="false">IF($B46="","",الموظفون!$O46*(cfg_EOS_R1*(MIN(AC46,cfg_EOS_TH)-MIN(AD46,cfg_EOS_TH))+cfg_EOS_R2*(MAX(AC46-cfg_EOS_TH,0)-MAX(AD46-cfg_EOS_TH,0))))</f>
        <v/>
      </c>
      <c r="Z46" s="86" t="str">
        <f aca="false">IF($B46="","",IF(الموظفون!$R46&lt;&gt;"",الموظفون!$R46,IF(AC46&gt;=cfg_LV_TH,cfg_LV_D2,cfg_LV_D1))/cfg_DAYS_Y*AE46*الموظفون!$P46/cfg_DAYS_M)</f>
        <v/>
      </c>
      <c r="AA46" s="86" t="str">
        <f aca="false">IF($B46="","",IF(AND(الموظفون!$S46="نعم",N(الموظفون!$U46)&gt;0),الموظفون!$T46/الموظفون!$U46*12/cfg_DAYS_Y*AE46,0))</f>
        <v/>
      </c>
      <c r="AB46" s="108" t="str">
        <f aca="false">IF($B46="","",R46+SUM(X46:AA46))</f>
        <v/>
      </c>
      <c r="AC46" s="109" t="str">
        <f aca="false">IF($B46="","",MAX(0,IF(OR(الموظفون!$X46="",الموظفون!$X46&gt;$G$3),$G$3,الموظفون!$X46)-الموظفون!$H46+1)/cfg_DAYS_Y)</f>
        <v/>
      </c>
      <c r="AD46" s="109" t="str">
        <f aca="false">IF($B46="","",MAX(0,IF(OR(الموظفون!$X46="",الموظفون!$X46&gt;($E$3-1)),($E$3-1),الموظفون!$X46)-الموظفون!$H46+1)/cfg_DAYS_Y)</f>
        <v/>
      </c>
      <c r="AE46" s="51" t="str">
        <f aca="false">IF($B46="","",MAX(0,IF(OR(الموظفون!$X46="",الموظفون!$X46&gt;$G$3),$G$3,الموظفون!$X46)-MAX($E$3,الموظفون!$H46)+1))</f>
        <v/>
      </c>
    </row>
    <row r="47" customFormat="false" ht="15" hidden="false" customHeight="false" outlineLevel="0" collapsed="false">
      <c r="A47" s="89" t="str">
        <f aca="false">IF($B47="","",الموظفون!$A47)</f>
        <v/>
      </c>
      <c r="B47" s="91" t="str">
        <f aca="false">IF(الموظفون!$B47="","",الموظفون!$B47)</f>
        <v/>
      </c>
      <c r="C47" s="91" t="str">
        <f aca="false">IF($B47="","",الموظفون!$C47)</f>
        <v/>
      </c>
      <c r="D47" s="91" t="str">
        <f aca="false">IF($B47="","",الموظفون!$F47)</f>
        <v/>
      </c>
      <c r="E47" s="91" t="str">
        <f aca="false">IF($B47="","",الموظفون!$E47)</f>
        <v/>
      </c>
      <c r="F47" s="110" t="str">
        <f aca="false">IF($B47="","",IF(AE47&gt;=DAY($G$3),cfg_DAYS_M,MIN(AE47,cfg_DAYS_M)))</f>
        <v/>
      </c>
      <c r="G47" s="110" t="str">
        <f aca="false">IF($B47="","",SUMIFS('الحركات الشهرية'!$D$6:$D$1005,'الحركات الشهرية'!$B$6:$B$1005,$B47,'الحركات الشهرية'!$A$6:$A$1005,$C$3))</f>
        <v/>
      </c>
      <c r="H47" s="110" t="str">
        <f aca="false">IF($B47="","",SUMIFS('الحركات الشهرية'!$E$6:$E$1005,'الحركات الشهرية'!$B$6:$B$1005,$B47,'الحركات الشهرية'!$A$6:$A$1005,$C$3))</f>
        <v/>
      </c>
      <c r="I47" s="110" t="str">
        <f aca="false">IF($B47="","",MAX(0,F47-G47-H47))</f>
        <v/>
      </c>
      <c r="J47" s="90" t="str">
        <f aca="false">IF($B47="","",الموظفون!$J47*$I47/cfg_DAYS_M)</f>
        <v/>
      </c>
      <c r="K47" s="90" t="str">
        <f aca="false">IF($B47="","",الموظفون!$K47*$I47/cfg_DAYS_M)</f>
        <v/>
      </c>
      <c r="L47" s="90" t="str">
        <f aca="false">IF($B47="","",الموظفون!$L47*$I47/cfg_DAYS_M)</f>
        <v/>
      </c>
      <c r="M47" s="90" t="str">
        <f aca="false">IF($B47="","",الموظفون!$M47*$I47/cfg_DAYS_M)</f>
        <v/>
      </c>
      <c r="N47" s="110" t="str">
        <f aca="false">IF($B47="","",SUMIFS('الحركات الشهرية'!$F$6:$F$1005,'الحركات الشهرية'!$B$6:$B$1005,$B47,'الحركات الشهرية'!$A$6:$A$1005,$C$3))</f>
        <v/>
      </c>
      <c r="O47" s="90" t="str">
        <f aca="false">IF($B47="","",N47*(الموظفون!$N47+الموظفون!$J47*cfg_OT_P)/cfg_DAYS_M/cfg_HRS)</f>
        <v/>
      </c>
      <c r="P47" s="90" t="str">
        <f aca="false">IF($B47="","",SUMIFS('الحركات الشهرية'!$G$6:$G$1005,'الحركات الشهرية'!$B$6:$B$1005,$B47,'الحركات الشهرية'!$A$6:$A$1005,$C$3))</f>
        <v/>
      </c>
      <c r="Q47" s="90" t="str">
        <f aca="false">IF($B47="","",SUMIFS('الحركات الشهرية'!$H$6:$H$1005,'الحركات الشهرية'!$B$6:$B$1005,$B47,'الحركات الشهرية'!$A$6:$A$1005,$C$3))</f>
        <v/>
      </c>
      <c r="R47" s="111" t="str">
        <f aca="false">IF($B47="","",SUM(J47:M47)+SUM(O47:Q47))</f>
        <v/>
      </c>
      <c r="S47" s="90" t="str">
        <f aca="false">IF($B47="","",الموظفون!$Q47*IF(E47="سعودي",cfg_G_SE,cfg_G_NE)*F47/cfg_DAYS_M)</f>
        <v/>
      </c>
      <c r="T47" s="90" t="str">
        <f aca="false">IF($B47="","",SUMIFS('الحركات الشهرية'!$I$6:$I$1005,'الحركات الشهرية'!$B$6:$B$1005,$B47,'الحركات الشهرية'!$A$6:$A$1005,$C$3))</f>
        <v/>
      </c>
      <c r="U47" s="90" t="str">
        <f aca="false">IF($B47="","",SUMIFS('الحركات الشهرية'!$J$6:$J$1005,'الحركات الشهرية'!$B$6:$B$1005,$B47,'الحركات الشهرية'!$A$6:$A$1005,$C$3))</f>
        <v/>
      </c>
      <c r="V47" s="90" t="str">
        <f aca="false">IF($B47="","",SUM(S47:U47))</f>
        <v/>
      </c>
      <c r="W47" s="112" t="str">
        <f aca="false">IF($B47="","",R47-V47)</f>
        <v/>
      </c>
      <c r="X47" s="90" t="str">
        <f aca="false">IF($B47="","",الموظفون!$Q47*IF(E47="سعودي",cfg_G_SR,cfg_G_NR)*F47/cfg_DAYS_M)</f>
        <v/>
      </c>
      <c r="Y47" s="90" t="str">
        <f aca="false">IF($B47="","",الموظفون!$O47*(cfg_EOS_R1*(MIN(AC47,cfg_EOS_TH)-MIN(AD47,cfg_EOS_TH))+cfg_EOS_R2*(MAX(AC47-cfg_EOS_TH,0)-MAX(AD47-cfg_EOS_TH,0))))</f>
        <v/>
      </c>
      <c r="Z47" s="90" t="str">
        <f aca="false">IF($B47="","",IF(الموظفون!$R47&lt;&gt;"",الموظفون!$R47,IF(AC47&gt;=cfg_LV_TH,cfg_LV_D2,cfg_LV_D1))/cfg_DAYS_Y*AE47*الموظفون!$P47/cfg_DAYS_M)</f>
        <v/>
      </c>
      <c r="AA47" s="90" t="str">
        <f aca="false">IF($B47="","",IF(AND(الموظفون!$S47="نعم",N(الموظفون!$U47)&gt;0),الموظفون!$T47/الموظفون!$U47*12/cfg_DAYS_Y*AE47,0))</f>
        <v/>
      </c>
      <c r="AB47" s="113" t="str">
        <f aca="false">IF($B47="","",R47+SUM(X47:AA47))</f>
        <v/>
      </c>
      <c r="AC47" s="114" t="str">
        <f aca="false">IF($B47="","",MAX(0,IF(OR(الموظفون!$X47="",الموظفون!$X47&gt;$G$3),$G$3,الموظفون!$X47)-الموظفون!$H47+1)/cfg_DAYS_Y)</f>
        <v/>
      </c>
      <c r="AD47" s="114" t="str">
        <f aca="false">IF($B47="","",MAX(0,IF(OR(الموظفون!$X47="",الموظفون!$X47&gt;($E$3-1)),($E$3-1),الموظفون!$X47)-الموظفون!$H47+1)/cfg_DAYS_Y)</f>
        <v/>
      </c>
      <c r="AE47" s="115" t="str">
        <f aca="false">IF($B47="","",MAX(0,IF(OR(الموظفون!$X47="",الموظفون!$X47&gt;$G$3),$G$3,الموظفون!$X47)-MAX($E$3,الموظفون!$H47)+1))</f>
        <v/>
      </c>
    </row>
    <row r="48" customFormat="false" ht="15" hidden="false" customHeight="false" outlineLevel="0" collapsed="false">
      <c r="A48" s="83" t="str">
        <f aca="false">IF($B48="","",الموظفون!$A48)</f>
        <v/>
      </c>
      <c r="B48" s="74" t="str">
        <f aca="false">IF(الموظفون!$B48="","",الموظفون!$B48)</f>
        <v/>
      </c>
      <c r="C48" s="74" t="str">
        <f aca="false">IF($B48="","",الموظفون!$C48)</f>
        <v/>
      </c>
      <c r="D48" s="74" t="str">
        <f aca="false">IF($B48="","",الموظفون!$F48)</f>
        <v/>
      </c>
      <c r="E48" s="74" t="str">
        <f aca="false">IF($B48="","",الموظفون!$E48)</f>
        <v/>
      </c>
      <c r="F48" s="105" t="str">
        <f aca="false">IF($B48="","",IF(AE48&gt;=DAY($G$3),cfg_DAYS_M,MIN(AE48,cfg_DAYS_M)))</f>
        <v/>
      </c>
      <c r="G48" s="105" t="str">
        <f aca="false">IF($B48="","",SUMIFS('الحركات الشهرية'!$D$6:$D$1005,'الحركات الشهرية'!$B$6:$B$1005,$B48,'الحركات الشهرية'!$A$6:$A$1005,$C$3))</f>
        <v/>
      </c>
      <c r="H48" s="105" t="str">
        <f aca="false">IF($B48="","",SUMIFS('الحركات الشهرية'!$E$6:$E$1005,'الحركات الشهرية'!$B$6:$B$1005,$B48,'الحركات الشهرية'!$A$6:$A$1005,$C$3))</f>
        <v/>
      </c>
      <c r="I48" s="105" t="str">
        <f aca="false">IF($B48="","",MAX(0,F48-G48-H48))</f>
        <v/>
      </c>
      <c r="J48" s="86" t="str">
        <f aca="false">IF($B48="","",الموظفون!$J48*$I48/cfg_DAYS_M)</f>
        <v/>
      </c>
      <c r="K48" s="86" t="str">
        <f aca="false">IF($B48="","",الموظفون!$K48*$I48/cfg_DAYS_M)</f>
        <v/>
      </c>
      <c r="L48" s="86" t="str">
        <f aca="false">IF($B48="","",الموظفون!$L48*$I48/cfg_DAYS_M)</f>
        <v/>
      </c>
      <c r="M48" s="86" t="str">
        <f aca="false">IF($B48="","",الموظفون!$M48*$I48/cfg_DAYS_M)</f>
        <v/>
      </c>
      <c r="N48" s="105" t="str">
        <f aca="false">IF($B48="","",SUMIFS('الحركات الشهرية'!$F$6:$F$1005,'الحركات الشهرية'!$B$6:$B$1005,$B48,'الحركات الشهرية'!$A$6:$A$1005,$C$3))</f>
        <v/>
      </c>
      <c r="O48" s="86" t="str">
        <f aca="false">IF($B48="","",N48*(الموظفون!$N48+الموظفون!$J48*cfg_OT_P)/cfg_DAYS_M/cfg_HRS)</f>
        <v/>
      </c>
      <c r="P48" s="86" t="str">
        <f aca="false">IF($B48="","",SUMIFS('الحركات الشهرية'!$G$6:$G$1005,'الحركات الشهرية'!$B$6:$B$1005,$B48,'الحركات الشهرية'!$A$6:$A$1005,$C$3))</f>
        <v/>
      </c>
      <c r="Q48" s="86" t="str">
        <f aca="false">IF($B48="","",SUMIFS('الحركات الشهرية'!$H$6:$H$1005,'الحركات الشهرية'!$B$6:$B$1005,$B48,'الحركات الشهرية'!$A$6:$A$1005,$C$3))</f>
        <v/>
      </c>
      <c r="R48" s="106" t="str">
        <f aca="false">IF($B48="","",SUM(J48:M48)+SUM(O48:Q48))</f>
        <v/>
      </c>
      <c r="S48" s="86" t="str">
        <f aca="false">IF($B48="","",الموظفون!$Q48*IF(E48="سعودي",cfg_G_SE,cfg_G_NE)*F48/cfg_DAYS_M)</f>
        <v/>
      </c>
      <c r="T48" s="86" t="str">
        <f aca="false">IF($B48="","",SUMIFS('الحركات الشهرية'!$I$6:$I$1005,'الحركات الشهرية'!$B$6:$B$1005,$B48,'الحركات الشهرية'!$A$6:$A$1005,$C$3))</f>
        <v/>
      </c>
      <c r="U48" s="86" t="str">
        <f aca="false">IF($B48="","",SUMIFS('الحركات الشهرية'!$J$6:$J$1005,'الحركات الشهرية'!$B$6:$B$1005,$B48,'الحركات الشهرية'!$A$6:$A$1005,$C$3))</f>
        <v/>
      </c>
      <c r="V48" s="86" t="str">
        <f aca="false">IF($B48="","",SUM(S48:U48))</f>
        <v/>
      </c>
      <c r="W48" s="107" t="str">
        <f aca="false">IF($B48="","",R48-V48)</f>
        <v/>
      </c>
      <c r="X48" s="86" t="str">
        <f aca="false">IF($B48="","",الموظفون!$Q48*IF(E48="سعودي",cfg_G_SR,cfg_G_NR)*F48/cfg_DAYS_M)</f>
        <v/>
      </c>
      <c r="Y48" s="86" t="str">
        <f aca="false">IF($B48="","",الموظفون!$O48*(cfg_EOS_R1*(MIN(AC48,cfg_EOS_TH)-MIN(AD48,cfg_EOS_TH))+cfg_EOS_R2*(MAX(AC48-cfg_EOS_TH,0)-MAX(AD48-cfg_EOS_TH,0))))</f>
        <v/>
      </c>
      <c r="Z48" s="86" t="str">
        <f aca="false">IF($B48="","",IF(الموظفون!$R48&lt;&gt;"",الموظفون!$R48,IF(AC48&gt;=cfg_LV_TH,cfg_LV_D2,cfg_LV_D1))/cfg_DAYS_Y*AE48*الموظفون!$P48/cfg_DAYS_M)</f>
        <v/>
      </c>
      <c r="AA48" s="86" t="str">
        <f aca="false">IF($B48="","",IF(AND(الموظفون!$S48="نعم",N(الموظفون!$U48)&gt;0),الموظفون!$T48/الموظفون!$U48*12/cfg_DAYS_Y*AE48,0))</f>
        <v/>
      </c>
      <c r="AB48" s="108" t="str">
        <f aca="false">IF($B48="","",R48+SUM(X48:AA48))</f>
        <v/>
      </c>
      <c r="AC48" s="109" t="str">
        <f aca="false">IF($B48="","",MAX(0,IF(OR(الموظفون!$X48="",الموظفون!$X48&gt;$G$3),$G$3,الموظفون!$X48)-الموظفون!$H48+1)/cfg_DAYS_Y)</f>
        <v/>
      </c>
      <c r="AD48" s="109" t="str">
        <f aca="false">IF($B48="","",MAX(0,IF(OR(الموظفون!$X48="",الموظفون!$X48&gt;($E$3-1)),($E$3-1),الموظفون!$X48)-الموظفون!$H48+1)/cfg_DAYS_Y)</f>
        <v/>
      </c>
      <c r="AE48" s="51" t="str">
        <f aca="false">IF($B48="","",MAX(0,IF(OR(الموظفون!$X48="",الموظفون!$X48&gt;$G$3),$G$3,الموظفون!$X48)-MAX($E$3,الموظفون!$H48)+1))</f>
        <v/>
      </c>
    </row>
    <row r="49" customFormat="false" ht="15" hidden="false" customHeight="false" outlineLevel="0" collapsed="false">
      <c r="A49" s="89" t="str">
        <f aca="false">IF($B49="","",الموظفون!$A49)</f>
        <v/>
      </c>
      <c r="B49" s="91" t="str">
        <f aca="false">IF(الموظفون!$B49="","",الموظفون!$B49)</f>
        <v/>
      </c>
      <c r="C49" s="91" t="str">
        <f aca="false">IF($B49="","",الموظفون!$C49)</f>
        <v/>
      </c>
      <c r="D49" s="91" t="str">
        <f aca="false">IF($B49="","",الموظفون!$F49)</f>
        <v/>
      </c>
      <c r="E49" s="91" t="str">
        <f aca="false">IF($B49="","",الموظفون!$E49)</f>
        <v/>
      </c>
      <c r="F49" s="110" t="str">
        <f aca="false">IF($B49="","",IF(AE49&gt;=DAY($G$3),cfg_DAYS_M,MIN(AE49,cfg_DAYS_M)))</f>
        <v/>
      </c>
      <c r="G49" s="110" t="str">
        <f aca="false">IF($B49="","",SUMIFS('الحركات الشهرية'!$D$6:$D$1005,'الحركات الشهرية'!$B$6:$B$1005,$B49,'الحركات الشهرية'!$A$6:$A$1005,$C$3))</f>
        <v/>
      </c>
      <c r="H49" s="110" t="str">
        <f aca="false">IF($B49="","",SUMIFS('الحركات الشهرية'!$E$6:$E$1005,'الحركات الشهرية'!$B$6:$B$1005,$B49,'الحركات الشهرية'!$A$6:$A$1005,$C$3))</f>
        <v/>
      </c>
      <c r="I49" s="110" t="str">
        <f aca="false">IF($B49="","",MAX(0,F49-G49-H49))</f>
        <v/>
      </c>
      <c r="J49" s="90" t="str">
        <f aca="false">IF($B49="","",الموظفون!$J49*$I49/cfg_DAYS_M)</f>
        <v/>
      </c>
      <c r="K49" s="90" t="str">
        <f aca="false">IF($B49="","",الموظفون!$K49*$I49/cfg_DAYS_M)</f>
        <v/>
      </c>
      <c r="L49" s="90" t="str">
        <f aca="false">IF($B49="","",الموظفون!$L49*$I49/cfg_DAYS_M)</f>
        <v/>
      </c>
      <c r="M49" s="90" t="str">
        <f aca="false">IF($B49="","",الموظفون!$M49*$I49/cfg_DAYS_M)</f>
        <v/>
      </c>
      <c r="N49" s="110" t="str">
        <f aca="false">IF($B49="","",SUMIFS('الحركات الشهرية'!$F$6:$F$1005,'الحركات الشهرية'!$B$6:$B$1005,$B49,'الحركات الشهرية'!$A$6:$A$1005,$C$3))</f>
        <v/>
      </c>
      <c r="O49" s="90" t="str">
        <f aca="false">IF($B49="","",N49*(الموظفون!$N49+الموظفون!$J49*cfg_OT_P)/cfg_DAYS_M/cfg_HRS)</f>
        <v/>
      </c>
      <c r="P49" s="90" t="str">
        <f aca="false">IF($B49="","",SUMIFS('الحركات الشهرية'!$G$6:$G$1005,'الحركات الشهرية'!$B$6:$B$1005,$B49,'الحركات الشهرية'!$A$6:$A$1005,$C$3))</f>
        <v/>
      </c>
      <c r="Q49" s="90" t="str">
        <f aca="false">IF($B49="","",SUMIFS('الحركات الشهرية'!$H$6:$H$1005,'الحركات الشهرية'!$B$6:$B$1005,$B49,'الحركات الشهرية'!$A$6:$A$1005,$C$3))</f>
        <v/>
      </c>
      <c r="R49" s="111" t="str">
        <f aca="false">IF($B49="","",SUM(J49:M49)+SUM(O49:Q49))</f>
        <v/>
      </c>
      <c r="S49" s="90" t="str">
        <f aca="false">IF($B49="","",الموظفون!$Q49*IF(E49="سعودي",cfg_G_SE,cfg_G_NE)*F49/cfg_DAYS_M)</f>
        <v/>
      </c>
      <c r="T49" s="90" t="str">
        <f aca="false">IF($B49="","",SUMIFS('الحركات الشهرية'!$I$6:$I$1005,'الحركات الشهرية'!$B$6:$B$1005,$B49,'الحركات الشهرية'!$A$6:$A$1005,$C$3))</f>
        <v/>
      </c>
      <c r="U49" s="90" t="str">
        <f aca="false">IF($B49="","",SUMIFS('الحركات الشهرية'!$J$6:$J$1005,'الحركات الشهرية'!$B$6:$B$1005,$B49,'الحركات الشهرية'!$A$6:$A$1005,$C$3))</f>
        <v/>
      </c>
      <c r="V49" s="90" t="str">
        <f aca="false">IF($B49="","",SUM(S49:U49))</f>
        <v/>
      </c>
      <c r="W49" s="112" t="str">
        <f aca="false">IF($B49="","",R49-V49)</f>
        <v/>
      </c>
      <c r="X49" s="90" t="str">
        <f aca="false">IF($B49="","",الموظفون!$Q49*IF(E49="سعودي",cfg_G_SR,cfg_G_NR)*F49/cfg_DAYS_M)</f>
        <v/>
      </c>
      <c r="Y49" s="90" t="str">
        <f aca="false">IF($B49="","",الموظفون!$O49*(cfg_EOS_R1*(MIN(AC49,cfg_EOS_TH)-MIN(AD49,cfg_EOS_TH))+cfg_EOS_R2*(MAX(AC49-cfg_EOS_TH,0)-MAX(AD49-cfg_EOS_TH,0))))</f>
        <v/>
      </c>
      <c r="Z49" s="90" t="str">
        <f aca="false">IF($B49="","",IF(الموظفون!$R49&lt;&gt;"",الموظفون!$R49,IF(AC49&gt;=cfg_LV_TH,cfg_LV_D2,cfg_LV_D1))/cfg_DAYS_Y*AE49*الموظفون!$P49/cfg_DAYS_M)</f>
        <v/>
      </c>
      <c r="AA49" s="90" t="str">
        <f aca="false">IF($B49="","",IF(AND(الموظفون!$S49="نعم",N(الموظفون!$U49)&gt;0),الموظفون!$T49/الموظفون!$U49*12/cfg_DAYS_Y*AE49,0))</f>
        <v/>
      </c>
      <c r="AB49" s="113" t="str">
        <f aca="false">IF($B49="","",R49+SUM(X49:AA49))</f>
        <v/>
      </c>
      <c r="AC49" s="114" t="str">
        <f aca="false">IF($B49="","",MAX(0,IF(OR(الموظفون!$X49="",الموظفون!$X49&gt;$G$3),$G$3,الموظفون!$X49)-الموظفون!$H49+1)/cfg_DAYS_Y)</f>
        <v/>
      </c>
      <c r="AD49" s="114" t="str">
        <f aca="false">IF($B49="","",MAX(0,IF(OR(الموظفون!$X49="",الموظفون!$X49&gt;($E$3-1)),($E$3-1),الموظفون!$X49)-الموظفون!$H49+1)/cfg_DAYS_Y)</f>
        <v/>
      </c>
      <c r="AE49" s="115" t="str">
        <f aca="false">IF($B49="","",MAX(0,IF(OR(الموظفون!$X49="",الموظفون!$X49&gt;$G$3),$G$3,الموظفون!$X49)-MAX($E$3,الموظفون!$H49)+1))</f>
        <v/>
      </c>
    </row>
    <row r="50" customFormat="false" ht="15" hidden="false" customHeight="false" outlineLevel="0" collapsed="false">
      <c r="A50" s="83" t="str">
        <f aca="false">IF($B50="","",الموظفون!$A50)</f>
        <v/>
      </c>
      <c r="B50" s="74" t="str">
        <f aca="false">IF(الموظفون!$B50="","",الموظفون!$B50)</f>
        <v/>
      </c>
      <c r="C50" s="74" t="str">
        <f aca="false">IF($B50="","",الموظفون!$C50)</f>
        <v/>
      </c>
      <c r="D50" s="74" t="str">
        <f aca="false">IF($B50="","",الموظفون!$F50)</f>
        <v/>
      </c>
      <c r="E50" s="74" t="str">
        <f aca="false">IF($B50="","",الموظفون!$E50)</f>
        <v/>
      </c>
      <c r="F50" s="105" t="str">
        <f aca="false">IF($B50="","",IF(AE50&gt;=DAY($G$3),cfg_DAYS_M,MIN(AE50,cfg_DAYS_M)))</f>
        <v/>
      </c>
      <c r="G50" s="105" t="str">
        <f aca="false">IF($B50="","",SUMIFS('الحركات الشهرية'!$D$6:$D$1005,'الحركات الشهرية'!$B$6:$B$1005,$B50,'الحركات الشهرية'!$A$6:$A$1005,$C$3))</f>
        <v/>
      </c>
      <c r="H50" s="105" t="str">
        <f aca="false">IF($B50="","",SUMIFS('الحركات الشهرية'!$E$6:$E$1005,'الحركات الشهرية'!$B$6:$B$1005,$B50,'الحركات الشهرية'!$A$6:$A$1005,$C$3))</f>
        <v/>
      </c>
      <c r="I50" s="105" t="str">
        <f aca="false">IF($B50="","",MAX(0,F50-G50-H50))</f>
        <v/>
      </c>
      <c r="J50" s="86" t="str">
        <f aca="false">IF($B50="","",الموظفون!$J50*$I50/cfg_DAYS_M)</f>
        <v/>
      </c>
      <c r="K50" s="86" t="str">
        <f aca="false">IF($B50="","",الموظفون!$K50*$I50/cfg_DAYS_M)</f>
        <v/>
      </c>
      <c r="L50" s="86" t="str">
        <f aca="false">IF($B50="","",الموظفون!$L50*$I50/cfg_DAYS_M)</f>
        <v/>
      </c>
      <c r="M50" s="86" t="str">
        <f aca="false">IF($B50="","",الموظفون!$M50*$I50/cfg_DAYS_M)</f>
        <v/>
      </c>
      <c r="N50" s="105" t="str">
        <f aca="false">IF($B50="","",SUMIFS('الحركات الشهرية'!$F$6:$F$1005,'الحركات الشهرية'!$B$6:$B$1005,$B50,'الحركات الشهرية'!$A$6:$A$1005,$C$3))</f>
        <v/>
      </c>
      <c r="O50" s="86" t="str">
        <f aca="false">IF($B50="","",N50*(الموظفون!$N50+الموظفون!$J50*cfg_OT_P)/cfg_DAYS_M/cfg_HRS)</f>
        <v/>
      </c>
      <c r="P50" s="86" t="str">
        <f aca="false">IF($B50="","",SUMIFS('الحركات الشهرية'!$G$6:$G$1005,'الحركات الشهرية'!$B$6:$B$1005,$B50,'الحركات الشهرية'!$A$6:$A$1005,$C$3))</f>
        <v/>
      </c>
      <c r="Q50" s="86" t="str">
        <f aca="false">IF($B50="","",SUMIFS('الحركات الشهرية'!$H$6:$H$1005,'الحركات الشهرية'!$B$6:$B$1005,$B50,'الحركات الشهرية'!$A$6:$A$1005,$C$3))</f>
        <v/>
      </c>
      <c r="R50" s="106" t="str">
        <f aca="false">IF($B50="","",SUM(J50:M50)+SUM(O50:Q50))</f>
        <v/>
      </c>
      <c r="S50" s="86" t="str">
        <f aca="false">IF($B50="","",الموظفون!$Q50*IF(E50="سعودي",cfg_G_SE,cfg_G_NE)*F50/cfg_DAYS_M)</f>
        <v/>
      </c>
      <c r="T50" s="86" t="str">
        <f aca="false">IF($B50="","",SUMIFS('الحركات الشهرية'!$I$6:$I$1005,'الحركات الشهرية'!$B$6:$B$1005,$B50,'الحركات الشهرية'!$A$6:$A$1005,$C$3))</f>
        <v/>
      </c>
      <c r="U50" s="86" t="str">
        <f aca="false">IF($B50="","",SUMIFS('الحركات الشهرية'!$J$6:$J$1005,'الحركات الشهرية'!$B$6:$B$1005,$B50,'الحركات الشهرية'!$A$6:$A$1005,$C$3))</f>
        <v/>
      </c>
      <c r="V50" s="86" t="str">
        <f aca="false">IF($B50="","",SUM(S50:U50))</f>
        <v/>
      </c>
      <c r="W50" s="107" t="str">
        <f aca="false">IF($B50="","",R50-V50)</f>
        <v/>
      </c>
      <c r="X50" s="86" t="str">
        <f aca="false">IF($B50="","",الموظفون!$Q50*IF(E50="سعودي",cfg_G_SR,cfg_G_NR)*F50/cfg_DAYS_M)</f>
        <v/>
      </c>
      <c r="Y50" s="86" t="str">
        <f aca="false">IF($B50="","",الموظفون!$O50*(cfg_EOS_R1*(MIN(AC50,cfg_EOS_TH)-MIN(AD50,cfg_EOS_TH))+cfg_EOS_R2*(MAX(AC50-cfg_EOS_TH,0)-MAX(AD50-cfg_EOS_TH,0))))</f>
        <v/>
      </c>
      <c r="Z50" s="86" t="str">
        <f aca="false">IF($B50="","",IF(الموظفون!$R50&lt;&gt;"",الموظفون!$R50,IF(AC50&gt;=cfg_LV_TH,cfg_LV_D2,cfg_LV_D1))/cfg_DAYS_Y*AE50*الموظفون!$P50/cfg_DAYS_M)</f>
        <v/>
      </c>
      <c r="AA50" s="86" t="str">
        <f aca="false">IF($B50="","",IF(AND(الموظفون!$S50="نعم",N(الموظفون!$U50)&gt;0),الموظفون!$T50/الموظفون!$U50*12/cfg_DAYS_Y*AE50,0))</f>
        <v/>
      </c>
      <c r="AB50" s="108" t="str">
        <f aca="false">IF($B50="","",R50+SUM(X50:AA50))</f>
        <v/>
      </c>
      <c r="AC50" s="109" t="str">
        <f aca="false">IF($B50="","",MAX(0,IF(OR(الموظفون!$X50="",الموظفون!$X50&gt;$G$3),$G$3,الموظفون!$X50)-الموظفون!$H50+1)/cfg_DAYS_Y)</f>
        <v/>
      </c>
      <c r="AD50" s="109" t="str">
        <f aca="false">IF($B50="","",MAX(0,IF(OR(الموظفون!$X50="",الموظفون!$X50&gt;($E$3-1)),($E$3-1),الموظفون!$X50)-الموظفون!$H50+1)/cfg_DAYS_Y)</f>
        <v/>
      </c>
      <c r="AE50" s="51" t="str">
        <f aca="false">IF($B50="","",MAX(0,IF(OR(الموظفون!$X50="",الموظفون!$X50&gt;$G$3),$G$3,الموظفون!$X50)-MAX($E$3,الموظفون!$H50)+1))</f>
        <v/>
      </c>
    </row>
    <row r="51" customFormat="false" ht="15" hidden="false" customHeight="false" outlineLevel="0" collapsed="false">
      <c r="A51" s="89" t="str">
        <f aca="false">IF($B51="","",الموظفون!$A51)</f>
        <v/>
      </c>
      <c r="B51" s="91" t="str">
        <f aca="false">IF(الموظفون!$B51="","",الموظفون!$B51)</f>
        <v/>
      </c>
      <c r="C51" s="91" t="str">
        <f aca="false">IF($B51="","",الموظفون!$C51)</f>
        <v/>
      </c>
      <c r="D51" s="91" t="str">
        <f aca="false">IF($B51="","",الموظفون!$F51)</f>
        <v/>
      </c>
      <c r="E51" s="91" t="str">
        <f aca="false">IF($B51="","",الموظفون!$E51)</f>
        <v/>
      </c>
      <c r="F51" s="110" t="str">
        <f aca="false">IF($B51="","",IF(AE51&gt;=DAY($G$3),cfg_DAYS_M,MIN(AE51,cfg_DAYS_M)))</f>
        <v/>
      </c>
      <c r="G51" s="110" t="str">
        <f aca="false">IF($B51="","",SUMIFS('الحركات الشهرية'!$D$6:$D$1005,'الحركات الشهرية'!$B$6:$B$1005,$B51,'الحركات الشهرية'!$A$6:$A$1005,$C$3))</f>
        <v/>
      </c>
      <c r="H51" s="110" t="str">
        <f aca="false">IF($B51="","",SUMIFS('الحركات الشهرية'!$E$6:$E$1005,'الحركات الشهرية'!$B$6:$B$1005,$B51,'الحركات الشهرية'!$A$6:$A$1005,$C$3))</f>
        <v/>
      </c>
      <c r="I51" s="110" t="str">
        <f aca="false">IF($B51="","",MAX(0,F51-G51-H51))</f>
        <v/>
      </c>
      <c r="J51" s="90" t="str">
        <f aca="false">IF($B51="","",الموظفون!$J51*$I51/cfg_DAYS_M)</f>
        <v/>
      </c>
      <c r="K51" s="90" t="str">
        <f aca="false">IF($B51="","",الموظفون!$K51*$I51/cfg_DAYS_M)</f>
        <v/>
      </c>
      <c r="L51" s="90" t="str">
        <f aca="false">IF($B51="","",الموظفون!$L51*$I51/cfg_DAYS_M)</f>
        <v/>
      </c>
      <c r="M51" s="90" t="str">
        <f aca="false">IF($B51="","",الموظفون!$M51*$I51/cfg_DAYS_M)</f>
        <v/>
      </c>
      <c r="N51" s="110" t="str">
        <f aca="false">IF($B51="","",SUMIFS('الحركات الشهرية'!$F$6:$F$1005,'الحركات الشهرية'!$B$6:$B$1005,$B51,'الحركات الشهرية'!$A$6:$A$1005,$C$3))</f>
        <v/>
      </c>
      <c r="O51" s="90" t="str">
        <f aca="false">IF($B51="","",N51*(الموظفون!$N51+الموظفون!$J51*cfg_OT_P)/cfg_DAYS_M/cfg_HRS)</f>
        <v/>
      </c>
      <c r="P51" s="90" t="str">
        <f aca="false">IF($B51="","",SUMIFS('الحركات الشهرية'!$G$6:$G$1005,'الحركات الشهرية'!$B$6:$B$1005,$B51,'الحركات الشهرية'!$A$6:$A$1005,$C$3))</f>
        <v/>
      </c>
      <c r="Q51" s="90" t="str">
        <f aca="false">IF($B51="","",SUMIFS('الحركات الشهرية'!$H$6:$H$1005,'الحركات الشهرية'!$B$6:$B$1005,$B51,'الحركات الشهرية'!$A$6:$A$1005,$C$3))</f>
        <v/>
      </c>
      <c r="R51" s="111" t="str">
        <f aca="false">IF($B51="","",SUM(J51:M51)+SUM(O51:Q51))</f>
        <v/>
      </c>
      <c r="S51" s="90" t="str">
        <f aca="false">IF($B51="","",الموظفون!$Q51*IF(E51="سعودي",cfg_G_SE,cfg_G_NE)*F51/cfg_DAYS_M)</f>
        <v/>
      </c>
      <c r="T51" s="90" t="str">
        <f aca="false">IF($B51="","",SUMIFS('الحركات الشهرية'!$I$6:$I$1005,'الحركات الشهرية'!$B$6:$B$1005,$B51,'الحركات الشهرية'!$A$6:$A$1005,$C$3))</f>
        <v/>
      </c>
      <c r="U51" s="90" t="str">
        <f aca="false">IF($B51="","",SUMIFS('الحركات الشهرية'!$J$6:$J$1005,'الحركات الشهرية'!$B$6:$B$1005,$B51,'الحركات الشهرية'!$A$6:$A$1005,$C$3))</f>
        <v/>
      </c>
      <c r="V51" s="90" t="str">
        <f aca="false">IF($B51="","",SUM(S51:U51))</f>
        <v/>
      </c>
      <c r="W51" s="112" t="str">
        <f aca="false">IF($B51="","",R51-V51)</f>
        <v/>
      </c>
      <c r="X51" s="90" t="str">
        <f aca="false">IF($B51="","",الموظفون!$Q51*IF(E51="سعودي",cfg_G_SR,cfg_G_NR)*F51/cfg_DAYS_M)</f>
        <v/>
      </c>
      <c r="Y51" s="90" t="str">
        <f aca="false">IF($B51="","",الموظفون!$O51*(cfg_EOS_R1*(MIN(AC51,cfg_EOS_TH)-MIN(AD51,cfg_EOS_TH))+cfg_EOS_R2*(MAX(AC51-cfg_EOS_TH,0)-MAX(AD51-cfg_EOS_TH,0))))</f>
        <v/>
      </c>
      <c r="Z51" s="90" t="str">
        <f aca="false">IF($B51="","",IF(الموظفون!$R51&lt;&gt;"",الموظفون!$R51,IF(AC51&gt;=cfg_LV_TH,cfg_LV_D2,cfg_LV_D1))/cfg_DAYS_Y*AE51*الموظفون!$P51/cfg_DAYS_M)</f>
        <v/>
      </c>
      <c r="AA51" s="90" t="str">
        <f aca="false">IF($B51="","",IF(AND(الموظفون!$S51="نعم",N(الموظفون!$U51)&gt;0),الموظفون!$T51/الموظفون!$U51*12/cfg_DAYS_Y*AE51,0))</f>
        <v/>
      </c>
      <c r="AB51" s="113" t="str">
        <f aca="false">IF($B51="","",R51+SUM(X51:AA51))</f>
        <v/>
      </c>
      <c r="AC51" s="114" t="str">
        <f aca="false">IF($B51="","",MAX(0,IF(OR(الموظفون!$X51="",الموظفون!$X51&gt;$G$3),$G$3,الموظفون!$X51)-الموظفون!$H51+1)/cfg_DAYS_Y)</f>
        <v/>
      </c>
      <c r="AD51" s="114" t="str">
        <f aca="false">IF($B51="","",MAX(0,IF(OR(الموظفون!$X51="",الموظفون!$X51&gt;($E$3-1)),($E$3-1),الموظفون!$X51)-الموظفون!$H51+1)/cfg_DAYS_Y)</f>
        <v/>
      </c>
      <c r="AE51" s="115" t="str">
        <f aca="false">IF($B51="","",MAX(0,IF(OR(الموظفون!$X51="",الموظفون!$X51&gt;$G$3),$G$3,الموظفون!$X51)-MAX($E$3,الموظفون!$H51)+1))</f>
        <v/>
      </c>
    </row>
    <row r="52" customFormat="false" ht="15" hidden="false" customHeight="false" outlineLevel="0" collapsed="false">
      <c r="A52" s="83" t="str">
        <f aca="false">IF($B52="","",الموظفون!$A52)</f>
        <v/>
      </c>
      <c r="B52" s="74" t="str">
        <f aca="false">IF(الموظفون!$B52="","",الموظفون!$B52)</f>
        <v/>
      </c>
      <c r="C52" s="74" t="str">
        <f aca="false">IF($B52="","",الموظفون!$C52)</f>
        <v/>
      </c>
      <c r="D52" s="74" t="str">
        <f aca="false">IF($B52="","",الموظفون!$F52)</f>
        <v/>
      </c>
      <c r="E52" s="74" t="str">
        <f aca="false">IF($B52="","",الموظفون!$E52)</f>
        <v/>
      </c>
      <c r="F52" s="105" t="str">
        <f aca="false">IF($B52="","",IF(AE52&gt;=DAY($G$3),cfg_DAYS_M,MIN(AE52,cfg_DAYS_M)))</f>
        <v/>
      </c>
      <c r="G52" s="105" t="str">
        <f aca="false">IF($B52="","",SUMIFS('الحركات الشهرية'!$D$6:$D$1005,'الحركات الشهرية'!$B$6:$B$1005,$B52,'الحركات الشهرية'!$A$6:$A$1005,$C$3))</f>
        <v/>
      </c>
      <c r="H52" s="105" t="str">
        <f aca="false">IF($B52="","",SUMIFS('الحركات الشهرية'!$E$6:$E$1005,'الحركات الشهرية'!$B$6:$B$1005,$B52,'الحركات الشهرية'!$A$6:$A$1005,$C$3))</f>
        <v/>
      </c>
      <c r="I52" s="105" t="str">
        <f aca="false">IF($B52="","",MAX(0,F52-G52-H52))</f>
        <v/>
      </c>
      <c r="J52" s="86" t="str">
        <f aca="false">IF($B52="","",الموظفون!$J52*$I52/cfg_DAYS_M)</f>
        <v/>
      </c>
      <c r="K52" s="86" t="str">
        <f aca="false">IF($B52="","",الموظفون!$K52*$I52/cfg_DAYS_M)</f>
        <v/>
      </c>
      <c r="L52" s="86" t="str">
        <f aca="false">IF($B52="","",الموظفون!$L52*$I52/cfg_DAYS_M)</f>
        <v/>
      </c>
      <c r="M52" s="86" t="str">
        <f aca="false">IF($B52="","",الموظفون!$M52*$I52/cfg_DAYS_M)</f>
        <v/>
      </c>
      <c r="N52" s="105" t="str">
        <f aca="false">IF($B52="","",SUMIFS('الحركات الشهرية'!$F$6:$F$1005,'الحركات الشهرية'!$B$6:$B$1005,$B52,'الحركات الشهرية'!$A$6:$A$1005,$C$3))</f>
        <v/>
      </c>
      <c r="O52" s="86" t="str">
        <f aca="false">IF($B52="","",N52*(الموظفون!$N52+الموظفون!$J52*cfg_OT_P)/cfg_DAYS_M/cfg_HRS)</f>
        <v/>
      </c>
      <c r="P52" s="86" t="str">
        <f aca="false">IF($B52="","",SUMIFS('الحركات الشهرية'!$G$6:$G$1005,'الحركات الشهرية'!$B$6:$B$1005,$B52,'الحركات الشهرية'!$A$6:$A$1005,$C$3))</f>
        <v/>
      </c>
      <c r="Q52" s="86" t="str">
        <f aca="false">IF($B52="","",SUMIFS('الحركات الشهرية'!$H$6:$H$1005,'الحركات الشهرية'!$B$6:$B$1005,$B52,'الحركات الشهرية'!$A$6:$A$1005,$C$3))</f>
        <v/>
      </c>
      <c r="R52" s="106" t="str">
        <f aca="false">IF($B52="","",SUM(J52:M52)+SUM(O52:Q52))</f>
        <v/>
      </c>
      <c r="S52" s="86" t="str">
        <f aca="false">IF($B52="","",الموظفون!$Q52*IF(E52="سعودي",cfg_G_SE,cfg_G_NE)*F52/cfg_DAYS_M)</f>
        <v/>
      </c>
      <c r="T52" s="86" t="str">
        <f aca="false">IF($B52="","",SUMIFS('الحركات الشهرية'!$I$6:$I$1005,'الحركات الشهرية'!$B$6:$B$1005,$B52,'الحركات الشهرية'!$A$6:$A$1005,$C$3))</f>
        <v/>
      </c>
      <c r="U52" s="86" t="str">
        <f aca="false">IF($B52="","",SUMIFS('الحركات الشهرية'!$J$6:$J$1005,'الحركات الشهرية'!$B$6:$B$1005,$B52,'الحركات الشهرية'!$A$6:$A$1005,$C$3))</f>
        <v/>
      </c>
      <c r="V52" s="86" t="str">
        <f aca="false">IF($B52="","",SUM(S52:U52))</f>
        <v/>
      </c>
      <c r="W52" s="107" t="str">
        <f aca="false">IF($B52="","",R52-V52)</f>
        <v/>
      </c>
      <c r="X52" s="86" t="str">
        <f aca="false">IF($B52="","",الموظفون!$Q52*IF(E52="سعودي",cfg_G_SR,cfg_G_NR)*F52/cfg_DAYS_M)</f>
        <v/>
      </c>
      <c r="Y52" s="86" t="str">
        <f aca="false">IF($B52="","",الموظفون!$O52*(cfg_EOS_R1*(MIN(AC52,cfg_EOS_TH)-MIN(AD52,cfg_EOS_TH))+cfg_EOS_R2*(MAX(AC52-cfg_EOS_TH,0)-MAX(AD52-cfg_EOS_TH,0))))</f>
        <v/>
      </c>
      <c r="Z52" s="86" t="str">
        <f aca="false">IF($B52="","",IF(الموظفون!$R52&lt;&gt;"",الموظفون!$R52,IF(AC52&gt;=cfg_LV_TH,cfg_LV_D2,cfg_LV_D1))/cfg_DAYS_Y*AE52*الموظفون!$P52/cfg_DAYS_M)</f>
        <v/>
      </c>
      <c r="AA52" s="86" t="str">
        <f aca="false">IF($B52="","",IF(AND(الموظفون!$S52="نعم",N(الموظفون!$U52)&gt;0),الموظفون!$T52/الموظفون!$U52*12/cfg_DAYS_Y*AE52,0))</f>
        <v/>
      </c>
      <c r="AB52" s="108" t="str">
        <f aca="false">IF($B52="","",R52+SUM(X52:AA52))</f>
        <v/>
      </c>
      <c r="AC52" s="109" t="str">
        <f aca="false">IF($B52="","",MAX(0,IF(OR(الموظفون!$X52="",الموظفون!$X52&gt;$G$3),$G$3,الموظفون!$X52)-الموظفون!$H52+1)/cfg_DAYS_Y)</f>
        <v/>
      </c>
      <c r="AD52" s="109" t="str">
        <f aca="false">IF($B52="","",MAX(0,IF(OR(الموظفون!$X52="",الموظفون!$X52&gt;($E$3-1)),($E$3-1),الموظفون!$X52)-الموظفون!$H52+1)/cfg_DAYS_Y)</f>
        <v/>
      </c>
      <c r="AE52" s="51" t="str">
        <f aca="false">IF($B52="","",MAX(0,IF(OR(الموظفون!$X52="",الموظفون!$X52&gt;$G$3),$G$3,الموظفون!$X52)-MAX($E$3,الموظفون!$H52)+1))</f>
        <v/>
      </c>
    </row>
    <row r="53" customFormat="false" ht="15" hidden="false" customHeight="false" outlineLevel="0" collapsed="false">
      <c r="A53" s="89" t="str">
        <f aca="false">IF($B53="","",الموظفون!$A53)</f>
        <v/>
      </c>
      <c r="B53" s="91" t="str">
        <f aca="false">IF(الموظفون!$B53="","",الموظفون!$B53)</f>
        <v/>
      </c>
      <c r="C53" s="91" t="str">
        <f aca="false">IF($B53="","",الموظفون!$C53)</f>
        <v/>
      </c>
      <c r="D53" s="91" t="str">
        <f aca="false">IF($B53="","",الموظفون!$F53)</f>
        <v/>
      </c>
      <c r="E53" s="91" t="str">
        <f aca="false">IF($B53="","",الموظفون!$E53)</f>
        <v/>
      </c>
      <c r="F53" s="110" t="str">
        <f aca="false">IF($B53="","",IF(AE53&gt;=DAY($G$3),cfg_DAYS_M,MIN(AE53,cfg_DAYS_M)))</f>
        <v/>
      </c>
      <c r="G53" s="110" t="str">
        <f aca="false">IF($B53="","",SUMIFS('الحركات الشهرية'!$D$6:$D$1005,'الحركات الشهرية'!$B$6:$B$1005,$B53,'الحركات الشهرية'!$A$6:$A$1005,$C$3))</f>
        <v/>
      </c>
      <c r="H53" s="110" t="str">
        <f aca="false">IF($B53="","",SUMIFS('الحركات الشهرية'!$E$6:$E$1005,'الحركات الشهرية'!$B$6:$B$1005,$B53,'الحركات الشهرية'!$A$6:$A$1005,$C$3))</f>
        <v/>
      </c>
      <c r="I53" s="110" t="str">
        <f aca="false">IF($B53="","",MAX(0,F53-G53-H53))</f>
        <v/>
      </c>
      <c r="J53" s="90" t="str">
        <f aca="false">IF($B53="","",الموظفون!$J53*$I53/cfg_DAYS_M)</f>
        <v/>
      </c>
      <c r="K53" s="90" t="str">
        <f aca="false">IF($B53="","",الموظفون!$K53*$I53/cfg_DAYS_M)</f>
        <v/>
      </c>
      <c r="L53" s="90" t="str">
        <f aca="false">IF($B53="","",الموظفون!$L53*$I53/cfg_DAYS_M)</f>
        <v/>
      </c>
      <c r="M53" s="90" t="str">
        <f aca="false">IF($B53="","",الموظفون!$M53*$I53/cfg_DAYS_M)</f>
        <v/>
      </c>
      <c r="N53" s="110" t="str">
        <f aca="false">IF($B53="","",SUMIFS('الحركات الشهرية'!$F$6:$F$1005,'الحركات الشهرية'!$B$6:$B$1005,$B53,'الحركات الشهرية'!$A$6:$A$1005,$C$3))</f>
        <v/>
      </c>
      <c r="O53" s="90" t="str">
        <f aca="false">IF($B53="","",N53*(الموظفون!$N53+الموظفون!$J53*cfg_OT_P)/cfg_DAYS_M/cfg_HRS)</f>
        <v/>
      </c>
      <c r="P53" s="90" t="str">
        <f aca="false">IF($B53="","",SUMIFS('الحركات الشهرية'!$G$6:$G$1005,'الحركات الشهرية'!$B$6:$B$1005,$B53,'الحركات الشهرية'!$A$6:$A$1005,$C$3))</f>
        <v/>
      </c>
      <c r="Q53" s="90" t="str">
        <f aca="false">IF($B53="","",SUMIFS('الحركات الشهرية'!$H$6:$H$1005,'الحركات الشهرية'!$B$6:$B$1005,$B53,'الحركات الشهرية'!$A$6:$A$1005,$C$3))</f>
        <v/>
      </c>
      <c r="R53" s="111" t="str">
        <f aca="false">IF($B53="","",SUM(J53:M53)+SUM(O53:Q53))</f>
        <v/>
      </c>
      <c r="S53" s="90" t="str">
        <f aca="false">IF($B53="","",الموظفون!$Q53*IF(E53="سعودي",cfg_G_SE,cfg_G_NE)*F53/cfg_DAYS_M)</f>
        <v/>
      </c>
      <c r="T53" s="90" t="str">
        <f aca="false">IF($B53="","",SUMIFS('الحركات الشهرية'!$I$6:$I$1005,'الحركات الشهرية'!$B$6:$B$1005,$B53,'الحركات الشهرية'!$A$6:$A$1005,$C$3))</f>
        <v/>
      </c>
      <c r="U53" s="90" t="str">
        <f aca="false">IF($B53="","",SUMIFS('الحركات الشهرية'!$J$6:$J$1005,'الحركات الشهرية'!$B$6:$B$1005,$B53,'الحركات الشهرية'!$A$6:$A$1005,$C$3))</f>
        <v/>
      </c>
      <c r="V53" s="90" t="str">
        <f aca="false">IF($B53="","",SUM(S53:U53))</f>
        <v/>
      </c>
      <c r="W53" s="112" t="str">
        <f aca="false">IF($B53="","",R53-V53)</f>
        <v/>
      </c>
      <c r="X53" s="90" t="str">
        <f aca="false">IF($B53="","",الموظفون!$Q53*IF(E53="سعودي",cfg_G_SR,cfg_G_NR)*F53/cfg_DAYS_M)</f>
        <v/>
      </c>
      <c r="Y53" s="90" t="str">
        <f aca="false">IF($B53="","",الموظفون!$O53*(cfg_EOS_R1*(MIN(AC53,cfg_EOS_TH)-MIN(AD53,cfg_EOS_TH))+cfg_EOS_R2*(MAX(AC53-cfg_EOS_TH,0)-MAX(AD53-cfg_EOS_TH,0))))</f>
        <v/>
      </c>
      <c r="Z53" s="90" t="str">
        <f aca="false">IF($B53="","",IF(الموظفون!$R53&lt;&gt;"",الموظفون!$R53,IF(AC53&gt;=cfg_LV_TH,cfg_LV_D2,cfg_LV_D1))/cfg_DAYS_Y*AE53*الموظفون!$P53/cfg_DAYS_M)</f>
        <v/>
      </c>
      <c r="AA53" s="90" t="str">
        <f aca="false">IF($B53="","",IF(AND(الموظفون!$S53="نعم",N(الموظفون!$U53)&gt;0),الموظفون!$T53/الموظفون!$U53*12/cfg_DAYS_Y*AE53,0))</f>
        <v/>
      </c>
      <c r="AB53" s="113" t="str">
        <f aca="false">IF($B53="","",R53+SUM(X53:AA53))</f>
        <v/>
      </c>
      <c r="AC53" s="114" t="str">
        <f aca="false">IF($B53="","",MAX(0,IF(OR(الموظفون!$X53="",الموظفون!$X53&gt;$G$3),$G$3,الموظفون!$X53)-الموظفون!$H53+1)/cfg_DAYS_Y)</f>
        <v/>
      </c>
      <c r="AD53" s="114" t="str">
        <f aca="false">IF($B53="","",MAX(0,IF(OR(الموظفون!$X53="",الموظفون!$X53&gt;($E$3-1)),($E$3-1),الموظفون!$X53)-الموظفون!$H53+1)/cfg_DAYS_Y)</f>
        <v/>
      </c>
      <c r="AE53" s="115" t="str">
        <f aca="false">IF($B53="","",MAX(0,IF(OR(الموظفون!$X53="",الموظفون!$X53&gt;$G$3),$G$3,الموظفون!$X53)-MAX($E$3,الموظفون!$H53)+1))</f>
        <v/>
      </c>
    </row>
    <row r="54" customFormat="false" ht="15" hidden="false" customHeight="false" outlineLevel="0" collapsed="false">
      <c r="A54" s="83" t="str">
        <f aca="false">IF($B54="","",الموظفون!$A54)</f>
        <v/>
      </c>
      <c r="B54" s="74" t="str">
        <f aca="false">IF(الموظفون!$B54="","",الموظفون!$B54)</f>
        <v/>
      </c>
      <c r="C54" s="74" t="str">
        <f aca="false">IF($B54="","",الموظفون!$C54)</f>
        <v/>
      </c>
      <c r="D54" s="74" t="str">
        <f aca="false">IF($B54="","",الموظفون!$F54)</f>
        <v/>
      </c>
      <c r="E54" s="74" t="str">
        <f aca="false">IF($B54="","",الموظفون!$E54)</f>
        <v/>
      </c>
      <c r="F54" s="105" t="str">
        <f aca="false">IF($B54="","",IF(AE54&gt;=DAY($G$3),cfg_DAYS_M,MIN(AE54,cfg_DAYS_M)))</f>
        <v/>
      </c>
      <c r="G54" s="105" t="str">
        <f aca="false">IF($B54="","",SUMIFS('الحركات الشهرية'!$D$6:$D$1005,'الحركات الشهرية'!$B$6:$B$1005,$B54,'الحركات الشهرية'!$A$6:$A$1005,$C$3))</f>
        <v/>
      </c>
      <c r="H54" s="105" t="str">
        <f aca="false">IF($B54="","",SUMIFS('الحركات الشهرية'!$E$6:$E$1005,'الحركات الشهرية'!$B$6:$B$1005,$B54,'الحركات الشهرية'!$A$6:$A$1005,$C$3))</f>
        <v/>
      </c>
      <c r="I54" s="105" t="str">
        <f aca="false">IF($B54="","",MAX(0,F54-G54-H54))</f>
        <v/>
      </c>
      <c r="J54" s="86" t="str">
        <f aca="false">IF($B54="","",الموظفون!$J54*$I54/cfg_DAYS_M)</f>
        <v/>
      </c>
      <c r="K54" s="86" t="str">
        <f aca="false">IF($B54="","",الموظفون!$K54*$I54/cfg_DAYS_M)</f>
        <v/>
      </c>
      <c r="L54" s="86" t="str">
        <f aca="false">IF($B54="","",الموظفون!$L54*$I54/cfg_DAYS_M)</f>
        <v/>
      </c>
      <c r="M54" s="86" t="str">
        <f aca="false">IF($B54="","",الموظفون!$M54*$I54/cfg_DAYS_M)</f>
        <v/>
      </c>
      <c r="N54" s="105" t="str">
        <f aca="false">IF($B54="","",SUMIFS('الحركات الشهرية'!$F$6:$F$1005,'الحركات الشهرية'!$B$6:$B$1005,$B54,'الحركات الشهرية'!$A$6:$A$1005,$C$3))</f>
        <v/>
      </c>
      <c r="O54" s="86" t="str">
        <f aca="false">IF($B54="","",N54*(الموظفون!$N54+الموظفون!$J54*cfg_OT_P)/cfg_DAYS_M/cfg_HRS)</f>
        <v/>
      </c>
      <c r="P54" s="86" t="str">
        <f aca="false">IF($B54="","",SUMIFS('الحركات الشهرية'!$G$6:$G$1005,'الحركات الشهرية'!$B$6:$B$1005,$B54,'الحركات الشهرية'!$A$6:$A$1005,$C$3))</f>
        <v/>
      </c>
      <c r="Q54" s="86" t="str">
        <f aca="false">IF($B54="","",SUMIFS('الحركات الشهرية'!$H$6:$H$1005,'الحركات الشهرية'!$B$6:$B$1005,$B54,'الحركات الشهرية'!$A$6:$A$1005,$C$3))</f>
        <v/>
      </c>
      <c r="R54" s="106" t="str">
        <f aca="false">IF($B54="","",SUM(J54:M54)+SUM(O54:Q54))</f>
        <v/>
      </c>
      <c r="S54" s="86" t="str">
        <f aca="false">IF($B54="","",الموظفون!$Q54*IF(E54="سعودي",cfg_G_SE,cfg_G_NE)*F54/cfg_DAYS_M)</f>
        <v/>
      </c>
      <c r="T54" s="86" t="str">
        <f aca="false">IF($B54="","",SUMIFS('الحركات الشهرية'!$I$6:$I$1005,'الحركات الشهرية'!$B$6:$B$1005,$B54,'الحركات الشهرية'!$A$6:$A$1005,$C$3))</f>
        <v/>
      </c>
      <c r="U54" s="86" t="str">
        <f aca="false">IF($B54="","",SUMIFS('الحركات الشهرية'!$J$6:$J$1005,'الحركات الشهرية'!$B$6:$B$1005,$B54,'الحركات الشهرية'!$A$6:$A$1005,$C$3))</f>
        <v/>
      </c>
      <c r="V54" s="86" t="str">
        <f aca="false">IF($B54="","",SUM(S54:U54))</f>
        <v/>
      </c>
      <c r="W54" s="107" t="str">
        <f aca="false">IF($B54="","",R54-V54)</f>
        <v/>
      </c>
      <c r="X54" s="86" t="str">
        <f aca="false">IF($B54="","",الموظفون!$Q54*IF(E54="سعودي",cfg_G_SR,cfg_G_NR)*F54/cfg_DAYS_M)</f>
        <v/>
      </c>
      <c r="Y54" s="86" t="str">
        <f aca="false">IF($B54="","",الموظفون!$O54*(cfg_EOS_R1*(MIN(AC54,cfg_EOS_TH)-MIN(AD54,cfg_EOS_TH))+cfg_EOS_R2*(MAX(AC54-cfg_EOS_TH,0)-MAX(AD54-cfg_EOS_TH,0))))</f>
        <v/>
      </c>
      <c r="Z54" s="86" t="str">
        <f aca="false">IF($B54="","",IF(الموظفون!$R54&lt;&gt;"",الموظفون!$R54,IF(AC54&gt;=cfg_LV_TH,cfg_LV_D2,cfg_LV_D1))/cfg_DAYS_Y*AE54*الموظفون!$P54/cfg_DAYS_M)</f>
        <v/>
      </c>
      <c r="AA54" s="86" t="str">
        <f aca="false">IF($B54="","",IF(AND(الموظفون!$S54="نعم",N(الموظفون!$U54)&gt;0),الموظفون!$T54/الموظفون!$U54*12/cfg_DAYS_Y*AE54,0))</f>
        <v/>
      </c>
      <c r="AB54" s="108" t="str">
        <f aca="false">IF($B54="","",R54+SUM(X54:AA54))</f>
        <v/>
      </c>
      <c r="AC54" s="109" t="str">
        <f aca="false">IF($B54="","",MAX(0,IF(OR(الموظفون!$X54="",الموظفون!$X54&gt;$G$3),$G$3,الموظفون!$X54)-الموظفون!$H54+1)/cfg_DAYS_Y)</f>
        <v/>
      </c>
      <c r="AD54" s="109" t="str">
        <f aca="false">IF($B54="","",MAX(0,IF(OR(الموظفون!$X54="",الموظفون!$X54&gt;($E$3-1)),($E$3-1),الموظفون!$X54)-الموظفون!$H54+1)/cfg_DAYS_Y)</f>
        <v/>
      </c>
      <c r="AE54" s="51" t="str">
        <f aca="false">IF($B54="","",MAX(0,IF(OR(الموظفون!$X54="",الموظفون!$X54&gt;$G$3),$G$3,الموظفون!$X54)-MAX($E$3,الموظفون!$H54)+1))</f>
        <v/>
      </c>
    </row>
    <row r="55" customFormat="false" ht="15" hidden="false" customHeight="false" outlineLevel="0" collapsed="false">
      <c r="A55" s="89" t="str">
        <f aca="false">IF($B55="","",الموظفون!$A55)</f>
        <v/>
      </c>
      <c r="B55" s="91" t="str">
        <f aca="false">IF(الموظفون!$B55="","",الموظفون!$B55)</f>
        <v/>
      </c>
      <c r="C55" s="91" t="str">
        <f aca="false">IF($B55="","",الموظفون!$C55)</f>
        <v/>
      </c>
      <c r="D55" s="91" t="str">
        <f aca="false">IF($B55="","",الموظفون!$F55)</f>
        <v/>
      </c>
      <c r="E55" s="91" t="str">
        <f aca="false">IF($B55="","",الموظفون!$E55)</f>
        <v/>
      </c>
      <c r="F55" s="110" t="str">
        <f aca="false">IF($B55="","",IF(AE55&gt;=DAY($G$3),cfg_DAYS_M,MIN(AE55,cfg_DAYS_M)))</f>
        <v/>
      </c>
      <c r="G55" s="110" t="str">
        <f aca="false">IF($B55="","",SUMIFS('الحركات الشهرية'!$D$6:$D$1005,'الحركات الشهرية'!$B$6:$B$1005,$B55,'الحركات الشهرية'!$A$6:$A$1005,$C$3))</f>
        <v/>
      </c>
      <c r="H55" s="110" t="str">
        <f aca="false">IF($B55="","",SUMIFS('الحركات الشهرية'!$E$6:$E$1005,'الحركات الشهرية'!$B$6:$B$1005,$B55,'الحركات الشهرية'!$A$6:$A$1005,$C$3))</f>
        <v/>
      </c>
      <c r="I55" s="110" t="str">
        <f aca="false">IF($B55="","",MAX(0,F55-G55-H55))</f>
        <v/>
      </c>
      <c r="J55" s="90" t="str">
        <f aca="false">IF($B55="","",الموظفون!$J55*$I55/cfg_DAYS_M)</f>
        <v/>
      </c>
      <c r="K55" s="90" t="str">
        <f aca="false">IF($B55="","",الموظفون!$K55*$I55/cfg_DAYS_M)</f>
        <v/>
      </c>
      <c r="L55" s="90" t="str">
        <f aca="false">IF($B55="","",الموظفون!$L55*$I55/cfg_DAYS_M)</f>
        <v/>
      </c>
      <c r="M55" s="90" t="str">
        <f aca="false">IF($B55="","",الموظفون!$M55*$I55/cfg_DAYS_M)</f>
        <v/>
      </c>
      <c r="N55" s="110" t="str">
        <f aca="false">IF($B55="","",SUMIFS('الحركات الشهرية'!$F$6:$F$1005,'الحركات الشهرية'!$B$6:$B$1005,$B55,'الحركات الشهرية'!$A$6:$A$1005,$C$3))</f>
        <v/>
      </c>
      <c r="O55" s="90" t="str">
        <f aca="false">IF($B55="","",N55*(الموظفون!$N55+الموظفون!$J55*cfg_OT_P)/cfg_DAYS_M/cfg_HRS)</f>
        <v/>
      </c>
      <c r="P55" s="90" t="str">
        <f aca="false">IF($B55="","",SUMIFS('الحركات الشهرية'!$G$6:$G$1005,'الحركات الشهرية'!$B$6:$B$1005,$B55,'الحركات الشهرية'!$A$6:$A$1005,$C$3))</f>
        <v/>
      </c>
      <c r="Q55" s="90" t="str">
        <f aca="false">IF($B55="","",SUMIFS('الحركات الشهرية'!$H$6:$H$1005,'الحركات الشهرية'!$B$6:$B$1005,$B55,'الحركات الشهرية'!$A$6:$A$1005,$C$3))</f>
        <v/>
      </c>
      <c r="R55" s="111" t="str">
        <f aca="false">IF($B55="","",SUM(J55:M55)+SUM(O55:Q55))</f>
        <v/>
      </c>
      <c r="S55" s="90" t="str">
        <f aca="false">IF($B55="","",الموظفون!$Q55*IF(E55="سعودي",cfg_G_SE,cfg_G_NE)*F55/cfg_DAYS_M)</f>
        <v/>
      </c>
      <c r="T55" s="90" t="str">
        <f aca="false">IF($B55="","",SUMIFS('الحركات الشهرية'!$I$6:$I$1005,'الحركات الشهرية'!$B$6:$B$1005,$B55,'الحركات الشهرية'!$A$6:$A$1005,$C$3))</f>
        <v/>
      </c>
      <c r="U55" s="90" t="str">
        <f aca="false">IF($B55="","",SUMIFS('الحركات الشهرية'!$J$6:$J$1005,'الحركات الشهرية'!$B$6:$B$1005,$B55,'الحركات الشهرية'!$A$6:$A$1005,$C$3))</f>
        <v/>
      </c>
      <c r="V55" s="90" t="str">
        <f aca="false">IF($B55="","",SUM(S55:U55))</f>
        <v/>
      </c>
      <c r="W55" s="112" t="str">
        <f aca="false">IF($B55="","",R55-V55)</f>
        <v/>
      </c>
      <c r="X55" s="90" t="str">
        <f aca="false">IF($B55="","",الموظفون!$Q55*IF(E55="سعودي",cfg_G_SR,cfg_G_NR)*F55/cfg_DAYS_M)</f>
        <v/>
      </c>
      <c r="Y55" s="90" t="str">
        <f aca="false">IF($B55="","",الموظفون!$O55*(cfg_EOS_R1*(MIN(AC55,cfg_EOS_TH)-MIN(AD55,cfg_EOS_TH))+cfg_EOS_R2*(MAX(AC55-cfg_EOS_TH,0)-MAX(AD55-cfg_EOS_TH,0))))</f>
        <v/>
      </c>
      <c r="Z55" s="90" t="str">
        <f aca="false">IF($B55="","",IF(الموظفون!$R55&lt;&gt;"",الموظفون!$R55,IF(AC55&gt;=cfg_LV_TH,cfg_LV_D2,cfg_LV_D1))/cfg_DAYS_Y*AE55*الموظفون!$P55/cfg_DAYS_M)</f>
        <v/>
      </c>
      <c r="AA55" s="90" t="str">
        <f aca="false">IF($B55="","",IF(AND(الموظفون!$S55="نعم",N(الموظفون!$U55)&gt;0),الموظفون!$T55/الموظفون!$U55*12/cfg_DAYS_Y*AE55,0))</f>
        <v/>
      </c>
      <c r="AB55" s="113" t="str">
        <f aca="false">IF($B55="","",R55+SUM(X55:AA55))</f>
        <v/>
      </c>
      <c r="AC55" s="114" t="str">
        <f aca="false">IF($B55="","",MAX(0,IF(OR(الموظفون!$X55="",الموظفون!$X55&gt;$G$3),$G$3,الموظفون!$X55)-الموظفون!$H55+1)/cfg_DAYS_Y)</f>
        <v/>
      </c>
      <c r="AD55" s="114" t="str">
        <f aca="false">IF($B55="","",MAX(0,IF(OR(الموظفون!$X55="",الموظفون!$X55&gt;($E$3-1)),($E$3-1),الموظفون!$X55)-الموظفون!$H55+1)/cfg_DAYS_Y)</f>
        <v/>
      </c>
      <c r="AE55" s="115" t="str">
        <f aca="false">IF($B55="","",MAX(0,IF(OR(الموظفون!$X55="",الموظفون!$X55&gt;$G$3),$G$3,الموظفون!$X55)-MAX($E$3,الموظفون!$H55)+1))</f>
        <v/>
      </c>
    </row>
    <row r="56" customFormat="false" ht="15" hidden="false" customHeight="false" outlineLevel="0" collapsed="false">
      <c r="A56" s="83" t="str">
        <f aca="false">IF($B56="","",الموظفون!$A56)</f>
        <v/>
      </c>
      <c r="B56" s="74" t="str">
        <f aca="false">IF(الموظفون!$B56="","",الموظفون!$B56)</f>
        <v/>
      </c>
      <c r="C56" s="74" t="str">
        <f aca="false">IF($B56="","",الموظفون!$C56)</f>
        <v/>
      </c>
      <c r="D56" s="74" t="str">
        <f aca="false">IF($B56="","",الموظفون!$F56)</f>
        <v/>
      </c>
      <c r="E56" s="74" t="str">
        <f aca="false">IF($B56="","",الموظفون!$E56)</f>
        <v/>
      </c>
      <c r="F56" s="105" t="str">
        <f aca="false">IF($B56="","",IF(AE56&gt;=DAY($G$3),cfg_DAYS_M,MIN(AE56,cfg_DAYS_M)))</f>
        <v/>
      </c>
      <c r="G56" s="105" t="str">
        <f aca="false">IF($B56="","",SUMIFS('الحركات الشهرية'!$D$6:$D$1005,'الحركات الشهرية'!$B$6:$B$1005,$B56,'الحركات الشهرية'!$A$6:$A$1005,$C$3))</f>
        <v/>
      </c>
      <c r="H56" s="105" t="str">
        <f aca="false">IF($B56="","",SUMIFS('الحركات الشهرية'!$E$6:$E$1005,'الحركات الشهرية'!$B$6:$B$1005,$B56,'الحركات الشهرية'!$A$6:$A$1005,$C$3))</f>
        <v/>
      </c>
      <c r="I56" s="105" t="str">
        <f aca="false">IF($B56="","",MAX(0,F56-G56-H56))</f>
        <v/>
      </c>
      <c r="J56" s="86" t="str">
        <f aca="false">IF($B56="","",الموظفون!$J56*$I56/cfg_DAYS_M)</f>
        <v/>
      </c>
      <c r="K56" s="86" t="str">
        <f aca="false">IF($B56="","",الموظفون!$K56*$I56/cfg_DAYS_M)</f>
        <v/>
      </c>
      <c r="L56" s="86" t="str">
        <f aca="false">IF($B56="","",الموظفون!$L56*$I56/cfg_DAYS_M)</f>
        <v/>
      </c>
      <c r="M56" s="86" t="str">
        <f aca="false">IF($B56="","",الموظفون!$M56*$I56/cfg_DAYS_M)</f>
        <v/>
      </c>
      <c r="N56" s="105" t="str">
        <f aca="false">IF($B56="","",SUMIFS('الحركات الشهرية'!$F$6:$F$1005,'الحركات الشهرية'!$B$6:$B$1005,$B56,'الحركات الشهرية'!$A$6:$A$1005,$C$3))</f>
        <v/>
      </c>
      <c r="O56" s="86" t="str">
        <f aca="false">IF($B56="","",N56*(الموظفون!$N56+الموظفون!$J56*cfg_OT_P)/cfg_DAYS_M/cfg_HRS)</f>
        <v/>
      </c>
      <c r="P56" s="86" t="str">
        <f aca="false">IF($B56="","",SUMIFS('الحركات الشهرية'!$G$6:$G$1005,'الحركات الشهرية'!$B$6:$B$1005,$B56,'الحركات الشهرية'!$A$6:$A$1005,$C$3))</f>
        <v/>
      </c>
      <c r="Q56" s="86" t="str">
        <f aca="false">IF($B56="","",SUMIFS('الحركات الشهرية'!$H$6:$H$1005,'الحركات الشهرية'!$B$6:$B$1005,$B56,'الحركات الشهرية'!$A$6:$A$1005,$C$3))</f>
        <v/>
      </c>
      <c r="R56" s="106" t="str">
        <f aca="false">IF($B56="","",SUM(J56:M56)+SUM(O56:Q56))</f>
        <v/>
      </c>
      <c r="S56" s="86" t="str">
        <f aca="false">IF($B56="","",الموظفون!$Q56*IF(E56="سعودي",cfg_G_SE,cfg_G_NE)*F56/cfg_DAYS_M)</f>
        <v/>
      </c>
      <c r="T56" s="86" t="str">
        <f aca="false">IF($B56="","",SUMIFS('الحركات الشهرية'!$I$6:$I$1005,'الحركات الشهرية'!$B$6:$B$1005,$B56,'الحركات الشهرية'!$A$6:$A$1005,$C$3))</f>
        <v/>
      </c>
      <c r="U56" s="86" t="str">
        <f aca="false">IF($B56="","",SUMIFS('الحركات الشهرية'!$J$6:$J$1005,'الحركات الشهرية'!$B$6:$B$1005,$B56,'الحركات الشهرية'!$A$6:$A$1005,$C$3))</f>
        <v/>
      </c>
      <c r="V56" s="86" t="str">
        <f aca="false">IF($B56="","",SUM(S56:U56))</f>
        <v/>
      </c>
      <c r="W56" s="107" t="str">
        <f aca="false">IF($B56="","",R56-V56)</f>
        <v/>
      </c>
      <c r="X56" s="86" t="str">
        <f aca="false">IF($B56="","",الموظفون!$Q56*IF(E56="سعودي",cfg_G_SR,cfg_G_NR)*F56/cfg_DAYS_M)</f>
        <v/>
      </c>
      <c r="Y56" s="86" t="str">
        <f aca="false">IF($B56="","",الموظفون!$O56*(cfg_EOS_R1*(MIN(AC56,cfg_EOS_TH)-MIN(AD56,cfg_EOS_TH))+cfg_EOS_R2*(MAX(AC56-cfg_EOS_TH,0)-MAX(AD56-cfg_EOS_TH,0))))</f>
        <v/>
      </c>
      <c r="Z56" s="86" t="str">
        <f aca="false">IF($B56="","",IF(الموظفون!$R56&lt;&gt;"",الموظفون!$R56,IF(AC56&gt;=cfg_LV_TH,cfg_LV_D2,cfg_LV_D1))/cfg_DAYS_Y*AE56*الموظفون!$P56/cfg_DAYS_M)</f>
        <v/>
      </c>
      <c r="AA56" s="86" t="str">
        <f aca="false">IF($B56="","",IF(AND(الموظفون!$S56="نعم",N(الموظفون!$U56)&gt;0),الموظفون!$T56/الموظفون!$U56*12/cfg_DAYS_Y*AE56,0))</f>
        <v/>
      </c>
      <c r="AB56" s="108" t="str">
        <f aca="false">IF($B56="","",R56+SUM(X56:AA56))</f>
        <v/>
      </c>
      <c r="AC56" s="109" t="str">
        <f aca="false">IF($B56="","",MAX(0,IF(OR(الموظفون!$X56="",الموظفون!$X56&gt;$G$3),$G$3,الموظفون!$X56)-الموظفون!$H56+1)/cfg_DAYS_Y)</f>
        <v/>
      </c>
      <c r="AD56" s="109" t="str">
        <f aca="false">IF($B56="","",MAX(0,IF(OR(الموظفون!$X56="",الموظفون!$X56&gt;($E$3-1)),($E$3-1),الموظفون!$X56)-الموظفون!$H56+1)/cfg_DAYS_Y)</f>
        <v/>
      </c>
      <c r="AE56" s="51" t="str">
        <f aca="false">IF($B56="","",MAX(0,IF(OR(الموظفون!$X56="",الموظفون!$X56&gt;$G$3),$G$3,الموظفون!$X56)-MAX($E$3,الموظفون!$H56)+1))</f>
        <v/>
      </c>
    </row>
    <row r="57" customFormat="false" ht="15" hidden="false" customHeight="false" outlineLevel="0" collapsed="false">
      <c r="A57" s="89" t="str">
        <f aca="false">IF($B57="","",الموظفون!$A57)</f>
        <v/>
      </c>
      <c r="B57" s="91" t="str">
        <f aca="false">IF(الموظفون!$B57="","",الموظفون!$B57)</f>
        <v/>
      </c>
      <c r="C57" s="91" t="str">
        <f aca="false">IF($B57="","",الموظفون!$C57)</f>
        <v/>
      </c>
      <c r="D57" s="91" t="str">
        <f aca="false">IF($B57="","",الموظفون!$F57)</f>
        <v/>
      </c>
      <c r="E57" s="91" t="str">
        <f aca="false">IF($B57="","",الموظفون!$E57)</f>
        <v/>
      </c>
      <c r="F57" s="110" t="str">
        <f aca="false">IF($B57="","",IF(AE57&gt;=DAY($G$3),cfg_DAYS_M,MIN(AE57,cfg_DAYS_M)))</f>
        <v/>
      </c>
      <c r="G57" s="110" t="str">
        <f aca="false">IF($B57="","",SUMIFS('الحركات الشهرية'!$D$6:$D$1005,'الحركات الشهرية'!$B$6:$B$1005,$B57,'الحركات الشهرية'!$A$6:$A$1005,$C$3))</f>
        <v/>
      </c>
      <c r="H57" s="110" t="str">
        <f aca="false">IF($B57="","",SUMIFS('الحركات الشهرية'!$E$6:$E$1005,'الحركات الشهرية'!$B$6:$B$1005,$B57,'الحركات الشهرية'!$A$6:$A$1005,$C$3))</f>
        <v/>
      </c>
      <c r="I57" s="110" t="str">
        <f aca="false">IF($B57="","",MAX(0,F57-G57-H57))</f>
        <v/>
      </c>
      <c r="J57" s="90" t="str">
        <f aca="false">IF($B57="","",الموظفون!$J57*$I57/cfg_DAYS_M)</f>
        <v/>
      </c>
      <c r="K57" s="90" t="str">
        <f aca="false">IF($B57="","",الموظفون!$K57*$I57/cfg_DAYS_M)</f>
        <v/>
      </c>
      <c r="L57" s="90" t="str">
        <f aca="false">IF($B57="","",الموظفون!$L57*$I57/cfg_DAYS_M)</f>
        <v/>
      </c>
      <c r="M57" s="90" t="str">
        <f aca="false">IF($B57="","",الموظفون!$M57*$I57/cfg_DAYS_M)</f>
        <v/>
      </c>
      <c r="N57" s="110" t="str">
        <f aca="false">IF($B57="","",SUMIFS('الحركات الشهرية'!$F$6:$F$1005,'الحركات الشهرية'!$B$6:$B$1005,$B57,'الحركات الشهرية'!$A$6:$A$1005,$C$3))</f>
        <v/>
      </c>
      <c r="O57" s="90" t="str">
        <f aca="false">IF($B57="","",N57*(الموظفون!$N57+الموظفون!$J57*cfg_OT_P)/cfg_DAYS_M/cfg_HRS)</f>
        <v/>
      </c>
      <c r="P57" s="90" t="str">
        <f aca="false">IF($B57="","",SUMIFS('الحركات الشهرية'!$G$6:$G$1005,'الحركات الشهرية'!$B$6:$B$1005,$B57,'الحركات الشهرية'!$A$6:$A$1005,$C$3))</f>
        <v/>
      </c>
      <c r="Q57" s="90" t="str">
        <f aca="false">IF($B57="","",SUMIFS('الحركات الشهرية'!$H$6:$H$1005,'الحركات الشهرية'!$B$6:$B$1005,$B57,'الحركات الشهرية'!$A$6:$A$1005,$C$3))</f>
        <v/>
      </c>
      <c r="R57" s="111" t="str">
        <f aca="false">IF($B57="","",SUM(J57:M57)+SUM(O57:Q57))</f>
        <v/>
      </c>
      <c r="S57" s="90" t="str">
        <f aca="false">IF($B57="","",الموظفون!$Q57*IF(E57="سعودي",cfg_G_SE,cfg_G_NE)*F57/cfg_DAYS_M)</f>
        <v/>
      </c>
      <c r="T57" s="90" t="str">
        <f aca="false">IF($B57="","",SUMIFS('الحركات الشهرية'!$I$6:$I$1005,'الحركات الشهرية'!$B$6:$B$1005,$B57,'الحركات الشهرية'!$A$6:$A$1005,$C$3))</f>
        <v/>
      </c>
      <c r="U57" s="90" t="str">
        <f aca="false">IF($B57="","",SUMIFS('الحركات الشهرية'!$J$6:$J$1005,'الحركات الشهرية'!$B$6:$B$1005,$B57,'الحركات الشهرية'!$A$6:$A$1005,$C$3))</f>
        <v/>
      </c>
      <c r="V57" s="90" t="str">
        <f aca="false">IF($B57="","",SUM(S57:U57))</f>
        <v/>
      </c>
      <c r="W57" s="112" t="str">
        <f aca="false">IF($B57="","",R57-V57)</f>
        <v/>
      </c>
      <c r="X57" s="90" t="str">
        <f aca="false">IF($B57="","",الموظفون!$Q57*IF(E57="سعودي",cfg_G_SR,cfg_G_NR)*F57/cfg_DAYS_M)</f>
        <v/>
      </c>
      <c r="Y57" s="90" t="str">
        <f aca="false">IF($B57="","",الموظفون!$O57*(cfg_EOS_R1*(MIN(AC57,cfg_EOS_TH)-MIN(AD57,cfg_EOS_TH))+cfg_EOS_R2*(MAX(AC57-cfg_EOS_TH,0)-MAX(AD57-cfg_EOS_TH,0))))</f>
        <v/>
      </c>
      <c r="Z57" s="90" t="str">
        <f aca="false">IF($B57="","",IF(الموظفون!$R57&lt;&gt;"",الموظفون!$R57,IF(AC57&gt;=cfg_LV_TH,cfg_LV_D2,cfg_LV_D1))/cfg_DAYS_Y*AE57*الموظفون!$P57/cfg_DAYS_M)</f>
        <v/>
      </c>
      <c r="AA57" s="90" t="str">
        <f aca="false">IF($B57="","",IF(AND(الموظفون!$S57="نعم",N(الموظفون!$U57)&gt;0),الموظفون!$T57/الموظفون!$U57*12/cfg_DAYS_Y*AE57,0))</f>
        <v/>
      </c>
      <c r="AB57" s="113" t="str">
        <f aca="false">IF($B57="","",R57+SUM(X57:AA57))</f>
        <v/>
      </c>
      <c r="AC57" s="114" t="str">
        <f aca="false">IF($B57="","",MAX(0,IF(OR(الموظفون!$X57="",الموظفون!$X57&gt;$G$3),$G$3,الموظفون!$X57)-الموظفون!$H57+1)/cfg_DAYS_Y)</f>
        <v/>
      </c>
      <c r="AD57" s="114" t="str">
        <f aca="false">IF($B57="","",MAX(0,IF(OR(الموظفون!$X57="",الموظفون!$X57&gt;($E$3-1)),($E$3-1),الموظفون!$X57)-الموظفون!$H57+1)/cfg_DAYS_Y)</f>
        <v/>
      </c>
      <c r="AE57" s="115" t="str">
        <f aca="false">IF($B57="","",MAX(0,IF(OR(الموظفون!$X57="",الموظفون!$X57&gt;$G$3),$G$3,الموظفون!$X57)-MAX($E$3,الموظفون!$H57)+1))</f>
        <v/>
      </c>
    </row>
    <row r="58" customFormat="false" ht="15" hidden="false" customHeight="false" outlineLevel="0" collapsed="false">
      <c r="A58" s="83" t="str">
        <f aca="false">IF($B58="","",الموظفون!$A58)</f>
        <v/>
      </c>
      <c r="B58" s="74" t="str">
        <f aca="false">IF(الموظفون!$B58="","",الموظفون!$B58)</f>
        <v/>
      </c>
      <c r="C58" s="74" t="str">
        <f aca="false">IF($B58="","",الموظفون!$C58)</f>
        <v/>
      </c>
      <c r="D58" s="74" t="str">
        <f aca="false">IF($B58="","",الموظفون!$F58)</f>
        <v/>
      </c>
      <c r="E58" s="74" t="str">
        <f aca="false">IF($B58="","",الموظفون!$E58)</f>
        <v/>
      </c>
      <c r="F58" s="105" t="str">
        <f aca="false">IF($B58="","",IF(AE58&gt;=DAY($G$3),cfg_DAYS_M,MIN(AE58,cfg_DAYS_M)))</f>
        <v/>
      </c>
      <c r="G58" s="105" t="str">
        <f aca="false">IF($B58="","",SUMIFS('الحركات الشهرية'!$D$6:$D$1005,'الحركات الشهرية'!$B$6:$B$1005,$B58,'الحركات الشهرية'!$A$6:$A$1005,$C$3))</f>
        <v/>
      </c>
      <c r="H58" s="105" t="str">
        <f aca="false">IF($B58="","",SUMIFS('الحركات الشهرية'!$E$6:$E$1005,'الحركات الشهرية'!$B$6:$B$1005,$B58,'الحركات الشهرية'!$A$6:$A$1005,$C$3))</f>
        <v/>
      </c>
      <c r="I58" s="105" t="str">
        <f aca="false">IF($B58="","",MAX(0,F58-G58-H58))</f>
        <v/>
      </c>
      <c r="J58" s="86" t="str">
        <f aca="false">IF($B58="","",الموظفون!$J58*$I58/cfg_DAYS_M)</f>
        <v/>
      </c>
      <c r="K58" s="86" t="str">
        <f aca="false">IF($B58="","",الموظفون!$K58*$I58/cfg_DAYS_M)</f>
        <v/>
      </c>
      <c r="L58" s="86" t="str">
        <f aca="false">IF($B58="","",الموظفون!$L58*$I58/cfg_DAYS_M)</f>
        <v/>
      </c>
      <c r="M58" s="86" t="str">
        <f aca="false">IF($B58="","",الموظفون!$M58*$I58/cfg_DAYS_M)</f>
        <v/>
      </c>
      <c r="N58" s="105" t="str">
        <f aca="false">IF($B58="","",SUMIFS('الحركات الشهرية'!$F$6:$F$1005,'الحركات الشهرية'!$B$6:$B$1005,$B58,'الحركات الشهرية'!$A$6:$A$1005,$C$3))</f>
        <v/>
      </c>
      <c r="O58" s="86" t="str">
        <f aca="false">IF($B58="","",N58*(الموظفون!$N58+الموظفون!$J58*cfg_OT_P)/cfg_DAYS_M/cfg_HRS)</f>
        <v/>
      </c>
      <c r="P58" s="86" t="str">
        <f aca="false">IF($B58="","",SUMIFS('الحركات الشهرية'!$G$6:$G$1005,'الحركات الشهرية'!$B$6:$B$1005,$B58,'الحركات الشهرية'!$A$6:$A$1005,$C$3))</f>
        <v/>
      </c>
      <c r="Q58" s="86" t="str">
        <f aca="false">IF($B58="","",SUMIFS('الحركات الشهرية'!$H$6:$H$1005,'الحركات الشهرية'!$B$6:$B$1005,$B58,'الحركات الشهرية'!$A$6:$A$1005,$C$3))</f>
        <v/>
      </c>
      <c r="R58" s="106" t="str">
        <f aca="false">IF($B58="","",SUM(J58:M58)+SUM(O58:Q58))</f>
        <v/>
      </c>
      <c r="S58" s="86" t="str">
        <f aca="false">IF($B58="","",الموظفون!$Q58*IF(E58="سعودي",cfg_G_SE,cfg_G_NE)*F58/cfg_DAYS_M)</f>
        <v/>
      </c>
      <c r="T58" s="86" t="str">
        <f aca="false">IF($B58="","",SUMIFS('الحركات الشهرية'!$I$6:$I$1005,'الحركات الشهرية'!$B$6:$B$1005,$B58,'الحركات الشهرية'!$A$6:$A$1005,$C$3))</f>
        <v/>
      </c>
      <c r="U58" s="86" t="str">
        <f aca="false">IF($B58="","",SUMIFS('الحركات الشهرية'!$J$6:$J$1005,'الحركات الشهرية'!$B$6:$B$1005,$B58,'الحركات الشهرية'!$A$6:$A$1005,$C$3))</f>
        <v/>
      </c>
      <c r="V58" s="86" t="str">
        <f aca="false">IF($B58="","",SUM(S58:U58))</f>
        <v/>
      </c>
      <c r="W58" s="107" t="str">
        <f aca="false">IF($B58="","",R58-V58)</f>
        <v/>
      </c>
      <c r="X58" s="86" t="str">
        <f aca="false">IF($B58="","",الموظفون!$Q58*IF(E58="سعودي",cfg_G_SR,cfg_G_NR)*F58/cfg_DAYS_M)</f>
        <v/>
      </c>
      <c r="Y58" s="86" t="str">
        <f aca="false">IF($B58="","",الموظفون!$O58*(cfg_EOS_R1*(MIN(AC58,cfg_EOS_TH)-MIN(AD58,cfg_EOS_TH))+cfg_EOS_R2*(MAX(AC58-cfg_EOS_TH,0)-MAX(AD58-cfg_EOS_TH,0))))</f>
        <v/>
      </c>
      <c r="Z58" s="86" t="str">
        <f aca="false">IF($B58="","",IF(الموظفون!$R58&lt;&gt;"",الموظفون!$R58,IF(AC58&gt;=cfg_LV_TH,cfg_LV_D2,cfg_LV_D1))/cfg_DAYS_Y*AE58*الموظفون!$P58/cfg_DAYS_M)</f>
        <v/>
      </c>
      <c r="AA58" s="86" t="str">
        <f aca="false">IF($B58="","",IF(AND(الموظفون!$S58="نعم",N(الموظفون!$U58)&gt;0),الموظفون!$T58/الموظفون!$U58*12/cfg_DAYS_Y*AE58,0))</f>
        <v/>
      </c>
      <c r="AB58" s="108" t="str">
        <f aca="false">IF($B58="","",R58+SUM(X58:AA58))</f>
        <v/>
      </c>
      <c r="AC58" s="109" t="str">
        <f aca="false">IF($B58="","",MAX(0,IF(OR(الموظفون!$X58="",الموظفون!$X58&gt;$G$3),$G$3,الموظفون!$X58)-الموظفون!$H58+1)/cfg_DAYS_Y)</f>
        <v/>
      </c>
      <c r="AD58" s="109" t="str">
        <f aca="false">IF($B58="","",MAX(0,IF(OR(الموظفون!$X58="",الموظفون!$X58&gt;($E$3-1)),($E$3-1),الموظفون!$X58)-الموظفون!$H58+1)/cfg_DAYS_Y)</f>
        <v/>
      </c>
      <c r="AE58" s="51" t="str">
        <f aca="false">IF($B58="","",MAX(0,IF(OR(الموظفون!$X58="",الموظفون!$X58&gt;$G$3),$G$3,الموظفون!$X58)-MAX($E$3,الموظفون!$H58)+1))</f>
        <v/>
      </c>
    </row>
    <row r="59" customFormat="false" ht="15" hidden="false" customHeight="false" outlineLevel="0" collapsed="false">
      <c r="A59" s="89" t="str">
        <f aca="false">IF($B59="","",الموظفون!$A59)</f>
        <v/>
      </c>
      <c r="B59" s="91" t="str">
        <f aca="false">IF(الموظفون!$B59="","",الموظفون!$B59)</f>
        <v/>
      </c>
      <c r="C59" s="91" t="str">
        <f aca="false">IF($B59="","",الموظفون!$C59)</f>
        <v/>
      </c>
      <c r="D59" s="91" t="str">
        <f aca="false">IF($B59="","",الموظفون!$F59)</f>
        <v/>
      </c>
      <c r="E59" s="91" t="str">
        <f aca="false">IF($B59="","",الموظفون!$E59)</f>
        <v/>
      </c>
      <c r="F59" s="110" t="str">
        <f aca="false">IF($B59="","",IF(AE59&gt;=DAY($G$3),cfg_DAYS_M,MIN(AE59,cfg_DAYS_M)))</f>
        <v/>
      </c>
      <c r="G59" s="110" t="str">
        <f aca="false">IF($B59="","",SUMIFS('الحركات الشهرية'!$D$6:$D$1005,'الحركات الشهرية'!$B$6:$B$1005,$B59,'الحركات الشهرية'!$A$6:$A$1005,$C$3))</f>
        <v/>
      </c>
      <c r="H59" s="110" t="str">
        <f aca="false">IF($B59="","",SUMIFS('الحركات الشهرية'!$E$6:$E$1005,'الحركات الشهرية'!$B$6:$B$1005,$B59,'الحركات الشهرية'!$A$6:$A$1005,$C$3))</f>
        <v/>
      </c>
      <c r="I59" s="110" t="str">
        <f aca="false">IF($B59="","",MAX(0,F59-G59-H59))</f>
        <v/>
      </c>
      <c r="J59" s="90" t="str">
        <f aca="false">IF($B59="","",الموظفون!$J59*$I59/cfg_DAYS_M)</f>
        <v/>
      </c>
      <c r="K59" s="90" t="str">
        <f aca="false">IF($B59="","",الموظفون!$K59*$I59/cfg_DAYS_M)</f>
        <v/>
      </c>
      <c r="L59" s="90" t="str">
        <f aca="false">IF($B59="","",الموظفون!$L59*$I59/cfg_DAYS_M)</f>
        <v/>
      </c>
      <c r="M59" s="90" t="str">
        <f aca="false">IF($B59="","",الموظفون!$M59*$I59/cfg_DAYS_M)</f>
        <v/>
      </c>
      <c r="N59" s="110" t="str">
        <f aca="false">IF($B59="","",SUMIFS('الحركات الشهرية'!$F$6:$F$1005,'الحركات الشهرية'!$B$6:$B$1005,$B59,'الحركات الشهرية'!$A$6:$A$1005,$C$3))</f>
        <v/>
      </c>
      <c r="O59" s="90" t="str">
        <f aca="false">IF($B59="","",N59*(الموظفون!$N59+الموظفون!$J59*cfg_OT_P)/cfg_DAYS_M/cfg_HRS)</f>
        <v/>
      </c>
      <c r="P59" s="90" t="str">
        <f aca="false">IF($B59="","",SUMIFS('الحركات الشهرية'!$G$6:$G$1005,'الحركات الشهرية'!$B$6:$B$1005,$B59,'الحركات الشهرية'!$A$6:$A$1005,$C$3))</f>
        <v/>
      </c>
      <c r="Q59" s="90" t="str">
        <f aca="false">IF($B59="","",SUMIFS('الحركات الشهرية'!$H$6:$H$1005,'الحركات الشهرية'!$B$6:$B$1005,$B59,'الحركات الشهرية'!$A$6:$A$1005,$C$3))</f>
        <v/>
      </c>
      <c r="R59" s="111" t="str">
        <f aca="false">IF($B59="","",SUM(J59:M59)+SUM(O59:Q59))</f>
        <v/>
      </c>
      <c r="S59" s="90" t="str">
        <f aca="false">IF($B59="","",الموظفون!$Q59*IF(E59="سعودي",cfg_G_SE,cfg_G_NE)*F59/cfg_DAYS_M)</f>
        <v/>
      </c>
      <c r="T59" s="90" t="str">
        <f aca="false">IF($B59="","",SUMIFS('الحركات الشهرية'!$I$6:$I$1005,'الحركات الشهرية'!$B$6:$B$1005,$B59,'الحركات الشهرية'!$A$6:$A$1005,$C$3))</f>
        <v/>
      </c>
      <c r="U59" s="90" t="str">
        <f aca="false">IF($B59="","",SUMIFS('الحركات الشهرية'!$J$6:$J$1005,'الحركات الشهرية'!$B$6:$B$1005,$B59,'الحركات الشهرية'!$A$6:$A$1005,$C$3))</f>
        <v/>
      </c>
      <c r="V59" s="90" t="str">
        <f aca="false">IF($B59="","",SUM(S59:U59))</f>
        <v/>
      </c>
      <c r="W59" s="112" t="str">
        <f aca="false">IF($B59="","",R59-V59)</f>
        <v/>
      </c>
      <c r="X59" s="90" t="str">
        <f aca="false">IF($B59="","",الموظفون!$Q59*IF(E59="سعودي",cfg_G_SR,cfg_G_NR)*F59/cfg_DAYS_M)</f>
        <v/>
      </c>
      <c r="Y59" s="90" t="str">
        <f aca="false">IF($B59="","",الموظفون!$O59*(cfg_EOS_R1*(MIN(AC59,cfg_EOS_TH)-MIN(AD59,cfg_EOS_TH))+cfg_EOS_R2*(MAX(AC59-cfg_EOS_TH,0)-MAX(AD59-cfg_EOS_TH,0))))</f>
        <v/>
      </c>
      <c r="Z59" s="90" t="str">
        <f aca="false">IF($B59="","",IF(الموظفون!$R59&lt;&gt;"",الموظفون!$R59,IF(AC59&gt;=cfg_LV_TH,cfg_LV_D2,cfg_LV_D1))/cfg_DAYS_Y*AE59*الموظفون!$P59/cfg_DAYS_M)</f>
        <v/>
      </c>
      <c r="AA59" s="90" t="str">
        <f aca="false">IF($B59="","",IF(AND(الموظفون!$S59="نعم",N(الموظفون!$U59)&gt;0),الموظفون!$T59/الموظفون!$U59*12/cfg_DAYS_Y*AE59,0))</f>
        <v/>
      </c>
      <c r="AB59" s="113" t="str">
        <f aca="false">IF($B59="","",R59+SUM(X59:AA59))</f>
        <v/>
      </c>
      <c r="AC59" s="114" t="str">
        <f aca="false">IF($B59="","",MAX(0,IF(OR(الموظفون!$X59="",الموظفون!$X59&gt;$G$3),$G$3,الموظفون!$X59)-الموظفون!$H59+1)/cfg_DAYS_Y)</f>
        <v/>
      </c>
      <c r="AD59" s="114" t="str">
        <f aca="false">IF($B59="","",MAX(0,IF(OR(الموظفون!$X59="",الموظفون!$X59&gt;($E$3-1)),($E$3-1),الموظفون!$X59)-الموظفون!$H59+1)/cfg_DAYS_Y)</f>
        <v/>
      </c>
      <c r="AE59" s="115" t="str">
        <f aca="false">IF($B59="","",MAX(0,IF(OR(الموظفون!$X59="",الموظفون!$X59&gt;$G$3),$G$3,الموظفون!$X59)-MAX($E$3,الموظفون!$H59)+1))</f>
        <v/>
      </c>
    </row>
    <row r="60" customFormat="false" ht="15" hidden="false" customHeight="false" outlineLevel="0" collapsed="false">
      <c r="A60" s="83" t="str">
        <f aca="false">IF($B60="","",الموظفون!$A60)</f>
        <v/>
      </c>
      <c r="B60" s="74" t="str">
        <f aca="false">IF(الموظفون!$B60="","",الموظفون!$B60)</f>
        <v/>
      </c>
      <c r="C60" s="74" t="str">
        <f aca="false">IF($B60="","",الموظفون!$C60)</f>
        <v/>
      </c>
      <c r="D60" s="74" t="str">
        <f aca="false">IF($B60="","",الموظفون!$F60)</f>
        <v/>
      </c>
      <c r="E60" s="74" t="str">
        <f aca="false">IF($B60="","",الموظفون!$E60)</f>
        <v/>
      </c>
      <c r="F60" s="105" t="str">
        <f aca="false">IF($B60="","",IF(AE60&gt;=DAY($G$3),cfg_DAYS_M,MIN(AE60,cfg_DAYS_M)))</f>
        <v/>
      </c>
      <c r="G60" s="105" t="str">
        <f aca="false">IF($B60="","",SUMIFS('الحركات الشهرية'!$D$6:$D$1005,'الحركات الشهرية'!$B$6:$B$1005,$B60,'الحركات الشهرية'!$A$6:$A$1005,$C$3))</f>
        <v/>
      </c>
      <c r="H60" s="105" t="str">
        <f aca="false">IF($B60="","",SUMIFS('الحركات الشهرية'!$E$6:$E$1005,'الحركات الشهرية'!$B$6:$B$1005,$B60,'الحركات الشهرية'!$A$6:$A$1005,$C$3))</f>
        <v/>
      </c>
      <c r="I60" s="105" t="str">
        <f aca="false">IF($B60="","",MAX(0,F60-G60-H60))</f>
        <v/>
      </c>
      <c r="J60" s="86" t="str">
        <f aca="false">IF($B60="","",الموظفون!$J60*$I60/cfg_DAYS_M)</f>
        <v/>
      </c>
      <c r="K60" s="86" t="str">
        <f aca="false">IF($B60="","",الموظفون!$K60*$I60/cfg_DAYS_M)</f>
        <v/>
      </c>
      <c r="L60" s="86" t="str">
        <f aca="false">IF($B60="","",الموظفون!$L60*$I60/cfg_DAYS_M)</f>
        <v/>
      </c>
      <c r="M60" s="86" t="str">
        <f aca="false">IF($B60="","",الموظفون!$M60*$I60/cfg_DAYS_M)</f>
        <v/>
      </c>
      <c r="N60" s="105" t="str">
        <f aca="false">IF($B60="","",SUMIFS('الحركات الشهرية'!$F$6:$F$1005,'الحركات الشهرية'!$B$6:$B$1005,$B60,'الحركات الشهرية'!$A$6:$A$1005,$C$3))</f>
        <v/>
      </c>
      <c r="O60" s="86" t="str">
        <f aca="false">IF($B60="","",N60*(الموظفون!$N60+الموظفون!$J60*cfg_OT_P)/cfg_DAYS_M/cfg_HRS)</f>
        <v/>
      </c>
      <c r="P60" s="86" t="str">
        <f aca="false">IF($B60="","",SUMIFS('الحركات الشهرية'!$G$6:$G$1005,'الحركات الشهرية'!$B$6:$B$1005,$B60,'الحركات الشهرية'!$A$6:$A$1005,$C$3))</f>
        <v/>
      </c>
      <c r="Q60" s="86" t="str">
        <f aca="false">IF($B60="","",SUMIFS('الحركات الشهرية'!$H$6:$H$1005,'الحركات الشهرية'!$B$6:$B$1005,$B60,'الحركات الشهرية'!$A$6:$A$1005,$C$3))</f>
        <v/>
      </c>
      <c r="R60" s="106" t="str">
        <f aca="false">IF($B60="","",SUM(J60:M60)+SUM(O60:Q60))</f>
        <v/>
      </c>
      <c r="S60" s="86" t="str">
        <f aca="false">IF($B60="","",الموظفون!$Q60*IF(E60="سعودي",cfg_G_SE,cfg_G_NE)*F60/cfg_DAYS_M)</f>
        <v/>
      </c>
      <c r="T60" s="86" t="str">
        <f aca="false">IF($B60="","",SUMIFS('الحركات الشهرية'!$I$6:$I$1005,'الحركات الشهرية'!$B$6:$B$1005,$B60,'الحركات الشهرية'!$A$6:$A$1005,$C$3))</f>
        <v/>
      </c>
      <c r="U60" s="86" t="str">
        <f aca="false">IF($B60="","",SUMIFS('الحركات الشهرية'!$J$6:$J$1005,'الحركات الشهرية'!$B$6:$B$1005,$B60,'الحركات الشهرية'!$A$6:$A$1005,$C$3))</f>
        <v/>
      </c>
      <c r="V60" s="86" t="str">
        <f aca="false">IF($B60="","",SUM(S60:U60))</f>
        <v/>
      </c>
      <c r="W60" s="107" t="str">
        <f aca="false">IF($B60="","",R60-V60)</f>
        <v/>
      </c>
      <c r="X60" s="86" t="str">
        <f aca="false">IF($B60="","",الموظفون!$Q60*IF(E60="سعودي",cfg_G_SR,cfg_G_NR)*F60/cfg_DAYS_M)</f>
        <v/>
      </c>
      <c r="Y60" s="86" t="str">
        <f aca="false">IF($B60="","",الموظفون!$O60*(cfg_EOS_R1*(MIN(AC60,cfg_EOS_TH)-MIN(AD60,cfg_EOS_TH))+cfg_EOS_R2*(MAX(AC60-cfg_EOS_TH,0)-MAX(AD60-cfg_EOS_TH,0))))</f>
        <v/>
      </c>
      <c r="Z60" s="86" t="str">
        <f aca="false">IF($B60="","",IF(الموظفون!$R60&lt;&gt;"",الموظفون!$R60,IF(AC60&gt;=cfg_LV_TH,cfg_LV_D2,cfg_LV_D1))/cfg_DAYS_Y*AE60*الموظفون!$P60/cfg_DAYS_M)</f>
        <v/>
      </c>
      <c r="AA60" s="86" t="str">
        <f aca="false">IF($B60="","",IF(AND(الموظفون!$S60="نعم",N(الموظفون!$U60)&gt;0),الموظفون!$T60/الموظفون!$U60*12/cfg_DAYS_Y*AE60,0))</f>
        <v/>
      </c>
      <c r="AB60" s="108" t="str">
        <f aca="false">IF($B60="","",R60+SUM(X60:AA60))</f>
        <v/>
      </c>
      <c r="AC60" s="109" t="str">
        <f aca="false">IF($B60="","",MAX(0,IF(OR(الموظفون!$X60="",الموظفون!$X60&gt;$G$3),$G$3,الموظفون!$X60)-الموظفون!$H60+1)/cfg_DAYS_Y)</f>
        <v/>
      </c>
      <c r="AD60" s="109" t="str">
        <f aca="false">IF($B60="","",MAX(0,IF(OR(الموظفون!$X60="",الموظفون!$X60&gt;($E$3-1)),($E$3-1),الموظفون!$X60)-الموظفون!$H60+1)/cfg_DAYS_Y)</f>
        <v/>
      </c>
      <c r="AE60" s="51" t="str">
        <f aca="false">IF($B60="","",MAX(0,IF(OR(الموظفون!$X60="",الموظفون!$X60&gt;$G$3),$G$3,الموظفون!$X60)-MAX($E$3,الموظفون!$H60)+1))</f>
        <v/>
      </c>
    </row>
    <row r="61" customFormat="false" ht="15" hidden="false" customHeight="false" outlineLevel="0" collapsed="false">
      <c r="A61" s="89" t="str">
        <f aca="false">IF($B61="","",الموظفون!$A61)</f>
        <v/>
      </c>
      <c r="B61" s="91" t="str">
        <f aca="false">IF(الموظفون!$B61="","",الموظفون!$B61)</f>
        <v/>
      </c>
      <c r="C61" s="91" t="str">
        <f aca="false">IF($B61="","",الموظفون!$C61)</f>
        <v/>
      </c>
      <c r="D61" s="91" t="str">
        <f aca="false">IF($B61="","",الموظفون!$F61)</f>
        <v/>
      </c>
      <c r="E61" s="91" t="str">
        <f aca="false">IF($B61="","",الموظفون!$E61)</f>
        <v/>
      </c>
      <c r="F61" s="110" t="str">
        <f aca="false">IF($B61="","",IF(AE61&gt;=DAY($G$3),cfg_DAYS_M,MIN(AE61,cfg_DAYS_M)))</f>
        <v/>
      </c>
      <c r="G61" s="110" t="str">
        <f aca="false">IF($B61="","",SUMIFS('الحركات الشهرية'!$D$6:$D$1005,'الحركات الشهرية'!$B$6:$B$1005,$B61,'الحركات الشهرية'!$A$6:$A$1005,$C$3))</f>
        <v/>
      </c>
      <c r="H61" s="110" t="str">
        <f aca="false">IF($B61="","",SUMIFS('الحركات الشهرية'!$E$6:$E$1005,'الحركات الشهرية'!$B$6:$B$1005,$B61,'الحركات الشهرية'!$A$6:$A$1005,$C$3))</f>
        <v/>
      </c>
      <c r="I61" s="110" t="str">
        <f aca="false">IF($B61="","",MAX(0,F61-G61-H61))</f>
        <v/>
      </c>
      <c r="J61" s="90" t="str">
        <f aca="false">IF($B61="","",الموظفون!$J61*$I61/cfg_DAYS_M)</f>
        <v/>
      </c>
      <c r="K61" s="90" t="str">
        <f aca="false">IF($B61="","",الموظفون!$K61*$I61/cfg_DAYS_M)</f>
        <v/>
      </c>
      <c r="L61" s="90" t="str">
        <f aca="false">IF($B61="","",الموظفون!$L61*$I61/cfg_DAYS_M)</f>
        <v/>
      </c>
      <c r="M61" s="90" t="str">
        <f aca="false">IF($B61="","",الموظفون!$M61*$I61/cfg_DAYS_M)</f>
        <v/>
      </c>
      <c r="N61" s="110" t="str">
        <f aca="false">IF($B61="","",SUMIFS('الحركات الشهرية'!$F$6:$F$1005,'الحركات الشهرية'!$B$6:$B$1005,$B61,'الحركات الشهرية'!$A$6:$A$1005,$C$3))</f>
        <v/>
      </c>
      <c r="O61" s="90" t="str">
        <f aca="false">IF($B61="","",N61*(الموظفون!$N61+الموظفون!$J61*cfg_OT_P)/cfg_DAYS_M/cfg_HRS)</f>
        <v/>
      </c>
      <c r="P61" s="90" t="str">
        <f aca="false">IF($B61="","",SUMIFS('الحركات الشهرية'!$G$6:$G$1005,'الحركات الشهرية'!$B$6:$B$1005,$B61,'الحركات الشهرية'!$A$6:$A$1005,$C$3))</f>
        <v/>
      </c>
      <c r="Q61" s="90" t="str">
        <f aca="false">IF($B61="","",SUMIFS('الحركات الشهرية'!$H$6:$H$1005,'الحركات الشهرية'!$B$6:$B$1005,$B61,'الحركات الشهرية'!$A$6:$A$1005,$C$3))</f>
        <v/>
      </c>
      <c r="R61" s="111" t="str">
        <f aca="false">IF($B61="","",SUM(J61:M61)+SUM(O61:Q61))</f>
        <v/>
      </c>
      <c r="S61" s="90" t="str">
        <f aca="false">IF($B61="","",الموظفون!$Q61*IF(E61="سعودي",cfg_G_SE,cfg_G_NE)*F61/cfg_DAYS_M)</f>
        <v/>
      </c>
      <c r="T61" s="90" t="str">
        <f aca="false">IF($B61="","",SUMIFS('الحركات الشهرية'!$I$6:$I$1005,'الحركات الشهرية'!$B$6:$B$1005,$B61,'الحركات الشهرية'!$A$6:$A$1005,$C$3))</f>
        <v/>
      </c>
      <c r="U61" s="90" t="str">
        <f aca="false">IF($B61="","",SUMIFS('الحركات الشهرية'!$J$6:$J$1005,'الحركات الشهرية'!$B$6:$B$1005,$B61,'الحركات الشهرية'!$A$6:$A$1005,$C$3))</f>
        <v/>
      </c>
      <c r="V61" s="90" t="str">
        <f aca="false">IF($B61="","",SUM(S61:U61))</f>
        <v/>
      </c>
      <c r="W61" s="112" t="str">
        <f aca="false">IF($B61="","",R61-V61)</f>
        <v/>
      </c>
      <c r="X61" s="90" t="str">
        <f aca="false">IF($B61="","",الموظفون!$Q61*IF(E61="سعودي",cfg_G_SR,cfg_G_NR)*F61/cfg_DAYS_M)</f>
        <v/>
      </c>
      <c r="Y61" s="90" t="str">
        <f aca="false">IF($B61="","",الموظفون!$O61*(cfg_EOS_R1*(MIN(AC61,cfg_EOS_TH)-MIN(AD61,cfg_EOS_TH))+cfg_EOS_R2*(MAX(AC61-cfg_EOS_TH,0)-MAX(AD61-cfg_EOS_TH,0))))</f>
        <v/>
      </c>
      <c r="Z61" s="90" t="str">
        <f aca="false">IF($B61="","",IF(الموظفون!$R61&lt;&gt;"",الموظفون!$R61,IF(AC61&gt;=cfg_LV_TH,cfg_LV_D2,cfg_LV_D1))/cfg_DAYS_Y*AE61*الموظفون!$P61/cfg_DAYS_M)</f>
        <v/>
      </c>
      <c r="AA61" s="90" t="str">
        <f aca="false">IF($B61="","",IF(AND(الموظفون!$S61="نعم",N(الموظفون!$U61)&gt;0),الموظفون!$T61/الموظفون!$U61*12/cfg_DAYS_Y*AE61,0))</f>
        <v/>
      </c>
      <c r="AB61" s="113" t="str">
        <f aca="false">IF($B61="","",R61+SUM(X61:AA61))</f>
        <v/>
      </c>
      <c r="AC61" s="114" t="str">
        <f aca="false">IF($B61="","",MAX(0,IF(OR(الموظفون!$X61="",الموظفون!$X61&gt;$G$3),$G$3,الموظفون!$X61)-الموظفون!$H61+1)/cfg_DAYS_Y)</f>
        <v/>
      </c>
      <c r="AD61" s="114" t="str">
        <f aca="false">IF($B61="","",MAX(0,IF(OR(الموظفون!$X61="",الموظفون!$X61&gt;($E$3-1)),($E$3-1),الموظفون!$X61)-الموظفون!$H61+1)/cfg_DAYS_Y)</f>
        <v/>
      </c>
      <c r="AE61" s="115" t="str">
        <f aca="false">IF($B61="","",MAX(0,IF(OR(الموظفون!$X61="",الموظفون!$X61&gt;$G$3),$G$3,الموظفون!$X61)-MAX($E$3,الموظفون!$H61)+1))</f>
        <v/>
      </c>
    </row>
    <row r="62" customFormat="false" ht="15" hidden="false" customHeight="false" outlineLevel="0" collapsed="false">
      <c r="A62" s="83" t="str">
        <f aca="false">IF($B62="","",الموظفون!$A62)</f>
        <v/>
      </c>
      <c r="B62" s="74" t="str">
        <f aca="false">IF(الموظفون!$B62="","",الموظفون!$B62)</f>
        <v/>
      </c>
      <c r="C62" s="74" t="str">
        <f aca="false">IF($B62="","",الموظفون!$C62)</f>
        <v/>
      </c>
      <c r="D62" s="74" t="str">
        <f aca="false">IF($B62="","",الموظفون!$F62)</f>
        <v/>
      </c>
      <c r="E62" s="74" t="str">
        <f aca="false">IF($B62="","",الموظفون!$E62)</f>
        <v/>
      </c>
      <c r="F62" s="105" t="str">
        <f aca="false">IF($B62="","",IF(AE62&gt;=DAY($G$3),cfg_DAYS_M,MIN(AE62,cfg_DAYS_M)))</f>
        <v/>
      </c>
      <c r="G62" s="105" t="str">
        <f aca="false">IF($B62="","",SUMIFS('الحركات الشهرية'!$D$6:$D$1005,'الحركات الشهرية'!$B$6:$B$1005,$B62,'الحركات الشهرية'!$A$6:$A$1005,$C$3))</f>
        <v/>
      </c>
      <c r="H62" s="105" t="str">
        <f aca="false">IF($B62="","",SUMIFS('الحركات الشهرية'!$E$6:$E$1005,'الحركات الشهرية'!$B$6:$B$1005,$B62,'الحركات الشهرية'!$A$6:$A$1005,$C$3))</f>
        <v/>
      </c>
      <c r="I62" s="105" t="str">
        <f aca="false">IF($B62="","",MAX(0,F62-G62-H62))</f>
        <v/>
      </c>
      <c r="J62" s="86" t="str">
        <f aca="false">IF($B62="","",الموظفون!$J62*$I62/cfg_DAYS_M)</f>
        <v/>
      </c>
      <c r="K62" s="86" t="str">
        <f aca="false">IF($B62="","",الموظفون!$K62*$I62/cfg_DAYS_M)</f>
        <v/>
      </c>
      <c r="L62" s="86" t="str">
        <f aca="false">IF($B62="","",الموظفون!$L62*$I62/cfg_DAYS_M)</f>
        <v/>
      </c>
      <c r="M62" s="86" t="str">
        <f aca="false">IF($B62="","",الموظفون!$M62*$I62/cfg_DAYS_M)</f>
        <v/>
      </c>
      <c r="N62" s="105" t="str">
        <f aca="false">IF($B62="","",SUMIFS('الحركات الشهرية'!$F$6:$F$1005,'الحركات الشهرية'!$B$6:$B$1005,$B62,'الحركات الشهرية'!$A$6:$A$1005,$C$3))</f>
        <v/>
      </c>
      <c r="O62" s="86" t="str">
        <f aca="false">IF($B62="","",N62*(الموظفون!$N62+الموظفون!$J62*cfg_OT_P)/cfg_DAYS_M/cfg_HRS)</f>
        <v/>
      </c>
      <c r="P62" s="86" t="str">
        <f aca="false">IF($B62="","",SUMIFS('الحركات الشهرية'!$G$6:$G$1005,'الحركات الشهرية'!$B$6:$B$1005,$B62,'الحركات الشهرية'!$A$6:$A$1005,$C$3))</f>
        <v/>
      </c>
      <c r="Q62" s="86" t="str">
        <f aca="false">IF($B62="","",SUMIFS('الحركات الشهرية'!$H$6:$H$1005,'الحركات الشهرية'!$B$6:$B$1005,$B62,'الحركات الشهرية'!$A$6:$A$1005,$C$3))</f>
        <v/>
      </c>
      <c r="R62" s="106" t="str">
        <f aca="false">IF($B62="","",SUM(J62:M62)+SUM(O62:Q62))</f>
        <v/>
      </c>
      <c r="S62" s="86" t="str">
        <f aca="false">IF($B62="","",الموظفون!$Q62*IF(E62="سعودي",cfg_G_SE,cfg_G_NE)*F62/cfg_DAYS_M)</f>
        <v/>
      </c>
      <c r="T62" s="86" t="str">
        <f aca="false">IF($B62="","",SUMIFS('الحركات الشهرية'!$I$6:$I$1005,'الحركات الشهرية'!$B$6:$B$1005,$B62,'الحركات الشهرية'!$A$6:$A$1005,$C$3))</f>
        <v/>
      </c>
      <c r="U62" s="86" t="str">
        <f aca="false">IF($B62="","",SUMIFS('الحركات الشهرية'!$J$6:$J$1005,'الحركات الشهرية'!$B$6:$B$1005,$B62,'الحركات الشهرية'!$A$6:$A$1005,$C$3))</f>
        <v/>
      </c>
      <c r="V62" s="86" t="str">
        <f aca="false">IF($B62="","",SUM(S62:U62))</f>
        <v/>
      </c>
      <c r="W62" s="107" t="str">
        <f aca="false">IF($B62="","",R62-V62)</f>
        <v/>
      </c>
      <c r="X62" s="86" t="str">
        <f aca="false">IF($B62="","",الموظفون!$Q62*IF(E62="سعودي",cfg_G_SR,cfg_G_NR)*F62/cfg_DAYS_M)</f>
        <v/>
      </c>
      <c r="Y62" s="86" t="str">
        <f aca="false">IF($B62="","",الموظفون!$O62*(cfg_EOS_R1*(MIN(AC62,cfg_EOS_TH)-MIN(AD62,cfg_EOS_TH))+cfg_EOS_R2*(MAX(AC62-cfg_EOS_TH,0)-MAX(AD62-cfg_EOS_TH,0))))</f>
        <v/>
      </c>
      <c r="Z62" s="86" t="str">
        <f aca="false">IF($B62="","",IF(الموظفون!$R62&lt;&gt;"",الموظفون!$R62,IF(AC62&gt;=cfg_LV_TH,cfg_LV_D2,cfg_LV_D1))/cfg_DAYS_Y*AE62*الموظفون!$P62/cfg_DAYS_M)</f>
        <v/>
      </c>
      <c r="AA62" s="86" t="str">
        <f aca="false">IF($B62="","",IF(AND(الموظفون!$S62="نعم",N(الموظفون!$U62)&gt;0),الموظفون!$T62/الموظفون!$U62*12/cfg_DAYS_Y*AE62,0))</f>
        <v/>
      </c>
      <c r="AB62" s="108" t="str">
        <f aca="false">IF($B62="","",R62+SUM(X62:AA62))</f>
        <v/>
      </c>
      <c r="AC62" s="109" t="str">
        <f aca="false">IF($B62="","",MAX(0,IF(OR(الموظفون!$X62="",الموظفون!$X62&gt;$G$3),$G$3,الموظفون!$X62)-الموظفون!$H62+1)/cfg_DAYS_Y)</f>
        <v/>
      </c>
      <c r="AD62" s="109" t="str">
        <f aca="false">IF($B62="","",MAX(0,IF(OR(الموظفون!$X62="",الموظفون!$X62&gt;($E$3-1)),($E$3-1),الموظفون!$X62)-الموظفون!$H62+1)/cfg_DAYS_Y)</f>
        <v/>
      </c>
      <c r="AE62" s="51" t="str">
        <f aca="false">IF($B62="","",MAX(0,IF(OR(الموظفون!$X62="",الموظفون!$X62&gt;$G$3),$G$3,الموظفون!$X62)-MAX($E$3,الموظفون!$H62)+1))</f>
        <v/>
      </c>
    </row>
    <row r="63" customFormat="false" ht="15" hidden="false" customHeight="false" outlineLevel="0" collapsed="false">
      <c r="A63" s="89" t="str">
        <f aca="false">IF($B63="","",الموظفون!$A63)</f>
        <v/>
      </c>
      <c r="B63" s="91" t="str">
        <f aca="false">IF(الموظفون!$B63="","",الموظفون!$B63)</f>
        <v/>
      </c>
      <c r="C63" s="91" t="str">
        <f aca="false">IF($B63="","",الموظفون!$C63)</f>
        <v/>
      </c>
      <c r="D63" s="91" t="str">
        <f aca="false">IF($B63="","",الموظفون!$F63)</f>
        <v/>
      </c>
      <c r="E63" s="91" t="str">
        <f aca="false">IF($B63="","",الموظفون!$E63)</f>
        <v/>
      </c>
      <c r="F63" s="110" t="str">
        <f aca="false">IF($B63="","",IF(AE63&gt;=DAY($G$3),cfg_DAYS_M,MIN(AE63,cfg_DAYS_M)))</f>
        <v/>
      </c>
      <c r="G63" s="110" t="str">
        <f aca="false">IF($B63="","",SUMIFS('الحركات الشهرية'!$D$6:$D$1005,'الحركات الشهرية'!$B$6:$B$1005,$B63,'الحركات الشهرية'!$A$6:$A$1005,$C$3))</f>
        <v/>
      </c>
      <c r="H63" s="110" t="str">
        <f aca="false">IF($B63="","",SUMIFS('الحركات الشهرية'!$E$6:$E$1005,'الحركات الشهرية'!$B$6:$B$1005,$B63,'الحركات الشهرية'!$A$6:$A$1005,$C$3))</f>
        <v/>
      </c>
      <c r="I63" s="110" t="str">
        <f aca="false">IF($B63="","",MAX(0,F63-G63-H63))</f>
        <v/>
      </c>
      <c r="J63" s="90" t="str">
        <f aca="false">IF($B63="","",الموظفون!$J63*$I63/cfg_DAYS_M)</f>
        <v/>
      </c>
      <c r="K63" s="90" t="str">
        <f aca="false">IF($B63="","",الموظفون!$K63*$I63/cfg_DAYS_M)</f>
        <v/>
      </c>
      <c r="L63" s="90" t="str">
        <f aca="false">IF($B63="","",الموظفون!$L63*$I63/cfg_DAYS_M)</f>
        <v/>
      </c>
      <c r="M63" s="90" t="str">
        <f aca="false">IF($B63="","",الموظفون!$M63*$I63/cfg_DAYS_M)</f>
        <v/>
      </c>
      <c r="N63" s="110" t="str">
        <f aca="false">IF($B63="","",SUMIFS('الحركات الشهرية'!$F$6:$F$1005,'الحركات الشهرية'!$B$6:$B$1005,$B63,'الحركات الشهرية'!$A$6:$A$1005,$C$3))</f>
        <v/>
      </c>
      <c r="O63" s="90" t="str">
        <f aca="false">IF($B63="","",N63*(الموظفون!$N63+الموظفون!$J63*cfg_OT_P)/cfg_DAYS_M/cfg_HRS)</f>
        <v/>
      </c>
      <c r="P63" s="90" t="str">
        <f aca="false">IF($B63="","",SUMIFS('الحركات الشهرية'!$G$6:$G$1005,'الحركات الشهرية'!$B$6:$B$1005,$B63,'الحركات الشهرية'!$A$6:$A$1005,$C$3))</f>
        <v/>
      </c>
      <c r="Q63" s="90" t="str">
        <f aca="false">IF($B63="","",SUMIFS('الحركات الشهرية'!$H$6:$H$1005,'الحركات الشهرية'!$B$6:$B$1005,$B63,'الحركات الشهرية'!$A$6:$A$1005,$C$3))</f>
        <v/>
      </c>
      <c r="R63" s="111" t="str">
        <f aca="false">IF($B63="","",SUM(J63:M63)+SUM(O63:Q63))</f>
        <v/>
      </c>
      <c r="S63" s="90" t="str">
        <f aca="false">IF($B63="","",الموظفون!$Q63*IF(E63="سعودي",cfg_G_SE,cfg_G_NE)*F63/cfg_DAYS_M)</f>
        <v/>
      </c>
      <c r="T63" s="90" t="str">
        <f aca="false">IF($B63="","",SUMIFS('الحركات الشهرية'!$I$6:$I$1005,'الحركات الشهرية'!$B$6:$B$1005,$B63,'الحركات الشهرية'!$A$6:$A$1005,$C$3))</f>
        <v/>
      </c>
      <c r="U63" s="90" t="str">
        <f aca="false">IF($B63="","",SUMIFS('الحركات الشهرية'!$J$6:$J$1005,'الحركات الشهرية'!$B$6:$B$1005,$B63,'الحركات الشهرية'!$A$6:$A$1005,$C$3))</f>
        <v/>
      </c>
      <c r="V63" s="90" t="str">
        <f aca="false">IF($B63="","",SUM(S63:U63))</f>
        <v/>
      </c>
      <c r="W63" s="112" t="str">
        <f aca="false">IF($B63="","",R63-V63)</f>
        <v/>
      </c>
      <c r="X63" s="90" t="str">
        <f aca="false">IF($B63="","",الموظفون!$Q63*IF(E63="سعودي",cfg_G_SR,cfg_G_NR)*F63/cfg_DAYS_M)</f>
        <v/>
      </c>
      <c r="Y63" s="90" t="str">
        <f aca="false">IF($B63="","",الموظفون!$O63*(cfg_EOS_R1*(MIN(AC63,cfg_EOS_TH)-MIN(AD63,cfg_EOS_TH))+cfg_EOS_R2*(MAX(AC63-cfg_EOS_TH,0)-MAX(AD63-cfg_EOS_TH,0))))</f>
        <v/>
      </c>
      <c r="Z63" s="90" t="str">
        <f aca="false">IF($B63="","",IF(الموظفون!$R63&lt;&gt;"",الموظفون!$R63,IF(AC63&gt;=cfg_LV_TH,cfg_LV_D2,cfg_LV_D1))/cfg_DAYS_Y*AE63*الموظفون!$P63/cfg_DAYS_M)</f>
        <v/>
      </c>
      <c r="AA63" s="90" t="str">
        <f aca="false">IF($B63="","",IF(AND(الموظفون!$S63="نعم",N(الموظفون!$U63)&gt;0),الموظفون!$T63/الموظفون!$U63*12/cfg_DAYS_Y*AE63,0))</f>
        <v/>
      </c>
      <c r="AB63" s="113" t="str">
        <f aca="false">IF($B63="","",R63+SUM(X63:AA63))</f>
        <v/>
      </c>
      <c r="AC63" s="114" t="str">
        <f aca="false">IF($B63="","",MAX(0,IF(OR(الموظفون!$X63="",الموظفون!$X63&gt;$G$3),$G$3,الموظفون!$X63)-الموظفون!$H63+1)/cfg_DAYS_Y)</f>
        <v/>
      </c>
      <c r="AD63" s="114" t="str">
        <f aca="false">IF($B63="","",MAX(0,IF(OR(الموظفون!$X63="",الموظفون!$X63&gt;($E$3-1)),($E$3-1),الموظفون!$X63)-الموظفون!$H63+1)/cfg_DAYS_Y)</f>
        <v/>
      </c>
      <c r="AE63" s="115" t="str">
        <f aca="false">IF($B63="","",MAX(0,IF(OR(الموظفون!$X63="",الموظفون!$X63&gt;$G$3),$G$3,الموظفون!$X63)-MAX($E$3,الموظفون!$H63)+1))</f>
        <v/>
      </c>
    </row>
    <row r="64" customFormat="false" ht="15" hidden="false" customHeight="false" outlineLevel="0" collapsed="false">
      <c r="A64" s="83" t="str">
        <f aca="false">IF($B64="","",الموظفون!$A64)</f>
        <v/>
      </c>
      <c r="B64" s="74" t="str">
        <f aca="false">IF(الموظفون!$B64="","",الموظفون!$B64)</f>
        <v/>
      </c>
      <c r="C64" s="74" t="str">
        <f aca="false">IF($B64="","",الموظفون!$C64)</f>
        <v/>
      </c>
      <c r="D64" s="74" t="str">
        <f aca="false">IF($B64="","",الموظفون!$F64)</f>
        <v/>
      </c>
      <c r="E64" s="74" t="str">
        <f aca="false">IF($B64="","",الموظفون!$E64)</f>
        <v/>
      </c>
      <c r="F64" s="105" t="str">
        <f aca="false">IF($B64="","",IF(AE64&gt;=DAY($G$3),cfg_DAYS_M,MIN(AE64,cfg_DAYS_M)))</f>
        <v/>
      </c>
      <c r="G64" s="105" t="str">
        <f aca="false">IF($B64="","",SUMIFS('الحركات الشهرية'!$D$6:$D$1005,'الحركات الشهرية'!$B$6:$B$1005,$B64,'الحركات الشهرية'!$A$6:$A$1005,$C$3))</f>
        <v/>
      </c>
      <c r="H64" s="105" t="str">
        <f aca="false">IF($B64="","",SUMIFS('الحركات الشهرية'!$E$6:$E$1005,'الحركات الشهرية'!$B$6:$B$1005,$B64,'الحركات الشهرية'!$A$6:$A$1005,$C$3))</f>
        <v/>
      </c>
      <c r="I64" s="105" t="str">
        <f aca="false">IF($B64="","",MAX(0,F64-G64-H64))</f>
        <v/>
      </c>
      <c r="J64" s="86" t="str">
        <f aca="false">IF($B64="","",الموظفون!$J64*$I64/cfg_DAYS_M)</f>
        <v/>
      </c>
      <c r="K64" s="86" t="str">
        <f aca="false">IF($B64="","",الموظفون!$K64*$I64/cfg_DAYS_M)</f>
        <v/>
      </c>
      <c r="L64" s="86" t="str">
        <f aca="false">IF($B64="","",الموظفون!$L64*$I64/cfg_DAYS_M)</f>
        <v/>
      </c>
      <c r="M64" s="86" t="str">
        <f aca="false">IF($B64="","",الموظفون!$M64*$I64/cfg_DAYS_M)</f>
        <v/>
      </c>
      <c r="N64" s="105" t="str">
        <f aca="false">IF($B64="","",SUMIFS('الحركات الشهرية'!$F$6:$F$1005,'الحركات الشهرية'!$B$6:$B$1005,$B64,'الحركات الشهرية'!$A$6:$A$1005,$C$3))</f>
        <v/>
      </c>
      <c r="O64" s="86" t="str">
        <f aca="false">IF($B64="","",N64*(الموظفون!$N64+الموظفون!$J64*cfg_OT_P)/cfg_DAYS_M/cfg_HRS)</f>
        <v/>
      </c>
      <c r="P64" s="86" t="str">
        <f aca="false">IF($B64="","",SUMIFS('الحركات الشهرية'!$G$6:$G$1005,'الحركات الشهرية'!$B$6:$B$1005,$B64,'الحركات الشهرية'!$A$6:$A$1005,$C$3))</f>
        <v/>
      </c>
      <c r="Q64" s="86" t="str">
        <f aca="false">IF($B64="","",SUMIFS('الحركات الشهرية'!$H$6:$H$1005,'الحركات الشهرية'!$B$6:$B$1005,$B64,'الحركات الشهرية'!$A$6:$A$1005,$C$3))</f>
        <v/>
      </c>
      <c r="R64" s="106" t="str">
        <f aca="false">IF($B64="","",SUM(J64:M64)+SUM(O64:Q64))</f>
        <v/>
      </c>
      <c r="S64" s="86" t="str">
        <f aca="false">IF($B64="","",الموظفون!$Q64*IF(E64="سعودي",cfg_G_SE,cfg_G_NE)*F64/cfg_DAYS_M)</f>
        <v/>
      </c>
      <c r="T64" s="86" t="str">
        <f aca="false">IF($B64="","",SUMIFS('الحركات الشهرية'!$I$6:$I$1005,'الحركات الشهرية'!$B$6:$B$1005,$B64,'الحركات الشهرية'!$A$6:$A$1005,$C$3))</f>
        <v/>
      </c>
      <c r="U64" s="86" t="str">
        <f aca="false">IF($B64="","",SUMIFS('الحركات الشهرية'!$J$6:$J$1005,'الحركات الشهرية'!$B$6:$B$1005,$B64,'الحركات الشهرية'!$A$6:$A$1005,$C$3))</f>
        <v/>
      </c>
      <c r="V64" s="86" t="str">
        <f aca="false">IF($B64="","",SUM(S64:U64))</f>
        <v/>
      </c>
      <c r="W64" s="107" t="str">
        <f aca="false">IF($B64="","",R64-V64)</f>
        <v/>
      </c>
      <c r="X64" s="86" t="str">
        <f aca="false">IF($B64="","",الموظفون!$Q64*IF(E64="سعودي",cfg_G_SR,cfg_G_NR)*F64/cfg_DAYS_M)</f>
        <v/>
      </c>
      <c r="Y64" s="86" t="str">
        <f aca="false">IF($B64="","",الموظفون!$O64*(cfg_EOS_R1*(MIN(AC64,cfg_EOS_TH)-MIN(AD64,cfg_EOS_TH))+cfg_EOS_R2*(MAX(AC64-cfg_EOS_TH,0)-MAX(AD64-cfg_EOS_TH,0))))</f>
        <v/>
      </c>
      <c r="Z64" s="86" t="str">
        <f aca="false">IF($B64="","",IF(الموظفون!$R64&lt;&gt;"",الموظفون!$R64,IF(AC64&gt;=cfg_LV_TH,cfg_LV_D2,cfg_LV_D1))/cfg_DAYS_Y*AE64*الموظفون!$P64/cfg_DAYS_M)</f>
        <v/>
      </c>
      <c r="AA64" s="86" t="str">
        <f aca="false">IF($B64="","",IF(AND(الموظفون!$S64="نعم",N(الموظفون!$U64)&gt;0),الموظفون!$T64/الموظفون!$U64*12/cfg_DAYS_Y*AE64,0))</f>
        <v/>
      </c>
      <c r="AB64" s="108" t="str">
        <f aca="false">IF($B64="","",R64+SUM(X64:AA64))</f>
        <v/>
      </c>
      <c r="AC64" s="109" t="str">
        <f aca="false">IF($B64="","",MAX(0,IF(OR(الموظفون!$X64="",الموظفون!$X64&gt;$G$3),$G$3,الموظفون!$X64)-الموظفون!$H64+1)/cfg_DAYS_Y)</f>
        <v/>
      </c>
      <c r="AD64" s="109" t="str">
        <f aca="false">IF($B64="","",MAX(0,IF(OR(الموظفون!$X64="",الموظفون!$X64&gt;($E$3-1)),($E$3-1),الموظفون!$X64)-الموظفون!$H64+1)/cfg_DAYS_Y)</f>
        <v/>
      </c>
      <c r="AE64" s="51" t="str">
        <f aca="false">IF($B64="","",MAX(0,IF(OR(الموظفون!$X64="",الموظفون!$X64&gt;$G$3),$G$3,الموظفون!$X64)-MAX($E$3,الموظفون!$H64)+1))</f>
        <v/>
      </c>
    </row>
    <row r="65" customFormat="false" ht="15" hidden="false" customHeight="false" outlineLevel="0" collapsed="false">
      <c r="A65" s="89" t="str">
        <f aca="false">IF($B65="","",الموظفون!$A65)</f>
        <v/>
      </c>
      <c r="B65" s="91" t="str">
        <f aca="false">IF(الموظفون!$B65="","",الموظفون!$B65)</f>
        <v/>
      </c>
      <c r="C65" s="91" t="str">
        <f aca="false">IF($B65="","",الموظفون!$C65)</f>
        <v/>
      </c>
      <c r="D65" s="91" t="str">
        <f aca="false">IF($B65="","",الموظفون!$F65)</f>
        <v/>
      </c>
      <c r="E65" s="91" t="str">
        <f aca="false">IF($B65="","",الموظفون!$E65)</f>
        <v/>
      </c>
      <c r="F65" s="110" t="str">
        <f aca="false">IF($B65="","",IF(AE65&gt;=DAY($G$3),cfg_DAYS_M,MIN(AE65,cfg_DAYS_M)))</f>
        <v/>
      </c>
      <c r="G65" s="110" t="str">
        <f aca="false">IF($B65="","",SUMIFS('الحركات الشهرية'!$D$6:$D$1005,'الحركات الشهرية'!$B$6:$B$1005,$B65,'الحركات الشهرية'!$A$6:$A$1005,$C$3))</f>
        <v/>
      </c>
      <c r="H65" s="110" t="str">
        <f aca="false">IF($B65="","",SUMIFS('الحركات الشهرية'!$E$6:$E$1005,'الحركات الشهرية'!$B$6:$B$1005,$B65,'الحركات الشهرية'!$A$6:$A$1005,$C$3))</f>
        <v/>
      </c>
      <c r="I65" s="110" t="str">
        <f aca="false">IF($B65="","",MAX(0,F65-G65-H65))</f>
        <v/>
      </c>
      <c r="J65" s="90" t="str">
        <f aca="false">IF($B65="","",الموظفون!$J65*$I65/cfg_DAYS_M)</f>
        <v/>
      </c>
      <c r="K65" s="90" t="str">
        <f aca="false">IF($B65="","",الموظفون!$K65*$I65/cfg_DAYS_M)</f>
        <v/>
      </c>
      <c r="L65" s="90" t="str">
        <f aca="false">IF($B65="","",الموظفون!$L65*$I65/cfg_DAYS_M)</f>
        <v/>
      </c>
      <c r="M65" s="90" t="str">
        <f aca="false">IF($B65="","",الموظفون!$M65*$I65/cfg_DAYS_M)</f>
        <v/>
      </c>
      <c r="N65" s="110" t="str">
        <f aca="false">IF($B65="","",SUMIFS('الحركات الشهرية'!$F$6:$F$1005,'الحركات الشهرية'!$B$6:$B$1005,$B65,'الحركات الشهرية'!$A$6:$A$1005,$C$3))</f>
        <v/>
      </c>
      <c r="O65" s="90" t="str">
        <f aca="false">IF($B65="","",N65*(الموظفون!$N65+الموظفون!$J65*cfg_OT_P)/cfg_DAYS_M/cfg_HRS)</f>
        <v/>
      </c>
      <c r="P65" s="90" t="str">
        <f aca="false">IF($B65="","",SUMIFS('الحركات الشهرية'!$G$6:$G$1005,'الحركات الشهرية'!$B$6:$B$1005,$B65,'الحركات الشهرية'!$A$6:$A$1005,$C$3))</f>
        <v/>
      </c>
      <c r="Q65" s="90" t="str">
        <f aca="false">IF($B65="","",SUMIFS('الحركات الشهرية'!$H$6:$H$1005,'الحركات الشهرية'!$B$6:$B$1005,$B65,'الحركات الشهرية'!$A$6:$A$1005,$C$3))</f>
        <v/>
      </c>
      <c r="R65" s="111" t="str">
        <f aca="false">IF($B65="","",SUM(J65:M65)+SUM(O65:Q65))</f>
        <v/>
      </c>
      <c r="S65" s="90" t="str">
        <f aca="false">IF($B65="","",الموظفون!$Q65*IF(E65="سعودي",cfg_G_SE,cfg_G_NE)*F65/cfg_DAYS_M)</f>
        <v/>
      </c>
      <c r="T65" s="90" t="str">
        <f aca="false">IF($B65="","",SUMIFS('الحركات الشهرية'!$I$6:$I$1005,'الحركات الشهرية'!$B$6:$B$1005,$B65,'الحركات الشهرية'!$A$6:$A$1005,$C$3))</f>
        <v/>
      </c>
      <c r="U65" s="90" t="str">
        <f aca="false">IF($B65="","",SUMIFS('الحركات الشهرية'!$J$6:$J$1005,'الحركات الشهرية'!$B$6:$B$1005,$B65,'الحركات الشهرية'!$A$6:$A$1005,$C$3))</f>
        <v/>
      </c>
      <c r="V65" s="90" t="str">
        <f aca="false">IF($B65="","",SUM(S65:U65))</f>
        <v/>
      </c>
      <c r="W65" s="112" t="str">
        <f aca="false">IF($B65="","",R65-V65)</f>
        <v/>
      </c>
      <c r="X65" s="90" t="str">
        <f aca="false">IF($B65="","",الموظفون!$Q65*IF(E65="سعودي",cfg_G_SR,cfg_G_NR)*F65/cfg_DAYS_M)</f>
        <v/>
      </c>
      <c r="Y65" s="90" t="str">
        <f aca="false">IF($B65="","",الموظفون!$O65*(cfg_EOS_R1*(MIN(AC65,cfg_EOS_TH)-MIN(AD65,cfg_EOS_TH))+cfg_EOS_R2*(MAX(AC65-cfg_EOS_TH,0)-MAX(AD65-cfg_EOS_TH,0))))</f>
        <v/>
      </c>
      <c r="Z65" s="90" t="str">
        <f aca="false">IF($B65="","",IF(الموظفون!$R65&lt;&gt;"",الموظفون!$R65,IF(AC65&gt;=cfg_LV_TH,cfg_LV_D2,cfg_LV_D1))/cfg_DAYS_Y*AE65*الموظفون!$P65/cfg_DAYS_M)</f>
        <v/>
      </c>
      <c r="AA65" s="90" t="str">
        <f aca="false">IF($B65="","",IF(AND(الموظفون!$S65="نعم",N(الموظفون!$U65)&gt;0),الموظفون!$T65/الموظفون!$U65*12/cfg_DAYS_Y*AE65,0))</f>
        <v/>
      </c>
      <c r="AB65" s="113" t="str">
        <f aca="false">IF($B65="","",R65+SUM(X65:AA65))</f>
        <v/>
      </c>
      <c r="AC65" s="114" t="str">
        <f aca="false">IF($B65="","",MAX(0,IF(OR(الموظفون!$X65="",الموظفون!$X65&gt;$G$3),$G$3,الموظفون!$X65)-الموظفون!$H65+1)/cfg_DAYS_Y)</f>
        <v/>
      </c>
      <c r="AD65" s="114" t="str">
        <f aca="false">IF($B65="","",MAX(0,IF(OR(الموظفون!$X65="",الموظفون!$X65&gt;($E$3-1)),($E$3-1),الموظفون!$X65)-الموظفون!$H65+1)/cfg_DAYS_Y)</f>
        <v/>
      </c>
      <c r="AE65" s="115" t="str">
        <f aca="false">IF($B65="","",MAX(0,IF(OR(الموظفون!$X65="",الموظفون!$X65&gt;$G$3),$G$3,الموظفون!$X65)-MAX($E$3,الموظفون!$H65)+1))</f>
        <v/>
      </c>
    </row>
    <row r="66" customFormat="false" ht="15" hidden="false" customHeight="false" outlineLevel="0" collapsed="false">
      <c r="A66" s="83" t="str">
        <f aca="false">IF($B66="","",الموظفون!$A66)</f>
        <v/>
      </c>
      <c r="B66" s="74" t="str">
        <f aca="false">IF(الموظفون!$B66="","",الموظفون!$B66)</f>
        <v/>
      </c>
      <c r="C66" s="74" t="str">
        <f aca="false">IF($B66="","",الموظفون!$C66)</f>
        <v/>
      </c>
      <c r="D66" s="74" t="str">
        <f aca="false">IF($B66="","",الموظفون!$F66)</f>
        <v/>
      </c>
      <c r="E66" s="74" t="str">
        <f aca="false">IF($B66="","",الموظفون!$E66)</f>
        <v/>
      </c>
      <c r="F66" s="105" t="str">
        <f aca="false">IF($B66="","",IF(AE66&gt;=DAY($G$3),cfg_DAYS_M,MIN(AE66,cfg_DAYS_M)))</f>
        <v/>
      </c>
      <c r="G66" s="105" t="str">
        <f aca="false">IF($B66="","",SUMIFS('الحركات الشهرية'!$D$6:$D$1005,'الحركات الشهرية'!$B$6:$B$1005,$B66,'الحركات الشهرية'!$A$6:$A$1005,$C$3))</f>
        <v/>
      </c>
      <c r="H66" s="105" t="str">
        <f aca="false">IF($B66="","",SUMIFS('الحركات الشهرية'!$E$6:$E$1005,'الحركات الشهرية'!$B$6:$B$1005,$B66,'الحركات الشهرية'!$A$6:$A$1005,$C$3))</f>
        <v/>
      </c>
      <c r="I66" s="105" t="str">
        <f aca="false">IF($B66="","",MAX(0,F66-G66-H66))</f>
        <v/>
      </c>
      <c r="J66" s="86" t="str">
        <f aca="false">IF($B66="","",الموظفون!$J66*$I66/cfg_DAYS_M)</f>
        <v/>
      </c>
      <c r="K66" s="86" t="str">
        <f aca="false">IF($B66="","",الموظفون!$K66*$I66/cfg_DAYS_M)</f>
        <v/>
      </c>
      <c r="L66" s="86" t="str">
        <f aca="false">IF($B66="","",الموظفون!$L66*$I66/cfg_DAYS_M)</f>
        <v/>
      </c>
      <c r="M66" s="86" t="str">
        <f aca="false">IF($B66="","",الموظفون!$M66*$I66/cfg_DAYS_M)</f>
        <v/>
      </c>
      <c r="N66" s="105" t="str">
        <f aca="false">IF($B66="","",SUMIFS('الحركات الشهرية'!$F$6:$F$1005,'الحركات الشهرية'!$B$6:$B$1005,$B66,'الحركات الشهرية'!$A$6:$A$1005,$C$3))</f>
        <v/>
      </c>
      <c r="O66" s="86" t="str">
        <f aca="false">IF($B66="","",N66*(الموظفون!$N66+الموظفون!$J66*cfg_OT_P)/cfg_DAYS_M/cfg_HRS)</f>
        <v/>
      </c>
      <c r="P66" s="86" t="str">
        <f aca="false">IF($B66="","",SUMIFS('الحركات الشهرية'!$G$6:$G$1005,'الحركات الشهرية'!$B$6:$B$1005,$B66,'الحركات الشهرية'!$A$6:$A$1005,$C$3))</f>
        <v/>
      </c>
      <c r="Q66" s="86" t="str">
        <f aca="false">IF($B66="","",SUMIFS('الحركات الشهرية'!$H$6:$H$1005,'الحركات الشهرية'!$B$6:$B$1005,$B66,'الحركات الشهرية'!$A$6:$A$1005,$C$3))</f>
        <v/>
      </c>
      <c r="R66" s="106" t="str">
        <f aca="false">IF($B66="","",SUM(J66:M66)+SUM(O66:Q66))</f>
        <v/>
      </c>
      <c r="S66" s="86" t="str">
        <f aca="false">IF($B66="","",الموظفون!$Q66*IF(E66="سعودي",cfg_G_SE,cfg_G_NE)*F66/cfg_DAYS_M)</f>
        <v/>
      </c>
      <c r="T66" s="86" t="str">
        <f aca="false">IF($B66="","",SUMIFS('الحركات الشهرية'!$I$6:$I$1005,'الحركات الشهرية'!$B$6:$B$1005,$B66,'الحركات الشهرية'!$A$6:$A$1005,$C$3))</f>
        <v/>
      </c>
      <c r="U66" s="86" t="str">
        <f aca="false">IF($B66="","",SUMIFS('الحركات الشهرية'!$J$6:$J$1005,'الحركات الشهرية'!$B$6:$B$1005,$B66,'الحركات الشهرية'!$A$6:$A$1005,$C$3))</f>
        <v/>
      </c>
      <c r="V66" s="86" t="str">
        <f aca="false">IF($B66="","",SUM(S66:U66))</f>
        <v/>
      </c>
      <c r="W66" s="107" t="str">
        <f aca="false">IF($B66="","",R66-V66)</f>
        <v/>
      </c>
      <c r="X66" s="86" t="str">
        <f aca="false">IF($B66="","",الموظفون!$Q66*IF(E66="سعودي",cfg_G_SR,cfg_G_NR)*F66/cfg_DAYS_M)</f>
        <v/>
      </c>
      <c r="Y66" s="86" t="str">
        <f aca="false">IF($B66="","",الموظفون!$O66*(cfg_EOS_R1*(MIN(AC66,cfg_EOS_TH)-MIN(AD66,cfg_EOS_TH))+cfg_EOS_R2*(MAX(AC66-cfg_EOS_TH,0)-MAX(AD66-cfg_EOS_TH,0))))</f>
        <v/>
      </c>
      <c r="Z66" s="86" t="str">
        <f aca="false">IF($B66="","",IF(الموظفون!$R66&lt;&gt;"",الموظفون!$R66,IF(AC66&gt;=cfg_LV_TH,cfg_LV_D2,cfg_LV_D1))/cfg_DAYS_Y*AE66*الموظفون!$P66/cfg_DAYS_M)</f>
        <v/>
      </c>
      <c r="AA66" s="86" t="str">
        <f aca="false">IF($B66="","",IF(AND(الموظفون!$S66="نعم",N(الموظفون!$U66)&gt;0),الموظفون!$T66/الموظفون!$U66*12/cfg_DAYS_Y*AE66,0))</f>
        <v/>
      </c>
      <c r="AB66" s="108" t="str">
        <f aca="false">IF($B66="","",R66+SUM(X66:AA66))</f>
        <v/>
      </c>
      <c r="AC66" s="109" t="str">
        <f aca="false">IF($B66="","",MAX(0,IF(OR(الموظفون!$X66="",الموظفون!$X66&gt;$G$3),$G$3,الموظفون!$X66)-الموظفون!$H66+1)/cfg_DAYS_Y)</f>
        <v/>
      </c>
      <c r="AD66" s="109" t="str">
        <f aca="false">IF($B66="","",MAX(0,IF(OR(الموظفون!$X66="",الموظفون!$X66&gt;($E$3-1)),($E$3-1),الموظفون!$X66)-الموظفون!$H66+1)/cfg_DAYS_Y)</f>
        <v/>
      </c>
      <c r="AE66" s="51" t="str">
        <f aca="false">IF($B66="","",MAX(0,IF(OR(الموظفون!$X66="",الموظفون!$X66&gt;$G$3),$G$3,الموظفون!$X66)-MAX($E$3,الموظفون!$H66)+1))</f>
        <v/>
      </c>
    </row>
    <row r="67" customFormat="false" ht="15" hidden="false" customHeight="false" outlineLevel="0" collapsed="false">
      <c r="A67" s="89" t="str">
        <f aca="false">IF($B67="","",الموظفون!$A67)</f>
        <v/>
      </c>
      <c r="B67" s="91" t="str">
        <f aca="false">IF(الموظفون!$B67="","",الموظفون!$B67)</f>
        <v/>
      </c>
      <c r="C67" s="91" t="str">
        <f aca="false">IF($B67="","",الموظفون!$C67)</f>
        <v/>
      </c>
      <c r="D67" s="91" t="str">
        <f aca="false">IF($B67="","",الموظفون!$F67)</f>
        <v/>
      </c>
      <c r="E67" s="91" t="str">
        <f aca="false">IF($B67="","",الموظفون!$E67)</f>
        <v/>
      </c>
      <c r="F67" s="110" t="str">
        <f aca="false">IF($B67="","",IF(AE67&gt;=DAY($G$3),cfg_DAYS_M,MIN(AE67,cfg_DAYS_M)))</f>
        <v/>
      </c>
      <c r="G67" s="110" t="str">
        <f aca="false">IF($B67="","",SUMIFS('الحركات الشهرية'!$D$6:$D$1005,'الحركات الشهرية'!$B$6:$B$1005,$B67,'الحركات الشهرية'!$A$6:$A$1005,$C$3))</f>
        <v/>
      </c>
      <c r="H67" s="110" t="str">
        <f aca="false">IF($B67="","",SUMIFS('الحركات الشهرية'!$E$6:$E$1005,'الحركات الشهرية'!$B$6:$B$1005,$B67,'الحركات الشهرية'!$A$6:$A$1005,$C$3))</f>
        <v/>
      </c>
      <c r="I67" s="110" t="str">
        <f aca="false">IF($B67="","",MAX(0,F67-G67-H67))</f>
        <v/>
      </c>
      <c r="J67" s="90" t="str">
        <f aca="false">IF($B67="","",الموظفون!$J67*$I67/cfg_DAYS_M)</f>
        <v/>
      </c>
      <c r="K67" s="90" t="str">
        <f aca="false">IF($B67="","",الموظفون!$K67*$I67/cfg_DAYS_M)</f>
        <v/>
      </c>
      <c r="L67" s="90" t="str">
        <f aca="false">IF($B67="","",الموظفون!$L67*$I67/cfg_DAYS_M)</f>
        <v/>
      </c>
      <c r="M67" s="90" t="str">
        <f aca="false">IF($B67="","",الموظفون!$M67*$I67/cfg_DAYS_M)</f>
        <v/>
      </c>
      <c r="N67" s="110" t="str">
        <f aca="false">IF($B67="","",SUMIFS('الحركات الشهرية'!$F$6:$F$1005,'الحركات الشهرية'!$B$6:$B$1005,$B67,'الحركات الشهرية'!$A$6:$A$1005,$C$3))</f>
        <v/>
      </c>
      <c r="O67" s="90" t="str">
        <f aca="false">IF($B67="","",N67*(الموظفون!$N67+الموظفون!$J67*cfg_OT_P)/cfg_DAYS_M/cfg_HRS)</f>
        <v/>
      </c>
      <c r="P67" s="90" t="str">
        <f aca="false">IF($B67="","",SUMIFS('الحركات الشهرية'!$G$6:$G$1005,'الحركات الشهرية'!$B$6:$B$1005,$B67,'الحركات الشهرية'!$A$6:$A$1005,$C$3))</f>
        <v/>
      </c>
      <c r="Q67" s="90" t="str">
        <f aca="false">IF($B67="","",SUMIFS('الحركات الشهرية'!$H$6:$H$1005,'الحركات الشهرية'!$B$6:$B$1005,$B67,'الحركات الشهرية'!$A$6:$A$1005,$C$3))</f>
        <v/>
      </c>
      <c r="R67" s="111" t="str">
        <f aca="false">IF($B67="","",SUM(J67:M67)+SUM(O67:Q67))</f>
        <v/>
      </c>
      <c r="S67" s="90" t="str">
        <f aca="false">IF($B67="","",الموظفون!$Q67*IF(E67="سعودي",cfg_G_SE,cfg_G_NE)*F67/cfg_DAYS_M)</f>
        <v/>
      </c>
      <c r="T67" s="90" t="str">
        <f aca="false">IF($B67="","",SUMIFS('الحركات الشهرية'!$I$6:$I$1005,'الحركات الشهرية'!$B$6:$B$1005,$B67,'الحركات الشهرية'!$A$6:$A$1005,$C$3))</f>
        <v/>
      </c>
      <c r="U67" s="90" t="str">
        <f aca="false">IF($B67="","",SUMIFS('الحركات الشهرية'!$J$6:$J$1005,'الحركات الشهرية'!$B$6:$B$1005,$B67,'الحركات الشهرية'!$A$6:$A$1005,$C$3))</f>
        <v/>
      </c>
      <c r="V67" s="90" t="str">
        <f aca="false">IF($B67="","",SUM(S67:U67))</f>
        <v/>
      </c>
      <c r="W67" s="112" t="str">
        <f aca="false">IF($B67="","",R67-V67)</f>
        <v/>
      </c>
      <c r="X67" s="90" t="str">
        <f aca="false">IF($B67="","",الموظفون!$Q67*IF(E67="سعودي",cfg_G_SR,cfg_G_NR)*F67/cfg_DAYS_M)</f>
        <v/>
      </c>
      <c r="Y67" s="90" t="str">
        <f aca="false">IF($B67="","",الموظفون!$O67*(cfg_EOS_R1*(MIN(AC67,cfg_EOS_TH)-MIN(AD67,cfg_EOS_TH))+cfg_EOS_R2*(MAX(AC67-cfg_EOS_TH,0)-MAX(AD67-cfg_EOS_TH,0))))</f>
        <v/>
      </c>
      <c r="Z67" s="90" t="str">
        <f aca="false">IF($B67="","",IF(الموظفون!$R67&lt;&gt;"",الموظفون!$R67,IF(AC67&gt;=cfg_LV_TH,cfg_LV_D2,cfg_LV_D1))/cfg_DAYS_Y*AE67*الموظفون!$P67/cfg_DAYS_M)</f>
        <v/>
      </c>
      <c r="AA67" s="90" t="str">
        <f aca="false">IF($B67="","",IF(AND(الموظفون!$S67="نعم",N(الموظفون!$U67)&gt;0),الموظفون!$T67/الموظفون!$U67*12/cfg_DAYS_Y*AE67,0))</f>
        <v/>
      </c>
      <c r="AB67" s="113" t="str">
        <f aca="false">IF($B67="","",R67+SUM(X67:AA67))</f>
        <v/>
      </c>
      <c r="AC67" s="114" t="str">
        <f aca="false">IF($B67="","",MAX(0,IF(OR(الموظفون!$X67="",الموظفون!$X67&gt;$G$3),$G$3,الموظفون!$X67)-الموظفون!$H67+1)/cfg_DAYS_Y)</f>
        <v/>
      </c>
      <c r="AD67" s="114" t="str">
        <f aca="false">IF($B67="","",MAX(0,IF(OR(الموظفون!$X67="",الموظفون!$X67&gt;($E$3-1)),($E$3-1),الموظفون!$X67)-الموظفون!$H67+1)/cfg_DAYS_Y)</f>
        <v/>
      </c>
      <c r="AE67" s="115" t="str">
        <f aca="false">IF($B67="","",MAX(0,IF(OR(الموظفون!$X67="",الموظفون!$X67&gt;$G$3),$G$3,الموظفون!$X67)-MAX($E$3,الموظفون!$H67)+1))</f>
        <v/>
      </c>
    </row>
    <row r="68" customFormat="false" ht="15" hidden="false" customHeight="false" outlineLevel="0" collapsed="false">
      <c r="A68" s="83" t="str">
        <f aca="false">IF($B68="","",الموظفون!$A68)</f>
        <v/>
      </c>
      <c r="B68" s="74" t="str">
        <f aca="false">IF(الموظفون!$B68="","",الموظفون!$B68)</f>
        <v/>
      </c>
      <c r="C68" s="74" t="str">
        <f aca="false">IF($B68="","",الموظفون!$C68)</f>
        <v/>
      </c>
      <c r="D68" s="74" t="str">
        <f aca="false">IF($B68="","",الموظفون!$F68)</f>
        <v/>
      </c>
      <c r="E68" s="74" t="str">
        <f aca="false">IF($B68="","",الموظفون!$E68)</f>
        <v/>
      </c>
      <c r="F68" s="105" t="str">
        <f aca="false">IF($B68="","",IF(AE68&gt;=DAY($G$3),cfg_DAYS_M,MIN(AE68,cfg_DAYS_M)))</f>
        <v/>
      </c>
      <c r="G68" s="105" t="str">
        <f aca="false">IF($B68="","",SUMIFS('الحركات الشهرية'!$D$6:$D$1005,'الحركات الشهرية'!$B$6:$B$1005,$B68,'الحركات الشهرية'!$A$6:$A$1005,$C$3))</f>
        <v/>
      </c>
      <c r="H68" s="105" t="str">
        <f aca="false">IF($B68="","",SUMIFS('الحركات الشهرية'!$E$6:$E$1005,'الحركات الشهرية'!$B$6:$B$1005,$B68,'الحركات الشهرية'!$A$6:$A$1005,$C$3))</f>
        <v/>
      </c>
      <c r="I68" s="105" t="str">
        <f aca="false">IF($B68="","",MAX(0,F68-G68-H68))</f>
        <v/>
      </c>
      <c r="J68" s="86" t="str">
        <f aca="false">IF($B68="","",الموظفون!$J68*$I68/cfg_DAYS_M)</f>
        <v/>
      </c>
      <c r="K68" s="86" t="str">
        <f aca="false">IF($B68="","",الموظفون!$K68*$I68/cfg_DAYS_M)</f>
        <v/>
      </c>
      <c r="L68" s="86" t="str">
        <f aca="false">IF($B68="","",الموظفون!$L68*$I68/cfg_DAYS_M)</f>
        <v/>
      </c>
      <c r="M68" s="86" t="str">
        <f aca="false">IF($B68="","",الموظفون!$M68*$I68/cfg_DAYS_M)</f>
        <v/>
      </c>
      <c r="N68" s="105" t="str">
        <f aca="false">IF($B68="","",SUMIFS('الحركات الشهرية'!$F$6:$F$1005,'الحركات الشهرية'!$B$6:$B$1005,$B68,'الحركات الشهرية'!$A$6:$A$1005,$C$3))</f>
        <v/>
      </c>
      <c r="O68" s="86" t="str">
        <f aca="false">IF($B68="","",N68*(الموظفون!$N68+الموظفون!$J68*cfg_OT_P)/cfg_DAYS_M/cfg_HRS)</f>
        <v/>
      </c>
      <c r="P68" s="86" t="str">
        <f aca="false">IF($B68="","",SUMIFS('الحركات الشهرية'!$G$6:$G$1005,'الحركات الشهرية'!$B$6:$B$1005,$B68,'الحركات الشهرية'!$A$6:$A$1005,$C$3))</f>
        <v/>
      </c>
      <c r="Q68" s="86" t="str">
        <f aca="false">IF($B68="","",SUMIFS('الحركات الشهرية'!$H$6:$H$1005,'الحركات الشهرية'!$B$6:$B$1005,$B68,'الحركات الشهرية'!$A$6:$A$1005,$C$3))</f>
        <v/>
      </c>
      <c r="R68" s="106" t="str">
        <f aca="false">IF($B68="","",SUM(J68:M68)+SUM(O68:Q68))</f>
        <v/>
      </c>
      <c r="S68" s="86" t="str">
        <f aca="false">IF($B68="","",الموظفون!$Q68*IF(E68="سعودي",cfg_G_SE,cfg_G_NE)*F68/cfg_DAYS_M)</f>
        <v/>
      </c>
      <c r="T68" s="86" t="str">
        <f aca="false">IF($B68="","",SUMIFS('الحركات الشهرية'!$I$6:$I$1005,'الحركات الشهرية'!$B$6:$B$1005,$B68,'الحركات الشهرية'!$A$6:$A$1005,$C$3))</f>
        <v/>
      </c>
      <c r="U68" s="86" t="str">
        <f aca="false">IF($B68="","",SUMIFS('الحركات الشهرية'!$J$6:$J$1005,'الحركات الشهرية'!$B$6:$B$1005,$B68,'الحركات الشهرية'!$A$6:$A$1005,$C$3))</f>
        <v/>
      </c>
      <c r="V68" s="86" t="str">
        <f aca="false">IF($B68="","",SUM(S68:U68))</f>
        <v/>
      </c>
      <c r="W68" s="107" t="str">
        <f aca="false">IF($B68="","",R68-V68)</f>
        <v/>
      </c>
      <c r="X68" s="86" t="str">
        <f aca="false">IF($B68="","",الموظفون!$Q68*IF(E68="سعودي",cfg_G_SR,cfg_G_NR)*F68/cfg_DAYS_M)</f>
        <v/>
      </c>
      <c r="Y68" s="86" t="str">
        <f aca="false">IF($B68="","",الموظفون!$O68*(cfg_EOS_R1*(MIN(AC68,cfg_EOS_TH)-MIN(AD68,cfg_EOS_TH))+cfg_EOS_R2*(MAX(AC68-cfg_EOS_TH,0)-MAX(AD68-cfg_EOS_TH,0))))</f>
        <v/>
      </c>
      <c r="Z68" s="86" t="str">
        <f aca="false">IF($B68="","",IF(الموظفون!$R68&lt;&gt;"",الموظفون!$R68,IF(AC68&gt;=cfg_LV_TH,cfg_LV_D2,cfg_LV_D1))/cfg_DAYS_Y*AE68*الموظفون!$P68/cfg_DAYS_M)</f>
        <v/>
      </c>
      <c r="AA68" s="86" t="str">
        <f aca="false">IF($B68="","",IF(AND(الموظفون!$S68="نعم",N(الموظفون!$U68)&gt;0),الموظفون!$T68/الموظفون!$U68*12/cfg_DAYS_Y*AE68,0))</f>
        <v/>
      </c>
      <c r="AB68" s="108" t="str">
        <f aca="false">IF($B68="","",R68+SUM(X68:AA68))</f>
        <v/>
      </c>
      <c r="AC68" s="109" t="str">
        <f aca="false">IF($B68="","",MAX(0,IF(OR(الموظفون!$X68="",الموظفون!$X68&gt;$G$3),$G$3,الموظفون!$X68)-الموظفون!$H68+1)/cfg_DAYS_Y)</f>
        <v/>
      </c>
      <c r="AD68" s="109" t="str">
        <f aca="false">IF($B68="","",MAX(0,IF(OR(الموظفون!$X68="",الموظفون!$X68&gt;($E$3-1)),($E$3-1),الموظفون!$X68)-الموظفون!$H68+1)/cfg_DAYS_Y)</f>
        <v/>
      </c>
      <c r="AE68" s="51" t="str">
        <f aca="false">IF($B68="","",MAX(0,IF(OR(الموظفون!$X68="",الموظفون!$X68&gt;$G$3),$G$3,الموظفون!$X68)-MAX($E$3,الموظفون!$H68)+1))</f>
        <v/>
      </c>
    </row>
    <row r="69" customFormat="false" ht="15" hidden="false" customHeight="false" outlineLevel="0" collapsed="false">
      <c r="A69" s="89" t="str">
        <f aca="false">IF($B69="","",الموظفون!$A69)</f>
        <v/>
      </c>
      <c r="B69" s="91" t="str">
        <f aca="false">IF(الموظفون!$B69="","",الموظفون!$B69)</f>
        <v/>
      </c>
      <c r="C69" s="91" t="str">
        <f aca="false">IF($B69="","",الموظفون!$C69)</f>
        <v/>
      </c>
      <c r="D69" s="91" t="str">
        <f aca="false">IF($B69="","",الموظفون!$F69)</f>
        <v/>
      </c>
      <c r="E69" s="91" t="str">
        <f aca="false">IF($B69="","",الموظفون!$E69)</f>
        <v/>
      </c>
      <c r="F69" s="110" t="str">
        <f aca="false">IF($B69="","",IF(AE69&gt;=DAY($G$3),cfg_DAYS_M,MIN(AE69,cfg_DAYS_M)))</f>
        <v/>
      </c>
      <c r="G69" s="110" t="str">
        <f aca="false">IF($B69="","",SUMIFS('الحركات الشهرية'!$D$6:$D$1005,'الحركات الشهرية'!$B$6:$B$1005,$B69,'الحركات الشهرية'!$A$6:$A$1005,$C$3))</f>
        <v/>
      </c>
      <c r="H69" s="110" t="str">
        <f aca="false">IF($B69="","",SUMIFS('الحركات الشهرية'!$E$6:$E$1005,'الحركات الشهرية'!$B$6:$B$1005,$B69,'الحركات الشهرية'!$A$6:$A$1005,$C$3))</f>
        <v/>
      </c>
      <c r="I69" s="110" t="str">
        <f aca="false">IF($B69="","",MAX(0,F69-G69-H69))</f>
        <v/>
      </c>
      <c r="J69" s="90" t="str">
        <f aca="false">IF($B69="","",الموظفون!$J69*$I69/cfg_DAYS_M)</f>
        <v/>
      </c>
      <c r="K69" s="90" t="str">
        <f aca="false">IF($B69="","",الموظفون!$K69*$I69/cfg_DAYS_M)</f>
        <v/>
      </c>
      <c r="L69" s="90" t="str">
        <f aca="false">IF($B69="","",الموظفون!$L69*$I69/cfg_DAYS_M)</f>
        <v/>
      </c>
      <c r="M69" s="90" t="str">
        <f aca="false">IF($B69="","",الموظفون!$M69*$I69/cfg_DAYS_M)</f>
        <v/>
      </c>
      <c r="N69" s="110" t="str">
        <f aca="false">IF($B69="","",SUMIFS('الحركات الشهرية'!$F$6:$F$1005,'الحركات الشهرية'!$B$6:$B$1005,$B69,'الحركات الشهرية'!$A$6:$A$1005,$C$3))</f>
        <v/>
      </c>
      <c r="O69" s="90" t="str">
        <f aca="false">IF($B69="","",N69*(الموظفون!$N69+الموظفون!$J69*cfg_OT_P)/cfg_DAYS_M/cfg_HRS)</f>
        <v/>
      </c>
      <c r="P69" s="90" t="str">
        <f aca="false">IF($B69="","",SUMIFS('الحركات الشهرية'!$G$6:$G$1005,'الحركات الشهرية'!$B$6:$B$1005,$B69,'الحركات الشهرية'!$A$6:$A$1005,$C$3))</f>
        <v/>
      </c>
      <c r="Q69" s="90" t="str">
        <f aca="false">IF($B69="","",SUMIFS('الحركات الشهرية'!$H$6:$H$1005,'الحركات الشهرية'!$B$6:$B$1005,$B69,'الحركات الشهرية'!$A$6:$A$1005,$C$3))</f>
        <v/>
      </c>
      <c r="R69" s="111" t="str">
        <f aca="false">IF($B69="","",SUM(J69:M69)+SUM(O69:Q69))</f>
        <v/>
      </c>
      <c r="S69" s="90" t="str">
        <f aca="false">IF($B69="","",الموظفون!$Q69*IF(E69="سعودي",cfg_G_SE,cfg_G_NE)*F69/cfg_DAYS_M)</f>
        <v/>
      </c>
      <c r="T69" s="90" t="str">
        <f aca="false">IF($B69="","",SUMIFS('الحركات الشهرية'!$I$6:$I$1005,'الحركات الشهرية'!$B$6:$B$1005,$B69,'الحركات الشهرية'!$A$6:$A$1005,$C$3))</f>
        <v/>
      </c>
      <c r="U69" s="90" t="str">
        <f aca="false">IF($B69="","",SUMIFS('الحركات الشهرية'!$J$6:$J$1005,'الحركات الشهرية'!$B$6:$B$1005,$B69,'الحركات الشهرية'!$A$6:$A$1005,$C$3))</f>
        <v/>
      </c>
      <c r="V69" s="90" t="str">
        <f aca="false">IF($B69="","",SUM(S69:U69))</f>
        <v/>
      </c>
      <c r="W69" s="112" t="str">
        <f aca="false">IF($B69="","",R69-V69)</f>
        <v/>
      </c>
      <c r="X69" s="90" t="str">
        <f aca="false">IF($B69="","",الموظفون!$Q69*IF(E69="سعودي",cfg_G_SR,cfg_G_NR)*F69/cfg_DAYS_M)</f>
        <v/>
      </c>
      <c r="Y69" s="90" t="str">
        <f aca="false">IF($B69="","",الموظفون!$O69*(cfg_EOS_R1*(MIN(AC69,cfg_EOS_TH)-MIN(AD69,cfg_EOS_TH))+cfg_EOS_R2*(MAX(AC69-cfg_EOS_TH,0)-MAX(AD69-cfg_EOS_TH,0))))</f>
        <v/>
      </c>
      <c r="Z69" s="90" t="str">
        <f aca="false">IF($B69="","",IF(الموظفون!$R69&lt;&gt;"",الموظفون!$R69,IF(AC69&gt;=cfg_LV_TH,cfg_LV_D2,cfg_LV_D1))/cfg_DAYS_Y*AE69*الموظفون!$P69/cfg_DAYS_M)</f>
        <v/>
      </c>
      <c r="AA69" s="90" t="str">
        <f aca="false">IF($B69="","",IF(AND(الموظفون!$S69="نعم",N(الموظفون!$U69)&gt;0),الموظفون!$T69/الموظفون!$U69*12/cfg_DAYS_Y*AE69,0))</f>
        <v/>
      </c>
      <c r="AB69" s="113" t="str">
        <f aca="false">IF($B69="","",R69+SUM(X69:AA69))</f>
        <v/>
      </c>
      <c r="AC69" s="114" t="str">
        <f aca="false">IF($B69="","",MAX(0,IF(OR(الموظفون!$X69="",الموظفون!$X69&gt;$G$3),$G$3,الموظفون!$X69)-الموظفون!$H69+1)/cfg_DAYS_Y)</f>
        <v/>
      </c>
      <c r="AD69" s="114" t="str">
        <f aca="false">IF($B69="","",MAX(0,IF(OR(الموظفون!$X69="",الموظفون!$X69&gt;($E$3-1)),($E$3-1),الموظفون!$X69)-الموظفون!$H69+1)/cfg_DAYS_Y)</f>
        <v/>
      </c>
      <c r="AE69" s="115" t="str">
        <f aca="false">IF($B69="","",MAX(0,IF(OR(الموظفون!$X69="",الموظفون!$X69&gt;$G$3),$G$3,الموظفون!$X69)-MAX($E$3,الموظفون!$H69)+1))</f>
        <v/>
      </c>
    </row>
    <row r="70" customFormat="false" ht="15" hidden="false" customHeight="false" outlineLevel="0" collapsed="false">
      <c r="A70" s="83" t="str">
        <f aca="false">IF($B70="","",الموظفون!$A70)</f>
        <v/>
      </c>
      <c r="B70" s="74" t="str">
        <f aca="false">IF(الموظفون!$B70="","",الموظفون!$B70)</f>
        <v/>
      </c>
      <c r="C70" s="74" t="str">
        <f aca="false">IF($B70="","",الموظفون!$C70)</f>
        <v/>
      </c>
      <c r="D70" s="74" t="str">
        <f aca="false">IF($B70="","",الموظفون!$F70)</f>
        <v/>
      </c>
      <c r="E70" s="74" t="str">
        <f aca="false">IF($B70="","",الموظفون!$E70)</f>
        <v/>
      </c>
      <c r="F70" s="105" t="str">
        <f aca="false">IF($B70="","",IF(AE70&gt;=DAY($G$3),cfg_DAYS_M,MIN(AE70,cfg_DAYS_M)))</f>
        <v/>
      </c>
      <c r="G70" s="105" t="str">
        <f aca="false">IF($B70="","",SUMIFS('الحركات الشهرية'!$D$6:$D$1005,'الحركات الشهرية'!$B$6:$B$1005,$B70,'الحركات الشهرية'!$A$6:$A$1005,$C$3))</f>
        <v/>
      </c>
      <c r="H70" s="105" t="str">
        <f aca="false">IF($B70="","",SUMIFS('الحركات الشهرية'!$E$6:$E$1005,'الحركات الشهرية'!$B$6:$B$1005,$B70,'الحركات الشهرية'!$A$6:$A$1005,$C$3))</f>
        <v/>
      </c>
      <c r="I70" s="105" t="str">
        <f aca="false">IF($B70="","",MAX(0,F70-G70-H70))</f>
        <v/>
      </c>
      <c r="J70" s="86" t="str">
        <f aca="false">IF($B70="","",الموظفون!$J70*$I70/cfg_DAYS_M)</f>
        <v/>
      </c>
      <c r="K70" s="86" t="str">
        <f aca="false">IF($B70="","",الموظفون!$K70*$I70/cfg_DAYS_M)</f>
        <v/>
      </c>
      <c r="L70" s="86" t="str">
        <f aca="false">IF($B70="","",الموظفون!$L70*$I70/cfg_DAYS_M)</f>
        <v/>
      </c>
      <c r="M70" s="86" t="str">
        <f aca="false">IF($B70="","",الموظفون!$M70*$I70/cfg_DAYS_M)</f>
        <v/>
      </c>
      <c r="N70" s="105" t="str">
        <f aca="false">IF($B70="","",SUMIFS('الحركات الشهرية'!$F$6:$F$1005,'الحركات الشهرية'!$B$6:$B$1005,$B70,'الحركات الشهرية'!$A$6:$A$1005,$C$3))</f>
        <v/>
      </c>
      <c r="O70" s="86" t="str">
        <f aca="false">IF($B70="","",N70*(الموظفون!$N70+الموظفون!$J70*cfg_OT_P)/cfg_DAYS_M/cfg_HRS)</f>
        <v/>
      </c>
      <c r="P70" s="86" t="str">
        <f aca="false">IF($B70="","",SUMIFS('الحركات الشهرية'!$G$6:$G$1005,'الحركات الشهرية'!$B$6:$B$1005,$B70,'الحركات الشهرية'!$A$6:$A$1005,$C$3))</f>
        <v/>
      </c>
      <c r="Q70" s="86" t="str">
        <f aca="false">IF($B70="","",SUMIFS('الحركات الشهرية'!$H$6:$H$1005,'الحركات الشهرية'!$B$6:$B$1005,$B70,'الحركات الشهرية'!$A$6:$A$1005,$C$3))</f>
        <v/>
      </c>
      <c r="R70" s="106" t="str">
        <f aca="false">IF($B70="","",SUM(J70:M70)+SUM(O70:Q70))</f>
        <v/>
      </c>
      <c r="S70" s="86" t="str">
        <f aca="false">IF($B70="","",الموظفون!$Q70*IF(E70="سعودي",cfg_G_SE,cfg_G_NE)*F70/cfg_DAYS_M)</f>
        <v/>
      </c>
      <c r="T70" s="86" t="str">
        <f aca="false">IF($B70="","",SUMIFS('الحركات الشهرية'!$I$6:$I$1005,'الحركات الشهرية'!$B$6:$B$1005,$B70,'الحركات الشهرية'!$A$6:$A$1005,$C$3))</f>
        <v/>
      </c>
      <c r="U70" s="86" t="str">
        <f aca="false">IF($B70="","",SUMIFS('الحركات الشهرية'!$J$6:$J$1005,'الحركات الشهرية'!$B$6:$B$1005,$B70,'الحركات الشهرية'!$A$6:$A$1005,$C$3))</f>
        <v/>
      </c>
      <c r="V70" s="86" t="str">
        <f aca="false">IF($B70="","",SUM(S70:U70))</f>
        <v/>
      </c>
      <c r="W70" s="107" t="str">
        <f aca="false">IF($B70="","",R70-V70)</f>
        <v/>
      </c>
      <c r="X70" s="86" t="str">
        <f aca="false">IF($B70="","",الموظفون!$Q70*IF(E70="سعودي",cfg_G_SR,cfg_G_NR)*F70/cfg_DAYS_M)</f>
        <v/>
      </c>
      <c r="Y70" s="86" t="str">
        <f aca="false">IF($B70="","",الموظفون!$O70*(cfg_EOS_R1*(MIN(AC70,cfg_EOS_TH)-MIN(AD70,cfg_EOS_TH))+cfg_EOS_R2*(MAX(AC70-cfg_EOS_TH,0)-MAX(AD70-cfg_EOS_TH,0))))</f>
        <v/>
      </c>
      <c r="Z70" s="86" t="str">
        <f aca="false">IF($B70="","",IF(الموظفون!$R70&lt;&gt;"",الموظفون!$R70,IF(AC70&gt;=cfg_LV_TH,cfg_LV_D2,cfg_LV_D1))/cfg_DAYS_Y*AE70*الموظفون!$P70/cfg_DAYS_M)</f>
        <v/>
      </c>
      <c r="AA70" s="86" t="str">
        <f aca="false">IF($B70="","",IF(AND(الموظفون!$S70="نعم",N(الموظفون!$U70)&gt;0),الموظفون!$T70/الموظفون!$U70*12/cfg_DAYS_Y*AE70,0))</f>
        <v/>
      </c>
      <c r="AB70" s="108" t="str">
        <f aca="false">IF($B70="","",R70+SUM(X70:AA70))</f>
        <v/>
      </c>
      <c r="AC70" s="109" t="str">
        <f aca="false">IF($B70="","",MAX(0,IF(OR(الموظفون!$X70="",الموظفون!$X70&gt;$G$3),$G$3,الموظفون!$X70)-الموظفون!$H70+1)/cfg_DAYS_Y)</f>
        <v/>
      </c>
      <c r="AD70" s="109" t="str">
        <f aca="false">IF($B70="","",MAX(0,IF(OR(الموظفون!$X70="",الموظفون!$X70&gt;($E$3-1)),($E$3-1),الموظفون!$X70)-الموظفون!$H70+1)/cfg_DAYS_Y)</f>
        <v/>
      </c>
      <c r="AE70" s="51" t="str">
        <f aca="false">IF($B70="","",MAX(0,IF(OR(الموظفون!$X70="",الموظفون!$X70&gt;$G$3),$G$3,الموظفون!$X70)-MAX($E$3,الموظفون!$H70)+1))</f>
        <v/>
      </c>
    </row>
    <row r="71" customFormat="false" ht="15" hidden="false" customHeight="false" outlineLevel="0" collapsed="false">
      <c r="A71" s="89" t="str">
        <f aca="false">IF($B71="","",الموظفون!$A71)</f>
        <v/>
      </c>
      <c r="B71" s="91" t="str">
        <f aca="false">IF(الموظفون!$B71="","",الموظفون!$B71)</f>
        <v/>
      </c>
      <c r="C71" s="91" t="str">
        <f aca="false">IF($B71="","",الموظفون!$C71)</f>
        <v/>
      </c>
      <c r="D71" s="91" t="str">
        <f aca="false">IF($B71="","",الموظفون!$F71)</f>
        <v/>
      </c>
      <c r="E71" s="91" t="str">
        <f aca="false">IF($B71="","",الموظفون!$E71)</f>
        <v/>
      </c>
      <c r="F71" s="110" t="str">
        <f aca="false">IF($B71="","",IF(AE71&gt;=DAY($G$3),cfg_DAYS_M,MIN(AE71,cfg_DAYS_M)))</f>
        <v/>
      </c>
      <c r="G71" s="110" t="str">
        <f aca="false">IF($B71="","",SUMIFS('الحركات الشهرية'!$D$6:$D$1005,'الحركات الشهرية'!$B$6:$B$1005,$B71,'الحركات الشهرية'!$A$6:$A$1005,$C$3))</f>
        <v/>
      </c>
      <c r="H71" s="110" t="str">
        <f aca="false">IF($B71="","",SUMIFS('الحركات الشهرية'!$E$6:$E$1005,'الحركات الشهرية'!$B$6:$B$1005,$B71,'الحركات الشهرية'!$A$6:$A$1005,$C$3))</f>
        <v/>
      </c>
      <c r="I71" s="110" t="str">
        <f aca="false">IF($B71="","",MAX(0,F71-G71-H71))</f>
        <v/>
      </c>
      <c r="J71" s="90" t="str">
        <f aca="false">IF($B71="","",الموظفون!$J71*$I71/cfg_DAYS_M)</f>
        <v/>
      </c>
      <c r="K71" s="90" t="str">
        <f aca="false">IF($B71="","",الموظفون!$K71*$I71/cfg_DAYS_M)</f>
        <v/>
      </c>
      <c r="L71" s="90" t="str">
        <f aca="false">IF($B71="","",الموظفون!$L71*$I71/cfg_DAYS_M)</f>
        <v/>
      </c>
      <c r="M71" s="90" t="str">
        <f aca="false">IF($B71="","",الموظفون!$M71*$I71/cfg_DAYS_M)</f>
        <v/>
      </c>
      <c r="N71" s="110" t="str">
        <f aca="false">IF($B71="","",SUMIFS('الحركات الشهرية'!$F$6:$F$1005,'الحركات الشهرية'!$B$6:$B$1005,$B71,'الحركات الشهرية'!$A$6:$A$1005,$C$3))</f>
        <v/>
      </c>
      <c r="O71" s="90" t="str">
        <f aca="false">IF($B71="","",N71*(الموظفون!$N71+الموظفون!$J71*cfg_OT_P)/cfg_DAYS_M/cfg_HRS)</f>
        <v/>
      </c>
      <c r="P71" s="90" t="str">
        <f aca="false">IF($B71="","",SUMIFS('الحركات الشهرية'!$G$6:$G$1005,'الحركات الشهرية'!$B$6:$B$1005,$B71,'الحركات الشهرية'!$A$6:$A$1005,$C$3))</f>
        <v/>
      </c>
      <c r="Q71" s="90" t="str">
        <f aca="false">IF($B71="","",SUMIFS('الحركات الشهرية'!$H$6:$H$1005,'الحركات الشهرية'!$B$6:$B$1005,$B71,'الحركات الشهرية'!$A$6:$A$1005,$C$3))</f>
        <v/>
      </c>
      <c r="R71" s="111" t="str">
        <f aca="false">IF($B71="","",SUM(J71:M71)+SUM(O71:Q71))</f>
        <v/>
      </c>
      <c r="S71" s="90" t="str">
        <f aca="false">IF($B71="","",الموظفون!$Q71*IF(E71="سعودي",cfg_G_SE,cfg_G_NE)*F71/cfg_DAYS_M)</f>
        <v/>
      </c>
      <c r="T71" s="90" t="str">
        <f aca="false">IF($B71="","",SUMIFS('الحركات الشهرية'!$I$6:$I$1005,'الحركات الشهرية'!$B$6:$B$1005,$B71,'الحركات الشهرية'!$A$6:$A$1005,$C$3))</f>
        <v/>
      </c>
      <c r="U71" s="90" t="str">
        <f aca="false">IF($B71="","",SUMIFS('الحركات الشهرية'!$J$6:$J$1005,'الحركات الشهرية'!$B$6:$B$1005,$B71,'الحركات الشهرية'!$A$6:$A$1005,$C$3))</f>
        <v/>
      </c>
      <c r="V71" s="90" t="str">
        <f aca="false">IF($B71="","",SUM(S71:U71))</f>
        <v/>
      </c>
      <c r="W71" s="112" t="str">
        <f aca="false">IF($B71="","",R71-V71)</f>
        <v/>
      </c>
      <c r="X71" s="90" t="str">
        <f aca="false">IF($B71="","",الموظفون!$Q71*IF(E71="سعودي",cfg_G_SR,cfg_G_NR)*F71/cfg_DAYS_M)</f>
        <v/>
      </c>
      <c r="Y71" s="90" t="str">
        <f aca="false">IF($B71="","",الموظفون!$O71*(cfg_EOS_R1*(MIN(AC71,cfg_EOS_TH)-MIN(AD71,cfg_EOS_TH))+cfg_EOS_R2*(MAX(AC71-cfg_EOS_TH,0)-MAX(AD71-cfg_EOS_TH,0))))</f>
        <v/>
      </c>
      <c r="Z71" s="90" t="str">
        <f aca="false">IF($B71="","",IF(الموظفون!$R71&lt;&gt;"",الموظفون!$R71,IF(AC71&gt;=cfg_LV_TH,cfg_LV_D2,cfg_LV_D1))/cfg_DAYS_Y*AE71*الموظفون!$P71/cfg_DAYS_M)</f>
        <v/>
      </c>
      <c r="AA71" s="90" t="str">
        <f aca="false">IF($B71="","",IF(AND(الموظفون!$S71="نعم",N(الموظفون!$U71)&gt;0),الموظفون!$T71/الموظفون!$U71*12/cfg_DAYS_Y*AE71,0))</f>
        <v/>
      </c>
      <c r="AB71" s="113" t="str">
        <f aca="false">IF($B71="","",R71+SUM(X71:AA71))</f>
        <v/>
      </c>
      <c r="AC71" s="114" t="str">
        <f aca="false">IF($B71="","",MAX(0,IF(OR(الموظفون!$X71="",الموظفون!$X71&gt;$G$3),$G$3,الموظفون!$X71)-الموظفون!$H71+1)/cfg_DAYS_Y)</f>
        <v/>
      </c>
      <c r="AD71" s="114" t="str">
        <f aca="false">IF($B71="","",MAX(0,IF(OR(الموظفون!$X71="",الموظفون!$X71&gt;($E$3-1)),($E$3-1),الموظفون!$X71)-الموظفون!$H71+1)/cfg_DAYS_Y)</f>
        <v/>
      </c>
      <c r="AE71" s="115" t="str">
        <f aca="false">IF($B71="","",MAX(0,IF(OR(الموظفون!$X71="",الموظفون!$X71&gt;$G$3),$G$3,الموظفون!$X71)-MAX($E$3,الموظفون!$H71)+1))</f>
        <v/>
      </c>
    </row>
    <row r="72" customFormat="false" ht="15" hidden="false" customHeight="false" outlineLevel="0" collapsed="false">
      <c r="A72" s="83" t="str">
        <f aca="false">IF($B72="","",الموظفون!$A72)</f>
        <v/>
      </c>
      <c r="B72" s="74" t="str">
        <f aca="false">IF(الموظفون!$B72="","",الموظفون!$B72)</f>
        <v/>
      </c>
      <c r="C72" s="74" t="str">
        <f aca="false">IF($B72="","",الموظفون!$C72)</f>
        <v/>
      </c>
      <c r="D72" s="74" t="str">
        <f aca="false">IF($B72="","",الموظفون!$F72)</f>
        <v/>
      </c>
      <c r="E72" s="74" t="str">
        <f aca="false">IF($B72="","",الموظفون!$E72)</f>
        <v/>
      </c>
      <c r="F72" s="105" t="str">
        <f aca="false">IF($B72="","",IF(AE72&gt;=DAY($G$3),cfg_DAYS_M,MIN(AE72,cfg_DAYS_M)))</f>
        <v/>
      </c>
      <c r="G72" s="105" t="str">
        <f aca="false">IF($B72="","",SUMIFS('الحركات الشهرية'!$D$6:$D$1005,'الحركات الشهرية'!$B$6:$B$1005,$B72,'الحركات الشهرية'!$A$6:$A$1005,$C$3))</f>
        <v/>
      </c>
      <c r="H72" s="105" t="str">
        <f aca="false">IF($B72="","",SUMIFS('الحركات الشهرية'!$E$6:$E$1005,'الحركات الشهرية'!$B$6:$B$1005,$B72,'الحركات الشهرية'!$A$6:$A$1005,$C$3))</f>
        <v/>
      </c>
      <c r="I72" s="105" t="str">
        <f aca="false">IF($B72="","",MAX(0,F72-G72-H72))</f>
        <v/>
      </c>
      <c r="J72" s="86" t="str">
        <f aca="false">IF($B72="","",الموظفون!$J72*$I72/cfg_DAYS_M)</f>
        <v/>
      </c>
      <c r="K72" s="86" t="str">
        <f aca="false">IF($B72="","",الموظفون!$K72*$I72/cfg_DAYS_M)</f>
        <v/>
      </c>
      <c r="L72" s="86" t="str">
        <f aca="false">IF($B72="","",الموظفون!$L72*$I72/cfg_DAYS_M)</f>
        <v/>
      </c>
      <c r="M72" s="86" t="str">
        <f aca="false">IF($B72="","",الموظفون!$M72*$I72/cfg_DAYS_M)</f>
        <v/>
      </c>
      <c r="N72" s="105" t="str">
        <f aca="false">IF($B72="","",SUMIFS('الحركات الشهرية'!$F$6:$F$1005,'الحركات الشهرية'!$B$6:$B$1005,$B72,'الحركات الشهرية'!$A$6:$A$1005,$C$3))</f>
        <v/>
      </c>
      <c r="O72" s="86" t="str">
        <f aca="false">IF($B72="","",N72*(الموظفون!$N72+الموظفون!$J72*cfg_OT_P)/cfg_DAYS_M/cfg_HRS)</f>
        <v/>
      </c>
      <c r="P72" s="86" t="str">
        <f aca="false">IF($B72="","",SUMIFS('الحركات الشهرية'!$G$6:$G$1005,'الحركات الشهرية'!$B$6:$B$1005,$B72,'الحركات الشهرية'!$A$6:$A$1005,$C$3))</f>
        <v/>
      </c>
      <c r="Q72" s="86" t="str">
        <f aca="false">IF($B72="","",SUMIFS('الحركات الشهرية'!$H$6:$H$1005,'الحركات الشهرية'!$B$6:$B$1005,$B72,'الحركات الشهرية'!$A$6:$A$1005,$C$3))</f>
        <v/>
      </c>
      <c r="R72" s="106" t="str">
        <f aca="false">IF($B72="","",SUM(J72:M72)+SUM(O72:Q72))</f>
        <v/>
      </c>
      <c r="S72" s="86" t="str">
        <f aca="false">IF($B72="","",الموظفون!$Q72*IF(E72="سعودي",cfg_G_SE,cfg_G_NE)*F72/cfg_DAYS_M)</f>
        <v/>
      </c>
      <c r="T72" s="86" t="str">
        <f aca="false">IF($B72="","",SUMIFS('الحركات الشهرية'!$I$6:$I$1005,'الحركات الشهرية'!$B$6:$B$1005,$B72,'الحركات الشهرية'!$A$6:$A$1005,$C$3))</f>
        <v/>
      </c>
      <c r="U72" s="86" t="str">
        <f aca="false">IF($B72="","",SUMIFS('الحركات الشهرية'!$J$6:$J$1005,'الحركات الشهرية'!$B$6:$B$1005,$B72,'الحركات الشهرية'!$A$6:$A$1005,$C$3))</f>
        <v/>
      </c>
      <c r="V72" s="86" t="str">
        <f aca="false">IF($B72="","",SUM(S72:U72))</f>
        <v/>
      </c>
      <c r="W72" s="107" t="str">
        <f aca="false">IF($B72="","",R72-V72)</f>
        <v/>
      </c>
      <c r="X72" s="86" t="str">
        <f aca="false">IF($B72="","",الموظفون!$Q72*IF(E72="سعودي",cfg_G_SR,cfg_G_NR)*F72/cfg_DAYS_M)</f>
        <v/>
      </c>
      <c r="Y72" s="86" t="str">
        <f aca="false">IF($B72="","",الموظفون!$O72*(cfg_EOS_R1*(MIN(AC72,cfg_EOS_TH)-MIN(AD72,cfg_EOS_TH))+cfg_EOS_R2*(MAX(AC72-cfg_EOS_TH,0)-MAX(AD72-cfg_EOS_TH,0))))</f>
        <v/>
      </c>
      <c r="Z72" s="86" t="str">
        <f aca="false">IF($B72="","",IF(الموظفون!$R72&lt;&gt;"",الموظفون!$R72,IF(AC72&gt;=cfg_LV_TH,cfg_LV_D2,cfg_LV_D1))/cfg_DAYS_Y*AE72*الموظفون!$P72/cfg_DAYS_M)</f>
        <v/>
      </c>
      <c r="AA72" s="86" t="str">
        <f aca="false">IF($B72="","",IF(AND(الموظفون!$S72="نعم",N(الموظفون!$U72)&gt;0),الموظفون!$T72/الموظفون!$U72*12/cfg_DAYS_Y*AE72,0))</f>
        <v/>
      </c>
      <c r="AB72" s="108" t="str">
        <f aca="false">IF($B72="","",R72+SUM(X72:AA72))</f>
        <v/>
      </c>
      <c r="AC72" s="109" t="str">
        <f aca="false">IF($B72="","",MAX(0,IF(OR(الموظفون!$X72="",الموظفون!$X72&gt;$G$3),$G$3,الموظفون!$X72)-الموظفون!$H72+1)/cfg_DAYS_Y)</f>
        <v/>
      </c>
      <c r="AD72" s="109" t="str">
        <f aca="false">IF($B72="","",MAX(0,IF(OR(الموظفون!$X72="",الموظفون!$X72&gt;($E$3-1)),($E$3-1),الموظفون!$X72)-الموظفون!$H72+1)/cfg_DAYS_Y)</f>
        <v/>
      </c>
      <c r="AE72" s="51" t="str">
        <f aca="false">IF($B72="","",MAX(0,IF(OR(الموظفون!$X72="",الموظفون!$X72&gt;$G$3),$G$3,الموظفون!$X72)-MAX($E$3,الموظفون!$H72)+1))</f>
        <v/>
      </c>
    </row>
    <row r="73" customFormat="false" ht="15" hidden="false" customHeight="false" outlineLevel="0" collapsed="false">
      <c r="A73" s="89" t="str">
        <f aca="false">IF($B73="","",الموظفون!$A73)</f>
        <v/>
      </c>
      <c r="B73" s="91" t="str">
        <f aca="false">IF(الموظفون!$B73="","",الموظفون!$B73)</f>
        <v/>
      </c>
      <c r="C73" s="91" t="str">
        <f aca="false">IF($B73="","",الموظفون!$C73)</f>
        <v/>
      </c>
      <c r="D73" s="91" t="str">
        <f aca="false">IF($B73="","",الموظفون!$F73)</f>
        <v/>
      </c>
      <c r="E73" s="91" t="str">
        <f aca="false">IF($B73="","",الموظفون!$E73)</f>
        <v/>
      </c>
      <c r="F73" s="110" t="str">
        <f aca="false">IF($B73="","",IF(AE73&gt;=DAY($G$3),cfg_DAYS_M,MIN(AE73,cfg_DAYS_M)))</f>
        <v/>
      </c>
      <c r="G73" s="110" t="str">
        <f aca="false">IF($B73="","",SUMIFS('الحركات الشهرية'!$D$6:$D$1005,'الحركات الشهرية'!$B$6:$B$1005,$B73,'الحركات الشهرية'!$A$6:$A$1005,$C$3))</f>
        <v/>
      </c>
      <c r="H73" s="110" t="str">
        <f aca="false">IF($B73="","",SUMIFS('الحركات الشهرية'!$E$6:$E$1005,'الحركات الشهرية'!$B$6:$B$1005,$B73,'الحركات الشهرية'!$A$6:$A$1005,$C$3))</f>
        <v/>
      </c>
      <c r="I73" s="110" t="str">
        <f aca="false">IF($B73="","",MAX(0,F73-G73-H73))</f>
        <v/>
      </c>
      <c r="J73" s="90" t="str">
        <f aca="false">IF($B73="","",الموظفون!$J73*$I73/cfg_DAYS_M)</f>
        <v/>
      </c>
      <c r="K73" s="90" t="str">
        <f aca="false">IF($B73="","",الموظفون!$K73*$I73/cfg_DAYS_M)</f>
        <v/>
      </c>
      <c r="L73" s="90" t="str">
        <f aca="false">IF($B73="","",الموظفون!$L73*$I73/cfg_DAYS_M)</f>
        <v/>
      </c>
      <c r="M73" s="90" t="str">
        <f aca="false">IF($B73="","",الموظفون!$M73*$I73/cfg_DAYS_M)</f>
        <v/>
      </c>
      <c r="N73" s="110" t="str">
        <f aca="false">IF($B73="","",SUMIFS('الحركات الشهرية'!$F$6:$F$1005,'الحركات الشهرية'!$B$6:$B$1005,$B73,'الحركات الشهرية'!$A$6:$A$1005,$C$3))</f>
        <v/>
      </c>
      <c r="O73" s="90" t="str">
        <f aca="false">IF($B73="","",N73*(الموظفون!$N73+الموظفون!$J73*cfg_OT_P)/cfg_DAYS_M/cfg_HRS)</f>
        <v/>
      </c>
      <c r="P73" s="90" t="str">
        <f aca="false">IF($B73="","",SUMIFS('الحركات الشهرية'!$G$6:$G$1005,'الحركات الشهرية'!$B$6:$B$1005,$B73,'الحركات الشهرية'!$A$6:$A$1005,$C$3))</f>
        <v/>
      </c>
      <c r="Q73" s="90" t="str">
        <f aca="false">IF($B73="","",SUMIFS('الحركات الشهرية'!$H$6:$H$1005,'الحركات الشهرية'!$B$6:$B$1005,$B73,'الحركات الشهرية'!$A$6:$A$1005,$C$3))</f>
        <v/>
      </c>
      <c r="R73" s="111" t="str">
        <f aca="false">IF($B73="","",SUM(J73:M73)+SUM(O73:Q73))</f>
        <v/>
      </c>
      <c r="S73" s="90" t="str">
        <f aca="false">IF($B73="","",الموظفون!$Q73*IF(E73="سعودي",cfg_G_SE,cfg_G_NE)*F73/cfg_DAYS_M)</f>
        <v/>
      </c>
      <c r="T73" s="90" t="str">
        <f aca="false">IF($B73="","",SUMIFS('الحركات الشهرية'!$I$6:$I$1005,'الحركات الشهرية'!$B$6:$B$1005,$B73,'الحركات الشهرية'!$A$6:$A$1005,$C$3))</f>
        <v/>
      </c>
      <c r="U73" s="90" t="str">
        <f aca="false">IF($B73="","",SUMIFS('الحركات الشهرية'!$J$6:$J$1005,'الحركات الشهرية'!$B$6:$B$1005,$B73,'الحركات الشهرية'!$A$6:$A$1005,$C$3))</f>
        <v/>
      </c>
      <c r="V73" s="90" t="str">
        <f aca="false">IF($B73="","",SUM(S73:U73))</f>
        <v/>
      </c>
      <c r="W73" s="112" t="str">
        <f aca="false">IF($B73="","",R73-V73)</f>
        <v/>
      </c>
      <c r="X73" s="90" t="str">
        <f aca="false">IF($B73="","",الموظفون!$Q73*IF(E73="سعودي",cfg_G_SR,cfg_G_NR)*F73/cfg_DAYS_M)</f>
        <v/>
      </c>
      <c r="Y73" s="90" t="str">
        <f aca="false">IF($B73="","",الموظفون!$O73*(cfg_EOS_R1*(MIN(AC73,cfg_EOS_TH)-MIN(AD73,cfg_EOS_TH))+cfg_EOS_R2*(MAX(AC73-cfg_EOS_TH,0)-MAX(AD73-cfg_EOS_TH,0))))</f>
        <v/>
      </c>
      <c r="Z73" s="90" t="str">
        <f aca="false">IF($B73="","",IF(الموظفون!$R73&lt;&gt;"",الموظفون!$R73,IF(AC73&gt;=cfg_LV_TH,cfg_LV_D2,cfg_LV_D1))/cfg_DAYS_Y*AE73*الموظفون!$P73/cfg_DAYS_M)</f>
        <v/>
      </c>
      <c r="AA73" s="90" t="str">
        <f aca="false">IF($B73="","",IF(AND(الموظفون!$S73="نعم",N(الموظفون!$U73)&gt;0),الموظفون!$T73/الموظفون!$U73*12/cfg_DAYS_Y*AE73,0))</f>
        <v/>
      </c>
      <c r="AB73" s="113" t="str">
        <f aca="false">IF($B73="","",R73+SUM(X73:AA73))</f>
        <v/>
      </c>
      <c r="AC73" s="114" t="str">
        <f aca="false">IF($B73="","",MAX(0,IF(OR(الموظفون!$X73="",الموظفون!$X73&gt;$G$3),$G$3,الموظفون!$X73)-الموظفون!$H73+1)/cfg_DAYS_Y)</f>
        <v/>
      </c>
      <c r="AD73" s="114" t="str">
        <f aca="false">IF($B73="","",MAX(0,IF(OR(الموظفون!$X73="",الموظفون!$X73&gt;($E$3-1)),($E$3-1),الموظفون!$X73)-الموظفون!$H73+1)/cfg_DAYS_Y)</f>
        <v/>
      </c>
      <c r="AE73" s="115" t="str">
        <f aca="false">IF($B73="","",MAX(0,IF(OR(الموظفون!$X73="",الموظفون!$X73&gt;$G$3),$G$3,الموظفون!$X73)-MAX($E$3,الموظفون!$H73)+1))</f>
        <v/>
      </c>
    </row>
    <row r="74" customFormat="false" ht="15" hidden="false" customHeight="false" outlineLevel="0" collapsed="false">
      <c r="A74" s="83" t="str">
        <f aca="false">IF($B74="","",الموظفون!$A74)</f>
        <v/>
      </c>
      <c r="B74" s="74" t="str">
        <f aca="false">IF(الموظفون!$B74="","",الموظفون!$B74)</f>
        <v/>
      </c>
      <c r="C74" s="74" t="str">
        <f aca="false">IF($B74="","",الموظفون!$C74)</f>
        <v/>
      </c>
      <c r="D74" s="74" t="str">
        <f aca="false">IF($B74="","",الموظفون!$F74)</f>
        <v/>
      </c>
      <c r="E74" s="74" t="str">
        <f aca="false">IF($B74="","",الموظفون!$E74)</f>
        <v/>
      </c>
      <c r="F74" s="105" t="str">
        <f aca="false">IF($B74="","",IF(AE74&gt;=DAY($G$3),cfg_DAYS_M,MIN(AE74,cfg_DAYS_M)))</f>
        <v/>
      </c>
      <c r="G74" s="105" t="str">
        <f aca="false">IF($B74="","",SUMIFS('الحركات الشهرية'!$D$6:$D$1005,'الحركات الشهرية'!$B$6:$B$1005,$B74,'الحركات الشهرية'!$A$6:$A$1005,$C$3))</f>
        <v/>
      </c>
      <c r="H74" s="105" t="str">
        <f aca="false">IF($B74="","",SUMIFS('الحركات الشهرية'!$E$6:$E$1005,'الحركات الشهرية'!$B$6:$B$1005,$B74,'الحركات الشهرية'!$A$6:$A$1005,$C$3))</f>
        <v/>
      </c>
      <c r="I74" s="105" t="str">
        <f aca="false">IF($B74="","",MAX(0,F74-G74-H74))</f>
        <v/>
      </c>
      <c r="J74" s="86" t="str">
        <f aca="false">IF($B74="","",الموظفون!$J74*$I74/cfg_DAYS_M)</f>
        <v/>
      </c>
      <c r="K74" s="86" t="str">
        <f aca="false">IF($B74="","",الموظفون!$K74*$I74/cfg_DAYS_M)</f>
        <v/>
      </c>
      <c r="L74" s="86" t="str">
        <f aca="false">IF($B74="","",الموظفون!$L74*$I74/cfg_DAYS_M)</f>
        <v/>
      </c>
      <c r="M74" s="86" t="str">
        <f aca="false">IF($B74="","",الموظفون!$M74*$I74/cfg_DAYS_M)</f>
        <v/>
      </c>
      <c r="N74" s="105" t="str">
        <f aca="false">IF($B74="","",SUMIFS('الحركات الشهرية'!$F$6:$F$1005,'الحركات الشهرية'!$B$6:$B$1005,$B74,'الحركات الشهرية'!$A$6:$A$1005,$C$3))</f>
        <v/>
      </c>
      <c r="O74" s="86" t="str">
        <f aca="false">IF($B74="","",N74*(الموظفون!$N74+الموظفون!$J74*cfg_OT_P)/cfg_DAYS_M/cfg_HRS)</f>
        <v/>
      </c>
      <c r="P74" s="86" t="str">
        <f aca="false">IF($B74="","",SUMIFS('الحركات الشهرية'!$G$6:$G$1005,'الحركات الشهرية'!$B$6:$B$1005,$B74,'الحركات الشهرية'!$A$6:$A$1005,$C$3))</f>
        <v/>
      </c>
      <c r="Q74" s="86" t="str">
        <f aca="false">IF($B74="","",SUMIFS('الحركات الشهرية'!$H$6:$H$1005,'الحركات الشهرية'!$B$6:$B$1005,$B74,'الحركات الشهرية'!$A$6:$A$1005,$C$3))</f>
        <v/>
      </c>
      <c r="R74" s="106" t="str">
        <f aca="false">IF($B74="","",SUM(J74:M74)+SUM(O74:Q74))</f>
        <v/>
      </c>
      <c r="S74" s="86" t="str">
        <f aca="false">IF($B74="","",الموظفون!$Q74*IF(E74="سعودي",cfg_G_SE,cfg_G_NE)*F74/cfg_DAYS_M)</f>
        <v/>
      </c>
      <c r="T74" s="86" t="str">
        <f aca="false">IF($B74="","",SUMIFS('الحركات الشهرية'!$I$6:$I$1005,'الحركات الشهرية'!$B$6:$B$1005,$B74,'الحركات الشهرية'!$A$6:$A$1005,$C$3))</f>
        <v/>
      </c>
      <c r="U74" s="86" t="str">
        <f aca="false">IF($B74="","",SUMIFS('الحركات الشهرية'!$J$6:$J$1005,'الحركات الشهرية'!$B$6:$B$1005,$B74,'الحركات الشهرية'!$A$6:$A$1005,$C$3))</f>
        <v/>
      </c>
      <c r="V74" s="86" t="str">
        <f aca="false">IF($B74="","",SUM(S74:U74))</f>
        <v/>
      </c>
      <c r="W74" s="107" t="str">
        <f aca="false">IF($B74="","",R74-V74)</f>
        <v/>
      </c>
      <c r="X74" s="86" t="str">
        <f aca="false">IF($B74="","",الموظفون!$Q74*IF(E74="سعودي",cfg_G_SR,cfg_G_NR)*F74/cfg_DAYS_M)</f>
        <v/>
      </c>
      <c r="Y74" s="86" t="str">
        <f aca="false">IF($B74="","",الموظفون!$O74*(cfg_EOS_R1*(MIN(AC74,cfg_EOS_TH)-MIN(AD74,cfg_EOS_TH))+cfg_EOS_R2*(MAX(AC74-cfg_EOS_TH,0)-MAX(AD74-cfg_EOS_TH,0))))</f>
        <v/>
      </c>
      <c r="Z74" s="86" t="str">
        <f aca="false">IF($B74="","",IF(الموظفون!$R74&lt;&gt;"",الموظفون!$R74,IF(AC74&gt;=cfg_LV_TH,cfg_LV_D2,cfg_LV_D1))/cfg_DAYS_Y*AE74*الموظفون!$P74/cfg_DAYS_M)</f>
        <v/>
      </c>
      <c r="AA74" s="86" t="str">
        <f aca="false">IF($B74="","",IF(AND(الموظفون!$S74="نعم",N(الموظفون!$U74)&gt;0),الموظفون!$T74/الموظفون!$U74*12/cfg_DAYS_Y*AE74,0))</f>
        <v/>
      </c>
      <c r="AB74" s="108" t="str">
        <f aca="false">IF($B74="","",R74+SUM(X74:AA74))</f>
        <v/>
      </c>
      <c r="AC74" s="109" t="str">
        <f aca="false">IF($B74="","",MAX(0,IF(OR(الموظفون!$X74="",الموظفون!$X74&gt;$G$3),$G$3,الموظفون!$X74)-الموظفون!$H74+1)/cfg_DAYS_Y)</f>
        <v/>
      </c>
      <c r="AD74" s="109" t="str">
        <f aca="false">IF($B74="","",MAX(0,IF(OR(الموظفون!$X74="",الموظفون!$X74&gt;($E$3-1)),($E$3-1),الموظفون!$X74)-الموظفون!$H74+1)/cfg_DAYS_Y)</f>
        <v/>
      </c>
      <c r="AE74" s="51" t="str">
        <f aca="false">IF($B74="","",MAX(0,IF(OR(الموظفون!$X74="",الموظفون!$X74&gt;$G$3),$G$3,الموظفون!$X74)-MAX($E$3,الموظفون!$H74)+1))</f>
        <v/>
      </c>
    </row>
    <row r="75" customFormat="false" ht="15" hidden="false" customHeight="false" outlineLevel="0" collapsed="false">
      <c r="A75" s="89" t="str">
        <f aca="false">IF($B75="","",الموظفون!$A75)</f>
        <v/>
      </c>
      <c r="B75" s="91" t="str">
        <f aca="false">IF(الموظفون!$B75="","",الموظفون!$B75)</f>
        <v/>
      </c>
      <c r="C75" s="91" t="str">
        <f aca="false">IF($B75="","",الموظفون!$C75)</f>
        <v/>
      </c>
      <c r="D75" s="91" t="str">
        <f aca="false">IF($B75="","",الموظفون!$F75)</f>
        <v/>
      </c>
      <c r="E75" s="91" t="str">
        <f aca="false">IF($B75="","",الموظفون!$E75)</f>
        <v/>
      </c>
      <c r="F75" s="110" t="str">
        <f aca="false">IF($B75="","",IF(AE75&gt;=DAY($G$3),cfg_DAYS_M,MIN(AE75,cfg_DAYS_M)))</f>
        <v/>
      </c>
      <c r="G75" s="110" t="str">
        <f aca="false">IF($B75="","",SUMIFS('الحركات الشهرية'!$D$6:$D$1005,'الحركات الشهرية'!$B$6:$B$1005,$B75,'الحركات الشهرية'!$A$6:$A$1005,$C$3))</f>
        <v/>
      </c>
      <c r="H75" s="110" t="str">
        <f aca="false">IF($B75="","",SUMIFS('الحركات الشهرية'!$E$6:$E$1005,'الحركات الشهرية'!$B$6:$B$1005,$B75,'الحركات الشهرية'!$A$6:$A$1005,$C$3))</f>
        <v/>
      </c>
      <c r="I75" s="110" t="str">
        <f aca="false">IF($B75="","",MAX(0,F75-G75-H75))</f>
        <v/>
      </c>
      <c r="J75" s="90" t="str">
        <f aca="false">IF($B75="","",الموظفون!$J75*$I75/cfg_DAYS_M)</f>
        <v/>
      </c>
      <c r="K75" s="90" t="str">
        <f aca="false">IF($B75="","",الموظفون!$K75*$I75/cfg_DAYS_M)</f>
        <v/>
      </c>
      <c r="L75" s="90" t="str">
        <f aca="false">IF($B75="","",الموظفون!$L75*$I75/cfg_DAYS_M)</f>
        <v/>
      </c>
      <c r="M75" s="90" t="str">
        <f aca="false">IF($B75="","",الموظفون!$M75*$I75/cfg_DAYS_M)</f>
        <v/>
      </c>
      <c r="N75" s="110" t="str">
        <f aca="false">IF($B75="","",SUMIFS('الحركات الشهرية'!$F$6:$F$1005,'الحركات الشهرية'!$B$6:$B$1005,$B75,'الحركات الشهرية'!$A$6:$A$1005,$C$3))</f>
        <v/>
      </c>
      <c r="O75" s="90" t="str">
        <f aca="false">IF($B75="","",N75*(الموظفون!$N75+الموظفون!$J75*cfg_OT_P)/cfg_DAYS_M/cfg_HRS)</f>
        <v/>
      </c>
      <c r="P75" s="90" t="str">
        <f aca="false">IF($B75="","",SUMIFS('الحركات الشهرية'!$G$6:$G$1005,'الحركات الشهرية'!$B$6:$B$1005,$B75,'الحركات الشهرية'!$A$6:$A$1005,$C$3))</f>
        <v/>
      </c>
      <c r="Q75" s="90" t="str">
        <f aca="false">IF($B75="","",SUMIFS('الحركات الشهرية'!$H$6:$H$1005,'الحركات الشهرية'!$B$6:$B$1005,$B75,'الحركات الشهرية'!$A$6:$A$1005,$C$3))</f>
        <v/>
      </c>
      <c r="R75" s="111" t="str">
        <f aca="false">IF($B75="","",SUM(J75:M75)+SUM(O75:Q75))</f>
        <v/>
      </c>
      <c r="S75" s="90" t="str">
        <f aca="false">IF($B75="","",الموظفون!$Q75*IF(E75="سعودي",cfg_G_SE,cfg_G_NE)*F75/cfg_DAYS_M)</f>
        <v/>
      </c>
      <c r="T75" s="90" t="str">
        <f aca="false">IF($B75="","",SUMIFS('الحركات الشهرية'!$I$6:$I$1005,'الحركات الشهرية'!$B$6:$B$1005,$B75,'الحركات الشهرية'!$A$6:$A$1005,$C$3))</f>
        <v/>
      </c>
      <c r="U75" s="90" t="str">
        <f aca="false">IF($B75="","",SUMIFS('الحركات الشهرية'!$J$6:$J$1005,'الحركات الشهرية'!$B$6:$B$1005,$B75,'الحركات الشهرية'!$A$6:$A$1005,$C$3))</f>
        <v/>
      </c>
      <c r="V75" s="90" t="str">
        <f aca="false">IF($B75="","",SUM(S75:U75))</f>
        <v/>
      </c>
      <c r="W75" s="112" t="str">
        <f aca="false">IF($B75="","",R75-V75)</f>
        <v/>
      </c>
      <c r="X75" s="90" t="str">
        <f aca="false">IF($B75="","",الموظفون!$Q75*IF(E75="سعودي",cfg_G_SR,cfg_G_NR)*F75/cfg_DAYS_M)</f>
        <v/>
      </c>
      <c r="Y75" s="90" t="str">
        <f aca="false">IF($B75="","",الموظفون!$O75*(cfg_EOS_R1*(MIN(AC75,cfg_EOS_TH)-MIN(AD75,cfg_EOS_TH))+cfg_EOS_R2*(MAX(AC75-cfg_EOS_TH,0)-MAX(AD75-cfg_EOS_TH,0))))</f>
        <v/>
      </c>
      <c r="Z75" s="90" t="str">
        <f aca="false">IF($B75="","",IF(الموظفون!$R75&lt;&gt;"",الموظفون!$R75,IF(AC75&gt;=cfg_LV_TH,cfg_LV_D2,cfg_LV_D1))/cfg_DAYS_Y*AE75*الموظفون!$P75/cfg_DAYS_M)</f>
        <v/>
      </c>
      <c r="AA75" s="90" t="str">
        <f aca="false">IF($B75="","",IF(AND(الموظفون!$S75="نعم",N(الموظفون!$U75)&gt;0),الموظفون!$T75/الموظفون!$U75*12/cfg_DAYS_Y*AE75,0))</f>
        <v/>
      </c>
      <c r="AB75" s="113" t="str">
        <f aca="false">IF($B75="","",R75+SUM(X75:AA75))</f>
        <v/>
      </c>
      <c r="AC75" s="114" t="str">
        <f aca="false">IF($B75="","",MAX(0,IF(OR(الموظفون!$X75="",الموظفون!$X75&gt;$G$3),$G$3,الموظفون!$X75)-الموظفون!$H75+1)/cfg_DAYS_Y)</f>
        <v/>
      </c>
      <c r="AD75" s="114" t="str">
        <f aca="false">IF($B75="","",MAX(0,IF(OR(الموظفون!$X75="",الموظفون!$X75&gt;($E$3-1)),($E$3-1),الموظفون!$X75)-الموظفون!$H75+1)/cfg_DAYS_Y)</f>
        <v/>
      </c>
      <c r="AE75" s="115" t="str">
        <f aca="false">IF($B75="","",MAX(0,IF(OR(الموظفون!$X75="",الموظفون!$X75&gt;$G$3),$G$3,الموظفون!$X75)-MAX($E$3,الموظفون!$H75)+1))</f>
        <v/>
      </c>
    </row>
    <row r="76" customFormat="false" ht="15" hidden="false" customHeight="false" outlineLevel="0" collapsed="false">
      <c r="A76" s="83" t="str">
        <f aca="false">IF($B76="","",الموظفون!$A76)</f>
        <v/>
      </c>
      <c r="B76" s="74" t="str">
        <f aca="false">IF(الموظفون!$B76="","",الموظفون!$B76)</f>
        <v/>
      </c>
      <c r="C76" s="74" t="str">
        <f aca="false">IF($B76="","",الموظفون!$C76)</f>
        <v/>
      </c>
      <c r="D76" s="74" t="str">
        <f aca="false">IF($B76="","",الموظفون!$F76)</f>
        <v/>
      </c>
      <c r="E76" s="74" t="str">
        <f aca="false">IF($B76="","",الموظفون!$E76)</f>
        <v/>
      </c>
      <c r="F76" s="105" t="str">
        <f aca="false">IF($B76="","",IF(AE76&gt;=DAY($G$3),cfg_DAYS_M,MIN(AE76,cfg_DAYS_M)))</f>
        <v/>
      </c>
      <c r="G76" s="105" t="str">
        <f aca="false">IF($B76="","",SUMIFS('الحركات الشهرية'!$D$6:$D$1005,'الحركات الشهرية'!$B$6:$B$1005,$B76,'الحركات الشهرية'!$A$6:$A$1005,$C$3))</f>
        <v/>
      </c>
      <c r="H76" s="105" t="str">
        <f aca="false">IF($B76="","",SUMIFS('الحركات الشهرية'!$E$6:$E$1005,'الحركات الشهرية'!$B$6:$B$1005,$B76,'الحركات الشهرية'!$A$6:$A$1005,$C$3))</f>
        <v/>
      </c>
      <c r="I76" s="105" t="str">
        <f aca="false">IF($B76="","",MAX(0,F76-G76-H76))</f>
        <v/>
      </c>
      <c r="J76" s="86" t="str">
        <f aca="false">IF($B76="","",الموظفون!$J76*$I76/cfg_DAYS_M)</f>
        <v/>
      </c>
      <c r="K76" s="86" t="str">
        <f aca="false">IF($B76="","",الموظفون!$K76*$I76/cfg_DAYS_M)</f>
        <v/>
      </c>
      <c r="L76" s="86" t="str">
        <f aca="false">IF($B76="","",الموظفون!$L76*$I76/cfg_DAYS_M)</f>
        <v/>
      </c>
      <c r="M76" s="86" t="str">
        <f aca="false">IF($B76="","",الموظفون!$M76*$I76/cfg_DAYS_M)</f>
        <v/>
      </c>
      <c r="N76" s="105" t="str">
        <f aca="false">IF($B76="","",SUMIFS('الحركات الشهرية'!$F$6:$F$1005,'الحركات الشهرية'!$B$6:$B$1005,$B76,'الحركات الشهرية'!$A$6:$A$1005,$C$3))</f>
        <v/>
      </c>
      <c r="O76" s="86" t="str">
        <f aca="false">IF($B76="","",N76*(الموظفون!$N76+الموظفون!$J76*cfg_OT_P)/cfg_DAYS_M/cfg_HRS)</f>
        <v/>
      </c>
      <c r="P76" s="86" t="str">
        <f aca="false">IF($B76="","",SUMIFS('الحركات الشهرية'!$G$6:$G$1005,'الحركات الشهرية'!$B$6:$B$1005,$B76,'الحركات الشهرية'!$A$6:$A$1005,$C$3))</f>
        <v/>
      </c>
      <c r="Q76" s="86" t="str">
        <f aca="false">IF($B76="","",SUMIFS('الحركات الشهرية'!$H$6:$H$1005,'الحركات الشهرية'!$B$6:$B$1005,$B76,'الحركات الشهرية'!$A$6:$A$1005,$C$3))</f>
        <v/>
      </c>
      <c r="R76" s="106" t="str">
        <f aca="false">IF($B76="","",SUM(J76:M76)+SUM(O76:Q76))</f>
        <v/>
      </c>
      <c r="S76" s="86" t="str">
        <f aca="false">IF($B76="","",الموظفون!$Q76*IF(E76="سعودي",cfg_G_SE,cfg_G_NE)*F76/cfg_DAYS_M)</f>
        <v/>
      </c>
      <c r="T76" s="86" t="str">
        <f aca="false">IF($B76="","",SUMIFS('الحركات الشهرية'!$I$6:$I$1005,'الحركات الشهرية'!$B$6:$B$1005,$B76,'الحركات الشهرية'!$A$6:$A$1005,$C$3))</f>
        <v/>
      </c>
      <c r="U76" s="86" t="str">
        <f aca="false">IF($B76="","",SUMIFS('الحركات الشهرية'!$J$6:$J$1005,'الحركات الشهرية'!$B$6:$B$1005,$B76,'الحركات الشهرية'!$A$6:$A$1005,$C$3))</f>
        <v/>
      </c>
      <c r="V76" s="86" t="str">
        <f aca="false">IF($B76="","",SUM(S76:U76))</f>
        <v/>
      </c>
      <c r="W76" s="107" t="str">
        <f aca="false">IF($B76="","",R76-V76)</f>
        <v/>
      </c>
      <c r="X76" s="86" t="str">
        <f aca="false">IF($B76="","",الموظفون!$Q76*IF(E76="سعودي",cfg_G_SR,cfg_G_NR)*F76/cfg_DAYS_M)</f>
        <v/>
      </c>
      <c r="Y76" s="86" t="str">
        <f aca="false">IF($B76="","",الموظفون!$O76*(cfg_EOS_R1*(MIN(AC76,cfg_EOS_TH)-MIN(AD76,cfg_EOS_TH))+cfg_EOS_R2*(MAX(AC76-cfg_EOS_TH,0)-MAX(AD76-cfg_EOS_TH,0))))</f>
        <v/>
      </c>
      <c r="Z76" s="86" t="str">
        <f aca="false">IF($B76="","",IF(الموظفون!$R76&lt;&gt;"",الموظفون!$R76,IF(AC76&gt;=cfg_LV_TH,cfg_LV_D2,cfg_LV_D1))/cfg_DAYS_Y*AE76*الموظفون!$P76/cfg_DAYS_M)</f>
        <v/>
      </c>
      <c r="AA76" s="86" t="str">
        <f aca="false">IF($B76="","",IF(AND(الموظفون!$S76="نعم",N(الموظفون!$U76)&gt;0),الموظفون!$T76/الموظفون!$U76*12/cfg_DAYS_Y*AE76,0))</f>
        <v/>
      </c>
      <c r="AB76" s="108" t="str">
        <f aca="false">IF($B76="","",R76+SUM(X76:AA76))</f>
        <v/>
      </c>
      <c r="AC76" s="109" t="str">
        <f aca="false">IF($B76="","",MAX(0,IF(OR(الموظفون!$X76="",الموظفون!$X76&gt;$G$3),$G$3,الموظفون!$X76)-الموظفون!$H76+1)/cfg_DAYS_Y)</f>
        <v/>
      </c>
      <c r="AD76" s="109" t="str">
        <f aca="false">IF($B76="","",MAX(0,IF(OR(الموظفون!$X76="",الموظفون!$X76&gt;($E$3-1)),($E$3-1),الموظفون!$X76)-الموظفون!$H76+1)/cfg_DAYS_Y)</f>
        <v/>
      </c>
      <c r="AE76" s="51" t="str">
        <f aca="false">IF($B76="","",MAX(0,IF(OR(الموظفون!$X76="",الموظفون!$X76&gt;$G$3),$G$3,الموظفون!$X76)-MAX($E$3,الموظفون!$H76)+1))</f>
        <v/>
      </c>
    </row>
    <row r="77" customFormat="false" ht="15" hidden="false" customHeight="false" outlineLevel="0" collapsed="false">
      <c r="A77" s="89" t="str">
        <f aca="false">IF($B77="","",الموظفون!$A77)</f>
        <v/>
      </c>
      <c r="B77" s="91" t="str">
        <f aca="false">IF(الموظفون!$B77="","",الموظفون!$B77)</f>
        <v/>
      </c>
      <c r="C77" s="91" t="str">
        <f aca="false">IF($B77="","",الموظفون!$C77)</f>
        <v/>
      </c>
      <c r="D77" s="91" t="str">
        <f aca="false">IF($B77="","",الموظفون!$F77)</f>
        <v/>
      </c>
      <c r="E77" s="91" t="str">
        <f aca="false">IF($B77="","",الموظفون!$E77)</f>
        <v/>
      </c>
      <c r="F77" s="110" t="str">
        <f aca="false">IF($B77="","",IF(AE77&gt;=DAY($G$3),cfg_DAYS_M,MIN(AE77,cfg_DAYS_M)))</f>
        <v/>
      </c>
      <c r="G77" s="110" t="str">
        <f aca="false">IF($B77="","",SUMIFS('الحركات الشهرية'!$D$6:$D$1005,'الحركات الشهرية'!$B$6:$B$1005,$B77,'الحركات الشهرية'!$A$6:$A$1005,$C$3))</f>
        <v/>
      </c>
      <c r="H77" s="110" t="str">
        <f aca="false">IF($B77="","",SUMIFS('الحركات الشهرية'!$E$6:$E$1005,'الحركات الشهرية'!$B$6:$B$1005,$B77,'الحركات الشهرية'!$A$6:$A$1005,$C$3))</f>
        <v/>
      </c>
      <c r="I77" s="110" t="str">
        <f aca="false">IF($B77="","",MAX(0,F77-G77-H77))</f>
        <v/>
      </c>
      <c r="J77" s="90" t="str">
        <f aca="false">IF($B77="","",الموظفون!$J77*$I77/cfg_DAYS_M)</f>
        <v/>
      </c>
      <c r="K77" s="90" t="str">
        <f aca="false">IF($B77="","",الموظفون!$K77*$I77/cfg_DAYS_M)</f>
        <v/>
      </c>
      <c r="L77" s="90" t="str">
        <f aca="false">IF($B77="","",الموظفون!$L77*$I77/cfg_DAYS_M)</f>
        <v/>
      </c>
      <c r="M77" s="90" t="str">
        <f aca="false">IF($B77="","",الموظفون!$M77*$I77/cfg_DAYS_M)</f>
        <v/>
      </c>
      <c r="N77" s="110" t="str">
        <f aca="false">IF($B77="","",SUMIFS('الحركات الشهرية'!$F$6:$F$1005,'الحركات الشهرية'!$B$6:$B$1005,$B77,'الحركات الشهرية'!$A$6:$A$1005,$C$3))</f>
        <v/>
      </c>
      <c r="O77" s="90" t="str">
        <f aca="false">IF($B77="","",N77*(الموظفون!$N77+الموظفون!$J77*cfg_OT_P)/cfg_DAYS_M/cfg_HRS)</f>
        <v/>
      </c>
      <c r="P77" s="90" t="str">
        <f aca="false">IF($B77="","",SUMIFS('الحركات الشهرية'!$G$6:$G$1005,'الحركات الشهرية'!$B$6:$B$1005,$B77,'الحركات الشهرية'!$A$6:$A$1005,$C$3))</f>
        <v/>
      </c>
      <c r="Q77" s="90" t="str">
        <f aca="false">IF($B77="","",SUMIFS('الحركات الشهرية'!$H$6:$H$1005,'الحركات الشهرية'!$B$6:$B$1005,$B77,'الحركات الشهرية'!$A$6:$A$1005,$C$3))</f>
        <v/>
      </c>
      <c r="R77" s="111" t="str">
        <f aca="false">IF($B77="","",SUM(J77:M77)+SUM(O77:Q77))</f>
        <v/>
      </c>
      <c r="S77" s="90" t="str">
        <f aca="false">IF($B77="","",الموظفون!$Q77*IF(E77="سعودي",cfg_G_SE,cfg_G_NE)*F77/cfg_DAYS_M)</f>
        <v/>
      </c>
      <c r="T77" s="90" t="str">
        <f aca="false">IF($B77="","",SUMIFS('الحركات الشهرية'!$I$6:$I$1005,'الحركات الشهرية'!$B$6:$B$1005,$B77,'الحركات الشهرية'!$A$6:$A$1005,$C$3))</f>
        <v/>
      </c>
      <c r="U77" s="90" t="str">
        <f aca="false">IF($B77="","",SUMIFS('الحركات الشهرية'!$J$6:$J$1005,'الحركات الشهرية'!$B$6:$B$1005,$B77,'الحركات الشهرية'!$A$6:$A$1005,$C$3))</f>
        <v/>
      </c>
      <c r="V77" s="90" t="str">
        <f aca="false">IF($B77="","",SUM(S77:U77))</f>
        <v/>
      </c>
      <c r="W77" s="112" t="str">
        <f aca="false">IF($B77="","",R77-V77)</f>
        <v/>
      </c>
      <c r="X77" s="90" t="str">
        <f aca="false">IF($B77="","",الموظفون!$Q77*IF(E77="سعودي",cfg_G_SR,cfg_G_NR)*F77/cfg_DAYS_M)</f>
        <v/>
      </c>
      <c r="Y77" s="90" t="str">
        <f aca="false">IF($B77="","",الموظفون!$O77*(cfg_EOS_R1*(MIN(AC77,cfg_EOS_TH)-MIN(AD77,cfg_EOS_TH))+cfg_EOS_R2*(MAX(AC77-cfg_EOS_TH,0)-MAX(AD77-cfg_EOS_TH,0))))</f>
        <v/>
      </c>
      <c r="Z77" s="90" t="str">
        <f aca="false">IF($B77="","",IF(الموظفون!$R77&lt;&gt;"",الموظفون!$R77,IF(AC77&gt;=cfg_LV_TH,cfg_LV_D2,cfg_LV_D1))/cfg_DAYS_Y*AE77*الموظفون!$P77/cfg_DAYS_M)</f>
        <v/>
      </c>
      <c r="AA77" s="90" t="str">
        <f aca="false">IF($B77="","",IF(AND(الموظفون!$S77="نعم",N(الموظفون!$U77)&gt;0),الموظفون!$T77/الموظفون!$U77*12/cfg_DAYS_Y*AE77,0))</f>
        <v/>
      </c>
      <c r="AB77" s="113" t="str">
        <f aca="false">IF($B77="","",R77+SUM(X77:AA77))</f>
        <v/>
      </c>
      <c r="AC77" s="114" t="str">
        <f aca="false">IF($B77="","",MAX(0,IF(OR(الموظفون!$X77="",الموظفون!$X77&gt;$G$3),$G$3,الموظفون!$X77)-الموظفون!$H77+1)/cfg_DAYS_Y)</f>
        <v/>
      </c>
      <c r="AD77" s="114" t="str">
        <f aca="false">IF($B77="","",MAX(0,IF(OR(الموظفون!$X77="",الموظفون!$X77&gt;($E$3-1)),($E$3-1),الموظفون!$X77)-الموظفون!$H77+1)/cfg_DAYS_Y)</f>
        <v/>
      </c>
      <c r="AE77" s="115" t="str">
        <f aca="false">IF($B77="","",MAX(0,IF(OR(الموظفون!$X77="",الموظفون!$X77&gt;$G$3),$G$3,الموظفون!$X77)-MAX($E$3,الموظفون!$H77)+1))</f>
        <v/>
      </c>
    </row>
    <row r="78" customFormat="false" ht="15" hidden="false" customHeight="false" outlineLevel="0" collapsed="false">
      <c r="A78" s="83" t="str">
        <f aca="false">IF($B78="","",الموظفون!$A78)</f>
        <v/>
      </c>
      <c r="B78" s="74" t="str">
        <f aca="false">IF(الموظفون!$B78="","",الموظفون!$B78)</f>
        <v/>
      </c>
      <c r="C78" s="74" t="str">
        <f aca="false">IF($B78="","",الموظفون!$C78)</f>
        <v/>
      </c>
      <c r="D78" s="74" t="str">
        <f aca="false">IF($B78="","",الموظفون!$F78)</f>
        <v/>
      </c>
      <c r="E78" s="74" t="str">
        <f aca="false">IF($B78="","",الموظفون!$E78)</f>
        <v/>
      </c>
      <c r="F78" s="105" t="str">
        <f aca="false">IF($B78="","",IF(AE78&gt;=DAY($G$3),cfg_DAYS_M,MIN(AE78,cfg_DAYS_M)))</f>
        <v/>
      </c>
      <c r="G78" s="105" t="str">
        <f aca="false">IF($B78="","",SUMIFS('الحركات الشهرية'!$D$6:$D$1005,'الحركات الشهرية'!$B$6:$B$1005,$B78,'الحركات الشهرية'!$A$6:$A$1005,$C$3))</f>
        <v/>
      </c>
      <c r="H78" s="105" t="str">
        <f aca="false">IF($B78="","",SUMIFS('الحركات الشهرية'!$E$6:$E$1005,'الحركات الشهرية'!$B$6:$B$1005,$B78,'الحركات الشهرية'!$A$6:$A$1005,$C$3))</f>
        <v/>
      </c>
      <c r="I78" s="105" t="str">
        <f aca="false">IF($B78="","",MAX(0,F78-G78-H78))</f>
        <v/>
      </c>
      <c r="J78" s="86" t="str">
        <f aca="false">IF($B78="","",الموظفون!$J78*$I78/cfg_DAYS_M)</f>
        <v/>
      </c>
      <c r="K78" s="86" t="str">
        <f aca="false">IF($B78="","",الموظفون!$K78*$I78/cfg_DAYS_M)</f>
        <v/>
      </c>
      <c r="L78" s="86" t="str">
        <f aca="false">IF($B78="","",الموظفون!$L78*$I78/cfg_DAYS_M)</f>
        <v/>
      </c>
      <c r="M78" s="86" t="str">
        <f aca="false">IF($B78="","",الموظفون!$M78*$I78/cfg_DAYS_M)</f>
        <v/>
      </c>
      <c r="N78" s="105" t="str">
        <f aca="false">IF($B78="","",SUMIFS('الحركات الشهرية'!$F$6:$F$1005,'الحركات الشهرية'!$B$6:$B$1005,$B78,'الحركات الشهرية'!$A$6:$A$1005,$C$3))</f>
        <v/>
      </c>
      <c r="O78" s="86" t="str">
        <f aca="false">IF($B78="","",N78*(الموظفون!$N78+الموظفون!$J78*cfg_OT_P)/cfg_DAYS_M/cfg_HRS)</f>
        <v/>
      </c>
      <c r="P78" s="86" t="str">
        <f aca="false">IF($B78="","",SUMIFS('الحركات الشهرية'!$G$6:$G$1005,'الحركات الشهرية'!$B$6:$B$1005,$B78,'الحركات الشهرية'!$A$6:$A$1005,$C$3))</f>
        <v/>
      </c>
      <c r="Q78" s="86" t="str">
        <f aca="false">IF($B78="","",SUMIFS('الحركات الشهرية'!$H$6:$H$1005,'الحركات الشهرية'!$B$6:$B$1005,$B78,'الحركات الشهرية'!$A$6:$A$1005,$C$3))</f>
        <v/>
      </c>
      <c r="R78" s="106" t="str">
        <f aca="false">IF($B78="","",SUM(J78:M78)+SUM(O78:Q78))</f>
        <v/>
      </c>
      <c r="S78" s="86" t="str">
        <f aca="false">IF($B78="","",الموظفون!$Q78*IF(E78="سعودي",cfg_G_SE,cfg_G_NE)*F78/cfg_DAYS_M)</f>
        <v/>
      </c>
      <c r="T78" s="86" t="str">
        <f aca="false">IF($B78="","",SUMIFS('الحركات الشهرية'!$I$6:$I$1005,'الحركات الشهرية'!$B$6:$B$1005,$B78,'الحركات الشهرية'!$A$6:$A$1005,$C$3))</f>
        <v/>
      </c>
      <c r="U78" s="86" t="str">
        <f aca="false">IF($B78="","",SUMIFS('الحركات الشهرية'!$J$6:$J$1005,'الحركات الشهرية'!$B$6:$B$1005,$B78,'الحركات الشهرية'!$A$6:$A$1005,$C$3))</f>
        <v/>
      </c>
      <c r="V78" s="86" t="str">
        <f aca="false">IF($B78="","",SUM(S78:U78))</f>
        <v/>
      </c>
      <c r="W78" s="107" t="str">
        <f aca="false">IF($B78="","",R78-V78)</f>
        <v/>
      </c>
      <c r="X78" s="86" t="str">
        <f aca="false">IF($B78="","",الموظفون!$Q78*IF(E78="سعودي",cfg_G_SR,cfg_G_NR)*F78/cfg_DAYS_M)</f>
        <v/>
      </c>
      <c r="Y78" s="86" t="str">
        <f aca="false">IF($B78="","",الموظفون!$O78*(cfg_EOS_R1*(MIN(AC78,cfg_EOS_TH)-MIN(AD78,cfg_EOS_TH))+cfg_EOS_R2*(MAX(AC78-cfg_EOS_TH,0)-MAX(AD78-cfg_EOS_TH,0))))</f>
        <v/>
      </c>
      <c r="Z78" s="86" t="str">
        <f aca="false">IF($B78="","",IF(الموظفون!$R78&lt;&gt;"",الموظفون!$R78,IF(AC78&gt;=cfg_LV_TH,cfg_LV_D2,cfg_LV_D1))/cfg_DAYS_Y*AE78*الموظفون!$P78/cfg_DAYS_M)</f>
        <v/>
      </c>
      <c r="AA78" s="86" t="str">
        <f aca="false">IF($B78="","",IF(AND(الموظفون!$S78="نعم",N(الموظفون!$U78)&gt;0),الموظفون!$T78/الموظفون!$U78*12/cfg_DAYS_Y*AE78,0))</f>
        <v/>
      </c>
      <c r="AB78" s="108" t="str">
        <f aca="false">IF($B78="","",R78+SUM(X78:AA78))</f>
        <v/>
      </c>
      <c r="AC78" s="109" t="str">
        <f aca="false">IF($B78="","",MAX(0,IF(OR(الموظفون!$X78="",الموظفون!$X78&gt;$G$3),$G$3,الموظفون!$X78)-الموظفون!$H78+1)/cfg_DAYS_Y)</f>
        <v/>
      </c>
      <c r="AD78" s="109" t="str">
        <f aca="false">IF($B78="","",MAX(0,IF(OR(الموظفون!$X78="",الموظفون!$X78&gt;($E$3-1)),($E$3-1),الموظفون!$X78)-الموظفون!$H78+1)/cfg_DAYS_Y)</f>
        <v/>
      </c>
      <c r="AE78" s="51" t="str">
        <f aca="false">IF($B78="","",MAX(0,IF(OR(الموظفون!$X78="",الموظفون!$X78&gt;$G$3),$G$3,الموظفون!$X78)-MAX($E$3,الموظفون!$H78)+1))</f>
        <v/>
      </c>
    </row>
    <row r="79" customFormat="false" ht="15" hidden="false" customHeight="false" outlineLevel="0" collapsed="false">
      <c r="A79" s="89" t="str">
        <f aca="false">IF($B79="","",الموظفون!$A79)</f>
        <v/>
      </c>
      <c r="B79" s="91" t="str">
        <f aca="false">IF(الموظفون!$B79="","",الموظفون!$B79)</f>
        <v/>
      </c>
      <c r="C79" s="91" t="str">
        <f aca="false">IF($B79="","",الموظفون!$C79)</f>
        <v/>
      </c>
      <c r="D79" s="91" t="str">
        <f aca="false">IF($B79="","",الموظفون!$F79)</f>
        <v/>
      </c>
      <c r="E79" s="91" t="str">
        <f aca="false">IF($B79="","",الموظفون!$E79)</f>
        <v/>
      </c>
      <c r="F79" s="110" t="str">
        <f aca="false">IF($B79="","",IF(AE79&gt;=DAY($G$3),cfg_DAYS_M,MIN(AE79,cfg_DAYS_M)))</f>
        <v/>
      </c>
      <c r="G79" s="110" t="str">
        <f aca="false">IF($B79="","",SUMIFS('الحركات الشهرية'!$D$6:$D$1005,'الحركات الشهرية'!$B$6:$B$1005,$B79,'الحركات الشهرية'!$A$6:$A$1005,$C$3))</f>
        <v/>
      </c>
      <c r="H79" s="110" t="str">
        <f aca="false">IF($B79="","",SUMIFS('الحركات الشهرية'!$E$6:$E$1005,'الحركات الشهرية'!$B$6:$B$1005,$B79,'الحركات الشهرية'!$A$6:$A$1005,$C$3))</f>
        <v/>
      </c>
      <c r="I79" s="110" t="str">
        <f aca="false">IF($B79="","",MAX(0,F79-G79-H79))</f>
        <v/>
      </c>
      <c r="J79" s="90" t="str">
        <f aca="false">IF($B79="","",الموظفون!$J79*$I79/cfg_DAYS_M)</f>
        <v/>
      </c>
      <c r="K79" s="90" t="str">
        <f aca="false">IF($B79="","",الموظفون!$K79*$I79/cfg_DAYS_M)</f>
        <v/>
      </c>
      <c r="L79" s="90" t="str">
        <f aca="false">IF($B79="","",الموظفون!$L79*$I79/cfg_DAYS_M)</f>
        <v/>
      </c>
      <c r="M79" s="90" t="str">
        <f aca="false">IF($B79="","",الموظفون!$M79*$I79/cfg_DAYS_M)</f>
        <v/>
      </c>
      <c r="N79" s="110" t="str">
        <f aca="false">IF($B79="","",SUMIFS('الحركات الشهرية'!$F$6:$F$1005,'الحركات الشهرية'!$B$6:$B$1005,$B79,'الحركات الشهرية'!$A$6:$A$1005,$C$3))</f>
        <v/>
      </c>
      <c r="O79" s="90" t="str">
        <f aca="false">IF($B79="","",N79*(الموظفون!$N79+الموظفون!$J79*cfg_OT_P)/cfg_DAYS_M/cfg_HRS)</f>
        <v/>
      </c>
      <c r="P79" s="90" t="str">
        <f aca="false">IF($B79="","",SUMIFS('الحركات الشهرية'!$G$6:$G$1005,'الحركات الشهرية'!$B$6:$B$1005,$B79,'الحركات الشهرية'!$A$6:$A$1005,$C$3))</f>
        <v/>
      </c>
      <c r="Q79" s="90" t="str">
        <f aca="false">IF($B79="","",SUMIFS('الحركات الشهرية'!$H$6:$H$1005,'الحركات الشهرية'!$B$6:$B$1005,$B79,'الحركات الشهرية'!$A$6:$A$1005,$C$3))</f>
        <v/>
      </c>
      <c r="R79" s="111" t="str">
        <f aca="false">IF($B79="","",SUM(J79:M79)+SUM(O79:Q79))</f>
        <v/>
      </c>
      <c r="S79" s="90" t="str">
        <f aca="false">IF($B79="","",الموظفون!$Q79*IF(E79="سعودي",cfg_G_SE,cfg_G_NE)*F79/cfg_DAYS_M)</f>
        <v/>
      </c>
      <c r="T79" s="90" t="str">
        <f aca="false">IF($B79="","",SUMIFS('الحركات الشهرية'!$I$6:$I$1005,'الحركات الشهرية'!$B$6:$B$1005,$B79,'الحركات الشهرية'!$A$6:$A$1005,$C$3))</f>
        <v/>
      </c>
      <c r="U79" s="90" t="str">
        <f aca="false">IF($B79="","",SUMIFS('الحركات الشهرية'!$J$6:$J$1005,'الحركات الشهرية'!$B$6:$B$1005,$B79,'الحركات الشهرية'!$A$6:$A$1005,$C$3))</f>
        <v/>
      </c>
      <c r="V79" s="90" t="str">
        <f aca="false">IF($B79="","",SUM(S79:U79))</f>
        <v/>
      </c>
      <c r="W79" s="112" t="str">
        <f aca="false">IF($B79="","",R79-V79)</f>
        <v/>
      </c>
      <c r="X79" s="90" t="str">
        <f aca="false">IF($B79="","",الموظفون!$Q79*IF(E79="سعودي",cfg_G_SR,cfg_G_NR)*F79/cfg_DAYS_M)</f>
        <v/>
      </c>
      <c r="Y79" s="90" t="str">
        <f aca="false">IF($B79="","",الموظفون!$O79*(cfg_EOS_R1*(MIN(AC79,cfg_EOS_TH)-MIN(AD79,cfg_EOS_TH))+cfg_EOS_R2*(MAX(AC79-cfg_EOS_TH,0)-MAX(AD79-cfg_EOS_TH,0))))</f>
        <v/>
      </c>
      <c r="Z79" s="90" t="str">
        <f aca="false">IF($B79="","",IF(الموظفون!$R79&lt;&gt;"",الموظفون!$R79,IF(AC79&gt;=cfg_LV_TH,cfg_LV_D2,cfg_LV_D1))/cfg_DAYS_Y*AE79*الموظفون!$P79/cfg_DAYS_M)</f>
        <v/>
      </c>
      <c r="AA79" s="90" t="str">
        <f aca="false">IF($B79="","",IF(AND(الموظفون!$S79="نعم",N(الموظفون!$U79)&gt;0),الموظفون!$T79/الموظفون!$U79*12/cfg_DAYS_Y*AE79,0))</f>
        <v/>
      </c>
      <c r="AB79" s="113" t="str">
        <f aca="false">IF($B79="","",R79+SUM(X79:AA79))</f>
        <v/>
      </c>
      <c r="AC79" s="114" t="str">
        <f aca="false">IF($B79="","",MAX(0,IF(OR(الموظفون!$X79="",الموظفون!$X79&gt;$G$3),$G$3,الموظفون!$X79)-الموظفون!$H79+1)/cfg_DAYS_Y)</f>
        <v/>
      </c>
      <c r="AD79" s="114" t="str">
        <f aca="false">IF($B79="","",MAX(0,IF(OR(الموظفون!$X79="",الموظفون!$X79&gt;($E$3-1)),($E$3-1),الموظفون!$X79)-الموظفون!$H79+1)/cfg_DAYS_Y)</f>
        <v/>
      </c>
      <c r="AE79" s="115" t="str">
        <f aca="false">IF($B79="","",MAX(0,IF(OR(الموظفون!$X79="",الموظفون!$X79&gt;$G$3),$G$3,الموظفون!$X79)-MAX($E$3,الموظفون!$H79)+1))</f>
        <v/>
      </c>
    </row>
    <row r="80" customFormat="false" ht="15" hidden="false" customHeight="false" outlineLevel="0" collapsed="false">
      <c r="A80" s="83" t="str">
        <f aca="false">IF($B80="","",الموظفون!$A80)</f>
        <v/>
      </c>
      <c r="B80" s="74" t="str">
        <f aca="false">IF(الموظفون!$B80="","",الموظفون!$B80)</f>
        <v/>
      </c>
      <c r="C80" s="74" t="str">
        <f aca="false">IF($B80="","",الموظفون!$C80)</f>
        <v/>
      </c>
      <c r="D80" s="74" t="str">
        <f aca="false">IF($B80="","",الموظفون!$F80)</f>
        <v/>
      </c>
      <c r="E80" s="74" t="str">
        <f aca="false">IF($B80="","",الموظفون!$E80)</f>
        <v/>
      </c>
      <c r="F80" s="105" t="str">
        <f aca="false">IF($B80="","",IF(AE80&gt;=DAY($G$3),cfg_DAYS_M,MIN(AE80,cfg_DAYS_M)))</f>
        <v/>
      </c>
      <c r="G80" s="105" t="str">
        <f aca="false">IF($B80="","",SUMIFS('الحركات الشهرية'!$D$6:$D$1005,'الحركات الشهرية'!$B$6:$B$1005,$B80,'الحركات الشهرية'!$A$6:$A$1005,$C$3))</f>
        <v/>
      </c>
      <c r="H80" s="105" t="str">
        <f aca="false">IF($B80="","",SUMIFS('الحركات الشهرية'!$E$6:$E$1005,'الحركات الشهرية'!$B$6:$B$1005,$B80,'الحركات الشهرية'!$A$6:$A$1005,$C$3))</f>
        <v/>
      </c>
      <c r="I80" s="105" t="str">
        <f aca="false">IF($B80="","",MAX(0,F80-G80-H80))</f>
        <v/>
      </c>
      <c r="J80" s="86" t="str">
        <f aca="false">IF($B80="","",الموظفون!$J80*$I80/cfg_DAYS_M)</f>
        <v/>
      </c>
      <c r="K80" s="86" t="str">
        <f aca="false">IF($B80="","",الموظفون!$K80*$I80/cfg_DAYS_M)</f>
        <v/>
      </c>
      <c r="L80" s="86" t="str">
        <f aca="false">IF($B80="","",الموظفون!$L80*$I80/cfg_DAYS_M)</f>
        <v/>
      </c>
      <c r="M80" s="86" t="str">
        <f aca="false">IF($B80="","",الموظفون!$M80*$I80/cfg_DAYS_M)</f>
        <v/>
      </c>
      <c r="N80" s="105" t="str">
        <f aca="false">IF($B80="","",SUMIFS('الحركات الشهرية'!$F$6:$F$1005,'الحركات الشهرية'!$B$6:$B$1005,$B80,'الحركات الشهرية'!$A$6:$A$1005,$C$3))</f>
        <v/>
      </c>
      <c r="O80" s="86" t="str">
        <f aca="false">IF($B80="","",N80*(الموظفون!$N80+الموظفون!$J80*cfg_OT_P)/cfg_DAYS_M/cfg_HRS)</f>
        <v/>
      </c>
      <c r="P80" s="86" t="str">
        <f aca="false">IF($B80="","",SUMIFS('الحركات الشهرية'!$G$6:$G$1005,'الحركات الشهرية'!$B$6:$B$1005,$B80,'الحركات الشهرية'!$A$6:$A$1005,$C$3))</f>
        <v/>
      </c>
      <c r="Q80" s="86" t="str">
        <f aca="false">IF($B80="","",SUMIFS('الحركات الشهرية'!$H$6:$H$1005,'الحركات الشهرية'!$B$6:$B$1005,$B80,'الحركات الشهرية'!$A$6:$A$1005,$C$3))</f>
        <v/>
      </c>
      <c r="R80" s="106" t="str">
        <f aca="false">IF($B80="","",SUM(J80:M80)+SUM(O80:Q80))</f>
        <v/>
      </c>
      <c r="S80" s="86" t="str">
        <f aca="false">IF($B80="","",الموظفون!$Q80*IF(E80="سعودي",cfg_G_SE,cfg_G_NE)*F80/cfg_DAYS_M)</f>
        <v/>
      </c>
      <c r="T80" s="86" t="str">
        <f aca="false">IF($B80="","",SUMIFS('الحركات الشهرية'!$I$6:$I$1005,'الحركات الشهرية'!$B$6:$B$1005,$B80,'الحركات الشهرية'!$A$6:$A$1005,$C$3))</f>
        <v/>
      </c>
      <c r="U80" s="86" t="str">
        <f aca="false">IF($B80="","",SUMIFS('الحركات الشهرية'!$J$6:$J$1005,'الحركات الشهرية'!$B$6:$B$1005,$B80,'الحركات الشهرية'!$A$6:$A$1005,$C$3))</f>
        <v/>
      </c>
      <c r="V80" s="86" t="str">
        <f aca="false">IF($B80="","",SUM(S80:U80))</f>
        <v/>
      </c>
      <c r="W80" s="107" t="str">
        <f aca="false">IF($B80="","",R80-V80)</f>
        <v/>
      </c>
      <c r="X80" s="86" t="str">
        <f aca="false">IF($B80="","",الموظفون!$Q80*IF(E80="سعودي",cfg_G_SR,cfg_G_NR)*F80/cfg_DAYS_M)</f>
        <v/>
      </c>
      <c r="Y80" s="86" t="str">
        <f aca="false">IF($B80="","",الموظفون!$O80*(cfg_EOS_R1*(MIN(AC80,cfg_EOS_TH)-MIN(AD80,cfg_EOS_TH))+cfg_EOS_R2*(MAX(AC80-cfg_EOS_TH,0)-MAX(AD80-cfg_EOS_TH,0))))</f>
        <v/>
      </c>
      <c r="Z80" s="86" t="str">
        <f aca="false">IF($B80="","",IF(الموظفون!$R80&lt;&gt;"",الموظفون!$R80,IF(AC80&gt;=cfg_LV_TH,cfg_LV_D2,cfg_LV_D1))/cfg_DAYS_Y*AE80*الموظفون!$P80/cfg_DAYS_M)</f>
        <v/>
      </c>
      <c r="AA80" s="86" t="str">
        <f aca="false">IF($B80="","",IF(AND(الموظفون!$S80="نعم",N(الموظفون!$U80)&gt;0),الموظفون!$T80/الموظفون!$U80*12/cfg_DAYS_Y*AE80,0))</f>
        <v/>
      </c>
      <c r="AB80" s="108" t="str">
        <f aca="false">IF($B80="","",R80+SUM(X80:AA80))</f>
        <v/>
      </c>
      <c r="AC80" s="109" t="str">
        <f aca="false">IF($B80="","",MAX(0,IF(OR(الموظفون!$X80="",الموظفون!$X80&gt;$G$3),$G$3,الموظفون!$X80)-الموظفون!$H80+1)/cfg_DAYS_Y)</f>
        <v/>
      </c>
      <c r="AD80" s="109" t="str">
        <f aca="false">IF($B80="","",MAX(0,IF(OR(الموظفون!$X80="",الموظفون!$X80&gt;($E$3-1)),($E$3-1),الموظفون!$X80)-الموظفون!$H80+1)/cfg_DAYS_Y)</f>
        <v/>
      </c>
      <c r="AE80" s="51" t="str">
        <f aca="false">IF($B80="","",MAX(0,IF(OR(الموظفون!$X80="",الموظفون!$X80&gt;$G$3),$G$3,الموظفون!$X80)-MAX($E$3,الموظفون!$H80)+1))</f>
        <v/>
      </c>
    </row>
    <row r="81" customFormat="false" ht="15" hidden="false" customHeight="false" outlineLevel="0" collapsed="false">
      <c r="A81" s="89" t="str">
        <f aca="false">IF($B81="","",الموظفون!$A81)</f>
        <v/>
      </c>
      <c r="B81" s="91" t="str">
        <f aca="false">IF(الموظفون!$B81="","",الموظفون!$B81)</f>
        <v/>
      </c>
      <c r="C81" s="91" t="str">
        <f aca="false">IF($B81="","",الموظفون!$C81)</f>
        <v/>
      </c>
      <c r="D81" s="91" t="str">
        <f aca="false">IF($B81="","",الموظفون!$F81)</f>
        <v/>
      </c>
      <c r="E81" s="91" t="str">
        <f aca="false">IF($B81="","",الموظفون!$E81)</f>
        <v/>
      </c>
      <c r="F81" s="110" t="str">
        <f aca="false">IF($B81="","",IF(AE81&gt;=DAY($G$3),cfg_DAYS_M,MIN(AE81,cfg_DAYS_M)))</f>
        <v/>
      </c>
      <c r="G81" s="110" t="str">
        <f aca="false">IF($B81="","",SUMIFS('الحركات الشهرية'!$D$6:$D$1005,'الحركات الشهرية'!$B$6:$B$1005,$B81,'الحركات الشهرية'!$A$6:$A$1005,$C$3))</f>
        <v/>
      </c>
      <c r="H81" s="110" t="str">
        <f aca="false">IF($B81="","",SUMIFS('الحركات الشهرية'!$E$6:$E$1005,'الحركات الشهرية'!$B$6:$B$1005,$B81,'الحركات الشهرية'!$A$6:$A$1005,$C$3))</f>
        <v/>
      </c>
      <c r="I81" s="110" t="str">
        <f aca="false">IF($B81="","",MAX(0,F81-G81-H81))</f>
        <v/>
      </c>
      <c r="J81" s="90" t="str">
        <f aca="false">IF($B81="","",الموظفون!$J81*$I81/cfg_DAYS_M)</f>
        <v/>
      </c>
      <c r="K81" s="90" t="str">
        <f aca="false">IF($B81="","",الموظفون!$K81*$I81/cfg_DAYS_M)</f>
        <v/>
      </c>
      <c r="L81" s="90" t="str">
        <f aca="false">IF($B81="","",الموظفون!$L81*$I81/cfg_DAYS_M)</f>
        <v/>
      </c>
      <c r="M81" s="90" t="str">
        <f aca="false">IF($B81="","",الموظفون!$M81*$I81/cfg_DAYS_M)</f>
        <v/>
      </c>
      <c r="N81" s="110" t="str">
        <f aca="false">IF($B81="","",SUMIFS('الحركات الشهرية'!$F$6:$F$1005,'الحركات الشهرية'!$B$6:$B$1005,$B81,'الحركات الشهرية'!$A$6:$A$1005,$C$3))</f>
        <v/>
      </c>
      <c r="O81" s="90" t="str">
        <f aca="false">IF($B81="","",N81*(الموظفون!$N81+الموظفون!$J81*cfg_OT_P)/cfg_DAYS_M/cfg_HRS)</f>
        <v/>
      </c>
      <c r="P81" s="90" t="str">
        <f aca="false">IF($B81="","",SUMIFS('الحركات الشهرية'!$G$6:$G$1005,'الحركات الشهرية'!$B$6:$B$1005,$B81,'الحركات الشهرية'!$A$6:$A$1005,$C$3))</f>
        <v/>
      </c>
      <c r="Q81" s="90" t="str">
        <f aca="false">IF($B81="","",SUMIFS('الحركات الشهرية'!$H$6:$H$1005,'الحركات الشهرية'!$B$6:$B$1005,$B81,'الحركات الشهرية'!$A$6:$A$1005,$C$3))</f>
        <v/>
      </c>
      <c r="R81" s="111" t="str">
        <f aca="false">IF($B81="","",SUM(J81:M81)+SUM(O81:Q81))</f>
        <v/>
      </c>
      <c r="S81" s="90" t="str">
        <f aca="false">IF($B81="","",الموظفون!$Q81*IF(E81="سعودي",cfg_G_SE,cfg_G_NE)*F81/cfg_DAYS_M)</f>
        <v/>
      </c>
      <c r="T81" s="90" t="str">
        <f aca="false">IF($B81="","",SUMIFS('الحركات الشهرية'!$I$6:$I$1005,'الحركات الشهرية'!$B$6:$B$1005,$B81,'الحركات الشهرية'!$A$6:$A$1005,$C$3))</f>
        <v/>
      </c>
      <c r="U81" s="90" t="str">
        <f aca="false">IF($B81="","",SUMIFS('الحركات الشهرية'!$J$6:$J$1005,'الحركات الشهرية'!$B$6:$B$1005,$B81,'الحركات الشهرية'!$A$6:$A$1005,$C$3))</f>
        <v/>
      </c>
      <c r="V81" s="90" t="str">
        <f aca="false">IF($B81="","",SUM(S81:U81))</f>
        <v/>
      </c>
      <c r="W81" s="112" t="str">
        <f aca="false">IF($B81="","",R81-V81)</f>
        <v/>
      </c>
      <c r="X81" s="90" t="str">
        <f aca="false">IF($B81="","",الموظفون!$Q81*IF(E81="سعودي",cfg_G_SR,cfg_G_NR)*F81/cfg_DAYS_M)</f>
        <v/>
      </c>
      <c r="Y81" s="90" t="str">
        <f aca="false">IF($B81="","",الموظفون!$O81*(cfg_EOS_R1*(MIN(AC81,cfg_EOS_TH)-MIN(AD81,cfg_EOS_TH))+cfg_EOS_R2*(MAX(AC81-cfg_EOS_TH,0)-MAX(AD81-cfg_EOS_TH,0))))</f>
        <v/>
      </c>
      <c r="Z81" s="90" t="str">
        <f aca="false">IF($B81="","",IF(الموظفون!$R81&lt;&gt;"",الموظفون!$R81,IF(AC81&gt;=cfg_LV_TH,cfg_LV_D2,cfg_LV_D1))/cfg_DAYS_Y*AE81*الموظفون!$P81/cfg_DAYS_M)</f>
        <v/>
      </c>
      <c r="AA81" s="90" t="str">
        <f aca="false">IF($B81="","",IF(AND(الموظفون!$S81="نعم",N(الموظفون!$U81)&gt;0),الموظفون!$T81/الموظفون!$U81*12/cfg_DAYS_Y*AE81,0))</f>
        <v/>
      </c>
      <c r="AB81" s="113" t="str">
        <f aca="false">IF($B81="","",R81+SUM(X81:AA81))</f>
        <v/>
      </c>
      <c r="AC81" s="114" t="str">
        <f aca="false">IF($B81="","",MAX(0,IF(OR(الموظفون!$X81="",الموظفون!$X81&gt;$G$3),$G$3,الموظفون!$X81)-الموظفون!$H81+1)/cfg_DAYS_Y)</f>
        <v/>
      </c>
      <c r="AD81" s="114" t="str">
        <f aca="false">IF($B81="","",MAX(0,IF(OR(الموظفون!$X81="",الموظفون!$X81&gt;($E$3-1)),($E$3-1),الموظفون!$X81)-الموظفون!$H81+1)/cfg_DAYS_Y)</f>
        <v/>
      </c>
      <c r="AE81" s="115" t="str">
        <f aca="false">IF($B81="","",MAX(0,IF(OR(الموظفون!$X81="",الموظفون!$X81&gt;$G$3),$G$3,الموظفون!$X81)-MAX($E$3,الموظفون!$H81)+1))</f>
        <v/>
      </c>
    </row>
    <row r="82" customFormat="false" ht="15" hidden="false" customHeight="false" outlineLevel="0" collapsed="false">
      <c r="A82" s="83" t="str">
        <f aca="false">IF($B82="","",الموظفون!$A82)</f>
        <v/>
      </c>
      <c r="B82" s="74" t="str">
        <f aca="false">IF(الموظفون!$B82="","",الموظفون!$B82)</f>
        <v/>
      </c>
      <c r="C82" s="74" t="str">
        <f aca="false">IF($B82="","",الموظفون!$C82)</f>
        <v/>
      </c>
      <c r="D82" s="74" t="str">
        <f aca="false">IF($B82="","",الموظفون!$F82)</f>
        <v/>
      </c>
      <c r="E82" s="74" t="str">
        <f aca="false">IF($B82="","",الموظفون!$E82)</f>
        <v/>
      </c>
      <c r="F82" s="105" t="str">
        <f aca="false">IF($B82="","",IF(AE82&gt;=DAY($G$3),cfg_DAYS_M,MIN(AE82,cfg_DAYS_M)))</f>
        <v/>
      </c>
      <c r="G82" s="105" t="str">
        <f aca="false">IF($B82="","",SUMIFS('الحركات الشهرية'!$D$6:$D$1005,'الحركات الشهرية'!$B$6:$B$1005,$B82,'الحركات الشهرية'!$A$6:$A$1005,$C$3))</f>
        <v/>
      </c>
      <c r="H82" s="105" t="str">
        <f aca="false">IF($B82="","",SUMIFS('الحركات الشهرية'!$E$6:$E$1005,'الحركات الشهرية'!$B$6:$B$1005,$B82,'الحركات الشهرية'!$A$6:$A$1005,$C$3))</f>
        <v/>
      </c>
      <c r="I82" s="105" t="str">
        <f aca="false">IF($B82="","",MAX(0,F82-G82-H82))</f>
        <v/>
      </c>
      <c r="J82" s="86" t="str">
        <f aca="false">IF($B82="","",الموظفون!$J82*$I82/cfg_DAYS_M)</f>
        <v/>
      </c>
      <c r="K82" s="86" t="str">
        <f aca="false">IF($B82="","",الموظفون!$K82*$I82/cfg_DAYS_M)</f>
        <v/>
      </c>
      <c r="L82" s="86" t="str">
        <f aca="false">IF($B82="","",الموظفون!$L82*$I82/cfg_DAYS_M)</f>
        <v/>
      </c>
      <c r="M82" s="86" t="str">
        <f aca="false">IF($B82="","",الموظفون!$M82*$I82/cfg_DAYS_M)</f>
        <v/>
      </c>
      <c r="N82" s="105" t="str">
        <f aca="false">IF($B82="","",SUMIFS('الحركات الشهرية'!$F$6:$F$1005,'الحركات الشهرية'!$B$6:$B$1005,$B82,'الحركات الشهرية'!$A$6:$A$1005,$C$3))</f>
        <v/>
      </c>
      <c r="O82" s="86" t="str">
        <f aca="false">IF($B82="","",N82*(الموظفون!$N82+الموظفون!$J82*cfg_OT_P)/cfg_DAYS_M/cfg_HRS)</f>
        <v/>
      </c>
      <c r="P82" s="86" t="str">
        <f aca="false">IF($B82="","",SUMIFS('الحركات الشهرية'!$G$6:$G$1005,'الحركات الشهرية'!$B$6:$B$1005,$B82,'الحركات الشهرية'!$A$6:$A$1005,$C$3))</f>
        <v/>
      </c>
      <c r="Q82" s="86" t="str">
        <f aca="false">IF($B82="","",SUMIFS('الحركات الشهرية'!$H$6:$H$1005,'الحركات الشهرية'!$B$6:$B$1005,$B82,'الحركات الشهرية'!$A$6:$A$1005,$C$3))</f>
        <v/>
      </c>
      <c r="R82" s="106" t="str">
        <f aca="false">IF($B82="","",SUM(J82:M82)+SUM(O82:Q82))</f>
        <v/>
      </c>
      <c r="S82" s="86" t="str">
        <f aca="false">IF($B82="","",الموظفون!$Q82*IF(E82="سعودي",cfg_G_SE,cfg_G_NE)*F82/cfg_DAYS_M)</f>
        <v/>
      </c>
      <c r="T82" s="86" t="str">
        <f aca="false">IF($B82="","",SUMIFS('الحركات الشهرية'!$I$6:$I$1005,'الحركات الشهرية'!$B$6:$B$1005,$B82,'الحركات الشهرية'!$A$6:$A$1005,$C$3))</f>
        <v/>
      </c>
      <c r="U82" s="86" t="str">
        <f aca="false">IF($B82="","",SUMIFS('الحركات الشهرية'!$J$6:$J$1005,'الحركات الشهرية'!$B$6:$B$1005,$B82,'الحركات الشهرية'!$A$6:$A$1005,$C$3))</f>
        <v/>
      </c>
      <c r="V82" s="86" t="str">
        <f aca="false">IF($B82="","",SUM(S82:U82))</f>
        <v/>
      </c>
      <c r="W82" s="107" t="str">
        <f aca="false">IF($B82="","",R82-V82)</f>
        <v/>
      </c>
      <c r="X82" s="86" t="str">
        <f aca="false">IF($B82="","",الموظفون!$Q82*IF(E82="سعودي",cfg_G_SR,cfg_G_NR)*F82/cfg_DAYS_M)</f>
        <v/>
      </c>
      <c r="Y82" s="86" t="str">
        <f aca="false">IF($B82="","",الموظفون!$O82*(cfg_EOS_R1*(MIN(AC82,cfg_EOS_TH)-MIN(AD82,cfg_EOS_TH))+cfg_EOS_R2*(MAX(AC82-cfg_EOS_TH,0)-MAX(AD82-cfg_EOS_TH,0))))</f>
        <v/>
      </c>
      <c r="Z82" s="86" t="str">
        <f aca="false">IF($B82="","",IF(الموظفون!$R82&lt;&gt;"",الموظفون!$R82,IF(AC82&gt;=cfg_LV_TH,cfg_LV_D2,cfg_LV_D1))/cfg_DAYS_Y*AE82*الموظفون!$P82/cfg_DAYS_M)</f>
        <v/>
      </c>
      <c r="AA82" s="86" t="str">
        <f aca="false">IF($B82="","",IF(AND(الموظفون!$S82="نعم",N(الموظفون!$U82)&gt;0),الموظفون!$T82/الموظفون!$U82*12/cfg_DAYS_Y*AE82,0))</f>
        <v/>
      </c>
      <c r="AB82" s="108" t="str">
        <f aca="false">IF($B82="","",R82+SUM(X82:AA82))</f>
        <v/>
      </c>
      <c r="AC82" s="109" t="str">
        <f aca="false">IF($B82="","",MAX(0,IF(OR(الموظفون!$X82="",الموظفون!$X82&gt;$G$3),$G$3,الموظفون!$X82)-الموظفون!$H82+1)/cfg_DAYS_Y)</f>
        <v/>
      </c>
      <c r="AD82" s="109" t="str">
        <f aca="false">IF($B82="","",MAX(0,IF(OR(الموظفون!$X82="",الموظفون!$X82&gt;($E$3-1)),($E$3-1),الموظفون!$X82)-الموظفون!$H82+1)/cfg_DAYS_Y)</f>
        <v/>
      </c>
      <c r="AE82" s="51" t="str">
        <f aca="false">IF($B82="","",MAX(0,IF(OR(الموظفون!$X82="",الموظفون!$X82&gt;$G$3),$G$3,الموظفون!$X82)-MAX($E$3,الموظفون!$H82)+1))</f>
        <v/>
      </c>
    </row>
    <row r="83" customFormat="false" ht="15" hidden="false" customHeight="false" outlineLevel="0" collapsed="false">
      <c r="A83" s="89" t="str">
        <f aca="false">IF($B83="","",الموظفون!$A83)</f>
        <v/>
      </c>
      <c r="B83" s="91" t="str">
        <f aca="false">IF(الموظفون!$B83="","",الموظفون!$B83)</f>
        <v/>
      </c>
      <c r="C83" s="91" t="str">
        <f aca="false">IF($B83="","",الموظفون!$C83)</f>
        <v/>
      </c>
      <c r="D83" s="91" t="str">
        <f aca="false">IF($B83="","",الموظفون!$F83)</f>
        <v/>
      </c>
      <c r="E83" s="91" t="str">
        <f aca="false">IF($B83="","",الموظفون!$E83)</f>
        <v/>
      </c>
      <c r="F83" s="110" t="str">
        <f aca="false">IF($B83="","",IF(AE83&gt;=DAY($G$3),cfg_DAYS_M,MIN(AE83,cfg_DAYS_M)))</f>
        <v/>
      </c>
      <c r="G83" s="110" t="str">
        <f aca="false">IF($B83="","",SUMIFS('الحركات الشهرية'!$D$6:$D$1005,'الحركات الشهرية'!$B$6:$B$1005,$B83,'الحركات الشهرية'!$A$6:$A$1005,$C$3))</f>
        <v/>
      </c>
      <c r="H83" s="110" t="str">
        <f aca="false">IF($B83="","",SUMIFS('الحركات الشهرية'!$E$6:$E$1005,'الحركات الشهرية'!$B$6:$B$1005,$B83,'الحركات الشهرية'!$A$6:$A$1005,$C$3))</f>
        <v/>
      </c>
      <c r="I83" s="110" t="str">
        <f aca="false">IF($B83="","",MAX(0,F83-G83-H83))</f>
        <v/>
      </c>
      <c r="J83" s="90" t="str">
        <f aca="false">IF($B83="","",الموظفون!$J83*$I83/cfg_DAYS_M)</f>
        <v/>
      </c>
      <c r="K83" s="90" t="str">
        <f aca="false">IF($B83="","",الموظفون!$K83*$I83/cfg_DAYS_M)</f>
        <v/>
      </c>
      <c r="L83" s="90" t="str">
        <f aca="false">IF($B83="","",الموظفون!$L83*$I83/cfg_DAYS_M)</f>
        <v/>
      </c>
      <c r="M83" s="90" t="str">
        <f aca="false">IF($B83="","",الموظفون!$M83*$I83/cfg_DAYS_M)</f>
        <v/>
      </c>
      <c r="N83" s="110" t="str">
        <f aca="false">IF($B83="","",SUMIFS('الحركات الشهرية'!$F$6:$F$1005,'الحركات الشهرية'!$B$6:$B$1005,$B83,'الحركات الشهرية'!$A$6:$A$1005,$C$3))</f>
        <v/>
      </c>
      <c r="O83" s="90" t="str">
        <f aca="false">IF($B83="","",N83*(الموظفون!$N83+الموظفون!$J83*cfg_OT_P)/cfg_DAYS_M/cfg_HRS)</f>
        <v/>
      </c>
      <c r="P83" s="90" t="str">
        <f aca="false">IF($B83="","",SUMIFS('الحركات الشهرية'!$G$6:$G$1005,'الحركات الشهرية'!$B$6:$B$1005,$B83,'الحركات الشهرية'!$A$6:$A$1005,$C$3))</f>
        <v/>
      </c>
      <c r="Q83" s="90" t="str">
        <f aca="false">IF($B83="","",SUMIFS('الحركات الشهرية'!$H$6:$H$1005,'الحركات الشهرية'!$B$6:$B$1005,$B83,'الحركات الشهرية'!$A$6:$A$1005,$C$3))</f>
        <v/>
      </c>
      <c r="R83" s="111" t="str">
        <f aca="false">IF($B83="","",SUM(J83:M83)+SUM(O83:Q83))</f>
        <v/>
      </c>
      <c r="S83" s="90" t="str">
        <f aca="false">IF($B83="","",الموظفون!$Q83*IF(E83="سعودي",cfg_G_SE,cfg_G_NE)*F83/cfg_DAYS_M)</f>
        <v/>
      </c>
      <c r="T83" s="90" t="str">
        <f aca="false">IF($B83="","",SUMIFS('الحركات الشهرية'!$I$6:$I$1005,'الحركات الشهرية'!$B$6:$B$1005,$B83,'الحركات الشهرية'!$A$6:$A$1005,$C$3))</f>
        <v/>
      </c>
      <c r="U83" s="90" t="str">
        <f aca="false">IF($B83="","",SUMIFS('الحركات الشهرية'!$J$6:$J$1005,'الحركات الشهرية'!$B$6:$B$1005,$B83,'الحركات الشهرية'!$A$6:$A$1005,$C$3))</f>
        <v/>
      </c>
      <c r="V83" s="90" t="str">
        <f aca="false">IF($B83="","",SUM(S83:U83))</f>
        <v/>
      </c>
      <c r="W83" s="112" t="str">
        <f aca="false">IF($B83="","",R83-V83)</f>
        <v/>
      </c>
      <c r="X83" s="90" t="str">
        <f aca="false">IF($B83="","",الموظفون!$Q83*IF(E83="سعودي",cfg_G_SR,cfg_G_NR)*F83/cfg_DAYS_M)</f>
        <v/>
      </c>
      <c r="Y83" s="90" t="str">
        <f aca="false">IF($B83="","",الموظفون!$O83*(cfg_EOS_R1*(MIN(AC83,cfg_EOS_TH)-MIN(AD83,cfg_EOS_TH))+cfg_EOS_R2*(MAX(AC83-cfg_EOS_TH,0)-MAX(AD83-cfg_EOS_TH,0))))</f>
        <v/>
      </c>
      <c r="Z83" s="90" t="str">
        <f aca="false">IF($B83="","",IF(الموظفون!$R83&lt;&gt;"",الموظفون!$R83,IF(AC83&gt;=cfg_LV_TH,cfg_LV_D2,cfg_LV_D1))/cfg_DAYS_Y*AE83*الموظفون!$P83/cfg_DAYS_M)</f>
        <v/>
      </c>
      <c r="AA83" s="90" t="str">
        <f aca="false">IF($B83="","",IF(AND(الموظفون!$S83="نعم",N(الموظفون!$U83)&gt;0),الموظفون!$T83/الموظفون!$U83*12/cfg_DAYS_Y*AE83,0))</f>
        <v/>
      </c>
      <c r="AB83" s="113" t="str">
        <f aca="false">IF($B83="","",R83+SUM(X83:AA83))</f>
        <v/>
      </c>
      <c r="AC83" s="114" t="str">
        <f aca="false">IF($B83="","",MAX(0,IF(OR(الموظفون!$X83="",الموظفون!$X83&gt;$G$3),$G$3,الموظفون!$X83)-الموظفون!$H83+1)/cfg_DAYS_Y)</f>
        <v/>
      </c>
      <c r="AD83" s="114" t="str">
        <f aca="false">IF($B83="","",MAX(0,IF(OR(الموظفون!$X83="",الموظفون!$X83&gt;($E$3-1)),($E$3-1),الموظفون!$X83)-الموظفون!$H83+1)/cfg_DAYS_Y)</f>
        <v/>
      </c>
      <c r="AE83" s="115" t="str">
        <f aca="false">IF($B83="","",MAX(0,IF(OR(الموظفون!$X83="",الموظفون!$X83&gt;$G$3),$G$3,الموظفون!$X83)-MAX($E$3,الموظفون!$H83)+1))</f>
        <v/>
      </c>
    </row>
    <row r="84" customFormat="false" ht="15" hidden="false" customHeight="false" outlineLevel="0" collapsed="false">
      <c r="A84" s="83" t="str">
        <f aca="false">IF($B84="","",الموظفون!$A84)</f>
        <v/>
      </c>
      <c r="B84" s="74" t="str">
        <f aca="false">IF(الموظفون!$B84="","",الموظفون!$B84)</f>
        <v/>
      </c>
      <c r="C84" s="74" t="str">
        <f aca="false">IF($B84="","",الموظفون!$C84)</f>
        <v/>
      </c>
      <c r="D84" s="74" t="str">
        <f aca="false">IF($B84="","",الموظفون!$F84)</f>
        <v/>
      </c>
      <c r="E84" s="74" t="str">
        <f aca="false">IF($B84="","",الموظفون!$E84)</f>
        <v/>
      </c>
      <c r="F84" s="105" t="str">
        <f aca="false">IF($B84="","",IF(AE84&gt;=DAY($G$3),cfg_DAYS_M,MIN(AE84,cfg_DAYS_M)))</f>
        <v/>
      </c>
      <c r="G84" s="105" t="str">
        <f aca="false">IF($B84="","",SUMIFS('الحركات الشهرية'!$D$6:$D$1005,'الحركات الشهرية'!$B$6:$B$1005,$B84,'الحركات الشهرية'!$A$6:$A$1005,$C$3))</f>
        <v/>
      </c>
      <c r="H84" s="105" t="str">
        <f aca="false">IF($B84="","",SUMIFS('الحركات الشهرية'!$E$6:$E$1005,'الحركات الشهرية'!$B$6:$B$1005,$B84,'الحركات الشهرية'!$A$6:$A$1005,$C$3))</f>
        <v/>
      </c>
      <c r="I84" s="105" t="str">
        <f aca="false">IF($B84="","",MAX(0,F84-G84-H84))</f>
        <v/>
      </c>
      <c r="J84" s="86" t="str">
        <f aca="false">IF($B84="","",الموظفون!$J84*$I84/cfg_DAYS_M)</f>
        <v/>
      </c>
      <c r="K84" s="86" t="str">
        <f aca="false">IF($B84="","",الموظفون!$K84*$I84/cfg_DAYS_M)</f>
        <v/>
      </c>
      <c r="L84" s="86" t="str">
        <f aca="false">IF($B84="","",الموظفون!$L84*$I84/cfg_DAYS_M)</f>
        <v/>
      </c>
      <c r="M84" s="86" t="str">
        <f aca="false">IF($B84="","",الموظفون!$M84*$I84/cfg_DAYS_M)</f>
        <v/>
      </c>
      <c r="N84" s="105" t="str">
        <f aca="false">IF($B84="","",SUMIFS('الحركات الشهرية'!$F$6:$F$1005,'الحركات الشهرية'!$B$6:$B$1005,$B84,'الحركات الشهرية'!$A$6:$A$1005,$C$3))</f>
        <v/>
      </c>
      <c r="O84" s="86" t="str">
        <f aca="false">IF($B84="","",N84*(الموظفون!$N84+الموظفون!$J84*cfg_OT_P)/cfg_DAYS_M/cfg_HRS)</f>
        <v/>
      </c>
      <c r="P84" s="86" t="str">
        <f aca="false">IF($B84="","",SUMIFS('الحركات الشهرية'!$G$6:$G$1005,'الحركات الشهرية'!$B$6:$B$1005,$B84,'الحركات الشهرية'!$A$6:$A$1005,$C$3))</f>
        <v/>
      </c>
      <c r="Q84" s="86" t="str">
        <f aca="false">IF($B84="","",SUMIFS('الحركات الشهرية'!$H$6:$H$1005,'الحركات الشهرية'!$B$6:$B$1005,$B84,'الحركات الشهرية'!$A$6:$A$1005,$C$3))</f>
        <v/>
      </c>
      <c r="R84" s="106" t="str">
        <f aca="false">IF($B84="","",SUM(J84:M84)+SUM(O84:Q84))</f>
        <v/>
      </c>
      <c r="S84" s="86" t="str">
        <f aca="false">IF($B84="","",الموظفون!$Q84*IF(E84="سعودي",cfg_G_SE,cfg_G_NE)*F84/cfg_DAYS_M)</f>
        <v/>
      </c>
      <c r="T84" s="86" t="str">
        <f aca="false">IF($B84="","",SUMIFS('الحركات الشهرية'!$I$6:$I$1005,'الحركات الشهرية'!$B$6:$B$1005,$B84,'الحركات الشهرية'!$A$6:$A$1005,$C$3))</f>
        <v/>
      </c>
      <c r="U84" s="86" t="str">
        <f aca="false">IF($B84="","",SUMIFS('الحركات الشهرية'!$J$6:$J$1005,'الحركات الشهرية'!$B$6:$B$1005,$B84,'الحركات الشهرية'!$A$6:$A$1005,$C$3))</f>
        <v/>
      </c>
      <c r="V84" s="86" t="str">
        <f aca="false">IF($B84="","",SUM(S84:U84))</f>
        <v/>
      </c>
      <c r="W84" s="107" t="str">
        <f aca="false">IF($B84="","",R84-V84)</f>
        <v/>
      </c>
      <c r="X84" s="86" t="str">
        <f aca="false">IF($B84="","",الموظفون!$Q84*IF(E84="سعودي",cfg_G_SR,cfg_G_NR)*F84/cfg_DAYS_M)</f>
        <v/>
      </c>
      <c r="Y84" s="86" t="str">
        <f aca="false">IF($B84="","",الموظفون!$O84*(cfg_EOS_R1*(MIN(AC84,cfg_EOS_TH)-MIN(AD84,cfg_EOS_TH))+cfg_EOS_R2*(MAX(AC84-cfg_EOS_TH,0)-MAX(AD84-cfg_EOS_TH,0))))</f>
        <v/>
      </c>
      <c r="Z84" s="86" t="str">
        <f aca="false">IF($B84="","",IF(الموظفون!$R84&lt;&gt;"",الموظفون!$R84,IF(AC84&gt;=cfg_LV_TH,cfg_LV_D2,cfg_LV_D1))/cfg_DAYS_Y*AE84*الموظفون!$P84/cfg_DAYS_M)</f>
        <v/>
      </c>
      <c r="AA84" s="86" t="str">
        <f aca="false">IF($B84="","",IF(AND(الموظفون!$S84="نعم",N(الموظفون!$U84)&gt;0),الموظفون!$T84/الموظفون!$U84*12/cfg_DAYS_Y*AE84,0))</f>
        <v/>
      </c>
      <c r="AB84" s="108" t="str">
        <f aca="false">IF($B84="","",R84+SUM(X84:AA84))</f>
        <v/>
      </c>
      <c r="AC84" s="109" t="str">
        <f aca="false">IF($B84="","",MAX(0,IF(OR(الموظفون!$X84="",الموظفون!$X84&gt;$G$3),$G$3,الموظفون!$X84)-الموظفون!$H84+1)/cfg_DAYS_Y)</f>
        <v/>
      </c>
      <c r="AD84" s="109" t="str">
        <f aca="false">IF($B84="","",MAX(0,IF(OR(الموظفون!$X84="",الموظفون!$X84&gt;($E$3-1)),($E$3-1),الموظفون!$X84)-الموظفون!$H84+1)/cfg_DAYS_Y)</f>
        <v/>
      </c>
      <c r="AE84" s="51" t="str">
        <f aca="false">IF($B84="","",MAX(0,IF(OR(الموظفون!$X84="",الموظفون!$X84&gt;$G$3),$G$3,الموظفون!$X84)-MAX($E$3,الموظفون!$H84)+1))</f>
        <v/>
      </c>
    </row>
    <row r="85" customFormat="false" ht="15" hidden="false" customHeight="false" outlineLevel="0" collapsed="false">
      <c r="A85" s="89" t="str">
        <f aca="false">IF($B85="","",الموظفون!$A85)</f>
        <v/>
      </c>
      <c r="B85" s="91" t="str">
        <f aca="false">IF(الموظفون!$B85="","",الموظفون!$B85)</f>
        <v/>
      </c>
      <c r="C85" s="91" t="str">
        <f aca="false">IF($B85="","",الموظفون!$C85)</f>
        <v/>
      </c>
      <c r="D85" s="91" t="str">
        <f aca="false">IF($B85="","",الموظفون!$F85)</f>
        <v/>
      </c>
      <c r="E85" s="91" t="str">
        <f aca="false">IF($B85="","",الموظفون!$E85)</f>
        <v/>
      </c>
      <c r="F85" s="110" t="str">
        <f aca="false">IF($B85="","",IF(AE85&gt;=DAY($G$3),cfg_DAYS_M,MIN(AE85,cfg_DAYS_M)))</f>
        <v/>
      </c>
      <c r="G85" s="110" t="str">
        <f aca="false">IF($B85="","",SUMIFS('الحركات الشهرية'!$D$6:$D$1005,'الحركات الشهرية'!$B$6:$B$1005,$B85,'الحركات الشهرية'!$A$6:$A$1005,$C$3))</f>
        <v/>
      </c>
      <c r="H85" s="110" t="str">
        <f aca="false">IF($B85="","",SUMIFS('الحركات الشهرية'!$E$6:$E$1005,'الحركات الشهرية'!$B$6:$B$1005,$B85,'الحركات الشهرية'!$A$6:$A$1005,$C$3))</f>
        <v/>
      </c>
      <c r="I85" s="110" t="str">
        <f aca="false">IF($B85="","",MAX(0,F85-G85-H85))</f>
        <v/>
      </c>
      <c r="J85" s="90" t="str">
        <f aca="false">IF($B85="","",الموظفون!$J85*$I85/cfg_DAYS_M)</f>
        <v/>
      </c>
      <c r="K85" s="90" t="str">
        <f aca="false">IF($B85="","",الموظفون!$K85*$I85/cfg_DAYS_M)</f>
        <v/>
      </c>
      <c r="L85" s="90" t="str">
        <f aca="false">IF($B85="","",الموظفون!$L85*$I85/cfg_DAYS_M)</f>
        <v/>
      </c>
      <c r="M85" s="90" t="str">
        <f aca="false">IF($B85="","",الموظفون!$M85*$I85/cfg_DAYS_M)</f>
        <v/>
      </c>
      <c r="N85" s="110" t="str">
        <f aca="false">IF($B85="","",SUMIFS('الحركات الشهرية'!$F$6:$F$1005,'الحركات الشهرية'!$B$6:$B$1005,$B85,'الحركات الشهرية'!$A$6:$A$1005,$C$3))</f>
        <v/>
      </c>
      <c r="O85" s="90" t="str">
        <f aca="false">IF($B85="","",N85*(الموظفون!$N85+الموظفون!$J85*cfg_OT_P)/cfg_DAYS_M/cfg_HRS)</f>
        <v/>
      </c>
      <c r="P85" s="90" t="str">
        <f aca="false">IF($B85="","",SUMIFS('الحركات الشهرية'!$G$6:$G$1005,'الحركات الشهرية'!$B$6:$B$1005,$B85,'الحركات الشهرية'!$A$6:$A$1005,$C$3))</f>
        <v/>
      </c>
      <c r="Q85" s="90" t="str">
        <f aca="false">IF($B85="","",SUMIFS('الحركات الشهرية'!$H$6:$H$1005,'الحركات الشهرية'!$B$6:$B$1005,$B85,'الحركات الشهرية'!$A$6:$A$1005,$C$3))</f>
        <v/>
      </c>
      <c r="R85" s="111" t="str">
        <f aca="false">IF($B85="","",SUM(J85:M85)+SUM(O85:Q85))</f>
        <v/>
      </c>
      <c r="S85" s="90" t="str">
        <f aca="false">IF($B85="","",الموظفون!$Q85*IF(E85="سعودي",cfg_G_SE,cfg_G_NE)*F85/cfg_DAYS_M)</f>
        <v/>
      </c>
      <c r="T85" s="90" t="str">
        <f aca="false">IF($B85="","",SUMIFS('الحركات الشهرية'!$I$6:$I$1005,'الحركات الشهرية'!$B$6:$B$1005,$B85,'الحركات الشهرية'!$A$6:$A$1005,$C$3))</f>
        <v/>
      </c>
      <c r="U85" s="90" t="str">
        <f aca="false">IF($B85="","",SUMIFS('الحركات الشهرية'!$J$6:$J$1005,'الحركات الشهرية'!$B$6:$B$1005,$B85,'الحركات الشهرية'!$A$6:$A$1005,$C$3))</f>
        <v/>
      </c>
      <c r="V85" s="90" t="str">
        <f aca="false">IF($B85="","",SUM(S85:U85))</f>
        <v/>
      </c>
      <c r="W85" s="112" t="str">
        <f aca="false">IF($B85="","",R85-V85)</f>
        <v/>
      </c>
      <c r="X85" s="90" t="str">
        <f aca="false">IF($B85="","",الموظفون!$Q85*IF(E85="سعودي",cfg_G_SR,cfg_G_NR)*F85/cfg_DAYS_M)</f>
        <v/>
      </c>
      <c r="Y85" s="90" t="str">
        <f aca="false">IF($B85="","",الموظفون!$O85*(cfg_EOS_R1*(MIN(AC85,cfg_EOS_TH)-MIN(AD85,cfg_EOS_TH))+cfg_EOS_R2*(MAX(AC85-cfg_EOS_TH,0)-MAX(AD85-cfg_EOS_TH,0))))</f>
        <v/>
      </c>
      <c r="Z85" s="90" t="str">
        <f aca="false">IF($B85="","",IF(الموظفون!$R85&lt;&gt;"",الموظفون!$R85,IF(AC85&gt;=cfg_LV_TH,cfg_LV_D2,cfg_LV_D1))/cfg_DAYS_Y*AE85*الموظفون!$P85/cfg_DAYS_M)</f>
        <v/>
      </c>
      <c r="AA85" s="90" t="str">
        <f aca="false">IF($B85="","",IF(AND(الموظفون!$S85="نعم",N(الموظفون!$U85)&gt;0),الموظفون!$T85/الموظفون!$U85*12/cfg_DAYS_Y*AE85,0))</f>
        <v/>
      </c>
      <c r="AB85" s="113" t="str">
        <f aca="false">IF($B85="","",R85+SUM(X85:AA85))</f>
        <v/>
      </c>
      <c r="AC85" s="114" t="str">
        <f aca="false">IF($B85="","",MAX(0,IF(OR(الموظفون!$X85="",الموظفون!$X85&gt;$G$3),$G$3,الموظفون!$X85)-الموظفون!$H85+1)/cfg_DAYS_Y)</f>
        <v/>
      </c>
      <c r="AD85" s="114" t="str">
        <f aca="false">IF($B85="","",MAX(0,IF(OR(الموظفون!$X85="",الموظفون!$X85&gt;($E$3-1)),($E$3-1),الموظفون!$X85)-الموظفون!$H85+1)/cfg_DAYS_Y)</f>
        <v/>
      </c>
      <c r="AE85" s="115" t="str">
        <f aca="false">IF($B85="","",MAX(0,IF(OR(الموظفون!$X85="",الموظفون!$X85&gt;$G$3),$G$3,الموظفون!$X85)-MAX($E$3,الموظفون!$H85)+1))</f>
        <v/>
      </c>
    </row>
    <row r="86" customFormat="false" ht="15" hidden="false" customHeight="false" outlineLevel="0" collapsed="false">
      <c r="A86" s="83" t="str">
        <f aca="false">IF($B86="","",الموظفون!$A86)</f>
        <v/>
      </c>
      <c r="B86" s="74" t="str">
        <f aca="false">IF(الموظفون!$B86="","",الموظفون!$B86)</f>
        <v/>
      </c>
      <c r="C86" s="74" t="str">
        <f aca="false">IF($B86="","",الموظفون!$C86)</f>
        <v/>
      </c>
      <c r="D86" s="74" t="str">
        <f aca="false">IF($B86="","",الموظفون!$F86)</f>
        <v/>
      </c>
      <c r="E86" s="74" t="str">
        <f aca="false">IF($B86="","",الموظفون!$E86)</f>
        <v/>
      </c>
      <c r="F86" s="105" t="str">
        <f aca="false">IF($B86="","",IF(AE86&gt;=DAY($G$3),cfg_DAYS_M,MIN(AE86,cfg_DAYS_M)))</f>
        <v/>
      </c>
      <c r="G86" s="105" t="str">
        <f aca="false">IF($B86="","",SUMIFS('الحركات الشهرية'!$D$6:$D$1005,'الحركات الشهرية'!$B$6:$B$1005,$B86,'الحركات الشهرية'!$A$6:$A$1005,$C$3))</f>
        <v/>
      </c>
      <c r="H86" s="105" t="str">
        <f aca="false">IF($B86="","",SUMIFS('الحركات الشهرية'!$E$6:$E$1005,'الحركات الشهرية'!$B$6:$B$1005,$B86,'الحركات الشهرية'!$A$6:$A$1005,$C$3))</f>
        <v/>
      </c>
      <c r="I86" s="105" t="str">
        <f aca="false">IF($B86="","",MAX(0,F86-G86-H86))</f>
        <v/>
      </c>
      <c r="J86" s="86" t="str">
        <f aca="false">IF($B86="","",الموظفون!$J86*$I86/cfg_DAYS_M)</f>
        <v/>
      </c>
      <c r="K86" s="86" t="str">
        <f aca="false">IF($B86="","",الموظفون!$K86*$I86/cfg_DAYS_M)</f>
        <v/>
      </c>
      <c r="L86" s="86" t="str">
        <f aca="false">IF($B86="","",الموظفون!$L86*$I86/cfg_DAYS_M)</f>
        <v/>
      </c>
      <c r="M86" s="86" t="str">
        <f aca="false">IF($B86="","",الموظفون!$M86*$I86/cfg_DAYS_M)</f>
        <v/>
      </c>
      <c r="N86" s="105" t="str">
        <f aca="false">IF($B86="","",SUMIFS('الحركات الشهرية'!$F$6:$F$1005,'الحركات الشهرية'!$B$6:$B$1005,$B86,'الحركات الشهرية'!$A$6:$A$1005,$C$3))</f>
        <v/>
      </c>
      <c r="O86" s="86" t="str">
        <f aca="false">IF($B86="","",N86*(الموظفون!$N86+الموظفون!$J86*cfg_OT_P)/cfg_DAYS_M/cfg_HRS)</f>
        <v/>
      </c>
      <c r="P86" s="86" t="str">
        <f aca="false">IF($B86="","",SUMIFS('الحركات الشهرية'!$G$6:$G$1005,'الحركات الشهرية'!$B$6:$B$1005,$B86,'الحركات الشهرية'!$A$6:$A$1005,$C$3))</f>
        <v/>
      </c>
      <c r="Q86" s="86" t="str">
        <f aca="false">IF($B86="","",SUMIFS('الحركات الشهرية'!$H$6:$H$1005,'الحركات الشهرية'!$B$6:$B$1005,$B86,'الحركات الشهرية'!$A$6:$A$1005,$C$3))</f>
        <v/>
      </c>
      <c r="R86" s="106" t="str">
        <f aca="false">IF($B86="","",SUM(J86:M86)+SUM(O86:Q86))</f>
        <v/>
      </c>
      <c r="S86" s="86" t="str">
        <f aca="false">IF($B86="","",الموظفون!$Q86*IF(E86="سعودي",cfg_G_SE,cfg_G_NE)*F86/cfg_DAYS_M)</f>
        <v/>
      </c>
      <c r="T86" s="86" t="str">
        <f aca="false">IF($B86="","",SUMIFS('الحركات الشهرية'!$I$6:$I$1005,'الحركات الشهرية'!$B$6:$B$1005,$B86,'الحركات الشهرية'!$A$6:$A$1005,$C$3))</f>
        <v/>
      </c>
      <c r="U86" s="86" t="str">
        <f aca="false">IF($B86="","",SUMIFS('الحركات الشهرية'!$J$6:$J$1005,'الحركات الشهرية'!$B$6:$B$1005,$B86,'الحركات الشهرية'!$A$6:$A$1005,$C$3))</f>
        <v/>
      </c>
      <c r="V86" s="86" t="str">
        <f aca="false">IF($B86="","",SUM(S86:U86))</f>
        <v/>
      </c>
      <c r="W86" s="107" t="str">
        <f aca="false">IF($B86="","",R86-V86)</f>
        <v/>
      </c>
      <c r="X86" s="86" t="str">
        <f aca="false">IF($B86="","",الموظفون!$Q86*IF(E86="سعودي",cfg_G_SR,cfg_G_NR)*F86/cfg_DAYS_M)</f>
        <v/>
      </c>
      <c r="Y86" s="86" t="str">
        <f aca="false">IF($B86="","",الموظفون!$O86*(cfg_EOS_R1*(MIN(AC86,cfg_EOS_TH)-MIN(AD86,cfg_EOS_TH))+cfg_EOS_R2*(MAX(AC86-cfg_EOS_TH,0)-MAX(AD86-cfg_EOS_TH,0))))</f>
        <v/>
      </c>
      <c r="Z86" s="86" t="str">
        <f aca="false">IF($B86="","",IF(الموظفون!$R86&lt;&gt;"",الموظفون!$R86,IF(AC86&gt;=cfg_LV_TH,cfg_LV_D2,cfg_LV_D1))/cfg_DAYS_Y*AE86*الموظفون!$P86/cfg_DAYS_M)</f>
        <v/>
      </c>
      <c r="AA86" s="86" t="str">
        <f aca="false">IF($B86="","",IF(AND(الموظفون!$S86="نعم",N(الموظفون!$U86)&gt;0),الموظفون!$T86/الموظفون!$U86*12/cfg_DAYS_Y*AE86,0))</f>
        <v/>
      </c>
      <c r="AB86" s="108" t="str">
        <f aca="false">IF($B86="","",R86+SUM(X86:AA86))</f>
        <v/>
      </c>
      <c r="AC86" s="109" t="str">
        <f aca="false">IF($B86="","",MAX(0,IF(OR(الموظفون!$X86="",الموظفون!$X86&gt;$G$3),$G$3,الموظفون!$X86)-الموظفون!$H86+1)/cfg_DAYS_Y)</f>
        <v/>
      </c>
      <c r="AD86" s="109" t="str">
        <f aca="false">IF($B86="","",MAX(0,IF(OR(الموظفون!$X86="",الموظفون!$X86&gt;($E$3-1)),($E$3-1),الموظفون!$X86)-الموظفون!$H86+1)/cfg_DAYS_Y)</f>
        <v/>
      </c>
      <c r="AE86" s="51" t="str">
        <f aca="false">IF($B86="","",MAX(0,IF(OR(الموظفون!$X86="",الموظفون!$X86&gt;$G$3),$G$3,الموظفون!$X86)-MAX($E$3,الموظفون!$H86)+1))</f>
        <v/>
      </c>
    </row>
    <row r="87" customFormat="false" ht="15" hidden="false" customHeight="false" outlineLevel="0" collapsed="false">
      <c r="A87" s="89" t="str">
        <f aca="false">IF($B87="","",الموظفون!$A87)</f>
        <v/>
      </c>
      <c r="B87" s="91" t="str">
        <f aca="false">IF(الموظفون!$B87="","",الموظفون!$B87)</f>
        <v/>
      </c>
      <c r="C87" s="91" t="str">
        <f aca="false">IF($B87="","",الموظفون!$C87)</f>
        <v/>
      </c>
      <c r="D87" s="91" t="str">
        <f aca="false">IF($B87="","",الموظفون!$F87)</f>
        <v/>
      </c>
      <c r="E87" s="91" t="str">
        <f aca="false">IF($B87="","",الموظفون!$E87)</f>
        <v/>
      </c>
      <c r="F87" s="110" t="str">
        <f aca="false">IF($B87="","",IF(AE87&gt;=DAY($G$3),cfg_DAYS_M,MIN(AE87,cfg_DAYS_M)))</f>
        <v/>
      </c>
      <c r="G87" s="110" t="str">
        <f aca="false">IF($B87="","",SUMIFS('الحركات الشهرية'!$D$6:$D$1005,'الحركات الشهرية'!$B$6:$B$1005,$B87,'الحركات الشهرية'!$A$6:$A$1005,$C$3))</f>
        <v/>
      </c>
      <c r="H87" s="110" t="str">
        <f aca="false">IF($B87="","",SUMIFS('الحركات الشهرية'!$E$6:$E$1005,'الحركات الشهرية'!$B$6:$B$1005,$B87,'الحركات الشهرية'!$A$6:$A$1005,$C$3))</f>
        <v/>
      </c>
      <c r="I87" s="110" t="str">
        <f aca="false">IF($B87="","",MAX(0,F87-G87-H87))</f>
        <v/>
      </c>
      <c r="J87" s="90" t="str">
        <f aca="false">IF($B87="","",الموظفون!$J87*$I87/cfg_DAYS_M)</f>
        <v/>
      </c>
      <c r="K87" s="90" t="str">
        <f aca="false">IF($B87="","",الموظفون!$K87*$I87/cfg_DAYS_M)</f>
        <v/>
      </c>
      <c r="L87" s="90" t="str">
        <f aca="false">IF($B87="","",الموظفون!$L87*$I87/cfg_DAYS_M)</f>
        <v/>
      </c>
      <c r="M87" s="90" t="str">
        <f aca="false">IF($B87="","",الموظفون!$M87*$I87/cfg_DAYS_M)</f>
        <v/>
      </c>
      <c r="N87" s="110" t="str">
        <f aca="false">IF($B87="","",SUMIFS('الحركات الشهرية'!$F$6:$F$1005,'الحركات الشهرية'!$B$6:$B$1005,$B87,'الحركات الشهرية'!$A$6:$A$1005,$C$3))</f>
        <v/>
      </c>
      <c r="O87" s="90" t="str">
        <f aca="false">IF($B87="","",N87*(الموظفون!$N87+الموظفون!$J87*cfg_OT_P)/cfg_DAYS_M/cfg_HRS)</f>
        <v/>
      </c>
      <c r="P87" s="90" t="str">
        <f aca="false">IF($B87="","",SUMIFS('الحركات الشهرية'!$G$6:$G$1005,'الحركات الشهرية'!$B$6:$B$1005,$B87,'الحركات الشهرية'!$A$6:$A$1005,$C$3))</f>
        <v/>
      </c>
      <c r="Q87" s="90" t="str">
        <f aca="false">IF($B87="","",SUMIFS('الحركات الشهرية'!$H$6:$H$1005,'الحركات الشهرية'!$B$6:$B$1005,$B87,'الحركات الشهرية'!$A$6:$A$1005,$C$3))</f>
        <v/>
      </c>
      <c r="R87" s="111" t="str">
        <f aca="false">IF($B87="","",SUM(J87:M87)+SUM(O87:Q87))</f>
        <v/>
      </c>
      <c r="S87" s="90" t="str">
        <f aca="false">IF($B87="","",الموظفون!$Q87*IF(E87="سعودي",cfg_G_SE,cfg_G_NE)*F87/cfg_DAYS_M)</f>
        <v/>
      </c>
      <c r="T87" s="90" t="str">
        <f aca="false">IF($B87="","",SUMIFS('الحركات الشهرية'!$I$6:$I$1005,'الحركات الشهرية'!$B$6:$B$1005,$B87,'الحركات الشهرية'!$A$6:$A$1005,$C$3))</f>
        <v/>
      </c>
      <c r="U87" s="90" t="str">
        <f aca="false">IF($B87="","",SUMIFS('الحركات الشهرية'!$J$6:$J$1005,'الحركات الشهرية'!$B$6:$B$1005,$B87,'الحركات الشهرية'!$A$6:$A$1005,$C$3))</f>
        <v/>
      </c>
      <c r="V87" s="90" t="str">
        <f aca="false">IF($B87="","",SUM(S87:U87))</f>
        <v/>
      </c>
      <c r="W87" s="112" t="str">
        <f aca="false">IF($B87="","",R87-V87)</f>
        <v/>
      </c>
      <c r="X87" s="90" t="str">
        <f aca="false">IF($B87="","",الموظفون!$Q87*IF(E87="سعودي",cfg_G_SR,cfg_G_NR)*F87/cfg_DAYS_M)</f>
        <v/>
      </c>
      <c r="Y87" s="90" t="str">
        <f aca="false">IF($B87="","",الموظفون!$O87*(cfg_EOS_R1*(MIN(AC87,cfg_EOS_TH)-MIN(AD87,cfg_EOS_TH))+cfg_EOS_R2*(MAX(AC87-cfg_EOS_TH,0)-MAX(AD87-cfg_EOS_TH,0))))</f>
        <v/>
      </c>
      <c r="Z87" s="90" t="str">
        <f aca="false">IF($B87="","",IF(الموظفون!$R87&lt;&gt;"",الموظفون!$R87,IF(AC87&gt;=cfg_LV_TH,cfg_LV_D2,cfg_LV_D1))/cfg_DAYS_Y*AE87*الموظفون!$P87/cfg_DAYS_M)</f>
        <v/>
      </c>
      <c r="AA87" s="90" t="str">
        <f aca="false">IF($B87="","",IF(AND(الموظفون!$S87="نعم",N(الموظفون!$U87)&gt;0),الموظفون!$T87/الموظفون!$U87*12/cfg_DAYS_Y*AE87,0))</f>
        <v/>
      </c>
      <c r="AB87" s="113" t="str">
        <f aca="false">IF($B87="","",R87+SUM(X87:AA87))</f>
        <v/>
      </c>
      <c r="AC87" s="114" t="str">
        <f aca="false">IF($B87="","",MAX(0,IF(OR(الموظفون!$X87="",الموظفون!$X87&gt;$G$3),$G$3,الموظفون!$X87)-الموظفون!$H87+1)/cfg_DAYS_Y)</f>
        <v/>
      </c>
      <c r="AD87" s="114" t="str">
        <f aca="false">IF($B87="","",MAX(0,IF(OR(الموظفون!$X87="",الموظفون!$X87&gt;($E$3-1)),($E$3-1),الموظفون!$X87)-الموظفون!$H87+1)/cfg_DAYS_Y)</f>
        <v/>
      </c>
      <c r="AE87" s="115" t="str">
        <f aca="false">IF($B87="","",MAX(0,IF(OR(الموظفون!$X87="",الموظفون!$X87&gt;$G$3),$G$3,الموظفون!$X87)-MAX($E$3,الموظفون!$H87)+1))</f>
        <v/>
      </c>
    </row>
    <row r="88" customFormat="false" ht="15" hidden="false" customHeight="false" outlineLevel="0" collapsed="false">
      <c r="A88" s="83" t="str">
        <f aca="false">IF($B88="","",الموظفون!$A88)</f>
        <v/>
      </c>
      <c r="B88" s="74" t="str">
        <f aca="false">IF(الموظفون!$B88="","",الموظفون!$B88)</f>
        <v/>
      </c>
      <c r="C88" s="74" t="str">
        <f aca="false">IF($B88="","",الموظفون!$C88)</f>
        <v/>
      </c>
      <c r="D88" s="74" t="str">
        <f aca="false">IF($B88="","",الموظفون!$F88)</f>
        <v/>
      </c>
      <c r="E88" s="74" t="str">
        <f aca="false">IF($B88="","",الموظفون!$E88)</f>
        <v/>
      </c>
      <c r="F88" s="105" t="str">
        <f aca="false">IF($B88="","",IF(AE88&gt;=DAY($G$3),cfg_DAYS_M,MIN(AE88,cfg_DAYS_M)))</f>
        <v/>
      </c>
      <c r="G88" s="105" t="str">
        <f aca="false">IF($B88="","",SUMIFS('الحركات الشهرية'!$D$6:$D$1005,'الحركات الشهرية'!$B$6:$B$1005,$B88,'الحركات الشهرية'!$A$6:$A$1005,$C$3))</f>
        <v/>
      </c>
      <c r="H88" s="105" t="str">
        <f aca="false">IF($B88="","",SUMIFS('الحركات الشهرية'!$E$6:$E$1005,'الحركات الشهرية'!$B$6:$B$1005,$B88,'الحركات الشهرية'!$A$6:$A$1005,$C$3))</f>
        <v/>
      </c>
      <c r="I88" s="105" t="str">
        <f aca="false">IF($B88="","",MAX(0,F88-G88-H88))</f>
        <v/>
      </c>
      <c r="J88" s="86" t="str">
        <f aca="false">IF($B88="","",الموظفون!$J88*$I88/cfg_DAYS_M)</f>
        <v/>
      </c>
      <c r="K88" s="86" t="str">
        <f aca="false">IF($B88="","",الموظفون!$K88*$I88/cfg_DAYS_M)</f>
        <v/>
      </c>
      <c r="L88" s="86" t="str">
        <f aca="false">IF($B88="","",الموظفون!$L88*$I88/cfg_DAYS_M)</f>
        <v/>
      </c>
      <c r="M88" s="86" t="str">
        <f aca="false">IF($B88="","",الموظفون!$M88*$I88/cfg_DAYS_M)</f>
        <v/>
      </c>
      <c r="N88" s="105" t="str">
        <f aca="false">IF($B88="","",SUMIFS('الحركات الشهرية'!$F$6:$F$1005,'الحركات الشهرية'!$B$6:$B$1005,$B88,'الحركات الشهرية'!$A$6:$A$1005,$C$3))</f>
        <v/>
      </c>
      <c r="O88" s="86" t="str">
        <f aca="false">IF($B88="","",N88*(الموظفون!$N88+الموظفون!$J88*cfg_OT_P)/cfg_DAYS_M/cfg_HRS)</f>
        <v/>
      </c>
      <c r="P88" s="86" t="str">
        <f aca="false">IF($B88="","",SUMIFS('الحركات الشهرية'!$G$6:$G$1005,'الحركات الشهرية'!$B$6:$B$1005,$B88,'الحركات الشهرية'!$A$6:$A$1005,$C$3))</f>
        <v/>
      </c>
      <c r="Q88" s="86" t="str">
        <f aca="false">IF($B88="","",SUMIFS('الحركات الشهرية'!$H$6:$H$1005,'الحركات الشهرية'!$B$6:$B$1005,$B88,'الحركات الشهرية'!$A$6:$A$1005,$C$3))</f>
        <v/>
      </c>
      <c r="R88" s="106" t="str">
        <f aca="false">IF($B88="","",SUM(J88:M88)+SUM(O88:Q88))</f>
        <v/>
      </c>
      <c r="S88" s="86" t="str">
        <f aca="false">IF($B88="","",الموظفون!$Q88*IF(E88="سعودي",cfg_G_SE,cfg_G_NE)*F88/cfg_DAYS_M)</f>
        <v/>
      </c>
      <c r="T88" s="86" t="str">
        <f aca="false">IF($B88="","",SUMIFS('الحركات الشهرية'!$I$6:$I$1005,'الحركات الشهرية'!$B$6:$B$1005,$B88,'الحركات الشهرية'!$A$6:$A$1005,$C$3))</f>
        <v/>
      </c>
      <c r="U88" s="86" t="str">
        <f aca="false">IF($B88="","",SUMIFS('الحركات الشهرية'!$J$6:$J$1005,'الحركات الشهرية'!$B$6:$B$1005,$B88,'الحركات الشهرية'!$A$6:$A$1005,$C$3))</f>
        <v/>
      </c>
      <c r="V88" s="86" t="str">
        <f aca="false">IF($B88="","",SUM(S88:U88))</f>
        <v/>
      </c>
      <c r="W88" s="107" t="str">
        <f aca="false">IF($B88="","",R88-V88)</f>
        <v/>
      </c>
      <c r="X88" s="86" t="str">
        <f aca="false">IF($B88="","",الموظفون!$Q88*IF(E88="سعودي",cfg_G_SR,cfg_G_NR)*F88/cfg_DAYS_M)</f>
        <v/>
      </c>
      <c r="Y88" s="86" t="str">
        <f aca="false">IF($B88="","",الموظفون!$O88*(cfg_EOS_R1*(MIN(AC88,cfg_EOS_TH)-MIN(AD88,cfg_EOS_TH))+cfg_EOS_R2*(MAX(AC88-cfg_EOS_TH,0)-MAX(AD88-cfg_EOS_TH,0))))</f>
        <v/>
      </c>
      <c r="Z88" s="86" t="str">
        <f aca="false">IF($B88="","",IF(الموظفون!$R88&lt;&gt;"",الموظفون!$R88,IF(AC88&gt;=cfg_LV_TH,cfg_LV_D2,cfg_LV_D1))/cfg_DAYS_Y*AE88*الموظفون!$P88/cfg_DAYS_M)</f>
        <v/>
      </c>
      <c r="AA88" s="86" t="str">
        <f aca="false">IF($B88="","",IF(AND(الموظفون!$S88="نعم",N(الموظفون!$U88)&gt;0),الموظفون!$T88/الموظفون!$U88*12/cfg_DAYS_Y*AE88,0))</f>
        <v/>
      </c>
      <c r="AB88" s="108" t="str">
        <f aca="false">IF($B88="","",R88+SUM(X88:AA88))</f>
        <v/>
      </c>
      <c r="AC88" s="109" t="str">
        <f aca="false">IF($B88="","",MAX(0,IF(OR(الموظفون!$X88="",الموظفون!$X88&gt;$G$3),$G$3,الموظفون!$X88)-الموظفون!$H88+1)/cfg_DAYS_Y)</f>
        <v/>
      </c>
      <c r="AD88" s="109" t="str">
        <f aca="false">IF($B88="","",MAX(0,IF(OR(الموظفون!$X88="",الموظفون!$X88&gt;($E$3-1)),($E$3-1),الموظفون!$X88)-الموظفون!$H88+1)/cfg_DAYS_Y)</f>
        <v/>
      </c>
      <c r="AE88" s="51" t="str">
        <f aca="false">IF($B88="","",MAX(0,IF(OR(الموظفون!$X88="",الموظفون!$X88&gt;$G$3),$G$3,الموظفون!$X88)-MAX($E$3,الموظفون!$H88)+1))</f>
        <v/>
      </c>
    </row>
    <row r="89" customFormat="false" ht="15" hidden="false" customHeight="false" outlineLevel="0" collapsed="false">
      <c r="A89" s="89" t="str">
        <f aca="false">IF($B89="","",الموظفون!$A89)</f>
        <v/>
      </c>
      <c r="B89" s="91" t="str">
        <f aca="false">IF(الموظفون!$B89="","",الموظفون!$B89)</f>
        <v/>
      </c>
      <c r="C89" s="91" t="str">
        <f aca="false">IF($B89="","",الموظفون!$C89)</f>
        <v/>
      </c>
      <c r="D89" s="91" t="str">
        <f aca="false">IF($B89="","",الموظفون!$F89)</f>
        <v/>
      </c>
      <c r="E89" s="91" t="str">
        <f aca="false">IF($B89="","",الموظفون!$E89)</f>
        <v/>
      </c>
      <c r="F89" s="110" t="str">
        <f aca="false">IF($B89="","",IF(AE89&gt;=DAY($G$3),cfg_DAYS_M,MIN(AE89,cfg_DAYS_M)))</f>
        <v/>
      </c>
      <c r="G89" s="110" t="str">
        <f aca="false">IF($B89="","",SUMIFS('الحركات الشهرية'!$D$6:$D$1005,'الحركات الشهرية'!$B$6:$B$1005,$B89,'الحركات الشهرية'!$A$6:$A$1005,$C$3))</f>
        <v/>
      </c>
      <c r="H89" s="110" t="str">
        <f aca="false">IF($B89="","",SUMIFS('الحركات الشهرية'!$E$6:$E$1005,'الحركات الشهرية'!$B$6:$B$1005,$B89,'الحركات الشهرية'!$A$6:$A$1005,$C$3))</f>
        <v/>
      </c>
      <c r="I89" s="110" t="str">
        <f aca="false">IF($B89="","",MAX(0,F89-G89-H89))</f>
        <v/>
      </c>
      <c r="J89" s="90" t="str">
        <f aca="false">IF($B89="","",الموظفون!$J89*$I89/cfg_DAYS_M)</f>
        <v/>
      </c>
      <c r="K89" s="90" t="str">
        <f aca="false">IF($B89="","",الموظفون!$K89*$I89/cfg_DAYS_M)</f>
        <v/>
      </c>
      <c r="L89" s="90" t="str">
        <f aca="false">IF($B89="","",الموظفون!$L89*$I89/cfg_DAYS_M)</f>
        <v/>
      </c>
      <c r="M89" s="90" t="str">
        <f aca="false">IF($B89="","",الموظفون!$M89*$I89/cfg_DAYS_M)</f>
        <v/>
      </c>
      <c r="N89" s="110" t="str">
        <f aca="false">IF($B89="","",SUMIFS('الحركات الشهرية'!$F$6:$F$1005,'الحركات الشهرية'!$B$6:$B$1005,$B89,'الحركات الشهرية'!$A$6:$A$1005,$C$3))</f>
        <v/>
      </c>
      <c r="O89" s="90" t="str">
        <f aca="false">IF($B89="","",N89*(الموظفون!$N89+الموظفون!$J89*cfg_OT_P)/cfg_DAYS_M/cfg_HRS)</f>
        <v/>
      </c>
      <c r="P89" s="90" t="str">
        <f aca="false">IF($B89="","",SUMIFS('الحركات الشهرية'!$G$6:$G$1005,'الحركات الشهرية'!$B$6:$B$1005,$B89,'الحركات الشهرية'!$A$6:$A$1005,$C$3))</f>
        <v/>
      </c>
      <c r="Q89" s="90" t="str">
        <f aca="false">IF($B89="","",SUMIFS('الحركات الشهرية'!$H$6:$H$1005,'الحركات الشهرية'!$B$6:$B$1005,$B89,'الحركات الشهرية'!$A$6:$A$1005,$C$3))</f>
        <v/>
      </c>
      <c r="R89" s="111" t="str">
        <f aca="false">IF($B89="","",SUM(J89:M89)+SUM(O89:Q89))</f>
        <v/>
      </c>
      <c r="S89" s="90" t="str">
        <f aca="false">IF($B89="","",الموظفون!$Q89*IF(E89="سعودي",cfg_G_SE,cfg_G_NE)*F89/cfg_DAYS_M)</f>
        <v/>
      </c>
      <c r="T89" s="90" t="str">
        <f aca="false">IF($B89="","",SUMIFS('الحركات الشهرية'!$I$6:$I$1005,'الحركات الشهرية'!$B$6:$B$1005,$B89,'الحركات الشهرية'!$A$6:$A$1005,$C$3))</f>
        <v/>
      </c>
      <c r="U89" s="90" t="str">
        <f aca="false">IF($B89="","",SUMIFS('الحركات الشهرية'!$J$6:$J$1005,'الحركات الشهرية'!$B$6:$B$1005,$B89,'الحركات الشهرية'!$A$6:$A$1005,$C$3))</f>
        <v/>
      </c>
      <c r="V89" s="90" t="str">
        <f aca="false">IF($B89="","",SUM(S89:U89))</f>
        <v/>
      </c>
      <c r="W89" s="112" t="str">
        <f aca="false">IF($B89="","",R89-V89)</f>
        <v/>
      </c>
      <c r="X89" s="90" t="str">
        <f aca="false">IF($B89="","",الموظفون!$Q89*IF(E89="سعودي",cfg_G_SR,cfg_G_NR)*F89/cfg_DAYS_M)</f>
        <v/>
      </c>
      <c r="Y89" s="90" t="str">
        <f aca="false">IF($B89="","",الموظفون!$O89*(cfg_EOS_R1*(MIN(AC89,cfg_EOS_TH)-MIN(AD89,cfg_EOS_TH))+cfg_EOS_R2*(MAX(AC89-cfg_EOS_TH,0)-MAX(AD89-cfg_EOS_TH,0))))</f>
        <v/>
      </c>
      <c r="Z89" s="90" t="str">
        <f aca="false">IF($B89="","",IF(الموظفون!$R89&lt;&gt;"",الموظفون!$R89,IF(AC89&gt;=cfg_LV_TH,cfg_LV_D2,cfg_LV_D1))/cfg_DAYS_Y*AE89*الموظفون!$P89/cfg_DAYS_M)</f>
        <v/>
      </c>
      <c r="AA89" s="90" t="str">
        <f aca="false">IF($B89="","",IF(AND(الموظفون!$S89="نعم",N(الموظفون!$U89)&gt;0),الموظفون!$T89/الموظفون!$U89*12/cfg_DAYS_Y*AE89,0))</f>
        <v/>
      </c>
      <c r="AB89" s="113" t="str">
        <f aca="false">IF($B89="","",R89+SUM(X89:AA89))</f>
        <v/>
      </c>
      <c r="AC89" s="114" t="str">
        <f aca="false">IF($B89="","",MAX(0,IF(OR(الموظفون!$X89="",الموظفون!$X89&gt;$G$3),$G$3,الموظفون!$X89)-الموظفون!$H89+1)/cfg_DAYS_Y)</f>
        <v/>
      </c>
      <c r="AD89" s="114" t="str">
        <f aca="false">IF($B89="","",MAX(0,IF(OR(الموظفون!$X89="",الموظفون!$X89&gt;($E$3-1)),($E$3-1),الموظفون!$X89)-الموظفون!$H89+1)/cfg_DAYS_Y)</f>
        <v/>
      </c>
      <c r="AE89" s="115" t="str">
        <f aca="false">IF($B89="","",MAX(0,IF(OR(الموظفون!$X89="",الموظفون!$X89&gt;$G$3),$G$3,الموظفون!$X89)-MAX($E$3,الموظفون!$H89)+1))</f>
        <v/>
      </c>
    </row>
    <row r="90" customFormat="false" ht="15" hidden="false" customHeight="false" outlineLevel="0" collapsed="false">
      <c r="A90" s="83" t="str">
        <f aca="false">IF($B90="","",الموظفون!$A90)</f>
        <v/>
      </c>
      <c r="B90" s="74" t="str">
        <f aca="false">IF(الموظفون!$B90="","",الموظفون!$B90)</f>
        <v/>
      </c>
      <c r="C90" s="74" t="str">
        <f aca="false">IF($B90="","",الموظفون!$C90)</f>
        <v/>
      </c>
      <c r="D90" s="74" t="str">
        <f aca="false">IF($B90="","",الموظفون!$F90)</f>
        <v/>
      </c>
      <c r="E90" s="74" t="str">
        <f aca="false">IF($B90="","",الموظفون!$E90)</f>
        <v/>
      </c>
      <c r="F90" s="105" t="str">
        <f aca="false">IF($B90="","",IF(AE90&gt;=DAY($G$3),cfg_DAYS_M,MIN(AE90,cfg_DAYS_M)))</f>
        <v/>
      </c>
      <c r="G90" s="105" t="str">
        <f aca="false">IF($B90="","",SUMIFS('الحركات الشهرية'!$D$6:$D$1005,'الحركات الشهرية'!$B$6:$B$1005,$B90,'الحركات الشهرية'!$A$6:$A$1005,$C$3))</f>
        <v/>
      </c>
      <c r="H90" s="105" t="str">
        <f aca="false">IF($B90="","",SUMIFS('الحركات الشهرية'!$E$6:$E$1005,'الحركات الشهرية'!$B$6:$B$1005,$B90,'الحركات الشهرية'!$A$6:$A$1005,$C$3))</f>
        <v/>
      </c>
      <c r="I90" s="105" t="str">
        <f aca="false">IF($B90="","",MAX(0,F90-G90-H90))</f>
        <v/>
      </c>
      <c r="J90" s="86" t="str">
        <f aca="false">IF($B90="","",الموظفون!$J90*$I90/cfg_DAYS_M)</f>
        <v/>
      </c>
      <c r="K90" s="86" t="str">
        <f aca="false">IF($B90="","",الموظفون!$K90*$I90/cfg_DAYS_M)</f>
        <v/>
      </c>
      <c r="L90" s="86" t="str">
        <f aca="false">IF($B90="","",الموظفون!$L90*$I90/cfg_DAYS_M)</f>
        <v/>
      </c>
      <c r="M90" s="86" t="str">
        <f aca="false">IF($B90="","",الموظفون!$M90*$I90/cfg_DAYS_M)</f>
        <v/>
      </c>
      <c r="N90" s="105" t="str">
        <f aca="false">IF($B90="","",SUMIFS('الحركات الشهرية'!$F$6:$F$1005,'الحركات الشهرية'!$B$6:$B$1005,$B90,'الحركات الشهرية'!$A$6:$A$1005,$C$3))</f>
        <v/>
      </c>
      <c r="O90" s="86" t="str">
        <f aca="false">IF($B90="","",N90*(الموظفون!$N90+الموظفون!$J90*cfg_OT_P)/cfg_DAYS_M/cfg_HRS)</f>
        <v/>
      </c>
      <c r="P90" s="86" t="str">
        <f aca="false">IF($B90="","",SUMIFS('الحركات الشهرية'!$G$6:$G$1005,'الحركات الشهرية'!$B$6:$B$1005,$B90,'الحركات الشهرية'!$A$6:$A$1005,$C$3))</f>
        <v/>
      </c>
      <c r="Q90" s="86" t="str">
        <f aca="false">IF($B90="","",SUMIFS('الحركات الشهرية'!$H$6:$H$1005,'الحركات الشهرية'!$B$6:$B$1005,$B90,'الحركات الشهرية'!$A$6:$A$1005,$C$3))</f>
        <v/>
      </c>
      <c r="R90" s="106" t="str">
        <f aca="false">IF($B90="","",SUM(J90:M90)+SUM(O90:Q90))</f>
        <v/>
      </c>
      <c r="S90" s="86" t="str">
        <f aca="false">IF($B90="","",الموظفون!$Q90*IF(E90="سعودي",cfg_G_SE,cfg_G_NE)*F90/cfg_DAYS_M)</f>
        <v/>
      </c>
      <c r="T90" s="86" t="str">
        <f aca="false">IF($B90="","",SUMIFS('الحركات الشهرية'!$I$6:$I$1005,'الحركات الشهرية'!$B$6:$B$1005,$B90,'الحركات الشهرية'!$A$6:$A$1005,$C$3))</f>
        <v/>
      </c>
      <c r="U90" s="86" t="str">
        <f aca="false">IF($B90="","",SUMIFS('الحركات الشهرية'!$J$6:$J$1005,'الحركات الشهرية'!$B$6:$B$1005,$B90,'الحركات الشهرية'!$A$6:$A$1005,$C$3))</f>
        <v/>
      </c>
      <c r="V90" s="86" t="str">
        <f aca="false">IF($B90="","",SUM(S90:U90))</f>
        <v/>
      </c>
      <c r="W90" s="107" t="str">
        <f aca="false">IF($B90="","",R90-V90)</f>
        <v/>
      </c>
      <c r="X90" s="86" t="str">
        <f aca="false">IF($B90="","",الموظفون!$Q90*IF(E90="سعودي",cfg_G_SR,cfg_G_NR)*F90/cfg_DAYS_M)</f>
        <v/>
      </c>
      <c r="Y90" s="86" t="str">
        <f aca="false">IF($B90="","",الموظفون!$O90*(cfg_EOS_R1*(MIN(AC90,cfg_EOS_TH)-MIN(AD90,cfg_EOS_TH))+cfg_EOS_R2*(MAX(AC90-cfg_EOS_TH,0)-MAX(AD90-cfg_EOS_TH,0))))</f>
        <v/>
      </c>
      <c r="Z90" s="86" t="str">
        <f aca="false">IF($B90="","",IF(الموظفون!$R90&lt;&gt;"",الموظفون!$R90,IF(AC90&gt;=cfg_LV_TH,cfg_LV_D2,cfg_LV_D1))/cfg_DAYS_Y*AE90*الموظفون!$P90/cfg_DAYS_M)</f>
        <v/>
      </c>
      <c r="AA90" s="86" t="str">
        <f aca="false">IF($B90="","",IF(AND(الموظفون!$S90="نعم",N(الموظفون!$U90)&gt;0),الموظفون!$T90/الموظفون!$U90*12/cfg_DAYS_Y*AE90,0))</f>
        <v/>
      </c>
      <c r="AB90" s="108" t="str">
        <f aca="false">IF($B90="","",R90+SUM(X90:AA90))</f>
        <v/>
      </c>
      <c r="AC90" s="109" t="str">
        <f aca="false">IF($B90="","",MAX(0,IF(OR(الموظفون!$X90="",الموظفون!$X90&gt;$G$3),$G$3,الموظفون!$X90)-الموظفون!$H90+1)/cfg_DAYS_Y)</f>
        <v/>
      </c>
      <c r="AD90" s="109" t="str">
        <f aca="false">IF($B90="","",MAX(0,IF(OR(الموظفون!$X90="",الموظفون!$X90&gt;($E$3-1)),($E$3-1),الموظفون!$X90)-الموظفون!$H90+1)/cfg_DAYS_Y)</f>
        <v/>
      </c>
      <c r="AE90" s="51" t="str">
        <f aca="false">IF($B90="","",MAX(0,IF(OR(الموظفون!$X90="",الموظفون!$X90&gt;$G$3),$G$3,الموظفون!$X90)-MAX($E$3,الموظفون!$H90)+1))</f>
        <v/>
      </c>
    </row>
    <row r="91" customFormat="false" ht="15" hidden="false" customHeight="false" outlineLevel="0" collapsed="false">
      <c r="A91" s="89" t="str">
        <f aca="false">IF($B91="","",الموظفون!$A91)</f>
        <v/>
      </c>
      <c r="B91" s="91" t="str">
        <f aca="false">IF(الموظفون!$B91="","",الموظفون!$B91)</f>
        <v/>
      </c>
      <c r="C91" s="91" t="str">
        <f aca="false">IF($B91="","",الموظفون!$C91)</f>
        <v/>
      </c>
      <c r="D91" s="91" t="str">
        <f aca="false">IF($B91="","",الموظفون!$F91)</f>
        <v/>
      </c>
      <c r="E91" s="91" t="str">
        <f aca="false">IF($B91="","",الموظفون!$E91)</f>
        <v/>
      </c>
      <c r="F91" s="110" t="str">
        <f aca="false">IF($B91="","",IF(AE91&gt;=DAY($G$3),cfg_DAYS_M,MIN(AE91,cfg_DAYS_M)))</f>
        <v/>
      </c>
      <c r="G91" s="110" t="str">
        <f aca="false">IF($B91="","",SUMIFS('الحركات الشهرية'!$D$6:$D$1005,'الحركات الشهرية'!$B$6:$B$1005,$B91,'الحركات الشهرية'!$A$6:$A$1005,$C$3))</f>
        <v/>
      </c>
      <c r="H91" s="110" t="str">
        <f aca="false">IF($B91="","",SUMIFS('الحركات الشهرية'!$E$6:$E$1005,'الحركات الشهرية'!$B$6:$B$1005,$B91,'الحركات الشهرية'!$A$6:$A$1005,$C$3))</f>
        <v/>
      </c>
      <c r="I91" s="110" t="str">
        <f aca="false">IF($B91="","",MAX(0,F91-G91-H91))</f>
        <v/>
      </c>
      <c r="J91" s="90" t="str">
        <f aca="false">IF($B91="","",الموظفون!$J91*$I91/cfg_DAYS_M)</f>
        <v/>
      </c>
      <c r="K91" s="90" t="str">
        <f aca="false">IF($B91="","",الموظفون!$K91*$I91/cfg_DAYS_M)</f>
        <v/>
      </c>
      <c r="L91" s="90" t="str">
        <f aca="false">IF($B91="","",الموظفون!$L91*$I91/cfg_DAYS_M)</f>
        <v/>
      </c>
      <c r="M91" s="90" t="str">
        <f aca="false">IF($B91="","",الموظفون!$M91*$I91/cfg_DAYS_M)</f>
        <v/>
      </c>
      <c r="N91" s="110" t="str">
        <f aca="false">IF($B91="","",SUMIFS('الحركات الشهرية'!$F$6:$F$1005,'الحركات الشهرية'!$B$6:$B$1005,$B91,'الحركات الشهرية'!$A$6:$A$1005,$C$3))</f>
        <v/>
      </c>
      <c r="O91" s="90" t="str">
        <f aca="false">IF($B91="","",N91*(الموظفون!$N91+الموظفون!$J91*cfg_OT_P)/cfg_DAYS_M/cfg_HRS)</f>
        <v/>
      </c>
      <c r="P91" s="90" t="str">
        <f aca="false">IF($B91="","",SUMIFS('الحركات الشهرية'!$G$6:$G$1005,'الحركات الشهرية'!$B$6:$B$1005,$B91,'الحركات الشهرية'!$A$6:$A$1005,$C$3))</f>
        <v/>
      </c>
      <c r="Q91" s="90" t="str">
        <f aca="false">IF($B91="","",SUMIFS('الحركات الشهرية'!$H$6:$H$1005,'الحركات الشهرية'!$B$6:$B$1005,$B91,'الحركات الشهرية'!$A$6:$A$1005,$C$3))</f>
        <v/>
      </c>
      <c r="R91" s="111" t="str">
        <f aca="false">IF($B91="","",SUM(J91:M91)+SUM(O91:Q91))</f>
        <v/>
      </c>
      <c r="S91" s="90" t="str">
        <f aca="false">IF($B91="","",الموظفون!$Q91*IF(E91="سعودي",cfg_G_SE,cfg_G_NE)*F91/cfg_DAYS_M)</f>
        <v/>
      </c>
      <c r="T91" s="90" t="str">
        <f aca="false">IF($B91="","",SUMIFS('الحركات الشهرية'!$I$6:$I$1005,'الحركات الشهرية'!$B$6:$B$1005,$B91,'الحركات الشهرية'!$A$6:$A$1005,$C$3))</f>
        <v/>
      </c>
      <c r="U91" s="90" t="str">
        <f aca="false">IF($B91="","",SUMIFS('الحركات الشهرية'!$J$6:$J$1005,'الحركات الشهرية'!$B$6:$B$1005,$B91,'الحركات الشهرية'!$A$6:$A$1005,$C$3))</f>
        <v/>
      </c>
      <c r="V91" s="90" t="str">
        <f aca="false">IF($B91="","",SUM(S91:U91))</f>
        <v/>
      </c>
      <c r="W91" s="112" t="str">
        <f aca="false">IF($B91="","",R91-V91)</f>
        <v/>
      </c>
      <c r="X91" s="90" t="str">
        <f aca="false">IF($B91="","",الموظفون!$Q91*IF(E91="سعودي",cfg_G_SR,cfg_G_NR)*F91/cfg_DAYS_M)</f>
        <v/>
      </c>
      <c r="Y91" s="90" t="str">
        <f aca="false">IF($B91="","",الموظفون!$O91*(cfg_EOS_R1*(MIN(AC91,cfg_EOS_TH)-MIN(AD91,cfg_EOS_TH))+cfg_EOS_R2*(MAX(AC91-cfg_EOS_TH,0)-MAX(AD91-cfg_EOS_TH,0))))</f>
        <v/>
      </c>
      <c r="Z91" s="90" t="str">
        <f aca="false">IF($B91="","",IF(الموظفون!$R91&lt;&gt;"",الموظفون!$R91,IF(AC91&gt;=cfg_LV_TH,cfg_LV_D2,cfg_LV_D1))/cfg_DAYS_Y*AE91*الموظفون!$P91/cfg_DAYS_M)</f>
        <v/>
      </c>
      <c r="AA91" s="90" t="str">
        <f aca="false">IF($B91="","",IF(AND(الموظفون!$S91="نعم",N(الموظفون!$U91)&gt;0),الموظفون!$T91/الموظفون!$U91*12/cfg_DAYS_Y*AE91,0))</f>
        <v/>
      </c>
      <c r="AB91" s="113" t="str">
        <f aca="false">IF($B91="","",R91+SUM(X91:AA91))</f>
        <v/>
      </c>
      <c r="AC91" s="114" t="str">
        <f aca="false">IF($B91="","",MAX(0,IF(OR(الموظفون!$X91="",الموظفون!$X91&gt;$G$3),$G$3,الموظفون!$X91)-الموظفون!$H91+1)/cfg_DAYS_Y)</f>
        <v/>
      </c>
      <c r="AD91" s="114" t="str">
        <f aca="false">IF($B91="","",MAX(0,IF(OR(الموظفون!$X91="",الموظفون!$X91&gt;($E$3-1)),($E$3-1),الموظفون!$X91)-الموظفون!$H91+1)/cfg_DAYS_Y)</f>
        <v/>
      </c>
      <c r="AE91" s="115" t="str">
        <f aca="false">IF($B91="","",MAX(0,IF(OR(الموظفون!$X91="",الموظفون!$X91&gt;$G$3),$G$3,الموظفون!$X91)-MAX($E$3,الموظفون!$H91)+1))</f>
        <v/>
      </c>
    </row>
    <row r="92" customFormat="false" ht="15" hidden="false" customHeight="false" outlineLevel="0" collapsed="false">
      <c r="A92" s="83" t="str">
        <f aca="false">IF($B92="","",الموظفون!$A92)</f>
        <v/>
      </c>
      <c r="B92" s="74" t="str">
        <f aca="false">IF(الموظفون!$B92="","",الموظفون!$B92)</f>
        <v/>
      </c>
      <c r="C92" s="74" t="str">
        <f aca="false">IF($B92="","",الموظفون!$C92)</f>
        <v/>
      </c>
      <c r="D92" s="74" t="str">
        <f aca="false">IF($B92="","",الموظفون!$F92)</f>
        <v/>
      </c>
      <c r="E92" s="74" t="str">
        <f aca="false">IF($B92="","",الموظفون!$E92)</f>
        <v/>
      </c>
      <c r="F92" s="105" t="str">
        <f aca="false">IF($B92="","",IF(AE92&gt;=DAY($G$3),cfg_DAYS_M,MIN(AE92,cfg_DAYS_M)))</f>
        <v/>
      </c>
      <c r="G92" s="105" t="str">
        <f aca="false">IF($B92="","",SUMIFS('الحركات الشهرية'!$D$6:$D$1005,'الحركات الشهرية'!$B$6:$B$1005,$B92,'الحركات الشهرية'!$A$6:$A$1005,$C$3))</f>
        <v/>
      </c>
      <c r="H92" s="105" t="str">
        <f aca="false">IF($B92="","",SUMIFS('الحركات الشهرية'!$E$6:$E$1005,'الحركات الشهرية'!$B$6:$B$1005,$B92,'الحركات الشهرية'!$A$6:$A$1005,$C$3))</f>
        <v/>
      </c>
      <c r="I92" s="105" t="str">
        <f aca="false">IF($B92="","",MAX(0,F92-G92-H92))</f>
        <v/>
      </c>
      <c r="J92" s="86" t="str">
        <f aca="false">IF($B92="","",الموظفون!$J92*$I92/cfg_DAYS_M)</f>
        <v/>
      </c>
      <c r="K92" s="86" t="str">
        <f aca="false">IF($B92="","",الموظفون!$K92*$I92/cfg_DAYS_M)</f>
        <v/>
      </c>
      <c r="L92" s="86" t="str">
        <f aca="false">IF($B92="","",الموظفون!$L92*$I92/cfg_DAYS_M)</f>
        <v/>
      </c>
      <c r="M92" s="86" t="str">
        <f aca="false">IF($B92="","",الموظفون!$M92*$I92/cfg_DAYS_M)</f>
        <v/>
      </c>
      <c r="N92" s="105" t="str">
        <f aca="false">IF($B92="","",SUMIFS('الحركات الشهرية'!$F$6:$F$1005,'الحركات الشهرية'!$B$6:$B$1005,$B92,'الحركات الشهرية'!$A$6:$A$1005,$C$3))</f>
        <v/>
      </c>
      <c r="O92" s="86" t="str">
        <f aca="false">IF($B92="","",N92*(الموظفون!$N92+الموظفون!$J92*cfg_OT_P)/cfg_DAYS_M/cfg_HRS)</f>
        <v/>
      </c>
      <c r="P92" s="86" t="str">
        <f aca="false">IF($B92="","",SUMIFS('الحركات الشهرية'!$G$6:$G$1005,'الحركات الشهرية'!$B$6:$B$1005,$B92,'الحركات الشهرية'!$A$6:$A$1005,$C$3))</f>
        <v/>
      </c>
      <c r="Q92" s="86" t="str">
        <f aca="false">IF($B92="","",SUMIFS('الحركات الشهرية'!$H$6:$H$1005,'الحركات الشهرية'!$B$6:$B$1005,$B92,'الحركات الشهرية'!$A$6:$A$1005,$C$3))</f>
        <v/>
      </c>
      <c r="R92" s="106" t="str">
        <f aca="false">IF($B92="","",SUM(J92:M92)+SUM(O92:Q92))</f>
        <v/>
      </c>
      <c r="S92" s="86" t="str">
        <f aca="false">IF($B92="","",الموظفون!$Q92*IF(E92="سعودي",cfg_G_SE,cfg_G_NE)*F92/cfg_DAYS_M)</f>
        <v/>
      </c>
      <c r="T92" s="86" t="str">
        <f aca="false">IF($B92="","",SUMIFS('الحركات الشهرية'!$I$6:$I$1005,'الحركات الشهرية'!$B$6:$B$1005,$B92,'الحركات الشهرية'!$A$6:$A$1005,$C$3))</f>
        <v/>
      </c>
      <c r="U92" s="86" t="str">
        <f aca="false">IF($B92="","",SUMIFS('الحركات الشهرية'!$J$6:$J$1005,'الحركات الشهرية'!$B$6:$B$1005,$B92,'الحركات الشهرية'!$A$6:$A$1005,$C$3))</f>
        <v/>
      </c>
      <c r="V92" s="86" t="str">
        <f aca="false">IF($B92="","",SUM(S92:U92))</f>
        <v/>
      </c>
      <c r="W92" s="107" t="str">
        <f aca="false">IF($B92="","",R92-V92)</f>
        <v/>
      </c>
      <c r="X92" s="86" t="str">
        <f aca="false">IF($B92="","",الموظفون!$Q92*IF(E92="سعودي",cfg_G_SR,cfg_G_NR)*F92/cfg_DAYS_M)</f>
        <v/>
      </c>
      <c r="Y92" s="86" t="str">
        <f aca="false">IF($B92="","",الموظفون!$O92*(cfg_EOS_R1*(MIN(AC92,cfg_EOS_TH)-MIN(AD92,cfg_EOS_TH))+cfg_EOS_R2*(MAX(AC92-cfg_EOS_TH,0)-MAX(AD92-cfg_EOS_TH,0))))</f>
        <v/>
      </c>
      <c r="Z92" s="86" t="str">
        <f aca="false">IF($B92="","",IF(الموظفون!$R92&lt;&gt;"",الموظفون!$R92,IF(AC92&gt;=cfg_LV_TH,cfg_LV_D2,cfg_LV_D1))/cfg_DAYS_Y*AE92*الموظفون!$P92/cfg_DAYS_M)</f>
        <v/>
      </c>
      <c r="AA92" s="86" t="str">
        <f aca="false">IF($B92="","",IF(AND(الموظفون!$S92="نعم",N(الموظفون!$U92)&gt;0),الموظفون!$T92/الموظفون!$U92*12/cfg_DAYS_Y*AE92,0))</f>
        <v/>
      </c>
      <c r="AB92" s="108" t="str">
        <f aca="false">IF($B92="","",R92+SUM(X92:AA92))</f>
        <v/>
      </c>
      <c r="AC92" s="109" t="str">
        <f aca="false">IF($B92="","",MAX(0,IF(OR(الموظفون!$X92="",الموظفون!$X92&gt;$G$3),$G$3,الموظفون!$X92)-الموظفون!$H92+1)/cfg_DAYS_Y)</f>
        <v/>
      </c>
      <c r="AD92" s="109" t="str">
        <f aca="false">IF($B92="","",MAX(0,IF(OR(الموظفون!$X92="",الموظفون!$X92&gt;($E$3-1)),($E$3-1),الموظفون!$X92)-الموظفون!$H92+1)/cfg_DAYS_Y)</f>
        <v/>
      </c>
      <c r="AE92" s="51" t="str">
        <f aca="false">IF($B92="","",MAX(0,IF(OR(الموظفون!$X92="",الموظفون!$X92&gt;$G$3),$G$3,الموظفون!$X92)-MAX($E$3,الموظفون!$H92)+1))</f>
        <v/>
      </c>
    </row>
    <row r="93" customFormat="false" ht="15" hidden="false" customHeight="false" outlineLevel="0" collapsed="false">
      <c r="A93" s="89" t="str">
        <f aca="false">IF($B93="","",الموظفون!$A93)</f>
        <v/>
      </c>
      <c r="B93" s="91" t="str">
        <f aca="false">IF(الموظفون!$B93="","",الموظفون!$B93)</f>
        <v/>
      </c>
      <c r="C93" s="91" t="str">
        <f aca="false">IF($B93="","",الموظفون!$C93)</f>
        <v/>
      </c>
      <c r="D93" s="91" t="str">
        <f aca="false">IF($B93="","",الموظفون!$F93)</f>
        <v/>
      </c>
      <c r="E93" s="91" t="str">
        <f aca="false">IF($B93="","",الموظفون!$E93)</f>
        <v/>
      </c>
      <c r="F93" s="110" t="str">
        <f aca="false">IF($B93="","",IF(AE93&gt;=DAY($G$3),cfg_DAYS_M,MIN(AE93,cfg_DAYS_M)))</f>
        <v/>
      </c>
      <c r="G93" s="110" t="str">
        <f aca="false">IF($B93="","",SUMIFS('الحركات الشهرية'!$D$6:$D$1005,'الحركات الشهرية'!$B$6:$B$1005,$B93,'الحركات الشهرية'!$A$6:$A$1005,$C$3))</f>
        <v/>
      </c>
      <c r="H93" s="110" t="str">
        <f aca="false">IF($B93="","",SUMIFS('الحركات الشهرية'!$E$6:$E$1005,'الحركات الشهرية'!$B$6:$B$1005,$B93,'الحركات الشهرية'!$A$6:$A$1005,$C$3))</f>
        <v/>
      </c>
      <c r="I93" s="110" t="str">
        <f aca="false">IF($B93="","",MAX(0,F93-G93-H93))</f>
        <v/>
      </c>
      <c r="J93" s="90" t="str">
        <f aca="false">IF($B93="","",الموظفون!$J93*$I93/cfg_DAYS_M)</f>
        <v/>
      </c>
      <c r="K93" s="90" t="str">
        <f aca="false">IF($B93="","",الموظفون!$K93*$I93/cfg_DAYS_M)</f>
        <v/>
      </c>
      <c r="L93" s="90" t="str">
        <f aca="false">IF($B93="","",الموظفون!$L93*$I93/cfg_DAYS_M)</f>
        <v/>
      </c>
      <c r="M93" s="90" t="str">
        <f aca="false">IF($B93="","",الموظفون!$M93*$I93/cfg_DAYS_M)</f>
        <v/>
      </c>
      <c r="N93" s="110" t="str">
        <f aca="false">IF($B93="","",SUMIFS('الحركات الشهرية'!$F$6:$F$1005,'الحركات الشهرية'!$B$6:$B$1005,$B93,'الحركات الشهرية'!$A$6:$A$1005,$C$3))</f>
        <v/>
      </c>
      <c r="O93" s="90" t="str">
        <f aca="false">IF($B93="","",N93*(الموظفون!$N93+الموظفون!$J93*cfg_OT_P)/cfg_DAYS_M/cfg_HRS)</f>
        <v/>
      </c>
      <c r="P93" s="90" t="str">
        <f aca="false">IF($B93="","",SUMIFS('الحركات الشهرية'!$G$6:$G$1005,'الحركات الشهرية'!$B$6:$B$1005,$B93,'الحركات الشهرية'!$A$6:$A$1005,$C$3))</f>
        <v/>
      </c>
      <c r="Q93" s="90" t="str">
        <f aca="false">IF($B93="","",SUMIFS('الحركات الشهرية'!$H$6:$H$1005,'الحركات الشهرية'!$B$6:$B$1005,$B93,'الحركات الشهرية'!$A$6:$A$1005,$C$3))</f>
        <v/>
      </c>
      <c r="R93" s="111" t="str">
        <f aca="false">IF($B93="","",SUM(J93:M93)+SUM(O93:Q93))</f>
        <v/>
      </c>
      <c r="S93" s="90" t="str">
        <f aca="false">IF($B93="","",الموظفون!$Q93*IF(E93="سعودي",cfg_G_SE,cfg_G_NE)*F93/cfg_DAYS_M)</f>
        <v/>
      </c>
      <c r="T93" s="90" t="str">
        <f aca="false">IF($B93="","",SUMIFS('الحركات الشهرية'!$I$6:$I$1005,'الحركات الشهرية'!$B$6:$B$1005,$B93,'الحركات الشهرية'!$A$6:$A$1005,$C$3))</f>
        <v/>
      </c>
      <c r="U93" s="90" t="str">
        <f aca="false">IF($B93="","",SUMIFS('الحركات الشهرية'!$J$6:$J$1005,'الحركات الشهرية'!$B$6:$B$1005,$B93,'الحركات الشهرية'!$A$6:$A$1005,$C$3))</f>
        <v/>
      </c>
      <c r="V93" s="90" t="str">
        <f aca="false">IF($B93="","",SUM(S93:U93))</f>
        <v/>
      </c>
      <c r="W93" s="112" t="str">
        <f aca="false">IF($B93="","",R93-V93)</f>
        <v/>
      </c>
      <c r="X93" s="90" t="str">
        <f aca="false">IF($B93="","",الموظفون!$Q93*IF(E93="سعودي",cfg_G_SR,cfg_G_NR)*F93/cfg_DAYS_M)</f>
        <v/>
      </c>
      <c r="Y93" s="90" t="str">
        <f aca="false">IF($B93="","",الموظفون!$O93*(cfg_EOS_R1*(MIN(AC93,cfg_EOS_TH)-MIN(AD93,cfg_EOS_TH))+cfg_EOS_R2*(MAX(AC93-cfg_EOS_TH,0)-MAX(AD93-cfg_EOS_TH,0))))</f>
        <v/>
      </c>
      <c r="Z93" s="90" t="str">
        <f aca="false">IF($B93="","",IF(الموظفون!$R93&lt;&gt;"",الموظفون!$R93,IF(AC93&gt;=cfg_LV_TH,cfg_LV_D2,cfg_LV_D1))/cfg_DAYS_Y*AE93*الموظفون!$P93/cfg_DAYS_M)</f>
        <v/>
      </c>
      <c r="AA93" s="90" t="str">
        <f aca="false">IF($B93="","",IF(AND(الموظفون!$S93="نعم",N(الموظفون!$U93)&gt;0),الموظفون!$T93/الموظفون!$U93*12/cfg_DAYS_Y*AE93,0))</f>
        <v/>
      </c>
      <c r="AB93" s="113" t="str">
        <f aca="false">IF($B93="","",R93+SUM(X93:AA93))</f>
        <v/>
      </c>
      <c r="AC93" s="114" t="str">
        <f aca="false">IF($B93="","",MAX(0,IF(OR(الموظفون!$X93="",الموظفون!$X93&gt;$G$3),$G$3,الموظفون!$X93)-الموظفون!$H93+1)/cfg_DAYS_Y)</f>
        <v/>
      </c>
      <c r="AD93" s="114" t="str">
        <f aca="false">IF($B93="","",MAX(0,IF(OR(الموظفون!$X93="",الموظفون!$X93&gt;($E$3-1)),($E$3-1),الموظفون!$X93)-الموظفون!$H93+1)/cfg_DAYS_Y)</f>
        <v/>
      </c>
      <c r="AE93" s="115" t="str">
        <f aca="false">IF($B93="","",MAX(0,IF(OR(الموظفون!$X93="",الموظفون!$X93&gt;$G$3),$G$3,الموظفون!$X93)-MAX($E$3,الموظفون!$H93)+1))</f>
        <v/>
      </c>
    </row>
    <row r="94" customFormat="false" ht="15" hidden="false" customHeight="false" outlineLevel="0" collapsed="false">
      <c r="A94" s="83" t="str">
        <f aca="false">IF($B94="","",الموظفون!$A94)</f>
        <v/>
      </c>
      <c r="B94" s="74" t="str">
        <f aca="false">IF(الموظفون!$B94="","",الموظفون!$B94)</f>
        <v/>
      </c>
      <c r="C94" s="74" t="str">
        <f aca="false">IF($B94="","",الموظفون!$C94)</f>
        <v/>
      </c>
      <c r="D94" s="74" t="str">
        <f aca="false">IF($B94="","",الموظفون!$F94)</f>
        <v/>
      </c>
      <c r="E94" s="74" t="str">
        <f aca="false">IF($B94="","",الموظفون!$E94)</f>
        <v/>
      </c>
      <c r="F94" s="105" t="str">
        <f aca="false">IF($B94="","",IF(AE94&gt;=DAY($G$3),cfg_DAYS_M,MIN(AE94,cfg_DAYS_M)))</f>
        <v/>
      </c>
      <c r="G94" s="105" t="str">
        <f aca="false">IF($B94="","",SUMIFS('الحركات الشهرية'!$D$6:$D$1005,'الحركات الشهرية'!$B$6:$B$1005,$B94,'الحركات الشهرية'!$A$6:$A$1005,$C$3))</f>
        <v/>
      </c>
      <c r="H94" s="105" t="str">
        <f aca="false">IF($B94="","",SUMIFS('الحركات الشهرية'!$E$6:$E$1005,'الحركات الشهرية'!$B$6:$B$1005,$B94,'الحركات الشهرية'!$A$6:$A$1005,$C$3))</f>
        <v/>
      </c>
      <c r="I94" s="105" t="str">
        <f aca="false">IF($B94="","",MAX(0,F94-G94-H94))</f>
        <v/>
      </c>
      <c r="J94" s="86" t="str">
        <f aca="false">IF($B94="","",الموظفون!$J94*$I94/cfg_DAYS_M)</f>
        <v/>
      </c>
      <c r="K94" s="86" t="str">
        <f aca="false">IF($B94="","",الموظفون!$K94*$I94/cfg_DAYS_M)</f>
        <v/>
      </c>
      <c r="L94" s="86" t="str">
        <f aca="false">IF($B94="","",الموظفون!$L94*$I94/cfg_DAYS_M)</f>
        <v/>
      </c>
      <c r="M94" s="86" t="str">
        <f aca="false">IF($B94="","",الموظفون!$M94*$I94/cfg_DAYS_M)</f>
        <v/>
      </c>
      <c r="N94" s="105" t="str">
        <f aca="false">IF($B94="","",SUMIFS('الحركات الشهرية'!$F$6:$F$1005,'الحركات الشهرية'!$B$6:$B$1005,$B94,'الحركات الشهرية'!$A$6:$A$1005,$C$3))</f>
        <v/>
      </c>
      <c r="O94" s="86" t="str">
        <f aca="false">IF($B94="","",N94*(الموظفون!$N94+الموظفون!$J94*cfg_OT_P)/cfg_DAYS_M/cfg_HRS)</f>
        <v/>
      </c>
      <c r="P94" s="86" t="str">
        <f aca="false">IF($B94="","",SUMIFS('الحركات الشهرية'!$G$6:$G$1005,'الحركات الشهرية'!$B$6:$B$1005,$B94,'الحركات الشهرية'!$A$6:$A$1005,$C$3))</f>
        <v/>
      </c>
      <c r="Q94" s="86" t="str">
        <f aca="false">IF($B94="","",SUMIFS('الحركات الشهرية'!$H$6:$H$1005,'الحركات الشهرية'!$B$6:$B$1005,$B94,'الحركات الشهرية'!$A$6:$A$1005,$C$3))</f>
        <v/>
      </c>
      <c r="R94" s="106" t="str">
        <f aca="false">IF($B94="","",SUM(J94:M94)+SUM(O94:Q94))</f>
        <v/>
      </c>
      <c r="S94" s="86" t="str">
        <f aca="false">IF($B94="","",الموظفون!$Q94*IF(E94="سعودي",cfg_G_SE,cfg_G_NE)*F94/cfg_DAYS_M)</f>
        <v/>
      </c>
      <c r="T94" s="86" t="str">
        <f aca="false">IF($B94="","",SUMIFS('الحركات الشهرية'!$I$6:$I$1005,'الحركات الشهرية'!$B$6:$B$1005,$B94,'الحركات الشهرية'!$A$6:$A$1005,$C$3))</f>
        <v/>
      </c>
      <c r="U94" s="86" t="str">
        <f aca="false">IF($B94="","",SUMIFS('الحركات الشهرية'!$J$6:$J$1005,'الحركات الشهرية'!$B$6:$B$1005,$B94,'الحركات الشهرية'!$A$6:$A$1005,$C$3))</f>
        <v/>
      </c>
      <c r="V94" s="86" t="str">
        <f aca="false">IF($B94="","",SUM(S94:U94))</f>
        <v/>
      </c>
      <c r="W94" s="107" t="str">
        <f aca="false">IF($B94="","",R94-V94)</f>
        <v/>
      </c>
      <c r="X94" s="86" t="str">
        <f aca="false">IF($B94="","",الموظفون!$Q94*IF(E94="سعودي",cfg_G_SR,cfg_G_NR)*F94/cfg_DAYS_M)</f>
        <v/>
      </c>
      <c r="Y94" s="86" t="str">
        <f aca="false">IF($B94="","",الموظفون!$O94*(cfg_EOS_R1*(MIN(AC94,cfg_EOS_TH)-MIN(AD94,cfg_EOS_TH))+cfg_EOS_R2*(MAX(AC94-cfg_EOS_TH,0)-MAX(AD94-cfg_EOS_TH,0))))</f>
        <v/>
      </c>
      <c r="Z94" s="86" t="str">
        <f aca="false">IF($B94="","",IF(الموظفون!$R94&lt;&gt;"",الموظفون!$R94,IF(AC94&gt;=cfg_LV_TH,cfg_LV_D2,cfg_LV_D1))/cfg_DAYS_Y*AE94*الموظفون!$P94/cfg_DAYS_M)</f>
        <v/>
      </c>
      <c r="AA94" s="86" t="str">
        <f aca="false">IF($B94="","",IF(AND(الموظفون!$S94="نعم",N(الموظفون!$U94)&gt;0),الموظفون!$T94/الموظفون!$U94*12/cfg_DAYS_Y*AE94,0))</f>
        <v/>
      </c>
      <c r="AB94" s="108" t="str">
        <f aca="false">IF($B94="","",R94+SUM(X94:AA94))</f>
        <v/>
      </c>
      <c r="AC94" s="109" t="str">
        <f aca="false">IF($B94="","",MAX(0,IF(OR(الموظفون!$X94="",الموظفون!$X94&gt;$G$3),$G$3,الموظفون!$X94)-الموظفون!$H94+1)/cfg_DAYS_Y)</f>
        <v/>
      </c>
      <c r="AD94" s="109" t="str">
        <f aca="false">IF($B94="","",MAX(0,IF(OR(الموظفون!$X94="",الموظفون!$X94&gt;($E$3-1)),($E$3-1),الموظفون!$X94)-الموظفون!$H94+1)/cfg_DAYS_Y)</f>
        <v/>
      </c>
      <c r="AE94" s="51" t="str">
        <f aca="false">IF($B94="","",MAX(0,IF(OR(الموظفون!$X94="",الموظفون!$X94&gt;$G$3),$G$3,الموظفون!$X94)-MAX($E$3,الموظفون!$H94)+1))</f>
        <v/>
      </c>
    </row>
    <row r="95" customFormat="false" ht="15" hidden="false" customHeight="false" outlineLevel="0" collapsed="false">
      <c r="A95" s="89" t="str">
        <f aca="false">IF($B95="","",الموظفون!$A95)</f>
        <v/>
      </c>
      <c r="B95" s="91" t="str">
        <f aca="false">IF(الموظفون!$B95="","",الموظفون!$B95)</f>
        <v/>
      </c>
      <c r="C95" s="91" t="str">
        <f aca="false">IF($B95="","",الموظفون!$C95)</f>
        <v/>
      </c>
      <c r="D95" s="91" t="str">
        <f aca="false">IF($B95="","",الموظفون!$F95)</f>
        <v/>
      </c>
      <c r="E95" s="91" t="str">
        <f aca="false">IF($B95="","",الموظفون!$E95)</f>
        <v/>
      </c>
      <c r="F95" s="110" t="str">
        <f aca="false">IF($B95="","",IF(AE95&gt;=DAY($G$3),cfg_DAYS_M,MIN(AE95,cfg_DAYS_M)))</f>
        <v/>
      </c>
      <c r="G95" s="110" t="str">
        <f aca="false">IF($B95="","",SUMIFS('الحركات الشهرية'!$D$6:$D$1005,'الحركات الشهرية'!$B$6:$B$1005,$B95,'الحركات الشهرية'!$A$6:$A$1005,$C$3))</f>
        <v/>
      </c>
      <c r="H95" s="110" t="str">
        <f aca="false">IF($B95="","",SUMIFS('الحركات الشهرية'!$E$6:$E$1005,'الحركات الشهرية'!$B$6:$B$1005,$B95,'الحركات الشهرية'!$A$6:$A$1005,$C$3))</f>
        <v/>
      </c>
      <c r="I95" s="110" t="str">
        <f aca="false">IF($B95="","",MAX(0,F95-G95-H95))</f>
        <v/>
      </c>
      <c r="J95" s="90" t="str">
        <f aca="false">IF($B95="","",الموظفون!$J95*$I95/cfg_DAYS_M)</f>
        <v/>
      </c>
      <c r="K95" s="90" t="str">
        <f aca="false">IF($B95="","",الموظفون!$K95*$I95/cfg_DAYS_M)</f>
        <v/>
      </c>
      <c r="L95" s="90" t="str">
        <f aca="false">IF($B95="","",الموظفون!$L95*$I95/cfg_DAYS_M)</f>
        <v/>
      </c>
      <c r="M95" s="90" t="str">
        <f aca="false">IF($B95="","",الموظفون!$M95*$I95/cfg_DAYS_M)</f>
        <v/>
      </c>
      <c r="N95" s="110" t="str">
        <f aca="false">IF($B95="","",SUMIFS('الحركات الشهرية'!$F$6:$F$1005,'الحركات الشهرية'!$B$6:$B$1005,$B95,'الحركات الشهرية'!$A$6:$A$1005,$C$3))</f>
        <v/>
      </c>
      <c r="O95" s="90" t="str">
        <f aca="false">IF($B95="","",N95*(الموظفون!$N95+الموظفون!$J95*cfg_OT_P)/cfg_DAYS_M/cfg_HRS)</f>
        <v/>
      </c>
      <c r="P95" s="90" t="str">
        <f aca="false">IF($B95="","",SUMIFS('الحركات الشهرية'!$G$6:$G$1005,'الحركات الشهرية'!$B$6:$B$1005,$B95,'الحركات الشهرية'!$A$6:$A$1005,$C$3))</f>
        <v/>
      </c>
      <c r="Q95" s="90" t="str">
        <f aca="false">IF($B95="","",SUMIFS('الحركات الشهرية'!$H$6:$H$1005,'الحركات الشهرية'!$B$6:$B$1005,$B95,'الحركات الشهرية'!$A$6:$A$1005,$C$3))</f>
        <v/>
      </c>
      <c r="R95" s="111" t="str">
        <f aca="false">IF($B95="","",SUM(J95:M95)+SUM(O95:Q95))</f>
        <v/>
      </c>
      <c r="S95" s="90" t="str">
        <f aca="false">IF($B95="","",الموظفون!$Q95*IF(E95="سعودي",cfg_G_SE,cfg_G_NE)*F95/cfg_DAYS_M)</f>
        <v/>
      </c>
      <c r="T95" s="90" t="str">
        <f aca="false">IF($B95="","",SUMIFS('الحركات الشهرية'!$I$6:$I$1005,'الحركات الشهرية'!$B$6:$B$1005,$B95,'الحركات الشهرية'!$A$6:$A$1005,$C$3))</f>
        <v/>
      </c>
      <c r="U95" s="90" t="str">
        <f aca="false">IF($B95="","",SUMIFS('الحركات الشهرية'!$J$6:$J$1005,'الحركات الشهرية'!$B$6:$B$1005,$B95,'الحركات الشهرية'!$A$6:$A$1005,$C$3))</f>
        <v/>
      </c>
      <c r="V95" s="90" t="str">
        <f aca="false">IF($B95="","",SUM(S95:U95))</f>
        <v/>
      </c>
      <c r="W95" s="112" t="str">
        <f aca="false">IF($B95="","",R95-V95)</f>
        <v/>
      </c>
      <c r="X95" s="90" t="str">
        <f aca="false">IF($B95="","",الموظفون!$Q95*IF(E95="سعودي",cfg_G_SR,cfg_G_NR)*F95/cfg_DAYS_M)</f>
        <v/>
      </c>
      <c r="Y95" s="90" t="str">
        <f aca="false">IF($B95="","",الموظفون!$O95*(cfg_EOS_R1*(MIN(AC95,cfg_EOS_TH)-MIN(AD95,cfg_EOS_TH))+cfg_EOS_R2*(MAX(AC95-cfg_EOS_TH,0)-MAX(AD95-cfg_EOS_TH,0))))</f>
        <v/>
      </c>
      <c r="Z95" s="90" t="str">
        <f aca="false">IF($B95="","",IF(الموظفون!$R95&lt;&gt;"",الموظفون!$R95,IF(AC95&gt;=cfg_LV_TH,cfg_LV_D2,cfg_LV_D1))/cfg_DAYS_Y*AE95*الموظفون!$P95/cfg_DAYS_M)</f>
        <v/>
      </c>
      <c r="AA95" s="90" t="str">
        <f aca="false">IF($B95="","",IF(AND(الموظفون!$S95="نعم",N(الموظفون!$U95)&gt;0),الموظفون!$T95/الموظفون!$U95*12/cfg_DAYS_Y*AE95,0))</f>
        <v/>
      </c>
      <c r="AB95" s="113" t="str">
        <f aca="false">IF($B95="","",R95+SUM(X95:AA95))</f>
        <v/>
      </c>
      <c r="AC95" s="114" t="str">
        <f aca="false">IF($B95="","",MAX(0,IF(OR(الموظفون!$X95="",الموظفون!$X95&gt;$G$3),$G$3,الموظفون!$X95)-الموظفون!$H95+1)/cfg_DAYS_Y)</f>
        <v/>
      </c>
      <c r="AD95" s="114" t="str">
        <f aca="false">IF($B95="","",MAX(0,IF(OR(الموظفون!$X95="",الموظفون!$X95&gt;($E$3-1)),($E$3-1),الموظفون!$X95)-الموظفون!$H95+1)/cfg_DAYS_Y)</f>
        <v/>
      </c>
      <c r="AE95" s="115" t="str">
        <f aca="false">IF($B95="","",MAX(0,IF(OR(الموظفون!$X95="",الموظفون!$X95&gt;$G$3),$G$3,الموظفون!$X95)-MAX($E$3,الموظفون!$H95)+1))</f>
        <v/>
      </c>
    </row>
    <row r="96" customFormat="false" ht="15" hidden="false" customHeight="false" outlineLevel="0" collapsed="false">
      <c r="A96" s="83" t="str">
        <f aca="false">IF($B96="","",الموظفون!$A96)</f>
        <v/>
      </c>
      <c r="B96" s="74" t="str">
        <f aca="false">IF(الموظفون!$B96="","",الموظفون!$B96)</f>
        <v/>
      </c>
      <c r="C96" s="74" t="str">
        <f aca="false">IF($B96="","",الموظفون!$C96)</f>
        <v/>
      </c>
      <c r="D96" s="74" t="str">
        <f aca="false">IF($B96="","",الموظفون!$F96)</f>
        <v/>
      </c>
      <c r="E96" s="74" t="str">
        <f aca="false">IF($B96="","",الموظفون!$E96)</f>
        <v/>
      </c>
      <c r="F96" s="105" t="str">
        <f aca="false">IF($B96="","",IF(AE96&gt;=DAY($G$3),cfg_DAYS_M,MIN(AE96,cfg_DAYS_M)))</f>
        <v/>
      </c>
      <c r="G96" s="105" t="str">
        <f aca="false">IF($B96="","",SUMIFS('الحركات الشهرية'!$D$6:$D$1005,'الحركات الشهرية'!$B$6:$B$1005,$B96,'الحركات الشهرية'!$A$6:$A$1005,$C$3))</f>
        <v/>
      </c>
      <c r="H96" s="105" t="str">
        <f aca="false">IF($B96="","",SUMIFS('الحركات الشهرية'!$E$6:$E$1005,'الحركات الشهرية'!$B$6:$B$1005,$B96,'الحركات الشهرية'!$A$6:$A$1005,$C$3))</f>
        <v/>
      </c>
      <c r="I96" s="105" t="str">
        <f aca="false">IF($B96="","",MAX(0,F96-G96-H96))</f>
        <v/>
      </c>
      <c r="J96" s="86" t="str">
        <f aca="false">IF($B96="","",الموظفون!$J96*$I96/cfg_DAYS_M)</f>
        <v/>
      </c>
      <c r="K96" s="86" t="str">
        <f aca="false">IF($B96="","",الموظفون!$K96*$I96/cfg_DAYS_M)</f>
        <v/>
      </c>
      <c r="L96" s="86" t="str">
        <f aca="false">IF($B96="","",الموظفون!$L96*$I96/cfg_DAYS_M)</f>
        <v/>
      </c>
      <c r="M96" s="86" t="str">
        <f aca="false">IF($B96="","",الموظفون!$M96*$I96/cfg_DAYS_M)</f>
        <v/>
      </c>
      <c r="N96" s="105" t="str">
        <f aca="false">IF($B96="","",SUMIFS('الحركات الشهرية'!$F$6:$F$1005,'الحركات الشهرية'!$B$6:$B$1005,$B96,'الحركات الشهرية'!$A$6:$A$1005,$C$3))</f>
        <v/>
      </c>
      <c r="O96" s="86" t="str">
        <f aca="false">IF($B96="","",N96*(الموظفون!$N96+الموظفون!$J96*cfg_OT_P)/cfg_DAYS_M/cfg_HRS)</f>
        <v/>
      </c>
      <c r="P96" s="86" t="str">
        <f aca="false">IF($B96="","",SUMIFS('الحركات الشهرية'!$G$6:$G$1005,'الحركات الشهرية'!$B$6:$B$1005,$B96,'الحركات الشهرية'!$A$6:$A$1005,$C$3))</f>
        <v/>
      </c>
      <c r="Q96" s="86" t="str">
        <f aca="false">IF($B96="","",SUMIFS('الحركات الشهرية'!$H$6:$H$1005,'الحركات الشهرية'!$B$6:$B$1005,$B96,'الحركات الشهرية'!$A$6:$A$1005,$C$3))</f>
        <v/>
      </c>
      <c r="R96" s="106" t="str">
        <f aca="false">IF($B96="","",SUM(J96:M96)+SUM(O96:Q96))</f>
        <v/>
      </c>
      <c r="S96" s="86" t="str">
        <f aca="false">IF($B96="","",الموظفون!$Q96*IF(E96="سعودي",cfg_G_SE,cfg_G_NE)*F96/cfg_DAYS_M)</f>
        <v/>
      </c>
      <c r="T96" s="86" t="str">
        <f aca="false">IF($B96="","",SUMIFS('الحركات الشهرية'!$I$6:$I$1005,'الحركات الشهرية'!$B$6:$B$1005,$B96,'الحركات الشهرية'!$A$6:$A$1005,$C$3))</f>
        <v/>
      </c>
      <c r="U96" s="86" t="str">
        <f aca="false">IF($B96="","",SUMIFS('الحركات الشهرية'!$J$6:$J$1005,'الحركات الشهرية'!$B$6:$B$1005,$B96,'الحركات الشهرية'!$A$6:$A$1005,$C$3))</f>
        <v/>
      </c>
      <c r="V96" s="86" t="str">
        <f aca="false">IF($B96="","",SUM(S96:U96))</f>
        <v/>
      </c>
      <c r="W96" s="107" t="str">
        <f aca="false">IF($B96="","",R96-V96)</f>
        <v/>
      </c>
      <c r="X96" s="86" t="str">
        <f aca="false">IF($B96="","",الموظفون!$Q96*IF(E96="سعودي",cfg_G_SR,cfg_G_NR)*F96/cfg_DAYS_M)</f>
        <v/>
      </c>
      <c r="Y96" s="86" t="str">
        <f aca="false">IF($B96="","",الموظفون!$O96*(cfg_EOS_R1*(MIN(AC96,cfg_EOS_TH)-MIN(AD96,cfg_EOS_TH))+cfg_EOS_R2*(MAX(AC96-cfg_EOS_TH,0)-MAX(AD96-cfg_EOS_TH,0))))</f>
        <v/>
      </c>
      <c r="Z96" s="86" t="str">
        <f aca="false">IF($B96="","",IF(الموظفون!$R96&lt;&gt;"",الموظفون!$R96,IF(AC96&gt;=cfg_LV_TH,cfg_LV_D2,cfg_LV_D1))/cfg_DAYS_Y*AE96*الموظفون!$P96/cfg_DAYS_M)</f>
        <v/>
      </c>
      <c r="AA96" s="86" t="str">
        <f aca="false">IF($B96="","",IF(AND(الموظفون!$S96="نعم",N(الموظفون!$U96)&gt;0),الموظفون!$T96/الموظفون!$U96*12/cfg_DAYS_Y*AE96,0))</f>
        <v/>
      </c>
      <c r="AB96" s="108" t="str">
        <f aca="false">IF($B96="","",R96+SUM(X96:AA96))</f>
        <v/>
      </c>
      <c r="AC96" s="109" t="str">
        <f aca="false">IF($B96="","",MAX(0,IF(OR(الموظفون!$X96="",الموظفون!$X96&gt;$G$3),$G$3,الموظفون!$X96)-الموظفون!$H96+1)/cfg_DAYS_Y)</f>
        <v/>
      </c>
      <c r="AD96" s="109" t="str">
        <f aca="false">IF($B96="","",MAX(0,IF(OR(الموظفون!$X96="",الموظفون!$X96&gt;($E$3-1)),($E$3-1),الموظفون!$X96)-الموظفون!$H96+1)/cfg_DAYS_Y)</f>
        <v/>
      </c>
      <c r="AE96" s="51" t="str">
        <f aca="false">IF($B96="","",MAX(0,IF(OR(الموظفون!$X96="",الموظفون!$X96&gt;$G$3),$G$3,الموظفون!$X96)-MAX($E$3,الموظفون!$H96)+1))</f>
        <v/>
      </c>
    </row>
    <row r="97" customFormat="false" ht="15" hidden="false" customHeight="false" outlineLevel="0" collapsed="false">
      <c r="A97" s="89" t="str">
        <f aca="false">IF($B97="","",الموظفون!$A97)</f>
        <v/>
      </c>
      <c r="B97" s="91" t="str">
        <f aca="false">IF(الموظفون!$B97="","",الموظفون!$B97)</f>
        <v/>
      </c>
      <c r="C97" s="91" t="str">
        <f aca="false">IF($B97="","",الموظفون!$C97)</f>
        <v/>
      </c>
      <c r="D97" s="91" t="str">
        <f aca="false">IF($B97="","",الموظفون!$F97)</f>
        <v/>
      </c>
      <c r="E97" s="91" t="str">
        <f aca="false">IF($B97="","",الموظفون!$E97)</f>
        <v/>
      </c>
      <c r="F97" s="110" t="str">
        <f aca="false">IF($B97="","",IF(AE97&gt;=DAY($G$3),cfg_DAYS_M,MIN(AE97,cfg_DAYS_M)))</f>
        <v/>
      </c>
      <c r="G97" s="110" t="str">
        <f aca="false">IF($B97="","",SUMIFS('الحركات الشهرية'!$D$6:$D$1005,'الحركات الشهرية'!$B$6:$B$1005,$B97,'الحركات الشهرية'!$A$6:$A$1005,$C$3))</f>
        <v/>
      </c>
      <c r="H97" s="110" t="str">
        <f aca="false">IF($B97="","",SUMIFS('الحركات الشهرية'!$E$6:$E$1005,'الحركات الشهرية'!$B$6:$B$1005,$B97,'الحركات الشهرية'!$A$6:$A$1005,$C$3))</f>
        <v/>
      </c>
      <c r="I97" s="110" t="str">
        <f aca="false">IF($B97="","",MAX(0,F97-G97-H97))</f>
        <v/>
      </c>
      <c r="J97" s="90" t="str">
        <f aca="false">IF($B97="","",الموظفون!$J97*$I97/cfg_DAYS_M)</f>
        <v/>
      </c>
      <c r="K97" s="90" t="str">
        <f aca="false">IF($B97="","",الموظفون!$K97*$I97/cfg_DAYS_M)</f>
        <v/>
      </c>
      <c r="L97" s="90" t="str">
        <f aca="false">IF($B97="","",الموظفون!$L97*$I97/cfg_DAYS_M)</f>
        <v/>
      </c>
      <c r="M97" s="90" t="str">
        <f aca="false">IF($B97="","",الموظفون!$M97*$I97/cfg_DAYS_M)</f>
        <v/>
      </c>
      <c r="N97" s="110" t="str">
        <f aca="false">IF($B97="","",SUMIFS('الحركات الشهرية'!$F$6:$F$1005,'الحركات الشهرية'!$B$6:$B$1005,$B97,'الحركات الشهرية'!$A$6:$A$1005,$C$3))</f>
        <v/>
      </c>
      <c r="O97" s="90" t="str">
        <f aca="false">IF($B97="","",N97*(الموظفون!$N97+الموظفون!$J97*cfg_OT_P)/cfg_DAYS_M/cfg_HRS)</f>
        <v/>
      </c>
      <c r="P97" s="90" t="str">
        <f aca="false">IF($B97="","",SUMIFS('الحركات الشهرية'!$G$6:$G$1005,'الحركات الشهرية'!$B$6:$B$1005,$B97,'الحركات الشهرية'!$A$6:$A$1005,$C$3))</f>
        <v/>
      </c>
      <c r="Q97" s="90" t="str">
        <f aca="false">IF($B97="","",SUMIFS('الحركات الشهرية'!$H$6:$H$1005,'الحركات الشهرية'!$B$6:$B$1005,$B97,'الحركات الشهرية'!$A$6:$A$1005,$C$3))</f>
        <v/>
      </c>
      <c r="R97" s="111" t="str">
        <f aca="false">IF($B97="","",SUM(J97:M97)+SUM(O97:Q97))</f>
        <v/>
      </c>
      <c r="S97" s="90" t="str">
        <f aca="false">IF($B97="","",الموظفون!$Q97*IF(E97="سعودي",cfg_G_SE,cfg_G_NE)*F97/cfg_DAYS_M)</f>
        <v/>
      </c>
      <c r="T97" s="90" t="str">
        <f aca="false">IF($B97="","",SUMIFS('الحركات الشهرية'!$I$6:$I$1005,'الحركات الشهرية'!$B$6:$B$1005,$B97,'الحركات الشهرية'!$A$6:$A$1005,$C$3))</f>
        <v/>
      </c>
      <c r="U97" s="90" t="str">
        <f aca="false">IF($B97="","",SUMIFS('الحركات الشهرية'!$J$6:$J$1005,'الحركات الشهرية'!$B$6:$B$1005,$B97,'الحركات الشهرية'!$A$6:$A$1005,$C$3))</f>
        <v/>
      </c>
      <c r="V97" s="90" t="str">
        <f aca="false">IF($B97="","",SUM(S97:U97))</f>
        <v/>
      </c>
      <c r="W97" s="112" t="str">
        <f aca="false">IF($B97="","",R97-V97)</f>
        <v/>
      </c>
      <c r="X97" s="90" t="str">
        <f aca="false">IF($B97="","",الموظفون!$Q97*IF(E97="سعودي",cfg_G_SR,cfg_G_NR)*F97/cfg_DAYS_M)</f>
        <v/>
      </c>
      <c r="Y97" s="90" t="str">
        <f aca="false">IF($B97="","",الموظفون!$O97*(cfg_EOS_R1*(MIN(AC97,cfg_EOS_TH)-MIN(AD97,cfg_EOS_TH))+cfg_EOS_R2*(MAX(AC97-cfg_EOS_TH,0)-MAX(AD97-cfg_EOS_TH,0))))</f>
        <v/>
      </c>
      <c r="Z97" s="90" t="str">
        <f aca="false">IF($B97="","",IF(الموظفون!$R97&lt;&gt;"",الموظفون!$R97,IF(AC97&gt;=cfg_LV_TH,cfg_LV_D2,cfg_LV_D1))/cfg_DAYS_Y*AE97*الموظفون!$P97/cfg_DAYS_M)</f>
        <v/>
      </c>
      <c r="AA97" s="90" t="str">
        <f aca="false">IF($B97="","",IF(AND(الموظفون!$S97="نعم",N(الموظفون!$U97)&gt;0),الموظفون!$T97/الموظفون!$U97*12/cfg_DAYS_Y*AE97,0))</f>
        <v/>
      </c>
      <c r="AB97" s="113" t="str">
        <f aca="false">IF($B97="","",R97+SUM(X97:AA97))</f>
        <v/>
      </c>
      <c r="AC97" s="114" t="str">
        <f aca="false">IF($B97="","",MAX(0,IF(OR(الموظفون!$X97="",الموظفون!$X97&gt;$G$3),$G$3,الموظفون!$X97)-الموظفون!$H97+1)/cfg_DAYS_Y)</f>
        <v/>
      </c>
      <c r="AD97" s="114" t="str">
        <f aca="false">IF($B97="","",MAX(0,IF(OR(الموظفون!$X97="",الموظفون!$X97&gt;($E$3-1)),($E$3-1),الموظفون!$X97)-الموظفون!$H97+1)/cfg_DAYS_Y)</f>
        <v/>
      </c>
      <c r="AE97" s="115" t="str">
        <f aca="false">IF($B97="","",MAX(0,IF(OR(الموظفون!$X97="",الموظفون!$X97&gt;$G$3),$G$3,الموظفون!$X97)-MAX($E$3,الموظفون!$H97)+1))</f>
        <v/>
      </c>
    </row>
    <row r="98" customFormat="false" ht="15" hidden="false" customHeight="false" outlineLevel="0" collapsed="false">
      <c r="A98" s="83" t="str">
        <f aca="false">IF($B98="","",الموظفون!$A98)</f>
        <v/>
      </c>
      <c r="B98" s="74" t="str">
        <f aca="false">IF(الموظفون!$B98="","",الموظفون!$B98)</f>
        <v/>
      </c>
      <c r="C98" s="74" t="str">
        <f aca="false">IF($B98="","",الموظفون!$C98)</f>
        <v/>
      </c>
      <c r="D98" s="74" t="str">
        <f aca="false">IF($B98="","",الموظفون!$F98)</f>
        <v/>
      </c>
      <c r="E98" s="74" t="str">
        <f aca="false">IF($B98="","",الموظفون!$E98)</f>
        <v/>
      </c>
      <c r="F98" s="105" t="str">
        <f aca="false">IF($B98="","",IF(AE98&gt;=DAY($G$3),cfg_DAYS_M,MIN(AE98,cfg_DAYS_M)))</f>
        <v/>
      </c>
      <c r="G98" s="105" t="str">
        <f aca="false">IF($B98="","",SUMIFS('الحركات الشهرية'!$D$6:$D$1005,'الحركات الشهرية'!$B$6:$B$1005,$B98,'الحركات الشهرية'!$A$6:$A$1005,$C$3))</f>
        <v/>
      </c>
      <c r="H98" s="105" t="str">
        <f aca="false">IF($B98="","",SUMIFS('الحركات الشهرية'!$E$6:$E$1005,'الحركات الشهرية'!$B$6:$B$1005,$B98,'الحركات الشهرية'!$A$6:$A$1005,$C$3))</f>
        <v/>
      </c>
      <c r="I98" s="105" t="str">
        <f aca="false">IF($B98="","",MAX(0,F98-G98-H98))</f>
        <v/>
      </c>
      <c r="J98" s="86" t="str">
        <f aca="false">IF($B98="","",الموظفون!$J98*$I98/cfg_DAYS_M)</f>
        <v/>
      </c>
      <c r="K98" s="86" t="str">
        <f aca="false">IF($B98="","",الموظفون!$K98*$I98/cfg_DAYS_M)</f>
        <v/>
      </c>
      <c r="L98" s="86" t="str">
        <f aca="false">IF($B98="","",الموظفون!$L98*$I98/cfg_DAYS_M)</f>
        <v/>
      </c>
      <c r="M98" s="86" t="str">
        <f aca="false">IF($B98="","",الموظفون!$M98*$I98/cfg_DAYS_M)</f>
        <v/>
      </c>
      <c r="N98" s="105" t="str">
        <f aca="false">IF($B98="","",SUMIFS('الحركات الشهرية'!$F$6:$F$1005,'الحركات الشهرية'!$B$6:$B$1005,$B98,'الحركات الشهرية'!$A$6:$A$1005,$C$3))</f>
        <v/>
      </c>
      <c r="O98" s="86" t="str">
        <f aca="false">IF($B98="","",N98*(الموظفون!$N98+الموظفون!$J98*cfg_OT_P)/cfg_DAYS_M/cfg_HRS)</f>
        <v/>
      </c>
      <c r="P98" s="86" t="str">
        <f aca="false">IF($B98="","",SUMIFS('الحركات الشهرية'!$G$6:$G$1005,'الحركات الشهرية'!$B$6:$B$1005,$B98,'الحركات الشهرية'!$A$6:$A$1005,$C$3))</f>
        <v/>
      </c>
      <c r="Q98" s="86" t="str">
        <f aca="false">IF($B98="","",SUMIFS('الحركات الشهرية'!$H$6:$H$1005,'الحركات الشهرية'!$B$6:$B$1005,$B98,'الحركات الشهرية'!$A$6:$A$1005,$C$3))</f>
        <v/>
      </c>
      <c r="R98" s="106" t="str">
        <f aca="false">IF($B98="","",SUM(J98:M98)+SUM(O98:Q98))</f>
        <v/>
      </c>
      <c r="S98" s="86" t="str">
        <f aca="false">IF($B98="","",الموظفون!$Q98*IF(E98="سعودي",cfg_G_SE,cfg_G_NE)*F98/cfg_DAYS_M)</f>
        <v/>
      </c>
      <c r="T98" s="86" t="str">
        <f aca="false">IF($B98="","",SUMIFS('الحركات الشهرية'!$I$6:$I$1005,'الحركات الشهرية'!$B$6:$B$1005,$B98,'الحركات الشهرية'!$A$6:$A$1005,$C$3))</f>
        <v/>
      </c>
      <c r="U98" s="86" t="str">
        <f aca="false">IF($B98="","",SUMIFS('الحركات الشهرية'!$J$6:$J$1005,'الحركات الشهرية'!$B$6:$B$1005,$B98,'الحركات الشهرية'!$A$6:$A$1005,$C$3))</f>
        <v/>
      </c>
      <c r="V98" s="86" t="str">
        <f aca="false">IF($B98="","",SUM(S98:U98))</f>
        <v/>
      </c>
      <c r="W98" s="107" t="str">
        <f aca="false">IF($B98="","",R98-V98)</f>
        <v/>
      </c>
      <c r="X98" s="86" t="str">
        <f aca="false">IF($B98="","",الموظفون!$Q98*IF(E98="سعودي",cfg_G_SR,cfg_G_NR)*F98/cfg_DAYS_M)</f>
        <v/>
      </c>
      <c r="Y98" s="86" t="str">
        <f aca="false">IF($B98="","",الموظفون!$O98*(cfg_EOS_R1*(MIN(AC98,cfg_EOS_TH)-MIN(AD98,cfg_EOS_TH))+cfg_EOS_R2*(MAX(AC98-cfg_EOS_TH,0)-MAX(AD98-cfg_EOS_TH,0))))</f>
        <v/>
      </c>
      <c r="Z98" s="86" t="str">
        <f aca="false">IF($B98="","",IF(الموظفون!$R98&lt;&gt;"",الموظفون!$R98,IF(AC98&gt;=cfg_LV_TH,cfg_LV_D2,cfg_LV_D1))/cfg_DAYS_Y*AE98*الموظفون!$P98/cfg_DAYS_M)</f>
        <v/>
      </c>
      <c r="AA98" s="86" t="str">
        <f aca="false">IF($B98="","",IF(AND(الموظفون!$S98="نعم",N(الموظفون!$U98)&gt;0),الموظفون!$T98/الموظفون!$U98*12/cfg_DAYS_Y*AE98,0))</f>
        <v/>
      </c>
      <c r="AB98" s="108" t="str">
        <f aca="false">IF($B98="","",R98+SUM(X98:AA98))</f>
        <v/>
      </c>
      <c r="AC98" s="109" t="str">
        <f aca="false">IF($B98="","",MAX(0,IF(OR(الموظفون!$X98="",الموظفون!$X98&gt;$G$3),$G$3,الموظفون!$X98)-الموظفون!$H98+1)/cfg_DAYS_Y)</f>
        <v/>
      </c>
      <c r="AD98" s="109" t="str">
        <f aca="false">IF($B98="","",MAX(0,IF(OR(الموظفون!$X98="",الموظفون!$X98&gt;($E$3-1)),($E$3-1),الموظفون!$X98)-الموظفون!$H98+1)/cfg_DAYS_Y)</f>
        <v/>
      </c>
      <c r="AE98" s="51" t="str">
        <f aca="false">IF($B98="","",MAX(0,IF(OR(الموظفون!$X98="",الموظفون!$X98&gt;$G$3),$G$3,الموظفون!$X98)-MAX($E$3,الموظفون!$H98)+1))</f>
        <v/>
      </c>
    </row>
    <row r="99" customFormat="false" ht="15" hidden="false" customHeight="false" outlineLevel="0" collapsed="false">
      <c r="A99" s="89" t="str">
        <f aca="false">IF($B99="","",الموظفون!$A99)</f>
        <v/>
      </c>
      <c r="B99" s="91" t="str">
        <f aca="false">IF(الموظفون!$B99="","",الموظفون!$B99)</f>
        <v/>
      </c>
      <c r="C99" s="91" t="str">
        <f aca="false">IF($B99="","",الموظفون!$C99)</f>
        <v/>
      </c>
      <c r="D99" s="91" t="str">
        <f aca="false">IF($B99="","",الموظفون!$F99)</f>
        <v/>
      </c>
      <c r="E99" s="91" t="str">
        <f aca="false">IF($B99="","",الموظفون!$E99)</f>
        <v/>
      </c>
      <c r="F99" s="110" t="str">
        <f aca="false">IF($B99="","",IF(AE99&gt;=DAY($G$3),cfg_DAYS_M,MIN(AE99,cfg_DAYS_M)))</f>
        <v/>
      </c>
      <c r="G99" s="110" t="str">
        <f aca="false">IF($B99="","",SUMIFS('الحركات الشهرية'!$D$6:$D$1005,'الحركات الشهرية'!$B$6:$B$1005,$B99,'الحركات الشهرية'!$A$6:$A$1005,$C$3))</f>
        <v/>
      </c>
      <c r="H99" s="110" t="str">
        <f aca="false">IF($B99="","",SUMIFS('الحركات الشهرية'!$E$6:$E$1005,'الحركات الشهرية'!$B$6:$B$1005,$B99,'الحركات الشهرية'!$A$6:$A$1005,$C$3))</f>
        <v/>
      </c>
      <c r="I99" s="110" t="str">
        <f aca="false">IF($B99="","",MAX(0,F99-G99-H99))</f>
        <v/>
      </c>
      <c r="J99" s="90" t="str">
        <f aca="false">IF($B99="","",الموظفون!$J99*$I99/cfg_DAYS_M)</f>
        <v/>
      </c>
      <c r="K99" s="90" t="str">
        <f aca="false">IF($B99="","",الموظفون!$K99*$I99/cfg_DAYS_M)</f>
        <v/>
      </c>
      <c r="L99" s="90" t="str">
        <f aca="false">IF($B99="","",الموظفون!$L99*$I99/cfg_DAYS_M)</f>
        <v/>
      </c>
      <c r="M99" s="90" t="str">
        <f aca="false">IF($B99="","",الموظفون!$M99*$I99/cfg_DAYS_M)</f>
        <v/>
      </c>
      <c r="N99" s="110" t="str">
        <f aca="false">IF($B99="","",SUMIFS('الحركات الشهرية'!$F$6:$F$1005,'الحركات الشهرية'!$B$6:$B$1005,$B99,'الحركات الشهرية'!$A$6:$A$1005,$C$3))</f>
        <v/>
      </c>
      <c r="O99" s="90" t="str">
        <f aca="false">IF($B99="","",N99*(الموظفون!$N99+الموظفون!$J99*cfg_OT_P)/cfg_DAYS_M/cfg_HRS)</f>
        <v/>
      </c>
      <c r="P99" s="90" t="str">
        <f aca="false">IF($B99="","",SUMIFS('الحركات الشهرية'!$G$6:$G$1005,'الحركات الشهرية'!$B$6:$B$1005,$B99,'الحركات الشهرية'!$A$6:$A$1005,$C$3))</f>
        <v/>
      </c>
      <c r="Q99" s="90" t="str">
        <f aca="false">IF($B99="","",SUMIFS('الحركات الشهرية'!$H$6:$H$1005,'الحركات الشهرية'!$B$6:$B$1005,$B99,'الحركات الشهرية'!$A$6:$A$1005,$C$3))</f>
        <v/>
      </c>
      <c r="R99" s="111" t="str">
        <f aca="false">IF($B99="","",SUM(J99:M99)+SUM(O99:Q99))</f>
        <v/>
      </c>
      <c r="S99" s="90" t="str">
        <f aca="false">IF($B99="","",الموظفون!$Q99*IF(E99="سعودي",cfg_G_SE,cfg_G_NE)*F99/cfg_DAYS_M)</f>
        <v/>
      </c>
      <c r="T99" s="90" t="str">
        <f aca="false">IF($B99="","",SUMIFS('الحركات الشهرية'!$I$6:$I$1005,'الحركات الشهرية'!$B$6:$B$1005,$B99,'الحركات الشهرية'!$A$6:$A$1005,$C$3))</f>
        <v/>
      </c>
      <c r="U99" s="90" t="str">
        <f aca="false">IF($B99="","",SUMIFS('الحركات الشهرية'!$J$6:$J$1005,'الحركات الشهرية'!$B$6:$B$1005,$B99,'الحركات الشهرية'!$A$6:$A$1005,$C$3))</f>
        <v/>
      </c>
      <c r="V99" s="90" t="str">
        <f aca="false">IF($B99="","",SUM(S99:U99))</f>
        <v/>
      </c>
      <c r="W99" s="112" t="str">
        <f aca="false">IF($B99="","",R99-V99)</f>
        <v/>
      </c>
      <c r="X99" s="90" t="str">
        <f aca="false">IF($B99="","",الموظفون!$Q99*IF(E99="سعودي",cfg_G_SR,cfg_G_NR)*F99/cfg_DAYS_M)</f>
        <v/>
      </c>
      <c r="Y99" s="90" t="str">
        <f aca="false">IF($B99="","",الموظفون!$O99*(cfg_EOS_R1*(MIN(AC99,cfg_EOS_TH)-MIN(AD99,cfg_EOS_TH))+cfg_EOS_R2*(MAX(AC99-cfg_EOS_TH,0)-MAX(AD99-cfg_EOS_TH,0))))</f>
        <v/>
      </c>
      <c r="Z99" s="90" t="str">
        <f aca="false">IF($B99="","",IF(الموظفون!$R99&lt;&gt;"",الموظفون!$R99,IF(AC99&gt;=cfg_LV_TH,cfg_LV_D2,cfg_LV_D1))/cfg_DAYS_Y*AE99*الموظفون!$P99/cfg_DAYS_M)</f>
        <v/>
      </c>
      <c r="AA99" s="90" t="str">
        <f aca="false">IF($B99="","",IF(AND(الموظفون!$S99="نعم",N(الموظفون!$U99)&gt;0),الموظفون!$T99/الموظفون!$U99*12/cfg_DAYS_Y*AE99,0))</f>
        <v/>
      </c>
      <c r="AB99" s="113" t="str">
        <f aca="false">IF($B99="","",R99+SUM(X99:AA99))</f>
        <v/>
      </c>
      <c r="AC99" s="114" t="str">
        <f aca="false">IF($B99="","",MAX(0,IF(OR(الموظفون!$X99="",الموظفون!$X99&gt;$G$3),$G$3,الموظفون!$X99)-الموظفون!$H99+1)/cfg_DAYS_Y)</f>
        <v/>
      </c>
      <c r="AD99" s="114" t="str">
        <f aca="false">IF($B99="","",MAX(0,IF(OR(الموظفون!$X99="",الموظفون!$X99&gt;($E$3-1)),($E$3-1),الموظفون!$X99)-الموظفون!$H99+1)/cfg_DAYS_Y)</f>
        <v/>
      </c>
      <c r="AE99" s="115" t="str">
        <f aca="false">IF($B99="","",MAX(0,IF(OR(الموظفون!$X99="",الموظفون!$X99&gt;$G$3),$G$3,الموظفون!$X99)-MAX($E$3,الموظفون!$H99)+1))</f>
        <v/>
      </c>
    </row>
    <row r="100" customFormat="false" ht="15" hidden="false" customHeight="false" outlineLevel="0" collapsed="false">
      <c r="A100" s="83" t="str">
        <f aca="false">IF($B100="","",الموظفون!$A100)</f>
        <v/>
      </c>
      <c r="B100" s="74" t="str">
        <f aca="false">IF(الموظفون!$B100="","",الموظفون!$B100)</f>
        <v/>
      </c>
      <c r="C100" s="74" t="str">
        <f aca="false">IF($B100="","",الموظفون!$C100)</f>
        <v/>
      </c>
      <c r="D100" s="74" t="str">
        <f aca="false">IF($B100="","",الموظفون!$F100)</f>
        <v/>
      </c>
      <c r="E100" s="74" t="str">
        <f aca="false">IF($B100="","",الموظفون!$E100)</f>
        <v/>
      </c>
      <c r="F100" s="105" t="str">
        <f aca="false">IF($B100="","",IF(AE100&gt;=DAY($G$3),cfg_DAYS_M,MIN(AE100,cfg_DAYS_M)))</f>
        <v/>
      </c>
      <c r="G100" s="105" t="str">
        <f aca="false">IF($B100="","",SUMIFS('الحركات الشهرية'!$D$6:$D$1005,'الحركات الشهرية'!$B$6:$B$1005,$B100,'الحركات الشهرية'!$A$6:$A$1005,$C$3))</f>
        <v/>
      </c>
      <c r="H100" s="105" t="str">
        <f aca="false">IF($B100="","",SUMIFS('الحركات الشهرية'!$E$6:$E$1005,'الحركات الشهرية'!$B$6:$B$1005,$B100,'الحركات الشهرية'!$A$6:$A$1005,$C$3))</f>
        <v/>
      </c>
      <c r="I100" s="105" t="str">
        <f aca="false">IF($B100="","",MAX(0,F100-G100-H100))</f>
        <v/>
      </c>
      <c r="J100" s="86" t="str">
        <f aca="false">IF($B100="","",الموظفون!$J100*$I100/cfg_DAYS_M)</f>
        <v/>
      </c>
      <c r="K100" s="86" t="str">
        <f aca="false">IF($B100="","",الموظفون!$K100*$I100/cfg_DAYS_M)</f>
        <v/>
      </c>
      <c r="L100" s="86" t="str">
        <f aca="false">IF($B100="","",الموظفون!$L100*$I100/cfg_DAYS_M)</f>
        <v/>
      </c>
      <c r="M100" s="86" t="str">
        <f aca="false">IF($B100="","",الموظفون!$M100*$I100/cfg_DAYS_M)</f>
        <v/>
      </c>
      <c r="N100" s="105" t="str">
        <f aca="false">IF($B100="","",SUMIFS('الحركات الشهرية'!$F$6:$F$1005,'الحركات الشهرية'!$B$6:$B$1005,$B100,'الحركات الشهرية'!$A$6:$A$1005,$C$3))</f>
        <v/>
      </c>
      <c r="O100" s="86" t="str">
        <f aca="false">IF($B100="","",N100*(الموظفون!$N100+الموظفون!$J100*cfg_OT_P)/cfg_DAYS_M/cfg_HRS)</f>
        <v/>
      </c>
      <c r="P100" s="86" t="str">
        <f aca="false">IF($B100="","",SUMIFS('الحركات الشهرية'!$G$6:$G$1005,'الحركات الشهرية'!$B$6:$B$1005,$B100,'الحركات الشهرية'!$A$6:$A$1005,$C$3))</f>
        <v/>
      </c>
      <c r="Q100" s="86" t="str">
        <f aca="false">IF($B100="","",SUMIFS('الحركات الشهرية'!$H$6:$H$1005,'الحركات الشهرية'!$B$6:$B$1005,$B100,'الحركات الشهرية'!$A$6:$A$1005,$C$3))</f>
        <v/>
      </c>
      <c r="R100" s="106" t="str">
        <f aca="false">IF($B100="","",SUM(J100:M100)+SUM(O100:Q100))</f>
        <v/>
      </c>
      <c r="S100" s="86" t="str">
        <f aca="false">IF($B100="","",الموظفون!$Q100*IF(E100="سعودي",cfg_G_SE,cfg_G_NE)*F100/cfg_DAYS_M)</f>
        <v/>
      </c>
      <c r="T100" s="86" t="str">
        <f aca="false">IF($B100="","",SUMIFS('الحركات الشهرية'!$I$6:$I$1005,'الحركات الشهرية'!$B$6:$B$1005,$B100,'الحركات الشهرية'!$A$6:$A$1005,$C$3))</f>
        <v/>
      </c>
      <c r="U100" s="86" t="str">
        <f aca="false">IF($B100="","",SUMIFS('الحركات الشهرية'!$J$6:$J$1005,'الحركات الشهرية'!$B$6:$B$1005,$B100,'الحركات الشهرية'!$A$6:$A$1005,$C$3))</f>
        <v/>
      </c>
      <c r="V100" s="86" t="str">
        <f aca="false">IF($B100="","",SUM(S100:U100))</f>
        <v/>
      </c>
      <c r="W100" s="107" t="str">
        <f aca="false">IF($B100="","",R100-V100)</f>
        <v/>
      </c>
      <c r="X100" s="86" t="str">
        <f aca="false">IF($B100="","",الموظفون!$Q100*IF(E100="سعودي",cfg_G_SR,cfg_G_NR)*F100/cfg_DAYS_M)</f>
        <v/>
      </c>
      <c r="Y100" s="86" t="str">
        <f aca="false">IF($B100="","",الموظفون!$O100*(cfg_EOS_R1*(MIN(AC100,cfg_EOS_TH)-MIN(AD100,cfg_EOS_TH))+cfg_EOS_R2*(MAX(AC100-cfg_EOS_TH,0)-MAX(AD100-cfg_EOS_TH,0))))</f>
        <v/>
      </c>
      <c r="Z100" s="86" t="str">
        <f aca="false">IF($B100="","",IF(الموظفون!$R100&lt;&gt;"",الموظفون!$R100,IF(AC100&gt;=cfg_LV_TH,cfg_LV_D2,cfg_LV_D1))/cfg_DAYS_Y*AE100*الموظفون!$P100/cfg_DAYS_M)</f>
        <v/>
      </c>
      <c r="AA100" s="86" t="str">
        <f aca="false">IF($B100="","",IF(AND(الموظفون!$S100="نعم",N(الموظفون!$U100)&gt;0),الموظفون!$T100/الموظفون!$U100*12/cfg_DAYS_Y*AE100,0))</f>
        <v/>
      </c>
      <c r="AB100" s="108" t="str">
        <f aca="false">IF($B100="","",R100+SUM(X100:AA100))</f>
        <v/>
      </c>
      <c r="AC100" s="109" t="str">
        <f aca="false">IF($B100="","",MAX(0,IF(OR(الموظفون!$X100="",الموظفون!$X100&gt;$G$3),$G$3,الموظفون!$X100)-الموظفون!$H100+1)/cfg_DAYS_Y)</f>
        <v/>
      </c>
      <c r="AD100" s="109" t="str">
        <f aca="false">IF($B100="","",MAX(0,IF(OR(الموظفون!$X100="",الموظفون!$X100&gt;($E$3-1)),($E$3-1),الموظفون!$X100)-الموظفون!$H100+1)/cfg_DAYS_Y)</f>
        <v/>
      </c>
      <c r="AE100" s="51" t="str">
        <f aca="false">IF($B100="","",MAX(0,IF(OR(الموظفون!$X100="",الموظفون!$X100&gt;$G$3),$G$3,الموظفون!$X100)-MAX($E$3,الموظفون!$H100)+1))</f>
        <v/>
      </c>
    </row>
    <row r="101" customFormat="false" ht="15" hidden="false" customHeight="false" outlineLevel="0" collapsed="false">
      <c r="A101" s="89" t="str">
        <f aca="false">IF($B101="","",الموظفون!$A101)</f>
        <v/>
      </c>
      <c r="B101" s="91" t="str">
        <f aca="false">IF(الموظفون!$B101="","",الموظفون!$B101)</f>
        <v/>
      </c>
      <c r="C101" s="91" t="str">
        <f aca="false">IF($B101="","",الموظفون!$C101)</f>
        <v/>
      </c>
      <c r="D101" s="91" t="str">
        <f aca="false">IF($B101="","",الموظفون!$F101)</f>
        <v/>
      </c>
      <c r="E101" s="91" t="str">
        <f aca="false">IF($B101="","",الموظفون!$E101)</f>
        <v/>
      </c>
      <c r="F101" s="110" t="str">
        <f aca="false">IF($B101="","",IF(AE101&gt;=DAY($G$3),cfg_DAYS_M,MIN(AE101,cfg_DAYS_M)))</f>
        <v/>
      </c>
      <c r="G101" s="110" t="str">
        <f aca="false">IF($B101="","",SUMIFS('الحركات الشهرية'!$D$6:$D$1005,'الحركات الشهرية'!$B$6:$B$1005,$B101,'الحركات الشهرية'!$A$6:$A$1005,$C$3))</f>
        <v/>
      </c>
      <c r="H101" s="110" t="str">
        <f aca="false">IF($B101="","",SUMIFS('الحركات الشهرية'!$E$6:$E$1005,'الحركات الشهرية'!$B$6:$B$1005,$B101,'الحركات الشهرية'!$A$6:$A$1005,$C$3))</f>
        <v/>
      </c>
      <c r="I101" s="110" t="str">
        <f aca="false">IF($B101="","",MAX(0,F101-G101-H101))</f>
        <v/>
      </c>
      <c r="J101" s="90" t="str">
        <f aca="false">IF($B101="","",الموظفون!$J101*$I101/cfg_DAYS_M)</f>
        <v/>
      </c>
      <c r="K101" s="90" t="str">
        <f aca="false">IF($B101="","",الموظفون!$K101*$I101/cfg_DAYS_M)</f>
        <v/>
      </c>
      <c r="L101" s="90" t="str">
        <f aca="false">IF($B101="","",الموظفون!$L101*$I101/cfg_DAYS_M)</f>
        <v/>
      </c>
      <c r="M101" s="90" t="str">
        <f aca="false">IF($B101="","",الموظفون!$M101*$I101/cfg_DAYS_M)</f>
        <v/>
      </c>
      <c r="N101" s="110" t="str">
        <f aca="false">IF($B101="","",SUMIFS('الحركات الشهرية'!$F$6:$F$1005,'الحركات الشهرية'!$B$6:$B$1005,$B101,'الحركات الشهرية'!$A$6:$A$1005,$C$3))</f>
        <v/>
      </c>
      <c r="O101" s="90" t="str">
        <f aca="false">IF($B101="","",N101*(الموظفون!$N101+الموظفون!$J101*cfg_OT_P)/cfg_DAYS_M/cfg_HRS)</f>
        <v/>
      </c>
      <c r="P101" s="90" t="str">
        <f aca="false">IF($B101="","",SUMIFS('الحركات الشهرية'!$G$6:$G$1005,'الحركات الشهرية'!$B$6:$B$1005,$B101,'الحركات الشهرية'!$A$6:$A$1005,$C$3))</f>
        <v/>
      </c>
      <c r="Q101" s="90" t="str">
        <f aca="false">IF($B101="","",SUMIFS('الحركات الشهرية'!$H$6:$H$1005,'الحركات الشهرية'!$B$6:$B$1005,$B101,'الحركات الشهرية'!$A$6:$A$1005,$C$3))</f>
        <v/>
      </c>
      <c r="R101" s="111" t="str">
        <f aca="false">IF($B101="","",SUM(J101:M101)+SUM(O101:Q101))</f>
        <v/>
      </c>
      <c r="S101" s="90" t="str">
        <f aca="false">IF($B101="","",الموظفون!$Q101*IF(E101="سعودي",cfg_G_SE,cfg_G_NE)*F101/cfg_DAYS_M)</f>
        <v/>
      </c>
      <c r="T101" s="90" t="str">
        <f aca="false">IF($B101="","",SUMIFS('الحركات الشهرية'!$I$6:$I$1005,'الحركات الشهرية'!$B$6:$B$1005,$B101,'الحركات الشهرية'!$A$6:$A$1005,$C$3))</f>
        <v/>
      </c>
      <c r="U101" s="90" t="str">
        <f aca="false">IF($B101="","",SUMIFS('الحركات الشهرية'!$J$6:$J$1005,'الحركات الشهرية'!$B$6:$B$1005,$B101,'الحركات الشهرية'!$A$6:$A$1005,$C$3))</f>
        <v/>
      </c>
      <c r="V101" s="90" t="str">
        <f aca="false">IF($B101="","",SUM(S101:U101))</f>
        <v/>
      </c>
      <c r="W101" s="112" t="str">
        <f aca="false">IF($B101="","",R101-V101)</f>
        <v/>
      </c>
      <c r="X101" s="90" t="str">
        <f aca="false">IF($B101="","",الموظفون!$Q101*IF(E101="سعودي",cfg_G_SR,cfg_G_NR)*F101/cfg_DAYS_M)</f>
        <v/>
      </c>
      <c r="Y101" s="90" t="str">
        <f aca="false">IF($B101="","",الموظفون!$O101*(cfg_EOS_R1*(MIN(AC101,cfg_EOS_TH)-MIN(AD101,cfg_EOS_TH))+cfg_EOS_R2*(MAX(AC101-cfg_EOS_TH,0)-MAX(AD101-cfg_EOS_TH,0))))</f>
        <v/>
      </c>
      <c r="Z101" s="90" t="str">
        <f aca="false">IF($B101="","",IF(الموظفون!$R101&lt;&gt;"",الموظفون!$R101,IF(AC101&gt;=cfg_LV_TH,cfg_LV_D2,cfg_LV_D1))/cfg_DAYS_Y*AE101*الموظفون!$P101/cfg_DAYS_M)</f>
        <v/>
      </c>
      <c r="AA101" s="90" t="str">
        <f aca="false">IF($B101="","",IF(AND(الموظفون!$S101="نعم",N(الموظفون!$U101)&gt;0),الموظفون!$T101/الموظفون!$U101*12/cfg_DAYS_Y*AE101,0))</f>
        <v/>
      </c>
      <c r="AB101" s="113" t="str">
        <f aca="false">IF($B101="","",R101+SUM(X101:AA101))</f>
        <v/>
      </c>
      <c r="AC101" s="114" t="str">
        <f aca="false">IF($B101="","",MAX(0,IF(OR(الموظفون!$X101="",الموظفون!$X101&gt;$G$3),$G$3,الموظفون!$X101)-الموظفون!$H101+1)/cfg_DAYS_Y)</f>
        <v/>
      </c>
      <c r="AD101" s="114" t="str">
        <f aca="false">IF($B101="","",MAX(0,IF(OR(الموظفون!$X101="",الموظفون!$X101&gt;($E$3-1)),($E$3-1),الموظفون!$X101)-الموظفون!$H101+1)/cfg_DAYS_Y)</f>
        <v/>
      </c>
      <c r="AE101" s="115" t="str">
        <f aca="false">IF($B101="","",MAX(0,IF(OR(الموظفون!$X101="",الموظفون!$X101&gt;$G$3),$G$3,الموظفون!$X101)-MAX($E$3,الموظفون!$H101)+1))</f>
        <v/>
      </c>
    </row>
    <row r="102" customFormat="false" ht="15" hidden="false" customHeight="false" outlineLevel="0" collapsed="false">
      <c r="A102" s="83" t="str">
        <f aca="false">IF($B102="","",الموظفون!$A102)</f>
        <v/>
      </c>
      <c r="B102" s="74" t="str">
        <f aca="false">IF(الموظفون!$B102="","",الموظفون!$B102)</f>
        <v/>
      </c>
      <c r="C102" s="74" t="str">
        <f aca="false">IF($B102="","",الموظفون!$C102)</f>
        <v/>
      </c>
      <c r="D102" s="74" t="str">
        <f aca="false">IF($B102="","",الموظفون!$F102)</f>
        <v/>
      </c>
      <c r="E102" s="74" t="str">
        <f aca="false">IF($B102="","",الموظفون!$E102)</f>
        <v/>
      </c>
      <c r="F102" s="105" t="str">
        <f aca="false">IF($B102="","",IF(AE102&gt;=DAY($G$3),cfg_DAYS_M,MIN(AE102,cfg_DAYS_M)))</f>
        <v/>
      </c>
      <c r="G102" s="105" t="str">
        <f aca="false">IF($B102="","",SUMIFS('الحركات الشهرية'!$D$6:$D$1005,'الحركات الشهرية'!$B$6:$B$1005,$B102,'الحركات الشهرية'!$A$6:$A$1005,$C$3))</f>
        <v/>
      </c>
      <c r="H102" s="105" t="str">
        <f aca="false">IF($B102="","",SUMIFS('الحركات الشهرية'!$E$6:$E$1005,'الحركات الشهرية'!$B$6:$B$1005,$B102,'الحركات الشهرية'!$A$6:$A$1005,$C$3))</f>
        <v/>
      </c>
      <c r="I102" s="105" t="str">
        <f aca="false">IF($B102="","",MAX(0,F102-G102-H102))</f>
        <v/>
      </c>
      <c r="J102" s="86" t="str">
        <f aca="false">IF($B102="","",الموظفون!$J102*$I102/cfg_DAYS_M)</f>
        <v/>
      </c>
      <c r="K102" s="86" t="str">
        <f aca="false">IF($B102="","",الموظفون!$K102*$I102/cfg_DAYS_M)</f>
        <v/>
      </c>
      <c r="L102" s="86" t="str">
        <f aca="false">IF($B102="","",الموظفون!$L102*$I102/cfg_DAYS_M)</f>
        <v/>
      </c>
      <c r="M102" s="86" t="str">
        <f aca="false">IF($B102="","",الموظفون!$M102*$I102/cfg_DAYS_M)</f>
        <v/>
      </c>
      <c r="N102" s="105" t="str">
        <f aca="false">IF($B102="","",SUMIFS('الحركات الشهرية'!$F$6:$F$1005,'الحركات الشهرية'!$B$6:$B$1005,$B102,'الحركات الشهرية'!$A$6:$A$1005,$C$3))</f>
        <v/>
      </c>
      <c r="O102" s="86" t="str">
        <f aca="false">IF($B102="","",N102*(الموظفون!$N102+الموظفون!$J102*cfg_OT_P)/cfg_DAYS_M/cfg_HRS)</f>
        <v/>
      </c>
      <c r="P102" s="86" t="str">
        <f aca="false">IF($B102="","",SUMIFS('الحركات الشهرية'!$G$6:$G$1005,'الحركات الشهرية'!$B$6:$B$1005,$B102,'الحركات الشهرية'!$A$6:$A$1005,$C$3))</f>
        <v/>
      </c>
      <c r="Q102" s="86" t="str">
        <f aca="false">IF($B102="","",SUMIFS('الحركات الشهرية'!$H$6:$H$1005,'الحركات الشهرية'!$B$6:$B$1005,$B102,'الحركات الشهرية'!$A$6:$A$1005,$C$3))</f>
        <v/>
      </c>
      <c r="R102" s="106" t="str">
        <f aca="false">IF($B102="","",SUM(J102:M102)+SUM(O102:Q102))</f>
        <v/>
      </c>
      <c r="S102" s="86" t="str">
        <f aca="false">IF($B102="","",الموظفون!$Q102*IF(E102="سعودي",cfg_G_SE,cfg_G_NE)*F102/cfg_DAYS_M)</f>
        <v/>
      </c>
      <c r="T102" s="86" t="str">
        <f aca="false">IF($B102="","",SUMIFS('الحركات الشهرية'!$I$6:$I$1005,'الحركات الشهرية'!$B$6:$B$1005,$B102,'الحركات الشهرية'!$A$6:$A$1005,$C$3))</f>
        <v/>
      </c>
      <c r="U102" s="86" t="str">
        <f aca="false">IF($B102="","",SUMIFS('الحركات الشهرية'!$J$6:$J$1005,'الحركات الشهرية'!$B$6:$B$1005,$B102,'الحركات الشهرية'!$A$6:$A$1005,$C$3))</f>
        <v/>
      </c>
      <c r="V102" s="86" t="str">
        <f aca="false">IF($B102="","",SUM(S102:U102))</f>
        <v/>
      </c>
      <c r="W102" s="107" t="str">
        <f aca="false">IF($B102="","",R102-V102)</f>
        <v/>
      </c>
      <c r="X102" s="86" t="str">
        <f aca="false">IF($B102="","",الموظفون!$Q102*IF(E102="سعودي",cfg_G_SR,cfg_G_NR)*F102/cfg_DAYS_M)</f>
        <v/>
      </c>
      <c r="Y102" s="86" t="str">
        <f aca="false">IF($B102="","",الموظفون!$O102*(cfg_EOS_R1*(MIN(AC102,cfg_EOS_TH)-MIN(AD102,cfg_EOS_TH))+cfg_EOS_R2*(MAX(AC102-cfg_EOS_TH,0)-MAX(AD102-cfg_EOS_TH,0))))</f>
        <v/>
      </c>
      <c r="Z102" s="86" t="str">
        <f aca="false">IF($B102="","",IF(الموظفون!$R102&lt;&gt;"",الموظفون!$R102,IF(AC102&gt;=cfg_LV_TH,cfg_LV_D2,cfg_LV_D1))/cfg_DAYS_Y*AE102*الموظفون!$P102/cfg_DAYS_M)</f>
        <v/>
      </c>
      <c r="AA102" s="86" t="str">
        <f aca="false">IF($B102="","",IF(AND(الموظفون!$S102="نعم",N(الموظفون!$U102)&gt;0),الموظفون!$T102/الموظفون!$U102*12/cfg_DAYS_Y*AE102,0))</f>
        <v/>
      </c>
      <c r="AB102" s="108" t="str">
        <f aca="false">IF($B102="","",R102+SUM(X102:AA102))</f>
        <v/>
      </c>
      <c r="AC102" s="109" t="str">
        <f aca="false">IF($B102="","",MAX(0,IF(OR(الموظفون!$X102="",الموظفون!$X102&gt;$G$3),$G$3,الموظفون!$X102)-الموظفون!$H102+1)/cfg_DAYS_Y)</f>
        <v/>
      </c>
      <c r="AD102" s="109" t="str">
        <f aca="false">IF($B102="","",MAX(0,IF(OR(الموظفون!$X102="",الموظفون!$X102&gt;($E$3-1)),($E$3-1),الموظفون!$X102)-الموظفون!$H102+1)/cfg_DAYS_Y)</f>
        <v/>
      </c>
      <c r="AE102" s="51" t="str">
        <f aca="false">IF($B102="","",MAX(0,IF(OR(الموظفون!$X102="",الموظفون!$X102&gt;$G$3),$G$3,الموظفون!$X102)-MAX($E$3,الموظفون!$H102)+1))</f>
        <v/>
      </c>
    </row>
    <row r="103" customFormat="false" ht="15" hidden="false" customHeight="false" outlineLevel="0" collapsed="false">
      <c r="A103" s="89" t="str">
        <f aca="false">IF($B103="","",الموظفون!$A103)</f>
        <v/>
      </c>
      <c r="B103" s="91" t="str">
        <f aca="false">IF(الموظفون!$B103="","",الموظفون!$B103)</f>
        <v/>
      </c>
      <c r="C103" s="91" t="str">
        <f aca="false">IF($B103="","",الموظفون!$C103)</f>
        <v/>
      </c>
      <c r="D103" s="91" t="str">
        <f aca="false">IF($B103="","",الموظفون!$F103)</f>
        <v/>
      </c>
      <c r="E103" s="91" t="str">
        <f aca="false">IF($B103="","",الموظفون!$E103)</f>
        <v/>
      </c>
      <c r="F103" s="110" t="str">
        <f aca="false">IF($B103="","",IF(AE103&gt;=DAY($G$3),cfg_DAYS_M,MIN(AE103,cfg_DAYS_M)))</f>
        <v/>
      </c>
      <c r="G103" s="110" t="str">
        <f aca="false">IF($B103="","",SUMIFS('الحركات الشهرية'!$D$6:$D$1005,'الحركات الشهرية'!$B$6:$B$1005,$B103,'الحركات الشهرية'!$A$6:$A$1005,$C$3))</f>
        <v/>
      </c>
      <c r="H103" s="110" t="str">
        <f aca="false">IF($B103="","",SUMIFS('الحركات الشهرية'!$E$6:$E$1005,'الحركات الشهرية'!$B$6:$B$1005,$B103,'الحركات الشهرية'!$A$6:$A$1005,$C$3))</f>
        <v/>
      </c>
      <c r="I103" s="110" t="str">
        <f aca="false">IF($B103="","",MAX(0,F103-G103-H103))</f>
        <v/>
      </c>
      <c r="J103" s="90" t="str">
        <f aca="false">IF($B103="","",الموظفون!$J103*$I103/cfg_DAYS_M)</f>
        <v/>
      </c>
      <c r="K103" s="90" t="str">
        <f aca="false">IF($B103="","",الموظفون!$K103*$I103/cfg_DAYS_M)</f>
        <v/>
      </c>
      <c r="L103" s="90" t="str">
        <f aca="false">IF($B103="","",الموظفون!$L103*$I103/cfg_DAYS_M)</f>
        <v/>
      </c>
      <c r="M103" s="90" t="str">
        <f aca="false">IF($B103="","",الموظفون!$M103*$I103/cfg_DAYS_M)</f>
        <v/>
      </c>
      <c r="N103" s="110" t="str">
        <f aca="false">IF($B103="","",SUMIFS('الحركات الشهرية'!$F$6:$F$1005,'الحركات الشهرية'!$B$6:$B$1005,$B103,'الحركات الشهرية'!$A$6:$A$1005,$C$3))</f>
        <v/>
      </c>
      <c r="O103" s="90" t="str">
        <f aca="false">IF($B103="","",N103*(الموظفون!$N103+الموظفون!$J103*cfg_OT_P)/cfg_DAYS_M/cfg_HRS)</f>
        <v/>
      </c>
      <c r="P103" s="90" t="str">
        <f aca="false">IF($B103="","",SUMIFS('الحركات الشهرية'!$G$6:$G$1005,'الحركات الشهرية'!$B$6:$B$1005,$B103,'الحركات الشهرية'!$A$6:$A$1005,$C$3))</f>
        <v/>
      </c>
      <c r="Q103" s="90" t="str">
        <f aca="false">IF($B103="","",SUMIFS('الحركات الشهرية'!$H$6:$H$1005,'الحركات الشهرية'!$B$6:$B$1005,$B103,'الحركات الشهرية'!$A$6:$A$1005,$C$3))</f>
        <v/>
      </c>
      <c r="R103" s="111" t="str">
        <f aca="false">IF($B103="","",SUM(J103:M103)+SUM(O103:Q103))</f>
        <v/>
      </c>
      <c r="S103" s="90" t="str">
        <f aca="false">IF($B103="","",الموظفون!$Q103*IF(E103="سعودي",cfg_G_SE,cfg_G_NE)*F103/cfg_DAYS_M)</f>
        <v/>
      </c>
      <c r="T103" s="90" t="str">
        <f aca="false">IF($B103="","",SUMIFS('الحركات الشهرية'!$I$6:$I$1005,'الحركات الشهرية'!$B$6:$B$1005,$B103,'الحركات الشهرية'!$A$6:$A$1005,$C$3))</f>
        <v/>
      </c>
      <c r="U103" s="90" t="str">
        <f aca="false">IF($B103="","",SUMIFS('الحركات الشهرية'!$J$6:$J$1005,'الحركات الشهرية'!$B$6:$B$1005,$B103,'الحركات الشهرية'!$A$6:$A$1005,$C$3))</f>
        <v/>
      </c>
      <c r="V103" s="90" t="str">
        <f aca="false">IF($B103="","",SUM(S103:U103))</f>
        <v/>
      </c>
      <c r="W103" s="112" t="str">
        <f aca="false">IF($B103="","",R103-V103)</f>
        <v/>
      </c>
      <c r="X103" s="90" t="str">
        <f aca="false">IF($B103="","",الموظفون!$Q103*IF(E103="سعودي",cfg_G_SR,cfg_G_NR)*F103/cfg_DAYS_M)</f>
        <v/>
      </c>
      <c r="Y103" s="90" t="str">
        <f aca="false">IF($B103="","",الموظفون!$O103*(cfg_EOS_R1*(MIN(AC103,cfg_EOS_TH)-MIN(AD103,cfg_EOS_TH))+cfg_EOS_R2*(MAX(AC103-cfg_EOS_TH,0)-MAX(AD103-cfg_EOS_TH,0))))</f>
        <v/>
      </c>
      <c r="Z103" s="90" t="str">
        <f aca="false">IF($B103="","",IF(الموظفون!$R103&lt;&gt;"",الموظفون!$R103,IF(AC103&gt;=cfg_LV_TH,cfg_LV_D2,cfg_LV_D1))/cfg_DAYS_Y*AE103*الموظفون!$P103/cfg_DAYS_M)</f>
        <v/>
      </c>
      <c r="AA103" s="90" t="str">
        <f aca="false">IF($B103="","",IF(AND(الموظفون!$S103="نعم",N(الموظفون!$U103)&gt;0),الموظفون!$T103/الموظفون!$U103*12/cfg_DAYS_Y*AE103,0))</f>
        <v/>
      </c>
      <c r="AB103" s="113" t="str">
        <f aca="false">IF($B103="","",R103+SUM(X103:AA103))</f>
        <v/>
      </c>
      <c r="AC103" s="114" t="str">
        <f aca="false">IF($B103="","",MAX(0,IF(OR(الموظفون!$X103="",الموظفون!$X103&gt;$G$3),$G$3,الموظفون!$X103)-الموظفون!$H103+1)/cfg_DAYS_Y)</f>
        <v/>
      </c>
      <c r="AD103" s="114" t="str">
        <f aca="false">IF($B103="","",MAX(0,IF(OR(الموظفون!$X103="",الموظفون!$X103&gt;($E$3-1)),($E$3-1),الموظفون!$X103)-الموظفون!$H103+1)/cfg_DAYS_Y)</f>
        <v/>
      </c>
      <c r="AE103" s="115" t="str">
        <f aca="false">IF($B103="","",MAX(0,IF(OR(الموظفون!$X103="",الموظفون!$X103&gt;$G$3),$G$3,الموظفون!$X103)-MAX($E$3,الموظفون!$H103)+1))</f>
        <v/>
      </c>
    </row>
    <row r="104" customFormat="false" ht="15" hidden="false" customHeight="false" outlineLevel="0" collapsed="false">
      <c r="A104" s="83" t="str">
        <f aca="false">IF($B104="","",الموظفون!$A104)</f>
        <v/>
      </c>
      <c r="B104" s="74" t="str">
        <f aca="false">IF(الموظفون!$B104="","",الموظفون!$B104)</f>
        <v/>
      </c>
      <c r="C104" s="74" t="str">
        <f aca="false">IF($B104="","",الموظفون!$C104)</f>
        <v/>
      </c>
      <c r="D104" s="74" t="str">
        <f aca="false">IF($B104="","",الموظفون!$F104)</f>
        <v/>
      </c>
      <c r="E104" s="74" t="str">
        <f aca="false">IF($B104="","",الموظفون!$E104)</f>
        <v/>
      </c>
      <c r="F104" s="105" t="str">
        <f aca="false">IF($B104="","",IF(AE104&gt;=DAY($G$3),cfg_DAYS_M,MIN(AE104,cfg_DAYS_M)))</f>
        <v/>
      </c>
      <c r="G104" s="105" t="str">
        <f aca="false">IF($B104="","",SUMIFS('الحركات الشهرية'!$D$6:$D$1005,'الحركات الشهرية'!$B$6:$B$1005,$B104,'الحركات الشهرية'!$A$6:$A$1005,$C$3))</f>
        <v/>
      </c>
      <c r="H104" s="105" t="str">
        <f aca="false">IF($B104="","",SUMIFS('الحركات الشهرية'!$E$6:$E$1005,'الحركات الشهرية'!$B$6:$B$1005,$B104,'الحركات الشهرية'!$A$6:$A$1005,$C$3))</f>
        <v/>
      </c>
      <c r="I104" s="105" t="str">
        <f aca="false">IF($B104="","",MAX(0,F104-G104-H104))</f>
        <v/>
      </c>
      <c r="J104" s="86" t="str">
        <f aca="false">IF($B104="","",الموظفون!$J104*$I104/cfg_DAYS_M)</f>
        <v/>
      </c>
      <c r="K104" s="86" t="str">
        <f aca="false">IF($B104="","",الموظفون!$K104*$I104/cfg_DAYS_M)</f>
        <v/>
      </c>
      <c r="L104" s="86" t="str">
        <f aca="false">IF($B104="","",الموظفون!$L104*$I104/cfg_DAYS_M)</f>
        <v/>
      </c>
      <c r="M104" s="86" t="str">
        <f aca="false">IF($B104="","",الموظفون!$M104*$I104/cfg_DAYS_M)</f>
        <v/>
      </c>
      <c r="N104" s="105" t="str">
        <f aca="false">IF($B104="","",SUMIFS('الحركات الشهرية'!$F$6:$F$1005,'الحركات الشهرية'!$B$6:$B$1005,$B104,'الحركات الشهرية'!$A$6:$A$1005,$C$3))</f>
        <v/>
      </c>
      <c r="O104" s="86" t="str">
        <f aca="false">IF($B104="","",N104*(الموظفون!$N104+الموظفون!$J104*cfg_OT_P)/cfg_DAYS_M/cfg_HRS)</f>
        <v/>
      </c>
      <c r="P104" s="86" t="str">
        <f aca="false">IF($B104="","",SUMIFS('الحركات الشهرية'!$G$6:$G$1005,'الحركات الشهرية'!$B$6:$B$1005,$B104,'الحركات الشهرية'!$A$6:$A$1005,$C$3))</f>
        <v/>
      </c>
      <c r="Q104" s="86" t="str">
        <f aca="false">IF($B104="","",SUMIFS('الحركات الشهرية'!$H$6:$H$1005,'الحركات الشهرية'!$B$6:$B$1005,$B104,'الحركات الشهرية'!$A$6:$A$1005,$C$3))</f>
        <v/>
      </c>
      <c r="R104" s="106" t="str">
        <f aca="false">IF($B104="","",SUM(J104:M104)+SUM(O104:Q104))</f>
        <v/>
      </c>
      <c r="S104" s="86" t="str">
        <f aca="false">IF($B104="","",الموظفون!$Q104*IF(E104="سعودي",cfg_G_SE,cfg_G_NE)*F104/cfg_DAYS_M)</f>
        <v/>
      </c>
      <c r="T104" s="86" t="str">
        <f aca="false">IF($B104="","",SUMIFS('الحركات الشهرية'!$I$6:$I$1005,'الحركات الشهرية'!$B$6:$B$1005,$B104,'الحركات الشهرية'!$A$6:$A$1005,$C$3))</f>
        <v/>
      </c>
      <c r="U104" s="86" t="str">
        <f aca="false">IF($B104="","",SUMIFS('الحركات الشهرية'!$J$6:$J$1005,'الحركات الشهرية'!$B$6:$B$1005,$B104,'الحركات الشهرية'!$A$6:$A$1005,$C$3))</f>
        <v/>
      </c>
      <c r="V104" s="86" t="str">
        <f aca="false">IF($B104="","",SUM(S104:U104))</f>
        <v/>
      </c>
      <c r="W104" s="107" t="str">
        <f aca="false">IF($B104="","",R104-V104)</f>
        <v/>
      </c>
      <c r="X104" s="86" t="str">
        <f aca="false">IF($B104="","",الموظفون!$Q104*IF(E104="سعودي",cfg_G_SR,cfg_G_NR)*F104/cfg_DAYS_M)</f>
        <v/>
      </c>
      <c r="Y104" s="86" t="str">
        <f aca="false">IF($B104="","",الموظفون!$O104*(cfg_EOS_R1*(MIN(AC104,cfg_EOS_TH)-MIN(AD104,cfg_EOS_TH))+cfg_EOS_R2*(MAX(AC104-cfg_EOS_TH,0)-MAX(AD104-cfg_EOS_TH,0))))</f>
        <v/>
      </c>
      <c r="Z104" s="86" t="str">
        <f aca="false">IF($B104="","",IF(الموظفون!$R104&lt;&gt;"",الموظفون!$R104,IF(AC104&gt;=cfg_LV_TH,cfg_LV_D2,cfg_LV_D1))/cfg_DAYS_Y*AE104*الموظفون!$P104/cfg_DAYS_M)</f>
        <v/>
      </c>
      <c r="AA104" s="86" t="str">
        <f aca="false">IF($B104="","",IF(AND(الموظفون!$S104="نعم",N(الموظفون!$U104)&gt;0),الموظفون!$T104/الموظفون!$U104*12/cfg_DAYS_Y*AE104,0))</f>
        <v/>
      </c>
      <c r="AB104" s="108" t="str">
        <f aca="false">IF($B104="","",R104+SUM(X104:AA104))</f>
        <v/>
      </c>
      <c r="AC104" s="109" t="str">
        <f aca="false">IF($B104="","",MAX(0,IF(OR(الموظفون!$X104="",الموظفون!$X104&gt;$G$3),$G$3,الموظفون!$X104)-الموظفون!$H104+1)/cfg_DAYS_Y)</f>
        <v/>
      </c>
      <c r="AD104" s="109" t="str">
        <f aca="false">IF($B104="","",MAX(0,IF(OR(الموظفون!$X104="",الموظفون!$X104&gt;($E$3-1)),($E$3-1),الموظفون!$X104)-الموظفون!$H104+1)/cfg_DAYS_Y)</f>
        <v/>
      </c>
      <c r="AE104" s="51" t="str">
        <f aca="false">IF($B104="","",MAX(0,IF(OR(الموظفون!$X104="",الموظفون!$X104&gt;$G$3),$G$3,الموظفون!$X104)-MAX($E$3,الموظفون!$H104)+1))</f>
        <v/>
      </c>
    </row>
    <row r="105" customFormat="false" ht="15" hidden="false" customHeight="false" outlineLevel="0" collapsed="false">
      <c r="A105" s="89" t="str">
        <f aca="false">IF($B105="","",الموظفون!$A105)</f>
        <v/>
      </c>
      <c r="B105" s="91" t="str">
        <f aca="false">IF(الموظفون!$B105="","",الموظفون!$B105)</f>
        <v/>
      </c>
      <c r="C105" s="91" t="str">
        <f aca="false">IF($B105="","",الموظفون!$C105)</f>
        <v/>
      </c>
      <c r="D105" s="91" t="str">
        <f aca="false">IF($B105="","",الموظفون!$F105)</f>
        <v/>
      </c>
      <c r="E105" s="91" t="str">
        <f aca="false">IF($B105="","",الموظفون!$E105)</f>
        <v/>
      </c>
      <c r="F105" s="110" t="str">
        <f aca="false">IF($B105="","",IF(AE105&gt;=DAY($G$3),cfg_DAYS_M,MIN(AE105,cfg_DAYS_M)))</f>
        <v/>
      </c>
      <c r="G105" s="110" t="str">
        <f aca="false">IF($B105="","",SUMIFS('الحركات الشهرية'!$D$6:$D$1005,'الحركات الشهرية'!$B$6:$B$1005,$B105,'الحركات الشهرية'!$A$6:$A$1005,$C$3))</f>
        <v/>
      </c>
      <c r="H105" s="110" t="str">
        <f aca="false">IF($B105="","",SUMIFS('الحركات الشهرية'!$E$6:$E$1005,'الحركات الشهرية'!$B$6:$B$1005,$B105,'الحركات الشهرية'!$A$6:$A$1005,$C$3))</f>
        <v/>
      </c>
      <c r="I105" s="110" t="str">
        <f aca="false">IF($B105="","",MAX(0,F105-G105-H105))</f>
        <v/>
      </c>
      <c r="J105" s="90" t="str">
        <f aca="false">IF($B105="","",الموظفون!$J105*$I105/cfg_DAYS_M)</f>
        <v/>
      </c>
      <c r="K105" s="90" t="str">
        <f aca="false">IF($B105="","",الموظفون!$K105*$I105/cfg_DAYS_M)</f>
        <v/>
      </c>
      <c r="L105" s="90" t="str">
        <f aca="false">IF($B105="","",الموظفون!$L105*$I105/cfg_DAYS_M)</f>
        <v/>
      </c>
      <c r="M105" s="90" t="str">
        <f aca="false">IF($B105="","",الموظفون!$M105*$I105/cfg_DAYS_M)</f>
        <v/>
      </c>
      <c r="N105" s="110" t="str">
        <f aca="false">IF($B105="","",SUMIFS('الحركات الشهرية'!$F$6:$F$1005,'الحركات الشهرية'!$B$6:$B$1005,$B105,'الحركات الشهرية'!$A$6:$A$1005,$C$3))</f>
        <v/>
      </c>
      <c r="O105" s="90" t="str">
        <f aca="false">IF($B105="","",N105*(الموظفون!$N105+الموظفون!$J105*cfg_OT_P)/cfg_DAYS_M/cfg_HRS)</f>
        <v/>
      </c>
      <c r="P105" s="90" t="str">
        <f aca="false">IF($B105="","",SUMIFS('الحركات الشهرية'!$G$6:$G$1005,'الحركات الشهرية'!$B$6:$B$1005,$B105,'الحركات الشهرية'!$A$6:$A$1005,$C$3))</f>
        <v/>
      </c>
      <c r="Q105" s="90" t="str">
        <f aca="false">IF($B105="","",SUMIFS('الحركات الشهرية'!$H$6:$H$1005,'الحركات الشهرية'!$B$6:$B$1005,$B105,'الحركات الشهرية'!$A$6:$A$1005,$C$3))</f>
        <v/>
      </c>
      <c r="R105" s="111" t="str">
        <f aca="false">IF($B105="","",SUM(J105:M105)+SUM(O105:Q105))</f>
        <v/>
      </c>
      <c r="S105" s="90" t="str">
        <f aca="false">IF($B105="","",الموظفون!$Q105*IF(E105="سعودي",cfg_G_SE,cfg_G_NE)*F105/cfg_DAYS_M)</f>
        <v/>
      </c>
      <c r="T105" s="90" t="str">
        <f aca="false">IF($B105="","",SUMIFS('الحركات الشهرية'!$I$6:$I$1005,'الحركات الشهرية'!$B$6:$B$1005,$B105,'الحركات الشهرية'!$A$6:$A$1005,$C$3))</f>
        <v/>
      </c>
      <c r="U105" s="90" t="str">
        <f aca="false">IF($B105="","",SUMIFS('الحركات الشهرية'!$J$6:$J$1005,'الحركات الشهرية'!$B$6:$B$1005,$B105,'الحركات الشهرية'!$A$6:$A$1005,$C$3))</f>
        <v/>
      </c>
      <c r="V105" s="90" t="str">
        <f aca="false">IF($B105="","",SUM(S105:U105))</f>
        <v/>
      </c>
      <c r="W105" s="112" t="str">
        <f aca="false">IF($B105="","",R105-V105)</f>
        <v/>
      </c>
      <c r="X105" s="90" t="str">
        <f aca="false">IF($B105="","",الموظفون!$Q105*IF(E105="سعودي",cfg_G_SR,cfg_G_NR)*F105/cfg_DAYS_M)</f>
        <v/>
      </c>
      <c r="Y105" s="90" t="str">
        <f aca="false">IF($B105="","",الموظفون!$O105*(cfg_EOS_R1*(MIN(AC105,cfg_EOS_TH)-MIN(AD105,cfg_EOS_TH))+cfg_EOS_R2*(MAX(AC105-cfg_EOS_TH,0)-MAX(AD105-cfg_EOS_TH,0))))</f>
        <v/>
      </c>
      <c r="Z105" s="90" t="str">
        <f aca="false">IF($B105="","",IF(الموظفون!$R105&lt;&gt;"",الموظفون!$R105,IF(AC105&gt;=cfg_LV_TH,cfg_LV_D2,cfg_LV_D1))/cfg_DAYS_Y*AE105*الموظفون!$P105/cfg_DAYS_M)</f>
        <v/>
      </c>
      <c r="AA105" s="90" t="str">
        <f aca="false">IF($B105="","",IF(AND(الموظفون!$S105="نعم",N(الموظفون!$U105)&gt;0),الموظفون!$T105/الموظفون!$U105*12/cfg_DAYS_Y*AE105,0))</f>
        <v/>
      </c>
      <c r="AB105" s="113" t="str">
        <f aca="false">IF($B105="","",R105+SUM(X105:AA105))</f>
        <v/>
      </c>
      <c r="AC105" s="114" t="str">
        <f aca="false">IF($B105="","",MAX(0,IF(OR(الموظفون!$X105="",الموظفون!$X105&gt;$G$3),$G$3,الموظفون!$X105)-الموظفون!$H105+1)/cfg_DAYS_Y)</f>
        <v/>
      </c>
      <c r="AD105" s="114" t="str">
        <f aca="false">IF($B105="","",MAX(0,IF(OR(الموظفون!$X105="",الموظفون!$X105&gt;($E$3-1)),($E$3-1),الموظفون!$X105)-الموظفون!$H105+1)/cfg_DAYS_Y)</f>
        <v/>
      </c>
      <c r="AE105" s="115" t="str">
        <f aca="false">IF($B105="","",MAX(0,IF(OR(الموظفون!$X105="",الموظفون!$X105&gt;$G$3),$G$3,الموظفون!$X105)-MAX($E$3,الموظفون!$H105)+1))</f>
        <v/>
      </c>
    </row>
    <row r="106" customFormat="false" ht="24" hidden="false" customHeight="true" outlineLevel="0" collapsed="false">
      <c r="A106" s="92"/>
      <c r="B106" s="92" t="str">
        <f aca="false">COUNTIF(F6:F105,"&gt;0")&amp;" موظف"</f>
        <v>12 موظف</v>
      </c>
      <c r="C106" s="92" t="s">
        <v>101</v>
      </c>
      <c r="D106" s="92"/>
      <c r="E106" s="92"/>
      <c r="F106" s="92"/>
      <c r="G106" s="116" t="n">
        <f aca="false">SUM(G6:G105)</f>
        <v>2</v>
      </c>
      <c r="H106" s="116" t="n">
        <f aca="false">SUM(H6:H105)</f>
        <v>0</v>
      </c>
      <c r="I106" s="116" t="n">
        <f aca="false">SUM(I6:I105)</f>
        <v>344</v>
      </c>
      <c r="J106" s="92" t="n">
        <f aca="false">SUM(J6:J105)</f>
        <v>136500</v>
      </c>
      <c r="K106" s="92" t="n">
        <f aca="false">SUM(K6:K105)</f>
        <v>34125</v>
      </c>
      <c r="L106" s="92" t="n">
        <f aca="false">SUM(L6:L105)</f>
        <v>13650</v>
      </c>
      <c r="M106" s="92" t="n">
        <f aca="false">SUM(M6:M105)</f>
        <v>10200</v>
      </c>
      <c r="N106" s="116" t="n">
        <f aca="false">SUM(N6:N105)</f>
        <v>0</v>
      </c>
      <c r="O106" s="92" t="n">
        <f aca="false">SUM(O6:O105)</f>
        <v>0</v>
      </c>
      <c r="P106" s="92" t="n">
        <f aca="false">SUM(P6:P105)</f>
        <v>0</v>
      </c>
      <c r="Q106" s="92" t="n">
        <f aca="false">SUM(Q6:Q105)</f>
        <v>0</v>
      </c>
      <c r="R106" s="92" t="n">
        <f aca="false">SUM(R6:R105)</f>
        <v>194475</v>
      </c>
      <c r="S106" s="92" t="n">
        <f aca="false">SUM(S6:S105)</f>
        <v>11858.4375</v>
      </c>
      <c r="T106" s="92" t="n">
        <f aca="false">SUM(T6:T105)</f>
        <v>1000</v>
      </c>
      <c r="U106" s="92" t="n">
        <f aca="false">SUM(U6:U105)</f>
        <v>0</v>
      </c>
      <c r="V106" s="92" t="n">
        <f aca="false">SUM(V6:V105)</f>
        <v>12858.4375</v>
      </c>
      <c r="W106" s="92" t="n">
        <f aca="false">SUM(W6:W105)</f>
        <v>181616.5625</v>
      </c>
      <c r="X106" s="92" t="n">
        <f aca="false">SUM(X6:X105)</f>
        <v>15290.9375</v>
      </c>
      <c r="Y106" s="92" t="n">
        <f aca="false">SUM(Y6:Y105)</f>
        <v>13886.506849315</v>
      </c>
      <c r="Z106" s="92" t="n">
        <f aca="false">SUM(Z6:Z105)</f>
        <v>14425.7671232877</v>
      </c>
      <c r="AA106" s="92" t="n">
        <f aca="false">SUM(AA6:AA105)</f>
        <v>928.767123287671</v>
      </c>
      <c r="AB106" s="92" t="n">
        <f aca="false">SUM(AB6:AB105)</f>
        <v>239006.97859589</v>
      </c>
      <c r="AC106" s="92"/>
      <c r="AD106" s="92"/>
      <c r="AE106" s="92"/>
    </row>
    <row r="107" customFormat="false" ht="43.5" hidden="false" customHeight="true" outlineLevel="0" collapsed="false">
      <c r="A107" s="21" t="s">
        <v>347</v>
      </c>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row>
  </sheetData>
  <autoFilter ref="A5:AE105"/>
  <mergeCells count="5">
    <mergeCell ref="A1:AB1"/>
    <mergeCell ref="A2:AB2"/>
    <mergeCell ref="J3:K3"/>
    <mergeCell ref="L3:M3"/>
    <mergeCell ref="A107:AE107"/>
  </mergeCells>
  <conditionalFormatting sqref="H3">
    <cfRule type="expression" priority="2" aboveAverage="0" equalAverage="0" bottom="0" percent="0" rank="0" text="" dxfId="0">
      <formula>ISNUMBER(SEARCH("✔",H3))</formula>
    </cfRule>
    <cfRule type="expression" priority="3" aboveAverage="0" equalAverage="0" bottom="0" percent="0" rank="0" text="" dxfId="1">
      <formula>ISNUMBER(SEARCH("✖",H3))</formula>
    </cfRule>
    <cfRule type="expression" priority="4" aboveAverage="0" equalAverage="0" bottom="0" percent="0" rank="0" text="" dxfId="2">
      <formula>ISNUMBER(SEARCH("⚠",H3))</formula>
    </cfRule>
  </conditionalFormatting>
  <conditionalFormatting sqref="A6:AE105">
    <cfRule type="expression" priority="5" aboveAverage="0" equalAverage="0" bottom="0" percent="0" rank="0" text="" dxfId="20">
      <formula>AND($B6&lt;&gt;"",$F6=0)</formula>
    </cfRule>
  </conditionalFormatting>
  <conditionalFormatting sqref="W6:W105">
    <cfRule type="expression" priority="6" aboveAverage="0" equalAverage="0" bottom="0" percent="0" rank="0" text="" dxfId="1">
      <formula>AND(ISNUMBER(W6),W6&lt;0)</formula>
    </cfRule>
  </conditionalFormatting>
  <hyperlinks>
    <hyperlink ref="J3" location="'مسير مارس'!A1" display="◀ الشهر السابق"/>
    <hyperlink ref="L3" location="'مسير مايو'!A1" display="الشهر التالي ▶"/>
    <hyperlink ref="O3" location="'الرئيسية'!A1" display="🏠 الرئيسية"/>
    <hyperlink ref="P3" location="'لوحة التحكم'!A1" display="📊 لوحة التحكم"/>
    <hyperlink ref="R3" location="'الموظفون'!A1" display="👥 الموظفون"/>
    <hyperlink ref="S3" location="'الحركات الشهرية'!A1" display="✍ الحركات"/>
    <hyperlink ref="U3" location="'الملخص الشهري'!A1" display="📅 الملخص الشهري"/>
    <hyperlink ref="W3" location="'قيود الرواتب'!A1" display="🧾 القيود"/>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791F"/>
    <pageSetUpPr fitToPage="true"/>
  </sheetPr>
  <dimension ref="A1:AE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9"/>
    <col collapsed="false" customWidth="true" hidden="false" outlineLevel="0" max="8" min="7" style="0" width="8"/>
    <col collapsed="false" customWidth="true" hidden="false" outlineLevel="0" max="9" min="9" style="0" width="9"/>
    <col collapsed="false" customWidth="true" hidden="false" outlineLevel="0" max="10" min="10" style="0" width="12"/>
    <col collapsed="false" customWidth="true" hidden="false" outlineLevel="0" max="11" min="11" style="0" width="11"/>
    <col collapsed="false" customWidth="true" hidden="false" outlineLevel="0" max="13" min="12" style="0" width="10"/>
    <col collapsed="false" customWidth="true" hidden="false" outlineLevel="0" max="14" min="14" style="0" width="8"/>
    <col collapsed="false" customWidth="true" hidden="false" outlineLevel="0" max="17" min="15" style="0" width="11"/>
    <col collapsed="false" customWidth="true" hidden="false" outlineLevel="0" max="18" min="18" style="0" width="13"/>
    <col collapsed="false" customWidth="true" hidden="false" outlineLevel="0" max="19" min="19" style="0" width="11"/>
    <col collapsed="false" customWidth="true" hidden="false" outlineLevel="0" max="21" min="20" style="0" width="10"/>
    <col collapsed="false" customWidth="true" hidden="false" outlineLevel="0" max="22" min="22" style="0" width="12"/>
    <col collapsed="false" customWidth="true" hidden="false" outlineLevel="0" max="23" min="23" style="0" width="13"/>
    <col collapsed="false" customWidth="true" hidden="false" outlineLevel="0" max="24" min="24" style="0" width="11"/>
    <col collapsed="false" customWidth="true" hidden="false" outlineLevel="0" max="25" min="25" style="0" width="12"/>
    <col collapsed="false" customWidth="true" hidden="false" outlineLevel="0" max="27" min="26" style="0" width="11"/>
    <col collapsed="false" customWidth="true" hidden="false" outlineLevel="0" max="28" min="28" style="0" width="13"/>
    <col collapsed="false" customWidth="true" hidden="false" outlineLevel="0" max="31" min="29" style="0" width="9"/>
  </cols>
  <sheetData>
    <row r="1" customFormat="false" ht="37.5" hidden="false" customHeight="true" outlineLevel="0" collapsed="false">
      <c r="A1" s="1" t="str">
        <f aca="false">"💵 مسير رواتب شهر مايو "&amp;cfg_FY</f>
        <v>💵 مسير رواتب شهر مايو 2026</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9.5" hidden="false" customHeight="true" outlineLevel="0" collapsed="false">
      <c r="A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row>
    <row r="3" customFormat="false" ht="25.5" hidden="false" customHeight="true" outlineLevel="0" collapsed="false">
      <c r="B3" s="93" t="s">
        <v>103</v>
      </c>
      <c r="C3" s="94" t="n">
        <v>5</v>
      </c>
      <c r="D3" s="93" t="s">
        <v>322</v>
      </c>
      <c r="E3" s="95" t="n">
        <f aca="false">DATE(cfg_FY,C3,1)</f>
        <v>46143</v>
      </c>
      <c r="F3" s="93" t="s">
        <v>323</v>
      </c>
      <c r="G3" s="95" t="n">
        <f aca="false">EOMONTH(E3,0)</f>
        <v>46173</v>
      </c>
      <c r="H3" s="96" t="str">
        <f aca="false">IF(C3&lt;=cfg_VAL_M,"✔ فعلي","⚠ متوقع")</f>
        <v>✔ فعلي</v>
      </c>
      <c r="J3" s="97" t="s">
        <v>348</v>
      </c>
      <c r="K3" s="97"/>
      <c r="L3" s="97" t="s">
        <v>324</v>
      </c>
      <c r="M3" s="97"/>
      <c r="O3" s="22" t="s">
        <v>61</v>
      </c>
      <c r="P3" s="12" t="s">
        <v>111</v>
      </c>
      <c r="R3" s="23" t="s">
        <v>63</v>
      </c>
      <c r="S3" s="23" t="s">
        <v>64</v>
      </c>
      <c r="U3" s="23" t="s">
        <v>39</v>
      </c>
      <c r="W3" s="23" t="s">
        <v>65</v>
      </c>
    </row>
    <row r="4" customFormat="false" ht="7.5" hidden="false" customHeight="true" outlineLevel="0" collapsed="false"/>
    <row r="5" customFormat="false" ht="48" hidden="false" customHeight="true" outlineLevel="0" collapsed="false">
      <c r="A5" s="98" t="s">
        <v>207</v>
      </c>
      <c r="B5" s="98" t="s">
        <v>208</v>
      </c>
      <c r="C5" s="98" t="s">
        <v>209</v>
      </c>
      <c r="D5" s="98" t="s">
        <v>96</v>
      </c>
      <c r="E5" s="98" t="s">
        <v>84</v>
      </c>
      <c r="F5" s="99" t="s">
        <v>325</v>
      </c>
      <c r="G5" s="99" t="s">
        <v>326</v>
      </c>
      <c r="H5" s="99" t="s">
        <v>327</v>
      </c>
      <c r="I5" s="99" t="s">
        <v>328</v>
      </c>
      <c r="J5" s="100" t="s">
        <v>329</v>
      </c>
      <c r="K5" s="100" t="s">
        <v>330</v>
      </c>
      <c r="L5" s="100" t="s">
        <v>331</v>
      </c>
      <c r="M5" s="100" t="s">
        <v>332</v>
      </c>
      <c r="N5" s="100" t="s">
        <v>333</v>
      </c>
      <c r="O5" s="100" t="s">
        <v>334</v>
      </c>
      <c r="P5" s="100" t="s">
        <v>298</v>
      </c>
      <c r="Q5" s="100" t="s">
        <v>335</v>
      </c>
      <c r="R5" s="100" t="s">
        <v>74</v>
      </c>
      <c r="S5" s="101" t="s">
        <v>336</v>
      </c>
      <c r="T5" s="101" t="s">
        <v>300</v>
      </c>
      <c r="U5" s="101" t="s">
        <v>301</v>
      </c>
      <c r="V5" s="101" t="s">
        <v>337</v>
      </c>
      <c r="W5" s="102" t="s">
        <v>338</v>
      </c>
      <c r="X5" s="103" t="s">
        <v>339</v>
      </c>
      <c r="Y5" s="103" t="s">
        <v>340</v>
      </c>
      <c r="Z5" s="103" t="s">
        <v>341</v>
      </c>
      <c r="AA5" s="103" t="s">
        <v>342</v>
      </c>
      <c r="AB5" s="103" t="s">
        <v>343</v>
      </c>
      <c r="AC5" s="104" t="s">
        <v>344</v>
      </c>
      <c r="AD5" s="104" t="s">
        <v>345</v>
      </c>
      <c r="AE5" s="104" t="s">
        <v>346</v>
      </c>
    </row>
    <row r="6" customFormat="false" ht="15" hidden="false" customHeight="false" outlineLevel="0" collapsed="false">
      <c r="A6" s="83" t="n">
        <f aca="false">IF($B6="","",الموظفون!$A6)</f>
        <v>1</v>
      </c>
      <c r="B6" s="74" t="str">
        <f aca="false">IF(الموظفون!$B6="","",الموظفون!$B6)</f>
        <v>E001</v>
      </c>
      <c r="C6" s="74" t="str">
        <f aca="false">IF($B6="","",الموظفون!$C6)</f>
        <v>عبدالله محمد العتيبي</v>
      </c>
      <c r="D6" s="74" t="str">
        <f aca="false">IF($B6="","",الموظفون!$F6)</f>
        <v>الإدارة العليا</v>
      </c>
      <c r="E6" s="74" t="str">
        <f aca="false">IF($B6="","",الموظفون!$E6)</f>
        <v>سعودي</v>
      </c>
      <c r="F6" s="105" t="n">
        <f aca="false">IF($B6="","",IF(AE6&gt;=DAY($G$3),cfg_DAYS_M,MIN(AE6,cfg_DAYS_M)))</f>
        <v>30</v>
      </c>
      <c r="G6" s="105" t="n">
        <f aca="false">IF($B6="","",SUMIFS('الحركات الشهرية'!$D$6:$D$1005,'الحركات الشهرية'!$B$6:$B$1005,$B6,'الحركات الشهرية'!$A$6:$A$1005,$C$3))</f>
        <v>0</v>
      </c>
      <c r="H6" s="105" t="n">
        <f aca="false">IF($B6="","",SUMIFS('الحركات الشهرية'!$E$6:$E$1005,'الحركات الشهرية'!$B$6:$B$1005,$B6,'الحركات الشهرية'!$A$6:$A$1005,$C$3))</f>
        <v>0</v>
      </c>
      <c r="I6" s="105" t="n">
        <f aca="false">IF($B6="","",MAX(0,F6-G6-H6))</f>
        <v>30</v>
      </c>
      <c r="J6" s="86" t="n">
        <f aca="false">IF($B6="","",الموظفون!$J6*$I6/cfg_DAYS_M)</f>
        <v>28000</v>
      </c>
      <c r="K6" s="86" t="n">
        <f aca="false">IF($B6="","",الموظفون!$K6*$I6/cfg_DAYS_M)</f>
        <v>7000</v>
      </c>
      <c r="L6" s="86" t="n">
        <f aca="false">IF($B6="","",الموظفون!$L6*$I6/cfg_DAYS_M)</f>
        <v>2800</v>
      </c>
      <c r="M6" s="86" t="n">
        <f aca="false">IF($B6="","",الموظفون!$M6*$I6/cfg_DAYS_M)</f>
        <v>3000</v>
      </c>
      <c r="N6" s="105" t="n">
        <f aca="false">IF($B6="","",SUMIFS('الحركات الشهرية'!$F$6:$F$1005,'الحركات الشهرية'!$B$6:$B$1005,$B6,'الحركات الشهرية'!$A$6:$A$1005,$C$3))</f>
        <v>0</v>
      </c>
      <c r="O6" s="86" t="n">
        <f aca="false">IF($B6="","",N6*(الموظفون!$N6+الموظفون!$J6*cfg_OT_P)/cfg_DAYS_M/cfg_HRS)</f>
        <v>0</v>
      </c>
      <c r="P6" s="86" t="n">
        <f aca="false">IF($B6="","",SUMIFS('الحركات الشهرية'!$G$6:$G$1005,'الحركات الشهرية'!$B$6:$B$1005,$B6,'الحركات الشهرية'!$A$6:$A$1005,$C$3))</f>
        <v>0</v>
      </c>
      <c r="Q6" s="86" t="n">
        <f aca="false">IF($B6="","",SUMIFS('الحركات الشهرية'!$H$6:$H$1005,'الحركات الشهرية'!$B$6:$B$1005,$B6,'الحركات الشهرية'!$A$6:$A$1005,$C$3))</f>
        <v>0</v>
      </c>
      <c r="R6" s="106" t="n">
        <f aca="false">IF($B6="","",SUM(J6:M6)+SUM(O6:Q6))</f>
        <v>40800</v>
      </c>
      <c r="S6" s="86" t="n">
        <f aca="false">IF($B6="","",الموظفون!$Q6*IF(E6="سعودي",cfg_G_SE,cfg_G_NE)*F6/cfg_DAYS_M)</f>
        <v>3412.5</v>
      </c>
      <c r="T6" s="86" t="n">
        <f aca="false">IF($B6="","",SUMIFS('الحركات الشهرية'!$I$6:$I$1005,'الحركات الشهرية'!$B$6:$B$1005,$B6,'الحركات الشهرية'!$A$6:$A$1005,$C$3))</f>
        <v>0</v>
      </c>
      <c r="U6" s="86" t="n">
        <f aca="false">IF($B6="","",SUMIFS('الحركات الشهرية'!$J$6:$J$1005,'الحركات الشهرية'!$B$6:$B$1005,$B6,'الحركات الشهرية'!$A$6:$A$1005,$C$3))</f>
        <v>0</v>
      </c>
      <c r="V6" s="86" t="n">
        <f aca="false">IF($B6="","",SUM(S6:U6))</f>
        <v>3412.5</v>
      </c>
      <c r="W6" s="107" t="n">
        <f aca="false">IF($B6="","",R6-V6)</f>
        <v>37387.5</v>
      </c>
      <c r="X6" s="86" t="n">
        <f aca="false">IF($B6="","",الموظفون!$Q6*IF(E6="سعودي",cfg_G_SR,cfg_G_NR)*F6/cfg_DAYS_M)</f>
        <v>4112.5</v>
      </c>
      <c r="Y6" s="86" t="n">
        <f aca="false">IF($B6="","",الموظفون!$O6*(cfg_EOS_R1*(MIN(AC6,cfg_EOS_TH)-MIN(AD6,cfg_EOS_TH))+cfg_EOS_R2*(MAX(AC6-cfg_EOS_TH,0)-MAX(AD6-cfg_EOS_TH,0))))</f>
        <v>3210.41095890413</v>
      </c>
      <c r="Z6" s="86" t="n">
        <f aca="false">IF($B6="","",IF(الموظفون!$R6&lt;&gt;"",الموظفون!$R6,IF(AC6&gt;=cfg_LV_TH,cfg_LV_D2,cfg_LV_D1))/cfg_DAYS_Y*AE6*الموظفون!$P6/cfg_DAYS_M)</f>
        <v>3210.41095890411</v>
      </c>
      <c r="AA6" s="86" t="n">
        <f aca="false">IF($B6="","",IF(AND(الموظفون!$S6="نعم",N(الموظفون!$U6)&gt;0),الموظفون!$T6/الموظفون!$U6*12/cfg_DAYS_Y*AE6,0))</f>
        <v>0</v>
      </c>
      <c r="AB6" s="108" t="n">
        <f aca="false">IF($B6="","",R6+SUM(X6:AA6))</f>
        <v>51333.3219178082</v>
      </c>
      <c r="AC6" s="109" t="n">
        <f aca="false">IF($B6="","",MAX(0,IF(OR(الموظفون!$X6="",الموظفون!$X6&gt;$G$3),$G$3,الموظفون!$X6)-الموظفون!$H6+1)/cfg_DAYS_Y)</f>
        <v>14.386301369863</v>
      </c>
      <c r="AD6" s="109" t="n">
        <f aca="false">IF($B6="","",MAX(0,IF(OR(الموظفون!$X6="",الموظفون!$X6&gt;($E$3-1)),($E$3-1),الموظفون!$X6)-الموظفون!$H6+1)/cfg_DAYS_Y)</f>
        <v>14.3013698630137</v>
      </c>
      <c r="AE6" s="51" t="n">
        <f aca="false">IF($B6="","",MAX(0,IF(OR(الموظفون!$X6="",الموظفون!$X6&gt;$G$3),$G$3,الموظفون!$X6)-MAX($E$3,الموظفون!$H6)+1))</f>
        <v>31</v>
      </c>
    </row>
    <row r="7" customFormat="false" ht="15" hidden="false" customHeight="false" outlineLevel="0" collapsed="false">
      <c r="A7" s="89" t="n">
        <f aca="false">IF($B7="","",الموظفون!$A7)</f>
        <v>2</v>
      </c>
      <c r="B7" s="91" t="str">
        <f aca="false">IF(الموظفون!$B7="","",الموظفون!$B7)</f>
        <v>E002</v>
      </c>
      <c r="C7" s="91" t="str">
        <f aca="false">IF($B7="","",الموظفون!$C7)</f>
        <v>أحمد سعيد القحطاني</v>
      </c>
      <c r="D7" s="91" t="str">
        <f aca="false">IF($B7="","",الموظفون!$F7)</f>
        <v>المالية</v>
      </c>
      <c r="E7" s="91" t="str">
        <f aca="false">IF($B7="","",الموظفون!$E7)</f>
        <v>سعودي</v>
      </c>
      <c r="F7" s="110" t="n">
        <f aca="false">IF($B7="","",IF(AE7&gt;=DAY($G$3),cfg_DAYS_M,MIN(AE7,cfg_DAYS_M)))</f>
        <v>30</v>
      </c>
      <c r="G7" s="110" t="n">
        <f aca="false">IF($B7="","",SUMIFS('الحركات الشهرية'!$D$6:$D$1005,'الحركات الشهرية'!$B$6:$B$1005,$B7,'الحركات الشهرية'!$A$6:$A$1005,$C$3))</f>
        <v>0</v>
      </c>
      <c r="H7" s="110" t="n">
        <f aca="false">IF($B7="","",SUMIFS('الحركات الشهرية'!$E$6:$E$1005,'الحركات الشهرية'!$B$6:$B$1005,$B7,'الحركات الشهرية'!$A$6:$A$1005,$C$3))</f>
        <v>0</v>
      </c>
      <c r="I7" s="110" t="n">
        <f aca="false">IF($B7="","",MAX(0,F7-G7-H7))</f>
        <v>30</v>
      </c>
      <c r="J7" s="90" t="n">
        <f aca="false">IF($B7="","",الموظفون!$J7*$I7/cfg_DAYS_M)</f>
        <v>18000</v>
      </c>
      <c r="K7" s="90" t="n">
        <f aca="false">IF($B7="","",الموظفون!$K7*$I7/cfg_DAYS_M)</f>
        <v>4500</v>
      </c>
      <c r="L7" s="90" t="n">
        <f aca="false">IF($B7="","",الموظفون!$L7*$I7/cfg_DAYS_M)</f>
        <v>1800</v>
      </c>
      <c r="M7" s="90" t="n">
        <f aca="false">IF($B7="","",الموظفون!$M7*$I7/cfg_DAYS_M)</f>
        <v>1000</v>
      </c>
      <c r="N7" s="110" t="n">
        <f aca="false">IF($B7="","",SUMIFS('الحركات الشهرية'!$F$6:$F$1005,'الحركات الشهرية'!$B$6:$B$1005,$B7,'الحركات الشهرية'!$A$6:$A$1005,$C$3))</f>
        <v>0</v>
      </c>
      <c r="O7" s="90" t="n">
        <f aca="false">IF($B7="","",N7*(الموظفون!$N7+الموظفون!$J7*cfg_OT_P)/cfg_DAYS_M/cfg_HRS)</f>
        <v>0</v>
      </c>
      <c r="P7" s="90" t="n">
        <f aca="false">IF($B7="","",SUMIFS('الحركات الشهرية'!$G$6:$G$1005,'الحركات الشهرية'!$B$6:$B$1005,$B7,'الحركات الشهرية'!$A$6:$A$1005,$C$3))</f>
        <v>0</v>
      </c>
      <c r="Q7" s="90" t="n">
        <f aca="false">IF($B7="","",SUMIFS('الحركات الشهرية'!$H$6:$H$1005,'الحركات الشهرية'!$B$6:$B$1005,$B7,'الحركات الشهرية'!$A$6:$A$1005,$C$3))</f>
        <v>0</v>
      </c>
      <c r="R7" s="111" t="n">
        <f aca="false">IF($B7="","",SUM(J7:M7)+SUM(O7:Q7))</f>
        <v>25300</v>
      </c>
      <c r="S7" s="90" t="n">
        <f aca="false">IF($B7="","",الموظفون!$Q7*IF(E7="سعودي",cfg_G_SE,cfg_G_NE)*F7/cfg_DAYS_M)</f>
        <v>2193.75</v>
      </c>
      <c r="T7" s="90" t="n">
        <f aca="false">IF($B7="","",SUMIFS('الحركات الشهرية'!$I$6:$I$1005,'الحركات الشهرية'!$B$6:$B$1005,$B7,'الحركات الشهرية'!$A$6:$A$1005,$C$3))</f>
        <v>0</v>
      </c>
      <c r="U7" s="90" t="n">
        <f aca="false">IF($B7="","",SUMIFS('الحركات الشهرية'!$J$6:$J$1005,'الحركات الشهرية'!$B$6:$B$1005,$B7,'الحركات الشهرية'!$A$6:$A$1005,$C$3))</f>
        <v>0</v>
      </c>
      <c r="V7" s="90" t="n">
        <f aca="false">IF($B7="","",SUM(S7:U7))</f>
        <v>2193.75</v>
      </c>
      <c r="W7" s="112" t="n">
        <f aca="false">IF($B7="","",R7-V7)</f>
        <v>23106.25</v>
      </c>
      <c r="X7" s="90" t="n">
        <f aca="false">IF($B7="","",الموظفون!$Q7*IF(E7="سعودي",cfg_G_SR,cfg_G_NR)*F7/cfg_DAYS_M)</f>
        <v>2643.75</v>
      </c>
      <c r="Y7" s="90" t="n">
        <f aca="false">IF($B7="","",الموظفون!$O7*(cfg_EOS_R1*(MIN(AC7,cfg_EOS_TH)-MIN(AD7,cfg_EOS_TH))+cfg_EOS_R2*(MAX(AC7-cfg_EOS_TH,0)-MAX(AD7-cfg_EOS_TH,0))))</f>
        <v>2063.83561643837</v>
      </c>
      <c r="Z7" s="90" t="n">
        <f aca="false">IF($B7="","",IF(الموظفون!$R7&lt;&gt;"",الموظفون!$R7,IF(AC7&gt;=cfg_LV_TH,cfg_LV_D2,cfg_LV_D1))/cfg_DAYS_Y*AE7*الموظفون!$P7/cfg_DAYS_M)</f>
        <v>2063.83561643836</v>
      </c>
      <c r="AA7" s="90" t="n">
        <f aca="false">IF($B7="","",IF(AND(الموظفون!$S7="نعم",N(الموظفون!$U7)&gt;0),الموظفون!$T7/الموظفون!$U7*12/cfg_DAYS_Y*AE7,0))</f>
        <v>0</v>
      </c>
      <c r="AB7" s="113" t="n">
        <f aca="false">IF($B7="","",R7+SUM(X7:AA7))</f>
        <v>32071.4212328767</v>
      </c>
      <c r="AC7" s="114" t="n">
        <f aca="false">IF($B7="","",MAX(0,IF(OR(الموظفون!$X7="",الموظفون!$X7&gt;$G$3),$G$3,الموظفون!$X7)-الموظفون!$H7+1)/cfg_DAYS_Y)</f>
        <v>10.0054794520548</v>
      </c>
      <c r="AD7" s="114" t="n">
        <f aca="false">IF($B7="","",MAX(0,IF(OR(الموظفون!$X7="",الموظفون!$X7&gt;($E$3-1)),($E$3-1),الموظفون!$X7)-الموظفون!$H7+1)/cfg_DAYS_Y)</f>
        <v>9.92054794520548</v>
      </c>
      <c r="AE7" s="115" t="n">
        <f aca="false">IF($B7="","",MAX(0,IF(OR(الموظفون!$X7="",الموظفون!$X7&gt;$G$3),$G$3,الموظفون!$X7)-MAX($E$3,الموظفون!$H7)+1))</f>
        <v>31</v>
      </c>
    </row>
    <row r="8" customFormat="false" ht="15" hidden="false" customHeight="false" outlineLevel="0" collapsed="false">
      <c r="A8" s="83" t="n">
        <f aca="false">IF($B8="","",الموظفون!$A8)</f>
        <v>3</v>
      </c>
      <c r="B8" s="74" t="str">
        <f aca="false">IF(الموظفون!$B8="","",الموظفون!$B8)</f>
        <v>E003</v>
      </c>
      <c r="C8" s="74" t="str">
        <f aca="false">IF($B8="","",الموظفون!$C8)</f>
        <v>محمد علي حسن</v>
      </c>
      <c r="D8" s="74" t="str">
        <f aca="false">IF($B8="","",الموظفون!$F8)</f>
        <v>المالية</v>
      </c>
      <c r="E8" s="74" t="str">
        <f aca="false">IF($B8="","",الموظفون!$E8)</f>
        <v>غير سعودي</v>
      </c>
      <c r="F8" s="105" t="n">
        <f aca="false">IF($B8="","",IF(AE8&gt;=DAY($G$3),cfg_DAYS_M,MIN(AE8,cfg_DAYS_M)))</f>
        <v>30</v>
      </c>
      <c r="G8" s="105" t="n">
        <f aca="false">IF($B8="","",SUMIFS('الحركات الشهرية'!$D$6:$D$1005,'الحركات الشهرية'!$B$6:$B$1005,$B8,'الحركات الشهرية'!$A$6:$A$1005,$C$3))</f>
        <v>0</v>
      </c>
      <c r="H8" s="105" t="n">
        <f aca="false">IF($B8="","",SUMIFS('الحركات الشهرية'!$E$6:$E$1005,'الحركات الشهرية'!$B$6:$B$1005,$B8,'الحركات الشهرية'!$A$6:$A$1005,$C$3))</f>
        <v>0</v>
      </c>
      <c r="I8" s="105" t="n">
        <f aca="false">IF($B8="","",MAX(0,F8-G8-H8))</f>
        <v>30</v>
      </c>
      <c r="J8" s="86" t="n">
        <f aca="false">IF($B8="","",الموظفون!$J8*$I8/cfg_DAYS_M)</f>
        <v>8500</v>
      </c>
      <c r="K8" s="86" t="n">
        <f aca="false">IF($B8="","",الموظفون!$K8*$I8/cfg_DAYS_M)</f>
        <v>2125</v>
      </c>
      <c r="L8" s="86" t="n">
        <f aca="false">IF($B8="","",الموظفون!$L8*$I8/cfg_DAYS_M)</f>
        <v>850</v>
      </c>
      <c r="M8" s="86" t="n">
        <f aca="false">IF($B8="","",الموظفون!$M8*$I8/cfg_DAYS_M)</f>
        <v>500</v>
      </c>
      <c r="N8" s="105" t="n">
        <f aca="false">IF($B8="","",SUMIFS('الحركات الشهرية'!$F$6:$F$1005,'الحركات الشهرية'!$B$6:$B$1005,$B8,'الحركات الشهرية'!$A$6:$A$1005,$C$3))</f>
        <v>0</v>
      </c>
      <c r="O8" s="86" t="n">
        <f aca="false">IF($B8="","",N8*(الموظفون!$N8+الموظفون!$J8*cfg_OT_P)/cfg_DAYS_M/cfg_HRS)</f>
        <v>0</v>
      </c>
      <c r="P8" s="86" t="n">
        <f aca="false">IF($B8="","",SUMIFS('الحركات الشهرية'!$G$6:$G$1005,'الحركات الشهرية'!$B$6:$B$1005,$B8,'الحركات الشهرية'!$A$6:$A$1005,$C$3))</f>
        <v>0</v>
      </c>
      <c r="Q8" s="86" t="n">
        <f aca="false">IF($B8="","",SUMIFS('الحركات الشهرية'!$H$6:$H$1005,'الحركات الشهرية'!$B$6:$B$1005,$B8,'الحركات الشهرية'!$A$6:$A$1005,$C$3))</f>
        <v>0</v>
      </c>
      <c r="R8" s="106" t="n">
        <f aca="false">IF($B8="","",SUM(J8:M8)+SUM(O8:Q8))</f>
        <v>11975</v>
      </c>
      <c r="S8" s="86" t="n">
        <f aca="false">IF($B8="","",الموظفون!$Q8*IF(E8="سعودي",cfg_G_SE,cfg_G_NE)*F8/cfg_DAYS_M)</f>
        <v>0</v>
      </c>
      <c r="T8" s="86" t="n">
        <f aca="false">IF($B8="","",SUMIFS('الحركات الشهرية'!$I$6:$I$1005,'الحركات الشهرية'!$B$6:$B$1005,$B8,'الحركات الشهرية'!$A$6:$A$1005,$C$3))</f>
        <v>1000</v>
      </c>
      <c r="U8" s="86" t="n">
        <f aca="false">IF($B8="","",SUMIFS('الحركات الشهرية'!$J$6:$J$1005,'الحركات الشهرية'!$B$6:$B$1005,$B8,'الحركات الشهرية'!$A$6:$A$1005,$C$3))</f>
        <v>0</v>
      </c>
      <c r="V8" s="86" t="n">
        <f aca="false">IF($B8="","",SUM(S8:U8))</f>
        <v>1000</v>
      </c>
      <c r="W8" s="107" t="n">
        <f aca="false">IF($B8="","",R8-V8)</f>
        <v>10975</v>
      </c>
      <c r="X8" s="86" t="n">
        <f aca="false">IF($B8="","",الموظفون!$Q8*IF(E8="سعودي",cfg_G_SR,cfg_G_NR)*F8/cfg_DAYS_M)</f>
        <v>212.5</v>
      </c>
      <c r="Y8" s="86" t="n">
        <f aca="false">IF($B8="","",الموظفون!$O8*(cfg_EOS_R1*(MIN(AC8,cfg_EOS_TH)-MIN(AD8,cfg_EOS_TH))+cfg_EOS_R2*(MAX(AC8-cfg_EOS_TH,0)-MAX(AD8-cfg_EOS_TH,0))))</f>
        <v>974.589041095885</v>
      </c>
      <c r="Z8" s="86" t="n">
        <f aca="false">IF($B8="","",IF(الموظفون!$R8&lt;&gt;"",الموظفون!$R8,IF(AC8&gt;=cfg_LV_TH,cfg_LV_D2,cfg_LV_D1))/cfg_DAYS_Y*AE8*الموظفون!$P8/cfg_DAYS_M)</f>
        <v>974.589041095891</v>
      </c>
      <c r="AA8" s="86" t="n">
        <f aca="false">IF($B8="","",IF(AND(الموظفون!$S8="نعم",N(الموظفون!$U8)&gt;0),الموظفون!$T8/الموظفون!$U8*12/cfg_DAYS_Y*AE8,0))</f>
        <v>135.890410958904</v>
      </c>
      <c r="AB8" s="108" t="n">
        <f aca="false">IF($B8="","",R8+SUM(X8:AA8))</f>
        <v>14272.5684931507</v>
      </c>
      <c r="AC8" s="109" t="n">
        <f aca="false">IF($B8="","",MAX(0,IF(OR(الموظفون!$X8="",الموظفون!$X8&gt;$G$3),$G$3,الموظفون!$X8)-الموظفون!$H8+1)/cfg_DAYS_Y)</f>
        <v>7.72876712328767</v>
      </c>
      <c r="AD8" s="109" t="n">
        <f aca="false">IF($B8="","",MAX(0,IF(OR(الموظفون!$X8="",الموظفون!$X8&gt;($E$3-1)),($E$3-1),الموظفون!$X8)-الموظفون!$H8+1)/cfg_DAYS_Y)</f>
        <v>7.64383561643836</v>
      </c>
      <c r="AE8" s="51" t="n">
        <f aca="false">IF($B8="","",MAX(0,IF(OR(الموظفون!$X8="",الموظفون!$X8&gt;$G$3),$G$3,الموظفون!$X8)-MAX($E$3,الموظفون!$H8)+1))</f>
        <v>31</v>
      </c>
    </row>
    <row r="9" customFormat="false" ht="15" hidden="false" customHeight="false" outlineLevel="0" collapsed="false">
      <c r="A9" s="89" t="n">
        <f aca="false">IF($B9="","",الموظفون!$A9)</f>
        <v>4</v>
      </c>
      <c r="B9" s="91" t="str">
        <f aca="false">IF(الموظفون!$B9="","",الموظفون!$B9)</f>
        <v>E004</v>
      </c>
      <c r="C9" s="91" t="str">
        <f aca="false">IF($B9="","",الموظفون!$C9)</f>
        <v>نورة خالد الدوسري</v>
      </c>
      <c r="D9" s="91" t="str">
        <f aca="false">IF($B9="","",الموظفون!$F9)</f>
        <v>الموارد البشرية</v>
      </c>
      <c r="E9" s="91" t="str">
        <f aca="false">IF($B9="","",الموظفون!$E9)</f>
        <v>سعودي</v>
      </c>
      <c r="F9" s="110" t="n">
        <f aca="false">IF($B9="","",IF(AE9&gt;=DAY($G$3),cfg_DAYS_M,MIN(AE9,cfg_DAYS_M)))</f>
        <v>30</v>
      </c>
      <c r="G9" s="110" t="n">
        <f aca="false">IF($B9="","",SUMIFS('الحركات الشهرية'!$D$6:$D$1005,'الحركات الشهرية'!$B$6:$B$1005,$B9,'الحركات الشهرية'!$A$6:$A$1005,$C$3))</f>
        <v>0</v>
      </c>
      <c r="H9" s="110" t="n">
        <f aca="false">IF($B9="","",SUMIFS('الحركات الشهرية'!$E$6:$E$1005,'الحركات الشهرية'!$B$6:$B$1005,$B9,'الحركات الشهرية'!$A$6:$A$1005,$C$3))</f>
        <v>0</v>
      </c>
      <c r="I9" s="110" t="n">
        <f aca="false">IF($B9="","",MAX(0,F9-G9-H9))</f>
        <v>30</v>
      </c>
      <c r="J9" s="90" t="n">
        <f aca="false">IF($B9="","",الموظفون!$J9*$I9/cfg_DAYS_M)</f>
        <v>14000</v>
      </c>
      <c r="K9" s="90" t="n">
        <f aca="false">IF($B9="","",الموظفون!$K9*$I9/cfg_DAYS_M)</f>
        <v>3500</v>
      </c>
      <c r="L9" s="90" t="n">
        <f aca="false">IF($B9="","",الموظفون!$L9*$I9/cfg_DAYS_M)</f>
        <v>1400</v>
      </c>
      <c r="M9" s="90" t="n">
        <f aca="false">IF($B9="","",الموظفون!$M9*$I9/cfg_DAYS_M)</f>
        <v>0</v>
      </c>
      <c r="N9" s="110" t="n">
        <f aca="false">IF($B9="","",SUMIFS('الحركات الشهرية'!$F$6:$F$1005,'الحركات الشهرية'!$B$6:$B$1005,$B9,'الحركات الشهرية'!$A$6:$A$1005,$C$3))</f>
        <v>0</v>
      </c>
      <c r="O9" s="90" t="n">
        <f aca="false">IF($B9="","",N9*(الموظفون!$N9+الموظفون!$J9*cfg_OT_P)/cfg_DAYS_M/cfg_HRS)</f>
        <v>0</v>
      </c>
      <c r="P9" s="90" t="n">
        <f aca="false">IF($B9="","",SUMIFS('الحركات الشهرية'!$G$6:$G$1005,'الحركات الشهرية'!$B$6:$B$1005,$B9,'الحركات الشهرية'!$A$6:$A$1005,$C$3))</f>
        <v>0</v>
      </c>
      <c r="Q9" s="90" t="n">
        <f aca="false">IF($B9="","",SUMIFS('الحركات الشهرية'!$H$6:$H$1005,'الحركات الشهرية'!$B$6:$B$1005,$B9,'الحركات الشهرية'!$A$6:$A$1005,$C$3))</f>
        <v>0</v>
      </c>
      <c r="R9" s="111" t="n">
        <f aca="false">IF($B9="","",SUM(J9:M9)+SUM(O9:Q9))</f>
        <v>18900</v>
      </c>
      <c r="S9" s="90" t="n">
        <f aca="false">IF($B9="","",الموظفون!$Q9*IF(E9="سعودي",cfg_G_SE,cfg_G_NE)*F9/cfg_DAYS_M)</f>
        <v>1706.25</v>
      </c>
      <c r="T9" s="90" t="n">
        <f aca="false">IF($B9="","",SUMIFS('الحركات الشهرية'!$I$6:$I$1005,'الحركات الشهرية'!$B$6:$B$1005,$B9,'الحركات الشهرية'!$A$6:$A$1005,$C$3))</f>
        <v>0</v>
      </c>
      <c r="U9" s="90" t="n">
        <f aca="false">IF($B9="","",SUMIFS('الحركات الشهرية'!$J$6:$J$1005,'الحركات الشهرية'!$B$6:$B$1005,$B9,'الحركات الشهرية'!$A$6:$A$1005,$C$3))</f>
        <v>0</v>
      </c>
      <c r="V9" s="90" t="n">
        <f aca="false">IF($B9="","",SUM(S9:U9))</f>
        <v>1706.25</v>
      </c>
      <c r="W9" s="112" t="n">
        <f aca="false">IF($B9="","",R9-V9)</f>
        <v>17193.75</v>
      </c>
      <c r="X9" s="90" t="n">
        <f aca="false">IF($B9="","",الموظفون!$Q9*IF(E9="سعودي",cfg_G_SR,cfg_G_NR)*F9/cfg_DAYS_M)</f>
        <v>2056.25</v>
      </c>
      <c r="Y9" s="90" t="n">
        <f aca="false">IF($B9="","",الموظفون!$O9*(cfg_EOS_R1*(MIN(AC9,cfg_EOS_TH)-MIN(AD9,cfg_EOS_TH))+cfg_EOS_R2*(MAX(AC9-cfg_EOS_TH,0)-MAX(AD9-cfg_EOS_TH,0))))</f>
        <v>1605.20547945205</v>
      </c>
      <c r="Z9" s="90" t="n">
        <f aca="false">IF($B9="","",IF(الموظفون!$R9&lt;&gt;"",الموظفون!$R9,IF(AC9&gt;=cfg_LV_TH,cfg_LV_D2,cfg_LV_D1))/cfg_DAYS_Y*AE9*الموظفون!$P9/cfg_DAYS_M)</f>
        <v>1605.20547945205</v>
      </c>
      <c r="AA9" s="90" t="n">
        <f aca="false">IF($B9="","",IF(AND(الموظفون!$S9="نعم",N(الموظفون!$U9)&gt;0),الموظفون!$T9/الموظفون!$U9*12/cfg_DAYS_Y*AE9,0))</f>
        <v>0</v>
      </c>
      <c r="AB9" s="113" t="n">
        <f aca="false">IF($B9="","",R9+SUM(X9:AA9))</f>
        <v>24166.6609589041</v>
      </c>
      <c r="AC9" s="114" t="n">
        <f aca="false">IF($B9="","",MAX(0,IF(OR(الموظفون!$X9="",الموظفون!$X9&gt;$G$3),$G$3,الموظفون!$X9)-الموظفون!$H9+1)/cfg_DAYS_Y)</f>
        <v>7.33424657534247</v>
      </c>
      <c r="AD9" s="114" t="n">
        <f aca="false">IF($B9="","",MAX(0,IF(OR(الموظفون!$X9="",الموظفون!$X9&gt;($E$3-1)),($E$3-1),الموظفون!$X9)-الموظفون!$H9+1)/cfg_DAYS_Y)</f>
        <v>7.24931506849315</v>
      </c>
      <c r="AE9" s="115" t="n">
        <f aca="false">IF($B9="","",MAX(0,IF(OR(الموظفون!$X9="",الموظفون!$X9&gt;$G$3),$G$3,الموظفون!$X9)-MAX($E$3,الموظفون!$H9)+1))</f>
        <v>31</v>
      </c>
    </row>
    <row r="10" customFormat="false" ht="15" hidden="false" customHeight="false" outlineLevel="0" collapsed="false">
      <c r="A10" s="83" t="n">
        <f aca="false">IF($B10="","",الموظفون!$A10)</f>
        <v>5</v>
      </c>
      <c r="B10" s="74" t="str">
        <f aca="false">IF(الموظفون!$B10="","",الموظفون!$B10)</f>
        <v>E005</v>
      </c>
      <c r="C10" s="74" t="str">
        <f aca="false">IF($B10="","",الموظفون!$C10)</f>
        <v>راجيش كومار</v>
      </c>
      <c r="D10" s="74" t="str">
        <f aca="false">IF($B10="","",الموظفون!$F10)</f>
        <v>تقنية المعلومات</v>
      </c>
      <c r="E10" s="74" t="str">
        <f aca="false">IF($B10="","",الموظفون!$E10)</f>
        <v>غير سعودي</v>
      </c>
      <c r="F10" s="105" t="n">
        <f aca="false">IF($B10="","",IF(AE10&gt;=DAY($G$3),cfg_DAYS_M,MIN(AE10,cfg_DAYS_M)))</f>
        <v>30</v>
      </c>
      <c r="G10" s="105" t="n">
        <f aca="false">IF($B10="","",SUMIFS('الحركات الشهرية'!$D$6:$D$1005,'الحركات الشهرية'!$B$6:$B$1005,$B10,'الحركات الشهرية'!$A$6:$A$1005,$C$3))</f>
        <v>0</v>
      </c>
      <c r="H10" s="105" t="n">
        <f aca="false">IF($B10="","",SUMIFS('الحركات الشهرية'!$E$6:$E$1005,'الحركات الشهرية'!$B$6:$B$1005,$B10,'الحركات الشهرية'!$A$6:$A$1005,$C$3))</f>
        <v>0</v>
      </c>
      <c r="I10" s="105" t="n">
        <f aca="false">IF($B10="","",MAX(0,F10-G10-H10))</f>
        <v>30</v>
      </c>
      <c r="J10" s="86" t="n">
        <f aca="false">IF($B10="","",الموظفون!$J10*$I10/cfg_DAYS_M)</f>
        <v>9000</v>
      </c>
      <c r="K10" s="86" t="n">
        <f aca="false">IF($B10="","",الموظفون!$K10*$I10/cfg_DAYS_M)</f>
        <v>2250</v>
      </c>
      <c r="L10" s="86" t="n">
        <f aca="false">IF($B10="","",الموظفون!$L10*$I10/cfg_DAYS_M)</f>
        <v>900</v>
      </c>
      <c r="M10" s="86" t="n">
        <f aca="false">IF($B10="","",الموظفون!$M10*$I10/cfg_DAYS_M)</f>
        <v>700</v>
      </c>
      <c r="N10" s="105" t="n">
        <f aca="false">IF($B10="","",SUMIFS('الحركات الشهرية'!$F$6:$F$1005,'الحركات الشهرية'!$B$6:$B$1005,$B10,'الحركات الشهرية'!$A$6:$A$1005,$C$3))</f>
        <v>16</v>
      </c>
      <c r="O10" s="86" t="n">
        <f aca="false">IF($B10="","",N10*(الموظفون!$N10+الموظفون!$J10*cfg_OT_P)/cfg_DAYS_M/cfg_HRS)</f>
        <v>1156.66666666667</v>
      </c>
      <c r="P10" s="86" t="n">
        <f aca="false">IF($B10="","",SUMIFS('الحركات الشهرية'!$G$6:$G$1005,'الحركات الشهرية'!$B$6:$B$1005,$B10,'الحركات الشهرية'!$A$6:$A$1005,$C$3))</f>
        <v>0</v>
      </c>
      <c r="Q10" s="86" t="n">
        <f aca="false">IF($B10="","",SUMIFS('الحركات الشهرية'!$H$6:$H$1005,'الحركات الشهرية'!$B$6:$B$1005,$B10,'الحركات الشهرية'!$A$6:$A$1005,$C$3))</f>
        <v>0</v>
      </c>
      <c r="R10" s="106" t="n">
        <f aca="false">IF($B10="","",SUM(J10:M10)+SUM(O10:Q10))</f>
        <v>14006.6666666667</v>
      </c>
      <c r="S10" s="86" t="n">
        <f aca="false">IF($B10="","",الموظفون!$Q10*IF(E10="سعودي",cfg_G_SE,cfg_G_NE)*F10/cfg_DAYS_M)</f>
        <v>0</v>
      </c>
      <c r="T10" s="86" t="n">
        <f aca="false">IF($B10="","",SUMIFS('الحركات الشهرية'!$I$6:$I$1005,'الحركات الشهرية'!$B$6:$B$1005,$B10,'الحركات الشهرية'!$A$6:$A$1005,$C$3))</f>
        <v>0</v>
      </c>
      <c r="U10" s="86" t="n">
        <f aca="false">IF($B10="","",SUMIFS('الحركات الشهرية'!$J$6:$J$1005,'الحركات الشهرية'!$B$6:$B$1005,$B10,'الحركات الشهرية'!$A$6:$A$1005,$C$3))</f>
        <v>0</v>
      </c>
      <c r="V10" s="86" t="n">
        <f aca="false">IF($B10="","",SUM(S10:U10))</f>
        <v>0</v>
      </c>
      <c r="W10" s="107" t="n">
        <f aca="false">IF($B10="","",R10-V10)</f>
        <v>14006.6666666667</v>
      </c>
      <c r="X10" s="86" t="n">
        <f aca="false">IF($B10="","",الموظفون!$Q10*IF(E10="سعودي",cfg_G_SR,cfg_G_NR)*F10/cfg_DAYS_M)</f>
        <v>225</v>
      </c>
      <c r="Y10" s="86" t="n">
        <f aca="false">IF($B10="","",الموظفون!$O10*(cfg_EOS_R1*(MIN(AC10,cfg_EOS_TH)-MIN(AD10,cfg_EOS_TH))+cfg_EOS_R2*(MAX(AC10-cfg_EOS_TH,0)-MAX(AD10-cfg_EOS_TH,0))))</f>
        <v>1031.91780821917</v>
      </c>
      <c r="Z10" s="86" t="n">
        <f aca="false">IF($B10="","",IF(الموظفون!$R10&lt;&gt;"",الموظفون!$R10,IF(AC10&gt;=cfg_LV_TH,cfg_LV_D2,cfg_LV_D1))/cfg_DAYS_Y*AE10*الموظفون!$P10/cfg_DAYS_M)</f>
        <v>1031.91780821918</v>
      </c>
      <c r="AA10" s="86" t="n">
        <f aca="false">IF($B10="","",IF(AND(الموظفون!$S10="نعم",N(الموظفون!$U10)&gt;0),الموظفون!$T10/الموظفون!$U10*12/cfg_DAYS_Y*AE10,0))</f>
        <v>237.808219178082</v>
      </c>
      <c r="AB10" s="108" t="n">
        <f aca="false">IF($B10="","",R10+SUM(X10:AA10))</f>
        <v>16533.3105022831</v>
      </c>
      <c r="AC10" s="109" t="n">
        <f aca="false">IF($B10="","",MAX(0,IF(OR(الموظفون!$X10="",الموظفون!$X10&gt;$G$3),$G$3,الموظفون!$X10)-الموظفون!$H10+1)/cfg_DAYS_Y)</f>
        <v>6.13972602739726</v>
      </c>
      <c r="AD10" s="109" t="n">
        <f aca="false">IF($B10="","",MAX(0,IF(OR(الموظفون!$X10="",الموظفون!$X10&gt;($E$3-1)),($E$3-1),الموظفون!$X10)-الموظفون!$H10+1)/cfg_DAYS_Y)</f>
        <v>6.05479452054795</v>
      </c>
      <c r="AE10" s="51" t="n">
        <f aca="false">IF($B10="","",MAX(0,IF(OR(الموظفون!$X10="",الموظفون!$X10&gt;$G$3),$G$3,الموظفون!$X10)-MAX($E$3,الموظفون!$H10)+1))</f>
        <v>31</v>
      </c>
    </row>
    <row r="11" customFormat="false" ht="15" hidden="false" customHeight="false" outlineLevel="0" collapsed="false">
      <c r="A11" s="89" t="n">
        <f aca="false">IF($B11="","",الموظفون!$A11)</f>
        <v>6</v>
      </c>
      <c r="B11" s="91" t="str">
        <f aca="false">IF(الموظفون!$B11="","",الموظفون!$B11)</f>
        <v>E006</v>
      </c>
      <c r="C11" s="91" t="str">
        <f aca="false">IF($B11="","",الموظفون!$C11)</f>
        <v>فهد ناصر الشمري</v>
      </c>
      <c r="D11" s="91" t="str">
        <f aca="false">IF($B11="","",الموظفون!$F11)</f>
        <v>المبيعات</v>
      </c>
      <c r="E11" s="91" t="str">
        <f aca="false">IF($B11="","",الموظفون!$E11)</f>
        <v>سعودي</v>
      </c>
      <c r="F11" s="110" t="n">
        <f aca="false">IF($B11="","",IF(AE11&gt;=DAY($G$3),cfg_DAYS_M,MIN(AE11,cfg_DAYS_M)))</f>
        <v>30</v>
      </c>
      <c r="G11" s="110" t="n">
        <f aca="false">IF($B11="","",SUMIFS('الحركات الشهرية'!$D$6:$D$1005,'الحركات الشهرية'!$B$6:$B$1005,$B11,'الحركات الشهرية'!$A$6:$A$1005,$C$3))</f>
        <v>0</v>
      </c>
      <c r="H11" s="110" t="n">
        <f aca="false">IF($B11="","",SUMIFS('الحركات الشهرية'!$E$6:$E$1005,'الحركات الشهرية'!$B$6:$B$1005,$B11,'الحركات الشهرية'!$A$6:$A$1005,$C$3))</f>
        <v>0</v>
      </c>
      <c r="I11" s="110" t="n">
        <f aca="false">IF($B11="","",MAX(0,F11-G11-H11))</f>
        <v>30</v>
      </c>
      <c r="J11" s="90" t="n">
        <f aca="false">IF($B11="","",الموظفون!$J11*$I11/cfg_DAYS_M)</f>
        <v>13000</v>
      </c>
      <c r="K11" s="90" t="n">
        <f aca="false">IF($B11="","",الموظفون!$K11*$I11/cfg_DAYS_M)</f>
        <v>3250</v>
      </c>
      <c r="L11" s="90" t="n">
        <f aca="false">IF($B11="","",الموظفون!$L11*$I11/cfg_DAYS_M)</f>
        <v>1300</v>
      </c>
      <c r="M11" s="90" t="n">
        <f aca="false">IF($B11="","",الموظفون!$M11*$I11/cfg_DAYS_M)</f>
        <v>2500</v>
      </c>
      <c r="N11" s="110" t="n">
        <f aca="false">IF($B11="","",SUMIFS('الحركات الشهرية'!$F$6:$F$1005,'الحركات الشهرية'!$B$6:$B$1005,$B11,'الحركات الشهرية'!$A$6:$A$1005,$C$3))</f>
        <v>0</v>
      </c>
      <c r="O11" s="90" t="n">
        <f aca="false">IF($B11="","",N11*(الموظفون!$N11+الموظفون!$J11*cfg_OT_P)/cfg_DAYS_M/cfg_HRS)</f>
        <v>0</v>
      </c>
      <c r="P11" s="90" t="n">
        <f aca="false">IF($B11="","",SUMIFS('الحركات الشهرية'!$G$6:$G$1005,'الحركات الشهرية'!$B$6:$B$1005,$B11,'الحركات الشهرية'!$A$6:$A$1005,$C$3))</f>
        <v>0</v>
      </c>
      <c r="Q11" s="90" t="n">
        <f aca="false">IF($B11="","",SUMIFS('الحركات الشهرية'!$H$6:$H$1005,'الحركات الشهرية'!$B$6:$B$1005,$B11,'الحركات الشهرية'!$A$6:$A$1005,$C$3))</f>
        <v>0</v>
      </c>
      <c r="R11" s="111" t="n">
        <f aca="false">IF($B11="","",SUM(J11:M11)+SUM(O11:Q11))</f>
        <v>20050</v>
      </c>
      <c r="S11" s="90" t="n">
        <f aca="false">IF($B11="","",الموظفون!$Q11*IF(E11="سعودي",cfg_G_SE,cfg_G_NE)*F11/cfg_DAYS_M)</f>
        <v>1584.375</v>
      </c>
      <c r="T11" s="90" t="n">
        <f aca="false">IF($B11="","",SUMIFS('الحركات الشهرية'!$I$6:$I$1005,'الحركات الشهرية'!$B$6:$B$1005,$B11,'الحركات الشهرية'!$A$6:$A$1005,$C$3))</f>
        <v>0</v>
      </c>
      <c r="U11" s="90" t="n">
        <f aca="false">IF($B11="","",SUMIFS('الحركات الشهرية'!$J$6:$J$1005,'الحركات الشهرية'!$B$6:$B$1005,$B11,'الحركات الشهرية'!$A$6:$A$1005,$C$3))</f>
        <v>0</v>
      </c>
      <c r="V11" s="90" t="n">
        <f aca="false">IF($B11="","",SUM(S11:U11))</f>
        <v>1584.375</v>
      </c>
      <c r="W11" s="112" t="n">
        <f aca="false">IF($B11="","",R11-V11)</f>
        <v>18465.625</v>
      </c>
      <c r="X11" s="90" t="n">
        <f aca="false">IF($B11="","",الموظفون!$Q11*IF(E11="سعودي",cfg_G_SR,cfg_G_NR)*F11/cfg_DAYS_M)</f>
        <v>1909.375</v>
      </c>
      <c r="Y11" s="90" t="n">
        <f aca="false">IF($B11="","",الموظفون!$O11*(cfg_EOS_R1*(MIN(AC11,cfg_EOS_TH)-MIN(AD11,cfg_EOS_TH))+cfg_EOS_R2*(MAX(AC11-cfg_EOS_TH,0)-MAX(AD11-cfg_EOS_TH,0))))</f>
        <v>1490.54794520549</v>
      </c>
      <c r="Z11" s="90" t="n">
        <f aca="false">IF($B11="","",IF(الموظفون!$R11&lt;&gt;"",الموظفون!$R11,IF(AC11&gt;=cfg_LV_TH,cfg_LV_D2,cfg_LV_D1))/cfg_DAYS_Y*AE11*الموظفون!$P11/cfg_DAYS_M)</f>
        <v>1490.54794520548</v>
      </c>
      <c r="AA11" s="90" t="n">
        <f aca="false">IF($B11="","",IF(AND(الموظفون!$S11="نعم",N(الموظفون!$U11)&gt;0),الموظفون!$T11/الموظفون!$U11*12/cfg_DAYS_Y*AE11,0))</f>
        <v>0</v>
      </c>
      <c r="AB11" s="113" t="n">
        <f aca="false">IF($B11="","",R11+SUM(X11:AA11))</f>
        <v>24940.470890411</v>
      </c>
      <c r="AC11" s="114" t="n">
        <f aca="false">IF($B11="","",MAX(0,IF(OR(الموظفون!$X11="",الموظفون!$X11&gt;$G$3),$G$3,الموظفون!$X11)-الموظفون!$H11+1)/cfg_DAYS_Y)</f>
        <v>8.57534246575342</v>
      </c>
      <c r="AD11" s="114" t="n">
        <f aca="false">IF($B11="","",MAX(0,IF(OR(الموظفون!$X11="",الموظفون!$X11&gt;($E$3-1)),($E$3-1),الموظفون!$X11)-الموظفون!$H11+1)/cfg_DAYS_Y)</f>
        <v>8.49041095890411</v>
      </c>
      <c r="AE11" s="115" t="n">
        <f aca="false">IF($B11="","",MAX(0,IF(OR(الموظفون!$X11="",الموظفون!$X11&gt;$G$3),$G$3,الموظفون!$X11)-MAX($E$3,الموظفون!$H11)+1))</f>
        <v>31</v>
      </c>
    </row>
    <row r="12" customFormat="false" ht="15" hidden="false" customHeight="false" outlineLevel="0" collapsed="false">
      <c r="A12" s="83" t="n">
        <f aca="false">IF($B12="","",الموظفون!$A12)</f>
        <v>7</v>
      </c>
      <c r="B12" s="74" t="str">
        <f aca="false">IF(الموظفون!$B12="","",الموظفون!$B12)</f>
        <v>E007</v>
      </c>
      <c r="C12" s="74" t="str">
        <f aca="false">IF($B12="","",الموظفون!$C12)</f>
        <v>خالد يوسف الأحمد</v>
      </c>
      <c r="D12" s="74" t="str">
        <f aca="false">IF($B12="","",الموظفون!$F12)</f>
        <v>المشاريع</v>
      </c>
      <c r="E12" s="74" t="str">
        <f aca="false">IF($B12="","",الموظفون!$E12)</f>
        <v>غير سعودي</v>
      </c>
      <c r="F12" s="105" t="n">
        <f aca="false">IF($B12="","",IF(AE12&gt;=DAY($G$3),cfg_DAYS_M,MIN(AE12,cfg_DAYS_M)))</f>
        <v>30</v>
      </c>
      <c r="G12" s="105" t="n">
        <f aca="false">IF($B12="","",SUMIFS('الحركات الشهرية'!$D$6:$D$1005,'الحركات الشهرية'!$B$6:$B$1005,$B12,'الحركات الشهرية'!$A$6:$A$1005,$C$3))</f>
        <v>0</v>
      </c>
      <c r="H12" s="105" t="n">
        <f aca="false">IF($B12="","",SUMIFS('الحركات الشهرية'!$E$6:$E$1005,'الحركات الشهرية'!$B$6:$B$1005,$B12,'الحركات الشهرية'!$A$6:$A$1005,$C$3))</f>
        <v>0</v>
      </c>
      <c r="I12" s="105" t="n">
        <f aca="false">IF($B12="","",MAX(0,F12-G12-H12))</f>
        <v>30</v>
      </c>
      <c r="J12" s="86" t="n">
        <f aca="false">IF($B12="","",الموظفون!$J12*$I12/cfg_DAYS_M)</f>
        <v>11000</v>
      </c>
      <c r="K12" s="86" t="n">
        <f aca="false">IF($B12="","",الموظفون!$K12*$I12/cfg_DAYS_M)</f>
        <v>2750</v>
      </c>
      <c r="L12" s="86" t="n">
        <f aca="false">IF($B12="","",الموظفون!$L12*$I12/cfg_DAYS_M)</f>
        <v>1100</v>
      </c>
      <c r="M12" s="86" t="n">
        <f aca="false">IF($B12="","",الموظفون!$M12*$I12/cfg_DAYS_M)</f>
        <v>800</v>
      </c>
      <c r="N12" s="105" t="n">
        <f aca="false">IF($B12="","",SUMIFS('الحركات الشهرية'!$F$6:$F$1005,'الحركات الشهرية'!$B$6:$B$1005,$B12,'الحركات الشهرية'!$A$6:$A$1005,$C$3))</f>
        <v>0</v>
      </c>
      <c r="O12" s="86" t="n">
        <f aca="false">IF($B12="","",N12*(الموظفون!$N12+الموظفون!$J12*cfg_OT_P)/cfg_DAYS_M/cfg_HRS)</f>
        <v>0</v>
      </c>
      <c r="P12" s="86" t="n">
        <f aca="false">IF($B12="","",SUMIFS('الحركات الشهرية'!$G$6:$G$1005,'الحركات الشهرية'!$B$6:$B$1005,$B12,'الحركات الشهرية'!$A$6:$A$1005,$C$3))</f>
        <v>0</v>
      </c>
      <c r="Q12" s="86" t="n">
        <f aca="false">IF($B12="","",SUMIFS('الحركات الشهرية'!$H$6:$H$1005,'الحركات الشهرية'!$B$6:$B$1005,$B12,'الحركات الشهرية'!$A$6:$A$1005,$C$3))</f>
        <v>0</v>
      </c>
      <c r="R12" s="106" t="n">
        <f aca="false">IF($B12="","",SUM(J12:M12)+SUM(O12:Q12))</f>
        <v>15650</v>
      </c>
      <c r="S12" s="86" t="n">
        <f aca="false">IF($B12="","",الموظفون!$Q12*IF(E12="سعودي",cfg_G_SE,cfg_G_NE)*F12/cfg_DAYS_M)</f>
        <v>0</v>
      </c>
      <c r="T12" s="86" t="n">
        <f aca="false">IF($B12="","",SUMIFS('الحركات الشهرية'!$I$6:$I$1005,'الحركات الشهرية'!$B$6:$B$1005,$B12,'الحركات الشهرية'!$A$6:$A$1005,$C$3))</f>
        <v>0</v>
      </c>
      <c r="U12" s="86" t="n">
        <f aca="false">IF($B12="","",SUMIFS('الحركات الشهرية'!$J$6:$J$1005,'الحركات الشهرية'!$B$6:$B$1005,$B12,'الحركات الشهرية'!$A$6:$A$1005,$C$3))</f>
        <v>0</v>
      </c>
      <c r="V12" s="86" t="n">
        <f aca="false">IF($B12="","",SUM(S12:U12))</f>
        <v>0</v>
      </c>
      <c r="W12" s="107" t="n">
        <f aca="false">IF($B12="","",R12-V12)</f>
        <v>15650</v>
      </c>
      <c r="X12" s="86" t="n">
        <f aca="false">IF($B12="","",الموظفون!$Q12*IF(E12="سعودي",cfg_G_SR,cfg_G_NR)*F12/cfg_DAYS_M)</f>
        <v>275</v>
      </c>
      <c r="Y12" s="86" t="n">
        <f aca="false">IF($B12="","",الموظفون!$O12*(cfg_EOS_R1*(MIN(AC12,cfg_EOS_TH)-MIN(AD12,cfg_EOS_TH))+cfg_EOS_R2*(MAX(AC12-cfg_EOS_TH,0)-MAX(AD12-cfg_EOS_TH,0))))</f>
        <v>1261.23287671232</v>
      </c>
      <c r="Z12" s="86" t="n">
        <f aca="false">IF($B12="","",IF(الموظفون!$R12&lt;&gt;"",الموظفون!$R12,IF(AC12&gt;=cfg_LV_TH,cfg_LV_D2,cfg_LV_D1))/cfg_DAYS_Y*AE12*الموظفون!$P12/cfg_DAYS_M)</f>
        <v>1261.23287671233</v>
      </c>
      <c r="AA12" s="86" t="n">
        <f aca="false">IF($B12="","",IF(AND(الموظفون!$S12="نعم",N(الموظفون!$U12)&gt;0),الموظفون!$T12/الموظفون!$U12*12/cfg_DAYS_Y*AE12,0))</f>
        <v>382.191780821918</v>
      </c>
      <c r="AB12" s="108" t="n">
        <f aca="false">IF($B12="","",R12+SUM(X12:AA12))</f>
        <v>18829.6575342466</v>
      </c>
      <c r="AC12" s="109" t="n">
        <f aca="false">IF($B12="","",MAX(0,IF(OR(الموظفون!$X12="",الموظفون!$X12&gt;$G$3),$G$3,الموظفون!$X12)-الموظفون!$H12+1)/cfg_DAYS_Y)</f>
        <v>5.36438356164384</v>
      </c>
      <c r="AD12" s="109" t="n">
        <f aca="false">IF($B12="","",MAX(0,IF(OR(الموظفون!$X12="",الموظفون!$X12&gt;($E$3-1)),($E$3-1),الموظفون!$X12)-الموظفون!$H12+1)/cfg_DAYS_Y)</f>
        <v>5.27945205479452</v>
      </c>
      <c r="AE12" s="51" t="n">
        <f aca="false">IF($B12="","",MAX(0,IF(OR(الموظفون!$X12="",الموظفون!$X12&gt;$G$3),$G$3,الموظفون!$X12)-MAX($E$3,الموظفون!$H12)+1))</f>
        <v>31</v>
      </c>
    </row>
    <row r="13" customFormat="false" ht="15" hidden="false" customHeight="false" outlineLevel="0" collapsed="false">
      <c r="A13" s="89" t="n">
        <f aca="false">IF($B13="","",الموظفون!$A13)</f>
        <v>8</v>
      </c>
      <c r="B13" s="91" t="str">
        <f aca="false">IF(الموظفون!$B13="","",الموظفون!$B13)</f>
        <v>E008</v>
      </c>
      <c r="C13" s="91" t="str">
        <f aca="false">IF($B13="","",الموظفون!$C13)</f>
        <v>سارة عبدالرحمن الزهراني</v>
      </c>
      <c r="D13" s="91" t="str">
        <f aca="false">IF($B13="","",الموظفون!$F13)</f>
        <v>المالية</v>
      </c>
      <c r="E13" s="91" t="str">
        <f aca="false">IF($B13="","",الموظفون!$E13)</f>
        <v>سعودي</v>
      </c>
      <c r="F13" s="110" t="n">
        <f aca="false">IF($B13="","",IF(AE13&gt;=DAY($G$3),cfg_DAYS_M,MIN(AE13,cfg_DAYS_M)))</f>
        <v>30</v>
      </c>
      <c r="G13" s="110" t="n">
        <f aca="false">IF($B13="","",SUMIFS('الحركات الشهرية'!$D$6:$D$1005,'الحركات الشهرية'!$B$6:$B$1005,$B13,'الحركات الشهرية'!$A$6:$A$1005,$C$3))</f>
        <v>0</v>
      </c>
      <c r="H13" s="110" t="n">
        <f aca="false">IF($B13="","",SUMIFS('الحركات الشهرية'!$E$6:$E$1005,'الحركات الشهرية'!$B$6:$B$1005,$B13,'الحركات الشهرية'!$A$6:$A$1005,$C$3))</f>
        <v>0</v>
      </c>
      <c r="I13" s="110" t="n">
        <f aca="false">IF($B13="","",MAX(0,F13-G13-H13))</f>
        <v>30</v>
      </c>
      <c r="J13" s="90" t="n">
        <f aca="false">IF($B13="","",الموظفون!$J13*$I13/cfg_DAYS_M)</f>
        <v>7500</v>
      </c>
      <c r="K13" s="90" t="n">
        <f aca="false">IF($B13="","",الموظفون!$K13*$I13/cfg_DAYS_M)</f>
        <v>1875</v>
      </c>
      <c r="L13" s="90" t="n">
        <f aca="false">IF($B13="","",الموظفون!$L13*$I13/cfg_DAYS_M)</f>
        <v>750</v>
      </c>
      <c r="M13" s="90" t="n">
        <f aca="false">IF($B13="","",الموظفون!$M13*$I13/cfg_DAYS_M)</f>
        <v>0</v>
      </c>
      <c r="N13" s="110" t="n">
        <f aca="false">IF($B13="","",SUMIFS('الحركات الشهرية'!$F$6:$F$1005,'الحركات الشهرية'!$B$6:$B$1005,$B13,'الحركات الشهرية'!$A$6:$A$1005,$C$3))</f>
        <v>0</v>
      </c>
      <c r="O13" s="90" t="n">
        <f aca="false">IF($B13="","",N13*(الموظفون!$N13+الموظفون!$J13*cfg_OT_P)/cfg_DAYS_M/cfg_HRS)</f>
        <v>0</v>
      </c>
      <c r="P13" s="90" t="n">
        <f aca="false">IF($B13="","",SUMIFS('الحركات الشهرية'!$G$6:$G$1005,'الحركات الشهرية'!$B$6:$B$1005,$B13,'الحركات الشهرية'!$A$6:$A$1005,$C$3))</f>
        <v>0</v>
      </c>
      <c r="Q13" s="90" t="n">
        <f aca="false">IF($B13="","",SUMIFS('الحركات الشهرية'!$H$6:$H$1005,'الحركات الشهرية'!$B$6:$B$1005,$B13,'الحركات الشهرية'!$A$6:$A$1005,$C$3))</f>
        <v>0</v>
      </c>
      <c r="R13" s="111" t="n">
        <f aca="false">IF($B13="","",SUM(J13:M13)+SUM(O13:Q13))</f>
        <v>10125</v>
      </c>
      <c r="S13" s="90" t="n">
        <f aca="false">IF($B13="","",الموظفون!$Q13*IF(E13="سعودي",cfg_G_SE,cfg_G_NE)*F13/cfg_DAYS_M)</f>
        <v>914.0625</v>
      </c>
      <c r="T13" s="90" t="n">
        <f aca="false">IF($B13="","",SUMIFS('الحركات الشهرية'!$I$6:$I$1005,'الحركات الشهرية'!$B$6:$B$1005,$B13,'الحركات الشهرية'!$A$6:$A$1005,$C$3))</f>
        <v>0</v>
      </c>
      <c r="U13" s="90" t="n">
        <f aca="false">IF($B13="","",SUMIFS('الحركات الشهرية'!$J$6:$J$1005,'الحركات الشهرية'!$B$6:$B$1005,$B13,'الحركات الشهرية'!$A$6:$A$1005,$C$3))</f>
        <v>0</v>
      </c>
      <c r="V13" s="90" t="n">
        <f aca="false">IF($B13="","",SUM(S13:U13))</f>
        <v>914.0625</v>
      </c>
      <c r="W13" s="112" t="n">
        <f aca="false">IF($B13="","",R13-V13)</f>
        <v>9210.9375</v>
      </c>
      <c r="X13" s="90" t="n">
        <f aca="false">IF($B13="","",الموظفون!$Q13*IF(E13="سعودي",cfg_G_SR,cfg_G_NR)*F13/cfg_DAYS_M)</f>
        <v>1101.5625</v>
      </c>
      <c r="Y13" s="90" t="n">
        <f aca="false">IF($B13="","",الموظفون!$O13*(cfg_EOS_R1*(MIN(AC13,cfg_EOS_TH)-MIN(AD13,cfg_EOS_TH))+cfg_EOS_R2*(MAX(AC13-cfg_EOS_TH,0)-MAX(AD13-cfg_EOS_TH,0))))</f>
        <v>429.965753424657</v>
      </c>
      <c r="Z13" s="90" t="n">
        <f aca="false">IF($B13="","",IF(الموظفون!$R13&lt;&gt;"",الموظفون!$R13,IF(AC13&gt;=cfg_LV_TH,cfg_LV_D2,cfg_LV_D1))/cfg_DAYS_Y*AE13*الموظفون!$P13/cfg_DAYS_M)</f>
        <v>601.952054794521</v>
      </c>
      <c r="AA13" s="90" t="n">
        <f aca="false">IF($B13="","",IF(AND(الموظفون!$S13="نعم",N(الموظفون!$U13)&gt;0),الموظفون!$T13/الموظفون!$U13*12/cfg_DAYS_Y*AE13,0))</f>
        <v>0</v>
      </c>
      <c r="AB13" s="113" t="n">
        <f aca="false">IF($B13="","",R13+SUM(X13:AA13))</f>
        <v>12258.4803082192</v>
      </c>
      <c r="AC13" s="114" t="n">
        <f aca="false">IF($B13="","",MAX(0,IF(OR(الموظفون!$X13="",الموظفون!$X13&gt;$G$3),$G$3,الموظفون!$X13)-الموظفون!$H13+1)/cfg_DAYS_Y)</f>
        <v>3.25479452054795</v>
      </c>
      <c r="AD13" s="114" t="n">
        <f aca="false">IF($B13="","",MAX(0,IF(OR(الموظفون!$X13="",الموظفون!$X13&gt;($E$3-1)),($E$3-1),الموظفون!$X13)-الموظفون!$H13+1)/cfg_DAYS_Y)</f>
        <v>3.16986301369863</v>
      </c>
      <c r="AE13" s="115" t="n">
        <f aca="false">IF($B13="","",MAX(0,IF(OR(الموظفون!$X13="",الموظفون!$X13&gt;$G$3),$G$3,الموظفون!$X13)-MAX($E$3,الموظفون!$H13)+1))</f>
        <v>31</v>
      </c>
    </row>
    <row r="14" customFormat="false" ht="15" hidden="false" customHeight="false" outlineLevel="0" collapsed="false">
      <c r="A14" s="83" t="n">
        <f aca="false">IF($B14="","",الموظفون!$A14)</f>
        <v>9</v>
      </c>
      <c r="B14" s="74" t="str">
        <f aca="false">IF(الموظفون!$B14="","",الموظفون!$B14)</f>
        <v>E009</v>
      </c>
      <c r="C14" s="74" t="str">
        <f aca="false">IF($B14="","",الموظفون!$C14)</f>
        <v>محمد رفيق</v>
      </c>
      <c r="D14" s="74" t="str">
        <f aca="false">IF($B14="","",الموظفون!$F14)</f>
        <v>العمليات</v>
      </c>
      <c r="E14" s="74" t="str">
        <f aca="false">IF($B14="","",الموظفون!$E14)</f>
        <v>غير سعودي</v>
      </c>
      <c r="F14" s="105" t="n">
        <f aca="false">IF($B14="","",IF(AE14&gt;=DAY($G$3),cfg_DAYS_M,MIN(AE14,cfg_DAYS_M)))</f>
        <v>30</v>
      </c>
      <c r="G14" s="105" t="n">
        <f aca="false">IF($B14="","",SUMIFS('الحركات الشهرية'!$D$6:$D$1005,'الحركات الشهرية'!$B$6:$B$1005,$B14,'الحركات الشهرية'!$A$6:$A$1005,$C$3))</f>
        <v>0</v>
      </c>
      <c r="H14" s="105" t="n">
        <f aca="false">IF($B14="","",SUMIFS('الحركات الشهرية'!$E$6:$E$1005,'الحركات الشهرية'!$B$6:$B$1005,$B14,'الحركات الشهرية'!$A$6:$A$1005,$C$3))</f>
        <v>0</v>
      </c>
      <c r="I14" s="105" t="n">
        <f aca="false">IF($B14="","",MAX(0,F14-G14-H14))</f>
        <v>30</v>
      </c>
      <c r="J14" s="86" t="n">
        <f aca="false">IF($B14="","",الموظفون!$J14*$I14/cfg_DAYS_M)</f>
        <v>6500</v>
      </c>
      <c r="K14" s="86" t="n">
        <f aca="false">IF($B14="","",الموظفون!$K14*$I14/cfg_DAYS_M)</f>
        <v>1625</v>
      </c>
      <c r="L14" s="86" t="n">
        <f aca="false">IF($B14="","",الموظفون!$L14*$I14/cfg_DAYS_M)</f>
        <v>650</v>
      </c>
      <c r="M14" s="86" t="n">
        <f aca="false">IF($B14="","",الموظفون!$M14*$I14/cfg_DAYS_M)</f>
        <v>300</v>
      </c>
      <c r="N14" s="105" t="n">
        <f aca="false">IF($B14="","",SUMIFS('الحركات الشهرية'!$F$6:$F$1005,'الحركات الشهرية'!$B$6:$B$1005,$B14,'الحركات الشهرية'!$A$6:$A$1005,$C$3))</f>
        <v>0</v>
      </c>
      <c r="O14" s="86" t="n">
        <f aca="false">IF($B14="","",N14*(الموظفون!$N14+الموظفون!$J14*cfg_OT_P)/cfg_DAYS_M/cfg_HRS)</f>
        <v>0</v>
      </c>
      <c r="P14" s="86" t="n">
        <f aca="false">IF($B14="","",SUMIFS('الحركات الشهرية'!$G$6:$G$1005,'الحركات الشهرية'!$B$6:$B$1005,$B14,'الحركات الشهرية'!$A$6:$A$1005,$C$3))</f>
        <v>0</v>
      </c>
      <c r="Q14" s="86" t="n">
        <f aca="false">IF($B14="","",SUMIFS('الحركات الشهرية'!$H$6:$H$1005,'الحركات الشهرية'!$B$6:$B$1005,$B14,'الحركات الشهرية'!$A$6:$A$1005,$C$3))</f>
        <v>0</v>
      </c>
      <c r="R14" s="106" t="n">
        <f aca="false">IF($B14="","",SUM(J14:M14)+SUM(O14:Q14))</f>
        <v>9075</v>
      </c>
      <c r="S14" s="86" t="n">
        <f aca="false">IF($B14="","",الموظفون!$Q14*IF(E14="سعودي",cfg_G_SE,cfg_G_NE)*F14/cfg_DAYS_M)</f>
        <v>0</v>
      </c>
      <c r="T14" s="86" t="n">
        <f aca="false">IF($B14="","",SUMIFS('الحركات الشهرية'!$I$6:$I$1005,'الحركات الشهرية'!$B$6:$B$1005,$B14,'الحركات الشهرية'!$A$6:$A$1005,$C$3))</f>
        <v>0</v>
      </c>
      <c r="U14" s="86" t="n">
        <f aca="false">IF($B14="","",SUMIFS('الحركات الشهرية'!$J$6:$J$1005,'الحركات الشهرية'!$B$6:$B$1005,$B14,'الحركات الشهرية'!$A$6:$A$1005,$C$3))</f>
        <v>0</v>
      </c>
      <c r="V14" s="86" t="n">
        <f aca="false">IF($B14="","",SUM(S14:U14))</f>
        <v>0</v>
      </c>
      <c r="W14" s="107" t="n">
        <f aca="false">IF($B14="","",R14-V14)</f>
        <v>9075</v>
      </c>
      <c r="X14" s="86" t="n">
        <f aca="false">IF($B14="","",الموظفون!$Q14*IF(E14="سعودي",cfg_G_SR,cfg_G_NR)*F14/cfg_DAYS_M)</f>
        <v>162.5</v>
      </c>
      <c r="Y14" s="86" t="n">
        <f aca="false">IF($B14="","",الموظفون!$O14*(cfg_EOS_R1*(MIN(AC14,cfg_EOS_TH)-MIN(AD14,cfg_EOS_TH))+cfg_EOS_R2*(MAX(AC14-cfg_EOS_TH,0)-MAX(AD14-cfg_EOS_TH,0))))</f>
        <v>745.273972602744</v>
      </c>
      <c r="Z14" s="86" t="n">
        <f aca="false">IF($B14="","",IF(الموظفون!$R14&lt;&gt;"",الموظفون!$R14,IF(AC14&gt;=cfg_LV_TH,cfg_LV_D2,cfg_LV_D1))/cfg_DAYS_Y*AE14*الموظفون!$P14/cfg_DAYS_M)</f>
        <v>745.27397260274</v>
      </c>
      <c r="AA14" s="86" t="n">
        <f aca="false">IF($B14="","",IF(AND(الموظفون!$S14="نعم",N(الموظفون!$U14)&gt;0),الموظفون!$T14/الموظفون!$U14*12/cfg_DAYS_Y*AE14,0))</f>
        <v>93.4246575342466</v>
      </c>
      <c r="AB14" s="108" t="n">
        <f aca="false">IF($B14="","",R14+SUM(X14:AA14))</f>
        <v>10821.4726027397</v>
      </c>
      <c r="AC14" s="109" t="n">
        <f aca="false">IF($B14="","",MAX(0,IF(OR(الموظفون!$X14="",الموظفون!$X14&gt;$G$3),$G$3,الموظفون!$X14)-الموظفون!$H14+1)/cfg_DAYS_Y)</f>
        <v>11.7945205479452</v>
      </c>
      <c r="AD14" s="109" t="n">
        <f aca="false">IF($B14="","",MAX(0,IF(OR(الموظفون!$X14="",الموظفون!$X14&gt;($E$3-1)),($E$3-1),الموظفون!$X14)-الموظفون!$H14+1)/cfg_DAYS_Y)</f>
        <v>11.7095890410959</v>
      </c>
      <c r="AE14" s="51" t="n">
        <f aca="false">IF($B14="","",MAX(0,IF(OR(الموظفون!$X14="",الموظفون!$X14&gt;$G$3),$G$3,الموظفون!$X14)-MAX($E$3,الموظفون!$H14)+1))</f>
        <v>31</v>
      </c>
    </row>
    <row r="15" customFormat="false" ht="15" hidden="false" customHeight="false" outlineLevel="0" collapsed="false">
      <c r="A15" s="89" t="n">
        <f aca="false">IF($B15="","",الموظفون!$A15)</f>
        <v>10</v>
      </c>
      <c r="B15" s="91" t="str">
        <f aca="false">IF(الموظفون!$B15="","",الموظفون!$B15)</f>
        <v>E010</v>
      </c>
      <c r="C15" s="91" t="str">
        <f aca="false">IF($B15="","",الموظفون!$C15)</f>
        <v>ريم سلطان المطيري</v>
      </c>
      <c r="D15" s="91" t="str">
        <f aca="false">IF($B15="","",الموظفون!$F15)</f>
        <v>المبيعات</v>
      </c>
      <c r="E15" s="91" t="str">
        <f aca="false">IF($B15="","",الموظفون!$E15)</f>
        <v>سعودي</v>
      </c>
      <c r="F15" s="110" t="n">
        <f aca="false">IF($B15="","",IF(AE15&gt;=DAY($G$3),cfg_DAYS_M,MIN(AE15,cfg_DAYS_M)))</f>
        <v>30</v>
      </c>
      <c r="G15" s="110" t="n">
        <f aca="false">IF($B15="","",SUMIFS('الحركات الشهرية'!$D$6:$D$1005,'الحركات الشهرية'!$B$6:$B$1005,$B15,'الحركات الشهرية'!$A$6:$A$1005,$C$3))</f>
        <v>0</v>
      </c>
      <c r="H15" s="110" t="n">
        <f aca="false">IF($B15="","",SUMIFS('الحركات الشهرية'!$E$6:$E$1005,'الحركات الشهرية'!$B$6:$B$1005,$B15,'الحركات الشهرية'!$A$6:$A$1005,$C$3))</f>
        <v>0</v>
      </c>
      <c r="I15" s="110" t="n">
        <f aca="false">IF($B15="","",MAX(0,F15-G15-H15))</f>
        <v>30</v>
      </c>
      <c r="J15" s="90" t="n">
        <f aca="false">IF($B15="","",الموظفون!$J15*$I15/cfg_DAYS_M)</f>
        <v>9000</v>
      </c>
      <c r="K15" s="90" t="n">
        <f aca="false">IF($B15="","",الموظفون!$K15*$I15/cfg_DAYS_M)</f>
        <v>2250</v>
      </c>
      <c r="L15" s="90" t="n">
        <f aca="false">IF($B15="","",الموظفون!$L15*$I15/cfg_DAYS_M)</f>
        <v>900</v>
      </c>
      <c r="M15" s="90" t="n">
        <f aca="false">IF($B15="","",الموظفون!$M15*$I15/cfg_DAYS_M)</f>
        <v>0</v>
      </c>
      <c r="N15" s="110" t="n">
        <f aca="false">IF($B15="","",SUMIFS('الحركات الشهرية'!$F$6:$F$1005,'الحركات الشهرية'!$B$6:$B$1005,$B15,'الحركات الشهرية'!$A$6:$A$1005,$C$3))</f>
        <v>0</v>
      </c>
      <c r="O15" s="90" t="n">
        <f aca="false">IF($B15="","",N15*(الموظفون!$N15+الموظفون!$J15*cfg_OT_P)/cfg_DAYS_M/cfg_HRS)</f>
        <v>0</v>
      </c>
      <c r="P15" s="90" t="n">
        <f aca="false">IF($B15="","",SUMIFS('الحركات الشهرية'!$G$6:$G$1005,'الحركات الشهرية'!$B$6:$B$1005,$B15,'الحركات الشهرية'!$A$6:$A$1005,$C$3))</f>
        <v>0</v>
      </c>
      <c r="Q15" s="90" t="n">
        <f aca="false">IF($B15="","",SUMIFS('الحركات الشهرية'!$H$6:$H$1005,'الحركات الشهرية'!$B$6:$B$1005,$B15,'الحركات الشهرية'!$A$6:$A$1005,$C$3))</f>
        <v>0</v>
      </c>
      <c r="R15" s="111" t="n">
        <f aca="false">IF($B15="","",SUM(J15:M15)+SUM(O15:Q15))</f>
        <v>12150</v>
      </c>
      <c r="S15" s="90" t="n">
        <f aca="false">IF($B15="","",الموظفون!$Q15*IF(E15="سعودي",cfg_G_SE,cfg_G_NE)*F15/cfg_DAYS_M)</f>
        <v>1096.875</v>
      </c>
      <c r="T15" s="90" t="n">
        <f aca="false">IF($B15="","",SUMIFS('الحركات الشهرية'!$I$6:$I$1005,'الحركات الشهرية'!$B$6:$B$1005,$B15,'الحركات الشهرية'!$A$6:$A$1005,$C$3))</f>
        <v>0</v>
      </c>
      <c r="U15" s="90" t="n">
        <f aca="false">IF($B15="","",SUMIFS('الحركات الشهرية'!$J$6:$J$1005,'الحركات الشهرية'!$B$6:$B$1005,$B15,'الحركات الشهرية'!$A$6:$A$1005,$C$3))</f>
        <v>0</v>
      </c>
      <c r="V15" s="90" t="n">
        <f aca="false">IF($B15="","",SUM(S15:U15))</f>
        <v>1096.875</v>
      </c>
      <c r="W15" s="112" t="n">
        <f aca="false">IF($B15="","",R15-V15)</f>
        <v>11053.125</v>
      </c>
      <c r="X15" s="90" t="n">
        <f aca="false">IF($B15="","",الموظفون!$Q15*IF(E15="سعودي",cfg_G_SR,cfg_G_NR)*F15/cfg_DAYS_M)</f>
        <v>1321.875</v>
      </c>
      <c r="Y15" s="90" t="n">
        <f aca="false">IF($B15="","",الموظفون!$O15*(cfg_EOS_R1*(MIN(AC15,cfg_EOS_TH)-MIN(AD15,cfg_EOS_TH))+cfg_EOS_R2*(MAX(AC15-cfg_EOS_TH,0)-MAX(AD15-cfg_EOS_TH,0))))</f>
        <v>515.958904109589</v>
      </c>
      <c r="Z15" s="90" t="n">
        <f aca="false">IF($B15="","",IF(الموظفون!$R15&lt;&gt;"",الموظفون!$R15,IF(AC15&gt;=cfg_LV_TH,cfg_LV_D2,cfg_LV_D1))/cfg_DAYS_Y*AE15*الموظفون!$P15/cfg_DAYS_M)</f>
        <v>722.342465753425</v>
      </c>
      <c r="AA15" s="90" t="n">
        <f aca="false">IF($B15="","",IF(AND(الموظفون!$S15="نعم",N(الموظفون!$U15)&gt;0),الموظفون!$T15/الموظفون!$U15*12/cfg_DAYS_Y*AE15,0))</f>
        <v>0</v>
      </c>
      <c r="AB15" s="113" t="n">
        <f aca="false">IF($B15="","",R15+SUM(X15:AA15))</f>
        <v>14710.176369863</v>
      </c>
      <c r="AC15" s="114" t="n">
        <f aca="false">IF($B15="","",MAX(0,IF(OR(الموظفون!$X15="",الموظفون!$X15&gt;$G$3),$G$3,الموظفون!$X15)-الموظفون!$H15+1)/cfg_DAYS_Y)</f>
        <v>0.128767123287671</v>
      </c>
      <c r="AD15" s="114" t="n">
        <f aca="false">IF($B15="","",MAX(0,IF(OR(الموظفون!$X15="",الموظفون!$X15&gt;($E$3-1)),($E$3-1),الموظفون!$X15)-الموظفون!$H15+1)/cfg_DAYS_Y)</f>
        <v>0.0438356164383562</v>
      </c>
      <c r="AE15" s="115" t="n">
        <f aca="false">IF($B15="","",MAX(0,IF(OR(الموظفون!$X15="",الموظفون!$X15&gt;$G$3),$G$3,الموظفون!$X15)-MAX($E$3,الموظفون!$H15)+1))</f>
        <v>31</v>
      </c>
    </row>
    <row r="16" customFormat="false" ht="15" hidden="false" customHeight="false" outlineLevel="0" collapsed="false">
      <c r="A16" s="83" t="n">
        <f aca="false">IF($B16="","",الموظفون!$A16)</f>
        <v>11</v>
      </c>
      <c r="B16" s="74" t="str">
        <f aca="false">IF(الموظفون!$B16="","",الموظفون!$B16)</f>
        <v>E011</v>
      </c>
      <c r="C16" s="74" t="str">
        <f aca="false">IF($B16="","",الموظفون!$C16)</f>
        <v>جون ماتيو</v>
      </c>
      <c r="D16" s="74" t="str">
        <f aca="false">IF($B16="","",الموظفون!$F16)</f>
        <v>العمليات</v>
      </c>
      <c r="E16" s="74" t="str">
        <f aca="false">IF($B16="","",الموظفون!$E16)</f>
        <v>غير سعودي</v>
      </c>
      <c r="F16" s="105" t="n">
        <f aca="false">IF($B16="","",IF(AE16&gt;=DAY($G$3),cfg_DAYS_M,MIN(AE16,cfg_DAYS_M)))</f>
        <v>30</v>
      </c>
      <c r="G16" s="105" t="n">
        <f aca="false">IF($B16="","",SUMIFS('الحركات الشهرية'!$D$6:$D$1005,'الحركات الشهرية'!$B$6:$B$1005,$B16,'الحركات الشهرية'!$A$6:$A$1005,$C$3))</f>
        <v>0</v>
      </c>
      <c r="H16" s="105" t="n">
        <f aca="false">IF($B16="","",SUMIFS('الحركات الشهرية'!$E$6:$E$1005,'الحركات الشهرية'!$B$6:$B$1005,$B16,'الحركات الشهرية'!$A$6:$A$1005,$C$3))</f>
        <v>0</v>
      </c>
      <c r="I16" s="105" t="n">
        <f aca="false">IF($B16="","",MAX(0,F16-G16-H16))</f>
        <v>30</v>
      </c>
      <c r="J16" s="86" t="n">
        <f aca="false">IF($B16="","",الموظفون!$J16*$I16/cfg_DAYS_M)</f>
        <v>5000</v>
      </c>
      <c r="K16" s="86" t="n">
        <f aca="false">IF($B16="","",الموظفون!$K16*$I16/cfg_DAYS_M)</f>
        <v>1250</v>
      </c>
      <c r="L16" s="86" t="n">
        <f aca="false">IF($B16="","",الموظفون!$L16*$I16/cfg_DAYS_M)</f>
        <v>500</v>
      </c>
      <c r="M16" s="86" t="n">
        <f aca="false">IF($B16="","",الموظفون!$M16*$I16/cfg_DAYS_M)</f>
        <v>0</v>
      </c>
      <c r="N16" s="105" t="n">
        <f aca="false">IF($B16="","",SUMIFS('الحركات الشهرية'!$F$6:$F$1005,'الحركات الشهرية'!$B$6:$B$1005,$B16,'الحركات الشهرية'!$A$6:$A$1005,$C$3))</f>
        <v>0</v>
      </c>
      <c r="O16" s="86" t="n">
        <f aca="false">IF($B16="","",N16*(الموظفون!$N16+الموظفون!$J16*cfg_OT_P)/cfg_DAYS_M/cfg_HRS)</f>
        <v>0</v>
      </c>
      <c r="P16" s="86" t="n">
        <f aca="false">IF($B16="","",SUMIFS('الحركات الشهرية'!$G$6:$G$1005,'الحركات الشهرية'!$B$6:$B$1005,$B16,'الحركات الشهرية'!$A$6:$A$1005,$C$3))</f>
        <v>0</v>
      </c>
      <c r="Q16" s="86" t="n">
        <f aca="false">IF($B16="","",SUMIFS('الحركات الشهرية'!$H$6:$H$1005,'الحركات الشهرية'!$B$6:$B$1005,$B16,'الحركات الشهرية'!$A$6:$A$1005,$C$3))</f>
        <v>0</v>
      </c>
      <c r="R16" s="106" t="n">
        <f aca="false">IF($B16="","",SUM(J16:M16)+SUM(O16:Q16))</f>
        <v>6750</v>
      </c>
      <c r="S16" s="86" t="n">
        <f aca="false">IF($B16="","",الموظفون!$Q16*IF(E16="سعودي",cfg_G_SE,cfg_G_NE)*F16/cfg_DAYS_M)</f>
        <v>0</v>
      </c>
      <c r="T16" s="86" t="n">
        <f aca="false">IF($B16="","",SUMIFS('الحركات الشهرية'!$I$6:$I$1005,'الحركات الشهرية'!$B$6:$B$1005,$B16,'الحركات الشهرية'!$A$6:$A$1005,$C$3))</f>
        <v>0</v>
      </c>
      <c r="U16" s="86" t="n">
        <f aca="false">IF($B16="","",SUMIFS('الحركات الشهرية'!$J$6:$J$1005,'الحركات الشهرية'!$B$6:$B$1005,$B16,'الحركات الشهرية'!$A$6:$A$1005,$C$3))</f>
        <v>0</v>
      </c>
      <c r="V16" s="86" t="n">
        <f aca="false">IF($B16="","",SUM(S16:U16))</f>
        <v>0</v>
      </c>
      <c r="W16" s="107" t="n">
        <f aca="false">IF($B16="","",R16-V16)</f>
        <v>6750</v>
      </c>
      <c r="X16" s="86" t="n">
        <f aca="false">IF($B16="","",الموظفون!$Q16*IF(E16="سعودي",cfg_G_SR,cfg_G_NR)*F16/cfg_DAYS_M)</f>
        <v>125</v>
      </c>
      <c r="Y16" s="86" t="n">
        <f aca="false">IF($B16="","",الموظفون!$O16*(cfg_EOS_R1*(MIN(AC16,cfg_EOS_TH)-MIN(AD16,cfg_EOS_TH))+cfg_EOS_R2*(MAX(AC16-cfg_EOS_TH,0)-MAX(AD16-cfg_EOS_TH,0))))</f>
        <v>573.287671232874</v>
      </c>
      <c r="Z16" s="86" t="n">
        <f aca="false">IF($B16="","",IF(الموظفون!$R16&lt;&gt;"",الموظفون!$R16,IF(AC16&gt;=cfg_LV_TH,cfg_LV_D2,cfg_LV_D1))/cfg_DAYS_Y*AE16*الموظفون!$P16/cfg_DAYS_M)</f>
        <v>573.287671232877</v>
      </c>
      <c r="AA16" s="86" t="n">
        <f aca="false">IF($B16="","",IF(AND(الموظفون!$S16="نعم",N(الموظفون!$U16)&gt;0),الموظفون!$T16/الموظفون!$U16*12/cfg_DAYS_Y*AE16,0))</f>
        <v>110.41095890411</v>
      </c>
      <c r="AB16" s="108" t="n">
        <f aca="false">IF($B16="","",R16+SUM(X16:AA16))</f>
        <v>8131.98630136986</v>
      </c>
      <c r="AC16" s="109" t="n">
        <f aca="false">IF($B16="","",MAX(0,IF(OR(الموظفون!$X16="",الموظفون!$X16&gt;$G$3),$G$3,الموظفون!$X16)-الموظفون!$H16+1)/cfg_DAYS_Y)</f>
        <v>7.25753424657534</v>
      </c>
      <c r="AD16" s="109" t="n">
        <f aca="false">IF($B16="","",MAX(0,IF(OR(الموظفون!$X16="",الموظفون!$X16&gt;($E$3-1)),($E$3-1),الموظفون!$X16)-الموظفون!$H16+1)/cfg_DAYS_Y)</f>
        <v>7.17260273972603</v>
      </c>
      <c r="AE16" s="51" t="n">
        <f aca="false">IF($B16="","",MAX(0,IF(OR(الموظفون!$X16="",الموظفون!$X16&gt;$G$3),$G$3,الموظفون!$X16)-MAX($E$3,الموظفون!$H16)+1))</f>
        <v>31</v>
      </c>
    </row>
    <row r="17" customFormat="false" ht="15" hidden="false" customHeight="false" outlineLevel="0" collapsed="false">
      <c r="A17" s="89" t="n">
        <f aca="false">IF($B17="","",الموظفون!$A17)</f>
        <v>12</v>
      </c>
      <c r="B17" s="91" t="str">
        <f aca="false">IF(الموظفون!$B17="","",الموظفون!$B17)</f>
        <v>E012</v>
      </c>
      <c r="C17" s="91" t="str">
        <f aca="false">IF($B17="","",الموظفون!$C17)</f>
        <v>عمر حسين البيشي</v>
      </c>
      <c r="D17" s="91" t="str">
        <f aca="false">IF($B17="","",الموظفون!$F17)</f>
        <v>تقنية المعلومات</v>
      </c>
      <c r="E17" s="91" t="str">
        <f aca="false">IF($B17="","",الموظفون!$E17)</f>
        <v>سعودي</v>
      </c>
      <c r="F17" s="110" t="n">
        <f aca="false">IF($B17="","",IF(AE17&gt;=DAY($G$3),cfg_DAYS_M,MIN(AE17,cfg_DAYS_M)))</f>
        <v>30</v>
      </c>
      <c r="G17" s="110" t="n">
        <f aca="false">IF($B17="","",SUMIFS('الحركات الشهرية'!$D$6:$D$1005,'الحركات الشهرية'!$B$6:$B$1005,$B17,'الحركات الشهرية'!$A$6:$A$1005,$C$3))</f>
        <v>0</v>
      </c>
      <c r="H17" s="110" t="n">
        <f aca="false">IF($B17="","",SUMIFS('الحركات الشهرية'!$E$6:$E$1005,'الحركات الشهرية'!$B$6:$B$1005,$B17,'الحركات الشهرية'!$A$6:$A$1005,$C$3))</f>
        <v>0</v>
      </c>
      <c r="I17" s="110" t="n">
        <f aca="false">IF($B17="","",MAX(0,F17-G17-H17))</f>
        <v>30</v>
      </c>
      <c r="J17" s="90" t="n">
        <f aca="false">IF($B17="","",الموظفون!$J17*$I17/cfg_DAYS_M)</f>
        <v>12000</v>
      </c>
      <c r="K17" s="90" t="n">
        <f aca="false">IF($B17="","",الموظفون!$K17*$I17/cfg_DAYS_M)</f>
        <v>3000</v>
      </c>
      <c r="L17" s="90" t="n">
        <f aca="false">IF($B17="","",الموظفون!$L17*$I17/cfg_DAYS_M)</f>
        <v>1200</v>
      </c>
      <c r="M17" s="90" t="n">
        <f aca="false">IF($B17="","",الموظفون!$M17*$I17/cfg_DAYS_M)</f>
        <v>1500</v>
      </c>
      <c r="N17" s="110" t="n">
        <f aca="false">IF($B17="","",SUMIFS('الحركات الشهرية'!$F$6:$F$1005,'الحركات الشهرية'!$B$6:$B$1005,$B17,'الحركات الشهرية'!$A$6:$A$1005,$C$3))</f>
        <v>0</v>
      </c>
      <c r="O17" s="90" t="n">
        <f aca="false">IF($B17="","",N17*(الموظفون!$N17+الموظفون!$J17*cfg_OT_P)/cfg_DAYS_M/cfg_HRS)</f>
        <v>0</v>
      </c>
      <c r="P17" s="90" t="n">
        <f aca="false">IF($B17="","",SUMIFS('الحركات الشهرية'!$G$6:$G$1005,'الحركات الشهرية'!$B$6:$B$1005,$B17,'الحركات الشهرية'!$A$6:$A$1005,$C$3))</f>
        <v>0</v>
      </c>
      <c r="Q17" s="90" t="n">
        <f aca="false">IF($B17="","",SUMIFS('الحركات الشهرية'!$H$6:$H$1005,'الحركات الشهرية'!$B$6:$B$1005,$B17,'الحركات الشهرية'!$A$6:$A$1005,$C$3))</f>
        <v>0</v>
      </c>
      <c r="R17" s="111" t="n">
        <f aca="false">IF($B17="","",SUM(J17:M17)+SUM(O17:Q17))</f>
        <v>17700</v>
      </c>
      <c r="S17" s="90" t="n">
        <f aca="false">IF($B17="","",الموظفون!$Q17*IF(E17="سعودي",cfg_G_SE,cfg_G_NE)*F17/cfg_DAYS_M)</f>
        <v>1462.5</v>
      </c>
      <c r="T17" s="90" t="n">
        <f aca="false">IF($B17="","",SUMIFS('الحركات الشهرية'!$I$6:$I$1005,'الحركات الشهرية'!$B$6:$B$1005,$B17,'الحركات الشهرية'!$A$6:$A$1005,$C$3))</f>
        <v>0</v>
      </c>
      <c r="U17" s="90" t="n">
        <f aca="false">IF($B17="","",SUMIFS('الحركات الشهرية'!$J$6:$J$1005,'الحركات الشهرية'!$B$6:$B$1005,$B17,'الحركات الشهرية'!$A$6:$A$1005,$C$3))</f>
        <v>0</v>
      </c>
      <c r="V17" s="90" t="n">
        <f aca="false">IF($B17="","",SUM(S17:U17))</f>
        <v>1462.5</v>
      </c>
      <c r="W17" s="112" t="n">
        <f aca="false">IF($B17="","",R17-V17)</f>
        <v>16237.5</v>
      </c>
      <c r="X17" s="90" t="n">
        <f aca="false">IF($B17="","",الموظفون!$Q17*IF(E17="سعودي",cfg_G_SR,cfg_G_NR)*F17/cfg_DAYS_M)</f>
        <v>1762.5</v>
      </c>
      <c r="Y17" s="90" t="n">
        <f aca="false">IF($B17="","",الموظفون!$O17*(cfg_EOS_R1*(MIN(AC17,cfg_EOS_TH)-MIN(AD17,cfg_EOS_TH))+cfg_EOS_R2*(MAX(AC17-cfg_EOS_TH,0)-MAX(AD17-cfg_EOS_TH,0))))</f>
        <v>687.945205479452</v>
      </c>
      <c r="Z17" s="90" t="n">
        <f aca="false">IF($B17="","",IF(الموظفون!$R17&lt;&gt;"",الموظفون!$R17,IF(AC17&gt;=cfg_LV_TH,cfg_LV_D2,cfg_LV_D1))/cfg_DAYS_Y*AE17*الموظفون!$P17/cfg_DAYS_M)</f>
        <v>963.123287671233</v>
      </c>
      <c r="AA17" s="90" t="n">
        <f aca="false">IF($B17="","",IF(AND(الموظفون!$S17="نعم",N(الموظفون!$U17)&gt;0),الموظفون!$T17/الموظفون!$U17*12/cfg_DAYS_Y*AE17,0))</f>
        <v>0</v>
      </c>
      <c r="AB17" s="113" t="n">
        <f aca="false">IF($B17="","",R17+SUM(X17:AA17))</f>
        <v>21113.5684931507</v>
      </c>
      <c r="AC17" s="114" t="n">
        <f aca="false">IF($B17="","",MAX(0,IF(OR(الموظفون!$X17="",الموظفون!$X17&gt;$G$3),$G$3,الموظفون!$X17)-الموظفون!$H17+1)/cfg_DAYS_Y)</f>
        <v>3.8958904109589</v>
      </c>
      <c r="AD17" s="114" t="n">
        <f aca="false">IF($B17="","",MAX(0,IF(OR(الموظفون!$X17="",الموظفون!$X17&gt;($E$3-1)),($E$3-1),الموظفون!$X17)-الموظفون!$H17+1)/cfg_DAYS_Y)</f>
        <v>3.81095890410959</v>
      </c>
      <c r="AE17" s="115" t="n">
        <f aca="false">IF($B17="","",MAX(0,IF(OR(الموظفون!$X17="",الموظفون!$X17&gt;$G$3),$G$3,الموظفون!$X17)-MAX($E$3,الموظفون!$H17)+1))</f>
        <v>31</v>
      </c>
    </row>
    <row r="18" customFormat="false" ht="15" hidden="false" customHeight="false" outlineLevel="0" collapsed="false">
      <c r="A18" s="83" t="str">
        <f aca="false">IF($B18="","",الموظفون!$A18)</f>
        <v/>
      </c>
      <c r="B18" s="74" t="str">
        <f aca="false">IF(الموظفون!$B18="","",الموظفون!$B18)</f>
        <v/>
      </c>
      <c r="C18" s="74" t="str">
        <f aca="false">IF($B18="","",الموظفون!$C18)</f>
        <v/>
      </c>
      <c r="D18" s="74" t="str">
        <f aca="false">IF($B18="","",الموظفون!$F18)</f>
        <v/>
      </c>
      <c r="E18" s="74" t="str">
        <f aca="false">IF($B18="","",الموظفون!$E18)</f>
        <v/>
      </c>
      <c r="F18" s="105" t="str">
        <f aca="false">IF($B18="","",IF(AE18&gt;=DAY($G$3),cfg_DAYS_M,MIN(AE18,cfg_DAYS_M)))</f>
        <v/>
      </c>
      <c r="G18" s="105" t="str">
        <f aca="false">IF($B18="","",SUMIFS('الحركات الشهرية'!$D$6:$D$1005,'الحركات الشهرية'!$B$6:$B$1005,$B18,'الحركات الشهرية'!$A$6:$A$1005,$C$3))</f>
        <v/>
      </c>
      <c r="H18" s="105" t="str">
        <f aca="false">IF($B18="","",SUMIFS('الحركات الشهرية'!$E$6:$E$1005,'الحركات الشهرية'!$B$6:$B$1005,$B18,'الحركات الشهرية'!$A$6:$A$1005,$C$3))</f>
        <v/>
      </c>
      <c r="I18" s="105" t="str">
        <f aca="false">IF($B18="","",MAX(0,F18-G18-H18))</f>
        <v/>
      </c>
      <c r="J18" s="86" t="str">
        <f aca="false">IF($B18="","",الموظفون!$J18*$I18/cfg_DAYS_M)</f>
        <v/>
      </c>
      <c r="K18" s="86" t="str">
        <f aca="false">IF($B18="","",الموظفون!$K18*$I18/cfg_DAYS_M)</f>
        <v/>
      </c>
      <c r="L18" s="86" t="str">
        <f aca="false">IF($B18="","",الموظفون!$L18*$I18/cfg_DAYS_M)</f>
        <v/>
      </c>
      <c r="M18" s="86" t="str">
        <f aca="false">IF($B18="","",الموظفون!$M18*$I18/cfg_DAYS_M)</f>
        <v/>
      </c>
      <c r="N18" s="105" t="str">
        <f aca="false">IF($B18="","",SUMIFS('الحركات الشهرية'!$F$6:$F$1005,'الحركات الشهرية'!$B$6:$B$1005,$B18,'الحركات الشهرية'!$A$6:$A$1005,$C$3))</f>
        <v/>
      </c>
      <c r="O18" s="86" t="str">
        <f aca="false">IF($B18="","",N18*(الموظفون!$N18+الموظفون!$J18*cfg_OT_P)/cfg_DAYS_M/cfg_HRS)</f>
        <v/>
      </c>
      <c r="P18" s="86" t="str">
        <f aca="false">IF($B18="","",SUMIFS('الحركات الشهرية'!$G$6:$G$1005,'الحركات الشهرية'!$B$6:$B$1005,$B18,'الحركات الشهرية'!$A$6:$A$1005,$C$3))</f>
        <v/>
      </c>
      <c r="Q18" s="86" t="str">
        <f aca="false">IF($B18="","",SUMIFS('الحركات الشهرية'!$H$6:$H$1005,'الحركات الشهرية'!$B$6:$B$1005,$B18,'الحركات الشهرية'!$A$6:$A$1005,$C$3))</f>
        <v/>
      </c>
      <c r="R18" s="106" t="str">
        <f aca="false">IF($B18="","",SUM(J18:M18)+SUM(O18:Q18))</f>
        <v/>
      </c>
      <c r="S18" s="86" t="str">
        <f aca="false">IF($B18="","",الموظفون!$Q18*IF(E18="سعودي",cfg_G_SE,cfg_G_NE)*F18/cfg_DAYS_M)</f>
        <v/>
      </c>
      <c r="T18" s="86" t="str">
        <f aca="false">IF($B18="","",SUMIFS('الحركات الشهرية'!$I$6:$I$1005,'الحركات الشهرية'!$B$6:$B$1005,$B18,'الحركات الشهرية'!$A$6:$A$1005,$C$3))</f>
        <v/>
      </c>
      <c r="U18" s="86" t="str">
        <f aca="false">IF($B18="","",SUMIFS('الحركات الشهرية'!$J$6:$J$1005,'الحركات الشهرية'!$B$6:$B$1005,$B18,'الحركات الشهرية'!$A$6:$A$1005,$C$3))</f>
        <v/>
      </c>
      <c r="V18" s="86" t="str">
        <f aca="false">IF($B18="","",SUM(S18:U18))</f>
        <v/>
      </c>
      <c r="W18" s="107" t="str">
        <f aca="false">IF($B18="","",R18-V18)</f>
        <v/>
      </c>
      <c r="X18" s="86" t="str">
        <f aca="false">IF($B18="","",الموظفون!$Q18*IF(E18="سعودي",cfg_G_SR,cfg_G_NR)*F18/cfg_DAYS_M)</f>
        <v/>
      </c>
      <c r="Y18" s="86" t="str">
        <f aca="false">IF($B18="","",الموظفون!$O18*(cfg_EOS_R1*(MIN(AC18,cfg_EOS_TH)-MIN(AD18,cfg_EOS_TH))+cfg_EOS_R2*(MAX(AC18-cfg_EOS_TH,0)-MAX(AD18-cfg_EOS_TH,0))))</f>
        <v/>
      </c>
      <c r="Z18" s="86" t="str">
        <f aca="false">IF($B18="","",IF(الموظفون!$R18&lt;&gt;"",الموظفون!$R18,IF(AC18&gt;=cfg_LV_TH,cfg_LV_D2,cfg_LV_D1))/cfg_DAYS_Y*AE18*الموظفون!$P18/cfg_DAYS_M)</f>
        <v/>
      </c>
      <c r="AA18" s="86" t="str">
        <f aca="false">IF($B18="","",IF(AND(الموظفون!$S18="نعم",N(الموظفون!$U18)&gt;0),الموظفون!$T18/الموظفون!$U18*12/cfg_DAYS_Y*AE18,0))</f>
        <v/>
      </c>
      <c r="AB18" s="108" t="str">
        <f aca="false">IF($B18="","",R18+SUM(X18:AA18))</f>
        <v/>
      </c>
      <c r="AC18" s="109" t="str">
        <f aca="false">IF($B18="","",MAX(0,IF(OR(الموظفون!$X18="",الموظفون!$X18&gt;$G$3),$G$3,الموظفون!$X18)-الموظفون!$H18+1)/cfg_DAYS_Y)</f>
        <v/>
      </c>
      <c r="AD18" s="109" t="str">
        <f aca="false">IF($B18="","",MAX(0,IF(OR(الموظفون!$X18="",الموظفون!$X18&gt;($E$3-1)),($E$3-1),الموظفون!$X18)-الموظفون!$H18+1)/cfg_DAYS_Y)</f>
        <v/>
      </c>
      <c r="AE18" s="51" t="str">
        <f aca="false">IF($B18="","",MAX(0,IF(OR(الموظفون!$X18="",الموظفون!$X18&gt;$G$3),$G$3,الموظفون!$X18)-MAX($E$3,الموظفون!$H18)+1))</f>
        <v/>
      </c>
    </row>
    <row r="19" customFormat="false" ht="15" hidden="false" customHeight="false" outlineLevel="0" collapsed="false">
      <c r="A19" s="89" t="str">
        <f aca="false">IF($B19="","",الموظفون!$A19)</f>
        <v/>
      </c>
      <c r="B19" s="91" t="str">
        <f aca="false">IF(الموظفون!$B19="","",الموظفون!$B19)</f>
        <v/>
      </c>
      <c r="C19" s="91" t="str">
        <f aca="false">IF($B19="","",الموظفون!$C19)</f>
        <v/>
      </c>
      <c r="D19" s="91" t="str">
        <f aca="false">IF($B19="","",الموظفون!$F19)</f>
        <v/>
      </c>
      <c r="E19" s="91" t="str">
        <f aca="false">IF($B19="","",الموظفون!$E19)</f>
        <v/>
      </c>
      <c r="F19" s="110" t="str">
        <f aca="false">IF($B19="","",IF(AE19&gt;=DAY($G$3),cfg_DAYS_M,MIN(AE19,cfg_DAYS_M)))</f>
        <v/>
      </c>
      <c r="G19" s="110" t="str">
        <f aca="false">IF($B19="","",SUMIFS('الحركات الشهرية'!$D$6:$D$1005,'الحركات الشهرية'!$B$6:$B$1005,$B19,'الحركات الشهرية'!$A$6:$A$1005,$C$3))</f>
        <v/>
      </c>
      <c r="H19" s="110" t="str">
        <f aca="false">IF($B19="","",SUMIFS('الحركات الشهرية'!$E$6:$E$1005,'الحركات الشهرية'!$B$6:$B$1005,$B19,'الحركات الشهرية'!$A$6:$A$1005,$C$3))</f>
        <v/>
      </c>
      <c r="I19" s="110" t="str">
        <f aca="false">IF($B19="","",MAX(0,F19-G19-H19))</f>
        <v/>
      </c>
      <c r="J19" s="90" t="str">
        <f aca="false">IF($B19="","",الموظفون!$J19*$I19/cfg_DAYS_M)</f>
        <v/>
      </c>
      <c r="K19" s="90" t="str">
        <f aca="false">IF($B19="","",الموظفون!$K19*$I19/cfg_DAYS_M)</f>
        <v/>
      </c>
      <c r="L19" s="90" t="str">
        <f aca="false">IF($B19="","",الموظفون!$L19*$I19/cfg_DAYS_M)</f>
        <v/>
      </c>
      <c r="M19" s="90" t="str">
        <f aca="false">IF($B19="","",الموظفون!$M19*$I19/cfg_DAYS_M)</f>
        <v/>
      </c>
      <c r="N19" s="110" t="str">
        <f aca="false">IF($B19="","",SUMIFS('الحركات الشهرية'!$F$6:$F$1005,'الحركات الشهرية'!$B$6:$B$1005,$B19,'الحركات الشهرية'!$A$6:$A$1005,$C$3))</f>
        <v/>
      </c>
      <c r="O19" s="90" t="str">
        <f aca="false">IF($B19="","",N19*(الموظفون!$N19+الموظفون!$J19*cfg_OT_P)/cfg_DAYS_M/cfg_HRS)</f>
        <v/>
      </c>
      <c r="P19" s="90" t="str">
        <f aca="false">IF($B19="","",SUMIFS('الحركات الشهرية'!$G$6:$G$1005,'الحركات الشهرية'!$B$6:$B$1005,$B19,'الحركات الشهرية'!$A$6:$A$1005,$C$3))</f>
        <v/>
      </c>
      <c r="Q19" s="90" t="str">
        <f aca="false">IF($B19="","",SUMIFS('الحركات الشهرية'!$H$6:$H$1005,'الحركات الشهرية'!$B$6:$B$1005,$B19,'الحركات الشهرية'!$A$6:$A$1005,$C$3))</f>
        <v/>
      </c>
      <c r="R19" s="111" t="str">
        <f aca="false">IF($B19="","",SUM(J19:M19)+SUM(O19:Q19))</f>
        <v/>
      </c>
      <c r="S19" s="90" t="str">
        <f aca="false">IF($B19="","",الموظفون!$Q19*IF(E19="سعودي",cfg_G_SE,cfg_G_NE)*F19/cfg_DAYS_M)</f>
        <v/>
      </c>
      <c r="T19" s="90" t="str">
        <f aca="false">IF($B19="","",SUMIFS('الحركات الشهرية'!$I$6:$I$1005,'الحركات الشهرية'!$B$6:$B$1005,$B19,'الحركات الشهرية'!$A$6:$A$1005,$C$3))</f>
        <v/>
      </c>
      <c r="U19" s="90" t="str">
        <f aca="false">IF($B19="","",SUMIFS('الحركات الشهرية'!$J$6:$J$1005,'الحركات الشهرية'!$B$6:$B$1005,$B19,'الحركات الشهرية'!$A$6:$A$1005,$C$3))</f>
        <v/>
      </c>
      <c r="V19" s="90" t="str">
        <f aca="false">IF($B19="","",SUM(S19:U19))</f>
        <v/>
      </c>
      <c r="W19" s="112" t="str">
        <f aca="false">IF($B19="","",R19-V19)</f>
        <v/>
      </c>
      <c r="X19" s="90" t="str">
        <f aca="false">IF($B19="","",الموظفون!$Q19*IF(E19="سعودي",cfg_G_SR,cfg_G_NR)*F19/cfg_DAYS_M)</f>
        <v/>
      </c>
      <c r="Y19" s="90" t="str">
        <f aca="false">IF($B19="","",الموظفون!$O19*(cfg_EOS_R1*(MIN(AC19,cfg_EOS_TH)-MIN(AD19,cfg_EOS_TH))+cfg_EOS_R2*(MAX(AC19-cfg_EOS_TH,0)-MAX(AD19-cfg_EOS_TH,0))))</f>
        <v/>
      </c>
      <c r="Z19" s="90" t="str">
        <f aca="false">IF($B19="","",IF(الموظفون!$R19&lt;&gt;"",الموظفون!$R19,IF(AC19&gt;=cfg_LV_TH,cfg_LV_D2,cfg_LV_D1))/cfg_DAYS_Y*AE19*الموظفون!$P19/cfg_DAYS_M)</f>
        <v/>
      </c>
      <c r="AA19" s="90" t="str">
        <f aca="false">IF($B19="","",IF(AND(الموظفون!$S19="نعم",N(الموظفون!$U19)&gt;0),الموظفون!$T19/الموظفون!$U19*12/cfg_DAYS_Y*AE19,0))</f>
        <v/>
      </c>
      <c r="AB19" s="113" t="str">
        <f aca="false">IF($B19="","",R19+SUM(X19:AA19))</f>
        <v/>
      </c>
      <c r="AC19" s="114" t="str">
        <f aca="false">IF($B19="","",MAX(0,IF(OR(الموظفون!$X19="",الموظفون!$X19&gt;$G$3),$G$3,الموظفون!$X19)-الموظفون!$H19+1)/cfg_DAYS_Y)</f>
        <v/>
      </c>
      <c r="AD19" s="114" t="str">
        <f aca="false">IF($B19="","",MAX(0,IF(OR(الموظفون!$X19="",الموظفون!$X19&gt;($E$3-1)),($E$3-1),الموظفون!$X19)-الموظفون!$H19+1)/cfg_DAYS_Y)</f>
        <v/>
      </c>
      <c r="AE19" s="115" t="str">
        <f aca="false">IF($B19="","",MAX(0,IF(OR(الموظفون!$X19="",الموظفون!$X19&gt;$G$3),$G$3,الموظفون!$X19)-MAX($E$3,الموظفون!$H19)+1))</f>
        <v/>
      </c>
    </row>
    <row r="20" customFormat="false" ht="15" hidden="false" customHeight="false" outlineLevel="0" collapsed="false">
      <c r="A20" s="83" t="str">
        <f aca="false">IF($B20="","",الموظفون!$A20)</f>
        <v/>
      </c>
      <c r="B20" s="74" t="str">
        <f aca="false">IF(الموظفون!$B20="","",الموظفون!$B20)</f>
        <v/>
      </c>
      <c r="C20" s="74" t="str">
        <f aca="false">IF($B20="","",الموظفون!$C20)</f>
        <v/>
      </c>
      <c r="D20" s="74" t="str">
        <f aca="false">IF($B20="","",الموظفون!$F20)</f>
        <v/>
      </c>
      <c r="E20" s="74" t="str">
        <f aca="false">IF($B20="","",الموظفون!$E20)</f>
        <v/>
      </c>
      <c r="F20" s="105" t="str">
        <f aca="false">IF($B20="","",IF(AE20&gt;=DAY($G$3),cfg_DAYS_M,MIN(AE20,cfg_DAYS_M)))</f>
        <v/>
      </c>
      <c r="G20" s="105" t="str">
        <f aca="false">IF($B20="","",SUMIFS('الحركات الشهرية'!$D$6:$D$1005,'الحركات الشهرية'!$B$6:$B$1005,$B20,'الحركات الشهرية'!$A$6:$A$1005,$C$3))</f>
        <v/>
      </c>
      <c r="H20" s="105" t="str">
        <f aca="false">IF($B20="","",SUMIFS('الحركات الشهرية'!$E$6:$E$1005,'الحركات الشهرية'!$B$6:$B$1005,$B20,'الحركات الشهرية'!$A$6:$A$1005,$C$3))</f>
        <v/>
      </c>
      <c r="I20" s="105" t="str">
        <f aca="false">IF($B20="","",MAX(0,F20-G20-H20))</f>
        <v/>
      </c>
      <c r="J20" s="86" t="str">
        <f aca="false">IF($B20="","",الموظفون!$J20*$I20/cfg_DAYS_M)</f>
        <v/>
      </c>
      <c r="K20" s="86" t="str">
        <f aca="false">IF($B20="","",الموظفون!$K20*$I20/cfg_DAYS_M)</f>
        <v/>
      </c>
      <c r="L20" s="86" t="str">
        <f aca="false">IF($B20="","",الموظفون!$L20*$I20/cfg_DAYS_M)</f>
        <v/>
      </c>
      <c r="M20" s="86" t="str">
        <f aca="false">IF($B20="","",الموظفون!$M20*$I20/cfg_DAYS_M)</f>
        <v/>
      </c>
      <c r="N20" s="105" t="str">
        <f aca="false">IF($B20="","",SUMIFS('الحركات الشهرية'!$F$6:$F$1005,'الحركات الشهرية'!$B$6:$B$1005,$B20,'الحركات الشهرية'!$A$6:$A$1005,$C$3))</f>
        <v/>
      </c>
      <c r="O20" s="86" t="str">
        <f aca="false">IF($B20="","",N20*(الموظفون!$N20+الموظفون!$J20*cfg_OT_P)/cfg_DAYS_M/cfg_HRS)</f>
        <v/>
      </c>
      <c r="P20" s="86" t="str">
        <f aca="false">IF($B20="","",SUMIFS('الحركات الشهرية'!$G$6:$G$1005,'الحركات الشهرية'!$B$6:$B$1005,$B20,'الحركات الشهرية'!$A$6:$A$1005,$C$3))</f>
        <v/>
      </c>
      <c r="Q20" s="86" t="str">
        <f aca="false">IF($B20="","",SUMIFS('الحركات الشهرية'!$H$6:$H$1005,'الحركات الشهرية'!$B$6:$B$1005,$B20,'الحركات الشهرية'!$A$6:$A$1005,$C$3))</f>
        <v/>
      </c>
      <c r="R20" s="106" t="str">
        <f aca="false">IF($B20="","",SUM(J20:M20)+SUM(O20:Q20))</f>
        <v/>
      </c>
      <c r="S20" s="86" t="str">
        <f aca="false">IF($B20="","",الموظفون!$Q20*IF(E20="سعودي",cfg_G_SE,cfg_G_NE)*F20/cfg_DAYS_M)</f>
        <v/>
      </c>
      <c r="T20" s="86" t="str">
        <f aca="false">IF($B20="","",SUMIFS('الحركات الشهرية'!$I$6:$I$1005,'الحركات الشهرية'!$B$6:$B$1005,$B20,'الحركات الشهرية'!$A$6:$A$1005,$C$3))</f>
        <v/>
      </c>
      <c r="U20" s="86" t="str">
        <f aca="false">IF($B20="","",SUMIFS('الحركات الشهرية'!$J$6:$J$1005,'الحركات الشهرية'!$B$6:$B$1005,$B20,'الحركات الشهرية'!$A$6:$A$1005,$C$3))</f>
        <v/>
      </c>
      <c r="V20" s="86" t="str">
        <f aca="false">IF($B20="","",SUM(S20:U20))</f>
        <v/>
      </c>
      <c r="W20" s="107" t="str">
        <f aca="false">IF($B20="","",R20-V20)</f>
        <v/>
      </c>
      <c r="X20" s="86" t="str">
        <f aca="false">IF($B20="","",الموظفون!$Q20*IF(E20="سعودي",cfg_G_SR,cfg_G_NR)*F20/cfg_DAYS_M)</f>
        <v/>
      </c>
      <c r="Y20" s="86" t="str">
        <f aca="false">IF($B20="","",الموظفون!$O20*(cfg_EOS_R1*(MIN(AC20,cfg_EOS_TH)-MIN(AD20,cfg_EOS_TH))+cfg_EOS_R2*(MAX(AC20-cfg_EOS_TH,0)-MAX(AD20-cfg_EOS_TH,0))))</f>
        <v/>
      </c>
      <c r="Z20" s="86" t="str">
        <f aca="false">IF($B20="","",IF(الموظفون!$R20&lt;&gt;"",الموظفون!$R20,IF(AC20&gt;=cfg_LV_TH,cfg_LV_D2,cfg_LV_D1))/cfg_DAYS_Y*AE20*الموظفون!$P20/cfg_DAYS_M)</f>
        <v/>
      </c>
      <c r="AA20" s="86" t="str">
        <f aca="false">IF($B20="","",IF(AND(الموظفون!$S20="نعم",N(الموظفون!$U20)&gt;0),الموظفون!$T20/الموظفون!$U20*12/cfg_DAYS_Y*AE20,0))</f>
        <v/>
      </c>
      <c r="AB20" s="108" t="str">
        <f aca="false">IF($B20="","",R20+SUM(X20:AA20))</f>
        <v/>
      </c>
      <c r="AC20" s="109" t="str">
        <f aca="false">IF($B20="","",MAX(0,IF(OR(الموظفون!$X20="",الموظفون!$X20&gt;$G$3),$G$3,الموظفون!$X20)-الموظفون!$H20+1)/cfg_DAYS_Y)</f>
        <v/>
      </c>
      <c r="AD20" s="109" t="str">
        <f aca="false">IF($B20="","",MAX(0,IF(OR(الموظفون!$X20="",الموظفون!$X20&gt;($E$3-1)),($E$3-1),الموظفون!$X20)-الموظفون!$H20+1)/cfg_DAYS_Y)</f>
        <v/>
      </c>
      <c r="AE20" s="51" t="str">
        <f aca="false">IF($B20="","",MAX(0,IF(OR(الموظفون!$X20="",الموظفون!$X20&gt;$G$3),$G$3,الموظفون!$X20)-MAX($E$3,الموظفون!$H20)+1))</f>
        <v/>
      </c>
    </row>
    <row r="21" customFormat="false" ht="15" hidden="false" customHeight="false" outlineLevel="0" collapsed="false">
      <c r="A21" s="89" t="str">
        <f aca="false">IF($B21="","",الموظفون!$A21)</f>
        <v/>
      </c>
      <c r="B21" s="91" t="str">
        <f aca="false">IF(الموظفون!$B21="","",الموظفون!$B21)</f>
        <v/>
      </c>
      <c r="C21" s="91" t="str">
        <f aca="false">IF($B21="","",الموظفون!$C21)</f>
        <v/>
      </c>
      <c r="D21" s="91" t="str">
        <f aca="false">IF($B21="","",الموظفون!$F21)</f>
        <v/>
      </c>
      <c r="E21" s="91" t="str">
        <f aca="false">IF($B21="","",الموظفون!$E21)</f>
        <v/>
      </c>
      <c r="F21" s="110" t="str">
        <f aca="false">IF($B21="","",IF(AE21&gt;=DAY($G$3),cfg_DAYS_M,MIN(AE21,cfg_DAYS_M)))</f>
        <v/>
      </c>
      <c r="G21" s="110" t="str">
        <f aca="false">IF($B21="","",SUMIFS('الحركات الشهرية'!$D$6:$D$1005,'الحركات الشهرية'!$B$6:$B$1005,$B21,'الحركات الشهرية'!$A$6:$A$1005,$C$3))</f>
        <v/>
      </c>
      <c r="H21" s="110" t="str">
        <f aca="false">IF($B21="","",SUMIFS('الحركات الشهرية'!$E$6:$E$1005,'الحركات الشهرية'!$B$6:$B$1005,$B21,'الحركات الشهرية'!$A$6:$A$1005,$C$3))</f>
        <v/>
      </c>
      <c r="I21" s="110" t="str">
        <f aca="false">IF($B21="","",MAX(0,F21-G21-H21))</f>
        <v/>
      </c>
      <c r="J21" s="90" t="str">
        <f aca="false">IF($B21="","",الموظفون!$J21*$I21/cfg_DAYS_M)</f>
        <v/>
      </c>
      <c r="K21" s="90" t="str">
        <f aca="false">IF($B21="","",الموظفون!$K21*$I21/cfg_DAYS_M)</f>
        <v/>
      </c>
      <c r="L21" s="90" t="str">
        <f aca="false">IF($B21="","",الموظفون!$L21*$I21/cfg_DAYS_M)</f>
        <v/>
      </c>
      <c r="M21" s="90" t="str">
        <f aca="false">IF($B21="","",الموظفون!$M21*$I21/cfg_DAYS_M)</f>
        <v/>
      </c>
      <c r="N21" s="110" t="str">
        <f aca="false">IF($B21="","",SUMIFS('الحركات الشهرية'!$F$6:$F$1005,'الحركات الشهرية'!$B$6:$B$1005,$B21,'الحركات الشهرية'!$A$6:$A$1005,$C$3))</f>
        <v/>
      </c>
      <c r="O21" s="90" t="str">
        <f aca="false">IF($B21="","",N21*(الموظفون!$N21+الموظفون!$J21*cfg_OT_P)/cfg_DAYS_M/cfg_HRS)</f>
        <v/>
      </c>
      <c r="P21" s="90" t="str">
        <f aca="false">IF($B21="","",SUMIFS('الحركات الشهرية'!$G$6:$G$1005,'الحركات الشهرية'!$B$6:$B$1005,$B21,'الحركات الشهرية'!$A$6:$A$1005,$C$3))</f>
        <v/>
      </c>
      <c r="Q21" s="90" t="str">
        <f aca="false">IF($B21="","",SUMIFS('الحركات الشهرية'!$H$6:$H$1005,'الحركات الشهرية'!$B$6:$B$1005,$B21,'الحركات الشهرية'!$A$6:$A$1005,$C$3))</f>
        <v/>
      </c>
      <c r="R21" s="111" t="str">
        <f aca="false">IF($B21="","",SUM(J21:M21)+SUM(O21:Q21))</f>
        <v/>
      </c>
      <c r="S21" s="90" t="str">
        <f aca="false">IF($B21="","",الموظفون!$Q21*IF(E21="سعودي",cfg_G_SE,cfg_G_NE)*F21/cfg_DAYS_M)</f>
        <v/>
      </c>
      <c r="T21" s="90" t="str">
        <f aca="false">IF($B21="","",SUMIFS('الحركات الشهرية'!$I$6:$I$1005,'الحركات الشهرية'!$B$6:$B$1005,$B21,'الحركات الشهرية'!$A$6:$A$1005,$C$3))</f>
        <v/>
      </c>
      <c r="U21" s="90" t="str">
        <f aca="false">IF($B21="","",SUMIFS('الحركات الشهرية'!$J$6:$J$1005,'الحركات الشهرية'!$B$6:$B$1005,$B21,'الحركات الشهرية'!$A$6:$A$1005,$C$3))</f>
        <v/>
      </c>
      <c r="V21" s="90" t="str">
        <f aca="false">IF($B21="","",SUM(S21:U21))</f>
        <v/>
      </c>
      <c r="W21" s="112" t="str">
        <f aca="false">IF($B21="","",R21-V21)</f>
        <v/>
      </c>
      <c r="X21" s="90" t="str">
        <f aca="false">IF($B21="","",الموظفون!$Q21*IF(E21="سعودي",cfg_G_SR,cfg_G_NR)*F21/cfg_DAYS_M)</f>
        <v/>
      </c>
      <c r="Y21" s="90" t="str">
        <f aca="false">IF($B21="","",الموظفون!$O21*(cfg_EOS_R1*(MIN(AC21,cfg_EOS_TH)-MIN(AD21,cfg_EOS_TH))+cfg_EOS_R2*(MAX(AC21-cfg_EOS_TH,0)-MAX(AD21-cfg_EOS_TH,0))))</f>
        <v/>
      </c>
      <c r="Z21" s="90" t="str">
        <f aca="false">IF($B21="","",IF(الموظفون!$R21&lt;&gt;"",الموظفون!$R21,IF(AC21&gt;=cfg_LV_TH,cfg_LV_D2,cfg_LV_D1))/cfg_DAYS_Y*AE21*الموظفون!$P21/cfg_DAYS_M)</f>
        <v/>
      </c>
      <c r="AA21" s="90" t="str">
        <f aca="false">IF($B21="","",IF(AND(الموظفون!$S21="نعم",N(الموظفون!$U21)&gt;0),الموظفون!$T21/الموظفون!$U21*12/cfg_DAYS_Y*AE21,0))</f>
        <v/>
      </c>
      <c r="AB21" s="113" t="str">
        <f aca="false">IF($B21="","",R21+SUM(X21:AA21))</f>
        <v/>
      </c>
      <c r="AC21" s="114" t="str">
        <f aca="false">IF($B21="","",MAX(0,IF(OR(الموظفون!$X21="",الموظفون!$X21&gt;$G$3),$G$3,الموظفون!$X21)-الموظفون!$H21+1)/cfg_DAYS_Y)</f>
        <v/>
      </c>
      <c r="AD21" s="114" t="str">
        <f aca="false">IF($B21="","",MAX(0,IF(OR(الموظفون!$X21="",الموظفون!$X21&gt;($E$3-1)),($E$3-1),الموظفون!$X21)-الموظفون!$H21+1)/cfg_DAYS_Y)</f>
        <v/>
      </c>
      <c r="AE21" s="115" t="str">
        <f aca="false">IF($B21="","",MAX(0,IF(OR(الموظفون!$X21="",الموظفون!$X21&gt;$G$3),$G$3,الموظفون!$X21)-MAX($E$3,الموظفون!$H21)+1))</f>
        <v/>
      </c>
    </row>
    <row r="22" customFormat="false" ht="15" hidden="false" customHeight="false" outlineLevel="0" collapsed="false">
      <c r="A22" s="83" t="str">
        <f aca="false">IF($B22="","",الموظفون!$A22)</f>
        <v/>
      </c>
      <c r="B22" s="74" t="str">
        <f aca="false">IF(الموظفون!$B22="","",الموظفون!$B22)</f>
        <v/>
      </c>
      <c r="C22" s="74" t="str">
        <f aca="false">IF($B22="","",الموظفون!$C22)</f>
        <v/>
      </c>
      <c r="D22" s="74" t="str">
        <f aca="false">IF($B22="","",الموظفون!$F22)</f>
        <v/>
      </c>
      <c r="E22" s="74" t="str">
        <f aca="false">IF($B22="","",الموظفون!$E22)</f>
        <v/>
      </c>
      <c r="F22" s="105" t="str">
        <f aca="false">IF($B22="","",IF(AE22&gt;=DAY($G$3),cfg_DAYS_M,MIN(AE22,cfg_DAYS_M)))</f>
        <v/>
      </c>
      <c r="G22" s="105" t="str">
        <f aca="false">IF($B22="","",SUMIFS('الحركات الشهرية'!$D$6:$D$1005,'الحركات الشهرية'!$B$6:$B$1005,$B22,'الحركات الشهرية'!$A$6:$A$1005,$C$3))</f>
        <v/>
      </c>
      <c r="H22" s="105" t="str">
        <f aca="false">IF($B22="","",SUMIFS('الحركات الشهرية'!$E$6:$E$1005,'الحركات الشهرية'!$B$6:$B$1005,$B22,'الحركات الشهرية'!$A$6:$A$1005,$C$3))</f>
        <v/>
      </c>
      <c r="I22" s="105" t="str">
        <f aca="false">IF($B22="","",MAX(0,F22-G22-H22))</f>
        <v/>
      </c>
      <c r="J22" s="86" t="str">
        <f aca="false">IF($B22="","",الموظفون!$J22*$I22/cfg_DAYS_M)</f>
        <v/>
      </c>
      <c r="K22" s="86" t="str">
        <f aca="false">IF($B22="","",الموظفون!$K22*$I22/cfg_DAYS_M)</f>
        <v/>
      </c>
      <c r="L22" s="86" t="str">
        <f aca="false">IF($B22="","",الموظفون!$L22*$I22/cfg_DAYS_M)</f>
        <v/>
      </c>
      <c r="M22" s="86" t="str">
        <f aca="false">IF($B22="","",الموظفون!$M22*$I22/cfg_DAYS_M)</f>
        <v/>
      </c>
      <c r="N22" s="105" t="str">
        <f aca="false">IF($B22="","",SUMIFS('الحركات الشهرية'!$F$6:$F$1005,'الحركات الشهرية'!$B$6:$B$1005,$B22,'الحركات الشهرية'!$A$6:$A$1005,$C$3))</f>
        <v/>
      </c>
      <c r="O22" s="86" t="str">
        <f aca="false">IF($B22="","",N22*(الموظفون!$N22+الموظفون!$J22*cfg_OT_P)/cfg_DAYS_M/cfg_HRS)</f>
        <v/>
      </c>
      <c r="P22" s="86" t="str">
        <f aca="false">IF($B22="","",SUMIFS('الحركات الشهرية'!$G$6:$G$1005,'الحركات الشهرية'!$B$6:$B$1005,$B22,'الحركات الشهرية'!$A$6:$A$1005,$C$3))</f>
        <v/>
      </c>
      <c r="Q22" s="86" t="str">
        <f aca="false">IF($B22="","",SUMIFS('الحركات الشهرية'!$H$6:$H$1005,'الحركات الشهرية'!$B$6:$B$1005,$B22,'الحركات الشهرية'!$A$6:$A$1005,$C$3))</f>
        <v/>
      </c>
      <c r="R22" s="106" t="str">
        <f aca="false">IF($B22="","",SUM(J22:M22)+SUM(O22:Q22))</f>
        <v/>
      </c>
      <c r="S22" s="86" t="str">
        <f aca="false">IF($B22="","",الموظفون!$Q22*IF(E22="سعودي",cfg_G_SE,cfg_G_NE)*F22/cfg_DAYS_M)</f>
        <v/>
      </c>
      <c r="T22" s="86" t="str">
        <f aca="false">IF($B22="","",SUMIFS('الحركات الشهرية'!$I$6:$I$1005,'الحركات الشهرية'!$B$6:$B$1005,$B22,'الحركات الشهرية'!$A$6:$A$1005,$C$3))</f>
        <v/>
      </c>
      <c r="U22" s="86" t="str">
        <f aca="false">IF($B22="","",SUMIFS('الحركات الشهرية'!$J$6:$J$1005,'الحركات الشهرية'!$B$6:$B$1005,$B22,'الحركات الشهرية'!$A$6:$A$1005,$C$3))</f>
        <v/>
      </c>
      <c r="V22" s="86" t="str">
        <f aca="false">IF($B22="","",SUM(S22:U22))</f>
        <v/>
      </c>
      <c r="W22" s="107" t="str">
        <f aca="false">IF($B22="","",R22-V22)</f>
        <v/>
      </c>
      <c r="X22" s="86" t="str">
        <f aca="false">IF($B22="","",الموظفون!$Q22*IF(E22="سعودي",cfg_G_SR,cfg_G_NR)*F22/cfg_DAYS_M)</f>
        <v/>
      </c>
      <c r="Y22" s="86" t="str">
        <f aca="false">IF($B22="","",الموظفون!$O22*(cfg_EOS_R1*(MIN(AC22,cfg_EOS_TH)-MIN(AD22,cfg_EOS_TH))+cfg_EOS_R2*(MAX(AC22-cfg_EOS_TH,0)-MAX(AD22-cfg_EOS_TH,0))))</f>
        <v/>
      </c>
      <c r="Z22" s="86" t="str">
        <f aca="false">IF($B22="","",IF(الموظفون!$R22&lt;&gt;"",الموظفون!$R22,IF(AC22&gt;=cfg_LV_TH,cfg_LV_D2,cfg_LV_D1))/cfg_DAYS_Y*AE22*الموظفون!$P22/cfg_DAYS_M)</f>
        <v/>
      </c>
      <c r="AA22" s="86" t="str">
        <f aca="false">IF($B22="","",IF(AND(الموظفون!$S22="نعم",N(الموظفون!$U22)&gt;0),الموظفون!$T22/الموظفون!$U22*12/cfg_DAYS_Y*AE22,0))</f>
        <v/>
      </c>
      <c r="AB22" s="108" t="str">
        <f aca="false">IF($B22="","",R22+SUM(X22:AA22))</f>
        <v/>
      </c>
      <c r="AC22" s="109" t="str">
        <f aca="false">IF($B22="","",MAX(0,IF(OR(الموظفون!$X22="",الموظفون!$X22&gt;$G$3),$G$3,الموظفون!$X22)-الموظفون!$H22+1)/cfg_DAYS_Y)</f>
        <v/>
      </c>
      <c r="AD22" s="109" t="str">
        <f aca="false">IF($B22="","",MAX(0,IF(OR(الموظفون!$X22="",الموظفون!$X22&gt;($E$3-1)),($E$3-1),الموظفون!$X22)-الموظفون!$H22+1)/cfg_DAYS_Y)</f>
        <v/>
      </c>
      <c r="AE22" s="51" t="str">
        <f aca="false">IF($B22="","",MAX(0,IF(OR(الموظفون!$X22="",الموظفون!$X22&gt;$G$3),$G$3,الموظفون!$X22)-MAX($E$3,الموظفون!$H22)+1))</f>
        <v/>
      </c>
    </row>
    <row r="23" customFormat="false" ht="15" hidden="false" customHeight="false" outlineLevel="0" collapsed="false">
      <c r="A23" s="89" t="str">
        <f aca="false">IF($B23="","",الموظفون!$A23)</f>
        <v/>
      </c>
      <c r="B23" s="91" t="str">
        <f aca="false">IF(الموظفون!$B23="","",الموظفون!$B23)</f>
        <v/>
      </c>
      <c r="C23" s="91" t="str">
        <f aca="false">IF($B23="","",الموظفون!$C23)</f>
        <v/>
      </c>
      <c r="D23" s="91" t="str">
        <f aca="false">IF($B23="","",الموظفون!$F23)</f>
        <v/>
      </c>
      <c r="E23" s="91" t="str">
        <f aca="false">IF($B23="","",الموظفون!$E23)</f>
        <v/>
      </c>
      <c r="F23" s="110" t="str">
        <f aca="false">IF($B23="","",IF(AE23&gt;=DAY($G$3),cfg_DAYS_M,MIN(AE23,cfg_DAYS_M)))</f>
        <v/>
      </c>
      <c r="G23" s="110" t="str">
        <f aca="false">IF($B23="","",SUMIFS('الحركات الشهرية'!$D$6:$D$1005,'الحركات الشهرية'!$B$6:$B$1005,$B23,'الحركات الشهرية'!$A$6:$A$1005,$C$3))</f>
        <v/>
      </c>
      <c r="H23" s="110" t="str">
        <f aca="false">IF($B23="","",SUMIFS('الحركات الشهرية'!$E$6:$E$1005,'الحركات الشهرية'!$B$6:$B$1005,$B23,'الحركات الشهرية'!$A$6:$A$1005,$C$3))</f>
        <v/>
      </c>
      <c r="I23" s="110" t="str">
        <f aca="false">IF($B23="","",MAX(0,F23-G23-H23))</f>
        <v/>
      </c>
      <c r="J23" s="90" t="str">
        <f aca="false">IF($B23="","",الموظفون!$J23*$I23/cfg_DAYS_M)</f>
        <v/>
      </c>
      <c r="K23" s="90" t="str">
        <f aca="false">IF($B23="","",الموظفون!$K23*$I23/cfg_DAYS_M)</f>
        <v/>
      </c>
      <c r="L23" s="90" t="str">
        <f aca="false">IF($B23="","",الموظفون!$L23*$I23/cfg_DAYS_M)</f>
        <v/>
      </c>
      <c r="M23" s="90" t="str">
        <f aca="false">IF($B23="","",الموظفون!$M23*$I23/cfg_DAYS_M)</f>
        <v/>
      </c>
      <c r="N23" s="110" t="str">
        <f aca="false">IF($B23="","",SUMIFS('الحركات الشهرية'!$F$6:$F$1005,'الحركات الشهرية'!$B$6:$B$1005,$B23,'الحركات الشهرية'!$A$6:$A$1005,$C$3))</f>
        <v/>
      </c>
      <c r="O23" s="90" t="str">
        <f aca="false">IF($B23="","",N23*(الموظفون!$N23+الموظفون!$J23*cfg_OT_P)/cfg_DAYS_M/cfg_HRS)</f>
        <v/>
      </c>
      <c r="P23" s="90" t="str">
        <f aca="false">IF($B23="","",SUMIFS('الحركات الشهرية'!$G$6:$G$1005,'الحركات الشهرية'!$B$6:$B$1005,$B23,'الحركات الشهرية'!$A$6:$A$1005,$C$3))</f>
        <v/>
      </c>
      <c r="Q23" s="90" t="str">
        <f aca="false">IF($B23="","",SUMIFS('الحركات الشهرية'!$H$6:$H$1005,'الحركات الشهرية'!$B$6:$B$1005,$B23,'الحركات الشهرية'!$A$6:$A$1005,$C$3))</f>
        <v/>
      </c>
      <c r="R23" s="111" t="str">
        <f aca="false">IF($B23="","",SUM(J23:M23)+SUM(O23:Q23))</f>
        <v/>
      </c>
      <c r="S23" s="90" t="str">
        <f aca="false">IF($B23="","",الموظفون!$Q23*IF(E23="سعودي",cfg_G_SE,cfg_G_NE)*F23/cfg_DAYS_M)</f>
        <v/>
      </c>
      <c r="T23" s="90" t="str">
        <f aca="false">IF($B23="","",SUMIFS('الحركات الشهرية'!$I$6:$I$1005,'الحركات الشهرية'!$B$6:$B$1005,$B23,'الحركات الشهرية'!$A$6:$A$1005,$C$3))</f>
        <v/>
      </c>
      <c r="U23" s="90" t="str">
        <f aca="false">IF($B23="","",SUMIFS('الحركات الشهرية'!$J$6:$J$1005,'الحركات الشهرية'!$B$6:$B$1005,$B23,'الحركات الشهرية'!$A$6:$A$1005,$C$3))</f>
        <v/>
      </c>
      <c r="V23" s="90" t="str">
        <f aca="false">IF($B23="","",SUM(S23:U23))</f>
        <v/>
      </c>
      <c r="W23" s="112" t="str">
        <f aca="false">IF($B23="","",R23-V23)</f>
        <v/>
      </c>
      <c r="X23" s="90" t="str">
        <f aca="false">IF($B23="","",الموظفون!$Q23*IF(E23="سعودي",cfg_G_SR,cfg_G_NR)*F23/cfg_DAYS_M)</f>
        <v/>
      </c>
      <c r="Y23" s="90" t="str">
        <f aca="false">IF($B23="","",الموظفون!$O23*(cfg_EOS_R1*(MIN(AC23,cfg_EOS_TH)-MIN(AD23,cfg_EOS_TH))+cfg_EOS_R2*(MAX(AC23-cfg_EOS_TH,0)-MAX(AD23-cfg_EOS_TH,0))))</f>
        <v/>
      </c>
      <c r="Z23" s="90" t="str">
        <f aca="false">IF($B23="","",IF(الموظفون!$R23&lt;&gt;"",الموظفون!$R23,IF(AC23&gt;=cfg_LV_TH,cfg_LV_D2,cfg_LV_D1))/cfg_DAYS_Y*AE23*الموظفون!$P23/cfg_DAYS_M)</f>
        <v/>
      </c>
      <c r="AA23" s="90" t="str">
        <f aca="false">IF($B23="","",IF(AND(الموظفون!$S23="نعم",N(الموظفون!$U23)&gt;0),الموظفون!$T23/الموظفون!$U23*12/cfg_DAYS_Y*AE23,0))</f>
        <v/>
      </c>
      <c r="AB23" s="113" t="str">
        <f aca="false">IF($B23="","",R23+SUM(X23:AA23))</f>
        <v/>
      </c>
      <c r="AC23" s="114" t="str">
        <f aca="false">IF($B23="","",MAX(0,IF(OR(الموظفون!$X23="",الموظفون!$X23&gt;$G$3),$G$3,الموظفون!$X23)-الموظفون!$H23+1)/cfg_DAYS_Y)</f>
        <v/>
      </c>
      <c r="AD23" s="114" t="str">
        <f aca="false">IF($B23="","",MAX(0,IF(OR(الموظفون!$X23="",الموظفون!$X23&gt;($E$3-1)),($E$3-1),الموظفون!$X23)-الموظفون!$H23+1)/cfg_DAYS_Y)</f>
        <v/>
      </c>
      <c r="AE23" s="115" t="str">
        <f aca="false">IF($B23="","",MAX(0,IF(OR(الموظفون!$X23="",الموظفون!$X23&gt;$G$3),$G$3,الموظفون!$X23)-MAX($E$3,الموظفون!$H23)+1))</f>
        <v/>
      </c>
    </row>
    <row r="24" customFormat="false" ht="15" hidden="false" customHeight="false" outlineLevel="0" collapsed="false">
      <c r="A24" s="83" t="str">
        <f aca="false">IF($B24="","",الموظفون!$A24)</f>
        <v/>
      </c>
      <c r="B24" s="74" t="str">
        <f aca="false">IF(الموظفون!$B24="","",الموظفون!$B24)</f>
        <v/>
      </c>
      <c r="C24" s="74" t="str">
        <f aca="false">IF($B24="","",الموظفون!$C24)</f>
        <v/>
      </c>
      <c r="D24" s="74" t="str">
        <f aca="false">IF($B24="","",الموظفون!$F24)</f>
        <v/>
      </c>
      <c r="E24" s="74" t="str">
        <f aca="false">IF($B24="","",الموظفون!$E24)</f>
        <v/>
      </c>
      <c r="F24" s="105" t="str">
        <f aca="false">IF($B24="","",IF(AE24&gt;=DAY($G$3),cfg_DAYS_M,MIN(AE24,cfg_DAYS_M)))</f>
        <v/>
      </c>
      <c r="G24" s="105" t="str">
        <f aca="false">IF($B24="","",SUMIFS('الحركات الشهرية'!$D$6:$D$1005,'الحركات الشهرية'!$B$6:$B$1005,$B24,'الحركات الشهرية'!$A$6:$A$1005,$C$3))</f>
        <v/>
      </c>
      <c r="H24" s="105" t="str">
        <f aca="false">IF($B24="","",SUMIFS('الحركات الشهرية'!$E$6:$E$1005,'الحركات الشهرية'!$B$6:$B$1005,$B24,'الحركات الشهرية'!$A$6:$A$1005,$C$3))</f>
        <v/>
      </c>
      <c r="I24" s="105" t="str">
        <f aca="false">IF($B24="","",MAX(0,F24-G24-H24))</f>
        <v/>
      </c>
      <c r="J24" s="86" t="str">
        <f aca="false">IF($B24="","",الموظفون!$J24*$I24/cfg_DAYS_M)</f>
        <v/>
      </c>
      <c r="K24" s="86" t="str">
        <f aca="false">IF($B24="","",الموظفون!$K24*$I24/cfg_DAYS_M)</f>
        <v/>
      </c>
      <c r="L24" s="86" t="str">
        <f aca="false">IF($B24="","",الموظفون!$L24*$I24/cfg_DAYS_M)</f>
        <v/>
      </c>
      <c r="M24" s="86" t="str">
        <f aca="false">IF($B24="","",الموظفون!$M24*$I24/cfg_DAYS_M)</f>
        <v/>
      </c>
      <c r="N24" s="105" t="str">
        <f aca="false">IF($B24="","",SUMIFS('الحركات الشهرية'!$F$6:$F$1005,'الحركات الشهرية'!$B$6:$B$1005,$B24,'الحركات الشهرية'!$A$6:$A$1005,$C$3))</f>
        <v/>
      </c>
      <c r="O24" s="86" t="str">
        <f aca="false">IF($B24="","",N24*(الموظفون!$N24+الموظفون!$J24*cfg_OT_P)/cfg_DAYS_M/cfg_HRS)</f>
        <v/>
      </c>
      <c r="P24" s="86" t="str">
        <f aca="false">IF($B24="","",SUMIFS('الحركات الشهرية'!$G$6:$G$1005,'الحركات الشهرية'!$B$6:$B$1005,$B24,'الحركات الشهرية'!$A$6:$A$1005,$C$3))</f>
        <v/>
      </c>
      <c r="Q24" s="86" t="str">
        <f aca="false">IF($B24="","",SUMIFS('الحركات الشهرية'!$H$6:$H$1005,'الحركات الشهرية'!$B$6:$B$1005,$B24,'الحركات الشهرية'!$A$6:$A$1005,$C$3))</f>
        <v/>
      </c>
      <c r="R24" s="106" t="str">
        <f aca="false">IF($B24="","",SUM(J24:M24)+SUM(O24:Q24))</f>
        <v/>
      </c>
      <c r="S24" s="86" t="str">
        <f aca="false">IF($B24="","",الموظفون!$Q24*IF(E24="سعودي",cfg_G_SE,cfg_G_NE)*F24/cfg_DAYS_M)</f>
        <v/>
      </c>
      <c r="T24" s="86" t="str">
        <f aca="false">IF($B24="","",SUMIFS('الحركات الشهرية'!$I$6:$I$1005,'الحركات الشهرية'!$B$6:$B$1005,$B24,'الحركات الشهرية'!$A$6:$A$1005,$C$3))</f>
        <v/>
      </c>
      <c r="U24" s="86" t="str">
        <f aca="false">IF($B24="","",SUMIFS('الحركات الشهرية'!$J$6:$J$1005,'الحركات الشهرية'!$B$6:$B$1005,$B24,'الحركات الشهرية'!$A$6:$A$1005,$C$3))</f>
        <v/>
      </c>
      <c r="V24" s="86" t="str">
        <f aca="false">IF($B24="","",SUM(S24:U24))</f>
        <v/>
      </c>
      <c r="W24" s="107" t="str">
        <f aca="false">IF($B24="","",R24-V24)</f>
        <v/>
      </c>
      <c r="X24" s="86" t="str">
        <f aca="false">IF($B24="","",الموظفون!$Q24*IF(E24="سعودي",cfg_G_SR,cfg_G_NR)*F24/cfg_DAYS_M)</f>
        <v/>
      </c>
      <c r="Y24" s="86" t="str">
        <f aca="false">IF($B24="","",الموظفون!$O24*(cfg_EOS_R1*(MIN(AC24,cfg_EOS_TH)-MIN(AD24,cfg_EOS_TH))+cfg_EOS_R2*(MAX(AC24-cfg_EOS_TH,0)-MAX(AD24-cfg_EOS_TH,0))))</f>
        <v/>
      </c>
      <c r="Z24" s="86" t="str">
        <f aca="false">IF($B24="","",IF(الموظفون!$R24&lt;&gt;"",الموظفون!$R24,IF(AC24&gt;=cfg_LV_TH,cfg_LV_D2,cfg_LV_D1))/cfg_DAYS_Y*AE24*الموظفون!$P24/cfg_DAYS_M)</f>
        <v/>
      </c>
      <c r="AA24" s="86" t="str">
        <f aca="false">IF($B24="","",IF(AND(الموظفون!$S24="نعم",N(الموظفون!$U24)&gt;0),الموظفون!$T24/الموظفون!$U24*12/cfg_DAYS_Y*AE24,0))</f>
        <v/>
      </c>
      <c r="AB24" s="108" t="str">
        <f aca="false">IF($B24="","",R24+SUM(X24:AA24))</f>
        <v/>
      </c>
      <c r="AC24" s="109" t="str">
        <f aca="false">IF($B24="","",MAX(0,IF(OR(الموظفون!$X24="",الموظفون!$X24&gt;$G$3),$G$3,الموظفون!$X24)-الموظفون!$H24+1)/cfg_DAYS_Y)</f>
        <v/>
      </c>
      <c r="AD24" s="109" t="str">
        <f aca="false">IF($B24="","",MAX(0,IF(OR(الموظفون!$X24="",الموظفون!$X24&gt;($E$3-1)),($E$3-1),الموظفون!$X24)-الموظفون!$H24+1)/cfg_DAYS_Y)</f>
        <v/>
      </c>
      <c r="AE24" s="51" t="str">
        <f aca="false">IF($B24="","",MAX(0,IF(OR(الموظفون!$X24="",الموظفون!$X24&gt;$G$3),$G$3,الموظفون!$X24)-MAX($E$3,الموظفون!$H24)+1))</f>
        <v/>
      </c>
    </row>
    <row r="25" customFormat="false" ht="15" hidden="false" customHeight="false" outlineLevel="0" collapsed="false">
      <c r="A25" s="89" t="str">
        <f aca="false">IF($B25="","",الموظفون!$A25)</f>
        <v/>
      </c>
      <c r="B25" s="91" t="str">
        <f aca="false">IF(الموظفون!$B25="","",الموظفون!$B25)</f>
        <v/>
      </c>
      <c r="C25" s="91" t="str">
        <f aca="false">IF($B25="","",الموظفون!$C25)</f>
        <v/>
      </c>
      <c r="D25" s="91" t="str">
        <f aca="false">IF($B25="","",الموظفون!$F25)</f>
        <v/>
      </c>
      <c r="E25" s="91" t="str">
        <f aca="false">IF($B25="","",الموظفون!$E25)</f>
        <v/>
      </c>
      <c r="F25" s="110" t="str">
        <f aca="false">IF($B25="","",IF(AE25&gt;=DAY($G$3),cfg_DAYS_M,MIN(AE25,cfg_DAYS_M)))</f>
        <v/>
      </c>
      <c r="G25" s="110" t="str">
        <f aca="false">IF($B25="","",SUMIFS('الحركات الشهرية'!$D$6:$D$1005,'الحركات الشهرية'!$B$6:$B$1005,$B25,'الحركات الشهرية'!$A$6:$A$1005,$C$3))</f>
        <v/>
      </c>
      <c r="H25" s="110" t="str">
        <f aca="false">IF($B25="","",SUMIFS('الحركات الشهرية'!$E$6:$E$1005,'الحركات الشهرية'!$B$6:$B$1005,$B25,'الحركات الشهرية'!$A$6:$A$1005,$C$3))</f>
        <v/>
      </c>
      <c r="I25" s="110" t="str">
        <f aca="false">IF($B25="","",MAX(0,F25-G25-H25))</f>
        <v/>
      </c>
      <c r="J25" s="90" t="str">
        <f aca="false">IF($B25="","",الموظفون!$J25*$I25/cfg_DAYS_M)</f>
        <v/>
      </c>
      <c r="K25" s="90" t="str">
        <f aca="false">IF($B25="","",الموظفون!$K25*$I25/cfg_DAYS_M)</f>
        <v/>
      </c>
      <c r="L25" s="90" t="str">
        <f aca="false">IF($B25="","",الموظفون!$L25*$I25/cfg_DAYS_M)</f>
        <v/>
      </c>
      <c r="M25" s="90" t="str">
        <f aca="false">IF($B25="","",الموظفون!$M25*$I25/cfg_DAYS_M)</f>
        <v/>
      </c>
      <c r="N25" s="110" t="str">
        <f aca="false">IF($B25="","",SUMIFS('الحركات الشهرية'!$F$6:$F$1005,'الحركات الشهرية'!$B$6:$B$1005,$B25,'الحركات الشهرية'!$A$6:$A$1005,$C$3))</f>
        <v/>
      </c>
      <c r="O25" s="90" t="str">
        <f aca="false">IF($B25="","",N25*(الموظفون!$N25+الموظفون!$J25*cfg_OT_P)/cfg_DAYS_M/cfg_HRS)</f>
        <v/>
      </c>
      <c r="P25" s="90" t="str">
        <f aca="false">IF($B25="","",SUMIFS('الحركات الشهرية'!$G$6:$G$1005,'الحركات الشهرية'!$B$6:$B$1005,$B25,'الحركات الشهرية'!$A$6:$A$1005,$C$3))</f>
        <v/>
      </c>
      <c r="Q25" s="90" t="str">
        <f aca="false">IF($B25="","",SUMIFS('الحركات الشهرية'!$H$6:$H$1005,'الحركات الشهرية'!$B$6:$B$1005,$B25,'الحركات الشهرية'!$A$6:$A$1005,$C$3))</f>
        <v/>
      </c>
      <c r="R25" s="111" t="str">
        <f aca="false">IF($B25="","",SUM(J25:M25)+SUM(O25:Q25))</f>
        <v/>
      </c>
      <c r="S25" s="90" t="str">
        <f aca="false">IF($B25="","",الموظفون!$Q25*IF(E25="سعودي",cfg_G_SE,cfg_G_NE)*F25/cfg_DAYS_M)</f>
        <v/>
      </c>
      <c r="T25" s="90" t="str">
        <f aca="false">IF($B25="","",SUMIFS('الحركات الشهرية'!$I$6:$I$1005,'الحركات الشهرية'!$B$6:$B$1005,$B25,'الحركات الشهرية'!$A$6:$A$1005,$C$3))</f>
        <v/>
      </c>
      <c r="U25" s="90" t="str">
        <f aca="false">IF($B25="","",SUMIFS('الحركات الشهرية'!$J$6:$J$1005,'الحركات الشهرية'!$B$6:$B$1005,$B25,'الحركات الشهرية'!$A$6:$A$1005,$C$3))</f>
        <v/>
      </c>
      <c r="V25" s="90" t="str">
        <f aca="false">IF($B25="","",SUM(S25:U25))</f>
        <v/>
      </c>
      <c r="W25" s="112" t="str">
        <f aca="false">IF($B25="","",R25-V25)</f>
        <v/>
      </c>
      <c r="X25" s="90" t="str">
        <f aca="false">IF($B25="","",الموظفون!$Q25*IF(E25="سعودي",cfg_G_SR,cfg_G_NR)*F25/cfg_DAYS_M)</f>
        <v/>
      </c>
      <c r="Y25" s="90" t="str">
        <f aca="false">IF($B25="","",الموظفون!$O25*(cfg_EOS_R1*(MIN(AC25,cfg_EOS_TH)-MIN(AD25,cfg_EOS_TH))+cfg_EOS_R2*(MAX(AC25-cfg_EOS_TH,0)-MAX(AD25-cfg_EOS_TH,0))))</f>
        <v/>
      </c>
      <c r="Z25" s="90" t="str">
        <f aca="false">IF($B25="","",IF(الموظفون!$R25&lt;&gt;"",الموظفون!$R25,IF(AC25&gt;=cfg_LV_TH,cfg_LV_D2,cfg_LV_D1))/cfg_DAYS_Y*AE25*الموظفون!$P25/cfg_DAYS_M)</f>
        <v/>
      </c>
      <c r="AA25" s="90" t="str">
        <f aca="false">IF($B25="","",IF(AND(الموظفون!$S25="نعم",N(الموظفون!$U25)&gt;0),الموظفون!$T25/الموظفون!$U25*12/cfg_DAYS_Y*AE25,0))</f>
        <v/>
      </c>
      <c r="AB25" s="113" t="str">
        <f aca="false">IF($B25="","",R25+SUM(X25:AA25))</f>
        <v/>
      </c>
      <c r="AC25" s="114" t="str">
        <f aca="false">IF($B25="","",MAX(0,IF(OR(الموظفون!$X25="",الموظفون!$X25&gt;$G$3),$G$3,الموظفون!$X25)-الموظفون!$H25+1)/cfg_DAYS_Y)</f>
        <v/>
      </c>
      <c r="AD25" s="114" t="str">
        <f aca="false">IF($B25="","",MAX(0,IF(OR(الموظفون!$X25="",الموظفون!$X25&gt;($E$3-1)),($E$3-1),الموظفون!$X25)-الموظفون!$H25+1)/cfg_DAYS_Y)</f>
        <v/>
      </c>
      <c r="AE25" s="115" t="str">
        <f aca="false">IF($B25="","",MAX(0,IF(OR(الموظفون!$X25="",الموظفون!$X25&gt;$G$3),$G$3,الموظفون!$X25)-MAX($E$3,الموظفون!$H25)+1))</f>
        <v/>
      </c>
    </row>
    <row r="26" customFormat="false" ht="15" hidden="false" customHeight="false" outlineLevel="0" collapsed="false">
      <c r="A26" s="83" t="str">
        <f aca="false">IF($B26="","",الموظفون!$A26)</f>
        <v/>
      </c>
      <c r="B26" s="74" t="str">
        <f aca="false">IF(الموظفون!$B26="","",الموظفون!$B26)</f>
        <v/>
      </c>
      <c r="C26" s="74" t="str">
        <f aca="false">IF($B26="","",الموظفون!$C26)</f>
        <v/>
      </c>
      <c r="D26" s="74" t="str">
        <f aca="false">IF($B26="","",الموظفون!$F26)</f>
        <v/>
      </c>
      <c r="E26" s="74" t="str">
        <f aca="false">IF($B26="","",الموظفون!$E26)</f>
        <v/>
      </c>
      <c r="F26" s="105" t="str">
        <f aca="false">IF($B26="","",IF(AE26&gt;=DAY($G$3),cfg_DAYS_M,MIN(AE26,cfg_DAYS_M)))</f>
        <v/>
      </c>
      <c r="G26" s="105" t="str">
        <f aca="false">IF($B26="","",SUMIFS('الحركات الشهرية'!$D$6:$D$1005,'الحركات الشهرية'!$B$6:$B$1005,$B26,'الحركات الشهرية'!$A$6:$A$1005,$C$3))</f>
        <v/>
      </c>
      <c r="H26" s="105" t="str">
        <f aca="false">IF($B26="","",SUMIFS('الحركات الشهرية'!$E$6:$E$1005,'الحركات الشهرية'!$B$6:$B$1005,$B26,'الحركات الشهرية'!$A$6:$A$1005,$C$3))</f>
        <v/>
      </c>
      <c r="I26" s="105" t="str">
        <f aca="false">IF($B26="","",MAX(0,F26-G26-H26))</f>
        <v/>
      </c>
      <c r="J26" s="86" t="str">
        <f aca="false">IF($B26="","",الموظفون!$J26*$I26/cfg_DAYS_M)</f>
        <v/>
      </c>
      <c r="K26" s="86" t="str">
        <f aca="false">IF($B26="","",الموظفون!$K26*$I26/cfg_DAYS_M)</f>
        <v/>
      </c>
      <c r="L26" s="86" t="str">
        <f aca="false">IF($B26="","",الموظفون!$L26*$I26/cfg_DAYS_M)</f>
        <v/>
      </c>
      <c r="M26" s="86" t="str">
        <f aca="false">IF($B26="","",الموظفون!$M26*$I26/cfg_DAYS_M)</f>
        <v/>
      </c>
      <c r="N26" s="105" t="str">
        <f aca="false">IF($B26="","",SUMIFS('الحركات الشهرية'!$F$6:$F$1005,'الحركات الشهرية'!$B$6:$B$1005,$B26,'الحركات الشهرية'!$A$6:$A$1005,$C$3))</f>
        <v/>
      </c>
      <c r="O26" s="86" t="str">
        <f aca="false">IF($B26="","",N26*(الموظفون!$N26+الموظفون!$J26*cfg_OT_P)/cfg_DAYS_M/cfg_HRS)</f>
        <v/>
      </c>
      <c r="P26" s="86" t="str">
        <f aca="false">IF($B26="","",SUMIFS('الحركات الشهرية'!$G$6:$G$1005,'الحركات الشهرية'!$B$6:$B$1005,$B26,'الحركات الشهرية'!$A$6:$A$1005,$C$3))</f>
        <v/>
      </c>
      <c r="Q26" s="86" t="str">
        <f aca="false">IF($B26="","",SUMIFS('الحركات الشهرية'!$H$6:$H$1005,'الحركات الشهرية'!$B$6:$B$1005,$B26,'الحركات الشهرية'!$A$6:$A$1005,$C$3))</f>
        <v/>
      </c>
      <c r="R26" s="106" t="str">
        <f aca="false">IF($B26="","",SUM(J26:M26)+SUM(O26:Q26))</f>
        <v/>
      </c>
      <c r="S26" s="86" t="str">
        <f aca="false">IF($B26="","",الموظفون!$Q26*IF(E26="سعودي",cfg_G_SE,cfg_G_NE)*F26/cfg_DAYS_M)</f>
        <v/>
      </c>
      <c r="T26" s="86" t="str">
        <f aca="false">IF($B26="","",SUMIFS('الحركات الشهرية'!$I$6:$I$1005,'الحركات الشهرية'!$B$6:$B$1005,$B26,'الحركات الشهرية'!$A$6:$A$1005,$C$3))</f>
        <v/>
      </c>
      <c r="U26" s="86" t="str">
        <f aca="false">IF($B26="","",SUMIFS('الحركات الشهرية'!$J$6:$J$1005,'الحركات الشهرية'!$B$6:$B$1005,$B26,'الحركات الشهرية'!$A$6:$A$1005,$C$3))</f>
        <v/>
      </c>
      <c r="V26" s="86" t="str">
        <f aca="false">IF($B26="","",SUM(S26:U26))</f>
        <v/>
      </c>
      <c r="W26" s="107" t="str">
        <f aca="false">IF($B26="","",R26-V26)</f>
        <v/>
      </c>
      <c r="X26" s="86" t="str">
        <f aca="false">IF($B26="","",الموظفون!$Q26*IF(E26="سعودي",cfg_G_SR,cfg_G_NR)*F26/cfg_DAYS_M)</f>
        <v/>
      </c>
      <c r="Y26" s="86" t="str">
        <f aca="false">IF($B26="","",الموظفون!$O26*(cfg_EOS_R1*(MIN(AC26,cfg_EOS_TH)-MIN(AD26,cfg_EOS_TH))+cfg_EOS_R2*(MAX(AC26-cfg_EOS_TH,0)-MAX(AD26-cfg_EOS_TH,0))))</f>
        <v/>
      </c>
      <c r="Z26" s="86" t="str">
        <f aca="false">IF($B26="","",IF(الموظفون!$R26&lt;&gt;"",الموظفون!$R26,IF(AC26&gt;=cfg_LV_TH,cfg_LV_D2,cfg_LV_D1))/cfg_DAYS_Y*AE26*الموظفون!$P26/cfg_DAYS_M)</f>
        <v/>
      </c>
      <c r="AA26" s="86" t="str">
        <f aca="false">IF($B26="","",IF(AND(الموظفون!$S26="نعم",N(الموظفون!$U26)&gt;0),الموظفون!$T26/الموظفون!$U26*12/cfg_DAYS_Y*AE26,0))</f>
        <v/>
      </c>
      <c r="AB26" s="108" t="str">
        <f aca="false">IF($B26="","",R26+SUM(X26:AA26))</f>
        <v/>
      </c>
      <c r="AC26" s="109" t="str">
        <f aca="false">IF($B26="","",MAX(0,IF(OR(الموظفون!$X26="",الموظفون!$X26&gt;$G$3),$G$3,الموظفون!$X26)-الموظفون!$H26+1)/cfg_DAYS_Y)</f>
        <v/>
      </c>
      <c r="AD26" s="109" t="str">
        <f aca="false">IF($B26="","",MAX(0,IF(OR(الموظفون!$X26="",الموظفون!$X26&gt;($E$3-1)),($E$3-1),الموظفون!$X26)-الموظفون!$H26+1)/cfg_DAYS_Y)</f>
        <v/>
      </c>
      <c r="AE26" s="51" t="str">
        <f aca="false">IF($B26="","",MAX(0,IF(OR(الموظفون!$X26="",الموظفون!$X26&gt;$G$3),$G$3,الموظفون!$X26)-MAX($E$3,الموظفون!$H26)+1))</f>
        <v/>
      </c>
    </row>
    <row r="27" customFormat="false" ht="15" hidden="false" customHeight="false" outlineLevel="0" collapsed="false">
      <c r="A27" s="89" t="str">
        <f aca="false">IF($B27="","",الموظفون!$A27)</f>
        <v/>
      </c>
      <c r="B27" s="91" t="str">
        <f aca="false">IF(الموظفون!$B27="","",الموظفون!$B27)</f>
        <v/>
      </c>
      <c r="C27" s="91" t="str">
        <f aca="false">IF($B27="","",الموظفون!$C27)</f>
        <v/>
      </c>
      <c r="D27" s="91" t="str">
        <f aca="false">IF($B27="","",الموظفون!$F27)</f>
        <v/>
      </c>
      <c r="E27" s="91" t="str">
        <f aca="false">IF($B27="","",الموظفون!$E27)</f>
        <v/>
      </c>
      <c r="F27" s="110" t="str">
        <f aca="false">IF($B27="","",IF(AE27&gt;=DAY($G$3),cfg_DAYS_M,MIN(AE27,cfg_DAYS_M)))</f>
        <v/>
      </c>
      <c r="G27" s="110" t="str">
        <f aca="false">IF($B27="","",SUMIFS('الحركات الشهرية'!$D$6:$D$1005,'الحركات الشهرية'!$B$6:$B$1005,$B27,'الحركات الشهرية'!$A$6:$A$1005,$C$3))</f>
        <v/>
      </c>
      <c r="H27" s="110" t="str">
        <f aca="false">IF($B27="","",SUMIFS('الحركات الشهرية'!$E$6:$E$1005,'الحركات الشهرية'!$B$6:$B$1005,$B27,'الحركات الشهرية'!$A$6:$A$1005,$C$3))</f>
        <v/>
      </c>
      <c r="I27" s="110" t="str">
        <f aca="false">IF($B27="","",MAX(0,F27-G27-H27))</f>
        <v/>
      </c>
      <c r="J27" s="90" t="str">
        <f aca="false">IF($B27="","",الموظفون!$J27*$I27/cfg_DAYS_M)</f>
        <v/>
      </c>
      <c r="K27" s="90" t="str">
        <f aca="false">IF($B27="","",الموظفون!$K27*$I27/cfg_DAYS_M)</f>
        <v/>
      </c>
      <c r="L27" s="90" t="str">
        <f aca="false">IF($B27="","",الموظفون!$L27*$I27/cfg_DAYS_M)</f>
        <v/>
      </c>
      <c r="M27" s="90" t="str">
        <f aca="false">IF($B27="","",الموظفون!$M27*$I27/cfg_DAYS_M)</f>
        <v/>
      </c>
      <c r="N27" s="110" t="str">
        <f aca="false">IF($B27="","",SUMIFS('الحركات الشهرية'!$F$6:$F$1005,'الحركات الشهرية'!$B$6:$B$1005,$B27,'الحركات الشهرية'!$A$6:$A$1005,$C$3))</f>
        <v/>
      </c>
      <c r="O27" s="90" t="str">
        <f aca="false">IF($B27="","",N27*(الموظفون!$N27+الموظفون!$J27*cfg_OT_P)/cfg_DAYS_M/cfg_HRS)</f>
        <v/>
      </c>
      <c r="P27" s="90" t="str">
        <f aca="false">IF($B27="","",SUMIFS('الحركات الشهرية'!$G$6:$G$1005,'الحركات الشهرية'!$B$6:$B$1005,$B27,'الحركات الشهرية'!$A$6:$A$1005,$C$3))</f>
        <v/>
      </c>
      <c r="Q27" s="90" t="str">
        <f aca="false">IF($B27="","",SUMIFS('الحركات الشهرية'!$H$6:$H$1005,'الحركات الشهرية'!$B$6:$B$1005,$B27,'الحركات الشهرية'!$A$6:$A$1005,$C$3))</f>
        <v/>
      </c>
      <c r="R27" s="111" t="str">
        <f aca="false">IF($B27="","",SUM(J27:M27)+SUM(O27:Q27))</f>
        <v/>
      </c>
      <c r="S27" s="90" t="str">
        <f aca="false">IF($B27="","",الموظفون!$Q27*IF(E27="سعودي",cfg_G_SE,cfg_G_NE)*F27/cfg_DAYS_M)</f>
        <v/>
      </c>
      <c r="T27" s="90" t="str">
        <f aca="false">IF($B27="","",SUMIFS('الحركات الشهرية'!$I$6:$I$1005,'الحركات الشهرية'!$B$6:$B$1005,$B27,'الحركات الشهرية'!$A$6:$A$1005,$C$3))</f>
        <v/>
      </c>
      <c r="U27" s="90" t="str">
        <f aca="false">IF($B27="","",SUMIFS('الحركات الشهرية'!$J$6:$J$1005,'الحركات الشهرية'!$B$6:$B$1005,$B27,'الحركات الشهرية'!$A$6:$A$1005,$C$3))</f>
        <v/>
      </c>
      <c r="V27" s="90" t="str">
        <f aca="false">IF($B27="","",SUM(S27:U27))</f>
        <v/>
      </c>
      <c r="W27" s="112" t="str">
        <f aca="false">IF($B27="","",R27-V27)</f>
        <v/>
      </c>
      <c r="X27" s="90" t="str">
        <f aca="false">IF($B27="","",الموظفون!$Q27*IF(E27="سعودي",cfg_G_SR,cfg_G_NR)*F27/cfg_DAYS_M)</f>
        <v/>
      </c>
      <c r="Y27" s="90" t="str">
        <f aca="false">IF($B27="","",الموظفون!$O27*(cfg_EOS_R1*(MIN(AC27,cfg_EOS_TH)-MIN(AD27,cfg_EOS_TH))+cfg_EOS_R2*(MAX(AC27-cfg_EOS_TH,0)-MAX(AD27-cfg_EOS_TH,0))))</f>
        <v/>
      </c>
      <c r="Z27" s="90" t="str">
        <f aca="false">IF($B27="","",IF(الموظفون!$R27&lt;&gt;"",الموظفون!$R27,IF(AC27&gt;=cfg_LV_TH,cfg_LV_D2,cfg_LV_D1))/cfg_DAYS_Y*AE27*الموظفون!$P27/cfg_DAYS_M)</f>
        <v/>
      </c>
      <c r="AA27" s="90" t="str">
        <f aca="false">IF($B27="","",IF(AND(الموظفون!$S27="نعم",N(الموظفون!$U27)&gt;0),الموظفون!$T27/الموظفون!$U27*12/cfg_DAYS_Y*AE27,0))</f>
        <v/>
      </c>
      <c r="AB27" s="113" t="str">
        <f aca="false">IF($B27="","",R27+SUM(X27:AA27))</f>
        <v/>
      </c>
      <c r="AC27" s="114" t="str">
        <f aca="false">IF($B27="","",MAX(0,IF(OR(الموظفون!$X27="",الموظفون!$X27&gt;$G$3),$G$3,الموظفون!$X27)-الموظفون!$H27+1)/cfg_DAYS_Y)</f>
        <v/>
      </c>
      <c r="AD27" s="114" t="str">
        <f aca="false">IF($B27="","",MAX(0,IF(OR(الموظفون!$X27="",الموظفون!$X27&gt;($E$3-1)),($E$3-1),الموظفون!$X27)-الموظفون!$H27+1)/cfg_DAYS_Y)</f>
        <v/>
      </c>
      <c r="AE27" s="115" t="str">
        <f aca="false">IF($B27="","",MAX(0,IF(OR(الموظفون!$X27="",الموظفون!$X27&gt;$G$3),$G$3,الموظفون!$X27)-MAX($E$3,الموظفون!$H27)+1))</f>
        <v/>
      </c>
    </row>
    <row r="28" customFormat="false" ht="15" hidden="false" customHeight="false" outlineLevel="0" collapsed="false">
      <c r="A28" s="83" t="str">
        <f aca="false">IF($B28="","",الموظفون!$A28)</f>
        <v/>
      </c>
      <c r="B28" s="74" t="str">
        <f aca="false">IF(الموظفون!$B28="","",الموظفون!$B28)</f>
        <v/>
      </c>
      <c r="C28" s="74" t="str">
        <f aca="false">IF($B28="","",الموظفون!$C28)</f>
        <v/>
      </c>
      <c r="D28" s="74" t="str">
        <f aca="false">IF($B28="","",الموظفون!$F28)</f>
        <v/>
      </c>
      <c r="E28" s="74" t="str">
        <f aca="false">IF($B28="","",الموظفون!$E28)</f>
        <v/>
      </c>
      <c r="F28" s="105" t="str">
        <f aca="false">IF($B28="","",IF(AE28&gt;=DAY($G$3),cfg_DAYS_M,MIN(AE28,cfg_DAYS_M)))</f>
        <v/>
      </c>
      <c r="G28" s="105" t="str">
        <f aca="false">IF($B28="","",SUMIFS('الحركات الشهرية'!$D$6:$D$1005,'الحركات الشهرية'!$B$6:$B$1005,$B28,'الحركات الشهرية'!$A$6:$A$1005,$C$3))</f>
        <v/>
      </c>
      <c r="H28" s="105" t="str">
        <f aca="false">IF($B28="","",SUMIFS('الحركات الشهرية'!$E$6:$E$1005,'الحركات الشهرية'!$B$6:$B$1005,$B28,'الحركات الشهرية'!$A$6:$A$1005,$C$3))</f>
        <v/>
      </c>
      <c r="I28" s="105" t="str">
        <f aca="false">IF($B28="","",MAX(0,F28-G28-H28))</f>
        <v/>
      </c>
      <c r="J28" s="86" t="str">
        <f aca="false">IF($B28="","",الموظفون!$J28*$I28/cfg_DAYS_M)</f>
        <v/>
      </c>
      <c r="K28" s="86" t="str">
        <f aca="false">IF($B28="","",الموظفون!$K28*$I28/cfg_DAYS_M)</f>
        <v/>
      </c>
      <c r="L28" s="86" t="str">
        <f aca="false">IF($B28="","",الموظفون!$L28*$I28/cfg_DAYS_M)</f>
        <v/>
      </c>
      <c r="M28" s="86" t="str">
        <f aca="false">IF($B28="","",الموظفون!$M28*$I28/cfg_DAYS_M)</f>
        <v/>
      </c>
      <c r="N28" s="105" t="str">
        <f aca="false">IF($B28="","",SUMIFS('الحركات الشهرية'!$F$6:$F$1005,'الحركات الشهرية'!$B$6:$B$1005,$B28,'الحركات الشهرية'!$A$6:$A$1005,$C$3))</f>
        <v/>
      </c>
      <c r="O28" s="86" t="str">
        <f aca="false">IF($B28="","",N28*(الموظفون!$N28+الموظفون!$J28*cfg_OT_P)/cfg_DAYS_M/cfg_HRS)</f>
        <v/>
      </c>
      <c r="P28" s="86" t="str">
        <f aca="false">IF($B28="","",SUMIFS('الحركات الشهرية'!$G$6:$G$1005,'الحركات الشهرية'!$B$6:$B$1005,$B28,'الحركات الشهرية'!$A$6:$A$1005,$C$3))</f>
        <v/>
      </c>
      <c r="Q28" s="86" t="str">
        <f aca="false">IF($B28="","",SUMIFS('الحركات الشهرية'!$H$6:$H$1005,'الحركات الشهرية'!$B$6:$B$1005,$B28,'الحركات الشهرية'!$A$6:$A$1005,$C$3))</f>
        <v/>
      </c>
      <c r="R28" s="106" t="str">
        <f aca="false">IF($B28="","",SUM(J28:M28)+SUM(O28:Q28))</f>
        <v/>
      </c>
      <c r="S28" s="86" t="str">
        <f aca="false">IF($B28="","",الموظفون!$Q28*IF(E28="سعودي",cfg_G_SE,cfg_G_NE)*F28/cfg_DAYS_M)</f>
        <v/>
      </c>
      <c r="T28" s="86" t="str">
        <f aca="false">IF($B28="","",SUMIFS('الحركات الشهرية'!$I$6:$I$1005,'الحركات الشهرية'!$B$6:$B$1005,$B28,'الحركات الشهرية'!$A$6:$A$1005,$C$3))</f>
        <v/>
      </c>
      <c r="U28" s="86" t="str">
        <f aca="false">IF($B28="","",SUMIFS('الحركات الشهرية'!$J$6:$J$1005,'الحركات الشهرية'!$B$6:$B$1005,$B28,'الحركات الشهرية'!$A$6:$A$1005,$C$3))</f>
        <v/>
      </c>
      <c r="V28" s="86" t="str">
        <f aca="false">IF($B28="","",SUM(S28:U28))</f>
        <v/>
      </c>
      <c r="W28" s="107" t="str">
        <f aca="false">IF($B28="","",R28-V28)</f>
        <v/>
      </c>
      <c r="X28" s="86" t="str">
        <f aca="false">IF($B28="","",الموظفون!$Q28*IF(E28="سعودي",cfg_G_SR,cfg_G_NR)*F28/cfg_DAYS_M)</f>
        <v/>
      </c>
      <c r="Y28" s="86" t="str">
        <f aca="false">IF($B28="","",الموظفون!$O28*(cfg_EOS_R1*(MIN(AC28,cfg_EOS_TH)-MIN(AD28,cfg_EOS_TH))+cfg_EOS_R2*(MAX(AC28-cfg_EOS_TH,0)-MAX(AD28-cfg_EOS_TH,0))))</f>
        <v/>
      </c>
      <c r="Z28" s="86" t="str">
        <f aca="false">IF($B28="","",IF(الموظفون!$R28&lt;&gt;"",الموظفون!$R28,IF(AC28&gt;=cfg_LV_TH,cfg_LV_D2,cfg_LV_D1))/cfg_DAYS_Y*AE28*الموظفون!$P28/cfg_DAYS_M)</f>
        <v/>
      </c>
      <c r="AA28" s="86" t="str">
        <f aca="false">IF($B28="","",IF(AND(الموظفون!$S28="نعم",N(الموظفون!$U28)&gt;0),الموظفون!$T28/الموظفون!$U28*12/cfg_DAYS_Y*AE28,0))</f>
        <v/>
      </c>
      <c r="AB28" s="108" t="str">
        <f aca="false">IF($B28="","",R28+SUM(X28:AA28))</f>
        <v/>
      </c>
      <c r="AC28" s="109" t="str">
        <f aca="false">IF($B28="","",MAX(0,IF(OR(الموظفون!$X28="",الموظفون!$X28&gt;$G$3),$G$3,الموظفون!$X28)-الموظفون!$H28+1)/cfg_DAYS_Y)</f>
        <v/>
      </c>
      <c r="AD28" s="109" t="str">
        <f aca="false">IF($B28="","",MAX(0,IF(OR(الموظفون!$X28="",الموظفون!$X28&gt;($E$3-1)),($E$3-1),الموظفون!$X28)-الموظفون!$H28+1)/cfg_DAYS_Y)</f>
        <v/>
      </c>
      <c r="AE28" s="51" t="str">
        <f aca="false">IF($B28="","",MAX(0,IF(OR(الموظفون!$X28="",الموظفون!$X28&gt;$G$3),$G$3,الموظفون!$X28)-MAX($E$3,الموظفون!$H28)+1))</f>
        <v/>
      </c>
    </row>
    <row r="29" customFormat="false" ht="15" hidden="false" customHeight="false" outlineLevel="0" collapsed="false">
      <c r="A29" s="89" t="str">
        <f aca="false">IF($B29="","",الموظفون!$A29)</f>
        <v/>
      </c>
      <c r="B29" s="91" t="str">
        <f aca="false">IF(الموظفون!$B29="","",الموظفون!$B29)</f>
        <v/>
      </c>
      <c r="C29" s="91" t="str">
        <f aca="false">IF($B29="","",الموظفون!$C29)</f>
        <v/>
      </c>
      <c r="D29" s="91" t="str">
        <f aca="false">IF($B29="","",الموظفون!$F29)</f>
        <v/>
      </c>
      <c r="E29" s="91" t="str">
        <f aca="false">IF($B29="","",الموظفون!$E29)</f>
        <v/>
      </c>
      <c r="F29" s="110" t="str">
        <f aca="false">IF($B29="","",IF(AE29&gt;=DAY($G$3),cfg_DAYS_M,MIN(AE29,cfg_DAYS_M)))</f>
        <v/>
      </c>
      <c r="G29" s="110" t="str">
        <f aca="false">IF($B29="","",SUMIFS('الحركات الشهرية'!$D$6:$D$1005,'الحركات الشهرية'!$B$6:$B$1005,$B29,'الحركات الشهرية'!$A$6:$A$1005,$C$3))</f>
        <v/>
      </c>
      <c r="H29" s="110" t="str">
        <f aca="false">IF($B29="","",SUMIFS('الحركات الشهرية'!$E$6:$E$1005,'الحركات الشهرية'!$B$6:$B$1005,$B29,'الحركات الشهرية'!$A$6:$A$1005,$C$3))</f>
        <v/>
      </c>
      <c r="I29" s="110" t="str">
        <f aca="false">IF($B29="","",MAX(0,F29-G29-H29))</f>
        <v/>
      </c>
      <c r="J29" s="90" t="str">
        <f aca="false">IF($B29="","",الموظفون!$J29*$I29/cfg_DAYS_M)</f>
        <v/>
      </c>
      <c r="K29" s="90" t="str">
        <f aca="false">IF($B29="","",الموظفون!$K29*$I29/cfg_DAYS_M)</f>
        <v/>
      </c>
      <c r="L29" s="90" t="str">
        <f aca="false">IF($B29="","",الموظفون!$L29*$I29/cfg_DAYS_M)</f>
        <v/>
      </c>
      <c r="M29" s="90" t="str">
        <f aca="false">IF($B29="","",الموظفون!$M29*$I29/cfg_DAYS_M)</f>
        <v/>
      </c>
      <c r="N29" s="110" t="str">
        <f aca="false">IF($B29="","",SUMIFS('الحركات الشهرية'!$F$6:$F$1005,'الحركات الشهرية'!$B$6:$B$1005,$B29,'الحركات الشهرية'!$A$6:$A$1005,$C$3))</f>
        <v/>
      </c>
      <c r="O29" s="90" t="str">
        <f aca="false">IF($B29="","",N29*(الموظفون!$N29+الموظفون!$J29*cfg_OT_P)/cfg_DAYS_M/cfg_HRS)</f>
        <v/>
      </c>
      <c r="P29" s="90" t="str">
        <f aca="false">IF($B29="","",SUMIFS('الحركات الشهرية'!$G$6:$G$1005,'الحركات الشهرية'!$B$6:$B$1005,$B29,'الحركات الشهرية'!$A$6:$A$1005,$C$3))</f>
        <v/>
      </c>
      <c r="Q29" s="90" t="str">
        <f aca="false">IF($B29="","",SUMIFS('الحركات الشهرية'!$H$6:$H$1005,'الحركات الشهرية'!$B$6:$B$1005,$B29,'الحركات الشهرية'!$A$6:$A$1005,$C$3))</f>
        <v/>
      </c>
      <c r="R29" s="111" t="str">
        <f aca="false">IF($B29="","",SUM(J29:M29)+SUM(O29:Q29))</f>
        <v/>
      </c>
      <c r="S29" s="90" t="str">
        <f aca="false">IF($B29="","",الموظفون!$Q29*IF(E29="سعودي",cfg_G_SE,cfg_G_NE)*F29/cfg_DAYS_M)</f>
        <v/>
      </c>
      <c r="T29" s="90" t="str">
        <f aca="false">IF($B29="","",SUMIFS('الحركات الشهرية'!$I$6:$I$1005,'الحركات الشهرية'!$B$6:$B$1005,$B29,'الحركات الشهرية'!$A$6:$A$1005,$C$3))</f>
        <v/>
      </c>
      <c r="U29" s="90" t="str">
        <f aca="false">IF($B29="","",SUMIFS('الحركات الشهرية'!$J$6:$J$1005,'الحركات الشهرية'!$B$6:$B$1005,$B29,'الحركات الشهرية'!$A$6:$A$1005,$C$3))</f>
        <v/>
      </c>
      <c r="V29" s="90" t="str">
        <f aca="false">IF($B29="","",SUM(S29:U29))</f>
        <v/>
      </c>
      <c r="W29" s="112" t="str">
        <f aca="false">IF($B29="","",R29-V29)</f>
        <v/>
      </c>
      <c r="X29" s="90" t="str">
        <f aca="false">IF($B29="","",الموظفون!$Q29*IF(E29="سعودي",cfg_G_SR,cfg_G_NR)*F29/cfg_DAYS_M)</f>
        <v/>
      </c>
      <c r="Y29" s="90" t="str">
        <f aca="false">IF($B29="","",الموظفون!$O29*(cfg_EOS_R1*(MIN(AC29,cfg_EOS_TH)-MIN(AD29,cfg_EOS_TH))+cfg_EOS_R2*(MAX(AC29-cfg_EOS_TH,0)-MAX(AD29-cfg_EOS_TH,0))))</f>
        <v/>
      </c>
      <c r="Z29" s="90" t="str">
        <f aca="false">IF($B29="","",IF(الموظفون!$R29&lt;&gt;"",الموظفون!$R29,IF(AC29&gt;=cfg_LV_TH,cfg_LV_D2,cfg_LV_D1))/cfg_DAYS_Y*AE29*الموظفون!$P29/cfg_DAYS_M)</f>
        <v/>
      </c>
      <c r="AA29" s="90" t="str">
        <f aca="false">IF($B29="","",IF(AND(الموظفون!$S29="نعم",N(الموظفون!$U29)&gt;0),الموظفون!$T29/الموظفون!$U29*12/cfg_DAYS_Y*AE29,0))</f>
        <v/>
      </c>
      <c r="AB29" s="113" t="str">
        <f aca="false">IF($B29="","",R29+SUM(X29:AA29))</f>
        <v/>
      </c>
      <c r="AC29" s="114" t="str">
        <f aca="false">IF($B29="","",MAX(0,IF(OR(الموظفون!$X29="",الموظفون!$X29&gt;$G$3),$G$3,الموظفون!$X29)-الموظفون!$H29+1)/cfg_DAYS_Y)</f>
        <v/>
      </c>
      <c r="AD29" s="114" t="str">
        <f aca="false">IF($B29="","",MAX(0,IF(OR(الموظفون!$X29="",الموظفون!$X29&gt;($E$3-1)),($E$3-1),الموظفون!$X29)-الموظفون!$H29+1)/cfg_DAYS_Y)</f>
        <v/>
      </c>
      <c r="AE29" s="115" t="str">
        <f aca="false">IF($B29="","",MAX(0,IF(OR(الموظفون!$X29="",الموظفون!$X29&gt;$G$3),$G$3,الموظفون!$X29)-MAX($E$3,الموظفون!$H29)+1))</f>
        <v/>
      </c>
    </row>
    <row r="30" customFormat="false" ht="15" hidden="false" customHeight="false" outlineLevel="0" collapsed="false">
      <c r="A30" s="83" t="str">
        <f aca="false">IF($B30="","",الموظفون!$A30)</f>
        <v/>
      </c>
      <c r="B30" s="74" t="str">
        <f aca="false">IF(الموظفون!$B30="","",الموظفون!$B30)</f>
        <v/>
      </c>
      <c r="C30" s="74" t="str">
        <f aca="false">IF($B30="","",الموظفون!$C30)</f>
        <v/>
      </c>
      <c r="D30" s="74" t="str">
        <f aca="false">IF($B30="","",الموظفون!$F30)</f>
        <v/>
      </c>
      <c r="E30" s="74" t="str">
        <f aca="false">IF($B30="","",الموظفون!$E30)</f>
        <v/>
      </c>
      <c r="F30" s="105" t="str">
        <f aca="false">IF($B30="","",IF(AE30&gt;=DAY($G$3),cfg_DAYS_M,MIN(AE30,cfg_DAYS_M)))</f>
        <v/>
      </c>
      <c r="G30" s="105" t="str">
        <f aca="false">IF($B30="","",SUMIFS('الحركات الشهرية'!$D$6:$D$1005,'الحركات الشهرية'!$B$6:$B$1005,$B30,'الحركات الشهرية'!$A$6:$A$1005,$C$3))</f>
        <v/>
      </c>
      <c r="H30" s="105" t="str">
        <f aca="false">IF($B30="","",SUMIFS('الحركات الشهرية'!$E$6:$E$1005,'الحركات الشهرية'!$B$6:$B$1005,$B30,'الحركات الشهرية'!$A$6:$A$1005,$C$3))</f>
        <v/>
      </c>
      <c r="I30" s="105" t="str">
        <f aca="false">IF($B30="","",MAX(0,F30-G30-H30))</f>
        <v/>
      </c>
      <c r="J30" s="86" t="str">
        <f aca="false">IF($B30="","",الموظفون!$J30*$I30/cfg_DAYS_M)</f>
        <v/>
      </c>
      <c r="K30" s="86" t="str">
        <f aca="false">IF($B30="","",الموظفون!$K30*$I30/cfg_DAYS_M)</f>
        <v/>
      </c>
      <c r="L30" s="86" t="str">
        <f aca="false">IF($B30="","",الموظفون!$L30*$I30/cfg_DAYS_M)</f>
        <v/>
      </c>
      <c r="M30" s="86" t="str">
        <f aca="false">IF($B30="","",الموظفون!$M30*$I30/cfg_DAYS_M)</f>
        <v/>
      </c>
      <c r="N30" s="105" t="str">
        <f aca="false">IF($B30="","",SUMIFS('الحركات الشهرية'!$F$6:$F$1005,'الحركات الشهرية'!$B$6:$B$1005,$B30,'الحركات الشهرية'!$A$6:$A$1005,$C$3))</f>
        <v/>
      </c>
      <c r="O30" s="86" t="str">
        <f aca="false">IF($B30="","",N30*(الموظفون!$N30+الموظفون!$J30*cfg_OT_P)/cfg_DAYS_M/cfg_HRS)</f>
        <v/>
      </c>
      <c r="P30" s="86" t="str">
        <f aca="false">IF($B30="","",SUMIFS('الحركات الشهرية'!$G$6:$G$1005,'الحركات الشهرية'!$B$6:$B$1005,$B30,'الحركات الشهرية'!$A$6:$A$1005,$C$3))</f>
        <v/>
      </c>
      <c r="Q30" s="86" t="str">
        <f aca="false">IF($B30="","",SUMIFS('الحركات الشهرية'!$H$6:$H$1005,'الحركات الشهرية'!$B$6:$B$1005,$B30,'الحركات الشهرية'!$A$6:$A$1005,$C$3))</f>
        <v/>
      </c>
      <c r="R30" s="106" t="str">
        <f aca="false">IF($B30="","",SUM(J30:M30)+SUM(O30:Q30))</f>
        <v/>
      </c>
      <c r="S30" s="86" t="str">
        <f aca="false">IF($B30="","",الموظفون!$Q30*IF(E30="سعودي",cfg_G_SE,cfg_G_NE)*F30/cfg_DAYS_M)</f>
        <v/>
      </c>
      <c r="T30" s="86" t="str">
        <f aca="false">IF($B30="","",SUMIFS('الحركات الشهرية'!$I$6:$I$1005,'الحركات الشهرية'!$B$6:$B$1005,$B30,'الحركات الشهرية'!$A$6:$A$1005,$C$3))</f>
        <v/>
      </c>
      <c r="U30" s="86" t="str">
        <f aca="false">IF($B30="","",SUMIFS('الحركات الشهرية'!$J$6:$J$1005,'الحركات الشهرية'!$B$6:$B$1005,$B30,'الحركات الشهرية'!$A$6:$A$1005,$C$3))</f>
        <v/>
      </c>
      <c r="V30" s="86" t="str">
        <f aca="false">IF($B30="","",SUM(S30:U30))</f>
        <v/>
      </c>
      <c r="W30" s="107" t="str">
        <f aca="false">IF($B30="","",R30-V30)</f>
        <v/>
      </c>
      <c r="X30" s="86" t="str">
        <f aca="false">IF($B30="","",الموظفون!$Q30*IF(E30="سعودي",cfg_G_SR,cfg_G_NR)*F30/cfg_DAYS_M)</f>
        <v/>
      </c>
      <c r="Y30" s="86" t="str">
        <f aca="false">IF($B30="","",الموظفون!$O30*(cfg_EOS_R1*(MIN(AC30,cfg_EOS_TH)-MIN(AD30,cfg_EOS_TH))+cfg_EOS_R2*(MAX(AC30-cfg_EOS_TH,0)-MAX(AD30-cfg_EOS_TH,0))))</f>
        <v/>
      </c>
      <c r="Z30" s="86" t="str">
        <f aca="false">IF($B30="","",IF(الموظفون!$R30&lt;&gt;"",الموظفون!$R30,IF(AC30&gt;=cfg_LV_TH,cfg_LV_D2,cfg_LV_D1))/cfg_DAYS_Y*AE30*الموظفون!$P30/cfg_DAYS_M)</f>
        <v/>
      </c>
      <c r="AA30" s="86" t="str">
        <f aca="false">IF($B30="","",IF(AND(الموظفون!$S30="نعم",N(الموظفون!$U30)&gt;0),الموظفون!$T30/الموظفون!$U30*12/cfg_DAYS_Y*AE30,0))</f>
        <v/>
      </c>
      <c r="AB30" s="108" t="str">
        <f aca="false">IF($B30="","",R30+SUM(X30:AA30))</f>
        <v/>
      </c>
      <c r="AC30" s="109" t="str">
        <f aca="false">IF($B30="","",MAX(0,IF(OR(الموظفون!$X30="",الموظفون!$X30&gt;$G$3),$G$3,الموظفون!$X30)-الموظفون!$H30+1)/cfg_DAYS_Y)</f>
        <v/>
      </c>
      <c r="AD30" s="109" t="str">
        <f aca="false">IF($B30="","",MAX(0,IF(OR(الموظفون!$X30="",الموظفون!$X30&gt;($E$3-1)),($E$3-1),الموظفون!$X30)-الموظفون!$H30+1)/cfg_DAYS_Y)</f>
        <v/>
      </c>
      <c r="AE30" s="51" t="str">
        <f aca="false">IF($B30="","",MAX(0,IF(OR(الموظفون!$X30="",الموظفون!$X30&gt;$G$3),$G$3,الموظفون!$X30)-MAX($E$3,الموظفون!$H30)+1))</f>
        <v/>
      </c>
    </row>
    <row r="31" customFormat="false" ht="15" hidden="false" customHeight="false" outlineLevel="0" collapsed="false">
      <c r="A31" s="89" t="str">
        <f aca="false">IF($B31="","",الموظفون!$A31)</f>
        <v/>
      </c>
      <c r="B31" s="91" t="str">
        <f aca="false">IF(الموظفون!$B31="","",الموظفون!$B31)</f>
        <v/>
      </c>
      <c r="C31" s="91" t="str">
        <f aca="false">IF($B31="","",الموظفون!$C31)</f>
        <v/>
      </c>
      <c r="D31" s="91" t="str">
        <f aca="false">IF($B31="","",الموظفون!$F31)</f>
        <v/>
      </c>
      <c r="E31" s="91" t="str">
        <f aca="false">IF($B31="","",الموظفون!$E31)</f>
        <v/>
      </c>
      <c r="F31" s="110" t="str">
        <f aca="false">IF($B31="","",IF(AE31&gt;=DAY($G$3),cfg_DAYS_M,MIN(AE31,cfg_DAYS_M)))</f>
        <v/>
      </c>
      <c r="G31" s="110" t="str">
        <f aca="false">IF($B31="","",SUMIFS('الحركات الشهرية'!$D$6:$D$1005,'الحركات الشهرية'!$B$6:$B$1005,$B31,'الحركات الشهرية'!$A$6:$A$1005,$C$3))</f>
        <v/>
      </c>
      <c r="H31" s="110" t="str">
        <f aca="false">IF($B31="","",SUMIFS('الحركات الشهرية'!$E$6:$E$1005,'الحركات الشهرية'!$B$6:$B$1005,$B31,'الحركات الشهرية'!$A$6:$A$1005,$C$3))</f>
        <v/>
      </c>
      <c r="I31" s="110" t="str">
        <f aca="false">IF($B31="","",MAX(0,F31-G31-H31))</f>
        <v/>
      </c>
      <c r="J31" s="90" t="str">
        <f aca="false">IF($B31="","",الموظفون!$J31*$I31/cfg_DAYS_M)</f>
        <v/>
      </c>
      <c r="K31" s="90" t="str">
        <f aca="false">IF($B31="","",الموظفون!$K31*$I31/cfg_DAYS_M)</f>
        <v/>
      </c>
      <c r="L31" s="90" t="str">
        <f aca="false">IF($B31="","",الموظفون!$L31*$I31/cfg_DAYS_M)</f>
        <v/>
      </c>
      <c r="M31" s="90" t="str">
        <f aca="false">IF($B31="","",الموظفون!$M31*$I31/cfg_DAYS_M)</f>
        <v/>
      </c>
      <c r="N31" s="110" t="str">
        <f aca="false">IF($B31="","",SUMIFS('الحركات الشهرية'!$F$6:$F$1005,'الحركات الشهرية'!$B$6:$B$1005,$B31,'الحركات الشهرية'!$A$6:$A$1005,$C$3))</f>
        <v/>
      </c>
      <c r="O31" s="90" t="str">
        <f aca="false">IF($B31="","",N31*(الموظفون!$N31+الموظفون!$J31*cfg_OT_P)/cfg_DAYS_M/cfg_HRS)</f>
        <v/>
      </c>
      <c r="P31" s="90" t="str">
        <f aca="false">IF($B31="","",SUMIFS('الحركات الشهرية'!$G$6:$G$1005,'الحركات الشهرية'!$B$6:$B$1005,$B31,'الحركات الشهرية'!$A$6:$A$1005,$C$3))</f>
        <v/>
      </c>
      <c r="Q31" s="90" t="str">
        <f aca="false">IF($B31="","",SUMIFS('الحركات الشهرية'!$H$6:$H$1005,'الحركات الشهرية'!$B$6:$B$1005,$B31,'الحركات الشهرية'!$A$6:$A$1005,$C$3))</f>
        <v/>
      </c>
      <c r="R31" s="111" t="str">
        <f aca="false">IF($B31="","",SUM(J31:M31)+SUM(O31:Q31))</f>
        <v/>
      </c>
      <c r="S31" s="90" t="str">
        <f aca="false">IF($B31="","",الموظفون!$Q31*IF(E31="سعودي",cfg_G_SE,cfg_G_NE)*F31/cfg_DAYS_M)</f>
        <v/>
      </c>
      <c r="T31" s="90" t="str">
        <f aca="false">IF($B31="","",SUMIFS('الحركات الشهرية'!$I$6:$I$1005,'الحركات الشهرية'!$B$6:$B$1005,$B31,'الحركات الشهرية'!$A$6:$A$1005,$C$3))</f>
        <v/>
      </c>
      <c r="U31" s="90" t="str">
        <f aca="false">IF($B31="","",SUMIFS('الحركات الشهرية'!$J$6:$J$1005,'الحركات الشهرية'!$B$6:$B$1005,$B31,'الحركات الشهرية'!$A$6:$A$1005,$C$3))</f>
        <v/>
      </c>
      <c r="V31" s="90" t="str">
        <f aca="false">IF($B31="","",SUM(S31:U31))</f>
        <v/>
      </c>
      <c r="W31" s="112" t="str">
        <f aca="false">IF($B31="","",R31-V31)</f>
        <v/>
      </c>
      <c r="X31" s="90" t="str">
        <f aca="false">IF($B31="","",الموظفون!$Q31*IF(E31="سعودي",cfg_G_SR,cfg_G_NR)*F31/cfg_DAYS_M)</f>
        <v/>
      </c>
      <c r="Y31" s="90" t="str">
        <f aca="false">IF($B31="","",الموظفون!$O31*(cfg_EOS_R1*(MIN(AC31,cfg_EOS_TH)-MIN(AD31,cfg_EOS_TH))+cfg_EOS_R2*(MAX(AC31-cfg_EOS_TH,0)-MAX(AD31-cfg_EOS_TH,0))))</f>
        <v/>
      </c>
      <c r="Z31" s="90" t="str">
        <f aca="false">IF($B31="","",IF(الموظفون!$R31&lt;&gt;"",الموظفون!$R31,IF(AC31&gt;=cfg_LV_TH,cfg_LV_D2,cfg_LV_D1))/cfg_DAYS_Y*AE31*الموظفون!$P31/cfg_DAYS_M)</f>
        <v/>
      </c>
      <c r="AA31" s="90" t="str">
        <f aca="false">IF($B31="","",IF(AND(الموظفون!$S31="نعم",N(الموظفون!$U31)&gt;0),الموظفون!$T31/الموظفون!$U31*12/cfg_DAYS_Y*AE31,0))</f>
        <v/>
      </c>
      <c r="AB31" s="113" t="str">
        <f aca="false">IF($B31="","",R31+SUM(X31:AA31))</f>
        <v/>
      </c>
      <c r="AC31" s="114" t="str">
        <f aca="false">IF($B31="","",MAX(0,IF(OR(الموظفون!$X31="",الموظفون!$X31&gt;$G$3),$G$3,الموظفون!$X31)-الموظفون!$H31+1)/cfg_DAYS_Y)</f>
        <v/>
      </c>
      <c r="AD31" s="114" t="str">
        <f aca="false">IF($B31="","",MAX(0,IF(OR(الموظفون!$X31="",الموظفون!$X31&gt;($E$3-1)),($E$3-1),الموظفون!$X31)-الموظفون!$H31+1)/cfg_DAYS_Y)</f>
        <v/>
      </c>
      <c r="AE31" s="115" t="str">
        <f aca="false">IF($B31="","",MAX(0,IF(OR(الموظفون!$X31="",الموظفون!$X31&gt;$G$3),$G$3,الموظفون!$X31)-MAX($E$3,الموظفون!$H31)+1))</f>
        <v/>
      </c>
    </row>
    <row r="32" customFormat="false" ht="15" hidden="false" customHeight="false" outlineLevel="0" collapsed="false">
      <c r="A32" s="83" t="str">
        <f aca="false">IF($B32="","",الموظفون!$A32)</f>
        <v/>
      </c>
      <c r="B32" s="74" t="str">
        <f aca="false">IF(الموظفون!$B32="","",الموظفون!$B32)</f>
        <v/>
      </c>
      <c r="C32" s="74" t="str">
        <f aca="false">IF($B32="","",الموظفون!$C32)</f>
        <v/>
      </c>
      <c r="D32" s="74" t="str">
        <f aca="false">IF($B32="","",الموظفون!$F32)</f>
        <v/>
      </c>
      <c r="E32" s="74" t="str">
        <f aca="false">IF($B32="","",الموظفون!$E32)</f>
        <v/>
      </c>
      <c r="F32" s="105" t="str">
        <f aca="false">IF($B32="","",IF(AE32&gt;=DAY($G$3),cfg_DAYS_M,MIN(AE32,cfg_DAYS_M)))</f>
        <v/>
      </c>
      <c r="G32" s="105" t="str">
        <f aca="false">IF($B32="","",SUMIFS('الحركات الشهرية'!$D$6:$D$1005,'الحركات الشهرية'!$B$6:$B$1005,$B32,'الحركات الشهرية'!$A$6:$A$1005,$C$3))</f>
        <v/>
      </c>
      <c r="H32" s="105" t="str">
        <f aca="false">IF($B32="","",SUMIFS('الحركات الشهرية'!$E$6:$E$1005,'الحركات الشهرية'!$B$6:$B$1005,$B32,'الحركات الشهرية'!$A$6:$A$1005,$C$3))</f>
        <v/>
      </c>
      <c r="I32" s="105" t="str">
        <f aca="false">IF($B32="","",MAX(0,F32-G32-H32))</f>
        <v/>
      </c>
      <c r="J32" s="86" t="str">
        <f aca="false">IF($B32="","",الموظفون!$J32*$I32/cfg_DAYS_M)</f>
        <v/>
      </c>
      <c r="K32" s="86" t="str">
        <f aca="false">IF($B32="","",الموظفون!$K32*$I32/cfg_DAYS_M)</f>
        <v/>
      </c>
      <c r="L32" s="86" t="str">
        <f aca="false">IF($B32="","",الموظفون!$L32*$I32/cfg_DAYS_M)</f>
        <v/>
      </c>
      <c r="M32" s="86" t="str">
        <f aca="false">IF($B32="","",الموظفون!$M32*$I32/cfg_DAYS_M)</f>
        <v/>
      </c>
      <c r="N32" s="105" t="str">
        <f aca="false">IF($B32="","",SUMIFS('الحركات الشهرية'!$F$6:$F$1005,'الحركات الشهرية'!$B$6:$B$1005,$B32,'الحركات الشهرية'!$A$6:$A$1005,$C$3))</f>
        <v/>
      </c>
      <c r="O32" s="86" t="str">
        <f aca="false">IF($B32="","",N32*(الموظفون!$N32+الموظفون!$J32*cfg_OT_P)/cfg_DAYS_M/cfg_HRS)</f>
        <v/>
      </c>
      <c r="P32" s="86" t="str">
        <f aca="false">IF($B32="","",SUMIFS('الحركات الشهرية'!$G$6:$G$1005,'الحركات الشهرية'!$B$6:$B$1005,$B32,'الحركات الشهرية'!$A$6:$A$1005,$C$3))</f>
        <v/>
      </c>
      <c r="Q32" s="86" t="str">
        <f aca="false">IF($B32="","",SUMIFS('الحركات الشهرية'!$H$6:$H$1005,'الحركات الشهرية'!$B$6:$B$1005,$B32,'الحركات الشهرية'!$A$6:$A$1005,$C$3))</f>
        <v/>
      </c>
      <c r="R32" s="106" t="str">
        <f aca="false">IF($B32="","",SUM(J32:M32)+SUM(O32:Q32))</f>
        <v/>
      </c>
      <c r="S32" s="86" t="str">
        <f aca="false">IF($B32="","",الموظفون!$Q32*IF(E32="سعودي",cfg_G_SE,cfg_G_NE)*F32/cfg_DAYS_M)</f>
        <v/>
      </c>
      <c r="T32" s="86" t="str">
        <f aca="false">IF($B32="","",SUMIFS('الحركات الشهرية'!$I$6:$I$1005,'الحركات الشهرية'!$B$6:$B$1005,$B32,'الحركات الشهرية'!$A$6:$A$1005,$C$3))</f>
        <v/>
      </c>
      <c r="U32" s="86" t="str">
        <f aca="false">IF($B32="","",SUMIFS('الحركات الشهرية'!$J$6:$J$1005,'الحركات الشهرية'!$B$6:$B$1005,$B32,'الحركات الشهرية'!$A$6:$A$1005,$C$3))</f>
        <v/>
      </c>
      <c r="V32" s="86" t="str">
        <f aca="false">IF($B32="","",SUM(S32:U32))</f>
        <v/>
      </c>
      <c r="W32" s="107" t="str">
        <f aca="false">IF($B32="","",R32-V32)</f>
        <v/>
      </c>
      <c r="X32" s="86" t="str">
        <f aca="false">IF($B32="","",الموظفون!$Q32*IF(E32="سعودي",cfg_G_SR,cfg_G_NR)*F32/cfg_DAYS_M)</f>
        <v/>
      </c>
      <c r="Y32" s="86" t="str">
        <f aca="false">IF($B32="","",الموظفون!$O32*(cfg_EOS_R1*(MIN(AC32,cfg_EOS_TH)-MIN(AD32,cfg_EOS_TH))+cfg_EOS_R2*(MAX(AC32-cfg_EOS_TH,0)-MAX(AD32-cfg_EOS_TH,0))))</f>
        <v/>
      </c>
      <c r="Z32" s="86" t="str">
        <f aca="false">IF($B32="","",IF(الموظفون!$R32&lt;&gt;"",الموظفون!$R32,IF(AC32&gt;=cfg_LV_TH,cfg_LV_D2,cfg_LV_D1))/cfg_DAYS_Y*AE32*الموظفون!$P32/cfg_DAYS_M)</f>
        <v/>
      </c>
      <c r="AA32" s="86" t="str">
        <f aca="false">IF($B32="","",IF(AND(الموظفون!$S32="نعم",N(الموظفون!$U32)&gt;0),الموظفون!$T32/الموظفون!$U32*12/cfg_DAYS_Y*AE32,0))</f>
        <v/>
      </c>
      <c r="AB32" s="108" t="str">
        <f aca="false">IF($B32="","",R32+SUM(X32:AA32))</f>
        <v/>
      </c>
      <c r="AC32" s="109" t="str">
        <f aca="false">IF($B32="","",MAX(0,IF(OR(الموظفون!$X32="",الموظفون!$X32&gt;$G$3),$G$3,الموظفون!$X32)-الموظفون!$H32+1)/cfg_DAYS_Y)</f>
        <v/>
      </c>
      <c r="AD32" s="109" t="str">
        <f aca="false">IF($B32="","",MAX(0,IF(OR(الموظفون!$X32="",الموظفون!$X32&gt;($E$3-1)),($E$3-1),الموظفون!$X32)-الموظفون!$H32+1)/cfg_DAYS_Y)</f>
        <v/>
      </c>
      <c r="AE32" s="51" t="str">
        <f aca="false">IF($B32="","",MAX(0,IF(OR(الموظفون!$X32="",الموظفون!$X32&gt;$G$3),$G$3,الموظفون!$X32)-MAX($E$3,الموظفون!$H32)+1))</f>
        <v/>
      </c>
    </row>
    <row r="33" customFormat="false" ht="15" hidden="false" customHeight="false" outlineLevel="0" collapsed="false">
      <c r="A33" s="89" t="str">
        <f aca="false">IF($B33="","",الموظفون!$A33)</f>
        <v/>
      </c>
      <c r="B33" s="91" t="str">
        <f aca="false">IF(الموظفون!$B33="","",الموظفون!$B33)</f>
        <v/>
      </c>
      <c r="C33" s="91" t="str">
        <f aca="false">IF($B33="","",الموظفون!$C33)</f>
        <v/>
      </c>
      <c r="D33" s="91" t="str">
        <f aca="false">IF($B33="","",الموظفون!$F33)</f>
        <v/>
      </c>
      <c r="E33" s="91" t="str">
        <f aca="false">IF($B33="","",الموظفون!$E33)</f>
        <v/>
      </c>
      <c r="F33" s="110" t="str">
        <f aca="false">IF($B33="","",IF(AE33&gt;=DAY($G$3),cfg_DAYS_M,MIN(AE33,cfg_DAYS_M)))</f>
        <v/>
      </c>
      <c r="G33" s="110" t="str">
        <f aca="false">IF($B33="","",SUMIFS('الحركات الشهرية'!$D$6:$D$1005,'الحركات الشهرية'!$B$6:$B$1005,$B33,'الحركات الشهرية'!$A$6:$A$1005,$C$3))</f>
        <v/>
      </c>
      <c r="H33" s="110" t="str">
        <f aca="false">IF($B33="","",SUMIFS('الحركات الشهرية'!$E$6:$E$1005,'الحركات الشهرية'!$B$6:$B$1005,$B33,'الحركات الشهرية'!$A$6:$A$1005,$C$3))</f>
        <v/>
      </c>
      <c r="I33" s="110" t="str">
        <f aca="false">IF($B33="","",MAX(0,F33-G33-H33))</f>
        <v/>
      </c>
      <c r="J33" s="90" t="str">
        <f aca="false">IF($B33="","",الموظفون!$J33*$I33/cfg_DAYS_M)</f>
        <v/>
      </c>
      <c r="K33" s="90" t="str">
        <f aca="false">IF($B33="","",الموظفون!$K33*$I33/cfg_DAYS_M)</f>
        <v/>
      </c>
      <c r="L33" s="90" t="str">
        <f aca="false">IF($B33="","",الموظفون!$L33*$I33/cfg_DAYS_M)</f>
        <v/>
      </c>
      <c r="M33" s="90" t="str">
        <f aca="false">IF($B33="","",الموظفون!$M33*$I33/cfg_DAYS_M)</f>
        <v/>
      </c>
      <c r="N33" s="110" t="str">
        <f aca="false">IF($B33="","",SUMIFS('الحركات الشهرية'!$F$6:$F$1005,'الحركات الشهرية'!$B$6:$B$1005,$B33,'الحركات الشهرية'!$A$6:$A$1005,$C$3))</f>
        <v/>
      </c>
      <c r="O33" s="90" t="str">
        <f aca="false">IF($B33="","",N33*(الموظفون!$N33+الموظفون!$J33*cfg_OT_P)/cfg_DAYS_M/cfg_HRS)</f>
        <v/>
      </c>
      <c r="P33" s="90" t="str">
        <f aca="false">IF($B33="","",SUMIFS('الحركات الشهرية'!$G$6:$G$1005,'الحركات الشهرية'!$B$6:$B$1005,$B33,'الحركات الشهرية'!$A$6:$A$1005,$C$3))</f>
        <v/>
      </c>
      <c r="Q33" s="90" t="str">
        <f aca="false">IF($B33="","",SUMIFS('الحركات الشهرية'!$H$6:$H$1005,'الحركات الشهرية'!$B$6:$B$1005,$B33,'الحركات الشهرية'!$A$6:$A$1005,$C$3))</f>
        <v/>
      </c>
      <c r="R33" s="111" t="str">
        <f aca="false">IF($B33="","",SUM(J33:M33)+SUM(O33:Q33))</f>
        <v/>
      </c>
      <c r="S33" s="90" t="str">
        <f aca="false">IF($B33="","",الموظفون!$Q33*IF(E33="سعودي",cfg_G_SE,cfg_G_NE)*F33/cfg_DAYS_M)</f>
        <v/>
      </c>
      <c r="T33" s="90" t="str">
        <f aca="false">IF($B33="","",SUMIFS('الحركات الشهرية'!$I$6:$I$1005,'الحركات الشهرية'!$B$6:$B$1005,$B33,'الحركات الشهرية'!$A$6:$A$1005,$C$3))</f>
        <v/>
      </c>
      <c r="U33" s="90" t="str">
        <f aca="false">IF($B33="","",SUMIFS('الحركات الشهرية'!$J$6:$J$1005,'الحركات الشهرية'!$B$6:$B$1005,$B33,'الحركات الشهرية'!$A$6:$A$1005,$C$3))</f>
        <v/>
      </c>
      <c r="V33" s="90" t="str">
        <f aca="false">IF($B33="","",SUM(S33:U33))</f>
        <v/>
      </c>
      <c r="W33" s="112" t="str">
        <f aca="false">IF($B33="","",R33-V33)</f>
        <v/>
      </c>
      <c r="X33" s="90" t="str">
        <f aca="false">IF($B33="","",الموظفون!$Q33*IF(E33="سعودي",cfg_G_SR,cfg_G_NR)*F33/cfg_DAYS_M)</f>
        <v/>
      </c>
      <c r="Y33" s="90" t="str">
        <f aca="false">IF($B33="","",الموظفون!$O33*(cfg_EOS_R1*(MIN(AC33,cfg_EOS_TH)-MIN(AD33,cfg_EOS_TH))+cfg_EOS_R2*(MAX(AC33-cfg_EOS_TH,0)-MAX(AD33-cfg_EOS_TH,0))))</f>
        <v/>
      </c>
      <c r="Z33" s="90" t="str">
        <f aca="false">IF($B33="","",IF(الموظفون!$R33&lt;&gt;"",الموظفون!$R33,IF(AC33&gt;=cfg_LV_TH,cfg_LV_D2,cfg_LV_D1))/cfg_DAYS_Y*AE33*الموظفون!$P33/cfg_DAYS_M)</f>
        <v/>
      </c>
      <c r="AA33" s="90" t="str">
        <f aca="false">IF($B33="","",IF(AND(الموظفون!$S33="نعم",N(الموظفون!$U33)&gt;0),الموظفون!$T33/الموظفون!$U33*12/cfg_DAYS_Y*AE33,0))</f>
        <v/>
      </c>
      <c r="AB33" s="113" t="str">
        <f aca="false">IF($B33="","",R33+SUM(X33:AA33))</f>
        <v/>
      </c>
      <c r="AC33" s="114" t="str">
        <f aca="false">IF($B33="","",MAX(0,IF(OR(الموظفون!$X33="",الموظفون!$X33&gt;$G$3),$G$3,الموظفون!$X33)-الموظفون!$H33+1)/cfg_DAYS_Y)</f>
        <v/>
      </c>
      <c r="AD33" s="114" t="str">
        <f aca="false">IF($B33="","",MAX(0,IF(OR(الموظفون!$X33="",الموظفون!$X33&gt;($E$3-1)),($E$3-1),الموظفون!$X33)-الموظفون!$H33+1)/cfg_DAYS_Y)</f>
        <v/>
      </c>
      <c r="AE33" s="115" t="str">
        <f aca="false">IF($B33="","",MAX(0,IF(OR(الموظفون!$X33="",الموظفون!$X33&gt;$G$3),$G$3,الموظفون!$X33)-MAX($E$3,الموظفون!$H33)+1))</f>
        <v/>
      </c>
    </row>
    <row r="34" customFormat="false" ht="15" hidden="false" customHeight="false" outlineLevel="0" collapsed="false">
      <c r="A34" s="83" t="str">
        <f aca="false">IF($B34="","",الموظفون!$A34)</f>
        <v/>
      </c>
      <c r="B34" s="74" t="str">
        <f aca="false">IF(الموظفون!$B34="","",الموظفون!$B34)</f>
        <v/>
      </c>
      <c r="C34" s="74" t="str">
        <f aca="false">IF($B34="","",الموظفون!$C34)</f>
        <v/>
      </c>
      <c r="D34" s="74" t="str">
        <f aca="false">IF($B34="","",الموظفون!$F34)</f>
        <v/>
      </c>
      <c r="E34" s="74" t="str">
        <f aca="false">IF($B34="","",الموظفون!$E34)</f>
        <v/>
      </c>
      <c r="F34" s="105" t="str">
        <f aca="false">IF($B34="","",IF(AE34&gt;=DAY($G$3),cfg_DAYS_M,MIN(AE34,cfg_DAYS_M)))</f>
        <v/>
      </c>
      <c r="G34" s="105" t="str">
        <f aca="false">IF($B34="","",SUMIFS('الحركات الشهرية'!$D$6:$D$1005,'الحركات الشهرية'!$B$6:$B$1005,$B34,'الحركات الشهرية'!$A$6:$A$1005,$C$3))</f>
        <v/>
      </c>
      <c r="H34" s="105" t="str">
        <f aca="false">IF($B34="","",SUMIFS('الحركات الشهرية'!$E$6:$E$1005,'الحركات الشهرية'!$B$6:$B$1005,$B34,'الحركات الشهرية'!$A$6:$A$1005,$C$3))</f>
        <v/>
      </c>
      <c r="I34" s="105" t="str">
        <f aca="false">IF($B34="","",MAX(0,F34-G34-H34))</f>
        <v/>
      </c>
      <c r="J34" s="86" t="str">
        <f aca="false">IF($B34="","",الموظفون!$J34*$I34/cfg_DAYS_M)</f>
        <v/>
      </c>
      <c r="K34" s="86" t="str">
        <f aca="false">IF($B34="","",الموظفون!$K34*$I34/cfg_DAYS_M)</f>
        <v/>
      </c>
      <c r="L34" s="86" t="str">
        <f aca="false">IF($B34="","",الموظفون!$L34*$I34/cfg_DAYS_M)</f>
        <v/>
      </c>
      <c r="M34" s="86" t="str">
        <f aca="false">IF($B34="","",الموظفون!$M34*$I34/cfg_DAYS_M)</f>
        <v/>
      </c>
      <c r="N34" s="105" t="str">
        <f aca="false">IF($B34="","",SUMIFS('الحركات الشهرية'!$F$6:$F$1005,'الحركات الشهرية'!$B$6:$B$1005,$B34,'الحركات الشهرية'!$A$6:$A$1005,$C$3))</f>
        <v/>
      </c>
      <c r="O34" s="86" t="str">
        <f aca="false">IF($B34="","",N34*(الموظفون!$N34+الموظفون!$J34*cfg_OT_P)/cfg_DAYS_M/cfg_HRS)</f>
        <v/>
      </c>
      <c r="P34" s="86" t="str">
        <f aca="false">IF($B34="","",SUMIFS('الحركات الشهرية'!$G$6:$G$1005,'الحركات الشهرية'!$B$6:$B$1005,$B34,'الحركات الشهرية'!$A$6:$A$1005,$C$3))</f>
        <v/>
      </c>
      <c r="Q34" s="86" t="str">
        <f aca="false">IF($B34="","",SUMIFS('الحركات الشهرية'!$H$6:$H$1005,'الحركات الشهرية'!$B$6:$B$1005,$B34,'الحركات الشهرية'!$A$6:$A$1005,$C$3))</f>
        <v/>
      </c>
      <c r="R34" s="106" t="str">
        <f aca="false">IF($B34="","",SUM(J34:M34)+SUM(O34:Q34))</f>
        <v/>
      </c>
      <c r="S34" s="86" t="str">
        <f aca="false">IF($B34="","",الموظفون!$Q34*IF(E34="سعودي",cfg_G_SE,cfg_G_NE)*F34/cfg_DAYS_M)</f>
        <v/>
      </c>
      <c r="T34" s="86" t="str">
        <f aca="false">IF($B34="","",SUMIFS('الحركات الشهرية'!$I$6:$I$1005,'الحركات الشهرية'!$B$6:$B$1005,$B34,'الحركات الشهرية'!$A$6:$A$1005,$C$3))</f>
        <v/>
      </c>
      <c r="U34" s="86" t="str">
        <f aca="false">IF($B34="","",SUMIFS('الحركات الشهرية'!$J$6:$J$1005,'الحركات الشهرية'!$B$6:$B$1005,$B34,'الحركات الشهرية'!$A$6:$A$1005,$C$3))</f>
        <v/>
      </c>
      <c r="V34" s="86" t="str">
        <f aca="false">IF($B34="","",SUM(S34:U34))</f>
        <v/>
      </c>
      <c r="W34" s="107" t="str">
        <f aca="false">IF($B34="","",R34-V34)</f>
        <v/>
      </c>
      <c r="X34" s="86" t="str">
        <f aca="false">IF($B34="","",الموظفون!$Q34*IF(E34="سعودي",cfg_G_SR,cfg_G_NR)*F34/cfg_DAYS_M)</f>
        <v/>
      </c>
      <c r="Y34" s="86" t="str">
        <f aca="false">IF($B34="","",الموظفون!$O34*(cfg_EOS_R1*(MIN(AC34,cfg_EOS_TH)-MIN(AD34,cfg_EOS_TH))+cfg_EOS_R2*(MAX(AC34-cfg_EOS_TH,0)-MAX(AD34-cfg_EOS_TH,0))))</f>
        <v/>
      </c>
      <c r="Z34" s="86" t="str">
        <f aca="false">IF($B34="","",IF(الموظفون!$R34&lt;&gt;"",الموظفون!$R34,IF(AC34&gt;=cfg_LV_TH,cfg_LV_D2,cfg_LV_D1))/cfg_DAYS_Y*AE34*الموظفون!$P34/cfg_DAYS_M)</f>
        <v/>
      </c>
      <c r="AA34" s="86" t="str">
        <f aca="false">IF($B34="","",IF(AND(الموظفون!$S34="نعم",N(الموظفون!$U34)&gt;0),الموظفون!$T34/الموظفون!$U34*12/cfg_DAYS_Y*AE34,0))</f>
        <v/>
      </c>
      <c r="AB34" s="108" t="str">
        <f aca="false">IF($B34="","",R34+SUM(X34:AA34))</f>
        <v/>
      </c>
      <c r="AC34" s="109" t="str">
        <f aca="false">IF($B34="","",MAX(0,IF(OR(الموظفون!$X34="",الموظفون!$X34&gt;$G$3),$G$3,الموظفون!$X34)-الموظفون!$H34+1)/cfg_DAYS_Y)</f>
        <v/>
      </c>
      <c r="AD34" s="109" t="str">
        <f aca="false">IF($B34="","",MAX(0,IF(OR(الموظفون!$X34="",الموظفون!$X34&gt;($E$3-1)),($E$3-1),الموظفون!$X34)-الموظفون!$H34+1)/cfg_DAYS_Y)</f>
        <v/>
      </c>
      <c r="AE34" s="51" t="str">
        <f aca="false">IF($B34="","",MAX(0,IF(OR(الموظفون!$X34="",الموظفون!$X34&gt;$G$3),$G$3,الموظفون!$X34)-MAX($E$3,الموظفون!$H34)+1))</f>
        <v/>
      </c>
    </row>
    <row r="35" customFormat="false" ht="15" hidden="false" customHeight="false" outlineLevel="0" collapsed="false">
      <c r="A35" s="89" t="str">
        <f aca="false">IF($B35="","",الموظفون!$A35)</f>
        <v/>
      </c>
      <c r="B35" s="91" t="str">
        <f aca="false">IF(الموظفون!$B35="","",الموظفون!$B35)</f>
        <v/>
      </c>
      <c r="C35" s="91" t="str">
        <f aca="false">IF($B35="","",الموظفون!$C35)</f>
        <v/>
      </c>
      <c r="D35" s="91" t="str">
        <f aca="false">IF($B35="","",الموظفون!$F35)</f>
        <v/>
      </c>
      <c r="E35" s="91" t="str">
        <f aca="false">IF($B35="","",الموظفون!$E35)</f>
        <v/>
      </c>
      <c r="F35" s="110" t="str">
        <f aca="false">IF($B35="","",IF(AE35&gt;=DAY($G$3),cfg_DAYS_M,MIN(AE35,cfg_DAYS_M)))</f>
        <v/>
      </c>
      <c r="G35" s="110" t="str">
        <f aca="false">IF($B35="","",SUMIFS('الحركات الشهرية'!$D$6:$D$1005,'الحركات الشهرية'!$B$6:$B$1005,$B35,'الحركات الشهرية'!$A$6:$A$1005,$C$3))</f>
        <v/>
      </c>
      <c r="H35" s="110" t="str">
        <f aca="false">IF($B35="","",SUMIFS('الحركات الشهرية'!$E$6:$E$1005,'الحركات الشهرية'!$B$6:$B$1005,$B35,'الحركات الشهرية'!$A$6:$A$1005,$C$3))</f>
        <v/>
      </c>
      <c r="I35" s="110" t="str">
        <f aca="false">IF($B35="","",MAX(0,F35-G35-H35))</f>
        <v/>
      </c>
      <c r="J35" s="90" t="str">
        <f aca="false">IF($B35="","",الموظفون!$J35*$I35/cfg_DAYS_M)</f>
        <v/>
      </c>
      <c r="K35" s="90" t="str">
        <f aca="false">IF($B35="","",الموظفون!$K35*$I35/cfg_DAYS_M)</f>
        <v/>
      </c>
      <c r="L35" s="90" t="str">
        <f aca="false">IF($B35="","",الموظفون!$L35*$I35/cfg_DAYS_M)</f>
        <v/>
      </c>
      <c r="M35" s="90" t="str">
        <f aca="false">IF($B35="","",الموظفون!$M35*$I35/cfg_DAYS_M)</f>
        <v/>
      </c>
      <c r="N35" s="110" t="str">
        <f aca="false">IF($B35="","",SUMIFS('الحركات الشهرية'!$F$6:$F$1005,'الحركات الشهرية'!$B$6:$B$1005,$B35,'الحركات الشهرية'!$A$6:$A$1005,$C$3))</f>
        <v/>
      </c>
      <c r="O35" s="90" t="str">
        <f aca="false">IF($B35="","",N35*(الموظفون!$N35+الموظفون!$J35*cfg_OT_P)/cfg_DAYS_M/cfg_HRS)</f>
        <v/>
      </c>
      <c r="P35" s="90" t="str">
        <f aca="false">IF($B35="","",SUMIFS('الحركات الشهرية'!$G$6:$G$1005,'الحركات الشهرية'!$B$6:$B$1005,$B35,'الحركات الشهرية'!$A$6:$A$1005,$C$3))</f>
        <v/>
      </c>
      <c r="Q35" s="90" t="str">
        <f aca="false">IF($B35="","",SUMIFS('الحركات الشهرية'!$H$6:$H$1005,'الحركات الشهرية'!$B$6:$B$1005,$B35,'الحركات الشهرية'!$A$6:$A$1005,$C$3))</f>
        <v/>
      </c>
      <c r="R35" s="111" t="str">
        <f aca="false">IF($B35="","",SUM(J35:M35)+SUM(O35:Q35))</f>
        <v/>
      </c>
      <c r="S35" s="90" t="str">
        <f aca="false">IF($B35="","",الموظفون!$Q35*IF(E35="سعودي",cfg_G_SE,cfg_G_NE)*F35/cfg_DAYS_M)</f>
        <v/>
      </c>
      <c r="T35" s="90" t="str">
        <f aca="false">IF($B35="","",SUMIFS('الحركات الشهرية'!$I$6:$I$1005,'الحركات الشهرية'!$B$6:$B$1005,$B35,'الحركات الشهرية'!$A$6:$A$1005,$C$3))</f>
        <v/>
      </c>
      <c r="U35" s="90" t="str">
        <f aca="false">IF($B35="","",SUMIFS('الحركات الشهرية'!$J$6:$J$1005,'الحركات الشهرية'!$B$6:$B$1005,$B35,'الحركات الشهرية'!$A$6:$A$1005,$C$3))</f>
        <v/>
      </c>
      <c r="V35" s="90" t="str">
        <f aca="false">IF($B35="","",SUM(S35:U35))</f>
        <v/>
      </c>
      <c r="W35" s="112" t="str">
        <f aca="false">IF($B35="","",R35-V35)</f>
        <v/>
      </c>
      <c r="X35" s="90" t="str">
        <f aca="false">IF($B35="","",الموظفون!$Q35*IF(E35="سعودي",cfg_G_SR,cfg_G_NR)*F35/cfg_DAYS_M)</f>
        <v/>
      </c>
      <c r="Y35" s="90" t="str">
        <f aca="false">IF($B35="","",الموظفون!$O35*(cfg_EOS_R1*(MIN(AC35,cfg_EOS_TH)-MIN(AD35,cfg_EOS_TH))+cfg_EOS_R2*(MAX(AC35-cfg_EOS_TH,0)-MAX(AD35-cfg_EOS_TH,0))))</f>
        <v/>
      </c>
      <c r="Z35" s="90" t="str">
        <f aca="false">IF($B35="","",IF(الموظفون!$R35&lt;&gt;"",الموظفون!$R35,IF(AC35&gt;=cfg_LV_TH,cfg_LV_D2,cfg_LV_D1))/cfg_DAYS_Y*AE35*الموظفون!$P35/cfg_DAYS_M)</f>
        <v/>
      </c>
      <c r="AA35" s="90" t="str">
        <f aca="false">IF($B35="","",IF(AND(الموظفون!$S35="نعم",N(الموظفون!$U35)&gt;0),الموظفون!$T35/الموظفون!$U35*12/cfg_DAYS_Y*AE35,0))</f>
        <v/>
      </c>
      <c r="AB35" s="113" t="str">
        <f aca="false">IF($B35="","",R35+SUM(X35:AA35))</f>
        <v/>
      </c>
      <c r="AC35" s="114" t="str">
        <f aca="false">IF($B35="","",MAX(0,IF(OR(الموظفون!$X35="",الموظفون!$X35&gt;$G$3),$G$3,الموظفون!$X35)-الموظفون!$H35+1)/cfg_DAYS_Y)</f>
        <v/>
      </c>
      <c r="AD35" s="114" t="str">
        <f aca="false">IF($B35="","",MAX(0,IF(OR(الموظفون!$X35="",الموظفون!$X35&gt;($E$3-1)),($E$3-1),الموظفون!$X35)-الموظفون!$H35+1)/cfg_DAYS_Y)</f>
        <v/>
      </c>
      <c r="AE35" s="115" t="str">
        <f aca="false">IF($B35="","",MAX(0,IF(OR(الموظفون!$X35="",الموظفون!$X35&gt;$G$3),$G$3,الموظفون!$X35)-MAX($E$3,الموظفون!$H35)+1))</f>
        <v/>
      </c>
    </row>
    <row r="36" customFormat="false" ht="15" hidden="false" customHeight="false" outlineLevel="0" collapsed="false">
      <c r="A36" s="83" t="str">
        <f aca="false">IF($B36="","",الموظفون!$A36)</f>
        <v/>
      </c>
      <c r="B36" s="74" t="str">
        <f aca="false">IF(الموظفون!$B36="","",الموظفون!$B36)</f>
        <v/>
      </c>
      <c r="C36" s="74" t="str">
        <f aca="false">IF($B36="","",الموظفون!$C36)</f>
        <v/>
      </c>
      <c r="D36" s="74" t="str">
        <f aca="false">IF($B36="","",الموظفون!$F36)</f>
        <v/>
      </c>
      <c r="E36" s="74" t="str">
        <f aca="false">IF($B36="","",الموظفون!$E36)</f>
        <v/>
      </c>
      <c r="F36" s="105" t="str">
        <f aca="false">IF($B36="","",IF(AE36&gt;=DAY($G$3),cfg_DAYS_M,MIN(AE36,cfg_DAYS_M)))</f>
        <v/>
      </c>
      <c r="G36" s="105" t="str">
        <f aca="false">IF($B36="","",SUMIFS('الحركات الشهرية'!$D$6:$D$1005,'الحركات الشهرية'!$B$6:$B$1005,$B36,'الحركات الشهرية'!$A$6:$A$1005,$C$3))</f>
        <v/>
      </c>
      <c r="H36" s="105" t="str">
        <f aca="false">IF($B36="","",SUMIFS('الحركات الشهرية'!$E$6:$E$1005,'الحركات الشهرية'!$B$6:$B$1005,$B36,'الحركات الشهرية'!$A$6:$A$1005,$C$3))</f>
        <v/>
      </c>
      <c r="I36" s="105" t="str">
        <f aca="false">IF($B36="","",MAX(0,F36-G36-H36))</f>
        <v/>
      </c>
      <c r="J36" s="86" t="str">
        <f aca="false">IF($B36="","",الموظفون!$J36*$I36/cfg_DAYS_M)</f>
        <v/>
      </c>
      <c r="K36" s="86" t="str">
        <f aca="false">IF($B36="","",الموظفون!$K36*$I36/cfg_DAYS_M)</f>
        <v/>
      </c>
      <c r="L36" s="86" t="str">
        <f aca="false">IF($B36="","",الموظفون!$L36*$I36/cfg_DAYS_M)</f>
        <v/>
      </c>
      <c r="M36" s="86" t="str">
        <f aca="false">IF($B36="","",الموظفون!$M36*$I36/cfg_DAYS_M)</f>
        <v/>
      </c>
      <c r="N36" s="105" t="str">
        <f aca="false">IF($B36="","",SUMIFS('الحركات الشهرية'!$F$6:$F$1005,'الحركات الشهرية'!$B$6:$B$1005,$B36,'الحركات الشهرية'!$A$6:$A$1005,$C$3))</f>
        <v/>
      </c>
      <c r="O36" s="86" t="str">
        <f aca="false">IF($B36="","",N36*(الموظفون!$N36+الموظفون!$J36*cfg_OT_P)/cfg_DAYS_M/cfg_HRS)</f>
        <v/>
      </c>
      <c r="P36" s="86" t="str">
        <f aca="false">IF($B36="","",SUMIFS('الحركات الشهرية'!$G$6:$G$1005,'الحركات الشهرية'!$B$6:$B$1005,$B36,'الحركات الشهرية'!$A$6:$A$1005,$C$3))</f>
        <v/>
      </c>
      <c r="Q36" s="86" t="str">
        <f aca="false">IF($B36="","",SUMIFS('الحركات الشهرية'!$H$6:$H$1005,'الحركات الشهرية'!$B$6:$B$1005,$B36,'الحركات الشهرية'!$A$6:$A$1005,$C$3))</f>
        <v/>
      </c>
      <c r="R36" s="106" t="str">
        <f aca="false">IF($B36="","",SUM(J36:M36)+SUM(O36:Q36))</f>
        <v/>
      </c>
      <c r="S36" s="86" t="str">
        <f aca="false">IF($B36="","",الموظفون!$Q36*IF(E36="سعودي",cfg_G_SE,cfg_G_NE)*F36/cfg_DAYS_M)</f>
        <v/>
      </c>
      <c r="T36" s="86" t="str">
        <f aca="false">IF($B36="","",SUMIFS('الحركات الشهرية'!$I$6:$I$1005,'الحركات الشهرية'!$B$6:$B$1005,$B36,'الحركات الشهرية'!$A$6:$A$1005,$C$3))</f>
        <v/>
      </c>
      <c r="U36" s="86" t="str">
        <f aca="false">IF($B36="","",SUMIFS('الحركات الشهرية'!$J$6:$J$1005,'الحركات الشهرية'!$B$6:$B$1005,$B36,'الحركات الشهرية'!$A$6:$A$1005,$C$3))</f>
        <v/>
      </c>
      <c r="V36" s="86" t="str">
        <f aca="false">IF($B36="","",SUM(S36:U36))</f>
        <v/>
      </c>
      <c r="W36" s="107" t="str">
        <f aca="false">IF($B36="","",R36-V36)</f>
        <v/>
      </c>
      <c r="X36" s="86" t="str">
        <f aca="false">IF($B36="","",الموظفون!$Q36*IF(E36="سعودي",cfg_G_SR,cfg_G_NR)*F36/cfg_DAYS_M)</f>
        <v/>
      </c>
      <c r="Y36" s="86" t="str">
        <f aca="false">IF($B36="","",الموظفون!$O36*(cfg_EOS_R1*(MIN(AC36,cfg_EOS_TH)-MIN(AD36,cfg_EOS_TH))+cfg_EOS_R2*(MAX(AC36-cfg_EOS_TH,0)-MAX(AD36-cfg_EOS_TH,0))))</f>
        <v/>
      </c>
      <c r="Z36" s="86" t="str">
        <f aca="false">IF($B36="","",IF(الموظفون!$R36&lt;&gt;"",الموظفون!$R36,IF(AC36&gt;=cfg_LV_TH,cfg_LV_D2,cfg_LV_D1))/cfg_DAYS_Y*AE36*الموظفون!$P36/cfg_DAYS_M)</f>
        <v/>
      </c>
      <c r="AA36" s="86" t="str">
        <f aca="false">IF($B36="","",IF(AND(الموظفون!$S36="نعم",N(الموظفون!$U36)&gt;0),الموظفون!$T36/الموظفون!$U36*12/cfg_DAYS_Y*AE36,0))</f>
        <v/>
      </c>
      <c r="AB36" s="108" t="str">
        <f aca="false">IF($B36="","",R36+SUM(X36:AA36))</f>
        <v/>
      </c>
      <c r="AC36" s="109" t="str">
        <f aca="false">IF($B36="","",MAX(0,IF(OR(الموظفون!$X36="",الموظفون!$X36&gt;$G$3),$G$3,الموظفون!$X36)-الموظفون!$H36+1)/cfg_DAYS_Y)</f>
        <v/>
      </c>
      <c r="AD36" s="109" t="str">
        <f aca="false">IF($B36="","",MAX(0,IF(OR(الموظفون!$X36="",الموظفون!$X36&gt;($E$3-1)),($E$3-1),الموظفون!$X36)-الموظفون!$H36+1)/cfg_DAYS_Y)</f>
        <v/>
      </c>
      <c r="AE36" s="51" t="str">
        <f aca="false">IF($B36="","",MAX(0,IF(OR(الموظفون!$X36="",الموظفون!$X36&gt;$G$3),$G$3,الموظفون!$X36)-MAX($E$3,الموظفون!$H36)+1))</f>
        <v/>
      </c>
    </row>
    <row r="37" customFormat="false" ht="15" hidden="false" customHeight="false" outlineLevel="0" collapsed="false">
      <c r="A37" s="89" t="str">
        <f aca="false">IF($B37="","",الموظفون!$A37)</f>
        <v/>
      </c>
      <c r="B37" s="91" t="str">
        <f aca="false">IF(الموظفون!$B37="","",الموظفون!$B37)</f>
        <v/>
      </c>
      <c r="C37" s="91" t="str">
        <f aca="false">IF($B37="","",الموظفون!$C37)</f>
        <v/>
      </c>
      <c r="D37" s="91" t="str">
        <f aca="false">IF($B37="","",الموظفون!$F37)</f>
        <v/>
      </c>
      <c r="E37" s="91" t="str">
        <f aca="false">IF($B37="","",الموظفون!$E37)</f>
        <v/>
      </c>
      <c r="F37" s="110" t="str">
        <f aca="false">IF($B37="","",IF(AE37&gt;=DAY($G$3),cfg_DAYS_M,MIN(AE37,cfg_DAYS_M)))</f>
        <v/>
      </c>
      <c r="G37" s="110" t="str">
        <f aca="false">IF($B37="","",SUMIFS('الحركات الشهرية'!$D$6:$D$1005,'الحركات الشهرية'!$B$6:$B$1005,$B37,'الحركات الشهرية'!$A$6:$A$1005,$C$3))</f>
        <v/>
      </c>
      <c r="H37" s="110" t="str">
        <f aca="false">IF($B37="","",SUMIFS('الحركات الشهرية'!$E$6:$E$1005,'الحركات الشهرية'!$B$6:$B$1005,$B37,'الحركات الشهرية'!$A$6:$A$1005,$C$3))</f>
        <v/>
      </c>
      <c r="I37" s="110" t="str">
        <f aca="false">IF($B37="","",MAX(0,F37-G37-H37))</f>
        <v/>
      </c>
      <c r="J37" s="90" t="str">
        <f aca="false">IF($B37="","",الموظفون!$J37*$I37/cfg_DAYS_M)</f>
        <v/>
      </c>
      <c r="K37" s="90" t="str">
        <f aca="false">IF($B37="","",الموظفون!$K37*$I37/cfg_DAYS_M)</f>
        <v/>
      </c>
      <c r="L37" s="90" t="str">
        <f aca="false">IF($B37="","",الموظفون!$L37*$I37/cfg_DAYS_M)</f>
        <v/>
      </c>
      <c r="M37" s="90" t="str">
        <f aca="false">IF($B37="","",الموظفون!$M37*$I37/cfg_DAYS_M)</f>
        <v/>
      </c>
      <c r="N37" s="110" t="str">
        <f aca="false">IF($B37="","",SUMIFS('الحركات الشهرية'!$F$6:$F$1005,'الحركات الشهرية'!$B$6:$B$1005,$B37,'الحركات الشهرية'!$A$6:$A$1005,$C$3))</f>
        <v/>
      </c>
      <c r="O37" s="90" t="str">
        <f aca="false">IF($B37="","",N37*(الموظفون!$N37+الموظفون!$J37*cfg_OT_P)/cfg_DAYS_M/cfg_HRS)</f>
        <v/>
      </c>
      <c r="P37" s="90" t="str">
        <f aca="false">IF($B37="","",SUMIFS('الحركات الشهرية'!$G$6:$G$1005,'الحركات الشهرية'!$B$6:$B$1005,$B37,'الحركات الشهرية'!$A$6:$A$1005,$C$3))</f>
        <v/>
      </c>
      <c r="Q37" s="90" t="str">
        <f aca="false">IF($B37="","",SUMIFS('الحركات الشهرية'!$H$6:$H$1005,'الحركات الشهرية'!$B$6:$B$1005,$B37,'الحركات الشهرية'!$A$6:$A$1005,$C$3))</f>
        <v/>
      </c>
      <c r="R37" s="111" t="str">
        <f aca="false">IF($B37="","",SUM(J37:M37)+SUM(O37:Q37))</f>
        <v/>
      </c>
      <c r="S37" s="90" t="str">
        <f aca="false">IF($B37="","",الموظفون!$Q37*IF(E37="سعودي",cfg_G_SE,cfg_G_NE)*F37/cfg_DAYS_M)</f>
        <v/>
      </c>
      <c r="T37" s="90" t="str">
        <f aca="false">IF($B37="","",SUMIFS('الحركات الشهرية'!$I$6:$I$1005,'الحركات الشهرية'!$B$6:$B$1005,$B37,'الحركات الشهرية'!$A$6:$A$1005,$C$3))</f>
        <v/>
      </c>
      <c r="U37" s="90" t="str">
        <f aca="false">IF($B37="","",SUMIFS('الحركات الشهرية'!$J$6:$J$1005,'الحركات الشهرية'!$B$6:$B$1005,$B37,'الحركات الشهرية'!$A$6:$A$1005,$C$3))</f>
        <v/>
      </c>
      <c r="V37" s="90" t="str">
        <f aca="false">IF($B37="","",SUM(S37:U37))</f>
        <v/>
      </c>
      <c r="W37" s="112" t="str">
        <f aca="false">IF($B37="","",R37-V37)</f>
        <v/>
      </c>
      <c r="X37" s="90" t="str">
        <f aca="false">IF($B37="","",الموظفون!$Q37*IF(E37="سعودي",cfg_G_SR,cfg_G_NR)*F37/cfg_DAYS_M)</f>
        <v/>
      </c>
      <c r="Y37" s="90" t="str">
        <f aca="false">IF($B37="","",الموظفون!$O37*(cfg_EOS_R1*(MIN(AC37,cfg_EOS_TH)-MIN(AD37,cfg_EOS_TH))+cfg_EOS_R2*(MAX(AC37-cfg_EOS_TH,0)-MAX(AD37-cfg_EOS_TH,0))))</f>
        <v/>
      </c>
      <c r="Z37" s="90" t="str">
        <f aca="false">IF($B37="","",IF(الموظفون!$R37&lt;&gt;"",الموظفون!$R37,IF(AC37&gt;=cfg_LV_TH,cfg_LV_D2,cfg_LV_D1))/cfg_DAYS_Y*AE37*الموظفون!$P37/cfg_DAYS_M)</f>
        <v/>
      </c>
      <c r="AA37" s="90" t="str">
        <f aca="false">IF($B37="","",IF(AND(الموظفون!$S37="نعم",N(الموظفون!$U37)&gt;0),الموظفون!$T37/الموظفون!$U37*12/cfg_DAYS_Y*AE37,0))</f>
        <v/>
      </c>
      <c r="AB37" s="113" t="str">
        <f aca="false">IF($B37="","",R37+SUM(X37:AA37))</f>
        <v/>
      </c>
      <c r="AC37" s="114" t="str">
        <f aca="false">IF($B37="","",MAX(0,IF(OR(الموظفون!$X37="",الموظفون!$X37&gt;$G$3),$G$3,الموظفون!$X37)-الموظفون!$H37+1)/cfg_DAYS_Y)</f>
        <v/>
      </c>
      <c r="AD37" s="114" t="str">
        <f aca="false">IF($B37="","",MAX(0,IF(OR(الموظفون!$X37="",الموظفون!$X37&gt;($E$3-1)),($E$3-1),الموظفون!$X37)-الموظفون!$H37+1)/cfg_DAYS_Y)</f>
        <v/>
      </c>
      <c r="AE37" s="115" t="str">
        <f aca="false">IF($B37="","",MAX(0,IF(OR(الموظفون!$X37="",الموظفون!$X37&gt;$G$3),$G$3,الموظفون!$X37)-MAX($E$3,الموظفون!$H37)+1))</f>
        <v/>
      </c>
    </row>
    <row r="38" customFormat="false" ht="15" hidden="false" customHeight="false" outlineLevel="0" collapsed="false">
      <c r="A38" s="83" t="str">
        <f aca="false">IF($B38="","",الموظفون!$A38)</f>
        <v/>
      </c>
      <c r="B38" s="74" t="str">
        <f aca="false">IF(الموظفون!$B38="","",الموظفون!$B38)</f>
        <v/>
      </c>
      <c r="C38" s="74" t="str">
        <f aca="false">IF($B38="","",الموظفون!$C38)</f>
        <v/>
      </c>
      <c r="D38" s="74" t="str">
        <f aca="false">IF($B38="","",الموظفون!$F38)</f>
        <v/>
      </c>
      <c r="E38" s="74" t="str">
        <f aca="false">IF($B38="","",الموظفون!$E38)</f>
        <v/>
      </c>
      <c r="F38" s="105" t="str">
        <f aca="false">IF($B38="","",IF(AE38&gt;=DAY($G$3),cfg_DAYS_M,MIN(AE38,cfg_DAYS_M)))</f>
        <v/>
      </c>
      <c r="G38" s="105" t="str">
        <f aca="false">IF($B38="","",SUMIFS('الحركات الشهرية'!$D$6:$D$1005,'الحركات الشهرية'!$B$6:$B$1005,$B38,'الحركات الشهرية'!$A$6:$A$1005,$C$3))</f>
        <v/>
      </c>
      <c r="H38" s="105" t="str">
        <f aca="false">IF($B38="","",SUMIFS('الحركات الشهرية'!$E$6:$E$1005,'الحركات الشهرية'!$B$6:$B$1005,$B38,'الحركات الشهرية'!$A$6:$A$1005,$C$3))</f>
        <v/>
      </c>
      <c r="I38" s="105" t="str">
        <f aca="false">IF($B38="","",MAX(0,F38-G38-H38))</f>
        <v/>
      </c>
      <c r="J38" s="86" t="str">
        <f aca="false">IF($B38="","",الموظفون!$J38*$I38/cfg_DAYS_M)</f>
        <v/>
      </c>
      <c r="K38" s="86" t="str">
        <f aca="false">IF($B38="","",الموظفون!$K38*$I38/cfg_DAYS_M)</f>
        <v/>
      </c>
      <c r="L38" s="86" t="str">
        <f aca="false">IF($B38="","",الموظفون!$L38*$I38/cfg_DAYS_M)</f>
        <v/>
      </c>
      <c r="M38" s="86" t="str">
        <f aca="false">IF($B38="","",الموظفون!$M38*$I38/cfg_DAYS_M)</f>
        <v/>
      </c>
      <c r="N38" s="105" t="str">
        <f aca="false">IF($B38="","",SUMIFS('الحركات الشهرية'!$F$6:$F$1005,'الحركات الشهرية'!$B$6:$B$1005,$B38,'الحركات الشهرية'!$A$6:$A$1005,$C$3))</f>
        <v/>
      </c>
      <c r="O38" s="86" t="str">
        <f aca="false">IF($B38="","",N38*(الموظفون!$N38+الموظفون!$J38*cfg_OT_P)/cfg_DAYS_M/cfg_HRS)</f>
        <v/>
      </c>
      <c r="P38" s="86" t="str">
        <f aca="false">IF($B38="","",SUMIFS('الحركات الشهرية'!$G$6:$G$1005,'الحركات الشهرية'!$B$6:$B$1005,$B38,'الحركات الشهرية'!$A$6:$A$1005,$C$3))</f>
        <v/>
      </c>
      <c r="Q38" s="86" t="str">
        <f aca="false">IF($B38="","",SUMIFS('الحركات الشهرية'!$H$6:$H$1005,'الحركات الشهرية'!$B$6:$B$1005,$B38,'الحركات الشهرية'!$A$6:$A$1005,$C$3))</f>
        <v/>
      </c>
      <c r="R38" s="106" t="str">
        <f aca="false">IF($B38="","",SUM(J38:M38)+SUM(O38:Q38))</f>
        <v/>
      </c>
      <c r="S38" s="86" t="str">
        <f aca="false">IF($B38="","",الموظفون!$Q38*IF(E38="سعودي",cfg_G_SE,cfg_G_NE)*F38/cfg_DAYS_M)</f>
        <v/>
      </c>
      <c r="T38" s="86" t="str">
        <f aca="false">IF($B38="","",SUMIFS('الحركات الشهرية'!$I$6:$I$1005,'الحركات الشهرية'!$B$6:$B$1005,$B38,'الحركات الشهرية'!$A$6:$A$1005,$C$3))</f>
        <v/>
      </c>
      <c r="U38" s="86" t="str">
        <f aca="false">IF($B38="","",SUMIFS('الحركات الشهرية'!$J$6:$J$1005,'الحركات الشهرية'!$B$6:$B$1005,$B38,'الحركات الشهرية'!$A$6:$A$1005,$C$3))</f>
        <v/>
      </c>
      <c r="V38" s="86" t="str">
        <f aca="false">IF($B38="","",SUM(S38:U38))</f>
        <v/>
      </c>
      <c r="W38" s="107" t="str">
        <f aca="false">IF($B38="","",R38-V38)</f>
        <v/>
      </c>
      <c r="X38" s="86" t="str">
        <f aca="false">IF($B38="","",الموظفون!$Q38*IF(E38="سعودي",cfg_G_SR,cfg_G_NR)*F38/cfg_DAYS_M)</f>
        <v/>
      </c>
      <c r="Y38" s="86" t="str">
        <f aca="false">IF($B38="","",الموظفون!$O38*(cfg_EOS_R1*(MIN(AC38,cfg_EOS_TH)-MIN(AD38,cfg_EOS_TH))+cfg_EOS_R2*(MAX(AC38-cfg_EOS_TH,0)-MAX(AD38-cfg_EOS_TH,0))))</f>
        <v/>
      </c>
      <c r="Z38" s="86" t="str">
        <f aca="false">IF($B38="","",IF(الموظفون!$R38&lt;&gt;"",الموظفون!$R38,IF(AC38&gt;=cfg_LV_TH,cfg_LV_D2,cfg_LV_D1))/cfg_DAYS_Y*AE38*الموظفون!$P38/cfg_DAYS_M)</f>
        <v/>
      </c>
      <c r="AA38" s="86" t="str">
        <f aca="false">IF($B38="","",IF(AND(الموظفون!$S38="نعم",N(الموظفون!$U38)&gt;0),الموظفون!$T38/الموظفون!$U38*12/cfg_DAYS_Y*AE38,0))</f>
        <v/>
      </c>
      <c r="AB38" s="108" t="str">
        <f aca="false">IF($B38="","",R38+SUM(X38:AA38))</f>
        <v/>
      </c>
      <c r="AC38" s="109" t="str">
        <f aca="false">IF($B38="","",MAX(0,IF(OR(الموظفون!$X38="",الموظفون!$X38&gt;$G$3),$G$3,الموظفون!$X38)-الموظفون!$H38+1)/cfg_DAYS_Y)</f>
        <v/>
      </c>
      <c r="AD38" s="109" t="str">
        <f aca="false">IF($B38="","",MAX(0,IF(OR(الموظفون!$X38="",الموظفون!$X38&gt;($E$3-1)),($E$3-1),الموظفون!$X38)-الموظفون!$H38+1)/cfg_DAYS_Y)</f>
        <v/>
      </c>
      <c r="AE38" s="51" t="str">
        <f aca="false">IF($B38="","",MAX(0,IF(OR(الموظفون!$X38="",الموظفون!$X38&gt;$G$3),$G$3,الموظفون!$X38)-MAX($E$3,الموظفون!$H38)+1))</f>
        <v/>
      </c>
    </row>
    <row r="39" customFormat="false" ht="15" hidden="false" customHeight="false" outlineLevel="0" collapsed="false">
      <c r="A39" s="89" t="str">
        <f aca="false">IF($B39="","",الموظفون!$A39)</f>
        <v/>
      </c>
      <c r="B39" s="91" t="str">
        <f aca="false">IF(الموظفون!$B39="","",الموظفون!$B39)</f>
        <v/>
      </c>
      <c r="C39" s="91" t="str">
        <f aca="false">IF($B39="","",الموظفون!$C39)</f>
        <v/>
      </c>
      <c r="D39" s="91" t="str">
        <f aca="false">IF($B39="","",الموظفون!$F39)</f>
        <v/>
      </c>
      <c r="E39" s="91" t="str">
        <f aca="false">IF($B39="","",الموظفون!$E39)</f>
        <v/>
      </c>
      <c r="F39" s="110" t="str">
        <f aca="false">IF($B39="","",IF(AE39&gt;=DAY($G$3),cfg_DAYS_M,MIN(AE39,cfg_DAYS_M)))</f>
        <v/>
      </c>
      <c r="G39" s="110" t="str">
        <f aca="false">IF($B39="","",SUMIFS('الحركات الشهرية'!$D$6:$D$1005,'الحركات الشهرية'!$B$6:$B$1005,$B39,'الحركات الشهرية'!$A$6:$A$1005,$C$3))</f>
        <v/>
      </c>
      <c r="H39" s="110" t="str">
        <f aca="false">IF($B39="","",SUMIFS('الحركات الشهرية'!$E$6:$E$1005,'الحركات الشهرية'!$B$6:$B$1005,$B39,'الحركات الشهرية'!$A$6:$A$1005,$C$3))</f>
        <v/>
      </c>
      <c r="I39" s="110" t="str">
        <f aca="false">IF($B39="","",MAX(0,F39-G39-H39))</f>
        <v/>
      </c>
      <c r="J39" s="90" t="str">
        <f aca="false">IF($B39="","",الموظفون!$J39*$I39/cfg_DAYS_M)</f>
        <v/>
      </c>
      <c r="K39" s="90" t="str">
        <f aca="false">IF($B39="","",الموظفون!$K39*$I39/cfg_DAYS_M)</f>
        <v/>
      </c>
      <c r="L39" s="90" t="str">
        <f aca="false">IF($B39="","",الموظفون!$L39*$I39/cfg_DAYS_M)</f>
        <v/>
      </c>
      <c r="M39" s="90" t="str">
        <f aca="false">IF($B39="","",الموظفون!$M39*$I39/cfg_DAYS_M)</f>
        <v/>
      </c>
      <c r="N39" s="110" t="str">
        <f aca="false">IF($B39="","",SUMIFS('الحركات الشهرية'!$F$6:$F$1005,'الحركات الشهرية'!$B$6:$B$1005,$B39,'الحركات الشهرية'!$A$6:$A$1005,$C$3))</f>
        <v/>
      </c>
      <c r="O39" s="90" t="str">
        <f aca="false">IF($B39="","",N39*(الموظفون!$N39+الموظفون!$J39*cfg_OT_P)/cfg_DAYS_M/cfg_HRS)</f>
        <v/>
      </c>
      <c r="P39" s="90" t="str">
        <f aca="false">IF($B39="","",SUMIFS('الحركات الشهرية'!$G$6:$G$1005,'الحركات الشهرية'!$B$6:$B$1005,$B39,'الحركات الشهرية'!$A$6:$A$1005,$C$3))</f>
        <v/>
      </c>
      <c r="Q39" s="90" t="str">
        <f aca="false">IF($B39="","",SUMIFS('الحركات الشهرية'!$H$6:$H$1005,'الحركات الشهرية'!$B$6:$B$1005,$B39,'الحركات الشهرية'!$A$6:$A$1005,$C$3))</f>
        <v/>
      </c>
      <c r="R39" s="111" t="str">
        <f aca="false">IF($B39="","",SUM(J39:M39)+SUM(O39:Q39))</f>
        <v/>
      </c>
      <c r="S39" s="90" t="str">
        <f aca="false">IF($B39="","",الموظفون!$Q39*IF(E39="سعودي",cfg_G_SE,cfg_G_NE)*F39/cfg_DAYS_M)</f>
        <v/>
      </c>
      <c r="T39" s="90" t="str">
        <f aca="false">IF($B39="","",SUMIFS('الحركات الشهرية'!$I$6:$I$1005,'الحركات الشهرية'!$B$6:$B$1005,$B39,'الحركات الشهرية'!$A$6:$A$1005,$C$3))</f>
        <v/>
      </c>
      <c r="U39" s="90" t="str">
        <f aca="false">IF($B39="","",SUMIFS('الحركات الشهرية'!$J$6:$J$1005,'الحركات الشهرية'!$B$6:$B$1005,$B39,'الحركات الشهرية'!$A$6:$A$1005,$C$3))</f>
        <v/>
      </c>
      <c r="V39" s="90" t="str">
        <f aca="false">IF($B39="","",SUM(S39:U39))</f>
        <v/>
      </c>
      <c r="W39" s="112" t="str">
        <f aca="false">IF($B39="","",R39-V39)</f>
        <v/>
      </c>
      <c r="X39" s="90" t="str">
        <f aca="false">IF($B39="","",الموظفون!$Q39*IF(E39="سعودي",cfg_G_SR,cfg_G_NR)*F39/cfg_DAYS_M)</f>
        <v/>
      </c>
      <c r="Y39" s="90" t="str">
        <f aca="false">IF($B39="","",الموظفون!$O39*(cfg_EOS_R1*(MIN(AC39,cfg_EOS_TH)-MIN(AD39,cfg_EOS_TH))+cfg_EOS_R2*(MAX(AC39-cfg_EOS_TH,0)-MAX(AD39-cfg_EOS_TH,0))))</f>
        <v/>
      </c>
      <c r="Z39" s="90" t="str">
        <f aca="false">IF($B39="","",IF(الموظفون!$R39&lt;&gt;"",الموظفون!$R39,IF(AC39&gt;=cfg_LV_TH,cfg_LV_D2,cfg_LV_D1))/cfg_DAYS_Y*AE39*الموظفون!$P39/cfg_DAYS_M)</f>
        <v/>
      </c>
      <c r="AA39" s="90" t="str">
        <f aca="false">IF($B39="","",IF(AND(الموظفون!$S39="نعم",N(الموظفون!$U39)&gt;0),الموظفون!$T39/الموظفون!$U39*12/cfg_DAYS_Y*AE39,0))</f>
        <v/>
      </c>
      <c r="AB39" s="113" t="str">
        <f aca="false">IF($B39="","",R39+SUM(X39:AA39))</f>
        <v/>
      </c>
      <c r="AC39" s="114" t="str">
        <f aca="false">IF($B39="","",MAX(0,IF(OR(الموظفون!$X39="",الموظفون!$X39&gt;$G$3),$G$3,الموظفون!$X39)-الموظفون!$H39+1)/cfg_DAYS_Y)</f>
        <v/>
      </c>
      <c r="AD39" s="114" t="str">
        <f aca="false">IF($B39="","",MAX(0,IF(OR(الموظفون!$X39="",الموظفون!$X39&gt;($E$3-1)),($E$3-1),الموظفون!$X39)-الموظفون!$H39+1)/cfg_DAYS_Y)</f>
        <v/>
      </c>
      <c r="AE39" s="115" t="str">
        <f aca="false">IF($B39="","",MAX(0,IF(OR(الموظفون!$X39="",الموظفون!$X39&gt;$G$3),$G$3,الموظفون!$X39)-MAX($E$3,الموظفون!$H39)+1))</f>
        <v/>
      </c>
    </row>
    <row r="40" customFormat="false" ht="15" hidden="false" customHeight="false" outlineLevel="0" collapsed="false">
      <c r="A40" s="83" t="str">
        <f aca="false">IF($B40="","",الموظفون!$A40)</f>
        <v/>
      </c>
      <c r="B40" s="74" t="str">
        <f aca="false">IF(الموظفون!$B40="","",الموظفون!$B40)</f>
        <v/>
      </c>
      <c r="C40" s="74" t="str">
        <f aca="false">IF($B40="","",الموظفون!$C40)</f>
        <v/>
      </c>
      <c r="D40" s="74" t="str">
        <f aca="false">IF($B40="","",الموظفون!$F40)</f>
        <v/>
      </c>
      <c r="E40" s="74" t="str">
        <f aca="false">IF($B40="","",الموظفون!$E40)</f>
        <v/>
      </c>
      <c r="F40" s="105" t="str">
        <f aca="false">IF($B40="","",IF(AE40&gt;=DAY($G$3),cfg_DAYS_M,MIN(AE40,cfg_DAYS_M)))</f>
        <v/>
      </c>
      <c r="G40" s="105" t="str">
        <f aca="false">IF($B40="","",SUMIFS('الحركات الشهرية'!$D$6:$D$1005,'الحركات الشهرية'!$B$6:$B$1005,$B40,'الحركات الشهرية'!$A$6:$A$1005,$C$3))</f>
        <v/>
      </c>
      <c r="H40" s="105" t="str">
        <f aca="false">IF($B40="","",SUMIFS('الحركات الشهرية'!$E$6:$E$1005,'الحركات الشهرية'!$B$6:$B$1005,$B40,'الحركات الشهرية'!$A$6:$A$1005,$C$3))</f>
        <v/>
      </c>
      <c r="I40" s="105" t="str">
        <f aca="false">IF($B40="","",MAX(0,F40-G40-H40))</f>
        <v/>
      </c>
      <c r="J40" s="86" t="str">
        <f aca="false">IF($B40="","",الموظفون!$J40*$I40/cfg_DAYS_M)</f>
        <v/>
      </c>
      <c r="K40" s="86" t="str">
        <f aca="false">IF($B40="","",الموظفون!$K40*$I40/cfg_DAYS_M)</f>
        <v/>
      </c>
      <c r="L40" s="86" t="str">
        <f aca="false">IF($B40="","",الموظفون!$L40*$I40/cfg_DAYS_M)</f>
        <v/>
      </c>
      <c r="M40" s="86" t="str">
        <f aca="false">IF($B40="","",الموظفون!$M40*$I40/cfg_DAYS_M)</f>
        <v/>
      </c>
      <c r="N40" s="105" t="str">
        <f aca="false">IF($B40="","",SUMIFS('الحركات الشهرية'!$F$6:$F$1005,'الحركات الشهرية'!$B$6:$B$1005,$B40,'الحركات الشهرية'!$A$6:$A$1005,$C$3))</f>
        <v/>
      </c>
      <c r="O40" s="86" t="str">
        <f aca="false">IF($B40="","",N40*(الموظفون!$N40+الموظفون!$J40*cfg_OT_P)/cfg_DAYS_M/cfg_HRS)</f>
        <v/>
      </c>
      <c r="P40" s="86" t="str">
        <f aca="false">IF($B40="","",SUMIFS('الحركات الشهرية'!$G$6:$G$1005,'الحركات الشهرية'!$B$6:$B$1005,$B40,'الحركات الشهرية'!$A$6:$A$1005,$C$3))</f>
        <v/>
      </c>
      <c r="Q40" s="86" t="str">
        <f aca="false">IF($B40="","",SUMIFS('الحركات الشهرية'!$H$6:$H$1005,'الحركات الشهرية'!$B$6:$B$1005,$B40,'الحركات الشهرية'!$A$6:$A$1005,$C$3))</f>
        <v/>
      </c>
      <c r="R40" s="106" t="str">
        <f aca="false">IF($B40="","",SUM(J40:M40)+SUM(O40:Q40))</f>
        <v/>
      </c>
      <c r="S40" s="86" t="str">
        <f aca="false">IF($B40="","",الموظفون!$Q40*IF(E40="سعودي",cfg_G_SE,cfg_G_NE)*F40/cfg_DAYS_M)</f>
        <v/>
      </c>
      <c r="T40" s="86" t="str">
        <f aca="false">IF($B40="","",SUMIFS('الحركات الشهرية'!$I$6:$I$1005,'الحركات الشهرية'!$B$6:$B$1005,$B40,'الحركات الشهرية'!$A$6:$A$1005,$C$3))</f>
        <v/>
      </c>
      <c r="U40" s="86" t="str">
        <f aca="false">IF($B40="","",SUMIFS('الحركات الشهرية'!$J$6:$J$1005,'الحركات الشهرية'!$B$6:$B$1005,$B40,'الحركات الشهرية'!$A$6:$A$1005,$C$3))</f>
        <v/>
      </c>
      <c r="V40" s="86" t="str">
        <f aca="false">IF($B40="","",SUM(S40:U40))</f>
        <v/>
      </c>
      <c r="W40" s="107" t="str">
        <f aca="false">IF($B40="","",R40-V40)</f>
        <v/>
      </c>
      <c r="X40" s="86" t="str">
        <f aca="false">IF($B40="","",الموظفون!$Q40*IF(E40="سعودي",cfg_G_SR,cfg_G_NR)*F40/cfg_DAYS_M)</f>
        <v/>
      </c>
      <c r="Y40" s="86" t="str">
        <f aca="false">IF($B40="","",الموظفون!$O40*(cfg_EOS_R1*(MIN(AC40,cfg_EOS_TH)-MIN(AD40,cfg_EOS_TH))+cfg_EOS_R2*(MAX(AC40-cfg_EOS_TH,0)-MAX(AD40-cfg_EOS_TH,0))))</f>
        <v/>
      </c>
      <c r="Z40" s="86" t="str">
        <f aca="false">IF($B40="","",IF(الموظفون!$R40&lt;&gt;"",الموظفون!$R40,IF(AC40&gt;=cfg_LV_TH,cfg_LV_D2,cfg_LV_D1))/cfg_DAYS_Y*AE40*الموظفون!$P40/cfg_DAYS_M)</f>
        <v/>
      </c>
      <c r="AA40" s="86" t="str">
        <f aca="false">IF($B40="","",IF(AND(الموظفون!$S40="نعم",N(الموظفون!$U40)&gt;0),الموظفون!$T40/الموظفون!$U40*12/cfg_DAYS_Y*AE40,0))</f>
        <v/>
      </c>
      <c r="AB40" s="108" t="str">
        <f aca="false">IF($B40="","",R40+SUM(X40:AA40))</f>
        <v/>
      </c>
      <c r="AC40" s="109" t="str">
        <f aca="false">IF($B40="","",MAX(0,IF(OR(الموظفون!$X40="",الموظفون!$X40&gt;$G$3),$G$3,الموظفون!$X40)-الموظفون!$H40+1)/cfg_DAYS_Y)</f>
        <v/>
      </c>
      <c r="AD40" s="109" t="str">
        <f aca="false">IF($B40="","",MAX(0,IF(OR(الموظفون!$X40="",الموظفون!$X40&gt;($E$3-1)),($E$3-1),الموظفون!$X40)-الموظفون!$H40+1)/cfg_DAYS_Y)</f>
        <v/>
      </c>
      <c r="AE40" s="51" t="str">
        <f aca="false">IF($B40="","",MAX(0,IF(OR(الموظفون!$X40="",الموظفون!$X40&gt;$G$3),$G$3,الموظفون!$X40)-MAX($E$3,الموظفون!$H40)+1))</f>
        <v/>
      </c>
    </row>
    <row r="41" customFormat="false" ht="15" hidden="false" customHeight="false" outlineLevel="0" collapsed="false">
      <c r="A41" s="89" t="str">
        <f aca="false">IF($B41="","",الموظفون!$A41)</f>
        <v/>
      </c>
      <c r="B41" s="91" t="str">
        <f aca="false">IF(الموظفون!$B41="","",الموظفون!$B41)</f>
        <v/>
      </c>
      <c r="C41" s="91" t="str">
        <f aca="false">IF($B41="","",الموظفون!$C41)</f>
        <v/>
      </c>
      <c r="D41" s="91" t="str">
        <f aca="false">IF($B41="","",الموظفون!$F41)</f>
        <v/>
      </c>
      <c r="E41" s="91" t="str">
        <f aca="false">IF($B41="","",الموظفون!$E41)</f>
        <v/>
      </c>
      <c r="F41" s="110" t="str">
        <f aca="false">IF($B41="","",IF(AE41&gt;=DAY($G$3),cfg_DAYS_M,MIN(AE41,cfg_DAYS_M)))</f>
        <v/>
      </c>
      <c r="G41" s="110" t="str">
        <f aca="false">IF($B41="","",SUMIFS('الحركات الشهرية'!$D$6:$D$1005,'الحركات الشهرية'!$B$6:$B$1005,$B41,'الحركات الشهرية'!$A$6:$A$1005,$C$3))</f>
        <v/>
      </c>
      <c r="H41" s="110" t="str">
        <f aca="false">IF($B41="","",SUMIFS('الحركات الشهرية'!$E$6:$E$1005,'الحركات الشهرية'!$B$6:$B$1005,$B41,'الحركات الشهرية'!$A$6:$A$1005,$C$3))</f>
        <v/>
      </c>
      <c r="I41" s="110" t="str">
        <f aca="false">IF($B41="","",MAX(0,F41-G41-H41))</f>
        <v/>
      </c>
      <c r="J41" s="90" t="str">
        <f aca="false">IF($B41="","",الموظفون!$J41*$I41/cfg_DAYS_M)</f>
        <v/>
      </c>
      <c r="K41" s="90" t="str">
        <f aca="false">IF($B41="","",الموظفون!$K41*$I41/cfg_DAYS_M)</f>
        <v/>
      </c>
      <c r="L41" s="90" t="str">
        <f aca="false">IF($B41="","",الموظفون!$L41*$I41/cfg_DAYS_M)</f>
        <v/>
      </c>
      <c r="M41" s="90" t="str">
        <f aca="false">IF($B41="","",الموظفون!$M41*$I41/cfg_DAYS_M)</f>
        <v/>
      </c>
      <c r="N41" s="110" t="str">
        <f aca="false">IF($B41="","",SUMIFS('الحركات الشهرية'!$F$6:$F$1005,'الحركات الشهرية'!$B$6:$B$1005,$B41,'الحركات الشهرية'!$A$6:$A$1005,$C$3))</f>
        <v/>
      </c>
      <c r="O41" s="90" t="str">
        <f aca="false">IF($B41="","",N41*(الموظفون!$N41+الموظفون!$J41*cfg_OT_P)/cfg_DAYS_M/cfg_HRS)</f>
        <v/>
      </c>
      <c r="P41" s="90" t="str">
        <f aca="false">IF($B41="","",SUMIFS('الحركات الشهرية'!$G$6:$G$1005,'الحركات الشهرية'!$B$6:$B$1005,$B41,'الحركات الشهرية'!$A$6:$A$1005,$C$3))</f>
        <v/>
      </c>
      <c r="Q41" s="90" t="str">
        <f aca="false">IF($B41="","",SUMIFS('الحركات الشهرية'!$H$6:$H$1005,'الحركات الشهرية'!$B$6:$B$1005,$B41,'الحركات الشهرية'!$A$6:$A$1005,$C$3))</f>
        <v/>
      </c>
      <c r="R41" s="111" t="str">
        <f aca="false">IF($B41="","",SUM(J41:M41)+SUM(O41:Q41))</f>
        <v/>
      </c>
      <c r="S41" s="90" t="str">
        <f aca="false">IF($B41="","",الموظفون!$Q41*IF(E41="سعودي",cfg_G_SE,cfg_G_NE)*F41/cfg_DAYS_M)</f>
        <v/>
      </c>
      <c r="T41" s="90" t="str">
        <f aca="false">IF($B41="","",SUMIFS('الحركات الشهرية'!$I$6:$I$1005,'الحركات الشهرية'!$B$6:$B$1005,$B41,'الحركات الشهرية'!$A$6:$A$1005,$C$3))</f>
        <v/>
      </c>
      <c r="U41" s="90" t="str">
        <f aca="false">IF($B41="","",SUMIFS('الحركات الشهرية'!$J$6:$J$1005,'الحركات الشهرية'!$B$6:$B$1005,$B41,'الحركات الشهرية'!$A$6:$A$1005,$C$3))</f>
        <v/>
      </c>
      <c r="V41" s="90" t="str">
        <f aca="false">IF($B41="","",SUM(S41:U41))</f>
        <v/>
      </c>
      <c r="W41" s="112" t="str">
        <f aca="false">IF($B41="","",R41-V41)</f>
        <v/>
      </c>
      <c r="X41" s="90" t="str">
        <f aca="false">IF($B41="","",الموظفون!$Q41*IF(E41="سعودي",cfg_G_SR,cfg_G_NR)*F41/cfg_DAYS_M)</f>
        <v/>
      </c>
      <c r="Y41" s="90" t="str">
        <f aca="false">IF($B41="","",الموظفون!$O41*(cfg_EOS_R1*(MIN(AC41,cfg_EOS_TH)-MIN(AD41,cfg_EOS_TH))+cfg_EOS_R2*(MAX(AC41-cfg_EOS_TH,0)-MAX(AD41-cfg_EOS_TH,0))))</f>
        <v/>
      </c>
      <c r="Z41" s="90" t="str">
        <f aca="false">IF($B41="","",IF(الموظفون!$R41&lt;&gt;"",الموظفون!$R41,IF(AC41&gt;=cfg_LV_TH,cfg_LV_D2,cfg_LV_D1))/cfg_DAYS_Y*AE41*الموظفون!$P41/cfg_DAYS_M)</f>
        <v/>
      </c>
      <c r="AA41" s="90" t="str">
        <f aca="false">IF($B41="","",IF(AND(الموظفون!$S41="نعم",N(الموظفون!$U41)&gt;0),الموظفون!$T41/الموظفون!$U41*12/cfg_DAYS_Y*AE41,0))</f>
        <v/>
      </c>
      <c r="AB41" s="113" t="str">
        <f aca="false">IF($B41="","",R41+SUM(X41:AA41))</f>
        <v/>
      </c>
      <c r="AC41" s="114" t="str">
        <f aca="false">IF($B41="","",MAX(0,IF(OR(الموظفون!$X41="",الموظفون!$X41&gt;$G$3),$G$3,الموظفون!$X41)-الموظفون!$H41+1)/cfg_DAYS_Y)</f>
        <v/>
      </c>
      <c r="AD41" s="114" t="str">
        <f aca="false">IF($B41="","",MAX(0,IF(OR(الموظفون!$X41="",الموظفون!$X41&gt;($E$3-1)),($E$3-1),الموظفون!$X41)-الموظفون!$H41+1)/cfg_DAYS_Y)</f>
        <v/>
      </c>
      <c r="AE41" s="115" t="str">
        <f aca="false">IF($B41="","",MAX(0,IF(OR(الموظفون!$X41="",الموظفون!$X41&gt;$G$3),$G$3,الموظفون!$X41)-MAX($E$3,الموظفون!$H41)+1))</f>
        <v/>
      </c>
    </row>
    <row r="42" customFormat="false" ht="15" hidden="false" customHeight="false" outlineLevel="0" collapsed="false">
      <c r="A42" s="83" t="str">
        <f aca="false">IF($B42="","",الموظفون!$A42)</f>
        <v/>
      </c>
      <c r="B42" s="74" t="str">
        <f aca="false">IF(الموظفون!$B42="","",الموظفون!$B42)</f>
        <v/>
      </c>
      <c r="C42" s="74" t="str">
        <f aca="false">IF($B42="","",الموظفون!$C42)</f>
        <v/>
      </c>
      <c r="D42" s="74" t="str">
        <f aca="false">IF($B42="","",الموظفون!$F42)</f>
        <v/>
      </c>
      <c r="E42" s="74" t="str">
        <f aca="false">IF($B42="","",الموظفون!$E42)</f>
        <v/>
      </c>
      <c r="F42" s="105" t="str">
        <f aca="false">IF($B42="","",IF(AE42&gt;=DAY($G$3),cfg_DAYS_M,MIN(AE42,cfg_DAYS_M)))</f>
        <v/>
      </c>
      <c r="G42" s="105" t="str">
        <f aca="false">IF($B42="","",SUMIFS('الحركات الشهرية'!$D$6:$D$1005,'الحركات الشهرية'!$B$6:$B$1005,$B42,'الحركات الشهرية'!$A$6:$A$1005,$C$3))</f>
        <v/>
      </c>
      <c r="H42" s="105" t="str">
        <f aca="false">IF($B42="","",SUMIFS('الحركات الشهرية'!$E$6:$E$1005,'الحركات الشهرية'!$B$6:$B$1005,$B42,'الحركات الشهرية'!$A$6:$A$1005,$C$3))</f>
        <v/>
      </c>
      <c r="I42" s="105" t="str">
        <f aca="false">IF($B42="","",MAX(0,F42-G42-H42))</f>
        <v/>
      </c>
      <c r="J42" s="86" t="str">
        <f aca="false">IF($B42="","",الموظفون!$J42*$I42/cfg_DAYS_M)</f>
        <v/>
      </c>
      <c r="K42" s="86" t="str">
        <f aca="false">IF($B42="","",الموظفون!$K42*$I42/cfg_DAYS_M)</f>
        <v/>
      </c>
      <c r="L42" s="86" t="str">
        <f aca="false">IF($B42="","",الموظفون!$L42*$I42/cfg_DAYS_M)</f>
        <v/>
      </c>
      <c r="M42" s="86" t="str">
        <f aca="false">IF($B42="","",الموظفون!$M42*$I42/cfg_DAYS_M)</f>
        <v/>
      </c>
      <c r="N42" s="105" t="str">
        <f aca="false">IF($B42="","",SUMIFS('الحركات الشهرية'!$F$6:$F$1005,'الحركات الشهرية'!$B$6:$B$1005,$B42,'الحركات الشهرية'!$A$6:$A$1005,$C$3))</f>
        <v/>
      </c>
      <c r="O42" s="86" t="str">
        <f aca="false">IF($B42="","",N42*(الموظفون!$N42+الموظفون!$J42*cfg_OT_P)/cfg_DAYS_M/cfg_HRS)</f>
        <v/>
      </c>
      <c r="P42" s="86" t="str">
        <f aca="false">IF($B42="","",SUMIFS('الحركات الشهرية'!$G$6:$G$1005,'الحركات الشهرية'!$B$6:$B$1005,$B42,'الحركات الشهرية'!$A$6:$A$1005,$C$3))</f>
        <v/>
      </c>
      <c r="Q42" s="86" t="str">
        <f aca="false">IF($B42="","",SUMIFS('الحركات الشهرية'!$H$6:$H$1005,'الحركات الشهرية'!$B$6:$B$1005,$B42,'الحركات الشهرية'!$A$6:$A$1005,$C$3))</f>
        <v/>
      </c>
      <c r="R42" s="106" t="str">
        <f aca="false">IF($B42="","",SUM(J42:M42)+SUM(O42:Q42))</f>
        <v/>
      </c>
      <c r="S42" s="86" t="str">
        <f aca="false">IF($B42="","",الموظفون!$Q42*IF(E42="سعودي",cfg_G_SE,cfg_G_NE)*F42/cfg_DAYS_M)</f>
        <v/>
      </c>
      <c r="T42" s="86" t="str">
        <f aca="false">IF($B42="","",SUMIFS('الحركات الشهرية'!$I$6:$I$1005,'الحركات الشهرية'!$B$6:$B$1005,$B42,'الحركات الشهرية'!$A$6:$A$1005,$C$3))</f>
        <v/>
      </c>
      <c r="U42" s="86" t="str">
        <f aca="false">IF($B42="","",SUMIFS('الحركات الشهرية'!$J$6:$J$1005,'الحركات الشهرية'!$B$6:$B$1005,$B42,'الحركات الشهرية'!$A$6:$A$1005,$C$3))</f>
        <v/>
      </c>
      <c r="V42" s="86" t="str">
        <f aca="false">IF($B42="","",SUM(S42:U42))</f>
        <v/>
      </c>
      <c r="W42" s="107" t="str">
        <f aca="false">IF($B42="","",R42-V42)</f>
        <v/>
      </c>
      <c r="X42" s="86" t="str">
        <f aca="false">IF($B42="","",الموظفون!$Q42*IF(E42="سعودي",cfg_G_SR,cfg_G_NR)*F42/cfg_DAYS_M)</f>
        <v/>
      </c>
      <c r="Y42" s="86" t="str">
        <f aca="false">IF($B42="","",الموظفون!$O42*(cfg_EOS_R1*(MIN(AC42,cfg_EOS_TH)-MIN(AD42,cfg_EOS_TH))+cfg_EOS_R2*(MAX(AC42-cfg_EOS_TH,0)-MAX(AD42-cfg_EOS_TH,0))))</f>
        <v/>
      </c>
      <c r="Z42" s="86" t="str">
        <f aca="false">IF($B42="","",IF(الموظفون!$R42&lt;&gt;"",الموظفون!$R42,IF(AC42&gt;=cfg_LV_TH,cfg_LV_D2,cfg_LV_D1))/cfg_DAYS_Y*AE42*الموظفون!$P42/cfg_DAYS_M)</f>
        <v/>
      </c>
      <c r="AA42" s="86" t="str">
        <f aca="false">IF($B42="","",IF(AND(الموظفون!$S42="نعم",N(الموظفون!$U42)&gt;0),الموظفون!$T42/الموظفون!$U42*12/cfg_DAYS_Y*AE42,0))</f>
        <v/>
      </c>
      <c r="AB42" s="108" t="str">
        <f aca="false">IF($B42="","",R42+SUM(X42:AA42))</f>
        <v/>
      </c>
      <c r="AC42" s="109" t="str">
        <f aca="false">IF($B42="","",MAX(0,IF(OR(الموظفون!$X42="",الموظفون!$X42&gt;$G$3),$G$3,الموظفون!$X42)-الموظفون!$H42+1)/cfg_DAYS_Y)</f>
        <v/>
      </c>
      <c r="AD42" s="109" t="str">
        <f aca="false">IF($B42="","",MAX(0,IF(OR(الموظفون!$X42="",الموظفون!$X42&gt;($E$3-1)),($E$3-1),الموظفون!$X42)-الموظفون!$H42+1)/cfg_DAYS_Y)</f>
        <v/>
      </c>
      <c r="AE42" s="51" t="str">
        <f aca="false">IF($B42="","",MAX(0,IF(OR(الموظفون!$X42="",الموظفون!$X42&gt;$G$3),$G$3,الموظفون!$X42)-MAX($E$3,الموظفون!$H42)+1))</f>
        <v/>
      </c>
    </row>
    <row r="43" customFormat="false" ht="15" hidden="false" customHeight="false" outlineLevel="0" collapsed="false">
      <c r="A43" s="89" t="str">
        <f aca="false">IF($B43="","",الموظفون!$A43)</f>
        <v/>
      </c>
      <c r="B43" s="91" t="str">
        <f aca="false">IF(الموظفون!$B43="","",الموظفون!$B43)</f>
        <v/>
      </c>
      <c r="C43" s="91" t="str">
        <f aca="false">IF($B43="","",الموظفون!$C43)</f>
        <v/>
      </c>
      <c r="D43" s="91" t="str">
        <f aca="false">IF($B43="","",الموظفون!$F43)</f>
        <v/>
      </c>
      <c r="E43" s="91" t="str">
        <f aca="false">IF($B43="","",الموظفون!$E43)</f>
        <v/>
      </c>
      <c r="F43" s="110" t="str">
        <f aca="false">IF($B43="","",IF(AE43&gt;=DAY($G$3),cfg_DAYS_M,MIN(AE43,cfg_DAYS_M)))</f>
        <v/>
      </c>
      <c r="G43" s="110" t="str">
        <f aca="false">IF($B43="","",SUMIFS('الحركات الشهرية'!$D$6:$D$1005,'الحركات الشهرية'!$B$6:$B$1005,$B43,'الحركات الشهرية'!$A$6:$A$1005,$C$3))</f>
        <v/>
      </c>
      <c r="H43" s="110" t="str">
        <f aca="false">IF($B43="","",SUMIFS('الحركات الشهرية'!$E$6:$E$1005,'الحركات الشهرية'!$B$6:$B$1005,$B43,'الحركات الشهرية'!$A$6:$A$1005,$C$3))</f>
        <v/>
      </c>
      <c r="I43" s="110" t="str">
        <f aca="false">IF($B43="","",MAX(0,F43-G43-H43))</f>
        <v/>
      </c>
      <c r="J43" s="90" t="str">
        <f aca="false">IF($B43="","",الموظفون!$J43*$I43/cfg_DAYS_M)</f>
        <v/>
      </c>
      <c r="K43" s="90" t="str">
        <f aca="false">IF($B43="","",الموظفون!$K43*$I43/cfg_DAYS_M)</f>
        <v/>
      </c>
      <c r="L43" s="90" t="str">
        <f aca="false">IF($B43="","",الموظفون!$L43*$I43/cfg_DAYS_M)</f>
        <v/>
      </c>
      <c r="M43" s="90" t="str">
        <f aca="false">IF($B43="","",الموظفون!$M43*$I43/cfg_DAYS_M)</f>
        <v/>
      </c>
      <c r="N43" s="110" t="str">
        <f aca="false">IF($B43="","",SUMIFS('الحركات الشهرية'!$F$6:$F$1005,'الحركات الشهرية'!$B$6:$B$1005,$B43,'الحركات الشهرية'!$A$6:$A$1005,$C$3))</f>
        <v/>
      </c>
      <c r="O43" s="90" t="str">
        <f aca="false">IF($B43="","",N43*(الموظفون!$N43+الموظفون!$J43*cfg_OT_P)/cfg_DAYS_M/cfg_HRS)</f>
        <v/>
      </c>
      <c r="P43" s="90" t="str">
        <f aca="false">IF($B43="","",SUMIFS('الحركات الشهرية'!$G$6:$G$1005,'الحركات الشهرية'!$B$6:$B$1005,$B43,'الحركات الشهرية'!$A$6:$A$1005,$C$3))</f>
        <v/>
      </c>
      <c r="Q43" s="90" t="str">
        <f aca="false">IF($B43="","",SUMIFS('الحركات الشهرية'!$H$6:$H$1005,'الحركات الشهرية'!$B$6:$B$1005,$B43,'الحركات الشهرية'!$A$6:$A$1005,$C$3))</f>
        <v/>
      </c>
      <c r="R43" s="111" t="str">
        <f aca="false">IF($B43="","",SUM(J43:M43)+SUM(O43:Q43))</f>
        <v/>
      </c>
      <c r="S43" s="90" t="str">
        <f aca="false">IF($B43="","",الموظفون!$Q43*IF(E43="سعودي",cfg_G_SE,cfg_G_NE)*F43/cfg_DAYS_M)</f>
        <v/>
      </c>
      <c r="T43" s="90" t="str">
        <f aca="false">IF($B43="","",SUMIFS('الحركات الشهرية'!$I$6:$I$1005,'الحركات الشهرية'!$B$6:$B$1005,$B43,'الحركات الشهرية'!$A$6:$A$1005,$C$3))</f>
        <v/>
      </c>
      <c r="U43" s="90" t="str">
        <f aca="false">IF($B43="","",SUMIFS('الحركات الشهرية'!$J$6:$J$1005,'الحركات الشهرية'!$B$6:$B$1005,$B43,'الحركات الشهرية'!$A$6:$A$1005,$C$3))</f>
        <v/>
      </c>
      <c r="V43" s="90" t="str">
        <f aca="false">IF($B43="","",SUM(S43:U43))</f>
        <v/>
      </c>
      <c r="W43" s="112" t="str">
        <f aca="false">IF($B43="","",R43-V43)</f>
        <v/>
      </c>
      <c r="X43" s="90" t="str">
        <f aca="false">IF($B43="","",الموظفون!$Q43*IF(E43="سعودي",cfg_G_SR,cfg_G_NR)*F43/cfg_DAYS_M)</f>
        <v/>
      </c>
      <c r="Y43" s="90" t="str">
        <f aca="false">IF($B43="","",الموظفون!$O43*(cfg_EOS_R1*(MIN(AC43,cfg_EOS_TH)-MIN(AD43,cfg_EOS_TH))+cfg_EOS_R2*(MAX(AC43-cfg_EOS_TH,0)-MAX(AD43-cfg_EOS_TH,0))))</f>
        <v/>
      </c>
      <c r="Z43" s="90" t="str">
        <f aca="false">IF($B43="","",IF(الموظفون!$R43&lt;&gt;"",الموظفون!$R43,IF(AC43&gt;=cfg_LV_TH,cfg_LV_D2,cfg_LV_D1))/cfg_DAYS_Y*AE43*الموظفون!$P43/cfg_DAYS_M)</f>
        <v/>
      </c>
      <c r="AA43" s="90" t="str">
        <f aca="false">IF($B43="","",IF(AND(الموظفون!$S43="نعم",N(الموظفون!$U43)&gt;0),الموظفون!$T43/الموظفون!$U43*12/cfg_DAYS_Y*AE43,0))</f>
        <v/>
      </c>
      <c r="AB43" s="113" t="str">
        <f aca="false">IF($B43="","",R43+SUM(X43:AA43))</f>
        <v/>
      </c>
      <c r="AC43" s="114" t="str">
        <f aca="false">IF($B43="","",MAX(0,IF(OR(الموظفون!$X43="",الموظفون!$X43&gt;$G$3),$G$3,الموظفون!$X43)-الموظفون!$H43+1)/cfg_DAYS_Y)</f>
        <v/>
      </c>
      <c r="AD43" s="114" t="str">
        <f aca="false">IF($B43="","",MAX(0,IF(OR(الموظفون!$X43="",الموظفون!$X43&gt;($E$3-1)),($E$3-1),الموظفون!$X43)-الموظفون!$H43+1)/cfg_DAYS_Y)</f>
        <v/>
      </c>
      <c r="AE43" s="115" t="str">
        <f aca="false">IF($B43="","",MAX(0,IF(OR(الموظفون!$X43="",الموظفون!$X43&gt;$G$3),$G$3,الموظفون!$X43)-MAX($E$3,الموظفون!$H43)+1))</f>
        <v/>
      </c>
    </row>
    <row r="44" customFormat="false" ht="15" hidden="false" customHeight="false" outlineLevel="0" collapsed="false">
      <c r="A44" s="83" t="str">
        <f aca="false">IF($B44="","",الموظفون!$A44)</f>
        <v/>
      </c>
      <c r="B44" s="74" t="str">
        <f aca="false">IF(الموظفون!$B44="","",الموظفون!$B44)</f>
        <v/>
      </c>
      <c r="C44" s="74" t="str">
        <f aca="false">IF($B44="","",الموظفون!$C44)</f>
        <v/>
      </c>
      <c r="D44" s="74" t="str">
        <f aca="false">IF($B44="","",الموظفون!$F44)</f>
        <v/>
      </c>
      <c r="E44" s="74" t="str">
        <f aca="false">IF($B44="","",الموظفون!$E44)</f>
        <v/>
      </c>
      <c r="F44" s="105" t="str">
        <f aca="false">IF($B44="","",IF(AE44&gt;=DAY($G$3),cfg_DAYS_M,MIN(AE44,cfg_DAYS_M)))</f>
        <v/>
      </c>
      <c r="G44" s="105" t="str">
        <f aca="false">IF($B44="","",SUMIFS('الحركات الشهرية'!$D$6:$D$1005,'الحركات الشهرية'!$B$6:$B$1005,$B44,'الحركات الشهرية'!$A$6:$A$1005,$C$3))</f>
        <v/>
      </c>
      <c r="H44" s="105" t="str">
        <f aca="false">IF($B44="","",SUMIFS('الحركات الشهرية'!$E$6:$E$1005,'الحركات الشهرية'!$B$6:$B$1005,$B44,'الحركات الشهرية'!$A$6:$A$1005,$C$3))</f>
        <v/>
      </c>
      <c r="I44" s="105" t="str">
        <f aca="false">IF($B44="","",MAX(0,F44-G44-H44))</f>
        <v/>
      </c>
      <c r="J44" s="86" t="str">
        <f aca="false">IF($B44="","",الموظفون!$J44*$I44/cfg_DAYS_M)</f>
        <v/>
      </c>
      <c r="K44" s="86" t="str">
        <f aca="false">IF($B44="","",الموظفون!$K44*$I44/cfg_DAYS_M)</f>
        <v/>
      </c>
      <c r="L44" s="86" t="str">
        <f aca="false">IF($B44="","",الموظفون!$L44*$I44/cfg_DAYS_M)</f>
        <v/>
      </c>
      <c r="M44" s="86" t="str">
        <f aca="false">IF($B44="","",الموظفون!$M44*$I44/cfg_DAYS_M)</f>
        <v/>
      </c>
      <c r="N44" s="105" t="str">
        <f aca="false">IF($B44="","",SUMIFS('الحركات الشهرية'!$F$6:$F$1005,'الحركات الشهرية'!$B$6:$B$1005,$B44,'الحركات الشهرية'!$A$6:$A$1005,$C$3))</f>
        <v/>
      </c>
      <c r="O44" s="86" t="str">
        <f aca="false">IF($B44="","",N44*(الموظفون!$N44+الموظفون!$J44*cfg_OT_P)/cfg_DAYS_M/cfg_HRS)</f>
        <v/>
      </c>
      <c r="P44" s="86" t="str">
        <f aca="false">IF($B44="","",SUMIFS('الحركات الشهرية'!$G$6:$G$1005,'الحركات الشهرية'!$B$6:$B$1005,$B44,'الحركات الشهرية'!$A$6:$A$1005,$C$3))</f>
        <v/>
      </c>
      <c r="Q44" s="86" t="str">
        <f aca="false">IF($B44="","",SUMIFS('الحركات الشهرية'!$H$6:$H$1005,'الحركات الشهرية'!$B$6:$B$1005,$B44,'الحركات الشهرية'!$A$6:$A$1005,$C$3))</f>
        <v/>
      </c>
      <c r="R44" s="106" t="str">
        <f aca="false">IF($B44="","",SUM(J44:M44)+SUM(O44:Q44))</f>
        <v/>
      </c>
      <c r="S44" s="86" t="str">
        <f aca="false">IF($B44="","",الموظفون!$Q44*IF(E44="سعودي",cfg_G_SE,cfg_G_NE)*F44/cfg_DAYS_M)</f>
        <v/>
      </c>
      <c r="T44" s="86" t="str">
        <f aca="false">IF($B44="","",SUMIFS('الحركات الشهرية'!$I$6:$I$1005,'الحركات الشهرية'!$B$6:$B$1005,$B44,'الحركات الشهرية'!$A$6:$A$1005,$C$3))</f>
        <v/>
      </c>
      <c r="U44" s="86" t="str">
        <f aca="false">IF($B44="","",SUMIFS('الحركات الشهرية'!$J$6:$J$1005,'الحركات الشهرية'!$B$6:$B$1005,$B44,'الحركات الشهرية'!$A$6:$A$1005,$C$3))</f>
        <v/>
      </c>
      <c r="V44" s="86" t="str">
        <f aca="false">IF($B44="","",SUM(S44:U44))</f>
        <v/>
      </c>
      <c r="W44" s="107" t="str">
        <f aca="false">IF($B44="","",R44-V44)</f>
        <v/>
      </c>
      <c r="X44" s="86" t="str">
        <f aca="false">IF($B44="","",الموظفون!$Q44*IF(E44="سعودي",cfg_G_SR,cfg_G_NR)*F44/cfg_DAYS_M)</f>
        <v/>
      </c>
      <c r="Y44" s="86" t="str">
        <f aca="false">IF($B44="","",الموظفون!$O44*(cfg_EOS_R1*(MIN(AC44,cfg_EOS_TH)-MIN(AD44,cfg_EOS_TH))+cfg_EOS_R2*(MAX(AC44-cfg_EOS_TH,0)-MAX(AD44-cfg_EOS_TH,0))))</f>
        <v/>
      </c>
      <c r="Z44" s="86" t="str">
        <f aca="false">IF($B44="","",IF(الموظفون!$R44&lt;&gt;"",الموظفون!$R44,IF(AC44&gt;=cfg_LV_TH,cfg_LV_D2,cfg_LV_D1))/cfg_DAYS_Y*AE44*الموظفون!$P44/cfg_DAYS_M)</f>
        <v/>
      </c>
      <c r="AA44" s="86" t="str">
        <f aca="false">IF($B44="","",IF(AND(الموظفون!$S44="نعم",N(الموظفون!$U44)&gt;0),الموظفون!$T44/الموظفون!$U44*12/cfg_DAYS_Y*AE44,0))</f>
        <v/>
      </c>
      <c r="AB44" s="108" t="str">
        <f aca="false">IF($B44="","",R44+SUM(X44:AA44))</f>
        <v/>
      </c>
      <c r="AC44" s="109" t="str">
        <f aca="false">IF($B44="","",MAX(0,IF(OR(الموظفون!$X44="",الموظفون!$X44&gt;$G$3),$G$3,الموظفون!$X44)-الموظفون!$H44+1)/cfg_DAYS_Y)</f>
        <v/>
      </c>
      <c r="AD44" s="109" t="str">
        <f aca="false">IF($B44="","",MAX(0,IF(OR(الموظفون!$X44="",الموظفون!$X44&gt;($E$3-1)),($E$3-1),الموظفون!$X44)-الموظفون!$H44+1)/cfg_DAYS_Y)</f>
        <v/>
      </c>
      <c r="AE44" s="51" t="str">
        <f aca="false">IF($B44="","",MAX(0,IF(OR(الموظفون!$X44="",الموظفون!$X44&gt;$G$3),$G$3,الموظفون!$X44)-MAX($E$3,الموظفون!$H44)+1))</f>
        <v/>
      </c>
    </row>
    <row r="45" customFormat="false" ht="15" hidden="false" customHeight="false" outlineLevel="0" collapsed="false">
      <c r="A45" s="89" t="str">
        <f aca="false">IF($B45="","",الموظفون!$A45)</f>
        <v/>
      </c>
      <c r="B45" s="91" t="str">
        <f aca="false">IF(الموظفون!$B45="","",الموظفون!$B45)</f>
        <v/>
      </c>
      <c r="C45" s="91" t="str">
        <f aca="false">IF($B45="","",الموظفون!$C45)</f>
        <v/>
      </c>
      <c r="D45" s="91" t="str">
        <f aca="false">IF($B45="","",الموظفون!$F45)</f>
        <v/>
      </c>
      <c r="E45" s="91" t="str">
        <f aca="false">IF($B45="","",الموظفون!$E45)</f>
        <v/>
      </c>
      <c r="F45" s="110" t="str">
        <f aca="false">IF($B45="","",IF(AE45&gt;=DAY($G$3),cfg_DAYS_M,MIN(AE45,cfg_DAYS_M)))</f>
        <v/>
      </c>
      <c r="G45" s="110" t="str">
        <f aca="false">IF($B45="","",SUMIFS('الحركات الشهرية'!$D$6:$D$1005,'الحركات الشهرية'!$B$6:$B$1005,$B45,'الحركات الشهرية'!$A$6:$A$1005,$C$3))</f>
        <v/>
      </c>
      <c r="H45" s="110" t="str">
        <f aca="false">IF($B45="","",SUMIFS('الحركات الشهرية'!$E$6:$E$1005,'الحركات الشهرية'!$B$6:$B$1005,$B45,'الحركات الشهرية'!$A$6:$A$1005,$C$3))</f>
        <v/>
      </c>
      <c r="I45" s="110" t="str">
        <f aca="false">IF($B45="","",MAX(0,F45-G45-H45))</f>
        <v/>
      </c>
      <c r="J45" s="90" t="str">
        <f aca="false">IF($B45="","",الموظفون!$J45*$I45/cfg_DAYS_M)</f>
        <v/>
      </c>
      <c r="K45" s="90" t="str">
        <f aca="false">IF($B45="","",الموظفون!$K45*$I45/cfg_DAYS_M)</f>
        <v/>
      </c>
      <c r="L45" s="90" t="str">
        <f aca="false">IF($B45="","",الموظفون!$L45*$I45/cfg_DAYS_M)</f>
        <v/>
      </c>
      <c r="M45" s="90" t="str">
        <f aca="false">IF($B45="","",الموظفون!$M45*$I45/cfg_DAYS_M)</f>
        <v/>
      </c>
      <c r="N45" s="110" t="str">
        <f aca="false">IF($B45="","",SUMIFS('الحركات الشهرية'!$F$6:$F$1005,'الحركات الشهرية'!$B$6:$B$1005,$B45,'الحركات الشهرية'!$A$6:$A$1005,$C$3))</f>
        <v/>
      </c>
      <c r="O45" s="90" t="str">
        <f aca="false">IF($B45="","",N45*(الموظفون!$N45+الموظفون!$J45*cfg_OT_P)/cfg_DAYS_M/cfg_HRS)</f>
        <v/>
      </c>
      <c r="P45" s="90" t="str">
        <f aca="false">IF($B45="","",SUMIFS('الحركات الشهرية'!$G$6:$G$1005,'الحركات الشهرية'!$B$6:$B$1005,$B45,'الحركات الشهرية'!$A$6:$A$1005,$C$3))</f>
        <v/>
      </c>
      <c r="Q45" s="90" t="str">
        <f aca="false">IF($B45="","",SUMIFS('الحركات الشهرية'!$H$6:$H$1005,'الحركات الشهرية'!$B$6:$B$1005,$B45,'الحركات الشهرية'!$A$6:$A$1005,$C$3))</f>
        <v/>
      </c>
      <c r="R45" s="111" t="str">
        <f aca="false">IF($B45="","",SUM(J45:M45)+SUM(O45:Q45))</f>
        <v/>
      </c>
      <c r="S45" s="90" t="str">
        <f aca="false">IF($B45="","",الموظفون!$Q45*IF(E45="سعودي",cfg_G_SE,cfg_G_NE)*F45/cfg_DAYS_M)</f>
        <v/>
      </c>
      <c r="T45" s="90" t="str">
        <f aca="false">IF($B45="","",SUMIFS('الحركات الشهرية'!$I$6:$I$1005,'الحركات الشهرية'!$B$6:$B$1005,$B45,'الحركات الشهرية'!$A$6:$A$1005,$C$3))</f>
        <v/>
      </c>
      <c r="U45" s="90" t="str">
        <f aca="false">IF($B45="","",SUMIFS('الحركات الشهرية'!$J$6:$J$1005,'الحركات الشهرية'!$B$6:$B$1005,$B45,'الحركات الشهرية'!$A$6:$A$1005,$C$3))</f>
        <v/>
      </c>
      <c r="V45" s="90" t="str">
        <f aca="false">IF($B45="","",SUM(S45:U45))</f>
        <v/>
      </c>
      <c r="W45" s="112" t="str">
        <f aca="false">IF($B45="","",R45-V45)</f>
        <v/>
      </c>
      <c r="X45" s="90" t="str">
        <f aca="false">IF($B45="","",الموظفون!$Q45*IF(E45="سعودي",cfg_G_SR,cfg_G_NR)*F45/cfg_DAYS_M)</f>
        <v/>
      </c>
      <c r="Y45" s="90" t="str">
        <f aca="false">IF($B45="","",الموظفون!$O45*(cfg_EOS_R1*(MIN(AC45,cfg_EOS_TH)-MIN(AD45,cfg_EOS_TH))+cfg_EOS_R2*(MAX(AC45-cfg_EOS_TH,0)-MAX(AD45-cfg_EOS_TH,0))))</f>
        <v/>
      </c>
      <c r="Z45" s="90" t="str">
        <f aca="false">IF($B45="","",IF(الموظفون!$R45&lt;&gt;"",الموظفون!$R45,IF(AC45&gt;=cfg_LV_TH,cfg_LV_D2,cfg_LV_D1))/cfg_DAYS_Y*AE45*الموظفون!$P45/cfg_DAYS_M)</f>
        <v/>
      </c>
      <c r="AA45" s="90" t="str">
        <f aca="false">IF($B45="","",IF(AND(الموظفون!$S45="نعم",N(الموظفون!$U45)&gt;0),الموظفون!$T45/الموظفون!$U45*12/cfg_DAYS_Y*AE45,0))</f>
        <v/>
      </c>
      <c r="AB45" s="113" t="str">
        <f aca="false">IF($B45="","",R45+SUM(X45:AA45))</f>
        <v/>
      </c>
      <c r="AC45" s="114" t="str">
        <f aca="false">IF($B45="","",MAX(0,IF(OR(الموظفون!$X45="",الموظفون!$X45&gt;$G$3),$G$3,الموظفون!$X45)-الموظفون!$H45+1)/cfg_DAYS_Y)</f>
        <v/>
      </c>
      <c r="AD45" s="114" t="str">
        <f aca="false">IF($B45="","",MAX(0,IF(OR(الموظفون!$X45="",الموظفون!$X45&gt;($E$3-1)),($E$3-1),الموظفون!$X45)-الموظفون!$H45+1)/cfg_DAYS_Y)</f>
        <v/>
      </c>
      <c r="AE45" s="115" t="str">
        <f aca="false">IF($B45="","",MAX(0,IF(OR(الموظفون!$X45="",الموظفون!$X45&gt;$G$3),$G$3,الموظفون!$X45)-MAX($E$3,الموظفون!$H45)+1))</f>
        <v/>
      </c>
    </row>
    <row r="46" customFormat="false" ht="15" hidden="false" customHeight="false" outlineLevel="0" collapsed="false">
      <c r="A46" s="83" t="str">
        <f aca="false">IF($B46="","",الموظفون!$A46)</f>
        <v/>
      </c>
      <c r="B46" s="74" t="str">
        <f aca="false">IF(الموظفون!$B46="","",الموظفون!$B46)</f>
        <v/>
      </c>
      <c r="C46" s="74" t="str">
        <f aca="false">IF($B46="","",الموظفون!$C46)</f>
        <v/>
      </c>
      <c r="D46" s="74" t="str">
        <f aca="false">IF($B46="","",الموظفون!$F46)</f>
        <v/>
      </c>
      <c r="E46" s="74" t="str">
        <f aca="false">IF($B46="","",الموظفون!$E46)</f>
        <v/>
      </c>
      <c r="F46" s="105" t="str">
        <f aca="false">IF($B46="","",IF(AE46&gt;=DAY($G$3),cfg_DAYS_M,MIN(AE46,cfg_DAYS_M)))</f>
        <v/>
      </c>
      <c r="G46" s="105" t="str">
        <f aca="false">IF($B46="","",SUMIFS('الحركات الشهرية'!$D$6:$D$1005,'الحركات الشهرية'!$B$6:$B$1005,$B46,'الحركات الشهرية'!$A$6:$A$1005,$C$3))</f>
        <v/>
      </c>
      <c r="H46" s="105" t="str">
        <f aca="false">IF($B46="","",SUMIFS('الحركات الشهرية'!$E$6:$E$1005,'الحركات الشهرية'!$B$6:$B$1005,$B46,'الحركات الشهرية'!$A$6:$A$1005,$C$3))</f>
        <v/>
      </c>
      <c r="I46" s="105" t="str">
        <f aca="false">IF($B46="","",MAX(0,F46-G46-H46))</f>
        <v/>
      </c>
      <c r="J46" s="86" t="str">
        <f aca="false">IF($B46="","",الموظفون!$J46*$I46/cfg_DAYS_M)</f>
        <v/>
      </c>
      <c r="K46" s="86" t="str">
        <f aca="false">IF($B46="","",الموظفون!$K46*$I46/cfg_DAYS_M)</f>
        <v/>
      </c>
      <c r="L46" s="86" t="str">
        <f aca="false">IF($B46="","",الموظفون!$L46*$I46/cfg_DAYS_M)</f>
        <v/>
      </c>
      <c r="M46" s="86" t="str">
        <f aca="false">IF($B46="","",الموظفون!$M46*$I46/cfg_DAYS_M)</f>
        <v/>
      </c>
      <c r="N46" s="105" t="str">
        <f aca="false">IF($B46="","",SUMIFS('الحركات الشهرية'!$F$6:$F$1005,'الحركات الشهرية'!$B$6:$B$1005,$B46,'الحركات الشهرية'!$A$6:$A$1005,$C$3))</f>
        <v/>
      </c>
      <c r="O46" s="86" t="str">
        <f aca="false">IF($B46="","",N46*(الموظفون!$N46+الموظفون!$J46*cfg_OT_P)/cfg_DAYS_M/cfg_HRS)</f>
        <v/>
      </c>
      <c r="P46" s="86" t="str">
        <f aca="false">IF($B46="","",SUMIFS('الحركات الشهرية'!$G$6:$G$1005,'الحركات الشهرية'!$B$6:$B$1005,$B46,'الحركات الشهرية'!$A$6:$A$1005,$C$3))</f>
        <v/>
      </c>
      <c r="Q46" s="86" t="str">
        <f aca="false">IF($B46="","",SUMIFS('الحركات الشهرية'!$H$6:$H$1005,'الحركات الشهرية'!$B$6:$B$1005,$B46,'الحركات الشهرية'!$A$6:$A$1005,$C$3))</f>
        <v/>
      </c>
      <c r="R46" s="106" t="str">
        <f aca="false">IF($B46="","",SUM(J46:M46)+SUM(O46:Q46))</f>
        <v/>
      </c>
      <c r="S46" s="86" t="str">
        <f aca="false">IF($B46="","",الموظفون!$Q46*IF(E46="سعودي",cfg_G_SE,cfg_G_NE)*F46/cfg_DAYS_M)</f>
        <v/>
      </c>
      <c r="T46" s="86" t="str">
        <f aca="false">IF($B46="","",SUMIFS('الحركات الشهرية'!$I$6:$I$1005,'الحركات الشهرية'!$B$6:$B$1005,$B46,'الحركات الشهرية'!$A$6:$A$1005,$C$3))</f>
        <v/>
      </c>
      <c r="U46" s="86" t="str">
        <f aca="false">IF($B46="","",SUMIFS('الحركات الشهرية'!$J$6:$J$1005,'الحركات الشهرية'!$B$6:$B$1005,$B46,'الحركات الشهرية'!$A$6:$A$1005,$C$3))</f>
        <v/>
      </c>
      <c r="V46" s="86" t="str">
        <f aca="false">IF($B46="","",SUM(S46:U46))</f>
        <v/>
      </c>
      <c r="W46" s="107" t="str">
        <f aca="false">IF($B46="","",R46-V46)</f>
        <v/>
      </c>
      <c r="X46" s="86" t="str">
        <f aca="false">IF($B46="","",الموظفون!$Q46*IF(E46="سعودي",cfg_G_SR,cfg_G_NR)*F46/cfg_DAYS_M)</f>
        <v/>
      </c>
      <c r="Y46" s="86" t="str">
        <f aca="false">IF($B46="","",الموظفون!$O46*(cfg_EOS_R1*(MIN(AC46,cfg_EOS_TH)-MIN(AD46,cfg_EOS_TH))+cfg_EOS_R2*(MAX(AC46-cfg_EOS_TH,0)-MAX(AD46-cfg_EOS_TH,0))))</f>
        <v/>
      </c>
      <c r="Z46" s="86" t="str">
        <f aca="false">IF($B46="","",IF(الموظفون!$R46&lt;&gt;"",الموظفون!$R46,IF(AC46&gt;=cfg_LV_TH,cfg_LV_D2,cfg_LV_D1))/cfg_DAYS_Y*AE46*الموظفون!$P46/cfg_DAYS_M)</f>
        <v/>
      </c>
      <c r="AA46" s="86" t="str">
        <f aca="false">IF($B46="","",IF(AND(الموظفون!$S46="نعم",N(الموظفون!$U46)&gt;0),الموظفون!$T46/الموظفون!$U46*12/cfg_DAYS_Y*AE46,0))</f>
        <v/>
      </c>
      <c r="AB46" s="108" t="str">
        <f aca="false">IF($B46="","",R46+SUM(X46:AA46))</f>
        <v/>
      </c>
      <c r="AC46" s="109" t="str">
        <f aca="false">IF($B46="","",MAX(0,IF(OR(الموظفون!$X46="",الموظفون!$X46&gt;$G$3),$G$3,الموظفون!$X46)-الموظفون!$H46+1)/cfg_DAYS_Y)</f>
        <v/>
      </c>
      <c r="AD46" s="109" t="str">
        <f aca="false">IF($B46="","",MAX(0,IF(OR(الموظفون!$X46="",الموظفون!$X46&gt;($E$3-1)),($E$3-1),الموظفون!$X46)-الموظفون!$H46+1)/cfg_DAYS_Y)</f>
        <v/>
      </c>
      <c r="AE46" s="51" t="str">
        <f aca="false">IF($B46="","",MAX(0,IF(OR(الموظفون!$X46="",الموظفون!$X46&gt;$G$3),$G$3,الموظفون!$X46)-MAX($E$3,الموظفون!$H46)+1))</f>
        <v/>
      </c>
    </row>
    <row r="47" customFormat="false" ht="15" hidden="false" customHeight="false" outlineLevel="0" collapsed="false">
      <c r="A47" s="89" t="str">
        <f aca="false">IF($B47="","",الموظفون!$A47)</f>
        <v/>
      </c>
      <c r="B47" s="91" t="str">
        <f aca="false">IF(الموظفون!$B47="","",الموظفون!$B47)</f>
        <v/>
      </c>
      <c r="C47" s="91" t="str">
        <f aca="false">IF($B47="","",الموظفون!$C47)</f>
        <v/>
      </c>
      <c r="D47" s="91" t="str">
        <f aca="false">IF($B47="","",الموظفون!$F47)</f>
        <v/>
      </c>
      <c r="E47" s="91" t="str">
        <f aca="false">IF($B47="","",الموظفون!$E47)</f>
        <v/>
      </c>
      <c r="F47" s="110" t="str">
        <f aca="false">IF($B47="","",IF(AE47&gt;=DAY($G$3),cfg_DAYS_M,MIN(AE47,cfg_DAYS_M)))</f>
        <v/>
      </c>
      <c r="G47" s="110" t="str">
        <f aca="false">IF($B47="","",SUMIFS('الحركات الشهرية'!$D$6:$D$1005,'الحركات الشهرية'!$B$6:$B$1005,$B47,'الحركات الشهرية'!$A$6:$A$1005,$C$3))</f>
        <v/>
      </c>
      <c r="H47" s="110" t="str">
        <f aca="false">IF($B47="","",SUMIFS('الحركات الشهرية'!$E$6:$E$1005,'الحركات الشهرية'!$B$6:$B$1005,$B47,'الحركات الشهرية'!$A$6:$A$1005,$C$3))</f>
        <v/>
      </c>
      <c r="I47" s="110" t="str">
        <f aca="false">IF($B47="","",MAX(0,F47-G47-H47))</f>
        <v/>
      </c>
      <c r="J47" s="90" t="str">
        <f aca="false">IF($B47="","",الموظفون!$J47*$I47/cfg_DAYS_M)</f>
        <v/>
      </c>
      <c r="K47" s="90" t="str">
        <f aca="false">IF($B47="","",الموظفون!$K47*$I47/cfg_DAYS_M)</f>
        <v/>
      </c>
      <c r="L47" s="90" t="str">
        <f aca="false">IF($B47="","",الموظفون!$L47*$I47/cfg_DAYS_M)</f>
        <v/>
      </c>
      <c r="M47" s="90" t="str">
        <f aca="false">IF($B47="","",الموظفون!$M47*$I47/cfg_DAYS_M)</f>
        <v/>
      </c>
      <c r="N47" s="110" t="str">
        <f aca="false">IF($B47="","",SUMIFS('الحركات الشهرية'!$F$6:$F$1005,'الحركات الشهرية'!$B$6:$B$1005,$B47,'الحركات الشهرية'!$A$6:$A$1005,$C$3))</f>
        <v/>
      </c>
      <c r="O47" s="90" t="str">
        <f aca="false">IF($B47="","",N47*(الموظفون!$N47+الموظفون!$J47*cfg_OT_P)/cfg_DAYS_M/cfg_HRS)</f>
        <v/>
      </c>
      <c r="P47" s="90" t="str">
        <f aca="false">IF($B47="","",SUMIFS('الحركات الشهرية'!$G$6:$G$1005,'الحركات الشهرية'!$B$6:$B$1005,$B47,'الحركات الشهرية'!$A$6:$A$1005,$C$3))</f>
        <v/>
      </c>
      <c r="Q47" s="90" t="str">
        <f aca="false">IF($B47="","",SUMIFS('الحركات الشهرية'!$H$6:$H$1005,'الحركات الشهرية'!$B$6:$B$1005,$B47,'الحركات الشهرية'!$A$6:$A$1005,$C$3))</f>
        <v/>
      </c>
      <c r="R47" s="111" t="str">
        <f aca="false">IF($B47="","",SUM(J47:M47)+SUM(O47:Q47))</f>
        <v/>
      </c>
      <c r="S47" s="90" t="str">
        <f aca="false">IF($B47="","",الموظفون!$Q47*IF(E47="سعودي",cfg_G_SE,cfg_G_NE)*F47/cfg_DAYS_M)</f>
        <v/>
      </c>
      <c r="T47" s="90" t="str">
        <f aca="false">IF($B47="","",SUMIFS('الحركات الشهرية'!$I$6:$I$1005,'الحركات الشهرية'!$B$6:$B$1005,$B47,'الحركات الشهرية'!$A$6:$A$1005,$C$3))</f>
        <v/>
      </c>
      <c r="U47" s="90" t="str">
        <f aca="false">IF($B47="","",SUMIFS('الحركات الشهرية'!$J$6:$J$1005,'الحركات الشهرية'!$B$6:$B$1005,$B47,'الحركات الشهرية'!$A$6:$A$1005,$C$3))</f>
        <v/>
      </c>
      <c r="V47" s="90" t="str">
        <f aca="false">IF($B47="","",SUM(S47:U47))</f>
        <v/>
      </c>
      <c r="W47" s="112" t="str">
        <f aca="false">IF($B47="","",R47-V47)</f>
        <v/>
      </c>
      <c r="X47" s="90" t="str">
        <f aca="false">IF($B47="","",الموظفون!$Q47*IF(E47="سعودي",cfg_G_SR,cfg_G_NR)*F47/cfg_DAYS_M)</f>
        <v/>
      </c>
      <c r="Y47" s="90" t="str">
        <f aca="false">IF($B47="","",الموظفون!$O47*(cfg_EOS_R1*(MIN(AC47,cfg_EOS_TH)-MIN(AD47,cfg_EOS_TH))+cfg_EOS_R2*(MAX(AC47-cfg_EOS_TH,0)-MAX(AD47-cfg_EOS_TH,0))))</f>
        <v/>
      </c>
      <c r="Z47" s="90" t="str">
        <f aca="false">IF($B47="","",IF(الموظفون!$R47&lt;&gt;"",الموظفون!$R47,IF(AC47&gt;=cfg_LV_TH,cfg_LV_D2,cfg_LV_D1))/cfg_DAYS_Y*AE47*الموظفون!$P47/cfg_DAYS_M)</f>
        <v/>
      </c>
      <c r="AA47" s="90" t="str">
        <f aca="false">IF($B47="","",IF(AND(الموظفون!$S47="نعم",N(الموظفون!$U47)&gt;0),الموظفون!$T47/الموظفون!$U47*12/cfg_DAYS_Y*AE47,0))</f>
        <v/>
      </c>
      <c r="AB47" s="113" t="str">
        <f aca="false">IF($B47="","",R47+SUM(X47:AA47))</f>
        <v/>
      </c>
      <c r="AC47" s="114" t="str">
        <f aca="false">IF($B47="","",MAX(0,IF(OR(الموظفون!$X47="",الموظفون!$X47&gt;$G$3),$G$3,الموظفون!$X47)-الموظفون!$H47+1)/cfg_DAYS_Y)</f>
        <v/>
      </c>
      <c r="AD47" s="114" t="str">
        <f aca="false">IF($B47="","",MAX(0,IF(OR(الموظفون!$X47="",الموظفون!$X47&gt;($E$3-1)),($E$3-1),الموظفون!$X47)-الموظفون!$H47+1)/cfg_DAYS_Y)</f>
        <v/>
      </c>
      <c r="AE47" s="115" t="str">
        <f aca="false">IF($B47="","",MAX(0,IF(OR(الموظفون!$X47="",الموظفون!$X47&gt;$G$3),$G$3,الموظفون!$X47)-MAX($E$3,الموظفون!$H47)+1))</f>
        <v/>
      </c>
    </row>
    <row r="48" customFormat="false" ht="15" hidden="false" customHeight="false" outlineLevel="0" collapsed="false">
      <c r="A48" s="83" t="str">
        <f aca="false">IF($B48="","",الموظفون!$A48)</f>
        <v/>
      </c>
      <c r="B48" s="74" t="str">
        <f aca="false">IF(الموظفون!$B48="","",الموظفون!$B48)</f>
        <v/>
      </c>
      <c r="C48" s="74" t="str">
        <f aca="false">IF($B48="","",الموظفون!$C48)</f>
        <v/>
      </c>
      <c r="D48" s="74" t="str">
        <f aca="false">IF($B48="","",الموظفون!$F48)</f>
        <v/>
      </c>
      <c r="E48" s="74" t="str">
        <f aca="false">IF($B48="","",الموظفون!$E48)</f>
        <v/>
      </c>
      <c r="F48" s="105" t="str">
        <f aca="false">IF($B48="","",IF(AE48&gt;=DAY($G$3),cfg_DAYS_M,MIN(AE48,cfg_DAYS_M)))</f>
        <v/>
      </c>
      <c r="G48" s="105" t="str">
        <f aca="false">IF($B48="","",SUMIFS('الحركات الشهرية'!$D$6:$D$1005,'الحركات الشهرية'!$B$6:$B$1005,$B48,'الحركات الشهرية'!$A$6:$A$1005,$C$3))</f>
        <v/>
      </c>
      <c r="H48" s="105" t="str">
        <f aca="false">IF($B48="","",SUMIFS('الحركات الشهرية'!$E$6:$E$1005,'الحركات الشهرية'!$B$6:$B$1005,$B48,'الحركات الشهرية'!$A$6:$A$1005,$C$3))</f>
        <v/>
      </c>
      <c r="I48" s="105" t="str">
        <f aca="false">IF($B48="","",MAX(0,F48-G48-H48))</f>
        <v/>
      </c>
      <c r="J48" s="86" t="str">
        <f aca="false">IF($B48="","",الموظفون!$J48*$I48/cfg_DAYS_M)</f>
        <v/>
      </c>
      <c r="K48" s="86" t="str">
        <f aca="false">IF($B48="","",الموظفون!$K48*$I48/cfg_DAYS_M)</f>
        <v/>
      </c>
      <c r="L48" s="86" t="str">
        <f aca="false">IF($B48="","",الموظفون!$L48*$I48/cfg_DAYS_M)</f>
        <v/>
      </c>
      <c r="M48" s="86" t="str">
        <f aca="false">IF($B48="","",الموظفون!$M48*$I48/cfg_DAYS_M)</f>
        <v/>
      </c>
      <c r="N48" s="105" t="str">
        <f aca="false">IF($B48="","",SUMIFS('الحركات الشهرية'!$F$6:$F$1005,'الحركات الشهرية'!$B$6:$B$1005,$B48,'الحركات الشهرية'!$A$6:$A$1005,$C$3))</f>
        <v/>
      </c>
      <c r="O48" s="86" t="str">
        <f aca="false">IF($B48="","",N48*(الموظفون!$N48+الموظفون!$J48*cfg_OT_P)/cfg_DAYS_M/cfg_HRS)</f>
        <v/>
      </c>
      <c r="P48" s="86" t="str">
        <f aca="false">IF($B48="","",SUMIFS('الحركات الشهرية'!$G$6:$G$1005,'الحركات الشهرية'!$B$6:$B$1005,$B48,'الحركات الشهرية'!$A$6:$A$1005,$C$3))</f>
        <v/>
      </c>
      <c r="Q48" s="86" t="str">
        <f aca="false">IF($B48="","",SUMIFS('الحركات الشهرية'!$H$6:$H$1005,'الحركات الشهرية'!$B$6:$B$1005,$B48,'الحركات الشهرية'!$A$6:$A$1005,$C$3))</f>
        <v/>
      </c>
      <c r="R48" s="106" t="str">
        <f aca="false">IF($B48="","",SUM(J48:M48)+SUM(O48:Q48))</f>
        <v/>
      </c>
      <c r="S48" s="86" t="str">
        <f aca="false">IF($B48="","",الموظفون!$Q48*IF(E48="سعودي",cfg_G_SE,cfg_G_NE)*F48/cfg_DAYS_M)</f>
        <v/>
      </c>
      <c r="T48" s="86" t="str">
        <f aca="false">IF($B48="","",SUMIFS('الحركات الشهرية'!$I$6:$I$1005,'الحركات الشهرية'!$B$6:$B$1005,$B48,'الحركات الشهرية'!$A$6:$A$1005,$C$3))</f>
        <v/>
      </c>
      <c r="U48" s="86" t="str">
        <f aca="false">IF($B48="","",SUMIFS('الحركات الشهرية'!$J$6:$J$1005,'الحركات الشهرية'!$B$6:$B$1005,$B48,'الحركات الشهرية'!$A$6:$A$1005,$C$3))</f>
        <v/>
      </c>
      <c r="V48" s="86" t="str">
        <f aca="false">IF($B48="","",SUM(S48:U48))</f>
        <v/>
      </c>
      <c r="W48" s="107" t="str">
        <f aca="false">IF($B48="","",R48-V48)</f>
        <v/>
      </c>
      <c r="X48" s="86" t="str">
        <f aca="false">IF($B48="","",الموظفون!$Q48*IF(E48="سعودي",cfg_G_SR,cfg_G_NR)*F48/cfg_DAYS_M)</f>
        <v/>
      </c>
      <c r="Y48" s="86" t="str">
        <f aca="false">IF($B48="","",الموظفون!$O48*(cfg_EOS_R1*(MIN(AC48,cfg_EOS_TH)-MIN(AD48,cfg_EOS_TH))+cfg_EOS_R2*(MAX(AC48-cfg_EOS_TH,0)-MAX(AD48-cfg_EOS_TH,0))))</f>
        <v/>
      </c>
      <c r="Z48" s="86" t="str">
        <f aca="false">IF($B48="","",IF(الموظفون!$R48&lt;&gt;"",الموظفون!$R48,IF(AC48&gt;=cfg_LV_TH,cfg_LV_D2,cfg_LV_D1))/cfg_DAYS_Y*AE48*الموظفون!$P48/cfg_DAYS_M)</f>
        <v/>
      </c>
      <c r="AA48" s="86" t="str">
        <f aca="false">IF($B48="","",IF(AND(الموظفون!$S48="نعم",N(الموظفون!$U48)&gt;0),الموظفون!$T48/الموظفون!$U48*12/cfg_DAYS_Y*AE48,0))</f>
        <v/>
      </c>
      <c r="AB48" s="108" t="str">
        <f aca="false">IF($B48="","",R48+SUM(X48:AA48))</f>
        <v/>
      </c>
      <c r="AC48" s="109" t="str">
        <f aca="false">IF($B48="","",MAX(0,IF(OR(الموظفون!$X48="",الموظفون!$X48&gt;$G$3),$G$3,الموظفون!$X48)-الموظفون!$H48+1)/cfg_DAYS_Y)</f>
        <v/>
      </c>
      <c r="AD48" s="109" t="str">
        <f aca="false">IF($B48="","",MAX(0,IF(OR(الموظفون!$X48="",الموظفون!$X48&gt;($E$3-1)),($E$3-1),الموظفون!$X48)-الموظفون!$H48+1)/cfg_DAYS_Y)</f>
        <v/>
      </c>
      <c r="AE48" s="51" t="str">
        <f aca="false">IF($B48="","",MAX(0,IF(OR(الموظفون!$X48="",الموظفون!$X48&gt;$G$3),$G$3,الموظفون!$X48)-MAX($E$3,الموظفون!$H48)+1))</f>
        <v/>
      </c>
    </row>
    <row r="49" customFormat="false" ht="15" hidden="false" customHeight="false" outlineLevel="0" collapsed="false">
      <c r="A49" s="89" t="str">
        <f aca="false">IF($B49="","",الموظفون!$A49)</f>
        <v/>
      </c>
      <c r="B49" s="91" t="str">
        <f aca="false">IF(الموظفون!$B49="","",الموظفون!$B49)</f>
        <v/>
      </c>
      <c r="C49" s="91" t="str">
        <f aca="false">IF($B49="","",الموظفون!$C49)</f>
        <v/>
      </c>
      <c r="D49" s="91" t="str">
        <f aca="false">IF($B49="","",الموظفون!$F49)</f>
        <v/>
      </c>
      <c r="E49" s="91" t="str">
        <f aca="false">IF($B49="","",الموظفون!$E49)</f>
        <v/>
      </c>
      <c r="F49" s="110" t="str">
        <f aca="false">IF($B49="","",IF(AE49&gt;=DAY($G$3),cfg_DAYS_M,MIN(AE49,cfg_DAYS_M)))</f>
        <v/>
      </c>
      <c r="G49" s="110" t="str">
        <f aca="false">IF($B49="","",SUMIFS('الحركات الشهرية'!$D$6:$D$1005,'الحركات الشهرية'!$B$6:$B$1005,$B49,'الحركات الشهرية'!$A$6:$A$1005,$C$3))</f>
        <v/>
      </c>
      <c r="H49" s="110" t="str">
        <f aca="false">IF($B49="","",SUMIFS('الحركات الشهرية'!$E$6:$E$1005,'الحركات الشهرية'!$B$6:$B$1005,$B49,'الحركات الشهرية'!$A$6:$A$1005,$C$3))</f>
        <v/>
      </c>
      <c r="I49" s="110" t="str">
        <f aca="false">IF($B49="","",MAX(0,F49-G49-H49))</f>
        <v/>
      </c>
      <c r="J49" s="90" t="str">
        <f aca="false">IF($B49="","",الموظفون!$J49*$I49/cfg_DAYS_M)</f>
        <v/>
      </c>
      <c r="K49" s="90" t="str">
        <f aca="false">IF($B49="","",الموظفون!$K49*$I49/cfg_DAYS_M)</f>
        <v/>
      </c>
      <c r="L49" s="90" t="str">
        <f aca="false">IF($B49="","",الموظفون!$L49*$I49/cfg_DAYS_M)</f>
        <v/>
      </c>
      <c r="M49" s="90" t="str">
        <f aca="false">IF($B49="","",الموظفون!$M49*$I49/cfg_DAYS_M)</f>
        <v/>
      </c>
      <c r="N49" s="110" t="str">
        <f aca="false">IF($B49="","",SUMIFS('الحركات الشهرية'!$F$6:$F$1005,'الحركات الشهرية'!$B$6:$B$1005,$B49,'الحركات الشهرية'!$A$6:$A$1005,$C$3))</f>
        <v/>
      </c>
      <c r="O49" s="90" t="str">
        <f aca="false">IF($B49="","",N49*(الموظفون!$N49+الموظفون!$J49*cfg_OT_P)/cfg_DAYS_M/cfg_HRS)</f>
        <v/>
      </c>
      <c r="P49" s="90" t="str">
        <f aca="false">IF($B49="","",SUMIFS('الحركات الشهرية'!$G$6:$G$1005,'الحركات الشهرية'!$B$6:$B$1005,$B49,'الحركات الشهرية'!$A$6:$A$1005,$C$3))</f>
        <v/>
      </c>
      <c r="Q49" s="90" t="str">
        <f aca="false">IF($B49="","",SUMIFS('الحركات الشهرية'!$H$6:$H$1005,'الحركات الشهرية'!$B$6:$B$1005,$B49,'الحركات الشهرية'!$A$6:$A$1005,$C$3))</f>
        <v/>
      </c>
      <c r="R49" s="111" t="str">
        <f aca="false">IF($B49="","",SUM(J49:M49)+SUM(O49:Q49))</f>
        <v/>
      </c>
      <c r="S49" s="90" t="str">
        <f aca="false">IF($B49="","",الموظفون!$Q49*IF(E49="سعودي",cfg_G_SE,cfg_G_NE)*F49/cfg_DAYS_M)</f>
        <v/>
      </c>
      <c r="T49" s="90" t="str">
        <f aca="false">IF($B49="","",SUMIFS('الحركات الشهرية'!$I$6:$I$1005,'الحركات الشهرية'!$B$6:$B$1005,$B49,'الحركات الشهرية'!$A$6:$A$1005,$C$3))</f>
        <v/>
      </c>
      <c r="U49" s="90" t="str">
        <f aca="false">IF($B49="","",SUMIFS('الحركات الشهرية'!$J$6:$J$1005,'الحركات الشهرية'!$B$6:$B$1005,$B49,'الحركات الشهرية'!$A$6:$A$1005,$C$3))</f>
        <v/>
      </c>
      <c r="V49" s="90" t="str">
        <f aca="false">IF($B49="","",SUM(S49:U49))</f>
        <v/>
      </c>
      <c r="W49" s="112" t="str">
        <f aca="false">IF($B49="","",R49-V49)</f>
        <v/>
      </c>
      <c r="X49" s="90" t="str">
        <f aca="false">IF($B49="","",الموظفون!$Q49*IF(E49="سعودي",cfg_G_SR,cfg_G_NR)*F49/cfg_DAYS_M)</f>
        <v/>
      </c>
      <c r="Y49" s="90" t="str">
        <f aca="false">IF($B49="","",الموظفون!$O49*(cfg_EOS_R1*(MIN(AC49,cfg_EOS_TH)-MIN(AD49,cfg_EOS_TH))+cfg_EOS_R2*(MAX(AC49-cfg_EOS_TH,0)-MAX(AD49-cfg_EOS_TH,0))))</f>
        <v/>
      </c>
      <c r="Z49" s="90" t="str">
        <f aca="false">IF($B49="","",IF(الموظفون!$R49&lt;&gt;"",الموظفون!$R49,IF(AC49&gt;=cfg_LV_TH,cfg_LV_D2,cfg_LV_D1))/cfg_DAYS_Y*AE49*الموظفون!$P49/cfg_DAYS_M)</f>
        <v/>
      </c>
      <c r="AA49" s="90" t="str">
        <f aca="false">IF($B49="","",IF(AND(الموظفون!$S49="نعم",N(الموظفون!$U49)&gt;0),الموظفون!$T49/الموظفون!$U49*12/cfg_DAYS_Y*AE49,0))</f>
        <v/>
      </c>
      <c r="AB49" s="113" t="str">
        <f aca="false">IF($B49="","",R49+SUM(X49:AA49))</f>
        <v/>
      </c>
      <c r="AC49" s="114" t="str">
        <f aca="false">IF($B49="","",MAX(0,IF(OR(الموظفون!$X49="",الموظفون!$X49&gt;$G$3),$G$3,الموظفون!$X49)-الموظفون!$H49+1)/cfg_DAYS_Y)</f>
        <v/>
      </c>
      <c r="AD49" s="114" t="str">
        <f aca="false">IF($B49="","",MAX(0,IF(OR(الموظفون!$X49="",الموظفون!$X49&gt;($E$3-1)),($E$3-1),الموظفون!$X49)-الموظفون!$H49+1)/cfg_DAYS_Y)</f>
        <v/>
      </c>
      <c r="AE49" s="115" t="str">
        <f aca="false">IF($B49="","",MAX(0,IF(OR(الموظفون!$X49="",الموظفون!$X49&gt;$G$3),$G$3,الموظفون!$X49)-MAX($E$3,الموظفون!$H49)+1))</f>
        <v/>
      </c>
    </row>
    <row r="50" customFormat="false" ht="15" hidden="false" customHeight="false" outlineLevel="0" collapsed="false">
      <c r="A50" s="83" t="str">
        <f aca="false">IF($B50="","",الموظفون!$A50)</f>
        <v/>
      </c>
      <c r="B50" s="74" t="str">
        <f aca="false">IF(الموظفون!$B50="","",الموظفون!$B50)</f>
        <v/>
      </c>
      <c r="C50" s="74" t="str">
        <f aca="false">IF($B50="","",الموظفون!$C50)</f>
        <v/>
      </c>
      <c r="D50" s="74" t="str">
        <f aca="false">IF($B50="","",الموظفون!$F50)</f>
        <v/>
      </c>
      <c r="E50" s="74" t="str">
        <f aca="false">IF($B50="","",الموظفون!$E50)</f>
        <v/>
      </c>
      <c r="F50" s="105" t="str">
        <f aca="false">IF($B50="","",IF(AE50&gt;=DAY($G$3),cfg_DAYS_M,MIN(AE50,cfg_DAYS_M)))</f>
        <v/>
      </c>
      <c r="G50" s="105" t="str">
        <f aca="false">IF($B50="","",SUMIFS('الحركات الشهرية'!$D$6:$D$1005,'الحركات الشهرية'!$B$6:$B$1005,$B50,'الحركات الشهرية'!$A$6:$A$1005,$C$3))</f>
        <v/>
      </c>
      <c r="H50" s="105" t="str">
        <f aca="false">IF($B50="","",SUMIFS('الحركات الشهرية'!$E$6:$E$1005,'الحركات الشهرية'!$B$6:$B$1005,$B50,'الحركات الشهرية'!$A$6:$A$1005,$C$3))</f>
        <v/>
      </c>
      <c r="I50" s="105" t="str">
        <f aca="false">IF($B50="","",MAX(0,F50-G50-H50))</f>
        <v/>
      </c>
      <c r="J50" s="86" t="str">
        <f aca="false">IF($B50="","",الموظفون!$J50*$I50/cfg_DAYS_M)</f>
        <v/>
      </c>
      <c r="K50" s="86" t="str">
        <f aca="false">IF($B50="","",الموظفون!$K50*$I50/cfg_DAYS_M)</f>
        <v/>
      </c>
      <c r="L50" s="86" t="str">
        <f aca="false">IF($B50="","",الموظفون!$L50*$I50/cfg_DAYS_M)</f>
        <v/>
      </c>
      <c r="M50" s="86" t="str">
        <f aca="false">IF($B50="","",الموظفون!$M50*$I50/cfg_DAYS_M)</f>
        <v/>
      </c>
      <c r="N50" s="105" t="str">
        <f aca="false">IF($B50="","",SUMIFS('الحركات الشهرية'!$F$6:$F$1005,'الحركات الشهرية'!$B$6:$B$1005,$B50,'الحركات الشهرية'!$A$6:$A$1005,$C$3))</f>
        <v/>
      </c>
      <c r="O50" s="86" t="str">
        <f aca="false">IF($B50="","",N50*(الموظفون!$N50+الموظفون!$J50*cfg_OT_P)/cfg_DAYS_M/cfg_HRS)</f>
        <v/>
      </c>
      <c r="P50" s="86" t="str">
        <f aca="false">IF($B50="","",SUMIFS('الحركات الشهرية'!$G$6:$G$1005,'الحركات الشهرية'!$B$6:$B$1005,$B50,'الحركات الشهرية'!$A$6:$A$1005,$C$3))</f>
        <v/>
      </c>
      <c r="Q50" s="86" t="str">
        <f aca="false">IF($B50="","",SUMIFS('الحركات الشهرية'!$H$6:$H$1005,'الحركات الشهرية'!$B$6:$B$1005,$B50,'الحركات الشهرية'!$A$6:$A$1005,$C$3))</f>
        <v/>
      </c>
      <c r="R50" s="106" t="str">
        <f aca="false">IF($B50="","",SUM(J50:M50)+SUM(O50:Q50))</f>
        <v/>
      </c>
      <c r="S50" s="86" t="str">
        <f aca="false">IF($B50="","",الموظفون!$Q50*IF(E50="سعودي",cfg_G_SE,cfg_G_NE)*F50/cfg_DAYS_M)</f>
        <v/>
      </c>
      <c r="T50" s="86" t="str">
        <f aca="false">IF($B50="","",SUMIFS('الحركات الشهرية'!$I$6:$I$1005,'الحركات الشهرية'!$B$6:$B$1005,$B50,'الحركات الشهرية'!$A$6:$A$1005,$C$3))</f>
        <v/>
      </c>
      <c r="U50" s="86" t="str">
        <f aca="false">IF($B50="","",SUMIFS('الحركات الشهرية'!$J$6:$J$1005,'الحركات الشهرية'!$B$6:$B$1005,$B50,'الحركات الشهرية'!$A$6:$A$1005,$C$3))</f>
        <v/>
      </c>
      <c r="V50" s="86" t="str">
        <f aca="false">IF($B50="","",SUM(S50:U50))</f>
        <v/>
      </c>
      <c r="W50" s="107" t="str">
        <f aca="false">IF($B50="","",R50-V50)</f>
        <v/>
      </c>
      <c r="X50" s="86" t="str">
        <f aca="false">IF($B50="","",الموظفون!$Q50*IF(E50="سعودي",cfg_G_SR,cfg_G_NR)*F50/cfg_DAYS_M)</f>
        <v/>
      </c>
      <c r="Y50" s="86" t="str">
        <f aca="false">IF($B50="","",الموظفون!$O50*(cfg_EOS_R1*(MIN(AC50,cfg_EOS_TH)-MIN(AD50,cfg_EOS_TH))+cfg_EOS_R2*(MAX(AC50-cfg_EOS_TH,0)-MAX(AD50-cfg_EOS_TH,0))))</f>
        <v/>
      </c>
      <c r="Z50" s="86" t="str">
        <f aca="false">IF($B50="","",IF(الموظفون!$R50&lt;&gt;"",الموظفون!$R50,IF(AC50&gt;=cfg_LV_TH,cfg_LV_D2,cfg_LV_D1))/cfg_DAYS_Y*AE50*الموظفون!$P50/cfg_DAYS_M)</f>
        <v/>
      </c>
      <c r="AA50" s="86" t="str">
        <f aca="false">IF($B50="","",IF(AND(الموظفون!$S50="نعم",N(الموظفون!$U50)&gt;0),الموظفون!$T50/الموظفون!$U50*12/cfg_DAYS_Y*AE50,0))</f>
        <v/>
      </c>
      <c r="AB50" s="108" t="str">
        <f aca="false">IF($B50="","",R50+SUM(X50:AA50))</f>
        <v/>
      </c>
      <c r="AC50" s="109" t="str">
        <f aca="false">IF($B50="","",MAX(0,IF(OR(الموظفون!$X50="",الموظفون!$X50&gt;$G$3),$G$3,الموظفون!$X50)-الموظفون!$H50+1)/cfg_DAYS_Y)</f>
        <v/>
      </c>
      <c r="AD50" s="109" t="str">
        <f aca="false">IF($B50="","",MAX(0,IF(OR(الموظفون!$X50="",الموظفون!$X50&gt;($E$3-1)),($E$3-1),الموظفون!$X50)-الموظفون!$H50+1)/cfg_DAYS_Y)</f>
        <v/>
      </c>
      <c r="AE50" s="51" t="str">
        <f aca="false">IF($B50="","",MAX(0,IF(OR(الموظفون!$X50="",الموظفون!$X50&gt;$G$3),$G$3,الموظفون!$X50)-MAX($E$3,الموظفون!$H50)+1))</f>
        <v/>
      </c>
    </row>
    <row r="51" customFormat="false" ht="15" hidden="false" customHeight="false" outlineLevel="0" collapsed="false">
      <c r="A51" s="89" t="str">
        <f aca="false">IF($B51="","",الموظفون!$A51)</f>
        <v/>
      </c>
      <c r="B51" s="91" t="str">
        <f aca="false">IF(الموظفون!$B51="","",الموظفون!$B51)</f>
        <v/>
      </c>
      <c r="C51" s="91" t="str">
        <f aca="false">IF($B51="","",الموظفون!$C51)</f>
        <v/>
      </c>
      <c r="D51" s="91" t="str">
        <f aca="false">IF($B51="","",الموظفون!$F51)</f>
        <v/>
      </c>
      <c r="E51" s="91" t="str">
        <f aca="false">IF($B51="","",الموظفون!$E51)</f>
        <v/>
      </c>
      <c r="F51" s="110" t="str">
        <f aca="false">IF($B51="","",IF(AE51&gt;=DAY($G$3),cfg_DAYS_M,MIN(AE51,cfg_DAYS_M)))</f>
        <v/>
      </c>
      <c r="G51" s="110" t="str">
        <f aca="false">IF($B51="","",SUMIFS('الحركات الشهرية'!$D$6:$D$1005,'الحركات الشهرية'!$B$6:$B$1005,$B51,'الحركات الشهرية'!$A$6:$A$1005,$C$3))</f>
        <v/>
      </c>
      <c r="H51" s="110" t="str">
        <f aca="false">IF($B51="","",SUMIFS('الحركات الشهرية'!$E$6:$E$1005,'الحركات الشهرية'!$B$6:$B$1005,$B51,'الحركات الشهرية'!$A$6:$A$1005,$C$3))</f>
        <v/>
      </c>
      <c r="I51" s="110" t="str">
        <f aca="false">IF($B51="","",MAX(0,F51-G51-H51))</f>
        <v/>
      </c>
      <c r="J51" s="90" t="str">
        <f aca="false">IF($B51="","",الموظفون!$J51*$I51/cfg_DAYS_M)</f>
        <v/>
      </c>
      <c r="K51" s="90" t="str">
        <f aca="false">IF($B51="","",الموظفون!$K51*$I51/cfg_DAYS_M)</f>
        <v/>
      </c>
      <c r="L51" s="90" t="str">
        <f aca="false">IF($B51="","",الموظفون!$L51*$I51/cfg_DAYS_M)</f>
        <v/>
      </c>
      <c r="M51" s="90" t="str">
        <f aca="false">IF($B51="","",الموظفون!$M51*$I51/cfg_DAYS_M)</f>
        <v/>
      </c>
      <c r="N51" s="110" t="str">
        <f aca="false">IF($B51="","",SUMIFS('الحركات الشهرية'!$F$6:$F$1005,'الحركات الشهرية'!$B$6:$B$1005,$B51,'الحركات الشهرية'!$A$6:$A$1005,$C$3))</f>
        <v/>
      </c>
      <c r="O51" s="90" t="str">
        <f aca="false">IF($B51="","",N51*(الموظفون!$N51+الموظفون!$J51*cfg_OT_P)/cfg_DAYS_M/cfg_HRS)</f>
        <v/>
      </c>
      <c r="P51" s="90" t="str">
        <f aca="false">IF($B51="","",SUMIFS('الحركات الشهرية'!$G$6:$G$1005,'الحركات الشهرية'!$B$6:$B$1005,$B51,'الحركات الشهرية'!$A$6:$A$1005,$C$3))</f>
        <v/>
      </c>
      <c r="Q51" s="90" t="str">
        <f aca="false">IF($B51="","",SUMIFS('الحركات الشهرية'!$H$6:$H$1005,'الحركات الشهرية'!$B$6:$B$1005,$B51,'الحركات الشهرية'!$A$6:$A$1005,$C$3))</f>
        <v/>
      </c>
      <c r="R51" s="111" t="str">
        <f aca="false">IF($B51="","",SUM(J51:M51)+SUM(O51:Q51))</f>
        <v/>
      </c>
      <c r="S51" s="90" t="str">
        <f aca="false">IF($B51="","",الموظفون!$Q51*IF(E51="سعودي",cfg_G_SE,cfg_G_NE)*F51/cfg_DAYS_M)</f>
        <v/>
      </c>
      <c r="T51" s="90" t="str">
        <f aca="false">IF($B51="","",SUMIFS('الحركات الشهرية'!$I$6:$I$1005,'الحركات الشهرية'!$B$6:$B$1005,$B51,'الحركات الشهرية'!$A$6:$A$1005,$C$3))</f>
        <v/>
      </c>
      <c r="U51" s="90" t="str">
        <f aca="false">IF($B51="","",SUMIFS('الحركات الشهرية'!$J$6:$J$1005,'الحركات الشهرية'!$B$6:$B$1005,$B51,'الحركات الشهرية'!$A$6:$A$1005,$C$3))</f>
        <v/>
      </c>
      <c r="V51" s="90" t="str">
        <f aca="false">IF($B51="","",SUM(S51:U51))</f>
        <v/>
      </c>
      <c r="W51" s="112" t="str">
        <f aca="false">IF($B51="","",R51-V51)</f>
        <v/>
      </c>
      <c r="X51" s="90" t="str">
        <f aca="false">IF($B51="","",الموظفون!$Q51*IF(E51="سعودي",cfg_G_SR,cfg_G_NR)*F51/cfg_DAYS_M)</f>
        <v/>
      </c>
      <c r="Y51" s="90" t="str">
        <f aca="false">IF($B51="","",الموظفون!$O51*(cfg_EOS_R1*(MIN(AC51,cfg_EOS_TH)-MIN(AD51,cfg_EOS_TH))+cfg_EOS_R2*(MAX(AC51-cfg_EOS_TH,0)-MAX(AD51-cfg_EOS_TH,0))))</f>
        <v/>
      </c>
      <c r="Z51" s="90" t="str">
        <f aca="false">IF($B51="","",IF(الموظفون!$R51&lt;&gt;"",الموظفون!$R51,IF(AC51&gt;=cfg_LV_TH,cfg_LV_D2,cfg_LV_D1))/cfg_DAYS_Y*AE51*الموظفون!$P51/cfg_DAYS_M)</f>
        <v/>
      </c>
      <c r="AA51" s="90" t="str">
        <f aca="false">IF($B51="","",IF(AND(الموظفون!$S51="نعم",N(الموظفون!$U51)&gt;0),الموظفون!$T51/الموظفون!$U51*12/cfg_DAYS_Y*AE51,0))</f>
        <v/>
      </c>
      <c r="AB51" s="113" t="str">
        <f aca="false">IF($B51="","",R51+SUM(X51:AA51))</f>
        <v/>
      </c>
      <c r="AC51" s="114" t="str">
        <f aca="false">IF($B51="","",MAX(0,IF(OR(الموظفون!$X51="",الموظفون!$X51&gt;$G$3),$G$3,الموظفون!$X51)-الموظفون!$H51+1)/cfg_DAYS_Y)</f>
        <v/>
      </c>
      <c r="AD51" s="114" t="str">
        <f aca="false">IF($B51="","",MAX(0,IF(OR(الموظفون!$X51="",الموظفون!$X51&gt;($E$3-1)),($E$3-1),الموظفون!$X51)-الموظفون!$H51+1)/cfg_DAYS_Y)</f>
        <v/>
      </c>
      <c r="AE51" s="115" t="str">
        <f aca="false">IF($B51="","",MAX(0,IF(OR(الموظفون!$X51="",الموظفون!$X51&gt;$G$3),$G$3,الموظفون!$X51)-MAX($E$3,الموظفون!$H51)+1))</f>
        <v/>
      </c>
    </row>
    <row r="52" customFormat="false" ht="15" hidden="false" customHeight="false" outlineLevel="0" collapsed="false">
      <c r="A52" s="83" t="str">
        <f aca="false">IF($B52="","",الموظفون!$A52)</f>
        <v/>
      </c>
      <c r="B52" s="74" t="str">
        <f aca="false">IF(الموظفون!$B52="","",الموظفون!$B52)</f>
        <v/>
      </c>
      <c r="C52" s="74" t="str">
        <f aca="false">IF($B52="","",الموظفون!$C52)</f>
        <v/>
      </c>
      <c r="D52" s="74" t="str">
        <f aca="false">IF($B52="","",الموظفون!$F52)</f>
        <v/>
      </c>
      <c r="E52" s="74" t="str">
        <f aca="false">IF($B52="","",الموظفون!$E52)</f>
        <v/>
      </c>
      <c r="F52" s="105" t="str">
        <f aca="false">IF($B52="","",IF(AE52&gt;=DAY($G$3),cfg_DAYS_M,MIN(AE52,cfg_DAYS_M)))</f>
        <v/>
      </c>
      <c r="G52" s="105" t="str">
        <f aca="false">IF($B52="","",SUMIFS('الحركات الشهرية'!$D$6:$D$1005,'الحركات الشهرية'!$B$6:$B$1005,$B52,'الحركات الشهرية'!$A$6:$A$1005,$C$3))</f>
        <v/>
      </c>
      <c r="H52" s="105" t="str">
        <f aca="false">IF($B52="","",SUMIFS('الحركات الشهرية'!$E$6:$E$1005,'الحركات الشهرية'!$B$6:$B$1005,$B52,'الحركات الشهرية'!$A$6:$A$1005,$C$3))</f>
        <v/>
      </c>
      <c r="I52" s="105" t="str">
        <f aca="false">IF($B52="","",MAX(0,F52-G52-H52))</f>
        <v/>
      </c>
      <c r="J52" s="86" t="str">
        <f aca="false">IF($B52="","",الموظفون!$J52*$I52/cfg_DAYS_M)</f>
        <v/>
      </c>
      <c r="K52" s="86" t="str">
        <f aca="false">IF($B52="","",الموظفون!$K52*$I52/cfg_DAYS_M)</f>
        <v/>
      </c>
      <c r="L52" s="86" t="str">
        <f aca="false">IF($B52="","",الموظفون!$L52*$I52/cfg_DAYS_M)</f>
        <v/>
      </c>
      <c r="M52" s="86" t="str">
        <f aca="false">IF($B52="","",الموظفون!$M52*$I52/cfg_DAYS_M)</f>
        <v/>
      </c>
      <c r="N52" s="105" t="str">
        <f aca="false">IF($B52="","",SUMIFS('الحركات الشهرية'!$F$6:$F$1005,'الحركات الشهرية'!$B$6:$B$1005,$B52,'الحركات الشهرية'!$A$6:$A$1005,$C$3))</f>
        <v/>
      </c>
      <c r="O52" s="86" t="str">
        <f aca="false">IF($B52="","",N52*(الموظفون!$N52+الموظفون!$J52*cfg_OT_P)/cfg_DAYS_M/cfg_HRS)</f>
        <v/>
      </c>
      <c r="P52" s="86" t="str">
        <f aca="false">IF($B52="","",SUMIFS('الحركات الشهرية'!$G$6:$G$1005,'الحركات الشهرية'!$B$6:$B$1005,$B52,'الحركات الشهرية'!$A$6:$A$1005,$C$3))</f>
        <v/>
      </c>
      <c r="Q52" s="86" t="str">
        <f aca="false">IF($B52="","",SUMIFS('الحركات الشهرية'!$H$6:$H$1005,'الحركات الشهرية'!$B$6:$B$1005,$B52,'الحركات الشهرية'!$A$6:$A$1005,$C$3))</f>
        <v/>
      </c>
      <c r="R52" s="106" t="str">
        <f aca="false">IF($B52="","",SUM(J52:M52)+SUM(O52:Q52))</f>
        <v/>
      </c>
      <c r="S52" s="86" t="str">
        <f aca="false">IF($B52="","",الموظفون!$Q52*IF(E52="سعودي",cfg_G_SE,cfg_G_NE)*F52/cfg_DAYS_M)</f>
        <v/>
      </c>
      <c r="T52" s="86" t="str">
        <f aca="false">IF($B52="","",SUMIFS('الحركات الشهرية'!$I$6:$I$1005,'الحركات الشهرية'!$B$6:$B$1005,$B52,'الحركات الشهرية'!$A$6:$A$1005,$C$3))</f>
        <v/>
      </c>
      <c r="U52" s="86" t="str">
        <f aca="false">IF($B52="","",SUMIFS('الحركات الشهرية'!$J$6:$J$1005,'الحركات الشهرية'!$B$6:$B$1005,$B52,'الحركات الشهرية'!$A$6:$A$1005,$C$3))</f>
        <v/>
      </c>
      <c r="V52" s="86" t="str">
        <f aca="false">IF($B52="","",SUM(S52:U52))</f>
        <v/>
      </c>
      <c r="W52" s="107" t="str">
        <f aca="false">IF($B52="","",R52-V52)</f>
        <v/>
      </c>
      <c r="X52" s="86" t="str">
        <f aca="false">IF($B52="","",الموظفون!$Q52*IF(E52="سعودي",cfg_G_SR,cfg_G_NR)*F52/cfg_DAYS_M)</f>
        <v/>
      </c>
      <c r="Y52" s="86" t="str">
        <f aca="false">IF($B52="","",الموظفون!$O52*(cfg_EOS_R1*(MIN(AC52,cfg_EOS_TH)-MIN(AD52,cfg_EOS_TH))+cfg_EOS_R2*(MAX(AC52-cfg_EOS_TH,0)-MAX(AD52-cfg_EOS_TH,0))))</f>
        <v/>
      </c>
      <c r="Z52" s="86" t="str">
        <f aca="false">IF($B52="","",IF(الموظفون!$R52&lt;&gt;"",الموظفون!$R52,IF(AC52&gt;=cfg_LV_TH,cfg_LV_D2,cfg_LV_D1))/cfg_DAYS_Y*AE52*الموظفون!$P52/cfg_DAYS_M)</f>
        <v/>
      </c>
      <c r="AA52" s="86" t="str">
        <f aca="false">IF($B52="","",IF(AND(الموظفون!$S52="نعم",N(الموظفون!$U52)&gt;0),الموظفون!$T52/الموظفون!$U52*12/cfg_DAYS_Y*AE52,0))</f>
        <v/>
      </c>
      <c r="AB52" s="108" t="str">
        <f aca="false">IF($B52="","",R52+SUM(X52:AA52))</f>
        <v/>
      </c>
      <c r="AC52" s="109" t="str">
        <f aca="false">IF($B52="","",MAX(0,IF(OR(الموظفون!$X52="",الموظفون!$X52&gt;$G$3),$G$3,الموظفون!$X52)-الموظفون!$H52+1)/cfg_DAYS_Y)</f>
        <v/>
      </c>
      <c r="AD52" s="109" t="str">
        <f aca="false">IF($B52="","",MAX(0,IF(OR(الموظفون!$X52="",الموظفون!$X52&gt;($E$3-1)),($E$3-1),الموظفون!$X52)-الموظفون!$H52+1)/cfg_DAYS_Y)</f>
        <v/>
      </c>
      <c r="AE52" s="51" t="str">
        <f aca="false">IF($B52="","",MAX(0,IF(OR(الموظفون!$X52="",الموظفون!$X52&gt;$G$3),$G$3,الموظفون!$X52)-MAX($E$3,الموظفون!$H52)+1))</f>
        <v/>
      </c>
    </row>
    <row r="53" customFormat="false" ht="15" hidden="false" customHeight="false" outlineLevel="0" collapsed="false">
      <c r="A53" s="89" t="str">
        <f aca="false">IF($B53="","",الموظفون!$A53)</f>
        <v/>
      </c>
      <c r="B53" s="91" t="str">
        <f aca="false">IF(الموظفون!$B53="","",الموظفون!$B53)</f>
        <v/>
      </c>
      <c r="C53" s="91" t="str">
        <f aca="false">IF($B53="","",الموظفون!$C53)</f>
        <v/>
      </c>
      <c r="D53" s="91" t="str">
        <f aca="false">IF($B53="","",الموظفون!$F53)</f>
        <v/>
      </c>
      <c r="E53" s="91" t="str">
        <f aca="false">IF($B53="","",الموظفون!$E53)</f>
        <v/>
      </c>
      <c r="F53" s="110" t="str">
        <f aca="false">IF($B53="","",IF(AE53&gt;=DAY($G$3),cfg_DAYS_M,MIN(AE53,cfg_DAYS_M)))</f>
        <v/>
      </c>
      <c r="G53" s="110" t="str">
        <f aca="false">IF($B53="","",SUMIFS('الحركات الشهرية'!$D$6:$D$1005,'الحركات الشهرية'!$B$6:$B$1005,$B53,'الحركات الشهرية'!$A$6:$A$1005,$C$3))</f>
        <v/>
      </c>
      <c r="H53" s="110" t="str">
        <f aca="false">IF($B53="","",SUMIFS('الحركات الشهرية'!$E$6:$E$1005,'الحركات الشهرية'!$B$6:$B$1005,$B53,'الحركات الشهرية'!$A$6:$A$1005,$C$3))</f>
        <v/>
      </c>
      <c r="I53" s="110" t="str">
        <f aca="false">IF($B53="","",MAX(0,F53-G53-H53))</f>
        <v/>
      </c>
      <c r="J53" s="90" t="str">
        <f aca="false">IF($B53="","",الموظفون!$J53*$I53/cfg_DAYS_M)</f>
        <v/>
      </c>
      <c r="K53" s="90" t="str">
        <f aca="false">IF($B53="","",الموظفون!$K53*$I53/cfg_DAYS_M)</f>
        <v/>
      </c>
      <c r="L53" s="90" t="str">
        <f aca="false">IF($B53="","",الموظفون!$L53*$I53/cfg_DAYS_M)</f>
        <v/>
      </c>
      <c r="M53" s="90" t="str">
        <f aca="false">IF($B53="","",الموظفون!$M53*$I53/cfg_DAYS_M)</f>
        <v/>
      </c>
      <c r="N53" s="110" t="str">
        <f aca="false">IF($B53="","",SUMIFS('الحركات الشهرية'!$F$6:$F$1005,'الحركات الشهرية'!$B$6:$B$1005,$B53,'الحركات الشهرية'!$A$6:$A$1005,$C$3))</f>
        <v/>
      </c>
      <c r="O53" s="90" t="str">
        <f aca="false">IF($B53="","",N53*(الموظفون!$N53+الموظفون!$J53*cfg_OT_P)/cfg_DAYS_M/cfg_HRS)</f>
        <v/>
      </c>
      <c r="P53" s="90" t="str">
        <f aca="false">IF($B53="","",SUMIFS('الحركات الشهرية'!$G$6:$G$1005,'الحركات الشهرية'!$B$6:$B$1005,$B53,'الحركات الشهرية'!$A$6:$A$1005,$C$3))</f>
        <v/>
      </c>
      <c r="Q53" s="90" t="str">
        <f aca="false">IF($B53="","",SUMIFS('الحركات الشهرية'!$H$6:$H$1005,'الحركات الشهرية'!$B$6:$B$1005,$B53,'الحركات الشهرية'!$A$6:$A$1005,$C$3))</f>
        <v/>
      </c>
      <c r="R53" s="111" t="str">
        <f aca="false">IF($B53="","",SUM(J53:M53)+SUM(O53:Q53))</f>
        <v/>
      </c>
      <c r="S53" s="90" t="str">
        <f aca="false">IF($B53="","",الموظفون!$Q53*IF(E53="سعودي",cfg_G_SE,cfg_G_NE)*F53/cfg_DAYS_M)</f>
        <v/>
      </c>
      <c r="T53" s="90" t="str">
        <f aca="false">IF($B53="","",SUMIFS('الحركات الشهرية'!$I$6:$I$1005,'الحركات الشهرية'!$B$6:$B$1005,$B53,'الحركات الشهرية'!$A$6:$A$1005,$C$3))</f>
        <v/>
      </c>
      <c r="U53" s="90" t="str">
        <f aca="false">IF($B53="","",SUMIFS('الحركات الشهرية'!$J$6:$J$1005,'الحركات الشهرية'!$B$6:$B$1005,$B53,'الحركات الشهرية'!$A$6:$A$1005,$C$3))</f>
        <v/>
      </c>
      <c r="V53" s="90" t="str">
        <f aca="false">IF($B53="","",SUM(S53:U53))</f>
        <v/>
      </c>
      <c r="W53" s="112" t="str">
        <f aca="false">IF($B53="","",R53-V53)</f>
        <v/>
      </c>
      <c r="X53" s="90" t="str">
        <f aca="false">IF($B53="","",الموظفون!$Q53*IF(E53="سعودي",cfg_G_SR,cfg_G_NR)*F53/cfg_DAYS_M)</f>
        <v/>
      </c>
      <c r="Y53" s="90" t="str">
        <f aca="false">IF($B53="","",الموظفون!$O53*(cfg_EOS_R1*(MIN(AC53,cfg_EOS_TH)-MIN(AD53,cfg_EOS_TH))+cfg_EOS_R2*(MAX(AC53-cfg_EOS_TH,0)-MAX(AD53-cfg_EOS_TH,0))))</f>
        <v/>
      </c>
      <c r="Z53" s="90" t="str">
        <f aca="false">IF($B53="","",IF(الموظفون!$R53&lt;&gt;"",الموظفون!$R53,IF(AC53&gt;=cfg_LV_TH,cfg_LV_D2,cfg_LV_D1))/cfg_DAYS_Y*AE53*الموظفون!$P53/cfg_DAYS_M)</f>
        <v/>
      </c>
      <c r="AA53" s="90" t="str">
        <f aca="false">IF($B53="","",IF(AND(الموظفون!$S53="نعم",N(الموظفون!$U53)&gt;0),الموظفون!$T53/الموظفون!$U53*12/cfg_DAYS_Y*AE53,0))</f>
        <v/>
      </c>
      <c r="AB53" s="113" t="str">
        <f aca="false">IF($B53="","",R53+SUM(X53:AA53))</f>
        <v/>
      </c>
      <c r="AC53" s="114" t="str">
        <f aca="false">IF($B53="","",MAX(0,IF(OR(الموظفون!$X53="",الموظفون!$X53&gt;$G$3),$G$3,الموظفون!$X53)-الموظفون!$H53+1)/cfg_DAYS_Y)</f>
        <v/>
      </c>
      <c r="AD53" s="114" t="str">
        <f aca="false">IF($B53="","",MAX(0,IF(OR(الموظفون!$X53="",الموظفون!$X53&gt;($E$3-1)),($E$3-1),الموظفون!$X53)-الموظفون!$H53+1)/cfg_DAYS_Y)</f>
        <v/>
      </c>
      <c r="AE53" s="115" t="str">
        <f aca="false">IF($B53="","",MAX(0,IF(OR(الموظفون!$X53="",الموظفون!$X53&gt;$G$3),$G$3,الموظفون!$X53)-MAX($E$3,الموظفون!$H53)+1))</f>
        <v/>
      </c>
    </row>
    <row r="54" customFormat="false" ht="15" hidden="false" customHeight="false" outlineLevel="0" collapsed="false">
      <c r="A54" s="83" t="str">
        <f aca="false">IF($B54="","",الموظفون!$A54)</f>
        <v/>
      </c>
      <c r="B54" s="74" t="str">
        <f aca="false">IF(الموظفون!$B54="","",الموظفون!$B54)</f>
        <v/>
      </c>
      <c r="C54" s="74" t="str">
        <f aca="false">IF($B54="","",الموظفون!$C54)</f>
        <v/>
      </c>
      <c r="D54" s="74" t="str">
        <f aca="false">IF($B54="","",الموظفون!$F54)</f>
        <v/>
      </c>
      <c r="E54" s="74" t="str">
        <f aca="false">IF($B54="","",الموظفون!$E54)</f>
        <v/>
      </c>
      <c r="F54" s="105" t="str">
        <f aca="false">IF($B54="","",IF(AE54&gt;=DAY($G$3),cfg_DAYS_M,MIN(AE54,cfg_DAYS_M)))</f>
        <v/>
      </c>
      <c r="G54" s="105" t="str">
        <f aca="false">IF($B54="","",SUMIFS('الحركات الشهرية'!$D$6:$D$1005,'الحركات الشهرية'!$B$6:$B$1005,$B54,'الحركات الشهرية'!$A$6:$A$1005,$C$3))</f>
        <v/>
      </c>
      <c r="H54" s="105" t="str">
        <f aca="false">IF($B54="","",SUMIFS('الحركات الشهرية'!$E$6:$E$1005,'الحركات الشهرية'!$B$6:$B$1005,$B54,'الحركات الشهرية'!$A$6:$A$1005,$C$3))</f>
        <v/>
      </c>
      <c r="I54" s="105" t="str">
        <f aca="false">IF($B54="","",MAX(0,F54-G54-H54))</f>
        <v/>
      </c>
      <c r="J54" s="86" t="str">
        <f aca="false">IF($B54="","",الموظفون!$J54*$I54/cfg_DAYS_M)</f>
        <v/>
      </c>
      <c r="K54" s="86" t="str">
        <f aca="false">IF($B54="","",الموظفون!$K54*$I54/cfg_DAYS_M)</f>
        <v/>
      </c>
      <c r="L54" s="86" t="str">
        <f aca="false">IF($B54="","",الموظفون!$L54*$I54/cfg_DAYS_M)</f>
        <v/>
      </c>
      <c r="M54" s="86" t="str">
        <f aca="false">IF($B54="","",الموظفون!$M54*$I54/cfg_DAYS_M)</f>
        <v/>
      </c>
      <c r="N54" s="105" t="str">
        <f aca="false">IF($B54="","",SUMIFS('الحركات الشهرية'!$F$6:$F$1005,'الحركات الشهرية'!$B$6:$B$1005,$B54,'الحركات الشهرية'!$A$6:$A$1005,$C$3))</f>
        <v/>
      </c>
      <c r="O54" s="86" t="str">
        <f aca="false">IF($B54="","",N54*(الموظفون!$N54+الموظفون!$J54*cfg_OT_P)/cfg_DAYS_M/cfg_HRS)</f>
        <v/>
      </c>
      <c r="P54" s="86" t="str">
        <f aca="false">IF($B54="","",SUMIFS('الحركات الشهرية'!$G$6:$G$1005,'الحركات الشهرية'!$B$6:$B$1005,$B54,'الحركات الشهرية'!$A$6:$A$1005,$C$3))</f>
        <v/>
      </c>
      <c r="Q54" s="86" t="str">
        <f aca="false">IF($B54="","",SUMIFS('الحركات الشهرية'!$H$6:$H$1005,'الحركات الشهرية'!$B$6:$B$1005,$B54,'الحركات الشهرية'!$A$6:$A$1005,$C$3))</f>
        <v/>
      </c>
      <c r="R54" s="106" t="str">
        <f aca="false">IF($B54="","",SUM(J54:M54)+SUM(O54:Q54))</f>
        <v/>
      </c>
      <c r="S54" s="86" t="str">
        <f aca="false">IF($B54="","",الموظفون!$Q54*IF(E54="سعودي",cfg_G_SE,cfg_G_NE)*F54/cfg_DAYS_M)</f>
        <v/>
      </c>
      <c r="T54" s="86" t="str">
        <f aca="false">IF($B54="","",SUMIFS('الحركات الشهرية'!$I$6:$I$1005,'الحركات الشهرية'!$B$6:$B$1005,$B54,'الحركات الشهرية'!$A$6:$A$1005,$C$3))</f>
        <v/>
      </c>
      <c r="U54" s="86" t="str">
        <f aca="false">IF($B54="","",SUMIFS('الحركات الشهرية'!$J$6:$J$1005,'الحركات الشهرية'!$B$6:$B$1005,$B54,'الحركات الشهرية'!$A$6:$A$1005,$C$3))</f>
        <v/>
      </c>
      <c r="V54" s="86" t="str">
        <f aca="false">IF($B54="","",SUM(S54:U54))</f>
        <v/>
      </c>
      <c r="W54" s="107" t="str">
        <f aca="false">IF($B54="","",R54-V54)</f>
        <v/>
      </c>
      <c r="X54" s="86" t="str">
        <f aca="false">IF($B54="","",الموظفون!$Q54*IF(E54="سعودي",cfg_G_SR,cfg_G_NR)*F54/cfg_DAYS_M)</f>
        <v/>
      </c>
      <c r="Y54" s="86" t="str">
        <f aca="false">IF($B54="","",الموظفون!$O54*(cfg_EOS_R1*(MIN(AC54,cfg_EOS_TH)-MIN(AD54,cfg_EOS_TH))+cfg_EOS_R2*(MAX(AC54-cfg_EOS_TH,0)-MAX(AD54-cfg_EOS_TH,0))))</f>
        <v/>
      </c>
      <c r="Z54" s="86" t="str">
        <f aca="false">IF($B54="","",IF(الموظفون!$R54&lt;&gt;"",الموظفون!$R54,IF(AC54&gt;=cfg_LV_TH,cfg_LV_D2,cfg_LV_D1))/cfg_DAYS_Y*AE54*الموظفون!$P54/cfg_DAYS_M)</f>
        <v/>
      </c>
      <c r="AA54" s="86" t="str">
        <f aca="false">IF($B54="","",IF(AND(الموظفون!$S54="نعم",N(الموظفون!$U54)&gt;0),الموظفون!$T54/الموظفون!$U54*12/cfg_DAYS_Y*AE54,0))</f>
        <v/>
      </c>
      <c r="AB54" s="108" t="str">
        <f aca="false">IF($B54="","",R54+SUM(X54:AA54))</f>
        <v/>
      </c>
      <c r="AC54" s="109" t="str">
        <f aca="false">IF($B54="","",MAX(0,IF(OR(الموظفون!$X54="",الموظفون!$X54&gt;$G$3),$G$3,الموظفون!$X54)-الموظفون!$H54+1)/cfg_DAYS_Y)</f>
        <v/>
      </c>
      <c r="AD54" s="109" t="str">
        <f aca="false">IF($B54="","",MAX(0,IF(OR(الموظفون!$X54="",الموظفون!$X54&gt;($E$3-1)),($E$3-1),الموظفون!$X54)-الموظفون!$H54+1)/cfg_DAYS_Y)</f>
        <v/>
      </c>
      <c r="AE54" s="51" t="str">
        <f aca="false">IF($B54="","",MAX(0,IF(OR(الموظفون!$X54="",الموظفون!$X54&gt;$G$3),$G$3,الموظفون!$X54)-MAX($E$3,الموظفون!$H54)+1))</f>
        <v/>
      </c>
    </row>
    <row r="55" customFormat="false" ht="15" hidden="false" customHeight="false" outlineLevel="0" collapsed="false">
      <c r="A55" s="89" t="str">
        <f aca="false">IF($B55="","",الموظفون!$A55)</f>
        <v/>
      </c>
      <c r="B55" s="91" t="str">
        <f aca="false">IF(الموظفون!$B55="","",الموظفون!$B55)</f>
        <v/>
      </c>
      <c r="C55" s="91" t="str">
        <f aca="false">IF($B55="","",الموظفون!$C55)</f>
        <v/>
      </c>
      <c r="D55" s="91" t="str">
        <f aca="false">IF($B55="","",الموظفون!$F55)</f>
        <v/>
      </c>
      <c r="E55" s="91" t="str">
        <f aca="false">IF($B55="","",الموظفون!$E55)</f>
        <v/>
      </c>
      <c r="F55" s="110" t="str">
        <f aca="false">IF($B55="","",IF(AE55&gt;=DAY($G$3),cfg_DAYS_M,MIN(AE55,cfg_DAYS_M)))</f>
        <v/>
      </c>
      <c r="G55" s="110" t="str">
        <f aca="false">IF($B55="","",SUMIFS('الحركات الشهرية'!$D$6:$D$1005,'الحركات الشهرية'!$B$6:$B$1005,$B55,'الحركات الشهرية'!$A$6:$A$1005,$C$3))</f>
        <v/>
      </c>
      <c r="H55" s="110" t="str">
        <f aca="false">IF($B55="","",SUMIFS('الحركات الشهرية'!$E$6:$E$1005,'الحركات الشهرية'!$B$6:$B$1005,$B55,'الحركات الشهرية'!$A$6:$A$1005,$C$3))</f>
        <v/>
      </c>
      <c r="I55" s="110" t="str">
        <f aca="false">IF($B55="","",MAX(0,F55-G55-H55))</f>
        <v/>
      </c>
      <c r="J55" s="90" t="str">
        <f aca="false">IF($B55="","",الموظفون!$J55*$I55/cfg_DAYS_M)</f>
        <v/>
      </c>
      <c r="K55" s="90" t="str">
        <f aca="false">IF($B55="","",الموظفون!$K55*$I55/cfg_DAYS_M)</f>
        <v/>
      </c>
      <c r="L55" s="90" t="str">
        <f aca="false">IF($B55="","",الموظفون!$L55*$I55/cfg_DAYS_M)</f>
        <v/>
      </c>
      <c r="M55" s="90" t="str">
        <f aca="false">IF($B55="","",الموظفون!$M55*$I55/cfg_DAYS_M)</f>
        <v/>
      </c>
      <c r="N55" s="110" t="str">
        <f aca="false">IF($B55="","",SUMIFS('الحركات الشهرية'!$F$6:$F$1005,'الحركات الشهرية'!$B$6:$B$1005,$B55,'الحركات الشهرية'!$A$6:$A$1005,$C$3))</f>
        <v/>
      </c>
      <c r="O55" s="90" t="str">
        <f aca="false">IF($B55="","",N55*(الموظفون!$N55+الموظفون!$J55*cfg_OT_P)/cfg_DAYS_M/cfg_HRS)</f>
        <v/>
      </c>
      <c r="P55" s="90" t="str">
        <f aca="false">IF($B55="","",SUMIFS('الحركات الشهرية'!$G$6:$G$1005,'الحركات الشهرية'!$B$6:$B$1005,$B55,'الحركات الشهرية'!$A$6:$A$1005,$C$3))</f>
        <v/>
      </c>
      <c r="Q55" s="90" t="str">
        <f aca="false">IF($B55="","",SUMIFS('الحركات الشهرية'!$H$6:$H$1005,'الحركات الشهرية'!$B$6:$B$1005,$B55,'الحركات الشهرية'!$A$6:$A$1005,$C$3))</f>
        <v/>
      </c>
      <c r="R55" s="111" t="str">
        <f aca="false">IF($B55="","",SUM(J55:M55)+SUM(O55:Q55))</f>
        <v/>
      </c>
      <c r="S55" s="90" t="str">
        <f aca="false">IF($B55="","",الموظفون!$Q55*IF(E55="سعودي",cfg_G_SE,cfg_G_NE)*F55/cfg_DAYS_M)</f>
        <v/>
      </c>
      <c r="T55" s="90" t="str">
        <f aca="false">IF($B55="","",SUMIFS('الحركات الشهرية'!$I$6:$I$1005,'الحركات الشهرية'!$B$6:$B$1005,$B55,'الحركات الشهرية'!$A$6:$A$1005,$C$3))</f>
        <v/>
      </c>
      <c r="U55" s="90" t="str">
        <f aca="false">IF($B55="","",SUMIFS('الحركات الشهرية'!$J$6:$J$1005,'الحركات الشهرية'!$B$6:$B$1005,$B55,'الحركات الشهرية'!$A$6:$A$1005,$C$3))</f>
        <v/>
      </c>
      <c r="V55" s="90" t="str">
        <f aca="false">IF($B55="","",SUM(S55:U55))</f>
        <v/>
      </c>
      <c r="W55" s="112" t="str">
        <f aca="false">IF($B55="","",R55-V55)</f>
        <v/>
      </c>
      <c r="X55" s="90" t="str">
        <f aca="false">IF($B55="","",الموظفون!$Q55*IF(E55="سعودي",cfg_G_SR,cfg_G_NR)*F55/cfg_DAYS_M)</f>
        <v/>
      </c>
      <c r="Y55" s="90" t="str">
        <f aca="false">IF($B55="","",الموظفون!$O55*(cfg_EOS_R1*(MIN(AC55,cfg_EOS_TH)-MIN(AD55,cfg_EOS_TH))+cfg_EOS_R2*(MAX(AC55-cfg_EOS_TH,0)-MAX(AD55-cfg_EOS_TH,0))))</f>
        <v/>
      </c>
      <c r="Z55" s="90" t="str">
        <f aca="false">IF($B55="","",IF(الموظفون!$R55&lt;&gt;"",الموظفون!$R55,IF(AC55&gt;=cfg_LV_TH,cfg_LV_D2,cfg_LV_D1))/cfg_DAYS_Y*AE55*الموظفون!$P55/cfg_DAYS_M)</f>
        <v/>
      </c>
      <c r="AA55" s="90" t="str">
        <f aca="false">IF($B55="","",IF(AND(الموظفون!$S55="نعم",N(الموظفون!$U55)&gt;0),الموظفون!$T55/الموظفون!$U55*12/cfg_DAYS_Y*AE55,0))</f>
        <v/>
      </c>
      <c r="AB55" s="113" t="str">
        <f aca="false">IF($B55="","",R55+SUM(X55:AA55))</f>
        <v/>
      </c>
      <c r="AC55" s="114" t="str">
        <f aca="false">IF($B55="","",MAX(0,IF(OR(الموظفون!$X55="",الموظفون!$X55&gt;$G$3),$G$3,الموظفون!$X55)-الموظفون!$H55+1)/cfg_DAYS_Y)</f>
        <v/>
      </c>
      <c r="AD55" s="114" t="str">
        <f aca="false">IF($B55="","",MAX(0,IF(OR(الموظفون!$X55="",الموظفون!$X55&gt;($E$3-1)),($E$3-1),الموظفون!$X55)-الموظفون!$H55+1)/cfg_DAYS_Y)</f>
        <v/>
      </c>
      <c r="AE55" s="115" t="str">
        <f aca="false">IF($B55="","",MAX(0,IF(OR(الموظفون!$X55="",الموظفون!$X55&gt;$G$3),$G$3,الموظفون!$X55)-MAX($E$3,الموظفون!$H55)+1))</f>
        <v/>
      </c>
    </row>
    <row r="56" customFormat="false" ht="15" hidden="false" customHeight="false" outlineLevel="0" collapsed="false">
      <c r="A56" s="83" t="str">
        <f aca="false">IF($B56="","",الموظفون!$A56)</f>
        <v/>
      </c>
      <c r="B56" s="74" t="str">
        <f aca="false">IF(الموظفون!$B56="","",الموظفون!$B56)</f>
        <v/>
      </c>
      <c r="C56" s="74" t="str">
        <f aca="false">IF($B56="","",الموظفون!$C56)</f>
        <v/>
      </c>
      <c r="D56" s="74" t="str">
        <f aca="false">IF($B56="","",الموظفون!$F56)</f>
        <v/>
      </c>
      <c r="E56" s="74" t="str">
        <f aca="false">IF($B56="","",الموظفون!$E56)</f>
        <v/>
      </c>
      <c r="F56" s="105" t="str">
        <f aca="false">IF($B56="","",IF(AE56&gt;=DAY($G$3),cfg_DAYS_M,MIN(AE56,cfg_DAYS_M)))</f>
        <v/>
      </c>
      <c r="G56" s="105" t="str">
        <f aca="false">IF($B56="","",SUMIFS('الحركات الشهرية'!$D$6:$D$1005,'الحركات الشهرية'!$B$6:$B$1005,$B56,'الحركات الشهرية'!$A$6:$A$1005,$C$3))</f>
        <v/>
      </c>
      <c r="H56" s="105" t="str">
        <f aca="false">IF($B56="","",SUMIFS('الحركات الشهرية'!$E$6:$E$1005,'الحركات الشهرية'!$B$6:$B$1005,$B56,'الحركات الشهرية'!$A$6:$A$1005,$C$3))</f>
        <v/>
      </c>
      <c r="I56" s="105" t="str">
        <f aca="false">IF($B56="","",MAX(0,F56-G56-H56))</f>
        <v/>
      </c>
      <c r="J56" s="86" t="str">
        <f aca="false">IF($B56="","",الموظفون!$J56*$I56/cfg_DAYS_M)</f>
        <v/>
      </c>
      <c r="K56" s="86" t="str">
        <f aca="false">IF($B56="","",الموظفون!$K56*$I56/cfg_DAYS_M)</f>
        <v/>
      </c>
      <c r="L56" s="86" t="str">
        <f aca="false">IF($B56="","",الموظفون!$L56*$I56/cfg_DAYS_M)</f>
        <v/>
      </c>
      <c r="M56" s="86" t="str">
        <f aca="false">IF($B56="","",الموظفون!$M56*$I56/cfg_DAYS_M)</f>
        <v/>
      </c>
      <c r="N56" s="105" t="str">
        <f aca="false">IF($B56="","",SUMIFS('الحركات الشهرية'!$F$6:$F$1005,'الحركات الشهرية'!$B$6:$B$1005,$B56,'الحركات الشهرية'!$A$6:$A$1005,$C$3))</f>
        <v/>
      </c>
      <c r="O56" s="86" t="str">
        <f aca="false">IF($B56="","",N56*(الموظفون!$N56+الموظفون!$J56*cfg_OT_P)/cfg_DAYS_M/cfg_HRS)</f>
        <v/>
      </c>
      <c r="P56" s="86" t="str">
        <f aca="false">IF($B56="","",SUMIFS('الحركات الشهرية'!$G$6:$G$1005,'الحركات الشهرية'!$B$6:$B$1005,$B56,'الحركات الشهرية'!$A$6:$A$1005,$C$3))</f>
        <v/>
      </c>
      <c r="Q56" s="86" t="str">
        <f aca="false">IF($B56="","",SUMIFS('الحركات الشهرية'!$H$6:$H$1005,'الحركات الشهرية'!$B$6:$B$1005,$B56,'الحركات الشهرية'!$A$6:$A$1005,$C$3))</f>
        <v/>
      </c>
      <c r="R56" s="106" t="str">
        <f aca="false">IF($B56="","",SUM(J56:M56)+SUM(O56:Q56))</f>
        <v/>
      </c>
      <c r="S56" s="86" t="str">
        <f aca="false">IF($B56="","",الموظفون!$Q56*IF(E56="سعودي",cfg_G_SE,cfg_G_NE)*F56/cfg_DAYS_M)</f>
        <v/>
      </c>
      <c r="T56" s="86" t="str">
        <f aca="false">IF($B56="","",SUMIFS('الحركات الشهرية'!$I$6:$I$1005,'الحركات الشهرية'!$B$6:$B$1005,$B56,'الحركات الشهرية'!$A$6:$A$1005,$C$3))</f>
        <v/>
      </c>
      <c r="U56" s="86" t="str">
        <f aca="false">IF($B56="","",SUMIFS('الحركات الشهرية'!$J$6:$J$1005,'الحركات الشهرية'!$B$6:$B$1005,$B56,'الحركات الشهرية'!$A$6:$A$1005,$C$3))</f>
        <v/>
      </c>
      <c r="V56" s="86" t="str">
        <f aca="false">IF($B56="","",SUM(S56:U56))</f>
        <v/>
      </c>
      <c r="W56" s="107" t="str">
        <f aca="false">IF($B56="","",R56-V56)</f>
        <v/>
      </c>
      <c r="X56" s="86" t="str">
        <f aca="false">IF($B56="","",الموظفون!$Q56*IF(E56="سعودي",cfg_G_SR,cfg_G_NR)*F56/cfg_DAYS_M)</f>
        <v/>
      </c>
      <c r="Y56" s="86" t="str">
        <f aca="false">IF($B56="","",الموظفون!$O56*(cfg_EOS_R1*(MIN(AC56,cfg_EOS_TH)-MIN(AD56,cfg_EOS_TH))+cfg_EOS_R2*(MAX(AC56-cfg_EOS_TH,0)-MAX(AD56-cfg_EOS_TH,0))))</f>
        <v/>
      </c>
      <c r="Z56" s="86" t="str">
        <f aca="false">IF($B56="","",IF(الموظفون!$R56&lt;&gt;"",الموظفون!$R56,IF(AC56&gt;=cfg_LV_TH,cfg_LV_D2,cfg_LV_D1))/cfg_DAYS_Y*AE56*الموظفون!$P56/cfg_DAYS_M)</f>
        <v/>
      </c>
      <c r="AA56" s="86" t="str">
        <f aca="false">IF($B56="","",IF(AND(الموظفون!$S56="نعم",N(الموظفون!$U56)&gt;0),الموظفون!$T56/الموظفون!$U56*12/cfg_DAYS_Y*AE56,0))</f>
        <v/>
      </c>
      <c r="AB56" s="108" t="str">
        <f aca="false">IF($B56="","",R56+SUM(X56:AA56))</f>
        <v/>
      </c>
      <c r="AC56" s="109" t="str">
        <f aca="false">IF($B56="","",MAX(0,IF(OR(الموظفون!$X56="",الموظفون!$X56&gt;$G$3),$G$3,الموظفون!$X56)-الموظفون!$H56+1)/cfg_DAYS_Y)</f>
        <v/>
      </c>
      <c r="AD56" s="109" t="str">
        <f aca="false">IF($B56="","",MAX(0,IF(OR(الموظفون!$X56="",الموظفون!$X56&gt;($E$3-1)),($E$3-1),الموظفون!$X56)-الموظفون!$H56+1)/cfg_DAYS_Y)</f>
        <v/>
      </c>
      <c r="AE56" s="51" t="str">
        <f aca="false">IF($B56="","",MAX(0,IF(OR(الموظفون!$X56="",الموظفون!$X56&gt;$G$3),$G$3,الموظفون!$X56)-MAX($E$3,الموظفون!$H56)+1))</f>
        <v/>
      </c>
    </row>
    <row r="57" customFormat="false" ht="15" hidden="false" customHeight="false" outlineLevel="0" collapsed="false">
      <c r="A57" s="89" t="str">
        <f aca="false">IF($B57="","",الموظفون!$A57)</f>
        <v/>
      </c>
      <c r="B57" s="91" t="str">
        <f aca="false">IF(الموظفون!$B57="","",الموظفون!$B57)</f>
        <v/>
      </c>
      <c r="C57" s="91" t="str">
        <f aca="false">IF($B57="","",الموظفون!$C57)</f>
        <v/>
      </c>
      <c r="D57" s="91" t="str">
        <f aca="false">IF($B57="","",الموظفون!$F57)</f>
        <v/>
      </c>
      <c r="E57" s="91" t="str">
        <f aca="false">IF($B57="","",الموظفون!$E57)</f>
        <v/>
      </c>
      <c r="F57" s="110" t="str">
        <f aca="false">IF($B57="","",IF(AE57&gt;=DAY($G$3),cfg_DAYS_M,MIN(AE57,cfg_DAYS_M)))</f>
        <v/>
      </c>
      <c r="G57" s="110" t="str">
        <f aca="false">IF($B57="","",SUMIFS('الحركات الشهرية'!$D$6:$D$1005,'الحركات الشهرية'!$B$6:$B$1005,$B57,'الحركات الشهرية'!$A$6:$A$1005,$C$3))</f>
        <v/>
      </c>
      <c r="H57" s="110" t="str">
        <f aca="false">IF($B57="","",SUMIFS('الحركات الشهرية'!$E$6:$E$1005,'الحركات الشهرية'!$B$6:$B$1005,$B57,'الحركات الشهرية'!$A$6:$A$1005,$C$3))</f>
        <v/>
      </c>
      <c r="I57" s="110" t="str">
        <f aca="false">IF($B57="","",MAX(0,F57-G57-H57))</f>
        <v/>
      </c>
      <c r="J57" s="90" t="str">
        <f aca="false">IF($B57="","",الموظفون!$J57*$I57/cfg_DAYS_M)</f>
        <v/>
      </c>
      <c r="K57" s="90" t="str">
        <f aca="false">IF($B57="","",الموظفون!$K57*$I57/cfg_DAYS_M)</f>
        <v/>
      </c>
      <c r="L57" s="90" t="str">
        <f aca="false">IF($B57="","",الموظفون!$L57*$I57/cfg_DAYS_M)</f>
        <v/>
      </c>
      <c r="M57" s="90" t="str">
        <f aca="false">IF($B57="","",الموظفون!$M57*$I57/cfg_DAYS_M)</f>
        <v/>
      </c>
      <c r="N57" s="110" t="str">
        <f aca="false">IF($B57="","",SUMIFS('الحركات الشهرية'!$F$6:$F$1005,'الحركات الشهرية'!$B$6:$B$1005,$B57,'الحركات الشهرية'!$A$6:$A$1005,$C$3))</f>
        <v/>
      </c>
      <c r="O57" s="90" t="str">
        <f aca="false">IF($B57="","",N57*(الموظفون!$N57+الموظفون!$J57*cfg_OT_P)/cfg_DAYS_M/cfg_HRS)</f>
        <v/>
      </c>
      <c r="P57" s="90" t="str">
        <f aca="false">IF($B57="","",SUMIFS('الحركات الشهرية'!$G$6:$G$1005,'الحركات الشهرية'!$B$6:$B$1005,$B57,'الحركات الشهرية'!$A$6:$A$1005,$C$3))</f>
        <v/>
      </c>
      <c r="Q57" s="90" t="str">
        <f aca="false">IF($B57="","",SUMIFS('الحركات الشهرية'!$H$6:$H$1005,'الحركات الشهرية'!$B$6:$B$1005,$B57,'الحركات الشهرية'!$A$6:$A$1005,$C$3))</f>
        <v/>
      </c>
      <c r="R57" s="111" t="str">
        <f aca="false">IF($B57="","",SUM(J57:M57)+SUM(O57:Q57))</f>
        <v/>
      </c>
      <c r="S57" s="90" t="str">
        <f aca="false">IF($B57="","",الموظفون!$Q57*IF(E57="سعودي",cfg_G_SE,cfg_G_NE)*F57/cfg_DAYS_M)</f>
        <v/>
      </c>
      <c r="T57" s="90" t="str">
        <f aca="false">IF($B57="","",SUMIFS('الحركات الشهرية'!$I$6:$I$1005,'الحركات الشهرية'!$B$6:$B$1005,$B57,'الحركات الشهرية'!$A$6:$A$1005,$C$3))</f>
        <v/>
      </c>
      <c r="U57" s="90" t="str">
        <f aca="false">IF($B57="","",SUMIFS('الحركات الشهرية'!$J$6:$J$1005,'الحركات الشهرية'!$B$6:$B$1005,$B57,'الحركات الشهرية'!$A$6:$A$1005,$C$3))</f>
        <v/>
      </c>
      <c r="V57" s="90" t="str">
        <f aca="false">IF($B57="","",SUM(S57:U57))</f>
        <v/>
      </c>
      <c r="W57" s="112" t="str">
        <f aca="false">IF($B57="","",R57-V57)</f>
        <v/>
      </c>
      <c r="X57" s="90" t="str">
        <f aca="false">IF($B57="","",الموظفون!$Q57*IF(E57="سعودي",cfg_G_SR,cfg_G_NR)*F57/cfg_DAYS_M)</f>
        <v/>
      </c>
      <c r="Y57" s="90" t="str">
        <f aca="false">IF($B57="","",الموظفون!$O57*(cfg_EOS_R1*(MIN(AC57,cfg_EOS_TH)-MIN(AD57,cfg_EOS_TH))+cfg_EOS_R2*(MAX(AC57-cfg_EOS_TH,0)-MAX(AD57-cfg_EOS_TH,0))))</f>
        <v/>
      </c>
      <c r="Z57" s="90" t="str">
        <f aca="false">IF($B57="","",IF(الموظفون!$R57&lt;&gt;"",الموظفون!$R57,IF(AC57&gt;=cfg_LV_TH,cfg_LV_D2,cfg_LV_D1))/cfg_DAYS_Y*AE57*الموظفون!$P57/cfg_DAYS_M)</f>
        <v/>
      </c>
      <c r="AA57" s="90" t="str">
        <f aca="false">IF($B57="","",IF(AND(الموظفون!$S57="نعم",N(الموظفون!$U57)&gt;0),الموظفون!$T57/الموظفون!$U57*12/cfg_DAYS_Y*AE57,0))</f>
        <v/>
      </c>
      <c r="AB57" s="113" t="str">
        <f aca="false">IF($B57="","",R57+SUM(X57:AA57))</f>
        <v/>
      </c>
      <c r="AC57" s="114" t="str">
        <f aca="false">IF($B57="","",MAX(0,IF(OR(الموظفون!$X57="",الموظفون!$X57&gt;$G$3),$G$3,الموظفون!$X57)-الموظفون!$H57+1)/cfg_DAYS_Y)</f>
        <v/>
      </c>
      <c r="AD57" s="114" t="str">
        <f aca="false">IF($B57="","",MAX(0,IF(OR(الموظفون!$X57="",الموظفون!$X57&gt;($E$3-1)),($E$3-1),الموظفون!$X57)-الموظفون!$H57+1)/cfg_DAYS_Y)</f>
        <v/>
      </c>
      <c r="AE57" s="115" t="str">
        <f aca="false">IF($B57="","",MAX(0,IF(OR(الموظفون!$X57="",الموظفون!$X57&gt;$G$3),$G$3,الموظفون!$X57)-MAX($E$3,الموظفون!$H57)+1))</f>
        <v/>
      </c>
    </row>
    <row r="58" customFormat="false" ht="15" hidden="false" customHeight="false" outlineLevel="0" collapsed="false">
      <c r="A58" s="83" t="str">
        <f aca="false">IF($B58="","",الموظفون!$A58)</f>
        <v/>
      </c>
      <c r="B58" s="74" t="str">
        <f aca="false">IF(الموظفون!$B58="","",الموظفون!$B58)</f>
        <v/>
      </c>
      <c r="C58" s="74" t="str">
        <f aca="false">IF($B58="","",الموظفون!$C58)</f>
        <v/>
      </c>
      <c r="D58" s="74" t="str">
        <f aca="false">IF($B58="","",الموظفون!$F58)</f>
        <v/>
      </c>
      <c r="E58" s="74" t="str">
        <f aca="false">IF($B58="","",الموظفون!$E58)</f>
        <v/>
      </c>
      <c r="F58" s="105" t="str">
        <f aca="false">IF($B58="","",IF(AE58&gt;=DAY($G$3),cfg_DAYS_M,MIN(AE58,cfg_DAYS_M)))</f>
        <v/>
      </c>
      <c r="G58" s="105" t="str">
        <f aca="false">IF($B58="","",SUMIFS('الحركات الشهرية'!$D$6:$D$1005,'الحركات الشهرية'!$B$6:$B$1005,$B58,'الحركات الشهرية'!$A$6:$A$1005,$C$3))</f>
        <v/>
      </c>
      <c r="H58" s="105" t="str">
        <f aca="false">IF($B58="","",SUMIFS('الحركات الشهرية'!$E$6:$E$1005,'الحركات الشهرية'!$B$6:$B$1005,$B58,'الحركات الشهرية'!$A$6:$A$1005,$C$3))</f>
        <v/>
      </c>
      <c r="I58" s="105" t="str">
        <f aca="false">IF($B58="","",MAX(0,F58-G58-H58))</f>
        <v/>
      </c>
      <c r="J58" s="86" t="str">
        <f aca="false">IF($B58="","",الموظفون!$J58*$I58/cfg_DAYS_M)</f>
        <v/>
      </c>
      <c r="K58" s="86" t="str">
        <f aca="false">IF($B58="","",الموظفون!$K58*$I58/cfg_DAYS_M)</f>
        <v/>
      </c>
      <c r="L58" s="86" t="str">
        <f aca="false">IF($B58="","",الموظفون!$L58*$I58/cfg_DAYS_M)</f>
        <v/>
      </c>
      <c r="M58" s="86" t="str">
        <f aca="false">IF($B58="","",الموظفون!$M58*$I58/cfg_DAYS_M)</f>
        <v/>
      </c>
      <c r="N58" s="105" t="str">
        <f aca="false">IF($B58="","",SUMIFS('الحركات الشهرية'!$F$6:$F$1005,'الحركات الشهرية'!$B$6:$B$1005,$B58,'الحركات الشهرية'!$A$6:$A$1005,$C$3))</f>
        <v/>
      </c>
      <c r="O58" s="86" t="str">
        <f aca="false">IF($B58="","",N58*(الموظفون!$N58+الموظفون!$J58*cfg_OT_P)/cfg_DAYS_M/cfg_HRS)</f>
        <v/>
      </c>
      <c r="P58" s="86" t="str">
        <f aca="false">IF($B58="","",SUMIFS('الحركات الشهرية'!$G$6:$G$1005,'الحركات الشهرية'!$B$6:$B$1005,$B58,'الحركات الشهرية'!$A$6:$A$1005,$C$3))</f>
        <v/>
      </c>
      <c r="Q58" s="86" t="str">
        <f aca="false">IF($B58="","",SUMIFS('الحركات الشهرية'!$H$6:$H$1005,'الحركات الشهرية'!$B$6:$B$1005,$B58,'الحركات الشهرية'!$A$6:$A$1005,$C$3))</f>
        <v/>
      </c>
      <c r="R58" s="106" t="str">
        <f aca="false">IF($B58="","",SUM(J58:M58)+SUM(O58:Q58))</f>
        <v/>
      </c>
      <c r="S58" s="86" t="str">
        <f aca="false">IF($B58="","",الموظفون!$Q58*IF(E58="سعودي",cfg_G_SE,cfg_G_NE)*F58/cfg_DAYS_M)</f>
        <v/>
      </c>
      <c r="T58" s="86" t="str">
        <f aca="false">IF($B58="","",SUMIFS('الحركات الشهرية'!$I$6:$I$1005,'الحركات الشهرية'!$B$6:$B$1005,$B58,'الحركات الشهرية'!$A$6:$A$1005,$C$3))</f>
        <v/>
      </c>
      <c r="U58" s="86" t="str">
        <f aca="false">IF($B58="","",SUMIFS('الحركات الشهرية'!$J$6:$J$1005,'الحركات الشهرية'!$B$6:$B$1005,$B58,'الحركات الشهرية'!$A$6:$A$1005,$C$3))</f>
        <v/>
      </c>
      <c r="V58" s="86" t="str">
        <f aca="false">IF($B58="","",SUM(S58:U58))</f>
        <v/>
      </c>
      <c r="W58" s="107" t="str">
        <f aca="false">IF($B58="","",R58-V58)</f>
        <v/>
      </c>
      <c r="X58" s="86" t="str">
        <f aca="false">IF($B58="","",الموظفون!$Q58*IF(E58="سعودي",cfg_G_SR,cfg_G_NR)*F58/cfg_DAYS_M)</f>
        <v/>
      </c>
      <c r="Y58" s="86" t="str">
        <f aca="false">IF($B58="","",الموظفون!$O58*(cfg_EOS_R1*(MIN(AC58,cfg_EOS_TH)-MIN(AD58,cfg_EOS_TH))+cfg_EOS_R2*(MAX(AC58-cfg_EOS_TH,0)-MAX(AD58-cfg_EOS_TH,0))))</f>
        <v/>
      </c>
      <c r="Z58" s="86" t="str">
        <f aca="false">IF($B58="","",IF(الموظفون!$R58&lt;&gt;"",الموظفون!$R58,IF(AC58&gt;=cfg_LV_TH,cfg_LV_D2,cfg_LV_D1))/cfg_DAYS_Y*AE58*الموظفون!$P58/cfg_DAYS_M)</f>
        <v/>
      </c>
      <c r="AA58" s="86" t="str">
        <f aca="false">IF($B58="","",IF(AND(الموظفون!$S58="نعم",N(الموظفون!$U58)&gt;0),الموظفون!$T58/الموظفون!$U58*12/cfg_DAYS_Y*AE58,0))</f>
        <v/>
      </c>
      <c r="AB58" s="108" t="str">
        <f aca="false">IF($B58="","",R58+SUM(X58:AA58))</f>
        <v/>
      </c>
      <c r="AC58" s="109" t="str">
        <f aca="false">IF($B58="","",MAX(0,IF(OR(الموظفون!$X58="",الموظفون!$X58&gt;$G$3),$G$3,الموظفون!$X58)-الموظفون!$H58+1)/cfg_DAYS_Y)</f>
        <v/>
      </c>
      <c r="AD58" s="109" t="str">
        <f aca="false">IF($B58="","",MAX(0,IF(OR(الموظفون!$X58="",الموظفون!$X58&gt;($E$3-1)),($E$3-1),الموظفون!$X58)-الموظفون!$H58+1)/cfg_DAYS_Y)</f>
        <v/>
      </c>
      <c r="AE58" s="51" t="str">
        <f aca="false">IF($B58="","",MAX(0,IF(OR(الموظفون!$X58="",الموظفون!$X58&gt;$G$3),$G$3,الموظفون!$X58)-MAX($E$3,الموظفون!$H58)+1))</f>
        <v/>
      </c>
    </row>
    <row r="59" customFormat="false" ht="15" hidden="false" customHeight="false" outlineLevel="0" collapsed="false">
      <c r="A59" s="89" t="str">
        <f aca="false">IF($B59="","",الموظفون!$A59)</f>
        <v/>
      </c>
      <c r="B59" s="91" t="str">
        <f aca="false">IF(الموظفون!$B59="","",الموظفون!$B59)</f>
        <v/>
      </c>
      <c r="C59" s="91" t="str">
        <f aca="false">IF($B59="","",الموظفون!$C59)</f>
        <v/>
      </c>
      <c r="D59" s="91" t="str">
        <f aca="false">IF($B59="","",الموظفون!$F59)</f>
        <v/>
      </c>
      <c r="E59" s="91" t="str">
        <f aca="false">IF($B59="","",الموظفون!$E59)</f>
        <v/>
      </c>
      <c r="F59" s="110" t="str">
        <f aca="false">IF($B59="","",IF(AE59&gt;=DAY($G$3),cfg_DAYS_M,MIN(AE59,cfg_DAYS_M)))</f>
        <v/>
      </c>
      <c r="G59" s="110" t="str">
        <f aca="false">IF($B59="","",SUMIFS('الحركات الشهرية'!$D$6:$D$1005,'الحركات الشهرية'!$B$6:$B$1005,$B59,'الحركات الشهرية'!$A$6:$A$1005,$C$3))</f>
        <v/>
      </c>
      <c r="H59" s="110" t="str">
        <f aca="false">IF($B59="","",SUMIFS('الحركات الشهرية'!$E$6:$E$1005,'الحركات الشهرية'!$B$6:$B$1005,$B59,'الحركات الشهرية'!$A$6:$A$1005,$C$3))</f>
        <v/>
      </c>
      <c r="I59" s="110" t="str">
        <f aca="false">IF($B59="","",MAX(0,F59-G59-H59))</f>
        <v/>
      </c>
      <c r="J59" s="90" t="str">
        <f aca="false">IF($B59="","",الموظفون!$J59*$I59/cfg_DAYS_M)</f>
        <v/>
      </c>
      <c r="K59" s="90" t="str">
        <f aca="false">IF($B59="","",الموظفون!$K59*$I59/cfg_DAYS_M)</f>
        <v/>
      </c>
      <c r="L59" s="90" t="str">
        <f aca="false">IF($B59="","",الموظفون!$L59*$I59/cfg_DAYS_M)</f>
        <v/>
      </c>
      <c r="M59" s="90" t="str">
        <f aca="false">IF($B59="","",الموظفون!$M59*$I59/cfg_DAYS_M)</f>
        <v/>
      </c>
      <c r="N59" s="110" t="str">
        <f aca="false">IF($B59="","",SUMIFS('الحركات الشهرية'!$F$6:$F$1005,'الحركات الشهرية'!$B$6:$B$1005,$B59,'الحركات الشهرية'!$A$6:$A$1005,$C$3))</f>
        <v/>
      </c>
      <c r="O59" s="90" t="str">
        <f aca="false">IF($B59="","",N59*(الموظفون!$N59+الموظفون!$J59*cfg_OT_P)/cfg_DAYS_M/cfg_HRS)</f>
        <v/>
      </c>
      <c r="P59" s="90" t="str">
        <f aca="false">IF($B59="","",SUMIFS('الحركات الشهرية'!$G$6:$G$1005,'الحركات الشهرية'!$B$6:$B$1005,$B59,'الحركات الشهرية'!$A$6:$A$1005,$C$3))</f>
        <v/>
      </c>
      <c r="Q59" s="90" t="str">
        <f aca="false">IF($B59="","",SUMIFS('الحركات الشهرية'!$H$6:$H$1005,'الحركات الشهرية'!$B$6:$B$1005,$B59,'الحركات الشهرية'!$A$6:$A$1005,$C$3))</f>
        <v/>
      </c>
      <c r="R59" s="111" t="str">
        <f aca="false">IF($B59="","",SUM(J59:M59)+SUM(O59:Q59))</f>
        <v/>
      </c>
      <c r="S59" s="90" t="str">
        <f aca="false">IF($B59="","",الموظفون!$Q59*IF(E59="سعودي",cfg_G_SE,cfg_G_NE)*F59/cfg_DAYS_M)</f>
        <v/>
      </c>
      <c r="T59" s="90" t="str">
        <f aca="false">IF($B59="","",SUMIFS('الحركات الشهرية'!$I$6:$I$1005,'الحركات الشهرية'!$B$6:$B$1005,$B59,'الحركات الشهرية'!$A$6:$A$1005,$C$3))</f>
        <v/>
      </c>
      <c r="U59" s="90" t="str">
        <f aca="false">IF($B59="","",SUMIFS('الحركات الشهرية'!$J$6:$J$1005,'الحركات الشهرية'!$B$6:$B$1005,$B59,'الحركات الشهرية'!$A$6:$A$1005,$C$3))</f>
        <v/>
      </c>
      <c r="V59" s="90" t="str">
        <f aca="false">IF($B59="","",SUM(S59:U59))</f>
        <v/>
      </c>
      <c r="W59" s="112" t="str">
        <f aca="false">IF($B59="","",R59-V59)</f>
        <v/>
      </c>
      <c r="X59" s="90" t="str">
        <f aca="false">IF($B59="","",الموظفون!$Q59*IF(E59="سعودي",cfg_G_SR,cfg_G_NR)*F59/cfg_DAYS_M)</f>
        <v/>
      </c>
      <c r="Y59" s="90" t="str">
        <f aca="false">IF($B59="","",الموظفون!$O59*(cfg_EOS_R1*(MIN(AC59,cfg_EOS_TH)-MIN(AD59,cfg_EOS_TH))+cfg_EOS_R2*(MAX(AC59-cfg_EOS_TH,0)-MAX(AD59-cfg_EOS_TH,0))))</f>
        <v/>
      </c>
      <c r="Z59" s="90" t="str">
        <f aca="false">IF($B59="","",IF(الموظفون!$R59&lt;&gt;"",الموظفون!$R59,IF(AC59&gt;=cfg_LV_TH,cfg_LV_D2,cfg_LV_D1))/cfg_DAYS_Y*AE59*الموظفون!$P59/cfg_DAYS_M)</f>
        <v/>
      </c>
      <c r="AA59" s="90" t="str">
        <f aca="false">IF($B59="","",IF(AND(الموظفون!$S59="نعم",N(الموظفون!$U59)&gt;0),الموظفون!$T59/الموظفون!$U59*12/cfg_DAYS_Y*AE59,0))</f>
        <v/>
      </c>
      <c r="AB59" s="113" t="str">
        <f aca="false">IF($B59="","",R59+SUM(X59:AA59))</f>
        <v/>
      </c>
      <c r="AC59" s="114" t="str">
        <f aca="false">IF($B59="","",MAX(0,IF(OR(الموظفون!$X59="",الموظفون!$X59&gt;$G$3),$G$3,الموظفون!$X59)-الموظفون!$H59+1)/cfg_DAYS_Y)</f>
        <v/>
      </c>
      <c r="AD59" s="114" t="str">
        <f aca="false">IF($B59="","",MAX(0,IF(OR(الموظفون!$X59="",الموظفون!$X59&gt;($E$3-1)),($E$3-1),الموظفون!$X59)-الموظفون!$H59+1)/cfg_DAYS_Y)</f>
        <v/>
      </c>
      <c r="AE59" s="115" t="str">
        <f aca="false">IF($B59="","",MAX(0,IF(OR(الموظفون!$X59="",الموظفون!$X59&gt;$G$3),$G$3,الموظفون!$X59)-MAX($E$3,الموظفون!$H59)+1))</f>
        <v/>
      </c>
    </row>
    <row r="60" customFormat="false" ht="15" hidden="false" customHeight="false" outlineLevel="0" collapsed="false">
      <c r="A60" s="83" t="str">
        <f aca="false">IF($B60="","",الموظفون!$A60)</f>
        <v/>
      </c>
      <c r="B60" s="74" t="str">
        <f aca="false">IF(الموظفون!$B60="","",الموظفون!$B60)</f>
        <v/>
      </c>
      <c r="C60" s="74" t="str">
        <f aca="false">IF($B60="","",الموظفون!$C60)</f>
        <v/>
      </c>
      <c r="D60" s="74" t="str">
        <f aca="false">IF($B60="","",الموظفون!$F60)</f>
        <v/>
      </c>
      <c r="E60" s="74" t="str">
        <f aca="false">IF($B60="","",الموظفون!$E60)</f>
        <v/>
      </c>
      <c r="F60" s="105" t="str">
        <f aca="false">IF($B60="","",IF(AE60&gt;=DAY($G$3),cfg_DAYS_M,MIN(AE60,cfg_DAYS_M)))</f>
        <v/>
      </c>
      <c r="G60" s="105" t="str">
        <f aca="false">IF($B60="","",SUMIFS('الحركات الشهرية'!$D$6:$D$1005,'الحركات الشهرية'!$B$6:$B$1005,$B60,'الحركات الشهرية'!$A$6:$A$1005,$C$3))</f>
        <v/>
      </c>
      <c r="H60" s="105" t="str">
        <f aca="false">IF($B60="","",SUMIFS('الحركات الشهرية'!$E$6:$E$1005,'الحركات الشهرية'!$B$6:$B$1005,$B60,'الحركات الشهرية'!$A$6:$A$1005,$C$3))</f>
        <v/>
      </c>
      <c r="I60" s="105" t="str">
        <f aca="false">IF($B60="","",MAX(0,F60-G60-H60))</f>
        <v/>
      </c>
      <c r="J60" s="86" t="str">
        <f aca="false">IF($B60="","",الموظفون!$J60*$I60/cfg_DAYS_M)</f>
        <v/>
      </c>
      <c r="K60" s="86" t="str">
        <f aca="false">IF($B60="","",الموظفون!$K60*$I60/cfg_DAYS_M)</f>
        <v/>
      </c>
      <c r="L60" s="86" t="str">
        <f aca="false">IF($B60="","",الموظفون!$L60*$I60/cfg_DAYS_M)</f>
        <v/>
      </c>
      <c r="M60" s="86" t="str">
        <f aca="false">IF($B60="","",الموظفون!$M60*$I60/cfg_DAYS_M)</f>
        <v/>
      </c>
      <c r="N60" s="105" t="str">
        <f aca="false">IF($B60="","",SUMIFS('الحركات الشهرية'!$F$6:$F$1005,'الحركات الشهرية'!$B$6:$B$1005,$B60,'الحركات الشهرية'!$A$6:$A$1005,$C$3))</f>
        <v/>
      </c>
      <c r="O60" s="86" t="str">
        <f aca="false">IF($B60="","",N60*(الموظفون!$N60+الموظفون!$J60*cfg_OT_P)/cfg_DAYS_M/cfg_HRS)</f>
        <v/>
      </c>
      <c r="P60" s="86" t="str">
        <f aca="false">IF($B60="","",SUMIFS('الحركات الشهرية'!$G$6:$G$1005,'الحركات الشهرية'!$B$6:$B$1005,$B60,'الحركات الشهرية'!$A$6:$A$1005,$C$3))</f>
        <v/>
      </c>
      <c r="Q60" s="86" t="str">
        <f aca="false">IF($B60="","",SUMIFS('الحركات الشهرية'!$H$6:$H$1005,'الحركات الشهرية'!$B$6:$B$1005,$B60,'الحركات الشهرية'!$A$6:$A$1005,$C$3))</f>
        <v/>
      </c>
      <c r="R60" s="106" t="str">
        <f aca="false">IF($B60="","",SUM(J60:M60)+SUM(O60:Q60))</f>
        <v/>
      </c>
      <c r="S60" s="86" t="str">
        <f aca="false">IF($B60="","",الموظفون!$Q60*IF(E60="سعودي",cfg_G_SE,cfg_G_NE)*F60/cfg_DAYS_M)</f>
        <v/>
      </c>
      <c r="T60" s="86" t="str">
        <f aca="false">IF($B60="","",SUMIFS('الحركات الشهرية'!$I$6:$I$1005,'الحركات الشهرية'!$B$6:$B$1005,$B60,'الحركات الشهرية'!$A$6:$A$1005,$C$3))</f>
        <v/>
      </c>
      <c r="U60" s="86" t="str">
        <f aca="false">IF($B60="","",SUMIFS('الحركات الشهرية'!$J$6:$J$1005,'الحركات الشهرية'!$B$6:$B$1005,$B60,'الحركات الشهرية'!$A$6:$A$1005,$C$3))</f>
        <v/>
      </c>
      <c r="V60" s="86" t="str">
        <f aca="false">IF($B60="","",SUM(S60:U60))</f>
        <v/>
      </c>
      <c r="W60" s="107" t="str">
        <f aca="false">IF($B60="","",R60-V60)</f>
        <v/>
      </c>
      <c r="X60" s="86" t="str">
        <f aca="false">IF($B60="","",الموظفون!$Q60*IF(E60="سعودي",cfg_G_SR,cfg_G_NR)*F60/cfg_DAYS_M)</f>
        <v/>
      </c>
      <c r="Y60" s="86" t="str">
        <f aca="false">IF($B60="","",الموظفون!$O60*(cfg_EOS_R1*(MIN(AC60,cfg_EOS_TH)-MIN(AD60,cfg_EOS_TH))+cfg_EOS_R2*(MAX(AC60-cfg_EOS_TH,0)-MAX(AD60-cfg_EOS_TH,0))))</f>
        <v/>
      </c>
      <c r="Z60" s="86" t="str">
        <f aca="false">IF($B60="","",IF(الموظفون!$R60&lt;&gt;"",الموظفون!$R60,IF(AC60&gt;=cfg_LV_TH,cfg_LV_D2,cfg_LV_D1))/cfg_DAYS_Y*AE60*الموظفون!$P60/cfg_DAYS_M)</f>
        <v/>
      </c>
      <c r="AA60" s="86" t="str">
        <f aca="false">IF($B60="","",IF(AND(الموظفون!$S60="نعم",N(الموظفون!$U60)&gt;0),الموظفون!$T60/الموظفون!$U60*12/cfg_DAYS_Y*AE60,0))</f>
        <v/>
      </c>
      <c r="AB60" s="108" t="str">
        <f aca="false">IF($B60="","",R60+SUM(X60:AA60))</f>
        <v/>
      </c>
      <c r="AC60" s="109" t="str">
        <f aca="false">IF($B60="","",MAX(0,IF(OR(الموظفون!$X60="",الموظفون!$X60&gt;$G$3),$G$3,الموظفون!$X60)-الموظفون!$H60+1)/cfg_DAYS_Y)</f>
        <v/>
      </c>
      <c r="AD60" s="109" t="str">
        <f aca="false">IF($B60="","",MAX(0,IF(OR(الموظفون!$X60="",الموظفون!$X60&gt;($E$3-1)),($E$3-1),الموظفون!$X60)-الموظفون!$H60+1)/cfg_DAYS_Y)</f>
        <v/>
      </c>
      <c r="AE60" s="51" t="str">
        <f aca="false">IF($B60="","",MAX(0,IF(OR(الموظفون!$X60="",الموظفون!$X60&gt;$G$3),$G$3,الموظفون!$X60)-MAX($E$3,الموظفون!$H60)+1))</f>
        <v/>
      </c>
    </row>
    <row r="61" customFormat="false" ht="15" hidden="false" customHeight="false" outlineLevel="0" collapsed="false">
      <c r="A61" s="89" t="str">
        <f aca="false">IF($B61="","",الموظفون!$A61)</f>
        <v/>
      </c>
      <c r="B61" s="91" t="str">
        <f aca="false">IF(الموظفون!$B61="","",الموظفون!$B61)</f>
        <v/>
      </c>
      <c r="C61" s="91" t="str">
        <f aca="false">IF($B61="","",الموظفون!$C61)</f>
        <v/>
      </c>
      <c r="D61" s="91" t="str">
        <f aca="false">IF($B61="","",الموظفون!$F61)</f>
        <v/>
      </c>
      <c r="E61" s="91" t="str">
        <f aca="false">IF($B61="","",الموظفون!$E61)</f>
        <v/>
      </c>
      <c r="F61" s="110" t="str">
        <f aca="false">IF($B61="","",IF(AE61&gt;=DAY($G$3),cfg_DAYS_M,MIN(AE61,cfg_DAYS_M)))</f>
        <v/>
      </c>
      <c r="G61" s="110" t="str">
        <f aca="false">IF($B61="","",SUMIFS('الحركات الشهرية'!$D$6:$D$1005,'الحركات الشهرية'!$B$6:$B$1005,$B61,'الحركات الشهرية'!$A$6:$A$1005,$C$3))</f>
        <v/>
      </c>
      <c r="H61" s="110" t="str">
        <f aca="false">IF($B61="","",SUMIFS('الحركات الشهرية'!$E$6:$E$1005,'الحركات الشهرية'!$B$6:$B$1005,$B61,'الحركات الشهرية'!$A$6:$A$1005,$C$3))</f>
        <v/>
      </c>
      <c r="I61" s="110" t="str">
        <f aca="false">IF($B61="","",MAX(0,F61-G61-H61))</f>
        <v/>
      </c>
      <c r="J61" s="90" t="str">
        <f aca="false">IF($B61="","",الموظفون!$J61*$I61/cfg_DAYS_M)</f>
        <v/>
      </c>
      <c r="K61" s="90" t="str">
        <f aca="false">IF($B61="","",الموظفون!$K61*$I61/cfg_DAYS_M)</f>
        <v/>
      </c>
      <c r="L61" s="90" t="str">
        <f aca="false">IF($B61="","",الموظفون!$L61*$I61/cfg_DAYS_M)</f>
        <v/>
      </c>
      <c r="M61" s="90" t="str">
        <f aca="false">IF($B61="","",الموظفون!$M61*$I61/cfg_DAYS_M)</f>
        <v/>
      </c>
      <c r="N61" s="110" t="str">
        <f aca="false">IF($B61="","",SUMIFS('الحركات الشهرية'!$F$6:$F$1005,'الحركات الشهرية'!$B$6:$B$1005,$B61,'الحركات الشهرية'!$A$6:$A$1005,$C$3))</f>
        <v/>
      </c>
      <c r="O61" s="90" t="str">
        <f aca="false">IF($B61="","",N61*(الموظفون!$N61+الموظفون!$J61*cfg_OT_P)/cfg_DAYS_M/cfg_HRS)</f>
        <v/>
      </c>
      <c r="P61" s="90" t="str">
        <f aca="false">IF($B61="","",SUMIFS('الحركات الشهرية'!$G$6:$G$1005,'الحركات الشهرية'!$B$6:$B$1005,$B61,'الحركات الشهرية'!$A$6:$A$1005,$C$3))</f>
        <v/>
      </c>
      <c r="Q61" s="90" t="str">
        <f aca="false">IF($B61="","",SUMIFS('الحركات الشهرية'!$H$6:$H$1005,'الحركات الشهرية'!$B$6:$B$1005,$B61,'الحركات الشهرية'!$A$6:$A$1005,$C$3))</f>
        <v/>
      </c>
      <c r="R61" s="111" t="str">
        <f aca="false">IF($B61="","",SUM(J61:M61)+SUM(O61:Q61))</f>
        <v/>
      </c>
      <c r="S61" s="90" t="str">
        <f aca="false">IF($B61="","",الموظفون!$Q61*IF(E61="سعودي",cfg_G_SE,cfg_G_NE)*F61/cfg_DAYS_M)</f>
        <v/>
      </c>
      <c r="T61" s="90" t="str">
        <f aca="false">IF($B61="","",SUMIFS('الحركات الشهرية'!$I$6:$I$1005,'الحركات الشهرية'!$B$6:$B$1005,$B61,'الحركات الشهرية'!$A$6:$A$1005,$C$3))</f>
        <v/>
      </c>
      <c r="U61" s="90" t="str">
        <f aca="false">IF($B61="","",SUMIFS('الحركات الشهرية'!$J$6:$J$1005,'الحركات الشهرية'!$B$6:$B$1005,$B61,'الحركات الشهرية'!$A$6:$A$1005,$C$3))</f>
        <v/>
      </c>
      <c r="V61" s="90" t="str">
        <f aca="false">IF($B61="","",SUM(S61:U61))</f>
        <v/>
      </c>
      <c r="W61" s="112" t="str">
        <f aca="false">IF($B61="","",R61-V61)</f>
        <v/>
      </c>
      <c r="X61" s="90" t="str">
        <f aca="false">IF($B61="","",الموظفون!$Q61*IF(E61="سعودي",cfg_G_SR,cfg_G_NR)*F61/cfg_DAYS_M)</f>
        <v/>
      </c>
      <c r="Y61" s="90" t="str">
        <f aca="false">IF($B61="","",الموظفون!$O61*(cfg_EOS_R1*(MIN(AC61,cfg_EOS_TH)-MIN(AD61,cfg_EOS_TH))+cfg_EOS_R2*(MAX(AC61-cfg_EOS_TH,0)-MAX(AD61-cfg_EOS_TH,0))))</f>
        <v/>
      </c>
      <c r="Z61" s="90" t="str">
        <f aca="false">IF($B61="","",IF(الموظفون!$R61&lt;&gt;"",الموظفون!$R61,IF(AC61&gt;=cfg_LV_TH,cfg_LV_D2,cfg_LV_D1))/cfg_DAYS_Y*AE61*الموظفون!$P61/cfg_DAYS_M)</f>
        <v/>
      </c>
      <c r="AA61" s="90" t="str">
        <f aca="false">IF($B61="","",IF(AND(الموظفون!$S61="نعم",N(الموظفون!$U61)&gt;0),الموظفون!$T61/الموظفون!$U61*12/cfg_DAYS_Y*AE61,0))</f>
        <v/>
      </c>
      <c r="AB61" s="113" t="str">
        <f aca="false">IF($B61="","",R61+SUM(X61:AA61))</f>
        <v/>
      </c>
      <c r="AC61" s="114" t="str">
        <f aca="false">IF($B61="","",MAX(0,IF(OR(الموظفون!$X61="",الموظفون!$X61&gt;$G$3),$G$3,الموظفون!$X61)-الموظفون!$H61+1)/cfg_DAYS_Y)</f>
        <v/>
      </c>
      <c r="AD61" s="114" t="str">
        <f aca="false">IF($B61="","",MAX(0,IF(OR(الموظفون!$X61="",الموظفون!$X61&gt;($E$3-1)),($E$3-1),الموظفون!$X61)-الموظفون!$H61+1)/cfg_DAYS_Y)</f>
        <v/>
      </c>
      <c r="AE61" s="115" t="str">
        <f aca="false">IF($B61="","",MAX(0,IF(OR(الموظفون!$X61="",الموظفون!$X61&gt;$G$3),$G$3,الموظفون!$X61)-MAX($E$3,الموظفون!$H61)+1))</f>
        <v/>
      </c>
    </row>
    <row r="62" customFormat="false" ht="15" hidden="false" customHeight="false" outlineLevel="0" collapsed="false">
      <c r="A62" s="83" t="str">
        <f aca="false">IF($B62="","",الموظفون!$A62)</f>
        <v/>
      </c>
      <c r="B62" s="74" t="str">
        <f aca="false">IF(الموظفون!$B62="","",الموظفون!$B62)</f>
        <v/>
      </c>
      <c r="C62" s="74" t="str">
        <f aca="false">IF($B62="","",الموظفون!$C62)</f>
        <v/>
      </c>
      <c r="D62" s="74" t="str">
        <f aca="false">IF($B62="","",الموظفون!$F62)</f>
        <v/>
      </c>
      <c r="E62" s="74" t="str">
        <f aca="false">IF($B62="","",الموظفون!$E62)</f>
        <v/>
      </c>
      <c r="F62" s="105" t="str">
        <f aca="false">IF($B62="","",IF(AE62&gt;=DAY($G$3),cfg_DAYS_M,MIN(AE62,cfg_DAYS_M)))</f>
        <v/>
      </c>
      <c r="G62" s="105" t="str">
        <f aca="false">IF($B62="","",SUMIFS('الحركات الشهرية'!$D$6:$D$1005,'الحركات الشهرية'!$B$6:$B$1005,$B62,'الحركات الشهرية'!$A$6:$A$1005,$C$3))</f>
        <v/>
      </c>
      <c r="H62" s="105" t="str">
        <f aca="false">IF($B62="","",SUMIFS('الحركات الشهرية'!$E$6:$E$1005,'الحركات الشهرية'!$B$6:$B$1005,$B62,'الحركات الشهرية'!$A$6:$A$1005,$C$3))</f>
        <v/>
      </c>
      <c r="I62" s="105" t="str">
        <f aca="false">IF($B62="","",MAX(0,F62-G62-H62))</f>
        <v/>
      </c>
      <c r="J62" s="86" t="str">
        <f aca="false">IF($B62="","",الموظفون!$J62*$I62/cfg_DAYS_M)</f>
        <v/>
      </c>
      <c r="K62" s="86" t="str">
        <f aca="false">IF($B62="","",الموظفون!$K62*$I62/cfg_DAYS_M)</f>
        <v/>
      </c>
      <c r="L62" s="86" t="str">
        <f aca="false">IF($B62="","",الموظفون!$L62*$I62/cfg_DAYS_M)</f>
        <v/>
      </c>
      <c r="M62" s="86" t="str">
        <f aca="false">IF($B62="","",الموظفون!$M62*$I62/cfg_DAYS_M)</f>
        <v/>
      </c>
      <c r="N62" s="105" t="str">
        <f aca="false">IF($B62="","",SUMIFS('الحركات الشهرية'!$F$6:$F$1005,'الحركات الشهرية'!$B$6:$B$1005,$B62,'الحركات الشهرية'!$A$6:$A$1005,$C$3))</f>
        <v/>
      </c>
      <c r="O62" s="86" t="str">
        <f aca="false">IF($B62="","",N62*(الموظفون!$N62+الموظفون!$J62*cfg_OT_P)/cfg_DAYS_M/cfg_HRS)</f>
        <v/>
      </c>
      <c r="P62" s="86" t="str">
        <f aca="false">IF($B62="","",SUMIFS('الحركات الشهرية'!$G$6:$G$1005,'الحركات الشهرية'!$B$6:$B$1005,$B62,'الحركات الشهرية'!$A$6:$A$1005,$C$3))</f>
        <v/>
      </c>
      <c r="Q62" s="86" t="str">
        <f aca="false">IF($B62="","",SUMIFS('الحركات الشهرية'!$H$6:$H$1005,'الحركات الشهرية'!$B$6:$B$1005,$B62,'الحركات الشهرية'!$A$6:$A$1005,$C$3))</f>
        <v/>
      </c>
      <c r="R62" s="106" t="str">
        <f aca="false">IF($B62="","",SUM(J62:M62)+SUM(O62:Q62))</f>
        <v/>
      </c>
      <c r="S62" s="86" t="str">
        <f aca="false">IF($B62="","",الموظفون!$Q62*IF(E62="سعودي",cfg_G_SE,cfg_G_NE)*F62/cfg_DAYS_M)</f>
        <v/>
      </c>
      <c r="T62" s="86" t="str">
        <f aca="false">IF($B62="","",SUMIFS('الحركات الشهرية'!$I$6:$I$1005,'الحركات الشهرية'!$B$6:$B$1005,$B62,'الحركات الشهرية'!$A$6:$A$1005,$C$3))</f>
        <v/>
      </c>
      <c r="U62" s="86" t="str">
        <f aca="false">IF($B62="","",SUMIFS('الحركات الشهرية'!$J$6:$J$1005,'الحركات الشهرية'!$B$6:$B$1005,$B62,'الحركات الشهرية'!$A$6:$A$1005,$C$3))</f>
        <v/>
      </c>
      <c r="V62" s="86" t="str">
        <f aca="false">IF($B62="","",SUM(S62:U62))</f>
        <v/>
      </c>
      <c r="W62" s="107" t="str">
        <f aca="false">IF($B62="","",R62-V62)</f>
        <v/>
      </c>
      <c r="X62" s="86" t="str">
        <f aca="false">IF($B62="","",الموظفون!$Q62*IF(E62="سعودي",cfg_G_SR,cfg_G_NR)*F62/cfg_DAYS_M)</f>
        <v/>
      </c>
      <c r="Y62" s="86" t="str">
        <f aca="false">IF($B62="","",الموظفون!$O62*(cfg_EOS_R1*(MIN(AC62,cfg_EOS_TH)-MIN(AD62,cfg_EOS_TH))+cfg_EOS_R2*(MAX(AC62-cfg_EOS_TH,0)-MAX(AD62-cfg_EOS_TH,0))))</f>
        <v/>
      </c>
      <c r="Z62" s="86" t="str">
        <f aca="false">IF($B62="","",IF(الموظفون!$R62&lt;&gt;"",الموظفون!$R62,IF(AC62&gt;=cfg_LV_TH,cfg_LV_D2,cfg_LV_D1))/cfg_DAYS_Y*AE62*الموظفون!$P62/cfg_DAYS_M)</f>
        <v/>
      </c>
      <c r="AA62" s="86" t="str">
        <f aca="false">IF($B62="","",IF(AND(الموظفون!$S62="نعم",N(الموظفون!$U62)&gt;0),الموظفون!$T62/الموظفون!$U62*12/cfg_DAYS_Y*AE62,0))</f>
        <v/>
      </c>
      <c r="AB62" s="108" t="str">
        <f aca="false">IF($B62="","",R62+SUM(X62:AA62))</f>
        <v/>
      </c>
      <c r="AC62" s="109" t="str">
        <f aca="false">IF($B62="","",MAX(0,IF(OR(الموظفون!$X62="",الموظفون!$X62&gt;$G$3),$G$3,الموظفون!$X62)-الموظفون!$H62+1)/cfg_DAYS_Y)</f>
        <v/>
      </c>
      <c r="AD62" s="109" t="str">
        <f aca="false">IF($B62="","",MAX(0,IF(OR(الموظفون!$X62="",الموظفون!$X62&gt;($E$3-1)),($E$3-1),الموظفون!$X62)-الموظفون!$H62+1)/cfg_DAYS_Y)</f>
        <v/>
      </c>
      <c r="AE62" s="51" t="str">
        <f aca="false">IF($B62="","",MAX(0,IF(OR(الموظفون!$X62="",الموظفون!$X62&gt;$G$3),$G$3,الموظفون!$X62)-MAX($E$3,الموظفون!$H62)+1))</f>
        <v/>
      </c>
    </row>
    <row r="63" customFormat="false" ht="15" hidden="false" customHeight="false" outlineLevel="0" collapsed="false">
      <c r="A63" s="89" t="str">
        <f aca="false">IF($B63="","",الموظفون!$A63)</f>
        <v/>
      </c>
      <c r="B63" s="91" t="str">
        <f aca="false">IF(الموظفون!$B63="","",الموظفون!$B63)</f>
        <v/>
      </c>
      <c r="C63" s="91" t="str">
        <f aca="false">IF($B63="","",الموظفون!$C63)</f>
        <v/>
      </c>
      <c r="D63" s="91" t="str">
        <f aca="false">IF($B63="","",الموظفون!$F63)</f>
        <v/>
      </c>
      <c r="E63" s="91" t="str">
        <f aca="false">IF($B63="","",الموظفون!$E63)</f>
        <v/>
      </c>
      <c r="F63" s="110" t="str">
        <f aca="false">IF($B63="","",IF(AE63&gt;=DAY($G$3),cfg_DAYS_M,MIN(AE63,cfg_DAYS_M)))</f>
        <v/>
      </c>
      <c r="G63" s="110" t="str">
        <f aca="false">IF($B63="","",SUMIFS('الحركات الشهرية'!$D$6:$D$1005,'الحركات الشهرية'!$B$6:$B$1005,$B63,'الحركات الشهرية'!$A$6:$A$1005,$C$3))</f>
        <v/>
      </c>
      <c r="H63" s="110" t="str">
        <f aca="false">IF($B63="","",SUMIFS('الحركات الشهرية'!$E$6:$E$1005,'الحركات الشهرية'!$B$6:$B$1005,$B63,'الحركات الشهرية'!$A$6:$A$1005,$C$3))</f>
        <v/>
      </c>
      <c r="I63" s="110" t="str">
        <f aca="false">IF($B63="","",MAX(0,F63-G63-H63))</f>
        <v/>
      </c>
      <c r="J63" s="90" t="str">
        <f aca="false">IF($B63="","",الموظفون!$J63*$I63/cfg_DAYS_M)</f>
        <v/>
      </c>
      <c r="K63" s="90" t="str">
        <f aca="false">IF($B63="","",الموظفون!$K63*$I63/cfg_DAYS_M)</f>
        <v/>
      </c>
      <c r="L63" s="90" t="str">
        <f aca="false">IF($B63="","",الموظفون!$L63*$I63/cfg_DAYS_M)</f>
        <v/>
      </c>
      <c r="M63" s="90" t="str">
        <f aca="false">IF($B63="","",الموظفون!$M63*$I63/cfg_DAYS_M)</f>
        <v/>
      </c>
      <c r="N63" s="110" t="str">
        <f aca="false">IF($B63="","",SUMIFS('الحركات الشهرية'!$F$6:$F$1005,'الحركات الشهرية'!$B$6:$B$1005,$B63,'الحركات الشهرية'!$A$6:$A$1005,$C$3))</f>
        <v/>
      </c>
      <c r="O63" s="90" t="str">
        <f aca="false">IF($B63="","",N63*(الموظفون!$N63+الموظفون!$J63*cfg_OT_P)/cfg_DAYS_M/cfg_HRS)</f>
        <v/>
      </c>
      <c r="P63" s="90" t="str">
        <f aca="false">IF($B63="","",SUMIFS('الحركات الشهرية'!$G$6:$G$1005,'الحركات الشهرية'!$B$6:$B$1005,$B63,'الحركات الشهرية'!$A$6:$A$1005,$C$3))</f>
        <v/>
      </c>
      <c r="Q63" s="90" t="str">
        <f aca="false">IF($B63="","",SUMIFS('الحركات الشهرية'!$H$6:$H$1005,'الحركات الشهرية'!$B$6:$B$1005,$B63,'الحركات الشهرية'!$A$6:$A$1005,$C$3))</f>
        <v/>
      </c>
      <c r="R63" s="111" t="str">
        <f aca="false">IF($B63="","",SUM(J63:M63)+SUM(O63:Q63))</f>
        <v/>
      </c>
      <c r="S63" s="90" t="str">
        <f aca="false">IF($B63="","",الموظفون!$Q63*IF(E63="سعودي",cfg_G_SE,cfg_G_NE)*F63/cfg_DAYS_M)</f>
        <v/>
      </c>
      <c r="T63" s="90" t="str">
        <f aca="false">IF($B63="","",SUMIFS('الحركات الشهرية'!$I$6:$I$1005,'الحركات الشهرية'!$B$6:$B$1005,$B63,'الحركات الشهرية'!$A$6:$A$1005,$C$3))</f>
        <v/>
      </c>
      <c r="U63" s="90" t="str">
        <f aca="false">IF($B63="","",SUMIFS('الحركات الشهرية'!$J$6:$J$1005,'الحركات الشهرية'!$B$6:$B$1005,$B63,'الحركات الشهرية'!$A$6:$A$1005,$C$3))</f>
        <v/>
      </c>
      <c r="V63" s="90" t="str">
        <f aca="false">IF($B63="","",SUM(S63:U63))</f>
        <v/>
      </c>
      <c r="W63" s="112" t="str">
        <f aca="false">IF($B63="","",R63-V63)</f>
        <v/>
      </c>
      <c r="X63" s="90" t="str">
        <f aca="false">IF($B63="","",الموظفون!$Q63*IF(E63="سعودي",cfg_G_SR,cfg_G_NR)*F63/cfg_DAYS_M)</f>
        <v/>
      </c>
      <c r="Y63" s="90" t="str">
        <f aca="false">IF($B63="","",الموظفون!$O63*(cfg_EOS_R1*(MIN(AC63,cfg_EOS_TH)-MIN(AD63,cfg_EOS_TH))+cfg_EOS_R2*(MAX(AC63-cfg_EOS_TH,0)-MAX(AD63-cfg_EOS_TH,0))))</f>
        <v/>
      </c>
      <c r="Z63" s="90" t="str">
        <f aca="false">IF($B63="","",IF(الموظفون!$R63&lt;&gt;"",الموظفون!$R63,IF(AC63&gt;=cfg_LV_TH,cfg_LV_D2,cfg_LV_D1))/cfg_DAYS_Y*AE63*الموظفون!$P63/cfg_DAYS_M)</f>
        <v/>
      </c>
      <c r="AA63" s="90" t="str">
        <f aca="false">IF($B63="","",IF(AND(الموظفون!$S63="نعم",N(الموظفون!$U63)&gt;0),الموظفون!$T63/الموظفون!$U63*12/cfg_DAYS_Y*AE63,0))</f>
        <v/>
      </c>
      <c r="AB63" s="113" t="str">
        <f aca="false">IF($B63="","",R63+SUM(X63:AA63))</f>
        <v/>
      </c>
      <c r="AC63" s="114" t="str">
        <f aca="false">IF($B63="","",MAX(0,IF(OR(الموظفون!$X63="",الموظفون!$X63&gt;$G$3),$G$3,الموظفون!$X63)-الموظفون!$H63+1)/cfg_DAYS_Y)</f>
        <v/>
      </c>
      <c r="AD63" s="114" t="str">
        <f aca="false">IF($B63="","",MAX(0,IF(OR(الموظفون!$X63="",الموظفون!$X63&gt;($E$3-1)),($E$3-1),الموظفون!$X63)-الموظفون!$H63+1)/cfg_DAYS_Y)</f>
        <v/>
      </c>
      <c r="AE63" s="115" t="str">
        <f aca="false">IF($B63="","",MAX(0,IF(OR(الموظفون!$X63="",الموظفون!$X63&gt;$G$3),$G$3,الموظفون!$X63)-MAX($E$3,الموظفون!$H63)+1))</f>
        <v/>
      </c>
    </row>
    <row r="64" customFormat="false" ht="15" hidden="false" customHeight="false" outlineLevel="0" collapsed="false">
      <c r="A64" s="83" t="str">
        <f aca="false">IF($B64="","",الموظفون!$A64)</f>
        <v/>
      </c>
      <c r="B64" s="74" t="str">
        <f aca="false">IF(الموظفون!$B64="","",الموظفون!$B64)</f>
        <v/>
      </c>
      <c r="C64" s="74" t="str">
        <f aca="false">IF($B64="","",الموظفون!$C64)</f>
        <v/>
      </c>
      <c r="D64" s="74" t="str">
        <f aca="false">IF($B64="","",الموظفون!$F64)</f>
        <v/>
      </c>
      <c r="E64" s="74" t="str">
        <f aca="false">IF($B64="","",الموظفون!$E64)</f>
        <v/>
      </c>
      <c r="F64" s="105" t="str">
        <f aca="false">IF($B64="","",IF(AE64&gt;=DAY($G$3),cfg_DAYS_M,MIN(AE64,cfg_DAYS_M)))</f>
        <v/>
      </c>
      <c r="G64" s="105" t="str">
        <f aca="false">IF($B64="","",SUMIFS('الحركات الشهرية'!$D$6:$D$1005,'الحركات الشهرية'!$B$6:$B$1005,$B64,'الحركات الشهرية'!$A$6:$A$1005,$C$3))</f>
        <v/>
      </c>
      <c r="H64" s="105" t="str">
        <f aca="false">IF($B64="","",SUMIFS('الحركات الشهرية'!$E$6:$E$1005,'الحركات الشهرية'!$B$6:$B$1005,$B64,'الحركات الشهرية'!$A$6:$A$1005,$C$3))</f>
        <v/>
      </c>
      <c r="I64" s="105" t="str">
        <f aca="false">IF($B64="","",MAX(0,F64-G64-H64))</f>
        <v/>
      </c>
      <c r="J64" s="86" t="str">
        <f aca="false">IF($B64="","",الموظفون!$J64*$I64/cfg_DAYS_M)</f>
        <v/>
      </c>
      <c r="K64" s="86" t="str">
        <f aca="false">IF($B64="","",الموظفون!$K64*$I64/cfg_DAYS_M)</f>
        <v/>
      </c>
      <c r="L64" s="86" t="str">
        <f aca="false">IF($B64="","",الموظفون!$L64*$I64/cfg_DAYS_M)</f>
        <v/>
      </c>
      <c r="M64" s="86" t="str">
        <f aca="false">IF($B64="","",الموظفون!$M64*$I64/cfg_DAYS_M)</f>
        <v/>
      </c>
      <c r="N64" s="105" t="str">
        <f aca="false">IF($B64="","",SUMIFS('الحركات الشهرية'!$F$6:$F$1005,'الحركات الشهرية'!$B$6:$B$1005,$B64,'الحركات الشهرية'!$A$6:$A$1005,$C$3))</f>
        <v/>
      </c>
      <c r="O64" s="86" t="str">
        <f aca="false">IF($B64="","",N64*(الموظفون!$N64+الموظفون!$J64*cfg_OT_P)/cfg_DAYS_M/cfg_HRS)</f>
        <v/>
      </c>
      <c r="P64" s="86" t="str">
        <f aca="false">IF($B64="","",SUMIFS('الحركات الشهرية'!$G$6:$G$1005,'الحركات الشهرية'!$B$6:$B$1005,$B64,'الحركات الشهرية'!$A$6:$A$1005,$C$3))</f>
        <v/>
      </c>
      <c r="Q64" s="86" t="str">
        <f aca="false">IF($B64="","",SUMIFS('الحركات الشهرية'!$H$6:$H$1005,'الحركات الشهرية'!$B$6:$B$1005,$B64,'الحركات الشهرية'!$A$6:$A$1005,$C$3))</f>
        <v/>
      </c>
      <c r="R64" s="106" t="str">
        <f aca="false">IF($B64="","",SUM(J64:M64)+SUM(O64:Q64))</f>
        <v/>
      </c>
      <c r="S64" s="86" t="str">
        <f aca="false">IF($B64="","",الموظفون!$Q64*IF(E64="سعودي",cfg_G_SE,cfg_G_NE)*F64/cfg_DAYS_M)</f>
        <v/>
      </c>
      <c r="T64" s="86" t="str">
        <f aca="false">IF($B64="","",SUMIFS('الحركات الشهرية'!$I$6:$I$1005,'الحركات الشهرية'!$B$6:$B$1005,$B64,'الحركات الشهرية'!$A$6:$A$1005,$C$3))</f>
        <v/>
      </c>
      <c r="U64" s="86" t="str">
        <f aca="false">IF($B64="","",SUMIFS('الحركات الشهرية'!$J$6:$J$1005,'الحركات الشهرية'!$B$6:$B$1005,$B64,'الحركات الشهرية'!$A$6:$A$1005,$C$3))</f>
        <v/>
      </c>
      <c r="V64" s="86" t="str">
        <f aca="false">IF($B64="","",SUM(S64:U64))</f>
        <v/>
      </c>
      <c r="W64" s="107" t="str">
        <f aca="false">IF($B64="","",R64-V64)</f>
        <v/>
      </c>
      <c r="X64" s="86" t="str">
        <f aca="false">IF($B64="","",الموظفون!$Q64*IF(E64="سعودي",cfg_G_SR,cfg_G_NR)*F64/cfg_DAYS_M)</f>
        <v/>
      </c>
      <c r="Y64" s="86" t="str">
        <f aca="false">IF($B64="","",الموظفون!$O64*(cfg_EOS_R1*(MIN(AC64,cfg_EOS_TH)-MIN(AD64,cfg_EOS_TH))+cfg_EOS_R2*(MAX(AC64-cfg_EOS_TH,0)-MAX(AD64-cfg_EOS_TH,0))))</f>
        <v/>
      </c>
      <c r="Z64" s="86" t="str">
        <f aca="false">IF($B64="","",IF(الموظفون!$R64&lt;&gt;"",الموظفون!$R64,IF(AC64&gt;=cfg_LV_TH,cfg_LV_D2,cfg_LV_D1))/cfg_DAYS_Y*AE64*الموظفون!$P64/cfg_DAYS_M)</f>
        <v/>
      </c>
      <c r="AA64" s="86" t="str">
        <f aca="false">IF($B64="","",IF(AND(الموظفون!$S64="نعم",N(الموظفون!$U64)&gt;0),الموظفون!$T64/الموظفون!$U64*12/cfg_DAYS_Y*AE64,0))</f>
        <v/>
      </c>
      <c r="AB64" s="108" t="str">
        <f aca="false">IF($B64="","",R64+SUM(X64:AA64))</f>
        <v/>
      </c>
      <c r="AC64" s="109" t="str">
        <f aca="false">IF($B64="","",MAX(0,IF(OR(الموظفون!$X64="",الموظفون!$X64&gt;$G$3),$G$3,الموظفون!$X64)-الموظفون!$H64+1)/cfg_DAYS_Y)</f>
        <v/>
      </c>
      <c r="AD64" s="109" t="str">
        <f aca="false">IF($B64="","",MAX(0,IF(OR(الموظفون!$X64="",الموظفون!$X64&gt;($E$3-1)),($E$3-1),الموظفون!$X64)-الموظفون!$H64+1)/cfg_DAYS_Y)</f>
        <v/>
      </c>
      <c r="AE64" s="51" t="str">
        <f aca="false">IF($B64="","",MAX(0,IF(OR(الموظفون!$X64="",الموظفون!$X64&gt;$G$3),$G$3,الموظفون!$X64)-MAX($E$3,الموظفون!$H64)+1))</f>
        <v/>
      </c>
    </row>
    <row r="65" customFormat="false" ht="15" hidden="false" customHeight="false" outlineLevel="0" collapsed="false">
      <c r="A65" s="89" t="str">
        <f aca="false">IF($B65="","",الموظفون!$A65)</f>
        <v/>
      </c>
      <c r="B65" s="91" t="str">
        <f aca="false">IF(الموظفون!$B65="","",الموظفون!$B65)</f>
        <v/>
      </c>
      <c r="C65" s="91" t="str">
        <f aca="false">IF($B65="","",الموظفون!$C65)</f>
        <v/>
      </c>
      <c r="D65" s="91" t="str">
        <f aca="false">IF($B65="","",الموظفون!$F65)</f>
        <v/>
      </c>
      <c r="E65" s="91" t="str">
        <f aca="false">IF($B65="","",الموظفون!$E65)</f>
        <v/>
      </c>
      <c r="F65" s="110" t="str">
        <f aca="false">IF($B65="","",IF(AE65&gt;=DAY($G$3),cfg_DAYS_M,MIN(AE65,cfg_DAYS_M)))</f>
        <v/>
      </c>
      <c r="G65" s="110" t="str">
        <f aca="false">IF($B65="","",SUMIFS('الحركات الشهرية'!$D$6:$D$1005,'الحركات الشهرية'!$B$6:$B$1005,$B65,'الحركات الشهرية'!$A$6:$A$1005,$C$3))</f>
        <v/>
      </c>
      <c r="H65" s="110" t="str">
        <f aca="false">IF($B65="","",SUMIFS('الحركات الشهرية'!$E$6:$E$1005,'الحركات الشهرية'!$B$6:$B$1005,$B65,'الحركات الشهرية'!$A$6:$A$1005,$C$3))</f>
        <v/>
      </c>
      <c r="I65" s="110" t="str">
        <f aca="false">IF($B65="","",MAX(0,F65-G65-H65))</f>
        <v/>
      </c>
      <c r="J65" s="90" t="str">
        <f aca="false">IF($B65="","",الموظفون!$J65*$I65/cfg_DAYS_M)</f>
        <v/>
      </c>
      <c r="K65" s="90" t="str">
        <f aca="false">IF($B65="","",الموظفون!$K65*$I65/cfg_DAYS_M)</f>
        <v/>
      </c>
      <c r="L65" s="90" t="str">
        <f aca="false">IF($B65="","",الموظفون!$L65*$I65/cfg_DAYS_M)</f>
        <v/>
      </c>
      <c r="M65" s="90" t="str">
        <f aca="false">IF($B65="","",الموظفون!$M65*$I65/cfg_DAYS_M)</f>
        <v/>
      </c>
      <c r="N65" s="110" t="str">
        <f aca="false">IF($B65="","",SUMIFS('الحركات الشهرية'!$F$6:$F$1005,'الحركات الشهرية'!$B$6:$B$1005,$B65,'الحركات الشهرية'!$A$6:$A$1005,$C$3))</f>
        <v/>
      </c>
      <c r="O65" s="90" t="str">
        <f aca="false">IF($B65="","",N65*(الموظفون!$N65+الموظفون!$J65*cfg_OT_P)/cfg_DAYS_M/cfg_HRS)</f>
        <v/>
      </c>
      <c r="P65" s="90" t="str">
        <f aca="false">IF($B65="","",SUMIFS('الحركات الشهرية'!$G$6:$G$1005,'الحركات الشهرية'!$B$6:$B$1005,$B65,'الحركات الشهرية'!$A$6:$A$1005,$C$3))</f>
        <v/>
      </c>
      <c r="Q65" s="90" t="str">
        <f aca="false">IF($B65="","",SUMIFS('الحركات الشهرية'!$H$6:$H$1005,'الحركات الشهرية'!$B$6:$B$1005,$B65,'الحركات الشهرية'!$A$6:$A$1005,$C$3))</f>
        <v/>
      </c>
      <c r="R65" s="111" t="str">
        <f aca="false">IF($B65="","",SUM(J65:M65)+SUM(O65:Q65))</f>
        <v/>
      </c>
      <c r="S65" s="90" t="str">
        <f aca="false">IF($B65="","",الموظفون!$Q65*IF(E65="سعودي",cfg_G_SE,cfg_G_NE)*F65/cfg_DAYS_M)</f>
        <v/>
      </c>
      <c r="T65" s="90" t="str">
        <f aca="false">IF($B65="","",SUMIFS('الحركات الشهرية'!$I$6:$I$1005,'الحركات الشهرية'!$B$6:$B$1005,$B65,'الحركات الشهرية'!$A$6:$A$1005,$C$3))</f>
        <v/>
      </c>
      <c r="U65" s="90" t="str">
        <f aca="false">IF($B65="","",SUMIFS('الحركات الشهرية'!$J$6:$J$1005,'الحركات الشهرية'!$B$6:$B$1005,$B65,'الحركات الشهرية'!$A$6:$A$1005,$C$3))</f>
        <v/>
      </c>
      <c r="V65" s="90" t="str">
        <f aca="false">IF($B65="","",SUM(S65:U65))</f>
        <v/>
      </c>
      <c r="W65" s="112" t="str">
        <f aca="false">IF($B65="","",R65-V65)</f>
        <v/>
      </c>
      <c r="X65" s="90" t="str">
        <f aca="false">IF($B65="","",الموظفون!$Q65*IF(E65="سعودي",cfg_G_SR,cfg_G_NR)*F65/cfg_DAYS_M)</f>
        <v/>
      </c>
      <c r="Y65" s="90" t="str">
        <f aca="false">IF($B65="","",الموظفون!$O65*(cfg_EOS_R1*(MIN(AC65,cfg_EOS_TH)-MIN(AD65,cfg_EOS_TH))+cfg_EOS_R2*(MAX(AC65-cfg_EOS_TH,0)-MAX(AD65-cfg_EOS_TH,0))))</f>
        <v/>
      </c>
      <c r="Z65" s="90" t="str">
        <f aca="false">IF($B65="","",IF(الموظفون!$R65&lt;&gt;"",الموظفون!$R65,IF(AC65&gt;=cfg_LV_TH,cfg_LV_D2,cfg_LV_D1))/cfg_DAYS_Y*AE65*الموظفون!$P65/cfg_DAYS_M)</f>
        <v/>
      </c>
      <c r="AA65" s="90" t="str">
        <f aca="false">IF($B65="","",IF(AND(الموظفون!$S65="نعم",N(الموظفون!$U65)&gt;0),الموظفون!$T65/الموظفون!$U65*12/cfg_DAYS_Y*AE65,0))</f>
        <v/>
      </c>
      <c r="AB65" s="113" t="str">
        <f aca="false">IF($B65="","",R65+SUM(X65:AA65))</f>
        <v/>
      </c>
      <c r="AC65" s="114" t="str">
        <f aca="false">IF($B65="","",MAX(0,IF(OR(الموظفون!$X65="",الموظفون!$X65&gt;$G$3),$G$3,الموظفون!$X65)-الموظفون!$H65+1)/cfg_DAYS_Y)</f>
        <v/>
      </c>
      <c r="AD65" s="114" t="str">
        <f aca="false">IF($B65="","",MAX(0,IF(OR(الموظفون!$X65="",الموظفون!$X65&gt;($E$3-1)),($E$3-1),الموظفون!$X65)-الموظفون!$H65+1)/cfg_DAYS_Y)</f>
        <v/>
      </c>
      <c r="AE65" s="115" t="str">
        <f aca="false">IF($B65="","",MAX(0,IF(OR(الموظفون!$X65="",الموظفون!$X65&gt;$G$3),$G$3,الموظفون!$X65)-MAX($E$3,الموظفون!$H65)+1))</f>
        <v/>
      </c>
    </row>
    <row r="66" customFormat="false" ht="15" hidden="false" customHeight="false" outlineLevel="0" collapsed="false">
      <c r="A66" s="83" t="str">
        <f aca="false">IF($B66="","",الموظفون!$A66)</f>
        <v/>
      </c>
      <c r="B66" s="74" t="str">
        <f aca="false">IF(الموظفون!$B66="","",الموظفون!$B66)</f>
        <v/>
      </c>
      <c r="C66" s="74" t="str">
        <f aca="false">IF($B66="","",الموظفون!$C66)</f>
        <v/>
      </c>
      <c r="D66" s="74" t="str">
        <f aca="false">IF($B66="","",الموظفون!$F66)</f>
        <v/>
      </c>
      <c r="E66" s="74" t="str">
        <f aca="false">IF($B66="","",الموظفون!$E66)</f>
        <v/>
      </c>
      <c r="F66" s="105" t="str">
        <f aca="false">IF($B66="","",IF(AE66&gt;=DAY($G$3),cfg_DAYS_M,MIN(AE66,cfg_DAYS_M)))</f>
        <v/>
      </c>
      <c r="G66" s="105" t="str">
        <f aca="false">IF($B66="","",SUMIFS('الحركات الشهرية'!$D$6:$D$1005,'الحركات الشهرية'!$B$6:$B$1005,$B66,'الحركات الشهرية'!$A$6:$A$1005,$C$3))</f>
        <v/>
      </c>
      <c r="H66" s="105" t="str">
        <f aca="false">IF($B66="","",SUMIFS('الحركات الشهرية'!$E$6:$E$1005,'الحركات الشهرية'!$B$6:$B$1005,$B66,'الحركات الشهرية'!$A$6:$A$1005,$C$3))</f>
        <v/>
      </c>
      <c r="I66" s="105" t="str">
        <f aca="false">IF($B66="","",MAX(0,F66-G66-H66))</f>
        <v/>
      </c>
      <c r="J66" s="86" t="str">
        <f aca="false">IF($B66="","",الموظفون!$J66*$I66/cfg_DAYS_M)</f>
        <v/>
      </c>
      <c r="K66" s="86" t="str">
        <f aca="false">IF($B66="","",الموظفون!$K66*$I66/cfg_DAYS_M)</f>
        <v/>
      </c>
      <c r="L66" s="86" t="str">
        <f aca="false">IF($B66="","",الموظفون!$L66*$I66/cfg_DAYS_M)</f>
        <v/>
      </c>
      <c r="M66" s="86" t="str">
        <f aca="false">IF($B66="","",الموظفون!$M66*$I66/cfg_DAYS_M)</f>
        <v/>
      </c>
      <c r="N66" s="105" t="str">
        <f aca="false">IF($B66="","",SUMIFS('الحركات الشهرية'!$F$6:$F$1005,'الحركات الشهرية'!$B$6:$B$1005,$B66,'الحركات الشهرية'!$A$6:$A$1005,$C$3))</f>
        <v/>
      </c>
      <c r="O66" s="86" t="str">
        <f aca="false">IF($B66="","",N66*(الموظفون!$N66+الموظفون!$J66*cfg_OT_P)/cfg_DAYS_M/cfg_HRS)</f>
        <v/>
      </c>
      <c r="P66" s="86" t="str">
        <f aca="false">IF($B66="","",SUMIFS('الحركات الشهرية'!$G$6:$G$1005,'الحركات الشهرية'!$B$6:$B$1005,$B66,'الحركات الشهرية'!$A$6:$A$1005,$C$3))</f>
        <v/>
      </c>
      <c r="Q66" s="86" t="str">
        <f aca="false">IF($B66="","",SUMIFS('الحركات الشهرية'!$H$6:$H$1005,'الحركات الشهرية'!$B$6:$B$1005,$B66,'الحركات الشهرية'!$A$6:$A$1005,$C$3))</f>
        <v/>
      </c>
      <c r="R66" s="106" t="str">
        <f aca="false">IF($B66="","",SUM(J66:M66)+SUM(O66:Q66))</f>
        <v/>
      </c>
      <c r="S66" s="86" t="str">
        <f aca="false">IF($B66="","",الموظفون!$Q66*IF(E66="سعودي",cfg_G_SE,cfg_G_NE)*F66/cfg_DAYS_M)</f>
        <v/>
      </c>
      <c r="T66" s="86" t="str">
        <f aca="false">IF($B66="","",SUMIFS('الحركات الشهرية'!$I$6:$I$1005,'الحركات الشهرية'!$B$6:$B$1005,$B66,'الحركات الشهرية'!$A$6:$A$1005,$C$3))</f>
        <v/>
      </c>
      <c r="U66" s="86" t="str">
        <f aca="false">IF($B66="","",SUMIFS('الحركات الشهرية'!$J$6:$J$1005,'الحركات الشهرية'!$B$6:$B$1005,$B66,'الحركات الشهرية'!$A$6:$A$1005,$C$3))</f>
        <v/>
      </c>
      <c r="V66" s="86" t="str">
        <f aca="false">IF($B66="","",SUM(S66:U66))</f>
        <v/>
      </c>
      <c r="W66" s="107" t="str">
        <f aca="false">IF($B66="","",R66-V66)</f>
        <v/>
      </c>
      <c r="X66" s="86" t="str">
        <f aca="false">IF($B66="","",الموظفون!$Q66*IF(E66="سعودي",cfg_G_SR,cfg_G_NR)*F66/cfg_DAYS_M)</f>
        <v/>
      </c>
      <c r="Y66" s="86" t="str">
        <f aca="false">IF($B66="","",الموظفون!$O66*(cfg_EOS_R1*(MIN(AC66,cfg_EOS_TH)-MIN(AD66,cfg_EOS_TH))+cfg_EOS_R2*(MAX(AC66-cfg_EOS_TH,0)-MAX(AD66-cfg_EOS_TH,0))))</f>
        <v/>
      </c>
      <c r="Z66" s="86" t="str">
        <f aca="false">IF($B66="","",IF(الموظفون!$R66&lt;&gt;"",الموظفون!$R66,IF(AC66&gt;=cfg_LV_TH,cfg_LV_D2,cfg_LV_D1))/cfg_DAYS_Y*AE66*الموظفون!$P66/cfg_DAYS_M)</f>
        <v/>
      </c>
      <c r="AA66" s="86" t="str">
        <f aca="false">IF($B66="","",IF(AND(الموظفون!$S66="نعم",N(الموظفون!$U66)&gt;0),الموظفون!$T66/الموظفون!$U66*12/cfg_DAYS_Y*AE66,0))</f>
        <v/>
      </c>
      <c r="AB66" s="108" t="str">
        <f aca="false">IF($B66="","",R66+SUM(X66:AA66))</f>
        <v/>
      </c>
      <c r="AC66" s="109" t="str">
        <f aca="false">IF($B66="","",MAX(0,IF(OR(الموظفون!$X66="",الموظفون!$X66&gt;$G$3),$G$3,الموظفون!$X66)-الموظفون!$H66+1)/cfg_DAYS_Y)</f>
        <v/>
      </c>
      <c r="AD66" s="109" t="str">
        <f aca="false">IF($B66="","",MAX(0,IF(OR(الموظفون!$X66="",الموظفون!$X66&gt;($E$3-1)),($E$3-1),الموظفون!$X66)-الموظفون!$H66+1)/cfg_DAYS_Y)</f>
        <v/>
      </c>
      <c r="AE66" s="51" t="str">
        <f aca="false">IF($B66="","",MAX(0,IF(OR(الموظفون!$X66="",الموظفون!$X66&gt;$G$3),$G$3,الموظفون!$X66)-MAX($E$3,الموظفون!$H66)+1))</f>
        <v/>
      </c>
    </row>
    <row r="67" customFormat="false" ht="15" hidden="false" customHeight="false" outlineLevel="0" collapsed="false">
      <c r="A67" s="89" t="str">
        <f aca="false">IF($B67="","",الموظفون!$A67)</f>
        <v/>
      </c>
      <c r="B67" s="91" t="str">
        <f aca="false">IF(الموظفون!$B67="","",الموظفون!$B67)</f>
        <v/>
      </c>
      <c r="C67" s="91" t="str">
        <f aca="false">IF($B67="","",الموظفون!$C67)</f>
        <v/>
      </c>
      <c r="D67" s="91" t="str">
        <f aca="false">IF($B67="","",الموظفون!$F67)</f>
        <v/>
      </c>
      <c r="E67" s="91" t="str">
        <f aca="false">IF($B67="","",الموظفون!$E67)</f>
        <v/>
      </c>
      <c r="F67" s="110" t="str">
        <f aca="false">IF($B67="","",IF(AE67&gt;=DAY($G$3),cfg_DAYS_M,MIN(AE67,cfg_DAYS_M)))</f>
        <v/>
      </c>
      <c r="G67" s="110" t="str">
        <f aca="false">IF($B67="","",SUMIFS('الحركات الشهرية'!$D$6:$D$1005,'الحركات الشهرية'!$B$6:$B$1005,$B67,'الحركات الشهرية'!$A$6:$A$1005,$C$3))</f>
        <v/>
      </c>
      <c r="H67" s="110" t="str">
        <f aca="false">IF($B67="","",SUMIFS('الحركات الشهرية'!$E$6:$E$1005,'الحركات الشهرية'!$B$6:$B$1005,$B67,'الحركات الشهرية'!$A$6:$A$1005,$C$3))</f>
        <v/>
      </c>
      <c r="I67" s="110" t="str">
        <f aca="false">IF($B67="","",MAX(0,F67-G67-H67))</f>
        <v/>
      </c>
      <c r="J67" s="90" t="str">
        <f aca="false">IF($B67="","",الموظفون!$J67*$I67/cfg_DAYS_M)</f>
        <v/>
      </c>
      <c r="K67" s="90" t="str">
        <f aca="false">IF($B67="","",الموظفون!$K67*$I67/cfg_DAYS_M)</f>
        <v/>
      </c>
      <c r="L67" s="90" t="str">
        <f aca="false">IF($B67="","",الموظفون!$L67*$I67/cfg_DAYS_M)</f>
        <v/>
      </c>
      <c r="M67" s="90" t="str">
        <f aca="false">IF($B67="","",الموظفون!$M67*$I67/cfg_DAYS_M)</f>
        <v/>
      </c>
      <c r="N67" s="110" t="str">
        <f aca="false">IF($B67="","",SUMIFS('الحركات الشهرية'!$F$6:$F$1005,'الحركات الشهرية'!$B$6:$B$1005,$B67,'الحركات الشهرية'!$A$6:$A$1005,$C$3))</f>
        <v/>
      </c>
      <c r="O67" s="90" t="str">
        <f aca="false">IF($B67="","",N67*(الموظفون!$N67+الموظفون!$J67*cfg_OT_P)/cfg_DAYS_M/cfg_HRS)</f>
        <v/>
      </c>
      <c r="P67" s="90" t="str">
        <f aca="false">IF($B67="","",SUMIFS('الحركات الشهرية'!$G$6:$G$1005,'الحركات الشهرية'!$B$6:$B$1005,$B67,'الحركات الشهرية'!$A$6:$A$1005,$C$3))</f>
        <v/>
      </c>
      <c r="Q67" s="90" t="str">
        <f aca="false">IF($B67="","",SUMIFS('الحركات الشهرية'!$H$6:$H$1005,'الحركات الشهرية'!$B$6:$B$1005,$B67,'الحركات الشهرية'!$A$6:$A$1005,$C$3))</f>
        <v/>
      </c>
      <c r="R67" s="111" t="str">
        <f aca="false">IF($B67="","",SUM(J67:M67)+SUM(O67:Q67))</f>
        <v/>
      </c>
      <c r="S67" s="90" t="str">
        <f aca="false">IF($B67="","",الموظفون!$Q67*IF(E67="سعودي",cfg_G_SE,cfg_G_NE)*F67/cfg_DAYS_M)</f>
        <v/>
      </c>
      <c r="T67" s="90" t="str">
        <f aca="false">IF($B67="","",SUMIFS('الحركات الشهرية'!$I$6:$I$1005,'الحركات الشهرية'!$B$6:$B$1005,$B67,'الحركات الشهرية'!$A$6:$A$1005,$C$3))</f>
        <v/>
      </c>
      <c r="U67" s="90" t="str">
        <f aca="false">IF($B67="","",SUMIFS('الحركات الشهرية'!$J$6:$J$1005,'الحركات الشهرية'!$B$6:$B$1005,$B67,'الحركات الشهرية'!$A$6:$A$1005,$C$3))</f>
        <v/>
      </c>
      <c r="V67" s="90" t="str">
        <f aca="false">IF($B67="","",SUM(S67:U67))</f>
        <v/>
      </c>
      <c r="W67" s="112" t="str">
        <f aca="false">IF($B67="","",R67-V67)</f>
        <v/>
      </c>
      <c r="X67" s="90" t="str">
        <f aca="false">IF($B67="","",الموظفون!$Q67*IF(E67="سعودي",cfg_G_SR,cfg_G_NR)*F67/cfg_DAYS_M)</f>
        <v/>
      </c>
      <c r="Y67" s="90" t="str">
        <f aca="false">IF($B67="","",الموظفون!$O67*(cfg_EOS_R1*(MIN(AC67,cfg_EOS_TH)-MIN(AD67,cfg_EOS_TH))+cfg_EOS_R2*(MAX(AC67-cfg_EOS_TH,0)-MAX(AD67-cfg_EOS_TH,0))))</f>
        <v/>
      </c>
      <c r="Z67" s="90" t="str">
        <f aca="false">IF($B67="","",IF(الموظفون!$R67&lt;&gt;"",الموظفون!$R67,IF(AC67&gt;=cfg_LV_TH,cfg_LV_D2,cfg_LV_D1))/cfg_DAYS_Y*AE67*الموظفون!$P67/cfg_DAYS_M)</f>
        <v/>
      </c>
      <c r="AA67" s="90" t="str">
        <f aca="false">IF($B67="","",IF(AND(الموظفون!$S67="نعم",N(الموظفون!$U67)&gt;0),الموظفون!$T67/الموظفون!$U67*12/cfg_DAYS_Y*AE67,0))</f>
        <v/>
      </c>
      <c r="AB67" s="113" t="str">
        <f aca="false">IF($B67="","",R67+SUM(X67:AA67))</f>
        <v/>
      </c>
      <c r="AC67" s="114" t="str">
        <f aca="false">IF($B67="","",MAX(0,IF(OR(الموظفون!$X67="",الموظفون!$X67&gt;$G$3),$G$3,الموظفون!$X67)-الموظفون!$H67+1)/cfg_DAYS_Y)</f>
        <v/>
      </c>
      <c r="AD67" s="114" t="str">
        <f aca="false">IF($B67="","",MAX(0,IF(OR(الموظفون!$X67="",الموظفون!$X67&gt;($E$3-1)),($E$3-1),الموظفون!$X67)-الموظفون!$H67+1)/cfg_DAYS_Y)</f>
        <v/>
      </c>
      <c r="AE67" s="115" t="str">
        <f aca="false">IF($B67="","",MAX(0,IF(OR(الموظفون!$X67="",الموظفون!$X67&gt;$G$3),$G$3,الموظفون!$X67)-MAX($E$3,الموظفون!$H67)+1))</f>
        <v/>
      </c>
    </row>
    <row r="68" customFormat="false" ht="15" hidden="false" customHeight="false" outlineLevel="0" collapsed="false">
      <c r="A68" s="83" t="str">
        <f aca="false">IF($B68="","",الموظفون!$A68)</f>
        <v/>
      </c>
      <c r="B68" s="74" t="str">
        <f aca="false">IF(الموظفون!$B68="","",الموظفون!$B68)</f>
        <v/>
      </c>
      <c r="C68" s="74" t="str">
        <f aca="false">IF($B68="","",الموظفون!$C68)</f>
        <v/>
      </c>
      <c r="D68" s="74" t="str">
        <f aca="false">IF($B68="","",الموظفون!$F68)</f>
        <v/>
      </c>
      <c r="E68" s="74" t="str">
        <f aca="false">IF($B68="","",الموظفون!$E68)</f>
        <v/>
      </c>
      <c r="F68" s="105" t="str">
        <f aca="false">IF($B68="","",IF(AE68&gt;=DAY($G$3),cfg_DAYS_M,MIN(AE68,cfg_DAYS_M)))</f>
        <v/>
      </c>
      <c r="G68" s="105" t="str">
        <f aca="false">IF($B68="","",SUMIFS('الحركات الشهرية'!$D$6:$D$1005,'الحركات الشهرية'!$B$6:$B$1005,$B68,'الحركات الشهرية'!$A$6:$A$1005,$C$3))</f>
        <v/>
      </c>
      <c r="H68" s="105" t="str">
        <f aca="false">IF($B68="","",SUMIFS('الحركات الشهرية'!$E$6:$E$1005,'الحركات الشهرية'!$B$6:$B$1005,$B68,'الحركات الشهرية'!$A$6:$A$1005,$C$3))</f>
        <v/>
      </c>
      <c r="I68" s="105" t="str">
        <f aca="false">IF($B68="","",MAX(0,F68-G68-H68))</f>
        <v/>
      </c>
      <c r="J68" s="86" t="str">
        <f aca="false">IF($B68="","",الموظفون!$J68*$I68/cfg_DAYS_M)</f>
        <v/>
      </c>
      <c r="K68" s="86" t="str">
        <f aca="false">IF($B68="","",الموظفون!$K68*$I68/cfg_DAYS_M)</f>
        <v/>
      </c>
      <c r="L68" s="86" t="str">
        <f aca="false">IF($B68="","",الموظفون!$L68*$I68/cfg_DAYS_M)</f>
        <v/>
      </c>
      <c r="M68" s="86" t="str">
        <f aca="false">IF($B68="","",الموظفون!$M68*$I68/cfg_DAYS_M)</f>
        <v/>
      </c>
      <c r="N68" s="105" t="str">
        <f aca="false">IF($B68="","",SUMIFS('الحركات الشهرية'!$F$6:$F$1005,'الحركات الشهرية'!$B$6:$B$1005,$B68,'الحركات الشهرية'!$A$6:$A$1005,$C$3))</f>
        <v/>
      </c>
      <c r="O68" s="86" t="str">
        <f aca="false">IF($B68="","",N68*(الموظفون!$N68+الموظفون!$J68*cfg_OT_P)/cfg_DAYS_M/cfg_HRS)</f>
        <v/>
      </c>
      <c r="P68" s="86" t="str">
        <f aca="false">IF($B68="","",SUMIFS('الحركات الشهرية'!$G$6:$G$1005,'الحركات الشهرية'!$B$6:$B$1005,$B68,'الحركات الشهرية'!$A$6:$A$1005,$C$3))</f>
        <v/>
      </c>
      <c r="Q68" s="86" t="str">
        <f aca="false">IF($B68="","",SUMIFS('الحركات الشهرية'!$H$6:$H$1005,'الحركات الشهرية'!$B$6:$B$1005,$B68,'الحركات الشهرية'!$A$6:$A$1005,$C$3))</f>
        <v/>
      </c>
      <c r="R68" s="106" t="str">
        <f aca="false">IF($B68="","",SUM(J68:M68)+SUM(O68:Q68))</f>
        <v/>
      </c>
      <c r="S68" s="86" t="str">
        <f aca="false">IF($B68="","",الموظفون!$Q68*IF(E68="سعودي",cfg_G_SE,cfg_G_NE)*F68/cfg_DAYS_M)</f>
        <v/>
      </c>
      <c r="T68" s="86" t="str">
        <f aca="false">IF($B68="","",SUMIFS('الحركات الشهرية'!$I$6:$I$1005,'الحركات الشهرية'!$B$6:$B$1005,$B68,'الحركات الشهرية'!$A$6:$A$1005,$C$3))</f>
        <v/>
      </c>
      <c r="U68" s="86" t="str">
        <f aca="false">IF($B68="","",SUMIFS('الحركات الشهرية'!$J$6:$J$1005,'الحركات الشهرية'!$B$6:$B$1005,$B68,'الحركات الشهرية'!$A$6:$A$1005,$C$3))</f>
        <v/>
      </c>
      <c r="V68" s="86" t="str">
        <f aca="false">IF($B68="","",SUM(S68:U68))</f>
        <v/>
      </c>
      <c r="W68" s="107" t="str">
        <f aca="false">IF($B68="","",R68-V68)</f>
        <v/>
      </c>
      <c r="X68" s="86" t="str">
        <f aca="false">IF($B68="","",الموظفون!$Q68*IF(E68="سعودي",cfg_G_SR,cfg_G_NR)*F68/cfg_DAYS_M)</f>
        <v/>
      </c>
      <c r="Y68" s="86" t="str">
        <f aca="false">IF($B68="","",الموظفون!$O68*(cfg_EOS_R1*(MIN(AC68,cfg_EOS_TH)-MIN(AD68,cfg_EOS_TH))+cfg_EOS_R2*(MAX(AC68-cfg_EOS_TH,0)-MAX(AD68-cfg_EOS_TH,0))))</f>
        <v/>
      </c>
      <c r="Z68" s="86" t="str">
        <f aca="false">IF($B68="","",IF(الموظفون!$R68&lt;&gt;"",الموظفون!$R68,IF(AC68&gt;=cfg_LV_TH,cfg_LV_D2,cfg_LV_D1))/cfg_DAYS_Y*AE68*الموظفون!$P68/cfg_DAYS_M)</f>
        <v/>
      </c>
      <c r="AA68" s="86" t="str">
        <f aca="false">IF($B68="","",IF(AND(الموظفون!$S68="نعم",N(الموظفون!$U68)&gt;0),الموظفون!$T68/الموظفون!$U68*12/cfg_DAYS_Y*AE68,0))</f>
        <v/>
      </c>
      <c r="AB68" s="108" t="str">
        <f aca="false">IF($B68="","",R68+SUM(X68:AA68))</f>
        <v/>
      </c>
      <c r="AC68" s="109" t="str">
        <f aca="false">IF($B68="","",MAX(0,IF(OR(الموظفون!$X68="",الموظفون!$X68&gt;$G$3),$G$3,الموظفون!$X68)-الموظفون!$H68+1)/cfg_DAYS_Y)</f>
        <v/>
      </c>
      <c r="AD68" s="109" t="str">
        <f aca="false">IF($B68="","",MAX(0,IF(OR(الموظفون!$X68="",الموظفون!$X68&gt;($E$3-1)),($E$3-1),الموظفون!$X68)-الموظفون!$H68+1)/cfg_DAYS_Y)</f>
        <v/>
      </c>
      <c r="AE68" s="51" t="str">
        <f aca="false">IF($B68="","",MAX(0,IF(OR(الموظفون!$X68="",الموظفون!$X68&gt;$G$3),$G$3,الموظفون!$X68)-MAX($E$3,الموظفون!$H68)+1))</f>
        <v/>
      </c>
    </row>
    <row r="69" customFormat="false" ht="15" hidden="false" customHeight="false" outlineLevel="0" collapsed="false">
      <c r="A69" s="89" t="str">
        <f aca="false">IF($B69="","",الموظفون!$A69)</f>
        <v/>
      </c>
      <c r="B69" s="91" t="str">
        <f aca="false">IF(الموظفون!$B69="","",الموظفون!$B69)</f>
        <v/>
      </c>
      <c r="C69" s="91" t="str">
        <f aca="false">IF($B69="","",الموظفون!$C69)</f>
        <v/>
      </c>
      <c r="D69" s="91" t="str">
        <f aca="false">IF($B69="","",الموظفون!$F69)</f>
        <v/>
      </c>
      <c r="E69" s="91" t="str">
        <f aca="false">IF($B69="","",الموظفون!$E69)</f>
        <v/>
      </c>
      <c r="F69" s="110" t="str">
        <f aca="false">IF($B69="","",IF(AE69&gt;=DAY($G$3),cfg_DAYS_M,MIN(AE69,cfg_DAYS_M)))</f>
        <v/>
      </c>
      <c r="G69" s="110" t="str">
        <f aca="false">IF($B69="","",SUMIFS('الحركات الشهرية'!$D$6:$D$1005,'الحركات الشهرية'!$B$6:$B$1005,$B69,'الحركات الشهرية'!$A$6:$A$1005,$C$3))</f>
        <v/>
      </c>
      <c r="H69" s="110" t="str">
        <f aca="false">IF($B69="","",SUMIFS('الحركات الشهرية'!$E$6:$E$1005,'الحركات الشهرية'!$B$6:$B$1005,$B69,'الحركات الشهرية'!$A$6:$A$1005,$C$3))</f>
        <v/>
      </c>
      <c r="I69" s="110" t="str">
        <f aca="false">IF($B69="","",MAX(0,F69-G69-H69))</f>
        <v/>
      </c>
      <c r="J69" s="90" t="str">
        <f aca="false">IF($B69="","",الموظفون!$J69*$I69/cfg_DAYS_M)</f>
        <v/>
      </c>
      <c r="K69" s="90" t="str">
        <f aca="false">IF($B69="","",الموظفون!$K69*$I69/cfg_DAYS_M)</f>
        <v/>
      </c>
      <c r="L69" s="90" t="str">
        <f aca="false">IF($B69="","",الموظفون!$L69*$I69/cfg_DAYS_M)</f>
        <v/>
      </c>
      <c r="M69" s="90" t="str">
        <f aca="false">IF($B69="","",الموظفون!$M69*$I69/cfg_DAYS_M)</f>
        <v/>
      </c>
      <c r="N69" s="110" t="str">
        <f aca="false">IF($B69="","",SUMIFS('الحركات الشهرية'!$F$6:$F$1005,'الحركات الشهرية'!$B$6:$B$1005,$B69,'الحركات الشهرية'!$A$6:$A$1005,$C$3))</f>
        <v/>
      </c>
      <c r="O69" s="90" t="str">
        <f aca="false">IF($B69="","",N69*(الموظفون!$N69+الموظفون!$J69*cfg_OT_P)/cfg_DAYS_M/cfg_HRS)</f>
        <v/>
      </c>
      <c r="P69" s="90" t="str">
        <f aca="false">IF($B69="","",SUMIFS('الحركات الشهرية'!$G$6:$G$1005,'الحركات الشهرية'!$B$6:$B$1005,$B69,'الحركات الشهرية'!$A$6:$A$1005,$C$3))</f>
        <v/>
      </c>
      <c r="Q69" s="90" t="str">
        <f aca="false">IF($B69="","",SUMIFS('الحركات الشهرية'!$H$6:$H$1005,'الحركات الشهرية'!$B$6:$B$1005,$B69,'الحركات الشهرية'!$A$6:$A$1005,$C$3))</f>
        <v/>
      </c>
      <c r="R69" s="111" t="str">
        <f aca="false">IF($B69="","",SUM(J69:M69)+SUM(O69:Q69))</f>
        <v/>
      </c>
      <c r="S69" s="90" t="str">
        <f aca="false">IF($B69="","",الموظفون!$Q69*IF(E69="سعودي",cfg_G_SE,cfg_G_NE)*F69/cfg_DAYS_M)</f>
        <v/>
      </c>
      <c r="T69" s="90" t="str">
        <f aca="false">IF($B69="","",SUMIFS('الحركات الشهرية'!$I$6:$I$1005,'الحركات الشهرية'!$B$6:$B$1005,$B69,'الحركات الشهرية'!$A$6:$A$1005,$C$3))</f>
        <v/>
      </c>
      <c r="U69" s="90" t="str">
        <f aca="false">IF($B69="","",SUMIFS('الحركات الشهرية'!$J$6:$J$1005,'الحركات الشهرية'!$B$6:$B$1005,$B69,'الحركات الشهرية'!$A$6:$A$1005,$C$3))</f>
        <v/>
      </c>
      <c r="V69" s="90" t="str">
        <f aca="false">IF($B69="","",SUM(S69:U69))</f>
        <v/>
      </c>
      <c r="W69" s="112" t="str">
        <f aca="false">IF($B69="","",R69-V69)</f>
        <v/>
      </c>
      <c r="X69" s="90" t="str">
        <f aca="false">IF($B69="","",الموظفون!$Q69*IF(E69="سعودي",cfg_G_SR,cfg_G_NR)*F69/cfg_DAYS_M)</f>
        <v/>
      </c>
      <c r="Y69" s="90" t="str">
        <f aca="false">IF($B69="","",الموظفون!$O69*(cfg_EOS_R1*(MIN(AC69,cfg_EOS_TH)-MIN(AD69,cfg_EOS_TH))+cfg_EOS_R2*(MAX(AC69-cfg_EOS_TH,0)-MAX(AD69-cfg_EOS_TH,0))))</f>
        <v/>
      </c>
      <c r="Z69" s="90" t="str">
        <f aca="false">IF($B69="","",IF(الموظفون!$R69&lt;&gt;"",الموظفون!$R69,IF(AC69&gt;=cfg_LV_TH,cfg_LV_D2,cfg_LV_D1))/cfg_DAYS_Y*AE69*الموظفون!$P69/cfg_DAYS_M)</f>
        <v/>
      </c>
      <c r="AA69" s="90" t="str">
        <f aca="false">IF($B69="","",IF(AND(الموظفون!$S69="نعم",N(الموظفون!$U69)&gt;0),الموظفون!$T69/الموظفون!$U69*12/cfg_DAYS_Y*AE69,0))</f>
        <v/>
      </c>
      <c r="AB69" s="113" t="str">
        <f aca="false">IF($B69="","",R69+SUM(X69:AA69))</f>
        <v/>
      </c>
      <c r="AC69" s="114" t="str">
        <f aca="false">IF($B69="","",MAX(0,IF(OR(الموظفون!$X69="",الموظفون!$X69&gt;$G$3),$G$3,الموظفون!$X69)-الموظفون!$H69+1)/cfg_DAYS_Y)</f>
        <v/>
      </c>
      <c r="AD69" s="114" t="str">
        <f aca="false">IF($B69="","",MAX(0,IF(OR(الموظفون!$X69="",الموظفون!$X69&gt;($E$3-1)),($E$3-1),الموظفون!$X69)-الموظفون!$H69+1)/cfg_DAYS_Y)</f>
        <v/>
      </c>
      <c r="AE69" s="115" t="str">
        <f aca="false">IF($B69="","",MAX(0,IF(OR(الموظفون!$X69="",الموظفون!$X69&gt;$G$3),$G$3,الموظفون!$X69)-MAX($E$3,الموظفون!$H69)+1))</f>
        <v/>
      </c>
    </row>
    <row r="70" customFormat="false" ht="15" hidden="false" customHeight="false" outlineLevel="0" collapsed="false">
      <c r="A70" s="83" t="str">
        <f aca="false">IF($B70="","",الموظفون!$A70)</f>
        <v/>
      </c>
      <c r="B70" s="74" t="str">
        <f aca="false">IF(الموظفون!$B70="","",الموظفون!$B70)</f>
        <v/>
      </c>
      <c r="C70" s="74" t="str">
        <f aca="false">IF($B70="","",الموظفون!$C70)</f>
        <v/>
      </c>
      <c r="D70" s="74" t="str">
        <f aca="false">IF($B70="","",الموظفون!$F70)</f>
        <v/>
      </c>
      <c r="E70" s="74" t="str">
        <f aca="false">IF($B70="","",الموظفون!$E70)</f>
        <v/>
      </c>
      <c r="F70" s="105" t="str">
        <f aca="false">IF($B70="","",IF(AE70&gt;=DAY($G$3),cfg_DAYS_M,MIN(AE70,cfg_DAYS_M)))</f>
        <v/>
      </c>
      <c r="G70" s="105" t="str">
        <f aca="false">IF($B70="","",SUMIFS('الحركات الشهرية'!$D$6:$D$1005,'الحركات الشهرية'!$B$6:$B$1005,$B70,'الحركات الشهرية'!$A$6:$A$1005,$C$3))</f>
        <v/>
      </c>
      <c r="H70" s="105" t="str">
        <f aca="false">IF($B70="","",SUMIFS('الحركات الشهرية'!$E$6:$E$1005,'الحركات الشهرية'!$B$6:$B$1005,$B70,'الحركات الشهرية'!$A$6:$A$1005,$C$3))</f>
        <v/>
      </c>
      <c r="I70" s="105" t="str">
        <f aca="false">IF($B70="","",MAX(0,F70-G70-H70))</f>
        <v/>
      </c>
      <c r="J70" s="86" t="str">
        <f aca="false">IF($B70="","",الموظفون!$J70*$I70/cfg_DAYS_M)</f>
        <v/>
      </c>
      <c r="K70" s="86" t="str">
        <f aca="false">IF($B70="","",الموظفون!$K70*$I70/cfg_DAYS_M)</f>
        <v/>
      </c>
      <c r="L70" s="86" t="str">
        <f aca="false">IF($B70="","",الموظفون!$L70*$I70/cfg_DAYS_M)</f>
        <v/>
      </c>
      <c r="M70" s="86" t="str">
        <f aca="false">IF($B70="","",الموظفون!$M70*$I70/cfg_DAYS_M)</f>
        <v/>
      </c>
      <c r="N70" s="105" t="str">
        <f aca="false">IF($B70="","",SUMIFS('الحركات الشهرية'!$F$6:$F$1005,'الحركات الشهرية'!$B$6:$B$1005,$B70,'الحركات الشهرية'!$A$6:$A$1005,$C$3))</f>
        <v/>
      </c>
      <c r="O70" s="86" t="str">
        <f aca="false">IF($B70="","",N70*(الموظفون!$N70+الموظفون!$J70*cfg_OT_P)/cfg_DAYS_M/cfg_HRS)</f>
        <v/>
      </c>
      <c r="P70" s="86" t="str">
        <f aca="false">IF($B70="","",SUMIFS('الحركات الشهرية'!$G$6:$G$1005,'الحركات الشهرية'!$B$6:$B$1005,$B70,'الحركات الشهرية'!$A$6:$A$1005,$C$3))</f>
        <v/>
      </c>
      <c r="Q70" s="86" t="str">
        <f aca="false">IF($B70="","",SUMIFS('الحركات الشهرية'!$H$6:$H$1005,'الحركات الشهرية'!$B$6:$B$1005,$B70,'الحركات الشهرية'!$A$6:$A$1005,$C$3))</f>
        <v/>
      </c>
      <c r="R70" s="106" t="str">
        <f aca="false">IF($B70="","",SUM(J70:M70)+SUM(O70:Q70))</f>
        <v/>
      </c>
      <c r="S70" s="86" t="str">
        <f aca="false">IF($B70="","",الموظفون!$Q70*IF(E70="سعودي",cfg_G_SE,cfg_G_NE)*F70/cfg_DAYS_M)</f>
        <v/>
      </c>
      <c r="T70" s="86" t="str">
        <f aca="false">IF($B70="","",SUMIFS('الحركات الشهرية'!$I$6:$I$1005,'الحركات الشهرية'!$B$6:$B$1005,$B70,'الحركات الشهرية'!$A$6:$A$1005,$C$3))</f>
        <v/>
      </c>
      <c r="U70" s="86" t="str">
        <f aca="false">IF($B70="","",SUMIFS('الحركات الشهرية'!$J$6:$J$1005,'الحركات الشهرية'!$B$6:$B$1005,$B70,'الحركات الشهرية'!$A$6:$A$1005,$C$3))</f>
        <v/>
      </c>
      <c r="V70" s="86" t="str">
        <f aca="false">IF($B70="","",SUM(S70:U70))</f>
        <v/>
      </c>
      <c r="W70" s="107" t="str">
        <f aca="false">IF($B70="","",R70-V70)</f>
        <v/>
      </c>
      <c r="X70" s="86" t="str">
        <f aca="false">IF($B70="","",الموظفون!$Q70*IF(E70="سعودي",cfg_G_SR,cfg_G_NR)*F70/cfg_DAYS_M)</f>
        <v/>
      </c>
      <c r="Y70" s="86" t="str">
        <f aca="false">IF($B70="","",الموظفون!$O70*(cfg_EOS_R1*(MIN(AC70,cfg_EOS_TH)-MIN(AD70,cfg_EOS_TH))+cfg_EOS_R2*(MAX(AC70-cfg_EOS_TH,0)-MAX(AD70-cfg_EOS_TH,0))))</f>
        <v/>
      </c>
      <c r="Z70" s="86" t="str">
        <f aca="false">IF($B70="","",IF(الموظفون!$R70&lt;&gt;"",الموظفون!$R70,IF(AC70&gt;=cfg_LV_TH,cfg_LV_D2,cfg_LV_D1))/cfg_DAYS_Y*AE70*الموظفون!$P70/cfg_DAYS_M)</f>
        <v/>
      </c>
      <c r="AA70" s="86" t="str">
        <f aca="false">IF($B70="","",IF(AND(الموظفون!$S70="نعم",N(الموظفون!$U70)&gt;0),الموظفون!$T70/الموظفون!$U70*12/cfg_DAYS_Y*AE70,0))</f>
        <v/>
      </c>
      <c r="AB70" s="108" t="str">
        <f aca="false">IF($B70="","",R70+SUM(X70:AA70))</f>
        <v/>
      </c>
      <c r="AC70" s="109" t="str">
        <f aca="false">IF($B70="","",MAX(0,IF(OR(الموظفون!$X70="",الموظفون!$X70&gt;$G$3),$G$3,الموظفون!$X70)-الموظفون!$H70+1)/cfg_DAYS_Y)</f>
        <v/>
      </c>
      <c r="AD70" s="109" t="str">
        <f aca="false">IF($B70="","",MAX(0,IF(OR(الموظفون!$X70="",الموظفون!$X70&gt;($E$3-1)),($E$3-1),الموظفون!$X70)-الموظفون!$H70+1)/cfg_DAYS_Y)</f>
        <v/>
      </c>
      <c r="AE70" s="51" t="str">
        <f aca="false">IF($B70="","",MAX(0,IF(OR(الموظفون!$X70="",الموظفون!$X70&gt;$G$3),$G$3,الموظفون!$X70)-MAX($E$3,الموظفون!$H70)+1))</f>
        <v/>
      </c>
    </row>
    <row r="71" customFormat="false" ht="15" hidden="false" customHeight="false" outlineLevel="0" collapsed="false">
      <c r="A71" s="89" t="str">
        <f aca="false">IF($B71="","",الموظفون!$A71)</f>
        <v/>
      </c>
      <c r="B71" s="91" t="str">
        <f aca="false">IF(الموظفون!$B71="","",الموظفون!$B71)</f>
        <v/>
      </c>
      <c r="C71" s="91" t="str">
        <f aca="false">IF($B71="","",الموظفون!$C71)</f>
        <v/>
      </c>
      <c r="D71" s="91" t="str">
        <f aca="false">IF($B71="","",الموظفون!$F71)</f>
        <v/>
      </c>
      <c r="E71" s="91" t="str">
        <f aca="false">IF($B71="","",الموظفون!$E71)</f>
        <v/>
      </c>
      <c r="F71" s="110" t="str">
        <f aca="false">IF($B71="","",IF(AE71&gt;=DAY($G$3),cfg_DAYS_M,MIN(AE71,cfg_DAYS_M)))</f>
        <v/>
      </c>
      <c r="G71" s="110" t="str">
        <f aca="false">IF($B71="","",SUMIFS('الحركات الشهرية'!$D$6:$D$1005,'الحركات الشهرية'!$B$6:$B$1005,$B71,'الحركات الشهرية'!$A$6:$A$1005,$C$3))</f>
        <v/>
      </c>
      <c r="H71" s="110" t="str">
        <f aca="false">IF($B71="","",SUMIFS('الحركات الشهرية'!$E$6:$E$1005,'الحركات الشهرية'!$B$6:$B$1005,$B71,'الحركات الشهرية'!$A$6:$A$1005,$C$3))</f>
        <v/>
      </c>
      <c r="I71" s="110" t="str">
        <f aca="false">IF($B71="","",MAX(0,F71-G71-H71))</f>
        <v/>
      </c>
      <c r="J71" s="90" t="str">
        <f aca="false">IF($B71="","",الموظفون!$J71*$I71/cfg_DAYS_M)</f>
        <v/>
      </c>
      <c r="K71" s="90" t="str">
        <f aca="false">IF($B71="","",الموظفون!$K71*$I71/cfg_DAYS_M)</f>
        <v/>
      </c>
      <c r="L71" s="90" t="str">
        <f aca="false">IF($B71="","",الموظفون!$L71*$I71/cfg_DAYS_M)</f>
        <v/>
      </c>
      <c r="M71" s="90" t="str">
        <f aca="false">IF($B71="","",الموظفون!$M71*$I71/cfg_DAYS_M)</f>
        <v/>
      </c>
      <c r="N71" s="110" t="str">
        <f aca="false">IF($B71="","",SUMIFS('الحركات الشهرية'!$F$6:$F$1005,'الحركات الشهرية'!$B$6:$B$1005,$B71,'الحركات الشهرية'!$A$6:$A$1005,$C$3))</f>
        <v/>
      </c>
      <c r="O71" s="90" t="str">
        <f aca="false">IF($B71="","",N71*(الموظفون!$N71+الموظفون!$J71*cfg_OT_P)/cfg_DAYS_M/cfg_HRS)</f>
        <v/>
      </c>
      <c r="P71" s="90" t="str">
        <f aca="false">IF($B71="","",SUMIFS('الحركات الشهرية'!$G$6:$G$1005,'الحركات الشهرية'!$B$6:$B$1005,$B71,'الحركات الشهرية'!$A$6:$A$1005,$C$3))</f>
        <v/>
      </c>
      <c r="Q71" s="90" t="str">
        <f aca="false">IF($B71="","",SUMIFS('الحركات الشهرية'!$H$6:$H$1005,'الحركات الشهرية'!$B$6:$B$1005,$B71,'الحركات الشهرية'!$A$6:$A$1005,$C$3))</f>
        <v/>
      </c>
      <c r="R71" s="111" t="str">
        <f aca="false">IF($B71="","",SUM(J71:M71)+SUM(O71:Q71))</f>
        <v/>
      </c>
      <c r="S71" s="90" t="str">
        <f aca="false">IF($B71="","",الموظفون!$Q71*IF(E71="سعودي",cfg_G_SE,cfg_G_NE)*F71/cfg_DAYS_M)</f>
        <v/>
      </c>
      <c r="T71" s="90" t="str">
        <f aca="false">IF($B71="","",SUMIFS('الحركات الشهرية'!$I$6:$I$1005,'الحركات الشهرية'!$B$6:$B$1005,$B71,'الحركات الشهرية'!$A$6:$A$1005,$C$3))</f>
        <v/>
      </c>
      <c r="U71" s="90" t="str">
        <f aca="false">IF($B71="","",SUMIFS('الحركات الشهرية'!$J$6:$J$1005,'الحركات الشهرية'!$B$6:$B$1005,$B71,'الحركات الشهرية'!$A$6:$A$1005,$C$3))</f>
        <v/>
      </c>
      <c r="V71" s="90" t="str">
        <f aca="false">IF($B71="","",SUM(S71:U71))</f>
        <v/>
      </c>
      <c r="W71" s="112" t="str">
        <f aca="false">IF($B71="","",R71-V71)</f>
        <v/>
      </c>
      <c r="X71" s="90" t="str">
        <f aca="false">IF($B71="","",الموظفون!$Q71*IF(E71="سعودي",cfg_G_SR,cfg_G_NR)*F71/cfg_DAYS_M)</f>
        <v/>
      </c>
      <c r="Y71" s="90" t="str">
        <f aca="false">IF($B71="","",الموظفون!$O71*(cfg_EOS_R1*(MIN(AC71,cfg_EOS_TH)-MIN(AD71,cfg_EOS_TH))+cfg_EOS_R2*(MAX(AC71-cfg_EOS_TH,0)-MAX(AD71-cfg_EOS_TH,0))))</f>
        <v/>
      </c>
      <c r="Z71" s="90" t="str">
        <f aca="false">IF($B71="","",IF(الموظفون!$R71&lt;&gt;"",الموظفون!$R71,IF(AC71&gt;=cfg_LV_TH,cfg_LV_D2,cfg_LV_D1))/cfg_DAYS_Y*AE71*الموظفون!$P71/cfg_DAYS_M)</f>
        <v/>
      </c>
      <c r="AA71" s="90" t="str">
        <f aca="false">IF($B71="","",IF(AND(الموظفون!$S71="نعم",N(الموظفون!$U71)&gt;0),الموظفون!$T71/الموظفون!$U71*12/cfg_DAYS_Y*AE71,0))</f>
        <v/>
      </c>
      <c r="AB71" s="113" t="str">
        <f aca="false">IF($B71="","",R71+SUM(X71:AA71))</f>
        <v/>
      </c>
      <c r="AC71" s="114" t="str">
        <f aca="false">IF($B71="","",MAX(0,IF(OR(الموظفون!$X71="",الموظفون!$X71&gt;$G$3),$G$3,الموظفون!$X71)-الموظفون!$H71+1)/cfg_DAYS_Y)</f>
        <v/>
      </c>
      <c r="AD71" s="114" t="str">
        <f aca="false">IF($B71="","",MAX(0,IF(OR(الموظفون!$X71="",الموظفون!$X71&gt;($E$3-1)),($E$3-1),الموظفون!$X71)-الموظفون!$H71+1)/cfg_DAYS_Y)</f>
        <v/>
      </c>
      <c r="AE71" s="115" t="str">
        <f aca="false">IF($B71="","",MAX(0,IF(OR(الموظفون!$X71="",الموظفون!$X71&gt;$G$3),$G$3,الموظفون!$X71)-MAX($E$3,الموظفون!$H71)+1))</f>
        <v/>
      </c>
    </row>
    <row r="72" customFormat="false" ht="15" hidden="false" customHeight="false" outlineLevel="0" collapsed="false">
      <c r="A72" s="83" t="str">
        <f aca="false">IF($B72="","",الموظفون!$A72)</f>
        <v/>
      </c>
      <c r="B72" s="74" t="str">
        <f aca="false">IF(الموظفون!$B72="","",الموظفون!$B72)</f>
        <v/>
      </c>
      <c r="C72" s="74" t="str">
        <f aca="false">IF($B72="","",الموظفون!$C72)</f>
        <v/>
      </c>
      <c r="D72" s="74" t="str">
        <f aca="false">IF($B72="","",الموظفون!$F72)</f>
        <v/>
      </c>
      <c r="E72" s="74" t="str">
        <f aca="false">IF($B72="","",الموظفون!$E72)</f>
        <v/>
      </c>
      <c r="F72" s="105" t="str">
        <f aca="false">IF($B72="","",IF(AE72&gt;=DAY($G$3),cfg_DAYS_M,MIN(AE72,cfg_DAYS_M)))</f>
        <v/>
      </c>
      <c r="G72" s="105" t="str">
        <f aca="false">IF($B72="","",SUMIFS('الحركات الشهرية'!$D$6:$D$1005,'الحركات الشهرية'!$B$6:$B$1005,$B72,'الحركات الشهرية'!$A$6:$A$1005,$C$3))</f>
        <v/>
      </c>
      <c r="H72" s="105" t="str">
        <f aca="false">IF($B72="","",SUMIFS('الحركات الشهرية'!$E$6:$E$1005,'الحركات الشهرية'!$B$6:$B$1005,$B72,'الحركات الشهرية'!$A$6:$A$1005,$C$3))</f>
        <v/>
      </c>
      <c r="I72" s="105" t="str">
        <f aca="false">IF($B72="","",MAX(0,F72-G72-H72))</f>
        <v/>
      </c>
      <c r="J72" s="86" t="str">
        <f aca="false">IF($B72="","",الموظفون!$J72*$I72/cfg_DAYS_M)</f>
        <v/>
      </c>
      <c r="K72" s="86" t="str">
        <f aca="false">IF($B72="","",الموظفون!$K72*$I72/cfg_DAYS_M)</f>
        <v/>
      </c>
      <c r="L72" s="86" t="str">
        <f aca="false">IF($B72="","",الموظفون!$L72*$I72/cfg_DAYS_M)</f>
        <v/>
      </c>
      <c r="M72" s="86" t="str">
        <f aca="false">IF($B72="","",الموظفون!$M72*$I72/cfg_DAYS_M)</f>
        <v/>
      </c>
      <c r="N72" s="105" t="str">
        <f aca="false">IF($B72="","",SUMIFS('الحركات الشهرية'!$F$6:$F$1005,'الحركات الشهرية'!$B$6:$B$1005,$B72,'الحركات الشهرية'!$A$6:$A$1005,$C$3))</f>
        <v/>
      </c>
      <c r="O72" s="86" t="str">
        <f aca="false">IF($B72="","",N72*(الموظفون!$N72+الموظفون!$J72*cfg_OT_P)/cfg_DAYS_M/cfg_HRS)</f>
        <v/>
      </c>
      <c r="P72" s="86" t="str">
        <f aca="false">IF($B72="","",SUMIFS('الحركات الشهرية'!$G$6:$G$1005,'الحركات الشهرية'!$B$6:$B$1005,$B72,'الحركات الشهرية'!$A$6:$A$1005,$C$3))</f>
        <v/>
      </c>
      <c r="Q72" s="86" t="str">
        <f aca="false">IF($B72="","",SUMIFS('الحركات الشهرية'!$H$6:$H$1005,'الحركات الشهرية'!$B$6:$B$1005,$B72,'الحركات الشهرية'!$A$6:$A$1005,$C$3))</f>
        <v/>
      </c>
      <c r="R72" s="106" t="str">
        <f aca="false">IF($B72="","",SUM(J72:M72)+SUM(O72:Q72))</f>
        <v/>
      </c>
      <c r="S72" s="86" t="str">
        <f aca="false">IF($B72="","",الموظفون!$Q72*IF(E72="سعودي",cfg_G_SE,cfg_G_NE)*F72/cfg_DAYS_M)</f>
        <v/>
      </c>
      <c r="T72" s="86" t="str">
        <f aca="false">IF($B72="","",SUMIFS('الحركات الشهرية'!$I$6:$I$1005,'الحركات الشهرية'!$B$6:$B$1005,$B72,'الحركات الشهرية'!$A$6:$A$1005,$C$3))</f>
        <v/>
      </c>
      <c r="U72" s="86" t="str">
        <f aca="false">IF($B72="","",SUMIFS('الحركات الشهرية'!$J$6:$J$1005,'الحركات الشهرية'!$B$6:$B$1005,$B72,'الحركات الشهرية'!$A$6:$A$1005,$C$3))</f>
        <v/>
      </c>
      <c r="V72" s="86" t="str">
        <f aca="false">IF($B72="","",SUM(S72:U72))</f>
        <v/>
      </c>
      <c r="W72" s="107" t="str">
        <f aca="false">IF($B72="","",R72-V72)</f>
        <v/>
      </c>
      <c r="X72" s="86" t="str">
        <f aca="false">IF($B72="","",الموظفون!$Q72*IF(E72="سعودي",cfg_G_SR,cfg_G_NR)*F72/cfg_DAYS_M)</f>
        <v/>
      </c>
      <c r="Y72" s="86" t="str">
        <f aca="false">IF($B72="","",الموظفون!$O72*(cfg_EOS_R1*(MIN(AC72,cfg_EOS_TH)-MIN(AD72,cfg_EOS_TH))+cfg_EOS_R2*(MAX(AC72-cfg_EOS_TH,0)-MAX(AD72-cfg_EOS_TH,0))))</f>
        <v/>
      </c>
      <c r="Z72" s="86" t="str">
        <f aca="false">IF($B72="","",IF(الموظفون!$R72&lt;&gt;"",الموظفون!$R72,IF(AC72&gt;=cfg_LV_TH,cfg_LV_D2,cfg_LV_D1))/cfg_DAYS_Y*AE72*الموظفون!$P72/cfg_DAYS_M)</f>
        <v/>
      </c>
      <c r="AA72" s="86" t="str">
        <f aca="false">IF($B72="","",IF(AND(الموظفون!$S72="نعم",N(الموظفون!$U72)&gt;0),الموظفون!$T72/الموظفون!$U72*12/cfg_DAYS_Y*AE72,0))</f>
        <v/>
      </c>
      <c r="AB72" s="108" t="str">
        <f aca="false">IF($B72="","",R72+SUM(X72:AA72))</f>
        <v/>
      </c>
      <c r="AC72" s="109" t="str">
        <f aca="false">IF($B72="","",MAX(0,IF(OR(الموظفون!$X72="",الموظفون!$X72&gt;$G$3),$G$3,الموظفون!$X72)-الموظفون!$H72+1)/cfg_DAYS_Y)</f>
        <v/>
      </c>
      <c r="AD72" s="109" t="str">
        <f aca="false">IF($B72="","",MAX(0,IF(OR(الموظفون!$X72="",الموظفون!$X72&gt;($E$3-1)),($E$3-1),الموظفون!$X72)-الموظفون!$H72+1)/cfg_DAYS_Y)</f>
        <v/>
      </c>
      <c r="AE72" s="51" t="str">
        <f aca="false">IF($B72="","",MAX(0,IF(OR(الموظفون!$X72="",الموظفون!$X72&gt;$G$3),$G$3,الموظفون!$X72)-MAX($E$3,الموظفون!$H72)+1))</f>
        <v/>
      </c>
    </row>
    <row r="73" customFormat="false" ht="15" hidden="false" customHeight="false" outlineLevel="0" collapsed="false">
      <c r="A73" s="89" t="str">
        <f aca="false">IF($B73="","",الموظفون!$A73)</f>
        <v/>
      </c>
      <c r="B73" s="91" t="str">
        <f aca="false">IF(الموظفون!$B73="","",الموظفون!$B73)</f>
        <v/>
      </c>
      <c r="C73" s="91" t="str">
        <f aca="false">IF($B73="","",الموظفون!$C73)</f>
        <v/>
      </c>
      <c r="D73" s="91" t="str">
        <f aca="false">IF($B73="","",الموظفون!$F73)</f>
        <v/>
      </c>
      <c r="E73" s="91" t="str">
        <f aca="false">IF($B73="","",الموظفون!$E73)</f>
        <v/>
      </c>
      <c r="F73" s="110" t="str">
        <f aca="false">IF($B73="","",IF(AE73&gt;=DAY($G$3),cfg_DAYS_M,MIN(AE73,cfg_DAYS_M)))</f>
        <v/>
      </c>
      <c r="G73" s="110" t="str">
        <f aca="false">IF($B73="","",SUMIFS('الحركات الشهرية'!$D$6:$D$1005,'الحركات الشهرية'!$B$6:$B$1005,$B73,'الحركات الشهرية'!$A$6:$A$1005,$C$3))</f>
        <v/>
      </c>
      <c r="H73" s="110" t="str">
        <f aca="false">IF($B73="","",SUMIFS('الحركات الشهرية'!$E$6:$E$1005,'الحركات الشهرية'!$B$6:$B$1005,$B73,'الحركات الشهرية'!$A$6:$A$1005,$C$3))</f>
        <v/>
      </c>
      <c r="I73" s="110" t="str">
        <f aca="false">IF($B73="","",MAX(0,F73-G73-H73))</f>
        <v/>
      </c>
      <c r="J73" s="90" t="str">
        <f aca="false">IF($B73="","",الموظفون!$J73*$I73/cfg_DAYS_M)</f>
        <v/>
      </c>
      <c r="K73" s="90" t="str">
        <f aca="false">IF($B73="","",الموظفون!$K73*$I73/cfg_DAYS_M)</f>
        <v/>
      </c>
      <c r="L73" s="90" t="str">
        <f aca="false">IF($B73="","",الموظفون!$L73*$I73/cfg_DAYS_M)</f>
        <v/>
      </c>
      <c r="M73" s="90" t="str">
        <f aca="false">IF($B73="","",الموظفون!$M73*$I73/cfg_DAYS_M)</f>
        <v/>
      </c>
      <c r="N73" s="110" t="str">
        <f aca="false">IF($B73="","",SUMIFS('الحركات الشهرية'!$F$6:$F$1005,'الحركات الشهرية'!$B$6:$B$1005,$B73,'الحركات الشهرية'!$A$6:$A$1005,$C$3))</f>
        <v/>
      </c>
      <c r="O73" s="90" t="str">
        <f aca="false">IF($B73="","",N73*(الموظفون!$N73+الموظفون!$J73*cfg_OT_P)/cfg_DAYS_M/cfg_HRS)</f>
        <v/>
      </c>
      <c r="P73" s="90" t="str">
        <f aca="false">IF($B73="","",SUMIFS('الحركات الشهرية'!$G$6:$G$1005,'الحركات الشهرية'!$B$6:$B$1005,$B73,'الحركات الشهرية'!$A$6:$A$1005,$C$3))</f>
        <v/>
      </c>
      <c r="Q73" s="90" t="str">
        <f aca="false">IF($B73="","",SUMIFS('الحركات الشهرية'!$H$6:$H$1005,'الحركات الشهرية'!$B$6:$B$1005,$B73,'الحركات الشهرية'!$A$6:$A$1005,$C$3))</f>
        <v/>
      </c>
      <c r="R73" s="111" t="str">
        <f aca="false">IF($B73="","",SUM(J73:M73)+SUM(O73:Q73))</f>
        <v/>
      </c>
      <c r="S73" s="90" t="str">
        <f aca="false">IF($B73="","",الموظفون!$Q73*IF(E73="سعودي",cfg_G_SE,cfg_G_NE)*F73/cfg_DAYS_M)</f>
        <v/>
      </c>
      <c r="T73" s="90" t="str">
        <f aca="false">IF($B73="","",SUMIFS('الحركات الشهرية'!$I$6:$I$1005,'الحركات الشهرية'!$B$6:$B$1005,$B73,'الحركات الشهرية'!$A$6:$A$1005,$C$3))</f>
        <v/>
      </c>
      <c r="U73" s="90" t="str">
        <f aca="false">IF($B73="","",SUMIFS('الحركات الشهرية'!$J$6:$J$1005,'الحركات الشهرية'!$B$6:$B$1005,$B73,'الحركات الشهرية'!$A$6:$A$1005,$C$3))</f>
        <v/>
      </c>
      <c r="V73" s="90" t="str">
        <f aca="false">IF($B73="","",SUM(S73:U73))</f>
        <v/>
      </c>
      <c r="W73" s="112" t="str">
        <f aca="false">IF($B73="","",R73-V73)</f>
        <v/>
      </c>
      <c r="X73" s="90" t="str">
        <f aca="false">IF($B73="","",الموظفون!$Q73*IF(E73="سعودي",cfg_G_SR,cfg_G_NR)*F73/cfg_DAYS_M)</f>
        <v/>
      </c>
      <c r="Y73" s="90" t="str">
        <f aca="false">IF($B73="","",الموظفون!$O73*(cfg_EOS_R1*(MIN(AC73,cfg_EOS_TH)-MIN(AD73,cfg_EOS_TH))+cfg_EOS_R2*(MAX(AC73-cfg_EOS_TH,0)-MAX(AD73-cfg_EOS_TH,0))))</f>
        <v/>
      </c>
      <c r="Z73" s="90" t="str">
        <f aca="false">IF($B73="","",IF(الموظفون!$R73&lt;&gt;"",الموظفون!$R73,IF(AC73&gt;=cfg_LV_TH,cfg_LV_D2,cfg_LV_D1))/cfg_DAYS_Y*AE73*الموظفون!$P73/cfg_DAYS_M)</f>
        <v/>
      </c>
      <c r="AA73" s="90" t="str">
        <f aca="false">IF($B73="","",IF(AND(الموظفون!$S73="نعم",N(الموظفون!$U73)&gt;0),الموظفون!$T73/الموظفون!$U73*12/cfg_DAYS_Y*AE73,0))</f>
        <v/>
      </c>
      <c r="AB73" s="113" t="str">
        <f aca="false">IF($B73="","",R73+SUM(X73:AA73))</f>
        <v/>
      </c>
      <c r="AC73" s="114" t="str">
        <f aca="false">IF($B73="","",MAX(0,IF(OR(الموظفون!$X73="",الموظفون!$X73&gt;$G$3),$G$3,الموظفون!$X73)-الموظفون!$H73+1)/cfg_DAYS_Y)</f>
        <v/>
      </c>
      <c r="AD73" s="114" t="str">
        <f aca="false">IF($B73="","",MAX(0,IF(OR(الموظفون!$X73="",الموظفون!$X73&gt;($E$3-1)),($E$3-1),الموظفون!$X73)-الموظفون!$H73+1)/cfg_DAYS_Y)</f>
        <v/>
      </c>
      <c r="AE73" s="115" t="str">
        <f aca="false">IF($B73="","",MAX(0,IF(OR(الموظفون!$X73="",الموظفون!$X73&gt;$G$3),$G$3,الموظفون!$X73)-MAX($E$3,الموظفون!$H73)+1))</f>
        <v/>
      </c>
    </row>
    <row r="74" customFormat="false" ht="15" hidden="false" customHeight="false" outlineLevel="0" collapsed="false">
      <c r="A74" s="83" t="str">
        <f aca="false">IF($B74="","",الموظفون!$A74)</f>
        <v/>
      </c>
      <c r="B74" s="74" t="str">
        <f aca="false">IF(الموظفون!$B74="","",الموظفون!$B74)</f>
        <v/>
      </c>
      <c r="C74" s="74" t="str">
        <f aca="false">IF($B74="","",الموظفون!$C74)</f>
        <v/>
      </c>
      <c r="D74" s="74" t="str">
        <f aca="false">IF($B74="","",الموظفون!$F74)</f>
        <v/>
      </c>
      <c r="E74" s="74" t="str">
        <f aca="false">IF($B74="","",الموظفون!$E74)</f>
        <v/>
      </c>
      <c r="F74" s="105" t="str">
        <f aca="false">IF($B74="","",IF(AE74&gt;=DAY($G$3),cfg_DAYS_M,MIN(AE74,cfg_DAYS_M)))</f>
        <v/>
      </c>
      <c r="G74" s="105" t="str">
        <f aca="false">IF($B74="","",SUMIFS('الحركات الشهرية'!$D$6:$D$1005,'الحركات الشهرية'!$B$6:$B$1005,$B74,'الحركات الشهرية'!$A$6:$A$1005,$C$3))</f>
        <v/>
      </c>
      <c r="H74" s="105" t="str">
        <f aca="false">IF($B74="","",SUMIFS('الحركات الشهرية'!$E$6:$E$1005,'الحركات الشهرية'!$B$6:$B$1005,$B74,'الحركات الشهرية'!$A$6:$A$1005,$C$3))</f>
        <v/>
      </c>
      <c r="I74" s="105" t="str">
        <f aca="false">IF($B74="","",MAX(0,F74-G74-H74))</f>
        <v/>
      </c>
      <c r="J74" s="86" t="str">
        <f aca="false">IF($B74="","",الموظفون!$J74*$I74/cfg_DAYS_M)</f>
        <v/>
      </c>
      <c r="K74" s="86" t="str">
        <f aca="false">IF($B74="","",الموظفون!$K74*$I74/cfg_DAYS_M)</f>
        <v/>
      </c>
      <c r="L74" s="86" t="str">
        <f aca="false">IF($B74="","",الموظفون!$L74*$I74/cfg_DAYS_M)</f>
        <v/>
      </c>
      <c r="M74" s="86" t="str">
        <f aca="false">IF($B74="","",الموظفون!$M74*$I74/cfg_DAYS_M)</f>
        <v/>
      </c>
      <c r="N74" s="105" t="str">
        <f aca="false">IF($B74="","",SUMIFS('الحركات الشهرية'!$F$6:$F$1005,'الحركات الشهرية'!$B$6:$B$1005,$B74,'الحركات الشهرية'!$A$6:$A$1005,$C$3))</f>
        <v/>
      </c>
      <c r="O74" s="86" t="str">
        <f aca="false">IF($B74="","",N74*(الموظفون!$N74+الموظفون!$J74*cfg_OT_P)/cfg_DAYS_M/cfg_HRS)</f>
        <v/>
      </c>
      <c r="P74" s="86" t="str">
        <f aca="false">IF($B74="","",SUMIFS('الحركات الشهرية'!$G$6:$G$1005,'الحركات الشهرية'!$B$6:$B$1005,$B74,'الحركات الشهرية'!$A$6:$A$1005,$C$3))</f>
        <v/>
      </c>
      <c r="Q74" s="86" t="str">
        <f aca="false">IF($B74="","",SUMIFS('الحركات الشهرية'!$H$6:$H$1005,'الحركات الشهرية'!$B$6:$B$1005,$B74,'الحركات الشهرية'!$A$6:$A$1005,$C$3))</f>
        <v/>
      </c>
      <c r="R74" s="106" t="str">
        <f aca="false">IF($B74="","",SUM(J74:M74)+SUM(O74:Q74))</f>
        <v/>
      </c>
      <c r="S74" s="86" t="str">
        <f aca="false">IF($B74="","",الموظفون!$Q74*IF(E74="سعودي",cfg_G_SE,cfg_G_NE)*F74/cfg_DAYS_M)</f>
        <v/>
      </c>
      <c r="T74" s="86" t="str">
        <f aca="false">IF($B74="","",SUMIFS('الحركات الشهرية'!$I$6:$I$1005,'الحركات الشهرية'!$B$6:$B$1005,$B74,'الحركات الشهرية'!$A$6:$A$1005,$C$3))</f>
        <v/>
      </c>
      <c r="U74" s="86" t="str">
        <f aca="false">IF($B74="","",SUMIFS('الحركات الشهرية'!$J$6:$J$1005,'الحركات الشهرية'!$B$6:$B$1005,$B74,'الحركات الشهرية'!$A$6:$A$1005,$C$3))</f>
        <v/>
      </c>
      <c r="V74" s="86" t="str">
        <f aca="false">IF($B74="","",SUM(S74:U74))</f>
        <v/>
      </c>
      <c r="W74" s="107" t="str">
        <f aca="false">IF($B74="","",R74-V74)</f>
        <v/>
      </c>
      <c r="X74" s="86" t="str">
        <f aca="false">IF($B74="","",الموظفون!$Q74*IF(E74="سعودي",cfg_G_SR,cfg_G_NR)*F74/cfg_DAYS_M)</f>
        <v/>
      </c>
      <c r="Y74" s="86" t="str">
        <f aca="false">IF($B74="","",الموظفون!$O74*(cfg_EOS_R1*(MIN(AC74,cfg_EOS_TH)-MIN(AD74,cfg_EOS_TH))+cfg_EOS_R2*(MAX(AC74-cfg_EOS_TH,0)-MAX(AD74-cfg_EOS_TH,0))))</f>
        <v/>
      </c>
      <c r="Z74" s="86" t="str">
        <f aca="false">IF($B74="","",IF(الموظفون!$R74&lt;&gt;"",الموظفون!$R74,IF(AC74&gt;=cfg_LV_TH,cfg_LV_D2,cfg_LV_D1))/cfg_DAYS_Y*AE74*الموظفون!$P74/cfg_DAYS_M)</f>
        <v/>
      </c>
      <c r="AA74" s="86" t="str">
        <f aca="false">IF($B74="","",IF(AND(الموظفون!$S74="نعم",N(الموظفون!$U74)&gt;0),الموظفون!$T74/الموظفون!$U74*12/cfg_DAYS_Y*AE74,0))</f>
        <v/>
      </c>
      <c r="AB74" s="108" t="str">
        <f aca="false">IF($B74="","",R74+SUM(X74:AA74))</f>
        <v/>
      </c>
      <c r="AC74" s="109" t="str">
        <f aca="false">IF($B74="","",MAX(0,IF(OR(الموظفون!$X74="",الموظفون!$X74&gt;$G$3),$G$3,الموظفون!$X74)-الموظفون!$H74+1)/cfg_DAYS_Y)</f>
        <v/>
      </c>
      <c r="AD74" s="109" t="str">
        <f aca="false">IF($B74="","",MAX(0,IF(OR(الموظفون!$X74="",الموظفون!$X74&gt;($E$3-1)),($E$3-1),الموظفون!$X74)-الموظفون!$H74+1)/cfg_DAYS_Y)</f>
        <v/>
      </c>
      <c r="AE74" s="51" t="str">
        <f aca="false">IF($B74="","",MAX(0,IF(OR(الموظفون!$X74="",الموظفون!$X74&gt;$G$3),$G$3,الموظفون!$X74)-MAX($E$3,الموظفون!$H74)+1))</f>
        <v/>
      </c>
    </row>
    <row r="75" customFormat="false" ht="15" hidden="false" customHeight="false" outlineLevel="0" collapsed="false">
      <c r="A75" s="89" t="str">
        <f aca="false">IF($B75="","",الموظفون!$A75)</f>
        <v/>
      </c>
      <c r="B75" s="91" t="str">
        <f aca="false">IF(الموظفون!$B75="","",الموظفون!$B75)</f>
        <v/>
      </c>
      <c r="C75" s="91" t="str">
        <f aca="false">IF($B75="","",الموظفون!$C75)</f>
        <v/>
      </c>
      <c r="D75" s="91" t="str">
        <f aca="false">IF($B75="","",الموظفون!$F75)</f>
        <v/>
      </c>
      <c r="E75" s="91" t="str">
        <f aca="false">IF($B75="","",الموظفون!$E75)</f>
        <v/>
      </c>
      <c r="F75" s="110" t="str">
        <f aca="false">IF($B75="","",IF(AE75&gt;=DAY($G$3),cfg_DAYS_M,MIN(AE75,cfg_DAYS_M)))</f>
        <v/>
      </c>
      <c r="G75" s="110" t="str">
        <f aca="false">IF($B75="","",SUMIFS('الحركات الشهرية'!$D$6:$D$1005,'الحركات الشهرية'!$B$6:$B$1005,$B75,'الحركات الشهرية'!$A$6:$A$1005,$C$3))</f>
        <v/>
      </c>
      <c r="H75" s="110" t="str">
        <f aca="false">IF($B75="","",SUMIFS('الحركات الشهرية'!$E$6:$E$1005,'الحركات الشهرية'!$B$6:$B$1005,$B75,'الحركات الشهرية'!$A$6:$A$1005,$C$3))</f>
        <v/>
      </c>
      <c r="I75" s="110" t="str">
        <f aca="false">IF($B75="","",MAX(0,F75-G75-H75))</f>
        <v/>
      </c>
      <c r="J75" s="90" t="str">
        <f aca="false">IF($B75="","",الموظفون!$J75*$I75/cfg_DAYS_M)</f>
        <v/>
      </c>
      <c r="K75" s="90" t="str">
        <f aca="false">IF($B75="","",الموظفون!$K75*$I75/cfg_DAYS_M)</f>
        <v/>
      </c>
      <c r="L75" s="90" t="str">
        <f aca="false">IF($B75="","",الموظفون!$L75*$I75/cfg_DAYS_M)</f>
        <v/>
      </c>
      <c r="M75" s="90" t="str">
        <f aca="false">IF($B75="","",الموظفون!$M75*$I75/cfg_DAYS_M)</f>
        <v/>
      </c>
      <c r="N75" s="110" t="str">
        <f aca="false">IF($B75="","",SUMIFS('الحركات الشهرية'!$F$6:$F$1005,'الحركات الشهرية'!$B$6:$B$1005,$B75,'الحركات الشهرية'!$A$6:$A$1005,$C$3))</f>
        <v/>
      </c>
      <c r="O75" s="90" t="str">
        <f aca="false">IF($B75="","",N75*(الموظفون!$N75+الموظفون!$J75*cfg_OT_P)/cfg_DAYS_M/cfg_HRS)</f>
        <v/>
      </c>
      <c r="P75" s="90" t="str">
        <f aca="false">IF($B75="","",SUMIFS('الحركات الشهرية'!$G$6:$G$1005,'الحركات الشهرية'!$B$6:$B$1005,$B75,'الحركات الشهرية'!$A$6:$A$1005,$C$3))</f>
        <v/>
      </c>
      <c r="Q75" s="90" t="str">
        <f aca="false">IF($B75="","",SUMIFS('الحركات الشهرية'!$H$6:$H$1005,'الحركات الشهرية'!$B$6:$B$1005,$B75,'الحركات الشهرية'!$A$6:$A$1005,$C$3))</f>
        <v/>
      </c>
      <c r="R75" s="111" t="str">
        <f aca="false">IF($B75="","",SUM(J75:M75)+SUM(O75:Q75))</f>
        <v/>
      </c>
      <c r="S75" s="90" t="str">
        <f aca="false">IF($B75="","",الموظفون!$Q75*IF(E75="سعودي",cfg_G_SE,cfg_G_NE)*F75/cfg_DAYS_M)</f>
        <v/>
      </c>
      <c r="T75" s="90" t="str">
        <f aca="false">IF($B75="","",SUMIFS('الحركات الشهرية'!$I$6:$I$1005,'الحركات الشهرية'!$B$6:$B$1005,$B75,'الحركات الشهرية'!$A$6:$A$1005,$C$3))</f>
        <v/>
      </c>
      <c r="U75" s="90" t="str">
        <f aca="false">IF($B75="","",SUMIFS('الحركات الشهرية'!$J$6:$J$1005,'الحركات الشهرية'!$B$6:$B$1005,$B75,'الحركات الشهرية'!$A$6:$A$1005,$C$3))</f>
        <v/>
      </c>
      <c r="V75" s="90" t="str">
        <f aca="false">IF($B75="","",SUM(S75:U75))</f>
        <v/>
      </c>
      <c r="W75" s="112" t="str">
        <f aca="false">IF($B75="","",R75-V75)</f>
        <v/>
      </c>
      <c r="X75" s="90" t="str">
        <f aca="false">IF($B75="","",الموظفون!$Q75*IF(E75="سعودي",cfg_G_SR,cfg_G_NR)*F75/cfg_DAYS_M)</f>
        <v/>
      </c>
      <c r="Y75" s="90" t="str">
        <f aca="false">IF($B75="","",الموظفون!$O75*(cfg_EOS_R1*(MIN(AC75,cfg_EOS_TH)-MIN(AD75,cfg_EOS_TH))+cfg_EOS_R2*(MAX(AC75-cfg_EOS_TH,0)-MAX(AD75-cfg_EOS_TH,0))))</f>
        <v/>
      </c>
      <c r="Z75" s="90" t="str">
        <f aca="false">IF($B75="","",IF(الموظفون!$R75&lt;&gt;"",الموظفون!$R75,IF(AC75&gt;=cfg_LV_TH,cfg_LV_D2,cfg_LV_D1))/cfg_DAYS_Y*AE75*الموظفون!$P75/cfg_DAYS_M)</f>
        <v/>
      </c>
      <c r="AA75" s="90" t="str">
        <f aca="false">IF($B75="","",IF(AND(الموظفون!$S75="نعم",N(الموظفون!$U75)&gt;0),الموظفون!$T75/الموظفون!$U75*12/cfg_DAYS_Y*AE75,0))</f>
        <v/>
      </c>
      <c r="AB75" s="113" t="str">
        <f aca="false">IF($B75="","",R75+SUM(X75:AA75))</f>
        <v/>
      </c>
      <c r="AC75" s="114" t="str">
        <f aca="false">IF($B75="","",MAX(0,IF(OR(الموظفون!$X75="",الموظفون!$X75&gt;$G$3),$G$3,الموظفون!$X75)-الموظفون!$H75+1)/cfg_DAYS_Y)</f>
        <v/>
      </c>
      <c r="AD75" s="114" t="str">
        <f aca="false">IF($B75="","",MAX(0,IF(OR(الموظفون!$X75="",الموظفون!$X75&gt;($E$3-1)),($E$3-1),الموظفون!$X75)-الموظفون!$H75+1)/cfg_DAYS_Y)</f>
        <v/>
      </c>
      <c r="AE75" s="115" t="str">
        <f aca="false">IF($B75="","",MAX(0,IF(OR(الموظفون!$X75="",الموظفون!$X75&gt;$G$3),$G$3,الموظفون!$X75)-MAX($E$3,الموظفون!$H75)+1))</f>
        <v/>
      </c>
    </row>
    <row r="76" customFormat="false" ht="15" hidden="false" customHeight="false" outlineLevel="0" collapsed="false">
      <c r="A76" s="83" t="str">
        <f aca="false">IF($B76="","",الموظفون!$A76)</f>
        <v/>
      </c>
      <c r="B76" s="74" t="str">
        <f aca="false">IF(الموظفون!$B76="","",الموظفون!$B76)</f>
        <v/>
      </c>
      <c r="C76" s="74" t="str">
        <f aca="false">IF($B76="","",الموظفون!$C76)</f>
        <v/>
      </c>
      <c r="D76" s="74" t="str">
        <f aca="false">IF($B76="","",الموظفون!$F76)</f>
        <v/>
      </c>
      <c r="E76" s="74" t="str">
        <f aca="false">IF($B76="","",الموظفون!$E76)</f>
        <v/>
      </c>
      <c r="F76" s="105" t="str">
        <f aca="false">IF($B76="","",IF(AE76&gt;=DAY($G$3),cfg_DAYS_M,MIN(AE76,cfg_DAYS_M)))</f>
        <v/>
      </c>
      <c r="G76" s="105" t="str">
        <f aca="false">IF($B76="","",SUMIFS('الحركات الشهرية'!$D$6:$D$1005,'الحركات الشهرية'!$B$6:$B$1005,$B76,'الحركات الشهرية'!$A$6:$A$1005,$C$3))</f>
        <v/>
      </c>
      <c r="H76" s="105" t="str">
        <f aca="false">IF($B76="","",SUMIFS('الحركات الشهرية'!$E$6:$E$1005,'الحركات الشهرية'!$B$6:$B$1005,$B76,'الحركات الشهرية'!$A$6:$A$1005,$C$3))</f>
        <v/>
      </c>
      <c r="I76" s="105" t="str">
        <f aca="false">IF($B76="","",MAX(0,F76-G76-H76))</f>
        <v/>
      </c>
      <c r="J76" s="86" t="str">
        <f aca="false">IF($B76="","",الموظفون!$J76*$I76/cfg_DAYS_M)</f>
        <v/>
      </c>
      <c r="K76" s="86" t="str">
        <f aca="false">IF($B76="","",الموظفون!$K76*$I76/cfg_DAYS_M)</f>
        <v/>
      </c>
      <c r="L76" s="86" t="str">
        <f aca="false">IF($B76="","",الموظفون!$L76*$I76/cfg_DAYS_M)</f>
        <v/>
      </c>
      <c r="M76" s="86" t="str">
        <f aca="false">IF($B76="","",الموظفون!$M76*$I76/cfg_DAYS_M)</f>
        <v/>
      </c>
      <c r="N76" s="105" t="str">
        <f aca="false">IF($B76="","",SUMIFS('الحركات الشهرية'!$F$6:$F$1005,'الحركات الشهرية'!$B$6:$B$1005,$B76,'الحركات الشهرية'!$A$6:$A$1005,$C$3))</f>
        <v/>
      </c>
      <c r="O76" s="86" t="str">
        <f aca="false">IF($B76="","",N76*(الموظفون!$N76+الموظفون!$J76*cfg_OT_P)/cfg_DAYS_M/cfg_HRS)</f>
        <v/>
      </c>
      <c r="P76" s="86" t="str">
        <f aca="false">IF($B76="","",SUMIFS('الحركات الشهرية'!$G$6:$G$1005,'الحركات الشهرية'!$B$6:$B$1005,$B76,'الحركات الشهرية'!$A$6:$A$1005,$C$3))</f>
        <v/>
      </c>
      <c r="Q76" s="86" t="str">
        <f aca="false">IF($B76="","",SUMIFS('الحركات الشهرية'!$H$6:$H$1005,'الحركات الشهرية'!$B$6:$B$1005,$B76,'الحركات الشهرية'!$A$6:$A$1005,$C$3))</f>
        <v/>
      </c>
      <c r="R76" s="106" t="str">
        <f aca="false">IF($B76="","",SUM(J76:M76)+SUM(O76:Q76))</f>
        <v/>
      </c>
      <c r="S76" s="86" t="str">
        <f aca="false">IF($B76="","",الموظفون!$Q76*IF(E76="سعودي",cfg_G_SE,cfg_G_NE)*F76/cfg_DAYS_M)</f>
        <v/>
      </c>
      <c r="T76" s="86" t="str">
        <f aca="false">IF($B76="","",SUMIFS('الحركات الشهرية'!$I$6:$I$1005,'الحركات الشهرية'!$B$6:$B$1005,$B76,'الحركات الشهرية'!$A$6:$A$1005,$C$3))</f>
        <v/>
      </c>
      <c r="U76" s="86" t="str">
        <f aca="false">IF($B76="","",SUMIFS('الحركات الشهرية'!$J$6:$J$1005,'الحركات الشهرية'!$B$6:$B$1005,$B76,'الحركات الشهرية'!$A$6:$A$1005,$C$3))</f>
        <v/>
      </c>
      <c r="V76" s="86" t="str">
        <f aca="false">IF($B76="","",SUM(S76:U76))</f>
        <v/>
      </c>
      <c r="W76" s="107" t="str">
        <f aca="false">IF($B76="","",R76-V76)</f>
        <v/>
      </c>
      <c r="X76" s="86" t="str">
        <f aca="false">IF($B76="","",الموظفون!$Q76*IF(E76="سعودي",cfg_G_SR,cfg_G_NR)*F76/cfg_DAYS_M)</f>
        <v/>
      </c>
      <c r="Y76" s="86" t="str">
        <f aca="false">IF($B76="","",الموظفون!$O76*(cfg_EOS_R1*(MIN(AC76,cfg_EOS_TH)-MIN(AD76,cfg_EOS_TH))+cfg_EOS_R2*(MAX(AC76-cfg_EOS_TH,0)-MAX(AD76-cfg_EOS_TH,0))))</f>
        <v/>
      </c>
      <c r="Z76" s="86" t="str">
        <f aca="false">IF($B76="","",IF(الموظفون!$R76&lt;&gt;"",الموظفون!$R76,IF(AC76&gt;=cfg_LV_TH,cfg_LV_D2,cfg_LV_D1))/cfg_DAYS_Y*AE76*الموظفون!$P76/cfg_DAYS_M)</f>
        <v/>
      </c>
      <c r="AA76" s="86" t="str">
        <f aca="false">IF($B76="","",IF(AND(الموظفون!$S76="نعم",N(الموظفون!$U76)&gt;0),الموظفون!$T76/الموظفون!$U76*12/cfg_DAYS_Y*AE76,0))</f>
        <v/>
      </c>
      <c r="AB76" s="108" t="str">
        <f aca="false">IF($B76="","",R76+SUM(X76:AA76))</f>
        <v/>
      </c>
      <c r="AC76" s="109" t="str">
        <f aca="false">IF($B76="","",MAX(0,IF(OR(الموظفون!$X76="",الموظفون!$X76&gt;$G$3),$G$3,الموظفون!$X76)-الموظفون!$H76+1)/cfg_DAYS_Y)</f>
        <v/>
      </c>
      <c r="AD76" s="109" t="str">
        <f aca="false">IF($B76="","",MAX(0,IF(OR(الموظفون!$X76="",الموظفون!$X76&gt;($E$3-1)),($E$3-1),الموظفون!$X76)-الموظفون!$H76+1)/cfg_DAYS_Y)</f>
        <v/>
      </c>
      <c r="AE76" s="51" t="str">
        <f aca="false">IF($B76="","",MAX(0,IF(OR(الموظفون!$X76="",الموظفون!$X76&gt;$G$3),$G$3,الموظفون!$X76)-MAX($E$3,الموظفون!$H76)+1))</f>
        <v/>
      </c>
    </row>
    <row r="77" customFormat="false" ht="15" hidden="false" customHeight="false" outlineLevel="0" collapsed="false">
      <c r="A77" s="89" t="str">
        <f aca="false">IF($B77="","",الموظفون!$A77)</f>
        <v/>
      </c>
      <c r="B77" s="91" t="str">
        <f aca="false">IF(الموظفون!$B77="","",الموظفون!$B77)</f>
        <v/>
      </c>
      <c r="C77" s="91" t="str">
        <f aca="false">IF($B77="","",الموظفون!$C77)</f>
        <v/>
      </c>
      <c r="D77" s="91" t="str">
        <f aca="false">IF($B77="","",الموظفون!$F77)</f>
        <v/>
      </c>
      <c r="E77" s="91" t="str">
        <f aca="false">IF($B77="","",الموظفون!$E77)</f>
        <v/>
      </c>
      <c r="F77" s="110" t="str">
        <f aca="false">IF($B77="","",IF(AE77&gt;=DAY($G$3),cfg_DAYS_M,MIN(AE77,cfg_DAYS_M)))</f>
        <v/>
      </c>
      <c r="G77" s="110" t="str">
        <f aca="false">IF($B77="","",SUMIFS('الحركات الشهرية'!$D$6:$D$1005,'الحركات الشهرية'!$B$6:$B$1005,$B77,'الحركات الشهرية'!$A$6:$A$1005,$C$3))</f>
        <v/>
      </c>
      <c r="H77" s="110" t="str">
        <f aca="false">IF($B77="","",SUMIFS('الحركات الشهرية'!$E$6:$E$1005,'الحركات الشهرية'!$B$6:$B$1005,$B77,'الحركات الشهرية'!$A$6:$A$1005,$C$3))</f>
        <v/>
      </c>
      <c r="I77" s="110" t="str">
        <f aca="false">IF($B77="","",MAX(0,F77-G77-H77))</f>
        <v/>
      </c>
      <c r="J77" s="90" t="str">
        <f aca="false">IF($B77="","",الموظفون!$J77*$I77/cfg_DAYS_M)</f>
        <v/>
      </c>
      <c r="K77" s="90" t="str">
        <f aca="false">IF($B77="","",الموظفون!$K77*$I77/cfg_DAYS_M)</f>
        <v/>
      </c>
      <c r="L77" s="90" t="str">
        <f aca="false">IF($B77="","",الموظفون!$L77*$I77/cfg_DAYS_M)</f>
        <v/>
      </c>
      <c r="M77" s="90" t="str">
        <f aca="false">IF($B77="","",الموظفون!$M77*$I77/cfg_DAYS_M)</f>
        <v/>
      </c>
      <c r="N77" s="110" t="str">
        <f aca="false">IF($B77="","",SUMIFS('الحركات الشهرية'!$F$6:$F$1005,'الحركات الشهرية'!$B$6:$B$1005,$B77,'الحركات الشهرية'!$A$6:$A$1005,$C$3))</f>
        <v/>
      </c>
      <c r="O77" s="90" t="str">
        <f aca="false">IF($B77="","",N77*(الموظفون!$N77+الموظفون!$J77*cfg_OT_P)/cfg_DAYS_M/cfg_HRS)</f>
        <v/>
      </c>
      <c r="P77" s="90" t="str">
        <f aca="false">IF($B77="","",SUMIFS('الحركات الشهرية'!$G$6:$G$1005,'الحركات الشهرية'!$B$6:$B$1005,$B77,'الحركات الشهرية'!$A$6:$A$1005,$C$3))</f>
        <v/>
      </c>
      <c r="Q77" s="90" t="str">
        <f aca="false">IF($B77="","",SUMIFS('الحركات الشهرية'!$H$6:$H$1005,'الحركات الشهرية'!$B$6:$B$1005,$B77,'الحركات الشهرية'!$A$6:$A$1005,$C$3))</f>
        <v/>
      </c>
      <c r="R77" s="111" t="str">
        <f aca="false">IF($B77="","",SUM(J77:M77)+SUM(O77:Q77))</f>
        <v/>
      </c>
      <c r="S77" s="90" t="str">
        <f aca="false">IF($B77="","",الموظفون!$Q77*IF(E77="سعودي",cfg_G_SE,cfg_G_NE)*F77/cfg_DAYS_M)</f>
        <v/>
      </c>
      <c r="T77" s="90" t="str">
        <f aca="false">IF($B77="","",SUMIFS('الحركات الشهرية'!$I$6:$I$1005,'الحركات الشهرية'!$B$6:$B$1005,$B77,'الحركات الشهرية'!$A$6:$A$1005,$C$3))</f>
        <v/>
      </c>
      <c r="U77" s="90" t="str">
        <f aca="false">IF($B77="","",SUMIFS('الحركات الشهرية'!$J$6:$J$1005,'الحركات الشهرية'!$B$6:$B$1005,$B77,'الحركات الشهرية'!$A$6:$A$1005,$C$3))</f>
        <v/>
      </c>
      <c r="V77" s="90" t="str">
        <f aca="false">IF($B77="","",SUM(S77:U77))</f>
        <v/>
      </c>
      <c r="W77" s="112" t="str">
        <f aca="false">IF($B77="","",R77-V77)</f>
        <v/>
      </c>
      <c r="X77" s="90" t="str">
        <f aca="false">IF($B77="","",الموظفون!$Q77*IF(E77="سعودي",cfg_G_SR,cfg_G_NR)*F77/cfg_DAYS_M)</f>
        <v/>
      </c>
      <c r="Y77" s="90" t="str">
        <f aca="false">IF($B77="","",الموظفون!$O77*(cfg_EOS_R1*(MIN(AC77,cfg_EOS_TH)-MIN(AD77,cfg_EOS_TH))+cfg_EOS_R2*(MAX(AC77-cfg_EOS_TH,0)-MAX(AD77-cfg_EOS_TH,0))))</f>
        <v/>
      </c>
      <c r="Z77" s="90" t="str">
        <f aca="false">IF($B77="","",IF(الموظفون!$R77&lt;&gt;"",الموظفون!$R77,IF(AC77&gt;=cfg_LV_TH,cfg_LV_D2,cfg_LV_D1))/cfg_DAYS_Y*AE77*الموظفون!$P77/cfg_DAYS_M)</f>
        <v/>
      </c>
      <c r="AA77" s="90" t="str">
        <f aca="false">IF($B77="","",IF(AND(الموظفون!$S77="نعم",N(الموظفون!$U77)&gt;0),الموظفون!$T77/الموظفون!$U77*12/cfg_DAYS_Y*AE77,0))</f>
        <v/>
      </c>
      <c r="AB77" s="113" t="str">
        <f aca="false">IF($B77="","",R77+SUM(X77:AA77))</f>
        <v/>
      </c>
      <c r="AC77" s="114" t="str">
        <f aca="false">IF($B77="","",MAX(0,IF(OR(الموظفون!$X77="",الموظفون!$X77&gt;$G$3),$G$3,الموظفون!$X77)-الموظفون!$H77+1)/cfg_DAYS_Y)</f>
        <v/>
      </c>
      <c r="AD77" s="114" t="str">
        <f aca="false">IF($B77="","",MAX(0,IF(OR(الموظفون!$X77="",الموظفون!$X77&gt;($E$3-1)),($E$3-1),الموظفون!$X77)-الموظفون!$H77+1)/cfg_DAYS_Y)</f>
        <v/>
      </c>
      <c r="AE77" s="115" t="str">
        <f aca="false">IF($B77="","",MAX(0,IF(OR(الموظفون!$X77="",الموظفون!$X77&gt;$G$3),$G$3,الموظفون!$X77)-MAX($E$3,الموظفون!$H77)+1))</f>
        <v/>
      </c>
    </row>
    <row r="78" customFormat="false" ht="15" hidden="false" customHeight="false" outlineLevel="0" collapsed="false">
      <c r="A78" s="83" t="str">
        <f aca="false">IF($B78="","",الموظفون!$A78)</f>
        <v/>
      </c>
      <c r="B78" s="74" t="str">
        <f aca="false">IF(الموظفون!$B78="","",الموظفون!$B78)</f>
        <v/>
      </c>
      <c r="C78" s="74" t="str">
        <f aca="false">IF($B78="","",الموظفون!$C78)</f>
        <v/>
      </c>
      <c r="D78" s="74" t="str">
        <f aca="false">IF($B78="","",الموظفون!$F78)</f>
        <v/>
      </c>
      <c r="E78" s="74" t="str">
        <f aca="false">IF($B78="","",الموظفون!$E78)</f>
        <v/>
      </c>
      <c r="F78" s="105" t="str">
        <f aca="false">IF($B78="","",IF(AE78&gt;=DAY($G$3),cfg_DAYS_M,MIN(AE78,cfg_DAYS_M)))</f>
        <v/>
      </c>
      <c r="G78" s="105" t="str">
        <f aca="false">IF($B78="","",SUMIFS('الحركات الشهرية'!$D$6:$D$1005,'الحركات الشهرية'!$B$6:$B$1005,$B78,'الحركات الشهرية'!$A$6:$A$1005,$C$3))</f>
        <v/>
      </c>
      <c r="H78" s="105" t="str">
        <f aca="false">IF($B78="","",SUMIFS('الحركات الشهرية'!$E$6:$E$1005,'الحركات الشهرية'!$B$6:$B$1005,$B78,'الحركات الشهرية'!$A$6:$A$1005,$C$3))</f>
        <v/>
      </c>
      <c r="I78" s="105" t="str">
        <f aca="false">IF($B78="","",MAX(0,F78-G78-H78))</f>
        <v/>
      </c>
      <c r="J78" s="86" t="str">
        <f aca="false">IF($B78="","",الموظفون!$J78*$I78/cfg_DAYS_M)</f>
        <v/>
      </c>
      <c r="K78" s="86" t="str">
        <f aca="false">IF($B78="","",الموظفون!$K78*$I78/cfg_DAYS_M)</f>
        <v/>
      </c>
      <c r="L78" s="86" t="str">
        <f aca="false">IF($B78="","",الموظفون!$L78*$I78/cfg_DAYS_M)</f>
        <v/>
      </c>
      <c r="M78" s="86" t="str">
        <f aca="false">IF($B78="","",الموظفون!$M78*$I78/cfg_DAYS_M)</f>
        <v/>
      </c>
      <c r="N78" s="105" t="str">
        <f aca="false">IF($B78="","",SUMIFS('الحركات الشهرية'!$F$6:$F$1005,'الحركات الشهرية'!$B$6:$B$1005,$B78,'الحركات الشهرية'!$A$6:$A$1005,$C$3))</f>
        <v/>
      </c>
      <c r="O78" s="86" t="str">
        <f aca="false">IF($B78="","",N78*(الموظفون!$N78+الموظفون!$J78*cfg_OT_P)/cfg_DAYS_M/cfg_HRS)</f>
        <v/>
      </c>
      <c r="P78" s="86" t="str">
        <f aca="false">IF($B78="","",SUMIFS('الحركات الشهرية'!$G$6:$G$1005,'الحركات الشهرية'!$B$6:$B$1005,$B78,'الحركات الشهرية'!$A$6:$A$1005,$C$3))</f>
        <v/>
      </c>
      <c r="Q78" s="86" t="str">
        <f aca="false">IF($B78="","",SUMIFS('الحركات الشهرية'!$H$6:$H$1005,'الحركات الشهرية'!$B$6:$B$1005,$B78,'الحركات الشهرية'!$A$6:$A$1005,$C$3))</f>
        <v/>
      </c>
      <c r="R78" s="106" t="str">
        <f aca="false">IF($B78="","",SUM(J78:M78)+SUM(O78:Q78))</f>
        <v/>
      </c>
      <c r="S78" s="86" t="str">
        <f aca="false">IF($B78="","",الموظفون!$Q78*IF(E78="سعودي",cfg_G_SE,cfg_G_NE)*F78/cfg_DAYS_M)</f>
        <v/>
      </c>
      <c r="T78" s="86" t="str">
        <f aca="false">IF($B78="","",SUMIFS('الحركات الشهرية'!$I$6:$I$1005,'الحركات الشهرية'!$B$6:$B$1005,$B78,'الحركات الشهرية'!$A$6:$A$1005,$C$3))</f>
        <v/>
      </c>
      <c r="U78" s="86" t="str">
        <f aca="false">IF($B78="","",SUMIFS('الحركات الشهرية'!$J$6:$J$1005,'الحركات الشهرية'!$B$6:$B$1005,$B78,'الحركات الشهرية'!$A$6:$A$1005,$C$3))</f>
        <v/>
      </c>
      <c r="V78" s="86" t="str">
        <f aca="false">IF($B78="","",SUM(S78:U78))</f>
        <v/>
      </c>
      <c r="W78" s="107" t="str">
        <f aca="false">IF($B78="","",R78-V78)</f>
        <v/>
      </c>
      <c r="X78" s="86" t="str">
        <f aca="false">IF($B78="","",الموظفون!$Q78*IF(E78="سعودي",cfg_G_SR,cfg_G_NR)*F78/cfg_DAYS_M)</f>
        <v/>
      </c>
      <c r="Y78" s="86" t="str">
        <f aca="false">IF($B78="","",الموظفون!$O78*(cfg_EOS_R1*(MIN(AC78,cfg_EOS_TH)-MIN(AD78,cfg_EOS_TH))+cfg_EOS_R2*(MAX(AC78-cfg_EOS_TH,0)-MAX(AD78-cfg_EOS_TH,0))))</f>
        <v/>
      </c>
      <c r="Z78" s="86" t="str">
        <f aca="false">IF($B78="","",IF(الموظفون!$R78&lt;&gt;"",الموظفون!$R78,IF(AC78&gt;=cfg_LV_TH,cfg_LV_D2,cfg_LV_D1))/cfg_DAYS_Y*AE78*الموظفون!$P78/cfg_DAYS_M)</f>
        <v/>
      </c>
      <c r="AA78" s="86" t="str">
        <f aca="false">IF($B78="","",IF(AND(الموظفون!$S78="نعم",N(الموظفون!$U78)&gt;0),الموظفون!$T78/الموظفون!$U78*12/cfg_DAYS_Y*AE78,0))</f>
        <v/>
      </c>
      <c r="AB78" s="108" t="str">
        <f aca="false">IF($B78="","",R78+SUM(X78:AA78))</f>
        <v/>
      </c>
      <c r="AC78" s="109" t="str">
        <f aca="false">IF($B78="","",MAX(0,IF(OR(الموظفون!$X78="",الموظفون!$X78&gt;$G$3),$G$3,الموظفون!$X78)-الموظفون!$H78+1)/cfg_DAYS_Y)</f>
        <v/>
      </c>
      <c r="AD78" s="109" t="str">
        <f aca="false">IF($B78="","",MAX(0,IF(OR(الموظفون!$X78="",الموظفون!$X78&gt;($E$3-1)),($E$3-1),الموظفون!$X78)-الموظفون!$H78+1)/cfg_DAYS_Y)</f>
        <v/>
      </c>
      <c r="AE78" s="51" t="str">
        <f aca="false">IF($B78="","",MAX(0,IF(OR(الموظفون!$X78="",الموظفون!$X78&gt;$G$3),$G$3,الموظفون!$X78)-MAX($E$3,الموظفون!$H78)+1))</f>
        <v/>
      </c>
    </row>
    <row r="79" customFormat="false" ht="15" hidden="false" customHeight="false" outlineLevel="0" collapsed="false">
      <c r="A79" s="89" t="str">
        <f aca="false">IF($B79="","",الموظفون!$A79)</f>
        <v/>
      </c>
      <c r="B79" s="91" t="str">
        <f aca="false">IF(الموظفون!$B79="","",الموظفون!$B79)</f>
        <v/>
      </c>
      <c r="C79" s="91" t="str">
        <f aca="false">IF($B79="","",الموظفون!$C79)</f>
        <v/>
      </c>
      <c r="D79" s="91" t="str">
        <f aca="false">IF($B79="","",الموظفون!$F79)</f>
        <v/>
      </c>
      <c r="E79" s="91" t="str">
        <f aca="false">IF($B79="","",الموظفون!$E79)</f>
        <v/>
      </c>
      <c r="F79" s="110" t="str">
        <f aca="false">IF($B79="","",IF(AE79&gt;=DAY($G$3),cfg_DAYS_M,MIN(AE79,cfg_DAYS_M)))</f>
        <v/>
      </c>
      <c r="G79" s="110" t="str">
        <f aca="false">IF($B79="","",SUMIFS('الحركات الشهرية'!$D$6:$D$1005,'الحركات الشهرية'!$B$6:$B$1005,$B79,'الحركات الشهرية'!$A$6:$A$1005,$C$3))</f>
        <v/>
      </c>
      <c r="H79" s="110" t="str">
        <f aca="false">IF($B79="","",SUMIFS('الحركات الشهرية'!$E$6:$E$1005,'الحركات الشهرية'!$B$6:$B$1005,$B79,'الحركات الشهرية'!$A$6:$A$1005,$C$3))</f>
        <v/>
      </c>
      <c r="I79" s="110" t="str">
        <f aca="false">IF($B79="","",MAX(0,F79-G79-H79))</f>
        <v/>
      </c>
      <c r="J79" s="90" t="str">
        <f aca="false">IF($B79="","",الموظفون!$J79*$I79/cfg_DAYS_M)</f>
        <v/>
      </c>
      <c r="K79" s="90" t="str">
        <f aca="false">IF($B79="","",الموظفون!$K79*$I79/cfg_DAYS_M)</f>
        <v/>
      </c>
      <c r="L79" s="90" t="str">
        <f aca="false">IF($B79="","",الموظفون!$L79*$I79/cfg_DAYS_M)</f>
        <v/>
      </c>
      <c r="M79" s="90" t="str">
        <f aca="false">IF($B79="","",الموظفون!$M79*$I79/cfg_DAYS_M)</f>
        <v/>
      </c>
      <c r="N79" s="110" t="str">
        <f aca="false">IF($B79="","",SUMIFS('الحركات الشهرية'!$F$6:$F$1005,'الحركات الشهرية'!$B$6:$B$1005,$B79,'الحركات الشهرية'!$A$6:$A$1005,$C$3))</f>
        <v/>
      </c>
      <c r="O79" s="90" t="str">
        <f aca="false">IF($B79="","",N79*(الموظفون!$N79+الموظفون!$J79*cfg_OT_P)/cfg_DAYS_M/cfg_HRS)</f>
        <v/>
      </c>
      <c r="P79" s="90" t="str">
        <f aca="false">IF($B79="","",SUMIFS('الحركات الشهرية'!$G$6:$G$1005,'الحركات الشهرية'!$B$6:$B$1005,$B79,'الحركات الشهرية'!$A$6:$A$1005,$C$3))</f>
        <v/>
      </c>
      <c r="Q79" s="90" t="str">
        <f aca="false">IF($B79="","",SUMIFS('الحركات الشهرية'!$H$6:$H$1005,'الحركات الشهرية'!$B$6:$B$1005,$B79,'الحركات الشهرية'!$A$6:$A$1005,$C$3))</f>
        <v/>
      </c>
      <c r="R79" s="111" t="str">
        <f aca="false">IF($B79="","",SUM(J79:M79)+SUM(O79:Q79))</f>
        <v/>
      </c>
      <c r="S79" s="90" t="str">
        <f aca="false">IF($B79="","",الموظفون!$Q79*IF(E79="سعودي",cfg_G_SE,cfg_G_NE)*F79/cfg_DAYS_M)</f>
        <v/>
      </c>
      <c r="T79" s="90" t="str">
        <f aca="false">IF($B79="","",SUMIFS('الحركات الشهرية'!$I$6:$I$1005,'الحركات الشهرية'!$B$6:$B$1005,$B79,'الحركات الشهرية'!$A$6:$A$1005,$C$3))</f>
        <v/>
      </c>
      <c r="U79" s="90" t="str">
        <f aca="false">IF($B79="","",SUMIFS('الحركات الشهرية'!$J$6:$J$1005,'الحركات الشهرية'!$B$6:$B$1005,$B79,'الحركات الشهرية'!$A$6:$A$1005,$C$3))</f>
        <v/>
      </c>
      <c r="V79" s="90" t="str">
        <f aca="false">IF($B79="","",SUM(S79:U79))</f>
        <v/>
      </c>
      <c r="W79" s="112" t="str">
        <f aca="false">IF($B79="","",R79-V79)</f>
        <v/>
      </c>
      <c r="X79" s="90" t="str">
        <f aca="false">IF($B79="","",الموظفون!$Q79*IF(E79="سعودي",cfg_G_SR,cfg_G_NR)*F79/cfg_DAYS_M)</f>
        <v/>
      </c>
      <c r="Y79" s="90" t="str">
        <f aca="false">IF($B79="","",الموظفون!$O79*(cfg_EOS_R1*(MIN(AC79,cfg_EOS_TH)-MIN(AD79,cfg_EOS_TH))+cfg_EOS_R2*(MAX(AC79-cfg_EOS_TH,0)-MAX(AD79-cfg_EOS_TH,0))))</f>
        <v/>
      </c>
      <c r="Z79" s="90" t="str">
        <f aca="false">IF($B79="","",IF(الموظفون!$R79&lt;&gt;"",الموظفون!$R79,IF(AC79&gt;=cfg_LV_TH,cfg_LV_D2,cfg_LV_D1))/cfg_DAYS_Y*AE79*الموظفون!$P79/cfg_DAYS_M)</f>
        <v/>
      </c>
      <c r="AA79" s="90" t="str">
        <f aca="false">IF($B79="","",IF(AND(الموظفون!$S79="نعم",N(الموظفون!$U79)&gt;0),الموظفون!$T79/الموظفون!$U79*12/cfg_DAYS_Y*AE79,0))</f>
        <v/>
      </c>
      <c r="AB79" s="113" t="str">
        <f aca="false">IF($B79="","",R79+SUM(X79:AA79))</f>
        <v/>
      </c>
      <c r="AC79" s="114" t="str">
        <f aca="false">IF($B79="","",MAX(0,IF(OR(الموظفون!$X79="",الموظفون!$X79&gt;$G$3),$G$3,الموظفون!$X79)-الموظفون!$H79+1)/cfg_DAYS_Y)</f>
        <v/>
      </c>
      <c r="AD79" s="114" t="str">
        <f aca="false">IF($B79="","",MAX(0,IF(OR(الموظفون!$X79="",الموظفون!$X79&gt;($E$3-1)),($E$3-1),الموظفون!$X79)-الموظفون!$H79+1)/cfg_DAYS_Y)</f>
        <v/>
      </c>
      <c r="AE79" s="115" t="str">
        <f aca="false">IF($B79="","",MAX(0,IF(OR(الموظفون!$X79="",الموظفون!$X79&gt;$G$3),$G$3,الموظفون!$X79)-MAX($E$3,الموظفون!$H79)+1))</f>
        <v/>
      </c>
    </row>
    <row r="80" customFormat="false" ht="15" hidden="false" customHeight="false" outlineLevel="0" collapsed="false">
      <c r="A80" s="83" t="str">
        <f aca="false">IF($B80="","",الموظفون!$A80)</f>
        <v/>
      </c>
      <c r="B80" s="74" t="str">
        <f aca="false">IF(الموظفون!$B80="","",الموظفون!$B80)</f>
        <v/>
      </c>
      <c r="C80" s="74" t="str">
        <f aca="false">IF($B80="","",الموظفون!$C80)</f>
        <v/>
      </c>
      <c r="D80" s="74" t="str">
        <f aca="false">IF($B80="","",الموظفون!$F80)</f>
        <v/>
      </c>
      <c r="E80" s="74" t="str">
        <f aca="false">IF($B80="","",الموظفون!$E80)</f>
        <v/>
      </c>
      <c r="F80" s="105" t="str">
        <f aca="false">IF($B80="","",IF(AE80&gt;=DAY($G$3),cfg_DAYS_M,MIN(AE80,cfg_DAYS_M)))</f>
        <v/>
      </c>
      <c r="G80" s="105" t="str">
        <f aca="false">IF($B80="","",SUMIFS('الحركات الشهرية'!$D$6:$D$1005,'الحركات الشهرية'!$B$6:$B$1005,$B80,'الحركات الشهرية'!$A$6:$A$1005,$C$3))</f>
        <v/>
      </c>
      <c r="H80" s="105" t="str">
        <f aca="false">IF($B80="","",SUMIFS('الحركات الشهرية'!$E$6:$E$1005,'الحركات الشهرية'!$B$6:$B$1005,$B80,'الحركات الشهرية'!$A$6:$A$1005,$C$3))</f>
        <v/>
      </c>
      <c r="I80" s="105" t="str">
        <f aca="false">IF($B80="","",MAX(0,F80-G80-H80))</f>
        <v/>
      </c>
      <c r="J80" s="86" t="str">
        <f aca="false">IF($B80="","",الموظفون!$J80*$I80/cfg_DAYS_M)</f>
        <v/>
      </c>
      <c r="K80" s="86" t="str">
        <f aca="false">IF($B80="","",الموظفون!$K80*$I80/cfg_DAYS_M)</f>
        <v/>
      </c>
      <c r="L80" s="86" t="str">
        <f aca="false">IF($B80="","",الموظفون!$L80*$I80/cfg_DAYS_M)</f>
        <v/>
      </c>
      <c r="M80" s="86" t="str">
        <f aca="false">IF($B80="","",الموظفون!$M80*$I80/cfg_DAYS_M)</f>
        <v/>
      </c>
      <c r="N80" s="105" t="str">
        <f aca="false">IF($B80="","",SUMIFS('الحركات الشهرية'!$F$6:$F$1005,'الحركات الشهرية'!$B$6:$B$1005,$B80,'الحركات الشهرية'!$A$6:$A$1005,$C$3))</f>
        <v/>
      </c>
      <c r="O80" s="86" t="str">
        <f aca="false">IF($B80="","",N80*(الموظفون!$N80+الموظفون!$J80*cfg_OT_P)/cfg_DAYS_M/cfg_HRS)</f>
        <v/>
      </c>
      <c r="P80" s="86" t="str">
        <f aca="false">IF($B80="","",SUMIFS('الحركات الشهرية'!$G$6:$G$1005,'الحركات الشهرية'!$B$6:$B$1005,$B80,'الحركات الشهرية'!$A$6:$A$1005,$C$3))</f>
        <v/>
      </c>
      <c r="Q80" s="86" t="str">
        <f aca="false">IF($B80="","",SUMIFS('الحركات الشهرية'!$H$6:$H$1005,'الحركات الشهرية'!$B$6:$B$1005,$B80,'الحركات الشهرية'!$A$6:$A$1005,$C$3))</f>
        <v/>
      </c>
      <c r="R80" s="106" t="str">
        <f aca="false">IF($B80="","",SUM(J80:M80)+SUM(O80:Q80))</f>
        <v/>
      </c>
      <c r="S80" s="86" t="str">
        <f aca="false">IF($B80="","",الموظفون!$Q80*IF(E80="سعودي",cfg_G_SE,cfg_G_NE)*F80/cfg_DAYS_M)</f>
        <v/>
      </c>
      <c r="T80" s="86" t="str">
        <f aca="false">IF($B80="","",SUMIFS('الحركات الشهرية'!$I$6:$I$1005,'الحركات الشهرية'!$B$6:$B$1005,$B80,'الحركات الشهرية'!$A$6:$A$1005,$C$3))</f>
        <v/>
      </c>
      <c r="U80" s="86" t="str">
        <f aca="false">IF($B80="","",SUMIFS('الحركات الشهرية'!$J$6:$J$1005,'الحركات الشهرية'!$B$6:$B$1005,$B80,'الحركات الشهرية'!$A$6:$A$1005,$C$3))</f>
        <v/>
      </c>
      <c r="V80" s="86" t="str">
        <f aca="false">IF($B80="","",SUM(S80:U80))</f>
        <v/>
      </c>
      <c r="W80" s="107" t="str">
        <f aca="false">IF($B80="","",R80-V80)</f>
        <v/>
      </c>
      <c r="X80" s="86" t="str">
        <f aca="false">IF($B80="","",الموظفون!$Q80*IF(E80="سعودي",cfg_G_SR,cfg_G_NR)*F80/cfg_DAYS_M)</f>
        <v/>
      </c>
      <c r="Y80" s="86" t="str">
        <f aca="false">IF($B80="","",الموظفون!$O80*(cfg_EOS_R1*(MIN(AC80,cfg_EOS_TH)-MIN(AD80,cfg_EOS_TH))+cfg_EOS_R2*(MAX(AC80-cfg_EOS_TH,0)-MAX(AD80-cfg_EOS_TH,0))))</f>
        <v/>
      </c>
      <c r="Z80" s="86" t="str">
        <f aca="false">IF($B80="","",IF(الموظفون!$R80&lt;&gt;"",الموظفون!$R80,IF(AC80&gt;=cfg_LV_TH,cfg_LV_D2,cfg_LV_D1))/cfg_DAYS_Y*AE80*الموظفون!$P80/cfg_DAYS_M)</f>
        <v/>
      </c>
      <c r="AA80" s="86" t="str">
        <f aca="false">IF($B80="","",IF(AND(الموظفون!$S80="نعم",N(الموظفون!$U80)&gt;0),الموظفون!$T80/الموظفون!$U80*12/cfg_DAYS_Y*AE80,0))</f>
        <v/>
      </c>
      <c r="AB80" s="108" t="str">
        <f aca="false">IF($B80="","",R80+SUM(X80:AA80))</f>
        <v/>
      </c>
      <c r="AC80" s="109" t="str">
        <f aca="false">IF($B80="","",MAX(0,IF(OR(الموظفون!$X80="",الموظفون!$X80&gt;$G$3),$G$3,الموظفون!$X80)-الموظفون!$H80+1)/cfg_DAYS_Y)</f>
        <v/>
      </c>
      <c r="AD80" s="109" t="str">
        <f aca="false">IF($B80="","",MAX(0,IF(OR(الموظفون!$X80="",الموظفون!$X80&gt;($E$3-1)),($E$3-1),الموظفون!$X80)-الموظفون!$H80+1)/cfg_DAYS_Y)</f>
        <v/>
      </c>
      <c r="AE80" s="51" t="str">
        <f aca="false">IF($B80="","",MAX(0,IF(OR(الموظفون!$X80="",الموظفون!$X80&gt;$G$3),$G$3,الموظفون!$X80)-MAX($E$3,الموظفون!$H80)+1))</f>
        <v/>
      </c>
    </row>
    <row r="81" customFormat="false" ht="15" hidden="false" customHeight="false" outlineLevel="0" collapsed="false">
      <c r="A81" s="89" t="str">
        <f aca="false">IF($B81="","",الموظفون!$A81)</f>
        <v/>
      </c>
      <c r="B81" s="91" t="str">
        <f aca="false">IF(الموظفون!$B81="","",الموظفون!$B81)</f>
        <v/>
      </c>
      <c r="C81" s="91" t="str">
        <f aca="false">IF($B81="","",الموظفون!$C81)</f>
        <v/>
      </c>
      <c r="D81" s="91" t="str">
        <f aca="false">IF($B81="","",الموظفون!$F81)</f>
        <v/>
      </c>
      <c r="E81" s="91" t="str">
        <f aca="false">IF($B81="","",الموظفون!$E81)</f>
        <v/>
      </c>
      <c r="F81" s="110" t="str">
        <f aca="false">IF($B81="","",IF(AE81&gt;=DAY($G$3),cfg_DAYS_M,MIN(AE81,cfg_DAYS_M)))</f>
        <v/>
      </c>
      <c r="G81" s="110" t="str">
        <f aca="false">IF($B81="","",SUMIFS('الحركات الشهرية'!$D$6:$D$1005,'الحركات الشهرية'!$B$6:$B$1005,$B81,'الحركات الشهرية'!$A$6:$A$1005,$C$3))</f>
        <v/>
      </c>
      <c r="H81" s="110" t="str">
        <f aca="false">IF($B81="","",SUMIFS('الحركات الشهرية'!$E$6:$E$1005,'الحركات الشهرية'!$B$6:$B$1005,$B81,'الحركات الشهرية'!$A$6:$A$1005,$C$3))</f>
        <v/>
      </c>
      <c r="I81" s="110" t="str">
        <f aca="false">IF($B81="","",MAX(0,F81-G81-H81))</f>
        <v/>
      </c>
      <c r="J81" s="90" t="str">
        <f aca="false">IF($B81="","",الموظفون!$J81*$I81/cfg_DAYS_M)</f>
        <v/>
      </c>
      <c r="K81" s="90" t="str">
        <f aca="false">IF($B81="","",الموظفون!$K81*$I81/cfg_DAYS_M)</f>
        <v/>
      </c>
      <c r="L81" s="90" t="str">
        <f aca="false">IF($B81="","",الموظفون!$L81*$I81/cfg_DAYS_M)</f>
        <v/>
      </c>
      <c r="M81" s="90" t="str">
        <f aca="false">IF($B81="","",الموظفون!$M81*$I81/cfg_DAYS_M)</f>
        <v/>
      </c>
      <c r="N81" s="110" t="str">
        <f aca="false">IF($B81="","",SUMIFS('الحركات الشهرية'!$F$6:$F$1005,'الحركات الشهرية'!$B$6:$B$1005,$B81,'الحركات الشهرية'!$A$6:$A$1005,$C$3))</f>
        <v/>
      </c>
      <c r="O81" s="90" t="str">
        <f aca="false">IF($B81="","",N81*(الموظفون!$N81+الموظفون!$J81*cfg_OT_P)/cfg_DAYS_M/cfg_HRS)</f>
        <v/>
      </c>
      <c r="P81" s="90" t="str">
        <f aca="false">IF($B81="","",SUMIFS('الحركات الشهرية'!$G$6:$G$1005,'الحركات الشهرية'!$B$6:$B$1005,$B81,'الحركات الشهرية'!$A$6:$A$1005,$C$3))</f>
        <v/>
      </c>
      <c r="Q81" s="90" t="str">
        <f aca="false">IF($B81="","",SUMIFS('الحركات الشهرية'!$H$6:$H$1005,'الحركات الشهرية'!$B$6:$B$1005,$B81,'الحركات الشهرية'!$A$6:$A$1005,$C$3))</f>
        <v/>
      </c>
      <c r="R81" s="111" t="str">
        <f aca="false">IF($B81="","",SUM(J81:M81)+SUM(O81:Q81))</f>
        <v/>
      </c>
      <c r="S81" s="90" t="str">
        <f aca="false">IF($B81="","",الموظفون!$Q81*IF(E81="سعودي",cfg_G_SE,cfg_G_NE)*F81/cfg_DAYS_M)</f>
        <v/>
      </c>
      <c r="T81" s="90" t="str">
        <f aca="false">IF($B81="","",SUMIFS('الحركات الشهرية'!$I$6:$I$1005,'الحركات الشهرية'!$B$6:$B$1005,$B81,'الحركات الشهرية'!$A$6:$A$1005,$C$3))</f>
        <v/>
      </c>
      <c r="U81" s="90" t="str">
        <f aca="false">IF($B81="","",SUMIFS('الحركات الشهرية'!$J$6:$J$1005,'الحركات الشهرية'!$B$6:$B$1005,$B81,'الحركات الشهرية'!$A$6:$A$1005,$C$3))</f>
        <v/>
      </c>
      <c r="V81" s="90" t="str">
        <f aca="false">IF($B81="","",SUM(S81:U81))</f>
        <v/>
      </c>
      <c r="W81" s="112" t="str">
        <f aca="false">IF($B81="","",R81-V81)</f>
        <v/>
      </c>
      <c r="X81" s="90" t="str">
        <f aca="false">IF($B81="","",الموظفون!$Q81*IF(E81="سعودي",cfg_G_SR,cfg_G_NR)*F81/cfg_DAYS_M)</f>
        <v/>
      </c>
      <c r="Y81" s="90" t="str">
        <f aca="false">IF($B81="","",الموظفون!$O81*(cfg_EOS_R1*(MIN(AC81,cfg_EOS_TH)-MIN(AD81,cfg_EOS_TH))+cfg_EOS_R2*(MAX(AC81-cfg_EOS_TH,0)-MAX(AD81-cfg_EOS_TH,0))))</f>
        <v/>
      </c>
      <c r="Z81" s="90" t="str">
        <f aca="false">IF($B81="","",IF(الموظفون!$R81&lt;&gt;"",الموظفون!$R81,IF(AC81&gt;=cfg_LV_TH,cfg_LV_D2,cfg_LV_D1))/cfg_DAYS_Y*AE81*الموظفون!$P81/cfg_DAYS_M)</f>
        <v/>
      </c>
      <c r="AA81" s="90" t="str">
        <f aca="false">IF($B81="","",IF(AND(الموظفون!$S81="نعم",N(الموظفون!$U81)&gt;0),الموظفون!$T81/الموظفون!$U81*12/cfg_DAYS_Y*AE81,0))</f>
        <v/>
      </c>
      <c r="AB81" s="113" t="str">
        <f aca="false">IF($B81="","",R81+SUM(X81:AA81))</f>
        <v/>
      </c>
      <c r="AC81" s="114" t="str">
        <f aca="false">IF($B81="","",MAX(0,IF(OR(الموظفون!$X81="",الموظفون!$X81&gt;$G$3),$G$3,الموظفون!$X81)-الموظفون!$H81+1)/cfg_DAYS_Y)</f>
        <v/>
      </c>
      <c r="AD81" s="114" t="str">
        <f aca="false">IF($B81="","",MAX(0,IF(OR(الموظفون!$X81="",الموظفون!$X81&gt;($E$3-1)),($E$3-1),الموظفون!$X81)-الموظفون!$H81+1)/cfg_DAYS_Y)</f>
        <v/>
      </c>
      <c r="AE81" s="115" t="str">
        <f aca="false">IF($B81="","",MAX(0,IF(OR(الموظفون!$X81="",الموظفون!$X81&gt;$G$3),$G$3,الموظفون!$X81)-MAX($E$3,الموظفون!$H81)+1))</f>
        <v/>
      </c>
    </row>
    <row r="82" customFormat="false" ht="15" hidden="false" customHeight="false" outlineLevel="0" collapsed="false">
      <c r="A82" s="83" t="str">
        <f aca="false">IF($B82="","",الموظفون!$A82)</f>
        <v/>
      </c>
      <c r="B82" s="74" t="str">
        <f aca="false">IF(الموظفون!$B82="","",الموظفون!$B82)</f>
        <v/>
      </c>
      <c r="C82" s="74" t="str">
        <f aca="false">IF($B82="","",الموظفون!$C82)</f>
        <v/>
      </c>
      <c r="D82" s="74" t="str">
        <f aca="false">IF($B82="","",الموظفون!$F82)</f>
        <v/>
      </c>
      <c r="E82" s="74" t="str">
        <f aca="false">IF($B82="","",الموظفون!$E82)</f>
        <v/>
      </c>
      <c r="F82" s="105" t="str">
        <f aca="false">IF($B82="","",IF(AE82&gt;=DAY($G$3),cfg_DAYS_M,MIN(AE82,cfg_DAYS_M)))</f>
        <v/>
      </c>
      <c r="G82" s="105" t="str">
        <f aca="false">IF($B82="","",SUMIFS('الحركات الشهرية'!$D$6:$D$1005,'الحركات الشهرية'!$B$6:$B$1005,$B82,'الحركات الشهرية'!$A$6:$A$1005,$C$3))</f>
        <v/>
      </c>
      <c r="H82" s="105" t="str">
        <f aca="false">IF($B82="","",SUMIFS('الحركات الشهرية'!$E$6:$E$1005,'الحركات الشهرية'!$B$6:$B$1005,$B82,'الحركات الشهرية'!$A$6:$A$1005,$C$3))</f>
        <v/>
      </c>
      <c r="I82" s="105" t="str">
        <f aca="false">IF($B82="","",MAX(0,F82-G82-H82))</f>
        <v/>
      </c>
      <c r="J82" s="86" t="str">
        <f aca="false">IF($B82="","",الموظفون!$J82*$I82/cfg_DAYS_M)</f>
        <v/>
      </c>
      <c r="K82" s="86" t="str">
        <f aca="false">IF($B82="","",الموظفون!$K82*$I82/cfg_DAYS_M)</f>
        <v/>
      </c>
      <c r="L82" s="86" t="str">
        <f aca="false">IF($B82="","",الموظفون!$L82*$I82/cfg_DAYS_M)</f>
        <v/>
      </c>
      <c r="M82" s="86" t="str">
        <f aca="false">IF($B82="","",الموظفون!$M82*$I82/cfg_DAYS_M)</f>
        <v/>
      </c>
      <c r="N82" s="105" t="str">
        <f aca="false">IF($B82="","",SUMIFS('الحركات الشهرية'!$F$6:$F$1005,'الحركات الشهرية'!$B$6:$B$1005,$B82,'الحركات الشهرية'!$A$6:$A$1005,$C$3))</f>
        <v/>
      </c>
      <c r="O82" s="86" t="str">
        <f aca="false">IF($B82="","",N82*(الموظفون!$N82+الموظفون!$J82*cfg_OT_P)/cfg_DAYS_M/cfg_HRS)</f>
        <v/>
      </c>
      <c r="P82" s="86" t="str">
        <f aca="false">IF($B82="","",SUMIFS('الحركات الشهرية'!$G$6:$G$1005,'الحركات الشهرية'!$B$6:$B$1005,$B82,'الحركات الشهرية'!$A$6:$A$1005,$C$3))</f>
        <v/>
      </c>
      <c r="Q82" s="86" t="str">
        <f aca="false">IF($B82="","",SUMIFS('الحركات الشهرية'!$H$6:$H$1005,'الحركات الشهرية'!$B$6:$B$1005,$B82,'الحركات الشهرية'!$A$6:$A$1005,$C$3))</f>
        <v/>
      </c>
      <c r="R82" s="106" t="str">
        <f aca="false">IF($B82="","",SUM(J82:M82)+SUM(O82:Q82))</f>
        <v/>
      </c>
      <c r="S82" s="86" t="str">
        <f aca="false">IF($B82="","",الموظفون!$Q82*IF(E82="سعودي",cfg_G_SE,cfg_G_NE)*F82/cfg_DAYS_M)</f>
        <v/>
      </c>
      <c r="T82" s="86" t="str">
        <f aca="false">IF($B82="","",SUMIFS('الحركات الشهرية'!$I$6:$I$1005,'الحركات الشهرية'!$B$6:$B$1005,$B82,'الحركات الشهرية'!$A$6:$A$1005,$C$3))</f>
        <v/>
      </c>
      <c r="U82" s="86" t="str">
        <f aca="false">IF($B82="","",SUMIFS('الحركات الشهرية'!$J$6:$J$1005,'الحركات الشهرية'!$B$6:$B$1005,$B82,'الحركات الشهرية'!$A$6:$A$1005,$C$3))</f>
        <v/>
      </c>
      <c r="V82" s="86" t="str">
        <f aca="false">IF($B82="","",SUM(S82:U82))</f>
        <v/>
      </c>
      <c r="W82" s="107" t="str">
        <f aca="false">IF($B82="","",R82-V82)</f>
        <v/>
      </c>
      <c r="X82" s="86" t="str">
        <f aca="false">IF($B82="","",الموظفون!$Q82*IF(E82="سعودي",cfg_G_SR,cfg_G_NR)*F82/cfg_DAYS_M)</f>
        <v/>
      </c>
      <c r="Y82" s="86" t="str">
        <f aca="false">IF($B82="","",الموظفون!$O82*(cfg_EOS_R1*(MIN(AC82,cfg_EOS_TH)-MIN(AD82,cfg_EOS_TH))+cfg_EOS_R2*(MAX(AC82-cfg_EOS_TH,0)-MAX(AD82-cfg_EOS_TH,0))))</f>
        <v/>
      </c>
      <c r="Z82" s="86" t="str">
        <f aca="false">IF($B82="","",IF(الموظفون!$R82&lt;&gt;"",الموظفون!$R82,IF(AC82&gt;=cfg_LV_TH,cfg_LV_D2,cfg_LV_D1))/cfg_DAYS_Y*AE82*الموظفون!$P82/cfg_DAYS_M)</f>
        <v/>
      </c>
      <c r="AA82" s="86" t="str">
        <f aca="false">IF($B82="","",IF(AND(الموظفون!$S82="نعم",N(الموظفون!$U82)&gt;0),الموظفون!$T82/الموظفون!$U82*12/cfg_DAYS_Y*AE82,0))</f>
        <v/>
      </c>
      <c r="AB82" s="108" t="str">
        <f aca="false">IF($B82="","",R82+SUM(X82:AA82))</f>
        <v/>
      </c>
      <c r="AC82" s="109" t="str">
        <f aca="false">IF($B82="","",MAX(0,IF(OR(الموظفون!$X82="",الموظفون!$X82&gt;$G$3),$G$3,الموظفون!$X82)-الموظفون!$H82+1)/cfg_DAYS_Y)</f>
        <v/>
      </c>
      <c r="AD82" s="109" t="str">
        <f aca="false">IF($B82="","",MAX(0,IF(OR(الموظفون!$X82="",الموظفون!$X82&gt;($E$3-1)),($E$3-1),الموظفون!$X82)-الموظفون!$H82+1)/cfg_DAYS_Y)</f>
        <v/>
      </c>
      <c r="AE82" s="51" t="str">
        <f aca="false">IF($B82="","",MAX(0,IF(OR(الموظفون!$X82="",الموظفون!$X82&gt;$G$3),$G$3,الموظفون!$X82)-MAX($E$3,الموظفون!$H82)+1))</f>
        <v/>
      </c>
    </row>
    <row r="83" customFormat="false" ht="15" hidden="false" customHeight="false" outlineLevel="0" collapsed="false">
      <c r="A83" s="89" t="str">
        <f aca="false">IF($B83="","",الموظفون!$A83)</f>
        <v/>
      </c>
      <c r="B83" s="91" t="str">
        <f aca="false">IF(الموظفون!$B83="","",الموظفون!$B83)</f>
        <v/>
      </c>
      <c r="C83" s="91" t="str">
        <f aca="false">IF($B83="","",الموظفون!$C83)</f>
        <v/>
      </c>
      <c r="D83" s="91" t="str">
        <f aca="false">IF($B83="","",الموظفون!$F83)</f>
        <v/>
      </c>
      <c r="E83" s="91" t="str">
        <f aca="false">IF($B83="","",الموظفون!$E83)</f>
        <v/>
      </c>
      <c r="F83" s="110" t="str">
        <f aca="false">IF($B83="","",IF(AE83&gt;=DAY($G$3),cfg_DAYS_M,MIN(AE83,cfg_DAYS_M)))</f>
        <v/>
      </c>
      <c r="G83" s="110" t="str">
        <f aca="false">IF($B83="","",SUMIFS('الحركات الشهرية'!$D$6:$D$1005,'الحركات الشهرية'!$B$6:$B$1005,$B83,'الحركات الشهرية'!$A$6:$A$1005,$C$3))</f>
        <v/>
      </c>
      <c r="H83" s="110" t="str">
        <f aca="false">IF($B83="","",SUMIFS('الحركات الشهرية'!$E$6:$E$1005,'الحركات الشهرية'!$B$6:$B$1005,$B83,'الحركات الشهرية'!$A$6:$A$1005,$C$3))</f>
        <v/>
      </c>
      <c r="I83" s="110" t="str">
        <f aca="false">IF($B83="","",MAX(0,F83-G83-H83))</f>
        <v/>
      </c>
      <c r="J83" s="90" t="str">
        <f aca="false">IF($B83="","",الموظفون!$J83*$I83/cfg_DAYS_M)</f>
        <v/>
      </c>
      <c r="K83" s="90" t="str">
        <f aca="false">IF($B83="","",الموظفون!$K83*$I83/cfg_DAYS_M)</f>
        <v/>
      </c>
      <c r="L83" s="90" t="str">
        <f aca="false">IF($B83="","",الموظفون!$L83*$I83/cfg_DAYS_M)</f>
        <v/>
      </c>
      <c r="M83" s="90" t="str">
        <f aca="false">IF($B83="","",الموظفون!$M83*$I83/cfg_DAYS_M)</f>
        <v/>
      </c>
      <c r="N83" s="110" t="str">
        <f aca="false">IF($B83="","",SUMIFS('الحركات الشهرية'!$F$6:$F$1005,'الحركات الشهرية'!$B$6:$B$1005,$B83,'الحركات الشهرية'!$A$6:$A$1005,$C$3))</f>
        <v/>
      </c>
      <c r="O83" s="90" t="str">
        <f aca="false">IF($B83="","",N83*(الموظفون!$N83+الموظفون!$J83*cfg_OT_P)/cfg_DAYS_M/cfg_HRS)</f>
        <v/>
      </c>
      <c r="P83" s="90" t="str">
        <f aca="false">IF($B83="","",SUMIFS('الحركات الشهرية'!$G$6:$G$1005,'الحركات الشهرية'!$B$6:$B$1005,$B83,'الحركات الشهرية'!$A$6:$A$1005,$C$3))</f>
        <v/>
      </c>
      <c r="Q83" s="90" t="str">
        <f aca="false">IF($B83="","",SUMIFS('الحركات الشهرية'!$H$6:$H$1005,'الحركات الشهرية'!$B$6:$B$1005,$B83,'الحركات الشهرية'!$A$6:$A$1005,$C$3))</f>
        <v/>
      </c>
      <c r="R83" s="111" t="str">
        <f aca="false">IF($B83="","",SUM(J83:M83)+SUM(O83:Q83))</f>
        <v/>
      </c>
      <c r="S83" s="90" t="str">
        <f aca="false">IF($B83="","",الموظفون!$Q83*IF(E83="سعودي",cfg_G_SE,cfg_G_NE)*F83/cfg_DAYS_M)</f>
        <v/>
      </c>
      <c r="T83" s="90" t="str">
        <f aca="false">IF($B83="","",SUMIFS('الحركات الشهرية'!$I$6:$I$1005,'الحركات الشهرية'!$B$6:$B$1005,$B83,'الحركات الشهرية'!$A$6:$A$1005,$C$3))</f>
        <v/>
      </c>
      <c r="U83" s="90" t="str">
        <f aca="false">IF($B83="","",SUMIFS('الحركات الشهرية'!$J$6:$J$1005,'الحركات الشهرية'!$B$6:$B$1005,$B83,'الحركات الشهرية'!$A$6:$A$1005,$C$3))</f>
        <v/>
      </c>
      <c r="V83" s="90" t="str">
        <f aca="false">IF($B83="","",SUM(S83:U83))</f>
        <v/>
      </c>
      <c r="W83" s="112" t="str">
        <f aca="false">IF($B83="","",R83-V83)</f>
        <v/>
      </c>
      <c r="X83" s="90" t="str">
        <f aca="false">IF($B83="","",الموظفون!$Q83*IF(E83="سعودي",cfg_G_SR,cfg_G_NR)*F83/cfg_DAYS_M)</f>
        <v/>
      </c>
      <c r="Y83" s="90" t="str">
        <f aca="false">IF($B83="","",الموظفون!$O83*(cfg_EOS_R1*(MIN(AC83,cfg_EOS_TH)-MIN(AD83,cfg_EOS_TH))+cfg_EOS_R2*(MAX(AC83-cfg_EOS_TH,0)-MAX(AD83-cfg_EOS_TH,0))))</f>
        <v/>
      </c>
      <c r="Z83" s="90" t="str">
        <f aca="false">IF($B83="","",IF(الموظفون!$R83&lt;&gt;"",الموظفون!$R83,IF(AC83&gt;=cfg_LV_TH,cfg_LV_D2,cfg_LV_D1))/cfg_DAYS_Y*AE83*الموظفون!$P83/cfg_DAYS_M)</f>
        <v/>
      </c>
      <c r="AA83" s="90" t="str">
        <f aca="false">IF($B83="","",IF(AND(الموظفون!$S83="نعم",N(الموظفون!$U83)&gt;0),الموظفون!$T83/الموظفون!$U83*12/cfg_DAYS_Y*AE83,0))</f>
        <v/>
      </c>
      <c r="AB83" s="113" t="str">
        <f aca="false">IF($B83="","",R83+SUM(X83:AA83))</f>
        <v/>
      </c>
      <c r="AC83" s="114" t="str">
        <f aca="false">IF($B83="","",MAX(0,IF(OR(الموظفون!$X83="",الموظفون!$X83&gt;$G$3),$G$3,الموظفون!$X83)-الموظفون!$H83+1)/cfg_DAYS_Y)</f>
        <v/>
      </c>
      <c r="AD83" s="114" t="str">
        <f aca="false">IF($B83="","",MAX(0,IF(OR(الموظفون!$X83="",الموظفون!$X83&gt;($E$3-1)),($E$3-1),الموظفون!$X83)-الموظفون!$H83+1)/cfg_DAYS_Y)</f>
        <v/>
      </c>
      <c r="AE83" s="115" t="str">
        <f aca="false">IF($B83="","",MAX(0,IF(OR(الموظفون!$X83="",الموظفون!$X83&gt;$G$3),$G$3,الموظفون!$X83)-MAX($E$3,الموظفون!$H83)+1))</f>
        <v/>
      </c>
    </row>
    <row r="84" customFormat="false" ht="15" hidden="false" customHeight="false" outlineLevel="0" collapsed="false">
      <c r="A84" s="83" t="str">
        <f aca="false">IF($B84="","",الموظفون!$A84)</f>
        <v/>
      </c>
      <c r="B84" s="74" t="str">
        <f aca="false">IF(الموظفون!$B84="","",الموظفون!$B84)</f>
        <v/>
      </c>
      <c r="C84" s="74" t="str">
        <f aca="false">IF($B84="","",الموظفون!$C84)</f>
        <v/>
      </c>
      <c r="D84" s="74" t="str">
        <f aca="false">IF($B84="","",الموظفون!$F84)</f>
        <v/>
      </c>
      <c r="E84" s="74" t="str">
        <f aca="false">IF($B84="","",الموظفون!$E84)</f>
        <v/>
      </c>
      <c r="F84" s="105" t="str">
        <f aca="false">IF($B84="","",IF(AE84&gt;=DAY($G$3),cfg_DAYS_M,MIN(AE84,cfg_DAYS_M)))</f>
        <v/>
      </c>
      <c r="G84" s="105" t="str">
        <f aca="false">IF($B84="","",SUMIFS('الحركات الشهرية'!$D$6:$D$1005,'الحركات الشهرية'!$B$6:$B$1005,$B84,'الحركات الشهرية'!$A$6:$A$1005,$C$3))</f>
        <v/>
      </c>
      <c r="H84" s="105" t="str">
        <f aca="false">IF($B84="","",SUMIFS('الحركات الشهرية'!$E$6:$E$1005,'الحركات الشهرية'!$B$6:$B$1005,$B84,'الحركات الشهرية'!$A$6:$A$1005,$C$3))</f>
        <v/>
      </c>
      <c r="I84" s="105" t="str">
        <f aca="false">IF($B84="","",MAX(0,F84-G84-H84))</f>
        <v/>
      </c>
      <c r="J84" s="86" t="str">
        <f aca="false">IF($B84="","",الموظفون!$J84*$I84/cfg_DAYS_M)</f>
        <v/>
      </c>
      <c r="K84" s="86" t="str">
        <f aca="false">IF($B84="","",الموظفون!$K84*$I84/cfg_DAYS_M)</f>
        <v/>
      </c>
      <c r="L84" s="86" t="str">
        <f aca="false">IF($B84="","",الموظفون!$L84*$I84/cfg_DAYS_M)</f>
        <v/>
      </c>
      <c r="M84" s="86" t="str">
        <f aca="false">IF($B84="","",الموظفون!$M84*$I84/cfg_DAYS_M)</f>
        <v/>
      </c>
      <c r="N84" s="105" t="str">
        <f aca="false">IF($B84="","",SUMIFS('الحركات الشهرية'!$F$6:$F$1005,'الحركات الشهرية'!$B$6:$B$1005,$B84,'الحركات الشهرية'!$A$6:$A$1005,$C$3))</f>
        <v/>
      </c>
      <c r="O84" s="86" t="str">
        <f aca="false">IF($B84="","",N84*(الموظفون!$N84+الموظفون!$J84*cfg_OT_P)/cfg_DAYS_M/cfg_HRS)</f>
        <v/>
      </c>
      <c r="P84" s="86" t="str">
        <f aca="false">IF($B84="","",SUMIFS('الحركات الشهرية'!$G$6:$G$1005,'الحركات الشهرية'!$B$6:$B$1005,$B84,'الحركات الشهرية'!$A$6:$A$1005,$C$3))</f>
        <v/>
      </c>
      <c r="Q84" s="86" t="str">
        <f aca="false">IF($B84="","",SUMIFS('الحركات الشهرية'!$H$6:$H$1005,'الحركات الشهرية'!$B$6:$B$1005,$B84,'الحركات الشهرية'!$A$6:$A$1005,$C$3))</f>
        <v/>
      </c>
      <c r="R84" s="106" t="str">
        <f aca="false">IF($B84="","",SUM(J84:M84)+SUM(O84:Q84))</f>
        <v/>
      </c>
      <c r="S84" s="86" t="str">
        <f aca="false">IF($B84="","",الموظفون!$Q84*IF(E84="سعودي",cfg_G_SE,cfg_G_NE)*F84/cfg_DAYS_M)</f>
        <v/>
      </c>
      <c r="T84" s="86" t="str">
        <f aca="false">IF($B84="","",SUMIFS('الحركات الشهرية'!$I$6:$I$1005,'الحركات الشهرية'!$B$6:$B$1005,$B84,'الحركات الشهرية'!$A$6:$A$1005,$C$3))</f>
        <v/>
      </c>
      <c r="U84" s="86" t="str">
        <f aca="false">IF($B84="","",SUMIFS('الحركات الشهرية'!$J$6:$J$1005,'الحركات الشهرية'!$B$6:$B$1005,$B84,'الحركات الشهرية'!$A$6:$A$1005,$C$3))</f>
        <v/>
      </c>
      <c r="V84" s="86" t="str">
        <f aca="false">IF($B84="","",SUM(S84:U84))</f>
        <v/>
      </c>
      <c r="W84" s="107" t="str">
        <f aca="false">IF($B84="","",R84-V84)</f>
        <v/>
      </c>
      <c r="X84" s="86" t="str">
        <f aca="false">IF($B84="","",الموظفون!$Q84*IF(E84="سعودي",cfg_G_SR,cfg_G_NR)*F84/cfg_DAYS_M)</f>
        <v/>
      </c>
      <c r="Y84" s="86" t="str">
        <f aca="false">IF($B84="","",الموظفون!$O84*(cfg_EOS_R1*(MIN(AC84,cfg_EOS_TH)-MIN(AD84,cfg_EOS_TH))+cfg_EOS_R2*(MAX(AC84-cfg_EOS_TH,0)-MAX(AD84-cfg_EOS_TH,0))))</f>
        <v/>
      </c>
      <c r="Z84" s="86" t="str">
        <f aca="false">IF($B84="","",IF(الموظفون!$R84&lt;&gt;"",الموظفون!$R84,IF(AC84&gt;=cfg_LV_TH,cfg_LV_D2,cfg_LV_D1))/cfg_DAYS_Y*AE84*الموظفون!$P84/cfg_DAYS_M)</f>
        <v/>
      </c>
      <c r="AA84" s="86" t="str">
        <f aca="false">IF($B84="","",IF(AND(الموظفون!$S84="نعم",N(الموظفون!$U84)&gt;0),الموظفون!$T84/الموظفون!$U84*12/cfg_DAYS_Y*AE84,0))</f>
        <v/>
      </c>
      <c r="AB84" s="108" t="str">
        <f aca="false">IF($B84="","",R84+SUM(X84:AA84))</f>
        <v/>
      </c>
      <c r="AC84" s="109" t="str">
        <f aca="false">IF($B84="","",MAX(0,IF(OR(الموظفون!$X84="",الموظفون!$X84&gt;$G$3),$G$3,الموظفون!$X84)-الموظفون!$H84+1)/cfg_DAYS_Y)</f>
        <v/>
      </c>
      <c r="AD84" s="109" t="str">
        <f aca="false">IF($B84="","",MAX(0,IF(OR(الموظفون!$X84="",الموظفون!$X84&gt;($E$3-1)),($E$3-1),الموظفون!$X84)-الموظفون!$H84+1)/cfg_DAYS_Y)</f>
        <v/>
      </c>
      <c r="AE84" s="51" t="str">
        <f aca="false">IF($B84="","",MAX(0,IF(OR(الموظفون!$X84="",الموظفون!$X84&gt;$G$3),$G$3,الموظفون!$X84)-MAX($E$3,الموظفون!$H84)+1))</f>
        <v/>
      </c>
    </row>
    <row r="85" customFormat="false" ht="15" hidden="false" customHeight="false" outlineLevel="0" collapsed="false">
      <c r="A85" s="89" t="str">
        <f aca="false">IF($B85="","",الموظفون!$A85)</f>
        <v/>
      </c>
      <c r="B85" s="91" t="str">
        <f aca="false">IF(الموظفون!$B85="","",الموظفون!$B85)</f>
        <v/>
      </c>
      <c r="C85" s="91" t="str">
        <f aca="false">IF($B85="","",الموظفون!$C85)</f>
        <v/>
      </c>
      <c r="D85" s="91" t="str">
        <f aca="false">IF($B85="","",الموظفون!$F85)</f>
        <v/>
      </c>
      <c r="E85" s="91" t="str">
        <f aca="false">IF($B85="","",الموظفون!$E85)</f>
        <v/>
      </c>
      <c r="F85" s="110" t="str">
        <f aca="false">IF($B85="","",IF(AE85&gt;=DAY($G$3),cfg_DAYS_M,MIN(AE85,cfg_DAYS_M)))</f>
        <v/>
      </c>
      <c r="G85" s="110" t="str">
        <f aca="false">IF($B85="","",SUMIFS('الحركات الشهرية'!$D$6:$D$1005,'الحركات الشهرية'!$B$6:$B$1005,$B85,'الحركات الشهرية'!$A$6:$A$1005,$C$3))</f>
        <v/>
      </c>
      <c r="H85" s="110" t="str">
        <f aca="false">IF($B85="","",SUMIFS('الحركات الشهرية'!$E$6:$E$1005,'الحركات الشهرية'!$B$6:$B$1005,$B85,'الحركات الشهرية'!$A$6:$A$1005,$C$3))</f>
        <v/>
      </c>
      <c r="I85" s="110" t="str">
        <f aca="false">IF($B85="","",MAX(0,F85-G85-H85))</f>
        <v/>
      </c>
      <c r="J85" s="90" t="str">
        <f aca="false">IF($B85="","",الموظفون!$J85*$I85/cfg_DAYS_M)</f>
        <v/>
      </c>
      <c r="K85" s="90" t="str">
        <f aca="false">IF($B85="","",الموظفون!$K85*$I85/cfg_DAYS_M)</f>
        <v/>
      </c>
      <c r="L85" s="90" t="str">
        <f aca="false">IF($B85="","",الموظفون!$L85*$I85/cfg_DAYS_M)</f>
        <v/>
      </c>
      <c r="M85" s="90" t="str">
        <f aca="false">IF($B85="","",الموظفون!$M85*$I85/cfg_DAYS_M)</f>
        <v/>
      </c>
      <c r="N85" s="110" t="str">
        <f aca="false">IF($B85="","",SUMIFS('الحركات الشهرية'!$F$6:$F$1005,'الحركات الشهرية'!$B$6:$B$1005,$B85,'الحركات الشهرية'!$A$6:$A$1005,$C$3))</f>
        <v/>
      </c>
      <c r="O85" s="90" t="str">
        <f aca="false">IF($B85="","",N85*(الموظفون!$N85+الموظفون!$J85*cfg_OT_P)/cfg_DAYS_M/cfg_HRS)</f>
        <v/>
      </c>
      <c r="P85" s="90" t="str">
        <f aca="false">IF($B85="","",SUMIFS('الحركات الشهرية'!$G$6:$G$1005,'الحركات الشهرية'!$B$6:$B$1005,$B85,'الحركات الشهرية'!$A$6:$A$1005,$C$3))</f>
        <v/>
      </c>
      <c r="Q85" s="90" t="str">
        <f aca="false">IF($B85="","",SUMIFS('الحركات الشهرية'!$H$6:$H$1005,'الحركات الشهرية'!$B$6:$B$1005,$B85,'الحركات الشهرية'!$A$6:$A$1005,$C$3))</f>
        <v/>
      </c>
      <c r="R85" s="111" t="str">
        <f aca="false">IF($B85="","",SUM(J85:M85)+SUM(O85:Q85))</f>
        <v/>
      </c>
      <c r="S85" s="90" t="str">
        <f aca="false">IF($B85="","",الموظفون!$Q85*IF(E85="سعودي",cfg_G_SE,cfg_G_NE)*F85/cfg_DAYS_M)</f>
        <v/>
      </c>
      <c r="T85" s="90" t="str">
        <f aca="false">IF($B85="","",SUMIFS('الحركات الشهرية'!$I$6:$I$1005,'الحركات الشهرية'!$B$6:$B$1005,$B85,'الحركات الشهرية'!$A$6:$A$1005,$C$3))</f>
        <v/>
      </c>
      <c r="U85" s="90" t="str">
        <f aca="false">IF($B85="","",SUMIFS('الحركات الشهرية'!$J$6:$J$1005,'الحركات الشهرية'!$B$6:$B$1005,$B85,'الحركات الشهرية'!$A$6:$A$1005,$C$3))</f>
        <v/>
      </c>
      <c r="V85" s="90" t="str">
        <f aca="false">IF($B85="","",SUM(S85:U85))</f>
        <v/>
      </c>
      <c r="W85" s="112" t="str">
        <f aca="false">IF($B85="","",R85-V85)</f>
        <v/>
      </c>
      <c r="X85" s="90" t="str">
        <f aca="false">IF($B85="","",الموظفون!$Q85*IF(E85="سعودي",cfg_G_SR,cfg_G_NR)*F85/cfg_DAYS_M)</f>
        <v/>
      </c>
      <c r="Y85" s="90" t="str">
        <f aca="false">IF($B85="","",الموظفون!$O85*(cfg_EOS_R1*(MIN(AC85,cfg_EOS_TH)-MIN(AD85,cfg_EOS_TH))+cfg_EOS_R2*(MAX(AC85-cfg_EOS_TH,0)-MAX(AD85-cfg_EOS_TH,0))))</f>
        <v/>
      </c>
      <c r="Z85" s="90" t="str">
        <f aca="false">IF($B85="","",IF(الموظفون!$R85&lt;&gt;"",الموظفون!$R85,IF(AC85&gt;=cfg_LV_TH,cfg_LV_D2,cfg_LV_D1))/cfg_DAYS_Y*AE85*الموظفون!$P85/cfg_DAYS_M)</f>
        <v/>
      </c>
      <c r="AA85" s="90" t="str">
        <f aca="false">IF($B85="","",IF(AND(الموظفون!$S85="نعم",N(الموظفون!$U85)&gt;0),الموظفون!$T85/الموظفون!$U85*12/cfg_DAYS_Y*AE85,0))</f>
        <v/>
      </c>
      <c r="AB85" s="113" t="str">
        <f aca="false">IF($B85="","",R85+SUM(X85:AA85))</f>
        <v/>
      </c>
      <c r="AC85" s="114" t="str">
        <f aca="false">IF($B85="","",MAX(0,IF(OR(الموظفون!$X85="",الموظفون!$X85&gt;$G$3),$G$3,الموظفون!$X85)-الموظفون!$H85+1)/cfg_DAYS_Y)</f>
        <v/>
      </c>
      <c r="AD85" s="114" t="str">
        <f aca="false">IF($B85="","",MAX(0,IF(OR(الموظفون!$X85="",الموظفون!$X85&gt;($E$3-1)),($E$3-1),الموظفون!$X85)-الموظفون!$H85+1)/cfg_DAYS_Y)</f>
        <v/>
      </c>
      <c r="AE85" s="115" t="str">
        <f aca="false">IF($B85="","",MAX(0,IF(OR(الموظفون!$X85="",الموظفون!$X85&gt;$G$3),$G$3,الموظفون!$X85)-MAX($E$3,الموظفون!$H85)+1))</f>
        <v/>
      </c>
    </row>
    <row r="86" customFormat="false" ht="15" hidden="false" customHeight="false" outlineLevel="0" collapsed="false">
      <c r="A86" s="83" t="str">
        <f aca="false">IF($B86="","",الموظفون!$A86)</f>
        <v/>
      </c>
      <c r="B86" s="74" t="str">
        <f aca="false">IF(الموظفون!$B86="","",الموظفون!$B86)</f>
        <v/>
      </c>
      <c r="C86" s="74" t="str">
        <f aca="false">IF($B86="","",الموظفون!$C86)</f>
        <v/>
      </c>
      <c r="D86" s="74" t="str">
        <f aca="false">IF($B86="","",الموظفون!$F86)</f>
        <v/>
      </c>
      <c r="E86" s="74" t="str">
        <f aca="false">IF($B86="","",الموظفون!$E86)</f>
        <v/>
      </c>
      <c r="F86" s="105" t="str">
        <f aca="false">IF($B86="","",IF(AE86&gt;=DAY($G$3),cfg_DAYS_M,MIN(AE86,cfg_DAYS_M)))</f>
        <v/>
      </c>
      <c r="G86" s="105" t="str">
        <f aca="false">IF($B86="","",SUMIFS('الحركات الشهرية'!$D$6:$D$1005,'الحركات الشهرية'!$B$6:$B$1005,$B86,'الحركات الشهرية'!$A$6:$A$1005,$C$3))</f>
        <v/>
      </c>
      <c r="H86" s="105" t="str">
        <f aca="false">IF($B86="","",SUMIFS('الحركات الشهرية'!$E$6:$E$1005,'الحركات الشهرية'!$B$6:$B$1005,$B86,'الحركات الشهرية'!$A$6:$A$1005,$C$3))</f>
        <v/>
      </c>
      <c r="I86" s="105" t="str">
        <f aca="false">IF($B86="","",MAX(0,F86-G86-H86))</f>
        <v/>
      </c>
      <c r="J86" s="86" t="str">
        <f aca="false">IF($B86="","",الموظفون!$J86*$I86/cfg_DAYS_M)</f>
        <v/>
      </c>
      <c r="K86" s="86" t="str">
        <f aca="false">IF($B86="","",الموظفون!$K86*$I86/cfg_DAYS_M)</f>
        <v/>
      </c>
      <c r="L86" s="86" t="str">
        <f aca="false">IF($B86="","",الموظفون!$L86*$I86/cfg_DAYS_M)</f>
        <v/>
      </c>
      <c r="M86" s="86" t="str">
        <f aca="false">IF($B86="","",الموظفون!$M86*$I86/cfg_DAYS_M)</f>
        <v/>
      </c>
      <c r="N86" s="105" t="str">
        <f aca="false">IF($B86="","",SUMIFS('الحركات الشهرية'!$F$6:$F$1005,'الحركات الشهرية'!$B$6:$B$1005,$B86,'الحركات الشهرية'!$A$6:$A$1005,$C$3))</f>
        <v/>
      </c>
      <c r="O86" s="86" t="str">
        <f aca="false">IF($B86="","",N86*(الموظفون!$N86+الموظفون!$J86*cfg_OT_P)/cfg_DAYS_M/cfg_HRS)</f>
        <v/>
      </c>
      <c r="P86" s="86" t="str">
        <f aca="false">IF($B86="","",SUMIFS('الحركات الشهرية'!$G$6:$G$1005,'الحركات الشهرية'!$B$6:$B$1005,$B86,'الحركات الشهرية'!$A$6:$A$1005,$C$3))</f>
        <v/>
      </c>
      <c r="Q86" s="86" t="str">
        <f aca="false">IF($B86="","",SUMIFS('الحركات الشهرية'!$H$6:$H$1005,'الحركات الشهرية'!$B$6:$B$1005,$B86,'الحركات الشهرية'!$A$6:$A$1005,$C$3))</f>
        <v/>
      </c>
      <c r="R86" s="106" t="str">
        <f aca="false">IF($B86="","",SUM(J86:M86)+SUM(O86:Q86))</f>
        <v/>
      </c>
      <c r="S86" s="86" t="str">
        <f aca="false">IF($B86="","",الموظفون!$Q86*IF(E86="سعودي",cfg_G_SE,cfg_G_NE)*F86/cfg_DAYS_M)</f>
        <v/>
      </c>
      <c r="T86" s="86" t="str">
        <f aca="false">IF($B86="","",SUMIFS('الحركات الشهرية'!$I$6:$I$1005,'الحركات الشهرية'!$B$6:$B$1005,$B86,'الحركات الشهرية'!$A$6:$A$1005,$C$3))</f>
        <v/>
      </c>
      <c r="U86" s="86" t="str">
        <f aca="false">IF($B86="","",SUMIFS('الحركات الشهرية'!$J$6:$J$1005,'الحركات الشهرية'!$B$6:$B$1005,$B86,'الحركات الشهرية'!$A$6:$A$1005,$C$3))</f>
        <v/>
      </c>
      <c r="V86" s="86" t="str">
        <f aca="false">IF($B86="","",SUM(S86:U86))</f>
        <v/>
      </c>
      <c r="W86" s="107" t="str">
        <f aca="false">IF($B86="","",R86-V86)</f>
        <v/>
      </c>
      <c r="X86" s="86" t="str">
        <f aca="false">IF($B86="","",الموظفون!$Q86*IF(E86="سعودي",cfg_G_SR,cfg_G_NR)*F86/cfg_DAYS_M)</f>
        <v/>
      </c>
      <c r="Y86" s="86" t="str">
        <f aca="false">IF($B86="","",الموظفون!$O86*(cfg_EOS_R1*(MIN(AC86,cfg_EOS_TH)-MIN(AD86,cfg_EOS_TH))+cfg_EOS_R2*(MAX(AC86-cfg_EOS_TH,0)-MAX(AD86-cfg_EOS_TH,0))))</f>
        <v/>
      </c>
      <c r="Z86" s="86" t="str">
        <f aca="false">IF($B86="","",IF(الموظفون!$R86&lt;&gt;"",الموظفون!$R86,IF(AC86&gt;=cfg_LV_TH,cfg_LV_D2,cfg_LV_D1))/cfg_DAYS_Y*AE86*الموظفون!$P86/cfg_DAYS_M)</f>
        <v/>
      </c>
      <c r="AA86" s="86" t="str">
        <f aca="false">IF($B86="","",IF(AND(الموظفون!$S86="نعم",N(الموظفون!$U86)&gt;0),الموظفون!$T86/الموظفون!$U86*12/cfg_DAYS_Y*AE86,0))</f>
        <v/>
      </c>
      <c r="AB86" s="108" t="str">
        <f aca="false">IF($B86="","",R86+SUM(X86:AA86))</f>
        <v/>
      </c>
      <c r="AC86" s="109" t="str">
        <f aca="false">IF($B86="","",MAX(0,IF(OR(الموظفون!$X86="",الموظفون!$X86&gt;$G$3),$G$3,الموظفون!$X86)-الموظفون!$H86+1)/cfg_DAYS_Y)</f>
        <v/>
      </c>
      <c r="AD86" s="109" t="str">
        <f aca="false">IF($B86="","",MAX(0,IF(OR(الموظفون!$X86="",الموظفون!$X86&gt;($E$3-1)),($E$3-1),الموظفون!$X86)-الموظفون!$H86+1)/cfg_DAYS_Y)</f>
        <v/>
      </c>
      <c r="AE86" s="51" t="str">
        <f aca="false">IF($B86="","",MAX(0,IF(OR(الموظفون!$X86="",الموظفون!$X86&gt;$G$3),$G$3,الموظفون!$X86)-MAX($E$3,الموظفون!$H86)+1))</f>
        <v/>
      </c>
    </row>
    <row r="87" customFormat="false" ht="15" hidden="false" customHeight="false" outlineLevel="0" collapsed="false">
      <c r="A87" s="89" t="str">
        <f aca="false">IF($B87="","",الموظفون!$A87)</f>
        <v/>
      </c>
      <c r="B87" s="91" t="str">
        <f aca="false">IF(الموظفون!$B87="","",الموظفون!$B87)</f>
        <v/>
      </c>
      <c r="C87" s="91" t="str">
        <f aca="false">IF($B87="","",الموظفون!$C87)</f>
        <v/>
      </c>
      <c r="D87" s="91" t="str">
        <f aca="false">IF($B87="","",الموظفون!$F87)</f>
        <v/>
      </c>
      <c r="E87" s="91" t="str">
        <f aca="false">IF($B87="","",الموظفون!$E87)</f>
        <v/>
      </c>
      <c r="F87" s="110" t="str">
        <f aca="false">IF($B87="","",IF(AE87&gt;=DAY($G$3),cfg_DAYS_M,MIN(AE87,cfg_DAYS_M)))</f>
        <v/>
      </c>
      <c r="G87" s="110" t="str">
        <f aca="false">IF($B87="","",SUMIFS('الحركات الشهرية'!$D$6:$D$1005,'الحركات الشهرية'!$B$6:$B$1005,$B87,'الحركات الشهرية'!$A$6:$A$1005,$C$3))</f>
        <v/>
      </c>
      <c r="H87" s="110" t="str">
        <f aca="false">IF($B87="","",SUMIFS('الحركات الشهرية'!$E$6:$E$1005,'الحركات الشهرية'!$B$6:$B$1005,$B87,'الحركات الشهرية'!$A$6:$A$1005,$C$3))</f>
        <v/>
      </c>
      <c r="I87" s="110" t="str">
        <f aca="false">IF($B87="","",MAX(0,F87-G87-H87))</f>
        <v/>
      </c>
      <c r="J87" s="90" t="str">
        <f aca="false">IF($B87="","",الموظفون!$J87*$I87/cfg_DAYS_M)</f>
        <v/>
      </c>
      <c r="K87" s="90" t="str">
        <f aca="false">IF($B87="","",الموظفون!$K87*$I87/cfg_DAYS_M)</f>
        <v/>
      </c>
      <c r="L87" s="90" t="str">
        <f aca="false">IF($B87="","",الموظفون!$L87*$I87/cfg_DAYS_M)</f>
        <v/>
      </c>
      <c r="M87" s="90" t="str">
        <f aca="false">IF($B87="","",الموظفون!$M87*$I87/cfg_DAYS_M)</f>
        <v/>
      </c>
      <c r="N87" s="110" t="str">
        <f aca="false">IF($B87="","",SUMIFS('الحركات الشهرية'!$F$6:$F$1005,'الحركات الشهرية'!$B$6:$B$1005,$B87,'الحركات الشهرية'!$A$6:$A$1005,$C$3))</f>
        <v/>
      </c>
      <c r="O87" s="90" t="str">
        <f aca="false">IF($B87="","",N87*(الموظفون!$N87+الموظفون!$J87*cfg_OT_P)/cfg_DAYS_M/cfg_HRS)</f>
        <v/>
      </c>
      <c r="P87" s="90" t="str">
        <f aca="false">IF($B87="","",SUMIFS('الحركات الشهرية'!$G$6:$G$1005,'الحركات الشهرية'!$B$6:$B$1005,$B87,'الحركات الشهرية'!$A$6:$A$1005,$C$3))</f>
        <v/>
      </c>
      <c r="Q87" s="90" t="str">
        <f aca="false">IF($B87="","",SUMIFS('الحركات الشهرية'!$H$6:$H$1005,'الحركات الشهرية'!$B$6:$B$1005,$B87,'الحركات الشهرية'!$A$6:$A$1005,$C$3))</f>
        <v/>
      </c>
      <c r="R87" s="111" t="str">
        <f aca="false">IF($B87="","",SUM(J87:M87)+SUM(O87:Q87))</f>
        <v/>
      </c>
      <c r="S87" s="90" t="str">
        <f aca="false">IF($B87="","",الموظفون!$Q87*IF(E87="سعودي",cfg_G_SE,cfg_G_NE)*F87/cfg_DAYS_M)</f>
        <v/>
      </c>
      <c r="T87" s="90" t="str">
        <f aca="false">IF($B87="","",SUMIFS('الحركات الشهرية'!$I$6:$I$1005,'الحركات الشهرية'!$B$6:$B$1005,$B87,'الحركات الشهرية'!$A$6:$A$1005,$C$3))</f>
        <v/>
      </c>
      <c r="U87" s="90" t="str">
        <f aca="false">IF($B87="","",SUMIFS('الحركات الشهرية'!$J$6:$J$1005,'الحركات الشهرية'!$B$6:$B$1005,$B87,'الحركات الشهرية'!$A$6:$A$1005,$C$3))</f>
        <v/>
      </c>
      <c r="V87" s="90" t="str">
        <f aca="false">IF($B87="","",SUM(S87:U87))</f>
        <v/>
      </c>
      <c r="W87" s="112" t="str">
        <f aca="false">IF($B87="","",R87-V87)</f>
        <v/>
      </c>
      <c r="X87" s="90" t="str">
        <f aca="false">IF($B87="","",الموظفون!$Q87*IF(E87="سعودي",cfg_G_SR,cfg_G_NR)*F87/cfg_DAYS_M)</f>
        <v/>
      </c>
      <c r="Y87" s="90" t="str">
        <f aca="false">IF($B87="","",الموظفون!$O87*(cfg_EOS_R1*(MIN(AC87,cfg_EOS_TH)-MIN(AD87,cfg_EOS_TH))+cfg_EOS_R2*(MAX(AC87-cfg_EOS_TH,0)-MAX(AD87-cfg_EOS_TH,0))))</f>
        <v/>
      </c>
      <c r="Z87" s="90" t="str">
        <f aca="false">IF($B87="","",IF(الموظفون!$R87&lt;&gt;"",الموظفون!$R87,IF(AC87&gt;=cfg_LV_TH,cfg_LV_D2,cfg_LV_D1))/cfg_DAYS_Y*AE87*الموظفون!$P87/cfg_DAYS_M)</f>
        <v/>
      </c>
      <c r="AA87" s="90" t="str">
        <f aca="false">IF($B87="","",IF(AND(الموظفون!$S87="نعم",N(الموظفون!$U87)&gt;0),الموظفون!$T87/الموظفون!$U87*12/cfg_DAYS_Y*AE87,0))</f>
        <v/>
      </c>
      <c r="AB87" s="113" t="str">
        <f aca="false">IF($B87="","",R87+SUM(X87:AA87))</f>
        <v/>
      </c>
      <c r="AC87" s="114" t="str">
        <f aca="false">IF($B87="","",MAX(0,IF(OR(الموظفون!$X87="",الموظفون!$X87&gt;$G$3),$G$3,الموظفون!$X87)-الموظفون!$H87+1)/cfg_DAYS_Y)</f>
        <v/>
      </c>
      <c r="AD87" s="114" t="str">
        <f aca="false">IF($B87="","",MAX(0,IF(OR(الموظفون!$X87="",الموظفون!$X87&gt;($E$3-1)),($E$3-1),الموظفون!$X87)-الموظفون!$H87+1)/cfg_DAYS_Y)</f>
        <v/>
      </c>
      <c r="AE87" s="115" t="str">
        <f aca="false">IF($B87="","",MAX(0,IF(OR(الموظفون!$X87="",الموظفون!$X87&gt;$G$3),$G$3,الموظفون!$X87)-MAX($E$3,الموظفون!$H87)+1))</f>
        <v/>
      </c>
    </row>
    <row r="88" customFormat="false" ht="15" hidden="false" customHeight="false" outlineLevel="0" collapsed="false">
      <c r="A88" s="83" t="str">
        <f aca="false">IF($B88="","",الموظفون!$A88)</f>
        <v/>
      </c>
      <c r="B88" s="74" t="str">
        <f aca="false">IF(الموظفون!$B88="","",الموظفون!$B88)</f>
        <v/>
      </c>
      <c r="C88" s="74" t="str">
        <f aca="false">IF($B88="","",الموظفون!$C88)</f>
        <v/>
      </c>
      <c r="D88" s="74" t="str">
        <f aca="false">IF($B88="","",الموظفون!$F88)</f>
        <v/>
      </c>
      <c r="E88" s="74" t="str">
        <f aca="false">IF($B88="","",الموظفون!$E88)</f>
        <v/>
      </c>
      <c r="F88" s="105" t="str">
        <f aca="false">IF($B88="","",IF(AE88&gt;=DAY($G$3),cfg_DAYS_M,MIN(AE88,cfg_DAYS_M)))</f>
        <v/>
      </c>
      <c r="G88" s="105" t="str">
        <f aca="false">IF($B88="","",SUMIFS('الحركات الشهرية'!$D$6:$D$1005,'الحركات الشهرية'!$B$6:$B$1005,$B88,'الحركات الشهرية'!$A$6:$A$1005,$C$3))</f>
        <v/>
      </c>
      <c r="H88" s="105" t="str">
        <f aca="false">IF($B88="","",SUMIFS('الحركات الشهرية'!$E$6:$E$1005,'الحركات الشهرية'!$B$6:$B$1005,$B88,'الحركات الشهرية'!$A$6:$A$1005,$C$3))</f>
        <v/>
      </c>
      <c r="I88" s="105" t="str">
        <f aca="false">IF($B88="","",MAX(0,F88-G88-H88))</f>
        <v/>
      </c>
      <c r="J88" s="86" t="str">
        <f aca="false">IF($B88="","",الموظفون!$J88*$I88/cfg_DAYS_M)</f>
        <v/>
      </c>
      <c r="K88" s="86" t="str">
        <f aca="false">IF($B88="","",الموظفون!$K88*$I88/cfg_DAYS_M)</f>
        <v/>
      </c>
      <c r="L88" s="86" t="str">
        <f aca="false">IF($B88="","",الموظفون!$L88*$I88/cfg_DAYS_M)</f>
        <v/>
      </c>
      <c r="M88" s="86" t="str">
        <f aca="false">IF($B88="","",الموظفون!$M88*$I88/cfg_DAYS_M)</f>
        <v/>
      </c>
      <c r="N88" s="105" t="str">
        <f aca="false">IF($B88="","",SUMIFS('الحركات الشهرية'!$F$6:$F$1005,'الحركات الشهرية'!$B$6:$B$1005,$B88,'الحركات الشهرية'!$A$6:$A$1005,$C$3))</f>
        <v/>
      </c>
      <c r="O88" s="86" t="str">
        <f aca="false">IF($B88="","",N88*(الموظفون!$N88+الموظفون!$J88*cfg_OT_P)/cfg_DAYS_M/cfg_HRS)</f>
        <v/>
      </c>
      <c r="P88" s="86" t="str">
        <f aca="false">IF($B88="","",SUMIFS('الحركات الشهرية'!$G$6:$G$1005,'الحركات الشهرية'!$B$6:$B$1005,$B88,'الحركات الشهرية'!$A$6:$A$1005,$C$3))</f>
        <v/>
      </c>
      <c r="Q88" s="86" t="str">
        <f aca="false">IF($B88="","",SUMIFS('الحركات الشهرية'!$H$6:$H$1005,'الحركات الشهرية'!$B$6:$B$1005,$B88,'الحركات الشهرية'!$A$6:$A$1005,$C$3))</f>
        <v/>
      </c>
      <c r="R88" s="106" t="str">
        <f aca="false">IF($B88="","",SUM(J88:M88)+SUM(O88:Q88))</f>
        <v/>
      </c>
      <c r="S88" s="86" t="str">
        <f aca="false">IF($B88="","",الموظفون!$Q88*IF(E88="سعودي",cfg_G_SE,cfg_G_NE)*F88/cfg_DAYS_M)</f>
        <v/>
      </c>
      <c r="T88" s="86" t="str">
        <f aca="false">IF($B88="","",SUMIFS('الحركات الشهرية'!$I$6:$I$1005,'الحركات الشهرية'!$B$6:$B$1005,$B88,'الحركات الشهرية'!$A$6:$A$1005,$C$3))</f>
        <v/>
      </c>
      <c r="U88" s="86" t="str">
        <f aca="false">IF($B88="","",SUMIFS('الحركات الشهرية'!$J$6:$J$1005,'الحركات الشهرية'!$B$6:$B$1005,$B88,'الحركات الشهرية'!$A$6:$A$1005,$C$3))</f>
        <v/>
      </c>
      <c r="V88" s="86" t="str">
        <f aca="false">IF($B88="","",SUM(S88:U88))</f>
        <v/>
      </c>
      <c r="W88" s="107" t="str">
        <f aca="false">IF($B88="","",R88-V88)</f>
        <v/>
      </c>
      <c r="X88" s="86" t="str">
        <f aca="false">IF($B88="","",الموظفون!$Q88*IF(E88="سعودي",cfg_G_SR,cfg_G_NR)*F88/cfg_DAYS_M)</f>
        <v/>
      </c>
      <c r="Y88" s="86" t="str">
        <f aca="false">IF($B88="","",الموظفون!$O88*(cfg_EOS_R1*(MIN(AC88,cfg_EOS_TH)-MIN(AD88,cfg_EOS_TH))+cfg_EOS_R2*(MAX(AC88-cfg_EOS_TH,0)-MAX(AD88-cfg_EOS_TH,0))))</f>
        <v/>
      </c>
      <c r="Z88" s="86" t="str">
        <f aca="false">IF($B88="","",IF(الموظفون!$R88&lt;&gt;"",الموظفون!$R88,IF(AC88&gt;=cfg_LV_TH,cfg_LV_D2,cfg_LV_D1))/cfg_DAYS_Y*AE88*الموظفون!$P88/cfg_DAYS_M)</f>
        <v/>
      </c>
      <c r="AA88" s="86" t="str">
        <f aca="false">IF($B88="","",IF(AND(الموظفون!$S88="نعم",N(الموظفون!$U88)&gt;0),الموظفون!$T88/الموظفون!$U88*12/cfg_DAYS_Y*AE88,0))</f>
        <v/>
      </c>
      <c r="AB88" s="108" t="str">
        <f aca="false">IF($B88="","",R88+SUM(X88:AA88))</f>
        <v/>
      </c>
      <c r="AC88" s="109" t="str">
        <f aca="false">IF($B88="","",MAX(0,IF(OR(الموظفون!$X88="",الموظفون!$X88&gt;$G$3),$G$3,الموظفون!$X88)-الموظفون!$H88+1)/cfg_DAYS_Y)</f>
        <v/>
      </c>
      <c r="AD88" s="109" t="str">
        <f aca="false">IF($B88="","",MAX(0,IF(OR(الموظفون!$X88="",الموظفون!$X88&gt;($E$3-1)),($E$3-1),الموظفون!$X88)-الموظفون!$H88+1)/cfg_DAYS_Y)</f>
        <v/>
      </c>
      <c r="AE88" s="51" t="str">
        <f aca="false">IF($B88="","",MAX(0,IF(OR(الموظفون!$X88="",الموظفون!$X88&gt;$G$3),$G$3,الموظفون!$X88)-MAX($E$3,الموظفون!$H88)+1))</f>
        <v/>
      </c>
    </row>
    <row r="89" customFormat="false" ht="15" hidden="false" customHeight="false" outlineLevel="0" collapsed="false">
      <c r="A89" s="89" t="str">
        <f aca="false">IF($B89="","",الموظفون!$A89)</f>
        <v/>
      </c>
      <c r="B89" s="91" t="str">
        <f aca="false">IF(الموظفون!$B89="","",الموظفون!$B89)</f>
        <v/>
      </c>
      <c r="C89" s="91" t="str">
        <f aca="false">IF($B89="","",الموظفون!$C89)</f>
        <v/>
      </c>
      <c r="D89" s="91" t="str">
        <f aca="false">IF($B89="","",الموظفون!$F89)</f>
        <v/>
      </c>
      <c r="E89" s="91" t="str">
        <f aca="false">IF($B89="","",الموظفون!$E89)</f>
        <v/>
      </c>
      <c r="F89" s="110" t="str">
        <f aca="false">IF($B89="","",IF(AE89&gt;=DAY($G$3),cfg_DAYS_M,MIN(AE89,cfg_DAYS_M)))</f>
        <v/>
      </c>
      <c r="G89" s="110" t="str">
        <f aca="false">IF($B89="","",SUMIFS('الحركات الشهرية'!$D$6:$D$1005,'الحركات الشهرية'!$B$6:$B$1005,$B89,'الحركات الشهرية'!$A$6:$A$1005,$C$3))</f>
        <v/>
      </c>
      <c r="H89" s="110" t="str">
        <f aca="false">IF($B89="","",SUMIFS('الحركات الشهرية'!$E$6:$E$1005,'الحركات الشهرية'!$B$6:$B$1005,$B89,'الحركات الشهرية'!$A$6:$A$1005,$C$3))</f>
        <v/>
      </c>
      <c r="I89" s="110" t="str">
        <f aca="false">IF($B89="","",MAX(0,F89-G89-H89))</f>
        <v/>
      </c>
      <c r="J89" s="90" t="str">
        <f aca="false">IF($B89="","",الموظفون!$J89*$I89/cfg_DAYS_M)</f>
        <v/>
      </c>
      <c r="K89" s="90" t="str">
        <f aca="false">IF($B89="","",الموظفون!$K89*$I89/cfg_DAYS_M)</f>
        <v/>
      </c>
      <c r="L89" s="90" t="str">
        <f aca="false">IF($B89="","",الموظفون!$L89*$I89/cfg_DAYS_M)</f>
        <v/>
      </c>
      <c r="M89" s="90" t="str">
        <f aca="false">IF($B89="","",الموظفون!$M89*$I89/cfg_DAYS_M)</f>
        <v/>
      </c>
      <c r="N89" s="110" t="str">
        <f aca="false">IF($B89="","",SUMIFS('الحركات الشهرية'!$F$6:$F$1005,'الحركات الشهرية'!$B$6:$B$1005,$B89,'الحركات الشهرية'!$A$6:$A$1005,$C$3))</f>
        <v/>
      </c>
      <c r="O89" s="90" t="str">
        <f aca="false">IF($B89="","",N89*(الموظفون!$N89+الموظفون!$J89*cfg_OT_P)/cfg_DAYS_M/cfg_HRS)</f>
        <v/>
      </c>
      <c r="P89" s="90" t="str">
        <f aca="false">IF($B89="","",SUMIFS('الحركات الشهرية'!$G$6:$G$1005,'الحركات الشهرية'!$B$6:$B$1005,$B89,'الحركات الشهرية'!$A$6:$A$1005,$C$3))</f>
        <v/>
      </c>
      <c r="Q89" s="90" t="str">
        <f aca="false">IF($B89="","",SUMIFS('الحركات الشهرية'!$H$6:$H$1005,'الحركات الشهرية'!$B$6:$B$1005,$B89,'الحركات الشهرية'!$A$6:$A$1005,$C$3))</f>
        <v/>
      </c>
      <c r="R89" s="111" t="str">
        <f aca="false">IF($B89="","",SUM(J89:M89)+SUM(O89:Q89))</f>
        <v/>
      </c>
      <c r="S89" s="90" t="str">
        <f aca="false">IF($B89="","",الموظفون!$Q89*IF(E89="سعودي",cfg_G_SE,cfg_G_NE)*F89/cfg_DAYS_M)</f>
        <v/>
      </c>
      <c r="T89" s="90" t="str">
        <f aca="false">IF($B89="","",SUMIFS('الحركات الشهرية'!$I$6:$I$1005,'الحركات الشهرية'!$B$6:$B$1005,$B89,'الحركات الشهرية'!$A$6:$A$1005,$C$3))</f>
        <v/>
      </c>
      <c r="U89" s="90" t="str">
        <f aca="false">IF($B89="","",SUMIFS('الحركات الشهرية'!$J$6:$J$1005,'الحركات الشهرية'!$B$6:$B$1005,$B89,'الحركات الشهرية'!$A$6:$A$1005,$C$3))</f>
        <v/>
      </c>
      <c r="V89" s="90" t="str">
        <f aca="false">IF($B89="","",SUM(S89:U89))</f>
        <v/>
      </c>
      <c r="W89" s="112" t="str">
        <f aca="false">IF($B89="","",R89-V89)</f>
        <v/>
      </c>
      <c r="X89" s="90" t="str">
        <f aca="false">IF($B89="","",الموظفون!$Q89*IF(E89="سعودي",cfg_G_SR,cfg_G_NR)*F89/cfg_DAYS_M)</f>
        <v/>
      </c>
      <c r="Y89" s="90" t="str">
        <f aca="false">IF($B89="","",الموظفون!$O89*(cfg_EOS_R1*(MIN(AC89,cfg_EOS_TH)-MIN(AD89,cfg_EOS_TH))+cfg_EOS_R2*(MAX(AC89-cfg_EOS_TH,0)-MAX(AD89-cfg_EOS_TH,0))))</f>
        <v/>
      </c>
      <c r="Z89" s="90" t="str">
        <f aca="false">IF($B89="","",IF(الموظفون!$R89&lt;&gt;"",الموظفون!$R89,IF(AC89&gt;=cfg_LV_TH,cfg_LV_D2,cfg_LV_D1))/cfg_DAYS_Y*AE89*الموظفون!$P89/cfg_DAYS_M)</f>
        <v/>
      </c>
      <c r="AA89" s="90" t="str">
        <f aca="false">IF($B89="","",IF(AND(الموظفون!$S89="نعم",N(الموظفون!$U89)&gt;0),الموظفون!$T89/الموظفون!$U89*12/cfg_DAYS_Y*AE89,0))</f>
        <v/>
      </c>
      <c r="AB89" s="113" t="str">
        <f aca="false">IF($B89="","",R89+SUM(X89:AA89))</f>
        <v/>
      </c>
      <c r="AC89" s="114" t="str">
        <f aca="false">IF($B89="","",MAX(0,IF(OR(الموظفون!$X89="",الموظفون!$X89&gt;$G$3),$G$3,الموظفون!$X89)-الموظفون!$H89+1)/cfg_DAYS_Y)</f>
        <v/>
      </c>
      <c r="AD89" s="114" t="str">
        <f aca="false">IF($B89="","",MAX(0,IF(OR(الموظفون!$X89="",الموظفون!$X89&gt;($E$3-1)),($E$3-1),الموظفون!$X89)-الموظفون!$H89+1)/cfg_DAYS_Y)</f>
        <v/>
      </c>
      <c r="AE89" s="115" t="str">
        <f aca="false">IF($B89="","",MAX(0,IF(OR(الموظفون!$X89="",الموظفون!$X89&gt;$G$3),$G$3,الموظفون!$X89)-MAX($E$3,الموظفون!$H89)+1))</f>
        <v/>
      </c>
    </row>
    <row r="90" customFormat="false" ht="15" hidden="false" customHeight="false" outlineLevel="0" collapsed="false">
      <c r="A90" s="83" t="str">
        <f aca="false">IF($B90="","",الموظفون!$A90)</f>
        <v/>
      </c>
      <c r="B90" s="74" t="str">
        <f aca="false">IF(الموظفون!$B90="","",الموظفون!$B90)</f>
        <v/>
      </c>
      <c r="C90" s="74" t="str">
        <f aca="false">IF($B90="","",الموظفون!$C90)</f>
        <v/>
      </c>
      <c r="D90" s="74" t="str">
        <f aca="false">IF($B90="","",الموظفون!$F90)</f>
        <v/>
      </c>
      <c r="E90" s="74" t="str">
        <f aca="false">IF($B90="","",الموظفون!$E90)</f>
        <v/>
      </c>
      <c r="F90" s="105" t="str">
        <f aca="false">IF($B90="","",IF(AE90&gt;=DAY($G$3),cfg_DAYS_M,MIN(AE90,cfg_DAYS_M)))</f>
        <v/>
      </c>
      <c r="G90" s="105" t="str">
        <f aca="false">IF($B90="","",SUMIFS('الحركات الشهرية'!$D$6:$D$1005,'الحركات الشهرية'!$B$6:$B$1005,$B90,'الحركات الشهرية'!$A$6:$A$1005,$C$3))</f>
        <v/>
      </c>
      <c r="H90" s="105" t="str">
        <f aca="false">IF($B90="","",SUMIFS('الحركات الشهرية'!$E$6:$E$1005,'الحركات الشهرية'!$B$6:$B$1005,$B90,'الحركات الشهرية'!$A$6:$A$1005,$C$3))</f>
        <v/>
      </c>
      <c r="I90" s="105" t="str">
        <f aca="false">IF($B90="","",MAX(0,F90-G90-H90))</f>
        <v/>
      </c>
      <c r="J90" s="86" t="str">
        <f aca="false">IF($B90="","",الموظفون!$J90*$I90/cfg_DAYS_M)</f>
        <v/>
      </c>
      <c r="K90" s="86" t="str">
        <f aca="false">IF($B90="","",الموظفون!$K90*$I90/cfg_DAYS_M)</f>
        <v/>
      </c>
      <c r="L90" s="86" t="str">
        <f aca="false">IF($B90="","",الموظفون!$L90*$I90/cfg_DAYS_M)</f>
        <v/>
      </c>
      <c r="M90" s="86" t="str">
        <f aca="false">IF($B90="","",الموظفون!$M90*$I90/cfg_DAYS_M)</f>
        <v/>
      </c>
      <c r="N90" s="105" t="str">
        <f aca="false">IF($B90="","",SUMIFS('الحركات الشهرية'!$F$6:$F$1005,'الحركات الشهرية'!$B$6:$B$1005,$B90,'الحركات الشهرية'!$A$6:$A$1005,$C$3))</f>
        <v/>
      </c>
      <c r="O90" s="86" t="str">
        <f aca="false">IF($B90="","",N90*(الموظفون!$N90+الموظفون!$J90*cfg_OT_P)/cfg_DAYS_M/cfg_HRS)</f>
        <v/>
      </c>
      <c r="P90" s="86" t="str">
        <f aca="false">IF($B90="","",SUMIFS('الحركات الشهرية'!$G$6:$G$1005,'الحركات الشهرية'!$B$6:$B$1005,$B90,'الحركات الشهرية'!$A$6:$A$1005,$C$3))</f>
        <v/>
      </c>
      <c r="Q90" s="86" t="str">
        <f aca="false">IF($B90="","",SUMIFS('الحركات الشهرية'!$H$6:$H$1005,'الحركات الشهرية'!$B$6:$B$1005,$B90,'الحركات الشهرية'!$A$6:$A$1005,$C$3))</f>
        <v/>
      </c>
      <c r="R90" s="106" t="str">
        <f aca="false">IF($B90="","",SUM(J90:M90)+SUM(O90:Q90))</f>
        <v/>
      </c>
      <c r="S90" s="86" t="str">
        <f aca="false">IF($B90="","",الموظفون!$Q90*IF(E90="سعودي",cfg_G_SE,cfg_G_NE)*F90/cfg_DAYS_M)</f>
        <v/>
      </c>
      <c r="T90" s="86" t="str">
        <f aca="false">IF($B90="","",SUMIFS('الحركات الشهرية'!$I$6:$I$1005,'الحركات الشهرية'!$B$6:$B$1005,$B90,'الحركات الشهرية'!$A$6:$A$1005,$C$3))</f>
        <v/>
      </c>
      <c r="U90" s="86" t="str">
        <f aca="false">IF($B90="","",SUMIFS('الحركات الشهرية'!$J$6:$J$1005,'الحركات الشهرية'!$B$6:$B$1005,$B90,'الحركات الشهرية'!$A$6:$A$1005,$C$3))</f>
        <v/>
      </c>
      <c r="V90" s="86" t="str">
        <f aca="false">IF($B90="","",SUM(S90:U90))</f>
        <v/>
      </c>
      <c r="W90" s="107" t="str">
        <f aca="false">IF($B90="","",R90-V90)</f>
        <v/>
      </c>
      <c r="X90" s="86" t="str">
        <f aca="false">IF($B90="","",الموظفون!$Q90*IF(E90="سعودي",cfg_G_SR,cfg_G_NR)*F90/cfg_DAYS_M)</f>
        <v/>
      </c>
      <c r="Y90" s="86" t="str">
        <f aca="false">IF($B90="","",الموظفون!$O90*(cfg_EOS_R1*(MIN(AC90,cfg_EOS_TH)-MIN(AD90,cfg_EOS_TH))+cfg_EOS_R2*(MAX(AC90-cfg_EOS_TH,0)-MAX(AD90-cfg_EOS_TH,0))))</f>
        <v/>
      </c>
      <c r="Z90" s="86" t="str">
        <f aca="false">IF($B90="","",IF(الموظفون!$R90&lt;&gt;"",الموظفون!$R90,IF(AC90&gt;=cfg_LV_TH,cfg_LV_D2,cfg_LV_D1))/cfg_DAYS_Y*AE90*الموظفون!$P90/cfg_DAYS_M)</f>
        <v/>
      </c>
      <c r="AA90" s="86" t="str">
        <f aca="false">IF($B90="","",IF(AND(الموظفون!$S90="نعم",N(الموظفون!$U90)&gt;0),الموظفون!$T90/الموظفون!$U90*12/cfg_DAYS_Y*AE90,0))</f>
        <v/>
      </c>
      <c r="AB90" s="108" t="str">
        <f aca="false">IF($B90="","",R90+SUM(X90:AA90))</f>
        <v/>
      </c>
      <c r="AC90" s="109" t="str">
        <f aca="false">IF($B90="","",MAX(0,IF(OR(الموظفون!$X90="",الموظفون!$X90&gt;$G$3),$G$3,الموظفون!$X90)-الموظفون!$H90+1)/cfg_DAYS_Y)</f>
        <v/>
      </c>
      <c r="AD90" s="109" t="str">
        <f aca="false">IF($B90="","",MAX(0,IF(OR(الموظفون!$X90="",الموظفون!$X90&gt;($E$3-1)),($E$3-1),الموظفون!$X90)-الموظفون!$H90+1)/cfg_DAYS_Y)</f>
        <v/>
      </c>
      <c r="AE90" s="51" t="str">
        <f aca="false">IF($B90="","",MAX(0,IF(OR(الموظفون!$X90="",الموظفون!$X90&gt;$G$3),$G$3,الموظفون!$X90)-MAX($E$3,الموظفون!$H90)+1))</f>
        <v/>
      </c>
    </row>
    <row r="91" customFormat="false" ht="15" hidden="false" customHeight="false" outlineLevel="0" collapsed="false">
      <c r="A91" s="89" t="str">
        <f aca="false">IF($B91="","",الموظفون!$A91)</f>
        <v/>
      </c>
      <c r="B91" s="91" t="str">
        <f aca="false">IF(الموظفون!$B91="","",الموظفون!$B91)</f>
        <v/>
      </c>
      <c r="C91" s="91" t="str">
        <f aca="false">IF($B91="","",الموظفون!$C91)</f>
        <v/>
      </c>
      <c r="D91" s="91" t="str">
        <f aca="false">IF($B91="","",الموظفون!$F91)</f>
        <v/>
      </c>
      <c r="E91" s="91" t="str">
        <f aca="false">IF($B91="","",الموظفون!$E91)</f>
        <v/>
      </c>
      <c r="F91" s="110" t="str">
        <f aca="false">IF($B91="","",IF(AE91&gt;=DAY($G$3),cfg_DAYS_M,MIN(AE91,cfg_DAYS_M)))</f>
        <v/>
      </c>
      <c r="G91" s="110" t="str">
        <f aca="false">IF($B91="","",SUMIFS('الحركات الشهرية'!$D$6:$D$1005,'الحركات الشهرية'!$B$6:$B$1005,$B91,'الحركات الشهرية'!$A$6:$A$1005,$C$3))</f>
        <v/>
      </c>
      <c r="H91" s="110" t="str">
        <f aca="false">IF($B91="","",SUMIFS('الحركات الشهرية'!$E$6:$E$1005,'الحركات الشهرية'!$B$6:$B$1005,$B91,'الحركات الشهرية'!$A$6:$A$1005,$C$3))</f>
        <v/>
      </c>
      <c r="I91" s="110" t="str">
        <f aca="false">IF($B91="","",MAX(0,F91-G91-H91))</f>
        <v/>
      </c>
      <c r="J91" s="90" t="str">
        <f aca="false">IF($B91="","",الموظفون!$J91*$I91/cfg_DAYS_M)</f>
        <v/>
      </c>
      <c r="K91" s="90" t="str">
        <f aca="false">IF($B91="","",الموظفون!$K91*$I91/cfg_DAYS_M)</f>
        <v/>
      </c>
      <c r="L91" s="90" t="str">
        <f aca="false">IF($B91="","",الموظفون!$L91*$I91/cfg_DAYS_M)</f>
        <v/>
      </c>
      <c r="M91" s="90" t="str">
        <f aca="false">IF($B91="","",الموظفون!$M91*$I91/cfg_DAYS_M)</f>
        <v/>
      </c>
      <c r="N91" s="110" t="str">
        <f aca="false">IF($B91="","",SUMIFS('الحركات الشهرية'!$F$6:$F$1005,'الحركات الشهرية'!$B$6:$B$1005,$B91,'الحركات الشهرية'!$A$6:$A$1005,$C$3))</f>
        <v/>
      </c>
      <c r="O91" s="90" t="str">
        <f aca="false">IF($B91="","",N91*(الموظفون!$N91+الموظفون!$J91*cfg_OT_P)/cfg_DAYS_M/cfg_HRS)</f>
        <v/>
      </c>
      <c r="P91" s="90" t="str">
        <f aca="false">IF($B91="","",SUMIFS('الحركات الشهرية'!$G$6:$G$1005,'الحركات الشهرية'!$B$6:$B$1005,$B91,'الحركات الشهرية'!$A$6:$A$1005,$C$3))</f>
        <v/>
      </c>
      <c r="Q91" s="90" t="str">
        <f aca="false">IF($B91="","",SUMIFS('الحركات الشهرية'!$H$6:$H$1005,'الحركات الشهرية'!$B$6:$B$1005,$B91,'الحركات الشهرية'!$A$6:$A$1005,$C$3))</f>
        <v/>
      </c>
      <c r="R91" s="111" t="str">
        <f aca="false">IF($B91="","",SUM(J91:M91)+SUM(O91:Q91))</f>
        <v/>
      </c>
      <c r="S91" s="90" t="str">
        <f aca="false">IF($B91="","",الموظفون!$Q91*IF(E91="سعودي",cfg_G_SE,cfg_G_NE)*F91/cfg_DAYS_M)</f>
        <v/>
      </c>
      <c r="T91" s="90" t="str">
        <f aca="false">IF($B91="","",SUMIFS('الحركات الشهرية'!$I$6:$I$1005,'الحركات الشهرية'!$B$6:$B$1005,$B91,'الحركات الشهرية'!$A$6:$A$1005,$C$3))</f>
        <v/>
      </c>
      <c r="U91" s="90" t="str">
        <f aca="false">IF($B91="","",SUMIFS('الحركات الشهرية'!$J$6:$J$1005,'الحركات الشهرية'!$B$6:$B$1005,$B91,'الحركات الشهرية'!$A$6:$A$1005,$C$3))</f>
        <v/>
      </c>
      <c r="V91" s="90" t="str">
        <f aca="false">IF($B91="","",SUM(S91:U91))</f>
        <v/>
      </c>
      <c r="W91" s="112" t="str">
        <f aca="false">IF($B91="","",R91-V91)</f>
        <v/>
      </c>
      <c r="X91" s="90" t="str">
        <f aca="false">IF($B91="","",الموظفون!$Q91*IF(E91="سعودي",cfg_G_SR,cfg_G_NR)*F91/cfg_DAYS_M)</f>
        <v/>
      </c>
      <c r="Y91" s="90" t="str">
        <f aca="false">IF($B91="","",الموظفون!$O91*(cfg_EOS_R1*(MIN(AC91,cfg_EOS_TH)-MIN(AD91,cfg_EOS_TH))+cfg_EOS_R2*(MAX(AC91-cfg_EOS_TH,0)-MAX(AD91-cfg_EOS_TH,0))))</f>
        <v/>
      </c>
      <c r="Z91" s="90" t="str">
        <f aca="false">IF($B91="","",IF(الموظفون!$R91&lt;&gt;"",الموظفون!$R91,IF(AC91&gt;=cfg_LV_TH,cfg_LV_D2,cfg_LV_D1))/cfg_DAYS_Y*AE91*الموظفون!$P91/cfg_DAYS_M)</f>
        <v/>
      </c>
      <c r="AA91" s="90" t="str">
        <f aca="false">IF($B91="","",IF(AND(الموظفون!$S91="نعم",N(الموظفون!$U91)&gt;0),الموظفون!$T91/الموظفون!$U91*12/cfg_DAYS_Y*AE91,0))</f>
        <v/>
      </c>
      <c r="AB91" s="113" t="str">
        <f aca="false">IF($B91="","",R91+SUM(X91:AA91))</f>
        <v/>
      </c>
      <c r="AC91" s="114" t="str">
        <f aca="false">IF($B91="","",MAX(0,IF(OR(الموظفون!$X91="",الموظفون!$X91&gt;$G$3),$G$3,الموظفون!$X91)-الموظفون!$H91+1)/cfg_DAYS_Y)</f>
        <v/>
      </c>
      <c r="AD91" s="114" t="str">
        <f aca="false">IF($B91="","",MAX(0,IF(OR(الموظفون!$X91="",الموظفون!$X91&gt;($E$3-1)),($E$3-1),الموظفون!$X91)-الموظفون!$H91+1)/cfg_DAYS_Y)</f>
        <v/>
      </c>
      <c r="AE91" s="115" t="str">
        <f aca="false">IF($B91="","",MAX(0,IF(OR(الموظفون!$X91="",الموظفون!$X91&gt;$G$3),$G$3,الموظفون!$X91)-MAX($E$3,الموظفون!$H91)+1))</f>
        <v/>
      </c>
    </row>
    <row r="92" customFormat="false" ht="15" hidden="false" customHeight="false" outlineLevel="0" collapsed="false">
      <c r="A92" s="83" t="str">
        <f aca="false">IF($B92="","",الموظفون!$A92)</f>
        <v/>
      </c>
      <c r="B92" s="74" t="str">
        <f aca="false">IF(الموظفون!$B92="","",الموظفون!$B92)</f>
        <v/>
      </c>
      <c r="C92" s="74" t="str">
        <f aca="false">IF($B92="","",الموظفون!$C92)</f>
        <v/>
      </c>
      <c r="D92" s="74" t="str">
        <f aca="false">IF($B92="","",الموظفون!$F92)</f>
        <v/>
      </c>
      <c r="E92" s="74" t="str">
        <f aca="false">IF($B92="","",الموظفون!$E92)</f>
        <v/>
      </c>
      <c r="F92" s="105" t="str">
        <f aca="false">IF($B92="","",IF(AE92&gt;=DAY($G$3),cfg_DAYS_M,MIN(AE92,cfg_DAYS_M)))</f>
        <v/>
      </c>
      <c r="G92" s="105" t="str">
        <f aca="false">IF($B92="","",SUMIFS('الحركات الشهرية'!$D$6:$D$1005,'الحركات الشهرية'!$B$6:$B$1005,$B92,'الحركات الشهرية'!$A$6:$A$1005,$C$3))</f>
        <v/>
      </c>
      <c r="H92" s="105" t="str">
        <f aca="false">IF($B92="","",SUMIFS('الحركات الشهرية'!$E$6:$E$1005,'الحركات الشهرية'!$B$6:$B$1005,$B92,'الحركات الشهرية'!$A$6:$A$1005,$C$3))</f>
        <v/>
      </c>
      <c r="I92" s="105" t="str">
        <f aca="false">IF($B92="","",MAX(0,F92-G92-H92))</f>
        <v/>
      </c>
      <c r="J92" s="86" t="str">
        <f aca="false">IF($B92="","",الموظفون!$J92*$I92/cfg_DAYS_M)</f>
        <v/>
      </c>
      <c r="K92" s="86" t="str">
        <f aca="false">IF($B92="","",الموظفون!$K92*$I92/cfg_DAYS_M)</f>
        <v/>
      </c>
      <c r="L92" s="86" t="str">
        <f aca="false">IF($B92="","",الموظفون!$L92*$I92/cfg_DAYS_M)</f>
        <v/>
      </c>
      <c r="M92" s="86" t="str">
        <f aca="false">IF($B92="","",الموظفون!$M92*$I92/cfg_DAYS_M)</f>
        <v/>
      </c>
      <c r="N92" s="105" t="str">
        <f aca="false">IF($B92="","",SUMIFS('الحركات الشهرية'!$F$6:$F$1005,'الحركات الشهرية'!$B$6:$B$1005,$B92,'الحركات الشهرية'!$A$6:$A$1005,$C$3))</f>
        <v/>
      </c>
      <c r="O92" s="86" t="str">
        <f aca="false">IF($B92="","",N92*(الموظفون!$N92+الموظفون!$J92*cfg_OT_P)/cfg_DAYS_M/cfg_HRS)</f>
        <v/>
      </c>
      <c r="P92" s="86" t="str">
        <f aca="false">IF($B92="","",SUMIFS('الحركات الشهرية'!$G$6:$G$1005,'الحركات الشهرية'!$B$6:$B$1005,$B92,'الحركات الشهرية'!$A$6:$A$1005,$C$3))</f>
        <v/>
      </c>
      <c r="Q92" s="86" t="str">
        <f aca="false">IF($B92="","",SUMIFS('الحركات الشهرية'!$H$6:$H$1005,'الحركات الشهرية'!$B$6:$B$1005,$B92,'الحركات الشهرية'!$A$6:$A$1005,$C$3))</f>
        <v/>
      </c>
      <c r="R92" s="106" t="str">
        <f aca="false">IF($B92="","",SUM(J92:M92)+SUM(O92:Q92))</f>
        <v/>
      </c>
      <c r="S92" s="86" t="str">
        <f aca="false">IF($B92="","",الموظفون!$Q92*IF(E92="سعودي",cfg_G_SE,cfg_G_NE)*F92/cfg_DAYS_M)</f>
        <v/>
      </c>
      <c r="T92" s="86" t="str">
        <f aca="false">IF($B92="","",SUMIFS('الحركات الشهرية'!$I$6:$I$1005,'الحركات الشهرية'!$B$6:$B$1005,$B92,'الحركات الشهرية'!$A$6:$A$1005,$C$3))</f>
        <v/>
      </c>
      <c r="U92" s="86" t="str">
        <f aca="false">IF($B92="","",SUMIFS('الحركات الشهرية'!$J$6:$J$1005,'الحركات الشهرية'!$B$6:$B$1005,$B92,'الحركات الشهرية'!$A$6:$A$1005,$C$3))</f>
        <v/>
      </c>
      <c r="V92" s="86" t="str">
        <f aca="false">IF($B92="","",SUM(S92:U92))</f>
        <v/>
      </c>
      <c r="W92" s="107" t="str">
        <f aca="false">IF($B92="","",R92-V92)</f>
        <v/>
      </c>
      <c r="X92" s="86" t="str">
        <f aca="false">IF($B92="","",الموظفون!$Q92*IF(E92="سعودي",cfg_G_SR,cfg_G_NR)*F92/cfg_DAYS_M)</f>
        <v/>
      </c>
      <c r="Y92" s="86" t="str">
        <f aca="false">IF($B92="","",الموظفون!$O92*(cfg_EOS_R1*(MIN(AC92,cfg_EOS_TH)-MIN(AD92,cfg_EOS_TH))+cfg_EOS_R2*(MAX(AC92-cfg_EOS_TH,0)-MAX(AD92-cfg_EOS_TH,0))))</f>
        <v/>
      </c>
      <c r="Z92" s="86" t="str">
        <f aca="false">IF($B92="","",IF(الموظفون!$R92&lt;&gt;"",الموظفون!$R92,IF(AC92&gt;=cfg_LV_TH,cfg_LV_D2,cfg_LV_D1))/cfg_DAYS_Y*AE92*الموظفون!$P92/cfg_DAYS_M)</f>
        <v/>
      </c>
      <c r="AA92" s="86" t="str">
        <f aca="false">IF($B92="","",IF(AND(الموظفون!$S92="نعم",N(الموظفون!$U92)&gt;0),الموظفون!$T92/الموظفون!$U92*12/cfg_DAYS_Y*AE92,0))</f>
        <v/>
      </c>
      <c r="AB92" s="108" t="str">
        <f aca="false">IF($B92="","",R92+SUM(X92:AA92))</f>
        <v/>
      </c>
      <c r="AC92" s="109" t="str">
        <f aca="false">IF($B92="","",MAX(0,IF(OR(الموظفون!$X92="",الموظفون!$X92&gt;$G$3),$G$3,الموظفون!$X92)-الموظفون!$H92+1)/cfg_DAYS_Y)</f>
        <v/>
      </c>
      <c r="AD92" s="109" t="str">
        <f aca="false">IF($B92="","",MAX(0,IF(OR(الموظفون!$X92="",الموظفون!$X92&gt;($E$3-1)),($E$3-1),الموظفون!$X92)-الموظفون!$H92+1)/cfg_DAYS_Y)</f>
        <v/>
      </c>
      <c r="AE92" s="51" t="str">
        <f aca="false">IF($B92="","",MAX(0,IF(OR(الموظفون!$X92="",الموظفون!$X92&gt;$G$3),$G$3,الموظفون!$X92)-MAX($E$3,الموظفون!$H92)+1))</f>
        <v/>
      </c>
    </row>
    <row r="93" customFormat="false" ht="15" hidden="false" customHeight="false" outlineLevel="0" collapsed="false">
      <c r="A93" s="89" t="str">
        <f aca="false">IF($B93="","",الموظفون!$A93)</f>
        <v/>
      </c>
      <c r="B93" s="91" t="str">
        <f aca="false">IF(الموظفون!$B93="","",الموظفون!$B93)</f>
        <v/>
      </c>
      <c r="C93" s="91" t="str">
        <f aca="false">IF($B93="","",الموظفون!$C93)</f>
        <v/>
      </c>
      <c r="D93" s="91" t="str">
        <f aca="false">IF($B93="","",الموظفون!$F93)</f>
        <v/>
      </c>
      <c r="E93" s="91" t="str">
        <f aca="false">IF($B93="","",الموظفون!$E93)</f>
        <v/>
      </c>
      <c r="F93" s="110" t="str">
        <f aca="false">IF($B93="","",IF(AE93&gt;=DAY($G$3),cfg_DAYS_M,MIN(AE93,cfg_DAYS_M)))</f>
        <v/>
      </c>
      <c r="G93" s="110" t="str">
        <f aca="false">IF($B93="","",SUMIFS('الحركات الشهرية'!$D$6:$D$1005,'الحركات الشهرية'!$B$6:$B$1005,$B93,'الحركات الشهرية'!$A$6:$A$1005,$C$3))</f>
        <v/>
      </c>
      <c r="H93" s="110" t="str">
        <f aca="false">IF($B93="","",SUMIFS('الحركات الشهرية'!$E$6:$E$1005,'الحركات الشهرية'!$B$6:$B$1005,$B93,'الحركات الشهرية'!$A$6:$A$1005,$C$3))</f>
        <v/>
      </c>
      <c r="I93" s="110" t="str">
        <f aca="false">IF($B93="","",MAX(0,F93-G93-H93))</f>
        <v/>
      </c>
      <c r="J93" s="90" t="str">
        <f aca="false">IF($B93="","",الموظفون!$J93*$I93/cfg_DAYS_M)</f>
        <v/>
      </c>
      <c r="K93" s="90" t="str">
        <f aca="false">IF($B93="","",الموظفون!$K93*$I93/cfg_DAYS_M)</f>
        <v/>
      </c>
      <c r="L93" s="90" t="str">
        <f aca="false">IF($B93="","",الموظفون!$L93*$I93/cfg_DAYS_M)</f>
        <v/>
      </c>
      <c r="M93" s="90" t="str">
        <f aca="false">IF($B93="","",الموظفون!$M93*$I93/cfg_DAYS_M)</f>
        <v/>
      </c>
      <c r="N93" s="110" t="str">
        <f aca="false">IF($B93="","",SUMIFS('الحركات الشهرية'!$F$6:$F$1005,'الحركات الشهرية'!$B$6:$B$1005,$B93,'الحركات الشهرية'!$A$6:$A$1005,$C$3))</f>
        <v/>
      </c>
      <c r="O93" s="90" t="str">
        <f aca="false">IF($B93="","",N93*(الموظفون!$N93+الموظفون!$J93*cfg_OT_P)/cfg_DAYS_M/cfg_HRS)</f>
        <v/>
      </c>
      <c r="P93" s="90" t="str">
        <f aca="false">IF($B93="","",SUMIFS('الحركات الشهرية'!$G$6:$G$1005,'الحركات الشهرية'!$B$6:$B$1005,$B93,'الحركات الشهرية'!$A$6:$A$1005,$C$3))</f>
        <v/>
      </c>
      <c r="Q93" s="90" t="str">
        <f aca="false">IF($B93="","",SUMIFS('الحركات الشهرية'!$H$6:$H$1005,'الحركات الشهرية'!$B$6:$B$1005,$B93,'الحركات الشهرية'!$A$6:$A$1005,$C$3))</f>
        <v/>
      </c>
      <c r="R93" s="111" t="str">
        <f aca="false">IF($B93="","",SUM(J93:M93)+SUM(O93:Q93))</f>
        <v/>
      </c>
      <c r="S93" s="90" t="str">
        <f aca="false">IF($B93="","",الموظفون!$Q93*IF(E93="سعودي",cfg_G_SE,cfg_G_NE)*F93/cfg_DAYS_M)</f>
        <v/>
      </c>
      <c r="T93" s="90" t="str">
        <f aca="false">IF($B93="","",SUMIFS('الحركات الشهرية'!$I$6:$I$1005,'الحركات الشهرية'!$B$6:$B$1005,$B93,'الحركات الشهرية'!$A$6:$A$1005,$C$3))</f>
        <v/>
      </c>
      <c r="U93" s="90" t="str">
        <f aca="false">IF($B93="","",SUMIFS('الحركات الشهرية'!$J$6:$J$1005,'الحركات الشهرية'!$B$6:$B$1005,$B93,'الحركات الشهرية'!$A$6:$A$1005,$C$3))</f>
        <v/>
      </c>
      <c r="V93" s="90" t="str">
        <f aca="false">IF($B93="","",SUM(S93:U93))</f>
        <v/>
      </c>
      <c r="W93" s="112" t="str">
        <f aca="false">IF($B93="","",R93-V93)</f>
        <v/>
      </c>
      <c r="X93" s="90" t="str">
        <f aca="false">IF($B93="","",الموظفون!$Q93*IF(E93="سعودي",cfg_G_SR,cfg_G_NR)*F93/cfg_DAYS_M)</f>
        <v/>
      </c>
      <c r="Y93" s="90" t="str">
        <f aca="false">IF($B93="","",الموظفون!$O93*(cfg_EOS_R1*(MIN(AC93,cfg_EOS_TH)-MIN(AD93,cfg_EOS_TH))+cfg_EOS_R2*(MAX(AC93-cfg_EOS_TH,0)-MAX(AD93-cfg_EOS_TH,0))))</f>
        <v/>
      </c>
      <c r="Z93" s="90" t="str">
        <f aca="false">IF($B93="","",IF(الموظفون!$R93&lt;&gt;"",الموظفون!$R93,IF(AC93&gt;=cfg_LV_TH,cfg_LV_D2,cfg_LV_D1))/cfg_DAYS_Y*AE93*الموظفون!$P93/cfg_DAYS_M)</f>
        <v/>
      </c>
      <c r="AA93" s="90" t="str">
        <f aca="false">IF($B93="","",IF(AND(الموظفون!$S93="نعم",N(الموظفون!$U93)&gt;0),الموظفون!$T93/الموظفون!$U93*12/cfg_DAYS_Y*AE93,0))</f>
        <v/>
      </c>
      <c r="AB93" s="113" t="str">
        <f aca="false">IF($B93="","",R93+SUM(X93:AA93))</f>
        <v/>
      </c>
      <c r="AC93" s="114" t="str">
        <f aca="false">IF($B93="","",MAX(0,IF(OR(الموظفون!$X93="",الموظفون!$X93&gt;$G$3),$G$3,الموظفون!$X93)-الموظفون!$H93+1)/cfg_DAYS_Y)</f>
        <v/>
      </c>
      <c r="AD93" s="114" t="str">
        <f aca="false">IF($B93="","",MAX(0,IF(OR(الموظفون!$X93="",الموظفون!$X93&gt;($E$3-1)),($E$3-1),الموظفون!$X93)-الموظفون!$H93+1)/cfg_DAYS_Y)</f>
        <v/>
      </c>
      <c r="AE93" s="115" t="str">
        <f aca="false">IF($B93="","",MAX(0,IF(OR(الموظفون!$X93="",الموظفون!$X93&gt;$G$3),$G$3,الموظفون!$X93)-MAX($E$3,الموظفون!$H93)+1))</f>
        <v/>
      </c>
    </row>
    <row r="94" customFormat="false" ht="15" hidden="false" customHeight="false" outlineLevel="0" collapsed="false">
      <c r="A94" s="83" t="str">
        <f aca="false">IF($B94="","",الموظفون!$A94)</f>
        <v/>
      </c>
      <c r="B94" s="74" t="str">
        <f aca="false">IF(الموظفون!$B94="","",الموظفون!$B94)</f>
        <v/>
      </c>
      <c r="C94" s="74" t="str">
        <f aca="false">IF($B94="","",الموظفون!$C94)</f>
        <v/>
      </c>
      <c r="D94" s="74" t="str">
        <f aca="false">IF($B94="","",الموظفون!$F94)</f>
        <v/>
      </c>
      <c r="E94" s="74" t="str">
        <f aca="false">IF($B94="","",الموظفون!$E94)</f>
        <v/>
      </c>
      <c r="F94" s="105" t="str">
        <f aca="false">IF($B94="","",IF(AE94&gt;=DAY($G$3),cfg_DAYS_M,MIN(AE94,cfg_DAYS_M)))</f>
        <v/>
      </c>
      <c r="G94" s="105" t="str">
        <f aca="false">IF($B94="","",SUMIFS('الحركات الشهرية'!$D$6:$D$1005,'الحركات الشهرية'!$B$6:$B$1005,$B94,'الحركات الشهرية'!$A$6:$A$1005,$C$3))</f>
        <v/>
      </c>
      <c r="H94" s="105" t="str">
        <f aca="false">IF($B94="","",SUMIFS('الحركات الشهرية'!$E$6:$E$1005,'الحركات الشهرية'!$B$6:$B$1005,$B94,'الحركات الشهرية'!$A$6:$A$1005,$C$3))</f>
        <v/>
      </c>
      <c r="I94" s="105" t="str">
        <f aca="false">IF($B94="","",MAX(0,F94-G94-H94))</f>
        <v/>
      </c>
      <c r="J94" s="86" t="str">
        <f aca="false">IF($B94="","",الموظفون!$J94*$I94/cfg_DAYS_M)</f>
        <v/>
      </c>
      <c r="K94" s="86" t="str">
        <f aca="false">IF($B94="","",الموظفون!$K94*$I94/cfg_DAYS_M)</f>
        <v/>
      </c>
      <c r="L94" s="86" t="str">
        <f aca="false">IF($B94="","",الموظفون!$L94*$I94/cfg_DAYS_M)</f>
        <v/>
      </c>
      <c r="M94" s="86" t="str">
        <f aca="false">IF($B94="","",الموظفون!$M94*$I94/cfg_DAYS_M)</f>
        <v/>
      </c>
      <c r="N94" s="105" t="str">
        <f aca="false">IF($B94="","",SUMIFS('الحركات الشهرية'!$F$6:$F$1005,'الحركات الشهرية'!$B$6:$B$1005,$B94,'الحركات الشهرية'!$A$6:$A$1005,$C$3))</f>
        <v/>
      </c>
      <c r="O94" s="86" t="str">
        <f aca="false">IF($B94="","",N94*(الموظفون!$N94+الموظفون!$J94*cfg_OT_P)/cfg_DAYS_M/cfg_HRS)</f>
        <v/>
      </c>
      <c r="P94" s="86" t="str">
        <f aca="false">IF($B94="","",SUMIFS('الحركات الشهرية'!$G$6:$G$1005,'الحركات الشهرية'!$B$6:$B$1005,$B94,'الحركات الشهرية'!$A$6:$A$1005,$C$3))</f>
        <v/>
      </c>
      <c r="Q94" s="86" t="str">
        <f aca="false">IF($B94="","",SUMIFS('الحركات الشهرية'!$H$6:$H$1005,'الحركات الشهرية'!$B$6:$B$1005,$B94,'الحركات الشهرية'!$A$6:$A$1005,$C$3))</f>
        <v/>
      </c>
      <c r="R94" s="106" t="str">
        <f aca="false">IF($B94="","",SUM(J94:M94)+SUM(O94:Q94))</f>
        <v/>
      </c>
      <c r="S94" s="86" t="str">
        <f aca="false">IF($B94="","",الموظفون!$Q94*IF(E94="سعودي",cfg_G_SE,cfg_G_NE)*F94/cfg_DAYS_M)</f>
        <v/>
      </c>
      <c r="T94" s="86" t="str">
        <f aca="false">IF($B94="","",SUMIFS('الحركات الشهرية'!$I$6:$I$1005,'الحركات الشهرية'!$B$6:$B$1005,$B94,'الحركات الشهرية'!$A$6:$A$1005,$C$3))</f>
        <v/>
      </c>
      <c r="U94" s="86" t="str">
        <f aca="false">IF($B94="","",SUMIFS('الحركات الشهرية'!$J$6:$J$1005,'الحركات الشهرية'!$B$6:$B$1005,$B94,'الحركات الشهرية'!$A$6:$A$1005,$C$3))</f>
        <v/>
      </c>
      <c r="V94" s="86" t="str">
        <f aca="false">IF($B94="","",SUM(S94:U94))</f>
        <v/>
      </c>
      <c r="W94" s="107" t="str">
        <f aca="false">IF($B94="","",R94-V94)</f>
        <v/>
      </c>
      <c r="X94" s="86" t="str">
        <f aca="false">IF($B94="","",الموظفون!$Q94*IF(E94="سعودي",cfg_G_SR,cfg_G_NR)*F94/cfg_DAYS_M)</f>
        <v/>
      </c>
      <c r="Y94" s="86" t="str">
        <f aca="false">IF($B94="","",الموظفون!$O94*(cfg_EOS_R1*(MIN(AC94,cfg_EOS_TH)-MIN(AD94,cfg_EOS_TH))+cfg_EOS_R2*(MAX(AC94-cfg_EOS_TH,0)-MAX(AD94-cfg_EOS_TH,0))))</f>
        <v/>
      </c>
      <c r="Z94" s="86" t="str">
        <f aca="false">IF($B94="","",IF(الموظفون!$R94&lt;&gt;"",الموظفون!$R94,IF(AC94&gt;=cfg_LV_TH,cfg_LV_D2,cfg_LV_D1))/cfg_DAYS_Y*AE94*الموظفون!$P94/cfg_DAYS_M)</f>
        <v/>
      </c>
      <c r="AA94" s="86" t="str">
        <f aca="false">IF($B94="","",IF(AND(الموظفون!$S94="نعم",N(الموظفون!$U94)&gt;0),الموظفون!$T94/الموظفون!$U94*12/cfg_DAYS_Y*AE94,0))</f>
        <v/>
      </c>
      <c r="AB94" s="108" t="str">
        <f aca="false">IF($B94="","",R94+SUM(X94:AA94))</f>
        <v/>
      </c>
      <c r="AC94" s="109" t="str">
        <f aca="false">IF($B94="","",MAX(0,IF(OR(الموظفون!$X94="",الموظفون!$X94&gt;$G$3),$G$3,الموظفون!$X94)-الموظفون!$H94+1)/cfg_DAYS_Y)</f>
        <v/>
      </c>
      <c r="AD94" s="109" t="str">
        <f aca="false">IF($B94="","",MAX(0,IF(OR(الموظفون!$X94="",الموظفون!$X94&gt;($E$3-1)),($E$3-1),الموظفون!$X94)-الموظفون!$H94+1)/cfg_DAYS_Y)</f>
        <v/>
      </c>
      <c r="AE94" s="51" t="str">
        <f aca="false">IF($B94="","",MAX(0,IF(OR(الموظفون!$X94="",الموظفون!$X94&gt;$G$3),$G$3,الموظفون!$X94)-MAX($E$3,الموظفون!$H94)+1))</f>
        <v/>
      </c>
    </row>
    <row r="95" customFormat="false" ht="15" hidden="false" customHeight="false" outlineLevel="0" collapsed="false">
      <c r="A95" s="89" t="str">
        <f aca="false">IF($B95="","",الموظفون!$A95)</f>
        <v/>
      </c>
      <c r="B95" s="91" t="str">
        <f aca="false">IF(الموظفون!$B95="","",الموظفون!$B95)</f>
        <v/>
      </c>
      <c r="C95" s="91" t="str">
        <f aca="false">IF($B95="","",الموظفون!$C95)</f>
        <v/>
      </c>
      <c r="D95" s="91" t="str">
        <f aca="false">IF($B95="","",الموظفون!$F95)</f>
        <v/>
      </c>
      <c r="E95" s="91" t="str">
        <f aca="false">IF($B95="","",الموظفون!$E95)</f>
        <v/>
      </c>
      <c r="F95" s="110" t="str">
        <f aca="false">IF($B95="","",IF(AE95&gt;=DAY($G$3),cfg_DAYS_M,MIN(AE95,cfg_DAYS_M)))</f>
        <v/>
      </c>
      <c r="G95" s="110" t="str">
        <f aca="false">IF($B95="","",SUMIFS('الحركات الشهرية'!$D$6:$D$1005,'الحركات الشهرية'!$B$6:$B$1005,$B95,'الحركات الشهرية'!$A$6:$A$1005,$C$3))</f>
        <v/>
      </c>
      <c r="H95" s="110" t="str">
        <f aca="false">IF($B95="","",SUMIFS('الحركات الشهرية'!$E$6:$E$1005,'الحركات الشهرية'!$B$6:$B$1005,$B95,'الحركات الشهرية'!$A$6:$A$1005,$C$3))</f>
        <v/>
      </c>
      <c r="I95" s="110" t="str">
        <f aca="false">IF($B95="","",MAX(0,F95-G95-H95))</f>
        <v/>
      </c>
      <c r="J95" s="90" t="str">
        <f aca="false">IF($B95="","",الموظفون!$J95*$I95/cfg_DAYS_M)</f>
        <v/>
      </c>
      <c r="K95" s="90" t="str">
        <f aca="false">IF($B95="","",الموظفون!$K95*$I95/cfg_DAYS_M)</f>
        <v/>
      </c>
      <c r="L95" s="90" t="str">
        <f aca="false">IF($B95="","",الموظفون!$L95*$I95/cfg_DAYS_M)</f>
        <v/>
      </c>
      <c r="M95" s="90" t="str">
        <f aca="false">IF($B95="","",الموظفون!$M95*$I95/cfg_DAYS_M)</f>
        <v/>
      </c>
      <c r="N95" s="110" t="str">
        <f aca="false">IF($B95="","",SUMIFS('الحركات الشهرية'!$F$6:$F$1005,'الحركات الشهرية'!$B$6:$B$1005,$B95,'الحركات الشهرية'!$A$6:$A$1005,$C$3))</f>
        <v/>
      </c>
      <c r="O95" s="90" t="str">
        <f aca="false">IF($B95="","",N95*(الموظفون!$N95+الموظفون!$J95*cfg_OT_P)/cfg_DAYS_M/cfg_HRS)</f>
        <v/>
      </c>
      <c r="P95" s="90" t="str">
        <f aca="false">IF($B95="","",SUMIFS('الحركات الشهرية'!$G$6:$G$1005,'الحركات الشهرية'!$B$6:$B$1005,$B95,'الحركات الشهرية'!$A$6:$A$1005,$C$3))</f>
        <v/>
      </c>
      <c r="Q95" s="90" t="str">
        <f aca="false">IF($B95="","",SUMIFS('الحركات الشهرية'!$H$6:$H$1005,'الحركات الشهرية'!$B$6:$B$1005,$B95,'الحركات الشهرية'!$A$6:$A$1005,$C$3))</f>
        <v/>
      </c>
      <c r="R95" s="111" t="str">
        <f aca="false">IF($B95="","",SUM(J95:M95)+SUM(O95:Q95))</f>
        <v/>
      </c>
      <c r="S95" s="90" t="str">
        <f aca="false">IF($B95="","",الموظفون!$Q95*IF(E95="سعودي",cfg_G_SE,cfg_G_NE)*F95/cfg_DAYS_M)</f>
        <v/>
      </c>
      <c r="T95" s="90" t="str">
        <f aca="false">IF($B95="","",SUMIFS('الحركات الشهرية'!$I$6:$I$1005,'الحركات الشهرية'!$B$6:$B$1005,$B95,'الحركات الشهرية'!$A$6:$A$1005,$C$3))</f>
        <v/>
      </c>
      <c r="U95" s="90" t="str">
        <f aca="false">IF($B95="","",SUMIFS('الحركات الشهرية'!$J$6:$J$1005,'الحركات الشهرية'!$B$6:$B$1005,$B95,'الحركات الشهرية'!$A$6:$A$1005,$C$3))</f>
        <v/>
      </c>
      <c r="V95" s="90" t="str">
        <f aca="false">IF($B95="","",SUM(S95:U95))</f>
        <v/>
      </c>
      <c r="W95" s="112" t="str">
        <f aca="false">IF($B95="","",R95-V95)</f>
        <v/>
      </c>
      <c r="X95" s="90" t="str">
        <f aca="false">IF($B95="","",الموظفون!$Q95*IF(E95="سعودي",cfg_G_SR,cfg_G_NR)*F95/cfg_DAYS_M)</f>
        <v/>
      </c>
      <c r="Y95" s="90" t="str">
        <f aca="false">IF($B95="","",الموظفون!$O95*(cfg_EOS_R1*(MIN(AC95,cfg_EOS_TH)-MIN(AD95,cfg_EOS_TH))+cfg_EOS_R2*(MAX(AC95-cfg_EOS_TH,0)-MAX(AD95-cfg_EOS_TH,0))))</f>
        <v/>
      </c>
      <c r="Z95" s="90" t="str">
        <f aca="false">IF($B95="","",IF(الموظفون!$R95&lt;&gt;"",الموظفون!$R95,IF(AC95&gt;=cfg_LV_TH,cfg_LV_D2,cfg_LV_D1))/cfg_DAYS_Y*AE95*الموظفون!$P95/cfg_DAYS_M)</f>
        <v/>
      </c>
      <c r="AA95" s="90" t="str">
        <f aca="false">IF($B95="","",IF(AND(الموظفون!$S95="نعم",N(الموظفون!$U95)&gt;0),الموظفون!$T95/الموظفون!$U95*12/cfg_DAYS_Y*AE95,0))</f>
        <v/>
      </c>
      <c r="AB95" s="113" t="str">
        <f aca="false">IF($B95="","",R95+SUM(X95:AA95))</f>
        <v/>
      </c>
      <c r="AC95" s="114" t="str">
        <f aca="false">IF($B95="","",MAX(0,IF(OR(الموظفون!$X95="",الموظفون!$X95&gt;$G$3),$G$3,الموظفون!$X95)-الموظفون!$H95+1)/cfg_DAYS_Y)</f>
        <v/>
      </c>
      <c r="AD95" s="114" t="str">
        <f aca="false">IF($B95="","",MAX(0,IF(OR(الموظفون!$X95="",الموظفون!$X95&gt;($E$3-1)),($E$3-1),الموظفون!$X95)-الموظفون!$H95+1)/cfg_DAYS_Y)</f>
        <v/>
      </c>
      <c r="AE95" s="115" t="str">
        <f aca="false">IF($B95="","",MAX(0,IF(OR(الموظفون!$X95="",الموظفون!$X95&gt;$G$3),$G$3,الموظفون!$X95)-MAX($E$3,الموظفون!$H95)+1))</f>
        <v/>
      </c>
    </row>
    <row r="96" customFormat="false" ht="15" hidden="false" customHeight="false" outlineLevel="0" collapsed="false">
      <c r="A96" s="83" t="str">
        <f aca="false">IF($B96="","",الموظفون!$A96)</f>
        <v/>
      </c>
      <c r="B96" s="74" t="str">
        <f aca="false">IF(الموظفون!$B96="","",الموظفون!$B96)</f>
        <v/>
      </c>
      <c r="C96" s="74" t="str">
        <f aca="false">IF($B96="","",الموظفون!$C96)</f>
        <v/>
      </c>
      <c r="D96" s="74" t="str">
        <f aca="false">IF($B96="","",الموظفون!$F96)</f>
        <v/>
      </c>
      <c r="E96" s="74" t="str">
        <f aca="false">IF($B96="","",الموظفون!$E96)</f>
        <v/>
      </c>
      <c r="F96" s="105" t="str">
        <f aca="false">IF($B96="","",IF(AE96&gt;=DAY($G$3),cfg_DAYS_M,MIN(AE96,cfg_DAYS_M)))</f>
        <v/>
      </c>
      <c r="G96" s="105" t="str">
        <f aca="false">IF($B96="","",SUMIFS('الحركات الشهرية'!$D$6:$D$1005,'الحركات الشهرية'!$B$6:$B$1005,$B96,'الحركات الشهرية'!$A$6:$A$1005,$C$3))</f>
        <v/>
      </c>
      <c r="H96" s="105" t="str">
        <f aca="false">IF($B96="","",SUMIFS('الحركات الشهرية'!$E$6:$E$1005,'الحركات الشهرية'!$B$6:$B$1005,$B96,'الحركات الشهرية'!$A$6:$A$1005,$C$3))</f>
        <v/>
      </c>
      <c r="I96" s="105" t="str">
        <f aca="false">IF($B96="","",MAX(0,F96-G96-H96))</f>
        <v/>
      </c>
      <c r="J96" s="86" t="str">
        <f aca="false">IF($B96="","",الموظفون!$J96*$I96/cfg_DAYS_M)</f>
        <v/>
      </c>
      <c r="K96" s="86" t="str">
        <f aca="false">IF($B96="","",الموظفون!$K96*$I96/cfg_DAYS_M)</f>
        <v/>
      </c>
      <c r="L96" s="86" t="str">
        <f aca="false">IF($B96="","",الموظفون!$L96*$I96/cfg_DAYS_M)</f>
        <v/>
      </c>
      <c r="M96" s="86" t="str">
        <f aca="false">IF($B96="","",الموظفون!$M96*$I96/cfg_DAYS_M)</f>
        <v/>
      </c>
      <c r="N96" s="105" t="str">
        <f aca="false">IF($B96="","",SUMIFS('الحركات الشهرية'!$F$6:$F$1005,'الحركات الشهرية'!$B$6:$B$1005,$B96,'الحركات الشهرية'!$A$6:$A$1005,$C$3))</f>
        <v/>
      </c>
      <c r="O96" s="86" t="str">
        <f aca="false">IF($B96="","",N96*(الموظفون!$N96+الموظفون!$J96*cfg_OT_P)/cfg_DAYS_M/cfg_HRS)</f>
        <v/>
      </c>
      <c r="P96" s="86" t="str">
        <f aca="false">IF($B96="","",SUMIFS('الحركات الشهرية'!$G$6:$G$1005,'الحركات الشهرية'!$B$6:$B$1005,$B96,'الحركات الشهرية'!$A$6:$A$1005,$C$3))</f>
        <v/>
      </c>
      <c r="Q96" s="86" t="str">
        <f aca="false">IF($B96="","",SUMIFS('الحركات الشهرية'!$H$6:$H$1005,'الحركات الشهرية'!$B$6:$B$1005,$B96,'الحركات الشهرية'!$A$6:$A$1005,$C$3))</f>
        <v/>
      </c>
      <c r="R96" s="106" t="str">
        <f aca="false">IF($B96="","",SUM(J96:M96)+SUM(O96:Q96))</f>
        <v/>
      </c>
      <c r="S96" s="86" t="str">
        <f aca="false">IF($B96="","",الموظفون!$Q96*IF(E96="سعودي",cfg_G_SE,cfg_G_NE)*F96/cfg_DAYS_M)</f>
        <v/>
      </c>
      <c r="T96" s="86" t="str">
        <f aca="false">IF($B96="","",SUMIFS('الحركات الشهرية'!$I$6:$I$1005,'الحركات الشهرية'!$B$6:$B$1005,$B96,'الحركات الشهرية'!$A$6:$A$1005,$C$3))</f>
        <v/>
      </c>
      <c r="U96" s="86" t="str">
        <f aca="false">IF($B96="","",SUMIFS('الحركات الشهرية'!$J$6:$J$1005,'الحركات الشهرية'!$B$6:$B$1005,$B96,'الحركات الشهرية'!$A$6:$A$1005,$C$3))</f>
        <v/>
      </c>
      <c r="V96" s="86" t="str">
        <f aca="false">IF($B96="","",SUM(S96:U96))</f>
        <v/>
      </c>
      <c r="W96" s="107" t="str">
        <f aca="false">IF($B96="","",R96-V96)</f>
        <v/>
      </c>
      <c r="X96" s="86" t="str">
        <f aca="false">IF($B96="","",الموظفون!$Q96*IF(E96="سعودي",cfg_G_SR,cfg_G_NR)*F96/cfg_DAYS_M)</f>
        <v/>
      </c>
      <c r="Y96" s="86" t="str">
        <f aca="false">IF($B96="","",الموظفون!$O96*(cfg_EOS_R1*(MIN(AC96,cfg_EOS_TH)-MIN(AD96,cfg_EOS_TH))+cfg_EOS_R2*(MAX(AC96-cfg_EOS_TH,0)-MAX(AD96-cfg_EOS_TH,0))))</f>
        <v/>
      </c>
      <c r="Z96" s="86" t="str">
        <f aca="false">IF($B96="","",IF(الموظفون!$R96&lt;&gt;"",الموظفون!$R96,IF(AC96&gt;=cfg_LV_TH,cfg_LV_D2,cfg_LV_D1))/cfg_DAYS_Y*AE96*الموظفون!$P96/cfg_DAYS_M)</f>
        <v/>
      </c>
      <c r="AA96" s="86" t="str">
        <f aca="false">IF($B96="","",IF(AND(الموظفون!$S96="نعم",N(الموظفون!$U96)&gt;0),الموظفون!$T96/الموظفون!$U96*12/cfg_DAYS_Y*AE96,0))</f>
        <v/>
      </c>
      <c r="AB96" s="108" t="str">
        <f aca="false">IF($B96="","",R96+SUM(X96:AA96))</f>
        <v/>
      </c>
      <c r="AC96" s="109" t="str">
        <f aca="false">IF($B96="","",MAX(0,IF(OR(الموظفون!$X96="",الموظفون!$X96&gt;$G$3),$G$3,الموظفون!$X96)-الموظفون!$H96+1)/cfg_DAYS_Y)</f>
        <v/>
      </c>
      <c r="AD96" s="109" t="str">
        <f aca="false">IF($B96="","",MAX(0,IF(OR(الموظفون!$X96="",الموظفون!$X96&gt;($E$3-1)),($E$3-1),الموظفون!$X96)-الموظفون!$H96+1)/cfg_DAYS_Y)</f>
        <v/>
      </c>
      <c r="AE96" s="51" t="str">
        <f aca="false">IF($B96="","",MAX(0,IF(OR(الموظفون!$X96="",الموظفون!$X96&gt;$G$3),$G$3,الموظفون!$X96)-MAX($E$3,الموظفون!$H96)+1))</f>
        <v/>
      </c>
    </row>
    <row r="97" customFormat="false" ht="15" hidden="false" customHeight="false" outlineLevel="0" collapsed="false">
      <c r="A97" s="89" t="str">
        <f aca="false">IF($B97="","",الموظفون!$A97)</f>
        <v/>
      </c>
      <c r="B97" s="91" t="str">
        <f aca="false">IF(الموظفون!$B97="","",الموظفون!$B97)</f>
        <v/>
      </c>
      <c r="C97" s="91" t="str">
        <f aca="false">IF($B97="","",الموظفون!$C97)</f>
        <v/>
      </c>
      <c r="D97" s="91" t="str">
        <f aca="false">IF($B97="","",الموظفون!$F97)</f>
        <v/>
      </c>
      <c r="E97" s="91" t="str">
        <f aca="false">IF($B97="","",الموظفون!$E97)</f>
        <v/>
      </c>
      <c r="F97" s="110" t="str">
        <f aca="false">IF($B97="","",IF(AE97&gt;=DAY($G$3),cfg_DAYS_M,MIN(AE97,cfg_DAYS_M)))</f>
        <v/>
      </c>
      <c r="G97" s="110" t="str">
        <f aca="false">IF($B97="","",SUMIFS('الحركات الشهرية'!$D$6:$D$1005,'الحركات الشهرية'!$B$6:$B$1005,$B97,'الحركات الشهرية'!$A$6:$A$1005,$C$3))</f>
        <v/>
      </c>
      <c r="H97" s="110" t="str">
        <f aca="false">IF($B97="","",SUMIFS('الحركات الشهرية'!$E$6:$E$1005,'الحركات الشهرية'!$B$6:$B$1005,$B97,'الحركات الشهرية'!$A$6:$A$1005,$C$3))</f>
        <v/>
      </c>
      <c r="I97" s="110" t="str">
        <f aca="false">IF($B97="","",MAX(0,F97-G97-H97))</f>
        <v/>
      </c>
      <c r="J97" s="90" t="str">
        <f aca="false">IF($B97="","",الموظفون!$J97*$I97/cfg_DAYS_M)</f>
        <v/>
      </c>
      <c r="K97" s="90" t="str">
        <f aca="false">IF($B97="","",الموظفون!$K97*$I97/cfg_DAYS_M)</f>
        <v/>
      </c>
      <c r="L97" s="90" t="str">
        <f aca="false">IF($B97="","",الموظفون!$L97*$I97/cfg_DAYS_M)</f>
        <v/>
      </c>
      <c r="M97" s="90" t="str">
        <f aca="false">IF($B97="","",الموظفون!$M97*$I97/cfg_DAYS_M)</f>
        <v/>
      </c>
      <c r="N97" s="110" t="str">
        <f aca="false">IF($B97="","",SUMIFS('الحركات الشهرية'!$F$6:$F$1005,'الحركات الشهرية'!$B$6:$B$1005,$B97,'الحركات الشهرية'!$A$6:$A$1005,$C$3))</f>
        <v/>
      </c>
      <c r="O97" s="90" t="str">
        <f aca="false">IF($B97="","",N97*(الموظفون!$N97+الموظفون!$J97*cfg_OT_P)/cfg_DAYS_M/cfg_HRS)</f>
        <v/>
      </c>
      <c r="P97" s="90" t="str">
        <f aca="false">IF($B97="","",SUMIFS('الحركات الشهرية'!$G$6:$G$1005,'الحركات الشهرية'!$B$6:$B$1005,$B97,'الحركات الشهرية'!$A$6:$A$1005,$C$3))</f>
        <v/>
      </c>
      <c r="Q97" s="90" t="str">
        <f aca="false">IF($B97="","",SUMIFS('الحركات الشهرية'!$H$6:$H$1005,'الحركات الشهرية'!$B$6:$B$1005,$B97,'الحركات الشهرية'!$A$6:$A$1005,$C$3))</f>
        <v/>
      </c>
      <c r="R97" s="111" t="str">
        <f aca="false">IF($B97="","",SUM(J97:M97)+SUM(O97:Q97))</f>
        <v/>
      </c>
      <c r="S97" s="90" t="str">
        <f aca="false">IF($B97="","",الموظفون!$Q97*IF(E97="سعودي",cfg_G_SE,cfg_G_NE)*F97/cfg_DAYS_M)</f>
        <v/>
      </c>
      <c r="T97" s="90" t="str">
        <f aca="false">IF($B97="","",SUMIFS('الحركات الشهرية'!$I$6:$I$1005,'الحركات الشهرية'!$B$6:$B$1005,$B97,'الحركات الشهرية'!$A$6:$A$1005,$C$3))</f>
        <v/>
      </c>
      <c r="U97" s="90" t="str">
        <f aca="false">IF($B97="","",SUMIFS('الحركات الشهرية'!$J$6:$J$1005,'الحركات الشهرية'!$B$6:$B$1005,$B97,'الحركات الشهرية'!$A$6:$A$1005,$C$3))</f>
        <v/>
      </c>
      <c r="V97" s="90" t="str">
        <f aca="false">IF($B97="","",SUM(S97:U97))</f>
        <v/>
      </c>
      <c r="W97" s="112" t="str">
        <f aca="false">IF($B97="","",R97-V97)</f>
        <v/>
      </c>
      <c r="X97" s="90" t="str">
        <f aca="false">IF($B97="","",الموظفون!$Q97*IF(E97="سعودي",cfg_G_SR,cfg_G_NR)*F97/cfg_DAYS_M)</f>
        <v/>
      </c>
      <c r="Y97" s="90" t="str">
        <f aca="false">IF($B97="","",الموظفون!$O97*(cfg_EOS_R1*(MIN(AC97,cfg_EOS_TH)-MIN(AD97,cfg_EOS_TH))+cfg_EOS_R2*(MAX(AC97-cfg_EOS_TH,0)-MAX(AD97-cfg_EOS_TH,0))))</f>
        <v/>
      </c>
      <c r="Z97" s="90" t="str">
        <f aca="false">IF($B97="","",IF(الموظفون!$R97&lt;&gt;"",الموظفون!$R97,IF(AC97&gt;=cfg_LV_TH,cfg_LV_D2,cfg_LV_D1))/cfg_DAYS_Y*AE97*الموظفون!$P97/cfg_DAYS_M)</f>
        <v/>
      </c>
      <c r="AA97" s="90" t="str">
        <f aca="false">IF($B97="","",IF(AND(الموظفون!$S97="نعم",N(الموظفون!$U97)&gt;0),الموظفون!$T97/الموظفون!$U97*12/cfg_DAYS_Y*AE97,0))</f>
        <v/>
      </c>
      <c r="AB97" s="113" t="str">
        <f aca="false">IF($B97="","",R97+SUM(X97:AA97))</f>
        <v/>
      </c>
      <c r="AC97" s="114" t="str">
        <f aca="false">IF($B97="","",MAX(0,IF(OR(الموظفون!$X97="",الموظفون!$X97&gt;$G$3),$G$3,الموظفون!$X97)-الموظفون!$H97+1)/cfg_DAYS_Y)</f>
        <v/>
      </c>
      <c r="AD97" s="114" t="str">
        <f aca="false">IF($B97="","",MAX(0,IF(OR(الموظفون!$X97="",الموظفون!$X97&gt;($E$3-1)),($E$3-1),الموظفون!$X97)-الموظفون!$H97+1)/cfg_DAYS_Y)</f>
        <v/>
      </c>
      <c r="AE97" s="115" t="str">
        <f aca="false">IF($B97="","",MAX(0,IF(OR(الموظفون!$X97="",الموظفون!$X97&gt;$G$3),$G$3,الموظفون!$X97)-MAX($E$3,الموظفون!$H97)+1))</f>
        <v/>
      </c>
    </row>
    <row r="98" customFormat="false" ht="15" hidden="false" customHeight="false" outlineLevel="0" collapsed="false">
      <c r="A98" s="83" t="str">
        <f aca="false">IF($B98="","",الموظفون!$A98)</f>
        <v/>
      </c>
      <c r="B98" s="74" t="str">
        <f aca="false">IF(الموظفون!$B98="","",الموظفون!$B98)</f>
        <v/>
      </c>
      <c r="C98" s="74" t="str">
        <f aca="false">IF($B98="","",الموظفون!$C98)</f>
        <v/>
      </c>
      <c r="D98" s="74" t="str">
        <f aca="false">IF($B98="","",الموظفون!$F98)</f>
        <v/>
      </c>
      <c r="E98" s="74" t="str">
        <f aca="false">IF($B98="","",الموظفون!$E98)</f>
        <v/>
      </c>
      <c r="F98" s="105" t="str">
        <f aca="false">IF($B98="","",IF(AE98&gt;=DAY($G$3),cfg_DAYS_M,MIN(AE98,cfg_DAYS_M)))</f>
        <v/>
      </c>
      <c r="G98" s="105" t="str">
        <f aca="false">IF($B98="","",SUMIFS('الحركات الشهرية'!$D$6:$D$1005,'الحركات الشهرية'!$B$6:$B$1005,$B98,'الحركات الشهرية'!$A$6:$A$1005,$C$3))</f>
        <v/>
      </c>
      <c r="H98" s="105" t="str">
        <f aca="false">IF($B98="","",SUMIFS('الحركات الشهرية'!$E$6:$E$1005,'الحركات الشهرية'!$B$6:$B$1005,$B98,'الحركات الشهرية'!$A$6:$A$1005,$C$3))</f>
        <v/>
      </c>
      <c r="I98" s="105" t="str">
        <f aca="false">IF($B98="","",MAX(0,F98-G98-H98))</f>
        <v/>
      </c>
      <c r="J98" s="86" t="str">
        <f aca="false">IF($B98="","",الموظفون!$J98*$I98/cfg_DAYS_M)</f>
        <v/>
      </c>
      <c r="K98" s="86" t="str">
        <f aca="false">IF($B98="","",الموظفون!$K98*$I98/cfg_DAYS_M)</f>
        <v/>
      </c>
      <c r="L98" s="86" t="str">
        <f aca="false">IF($B98="","",الموظفون!$L98*$I98/cfg_DAYS_M)</f>
        <v/>
      </c>
      <c r="M98" s="86" t="str">
        <f aca="false">IF($B98="","",الموظفون!$M98*$I98/cfg_DAYS_M)</f>
        <v/>
      </c>
      <c r="N98" s="105" t="str">
        <f aca="false">IF($B98="","",SUMIFS('الحركات الشهرية'!$F$6:$F$1005,'الحركات الشهرية'!$B$6:$B$1005,$B98,'الحركات الشهرية'!$A$6:$A$1005,$C$3))</f>
        <v/>
      </c>
      <c r="O98" s="86" t="str">
        <f aca="false">IF($B98="","",N98*(الموظفون!$N98+الموظفون!$J98*cfg_OT_P)/cfg_DAYS_M/cfg_HRS)</f>
        <v/>
      </c>
      <c r="P98" s="86" t="str">
        <f aca="false">IF($B98="","",SUMIFS('الحركات الشهرية'!$G$6:$G$1005,'الحركات الشهرية'!$B$6:$B$1005,$B98,'الحركات الشهرية'!$A$6:$A$1005,$C$3))</f>
        <v/>
      </c>
      <c r="Q98" s="86" t="str">
        <f aca="false">IF($B98="","",SUMIFS('الحركات الشهرية'!$H$6:$H$1005,'الحركات الشهرية'!$B$6:$B$1005,$B98,'الحركات الشهرية'!$A$6:$A$1005,$C$3))</f>
        <v/>
      </c>
      <c r="R98" s="106" t="str">
        <f aca="false">IF($B98="","",SUM(J98:M98)+SUM(O98:Q98))</f>
        <v/>
      </c>
      <c r="S98" s="86" t="str">
        <f aca="false">IF($B98="","",الموظفون!$Q98*IF(E98="سعودي",cfg_G_SE,cfg_G_NE)*F98/cfg_DAYS_M)</f>
        <v/>
      </c>
      <c r="T98" s="86" t="str">
        <f aca="false">IF($B98="","",SUMIFS('الحركات الشهرية'!$I$6:$I$1005,'الحركات الشهرية'!$B$6:$B$1005,$B98,'الحركات الشهرية'!$A$6:$A$1005,$C$3))</f>
        <v/>
      </c>
      <c r="U98" s="86" t="str">
        <f aca="false">IF($B98="","",SUMIFS('الحركات الشهرية'!$J$6:$J$1005,'الحركات الشهرية'!$B$6:$B$1005,$B98,'الحركات الشهرية'!$A$6:$A$1005,$C$3))</f>
        <v/>
      </c>
      <c r="V98" s="86" t="str">
        <f aca="false">IF($B98="","",SUM(S98:U98))</f>
        <v/>
      </c>
      <c r="W98" s="107" t="str">
        <f aca="false">IF($B98="","",R98-V98)</f>
        <v/>
      </c>
      <c r="X98" s="86" t="str">
        <f aca="false">IF($B98="","",الموظفون!$Q98*IF(E98="سعودي",cfg_G_SR,cfg_G_NR)*F98/cfg_DAYS_M)</f>
        <v/>
      </c>
      <c r="Y98" s="86" t="str">
        <f aca="false">IF($B98="","",الموظفون!$O98*(cfg_EOS_R1*(MIN(AC98,cfg_EOS_TH)-MIN(AD98,cfg_EOS_TH))+cfg_EOS_R2*(MAX(AC98-cfg_EOS_TH,0)-MAX(AD98-cfg_EOS_TH,0))))</f>
        <v/>
      </c>
      <c r="Z98" s="86" t="str">
        <f aca="false">IF($B98="","",IF(الموظفون!$R98&lt;&gt;"",الموظفون!$R98,IF(AC98&gt;=cfg_LV_TH,cfg_LV_D2,cfg_LV_D1))/cfg_DAYS_Y*AE98*الموظفون!$P98/cfg_DAYS_M)</f>
        <v/>
      </c>
      <c r="AA98" s="86" t="str">
        <f aca="false">IF($B98="","",IF(AND(الموظفون!$S98="نعم",N(الموظفون!$U98)&gt;0),الموظفون!$T98/الموظفون!$U98*12/cfg_DAYS_Y*AE98,0))</f>
        <v/>
      </c>
      <c r="AB98" s="108" t="str">
        <f aca="false">IF($B98="","",R98+SUM(X98:AA98))</f>
        <v/>
      </c>
      <c r="AC98" s="109" t="str">
        <f aca="false">IF($B98="","",MAX(0,IF(OR(الموظفون!$X98="",الموظفون!$X98&gt;$G$3),$G$3,الموظفون!$X98)-الموظفون!$H98+1)/cfg_DAYS_Y)</f>
        <v/>
      </c>
      <c r="AD98" s="109" t="str">
        <f aca="false">IF($B98="","",MAX(0,IF(OR(الموظفون!$X98="",الموظفون!$X98&gt;($E$3-1)),($E$3-1),الموظفون!$X98)-الموظفون!$H98+1)/cfg_DAYS_Y)</f>
        <v/>
      </c>
      <c r="AE98" s="51" t="str">
        <f aca="false">IF($B98="","",MAX(0,IF(OR(الموظفون!$X98="",الموظفون!$X98&gt;$G$3),$G$3,الموظفون!$X98)-MAX($E$3,الموظفون!$H98)+1))</f>
        <v/>
      </c>
    </row>
    <row r="99" customFormat="false" ht="15" hidden="false" customHeight="false" outlineLevel="0" collapsed="false">
      <c r="A99" s="89" t="str">
        <f aca="false">IF($B99="","",الموظفون!$A99)</f>
        <v/>
      </c>
      <c r="B99" s="91" t="str">
        <f aca="false">IF(الموظفون!$B99="","",الموظفون!$B99)</f>
        <v/>
      </c>
      <c r="C99" s="91" t="str">
        <f aca="false">IF($B99="","",الموظفون!$C99)</f>
        <v/>
      </c>
      <c r="D99" s="91" t="str">
        <f aca="false">IF($B99="","",الموظفون!$F99)</f>
        <v/>
      </c>
      <c r="E99" s="91" t="str">
        <f aca="false">IF($B99="","",الموظفون!$E99)</f>
        <v/>
      </c>
      <c r="F99" s="110" t="str">
        <f aca="false">IF($B99="","",IF(AE99&gt;=DAY($G$3),cfg_DAYS_M,MIN(AE99,cfg_DAYS_M)))</f>
        <v/>
      </c>
      <c r="G99" s="110" t="str">
        <f aca="false">IF($B99="","",SUMIFS('الحركات الشهرية'!$D$6:$D$1005,'الحركات الشهرية'!$B$6:$B$1005,$B99,'الحركات الشهرية'!$A$6:$A$1005,$C$3))</f>
        <v/>
      </c>
      <c r="H99" s="110" t="str">
        <f aca="false">IF($B99="","",SUMIFS('الحركات الشهرية'!$E$6:$E$1005,'الحركات الشهرية'!$B$6:$B$1005,$B99,'الحركات الشهرية'!$A$6:$A$1005,$C$3))</f>
        <v/>
      </c>
      <c r="I99" s="110" t="str">
        <f aca="false">IF($B99="","",MAX(0,F99-G99-H99))</f>
        <v/>
      </c>
      <c r="J99" s="90" t="str">
        <f aca="false">IF($B99="","",الموظفون!$J99*$I99/cfg_DAYS_M)</f>
        <v/>
      </c>
      <c r="K99" s="90" t="str">
        <f aca="false">IF($B99="","",الموظفون!$K99*$I99/cfg_DAYS_M)</f>
        <v/>
      </c>
      <c r="L99" s="90" t="str">
        <f aca="false">IF($B99="","",الموظفون!$L99*$I99/cfg_DAYS_M)</f>
        <v/>
      </c>
      <c r="M99" s="90" t="str">
        <f aca="false">IF($B99="","",الموظفون!$M99*$I99/cfg_DAYS_M)</f>
        <v/>
      </c>
      <c r="N99" s="110" t="str">
        <f aca="false">IF($B99="","",SUMIFS('الحركات الشهرية'!$F$6:$F$1005,'الحركات الشهرية'!$B$6:$B$1005,$B99,'الحركات الشهرية'!$A$6:$A$1005,$C$3))</f>
        <v/>
      </c>
      <c r="O99" s="90" t="str">
        <f aca="false">IF($B99="","",N99*(الموظفون!$N99+الموظفون!$J99*cfg_OT_P)/cfg_DAYS_M/cfg_HRS)</f>
        <v/>
      </c>
      <c r="P99" s="90" t="str">
        <f aca="false">IF($B99="","",SUMIFS('الحركات الشهرية'!$G$6:$G$1005,'الحركات الشهرية'!$B$6:$B$1005,$B99,'الحركات الشهرية'!$A$6:$A$1005,$C$3))</f>
        <v/>
      </c>
      <c r="Q99" s="90" t="str">
        <f aca="false">IF($B99="","",SUMIFS('الحركات الشهرية'!$H$6:$H$1005,'الحركات الشهرية'!$B$6:$B$1005,$B99,'الحركات الشهرية'!$A$6:$A$1005,$C$3))</f>
        <v/>
      </c>
      <c r="R99" s="111" t="str">
        <f aca="false">IF($B99="","",SUM(J99:M99)+SUM(O99:Q99))</f>
        <v/>
      </c>
      <c r="S99" s="90" t="str">
        <f aca="false">IF($B99="","",الموظفون!$Q99*IF(E99="سعودي",cfg_G_SE,cfg_G_NE)*F99/cfg_DAYS_M)</f>
        <v/>
      </c>
      <c r="T99" s="90" t="str">
        <f aca="false">IF($B99="","",SUMIFS('الحركات الشهرية'!$I$6:$I$1005,'الحركات الشهرية'!$B$6:$B$1005,$B99,'الحركات الشهرية'!$A$6:$A$1005,$C$3))</f>
        <v/>
      </c>
      <c r="U99" s="90" t="str">
        <f aca="false">IF($B99="","",SUMIFS('الحركات الشهرية'!$J$6:$J$1005,'الحركات الشهرية'!$B$6:$B$1005,$B99,'الحركات الشهرية'!$A$6:$A$1005,$C$3))</f>
        <v/>
      </c>
      <c r="V99" s="90" t="str">
        <f aca="false">IF($B99="","",SUM(S99:U99))</f>
        <v/>
      </c>
      <c r="W99" s="112" t="str">
        <f aca="false">IF($B99="","",R99-V99)</f>
        <v/>
      </c>
      <c r="X99" s="90" t="str">
        <f aca="false">IF($B99="","",الموظفون!$Q99*IF(E99="سعودي",cfg_G_SR,cfg_G_NR)*F99/cfg_DAYS_M)</f>
        <v/>
      </c>
      <c r="Y99" s="90" t="str">
        <f aca="false">IF($B99="","",الموظفون!$O99*(cfg_EOS_R1*(MIN(AC99,cfg_EOS_TH)-MIN(AD99,cfg_EOS_TH))+cfg_EOS_R2*(MAX(AC99-cfg_EOS_TH,0)-MAX(AD99-cfg_EOS_TH,0))))</f>
        <v/>
      </c>
      <c r="Z99" s="90" t="str">
        <f aca="false">IF($B99="","",IF(الموظفون!$R99&lt;&gt;"",الموظفون!$R99,IF(AC99&gt;=cfg_LV_TH,cfg_LV_D2,cfg_LV_D1))/cfg_DAYS_Y*AE99*الموظفون!$P99/cfg_DAYS_M)</f>
        <v/>
      </c>
      <c r="AA99" s="90" t="str">
        <f aca="false">IF($B99="","",IF(AND(الموظفون!$S99="نعم",N(الموظفون!$U99)&gt;0),الموظفون!$T99/الموظفون!$U99*12/cfg_DAYS_Y*AE99,0))</f>
        <v/>
      </c>
      <c r="AB99" s="113" t="str">
        <f aca="false">IF($B99="","",R99+SUM(X99:AA99))</f>
        <v/>
      </c>
      <c r="AC99" s="114" t="str">
        <f aca="false">IF($B99="","",MAX(0,IF(OR(الموظفون!$X99="",الموظفون!$X99&gt;$G$3),$G$3,الموظفون!$X99)-الموظفون!$H99+1)/cfg_DAYS_Y)</f>
        <v/>
      </c>
      <c r="AD99" s="114" t="str">
        <f aca="false">IF($B99="","",MAX(0,IF(OR(الموظفون!$X99="",الموظفون!$X99&gt;($E$3-1)),($E$3-1),الموظفون!$X99)-الموظفون!$H99+1)/cfg_DAYS_Y)</f>
        <v/>
      </c>
      <c r="AE99" s="115" t="str">
        <f aca="false">IF($B99="","",MAX(0,IF(OR(الموظفون!$X99="",الموظفون!$X99&gt;$G$3),$G$3,الموظفون!$X99)-MAX($E$3,الموظفون!$H99)+1))</f>
        <v/>
      </c>
    </row>
    <row r="100" customFormat="false" ht="15" hidden="false" customHeight="false" outlineLevel="0" collapsed="false">
      <c r="A100" s="83" t="str">
        <f aca="false">IF($B100="","",الموظفون!$A100)</f>
        <v/>
      </c>
      <c r="B100" s="74" t="str">
        <f aca="false">IF(الموظفون!$B100="","",الموظفون!$B100)</f>
        <v/>
      </c>
      <c r="C100" s="74" t="str">
        <f aca="false">IF($B100="","",الموظفون!$C100)</f>
        <v/>
      </c>
      <c r="D100" s="74" t="str">
        <f aca="false">IF($B100="","",الموظفون!$F100)</f>
        <v/>
      </c>
      <c r="E100" s="74" t="str">
        <f aca="false">IF($B100="","",الموظفون!$E100)</f>
        <v/>
      </c>
      <c r="F100" s="105" t="str">
        <f aca="false">IF($B100="","",IF(AE100&gt;=DAY($G$3),cfg_DAYS_M,MIN(AE100,cfg_DAYS_M)))</f>
        <v/>
      </c>
      <c r="G100" s="105" t="str">
        <f aca="false">IF($B100="","",SUMIFS('الحركات الشهرية'!$D$6:$D$1005,'الحركات الشهرية'!$B$6:$B$1005,$B100,'الحركات الشهرية'!$A$6:$A$1005,$C$3))</f>
        <v/>
      </c>
      <c r="H100" s="105" t="str">
        <f aca="false">IF($B100="","",SUMIFS('الحركات الشهرية'!$E$6:$E$1005,'الحركات الشهرية'!$B$6:$B$1005,$B100,'الحركات الشهرية'!$A$6:$A$1005,$C$3))</f>
        <v/>
      </c>
      <c r="I100" s="105" t="str">
        <f aca="false">IF($B100="","",MAX(0,F100-G100-H100))</f>
        <v/>
      </c>
      <c r="J100" s="86" t="str">
        <f aca="false">IF($B100="","",الموظفون!$J100*$I100/cfg_DAYS_M)</f>
        <v/>
      </c>
      <c r="K100" s="86" t="str">
        <f aca="false">IF($B100="","",الموظفون!$K100*$I100/cfg_DAYS_M)</f>
        <v/>
      </c>
      <c r="L100" s="86" t="str">
        <f aca="false">IF($B100="","",الموظفون!$L100*$I100/cfg_DAYS_M)</f>
        <v/>
      </c>
      <c r="M100" s="86" t="str">
        <f aca="false">IF($B100="","",الموظفون!$M100*$I100/cfg_DAYS_M)</f>
        <v/>
      </c>
      <c r="N100" s="105" t="str">
        <f aca="false">IF($B100="","",SUMIFS('الحركات الشهرية'!$F$6:$F$1005,'الحركات الشهرية'!$B$6:$B$1005,$B100,'الحركات الشهرية'!$A$6:$A$1005,$C$3))</f>
        <v/>
      </c>
      <c r="O100" s="86" t="str">
        <f aca="false">IF($B100="","",N100*(الموظفون!$N100+الموظفون!$J100*cfg_OT_P)/cfg_DAYS_M/cfg_HRS)</f>
        <v/>
      </c>
      <c r="P100" s="86" t="str">
        <f aca="false">IF($B100="","",SUMIFS('الحركات الشهرية'!$G$6:$G$1005,'الحركات الشهرية'!$B$6:$B$1005,$B100,'الحركات الشهرية'!$A$6:$A$1005,$C$3))</f>
        <v/>
      </c>
      <c r="Q100" s="86" t="str">
        <f aca="false">IF($B100="","",SUMIFS('الحركات الشهرية'!$H$6:$H$1005,'الحركات الشهرية'!$B$6:$B$1005,$B100,'الحركات الشهرية'!$A$6:$A$1005,$C$3))</f>
        <v/>
      </c>
      <c r="R100" s="106" t="str">
        <f aca="false">IF($B100="","",SUM(J100:M100)+SUM(O100:Q100))</f>
        <v/>
      </c>
      <c r="S100" s="86" t="str">
        <f aca="false">IF($B100="","",الموظفون!$Q100*IF(E100="سعودي",cfg_G_SE,cfg_G_NE)*F100/cfg_DAYS_M)</f>
        <v/>
      </c>
      <c r="T100" s="86" t="str">
        <f aca="false">IF($B100="","",SUMIFS('الحركات الشهرية'!$I$6:$I$1005,'الحركات الشهرية'!$B$6:$B$1005,$B100,'الحركات الشهرية'!$A$6:$A$1005,$C$3))</f>
        <v/>
      </c>
      <c r="U100" s="86" t="str">
        <f aca="false">IF($B100="","",SUMIFS('الحركات الشهرية'!$J$6:$J$1005,'الحركات الشهرية'!$B$6:$B$1005,$B100,'الحركات الشهرية'!$A$6:$A$1005,$C$3))</f>
        <v/>
      </c>
      <c r="V100" s="86" t="str">
        <f aca="false">IF($B100="","",SUM(S100:U100))</f>
        <v/>
      </c>
      <c r="W100" s="107" t="str">
        <f aca="false">IF($B100="","",R100-V100)</f>
        <v/>
      </c>
      <c r="X100" s="86" t="str">
        <f aca="false">IF($B100="","",الموظفون!$Q100*IF(E100="سعودي",cfg_G_SR,cfg_G_NR)*F100/cfg_DAYS_M)</f>
        <v/>
      </c>
      <c r="Y100" s="86" t="str">
        <f aca="false">IF($B100="","",الموظفون!$O100*(cfg_EOS_R1*(MIN(AC100,cfg_EOS_TH)-MIN(AD100,cfg_EOS_TH))+cfg_EOS_R2*(MAX(AC100-cfg_EOS_TH,0)-MAX(AD100-cfg_EOS_TH,0))))</f>
        <v/>
      </c>
      <c r="Z100" s="86" t="str">
        <f aca="false">IF($B100="","",IF(الموظفون!$R100&lt;&gt;"",الموظفون!$R100,IF(AC100&gt;=cfg_LV_TH,cfg_LV_D2,cfg_LV_D1))/cfg_DAYS_Y*AE100*الموظفون!$P100/cfg_DAYS_M)</f>
        <v/>
      </c>
      <c r="AA100" s="86" t="str">
        <f aca="false">IF($B100="","",IF(AND(الموظفون!$S100="نعم",N(الموظفون!$U100)&gt;0),الموظفون!$T100/الموظفون!$U100*12/cfg_DAYS_Y*AE100,0))</f>
        <v/>
      </c>
      <c r="AB100" s="108" t="str">
        <f aca="false">IF($B100="","",R100+SUM(X100:AA100))</f>
        <v/>
      </c>
      <c r="AC100" s="109" t="str">
        <f aca="false">IF($B100="","",MAX(0,IF(OR(الموظفون!$X100="",الموظفون!$X100&gt;$G$3),$G$3,الموظفون!$X100)-الموظفون!$H100+1)/cfg_DAYS_Y)</f>
        <v/>
      </c>
      <c r="AD100" s="109" t="str">
        <f aca="false">IF($B100="","",MAX(0,IF(OR(الموظفون!$X100="",الموظفون!$X100&gt;($E$3-1)),($E$3-1),الموظفون!$X100)-الموظفون!$H100+1)/cfg_DAYS_Y)</f>
        <v/>
      </c>
      <c r="AE100" s="51" t="str">
        <f aca="false">IF($B100="","",MAX(0,IF(OR(الموظفون!$X100="",الموظفون!$X100&gt;$G$3),$G$3,الموظفون!$X100)-MAX($E$3,الموظفون!$H100)+1))</f>
        <v/>
      </c>
    </row>
    <row r="101" customFormat="false" ht="15" hidden="false" customHeight="false" outlineLevel="0" collapsed="false">
      <c r="A101" s="89" t="str">
        <f aca="false">IF($B101="","",الموظفون!$A101)</f>
        <v/>
      </c>
      <c r="B101" s="91" t="str">
        <f aca="false">IF(الموظفون!$B101="","",الموظفون!$B101)</f>
        <v/>
      </c>
      <c r="C101" s="91" t="str">
        <f aca="false">IF($B101="","",الموظفون!$C101)</f>
        <v/>
      </c>
      <c r="D101" s="91" t="str">
        <f aca="false">IF($B101="","",الموظفون!$F101)</f>
        <v/>
      </c>
      <c r="E101" s="91" t="str">
        <f aca="false">IF($B101="","",الموظفون!$E101)</f>
        <v/>
      </c>
      <c r="F101" s="110" t="str">
        <f aca="false">IF($B101="","",IF(AE101&gt;=DAY($G$3),cfg_DAYS_M,MIN(AE101,cfg_DAYS_M)))</f>
        <v/>
      </c>
      <c r="G101" s="110" t="str">
        <f aca="false">IF($B101="","",SUMIFS('الحركات الشهرية'!$D$6:$D$1005,'الحركات الشهرية'!$B$6:$B$1005,$B101,'الحركات الشهرية'!$A$6:$A$1005,$C$3))</f>
        <v/>
      </c>
      <c r="H101" s="110" t="str">
        <f aca="false">IF($B101="","",SUMIFS('الحركات الشهرية'!$E$6:$E$1005,'الحركات الشهرية'!$B$6:$B$1005,$B101,'الحركات الشهرية'!$A$6:$A$1005,$C$3))</f>
        <v/>
      </c>
      <c r="I101" s="110" t="str">
        <f aca="false">IF($B101="","",MAX(0,F101-G101-H101))</f>
        <v/>
      </c>
      <c r="J101" s="90" t="str">
        <f aca="false">IF($B101="","",الموظفون!$J101*$I101/cfg_DAYS_M)</f>
        <v/>
      </c>
      <c r="K101" s="90" t="str">
        <f aca="false">IF($B101="","",الموظفون!$K101*$I101/cfg_DAYS_M)</f>
        <v/>
      </c>
      <c r="L101" s="90" t="str">
        <f aca="false">IF($B101="","",الموظفون!$L101*$I101/cfg_DAYS_M)</f>
        <v/>
      </c>
      <c r="M101" s="90" t="str">
        <f aca="false">IF($B101="","",الموظفون!$M101*$I101/cfg_DAYS_M)</f>
        <v/>
      </c>
      <c r="N101" s="110" t="str">
        <f aca="false">IF($B101="","",SUMIFS('الحركات الشهرية'!$F$6:$F$1005,'الحركات الشهرية'!$B$6:$B$1005,$B101,'الحركات الشهرية'!$A$6:$A$1005,$C$3))</f>
        <v/>
      </c>
      <c r="O101" s="90" t="str">
        <f aca="false">IF($B101="","",N101*(الموظفون!$N101+الموظفون!$J101*cfg_OT_P)/cfg_DAYS_M/cfg_HRS)</f>
        <v/>
      </c>
      <c r="P101" s="90" t="str">
        <f aca="false">IF($B101="","",SUMIFS('الحركات الشهرية'!$G$6:$G$1005,'الحركات الشهرية'!$B$6:$B$1005,$B101,'الحركات الشهرية'!$A$6:$A$1005,$C$3))</f>
        <v/>
      </c>
      <c r="Q101" s="90" t="str">
        <f aca="false">IF($B101="","",SUMIFS('الحركات الشهرية'!$H$6:$H$1005,'الحركات الشهرية'!$B$6:$B$1005,$B101,'الحركات الشهرية'!$A$6:$A$1005,$C$3))</f>
        <v/>
      </c>
      <c r="R101" s="111" t="str">
        <f aca="false">IF($B101="","",SUM(J101:M101)+SUM(O101:Q101))</f>
        <v/>
      </c>
      <c r="S101" s="90" t="str">
        <f aca="false">IF($B101="","",الموظفون!$Q101*IF(E101="سعودي",cfg_G_SE,cfg_G_NE)*F101/cfg_DAYS_M)</f>
        <v/>
      </c>
      <c r="T101" s="90" t="str">
        <f aca="false">IF($B101="","",SUMIFS('الحركات الشهرية'!$I$6:$I$1005,'الحركات الشهرية'!$B$6:$B$1005,$B101,'الحركات الشهرية'!$A$6:$A$1005,$C$3))</f>
        <v/>
      </c>
      <c r="U101" s="90" t="str">
        <f aca="false">IF($B101="","",SUMIFS('الحركات الشهرية'!$J$6:$J$1005,'الحركات الشهرية'!$B$6:$B$1005,$B101,'الحركات الشهرية'!$A$6:$A$1005,$C$3))</f>
        <v/>
      </c>
      <c r="V101" s="90" t="str">
        <f aca="false">IF($B101="","",SUM(S101:U101))</f>
        <v/>
      </c>
      <c r="W101" s="112" t="str">
        <f aca="false">IF($B101="","",R101-V101)</f>
        <v/>
      </c>
      <c r="X101" s="90" t="str">
        <f aca="false">IF($B101="","",الموظفون!$Q101*IF(E101="سعودي",cfg_G_SR,cfg_G_NR)*F101/cfg_DAYS_M)</f>
        <v/>
      </c>
      <c r="Y101" s="90" t="str">
        <f aca="false">IF($B101="","",الموظفون!$O101*(cfg_EOS_R1*(MIN(AC101,cfg_EOS_TH)-MIN(AD101,cfg_EOS_TH))+cfg_EOS_R2*(MAX(AC101-cfg_EOS_TH,0)-MAX(AD101-cfg_EOS_TH,0))))</f>
        <v/>
      </c>
      <c r="Z101" s="90" t="str">
        <f aca="false">IF($B101="","",IF(الموظفون!$R101&lt;&gt;"",الموظفون!$R101,IF(AC101&gt;=cfg_LV_TH,cfg_LV_D2,cfg_LV_D1))/cfg_DAYS_Y*AE101*الموظفون!$P101/cfg_DAYS_M)</f>
        <v/>
      </c>
      <c r="AA101" s="90" t="str">
        <f aca="false">IF($B101="","",IF(AND(الموظفون!$S101="نعم",N(الموظفون!$U101)&gt;0),الموظفون!$T101/الموظفون!$U101*12/cfg_DAYS_Y*AE101,0))</f>
        <v/>
      </c>
      <c r="AB101" s="113" t="str">
        <f aca="false">IF($B101="","",R101+SUM(X101:AA101))</f>
        <v/>
      </c>
      <c r="AC101" s="114" t="str">
        <f aca="false">IF($B101="","",MAX(0,IF(OR(الموظفون!$X101="",الموظفون!$X101&gt;$G$3),$G$3,الموظفون!$X101)-الموظفون!$H101+1)/cfg_DAYS_Y)</f>
        <v/>
      </c>
      <c r="AD101" s="114" t="str">
        <f aca="false">IF($B101="","",MAX(0,IF(OR(الموظفون!$X101="",الموظفون!$X101&gt;($E$3-1)),($E$3-1),الموظفون!$X101)-الموظفون!$H101+1)/cfg_DAYS_Y)</f>
        <v/>
      </c>
      <c r="AE101" s="115" t="str">
        <f aca="false">IF($B101="","",MAX(0,IF(OR(الموظفون!$X101="",الموظفون!$X101&gt;$G$3),$G$3,الموظفون!$X101)-MAX($E$3,الموظفون!$H101)+1))</f>
        <v/>
      </c>
    </row>
    <row r="102" customFormat="false" ht="15" hidden="false" customHeight="false" outlineLevel="0" collapsed="false">
      <c r="A102" s="83" t="str">
        <f aca="false">IF($B102="","",الموظفون!$A102)</f>
        <v/>
      </c>
      <c r="B102" s="74" t="str">
        <f aca="false">IF(الموظفون!$B102="","",الموظفون!$B102)</f>
        <v/>
      </c>
      <c r="C102" s="74" t="str">
        <f aca="false">IF($B102="","",الموظفون!$C102)</f>
        <v/>
      </c>
      <c r="D102" s="74" t="str">
        <f aca="false">IF($B102="","",الموظفون!$F102)</f>
        <v/>
      </c>
      <c r="E102" s="74" t="str">
        <f aca="false">IF($B102="","",الموظفون!$E102)</f>
        <v/>
      </c>
      <c r="F102" s="105" t="str">
        <f aca="false">IF($B102="","",IF(AE102&gt;=DAY($G$3),cfg_DAYS_M,MIN(AE102,cfg_DAYS_M)))</f>
        <v/>
      </c>
      <c r="G102" s="105" t="str">
        <f aca="false">IF($B102="","",SUMIFS('الحركات الشهرية'!$D$6:$D$1005,'الحركات الشهرية'!$B$6:$B$1005,$B102,'الحركات الشهرية'!$A$6:$A$1005,$C$3))</f>
        <v/>
      </c>
      <c r="H102" s="105" t="str">
        <f aca="false">IF($B102="","",SUMIFS('الحركات الشهرية'!$E$6:$E$1005,'الحركات الشهرية'!$B$6:$B$1005,$B102,'الحركات الشهرية'!$A$6:$A$1005,$C$3))</f>
        <v/>
      </c>
      <c r="I102" s="105" t="str">
        <f aca="false">IF($B102="","",MAX(0,F102-G102-H102))</f>
        <v/>
      </c>
      <c r="J102" s="86" t="str">
        <f aca="false">IF($B102="","",الموظفون!$J102*$I102/cfg_DAYS_M)</f>
        <v/>
      </c>
      <c r="K102" s="86" t="str">
        <f aca="false">IF($B102="","",الموظفون!$K102*$I102/cfg_DAYS_M)</f>
        <v/>
      </c>
      <c r="L102" s="86" t="str">
        <f aca="false">IF($B102="","",الموظفون!$L102*$I102/cfg_DAYS_M)</f>
        <v/>
      </c>
      <c r="M102" s="86" t="str">
        <f aca="false">IF($B102="","",الموظفون!$M102*$I102/cfg_DAYS_M)</f>
        <v/>
      </c>
      <c r="N102" s="105" t="str">
        <f aca="false">IF($B102="","",SUMIFS('الحركات الشهرية'!$F$6:$F$1005,'الحركات الشهرية'!$B$6:$B$1005,$B102,'الحركات الشهرية'!$A$6:$A$1005,$C$3))</f>
        <v/>
      </c>
      <c r="O102" s="86" t="str">
        <f aca="false">IF($B102="","",N102*(الموظفون!$N102+الموظفون!$J102*cfg_OT_P)/cfg_DAYS_M/cfg_HRS)</f>
        <v/>
      </c>
      <c r="P102" s="86" t="str">
        <f aca="false">IF($B102="","",SUMIFS('الحركات الشهرية'!$G$6:$G$1005,'الحركات الشهرية'!$B$6:$B$1005,$B102,'الحركات الشهرية'!$A$6:$A$1005,$C$3))</f>
        <v/>
      </c>
      <c r="Q102" s="86" t="str">
        <f aca="false">IF($B102="","",SUMIFS('الحركات الشهرية'!$H$6:$H$1005,'الحركات الشهرية'!$B$6:$B$1005,$B102,'الحركات الشهرية'!$A$6:$A$1005,$C$3))</f>
        <v/>
      </c>
      <c r="R102" s="106" t="str">
        <f aca="false">IF($B102="","",SUM(J102:M102)+SUM(O102:Q102))</f>
        <v/>
      </c>
      <c r="S102" s="86" t="str">
        <f aca="false">IF($B102="","",الموظفون!$Q102*IF(E102="سعودي",cfg_G_SE,cfg_G_NE)*F102/cfg_DAYS_M)</f>
        <v/>
      </c>
      <c r="T102" s="86" t="str">
        <f aca="false">IF($B102="","",SUMIFS('الحركات الشهرية'!$I$6:$I$1005,'الحركات الشهرية'!$B$6:$B$1005,$B102,'الحركات الشهرية'!$A$6:$A$1005,$C$3))</f>
        <v/>
      </c>
      <c r="U102" s="86" t="str">
        <f aca="false">IF($B102="","",SUMIFS('الحركات الشهرية'!$J$6:$J$1005,'الحركات الشهرية'!$B$6:$B$1005,$B102,'الحركات الشهرية'!$A$6:$A$1005,$C$3))</f>
        <v/>
      </c>
      <c r="V102" s="86" t="str">
        <f aca="false">IF($B102="","",SUM(S102:U102))</f>
        <v/>
      </c>
      <c r="W102" s="107" t="str">
        <f aca="false">IF($B102="","",R102-V102)</f>
        <v/>
      </c>
      <c r="X102" s="86" t="str">
        <f aca="false">IF($B102="","",الموظفون!$Q102*IF(E102="سعودي",cfg_G_SR,cfg_G_NR)*F102/cfg_DAYS_M)</f>
        <v/>
      </c>
      <c r="Y102" s="86" t="str">
        <f aca="false">IF($B102="","",الموظفون!$O102*(cfg_EOS_R1*(MIN(AC102,cfg_EOS_TH)-MIN(AD102,cfg_EOS_TH))+cfg_EOS_R2*(MAX(AC102-cfg_EOS_TH,0)-MAX(AD102-cfg_EOS_TH,0))))</f>
        <v/>
      </c>
      <c r="Z102" s="86" t="str">
        <f aca="false">IF($B102="","",IF(الموظفون!$R102&lt;&gt;"",الموظفون!$R102,IF(AC102&gt;=cfg_LV_TH,cfg_LV_D2,cfg_LV_D1))/cfg_DAYS_Y*AE102*الموظفون!$P102/cfg_DAYS_M)</f>
        <v/>
      </c>
      <c r="AA102" s="86" t="str">
        <f aca="false">IF($B102="","",IF(AND(الموظفون!$S102="نعم",N(الموظفون!$U102)&gt;0),الموظفون!$T102/الموظفون!$U102*12/cfg_DAYS_Y*AE102,0))</f>
        <v/>
      </c>
      <c r="AB102" s="108" t="str">
        <f aca="false">IF($B102="","",R102+SUM(X102:AA102))</f>
        <v/>
      </c>
      <c r="AC102" s="109" t="str">
        <f aca="false">IF($B102="","",MAX(0,IF(OR(الموظفون!$X102="",الموظفون!$X102&gt;$G$3),$G$3,الموظفون!$X102)-الموظفون!$H102+1)/cfg_DAYS_Y)</f>
        <v/>
      </c>
      <c r="AD102" s="109" t="str">
        <f aca="false">IF($B102="","",MAX(0,IF(OR(الموظفون!$X102="",الموظفون!$X102&gt;($E$3-1)),($E$3-1),الموظفون!$X102)-الموظفون!$H102+1)/cfg_DAYS_Y)</f>
        <v/>
      </c>
      <c r="AE102" s="51" t="str">
        <f aca="false">IF($B102="","",MAX(0,IF(OR(الموظفون!$X102="",الموظفون!$X102&gt;$G$3),$G$3,الموظفون!$X102)-MAX($E$3,الموظفون!$H102)+1))</f>
        <v/>
      </c>
    </row>
    <row r="103" customFormat="false" ht="15" hidden="false" customHeight="false" outlineLevel="0" collapsed="false">
      <c r="A103" s="89" t="str">
        <f aca="false">IF($B103="","",الموظفون!$A103)</f>
        <v/>
      </c>
      <c r="B103" s="91" t="str">
        <f aca="false">IF(الموظفون!$B103="","",الموظفون!$B103)</f>
        <v/>
      </c>
      <c r="C103" s="91" t="str">
        <f aca="false">IF($B103="","",الموظفون!$C103)</f>
        <v/>
      </c>
      <c r="D103" s="91" t="str">
        <f aca="false">IF($B103="","",الموظفون!$F103)</f>
        <v/>
      </c>
      <c r="E103" s="91" t="str">
        <f aca="false">IF($B103="","",الموظفون!$E103)</f>
        <v/>
      </c>
      <c r="F103" s="110" t="str">
        <f aca="false">IF($B103="","",IF(AE103&gt;=DAY($G$3),cfg_DAYS_M,MIN(AE103,cfg_DAYS_M)))</f>
        <v/>
      </c>
      <c r="G103" s="110" t="str">
        <f aca="false">IF($B103="","",SUMIFS('الحركات الشهرية'!$D$6:$D$1005,'الحركات الشهرية'!$B$6:$B$1005,$B103,'الحركات الشهرية'!$A$6:$A$1005,$C$3))</f>
        <v/>
      </c>
      <c r="H103" s="110" t="str">
        <f aca="false">IF($B103="","",SUMIFS('الحركات الشهرية'!$E$6:$E$1005,'الحركات الشهرية'!$B$6:$B$1005,$B103,'الحركات الشهرية'!$A$6:$A$1005,$C$3))</f>
        <v/>
      </c>
      <c r="I103" s="110" t="str">
        <f aca="false">IF($B103="","",MAX(0,F103-G103-H103))</f>
        <v/>
      </c>
      <c r="J103" s="90" t="str">
        <f aca="false">IF($B103="","",الموظفون!$J103*$I103/cfg_DAYS_M)</f>
        <v/>
      </c>
      <c r="K103" s="90" t="str">
        <f aca="false">IF($B103="","",الموظفون!$K103*$I103/cfg_DAYS_M)</f>
        <v/>
      </c>
      <c r="L103" s="90" t="str">
        <f aca="false">IF($B103="","",الموظفون!$L103*$I103/cfg_DAYS_M)</f>
        <v/>
      </c>
      <c r="M103" s="90" t="str">
        <f aca="false">IF($B103="","",الموظفون!$M103*$I103/cfg_DAYS_M)</f>
        <v/>
      </c>
      <c r="N103" s="110" t="str">
        <f aca="false">IF($B103="","",SUMIFS('الحركات الشهرية'!$F$6:$F$1005,'الحركات الشهرية'!$B$6:$B$1005,$B103,'الحركات الشهرية'!$A$6:$A$1005,$C$3))</f>
        <v/>
      </c>
      <c r="O103" s="90" t="str">
        <f aca="false">IF($B103="","",N103*(الموظفون!$N103+الموظفون!$J103*cfg_OT_P)/cfg_DAYS_M/cfg_HRS)</f>
        <v/>
      </c>
      <c r="P103" s="90" t="str">
        <f aca="false">IF($B103="","",SUMIFS('الحركات الشهرية'!$G$6:$G$1005,'الحركات الشهرية'!$B$6:$B$1005,$B103,'الحركات الشهرية'!$A$6:$A$1005,$C$3))</f>
        <v/>
      </c>
      <c r="Q103" s="90" t="str">
        <f aca="false">IF($B103="","",SUMIFS('الحركات الشهرية'!$H$6:$H$1005,'الحركات الشهرية'!$B$6:$B$1005,$B103,'الحركات الشهرية'!$A$6:$A$1005,$C$3))</f>
        <v/>
      </c>
      <c r="R103" s="111" t="str">
        <f aca="false">IF($B103="","",SUM(J103:M103)+SUM(O103:Q103))</f>
        <v/>
      </c>
      <c r="S103" s="90" t="str">
        <f aca="false">IF($B103="","",الموظفون!$Q103*IF(E103="سعودي",cfg_G_SE,cfg_G_NE)*F103/cfg_DAYS_M)</f>
        <v/>
      </c>
      <c r="T103" s="90" t="str">
        <f aca="false">IF($B103="","",SUMIFS('الحركات الشهرية'!$I$6:$I$1005,'الحركات الشهرية'!$B$6:$B$1005,$B103,'الحركات الشهرية'!$A$6:$A$1005,$C$3))</f>
        <v/>
      </c>
      <c r="U103" s="90" t="str">
        <f aca="false">IF($B103="","",SUMIFS('الحركات الشهرية'!$J$6:$J$1005,'الحركات الشهرية'!$B$6:$B$1005,$B103,'الحركات الشهرية'!$A$6:$A$1005,$C$3))</f>
        <v/>
      </c>
      <c r="V103" s="90" t="str">
        <f aca="false">IF($B103="","",SUM(S103:U103))</f>
        <v/>
      </c>
      <c r="W103" s="112" t="str">
        <f aca="false">IF($B103="","",R103-V103)</f>
        <v/>
      </c>
      <c r="X103" s="90" t="str">
        <f aca="false">IF($B103="","",الموظفون!$Q103*IF(E103="سعودي",cfg_G_SR,cfg_G_NR)*F103/cfg_DAYS_M)</f>
        <v/>
      </c>
      <c r="Y103" s="90" t="str">
        <f aca="false">IF($B103="","",الموظفون!$O103*(cfg_EOS_R1*(MIN(AC103,cfg_EOS_TH)-MIN(AD103,cfg_EOS_TH))+cfg_EOS_R2*(MAX(AC103-cfg_EOS_TH,0)-MAX(AD103-cfg_EOS_TH,0))))</f>
        <v/>
      </c>
      <c r="Z103" s="90" t="str">
        <f aca="false">IF($B103="","",IF(الموظفون!$R103&lt;&gt;"",الموظفون!$R103,IF(AC103&gt;=cfg_LV_TH,cfg_LV_D2,cfg_LV_D1))/cfg_DAYS_Y*AE103*الموظفون!$P103/cfg_DAYS_M)</f>
        <v/>
      </c>
      <c r="AA103" s="90" t="str">
        <f aca="false">IF($B103="","",IF(AND(الموظفون!$S103="نعم",N(الموظفون!$U103)&gt;0),الموظفون!$T103/الموظفون!$U103*12/cfg_DAYS_Y*AE103,0))</f>
        <v/>
      </c>
      <c r="AB103" s="113" t="str">
        <f aca="false">IF($B103="","",R103+SUM(X103:AA103))</f>
        <v/>
      </c>
      <c r="AC103" s="114" t="str">
        <f aca="false">IF($B103="","",MAX(0,IF(OR(الموظفون!$X103="",الموظفون!$X103&gt;$G$3),$G$3,الموظفون!$X103)-الموظفون!$H103+1)/cfg_DAYS_Y)</f>
        <v/>
      </c>
      <c r="AD103" s="114" t="str">
        <f aca="false">IF($B103="","",MAX(0,IF(OR(الموظفون!$X103="",الموظفون!$X103&gt;($E$3-1)),($E$3-1),الموظفون!$X103)-الموظفون!$H103+1)/cfg_DAYS_Y)</f>
        <v/>
      </c>
      <c r="AE103" s="115" t="str">
        <f aca="false">IF($B103="","",MAX(0,IF(OR(الموظفون!$X103="",الموظفون!$X103&gt;$G$3),$G$3,الموظفون!$X103)-MAX($E$3,الموظفون!$H103)+1))</f>
        <v/>
      </c>
    </row>
    <row r="104" customFormat="false" ht="15" hidden="false" customHeight="false" outlineLevel="0" collapsed="false">
      <c r="A104" s="83" t="str">
        <f aca="false">IF($B104="","",الموظفون!$A104)</f>
        <v/>
      </c>
      <c r="B104" s="74" t="str">
        <f aca="false">IF(الموظفون!$B104="","",الموظفون!$B104)</f>
        <v/>
      </c>
      <c r="C104" s="74" t="str">
        <f aca="false">IF($B104="","",الموظفون!$C104)</f>
        <v/>
      </c>
      <c r="D104" s="74" t="str">
        <f aca="false">IF($B104="","",الموظفون!$F104)</f>
        <v/>
      </c>
      <c r="E104" s="74" t="str">
        <f aca="false">IF($B104="","",الموظفون!$E104)</f>
        <v/>
      </c>
      <c r="F104" s="105" t="str">
        <f aca="false">IF($B104="","",IF(AE104&gt;=DAY($G$3),cfg_DAYS_M,MIN(AE104,cfg_DAYS_M)))</f>
        <v/>
      </c>
      <c r="G104" s="105" t="str">
        <f aca="false">IF($B104="","",SUMIFS('الحركات الشهرية'!$D$6:$D$1005,'الحركات الشهرية'!$B$6:$B$1005,$B104,'الحركات الشهرية'!$A$6:$A$1005,$C$3))</f>
        <v/>
      </c>
      <c r="H104" s="105" t="str">
        <f aca="false">IF($B104="","",SUMIFS('الحركات الشهرية'!$E$6:$E$1005,'الحركات الشهرية'!$B$6:$B$1005,$B104,'الحركات الشهرية'!$A$6:$A$1005,$C$3))</f>
        <v/>
      </c>
      <c r="I104" s="105" t="str">
        <f aca="false">IF($B104="","",MAX(0,F104-G104-H104))</f>
        <v/>
      </c>
      <c r="J104" s="86" t="str">
        <f aca="false">IF($B104="","",الموظفون!$J104*$I104/cfg_DAYS_M)</f>
        <v/>
      </c>
      <c r="K104" s="86" t="str">
        <f aca="false">IF($B104="","",الموظفون!$K104*$I104/cfg_DAYS_M)</f>
        <v/>
      </c>
      <c r="L104" s="86" t="str">
        <f aca="false">IF($B104="","",الموظفون!$L104*$I104/cfg_DAYS_M)</f>
        <v/>
      </c>
      <c r="M104" s="86" t="str">
        <f aca="false">IF($B104="","",الموظفون!$M104*$I104/cfg_DAYS_M)</f>
        <v/>
      </c>
      <c r="N104" s="105" t="str">
        <f aca="false">IF($B104="","",SUMIFS('الحركات الشهرية'!$F$6:$F$1005,'الحركات الشهرية'!$B$6:$B$1005,$B104,'الحركات الشهرية'!$A$6:$A$1005,$C$3))</f>
        <v/>
      </c>
      <c r="O104" s="86" t="str">
        <f aca="false">IF($B104="","",N104*(الموظفون!$N104+الموظفون!$J104*cfg_OT_P)/cfg_DAYS_M/cfg_HRS)</f>
        <v/>
      </c>
      <c r="P104" s="86" t="str">
        <f aca="false">IF($B104="","",SUMIFS('الحركات الشهرية'!$G$6:$G$1005,'الحركات الشهرية'!$B$6:$B$1005,$B104,'الحركات الشهرية'!$A$6:$A$1005,$C$3))</f>
        <v/>
      </c>
      <c r="Q104" s="86" t="str">
        <f aca="false">IF($B104="","",SUMIFS('الحركات الشهرية'!$H$6:$H$1005,'الحركات الشهرية'!$B$6:$B$1005,$B104,'الحركات الشهرية'!$A$6:$A$1005,$C$3))</f>
        <v/>
      </c>
      <c r="R104" s="106" t="str">
        <f aca="false">IF($B104="","",SUM(J104:M104)+SUM(O104:Q104))</f>
        <v/>
      </c>
      <c r="S104" s="86" t="str">
        <f aca="false">IF($B104="","",الموظفون!$Q104*IF(E104="سعودي",cfg_G_SE,cfg_G_NE)*F104/cfg_DAYS_M)</f>
        <v/>
      </c>
      <c r="T104" s="86" t="str">
        <f aca="false">IF($B104="","",SUMIFS('الحركات الشهرية'!$I$6:$I$1005,'الحركات الشهرية'!$B$6:$B$1005,$B104,'الحركات الشهرية'!$A$6:$A$1005,$C$3))</f>
        <v/>
      </c>
      <c r="U104" s="86" t="str">
        <f aca="false">IF($B104="","",SUMIFS('الحركات الشهرية'!$J$6:$J$1005,'الحركات الشهرية'!$B$6:$B$1005,$B104,'الحركات الشهرية'!$A$6:$A$1005,$C$3))</f>
        <v/>
      </c>
      <c r="V104" s="86" t="str">
        <f aca="false">IF($B104="","",SUM(S104:U104))</f>
        <v/>
      </c>
      <c r="W104" s="107" t="str">
        <f aca="false">IF($B104="","",R104-V104)</f>
        <v/>
      </c>
      <c r="X104" s="86" t="str">
        <f aca="false">IF($B104="","",الموظفون!$Q104*IF(E104="سعودي",cfg_G_SR,cfg_G_NR)*F104/cfg_DAYS_M)</f>
        <v/>
      </c>
      <c r="Y104" s="86" t="str">
        <f aca="false">IF($B104="","",الموظفون!$O104*(cfg_EOS_R1*(MIN(AC104,cfg_EOS_TH)-MIN(AD104,cfg_EOS_TH))+cfg_EOS_R2*(MAX(AC104-cfg_EOS_TH,0)-MAX(AD104-cfg_EOS_TH,0))))</f>
        <v/>
      </c>
      <c r="Z104" s="86" t="str">
        <f aca="false">IF($B104="","",IF(الموظفون!$R104&lt;&gt;"",الموظفون!$R104,IF(AC104&gt;=cfg_LV_TH,cfg_LV_D2,cfg_LV_D1))/cfg_DAYS_Y*AE104*الموظفون!$P104/cfg_DAYS_M)</f>
        <v/>
      </c>
      <c r="AA104" s="86" t="str">
        <f aca="false">IF($B104="","",IF(AND(الموظفون!$S104="نعم",N(الموظفون!$U104)&gt;0),الموظفون!$T104/الموظفون!$U104*12/cfg_DAYS_Y*AE104,0))</f>
        <v/>
      </c>
      <c r="AB104" s="108" t="str">
        <f aca="false">IF($B104="","",R104+SUM(X104:AA104))</f>
        <v/>
      </c>
      <c r="AC104" s="109" t="str">
        <f aca="false">IF($B104="","",MAX(0,IF(OR(الموظفون!$X104="",الموظفون!$X104&gt;$G$3),$G$3,الموظفون!$X104)-الموظفون!$H104+1)/cfg_DAYS_Y)</f>
        <v/>
      </c>
      <c r="AD104" s="109" t="str">
        <f aca="false">IF($B104="","",MAX(0,IF(OR(الموظفون!$X104="",الموظفون!$X104&gt;($E$3-1)),($E$3-1),الموظفون!$X104)-الموظفون!$H104+1)/cfg_DAYS_Y)</f>
        <v/>
      </c>
      <c r="AE104" s="51" t="str">
        <f aca="false">IF($B104="","",MAX(0,IF(OR(الموظفون!$X104="",الموظفون!$X104&gt;$G$3),$G$3,الموظفون!$X104)-MAX($E$3,الموظفون!$H104)+1))</f>
        <v/>
      </c>
    </row>
    <row r="105" customFormat="false" ht="15" hidden="false" customHeight="false" outlineLevel="0" collapsed="false">
      <c r="A105" s="89" t="str">
        <f aca="false">IF($B105="","",الموظفون!$A105)</f>
        <v/>
      </c>
      <c r="B105" s="91" t="str">
        <f aca="false">IF(الموظفون!$B105="","",الموظفون!$B105)</f>
        <v/>
      </c>
      <c r="C105" s="91" t="str">
        <f aca="false">IF($B105="","",الموظفون!$C105)</f>
        <v/>
      </c>
      <c r="D105" s="91" t="str">
        <f aca="false">IF($B105="","",الموظفون!$F105)</f>
        <v/>
      </c>
      <c r="E105" s="91" t="str">
        <f aca="false">IF($B105="","",الموظفون!$E105)</f>
        <v/>
      </c>
      <c r="F105" s="110" t="str">
        <f aca="false">IF($B105="","",IF(AE105&gt;=DAY($G$3),cfg_DAYS_M,MIN(AE105,cfg_DAYS_M)))</f>
        <v/>
      </c>
      <c r="G105" s="110" t="str">
        <f aca="false">IF($B105="","",SUMIFS('الحركات الشهرية'!$D$6:$D$1005,'الحركات الشهرية'!$B$6:$B$1005,$B105,'الحركات الشهرية'!$A$6:$A$1005,$C$3))</f>
        <v/>
      </c>
      <c r="H105" s="110" t="str">
        <f aca="false">IF($B105="","",SUMIFS('الحركات الشهرية'!$E$6:$E$1005,'الحركات الشهرية'!$B$6:$B$1005,$B105,'الحركات الشهرية'!$A$6:$A$1005,$C$3))</f>
        <v/>
      </c>
      <c r="I105" s="110" t="str">
        <f aca="false">IF($B105="","",MAX(0,F105-G105-H105))</f>
        <v/>
      </c>
      <c r="J105" s="90" t="str">
        <f aca="false">IF($B105="","",الموظفون!$J105*$I105/cfg_DAYS_M)</f>
        <v/>
      </c>
      <c r="K105" s="90" t="str">
        <f aca="false">IF($B105="","",الموظفون!$K105*$I105/cfg_DAYS_M)</f>
        <v/>
      </c>
      <c r="L105" s="90" t="str">
        <f aca="false">IF($B105="","",الموظفون!$L105*$I105/cfg_DAYS_M)</f>
        <v/>
      </c>
      <c r="M105" s="90" t="str">
        <f aca="false">IF($B105="","",الموظفون!$M105*$I105/cfg_DAYS_M)</f>
        <v/>
      </c>
      <c r="N105" s="110" t="str">
        <f aca="false">IF($B105="","",SUMIFS('الحركات الشهرية'!$F$6:$F$1005,'الحركات الشهرية'!$B$6:$B$1005,$B105,'الحركات الشهرية'!$A$6:$A$1005,$C$3))</f>
        <v/>
      </c>
      <c r="O105" s="90" t="str">
        <f aca="false">IF($B105="","",N105*(الموظفون!$N105+الموظفون!$J105*cfg_OT_P)/cfg_DAYS_M/cfg_HRS)</f>
        <v/>
      </c>
      <c r="P105" s="90" t="str">
        <f aca="false">IF($B105="","",SUMIFS('الحركات الشهرية'!$G$6:$G$1005,'الحركات الشهرية'!$B$6:$B$1005,$B105,'الحركات الشهرية'!$A$6:$A$1005,$C$3))</f>
        <v/>
      </c>
      <c r="Q105" s="90" t="str">
        <f aca="false">IF($B105="","",SUMIFS('الحركات الشهرية'!$H$6:$H$1005,'الحركات الشهرية'!$B$6:$B$1005,$B105,'الحركات الشهرية'!$A$6:$A$1005,$C$3))</f>
        <v/>
      </c>
      <c r="R105" s="111" t="str">
        <f aca="false">IF($B105="","",SUM(J105:M105)+SUM(O105:Q105))</f>
        <v/>
      </c>
      <c r="S105" s="90" t="str">
        <f aca="false">IF($B105="","",الموظفون!$Q105*IF(E105="سعودي",cfg_G_SE,cfg_G_NE)*F105/cfg_DAYS_M)</f>
        <v/>
      </c>
      <c r="T105" s="90" t="str">
        <f aca="false">IF($B105="","",SUMIFS('الحركات الشهرية'!$I$6:$I$1005,'الحركات الشهرية'!$B$6:$B$1005,$B105,'الحركات الشهرية'!$A$6:$A$1005,$C$3))</f>
        <v/>
      </c>
      <c r="U105" s="90" t="str">
        <f aca="false">IF($B105="","",SUMIFS('الحركات الشهرية'!$J$6:$J$1005,'الحركات الشهرية'!$B$6:$B$1005,$B105,'الحركات الشهرية'!$A$6:$A$1005,$C$3))</f>
        <v/>
      </c>
      <c r="V105" s="90" t="str">
        <f aca="false">IF($B105="","",SUM(S105:U105))</f>
        <v/>
      </c>
      <c r="W105" s="112" t="str">
        <f aca="false">IF($B105="","",R105-V105)</f>
        <v/>
      </c>
      <c r="X105" s="90" t="str">
        <f aca="false">IF($B105="","",الموظفون!$Q105*IF(E105="سعودي",cfg_G_SR,cfg_G_NR)*F105/cfg_DAYS_M)</f>
        <v/>
      </c>
      <c r="Y105" s="90" t="str">
        <f aca="false">IF($B105="","",الموظفون!$O105*(cfg_EOS_R1*(MIN(AC105,cfg_EOS_TH)-MIN(AD105,cfg_EOS_TH))+cfg_EOS_R2*(MAX(AC105-cfg_EOS_TH,0)-MAX(AD105-cfg_EOS_TH,0))))</f>
        <v/>
      </c>
      <c r="Z105" s="90" t="str">
        <f aca="false">IF($B105="","",IF(الموظفون!$R105&lt;&gt;"",الموظفون!$R105,IF(AC105&gt;=cfg_LV_TH,cfg_LV_D2,cfg_LV_D1))/cfg_DAYS_Y*AE105*الموظفون!$P105/cfg_DAYS_M)</f>
        <v/>
      </c>
      <c r="AA105" s="90" t="str">
        <f aca="false">IF($B105="","",IF(AND(الموظفون!$S105="نعم",N(الموظفون!$U105)&gt;0),الموظفون!$T105/الموظفون!$U105*12/cfg_DAYS_Y*AE105,0))</f>
        <v/>
      </c>
      <c r="AB105" s="113" t="str">
        <f aca="false">IF($B105="","",R105+SUM(X105:AA105))</f>
        <v/>
      </c>
      <c r="AC105" s="114" t="str">
        <f aca="false">IF($B105="","",MAX(0,IF(OR(الموظفون!$X105="",الموظفون!$X105&gt;$G$3),$G$3,الموظفون!$X105)-الموظفون!$H105+1)/cfg_DAYS_Y)</f>
        <v/>
      </c>
      <c r="AD105" s="114" t="str">
        <f aca="false">IF($B105="","",MAX(0,IF(OR(الموظفون!$X105="",الموظفون!$X105&gt;($E$3-1)),($E$3-1),الموظفون!$X105)-الموظفون!$H105+1)/cfg_DAYS_Y)</f>
        <v/>
      </c>
      <c r="AE105" s="115" t="str">
        <f aca="false">IF($B105="","",MAX(0,IF(OR(الموظفون!$X105="",الموظفون!$X105&gt;$G$3),$G$3,الموظفون!$X105)-MAX($E$3,الموظفون!$H105)+1))</f>
        <v/>
      </c>
    </row>
    <row r="106" customFormat="false" ht="24" hidden="false" customHeight="true" outlineLevel="0" collapsed="false">
      <c r="A106" s="92"/>
      <c r="B106" s="92" t="str">
        <f aca="false">COUNTIF(F6:F105,"&gt;0")&amp;" موظف"</f>
        <v>12 موظف</v>
      </c>
      <c r="C106" s="92" t="s">
        <v>101</v>
      </c>
      <c r="D106" s="92"/>
      <c r="E106" s="92"/>
      <c r="F106" s="92"/>
      <c r="G106" s="116" t="n">
        <f aca="false">SUM(G6:G105)</f>
        <v>0</v>
      </c>
      <c r="H106" s="116" t="n">
        <f aca="false">SUM(H6:H105)</f>
        <v>0</v>
      </c>
      <c r="I106" s="116" t="n">
        <f aca="false">SUM(I6:I105)</f>
        <v>360</v>
      </c>
      <c r="J106" s="92" t="n">
        <f aca="false">SUM(J6:J105)</f>
        <v>141500</v>
      </c>
      <c r="K106" s="92" t="n">
        <f aca="false">SUM(K6:K105)</f>
        <v>35375</v>
      </c>
      <c r="L106" s="92" t="n">
        <f aca="false">SUM(L6:L105)</f>
        <v>14150</v>
      </c>
      <c r="M106" s="92" t="n">
        <f aca="false">SUM(M6:M105)</f>
        <v>10300</v>
      </c>
      <c r="N106" s="116" t="n">
        <f aca="false">SUM(N6:N105)</f>
        <v>16</v>
      </c>
      <c r="O106" s="92" t="n">
        <f aca="false">SUM(O6:O105)</f>
        <v>1156.66666666667</v>
      </c>
      <c r="P106" s="92" t="n">
        <f aca="false">SUM(P6:P105)</f>
        <v>0</v>
      </c>
      <c r="Q106" s="92" t="n">
        <f aca="false">SUM(Q6:Q105)</f>
        <v>0</v>
      </c>
      <c r="R106" s="92" t="n">
        <f aca="false">SUM(R6:R105)</f>
        <v>202481.666666667</v>
      </c>
      <c r="S106" s="92" t="n">
        <f aca="false">SUM(S6:S105)</f>
        <v>12370.3125</v>
      </c>
      <c r="T106" s="92" t="n">
        <f aca="false">SUM(T6:T105)</f>
        <v>1000</v>
      </c>
      <c r="U106" s="92" t="n">
        <f aca="false">SUM(U6:U105)</f>
        <v>0</v>
      </c>
      <c r="V106" s="92" t="n">
        <f aca="false">SUM(V6:V105)</f>
        <v>13370.3125</v>
      </c>
      <c r="W106" s="92" t="n">
        <f aca="false">SUM(W6:W105)</f>
        <v>189111.354166667</v>
      </c>
      <c r="X106" s="92" t="n">
        <f aca="false">SUM(X6:X105)</f>
        <v>15907.8125</v>
      </c>
      <c r="Y106" s="92" t="n">
        <f aca="false">SUM(Y6:Y105)</f>
        <v>14590.1712328767</v>
      </c>
      <c r="Z106" s="92" t="n">
        <f aca="false">SUM(Z6:Z105)</f>
        <v>15243.7191780822</v>
      </c>
      <c r="AA106" s="92" t="n">
        <f aca="false">SUM(AA6:AA105)</f>
        <v>959.72602739726</v>
      </c>
      <c r="AB106" s="92" t="n">
        <f aca="false">SUM(AB6:AB105)</f>
        <v>249183.095605023</v>
      </c>
      <c r="AC106" s="92"/>
      <c r="AD106" s="92"/>
      <c r="AE106" s="92"/>
    </row>
    <row r="107" customFormat="false" ht="43.5" hidden="false" customHeight="true" outlineLevel="0" collapsed="false">
      <c r="A107" s="21" t="s">
        <v>347</v>
      </c>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row>
  </sheetData>
  <autoFilter ref="A5:AE105"/>
  <mergeCells count="5">
    <mergeCell ref="A1:AB1"/>
    <mergeCell ref="A2:AB2"/>
    <mergeCell ref="J3:K3"/>
    <mergeCell ref="L3:M3"/>
    <mergeCell ref="A107:AE107"/>
  </mergeCells>
  <conditionalFormatting sqref="H3">
    <cfRule type="expression" priority="2" aboveAverage="0" equalAverage="0" bottom="0" percent="0" rank="0" text="" dxfId="0">
      <formula>ISNUMBER(SEARCH("✔",H3))</formula>
    </cfRule>
    <cfRule type="expression" priority="3" aboveAverage="0" equalAverage="0" bottom="0" percent="0" rank="0" text="" dxfId="1">
      <formula>ISNUMBER(SEARCH("✖",H3))</formula>
    </cfRule>
    <cfRule type="expression" priority="4" aboveAverage="0" equalAverage="0" bottom="0" percent="0" rank="0" text="" dxfId="2">
      <formula>ISNUMBER(SEARCH("⚠",H3))</formula>
    </cfRule>
  </conditionalFormatting>
  <conditionalFormatting sqref="A6:AE105">
    <cfRule type="expression" priority="5" aboveAverage="0" equalAverage="0" bottom="0" percent="0" rank="0" text="" dxfId="20">
      <formula>AND($B6&lt;&gt;"",$F6=0)</formula>
    </cfRule>
  </conditionalFormatting>
  <conditionalFormatting sqref="W6:W105">
    <cfRule type="expression" priority="6" aboveAverage="0" equalAverage="0" bottom="0" percent="0" rank="0" text="" dxfId="1">
      <formula>AND(ISNUMBER(W6),W6&lt;0)</formula>
    </cfRule>
  </conditionalFormatting>
  <hyperlinks>
    <hyperlink ref="J3" location="'مسير أبريل'!A1" display="◀ الشهر السابق"/>
    <hyperlink ref="L3" location="'مسير يونيو'!A1" display="الشهر التالي ▶"/>
    <hyperlink ref="O3" location="'الرئيسية'!A1" display="🏠 الرئيسية"/>
    <hyperlink ref="P3" location="'لوحة التحكم'!A1" display="📊 لوحة التحكم"/>
    <hyperlink ref="R3" location="'الموظفون'!A1" display="👥 الموظفون"/>
    <hyperlink ref="S3" location="'الحركات الشهرية'!A1" display="✍ الحركات"/>
    <hyperlink ref="U3" location="'الملخص الشهري'!A1" display="📅 الملخص الشهري"/>
    <hyperlink ref="W3" location="'قيود الرواتب'!A1" display="🧾 القيود"/>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5621"/>
    <pageSetUpPr fitToPage="true"/>
  </sheetPr>
  <dimension ref="A1:AE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9"/>
    <col collapsed="false" customWidth="true" hidden="false" outlineLevel="0" max="8" min="7" style="0" width="8"/>
    <col collapsed="false" customWidth="true" hidden="false" outlineLevel="0" max="9" min="9" style="0" width="9"/>
    <col collapsed="false" customWidth="true" hidden="false" outlineLevel="0" max="10" min="10" style="0" width="12"/>
    <col collapsed="false" customWidth="true" hidden="false" outlineLevel="0" max="11" min="11" style="0" width="11"/>
    <col collapsed="false" customWidth="true" hidden="false" outlineLevel="0" max="13" min="12" style="0" width="10"/>
    <col collapsed="false" customWidth="true" hidden="false" outlineLevel="0" max="14" min="14" style="0" width="8"/>
    <col collapsed="false" customWidth="true" hidden="false" outlineLevel="0" max="17" min="15" style="0" width="11"/>
    <col collapsed="false" customWidth="true" hidden="false" outlineLevel="0" max="18" min="18" style="0" width="13"/>
    <col collapsed="false" customWidth="true" hidden="false" outlineLevel="0" max="19" min="19" style="0" width="11"/>
    <col collapsed="false" customWidth="true" hidden="false" outlineLevel="0" max="21" min="20" style="0" width="10"/>
    <col collapsed="false" customWidth="true" hidden="false" outlineLevel="0" max="22" min="22" style="0" width="12"/>
    <col collapsed="false" customWidth="true" hidden="false" outlineLevel="0" max="23" min="23" style="0" width="13"/>
    <col collapsed="false" customWidth="true" hidden="false" outlineLevel="0" max="24" min="24" style="0" width="11"/>
    <col collapsed="false" customWidth="true" hidden="false" outlineLevel="0" max="25" min="25" style="0" width="12"/>
    <col collapsed="false" customWidth="true" hidden="false" outlineLevel="0" max="27" min="26" style="0" width="11"/>
    <col collapsed="false" customWidth="true" hidden="false" outlineLevel="0" max="28" min="28" style="0" width="13"/>
    <col collapsed="false" customWidth="true" hidden="false" outlineLevel="0" max="31" min="29" style="0" width="9"/>
  </cols>
  <sheetData>
    <row r="1" customFormat="false" ht="37.5" hidden="false" customHeight="true" outlineLevel="0" collapsed="false">
      <c r="A1" s="1" t="str">
        <f aca="false">"💵 مسير رواتب شهر يونيو "&amp;cfg_FY</f>
        <v>💵 مسير رواتب شهر يونيو 2026</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9.5" hidden="false" customHeight="true" outlineLevel="0" collapsed="false">
      <c r="A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row>
    <row r="3" customFormat="false" ht="25.5" hidden="false" customHeight="true" outlineLevel="0" collapsed="false">
      <c r="B3" s="93" t="s">
        <v>103</v>
      </c>
      <c r="C3" s="94" t="n">
        <v>6</v>
      </c>
      <c r="D3" s="93" t="s">
        <v>322</v>
      </c>
      <c r="E3" s="95" t="n">
        <f aca="false">DATE(cfg_FY,C3,1)</f>
        <v>46174</v>
      </c>
      <c r="F3" s="93" t="s">
        <v>323</v>
      </c>
      <c r="G3" s="95" t="n">
        <f aca="false">EOMONTH(E3,0)</f>
        <v>46203</v>
      </c>
      <c r="H3" s="96" t="str">
        <f aca="false">IF(C3&lt;=cfg_VAL_M,"✔ فعلي","⚠ متوقع")</f>
        <v>✔ فعلي</v>
      </c>
      <c r="J3" s="97" t="s">
        <v>348</v>
      </c>
      <c r="K3" s="97"/>
      <c r="L3" s="97" t="s">
        <v>324</v>
      </c>
      <c r="M3" s="97"/>
      <c r="O3" s="22" t="s">
        <v>61</v>
      </c>
      <c r="P3" s="12" t="s">
        <v>111</v>
      </c>
      <c r="R3" s="23" t="s">
        <v>63</v>
      </c>
      <c r="S3" s="23" t="s">
        <v>64</v>
      </c>
      <c r="U3" s="23" t="s">
        <v>39</v>
      </c>
      <c r="W3" s="23" t="s">
        <v>65</v>
      </c>
    </row>
    <row r="4" customFormat="false" ht="7.5" hidden="false" customHeight="true" outlineLevel="0" collapsed="false"/>
    <row r="5" customFormat="false" ht="48" hidden="false" customHeight="true" outlineLevel="0" collapsed="false">
      <c r="A5" s="98" t="s">
        <v>207</v>
      </c>
      <c r="B5" s="98" t="s">
        <v>208</v>
      </c>
      <c r="C5" s="98" t="s">
        <v>209</v>
      </c>
      <c r="D5" s="98" t="s">
        <v>96</v>
      </c>
      <c r="E5" s="98" t="s">
        <v>84</v>
      </c>
      <c r="F5" s="99" t="s">
        <v>325</v>
      </c>
      <c r="G5" s="99" t="s">
        <v>326</v>
      </c>
      <c r="H5" s="99" t="s">
        <v>327</v>
      </c>
      <c r="I5" s="99" t="s">
        <v>328</v>
      </c>
      <c r="J5" s="100" t="s">
        <v>329</v>
      </c>
      <c r="K5" s="100" t="s">
        <v>330</v>
      </c>
      <c r="L5" s="100" t="s">
        <v>331</v>
      </c>
      <c r="M5" s="100" t="s">
        <v>332</v>
      </c>
      <c r="N5" s="100" t="s">
        <v>333</v>
      </c>
      <c r="O5" s="100" t="s">
        <v>334</v>
      </c>
      <c r="P5" s="100" t="s">
        <v>298</v>
      </c>
      <c r="Q5" s="100" t="s">
        <v>335</v>
      </c>
      <c r="R5" s="100" t="s">
        <v>74</v>
      </c>
      <c r="S5" s="101" t="s">
        <v>336</v>
      </c>
      <c r="T5" s="101" t="s">
        <v>300</v>
      </c>
      <c r="U5" s="101" t="s">
        <v>301</v>
      </c>
      <c r="V5" s="101" t="s">
        <v>337</v>
      </c>
      <c r="W5" s="102" t="s">
        <v>338</v>
      </c>
      <c r="X5" s="103" t="s">
        <v>339</v>
      </c>
      <c r="Y5" s="103" t="s">
        <v>340</v>
      </c>
      <c r="Z5" s="103" t="s">
        <v>341</v>
      </c>
      <c r="AA5" s="103" t="s">
        <v>342</v>
      </c>
      <c r="AB5" s="103" t="s">
        <v>343</v>
      </c>
      <c r="AC5" s="104" t="s">
        <v>344</v>
      </c>
      <c r="AD5" s="104" t="s">
        <v>345</v>
      </c>
      <c r="AE5" s="104" t="s">
        <v>346</v>
      </c>
    </row>
    <row r="6" customFormat="false" ht="15" hidden="false" customHeight="false" outlineLevel="0" collapsed="false">
      <c r="A6" s="83" t="n">
        <f aca="false">IF($B6="","",الموظفون!$A6)</f>
        <v>1</v>
      </c>
      <c r="B6" s="74" t="str">
        <f aca="false">IF(الموظفون!$B6="","",الموظفون!$B6)</f>
        <v>E001</v>
      </c>
      <c r="C6" s="74" t="str">
        <f aca="false">IF($B6="","",الموظفون!$C6)</f>
        <v>عبدالله محمد العتيبي</v>
      </c>
      <c r="D6" s="74" t="str">
        <f aca="false">IF($B6="","",الموظفون!$F6)</f>
        <v>الإدارة العليا</v>
      </c>
      <c r="E6" s="74" t="str">
        <f aca="false">IF($B6="","",الموظفون!$E6)</f>
        <v>سعودي</v>
      </c>
      <c r="F6" s="105" t="n">
        <f aca="false">IF($B6="","",IF(AE6&gt;=DAY($G$3),cfg_DAYS_M,MIN(AE6,cfg_DAYS_M)))</f>
        <v>30</v>
      </c>
      <c r="G6" s="105" t="n">
        <f aca="false">IF($B6="","",SUMIFS('الحركات الشهرية'!$D$6:$D$1005,'الحركات الشهرية'!$B$6:$B$1005,$B6,'الحركات الشهرية'!$A$6:$A$1005,$C$3))</f>
        <v>0</v>
      </c>
      <c r="H6" s="105" t="n">
        <f aca="false">IF($B6="","",SUMIFS('الحركات الشهرية'!$E$6:$E$1005,'الحركات الشهرية'!$B$6:$B$1005,$B6,'الحركات الشهرية'!$A$6:$A$1005,$C$3))</f>
        <v>0</v>
      </c>
      <c r="I6" s="105" t="n">
        <f aca="false">IF($B6="","",MAX(0,F6-G6-H6))</f>
        <v>30</v>
      </c>
      <c r="J6" s="86" t="n">
        <f aca="false">IF($B6="","",الموظفون!$J6*$I6/cfg_DAYS_M)</f>
        <v>28000</v>
      </c>
      <c r="K6" s="86" t="n">
        <f aca="false">IF($B6="","",الموظفون!$K6*$I6/cfg_DAYS_M)</f>
        <v>7000</v>
      </c>
      <c r="L6" s="86" t="n">
        <f aca="false">IF($B6="","",الموظفون!$L6*$I6/cfg_DAYS_M)</f>
        <v>2800</v>
      </c>
      <c r="M6" s="86" t="n">
        <f aca="false">IF($B6="","",الموظفون!$M6*$I6/cfg_DAYS_M)</f>
        <v>3000</v>
      </c>
      <c r="N6" s="105" t="n">
        <f aca="false">IF($B6="","",SUMIFS('الحركات الشهرية'!$F$6:$F$1005,'الحركات الشهرية'!$B$6:$B$1005,$B6,'الحركات الشهرية'!$A$6:$A$1005,$C$3))</f>
        <v>0</v>
      </c>
      <c r="O6" s="86" t="n">
        <f aca="false">IF($B6="","",N6*(الموظفون!$N6+الموظفون!$J6*cfg_OT_P)/cfg_DAYS_M/cfg_HRS)</f>
        <v>0</v>
      </c>
      <c r="P6" s="86" t="n">
        <f aca="false">IF($B6="","",SUMIFS('الحركات الشهرية'!$G$6:$G$1005,'الحركات الشهرية'!$B$6:$B$1005,$B6,'الحركات الشهرية'!$A$6:$A$1005,$C$3))</f>
        <v>0</v>
      </c>
      <c r="Q6" s="86" t="n">
        <f aca="false">IF($B6="","",SUMIFS('الحركات الشهرية'!$H$6:$H$1005,'الحركات الشهرية'!$B$6:$B$1005,$B6,'الحركات الشهرية'!$A$6:$A$1005,$C$3))</f>
        <v>0</v>
      </c>
      <c r="R6" s="106" t="n">
        <f aca="false">IF($B6="","",SUM(J6:M6)+SUM(O6:Q6))</f>
        <v>40800</v>
      </c>
      <c r="S6" s="86" t="n">
        <f aca="false">IF($B6="","",الموظفون!$Q6*IF(E6="سعودي",cfg_G_SE,cfg_G_NE)*F6/cfg_DAYS_M)</f>
        <v>3412.5</v>
      </c>
      <c r="T6" s="86" t="n">
        <f aca="false">IF($B6="","",SUMIFS('الحركات الشهرية'!$I$6:$I$1005,'الحركات الشهرية'!$B$6:$B$1005,$B6,'الحركات الشهرية'!$A$6:$A$1005,$C$3))</f>
        <v>0</v>
      </c>
      <c r="U6" s="86" t="n">
        <f aca="false">IF($B6="","",SUMIFS('الحركات الشهرية'!$J$6:$J$1005,'الحركات الشهرية'!$B$6:$B$1005,$B6,'الحركات الشهرية'!$A$6:$A$1005,$C$3))</f>
        <v>0</v>
      </c>
      <c r="V6" s="86" t="n">
        <f aca="false">IF($B6="","",SUM(S6:U6))</f>
        <v>3412.5</v>
      </c>
      <c r="W6" s="107" t="n">
        <f aca="false">IF($B6="","",R6-V6)</f>
        <v>37387.5</v>
      </c>
      <c r="X6" s="86" t="n">
        <f aca="false">IF($B6="","",الموظفون!$Q6*IF(E6="سعودي",cfg_G_SR,cfg_G_NR)*F6/cfg_DAYS_M)</f>
        <v>4112.5</v>
      </c>
      <c r="Y6" s="86" t="n">
        <f aca="false">IF($B6="","",الموظفون!$O6*(cfg_EOS_R1*(MIN(AC6,cfg_EOS_TH)-MIN(AD6,cfg_EOS_TH))+cfg_EOS_R2*(MAX(AC6-cfg_EOS_TH,0)-MAX(AD6-cfg_EOS_TH,0))))</f>
        <v>3106.84931506847</v>
      </c>
      <c r="Z6" s="86" t="n">
        <f aca="false">IF($B6="","",IF(الموظفون!$R6&lt;&gt;"",الموظفون!$R6,IF(AC6&gt;=cfg_LV_TH,cfg_LV_D2,cfg_LV_D1))/cfg_DAYS_Y*AE6*الموظفون!$P6/cfg_DAYS_M)</f>
        <v>3106.84931506849</v>
      </c>
      <c r="AA6" s="86" t="n">
        <f aca="false">IF($B6="","",IF(AND(الموظفون!$S6="نعم",N(الموظفون!$U6)&gt;0),الموظفون!$T6/الموظفون!$U6*12/cfg_DAYS_Y*AE6,0))</f>
        <v>0</v>
      </c>
      <c r="AB6" s="108" t="n">
        <f aca="false">IF($B6="","",R6+SUM(X6:AA6))</f>
        <v>51126.198630137</v>
      </c>
      <c r="AC6" s="109" t="n">
        <f aca="false">IF($B6="","",MAX(0,IF(OR(الموظفون!$X6="",الموظفون!$X6&gt;$G$3),$G$3,الموظفون!$X6)-الموظفون!$H6+1)/cfg_DAYS_Y)</f>
        <v>14.4684931506849</v>
      </c>
      <c r="AD6" s="109" t="n">
        <f aca="false">IF($B6="","",MAX(0,IF(OR(الموظفون!$X6="",الموظفون!$X6&gt;($E$3-1)),($E$3-1),الموظفون!$X6)-الموظفون!$H6+1)/cfg_DAYS_Y)</f>
        <v>14.386301369863</v>
      </c>
      <c r="AE6" s="51" t="n">
        <f aca="false">IF($B6="","",MAX(0,IF(OR(الموظفون!$X6="",الموظفون!$X6&gt;$G$3),$G$3,الموظفون!$X6)-MAX($E$3,الموظفون!$H6)+1))</f>
        <v>30</v>
      </c>
    </row>
    <row r="7" customFormat="false" ht="15" hidden="false" customHeight="false" outlineLevel="0" collapsed="false">
      <c r="A7" s="89" t="n">
        <f aca="false">IF($B7="","",الموظفون!$A7)</f>
        <v>2</v>
      </c>
      <c r="B7" s="91" t="str">
        <f aca="false">IF(الموظفون!$B7="","",الموظفون!$B7)</f>
        <v>E002</v>
      </c>
      <c r="C7" s="91" t="str">
        <f aca="false">IF($B7="","",الموظفون!$C7)</f>
        <v>أحمد سعيد القحطاني</v>
      </c>
      <c r="D7" s="91" t="str">
        <f aca="false">IF($B7="","",الموظفون!$F7)</f>
        <v>المالية</v>
      </c>
      <c r="E7" s="91" t="str">
        <f aca="false">IF($B7="","",الموظفون!$E7)</f>
        <v>سعودي</v>
      </c>
      <c r="F7" s="110" t="n">
        <f aca="false">IF($B7="","",IF(AE7&gt;=DAY($G$3),cfg_DAYS_M,MIN(AE7,cfg_DAYS_M)))</f>
        <v>30</v>
      </c>
      <c r="G7" s="110" t="n">
        <f aca="false">IF($B7="","",SUMIFS('الحركات الشهرية'!$D$6:$D$1005,'الحركات الشهرية'!$B$6:$B$1005,$B7,'الحركات الشهرية'!$A$6:$A$1005,$C$3))</f>
        <v>0</v>
      </c>
      <c r="H7" s="110" t="n">
        <f aca="false">IF($B7="","",SUMIFS('الحركات الشهرية'!$E$6:$E$1005,'الحركات الشهرية'!$B$6:$B$1005,$B7,'الحركات الشهرية'!$A$6:$A$1005,$C$3))</f>
        <v>0</v>
      </c>
      <c r="I7" s="110" t="n">
        <f aca="false">IF($B7="","",MAX(0,F7-G7-H7))</f>
        <v>30</v>
      </c>
      <c r="J7" s="90" t="n">
        <f aca="false">IF($B7="","",الموظفون!$J7*$I7/cfg_DAYS_M)</f>
        <v>18000</v>
      </c>
      <c r="K7" s="90" t="n">
        <f aca="false">IF($B7="","",الموظفون!$K7*$I7/cfg_DAYS_M)</f>
        <v>4500</v>
      </c>
      <c r="L7" s="90" t="n">
        <f aca="false">IF($B7="","",الموظفون!$L7*$I7/cfg_DAYS_M)</f>
        <v>1800</v>
      </c>
      <c r="M7" s="90" t="n">
        <f aca="false">IF($B7="","",الموظفون!$M7*$I7/cfg_DAYS_M)</f>
        <v>1000</v>
      </c>
      <c r="N7" s="110" t="n">
        <f aca="false">IF($B7="","",SUMIFS('الحركات الشهرية'!$F$6:$F$1005,'الحركات الشهرية'!$B$6:$B$1005,$B7,'الحركات الشهرية'!$A$6:$A$1005,$C$3))</f>
        <v>0</v>
      </c>
      <c r="O7" s="90" t="n">
        <f aca="false">IF($B7="","",N7*(الموظفون!$N7+الموظفون!$J7*cfg_OT_P)/cfg_DAYS_M/cfg_HRS)</f>
        <v>0</v>
      </c>
      <c r="P7" s="90" t="n">
        <f aca="false">IF($B7="","",SUMIFS('الحركات الشهرية'!$G$6:$G$1005,'الحركات الشهرية'!$B$6:$B$1005,$B7,'الحركات الشهرية'!$A$6:$A$1005,$C$3))</f>
        <v>0</v>
      </c>
      <c r="Q7" s="90" t="n">
        <f aca="false">IF($B7="","",SUMIFS('الحركات الشهرية'!$H$6:$H$1005,'الحركات الشهرية'!$B$6:$B$1005,$B7,'الحركات الشهرية'!$A$6:$A$1005,$C$3))</f>
        <v>0</v>
      </c>
      <c r="R7" s="111" t="n">
        <f aca="false">IF($B7="","",SUM(J7:M7)+SUM(O7:Q7))</f>
        <v>25300</v>
      </c>
      <c r="S7" s="90" t="n">
        <f aca="false">IF($B7="","",الموظفون!$Q7*IF(E7="سعودي",cfg_G_SE,cfg_G_NE)*F7/cfg_DAYS_M)</f>
        <v>2193.75</v>
      </c>
      <c r="T7" s="90" t="n">
        <f aca="false">IF($B7="","",SUMIFS('الحركات الشهرية'!$I$6:$I$1005,'الحركات الشهرية'!$B$6:$B$1005,$B7,'الحركات الشهرية'!$A$6:$A$1005,$C$3))</f>
        <v>0</v>
      </c>
      <c r="U7" s="90" t="n">
        <f aca="false">IF($B7="","",SUMIFS('الحركات الشهرية'!$J$6:$J$1005,'الحركات الشهرية'!$B$6:$B$1005,$B7,'الحركات الشهرية'!$A$6:$A$1005,$C$3))</f>
        <v>0</v>
      </c>
      <c r="V7" s="90" t="n">
        <f aca="false">IF($B7="","",SUM(S7:U7))</f>
        <v>2193.75</v>
      </c>
      <c r="W7" s="112" t="n">
        <f aca="false">IF($B7="","",R7-V7)</f>
        <v>23106.25</v>
      </c>
      <c r="X7" s="90" t="n">
        <f aca="false">IF($B7="","",الموظفون!$Q7*IF(E7="سعودي",cfg_G_SR,cfg_G_NR)*F7/cfg_DAYS_M)</f>
        <v>2643.75</v>
      </c>
      <c r="Y7" s="90" t="n">
        <f aca="false">IF($B7="","",الموظفون!$O7*(cfg_EOS_R1*(MIN(AC7,cfg_EOS_TH)-MIN(AD7,cfg_EOS_TH))+cfg_EOS_R2*(MAX(AC7-cfg_EOS_TH,0)-MAX(AD7-cfg_EOS_TH,0))))</f>
        <v>1997.26027397259</v>
      </c>
      <c r="Z7" s="90" t="n">
        <f aca="false">IF($B7="","",IF(الموظفون!$R7&lt;&gt;"",الموظفون!$R7,IF(AC7&gt;=cfg_LV_TH,cfg_LV_D2,cfg_LV_D1))/cfg_DAYS_Y*AE7*الموظفون!$P7/cfg_DAYS_M)</f>
        <v>1997.2602739726</v>
      </c>
      <c r="AA7" s="90" t="n">
        <f aca="false">IF($B7="","",IF(AND(الموظفون!$S7="نعم",N(الموظفون!$U7)&gt;0),الموظفون!$T7/الموظفون!$U7*12/cfg_DAYS_Y*AE7,0))</f>
        <v>0</v>
      </c>
      <c r="AB7" s="113" t="n">
        <f aca="false">IF($B7="","",R7+SUM(X7:AA7))</f>
        <v>31938.2705479452</v>
      </c>
      <c r="AC7" s="114" t="n">
        <f aca="false">IF($B7="","",MAX(0,IF(OR(الموظفون!$X7="",الموظفون!$X7&gt;$G$3),$G$3,الموظفون!$X7)-الموظفون!$H7+1)/cfg_DAYS_Y)</f>
        <v>10.0876712328767</v>
      </c>
      <c r="AD7" s="114" t="n">
        <f aca="false">IF($B7="","",MAX(0,IF(OR(الموظفون!$X7="",الموظفون!$X7&gt;($E$3-1)),($E$3-1),الموظفون!$X7)-الموظفون!$H7+1)/cfg_DAYS_Y)</f>
        <v>10.0054794520548</v>
      </c>
      <c r="AE7" s="115" t="n">
        <f aca="false">IF($B7="","",MAX(0,IF(OR(الموظفون!$X7="",الموظفون!$X7&gt;$G$3),$G$3,الموظفون!$X7)-MAX($E$3,الموظفون!$H7)+1))</f>
        <v>30</v>
      </c>
    </row>
    <row r="8" customFormat="false" ht="15" hidden="false" customHeight="false" outlineLevel="0" collapsed="false">
      <c r="A8" s="83" t="n">
        <f aca="false">IF($B8="","",الموظفون!$A8)</f>
        <v>3</v>
      </c>
      <c r="B8" s="74" t="str">
        <f aca="false">IF(الموظفون!$B8="","",الموظفون!$B8)</f>
        <v>E003</v>
      </c>
      <c r="C8" s="74" t="str">
        <f aca="false">IF($B8="","",الموظفون!$C8)</f>
        <v>محمد علي حسن</v>
      </c>
      <c r="D8" s="74" t="str">
        <f aca="false">IF($B8="","",الموظفون!$F8)</f>
        <v>المالية</v>
      </c>
      <c r="E8" s="74" t="str">
        <f aca="false">IF($B8="","",الموظفون!$E8)</f>
        <v>غير سعودي</v>
      </c>
      <c r="F8" s="105" t="n">
        <f aca="false">IF($B8="","",IF(AE8&gt;=DAY($G$3),cfg_DAYS_M,MIN(AE8,cfg_DAYS_M)))</f>
        <v>30</v>
      </c>
      <c r="G8" s="105" t="n">
        <f aca="false">IF($B8="","",SUMIFS('الحركات الشهرية'!$D$6:$D$1005,'الحركات الشهرية'!$B$6:$B$1005,$B8,'الحركات الشهرية'!$A$6:$A$1005,$C$3))</f>
        <v>0</v>
      </c>
      <c r="H8" s="105" t="n">
        <f aca="false">IF($B8="","",SUMIFS('الحركات الشهرية'!$E$6:$E$1005,'الحركات الشهرية'!$B$6:$B$1005,$B8,'الحركات الشهرية'!$A$6:$A$1005,$C$3))</f>
        <v>0</v>
      </c>
      <c r="I8" s="105" t="n">
        <f aca="false">IF($B8="","",MAX(0,F8-G8-H8))</f>
        <v>30</v>
      </c>
      <c r="J8" s="86" t="n">
        <f aca="false">IF($B8="","",الموظفون!$J8*$I8/cfg_DAYS_M)</f>
        <v>8500</v>
      </c>
      <c r="K8" s="86" t="n">
        <f aca="false">IF($B8="","",الموظفون!$K8*$I8/cfg_DAYS_M)</f>
        <v>2125</v>
      </c>
      <c r="L8" s="86" t="n">
        <f aca="false">IF($B8="","",الموظفون!$L8*$I8/cfg_DAYS_M)</f>
        <v>850</v>
      </c>
      <c r="M8" s="86" t="n">
        <f aca="false">IF($B8="","",الموظفون!$M8*$I8/cfg_DAYS_M)</f>
        <v>500</v>
      </c>
      <c r="N8" s="105" t="n">
        <f aca="false">IF($B8="","",SUMIFS('الحركات الشهرية'!$F$6:$F$1005,'الحركات الشهرية'!$B$6:$B$1005,$B8,'الحركات الشهرية'!$A$6:$A$1005,$C$3))</f>
        <v>0</v>
      </c>
      <c r="O8" s="86" t="n">
        <f aca="false">IF($B8="","",N8*(الموظفون!$N8+الموظفون!$J8*cfg_OT_P)/cfg_DAYS_M/cfg_HRS)</f>
        <v>0</v>
      </c>
      <c r="P8" s="86" t="n">
        <f aca="false">IF($B8="","",SUMIFS('الحركات الشهرية'!$G$6:$G$1005,'الحركات الشهرية'!$B$6:$B$1005,$B8,'الحركات الشهرية'!$A$6:$A$1005,$C$3))</f>
        <v>0</v>
      </c>
      <c r="Q8" s="86" t="n">
        <f aca="false">IF($B8="","",SUMIFS('الحركات الشهرية'!$H$6:$H$1005,'الحركات الشهرية'!$B$6:$B$1005,$B8,'الحركات الشهرية'!$A$6:$A$1005,$C$3))</f>
        <v>0</v>
      </c>
      <c r="R8" s="106" t="n">
        <f aca="false">IF($B8="","",SUM(J8:M8)+SUM(O8:Q8))</f>
        <v>11975</v>
      </c>
      <c r="S8" s="86" t="n">
        <f aca="false">IF($B8="","",الموظفون!$Q8*IF(E8="سعودي",cfg_G_SE,cfg_G_NE)*F8/cfg_DAYS_M)</f>
        <v>0</v>
      </c>
      <c r="T8" s="86" t="n">
        <f aca="false">IF($B8="","",SUMIFS('الحركات الشهرية'!$I$6:$I$1005,'الحركات الشهرية'!$B$6:$B$1005,$B8,'الحركات الشهرية'!$A$6:$A$1005,$C$3))</f>
        <v>0</v>
      </c>
      <c r="U8" s="86" t="n">
        <f aca="false">IF($B8="","",SUMIFS('الحركات الشهرية'!$J$6:$J$1005,'الحركات الشهرية'!$B$6:$B$1005,$B8,'الحركات الشهرية'!$A$6:$A$1005,$C$3))</f>
        <v>0</v>
      </c>
      <c r="V8" s="86" t="n">
        <f aca="false">IF($B8="","",SUM(S8:U8))</f>
        <v>0</v>
      </c>
      <c r="W8" s="107" t="n">
        <f aca="false">IF($B8="","",R8-V8)</f>
        <v>11975</v>
      </c>
      <c r="X8" s="86" t="n">
        <f aca="false">IF($B8="","",الموظفون!$Q8*IF(E8="سعودي",cfg_G_SR,cfg_G_NR)*F8/cfg_DAYS_M)</f>
        <v>212.5</v>
      </c>
      <c r="Y8" s="86" t="n">
        <f aca="false">IF($B8="","",الموظفون!$O8*(cfg_EOS_R1*(MIN(AC8,cfg_EOS_TH)-MIN(AD8,cfg_EOS_TH))+cfg_EOS_R2*(MAX(AC8-cfg_EOS_TH,0)-MAX(AD8-cfg_EOS_TH,0))))</f>
        <v>943.150684931511</v>
      </c>
      <c r="Z8" s="86" t="n">
        <f aca="false">IF($B8="","",IF(الموظفون!$R8&lt;&gt;"",الموظفون!$R8,IF(AC8&gt;=cfg_LV_TH,cfg_LV_D2,cfg_LV_D1))/cfg_DAYS_Y*AE8*الموظفون!$P8/cfg_DAYS_M)</f>
        <v>943.150684931507</v>
      </c>
      <c r="AA8" s="86" t="n">
        <f aca="false">IF($B8="","",IF(AND(الموظفون!$S8="نعم",N(الموظفون!$U8)&gt;0),الموظفون!$T8/الموظفون!$U8*12/cfg_DAYS_Y*AE8,0))</f>
        <v>131.506849315068</v>
      </c>
      <c r="AB8" s="108" t="n">
        <f aca="false">IF($B8="","",R8+SUM(X8:AA8))</f>
        <v>14205.3082191781</v>
      </c>
      <c r="AC8" s="109" t="n">
        <f aca="false">IF($B8="","",MAX(0,IF(OR(الموظفون!$X8="",الموظفون!$X8&gt;$G$3),$G$3,الموظفون!$X8)-الموظفون!$H8+1)/cfg_DAYS_Y)</f>
        <v>7.81095890410959</v>
      </c>
      <c r="AD8" s="109" t="n">
        <f aca="false">IF($B8="","",MAX(0,IF(OR(الموظفون!$X8="",الموظفون!$X8&gt;($E$3-1)),($E$3-1),الموظفون!$X8)-الموظفون!$H8+1)/cfg_DAYS_Y)</f>
        <v>7.72876712328767</v>
      </c>
      <c r="AE8" s="51" t="n">
        <f aca="false">IF($B8="","",MAX(0,IF(OR(الموظفون!$X8="",الموظفون!$X8&gt;$G$3),$G$3,الموظفون!$X8)-MAX($E$3,الموظفون!$H8)+1))</f>
        <v>30</v>
      </c>
    </row>
    <row r="9" customFormat="false" ht="15" hidden="false" customHeight="false" outlineLevel="0" collapsed="false">
      <c r="A9" s="89" t="n">
        <f aca="false">IF($B9="","",الموظفون!$A9)</f>
        <v>4</v>
      </c>
      <c r="B9" s="91" t="str">
        <f aca="false">IF(الموظفون!$B9="","",الموظفون!$B9)</f>
        <v>E004</v>
      </c>
      <c r="C9" s="91" t="str">
        <f aca="false">IF($B9="","",الموظفون!$C9)</f>
        <v>نورة خالد الدوسري</v>
      </c>
      <c r="D9" s="91" t="str">
        <f aca="false">IF($B9="","",الموظفون!$F9)</f>
        <v>الموارد البشرية</v>
      </c>
      <c r="E9" s="91" t="str">
        <f aca="false">IF($B9="","",الموظفون!$E9)</f>
        <v>سعودي</v>
      </c>
      <c r="F9" s="110" t="n">
        <f aca="false">IF($B9="","",IF(AE9&gt;=DAY($G$3),cfg_DAYS_M,MIN(AE9,cfg_DAYS_M)))</f>
        <v>30</v>
      </c>
      <c r="G9" s="110" t="n">
        <f aca="false">IF($B9="","",SUMIFS('الحركات الشهرية'!$D$6:$D$1005,'الحركات الشهرية'!$B$6:$B$1005,$B9,'الحركات الشهرية'!$A$6:$A$1005,$C$3))</f>
        <v>0</v>
      </c>
      <c r="H9" s="110" t="n">
        <f aca="false">IF($B9="","",SUMIFS('الحركات الشهرية'!$E$6:$E$1005,'الحركات الشهرية'!$B$6:$B$1005,$B9,'الحركات الشهرية'!$A$6:$A$1005,$C$3))</f>
        <v>0</v>
      </c>
      <c r="I9" s="110" t="n">
        <f aca="false">IF($B9="","",MAX(0,F9-G9-H9))</f>
        <v>30</v>
      </c>
      <c r="J9" s="90" t="n">
        <f aca="false">IF($B9="","",الموظفون!$J9*$I9/cfg_DAYS_M)</f>
        <v>14000</v>
      </c>
      <c r="K9" s="90" t="n">
        <f aca="false">IF($B9="","",الموظفون!$K9*$I9/cfg_DAYS_M)</f>
        <v>3500</v>
      </c>
      <c r="L9" s="90" t="n">
        <f aca="false">IF($B9="","",الموظفون!$L9*$I9/cfg_DAYS_M)</f>
        <v>1400</v>
      </c>
      <c r="M9" s="90" t="n">
        <f aca="false">IF($B9="","",الموظفون!$M9*$I9/cfg_DAYS_M)</f>
        <v>0</v>
      </c>
      <c r="N9" s="110" t="n">
        <f aca="false">IF($B9="","",SUMIFS('الحركات الشهرية'!$F$6:$F$1005,'الحركات الشهرية'!$B$6:$B$1005,$B9,'الحركات الشهرية'!$A$6:$A$1005,$C$3))</f>
        <v>0</v>
      </c>
      <c r="O9" s="90" t="n">
        <f aca="false">IF($B9="","",N9*(الموظفون!$N9+الموظفون!$J9*cfg_OT_P)/cfg_DAYS_M/cfg_HRS)</f>
        <v>0</v>
      </c>
      <c r="P9" s="90" t="n">
        <f aca="false">IF($B9="","",SUMIFS('الحركات الشهرية'!$G$6:$G$1005,'الحركات الشهرية'!$B$6:$B$1005,$B9,'الحركات الشهرية'!$A$6:$A$1005,$C$3))</f>
        <v>0</v>
      </c>
      <c r="Q9" s="90" t="n">
        <f aca="false">IF($B9="","",SUMIFS('الحركات الشهرية'!$H$6:$H$1005,'الحركات الشهرية'!$B$6:$B$1005,$B9,'الحركات الشهرية'!$A$6:$A$1005,$C$3))</f>
        <v>0</v>
      </c>
      <c r="R9" s="111" t="n">
        <f aca="false">IF($B9="","",SUM(J9:M9)+SUM(O9:Q9))</f>
        <v>18900</v>
      </c>
      <c r="S9" s="90" t="n">
        <f aca="false">IF($B9="","",الموظفون!$Q9*IF(E9="سعودي",cfg_G_SE,cfg_G_NE)*F9/cfg_DAYS_M)</f>
        <v>1706.25</v>
      </c>
      <c r="T9" s="90" t="n">
        <f aca="false">IF($B9="","",SUMIFS('الحركات الشهرية'!$I$6:$I$1005,'الحركات الشهرية'!$B$6:$B$1005,$B9,'الحركات الشهرية'!$A$6:$A$1005,$C$3))</f>
        <v>0</v>
      </c>
      <c r="U9" s="90" t="n">
        <f aca="false">IF($B9="","",SUMIFS('الحركات الشهرية'!$J$6:$J$1005,'الحركات الشهرية'!$B$6:$B$1005,$B9,'الحركات الشهرية'!$A$6:$A$1005,$C$3))</f>
        <v>0</v>
      </c>
      <c r="V9" s="90" t="n">
        <f aca="false">IF($B9="","",SUM(S9:U9))</f>
        <v>1706.25</v>
      </c>
      <c r="W9" s="112" t="n">
        <f aca="false">IF($B9="","",R9-V9)</f>
        <v>17193.75</v>
      </c>
      <c r="X9" s="90" t="n">
        <f aca="false">IF($B9="","",الموظفون!$Q9*IF(E9="سعودي",cfg_G_SR,cfg_G_NR)*F9/cfg_DAYS_M)</f>
        <v>2056.25</v>
      </c>
      <c r="Y9" s="90" t="n">
        <f aca="false">IF($B9="","",الموظفون!$O9*(cfg_EOS_R1*(MIN(AC9,cfg_EOS_TH)-MIN(AD9,cfg_EOS_TH))+cfg_EOS_R2*(MAX(AC9-cfg_EOS_TH,0)-MAX(AD9-cfg_EOS_TH,0))))</f>
        <v>1553.42465753425</v>
      </c>
      <c r="Z9" s="90" t="n">
        <f aca="false">IF($B9="","",IF(الموظفون!$R9&lt;&gt;"",الموظفون!$R9,IF(AC9&gt;=cfg_LV_TH,cfg_LV_D2,cfg_LV_D1))/cfg_DAYS_Y*AE9*الموظفون!$P9/cfg_DAYS_M)</f>
        <v>1553.42465753425</v>
      </c>
      <c r="AA9" s="90" t="n">
        <f aca="false">IF($B9="","",IF(AND(الموظفون!$S9="نعم",N(الموظفون!$U9)&gt;0),الموظفون!$T9/الموظفون!$U9*12/cfg_DAYS_Y*AE9,0))</f>
        <v>0</v>
      </c>
      <c r="AB9" s="113" t="n">
        <f aca="false">IF($B9="","",R9+SUM(X9:AA9))</f>
        <v>24063.0993150685</v>
      </c>
      <c r="AC9" s="114" t="n">
        <f aca="false">IF($B9="","",MAX(0,IF(OR(الموظفون!$X9="",الموظفون!$X9&gt;$G$3),$G$3,الموظفون!$X9)-الموظفون!$H9+1)/cfg_DAYS_Y)</f>
        <v>7.41643835616438</v>
      </c>
      <c r="AD9" s="114" t="n">
        <f aca="false">IF($B9="","",MAX(0,IF(OR(الموظفون!$X9="",الموظفون!$X9&gt;($E$3-1)),($E$3-1),الموظفون!$X9)-الموظفون!$H9+1)/cfg_DAYS_Y)</f>
        <v>7.33424657534247</v>
      </c>
      <c r="AE9" s="115" t="n">
        <f aca="false">IF($B9="","",MAX(0,IF(OR(الموظفون!$X9="",الموظفون!$X9&gt;$G$3),$G$3,الموظفون!$X9)-MAX($E$3,الموظفون!$H9)+1))</f>
        <v>30</v>
      </c>
    </row>
    <row r="10" customFormat="false" ht="15" hidden="false" customHeight="false" outlineLevel="0" collapsed="false">
      <c r="A10" s="83" t="n">
        <f aca="false">IF($B10="","",الموظفون!$A10)</f>
        <v>5</v>
      </c>
      <c r="B10" s="74" t="str">
        <f aca="false">IF(الموظفون!$B10="","",الموظفون!$B10)</f>
        <v>E005</v>
      </c>
      <c r="C10" s="74" t="str">
        <f aca="false">IF($B10="","",الموظفون!$C10)</f>
        <v>راجيش كومار</v>
      </c>
      <c r="D10" s="74" t="str">
        <f aca="false">IF($B10="","",الموظفون!$F10)</f>
        <v>تقنية المعلومات</v>
      </c>
      <c r="E10" s="74" t="str">
        <f aca="false">IF($B10="","",الموظفون!$E10)</f>
        <v>غير سعودي</v>
      </c>
      <c r="F10" s="105" t="n">
        <f aca="false">IF($B10="","",IF(AE10&gt;=DAY($G$3),cfg_DAYS_M,MIN(AE10,cfg_DAYS_M)))</f>
        <v>30</v>
      </c>
      <c r="G10" s="105" t="n">
        <f aca="false">IF($B10="","",SUMIFS('الحركات الشهرية'!$D$6:$D$1005,'الحركات الشهرية'!$B$6:$B$1005,$B10,'الحركات الشهرية'!$A$6:$A$1005,$C$3))</f>
        <v>0</v>
      </c>
      <c r="H10" s="105" t="n">
        <f aca="false">IF($B10="","",SUMIFS('الحركات الشهرية'!$E$6:$E$1005,'الحركات الشهرية'!$B$6:$B$1005,$B10,'الحركات الشهرية'!$A$6:$A$1005,$C$3))</f>
        <v>0</v>
      </c>
      <c r="I10" s="105" t="n">
        <f aca="false">IF($B10="","",MAX(0,F10-G10-H10))</f>
        <v>30</v>
      </c>
      <c r="J10" s="86" t="n">
        <f aca="false">IF($B10="","",الموظفون!$J10*$I10/cfg_DAYS_M)</f>
        <v>9000</v>
      </c>
      <c r="K10" s="86" t="n">
        <f aca="false">IF($B10="","",الموظفون!$K10*$I10/cfg_DAYS_M)</f>
        <v>2250</v>
      </c>
      <c r="L10" s="86" t="n">
        <f aca="false">IF($B10="","",الموظفون!$L10*$I10/cfg_DAYS_M)</f>
        <v>900</v>
      </c>
      <c r="M10" s="86" t="n">
        <f aca="false">IF($B10="","",الموظفون!$M10*$I10/cfg_DAYS_M)</f>
        <v>700</v>
      </c>
      <c r="N10" s="105" t="n">
        <f aca="false">IF($B10="","",SUMIFS('الحركات الشهرية'!$F$6:$F$1005,'الحركات الشهرية'!$B$6:$B$1005,$B10,'الحركات الشهرية'!$A$6:$A$1005,$C$3))</f>
        <v>0</v>
      </c>
      <c r="O10" s="86" t="n">
        <f aca="false">IF($B10="","",N10*(الموظفون!$N10+الموظفون!$J10*cfg_OT_P)/cfg_DAYS_M/cfg_HRS)</f>
        <v>0</v>
      </c>
      <c r="P10" s="86" t="n">
        <f aca="false">IF($B10="","",SUMIFS('الحركات الشهرية'!$G$6:$G$1005,'الحركات الشهرية'!$B$6:$B$1005,$B10,'الحركات الشهرية'!$A$6:$A$1005,$C$3))</f>
        <v>0</v>
      </c>
      <c r="Q10" s="86" t="n">
        <f aca="false">IF($B10="","",SUMIFS('الحركات الشهرية'!$H$6:$H$1005,'الحركات الشهرية'!$B$6:$B$1005,$B10,'الحركات الشهرية'!$A$6:$A$1005,$C$3))</f>
        <v>0</v>
      </c>
      <c r="R10" s="106" t="n">
        <f aca="false">IF($B10="","",SUM(J10:M10)+SUM(O10:Q10))</f>
        <v>12850</v>
      </c>
      <c r="S10" s="86" t="n">
        <f aca="false">IF($B10="","",الموظفون!$Q10*IF(E10="سعودي",cfg_G_SE,cfg_G_NE)*F10/cfg_DAYS_M)</f>
        <v>0</v>
      </c>
      <c r="T10" s="86" t="n">
        <f aca="false">IF($B10="","",SUMIFS('الحركات الشهرية'!$I$6:$I$1005,'الحركات الشهرية'!$B$6:$B$1005,$B10,'الحركات الشهرية'!$A$6:$A$1005,$C$3))</f>
        <v>0</v>
      </c>
      <c r="U10" s="86" t="n">
        <f aca="false">IF($B10="","",SUMIFS('الحركات الشهرية'!$J$6:$J$1005,'الحركات الشهرية'!$B$6:$B$1005,$B10,'الحركات الشهرية'!$A$6:$A$1005,$C$3))</f>
        <v>0</v>
      </c>
      <c r="V10" s="86" t="n">
        <f aca="false">IF($B10="","",SUM(S10:U10))</f>
        <v>0</v>
      </c>
      <c r="W10" s="107" t="n">
        <f aca="false">IF($B10="","",R10-V10)</f>
        <v>12850</v>
      </c>
      <c r="X10" s="86" t="n">
        <f aca="false">IF($B10="","",الموظفون!$Q10*IF(E10="سعودي",cfg_G_SR,cfg_G_NR)*F10/cfg_DAYS_M)</f>
        <v>225</v>
      </c>
      <c r="Y10" s="86" t="n">
        <f aca="false">IF($B10="","",الموظفون!$O10*(cfg_EOS_R1*(MIN(AC10,cfg_EOS_TH)-MIN(AD10,cfg_EOS_TH))+cfg_EOS_R2*(MAX(AC10-cfg_EOS_TH,0)-MAX(AD10-cfg_EOS_TH,0))))</f>
        <v>998.630136986305</v>
      </c>
      <c r="Z10" s="86" t="n">
        <f aca="false">IF($B10="","",IF(الموظفون!$R10&lt;&gt;"",الموظفون!$R10,IF(AC10&gt;=cfg_LV_TH,cfg_LV_D2,cfg_LV_D1))/cfg_DAYS_Y*AE10*الموظفون!$P10/cfg_DAYS_M)</f>
        <v>998.630136986301</v>
      </c>
      <c r="AA10" s="86" t="n">
        <f aca="false">IF($B10="","",IF(AND(الموظفون!$S10="نعم",N(الموظفون!$U10)&gt;0),الموظفون!$T10/الموظفون!$U10*12/cfg_DAYS_Y*AE10,0))</f>
        <v>230.13698630137</v>
      </c>
      <c r="AB10" s="108" t="n">
        <f aca="false">IF($B10="","",R10+SUM(X10:AA10))</f>
        <v>15302.397260274</v>
      </c>
      <c r="AC10" s="109" t="n">
        <f aca="false">IF($B10="","",MAX(0,IF(OR(الموظفون!$X10="",الموظفون!$X10&gt;$G$3),$G$3,الموظفون!$X10)-الموظفون!$H10+1)/cfg_DAYS_Y)</f>
        <v>6.22191780821918</v>
      </c>
      <c r="AD10" s="109" t="n">
        <f aca="false">IF($B10="","",MAX(0,IF(OR(الموظفون!$X10="",الموظفون!$X10&gt;($E$3-1)),($E$3-1),الموظفون!$X10)-الموظفون!$H10+1)/cfg_DAYS_Y)</f>
        <v>6.13972602739726</v>
      </c>
      <c r="AE10" s="51" t="n">
        <f aca="false">IF($B10="","",MAX(0,IF(OR(الموظفون!$X10="",الموظفون!$X10&gt;$G$3),$G$3,الموظفون!$X10)-MAX($E$3,الموظفون!$H10)+1))</f>
        <v>30</v>
      </c>
    </row>
    <row r="11" customFormat="false" ht="15" hidden="false" customHeight="false" outlineLevel="0" collapsed="false">
      <c r="A11" s="89" t="n">
        <f aca="false">IF($B11="","",الموظفون!$A11)</f>
        <v>6</v>
      </c>
      <c r="B11" s="91" t="str">
        <f aca="false">IF(الموظفون!$B11="","",الموظفون!$B11)</f>
        <v>E006</v>
      </c>
      <c r="C11" s="91" t="str">
        <f aca="false">IF($B11="","",الموظفون!$C11)</f>
        <v>فهد ناصر الشمري</v>
      </c>
      <c r="D11" s="91" t="str">
        <f aca="false">IF($B11="","",الموظفون!$F11)</f>
        <v>المبيعات</v>
      </c>
      <c r="E11" s="91" t="str">
        <f aca="false">IF($B11="","",الموظفون!$E11)</f>
        <v>سعودي</v>
      </c>
      <c r="F11" s="110" t="n">
        <f aca="false">IF($B11="","",IF(AE11&gt;=DAY($G$3),cfg_DAYS_M,MIN(AE11,cfg_DAYS_M)))</f>
        <v>30</v>
      </c>
      <c r="G11" s="110" t="n">
        <f aca="false">IF($B11="","",SUMIFS('الحركات الشهرية'!$D$6:$D$1005,'الحركات الشهرية'!$B$6:$B$1005,$B11,'الحركات الشهرية'!$A$6:$A$1005,$C$3))</f>
        <v>0</v>
      </c>
      <c r="H11" s="110" t="n">
        <f aca="false">IF($B11="","",SUMIFS('الحركات الشهرية'!$E$6:$E$1005,'الحركات الشهرية'!$B$6:$B$1005,$B11,'الحركات الشهرية'!$A$6:$A$1005,$C$3))</f>
        <v>0</v>
      </c>
      <c r="I11" s="110" t="n">
        <f aca="false">IF($B11="","",MAX(0,F11-G11-H11))</f>
        <v>30</v>
      </c>
      <c r="J11" s="90" t="n">
        <f aca="false">IF($B11="","",الموظفون!$J11*$I11/cfg_DAYS_M)</f>
        <v>13000</v>
      </c>
      <c r="K11" s="90" t="n">
        <f aca="false">IF($B11="","",الموظفون!$K11*$I11/cfg_DAYS_M)</f>
        <v>3250</v>
      </c>
      <c r="L11" s="90" t="n">
        <f aca="false">IF($B11="","",الموظفون!$L11*$I11/cfg_DAYS_M)</f>
        <v>1300</v>
      </c>
      <c r="M11" s="90" t="n">
        <f aca="false">IF($B11="","",الموظفون!$M11*$I11/cfg_DAYS_M)</f>
        <v>2500</v>
      </c>
      <c r="N11" s="110" t="n">
        <f aca="false">IF($B11="","",SUMIFS('الحركات الشهرية'!$F$6:$F$1005,'الحركات الشهرية'!$B$6:$B$1005,$B11,'الحركات الشهرية'!$A$6:$A$1005,$C$3))</f>
        <v>0</v>
      </c>
      <c r="O11" s="90" t="n">
        <f aca="false">IF($B11="","",N11*(الموظفون!$N11+الموظفون!$J11*cfg_OT_P)/cfg_DAYS_M/cfg_HRS)</f>
        <v>0</v>
      </c>
      <c r="P11" s="90" t="n">
        <f aca="false">IF($B11="","",SUMIFS('الحركات الشهرية'!$G$6:$G$1005,'الحركات الشهرية'!$B$6:$B$1005,$B11,'الحركات الشهرية'!$A$6:$A$1005,$C$3))</f>
        <v>6500</v>
      </c>
      <c r="Q11" s="90" t="n">
        <f aca="false">IF($B11="","",SUMIFS('الحركات الشهرية'!$H$6:$H$1005,'الحركات الشهرية'!$B$6:$B$1005,$B11,'الحركات الشهرية'!$A$6:$A$1005,$C$3))</f>
        <v>0</v>
      </c>
      <c r="R11" s="111" t="n">
        <f aca="false">IF($B11="","",SUM(J11:M11)+SUM(O11:Q11))</f>
        <v>26550</v>
      </c>
      <c r="S11" s="90" t="n">
        <f aca="false">IF($B11="","",الموظفون!$Q11*IF(E11="سعودي",cfg_G_SE,cfg_G_NE)*F11/cfg_DAYS_M)</f>
        <v>1584.375</v>
      </c>
      <c r="T11" s="90" t="n">
        <f aca="false">IF($B11="","",SUMIFS('الحركات الشهرية'!$I$6:$I$1005,'الحركات الشهرية'!$B$6:$B$1005,$B11,'الحركات الشهرية'!$A$6:$A$1005,$C$3))</f>
        <v>0</v>
      </c>
      <c r="U11" s="90" t="n">
        <f aca="false">IF($B11="","",SUMIFS('الحركات الشهرية'!$J$6:$J$1005,'الحركات الشهرية'!$B$6:$B$1005,$B11,'الحركات الشهرية'!$A$6:$A$1005,$C$3))</f>
        <v>0</v>
      </c>
      <c r="V11" s="90" t="n">
        <f aca="false">IF($B11="","",SUM(S11:U11))</f>
        <v>1584.375</v>
      </c>
      <c r="W11" s="112" t="n">
        <f aca="false">IF($B11="","",R11-V11)</f>
        <v>24965.625</v>
      </c>
      <c r="X11" s="90" t="n">
        <f aca="false">IF($B11="","",الموظفون!$Q11*IF(E11="سعودي",cfg_G_SR,cfg_G_NR)*F11/cfg_DAYS_M)</f>
        <v>1909.375</v>
      </c>
      <c r="Y11" s="90" t="n">
        <f aca="false">IF($B11="","",الموظفون!$O11*(cfg_EOS_R1*(MIN(AC11,cfg_EOS_TH)-MIN(AD11,cfg_EOS_TH))+cfg_EOS_R2*(MAX(AC11-cfg_EOS_TH,0)-MAX(AD11-cfg_EOS_TH,0))))</f>
        <v>1442.46575342468</v>
      </c>
      <c r="Z11" s="90" t="n">
        <f aca="false">IF($B11="","",IF(الموظفون!$R11&lt;&gt;"",الموظفون!$R11,IF(AC11&gt;=cfg_LV_TH,cfg_LV_D2,cfg_LV_D1))/cfg_DAYS_Y*AE11*الموظفون!$P11/cfg_DAYS_M)</f>
        <v>1442.46575342466</v>
      </c>
      <c r="AA11" s="90" t="n">
        <f aca="false">IF($B11="","",IF(AND(الموظفون!$S11="نعم",N(الموظفون!$U11)&gt;0),الموظفون!$T11/الموظفون!$U11*12/cfg_DAYS_Y*AE11,0))</f>
        <v>0</v>
      </c>
      <c r="AB11" s="113" t="n">
        <f aca="false">IF($B11="","",R11+SUM(X11:AA11))</f>
        <v>31344.3065068493</v>
      </c>
      <c r="AC11" s="114" t="n">
        <f aca="false">IF($B11="","",MAX(0,IF(OR(الموظفون!$X11="",الموظفون!$X11&gt;$G$3),$G$3,الموظفون!$X11)-الموظفون!$H11+1)/cfg_DAYS_Y)</f>
        <v>8.65753424657534</v>
      </c>
      <c r="AD11" s="114" t="n">
        <f aca="false">IF($B11="","",MAX(0,IF(OR(الموظفون!$X11="",الموظفون!$X11&gt;($E$3-1)),($E$3-1),الموظفون!$X11)-الموظفون!$H11+1)/cfg_DAYS_Y)</f>
        <v>8.57534246575342</v>
      </c>
      <c r="AE11" s="115" t="n">
        <f aca="false">IF($B11="","",MAX(0,IF(OR(الموظفون!$X11="",الموظفون!$X11&gt;$G$3),$G$3,الموظفون!$X11)-MAX($E$3,الموظفون!$H11)+1))</f>
        <v>30</v>
      </c>
    </row>
    <row r="12" customFormat="false" ht="15" hidden="false" customHeight="false" outlineLevel="0" collapsed="false">
      <c r="A12" s="83" t="n">
        <f aca="false">IF($B12="","",الموظفون!$A12)</f>
        <v>7</v>
      </c>
      <c r="B12" s="74" t="str">
        <f aca="false">IF(الموظفون!$B12="","",الموظفون!$B12)</f>
        <v>E007</v>
      </c>
      <c r="C12" s="74" t="str">
        <f aca="false">IF($B12="","",الموظفون!$C12)</f>
        <v>خالد يوسف الأحمد</v>
      </c>
      <c r="D12" s="74" t="str">
        <f aca="false">IF($B12="","",الموظفون!$F12)</f>
        <v>المشاريع</v>
      </c>
      <c r="E12" s="74" t="str">
        <f aca="false">IF($B12="","",الموظفون!$E12)</f>
        <v>غير سعودي</v>
      </c>
      <c r="F12" s="105" t="n">
        <f aca="false">IF($B12="","",IF(AE12&gt;=DAY($G$3),cfg_DAYS_M,MIN(AE12,cfg_DAYS_M)))</f>
        <v>30</v>
      </c>
      <c r="G12" s="105" t="n">
        <f aca="false">IF($B12="","",SUMIFS('الحركات الشهرية'!$D$6:$D$1005,'الحركات الشهرية'!$B$6:$B$1005,$B12,'الحركات الشهرية'!$A$6:$A$1005,$C$3))</f>
        <v>0</v>
      </c>
      <c r="H12" s="105" t="n">
        <f aca="false">IF($B12="","",SUMIFS('الحركات الشهرية'!$E$6:$E$1005,'الحركات الشهرية'!$B$6:$B$1005,$B12,'الحركات الشهرية'!$A$6:$A$1005,$C$3))</f>
        <v>0</v>
      </c>
      <c r="I12" s="105" t="n">
        <f aca="false">IF($B12="","",MAX(0,F12-G12-H12))</f>
        <v>30</v>
      </c>
      <c r="J12" s="86" t="n">
        <f aca="false">IF($B12="","",الموظفون!$J12*$I12/cfg_DAYS_M)</f>
        <v>11000</v>
      </c>
      <c r="K12" s="86" t="n">
        <f aca="false">IF($B12="","",الموظفون!$K12*$I12/cfg_DAYS_M)</f>
        <v>2750</v>
      </c>
      <c r="L12" s="86" t="n">
        <f aca="false">IF($B12="","",الموظفون!$L12*$I12/cfg_DAYS_M)</f>
        <v>1100</v>
      </c>
      <c r="M12" s="86" t="n">
        <f aca="false">IF($B12="","",الموظفون!$M12*$I12/cfg_DAYS_M)</f>
        <v>800</v>
      </c>
      <c r="N12" s="105" t="n">
        <f aca="false">IF($B12="","",SUMIFS('الحركات الشهرية'!$F$6:$F$1005,'الحركات الشهرية'!$B$6:$B$1005,$B12,'الحركات الشهرية'!$A$6:$A$1005,$C$3))</f>
        <v>0</v>
      </c>
      <c r="O12" s="86" t="n">
        <f aca="false">IF($B12="","",N12*(الموظفون!$N12+الموظفون!$J12*cfg_OT_P)/cfg_DAYS_M/cfg_HRS)</f>
        <v>0</v>
      </c>
      <c r="P12" s="86" t="n">
        <f aca="false">IF($B12="","",SUMIFS('الحركات الشهرية'!$G$6:$G$1005,'الحركات الشهرية'!$B$6:$B$1005,$B12,'الحركات الشهرية'!$A$6:$A$1005,$C$3))</f>
        <v>0</v>
      </c>
      <c r="Q12" s="86" t="n">
        <f aca="false">IF($B12="","",SUMIFS('الحركات الشهرية'!$H$6:$H$1005,'الحركات الشهرية'!$B$6:$B$1005,$B12,'الحركات الشهرية'!$A$6:$A$1005,$C$3))</f>
        <v>0</v>
      </c>
      <c r="R12" s="106" t="n">
        <f aca="false">IF($B12="","",SUM(J12:M12)+SUM(O12:Q12))</f>
        <v>15650</v>
      </c>
      <c r="S12" s="86" t="n">
        <f aca="false">IF($B12="","",الموظفون!$Q12*IF(E12="سعودي",cfg_G_SE,cfg_G_NE)*F12/cfg_DAYS_M)</f>
        <v>0</v>
      </c>
      <c r="T12" s="86" t="n">
        <f aca="false">IF($B12="","",SUMIFS('الحركات الشهرية'!$I$6:$I$1005,'الحركات الشهرية'!$B$6:$B$1005,$B12,'الحركات الشهرية'!$A$6:$A$1005,$C$3))</f>
        <v>0</v>
      </c>
      <c r="U12" s="86" t="n">
        <f aca="false">IF($B12="","",SUMIFS('الحركات الشهرية'!$J$6:$J$1005,'الحركات الشهرية'!$B$6:$B$1005,$B12,'الحركات الشهرية'!$A$6:$A$1005,$C$3))</f>
        <v>0</v>
      </c>
      <c r="V12" s="86" t="n">
        <f aca="false">IF($B12="","",SUM(S12:U12))</f>
        <v>0</v>
      </c>
      <c r="W12" s="107" t="n">
        <f aca="false">IF($B12="","",R12-V12)</f>
        <v>15650</v>
      </c>
      <c r="X12" s="86" t="n">
        <f aca="false">IF($B12="","",الموظفون!$Q12*IF(E12="سعودي",cfg_G_SR,cfg_G_NR)*F12/cfg_DAYS_M)</f>
        <v>275</v>
      </c>
      <c r="Y12" s="86" t="n">
        <f aca="false">IF($B12="","",الموظفون!$O12*(cfg_EOS_R1*(MIN(AC12,cfg_EOS_TH)-MIN(AD12,cfg_EOS_TH))+cfg_EOS_R2*(MAX(AC12-cfg_EOS_TH,0)-MAX(AD12-cfg_EOS_TH,0))))</f>
        <v>1220.54794520548</v>
      </c>
      <c r="Z12" s="86" t="n">
        <f aca="false">IF($B12="","",IF(الموظفون!$R12&lt;&gt;"",الموظفون!$R12,IF(AC12&gt;=cfg_LV_TH,cfg_LV_D2,cfg_LV_D1))/cfg_DAYS_Y*AE12*الموظفون!$P12/cfg_DAYS_M)</f>
        <v>1220.54794520548</v>
      </c>
      <c r="AA12" s="86" t="n">
        <f aca="false">IF($B12="","",IF(AND(الموظفون!$S12="نعم",N(الموظفون!$U12)&gt;0),الموظفون!$T12/الموظفون!$U12*12/cfg_DAYS_Y*AE12,0))</f>
        <v>369.86301369863</v>
      </c>
      <c r="AB12" s="108" t="n">
        <f aca="false">IF($B12="","",R12+SUM(X12:AA12))</f>
        <v>18735.9589041096</v>
      </c>
      <c r="AC12" s="109" t="n">
        <f aca="false">IF($B12="","",MAX(0,IF(OR(الموظفون!$X12="",الموظفون!$X12&gt;$G$3),$G$3,الموظفون!$X12)-الموظفون!$H12+1)/cfg_DAYS_Y)</f>
        <v>5.44657534246575</v>
      </c>
      <c r="AD12" s="109" t="n">
        <f aca="false">IF($B12="","",MAX(0,IF(OR(الموظفون!$X12="",الموظفون!$X12&gt;($E$3-1)),($E$3-1),الموظفون!$X12)-الموظفون!$H12+1)/cfg_DAYS_Y)</f>
        <v>5.36438356164384</v>
      </c>
      <c r="AE12" s="51" t="n">
        <f aca="false">IF($B12="","",MAX(0,IF(OR(الموظفون!$X12="",الموظفون!$X12&gt;$G$3),$G$3,الموظفون!$X12)-MAX($E$3,الموظفون!$H12)+1))</f>
        <v>30</v>
      </c>
    </row>
    <row r="13" customFormat="false" ht="15" hidden="false" customHeight="false" outlineLevel="0" collapsed="false">
      <c r="A13" s="89" t="n">
        <f aca="false">IF($B13="","",الموظفون!$A13)</f>
        <v>8</v>
      </c>
      <c r="B13" s="91" t="str">
        <f aca="false">IF(الموظفون!$B13="","",الموظفون!$B13)</f>
        <v>E008</v>
      </c>
      <c r="C13" s="91" t="str">
        <f aca="false">IF($B13="","",الموظفون!$C13)</f>
        <v>سارة عبدالرحمن الزهراني</v>
      </c>
      <c r="D13" s="91" t="str">
        <f aca="false">IF($B13="","",الموظفون!$F13)</f>
        <v>المالية</v>
      </c>
      <c r="E13" s="91" t="str">
        <f aca="false">IF($B13="","",الموظفون!$E13)</f>
        <v>سعودي</v>
      </c>
      <c r="F13" s="110" t="n">
        <f aca="false">IF($B13="","",IF(AE13&gt;=DAY($G$3),cfg_DAYS_M,MIN(AE13,cfg_DAYS_M)))</f>
        <v>30</v>
      </c>
      <c r="G13" s="110" t="n">
        <f aca="false">IF($B13="","",SUMIFS('الحركات الشهرية'!$D$6:$D$1005,'الحركات الشهرية'!$B$6:$B$1005,$B13,'الحركات الشهرية'!$A$6:$A$1005,$C$3))</f>
        <v>0</v>
      </c>
      <c r="H13" s="110" t="n">
        <f aca="false">IF($B13="","",SUMIFS('الحركات الشهرية'!$E$6:$E$1005,'الحركات الشهرية'!$B$6:$B$1005,$B13,'الحركات الشهرية'!$A$6:$A$1005,$C$3))</f>
        <v>0</v>
      </c>
      <c r="I13" s="110" t="n">
        <f aca="false">IF($B13="","",MAX(0,F13-G13-H13))</f>
        <v>30</v>
      </c>
      <c r="J13" s="90" t="n">
        <f aca="false">IF($B13="","",الموظفون!$J13*$I13/cfg_DAYS_M)</f>
        <v>7500</v>
      </c>
      <c r="K13" s="90" t="n">
        <f aca="false">IF($B13="","",الموظفون!$K13*$I13/cfg_DAYS_M)</f>
        <v>1875</v>
      </c>
      <c r="L13" s="90" t="n">
        <f aca="false">IF($B13="","",الموظفون!$L13*$I13/cfg_DAYS_M)</f>
        <v>750</v>
      </c>
      <c r="M13" s="90" t="n">
        <f aca="false">IF($B13="","",الموظفون!$M13*$I13/cfg_DAYS_M)</f>
        <v>0</v>
      </c>
      <c r="N13" s="110" t="n">
        <f aca="false">IF($B13="","",SUMIFS('الحركات الشهرية'!$F$6:$F$1005,'الحركات الشهرية'!$B$6:$B$1005,$B13,'الحركات الشهرية'!$A$6:$A$1005,$C$3))</f>
        <v>0</v>
      </c>
      <c r="O13" s="90" t="n">
        <f aca="false">IF($B13="","",N13*(الموظفون!$N13+الموظفون!$J13*cfg_OT_P)/cfg_DAYS_M/cfg_HRS)</f>
        <v>0</v>
      </c>
      <c r="P13" s="90" t="n">
        <f aca="false">IF($B13="","",SUMIFS('الحركات الشهرية'!$G$6:$G$1005,'الحركات الشهرية'!$B$6:$B$1005,$B13,'الحركات الشهرية'!$A$6:$A$1005,$C$3))</f>
        <v>0</v>
      </c>
      <c r="Q13" s="90" t="n">
        <f aca="false">IF($B13="","",SUMIFS('الحركات الشهرية'!$H$6:$H$1005,'الحركات الشهرية'!$B$6:$B$1005,$B13,'الحركات الشهرية'!$A$6:$A$1005,$C$3))</f>
        <v>0</v>
      </c>
      <c r="R13" s="111" t="n">
        <f aca="false">IF($B13="","",SUM(J13:M13)+SUM(O13:Q13))</f>
        <v>10125</v>
      </c>
      <c r="S13" s="90" t="n">
        <f aca="false">IF($B13="","",الموظفون!$Q13*IF(E13="سعودي",cfg_G_SE,cfg_G_NE)*F13/cfg_DAYS_M)</f>
        <v>914.0625</v>
      </c>
      <c r="T13" s="90" t="n">
        <f aca="false">IF($B13="","",SUMIFS('الحركات الشهرية'!$I$6:$I$1005,'الحركات الشهرية'!$B$6:$B$1005,$B13,'الحركات الشهرية'!$A$6:$A$1005,$C$3))</f>
        <v>0</v>
      </c>
      <c r="U13" s="90" t="n">
        <f aca="false">IF($B13="","",SUMIFS('الحركات الشهرية'!$J$6:$J$1005,'الحركات الشهرية'!$B$6:$B$1005,$B13,'الحركات الشهرية'!$A$6:$A$1005,$C$3))</f>
        <v>0</v>
      </c>
      <c r="V13" s="90" t="n">
        <f aca="false">IF($B13="","",SUM(S13:U13))</f>
        <v>914.0625</v>
      </c>
      <c r="W13" s="112" t="n">
        <f aca="false">IF($B13="","",R13-V13)</f>
        <v>9210.9375</v>
      </c>
      <c r="X13" s="90" t="n">
        <f aca="false">IF($B13="","",الموظفون!$Q13*IF(E13="سعودي",cfg_G_SR,cfg_G_NR)*F13/cfg_DAYS_M)</f>
        <v>1101.5625</v>
      </c>
      <c r="Y13" s="90" t="n">
        <f aca="false">IF($B13="","",الموظفون!$O13*(cfg_EOS_R1*(MIN(AC13,cfg_EOS_TH)-MIN(AD13,cfg_EOS_TH))+cfg_EOS_R2*(MAX(AC13-cfg_EOS_TH,0)-MAX(AD13-cfg_EOS_TH,0))))</f>
        <v>416.095890410958</v>
      </c>
      <c r="Z13" s="90" t="n">
        <f aca="false">IF($B13="","",IF(الموظفون!$R13&lt;&gt;"",الموظفون!$R13,IF(AC13&gt;=cfg_LV_TH,cfg_LV_D2,cfg_LV_D1))/cfg_DAYS_Y*AE13*الموظفون!$P13/cfg_DAYS_M)</f>
        <v>582.534246575342</v>
      </c>
      <c r="AA13" s="90" t="n">
        <f aca="false">IF($B13="","",IF(AND(الموظفون!$S13="نعم",N(الموظفون!$U13)&gt;0),الموظفون!$T13/الموظفون!$U13*12/cfg_DAYS_Y*AE13,0))</f>
        <v>0</v>
      </c>
      <c r="AB13" s="113" t="n">
        <f aca="false">IF($B13="","",R13+SUM(X13:AA13))</f>
        <v>12225.1926369863</v>
      </c>
      <c r="AC13" s="114" t="n">
        <f aca="false">IF($B13="","",MAX(0,IF(OR(الموظفون!$X13="",الموظفون!$X13&gt;$G$3),$G$3,الموظفون!$X13)-الموظفون!$H13+1)/cfg_DAYS_Y)</f>
        <v>3.33698630136986</v>
      </c>
      <c r="AD13" s="114" t="n">
        <f aca="false">IF($B13="","",MAX(0,IF(OR(الموظفون!$X13="",الموظفون!$X13&gt;($E$3-1)),($E$3-1),الموظفون!$X13)-الموظفون!$H13+1)/cfg_DAYS_Y)</f>
        <v>3.25479452054795</v>
      </c>
      <c r="AE13" s="115" t="n">
        <f aca="false">IF($B13="","",MAX(0,IF(OR(الموظفون!$X13="",الموظفون!$X13&gt;$G$3),$G$3,الموظفون!$X13)-MAX($E$3,الموظفون!$H13)+1))</f>
        <v>30</v>
      </c>
    </row>
    <row r="14" customFormat="false" ht="15" hidden="false" customHeight="false" outlineLevel="0" collapsed="false">
      <c r="A14" s="83" t="n">
        <f aca="false">IF($B14="","",الموظفون!$A14)</f>
        <v>9</v>
      </c>
      <c r="B14" s="74" t="str">
        <f aca="false">IF(الموظفون!$B14="","",الموظفون!$B14)</f>
        <v>E009</v>
      </c>
      <c r="C14" s="74" t="str">
        <f aca="false">IF($B14="","",الموظفون!$C14)</f>
        <v>محمد رفيق</v>
      </c>
      <c r="D14" s="74" t="str">
        <f aca="false">IF($B14="","",الموظفون!$F14)</f>
        <v>العمليات</v>
      </c>
      <c r="E14" s="74" t="str">
        <f aca="false">IF($B14="","",الموظفون!$E14)</f>
        <v>غير سعودي</v>
      </c>
      <c r="F14" s="105" t="n">
        <f aca="false">IF($B14="","",IF(AE14&gt;=DAY($G$3),cfg_DAYS_M,MIN(AE14,cfg_DAYS_M)))</f>
        <v>30</v>
      </c>
      <c r="G14" s="105" t="n">
        <f aca="false">IF($B14="","",SUMIFS('الحركات الشهرية'!$D$6:$D$1005,'الحركات الشهرية'!$B$6:$B$1005,$B14,'الحركات الشهرية'!$A$6:$A$1005,$C$3))</f>
        <v>0</v>
      </c>
      <c r="H14" s="105" t="n">
        <f aca="false">IF($B14="","",SUMIFS('الحركات الشهرية'!$E$6:$E$1005,'الحركات الشهرية'!$B$6:$B$1005,$B14,'الحركات الشهرية'!$A$6:$A$1005,$C$3))</f>
        <v>0</v>
      </c>
      <c r="I14" s="105" t="n">
        <f aca="false">IF($B14="","",MAX(0,F14-G14-H14))</f>
        <v>30</v>
      </c>
      <c r="J14" s="86" t="n">
        <f aca="false">IF($B14="","",الموظفون!$J14*$I14/cfg_DAYS_M)</f>
        <v>6500</v>
      </c>
      <c r="K14" s="86" t="n">
        <f aca="false">IF($B14="","",الموظفون!$K14*$I14/cfg_DAYS_M)</f>
        <v>1625</v>
      </c>
      <c r="L14" s="86" t="n">
        <f aca="false">IF($B14="","",الموظفون!$L14*$I14/cfg_DAYS_M)</f>
        <v>650</v>
      </c>
      <c r="M14" s="86" t="n">
        <f aca="false">IF($B14="","",الموظفون!$M14*$I14/cfg_DAYS_M)</f>
        <v>300</v>
      </c>
      <c r="N14" s="105" t="n">
        <f aca="false">IF($B14="","",SUMIFS('الحركات الشهرية'!$F$6:$F$1005,'الحركات الشهرية'!$B$6:$B$1005,$B14,'الحركات الشهرية'!$A$6:$A$1005,$C$3))</f>
        <v>0</v>
      </c>
      <c r="O14" s="86" t="n">
        <f aca="false">IF($B14="","",N14*(الموظفون!$N14+الموظفون!$J14*cfg_OT_P)/cfg_DAYS_M/cfg_HRS)</f>
        <v>0</v>
      </c>
      <c r="P14" s="86" t="n">
        <f aca="false">IF($B14="","",SUMIFS('الحركات الشهرية'!$G$6:$G$1005,'الحركات الشهرية'!$B$6:$B$1005,$B14,'الحركات الشهرية'!$A$6:$A$1005,$C$3))</f>
        <v>0</v>
      </c>
      <c r="Q14" s="86" t="n">
        <f aca="false">IF($B14="","",SUMIFS('الحركات الشهرية'!$H$6:$H$1005,'الحركات الشهرية'!$B$6:$B$1005,$B14,'الحركات الشهرية'!$A$6:$A$1005,$C$3))</f>
        <v>0</v>
      </c>
      <c r="R14" s="106" t="n">
        <f aca="false">IF($B14="","",SUM(J14:M14)+SUM(O14:Q14))</f>
        <v>9075</v>
      </c>
      <c r="S14" s="86" t="n">
        <f aca="false">IF($B14="","",الموظفون!$Q14*IF(E14="سعودي",cfg_G_SE,cfg_G_NE)*F14/cfg_DAYS_M)</f>
        <v>0</v>
      </c>
      <c r="T14" s="86" t="n">
        <f aca="false">IF($B14="","",SUMIFS('الحركات الشهرية'!$I$6:$I$1005,'الحركات الشهرية'!$B$6:$B$1005,$B14,'الحركات الشهرية'!$A$6:$A$1005,$C$3))</f>
        <v>0</v>
      </c>
      <c r="U14" s="86" t="n">
        <f aca="false">IF($B14="","",SUMIFS('الحركات الشهرية'!$J$6:$J$1005,'الحركات الشهرية'!$B$6:$B$1005,$B14,'الحركات الشهرية'!$A$6:$A$1005,$C$3))</f>
        <v>0</v>
      </c>
      <c r="V14" s="86" t="n">
        <f aca="false">IF($B14="","",SUM(S14:U14))</f>
        <v>0</v>
      </c>
      <c r="W14" s="107" t="n">
        <f aca="false">IF($B14="","",R14-V14)</f>
        <v>9075</v>
      </c>
      <c r="X14" s="86" t="n">
        <f aca="false">IF($B14="","",الموظفون!$Q14*IF(E14="سعودي",cfg_G_SR,cfg_G_NR)*F14/cfg_DAYS_M)</f>
        <v>162.5</v>
      </c>
      <c r="Y14" s="86" t="n">
        <f aca="false">IF($B14="","",الموظفون!$O14*(cfg_EOS_R1*(MIN(AC14,cfg_EOS_TH)-MIN(AD14,cfg_EOS_TH))+cfg_EOS_R2*(MAX(AC14-cfg_EOS_TH,0)-MAX(AD14-cfg_EOS_TH,0))))</f>
        <v>721.232876712324</v>
      </c>
      <c r="Z14" s="86" t="n">
        <f aca="false">IF($B14="","",IF(الموظفون!$R14&lt;&gt;"",الموظفون!$R14,IF(AC14&gt;=cfg_LV_TH,cfg_LV_D2,cfg_LV_D1))/cfg_DAYS_Y*AE14*الموظفون!$P14/cfg_DAYS_M)</f>
        <v>721.232876712329</v>
      </c>
      <c r="AA14" s="86" t="n">
        <f aca="false">IF($B14="","",IF(AND(الموظفون!$S14="نعم",N(الموظفون!$U14)&gt;0),الموظفون!$T14/الموظفون!$U14*12/cfg_DAYS_Y*AE14,0))</f>
        <v>90.4109589041096</v>
      </c>
      <c r="AB14" s="108" t="n">
        <f aca="false">IF($B14="","",R14+SUM(X14:AA14))</f>
        <v>10770.3767123288</v>
      </c>
      <c r="AC14" s="109" t="n">
        <f aca="false">IF($B14="","",MAX(0,IF(OR(الموظفون!$X14="",الموظفون!$X14&gt;$G$3),$G$3,الموظفون!$X14)-الموظفون!$H14+1)/cfg_DAYS_Y)</f>
        <v>11.8767123287671</v>
      </c>
      <c r="AD14" s="109" t="n">
        <f aca="false">IF($B14="","",MAX(0,IF(OR(الموظفون!$X14="",الموظفون!$X14&gt;($E$3-1)),($E$3-1),الموظفون!$X14)-الموظفون!$H14+1)/cfg_DAYS_Y)</f>
        <v>11.7945205479452</v>
      </c>
      <c r="AE14" s="51" t="n">
        <f aca="false">IF($B14="","",MAX(0,IF(OR(الموظفون!$X14="",الموظفون!$X14&gt;$G$3),$G$3,الموظفون!$X14)-MAX($E$3,الموظفون!$H14)+1))</f>
        <v>30</v>
      </c>
    </row>
    <row r="15" customFormat="false" ht="15" hidden="false" customHeight="false" outlineLevel="0" collapsed="false">
      <c r="A15" s="89" t="n">
        <f aca="false">IF($B15="","",الموظفون!$A15)</f>
        <v>10</v>
      </c>
      <c r="B15" s="91" t="str">
        <f aca="false">IF(الموظفون!$B15="","",الموظفون!$B15)</f>
        <v>E010</v>
      </c>
      <c r="C15" s="91" t="str">
        <f aca="false">IF($B15="","",الموظفون!$C15)</f>
        <v>ريم سلطان المطيري</v>
      </c>
      <c r="D15" s="91" t="str">
        <f aca="false">IF($B15="","",الموظفون!$F15)</f>
        <v>المبيعات</v>
      </c>
      <c r="E15" s="91" t="str">
        <f aca="false">IF($B15="","",الموظفون!$E15)</f>
        <v>سعودي</v>
      </c>
      <c r="F15" s="110" t="n">
        <f aca="false">IF($B15="","",IF(AE15&gt;=DAY($G$3),cfg_DAYS_M,MIN(AE15,cfg_DAYS_M)))</f>
        <v>30</v>
      </c>
      <c r="G15" s="110" t="n">
        <f aca="false">IF($B15="","",SUMIFS('الحركات الشهرية'!$D$6:$D$1005,'الحركات الشهرية'!$B$6:$B$1005,$B15,'الحركات الشهرية'!$A$6:$A$1005,$C$3))</f>
        <v>0</v>
      </c>
      <c r="H15" s="110" t="n">
        <f aca="false">IF($B15="","",SUMIFS('الحركات الشهرية'!$E$6:$E$1005,'الحركات الشهرية'!$B$6:$B$1005,$B15,'الحركات الشهرية'!$A$6:$A$1005,$C$3))</f>
        <v>0</v>
      </c>
      <c r="I15" s="110" t="n">
        <f aca="false">IF($B15="","",MAX(0,F15-G15-H15))</f>
        <v>30</v>
      </c>
      <c r="J15" s="90" t="n">
        <f aca="false">IF($B15="","",الموظفون!$J15*$I15/cfg_DAYS_M)</f>
        <v>9000</v>
      </c>
      <c r="K15" s="90" t="n">
        <f aca="false">IF($B15="","",الموظفون!$K15*$I15/cfg_DAYS_M)</f>
        <v>2250</v>
      </c>
      <c r="L15" s="90" t="n">
        <f aca="false">IF($B15="","",الموظفون!$L15*$I15/cfg_DAYS_M)</f>
        <v>900</v>
      </c>
      <c r="M15" s="90" t="n">
        <f aca="false">IF($B15="","",الموظفون!$M15*$I15/cfg_DAYS_M)</f>
        <v>0</v>
      </c>
      <c r="N15" s="110" t="n">
        <f aca="false">IF($B15="","",SUMIFS('الحركات الشهرية'!$F$6:$F$1005,'الحركات الشهرية'!$B$6:$B$1005,$B15,'الحركات الشهرية'!$A$6:$A$1005,$C$3))</f>
        <v>0</v>
      </c>
      <c r="O15" s="90" t="n">
        <f aca="false">IF($B15="","",N15*(الموظفون!$N15+الموظفون!$J15*cfg_OT_P)/cfg_DAYS_M/cfg_HRS)</f>
        <v>0</v>
      </c>
      <c r="P15" s="90" t="n">
        <f aca="false">IF($B15="","",SUMIFS('الحركات الشهرية'!$G$6:$G$1005,'الحركات الشهرية'!$B$6:$B$1005,$B15,'الحركات الشهرية'!$A$6:$A$1005,$C$3))</f>
        <v>0</v>
      </c>
      <c r="Q15" s="90" t="n">
        <f aca="false">IF($B15="","",SUMIFS('الحركات الشهرية'!$H$6:$H$1005,'الحركات الشهرية'!$B$6:$B$1005,$B15,'الحركات الشهرية'!$A$6:$A$1005,$C$3))</f>
        <v>0</v>
      </c>
      <c r="R15" s="111" t="n">
        <f aca="false">IF($B15="","",SUM(J15:M15)+SUM(O15:Q15))</f>
        <v>12150</v>
      </c>
      <c r="S15" s="90" t="n">
        <f aca="false">IF($B15="","",الموظفون!$Q15*IF(E15="سعودي",cfg_G_SE,cfg_G_NE)*F15/cfg_DAYS_M)</f>
        <v>1096.875</v>
      </c>
      <c r="T15" s="90" t="n">
        <f aca="false">IF($B15="","",SUMIFS('الحركات الشهرية'!$I$6:$I$1005,'الحركات الشهرية'!$B$6:$B$1005,$B15,'الحركات الشهرية'!$A$6:$A$1005,$C$3))</f>
        <v>0</v>
      </c>
      <c r="U15" s="90" t="n">
        <f aca="false">IF($B15="","",SUMIFS('الحركات الشهرية'!$J$6:$J$1005,'الحركات الشهرية'!$B$6:$B$1005,$B15,'الحركات الشهرية'!$A$6:$A$1005,$C$3))</f>
        <v>0</v>
      </c>
      <c r="V15" s="90" t="n">
        <f aca="false">IF($B15="","",SUM(S15:U15))</f>
        <v>1096.875</v>
      </c>
      <c r="W15" s="112" t="n">
        <f aca="false">IF($B15="","",R15-V15)</f>
        <v>11053.125</v>
      </c>
      <c r="X15" s="90" t="n">
        <f aca="false">IF($B15="","",الموظفون!$Q15*IF(E15="سعودي",cfg_G_SR,cfg_G_NR)*F15/cfg_DAYS_M)</f>
        <v>1321.875</v>
      </c>
      <c r="Y15" s="90" t="n">
        <f aca="false">IF($B15="","",الموظفون!$O15*(cfg_EOS_R1*(MIN(AC15,cfg_EOS_TH)-MIN(AD15,cfg_EOS_TH))+cfg_EOS_R2*(MAX(AC15-cfg_EOS_TH,0)-MAX(AD15-cfg_EOS_TH,0))))</f>
        <v>499.315068493151</v>
      </c>
      <c r="Z15" s="90" t="n">
        <f aca="false">IF($B15="","",IF(الموظفون!$R15&lt;&gt;"",الموظفون!$R15,IF(AC15&gt;=cfg_LV_TH,cfg_LV_D2,cfg_LV_D1))/cfg_DAYS_Y*AE15*الموظفون!$P15/cfg_DAYS_M)</f>
        <v>699.041095890411</v>
      </c>
      <c r="AA15" s="90" t="n">
        <f aca="false">IF($B15="","",IF(AND(الموظفون!$S15="نعم",N(الموظفون!$U15)&gt;0),الموظفون!$T15/الموظفون!$U15*12/cfg_DAYS_Y*AE15,0))</f>
        <v>0</v>
      </c>
      <c r="AB15" s="113" t="n">
        <f aca="false">IF($B15="","",R15+SUM(X15:AA15))</f>
        <v>14670.2311643836</v>
      </c>
      <c r="AC15" s="114" t="n">
        <f aca="false">IF($B15="","",MAX(0,IF(OR(الموظفون!$X15="",الموظفون!$X15&gt;$G$3),$G$3,الموظفون!$X15)-الموظفون!$H15+1)/cfg_DAYS_Y)</f>
        <v>0.210958904109589</v>
      </c>
      <c r="AD15" s="114" t="n">
        <f aca="false">IF($B15="","",MAX(0,IF(OR(الموظفون!$X15="",الموظفون!$X15&gt;($E$3-1)),($E$3-1),الموظفون!$X15)-الموظفون!$H15+1)/cfg_DAYS_Y)</f>
        <v>0.128767123287671</v>
      </c>
      <c r="AE15" s="115" t="n">
        <f aca="false">IF($B15="","",MAX(0,IF(OR(الموظفون!$X15="",الموظفون!$X15&gt;$G$3),$G$3,الموظفون!$X15)-MAX($E$3,الموظفون!$H15)+1))</f>
        <v>30</v>
      </c>
    </row>
    <row r="16" customFormat="false" ht="15" hidden="false" customHeight="false" outlineLevel="0" collapsed="false">
      <c r="A16" s="83" t="n">
        <f aca="false">IF($B16="","",الموظفون!$A16)</f>
        <v>11</v>
      </c>
      <c r="B16" s="74" t="str">
        <f aca="false">IF(الموظفون!$B16="","",الموظفون!$B16)</f>
        <v>E011</v>
      </c>
      <c r="C16" s="74" t="str">
        <f aca="false">IF($B16="","",الموظفون!$C16)</f>
        <v>جون ماتيو</v>
      </c>
      <c r="D16" s="74" t="str">
        <f aca="false">IF($B16="","",الموظفون!$F16)</f>
        <v>العمليات</v>
      </c>
      <c r="E16" s="74" t="str">
        <f aca="false">IF($B16="","",الموظفون!$E16)</f>
        <v>غير سعودي</v>
      </c>
      <c r="F16" s="105" t="n">
        <f aca="false">IF($B16="","",IF(AE16&gt;=DAY($G$3),cfg_DAYS_M,MIN(AE16,cfg_DAYS_M)))</f>
        <v>30</v>
      </c>
      <c r="G16" s="105" t="n">
        <f aca="false">IF($B16="","",SUMIFS('الحركات الشهرية'!$D$6:$D$1005,'الحركات الشهرية'!$B$6:$B$1005,$B16,'الحركات الشهرية'!$A$6:$A$1005,$C$3))</f>
        <v>0</v>
      </c>
      <c r="H16" s="105" t="n">
        <f aca="false">IF($B16="","",SUMIFS('الحركات الشهرية'!$E$6:$E$1005,'الحركات الشهرية'!$B$6:$B$1005,$B16,'الحركات الشهرية'!$A$6:$A$1005,$C$3))</f>
        <v>0</v>
      </c>
      <c r="I16" s="105" t="n">
        <f aca="false">IF($B16="","",MAX(0,F16-G16-H16))</f>
        <v>30</v>
      </c>
      <c r="J16" s="86" t="n">
        <f aca="false">IF($B16="","",الموظفون!$J16*$I16/cfg_DAYS_M)</f>
        <v>5000</v>
      </c>
      <c r="K16" s="86" t="n">
        <f aca="false">IF($B16="","",الموظفون!$K16*$I16/cfg_DAYS_M)</f>
        <v>1250</v>
      </c>
      <c r="L16" s="86" t="n">
        <f aca="false">IF($B16="","",الموظفون!$L16*$I16/cfg_DAYS_M)</f>
        <v>500</v>
      </c>
      <c r="M16" s="86" t="n">
        <f aca="false">IF($B16="","",الموظفون!$M16*$I16/cfg_DAYS_M)</f>
        <v>0</v>
      </c>
      <c r="N16" s="105" t="n">
        <f aca="false">IF($B16="","",SUMIFS('الحركات الشهرية'!$F$6:$F$1005,'الحركات الشهرية'!$B$6:$B$1005,$B16,'الحركات الشهرية'!$A$6:$A$1005,$C$3))</f>
        <v>0</v>
      </c>
      <c r="O16" s="86" t="n">
        <f aca="false">IF($B16="","",N16*(الموظفون!$N16+الموظفون!$J16*cfg_OT_P)/cfg_DAYS_M/cfg_HRS)</f>
        <v>0</v>
      </c>
      <c r="P16" s="86" t="n">
        <f aca="false">IF($B16="","",SUMIFS('الحركات الشهرية'!$G$6:$G$1005,'الحركات الشهرية'!$B$6:$B$1005,$B16,'الحركات الشهرية'!$A$6:$A$1005,$C$3))</f>
        <v>0</v>
      </c>
      <c r="Q16" s="86" t="n">
        <f aca="false">IF($B16="","",SUMIFS('الحركات الشهرية'!$H$6:$H$1005,'الحركات الشهرية'!$B$6:$B$1005,$B16,'الحركات الشهرية'!$A$6:$A$1005,$C$3))</f>
        <v>0</v>
      </c>
      <c r="R16" s="106" t="n">
        <f aca="false">IF($B16="","",SUM(J16:M16)+SUM(O16:Q16))</f>
        <v>6750</v>
      </c>
      <c r="S16" s="86" t="n">
        <f aca="false">IF($B16="","",الموظفون!$Q16*IF(E16="سعودي",cfg_G_SE,cfg_G_NE)*F16/cfg_DAYS_M)</f>
        <v>0</v>
      </c>
      <c r="T16" s="86" t="n">
        <f aca="false">IF($B16="","",SUMIFS('الحركات الشهرية'!$I$6:$I$1005,'الحركات الشهرية'!$B$6:$B$1005,$B16,'الحركات الشهرية'!$A$6:$A$1005,$C$3))</f>
        <v>0</v>
      </c>
      <c r="U16" s="86" t="n">
        <f aca="false">IF($B16="","",SUMIFS('الحركات الشهرية'!$J$6:$J$1005,'الحركات الشهرية'!$B$6:$B$1005,$B16,'الحركات الشهرية'!$A$6:$A$1005,$C$3))</f>
        <v>0</v>
      </c>
      <c r="V16" s="86" t="n">
        <f aca="false">IF($B16="","",SUM(S16:U16))</f>
        <v>0</v>
      </c>
      <c r="W16" s="107" t="n">
        <f aca="false">IF($B16="","",R16-V16)</f>
        <v>6750</v>
      </c>
      <c r="X16" s="86" t="n">
        <f aca="false">IF($B16="","",الموظفون!$Q16*IF(E16="سعودي",cfg_G_SR,cfg_G_NR)*F16/cfg_DAYS_M)</f>
        <v>125</v>
      </c>
      <c r="Y16" s="86" t="n">
        <f aca="false">IF($B16="","",الموظفون!$O16*(cfg_EOS_R1*(MIN(AC16,cfg_EOS_TH)-MIN(AD16,cfg_EOS_TH))+cfg_EOS_R2*(MAX(AC16-cfg_EOS_TH,0)-MAX(AD16-cfg_EOS_TH,0))))</f>
        <v>554.794520547947</v>
      </c>
      <c r="Z16" s="86" t="n">
        <f aca="false">IF($B16="","",IF(الموظفون!$R16&lt;&gt;"",الموظفون!$R16,IF(AC16&gt;=cfg_LV_TH,cfg_LV_D2,cfg_LV_D1))/cfg_DAYS_Y*AE16*الموظفون!$P16/cfg_DAYS_M)</f>
        <v>554.794520547945</v>
      </c>
      <c r="AA16" s="86" t="n">
        <f aca="false">IF($B16="","",IF(AND(الموظفون!$S16="نعم",N(الموظفون!$U16)&gt;0),الموظفون!$T16/الموظفون!$U16*12/cfg_DAYS_Y*AE16,0))</f>
        <v>106.849315068493</v>
      </c>
      <c r="AB16" s="108" t="n">
        <f aca="false">IF($B16="","",R16+SUM(X16:AA16))</f>
        <v>8091.43835616439</v>
      </c>
      <c r="AC16" s="109" t="n">
        <f aca="false">IF($B16="","",MAX(0,IF(OR(الموظفون!$X16="",الموظفون!$X16&gt;$G$3),$G$3,الموظفون!$X16)-الموظفون!$H16+1)/cfg_DAYS_Y)</f>
        <v>7.33972602739726</v>
      </c>
      <c r="AD16" s="109" t="n">
        <f aca="false">IF($B16="","",MAX(0,IF(OR(الموظفون!$X16="",الموظفون!$X16&gt;($E$3-1)),($E$3-1),الموظفون!$X16)-الموظفون!$H16+1)/cfg_DAYS_Y)</f>
        <v>7.25753424657534</v>
      </c>
      <c r="AE16" s="51" t="n">
        <f aca="false">IF($B16="","",MAX(0,IF(OR(الموظفون!$X16="",الموظفون!$X16&gt;$G$3),$G$3,الموظفون!$X16)-MAX($E$3,الموظفون!$H16)+1))</f>
        <v>30</v>
      </c>
    </row>
    <row r="17" customFormat="false" ht="15" hidden="false" customHeight="false" outlineLevel="0" collapsed="false">
      <c r="A17" s="89" t="n">
        <f aca="false">IF($B17="","",الموظفون!$A17)</f>
        <v>12</v>
      </c>
      <c r="B17" s="91" t="str">
        <f aca="false">IF(الموظفون!$B17="","",الموظفون!$B17)</f>
        <v>E012</v>
      </c>
      <c r="C17" s="91" t="str">
        <f aca="false">IF($B17="","",الموظفون!$C17)</f>
        <v>عمر حسين البيشي</v>
      </c>
      <c r="D17" s="91" t="str">
        <f aca="false">IF($B17="","",الموظفون!$F17)</f>
        <v>تقنية المعلومات</v>
      </c>
      <c r="E17" s="91" t="str">
        <f aca="false">IF($B17="","",الموظفون!$E17)</f>
        <v>سعودي</v>
      </c>
      <c r="F17" s="110" t="n">
        <f aca="false">IF($B17="","",IF(AE17&gt;=DAY($G$3),cfg_DAYS_M,MIN(AE17,cfg_DAYS_M)))</f>
        <v>30</v>
      </c>
      <c r="G17" s="110" t="n">
        <f aca="false">IF($B17="","",SUMIFS('الحركات الشهرية'!$D$6:$D$1005,'الحركات الشهرية'!$B$6:$B$1005,$B17,'الحركات الشهرية'!$A$6:$A$1005,$C$3))</f>
        <v>0</v>
      </c>
      <c r="H17" s="110" t="n">
        <f aca="false">IF($B17="","",SUMIFS('الحركات الشهرية'!$E$6:$E$1005,'الحركات الشهرية'!$B$6:$B$1005,$B17,'الحركات الشهرية'!$A$6:$A$1005,$C$3))</f>
        <v>0</v>
      </c>
      <c r="I17" s="110" t="n">
        <f aca="false">IF($B17="","",MAX(0,F17-G17-H17))</f>
        <v>30</v>
      </c>
      <c r="J17" s="90" t="n">
        <f aca="false">IF($B17="","",الموظفون!$J17*$I17/cfg_DAYS_M)</f>
        <v>12000</v>
      </c>
      <c r="K17" s="90" t="n">
        <f aca="false">IF($B17="","",الموظفون!$K17*$I17/cfg_DAYS_M)</f>
        <v>3000</v>
      </c>
      <c r="L17" s="90" t="n">
        <f aca="false">IF($B17="","",الموظفون!$L17*$I17/cfg_DAYS_M)</f>
        <v>1200</v>
      </c>
      <c r="M17" s="90" t="n">
        <f aca="false">IF($B17="","",الموظفون!$M17*$I17/cfg_DAYS_M)</f>
        <v>1500</v>
      </c>
      <c r="N17" s="110" t="n">
        <f aca="false">IF($B17="","",SUMIFS('الحركات الشهرية'!$F$6:$F$1005,'الحركات الشهرية'!$B$6:$B$1005,$B17,'الحركات الشهرية'!$A$6:$A$1005,$C$3))</f>
        <v>0</v>
      </c>
      <c r="O17" s="90" t="n">
        <f aca="false">IF($B17="","",N17*(الموظفون!$N17+الموظفون!$J17*cfg_OT_P)/cfg_DAYS_M/cfg_HRS)</f>
        <v>0</v>
      </c>
      <c r="P17" s="90" t="n">
        <f aca="false">IF($B17="","",SUMIFS('الحركات الشهرية'!$G$6:$G$1005,'الحركات الشهرية'!$B$6:$B$1005,$B17,'الحركات الشهرية'!$A$6:$A$1005,$C$3))</f>
        <v>0</v>
      </c>
      <c r="Q17" s="90" t="n">
        <f aca="false">IF($B17="","",SUMIFS('الحركات الشهرية'!$H$6:$H$1005,'الحركات الشهرية'!$B$6:$B$1005,$B17,'الحركات الشهرية'!$A$6:$A$1005,$C$3))</f>
        <v>0</v>
      </c>
      <c r="R17" s="111" t="n">
        <f aca="false">IF($B17="","",SUM(J17:M17)+SUM(O17:Q17))</f>
        <v>17700</v>
      </c>
      <c r="S17" s="90" t="n">
        <f aca="false">IF($B17="","",الموظفون!$Q17*IF(E17="سعودي",cfg_G_SE,cfg_G_NE)*F17/cfg_DAYS_M)</f>
        <v>1462.5</v>
      </c>
      <c r="T17" s="90" t="n">
        <f aca="false">IF($B17="","",SUMIFS('الحركات الشهرية'!$I$6:$I$1005,'الحركات الشهرية'!$B$6:$B$1005,$B17,'الحركات الشهرية'!$A$6:$A$1005,$C$3))</f>
        <v>0</v>
      </c>
      <c r="U17" s="90" t="n">
        <f aca="false">IF($B17="","",SUMIFS('الحركات الشهرية'!$J$6:$J$1005,'الحركات الشهرية'!$B$6:$B$1005,$B17,'الحركات الشهرية'!$A$6:$A$1005,$C$3))</f>
        <v>0</v>
      </c>
      <c r="V17" s="90" t="n">
        <f aca="false">IF($B17="","",SUM(S17:U17))</f>
        <v>1462.5</v>
      </c>
      <c r="W17" s="112" t="n">
        <f aca="false">IF($B17="","",R17-V17)</f>
        <v>16237.5</v>
      </c>
      <c r="X17" s="90" t="n">
        <f aca="false">IF($B17="","",الموظفون!$Q17*IF(E17="سعودي",cfg_G_SR,cfg_G_NR)*F17/cfg_DAYS_M)</f>
        <v>1762.5</v>
      </c>
      <c r="Y17" s="90" t="n">
        <f aca="false">IF($B17="","",الموظفون!$O17*(cfg_EOS_R1*(MIN(AC17,cfg_EOS_TH)-MIN(AD17,cfg_EOS_TH))+cfg_EOS_R2*(MAX(AC17-cfg_EOS_TH,0)-MAX(AD17-cfg_EOS_TH,0))))</f>
        <v>665.753424657533</v>
      </c>
      <c r="Z17" s="90" t="n">
        <f aca="false">IF($B17="","",IF(الموظفون!$R17&lt;&gt;"",الموظفون!$R17,IF(AC17&gt;=cfg_LV_TH,cfg_LV_D2,cfg_LV_D1))/cfg_DAYS_Y*AE17*الموظفون!$P17/cfg_DAYS_M)</f>
        <v>932.054794520548</v>
      </c>
      <c r="AA17" s="90" t="n">
        <f aca="false">IF($B17="","",IF(AND(الموظفون!$S17="نعم",N(الموظفون!$U17)&gt;0),الموظفون!$T17/الموظفون!$U17*12/cfg_DAYS_Y*AE17,0))</f>
        <v>0</v>
      </c>
      <c r="AB17" s="113" t="n">
        <f aca="false">IF($B17="","",R17+SUM(X17:AA17))</f>
        <v>21060.3082191781</v>
      </c>
      <c r="AC17" s="114" t="n">
        <f aca="false">IF($B17="","",MAX(0,IF(OR(الموظفون!$X17="",الموظفون!$X17&gt;$G$3),$G$3,الموظفون!$X17)-الموظفون!$H17+1)/cfg_DAYS_Y)</f>
        <v>3.97808219178082</v>
      </c>
      <c r="AD17" s="114" t="n">
        <f aca="false">IF($B17="","",MAX(0,IF(OR(الموظفون!$X17="",الموظفون!$X17&gt;($E$3-1)),($E$3-1),الموظفون!$X17)-الموظفون!$H17+1)/cfg_DAYS_Y)</f>
        <v>3.8958904109589</v>
      </c>
      <c r="AE17" s="115" t="n">
        <f aca="false">IF($B17="","",MAX(0,IF(OR(الموظفون!$X17="",الموظفون!$X17&gt;$G$3),$G$3,الموظفون!$X17)-MAX($E$3,الموظفون!$H17)+1))</f>
        <v>30</v>
      </c>
    </row>
    <row r="18" customFormat="false" ht="15" hidden="false" customHeight="false" outlineLevel="0" collapsed="false">
      <c r="A18" s="83" t="str">
        <f aca="false">IF($B18="","",الموظفون!$A18)</f>
        <v/>
      </c>
      <c r="B18" s="74" t="str">
        <f aca="false">IF(الموظفون!$B18="","",الموظفون!$B18)</f>
        <v/>
      </c>
      <c r="C18" s="74" t="str">
        <f aca="false">IF($B18="","",الموظفون!$C18)</f>
        <v/>
      </c>
      <c r="D18" s="74" t="str">
        <f aca="false">IF($B18="","",الموظفون!$F18)</f>
        <v/>
      </c>
      <c r="E18" s="74" t="str">
        <f aca="false">IF($B18="","",الموظفون!$E18)</f>
        <v/>
      </c>
      <c r="F18" s="105" t="str">
        <f aca="false">IF($B18="","",IF(AE18&gt;=DAY($G$3),cfg_DAYS_M,MIN(AE18,cfg_DAYS_M)))</f>
        <v/>
      </c>
      <c r="G18" s="105" t="str">
        <f aca="false">IF($B18="","",SUMIFS('الحركات الشهرية'!$D$6:$D$1005,'الحركات الشهرية'!$B$6:$B$1005,$B18,'الحركات الشهرية'!$A$6:$A$1005,$C$3))</f>
        <v/>
      </c>
      <c r="H18" s="105" t="str">
        <f aca="false">IF($B18="","",SUMIFS('الحركات الشهرية'!$E$6:$E$1005,'الحركات الشهرية'!$B$6:$B$1005,$B18,'الحركات الشهرية'!$A$6:$A$1005,$C$3))</f>
        <v/>
      </c>
      <c r="I18" s="105" t="str">
        <f aca="false">IF($B18="","",MAX(0,F18-G18-H18))</f>
        <v/>
      </c>
      <c r="J18" s="86" t="str">
        <f aca="false">IF($B18="","",الموظفون!$J18*$I18/cfg_DAYS_M)</f>
        <v/>
      </c>
      <c r="K18" s="86" t="str">
        <f aca="false">IF($B18="","",الموظفون!$K18*$I18/cfg_DAYS_M)</f>
        <v/>
      </c>
      <c r="L18" s="86" t="str">
        <f aca="false">IF($B18="","",الموظفون!$L18*$I18/cfg_DAYS_M)</f>
        <v/>
      </c>
      <c r="M18" s="86" t="str">
        <f aca="false">IF($B18="","",الموظفون!$M18*$I18/cfg_DAYS_M)</f>
        <v/>
      </c>
      <c r="N18" s="105" t="str">
        <f aca="false">IF($B18="","",SUMIFS('الحركات الشهرية'!$F$6:$F$1005,'الحركات الشهرية'!$B$6:$B$1005,$B18,'الحركات الشهرية'!$A$6:$A$1005,$C$3))</f>
        <v/>
      </c>
      <c r="O18" s="86" t="str">
        <f aca="false">IF($B18="","",N18*(الموظفون!$N18+الموظفون!$J18*cfg_OT_P)/cfg_DAYS_M/cfg_HRS)</f>
        <v/>
      </c>
      <c r="P18" s="86" t="str">
        <f aca="false">IF($B18="","",SUMIFS('الحركات الشهرية'!$G$6:$G$1005,'الحركات الشهرية'!$B$6:$B$1005,$B18,'الحركات الشهرية'!$A$6:$A$1005,$C$3))</f>
        <v/>
      </c>
      <c r="Q18" s="86" t="str">
        <f aca="false">IF($B18="","",SUMIFS('الحركات الشهرية'!$H$6:$H$1005,'الحركات الشهرية'!$B$6:$B$1005,$B18,'الحركات الشهرية'!$A$6:$A$1005,$C$3))</f>
        <v/>
      </c>
      <c r="R18" s="106" t="str">
        <f aca="false">IF($B18="","",SUM(J18:M18)+SUM(O18:Q18))</f>
        <v/>
      </c>
      <c r="S18" s="86" t="str">
        <f aca="false">IF($B18="","",الموظفون!$Q18*IF(E18="سعودي",cfg_G_SE,cfg_G_NE)*F18/cfg_DAYS_M)</f>
        <v/>
      </c>
      <c r="T18" s="86" t="str">
        <f aca="false">IF($B18="","",SUMIFS('الحركات الشهرية'!$I$6:$I$1005,'الحركات الشهرية'!$B$6:$B$1005,$B18,'الحركات الشهرية'!$A$6:$A$1005,$C$3))</f>
        <v/>
      </c>
      <c r="U18" s="86" t="str">
        <f aca="false">IF($B18="","",SUMIFS('الحركات الشهرية'!$J$6:$J$1005,'الحركات الشهرية'!$B$6:$B$1005,$B18,'الحركات الشهرية'!$A$6:$A$1005,$C$3))</f>
        <v/>
      </c>
      <c r="V18" s="86" t="str">
        <f aca="false">IF($B18="","",SUM(S18:U18))</f>
        <v/>
      </c>
      <c r="W18" s="107" t="str">
        <f aca="false">IF($B18="","",R18-V18)</f>
        <v/>
      </c>
      <c r="X18" s="86" t="str">
        <f aca="false">IF($B18="","",الموظفون!$Q18*IF(E18="سعودي",cfg_G_SR,cfg_G_NR)*F18/cfg_DAYS_M)</f>
        <v/>
      </c>
      <c r="Y18" s="86" t="str">
        <f aca="false">IF($B18="","",الموظفون!$O18*(cfg_EOS_R1*(MIN(AC18,cfg_EOS_TH)-MIN(AD18,cfg_EOS_TH))+cfg_EOS_R2*(MAX(AC18-cfg_EOS_TH,0)-MAX(AD18-cfg_EOS_TH,0))))</f>
        <v/>
      </c>
      <c r="Z18" s="86" t="str">
        <f aca="false">IF($B18="","",IF(الموظفون!$R18&lt;&gt;"",الموظفون!$R18,IF(AC18&gt;=cfg_LV_TH,cfg_LV_D2,cfg_LV_D1))/cfg_DAYS_Y*AE18*الموظفون!$P18/cfg_DAYS_M)</f>
        <v/>
      </c>
      <c r="AA18" s="86" t="str">
        <f aca="false">IF($B18="","",IF(AND(الموظفون!$S18="نعم",N(الموظفون!$U18)&gt;0),الموظفون!$T18/الموظفون!$U18*12/cfg_DAYS_Y*AE18,0))</f>
        <v/>
      </c>
      <c r="AB18" s="108" t="str">
        <f aca="false">IF($B18="","",R18+SUM(X18:AA18))</f>
        <v/>
      </c>
      <c r="AC18" s="109" t="str">
        <f aca="false">IF($B18="","",MAX(0,IF(OR(الموظفون!$X18="",الموظفون!$X18&gt;$G$3),$G$3,الموظفون!$X18)-الموظفون!$H18+1)/cfg_DAYS_Y)</f>
        <v/>
      </c>
      <c r="AD18" s="109" t="str">
        <f aca="false">IF($B18="","",MAX(0,IF(OR(الموظفون!$X18="",الموظفون!$X18&gt;($E$3-1)),($E$3-1),الموظفون!$X18)-الموظفون!$H18+1)/cfg_DAYS_Y)</f>
        <v/>
      </c>
      <c r="AE18" s="51" t="str">
        <f aca="false">IF($B18="","",MAX(0,IF(OR(الموظفون!$X18="",الموظفون!$X18&gt;$G$3),$G$3,الموظفون!$X18)-MAX($E$3,الموظفون!$H18)+1))</f>
        <v/>
      </c>
    </row>
    <row r="19" customFormat="false" ht="15" hidden="false" customHeight="false" outlineLevel="0" collapsed="false">
      <c r="A19" s="89" t="str">
        <f aca="false">IF($B19="","",الموظفون!$A19)</f>
        <v/>
      </c>
      <c r="B19" s="91" t="str">
        <f aca="false">IF(الموظفون!$B19="","",الموظفون!$B19)</f>
        <v/>
      </c>
      <c r="C19" s="91" t="str">
        <f aca="false">IF($B19="","",الموظفون!$C19)</f>
        <v/>
      </c>
      <c r="D19" s="91" t="str">
        <f aca="false">IF($B19="","",الموظفون!$F19)</f>
        <v/>
      </c>
      <c r="E19" s="91" t="str">
        <f aca="false">IF($B19="","",الموظفون!$E19)</f>
        <v/>
      </c>
      <c r="F19" s="110" t="str">
        <f aca="false">IF($B19="","",IF(AE19&gt;=DAY($G$3),cfg_DAYS_M,MIN(AE19,cfg_DAYS_M)))</f>
        <v/>
      </c>
      <c r="G19" s="110" t="str">
        <f aca="false">IF($B19="","",SUMIFS('الحركات الشهرية'!$D$6:$D$1005,'الحركات الشهرية'!$B$6:$B$1005,$B19,'الحركات الشهرية'!$A$6:$A$1005,$C$3))</f>
        <v/>
      </c>
      <c r="H19" s="110" t="str">
        <f aca="false">IF($B19="","",SUMIFS('الحركات الشهرية'!$E$6:$E$1005,'الحركات الشهرية'!$B$6:$B$1005,$B19,'الحركات الشهرية'!$A$6:$A$1005,$C$3))</f>
        <v/>
      </c>
      <c r="I19" s="110" t="str">
        <f aca="false">IF($B19="","",MAX(0,F19-G19-H19))</f>
        <v/>
      </c>
      <c r="J19" s="90" t="str">
        <f aca="false">IF($B19="","",الموظفون!$J19*$I19/cfg_DAYS_M)</f>
        <v/>
      </c>
      <c r="K19" s="90" t="str">
        <f aca="false">IF($B19="","",الموظفون!$K19*$I19/cfg_DAYS_M)</f>
        <v/>
      </c>
      <c r="L19" s="90" t="str">
        <f aca="false">IF($B19="","",الموظفون!$L19*$I19/cfg_DAYS_M)</f>
        <v/>
      </c>
      <c r="M19" s="90" t="str">
        <f aca="false">IF($B19="","",الموظفون!$M19*$I19/cfg_DAYS_M)</f>
        <v/>
      </c>
      <c r="N19" s="110" t="str">
        <f aca="false">IF($B19="","",SUMIFS('الحركات الشهرية'!$F$6:$F$1005,'الحركات الشهرية'!$B$6:$B$1005,$B19,'الحركات الشهرية'!$A$6:$A$1005,$C$3))</f>
        <v/>
      </c>
      <c r="O19" s="90" t="str">
        <f aca="false">IF($B19="","",N19*(الموظفون!$N19+الموظفون!$J19*cfg_OT_P)/cfg_DAYS_M/cfg_HRS)</f>
        <v/>
      </c>
      <c r="P19" s="90" t="str">
        <f aca="false">IF($B19="","",SUMIFS('الحركات الشهرية'!$G$6:$G$1005,'الحركات الشهرية'!$B$6:$B$1005,$B19,'الحركات الشهرية'!$A$6:$A$1005,$C$3))</f>
        <v/>
      </c>
      <c r="Q19" s="90" t="str">
        <f aca="false">IF($B19="","",SUMIFS('الحركات الشهرية'!$H$6:$H$1005,'الحركات الشهرية'!$B$6:$B$1005,$B19,'الحركات الشهرية'!$A$6:$A$1005,$C$3))</f>
        <v/>
      </c>
      <c r="R19" s="111" t="str">
        <f aca="false">IF($B19="","",SUM(J19:M19)+SUM(O19:Q19))</f>
        <v/>
      </c>
      <c r="S19" s="90" t="str">
        <f aca="false">IF($B19="","",الموظفون!$Q19*IF(E19="سعودي",cfg_G_SE,cfg_G_NE)*F19/cfg_DAYS_M)</f>
        <v/>
      </c>
      <c r="T19" s="90" t="str">
        <f aca="false">IF($B19="","",SUMIFS('الحركات الشهرية'!$I$6:$I$1005,'الحركات الشهرية'!$B$6:$B$1005,$B19,'الحركات الشهرية'!$A$6:$A$1005,$C$3))</f>
        <v/>
      </c>
      <c r="U19" s="90" t="str">
        <f aca="false">IF($B19="","",SUMIFS('الحركات الشهرية'!$J$6:$J$1005,'الحركات الشهرية'!$B$6:$B$1005,$B19,'الحركات الشهرية'!$A$6:$A$1005,$C$3))</f>
        <v/>
      </c>
      <c r="V19" s="90" t="str">
        <f aca="false">IF($B19="","",SUM(S19:U19))</f>
        <v/>
      </c>
      <c r="W19" s="112" t="str">
        <f aca="false">IF($B19="","",R19-V19)</f>
        <v/>
      </c>
      <c r="X19" s="90" t="str">
        <f aca="false">IF($B19="","",الموظفون!$Q19*IF(E19="سعودي",cfg_G_SR,cfg_G_NR)*F19/cfg_DAYS_M)</f>
        <v/>
      </c>
      <c r="Y19" s="90" t="str">
        <f aca="false">IF($B19="","",الموظفون!$O19*(cfg_EOS_R1*(MIN(AC19,cfg_EOS_TH)-MIN(AD19,cfg_EOS_TH))+cfg_EOS_R2*(MAX(AC19-cfg_EOS_TH,0)-MAX(AD19-cfg_EOS_TH,0))))</f>
        <v/>
      </c>
      <c r="Z19" s="90" t="str">
        <f aca="false">IF($B19="","",IF(الموظفون!$R19&lt;&gt;"",الموظفون!$R19,IF(AC19&gt;=cfg_LV_TH,cfg_LV_D2,cfg_LV_D1))/cfg_DAYS_Y*AE19*الموظفون!$P19/cfg_DAYS_M)</f>
        <v/>
      </c>
      <c r="AA19" s="90" t="str">
        <f aca="false">IF($B19="","",IF(AND(الموظفون!$S19="نعم",N(الموظفون!$U19)&gt;0),الموظفون!$T19/الموظفون!$U19*12/cfg_DAYS_Y*AE19,0))</f>
        <v/>
      </c>
      <c r="AB19" s="113" t="str">
        <f aca="false">IF($B19="","",R19+SUM(X19:AA19))</f>
        <v/>
      </c>
      <c r="AC19" s="114" t="str">
        <f aca="false">IF($B19="","",MAX(0,IF(OR(الموظفون!$X19="",الموظفون!$X19&gt;$G$3),$G$3,الموظفون!$X19)-الموظفون!$H19+1)/cfg_DAYS_Y)</f>
        <v/>
      </c>
      <c r="AD19" s="114" t="str">
        <f aca="false">IF($B19="","",MAX(0,IF(OR(الموظفون!$X19="",الموظفون!$X19&gt;($E$3-1)),($E$3-1),الموظفون!$X19)-الموظفون!$H19+1)/cfg_DAYS_Y)</f>
        <v/>
      </c>
      <c r="AE19" s="115" t="str">
        <f aca="false">IF($B19="","",MAX(0,IF(OR(الموظفون!$X19="",الموظفون!$X19&gt;$G$3),$G$3,الموظفون!$X19)-MAX($E$3,الموظفون!$H19)+1))</f>
        <v/>
      </c>
    </row>
    <row r="20" customFormat="false" ht="15" hidden="false" customHeight="false" outlineLevel="0" collapsed="false">
      <c r="A20" s="83" t="str">
        <f aca="false">IF($B20="","",الموظفون!$A20)</f>
        <v/>
      </c>
      <c r="B20" s="74" t="str">
        <f aca="false">IF(الموظفون!$B20="","",الموظفون!$B20)</f>
        <v/>
      </c>
      <c r="C20" s="74" t="str">
        <f aca="false">IF($B20="","",الموظفون!$C20)</f>
        <v/>
      </c>
      <c r="D20" s="74" t="str">
        <f aca="false">IF($B20="","",الموظفون!$F20)</f>
        <v/>
      </c>
      <c r="E20" s="74" t="str">
        <f aca="false">IF($B20="","",الموظفون!$E20)</f>
        <v/>
      </c>
      <c r="F20" s="105" t="str">
        <f aca="false">IF($B20="","",IF(AE20&gt;=DAY($G$3),cfg_DAYS_M,MIN(AE20,cfg_DAYS_M)))</f>
        <v/>
      </c>
      <c r="G20" s="105" t="str">
        <f aca="false">IF($B20="","",SUMIFS('الحركات الشهرية'!$D$6:$D$1005,'الحركات الشهرية'!$B$6:$B$1005,$B20,'الحركات الشهرية'!$A$6:$A$1005,$C$3))</f>
        <v/>
      </c>
      <c r="H20" s="105" t="str">
        <f aca="false">IF($B20="","",SUMIFS('الحركات الشهرية'!$E$6:$E$1005,'الحركات الشهرية'!$B$6:$B$1005,$B20,'الحركات الشهرية'!$A$6:$A$1005,$C$3))</f>
        <v/>
      </c>
      <c r="I20" s="105" t="str">
        <f aca="false">IF($B20="","",MAX(0,F20-G20-H20))</f>
        <v/>
      </c>
      <c r="J20" s="86" t="str">
        <f aca="false">IF($B20="","",الموظفون!$J20*$I20/cfg_DAYS_M)</f>
        <v/>
      </c>
      <c r="K20" s="86" t="str">
        <f aca="false">IF($B20="","",الموظفون!$K20*$I20/cfg_DAYS_M)</f>
        <v/>
      </c>
      <c r="L20" s="86" t="str">
        <f aca="false">IF($B20="","",الموظفون!$L20*$I20/cfg_DAYS_M)</f>
        <v/>
      </c>
      <c r="M20" s="86" t="str">
        <f aca="false">IF($B20="","",الموظفون!$M20*$I20/cfg_DAYS_M)</f>
        <v/>
      </c>
      <c r="N20" s="105" t="str">
        <f aca="false">IF($B20="","",SUMIFS('الحركات الشهرية'!$F$6:$F$1005,'الحركات الشهرية'!$B$6:$B$1005,$B20,'الحركات الشهرية'!$A$6:$A$1005,$C$3))</f>
        <v/>
      </c>
      <c r="O20" s="86" t="str">
        <f aca="false">IF($B20="","",N20*(الموظفون!$N20+الموظفون!$J20*cfg_OT_P)/cfg_DAYS_M/cfg_HRS)</f>
        <v/>
      </c>
      <c r="P20" s="86" t="str">
        <f aca="false">IF($B20="","",SUMIFS('الحركات الشهرية'!$G$6:$G$1005,'الحركات الشهرية'!$B$6:$B$1005,$B20,'الحركات الشهرية'!$A$6:$A$1005,$C$3))</f>
        <v/>
      </c>
      <c r="Q20" s="86" t="str">
        <f aca="false">IF($B20="","",SUMIFS('الحركات الشهرية'!$H$6:$H$1005,'الحركات الشهرية'!$B$6:$B$1005,$B20,'الحركات الشهرية'!$A$6:$A$1005,$C$3))</f>
        <v/>
      </c>
      <c r="R20" s="106" t="str">
        <f aca="false">IF($B20="","",SUM(J20:M20)+SUM(O20:Q20))</f>
        <v/>
      </c>
      <c r="S20" s="86" t="str">
        <f aca="false">IF($B20="","",الموظفون!$Q20*IF(E20="سعودي",cfg_G_SE,cfg_G_NE)*F20/cfg_DAYS_M)</f>
        <v/>
      </c>
      <c r="T20" s="86" t="str">
        <f aca="false">IF($B20="","",SUMIFS('الحركات الشهرية'!$I$6:$I$1005,'الحركات الشهرية'!$B$6:$B$1005,$B20,'الحركات الشهرية'!$A$6:$A$1005,$C$3))</f>
        <v/>
      </c>
      <c r="U20" s="86" t="str">
        <f aca="false">IF($B20="","",SUMIFS('الحركات الشهرية'!$J$6:$J$1005,'الحركات الشهرية'!$B$6:$B$1005,$B20,'الحركات الشهرية'!$A$6:$A$1005,$C$3))</f>
        <v/>
      </c>
      <c r="V20" s="86" t="str">
        <f aca="false">IF($B20="","",SUM(S20:U20))</f>
        <v/>
      </c>
      <c r="W20" s="107" t="str">
        <f aca="false">IF($B20="","",R20-V20)</f>
        <v/>
      </c>
      <c r="X20" s="86" t="str">
        <f aca="false">IF($B20="","",الموظفون!$Q20*IF(E20="سعودي",cfg_G_SR,cfg_G_NR)*F20/cfg_DAYS_M)</f>
        <v/>
      </c>
      <c r="Y20" s="86" t="str">
        <f aca="false">IF($B20="","",الموظفون!$O20*(cfg_EOS_R1*(MIN(AC20,cfg_EOS_TH)-MIN(AD20,cfg_EOS_TH))+cfg_EOS_R2*(MAX(AC20-cfg_EOS_TH,0)-MAX(AD20-cfg_EOS_TH,0))))</f>
        <v/>
      </c>
      <c r="Z20" s="86" t="str">
        <f aca="false">IF($B20="","",IF(الموظفون!$R20&lt;&gt;"",الموظفون!$R20,IF(AC20&gt;=cfg_LV_TH,cfg_LV_D2,cfg_LV_D1))/cfg_DAYS_Y*AE20*الموظفون!$P20/cfg_DAYS_M)</f>
        <v/>
      </c>
      <c r="AA20" s="86" t="str">
        <f aca="false">IF($B20="","",IF(AND(الموظفون!$S20="نعم",N(الموظفون!$U20)&gt;0),الموظفون!$T20/الموظفون!$U20*12/cfg_DAYS_Y*AE20,0))</f>
        <v/>
      </c>
      <c r="AB20" s="108" t="str">
        <f aca="false">IF($B20="","",R20+SUM(X20:AA20))</f>
        <v/>
      </c>
      <c r="AC20" s="109" t="str">
        <f aca="false">IF($B20="","",MAX(0,IF(OR(الموظفون!$X20="",الموظفون!$X20&gt;$G$3),$G$3,الموظفون!$X20)-الموظفون!$H20+1)/cfg_DAYS_Y)</f>
        <v/>
      </c>
      <c r="AD20" s="109" t="str">
        <f aca="false">IF($B20="","",MAX(0,IF(OR(الموظفون!$X20="",الموظفون!$X20&gt;($E$3-1)),($E$3-1),الموظفون!$X20)-الموظفون!$H20+1)/cfg_DAYS_Y)</f>
        <v/>
      </c>
      <c r="AE20" s="51" t="str">
        <f aca="false">IF($B20="","",MAX(0,IF(OR(الموظفون!$X20="",الموظفون!$X20&gt;$G$3),$G$3,الموظفون!$X20)-MAX($E$3,الموظفون!$H20)+1))</f>
        <v/>
      </c>
    </row>
    <row r="21" customFormat="false" ht="15" hidden="false" customHeight="false" outlineLevel="0" collapsed="false">
      <c r="A21" s="89" t="str">
        <f aca="false">IF($B21="","",الموظفون!$A21)</f>
        <v/>
      </c>
      <c r="B21" s="91" t="str">
        <f aca="false">IF(الموظفون!$B21="","",الموظفون!$B21)</f>
        <v/>
      </c>
      <c r="C21" s="91" t="str">
        <f aca="false">IF($B21="","",الموظفون!$C21)</f>
        <v/>
      </c>
      <c r="D21" s="91" t="str">
        <f aca="false">IF($B21="","",الموظفون!$F21)</f>
        <v/>
      </c>
      <c r="E21" s="91" t="str">
        <f aca="false">IF($B21="","",الموظفون!$E21)</f>
        <v/>
      </c>
      <c r="F21" s="110" t="str">
        <f aca="false">IF($B21="","",IF(AE21&gt;=DAY($G$3),cfg_DAYS_M,MIN(AE21,cfg_DAYS_M)))</f>
        <v/>
      </c>
      <c r="G21" s="110" t="str">
        <f aca="false">IF($B21="","",SUMIFS('الحركات الشهرية'!$D$6:$D$1005,'الحركات الشهرية'!$B$6:$B$1005,$B21,'الحركات الشهرية'!$A$6:$A$1005,$C$3))</f>
        <v/>
      </c>
      <c r="H21" s="110" t="str">
        <f aca="false">IF($B21="","",SUMIFS('الحركات الشهرية'!$E$6:$E$1005,'الحركات الشهرية'!$B$6:$B$1005,$B21,'الحركات الشهرية'!$A$6:$A$1005,$C$3))</f>
        <v/>
      </c>
      <c r="I21" s="110" t="str">
        <f aca="false">IF($B21="","",MAX(0,F21-G21-H21))</f>
        <v/>
      </c>
      <c r="J21" s="90" t="str">
        <f aca="false">IF($B21="","",الموظفون!$J21*$I21/cfg_DAYS_M)</f>
        <v/>
      </c>
      <c r="K21" s="90" t="str">
        <f aca="false">IF($B21="","",الموظفون!$K21*$I21/cfg_DAYS_M)</f>
        <v/>
      </c>
      <c r="L21" s="90" t="str">
        <f aca="false">IF($B21="","",الموظفون!$L21*$I21/cfg_DAYS_M)</f>
        <v/>
      </c>
      <c r="M21" s="90" t="str">
        <f aca="false">IF($B21="","",الموظفون!$M21*$I21/cfg_DAYS_M)</f>
        <v/>
      </c>
      <c r="N21" s="110" t="str">
        <f aca="false">IF($B21="","",SUMIFS('الحركات الشهرية'!$F$6:$F$1005,'الحركات الشهرية'!$B$6:$B$1005,$B21,'الحركات الشهرية'!$A$6:$A$1005,$C$3))</f>
        <v/>
      </c>
      <c r="O21" s="90" t="str">
        <f aca="false">IF($B21="","",N21*(الموظفون!$N21+الموظفون!$J21*cfg_OT_P)/cfg_DAYS_M/cfg_HRS)</f>
        <v/>
      </c>
      <c r="P21" s="90" t="str">
        <f aca="false">IF($B21="","",SUMIFS('الحركات الشهرية'!$G$6:$G$1005,'الحركات الشهرية'!$B$6:$B$1005,$B21,'الحركات الشهرية'!$A$6:$A$1005,$C$3))</f>
        <v/>
      </c>
      <c r="Q21" s="90" t="str">
        <f aca="false">IF($B21="","",SUMIFS('الحركات الشهرية'!$H$6:$H$1005,'الحركات الشهرية'!$B$6:$B$1005,$B21,'الحركات الشهرية'!$A$6:$A$1005,$C$3))</f>
        <v/>
      </c>
      <c r="R21" s="111" t="str">
        <f aca="false">IF($B21="","",SUM(J21:M21)+SUM(O21:Q21))</f>
        <v/>
      </c>
      <c r="S21" s="90" t="str">
        <f aca="false">IF($B21="","",الموظفون!$Q21*IF(E21="سعودي",cfg_G_SE,cfg_G_NE)*F21/cfg_DAYS_M)</f>
        <v/>
      </c>
      <c r="T21" s="90" t="str">
        <f aca="false">IF($B21="","",SUMIFS('الحركات الشهرية'!$I$6:$I$1005,'الحركات الشهرية'!$B$6:$B$1005,$B21,'الحركات الشهرية'!$A$6:$A$1005,$C$3))</f>
        <v/>
      </c>
      <c r="U21" s="90" t="str">
        <f aca="false">IF($B21="","",SUMIFS('الحركات الشهرية'!$J$6:$J$1005,'الحركات الشهرية'!$B$6:$B$1005,$B21,'الحركات الشهرية'!$A$6:$A$1005,$C$3))</f>
        <v/>
      </c>
      <c r="V21" s="90" t="str">
        <f aca="false">IF($B21="","",SUM(S21:U21))</f>
        <v/>
      </c>
      <c r="W21" s="112" t="str">
        <f aca="false">IF($B21="","",R21-V21)</f>
        <v/>
      </c>
      <c r="X21" s="90" t="str">
        <f aca="false">IF($B21="","",الموظفون!$Q21*IF(E21="سعودي",cfg_G_SR,cfg_G_NR)*F21/cfg_DAYS_M)</f>
        <v/>
      </c>
      <c r="Y21" s="90" t="str">
        <f aca="false">IF($B21="","",الموظفون!$O21*(cfg_EOS_R1*(MIN(AC21,cfg_EOS_TH)-MIN(AD21,cfg_EOS_TH))+cfg_EOS_R2*(MAX(AC21-cfg_EOS_TH,0)-MAX(AD21-cfg_EOS_TH,0))))</f>
        <v/>
      </c>
      <c r="Z21" s="90" t="str">
        <f aca="false">IF($B21="","",IF(الموظفون!$R21&lt;&gt;"",الموظفون!$R21,IF(AC21&gt;=cfg_LV_TH,cfg_LV_D2,cfg_LV_D1))/cfg_DAYS_Y*AE21*الموظفون!$P21/cfg_DAYS_M)</f>
        <v/>
      </c>
      <c r="AA21" s="90" t="str">
        <f aca="false">IF($B21="","",IF(AND(الموظفون!$S21="نعم",N(الموظفون!$U21)&gt;0),الموظفون!$T21/الموظفون!$U21*12/cfg_DAYS_Y*AE21,0))</f>
        <v/>
      </c>
      <c r="AB21" s="113" t="str">
        <f aca="false">IF($B21="","",R21+SUM(X21:AA21))</f>
        <v/>
      </c>
      <c r="AC21" s="114" t="str">
        <f aca="false">IF($B21="","",MAX(0,IF(OR(الموظفون!$X21="",الموظفون!$X21&gt;$G$3),$G$3,الموظفون!$X21)-الموظفون!$H21+1)/cfg_DAYS_Y)</f>
        <v/>
      </c>
      <c r="AD21" s="114" t="str">
        <f aca="false">IF($B21="","",MAX(0,IF(OR(الموظفون!$X21="",الموظفون!$X21&gt;($E$3-1)),($E$3-1),الموظفون!$X21)-الموظفون!$H21+1)/cfg_DAYS_Y)</f>
        <v/>
      </c>
      <c r="AE21" s="115" t="str">
        <f aca="false">IF($B21="","",MAX(0,IF(OR(الموظفون!$X21="",الموظفون!$X21&gt;$G$3),$G$3,الموظفون!$X21)-MAX($E$3,الموظفون!$H21)+1))</f>
        <v/>
      </c>
    </row>
    <row r="22" customFormat="false" ht="15" hidden="false" customHeight="false" outlineLevel="0" collapsed="false">
      <c r="A22" s="83" t="str">
        <f aca="false">IF($B22="","",الموظفون!$A22)</f>
        <v/>
      </c>
      <c r="B22" s="74" t="str">
        <f aca="false">IF(الموظفون!$B22="","",الموظفون!$B22)</f>
        <v/>
      </c>
      <c r="C22" s="74" t="str">
        <f aca="false">IF($B22="","",الموظفون!$C22)</f>
        <v/>
      </c>
      <c r="D22" s="74" t="str">
        <f aca="false">IF($B22="","",الموظفون!$F22)</f>
        <v/>
      </c>
      <c r="E22" s="74" t="str">
        <f aca="false">IF($B22="","",الموظفون!$E22)</f>
        <v/>
      </c>
      <c r="F22" s="105" t="str">
        <f aca="false">IF($B22="","",IF(AE22&gt;=DAY($G$3),cfg_DAYS_M,MIN(AE22,cfg_DAYS_M)))</f>
        <v/>
      </c>
      <c r="G22" s="105" t="str">
        <f aca="false">IF($B22="","",SUMIFS('الحركات الشهرية'!$D$6:$D$1005,'الحركات الشهرية'!$B$6:$B$1005,$B22,'الحركات الشهرية'!$A$6:$A$1005,$C$3))</f>
        <v/>
      </c>
      <c r="H22" s="105" t="str">
        <f aca="false">IF($B22="","",SUMIFS('الحركات الشهرية'!$E$6:$E$1005,'الحركات الشهرية'!$B$6:$B$1005,$B22,'الحركات الشهرية'!$A$6:$A$1005,$C$3))</f>
        <v/>
      </c>
      <c r="I22" s="105" t="str">
        <f aca="false">IF($B22="","",MAX(0,F22-G22-H22))</f>
        <v/>
      </c>
      <c r="J22" s="86" t="str">
        <f aca="false">IF($B22="","",الموظفون!$J22*$I22/cfg_DAYS_M)</f>
        <v/>
      </c>
      <c r="K22" s="86" t="str">
        <f aca="false">IF($B22="","",الموظفون!$K22*$I22/cfg_DAYS_M)</f>
        <v/>
      </c>
      <c r="L22" s="86" t="str">
        <f aca="false">IF($B22="","",الموظفون!$L22*$I22/cfg_DAYS_M)</f>
        <v/>
      </c>
      <c r="M22" s="86" t="str">
        <f aca="false">IF($B22="","",الموظفون!$M22*$I22/cfg_DAYS_M)</f>
        <v/>
      </c>
      <c r="N22" s="105" t="str">
        <f aca="false">IF($B22="","",SUMIFS('الحركات الشهرية'!$F$6:$F$1005,'الحركات الشهرية'!$B$6:$B$1005,$B22,'الحركات الشهرية'!$A$6:$A$1005,$C$3))</f>
        <v/>
      </c>
      <c r="O22" s="86" t="str">
        <f aca="false">IF($B22="","",N22*(الموظفون!$N22+الموظفون!$J22*cfg_OT_P)/cfg_DAYS_M/cfg_HRS)</f>
        <v/>
      </c>
      <c r="P22" s="86" t="str">
        <f aca="false">IF($B22="","",SUMIFS('الحركات الشهرية'!$G$6:$G$1005,'الحركات الشهرية'!$B$6:$B$1005,$B22,'الحركات الشهرية'!$A$6:$A$1005,$C$3))</f>
        <v/>
      </c>
      <c r="Q22" s="86" t="str">
        <f aca="false">IF($B22="","",SUMIFS('الحركات الشهرية'!$H$6:$H$1005,'الحركات الشهرية'!$B$6:$B$1005,$B22,'الحركات الشهرية'!$A$6:$A$1005,$C$3))</f>
        <v/>
      </c>
      <c r="R22" s="106" t="str">
        <f aca="false">IF($B22="","",SUM(J22:M22)+SUM(O22:Q22))</f>
        <v/>
      </c>
      <c r="S22" s="86" t="str">
        <f aca="false">IF($B22="","",الموظفون!$Q22*IF(E22="سعودي",cfg_G_SE,cfg_G_NE)*F22/cfg_DAYS_M)</f>
        <v/>
      </c>
      <c r="T22" s="86" t="str">
        <f aca="false">IF($B22="","",SUMIFS('الحركات الشهرية'!$I$6:$I$1005,'الحركات الشهرية'!$B$6:$B$1005,$B22,'الحركات الشهرية'!$A$6:$A$1005,$C$3))</f>
        <v/>
      </c>
      <c r="U22" s="86" t="str">
        <f aca="false">IF($B22="","",SUMIFS('الحركات الشهرية'!$J$6:$J$1005,'الحركات الشهرية'!$B$6:$B$1005,$B22,'الحركات الشهرية'!$A$6:$A$1005,$C$3))</f>
        <v/>
      </c>
      <c r="V22" s="86" t="str">
        <f aca="false">IF($B22="","",SUM(S22:U22))</f>
        <v/>
      </c>
      <c r="W22" s="107" t="str">
        <f aca="false">IF($B22="","",R22-V22)</f>
        <v/>
      </c>
      <c r="X22" s="86" t="str">
        <f aca="false">IF($B22="","",الموظفون!$Q22*IF(E22="سعودي",cfg_G_SR,cfg_G_NR)*F22/cfg_DAYS_M)</f>
        <v/>
      </c>
      <c r="Y22" s="86" t="str">
        <f aca="false">IF($B22="","",الموظفون!$O22*(cfg_EOS_R1*(MIN(AC22,cfg_EOS_TH)-MIN(AD22,cfg_EOS_TH))+cfg_EOS_R2*(MAX(AC22-cfg_EOS_TH,0)-MAX(AD22-cfg_EOS_TH,0))))</f>
        <v/>
      </c>
      <c r="Z22" s="86" t="str">
        <f aca="false">IF($B22="","",IF(الموظفون!$R22&lt;&gt;"",الموظفون!$R22,IF(AC22&gt;=cfg_LV_TH,cfg_LV_D2,cfg_LV_D1))/cfg_DAYS_Y*AE22*الموظفون!$P22/cfg_DAYS_M)</f>
        <v/>
      </c>
      <c r="AA22" s="86" t="str">
        <f aca="false">IF($B22="","",IF(AND(الموظفون!$S22="نعم",N(الموظفون!$U22)&gt;0),الموظفون!$T22/الموظفون!$U22*12/cfg_DAYS_Y*AE22,0))</f>
        <v/>
      </c>
      <c r="AB22" s="108" t="str">
        <f aca="false">IF($B22="","",R22+SUM(X22:AA22))</f>
        <v/>
      </c>
      <c r="AC22" s="109" t="str">
        <f aca="false">IF($B22="","",MAX(0,IF(OR(الموظفون!$X22="",الموظفون!$X22&gt;$G$3),$G$3,الموظفون!$X22)-الموظفون!$H22+1)/cfg_DAYS_Y)</f>
        <v/>
      </c>
      <c r="AD22" s="109" t="str">
        <f aca="false">IF($B22="","",MAX(0,IF(OR(الموظفون!$X22="",الموظفون!$X22&gt;($E$3-1)),($E$3-1),الموظفون!$X22)-الموظفون!$H22+1)/cfg_DAYS_Y)</f>
        <v/>
      </c>
      <c r="AE22" s="51" t="str">
        <f aca="false">IF($B22="","",MAX(0,IF(OR(الموظفون!$X22="",الموظفون!$X22&gt;$G$3),$G$3,الموظفون!$X22)-MAX($E$3,الموظفون!$H22)+1))</f>
        <v/>
      </c>
    </row>
    <row r="23" customFormat="false" ht="15" hidden="false" customHeight="false" outlineLevel="0" collapsed="false">
      <c r="A23" s="89" t="str">
        <f aca="false">IF($B23="","",الموظفون!$A23)</f>
        <v/>
      </c>
      <c r="B23" s="91" t="str">
        <f aca="false">IF(الموظفون!$B23="","",الموظفون!$B23)</f>
        <v/>
      </c>
      <c r="C23" s="91" t="str">
        <f aca="false">IF($B23="","",الموظفون!$C23)</f>
        <v/>
      </c>
      <c r="D23" s="91" t="str">
        <f aca="false">IF($B23="","",الموظفون!$F23)</f>
        <v/>
      </c>
      <c r="E23" s="91" t="str">
        <f aca="false">IF($B23="","",الموظفون!$E23)</f>
        <v/>
      </c>
      <c r="F23" s="110" t="str">
        <f aca="false">IF($B23="","",IF(AE23&gt;=DAY($G$3),cfg_DAYS_M,MIN(AE23,cfg_DAYS_M)))</f>
        <v/>
      </c>
      <c r="G23" s="110" t="str">
        <f aca="false">IF($B23="","",SUMIFS('الحركات الشهرية'!$D$6:$D$1005,'الحركات الشهرية'!$B$6:$B$1005,$B23,'الحركات الشهرية'!$A$6:$A$1005,$C$3))</f>
        <v/>
      </c>
      <c r="H23" s="110" t="str">
        <f aca="false">IF($B23="","",SUMIFS('الحركات الشهرية'!$E$6:$E$1005,'الحركات الشهرية'!$B$6:$B$1005,$B23,'الحركات الشهرية'!$A$6:$A$1005,$C$3))</f>
        <v/>
      </c>
      <c r="I23" s="110" t="str">
        <f aca="false">IF($B23="","",MAX(0,F23-G23-H23))</f>
        <v/>
      </c>
      <c r="J23" s="90" t="str">
        <f aca="false">IF($B23="","",الموظفون!$J23*$I23/cfg_DAYS_M)</f>
        <v/>
      </c>
      <c r="K23" s="90" t="str">
        <f aca="false">IF($B23="","",الموظفون!$K23*$I23/cfg_DAYS_M)</f>
        <v/>
      </c>
      <c r="L23" s="90" t="str">
        <f aca="false">IF($B23="","",الموظفون!$L23*$I23/cfg_DAYS_M)</f>
        <v/>
      </c>
      <c r="M23" s="90" t="str">
        <f aca="false">IF($B23="","",الموظفون!$M23*$I23/cfg_DAYS_M)</f>
        <v/>
      </c>
      <c r="N23" s="110" t="str">
        <f aca="false">IF($B23="","",SUMIFS('الحركات الشهرية'!$F$6:$F$1005,'الحركات الشهرية'!$B$6:$B$1005,$B23,'الحركات الشهرية'!$A$6:$A$1005,$C$3))</f>
        <v/>
      </c>
      <c r="O23" s="90" t="str">
        <f aca="false">IF($B23="","",N23*(الموظفون!$N23+الموظفون!$J23*cfg_OT_P)/cfg_DAYS_M/cfg_HRS)</f>
        <v/>
      </c>
      <c r="P23" s="90" t="str">
        <f aca="false">IF($B23="","",SUMIFS('الحركات الشهرية'!$G$6:$G$1005,'الحركات الشهرية'!$B$6:$B$1005,$B23,'الحركات الشهرية'!$A$6:$A$1005,$C$3))</f>
        <v/>
      </c>
      <c r="Q23" s="90" t="str">
        <f aca="false">IF($B23="","",SUMIFS('الحركات الشهرية'!$H$6:$H$1005,'الحركات الشهرية'!$B$6:$B$1005,$B23,'الحركات الشهرية'!$A$6:$A$1005,$C$3))</f>
        <v/>
      </c>
      <c r="R23" s="111" t="str">
        <f aca="false">IF($B23="","",SUM(J23:M23)+SUM(O23:Q23))</f>
        <v/>
      </c>
      <c r="S23" s="90" t="str">
        <f aca="false">IF($B23="","",الموظفون!$Q23*IF(E23="سعودي",cfg_G_SE,cfg_G_NE)*F23/cfg_DAYS_M)</f>
        <v/>
      </c>
      <c r="T23" s="90" t="str">
        <f aca="false">IF($B23="","",SUMIFS('الحركات الشهرية'!$I$6:$I$1005,'الحركات الشهرية'!$B$6:$B$1005,$B23,'الحركات الشهرية'!$A$6:$A$1005,$C$3))</f>
        <v/>
      </c>
      <c r="U23" s="90" t="str">
        <f aca="false">IF($B23="","",SUMIFS('الحركات الشهرية'!$J$6:$J$1005,'الحركات الشهرية'!$B$6:$B$1005,$B23,'الحركات الشهرية'!$A$6:$A$1005,$C$3))</f>
        <v/>
      </c>
      <c r="V23" s="90" t="str">
        <f aca="false">IF($B23="","",SUM(S23:U23))</f>
        <v/>
      </c>
      <c r="W23" s="112" t="str">
        <f aca="false">IF($B23="","",R23-V23)</f>
        <v/>
      </c>
      <c r="X23" s="90" t="str">
        <f aca="false">IF($B23="","",الموظفون!$Q23*IF(E23="سعودي",cfg_G_SR,cfg_G_NR)*F23/cfg_DAYS_M)</f>
        <v/>
      </c>
      <c r="Y23" s="90" t="str">
        <f aca="false">IF($B23="","",الموظفون!$O23*(cfg_EOS_R1*(MIN(AC23,cfg_EOS_TH)-MIN(AD23,cfg_EOS_TH))+cfg_EOS_R2*(MAX(AC23-cfg_EOS_TH,0)-MAX(AD23-cfg_EOS_TH,0))))</f>
        <v/>
      </c>
      <c r="Z23" s="90" t="str">
        <f aca="false">IF($B23="","",IF(الموظفون!$R23&lt;&gt;"",الموظفون!$R23,IF(AC23&gt;=cfg_LV_TH,cfg_LV_D2,cfg_LV_D1))/cfg_DAYS_Y*AE23*الموظفون!$P23/cfg_DAYS_M)</f>
        <v/>
      </c>
      <c r="AA23" s="90" t="str">
        <f aca="false">IF($B23="","",IF(AND(الموظفون!$S23="نعم",N(الموظفون!$U23)&gt;0),الموظفون!$T23/الموظفون!$U23*12/cfg_DAYS_Y*AE23,0))</f>
        <v/>
      </c>
      <c r="AB23" s="113" t="str">
        <f aca="false">IF($B23="","",R23+SUM(X23:AA23))</f>
        <v/>
      </c>
      <c r="AC23" s="114" t="str">
        <f aca="false">IF($B23="","",MAX(0,IF(OR(الموظفون!$X23="",الموظفون!$X23&gt;$G$3),$G$3,الموظفون!$X23)-الموظفون!$H23+1)/cfg_DAYS_Y)</f>
        <v/>
      </c>
      <c r="AD23" s="114" t="str">
        <f aca="false">IF($B23="","",MAX(0,IF(OR(الموظفون!$X23="",الموظفون!$X23&gt;($E$3-1)),($E$3-1),الموظفون!$X23)-الموظفون!$H23+1)/cfg_DAYS_Y)</f>
        <v/>
      </c>
      <c r="AE23" s="115" t="str">
        <f aca="false">IF($B23="","",MAX(0,IF(OR(الموظفون!$X23="",الموظفون!$X23&gt;$G$3),$G$3,الموظفون!$X23)-MAX($E$3,الموظفون!$H23)+1))</f>
        <v/>
      </c>
    </row>
    <row r="24" customFormat="false" ht="15" hidden="false" customHeight="false" outlineLevel="0" collapsed="false">
      <c r="A24" s="83" t="str">
        <f aca="false">IF($B24="","",الموظفون!$A24)</f>
        <v/>
      </c>
      <c r="B24" s="74" t="str">
        <f aca="false">IF(الموظفون!$B24="","",الموظفون!$B24)</f>
        <v/>
      </c>
      <c r="C24" s="74" t="str">
        <f aca="false">IF($B24="","",الموظفون!$C24)</f>
        <v/>
      </c>
      <c r="D24" s="74" t="str">
        <f aca="false">IF($B24="","",الموظفون!$F24)</f>
        <v/>
      </c>
      <c r="E24" s="74" t="str">
        <f aca="false">IF($B24="","",الموظفون!$E24)</f>
        <v/>
      </c>
      <c r="F24" s="105" t="str">
        <f aca="false">IF($B24="","",IF(AE24&gt;=DAY($G$3),cfg_DAYS_M,MIN(AE24,cfg_DAYS_M)))</f>
        <v/>
      </c>
      <c r="G24" s="105" t="str">
        <f aca="false">IF($B24="","",SUMIFS('الحركات الشهرية'!$D$6:$D$1005,'الحركات الشهرية'!$B$6:$B$1005,$B24,'الحركات الشهرية'!$A$6:$A$1005,$C$3))</f>
        <v/>
      </c>
      <c r="H24" s="105" t="str">
        <f aca="false">IF($B24="","",SUMIFS('الحركات الشهرية'!$E$6:$E$1005,'الحركات الشهرية'!$B$6:$B$1005,$B24,'الحركات الشهرية'!$A$6:$A$1005,$C$3))</f>
        <v/>
      </c>
      <c r="I24" s="105" t="str">
        <f aca="false">IF($B24="","",MAX(0,F24-G24-H24))</f>
        <v/>
      </c>
      <c r="J24" s="86" t="str">
        <f aca="false">IF($B24="","",الموظفون!$J24*$I24/cfg_DAYS_M)</f>
        <v/>
      </c>
      <c r="K24" s="86" t="str">
        <f aca="false">IF($B24="","",الموظفون!$K24*$I24/cfg_DAYS_M)</f>
        <v/>
      </c>
      <c r="L24" s="86" t="str">
        <f aca="false">IF($B24="","",الموظفون!$L24*$I24/cfg_DAYS_M)</f>
        <v/>
      </c>
      <c r="M24" s="86" t="str">
        <f aca="false">IF($B24="","",الموظفون!$M24*$I24/cfg_DAYS_M)</f>
        <v/>
      </c>
      <c r="N24" s="105" t="str">
        <f aca="false">IF($B24="","",SUMIFS('الحركات الشهرية'!$F$6:$F$1005,'الحركات الشهرية'!$B$6:$B$1005,$B24,'الحركات الشهرية'!$A$6:$A$1005,$C$3))</f>
        <v/>
      </c>
      <c r="O24" s="86" t="str">
        <f aca="false">IF($B24="","",N24*(الموظفون!$N24+الموظفون!$J24*cfg_OT_P)/cfg_DAYS_M/cfg_HRS)</f>
        <v/>
      </c>
      <c r="P24" s="86" t="str">
        <f aca="false">IF($B24="","",SUMIFS('الحركات الشهرية'!$G$6:$G$1005,'الحركات الشهرية'!$B$6:$B$1005,$B24,'الحركات الشهرية'!$A$6:$A$1005,$C$3))</f>
        <v/>
      </c>
      <c r="Q24" s="86" t="str">
        <f aca="false">IF($B24="","",SUMIFS('الحركات الشهرية'!$H$6:$H$1005,'الحركات الشهرية'!$B$6:$B$1005,$B24,'الحركات الشهرية'!$A$6:$A$1005,$C$3))</f>
        <v/>
      </c>
      <c r="R24" s="106" t="str">
        <f aca="false">IF($B24="","",SUM(J24:M24)+SUM(O24:Q24))</f>
        <v/>
      </c>
      <c r="S24" s="86" t="str">
        <f aca="false">IF($B24="","",الموظفون!$Q24*IF(E24="سعودي",cfg_G_SE,cfg_G_NE)*F24/cfg_DAYS_M)</f>
        <v/>
      </c>
      <c r="T24" s="86" t="str">
        <f aca="false">IF($B24="","",SUMIFS('الحركات الشهرية'!$I$6:$I$1005,'الحركات الشهرية'!$B$6:$B$1005,$B24,'الحركات الشهرية'!$A$6:$A$1005,$C$3))</f>
        <v/>
      </c>
      <c r="U24" s="86" t="str">
        <f aca="false">IF($B24="","",SUMIFS('الحركات الشهرية'!$J$6:$J$1005,'الحركات الشهرية'!$B$6:$B$1005,$B24,'الحركات الشهرية'!$A$6:$A$1005,$C$3))</f>
        <v/>
      </c>
      <c r="V24" s="86" t="str">
        <f aca="false">IF($B24="","",SUM(S24:U24))</f>
        <v/>
      </c>
      <c r="W24" s="107" t="str">
        <f aca="false">IF($B24="","",R24-V24)</f>
        <v/>
      </c>
      <c r="X24" s="86" t="str">
        <f aca="false">IF($B24="","",الموظفون!$Q24*IF(E24="سعودي",cfg_G_SR,cfg_G_NR)*F24/cfg_DAYS_M)</f>
        <v/>
      </c>
      <c r="Y24" s="86" t="str">
        <f aca="false">IF($B24="","",الموظفون!$O24*(cfg_EOS_R1*(MIN(AC24,cfg_EOS_TH)-MIN(AD24,cfg_EOS_TH))+cfg_EOS_R2*(MAX(AC24-cfg_EOS_TH,0)-MAX(AD24-cfg_EOS_TH,0))))</f>
        <v/>
      </c>
      <c r="Z24" s="86" t="str">
        <f aca="false">IF($B24="","",IF(الموظفون!$R24&lt;&gt;"",الموظفون!$R24,IF(AC24&gt;=cfg_LV_TH,cfg_LV_D2,cfg_LV_D1))/cfg_DAYS_Y*AE24*الموظفون!$P24/cfg_DAYS_M)</f>
        <v/>
      </c>
      <c r="AA24" s="86" t="str">
        <f aca="false">IF($B24="","",IF(AND(الموظفون!$S24="نعم",N(الموظفون!$U24)&gt;0),الموظفون!$T24/الموظفون!$U24*12/cfg_DAYS_Y*AE24,0))</f>
        <v/>
      </c>
      <c r="AB24" s="108" t="str">
        <f aca="false">IF($B24="","",R24+SUM(X24:AA24))</f>
        <v/>
      </c>
      <c r="AC24" s="109" t="str">
        <f aca="false">IF($B24="","",MAX(0,IF(OR(الموظفون!$X24="",الموظفون!$X24&gt;$G$3),$G$3,الموظفون!$X24)-الموظفون!$H24+1)/cfg_DAYS_Y)</f>
        <v/>
      </c>
      <c r="AD24" s="109" t="str">
        <f aca="false">IF($B24="","",MAX(0,IF(OR(الموظفون!$X24="",الموظفون!$X24&gt;($E$3-1)),($E$3-1),الموظفون!$X24)-الموظفون!$H24+1)/cfg_DAYS_Y)</f>
        <v/>
      </c>
      <c r="AE24" s="51" t="str">
        <f aca="false">IF($B24="","",MAX(0,IF(OR(الموظفون!$X24="",الموظفون!$X24&gt;$G$3),$G$3,الموظفون!$X24)-MAX($E$3,الموظفون!$H24)+1))</f>
        <v/>
      </c>
    </row>
    <row r="25" customFormat="false" ht="15" hidden="false" customHeight="false" outlineLevel="0" collapsed="false">
      <c r="A25" s="89" t="str">
        <f aca="false">IF($B25="","",الموظفون!$A25)</f>
        <v/>
      </c>
      <c r="B25" s="91" t="str">
        <f aca="false">IF(الموظفون!$B25="","",الموظفون!$B25)</f>
        <v/>
      </c>
      <c r="C25" s="91" t="str">
        <f aca="false">IF($B25="","",الموظفون!$C25)</f>
        <v/>
      </c>
      <c r="D25" s="91" t="str">
        <f aca="false">IF($B25="","",الموظفون!$F25)</f>
        <v/>
      </c>
      <c r="E25" s="91" t="str">
        <f aca="false">IF($B25="","",الموظفون!$E25)</f>
        <v/>
      </c>
      <c r="F25" s="110" t="str">
        <f aca="false">IF($B25="","",IF(AE25&gt;=DAY($G$3),cfg_DAYS_M,MIN(AE25,cfg_DAYS_M)))</f>
        <v/>
      </c>
      <c r="G25" s="110" t="str">
        <f aca="false">IF($B25="","",SUMIFS('الحركات الشهرية'!$D$6:$D$1005,'الحركات الشهرية'!$B$6:$B$1005,$B25,'الحركات الشهرية'!$A$6:$A$1005,$C$3))</f>
        <v/>
      </c>
      <c r="H25" s="110" t="str">
        <f aca="false">IF($B25="","",SUMIFS('الحركات الشهرية'!$E$6:$E$1005,'الحركات الشهرية'!$B$6:$B$1005,$B25,'الحركات الشهرية'!$A$6:$A$1005,$C$3))</f>
        <v/>
      </c>
      <c r="I25" s="110" t="str">
        <f aca="false">IF($B25="","",MAX(0,F25-G25-H25))</f>
        <v/>
      </c>
      <c r="J25" s="90" t="str">
        <f aca="false">IF($B25="","",الموظفون!$J25*$I25/cfg_DAYS_M)</f>
        <v/>
      </c>
      <c r="K25" s="90" t="str">
        <f aca="false">IF($B25="","",الموظفون!$K25*$I25/cfg_DAYS_M)</f>
        <v/>
      </c>
      <c r="L25" s="90" t="str">
        <f aca="false">IF($B25="","",الموظفون!$L25*$I25/cfg_DAYS_M)</f>
        <v/>
      </c>
      <c r="M25" s="90" t="str">
        <f aca="false">IF($B25="","",الموظفون!$M25*$I25/cfg_DAYS_M)</f>
        <v/>
      </c>
      <c r="N25" s="110" t="str">
        <f aca="false">IF($B25="","",SUMIFS('الحركات الشهرية'!$F$6:$F$1005,'الحركات الشهرية'!$B$6:$B$1005,$B25,'الحركات الشهرية'!$A$6:$A$1005,$C$3))</f>
        <v/>
      </c>
      <c r="O25" s="90" t="str">
        <f aca="false">IF($B25="","",N25*(الموظفون!$N25+الموظفون!$J25*cfg_OT_P)/cfg_DAYS_M/cfg_HRS)</f>
        <v/>
      </c>
      <c r="P25" s="90" t="str">
        <f aca="false">IF($B25="","",SUMIFS('الحركات الشهرية'!$G$6:$G$1005,'الحركات الشهرية'!$B$6:$B$1005,$B25,'الحركات الشهرية'!$A$6:$A$1005,$C$3))</f>
        <v/>
      </c>
      <c r="Q25" s="90" t="str">
        <f aca="false">IF($B25="","",SUMIFS('الحركات الشهرية'!$H$6:$H$1005,'الحركات الشهرية'!$B$6:$B$1005,$B25,'الحركات الشهرية'!$A$6:$A$1005,$C$3))</f>
        <v/>
      </c>
      <c r="R25" s="111" t="str">
        <f aca="false">IF($B25="","",SUM(J25:M25)+SUM(O25:Q25))</f>
        <v/>
      </c>
      <c r="S25" s="90" t="str">
        <f aca="false">IF($B25="","",الموظفون!$Q25*IF(E25="سعودي",cfg_G_SE,cfg_G_NE)*F25/cfg_DAYS_M)</f>
        <v/>
      </c>
      <c r="T25" s="90" t="str">
        <f aca="false">IF($B25="","",SUMIFS('الحركات الشهرية'!$I$6:$I$1005,'الحركات الشهرية'!$B$6:$B$1005,$B25,'الحركات الشهرية'!$A$6:$A$1005,$C$3))</f>
        <v/>
      </c>
      <c r="U25" s="90" t="str">
        <f aca="false">IF($B25="","",SUMIFS('الحركات الشهرية'!$J$6:$J$1005,'الحركات الشهرية'!$B$6:$B$1005,$B25,'الحركات الشهرية'!$A$6:$A$1005,$C$3))</f>
        <v/>
      </c>
      <c r="V25" s="90" t="str">
        <f aca="false">IF($B25="","",SUM(S25:U25))</f>
        <v/>
      </c>
      <c r="W25" s="112" t="str">
        <f aca="false">IF($B25="","",R25-V25)</f>
        <v/>
      </c>
      <c r="X25" s="90" t="str">
        <f aca="false">IF($B25="","",الموظفون!$Q25*IF(E25="سعودي",cfg_G_SR,cfg_G_NR)*F25/cfg_DAYS_M)</f>
        <v/>
      </c>
      <c r="Y25" s="90" t="str">
        <f aca="false">IF($B25="","",الموظفون!$O25*(cfg_EOS_R1*(MIN(AC25,cfg_EOS_TH)-MIN(AD25,cfg_EOS_TH))+cfg_EOS_R2*(MAX(AC25-cfg_EOS_TH,0)-MAX(AD25-cfg_EOS_TH,0))))</f>
        <v/>
      </c>
      <c r="Z25" s="90" t="str">
        <f aca="false">IF($B25="","",IF(الموظفون!$R25&lt;&gt;"",الموظفون!$R25,IF(AC25&gt;=cfg_LV_TH,cfg_LV_D2,cfg_LV_D1))/cfg_DAYS_Y*AE25*الموظفون!$P25/cfg_DAYS_M)</f>
        <v/>
      </c>
      <c r="AA25" s="90" t="str">
        <f aca="false">IF($B25="","",IF(AND(الموظفون!$S25="نعم",N(الموظفون!$U25)&gt;0),الموظفون!$T25/الموظفون!$U25*12/cfg_DAYS_Y*AE25,0))</f>
        <v/>
      </c>
      <c r="AB25" s="113" t="str">
        <f aca="false">IF($B25="","",R25+SUM(X25:AA25))</f>
        <v/>
      </c>
      <c r="AC25" s="114" t="str">
        <f aca="false">IF($B25="","",MAX(0,IF(OR(الموظفون!$X25="",الموظفون!$X25&gt;$G$3),$G$3,الموظفون!$X25)-الموظفون!$H25+1)/cfg_DAYS_Y)</f>
        <v/>
      </c>
      <c r="AD25" s="114" t="str">
        <f aca="false">IF($B25="","",MAX(0,IF(OR(الموظفون!$X25="",الموظفون!$X25&gt;($E$3-1)),($E$3-1),الموظفون!$X25)-الموظفون!$H25+1)/cfg_DAYS_Y)</f>
        <v/>
      </c>
      <c r="AE25" s="115" t="str">
        <f aca="false">IF($B25="","",MAX(0,IF(OR(الموظفون!$X25="",الموظفون!$X25&gt;$G$3),$G$3,الموظفون!$X25)-MAX($E$3,الموظفون!$H25)+1))</f>
        <v/>
      </c>
    </row>
    <row r="26" customFormat="false" ht="15" hidden="false" customHeight="false" outlineLevel="0" collapsed="false">
      <c r="A26" s="83" t="str">
        <f aca="false">IF($B26="","",الموظفون!$A26)</f>
        <v/>
      </c>
      <c r="B26" s="74" t="str">
        <f aca="false">IF(الموظفون!$B26="","",الموظفون!$B26)</f>
        <v/>
      </c>
      <c r="C26" s="74" t="str">
        <f aca="false">IF($B26="","",الموظفون!$C26)</f>
        <v/>
      </c>
      <c r="D26" s="74" t="str">
        <f aca="false">IF($B26="","",الموظفون!$F26)</f>
        <v/>
      </c>
      <c r="E26" s="74" t="str">
        <f aca="false">IF($B26="","",الموظفون!$E26)</f>
        <v/>
      </c>
      <c r="F26" s="105" t="str">
        <f aca="false">IF($B26="","",IF(AE26&gt;=DAY($G$3),cfg_DAYS_M,MIN(AE26,cfg_DAYS_M)))</f>
        <v/>
      </c>
      <c r="G26" s="105" t="str">
        <f aca="false">IF($B26="","",SUMIFS('الحركات الشهرية'!$D$6:$D$1005,'الحركات الشهرية'!$B$6:$B$1005,$B26,'الحركات الشهرية'!$A$6:$A$1005,$C$3))</f>
        <v/>
      </c>
      <c r="H26" s="105" t="str">
        <f aca="false">IF($B26="","",SUMIFS('الحركات الشهرية'!$E$6:$E$1005,'الحركات الشهرية'!$B$6:$B$1005,$B26,'الحركات الشهرية'!$A$6:$A$1005,$C$3))</f>
        <v/>
      </c>
      <c r="I26" s="105" t="str">
        <f aca="false">IF($B26="","",MAX(0,F26-G26-H26))</f>
        <v/>
      </c>
      <c r="J26" s="86" t="str">
        <f aca="false">IF($B26="","",الموظفون!$J26*$I26/cfg_DAYS_M)</f>
        <v/>
      </c>
      <c r="K26" s="86" t="str">
        <f aca="false">IF($B26="","",الموظفون!$K26*$I26/cfg_DAYS_M)</f>
        <v/>
      </c>
      <c r="L26" s="86" t="str">
        <f aca="false">IF($B26="","",الموظفون!$L26*$I26/cfg_DAYS_M)</f>
        <v/>
      </c>
      <c r="M26" s="86" t="str">
        <f aca="false">IF($B26="","",الموظفون!$M26*$I26/cfg_DAYS_M)</f>
        <v/>
      </c>
      <c r="N26" s="105" t="str">
        <f aca="false">IF($B26="","",SUMIFS('الحركات الشهرية'!$F$6:$F$1005,'الحركات الشهرية'!$B$6:$B$1005,$B26,'الحركات الشهرية'!$A$6:$A$1005,$C$3))</f>
        <v/>
      </c>
      <c r="O26" s="86" t="str">
        <f aca="false">IF($B26="","",N26*(الموظفون!$N26+الموظفون!$J26*cfg_OT_P)/cfg_DAYS_M/cfg_HRS)</f>
        <v/>
      </c>
      <c r="P26" s="86" t="str">
        <f aca="false">IF($B26="","",SUMIFS('الحركات الشهرية'!$G$6:$G$1005,'الحركات الشهرية'!$B$6:$B$1005,$B26,'الحركات الشهرية'!$A$6:$A$1005,$C$3))</f>
        <v/>
      </c>
      <c r="Q26" s="86" t="str">
        <f aca="false">IF($B26="","",SUMIFS('الحركات الشهرية'!$H$6:$H$1005,'الحركات الشهرية'!$B$6:$B$1005,$B26,'الحركات الشهرية'!$A$6:$A$1005,$C$3))</f>
        <v/>
      </c>
      <c r="R26" s="106" t="str">
        <f aca="false">IF($B26="","",SUM(J26:M26)+SUM(O26:Q26))</f>
        <v/>
      </c>
      <c r="S26" s="86" t="str">
        <f aca="false">IF($B26="","",الموظفون!$Q26*IF(E26="سعودي",cfg_G_SE,cfg_G_NE)*F26/cfg_DAYS_M)</f>
        <v/>
      </c>
      <c r="T26" s="86" t="str">
        <f aca="false">IF($B26="","",SUMIFS('الحركات الشهرية'!$I$6:$I$1005,'الحركات الشهرية'!$B$6:$B$1005,$B26,'الحركات الشهرية'!$A$6:$A$1005,$C$3))</f>
        <v/>
      </c>
      <c r="U26" s="86" t="str">
        <f aca="false">IF($B26="","",SUMIFS('الحركات الشهرية'!$J$6:$J$1005,'الحركات الشهرية'!$B$6:$B$1005,$B26,'الحركات الشهرية'!$A$6:$A$1005,$C$3))</f>
        <v/>
      </c>
      <c r="V26" s="86" t="str">
        <f aca="false">IF($B26="","",SUM(S26:U26))</f>
        <v/>
      </c>
      <c r="W26" s="107" t="str">
        <f aca="false">IF($B26="","",R26-V26)</f>
        <v/>
      </c>
      <c r="X26" s="86" t="str">
        <f aca="false">IF($B26="","",الموظفون!$Q26*IF(E26="سعودي",cfg_G_SR,cfg_G_NR)*F26/cfg_DAYS_M)</f>
        <v/>
      </c>
      <c r="Y26" s="86" t="str">
        <f aca="false">IF($B26="","",الموظفون!$O26*(cfg_EOS_R1*(MIN(AC26,cfg_EOS_TH)-MIN(AD26,cfg_EOS_TH))+cfg_EOS_R2*(MAX(AC26-cfg_EOS_TH,0)-MAX(AD26-cfg_EOS_TH,0))))</f>
        <v/>
      </c>
      <c r="Z26" s="86" t="str">
        <f aca="false">IF($B26="","",IF(الموظفون!$R26&lt;&gt;"",الموظفون!$R26,IF(AC26&gt;=cfg_LV_TH,cfg_LV_D2,cfg_LV_D1))/cfg_DAYS_Y*AE26*الموظفون!$P26/cfg_DAYS_M)</f>
        <v/>
      </c>
      <c r="AA26" s="86" t="str">
        <f aca="false">IF($B26="","",IF(AND(الموظفون!$S26="نعم",N(الموظفون!$U26)&gt;0),الموظفون!$T26/الموظفون!$U26*12/cfg_DAYS_Y*AE26,0))</f>
        <v/>
      </c>
      <c r="AB26" s="108" t="str">
        <f aca="false">IF($B26="","",R26+SUM(X26:AA26))</f>
        <v/>
      </c>
      <c r="AC26" s="109" t="str">
        <f aca="false">IF($B26="","",MAX(0,IF(OR(الموظفون!$X26="",الموظفون!$X26&gt;$G$3),$G$3,الموظفون!$X26)-الموظفون!$H26+1)/cfg_DAYS_Y)</f>
        <v/>
      </c>
      <c r="AD26" s="109" t="str">
        <f aca="false">IF($B26="","",MAX(0,IF(OR(الموظفون!$X26="",الموظفون!$X26&gt;($E$3-1)),($E$3-1),الموظفون!$X26)-الموظفون!$H26+1)/cfg_DAYS_Y)</f>
        <v/>
      </c>
      <c r="AE26" s="51" t="str">
        <f aca="false">IF($B26="","",MAX(0,IF(OR(الموظفون!$X26="",الموظفون!$X26&gt;$G$3),$G$3,الموظفون!$X26)-MAX($E$3,الموظفون!$H26)+1))</f>
        <v/>
      </c>
    </row>
    <row r="27" customFormat="false" ht="15" hidden="false" customHeight="false" outlineLevel="0" collapsed="false">
      <c r="A27" s="89" t="str">
        <f aca="false">IF($B27="","",الموظفون!$A27)</f>
        <v/>
      </c>
      <c r="B27" s="91" t="str">
        <f aca="false">IF(الموظفون!$B27="","",الموظفون!$B27)</f>
        <v/>
      </c>
      <c r="C27" s="91" t="str">
        <f aca="false">IF($B27="","",الموظفون!$C27)</f>
        <v/>
      </c>
      <c r="D27" s="91" t="str">
        <f aca="false">IF($B27="","",الموظفون!$F27)</f>
        <v/>
      </c>
      <c r="E27" s="91" t="str">
        <f aca="false">IF($B27="","",الموظفون!$E27)</f>
        <v/>
      </c>
      <c r="F27" s="110" t="str">
        <f aca="false">IF($B27="","",IF(AE27&gt;=DAY($G$3),cfg_DAYS_M,MIN(AE27,cfg_DAYS_M)))</f>
        <v/>
      </c>
      <c r="G27" s="110" t="str">
        <f aca="false">IF($B27="","",SUMIFS('الحركات الشهرية'!$D$6:$D$1005,'الحركات الشهرية'!$B$6:$B$1005,$B27,'الحركات الشهرية'!$A$6:$A$1005,$C$3))</f>
        <v/>
      </c>
      <c r="H27" s="110" t="str">
        <f aca="false">IF($B27="","",SUMIFS('الحركات الشهرية'!$E$6:$E$1005,'الحركات الشهرية'!$B$6:$B$1005,$B27,'الحركات الشهرية'!$A$6:$A$1005,$C$3))</f>
        <v/>
      </c>
      <c r="I27" s="110" t="str">
        <f aca="false">IF($B27="","",MAX(0,F27-G27-H27))</f>
        <v/>
      </c>
      <c r="J27" s="90" t="str">
        <f aca="false">IF($B27="","",الموظفون!$J27*$I27/cfg_DAYS_M)</f>
        <v/>
      </c>
      <c r="K27" s="90" t="str">
        <f aca="false">IF($B27="","",الموظفون!$K27*$I27/cfg_DAYS_M)</f>
        <v/>
      </c>
      <c r="L27" s="90" t="str">
        <f aca="false">IF($B27="","",الموظفون!$L27*$I27/cfg_DAYS_M)</f>
        <v/>
      </c>
      <c r="M27" s="90" t="str">
        <f aca="false">IF($B27="","",الموظفون!$M27*$I27/cfg_DAYS_M)</f>
        <v/>
      </c>
      <c r="N27" s="110" t="str">
        <f aca="false">IF($B27="","",SUMIFS('الحركات الشهرية'!$F$6:$F$1005,'الحركات الشهرية'!$B$6:$B$1005,$B27,'الحركات الشهرية'!$A$6:$A$1005,$C$3))</f>
        <v/>
      </c>
      <c r="O27" s="90" t="str">
        <f aca="false">IF($B27="","",N27*(الموظفون!$N27+الموظفون!$J27*cfg_OT_P)/cfg_DAYS_M/cfg_HRS)</f>
        <v/>
      </c>
      <c r="P27" s="90" t="str">
        <f aca="false">IF($B27="","",SUMIFS('الحركات الشهرية'!$G$6:$G$1005,'الحركات الشهرية'!$B$6:$B$1005,$B27,'الحركات الشهرية'!$A$6:$A$1005,$C$3))</f>
        <v/>
      </c>
      <c r="Q27" s="90" t="str">
        <f aca="false">IF($B27="","",SUMIFS('الحركات الشهرية'!$H$6:$H$1005,'الحركات الشهرية'!$B$6:$B$1005,$B27,'الحركات الشهرية'!$A$6:$A$1005,$C$3))</f>
        <v/>
      </c>
      <c r="R27" s="111" t="str">
        <f aca="false">IF($B27="","",SUM(J27:M27)+SUM(O27:Q27))</f>
        <v/>
      </c>
      <c r="S27" s="90" t="str">
        <f aca="false">IF($B27="","",الموظفون!$Q27*IF(E27="سعودي",cfg_G_SE,cfg_G_NE)*F27/cfg_DAYS_M)</f>
        <v/>
      </c>
      <c r="T27" s="90" t="str">
        <f aca="false">IF($B27="","",SUMIFS('الحركات الشهرية'!$I$6:$I$1005,'الحركات الشهرية'!$B$6:$B$1005,$B27,'الحركات الشهرية'!$A$6:$A$1005,$C$3))</f>
        <v/>
      </c>
      <c r="U27" s="90" t="str">
        <f aca="false">IF($B27="","",SUMIFS('الحركات الشهرية'!$J$6:$J$1005,'الحركات الشهرية'!$B$6:$B$1005,$B27,'الحركات الشهرية'!$A$6:$A$1005,$C$3))</f>
        <v/>
      </c>
      <c r="V27" s="90" t="str">
        <f aca="false">IF($B27="","",SUM(S27:U27))</f>
        <v/>
      </c>
      <c r="W27" s="112" t="str">
        <f aca="false">IF($B27="","",R27-V27)</f>
        <v/>
      </c>
      <c r="X27" s="90" t="str">
        <f aca="false">IF($B27="","",الموظفون!$Q27*IF(E27="سعودي",cfg_G_SR,cfg_G_NR)*F27/cfg_DAYS_M)</f>
        <v/>
      </c>
      <c r="Y27" s="90" t="str">
        <f aca="false">IF($B27="","",الموظفون!$O27*(cfg_EOS_R1*(MIN(AC27,cfg_EOS_TH)-MIN(AD27,cfg_EOS_TH))+cfg_EOS_R2*(MAX(AC27-cfg_EOS_TH,0)-MAX(AD27-cfg_EOS_TH,0))))</f>
        <v/>
      </c>
      <c r="Z27" s="90" t="str">
        <f aca="false">IF($B27="","",IF(الموظفون!$R27&lt;&gt;"",الموظفون!$R27,IF(AC27&gt;=cfg_LV_TH,cfg_LV_D2,cfg_LV_D1))/cfg_DAYS_Y*AE27*الموظفون!$P27/cfg_DAYS_M)</f>
        <v/>
      </c>
      <c r="AA27" s="90" t="str">
        <f aca="false">IF($B27="","",IF(AND(الموظفون!$S27="نعم",N(الموظفون!$U27)&gt;0),الموظفون!$T27/الموظفون!$U27*12/cfg_DAYS_Y*AE27,0))</f>
        <v/>
      </c>
      <c r="AB27" s="113" t="str">
        <f aca="false">IF($B27="","",R27+SUM(X27:AA27))</f>
        <v/>
      </c>
      <c r="AC27" s="114" t="str">
        <f aca="false">IF($B27="","",MAX(0,IF(OR(الموظفون!$X27="",الموظفون!$X27&gt;$G$3),$G$3,الموظفون!$X27)-الموظفون!$H27+1)/cfg_DAYS_Y)</f>
        <v/>
      </c>
      <c r="AD27" s="114" t="str">
        <f aca="false">IF($B27="","",MAX(0,IF(OR(الموظفون!$X27="",الموظفون!$X27&gt;($E$3-1)),($E$3-1),الموظفون!$X27)-الموظفون!$H27+1)/cfg_DAYS_Y)</f>
        <v/>
      </c>
      <c r="AE27" s="115" t="str">
        <f aca="false">IF($B27="","",MAX(0,IF(OR(الموظفون!$X27="",الموظفون!$X27&gt;$G$3),$G$3,الموظفون!$X27)-MAX($E$3,الموظفون!$H27)+1))</f>
        <v/>
      </c>
    </row>
    <row r="28" customFormat="false" ht="15" hidden="false" customHeight="false" outlineLevel="0" collapsed="false">
      <c r="A28" s="83" t="str">
        <f aca="false">IF($B28="","",الموظفون!$A28)</f>
        <v/>
      </c>
      <c r="B28" s="74" t="str">
        <f aca="false">IF(الموظفون!$B28="","",الموظفون!$B28)</f>
        <v/>
      </c>
      <c r="C28" s="74" t="str">
        <f aca="false">IF($B28="","",الموظفون!$C28)</f>
        <v/>
      </c>
      <c r="D28" s="74" t="str">
        <f aca="false">IF($B28="","",الموظفون!$F28)</f>
        <v/>
      </c>
      <c r="E28" s="74" t="str">
        <f aca="false">IF($B28="","",الموظفون!$E28)</f>
        <v/>
      </c>
      <c r="F28" s="105" t="str">
        <f aca="false">IF($B28="","",IF(AE28&gt;=DAY($G$3),cfg_DAYS_M,MIN(AE28,cfg_DAYS_M)))</f>
        <v/>
      </c>
      <c r="G28" s="105" t="str">
        <f aca="false">IF($B28="","",SUMIFS('الحركات الشهرية'!$D$6:$D$1005,'الحركات الشهرية'!$B$6:$B$1005,$B28,'الحركات الشهرية'!$A$6:$A$1005,$C$3))</f>
        <v/>
      </c>
      <c r="H28" s="105" t="str">
        <f aca="false">IF($B28="","",SUMIFS('الحركات الشهرية'!$E$6:$E$1005,'الحركات الشهرية'!$B$6:$B$1005,$B28,'الحركات الشهرية'!$A$6:$A$1005,$C$3))</f>
        <v/>
      </c>
      <c r="I28" s="105" t="str">
        <f aca="false">IF($B28="","",MAX(0,F28-G28-H28))</f>
        <v/>
      </c>
      <c r="J28" s="86" t="str">
        <f aca="false">IF($B28="","",الموظفون!$J28*$I28/cfg_DAYS_M)</f>
        <v/>
      </c>
      <c r="K28" s="86" t="str">
        <f aca="false">IF($B28="","",الموظفون!$K28*$I28/cfg_DAYS_M)</f>
        <v/>
      </c>
      <c r="L28" s="86" t="str">
        <f aca="false">IF($B28="","",الموظفون!$L28*$I28/cfg_DAYS_M)</f>
        <v/>
      </c>
      <c r="M28" s="86" t="str">
        <f aca="false">IF($B28="","",الموظفون!$M28*$I28/cfg_DAYS_M)</f>
        <v/>
      </c>
      <c r="N28" s="105" t="str">
        <f aca="false">IF($B28="","",SUMIFS('الحركات الشهرية'!$F$6:$F$1005,'الحركات الشهرية'!$B$6:$B$1005,$B28,'الحركات الشهرية'!$A$6:$A$1005,$C$3))</f>
        <v/>
      </c>
      <c r="O28" s="86" t="str">
        <f aca="false">IF($B28="","",N28*(الموظفون!$N28+الموظفون!$J28*cfg_OT_P)/cfg_DAYS_M/cfg_HRS)</f>
        <v/>
      </c>
      <c r="P28" s="86" t="str">
        <f aca="false">IF($B28="","",SUMIFS('الحركات الشهرية'!$G$6:$G$1005,'الحركات الشهرية'!$B$6:$B$1005,$B28,'الحركات الشهرية'!$A$6:$A$1005,$C$3))</f>
        <v/>
      </c>
      <c r="Q28" s="86" t="str">
        <f aca="false">IF($B28="","",SUMIFS('الحركات الشهرية'!$H$6:$H$1005,'الحركات الشهرية'!$B$6:$B$1005,$B28,'الحركات الشهرية'!$A$6:$A$1005,$C$3))</f>
        <v/>
      </c>
      <c r="R28" s="106" t="str">
        <f aca="false">IF($B28="","",SUM(J28:M28)+SUM(O28:Q28))</f>
        <v/>
      </c>
      <c r="S28" s="86" t="str">
        <f aca="false">IF($B28="","",الموظفون!$Q28*IF(E28="سعودي",cfg_G_SE,cfg_G_NE)*F28/cfg_DAYS_M)</f>
        <v/>
      </c>
      <c r="T28" s="86" t="str">
        <f aca="false">IF($B28="","",SUMIFS('الحركات الشهرية'!$I$6:$I$1005,'الحركات الشهرية'!$B$6:$B$1005,$B28,'الحركات الشهرية'!$A$6:$A$1005,$C$3))</f>
        <v/>
      </c>
      <c r="U28" s="86" t="str">
        <f aca="false">IF($B28="","",SUMIFS('الحركات الشهرية'!$J$6:$J$1005,'الحركات الشهرية'!$B$6:$B$1005,$B28,'الحركات الشهرية'!$A$6:$A$1005,$C$3))</f>
        <v/>
      </c>
      <c r="V28" s="86" t="str">
        <f aca="false">IF($B28="","",SUM(S28:U28))</f>
        <v/>
      </c>
      <c r="W28" s="107" t="str">
        <f aca="false">IF($B28="","",R28-V28)</f>
        <v/>
      </c>
      <c r="X28" s="86" t="str">
        <f aca="false">IF($B28="","",الموظفون!$Q28*IF(E28="سعودي",cfg_G_SR,cfg_G_NR)*F28/cfg_DAYS_M)</f>
        <v/>
      </c>
      <c r="Y28" s="86" t="str">
        <f aca="false">IF($B28="","",الموظفون!$O28*(cfg_EOS_R1*(MIN(AC28,cfg_EOS_TH)-MIN(AD28,cfg_EOS_TH))+cfg_EOS_R2*(MAX(AC28-cfg_EOS_TH,0)-MAX(AD28-cfg_EOS_TH,0))))</f>
        <v/>
      </c>
      <c r="Z28" s="86" t="str">
        <f aca="false">IF($B28="","",IF(الموظفون!$R28&lt;&gt;"",الموظفون!$R28,IF(AC28&gt;=cfg_LV_TH,cfg_LV_D2,cfg_LV_D1))/cfg_DAYS_Y*AE28*الموظفون!$P28/cfg_DAYS_M)</f>
        <v/>
      </c>
      <c r="AA28" s="86" t="str">
        <f aca="false">IF($B28="","",IF(AND(الموظفون!$S28="نعم",N(الموظفون!$U28)&gt;0),الموظفون!$T28/الموظفون!$U28*12/cfg_DAYS_Y*AE28,0))</f>
        <v/>
      </c>
      <c r="AB28" s="108" t="str">
        <f aca="false">IF($B28="","",R28+SUM(X28:AA28))</f>
        <v/>
      </c>
      <c r="AC28" s="109" t="str">
        <f aca="false">IF($B28="","",MAX(0,IF(OR(الموظفون!$X28="",الموظفون!$X28&gt;$G$3),$G$3,الموظفون!$X28)-الموظفون!$H28+1)/cfg_DAYS_Y)</f>
        <v/>
      </c>
      <c r="AD28" s="109" t="str">
        <f aca="false">IF($B28="","",MAX(0,IF(OR(الموظفون!$X28="",الموظفون!$X28&gt;($E$3-1)),($E$3-1),الموظفون!$X28)-الموظفون!$H28+1)/cfg_DAYS_Y)</f>
        <v/>
      </c>
      <c r="AE28" s="51" t="str">
        <f aca="false">IF($B28="","",MAX(0,IF(OR(الموظفون!$X28="",الموظفون!$X28&gt;$G$3),$G$3,الموظفون!$X28)-MAX($E$3,الموظفون!$H28)+1))</f>
        <v/>
      </c>
    </row>
    <row r="29" customFormat="false" ht="15" hidden="false" customHeight="false" outlineLevel="0" collapsed="false">
      <c r="A29" s="89" t="str">
        <f aca="false">IF($B29="","",الموظفون!$A29)</f>
        <v/>
      </c>
      <c r="B29" s="91" t="str">
        <f aca="false">IF(الموظفون!$B29="","",الموظفون!$B29)</f>
        <v/>
      </c>
      <c r="C29" s="91" t="str">
        <f aca="false">IF($B29="","",الموظفون!$C29)</f>
        <v/>
      </c>
      <c r="D29" s="91" t="str">
        <f aca="false">IF($B29="","",الموظفون!$F29)</f>
        <v/>
      </c>
      <c r="E29" s="91" t="str">
        <f aca="false">IF($B29="","",الموظفون!$E29)</f>
        <v/>
      </c>
      <c r="F29" s="110" t="str">
        <f aca="false">IF($B29="","",IF(AE29&gt;=DAY($G$3),cfg_DAYS_M,MIN(AE29,cfg_DAYS_M)))</f>
        <v/>
      </c>
      <c r="G29" s="110" t="str">
        <f aca="false">IF($B29="","",SUMIFS('الحركات الشهرية'!$D$6:$D$1005,'الحركات الشهرية'!$B$6:$B$1005,$B29,'الحركات الشهرية'!$A$6:$A$1005,$C$3))</f>
        <v/>
      </c>
      <c r="H29" s="110" t="str">
        <f aca="false">IF($B29="","",SUMIFS('الحركات الشهرية'!$E$6:$E$1005,'الحركات الشهرية'!$B$6:$B$1005,$B29,'الحركات الشهرية'!$A$6:$A$1005,$C$3))</f>
        <v/>
      </c>
      <c r="I29" s="110" t="str">
        <f aca="false">IF($B29="","",MAX(0,F29-G29-H29))</f>
        <v/>
      </c>
      <c r="J29" s="90" t="str">
        <f aca="false">IF($B29="","",الموظفون!$J29*$I29/cfg_DAYS_M)</f>
        <v/>
      </c>
      <c r="K29" s="90" t="str">
        <f aca="false">IF($B29="","",الموظفون!$K29*$I29/cfg_DAYS_M)</f>
        <v/>
      </c>
      <c r="L29" s="90" t="str">
        <f aca="false">IF($B29="","",الموظفون!$L29*$I29/cfg_DAYS_M)</f>
        <v/>
      </c>
      <c r="M29" s="90" t="str">
        <f aca="false">IF($B29="","",الموظفون!$M29*$I29/cfg_DAYS_M)</f>
        <v/>
      </c>
      <c r="N29" s="110" t="str">
        <f aca="false">IF($B29="","",SUMIFS('الحركات الشهرية'!$F$6:$F$1005,'الحركات الشهرية'!$B$6:$B$1005,$B29,'الحركات الشهرية'!$A$6:$A$1005,$C$3))</f>
        <v/>
      </c>
      <c r="O29" s="90" t="str">
        <f aca="false">IF($B29="","",N29*(الموظفون!$N29+الموظفون!$J29*cfg_OT_P)/cfg_DAYS_M/cfg_HRS)</f>
        <v/>
      </c>
      <c r="P29" s="90" t="str">
        <f aca="false">IF($B29="","",SUMIFS('الحركات الشهرية'!$G$6:$G$1005,'الحركات الشهرية'!$B$6:$B$1005,$B29,'الحركات الشهرية'!$A$6:$A$1005,$C$3))</f>
        <v/>
      </c>
      <c r="Q29" s="90" t="str">
        <f aca="false">IF($B29="","",SUMIFS('الحركات الشهرية'!$H$6:$H$1005,'الحركات الشهرية'!$B$6:$B$1005,$B29,'الحركات الشهرية'!$A$6:$A$1005,$C$3))</f>
        <v/>
      </c>
      <c r="R29" s="111" t="str">
        <f aca="false">IF($B29="","",SUM(J29:M29)+SUM(O29:Q29))</f>
        <v/>
      </c>
      <c r="S29" s="90" t="str">
        <f aca="false">IF($B29="","",الموظفون!$Q29*IF(E29="سعودي",cfg_G_SE,cfg_G_NE)*F29/cfg_DAYS_M)</f>
        <v/>
      </c>
      <c r="T29" s="90" t="str">
        <f aca="false">IF($B29="","",SUMIFS('الحركات الشهرية'!$I$6:$I$1005,'الحركات الشهرية'!$B$6:$B$1005,$B29,'الحركات الشهرية'!$A$6:$A$1005,$C$3))</f>
        <v/>
      </c>
      <c r="U29" s="90" t="str">
        <f aca="false">IF($B29="","",SUMIFS('الحركات الشهرية'!$J$6:$J$1005,'الحركات الشهرية'!$B$6:$B$1005,$B29,'الحركات الشهرية'!$A$6:$A$1005,$C$3))</f>
        <v/>
      </c>
      <c r="V29" s="90" t="str">
        <f aca="false">IF($B29="","",SUM(S29:U29))</f>
        <v/>
      </c>
      <c r="W29" s="112" t="str">
        <f aca="false">IF($B29="","",R29-V29)</f>
        <v/>
      </c>
      <c r="X29" s="90" t="str">
        <f aca="false">IF($B29="","",الموظفون!$Q29*IF(E29="سعودي",cfg_G_SR,cfg_G_NR)*F29/cfg_DAYS_M)</f>
        <v/>
      </c>
      <c r="Y29" s="90" t="str">
        <f aca="false">IF($B29="","",الموظفون!$O29*(cfg_EOS_R1*(MIN(AC29,cfg_EOS_TH)-MIN(AD29,cfg_EOS_TH))+cfg_EOS_R2*(MAX(AC29-cfg_EOS_TH,0)-MAX(AD29-cfg_EOS_TH,0))))</f>
        <v/>
      </c>
      <c r="Z29" s="90" t="str">
        <f aca="false">IF($B29="","",IF(الموظفون!$R29&lt;&gt;"",الموظفون!$R29,IF(AC29&gt;=cfg_LV_TH,cfg_LV_D2,cfg_LV_D1))/cfg_DAYS_Y*AE29*الموظفون!$P29/cfg_DAYS_M)</f>
        <v/>
      </c>
      <c r="AA29" s="90" t="str">
        <f aca="false">IF($B29="","",IF(AND(الموظفون!$S29="نعم",N(الموظفون!$U29)&gt;0),الموظفون!$T29/الموظفون!$U29*12/cfg_DAYS_Y*AE29,0))</f>
        <v/>
      </c>
      <c r="AB29" s="113" t="str">
        <f aca="false">IF($B29="","",R29+SUM(X29:AA29))</f>
        <v/>
      </c>
      <c r="AC29" s="114" t="str">
        <f aca="false">IF($B29="","",MAX(0,IF(OR(الموظفون!$X29="",الموظفون!$X29&gt;$G$3),$G$3,الموظفون!$X29)-الموظفون!$H29+1)/cfg_DAYS_Y)</f>
        <v/>
      </c>
      <c r="AD29" s="114" t="str">
        <f aca="false">IF($B29="","",MAX(0,IF(OR(الموظفون!$X29="",الموظفون!$X29&gt;($E$3-1)),($E$3-1),الموظفون!$X29)-الموظفون!$H29+1)/cfg_DAYS_Y)</f>
        <v/>
      </c>
      <c r="AE29" s="115" t="str">
        <f aca="false">IF($B29="","",MAX(0,IF(OR(الموظفون!$X29="",الموظفون!$X29&gt;$G$3),$G$3,الموظفون!$X29)-MAX($E$3,الموظفون!$H29)+1))</f>
        <v/>
      </c>
    </row>
    <row r="30" customFormat="false" ht="15" hidden="false" customHeight="false" outlineLevel="0" collapsed="false">
      <c r="A30" s="83" t="str">
        <f aca="false">IF($B30="","",الموظفون!$A30)</f>
        <v/>
      </c>
      <c r="B30" s="74" t="str">
        <f aca="false">IF(الموظفون!$B30="","",الموظفون!$B30)</f>
        <v/>
      </c>
      <c r="C30" s="74" t="str">
        <f aca="false">IF($B30="","",الموظفون!$C30)</f>
        <v/>
      </c>
      <c r="D30" s="74" t="str">
        <f aca="false">IF($B30="","",الموظفون!$F30)</f>
        <v/>
      </c>
      <c r="E30" s="74" t="str">
        <f aca="false">IF($B30="","",الموظفون!$E30)</f>
        <v/>
      </c>
      <c r="F30" s="105" t="str">
        <f aca="false">IF($B30="","",IF(AE30&gt;=DAY($G$3),cfg_DAYS_M,MIN(AE30,cfg_DAYS_M)))</f>
        <v/>
      </c>
      <c r="G30" s="105" t="str">
        <f aca="false">IF($B30="","",SUMIFS('الحركات الشهرية'!$D$6:$D$1005,'الحركات الشهرية'!$B$6:$B$1005,$B30,'الحركات الشهرية'!$A$6:$A$1005,$C$3))</f>
        <v/>
      </c>
      <c r="H30" s="105" t="str">
        <f aca="false">IF($B30="","",SUMIFS('الحركات الشهرية'!$E$6:$E$1005,'الحركات الشهرية'!$B$6:$B$1005,$B30,'الحركات الشهرية'!$A$6:$A$1005,$C$3))</f>
        <v/>
      </c>
      <c r="I30" s="105" t="str">
        <f aca="false">IF($B30="","",MAX(0,F30-G30-H30))</f>
        <v/>
      </c>
      <c r="J30" s="86" t="str">
        <f aca="false">IF($B30="","",الموظفون!$J30*$I30/cfg_DAYS_M)</f>
        <v/>
      </c>
      <c r="K30" s="86" t="str">
        <f aca="false">IF($B30="","",الموظفون!$K30*$I30/cfg_DAYS_M)</f>
        <v/>
      </c>
      <c r="L30" s="86" t="str">
        <f aca="false">IF($B30="","",الموظفون!$L30*$I30/cfg_DAYS_M)</f>
        <v/>
      </c>
      <c r="M30" s="86" t="str">
        <f aca="false">IF($B30="","",الموظفون!$M30*$I30/cfg_DAYS_M)</f>
        <v/>
      </c>
      <c r="N30" s="105" t="str">
        <f aca="false">IF($B30="","",SUMIFS('الحركات الشهرية'!$F$6:$F$1005,'الحركات الشهرية'!$B$6:$B$1005,$B30,'الحركات الشهرية'!$A$6:$A$1005,$C$3))</f>
        <v/>
      </c>
      <c r="O30" s="86" t="str">
        <f aca="false">IF($B30="","",N30*(الموظفون!$N30+الموظفون!$J30*cfg_OT_P)/cfg_DAYS_M/cfg_HRS)</f>
        <v/>
      </c>
      <c r="P30" s="86" t="str">
        <f aca="false">IF($B30="","",SUMIFS('الحركات الشهرية'!$G$6:$G$1005,'الحركات الشهرية'!$B$6:$B$1005,$B30,'الحركات الشهرية'!$A$6:$A$1005,$C$3))</f>
        <v/>
      </c>
      <c r="Q30" s="86" t="str">
        <f aca="false">IF($B30="","",SUMIFS('الحركات الشهرية'!$H$6:$H$1005,'الحركات الشهرية'!$B$6:$B$1005,$B30,'الحركات الشهرية'!$A$6:$A$1005,$C$3))</f>
        <v/>
      </c>
      <c r="R30" s="106" t="str">
        <f aca="false">IF($B30="","",SUM(J30:M30)+SUM(O30:Q30))</f>
        <v/>
      </c>
      <c r="S30" s="86" t="str">
        <f aca="false">IF($B30="","",الموظفون!$Q30*IF(E30="سعودي",cfg_G_SE,cfg_G_NE)*F30/cfg_DAYS_M)</f>
        <v/>
      </c>
      <c r="T30" s="86" t="str">
        <f aca="false">IF($B30="","",SUMIFS('الحركات الشهرية'!$I$6:$I$1005,'الحركات الشهرية'!$B$6:$B$1005,$B30,'الحركات الشهرية'!$A$6:$A$1005,$C$3))</f>
        <v/>
      </c>
      <c r="U30" s="86" t="str">
        <f aca="false">IF($B30="","",SUMIFS('الحركات الشهرية'!$J$6:$J$1005,'الحركات الشهرية'!$B$6:$B$1005,$B30,'الحركات الشهرية'!$A$6:$A$1005,$C$3))</f>
        <v/>
      </c>
      <c r="V30" s="86" t="str">
        <f aca="false">IF($B30="","",SUM(S30:U30))</f>
        <v/>
      </c>
      <c r="W30" s="107" t="str">
        <f aca="false">IF($B30="","",R30-V30)</f>
        <v/>
      </c>
      <c r="X30" s="86" t="str">
        <f aca="false">IF($B30="","",الموظفون!$Q30*IF(E30="سعودي",cfg_G_SR,cfg_G_NR)*F30/cfg_DAYS_M)</f>
        <v/>
      </c>
      <c r="Y30" s="86" t="str">
        <f aca="false">IF($B30="","",الموظفون!$O30*(cfg_EOS_R1*(MIN(AC30,cfg_EOS_TH)-MIN(AD30,cfg_EOS_TH))+cfg_EOS_R2*(MAX(AC30-cfg_EOS_TH,0)-MAX(AD30-cfg_EOS_TH,0))))</f>
        <v/>
      </c>
      <c r="Z30" s="86" t="str">
        <f aca="false">IF($B30="","",IF(الموظفون!$R30&lt;&gt;"",الموظفون!$R30,IF(AC30&gt;=cfg_LV_TH,cfg_LV_D2,cfg_LV_D1))/cfg_DAYS_Y*AE30*الموظفون!$P30/cfg_DAYS_M)</f>
        <v/>
      </c>
      <c r="AA30" s="86" t="str">
        <f aca="false">IF($B30="","",IF(AND(الموظفون!$S30="نعم",N(الموظفون!$U30)&gt;0),الموظفون!$T30/الموظفون!$U30*12/cfg_DAYS_Y*AE30,0))</f>
        <v/>
      </c>
      <c r="AB30" s="108" t="str">
        <f aca="false">IF($B30="","",R30+SUM(X30:AA30))</f>
        <v/>
      </c>
      <c r="AC30" s="109" t="str">
        <f aca="false">IF($B30="","",MAX(0,IF(OR(الموظفون!$X30="",الموظفون!$X30&gt;$G$3),$G$3,الموظفون!$X30)-الموظفون!$H30+1)/cfg_DAYS_Y)</f>
        <v/>
      </c>
      <c r="AD30" s="109" t="str">
        <f aca="false">IF($B30="","",MAX(0,IF(OR(الموظفون!$X30="",الموظفون!$X30&gt;($E$3-1)),($E$3-1),الموظفون!$X30)-الموظفون!$H30+1)/cfg_DAYS_Y)</f>
        <v/>
      </c>
      <c r="AE30" s="51" t="str">
        <f aca="false">IF($B30="","",MAX(0,IF(OR(الموظفون!$X30="",الموظفون!$X30&gt;$G$3),$G$3,الموظفون!$X30)-MAX($E$3,الموظفون!$H30)+1))</f>
        <v/>
      </c>
    </row>
    <row r="31" customFormat="false" ht="15" hidden="false" customHeight="false" outlineLevel="0" collapsed="false">
      <c r="A31" s="89" t="str">
        <f aca="false">IF($B31="","",الموظفون!$A31)</f>
        <v/>
      </c>
      <c r="B31" s="91" t="str">
        <f aca="false">IF(الموظفون!$B31="","",الموظفون!$B31)</f>
        <v/>
      </c>
      <c r="C31" s="91" t="str">
        <f aca="false">IF($B31="","",الموظفون!$C31)</f>
        <v/>
      </c>
      <c r="D31" s="91" t="str">
        <f aca="false">IF($B31="","",الموظفون!$F31)</f>
        <v/>
      </c>
      <c r="E31" s="91" t="str">
        <f aca="false">IF($B31="","",الموظفون!$E31)</f>
        <v/>
      </c>
      <c r="F31" s="110" t="str">
        <f aca="false">IF($B31="","",IF(AE31&gt;=DAY($G$3),cfg_DAYS_M,MIN(AE31,cfg_DAYS_M)))</f>
        <v/>
      </c>
      <c r="G31" s="110" t="str">
        <f aca="false">IF($B31="","",SUMIFS('الحركات الشهرية'!$D$6:$D$1005,'الحركات الشهرية'!$B$6:$B$1005,$B31,'الحركات الشهرية'!$A$6:$A$1005,$C$3))</f>
        <v/>
      </c>
      <c r="H31" s="110" t="str">
        <f aca="false">IF($B31="","",SUMIFS('الحركات الشهرية'!$E$6:$E$1005,'الحركات الشهرية'!$B$6:$B$1005,$B31,'الحركات الشهرية'!$A$6:$A$1005,$C$3))</f>
        <v/>
      </c>
      <c r="I31" s="110" t="str">
        <f aca="false">IF($B31="","",MAX(0,F31-G31-H31))</f>
        <v/>
      </c>
      <c r="J31" s="90" t="str">
        <f aca="false">IF($B31="","",الموظفون!$J31*$I31/cfg_DAYS_M)</f>
        <v/>
      </c>
      <c r="K31" s="90" t="str">
        <f aca="false">IF($B31="","",الموظفون!$K31*$I31/cfg_DAYS_M)</f>
        <v/>
      </c>
      <c r="L31" s="90" t="str">
        <f aca="false">IF($B31="","",الموظفون!$L31*$I31/cfg_DAYS_M)</f>
        <v/>
      </c>
      <c r="M31" s="90" t="str">
        <f aca="false">IF($B31="","",الموظفون!$M31*$I31/cfg_DAYS_M)</f>
        <v/>
      </c>
      <c r="N31" s="110" t="str">
        <f aca="false">IF($B31="","",SUMIFS('الحركات الشهرية'!$F$6:$F$1005,'الحركات الشهرية'!$B$6:$B$1005,$B31,'الحركات الشهرية'!$A$6:$A$1005,$C$3))</f>
        <v/>
      </c>
      <c r="O31" s="90" t="str">
        <f aca="false">IF($B31="","",N31*(الموظفون!$N31+الموظفون!$J31*cfg_OT_P)/cfg_DAYS_M/cfg_HRS)</f>
        <v/>
      </c>
      <c r="P31" s="90" t="str">
        <f aca="false">IF($B31="","",SUMIFS('الحركات الشهرية'!$G$6:$G$1005,'الحركات الشهرية'!$B$6:$B$1005,$B31,'الحركات الشهرية'!$A$6:$A$1005,$C$3))</f>
        <v/>
      </c>
      <c r="Q31" s="90" t="str">
        <f aca="false">IF($B31="","",SUMIFS('الحركات الشهرية'!$H$6:$H$1005,'الحركات الشهرية'!$B$6:$B$1005,$B31,'الحركات الشهرية'!$A$6:$A$1005,$C$3))</f>
        <v/>
      </c>
      <c r="R31" s="111" t="str">
        <f aca="false">IF($B31="","",SUM(J31:M31)+SUM(O31:Q31))</f>
        <v/>
      </c>
      <c r="S31" s="90" t="str">
        <f aca="false">IF($B31="","",الموظفون!$Q31*IF(E31="سعودي",cfg_G_SE,cfg_G_NE)*F31/cfg_DAYS_M)</f>
        <v/>
      </c>
      <c r="T31" s="90" t="str">
        <f aca="false">IF($B31="","",SUMIFS('الحركات الشهرية'!$I$6:$I$1005,'الحركات الشهرية'!$B$6:$B$1005,$B31,'الحركات الشهرية'!$A$6:$A$1005,$C$3))</f>
        <v/>
      </c>
      <c r="U31" s="90" t="str">
        <f aca="false">IF($B31="","",SUMIFS('الحركات الشهرية'!$J$6:$J$1005,'الحركات الشهرية'!$B$6:$B$1005,$B31,'الحركات الشهرية'!$A$6:$A$1005,$C$3))</f>
        <v/>
      </c>
      <c r="V31" s="90" t="str">
        <f aca="false">IF($B31="","",SUM(S31:U31))</f>
        <v/>
      </c>
      <c r="W31" s="112" t="str">
        <f aca="false">IF($B31="","",R31-V31)</f>
        <v/>
      </c>
      <c r="X31" s="90" t="str">
        <f aca="false">IF($B31="","",الموظفون!$Q31*IF(E31="سعودي",cfg_G_SR,cfg_G_NR)*F31/cfg_DAYS_M)</f>
        <v/>
      </c>
      <c r="Y31" s="90" t="str">
        <f aca="false">IF($B31="","",الموظفون!$O31*(cfg_EOS_R1*(MIN(AC31,cfg_EOS_TH)-MIN(AD31,cfg_EOS_TH))+cfg_EOS_R2*(MAX(AC31-cfg_EOS_TH,0)-MAX(AD31-cfg_EOS_TH,0))))</f>
        <v/>
      </c>
      <c r="Z31" s="90" t="str">
        <f aca="false">IF($B31="","",IF(الموظفون!$R31&lt;&gt;"",الموظفون!$R31,IF(AC31&gt;=cfg_LV_TH,cfg_LV_D2,cfg_LV_D1))/cfg_DAYS_Y*AE31*الموظفون!$P31/cfg_DAYS_M)</f>
        <v/>
      </c>
      <c r="AA31" s="90" t="str">
        <f aca="false">IF($B31="","",IF(AND(الموظفون!$S31="نعم",N(الموظفون!$U31)&gt;0),الموظفون!$T31/الموظفون!$U31*12/cfg_DAYS_Y*AE31,0))</f>
        <v/>
      </c>
      <c r="AB31" s="113" t="str">
        <f aca="false">IF($B31="","",R31+SUM(X31:AA31))</f>
        <v/>
      </c>
      <c r="AC31" s="114" t="str">
        <f aca="false">IF($B31="","",MAX(0,IF(OR(الموظفون!$X31="",الموظفون!$X31&gt;$G$3),$G$3,الموظفون!$X31)-الموظفون!$H31+1)/cfg_DAYS_Y)</f>
        <v/>
      </c>
      <c r="AD31" s="114" t="str">
        <f aca="false">IF($B31="","",MAX(0,IF(OR(الموظفون!$X31="",الموظفون!$X31&gt;($E$3-1)),($E$3-1),الموظفون!$X31)-الموظفون!$H31+1)/cfg_DAYS_Y)</f>
        <v/>
      </c>
      <c r="AE31" s="115" t="str">
        <f aca="false">IF($B31="","",MAX(0,IF(OR(الموظفون!$X31="",الموظفون!$X31&gt;$G$3),$G$3,الموظفون!$X31)-MAX($E$3,الموظفون!$H31)+1))</f>
        <v/>
      </c>
    </row>
    <row r="32" customFormat="false" ht="15" hidden="false" customHeight="false" outlineLevel="0" collapsed="false">
      <c r="A32" s="83" t="str">
        <f aca="false">IF($B32="","",الموظفون!$A32)</f>
        <v/>
      </c>
      <c r="B32" s="74" t="str">
        <f aca="false">IF(الموظفون!$B32="","",الموظفون!$B32)</f>
        <v/>
      </c>
      <c r="C32" s="74" t="str">
        <f aca="false">IF($B32="","",الموظفون!$C32)</f>
        <v/>
      </c>
      <c r="D32" s="74" t="str">
        <f aca="false">IF($B32="","",الموظفون!$F32)</f>
        <v/>
      </c>
      <c r="E32" s="74" t="str">
        <f aca="false">IF($B32="","",الموظفون!$E32)</f>
        <v/>
      </c>
      <c r="F32" s="105" t="str">
        <f aca="false">IF($B32="","",IF(AE32&gt;=DAY($G$3),cfg_DAYS_M,MIN(AE32,cfg_DAYS_M)))</f>
        <v/>
      </c>
      <c r="G32" s="105" t="str">
        <f aca="false">IF($B32="","",SUMIFS('الحركات الشهرية'!$D$6:$D$1005,'الحركات الشهرية'!$B$6:$B$1005,$B32,'الحركات الشهرية'!$A$6:$A$1005,$C$3))</f>
        <v/>
      </c>
      <c r="H32" s="105" t="str">
        <f aca="false">IF($B32="","",SUMIFS('الحركات الشهرية'!$E$6:$E$1005,'الحركات الشهرية'!$B$6:$B$1005,$B32,'الحركات الشهرية'!$A$6:$A$1005,$C$3))</f>
        <v/>
      </c>
      <c r="I32" s="105" t="str">
        <f aca="false">IF($B32="","",MAX(0,F32-G32-H32))</f>
        <v/>
      </c>
      <c r="J32" s="86" t="str">
        <f aca="false">IF($B32="","",الموظفون!$J32*$I32/cfg_DAYS_M)</f>
        <v/>
      </c>
      <c r="K32" s="86" t="str">
        <f aca="false">IF($B32="","",الموظفون!$K32*$I32/cfg_DAYS_M)</f>
        <v/>
      </c>
      <c r="L32" s="86" t="str">
        <f aca="false">IF($B32="","",الموظفون!$L32*$I32/cfg_DAYS_M)</f>
        <v/>
      </c>
      <c r="M32" s="86" t="str">
        <f aca="false">IF($B32="","",الموظفون!$M32*$I32/cfg_DAYS_M)</f>
        <v/>
      </c>
      <c r="N32" s="105" t="str">
        <f aca="false">IF($B32="","",SUMIFS('الحركات الشهرية'!$F$6:$F$1005,'الحركات الشهرية'!$B$6:$B$1005,$B32,'الحركات الشهرية'!$A$6:$A$1005,$C$3))</f>
        <v/>
      </c>
      <c r="O32" s="86" t="str">
        <f aca="false">IF($B32="","",N32*(الموظفون!$N32+الموظفون!$J32*cfg_OT_P)/cfg_DAYS_M/cfg_HRS)</f>
        <v/>
      </c>
      <c r="P32" s="86" t="str">
        <f aca="false">IF($B32="","",SUMIFS('الحركات الشهرية'!$G$6:$G$1005,'الحركات الشهرية'!$B$6:$B$1005,$B32,'الحركات الشهرية'!$A$6:$A$1005,$C$3))</f>
        <v/>
      </c>
      <c r="Q32" s="86" t="str">
        <f aca="false">IF($B32="","",SUMIFS('الحركات الشهرية'!$H$6:$H$1005,'الحركات الشهرية'!$B$6:$B$1005,$B32,'الحركات الشهرية'!$A$6:$A$1005,$C$3))</f>
        <v/>
      </c>
      <c r="R32" s="106" t="str">
        <f aca="false">IF($B32="","",SUM(J32:M32)+SUM(O32:Q32))</f>
        <v/>
      </c>
      <c r="S32" s="86" t="str">
        <f aca="false">IF($B32="","",الموظفون!$Q32*IF(E32="سعودي",cfg_G_SE,cfg_G_NE)*F32/cfg_DAYS_M)</f>
        <v/>
      </c>
      <c r="T32" s="86" t="str">
        <f aca="false">IF($B32="","",SUMIFS('الحركات الشهرية'!$I$6:$I$1005,'الحركات الشهرية'!$B$6:$B$1005,$B32,'الحركات الشهرية'!$A$6:$A$1005,$C$3))</f>
        <v/>
      </c>
      <c r="U32" s="86" t="str">
        <f aca="false">IF($B32="","",SUMIFS('الحركات الشهرية'!$J$6:$J$1005,'الحركات الشهرية'!$B$6:$B$1005,$B32,'الحركات الشهرية'!$A$6:$A$1005,$C$3))</f>
        <v/>
      </c>
      <c r="V32" s="86" t="str">
        <f aca="false">IF($B32="","",SUM(S32:U32))</f>
        <v/>
      </c>
      <c r="W32" s="107" t="str">
        <f aca="false">IF($B32="","",R32-V32)</f>
        <v/>
      </c>
      <c r="X32" s="86" t="str">
        <f aca="false">IF($B32="","",الموظفون!$Q32*IF(E32="سعودي",cfg_G_SR,cfg_G_NR)*F32/cfg_DAYS_M)</f>
        <v/>
      </c>
      <c r="Y32" s="86" t="str">
        <f aca="false">IF($B32="","",الموظفون!$O32*(cfg_EOS_R1*(MIN(AC32,cfg_EOS_TH)-MIN(AD32,cfg_EOS_TH))+cfg_EOS_R2*(MAX(AC32-cfg_EOS_TH,0)-MAX(AD32-cfg_EOS_TH,0))))</f>
        <v/>
      </c>
      <c r="Z32" s="86" t="str">
        <f aca="false">IF($B32="","",IF(الموظفون!$R32&lt;&gt;"",الموظفون!$R32,IF(AC32&gt;=cfg_LV_TH,cfg_LV_D2,cfg_LV_D1))/cfg_DAYS_Y*AE32*الموظفون!$P32/cfg_DAYS_M)</f>
        <v/>
      </c>
      <c r="AA32" s="86" t="str">
        <f aca="false">IF($B32="","",IF(AND(الموظفون!$S32="نعم",N(الموظفون!$U32)&gt;0),الموظفون!$T32/الموظفون!$U32*12/cfg_DAYS_Y*AE32,0))</f>
        <v/>
      </c>
      <c r="AB32" s="108" t="str">
        <f aca="false">IF($B32="","",R32+SUM(X32:AA32))</f>
        <v/>
      </c>
      <c r="AC32" s="109" t="str">
        <f aca="false">IF($B32="","",MAX(0,IF(OR(الموظفون!$X32="",الموظفون!$X32&gt;$G$3),$G$3,الموظفون!$X32)-الموظفون!$H32+1)/cfg_DAYS_Y)</f>
        <v/>
      </c>
      <c r="AD32" s="109" t="str">
        <f aca="false">IF($B32="","",MAX(0,IF(OR(الموظفون!$X32="",الموظفون!$X32&gt;($E$3-1)),($E$3-1),الموظفون!$X32)-الموظفون!$H32+1)/cfg_DAYS_Y)</f>
        <v/>
      </c>
      <c r="AE32" s="51" t="str">
        <f aca="false">IF($B32="","",MAX(0,IF(OR(الموظفون!$X32="",الموظفون!$X32&gt;$G$3),$G$3,الموظفون!$X32)-MAX($E$3,الموظفون!$H32)+1))</f>
        <v/>
      </c>
    </row>
    <row r="33" customFormat="false" ht="15" hidden="false" customHeight="false" outlineLevel="0" collapsed="false">
      <c r="A33" s="89" t="str">
        <f aca="false">IF($B33="","",الموظفون!$A33)</f>
        <v/>
      </c>
      <c r="B33" s="91" t="str">
        <f aca="false">IF(الموظفون!$B33="","",الموظفون!$B33)</f>
        <v/>
      </c>
      <c r="C33" s="91" t="str">
        <f aca="false">IF($B33="","",الموظفون!$C33)</f>
        <v/>
      </c>
      <c r="D33" s="91" t="str">
        <f aca="false">IF($B33="","",الموظفون!$F33)</f>
        <v/>
      </c>
      <c r="E33" s="91" t="str">
        <f aca="false">IF($B33="","",الموظفون!$E33)</f>
        <v/>
      </c>
      <c r="F33" s="110" t="str">
        <f aca="false">IF($B33="","",IF(AE33&gt;=DAY($G$3),cfg_DAYS_M,MIN(AE33,cfg_DAYS_M)))</f>
        <v/>
      </c>
      <c r="G33" s="110" t="str">
        <f aca="false">IF($B33="","",SUMIFS('الحركات الشهرية'!$D$6:$D$1005,'الحركات الشهرية'!$B$6:$B$1005,$B33,'الحركات الشهرية'!$A$6:$A$1005,$C$3))</f>
        <v/>
      </c>
      <c r="H33" s="110" t="str">
        <f aca="false">IF($B33="","",SUMIFS('الحركات الشهرية'!$E$6:$E$1005,'الحركات الشهرية'!$B$6:$B$1005,$B33,'الحركات الشهرية'!$A$6:$A$1005,$C$3))</f>
        <v/>
      </c>
      <c r="I33" s="110" t="str">
        <f aca="false">IF($B33="","",MAX(0,F33-G33-H33))</f>
        <v/>
      </c>
      <c r="J33" s="90" t="str">
        <f aca="false">IF($B33="","",الموظفون!$J33*$I33/cfg_DAYS_M)</f>
        <v/>
      </c>
      <c r="K33" s="90" t="str">
        <f aca="false">IF($B33="","",الموظفون!$K33*$I33/cfg_DAYS_M)</f>
        <v/>
      </c>
      <c r="L33" s="90" t="str">
        <f aca="false">IF($B33="","",الموظفون!$L33*$I33/cfg_DAYS_M)</f>
        <v/>
      </c>
      <c r="M33" s="90" t="str">
        <f aca="false">IF($B33="","",الموظفون!$M33*$I33/cfg_DAYS_M)</f>
        <v/>
      </c>
      <c r="N33" s="110" t="str">
        <f aca="false">IF($B33="","",SUMIFS('الحركات الشهرية'!$F$6:$F$1005,'الحركات الشهرية'!$B$6:$B$1005,$B33,'الحركات الشهرية'!$A$6:$A$1005,$C$3))</f>
        <v/>
      </c>
      <c r="O33" s="90" t="str">
        <f aca="false">IF($B33="","",N33*(الموظفون!$N33+الموظفون!$J33*cfg_OT_P)/cfg_DAYS_M/cfg_HRS)</f>
        <v/>
      </c>
      <c r="P33" s="90" t="str">
        <f aca="false">IF($B33="","",SUMIFS('الحركات الشهرية'!$G$6:$G$1005,'الحركات الشهرية'!$B$6:$B$1005,$B33,'الحركات الشهرية'!$A$6:$A$1005,$C$3))</f>
        <v/>
      </c>
      <c r="Q33" s="90" t="str">
        <f aca="false">IF($B33="","",SUMIFS('الحركات الشهرية'!$H$6:$H$1005,'الحركات الشهرية'!$B$6:$B$1005,$B33,'الحركات الشهرية'!$A$6:$A$1005,$C$3))</f>
        <v/>
      </c>
      <c r="R33" s="111" t="str">
        <f aca="false">IF($B33="","",SUM(J33:M33)+SUM(O33:Q33))</f>
        <v/>
      </c>
      <c r="S33" s="90" t="str">
        <f aca="false">IF($B33="","",الموظفون!$Q33*IF(E33="سعودي",cfg_G_SE,cfg_G_NE)*F33/cfg_DAYS_M)</f>
        <v/>
      </c>
      <c r="T33" s="90" t="str">
        <f aca="false">IF($B33="","",SUMIFS('الحركات الشهرية'!$I$6:$I$1005,'الحركات الشهرية'!$B$6:$B$1005,$B33,'الحركات الشهرية'!$A$6:$A$1005,$C$3))</f>
        <v/>
      </c>
      <c r="U33" s="90" t="str">
        <f aca="false">IF($B33="","",SUMIFS('الحركات الشهرية'!$J$6:$J$1005,'الحركات الشهرية'!$B$6:$B$1005,$B33,'الحركات الشهرية'!$A$6:$A$1005,$C$3))</f>
        <v/>
      </c>
      <c r="V33" s="90" t="str">
        <f aca="false">IF($B33="","",SUM(S33:U33))</f>
        <v/>
      </c>
      <c r="W33" s="112" t="str">
        <f aca="false">IF($B33="","",R33-V33)</f>
        <v/>
      </c>
      <c r="X33" s="90" t="str">
        <f aca="false">IF($B33="","",الموظفون!$Q33*IF(E33="سعودي",cfg_G_SR,cfg_G_NR)*F33/cfg_DAYS_M)</f>
        <v/>
      </c>
      <c r="Y33" s="90" t="str">
        <f aca="false">IF($B33="","",الموظفون!$O33*(cfg_EOS_R1*(MIN(AC33,cfg_EOS_TH)-MIN(AD33,cfg_EOS_TH))+cfg_EOS_R2*(MAX(AC33-cfg_EOS_TH,0)-MAX(AD33-cfg_EOS_TH,0))))</f>
        <v/>
      </c>
      <c r="Z33" s="90" t="str">
        <f aca="false">IF($B33="","",IF(الموظفون!$R33&lt;&gt;"",الموظفون!$R33,IF(AC33&gt;=cfg_LV_TH,cfg_LV_D2,cfg_LV_D1))/cfg_DAYS_Y*AE33*الموظفون!$P33/cfg_DAYS_M)</f>
        <v/>
      </c>
      <c r="AA33" s="90" t="str">
        <f aca="false">IF($B33="","",IF(AND(الموظفون!$S33="نعم",N(الموظفون!$U33)&gt;0),الموظفون!$T33/الموظفون!$U33*12/cfg_DAYS_Y*AE33,0))</f>
        <v/>
      </c>
      <c r="AB33" s="113" t="str">
        <f aca="false">IF($B33="","",R33+SUM(X33:AA33))</f>
        <v/>
      </c>
      <c r="AC33" s="114" t="str">
        <f aca="false">IF($B33="","",MAX(0,IF(OR(الموظفون!$X33="",الموظفون!$X33&gt;$G$3),$G$3,الموظفون!$X33)-الموظفون!$H33+1)/cfg_DAYS_Y)</f>
        <v/>
      </c>
      <c r="AD33" s="114" t="str">
        <f aca="false">IF($B33="","",MAX(0,IF(OR(الموظفون!$X33="",الموظفون!$X33&gt;($E$3-1)),($E$3-1),الموظفون!$X33)-الموظفون!$H33+1)/cfg_DAYS_Y)</f>
        <v/>
      </c>
      <c r="AE33" s="115" t="str">
        <f aca="false">IF($B33="","",MAX(0,IF(OR(الموظفون!$X33="",الموظفون!$X33&gt;$G$3),$G$3,الموظفون!$X33)-MAX($E$3,الموظفون!$H33)+1))</f>
        <v/>
      </c>
    </row>
    <row r="34" customFormat="false" ht="15" hidden="false" customHeight="false" outlineLevel="0" collapsed="false">
      <c r="A34" s="83" t="str">
        <f aca="false">IF($B34="","",الموظفون!$A34)</f>
        <v/>
      </c>
      <c r="B34" s="74" t="str">
        <f aca="false">IF(الموظفون!$B34="","",الموظفون!$B34)</f>
        <v/>
      </c>
      <c r="C34" s="74" t="str">
        <f aca="false">IF($B34="","",الموظفون!$C34)</f>
        <v/>
      </c>
      <c r="D34" s="74" t="str">
        <f aca="false">IF($B34="","",الموظفون!$F34)</f>
        <v/>
      </c>
      <c r="E34" s="74" t="str">
        <f aca="false">IF($B34="","",الموظفون!$E34)</f>
        <v/>
      </c>
      <c r="F34" s="105" t="str">
        <f aca="false">IF($B34="","",IF(AE34&gt;=DAY($G$3),cfg_DAYS_M,MIN(AE34,cfg_DAYS_M)))</f>
        <v/>
      </c>
      <c r="G34" s="105" t="str">
        <f aca="false">IF($B34="","",SUMIFS('الحركات الشهرية'!$D$6:$D$1005,'الحركات الشهرية'!$B$6:$B$1005,$B34,'الحركات الشهرية'!$A$6:$A$1005,$C$3))</f>
        <v/>
      </c>
      <c r="H34" s="105" t="str">
        <f aca="false">IF($B34="","",SUMIFS('الحركات الشهرية'!$E$6:$E$1005,'الحركات الشهرية'!$B$6:$B$1005,$B34,'الحركات الشهرية'!$A$6:$A$1005,$C$3))</f>
        <v/>
      </c>
      <c r="I34" s="105" t="str">
        <f aca="false">IF($B34="","",MAX(0,F34-G34-H34))</f>
        <v/>
      </c>
      <c r="J34" s="86" t="str">
        <f aca="false">IF($B34="","",الموظفون!$J34*$I34/cfg_DAYS_M)</f>
        <v/>
      </c>
      <c r="K34" s="86" t="str">
        <f aca="false">IF($B34="","",الموظفون!$K34*$I34/cfg_DAYS_M)</f>
        <v/>
      </c>
      <c r="L34" s="86" t="str">
        <f aca="false">IF($B34="","",الموظفون!$L34*$I34/cfg_DAYS_M)</f>
        <v/>
      </c>
      <c r="M34" s="86" t="str">
        <f aca="false">IF($B34="","",الموظفون!$M34*$I34/cfg_DAYS_M)</f>
        <v/>
      </c>
      <c r="N34" s="105" t="str">
        <f aca="false">IF($B34="","",SUMIFS('الحركات الشهرية'!$F$6:$F$1005,'الحركات الشهرية'!$B$6:$B$1005,$B34,'الحركات الشهرية'!$A$6:$A$1005,$C$3))</f>
        <v/>
      </c>
      <c r="O34" s="86" t="str">
        <f aca="false">IF($B34="","",N34*(الموظفون!$N34+الموظفون!$J34*cfg_OT_P)/cfg_DAYS_M/cfg_HRS)</f>
        <v/>
      </c>
      <c r="P34" s="86" t="str">
        <f aca="false">IF($B34="","",SUMIFS('الحركات الشهرية'!$G$6:$G$1005,'الحركات الشهرية'!$B$6:$B$1005,$B34,'الحركات الشهرية'!$A$6:$A$1005,$C$3))</f>
        <v/>
      </c>
      <c r="Q34" s="86" t="str">
        <f aca="false">IF($B34="","",SUMIFS('الحركات الشهرية'!$H$6:$H$1005,'الحركات الشهرية'!$B$6:$B$1005,$B34,'الحركات الشهرية'!$A$6:$A$1005,$C$3))</f>
        <v/>
      </c>
      <c r="R34" s="106" t="str">
        <f aca="false">IF($B34="","",SUM(J34:M34)+SUM(O34:Q34))</f>
        <v/>
      </c>
      <c r="S34" s="86" t="str">
        <f aca="false">IF($B34="","",الموظفون!$Q34*IF(E34="سعودي",cfg_G_SE,cfg_G_NE)*F34/cfg_DAYS_M)</f>
        <v/>
      </c>
      <c r="T34" s="86" t="str">
        <f aca="false">IF($B34="","",SUMIFS('الحركات الشهرية'!$I$6:$I$1005,'الحركات الشهرية'!$B$6:$B$1005,$B34,'الحركات الشهرية'!$A$6:$A$1005,$C$3))</f>
        <v/>
      </c>
      <c r="U34" s="86" t="str">
        <f aca="false">IF($B34="","",SUMIFS('الحركات الشهرية'!$J$6:$J$1005,'الحركات الشهرية'!$B$6:$B$1005,$B34,'الحركات الشهرية'!$A$6:$A$1005,$C$3))</f>
        <v/>
      </c>
      <c r="V34" s="86" t="str">
        <f aca="false">IF($B34="","",SUM(S34:U34))</f>
        <v/>
      </c>
      <c r="W34" s="107" t="str">
        <f aca="false">IF($B34="","",R34-V34)</f>
        <v/>
      </c>
      <c r="X34" s="86" t="str">
        <f aca="false">IF($B34="","",الموظفون!$Q34*IF(E34="سعودي",cfg_G_SR,cfg_G_NR)*F34/cfg_DAYS_M)</f>
        <v/>
      </c>
      <c r="Y34" s="86" t="str">
        <f aca="false">IF($B34="","",الموظفون!$O34*(cfg_EOS_R1*(MIN(AC34,cfg_EOS_TH)-MIN(AD34,cfg_EOS_TH))+cfg_EOS_R2*(MAX(AC34-cfg_EOS_TH,0)-MAX(AD34-cfg_EOS_TH,0))))</f>
        <v/>
      </c>
      <c r="Z34" s="86" t="str">
        <f aca="false">IF($B34="","",IF(الموظفون!$R34&lt;&gt;"",الموظفون!$R34,IF(AC34&gt;=cfg_LV_TH,cfg_LV_D2,cfg_LV_D1))/cfg_DAYS_Y*AE34*الموظفون!$P34/cfg_DAYS_M)</f>
        <v/>
      </c>
      <c r="AA34" s="86" t="str">
        <f aca="false">IF($B34="","",IF(AND(الموظفون!$S34="نعم",N(الموظفون!$U34)&gt;0),الموظفون!$T34/الموظفون!$U34*12/cfg_DAYS_Y*AE34,0))</f>
        <v/>
      </c>
      <c r="AB34" s="108" t="str">
        <f aca="false">IF($B34="","",R34+SUM(X34:AA34))</f>
        <v/>
      </c>
      <c r="AC34" s="109" t="str">
        <f aca="false">IF($B34="","",MAX(0,IF(OR(الموظفون!$X34="",الموظفون!$X34&gt;$G$3),$G$3,الموظفون!$X34)-الموظفون!$H34+1)/cfg_DAYS_Y)</f>
        <v/>
      </c>
      <c r="AD34" s="109" t="str">
        <f aca="false">IF($B34="","",MAX(0,IF(OR(الموظفون!$X34="",الموظفون!$X34&gt;($E$3-1)),($E$3-1),الموظفون!$X34)-الموظفون!$H34+1)/cfg_DAYS_Y)</f>
        <v/>
      </c>
      <c r="AE34" s="51" t="str">
        <f aca="false">IF($B34="","",MAX(0,IF(OR(الموظفون!$X34="",الموظفون!$X34&gt;$G$3),$G$3,الموظفون!$X34)-MAX($E$3,الموظفون!$H34)+1))</f>
        <v/>
      </c>
    </row>
    <row r="35" customFormat="false" ht="15" hidden="false" customHeight="false" outlineLevel="0" collapsed="false">
      <c r="A35" s="89" t="str">
        <f aca="false">IF($B35="","",الموظفون!$A35)</f>
        <v/>
      </c>
      <c r="B35" s="91" t="str">
        <f aca="false">IF(الموظفون!$B35="","",الموظفون!$B35)</f>
        <v/>
      </c>
      <c r="C35" s="91" t="str">
        <f aca="false">IF($B35="","",الموظفون!$C35)</f>
        <v/>
      </c>
      <c r="D35" s="91" t="str">
        <f aca="false">IF($B35="","",الموظفون!$F35)</f>
        <v/>
      </c>
      <c r="E35" s="91" t="str">
        <f aca="false">IF($B35="","",الموظفون!$E35)</f>
        <v/>
      </c>
      <c r="F35" s="110" t="str">
        <f aca="false">IF($B35="","",IF(AE35&gt;=DAY($G$3),cfg_DAYS_M,MIN(AE35,cfg_DAYS_M)))</f>
        <v/>
      </c>
      <c r="G35" s="110" t="str">
        <f aca="false">IF($B35="","",SUMIFS('الحركات الشهرية'!$D$6:$D$1005,'الحركات الشهرية'!$B$6:$B$1005,$B35,'الحركات الشهرية'!$A$6:$A$1005,$C$3))</f>
        <v/>
      </c>
      <c r="H35" s="110" t="str">
        <f aca="false">IF($B35="","",SUMIFS('الحركات الشهرية'!$E$6:$E$1005,'الحركات الشهرية'!$B$6:$B$1005,$B35,'الحركات الشهرية'!$A$6:$A$1005,$C$3))</f>
        <v/>
      </c>
      <c r="I35" s="110" t="str">
        <f aca="false">IF($B35="","",MAX(0,F35-G35-H35))</f>
        <v/>
      </c>
      <c r="J35" s="90" t="str">
        <f aca="false">IF($B35="","",الموظفون!$J35*$I35/cfg_DAYS_M)</f>
        <v/>
      </c>
      <c r="K35" s="90" t="str">
        <f aca="false">IF($B35="","",الموظفون!$K35*$I35/cfg_DAYS_M)</f>
        <v/>
      </c>
      <c r="L35" s="90" t="str">
        <f aca="false">IF($B35="","",الموظفون!$L35*$I35/cfg_DAYS_M)</f>
        <v/>
      </c>
      <c r="M35" s="90" t="str">
        <f aca="false">IF($B35="","",الموظفون!$M35*$I35/cfg_DAYS_M)</f>
        <v/>
      </c>
      <c r="N35" s="110" t="str">
        <f aca="false">IF($B35="","",SUMIFS('الحركات الشهرية'!$F$6:$F$1005,'الحركات الشهرية'!$B$6:$B$1005,$B35,'الحركات الشهرية'!$A$6:$A$1005,$C$3))</f>
        <v/>
      </c>
      <c r="O35" s="90" t="str">
        <f aca="false">IF($B35="","",N35*(الموظفون!$N35+الموظفون!$J35*cfg_OT_P)/cfg_DAYS_M/cfg_HRS)</f>
        <v/>
      </c>
      <c r="P35" s="90" t="str">
        <f aca="false">IF($B35="","",SUMIFS('الحركات الشهرية'!$G$6:$G$1005,'الحركات الشهرية'!$B$6:$B$1005,$B35,'الحركات الشهرية'!$A$6:$A$1005,$C$3))</f>
        <v/>
      </c>
      <c r="Q35" s="90" t="str">
        <f aca="false">IF($B35="","",SUMIFS('الحركات الشهرية'!$H$6:$H$1005,'الحركات الشهرية'!$B$6:$B$1005,$B35,'الحركات الشهرية'!$A$6:$A$1005,$C$3))</f>
        <v/>
      </c>
      <c r="R35" s="111" t="str">
        <f aca="false">IF($B35="","",SUM(J35:M35)+SUM(O35:Q35))</f>
        <v/>
      </c>
      <c r="S35" s="90" t="str">
        <f aca="false">IF($B35="","",الموظفون!$Q35*IF(E35="سعودي",cfg_G_SE,cfg_G_NE)*F35/cfg_DAYS_M)</f>
        <v/>
      </c>
      <c r="T35" s="90" t="str">
        <f aca="false">IF($B35="","",SUMIFS('الحركات الشهرية'!$I$6:$I$1005,'الحركات الشهرية'!$B$6:$B$1005,$B35,'الحركات الشهرية'!$A$6:$A$1005,$C$3))</f>
        <v/>
      </c>
      <c r="U35" s="90" t="str">
        <f aca="false">IF($B35="","",SUMIFS('الحركات الشهرية'!$J$6:$J$1005,'الحركات الشهرية'!$B$6:$B$1005,$B35,'الحركات الشهرية'!$A$6:$A$1005,$C$3))</f>
        <v/>
      </c>
      <c r="V35" s="90" t="str">
        <f aca="false">IF($B35="","",SUM(S35:U35))</f>
        <v/>
      </c>
      <c r="W35" s="112" t="str">
        <f aca="false">IF($B35="","",R35-V35)</f>
        <v/>
      </c>
      <c r="X35" s="90" t="str">
        <f aca="false">IF($B35="","",الموظفون!$Q35*IF(E35="سعودي",cfg_G_SR,cfg_G_NR)*F35/cfg_DAYS_M)</f>
        <v/>
      </c>
      <c r="Y35" s="90" t="str">
        <f aca="false">IF($B35="","",الموظفون!$O35*(cfg_EOS_R1*(MIN(AC35,cfg_EOS_TH)-MIN(AD35,cfg_EOS_TH))+cfg_EOS_R2*(MAX(AC35-cfg_EOS_TH,0)-MAX(AD35-cfg_EOS_TH,0))))</f>
        <v/>
      </c>
      <c r="Z35" s="90" t="str">
        <f aca="false">IF($B35="","",IF(الموظفون!$R35&lt;&gt;"",الموظفون!$R35,IF(AC35&gt;=cfg_LV_TH,cfg_LV_D2,cfg_LV_D1))/cfg_DAYS_Y*AE35*الموظفون!$P35/cfg_DAYS_M)</f>
        <v/>
      </c>
      <c r="AA35" s="90" t="str">
        <f aca="false">IF($B35="","",IF(AND(الموظفون!$S35="نعم",N(الموظفون!$U35)&gt;0),الموظفون!$T35/الموظفون!$U35*12/cfg_DAYS_Y*AE35,0))</f>
        <v/>
      </c>
      <c r="AB35" s="113" t="str">
        <f aca="false">IF($B35="","",R35+SUM(X35:AA35))</f>
        <v/>
      </c>
      <c r="AC35" s="114" t="str">
        <f aca="false">IF($B35="","",MAX(0,IF(OR(الموظفون!$X35="",الموظفون!$X35&gt;$G$3),$G$3,الموظفون!$X35)-الموظفون!$H35+1)/cfg_DAYS_Y)</f>
        <v/>
      </c>
      <c r="AD35" s="114" t="str">
        <f aca="false">IF($B35="","",MAX(0,IF(OR(الموظفون!$X35="",الموظفون!$X35&gt;($E$3-1)),($E$3-1),الموظفون!$X35)-الموظفون!$H35+1)/cfg_DAYS_Y)</f>
        <v/>
      </c>
      <c r="AE35" s="115" t="str">
        <f aca="false">IF($B35="","",MAX(0,IF(OR(الموظفون!$X35="",الموظفون!$X35&gt;$G$3),$G$3,الموظفون!$X35)-MAX($E$3,الموظفون!$H35)+1))</f>
        <v/>
      </c>
    </row>
    <row r="36" customFormat="false" ht="15" hidden="false" customHeight="false" outlineLevel="0" collapsed="false">
      <c r="A36" s="83" t="str">
        <f aca="false">IF($B36="","",الموظفون!$A36)</f>
        <v/>
      </c>
      <c r="B36" s="74" t="str">
        <f aca="false">IF(الموظفون!$B36="","",الموظفون!$B36)</f>
        <v/>
      </c>
      <c r="C36" s="74" t="str">
        <f aca="false">IF($B36="","",الموظفون!$C36)</f>
        <v/>
      </c>
      <c r="D36" s="74" t="str">
        <f aca="false">IF($B36="","",الموظفون!$F36)</f>
        <v/>
      </c>
      <c r="E36" s="74" t="str">
        <f aca="false">IF($B36="","",الموظفون!$E36)</f>
        <v/>
      </c>
      <c r="F36" s="105" t="str">
        <f aca="false">IF($B36="","",IF(AE36&gt;=DAY($G$3),cfg_DAYS_M,MIN(AE36,cfg_DAYS_M)))</f>
        <v/>
      </c>
      <c r="G36" s="105" t="str">
        <f aca="false">IF($B36="","",SUMIFS('الحركات الشهرية'!$D$6:$D$1005,'الحركات الشهرية'!$B$6:$B$1005,$B36,'الحركات الشهرية'!$A$6:$A$1005,$C$3))</f>
        <v/>
      </c>
      <c r="H36" s="105" t="str">
        <f aca="false">IF($B36="","",SUMIFS('الحركات الشهرية'!$E$6:$E$1005,'الحركات الشهرية'!$B$6:$B$1005,$B36,'الحركات الشهرية'!$A$6:$A$1005,$C$3))</f>
        <v/>
      </c>
      <c r="I36" s="105" t="str">
        <f aca="false">IF($B36="","",MAX(0,F36-G36-H36))</f>
        <v/>
      </c>
      <c r="J36" s="86" t="str">
        <f aca="false">IF($B36="","",الموظفون!$J36*$I36/cfg_DAYS_M)</f>
        <v/>
      </c>
      <c r="K36" s="86" t="str">
        <f aca="false">IF($B36="","",الموظفون!$K36*$I36/cfg_DAYS_M)</f>
        <v/>
      </c>
      <c r="L36" s="86" t="str">
        <f aca="false">IF($B36="","",الموظفون!$L36*$I36/cfg_DAYS_M)</f>
        <v/>
      </c>
      <c r="M36" s="86" t="str">
        <f aca="false">IF($B36="","",الموظفون!$M36*$I36/cfg_DAYS_M)</f>
        <v/>
      </c>
      <c r="N36" s="105" t="str">
        <f aca="false">IF($B36="","",SUMIFS('الحركات الشهرية'!$F$6:$F$1005,'الحركات الشهرية'!$B$6:$B$1005,$B36,'الحركات الشهرية'!$A$6:$A$1005,$C$3))</f>
        <v/>
      </c>
      <c r="O36" s="86" t="str">
        <f aca="false">IF($B36="","",N36*(الموظفون!$N36+الموظفون!$J36*cfg_OT_P)/cfg_DAYS_M/cfg_HRS)</f>
        <v/>
      </c>
      <c r="P36" s="86" t="str">
        <f aca="false">IF($B36="","",SUMIFS('الحركات الشهرية'!$G$6:$G$1005,'الحركات الشهرية'!$B$6:$B$1005,$B36,'الحركات الشهرية'!$A$6:$A$1005,$C$3))</f>
        <v/>
      </c>
      <c r="Q36" s="86" t="str">
        <f aca="false">IF($B36="","",SUMIFS('الحركات الشهرية'!$H$6:$H$1005,'الحركات الشهرية'!$B$6:$B$1005,$B36,'الحركات الشهرية'!$A$6:$A$1005,$C$3))</f>
        <v/>
      </c>
      <c r="R36" s="106" t="str">
        <f aca="false">IF($B36="","",SUM(J36:M36)+SUM(O36:Q36))</f>
        <v/>
      </c>
      <c r="S36" s="86" t="str">
        <f aca="false">IF($B36="","",الموظفون!$Q36*IF(E36="سعودي",cfg_G_SE,cfg_G_NE)*F36/cfg_DAYS_M)</f>
        <v/>
      </c>
      <c r="T36" s="86" t="str">
        <f aca="false">IF($B36="","",SUMIFS('الحركات الشهرية'!$I$6:$I$1005,'الحركات الشهرية'!$B$6:$B$1005,$B36,'الحركات الشهرية'!$A$6:$A$1005,$C$3))</f>
        <v/>
      </c>
      <c r="U36" s="86" t="str">
        <f aca="false">IF($B36="","",SUMIFS('الحركات الشهرية'!$J$6:$J$1005,'الحركات الشهرية'!$B$6:$B$1005,$B36,'الحركات الشهرية'!$A$6:$A$1005,$C$3))</f>
        <v/>
      </c>
      <c r="V36" s="86" t="str">
        <f aca="false">IF($B36="","",SUM(S36:U36))</f>
        <v/>
      </c>
      <c r="W36" s="107" t="str">
        <f aca="false">IF($B36="","",R36-V36)</f>
        <v/>
      </c>
      <c r="X36" s="86" t="str">
        <f aca="false">IF($B36="","",الموظفون!$Q36*IF(E36="سعودي",cfg_G_SR,cfg_G_NR)*F36/cfg_DAYS_M)</f>
        <v/>
      </c>
      <c r="Y36" s="86" t="str">
        <f aca="false">IF($B36="","",الموظفون!$O36*(cfg_EOS_R1*(MIN(AC36,cfg_EOS_TH)-MIN(AD36,cfg_EOS_TH))+cfg_EOS_R2*(MAX(AC36-cfg_EOS_TH,0)-MAX(AD36-cfg_EOS_TH,0))))</f>
        <v/>
      </c>
      <c r="Z36" s="86" t="str">
        <f aca="false">IF($B36="","",IF(الموظفون!$R36&lt;&gt;"",الموظفون!$R36,IF(AC36&gt;=cfg_LV_TH,cfg_LV_D2,cfg_LV_D1))/cfg_DAYS_Y*AE36*الموظفون!$P36/cfg_DAYS_M)</f>
        <v/>
      </c>
      <c r="AA36" s="86" t="str">
        <f aca="false">IF($B36="","",IF(AND(الموظفون!$S36="نعم",N(الموظفون!$U36)&gt;0),الموظفون!$T36/الموظفون!$U36*12/cfg_DAYS_Y*AE36,0))</f>
        <v/>
      </c>
      <c r="AB36" s="108" t="str">
        <f aca="false">IF($B36="","",R36+SUM(X36:AA36))</f>
        <v/>
      </c>
      <c r="AC36" s="109" t="str">
        <f aca="false">IF($B36="","",MAX(0,IF(OR(الموظفون!$X36="",الموظفون!$X36&gt;$G$3),$G$3,الموظفون!$X36)-الموظفون!$H36+1)/cfg_DAYS_Y)</f>
        <v/>
      </c>
      <c r="AD36" s="109" t="str">
        <f aca="false">IF($B36="","",MAX(0,IF(OR(الموظفون!$X36="",الموظفون!$X36&gt;($E$3-1)),($E$3-1),الموظفون!$X36)-الموظفون!$H36+1)/cfg_DAYS_Y)</f>
        <v/>
      </c>
      <c r="AE36" s="51" t="str">
        <f aca="false">IF($B36="","",MAX(0,IF(OR(الموظفون!$X36="",الموظفون!$X36&gt;$G$3),$G$3,الموظفون!$X36)-MAX($E$3,الموظفون!$H36)+1))</f>
        <v/>
      </c>
    </row>
    <row r="37" customFormat="false" ht="15" hidden="false" customHeight="false" outlineLevel="0" collapsed="false">
      <c r="A37" s="89" t="str">
        <f aca="false">IF($B37="","",الموظفون!$A37)</f>
        <v/>
      </c>
      <c r="B37" s="91" t="str">
        <f aca="false">IF(الموظفون!$B37="","",الموظفون!$B37)</f>
        <v/>
      </c>
      <c r="C37" s="91" t="str">
        <f aca="false">IF($B37="","",الموظفون!$C37)</f>
        <v/>
      </c>
      <c r="D37" s="91" t="str">
        <f aca="false">IF($B37="","",الموظفون!$F37)</f>
        <v/>
      </c>
      <c r="E37" s="91" t="str">
        <f aca="false">IF($B37="","",الموظفون!$E37)</f>
        <v/>
      </c>
      <c r="F37" s="110" t="str">
        <f aca="false">IF($B37="","",IF(AE37&gt;=DAY($G$3),cfg_DAYS_M,MIN(AE37,cfg_DAYS_M)))</f>
        <v/>
      </c>
      <c r="G37" s="110" t="str">
        <f aca="false">IF($B37="","",SUMIFS('الحركات الشهرية'!$D$6:$D$1005,'الحركات الشهرية'!$B$6:$B$1005,$B37,'الحركات الشهرية'!$A$6:$A$1005,$C$3))</f>
        <v/>
      </c>
      <c r="H37" s="110" t="str">
        <f aca="false">IF($B37="","",SUMIFS('الحركات الشهرية'!$E$6:$E$1005,'الحركات الشهرية'!$B$6:$B$1005,$B37,'الحركات الشهرية'!$A$6:$A$1005,$C$3))</f>
        <v/>
      </c>
      <c r="I37" s="110" t="str">
        <f aca="false">IF($B37="","",MAX(0,F37-G37-H37))</f>
        <v/>
      </c>
      <c r="J37" s="90" t="str">
        <f aca="false">IF($B37="","",الموظفون!$J37*$I37/cfg_DAYS_M)</f>
        <v/>
      </c>
      <c r="K37" s="90" t="str">
        <f aca="false">IF($B37="","",الموظفون!$K37*$I37/cfg_DAYS_M)</f>
        <v/>
      </c>
      <c r="L37" s="90" t="str">
        <f aca="false">IF($B37="","",الموظفون!$L37*$I37/cfg_DAYS_M)</f>
        <v/>
      </c>
      <c r="M37" s="90" t="str">
        <f aca="false">IF($B37="","",الموظفون!$M37*$I37/cfg_DAYS_M)</f>
        <v/>
      </c>
      <c r="N37" s="110" t="str">
        <f aca="false">IF($B37="","",SUMIFS('الحركات الشهرية'!$F$6:$F$1005,'الحركات الشهرية'!$B$6:$B$1005,$B37,'الحركات الشهرية'!$A$6:$A$1005,$C$3))</f>
        <v/>
      </c>
      <c r="O37" s="90" t="str">
        <f aca="false">IF($B37="","",N37*(الموظفون!$N37+الموظفون!$J37*cfg_OT_P)/cfg_DAYS_M/cfg_HRS)</f>
        <v/>
      </c>
      <c r="P37" s="90" t="str">
        <f aca="false">IF($B37="","",SUMIFS('الحركات الشهرية'!$G$6:$G$1005,'الحركات الشهرية'!$B$6:$B$1005,$B37,'الحركات الشهرية'!$A$6:$A$1005,$C$3))</f>
        <v/>
      </c>
      <c r="Q37" s="90" t="str">
        <f aca="false">IF($B37="","",SUMIFS('الحركات الشهرية'!$H$6:$H$1005,'الحركات الشهرية'!$B$6:$B$1005,$B37,'الحركات الشهرية'!$A$6:$A$1005,$C$3))</f>
        <v/>
      </c>
      <c r="R37" s="111" t="str">
        <f aca="false">IF($B37="","",SUM(J37:M37)+SUM(O37:Q37))</f>
        <v/>
      </c>
      <c r="S37" s="90" t="str">
        <f aca="false">IF($B37="","",الموظفون!$Q37*IF(E37="سعودي",cfg_G_SE,cfg_G_NE)*F37/cfg_DAYS_M)</f>
        <v/>
      </c>
      <c r="T37" s="90" t="str">
        <f aca="false">IF($B37="","",SUMIFS('الحركات الشهرية'!$I$6:$I$1005,'الحركات الشهرية'!$B$6:$B$1005,$B37,'الحركات الشهرية'!$A$6:$A$1005,$C$3))</f>
        <v/>
      </c>
      <c r="U37" s="90" t="str">
        <f aca="false">IF($B37="","",SUMIFS('الحركات الشهرية'!$J$6:$J$1005,'الحركات الشهرية'!$B$6:$B$1005,$B37,'الحركات الشهرية'!$A$6:$A$1005,$C$3))</f>
        <v/>
      </c>
      <c r="V37" s="90" t="str">
        <f aca="false">IF($B37="","",SUM(S37:U37))</f>
        <v/>
      </c>
      <c r="W37" s="112" t="str">
        <f aca="false">IF($B37="","",R37-V37)</f>
        <v/>
      </c>
      <c r="X37" s="90" t="str">
        <f aca="false">IF($B37="","",الموظفون!$Q37*IF(E37="سعودي",cfg_G_SR,cfg_G_NR)*F37/cfg_DAYS_M)</f>
        <v/>
      </c>
      <c r="Y37" s="90" t="str">
        <f aca="false">IF($B37="","",الموظفون!$O37*(cfg_EOS_R1*(MIN(AC37,cfg_EOS_TH)-MIN(AD37,cfg_EOS_TH))+cfg_EOS_R2*(MAX(AC37-cfg_EOS_TH,0)-MAX(AD37-cfg_EOS_TH,0))))</f>
        <v/>
      </c>
      <c r="Z37" s="90" t="str">
        <f aca="false">IF($B37="","",IF(الموظفون!$R37&lt;&gt;"",الموظفون!$R37,IF(AC37&gt;=cfg_LV_TH,cfg_LV_D2,cfg_LV_D1))/cfg_DAYS_Y*AE37*الموظفون!$P37/cfg_DAYS_M)</f>
        <v/>
      </c>
      <c r="AA37" s="90" t="str">
        <f aca="false">IF($B37="","",IF(AND(الموظفون!$S37="نعم",N(الموظفون!$U37)&gt;0),الموظفون!$T37/الموظفون!$U37*12/cfg_DAYS_Y*AE37,0))</f>
        <v/>
      </c>
      <c r="AB37" s="113" t="str">
        <f aca="false">IF($B37="","",R37+SUM(X37:AA37))</f>
        <v/>
      </c>
      <c r="AC37" s="114" t="str">
        <f aca="false">IF($B37="","",MAX(0,IF(OR(الموظفون!$X37="",الموظفون!$X37&gt;$G$3),$G$3,الموظفون!$X37)-الموظفون!$H37+1)/cfg_DAYS_Y)</f>
        <v/>
      </c>
      <c r="AD37" s="114" t="str">
        <f aca="false">IF($B37="","",MAX(0,IF(OR(الموظفون!$X37="",الموظفون!$X37&gt;($E$3-1)),($E$3-1),الموظفون!$X37)-الموظفون!$H37+1)/cfg_DAYS_Y)</f>
        <v/>
      </c>
      <c r="AE37" s="115" t="str">
        <f aca="false">IF($B37="","",MAX(0,IF(OR(الموظفون!$X37="",الموظفون!$X37&gt;$G$3),$G$3,الموظفون!$X37)-MAX($E$3,الموظفون!$H37)+1))</f>
        <v/>
      </c>
    </row>
    <row r="38" customFormat="false" ht="15" hidden="false" customHeight="false" outlineLevel="0" collapsed="false">
      <c r="A38" s="83" t="str">
        <f aca="false">IF($B38="","",الموظفون!$A38)</f>
        <v/>
      </c>
      <c r="B38" s="74" t="str">
        <f aca="false">IF(الموظفون!$B38="","",الموظفون!$B38)</f>
        <v/>
      </c>
      <c r="C38" s="74" t="str">
        <f aca="false">IF($B38="","",الموظفون!$C38)</f>
        <v/>
      </c>
      <c r="D38" s="74" t="str">
        <f aca="false">IF($B38="","",الموظفون!$F38)</f>
        <v/>
      </c>
      <c r="E38" s="74" t="str">
        <f aca="false">IF($B38="","",الموظفون!$E38)</f>
        <v/>
      </c>
      <c r="F38" s="105" t="str">
        <f aca="false">IF($B38="","",IF(AE38&gt;=DAY($G$3),cfg_DAYS_M,MIN(AE38,cfg_DAYS_M)))</f>
        <v/>
      </c>
      <c r="G38" s="105" t="str">
        <f aca="false">IF($B38="","",SUMIFS('الحركات الشهرية'!$D$6:$D$1005,'الحركات الشهرية'!$B$6:$B$1005,$B38,'الحركات الشهرية'!$A$6:$A$1005,$C$3))</f>
        <v/>
      </c>
      <c r="H38" s="105" t="str">
        <f aca="false">IF($B38="","",SUMIFS('الحركات الشهرية'!$E$6:$E$1005,'الحركات الشهرية'!$B$6:$B$1005,$B38,'الحركات الشهرية'!$A$6:$A$1005,$C$3))</f>
        <v/>
      </c>
      <c r="I38" s="105" t="str">
        <f aca="false">IF($B38="","",MAX(0,F38-G38-H38))</f>
        <v/>
      </c>
      <c r="J38" s="86" t="str">
        <f aca="false">IF($B38="","",الموظفون!$J38*$I38/cfg_DAYS_M)</f>
        <v/>
      </c>
      <c r="K38" s="86" t="str">
        <f aca="false">IF($B38="","",الموظفون!$K38*$I38/cfg_DAYS_M)</f>
        <v/>
      </c>
      <c r="L38" s="86" t="str">
        <f aca="false">IF($B38="","",الموظفون!$L38*$I38/cfg_DAYS_M)</f>
        <v/>
      </c>
      <c r="M38" s="86" t="str">
        <f aca="false">IF($B38="","",الموظفون!$M38*$I38/cfg_DAYS_M)</f>
        <v/>
      </c>
      <c r="N38" s="105" t="str">
        <f aca="false">IF($B38="","",SUMIFS('الحركات الشهرية'!$F$6:$F$1005,'الحركات الشهرية'!$B$6:$B$1005,$B38,'الحركات الشهرية'!$A$6:$A$1005,$C$3))</f>
        <v/>
      </c>
      <c r="O38" s="86" t="str">
        <f aca="false">IF($B38="","",N38*(الموظفون!$N38+الموظفون!$J38*cfg_OT_P)/cfg_DAYS_M/cfg_HRS)</f>
        <v/>
      </c>
      <c r="P38" s="86" t="str">
        <f aca="false">IF($B38="","",SUMIFS('الحركات الشهرية'!$G$6:$G$1005,'الحركات الشهرية'!$B$6:$B$1005,$B38,'الحركات الشهرية'!$A$6:$A$1005,$C$3))</f>
        <v/>
      </c>
      <c r="Q38" s="86" t="str">
        <f aca="false">IF($B38="","",SUMIFS('الحركات الشهرية'!$H$6:$H$1005,'الحركات الشهرية'!$B$6:$B$1005,$B38,'الحركات الشهرية'!$A$6:$A$1005,$C$3))</f>
        <v/>
      </c>
      <c r="R38" s="106" t="str">
        <f aca="false">IF($B38="","",SUM(J38:M38)+SUM(O38:Q38))</f>
        <v/>
      </c>
      <c r="S38" s="86" t="str">
        <f aca="false">IF($B38="","",الموظفون!$Q38*IF(E38="سعودي",cfg_G_SE,cfg_G_NE)*F38/cfg_DAYS_M)</f>
        <v/>
      </c>
      <c r="T38" s="86" t="str">
        <f aca="false">IF($B38="","",SUMIFS('الحركات الشهرية'!$I$6:$I$1005,'الحركات الشهرية'!$B$6:$B$1005,$B38,'الحركات الشهرية'!$A$6:$A$1005,$C$3))</f>
        <v/>
      </c>
      <c r="U38" s="86" t="str">
        <f aca="false">IF($B38="","",SUMIFS('الحركات الشهرية'!$J$6:$J$1005,'الحركات الشهرية'!$B$6:$B$1005,$B38,'الحركات الشهرية'!$A$6:$A$1005,$C$3))</f>
        <v/>
      </c>
      <c r="V38" s="86" t="str">
        <f aca="false">IF($B38="","",SUM(S38:U38))</f>
        <v/>
      </c>
      <c r="W38" s="107" t="str">
        <f aca="false">IF($B38="","",R38-V38)</f>
        <v/>
      </c>
      <c r="X38" s="86" t="str">
        <f aca="false">IF($B38="","",الموظفون!$Q38*IF(E38="سعودي",cfg_G_SR,cfg_G_NR)*F38/cfg_DAYS_M)</f>
        <v/>
      </c>
      <c r="Y38" s="86" t="str">
        <f aca="false">IF($B38="","",الموظفون!$O38*(cfg_EOS_R1*(MIN(AC38,cfg_EOS_TH)-MIN(AD38,cfg_EOS_TH))+cfg_EOS_R2*(MAX(AC38-cfg_EOS_TH,0)-MAX(AD38-cfg_EOS_TH,0))))</f>
        <v/>
      </c>
      <c r="Z38" s="86" t="str">
        <f aca="false">IF($B38="","",IF(الموظفون!$R38&lt;&gt;"",الموظفون!$R38,IF(AC38&gt;=cfg_LV_TH,cfg_LV_D2,cfg_LV_D1))/cfg_DAYS_Y*AE38*الموظفون!$P38/cfg_DAYS_M)</f>
        <v/>
      </c>
      <c r="AA38" s="86" t="str">
        <f aca="false">IF($B38="","",IF(AND(الموظفون!$S38="نعم",N(الموظفون!$U38)&gt;0),الموظفون!$T38/الموظفون!$U38*12/cfg_DAYS_Y*AE38,0))</f>
        <v/>
      </c>
      <c r="AB38" s="108" t="str">
        <f aca="false">IF($B38="","",R38+SUM(X38:AA38))</f>
        <v/>
      </c>
      <c r="AC38" s="109" t="str">
        <f aca="false">IF($B38="","",MAX(0,IF(OR(الموظفون!$X38="",الموظفون!$X38&gt;$G$3),$G$3,الموظفون!$X38)-الموظفون!$H38+1)/cfg_DAYS_Y)</f>
        <v/>
      </c>
      <c r="AD38" s="109" t="str">
        <f aca="false">IF($B38="","",MAX(0,IF(OR(الموظفون!$X38="",الموظفون!$X38&gt;($E$3-1)),($E$3-1),الموظفون!$X38)-الموظفون!$H38+1)/cfg_DAYS_Y)</f>
        <v/>
      </c>
      <c r="AE38" s="51" t="str">
        <f aca="false">IF($B38="","",MAX(0,IF(OR(الموظفون!$X38="",الموظفون!$X38&gt;$G$3),$G$3,الموظفون!$X38)-MAX($E$3,الموظفون!$H38)+1))</f>
        <v/>
      </c>
    </row>
    <row r="39" customFormat="false" ht="15" hidden="false" customHeight="false" outlineLevel="0" collapsed="false">
      <c r="A39" s="89" t="str">
        <f aca="false">IF($B39="","",الموظفون!$A39)</f>
        <v/>
      </c>
      <c r="B39" s="91" t="str">
        <f aca="false">IF(الموظفون!$B39="","",الموظفون!$B39)</f>
        <v/>
      </c>
      <c r="C39" s="91" t="str">
        <f aca="false">IF($B39="","",الموظفون!$C39)</f>
        <v/>
      </c>
      <c r="D39" s="91" t="str">
        <f aca="false">IF($B39="","",الموظفون!$F39)</f>
        <v/>
      </c>
      <c r="E39" s="91" t="str">
        <f aca="false">IF($B39="","",الموظفون!$E39)</f>
        <v/>
      </c>
      <c r="F39" s="110" t="str">
        <f aca="false">IF($B39="","",IF(AE39&gt;=DAY($G$3),cfg_DAYS_M,MIN(AE39,cfg_DAYS_M)))</f>
        <v/>
      </c>
      <c r="G39" s="110" t="str">
        <f aca="false">IF($B39="","",SUMIFS('الحركات الشهرية'!$D$6:$D$1005,'الحركات الشهرية'!$B$6:$B$1005,$B39,'الحركات الشهرية'!$A$6:$A$1005,$C$3))</f>
        <v/>
      </c>
      <c r="H39" s="110" t="str">
        <f aca="false">IF($B39="","",SUMIFS('الحركات الشهرية'!$E$6:$E$1005,'الحركات الشهرية'!$B$6:$B$1005,$B39,'الحركات الشهرية'!$A$6:$A$1005,$C$3))</f>
        <v/>
      </c>
      <c r="I39" s="110" t="str">
        <f aca="false">IF($B39="","",MAX(0,F39-G39-H39))</f>
        <v/>
      </c>
      <c r="J39" s="90" t="str">
        <f aca="false">IF($B39="","",الموظفون!$J39*$I39/cfg_DAYS_M)</f>
        <v/>
      </c>
      <c r="K39" s="90" t="str">
        <f aca="false">IF($B39="","",الموظفون!$K39*$I39/cfg_DAYS_M)</f>
        <v/>
      </c>
      <c r="L39" s="90" t="str">
        <f aca="false">IF($B39="","",الموظفون!$L39*$I39/cfg_DAYS_M)</f>
        <v/>
      </c>
      <c r="M39" s="90" t="str">
        <f aca="false">IF($B39="","",الموظفون!$M39*$I39/cfg_DAYS_M)</f>
        <v/>
      </c>
      <c r="N39" s="110" t="str">
        <f aca="false">IF($B39="","",SUMIFS('الحركات الشهرية'!$F$6:$F$1005,'الحركات الشهرية'!$B$6:$B$1005,$B39,'الحركات الشهرية'!$A$6:$A$1005,$C$3))</f>
        <v/>
      </c>
      <c r="O39" s="90" t="str">
        <f aca="false">IF($B39="","",N39*(الموظفون!$N39+الموظفون!$J39*cfg_OT_P)/cfg_DAYS_M/cfg_HRS)</f>
        <v/>
      </c>
      <c r="P39" s="90" t="str">
        <f aca="false">IF($B39="","",SUMIFS('الحركات الشهرية'!$G$6:$G$1005,'الحركات الشهرية'!$B$6:$B$1005,$B39,'الحركات الشهرية'!$A$6:$A$1005,$C$3))</f>
        <v/>
      </c>
      <c r="Q39" s="90" t="str">
        <f aca="false">IF($B39="","",SUMIFS('الحركات الشهرية'!$H$6:$H$1005,'الحركات الشهرية'!$B$6:$B$1005,$B39,'الحركات الشهرية'!$A$6:$A$1005,$C$3))</f>
        <v/>
      </c>
      <c r="R39" s="111" t="str">
        <f aca="false">IF($B39="","",SUM(J39:M39)+SUM(O39:Q39))</f>
        <v/>
      </c>
      <c r="S39" s="90" t="str">
        <f aca="false">IF($B39="","",الموظفون!$Q39*IF(E39="سعودي",cfg_G_SE,cfg_G_NE)*F39/cfg_DAYS_M)</f>
        <v/>
      </c>
      <c r="T39" s="90" t="str">
        <f aca="false">IF($B39="","",SUMIFS('الحركات الشهرية'!$I$6:$I$1005,'الحركات الشهرية'!$B$6:$B$1005,$B39,'الحركات الشهرية'!$A$6:$A$1005,$C$3))</f>
        <v/>
      </c>
      <c r="U39" s="90" t="str">
        <f aca="false">IF($B39="","",SUMIFS('الحركات الشهرية'!$J$6:$J$1005,'الحركات الشهرية'!$B$6:$B$1005,$B39,'الحركات الشهرية'!$A$6:$A$1005,$C$3))</f>
        <v/>
      </c>
      <c r="V39" s="90" t="str">
        <f aca="false">IF($B39="","",SUM(S39:U39))</f>
        <v/>
      </c>
      <c r="W39" s="112" t="str">
        <f aca="false">IF($B39="","",R39-V39)</f>
        <v/>
      </c>
      <c r="X39" s="90" t="str">
        <f aca="false">IF($B39="","",الموظفون!$Q39*IF(E39="سعودي",cfg_G_SR,cfg_G_NR)*F39/cfg_DAYS_M)</f>
        <v/>
      </c>
      <c r="Y39" s="90" t="str">
        <f aca="false">IF($B39="","",الموظفون!$O39*(cfg_EOS_R1*(MIN(AC39,cfg_EOS_TH)-MIN(AD39,cfg_EOS_TH))+cfg_EOS_R2*(MAX(AC39-cfg_EOS_TH,0)-MAX(AD39-cfg_EOS_TH,0))))</f>
        <v/>
      </c>
      <c r="Z39" s="90" t="str">
        <f aca="false">IF($B39="","",IF(الموظفون!$R39&lt;&gt;"",الموظفون!$R39,IF(AC39&gt;=cfg_LV_TH,cfg_LV_D2,cfg_LV_D1))/cfg_DAYS_Y*AE39*الموظفون!$P39/cfg_DAYS_M)</f>
        <v/>
      </c>
      <c r="AA39" s="90" t="str">
        <f aca="false">IF($B39="","",IF(AND(الموظفون!$S39="نعم",N(الموظفون!$U39)&gt;0),الموظفون!$T39/الموظفون!$U39*12/cfg_DAYS_Y*AE39,0))</f>
        <v/>
      </c>
      <c r="AB39" s="113" t="str">
        <f aca="false">IF($B39="","",R39+SUM(X39:AA39))</f>
        <v/>
      </c>
      <c r="AC39" s="114" t="str">
        <f aca="false">IF($B39="","",MAX(0,IF(OR(الموظفون!$X39="",الموظفون!$X39&gt;$G$3),$G$3,الموظفون!$X39)-الموظفون!$H39+1)/cfg_DAYS_Y)</f>
        <v/>
      </c>
      <c r="AD39" s="114" t="str">
        <f aca="false">IF($B39="","",MAX(0,IF(OR(الموظفون!$X39="",الموظفون!$X39&gt;($E$3-1)),($E$3-1),الموظفون!$X39)-الموظفون!$H39+1)/cfg_DAYS_Y)</f>
        <v/>
      </c>
      <c r="AE39" s="115" t="str">
        <f aca="false">IF($B39="","",MAX(0,IF(OR(الموظفون!$X39="",الموظفون!$X39&gt;$G$3),$G$3,الموظفون!$X39)-MAX($E$3,الموظفون!$H39)+1))</f>
        <v/>
      </c>
    </row>
    <row r="40" customFormat="false" ht="15" hidden="false" customHeight="false" outlineLevel="0" collapsed="false">
      <c r="A40" s="83" t="str">
        <f aca="false">IF($B40="","",الموظفون!$A40)</f>
        <v/>
      </c>
      <c r="B40" s="74" t="str">
        <f aca="false">IF(الموظفون!$B40="","",الموظفون!$B40)</f>
        <v/>
      </c>
      <c r="C40" s="74" t="str">
        <f aca="false">IF($B40="","",الموظفون!$C40)</f>
        <v/>
      </c>
      <c r="D40" s="74" t="str">
        <f aca="false">IF($B40="","",الموظفون!$F40)</f>
        <v/>
      </c>
      <c r="E40" s="74" t="str">
        <f aca="false">IF($B40="","",الموظفون!$E40)</f>
        <v/>
      </c>
      <c r="F40" s="105" t="str">
        <f aca="false">IF($B40="","",IF(AE40&gt;=DAY($G$3),cfg_DAYS_M,MIN(AE40,cfg_DAYS_M)))</f>
        <v/>
      </c>
      <c r="G40" s="105" t="str">
        <f aca="false">IF($B40="","",SUMIFS('الحركات الشهرية'!$D$6:$D$1005,'الحركات الشهرية'!$B$6:$B$1005,$B40,'الحركات الشهرية'!$A$6:$A$1005,$C$3))</f>
        <v/>
      </c>
      <c r="H40" s="105" t="str">
        <f aca="false">IF($B40="","",SUMIFS('الحركات الشهرية'!$E$6:$E$1005,'الحركات الشهرية'!$B$6:$B$1005,$B40,'الحركات الشهرية'!$A$6:$A$1005,$C$3))</f>
        <v/>
      </c>
      <c r="I40" s="105" t="str">
        <f aca="false">IF($B40="","",MAX(0,F40-G40-H40))</f>
        <v/>
      </c>
      <c r="J40" s="86" t="str">
        <f aca="false">IF($B40="","",الموظفون!$J40*$I40/cfg_DAYS_M)</f>
        <v/>
      </c>
      <c r="K40" s="86" t="str">
        <f aca="false">IF($B40="","",الموظفون!$K40*$I40/cfg_DAYS_M)</f>
        <v/>
      </c>
      <c r="L40" s="86" t="str">
        <f aca="false">IF($B40="","",الموظفون!$L40*$I40/cfg_DAYS_M)</f>
        <v/>
      </c>
      <c r="M40" s="86" t="str">
        <f aca="false">IF($B40="","",الموظفون!$M40*$I40/cfg_DAYS_M)</f>
        <v/>
      </c>
      <c r="N40" s="105" t="str">
        <f aca="false">IF($B40="","",SUMIFS('الحركات الشهرية'!$F$6:$F$1005,'الحركات الشهرية'!$B$6:$B$1005,$B40,'الحركات الشهرية'!$A$6:$A$1005,$C$3))</f>
        <v/>
      </c>
      <c r="O40" s="86" t="str">
        <f aca="false">IF($B40="","",N40*(الموظفون!$N40+الموظفون!$J40*cfg_OT_P)/cfg_DAYS_M/cfg_HRS)</f>
        <v/>
      </c>
      <c r="P40" s="86" t="str">
        <f aca="false">IF($B40="","",SUMIFS('الحركات الشهرية'!$G$6:$G$1005,'الحركات الشهرية'!$B$6:$B$1005,$B40,'الحركات الشهرية'!$A$6:$A$1005,$C$3))</f>
        <v/>
      </c>
      <c r="Q40" s="86" t="str">
        <f aca="false">IF($B40="","",SUMIFS('الحركات الشهرية'!$H$6:$H$1005,'الحركات الشهرية'!$B$6:$B$1005,$B40,'الحركات الشهرية'!$A$6:$A$1005,$C$3))</f>
        <v/>
      </c>
      <c r="R40" s="106" t="str">
        <f aca="false">IF($B40="","",SUM(J40:M40)+SUM(O40:Q40))</f>
        <v/>
      </c>
      <c r="S40" s="86" t="str">
        <f aca="false">IF($B40="","",الموظفون!$Q40*IF(E40="سعودي",cfg_G_SE,cfg_G_NE)*F40/cfg_DAYS_M)</f>
        <v/>
      </c>
      <c r="T40" s="86" t="str">
        <f aca="false">IF($B40="","",SUMIFS('الحركات الشهرية'!$I$6:$I$1005,'الحركات الشهرية'!$B$6:$B$1005,$B40,'الحركات الشهرية'!$A$6:$A$1005,$C$3))</f>
        <v/>
      </c>
      <c r="U40" s="86" t="str">
        <f aca="false">IF($B40="","",SUMIFS('الحركات الشهرية'!$J$6:$J$1005,'الحركات الشهرية'!$B$6:$B$1005,$B40,'الحركات الشهرية'!$A$6:$A$1005,$C$3))</f>
        <v/>
      </c>
      <c r="V40" s="86" t="str">
        <f aca="false">IF($B40="","",SUM(S40:U40))</f>
        <v/>
      </c>
      <c r="W40" s="107" t="str">
        <f aca="false">IF($B40="","",R40-V40)</f>
        <v/>
      </c>
      <c r="X40" s="86" t="str">
        <f aca="false">IF($B40="","",الموظفون!$Q40*IF(E40="سعودي",cfg_G_SR,cfg_G_NR)*F40/cfg_DAYS_M)</f>
        <v/>
      </c>
      <c r="Y40" s="86" t="str">
        <f aca="false">IF($B40="","",الموظفون!$O40*(cfg_EOS_R1*(MIN(AC40,cfg_EOS_TH)-MIN(AD40,cfg_EOS_TH))+cfg_EOS_R2*(MAX(AC40-cfg_EOS_TH,0)-MAX(AD40-cfg_EOS_TH,0))))</f>
        <v/>
      </c>
      <c r="Z40" s="86" t="str">
        <f aca="false">IF($B40="","",IF(الموظفون!$R40&lt;&gt;"",الموظفون!$R40,IF(AC40&gt;=cfg_LV_TH,cfg_LV_D2,cfg_LV_D1))/cfg_DAYS_Y*AE40*الموظفون!$P40/cfg_DAYS_M)</f>
        <v/>
      </c>
      <c r="AA40" s="86" t="str">
        <f aca="false">IF($B40="","",IF(AND(الموظفون!$S40="نعم",N(الموظفون!$U40)&gt;0),الموظفون!$T40/الموظفون!$U40*12/cfg_DAYS_Y*AE40,0))</f>
        <v/>
      </c>
      <c r="AB40" s="108" t="str">
        <f aca="false">IF($B40="","",R40+SUM(X40:AA40))</f>
        <v/>
      </c>
      <c r="AC40" s="109" t="str">
        <f aca="false">IF($B40="","",MAX(0,IF(OR(الموظفون!$X40="",الموظفون!$X40&gt;$G$3),$G$3,الموظفون!$X40)-الموظفون!$H40+1)/cfg_DAYS_Y)</f>
        <v/>
      </c>
      <c r="AD40" s="109" t="str">
        <f aca="false">IF($B40="","",MAX(0,IF(OR(الموظفون!$X40="",الموظفون!$X40&gt;($E$3-1)),($E$3-1),الموظفون!$X40)-الموظفون!$H40+1)/cfg_DAYS_Y)</f>
        <v/>
      </c>
      <c r="AE40" s="51" t="str">
        <f aca="false">IF($B40="","",MAX(0,IF(OR(الموظفون!$X40="",الموظفون!$X40&gt;$G$3),$G$3,الموظفون!$X40)-MAX($E$3,الموظفون!$H40)+1))</f>
        <v/>
      </c>
    </row>
    <row r="41" customFormat="false" ht="15" hidden="false" customHeight="false" outlineLevel="0" collapsed="false">
      <c r="A41" s="89" t="str">
        <f aca="false">IF($B41="","",الموظفون!$A41)</f>
        <v/>
      </c>
      <c r="B41" s="91" t="str">
        <f aca="false">IF(الموظفون!$B41="","",الموظفون!$B41)</f>
        <v/>
      </c>
      <c r="C41" s="91" t="str">
        <f aca="false">IF($B41="","",الموظفون!$C41)</f>
        <v/>
      </c>
      <c r="D41" s="91" t="str">
        <f aca="false">IF($B41="","",الموظفون!$F41)</f>
        <v/>
      </c>
      <c r="E41" s="91" t="str">
        <f aca="false">IF($B41="","",الموظفون!$E41)</f>
        <v/>
      </c>
      <c r="F41" s="110" t="str">
        <f aca="false">IF($B41="","",IF(AE41&gt;=DAY($G$3),cfg_DAYS_M,MIN(AE41,cfg_DAYS_M)))</f>
        <v/>
      </c>
      <c r="G41" s="110" t="str">
        <f aca="false">IF($B41="","",SUMIFS('الحركات الشهرية'!$D$6:$D$1005,'الحركات الشهرية'!$B$6:$B$1005,$B41,'الحركات الشهرية'!$A$6:$A$1005,$C$3))</f>
        <v/>
      </c>
      <c r="H41" s="110" t="str">
        <f aca="false">IF($B41="","",SUMIFS('الحركات الشهرية'!$E$6:$E$1005,'الحركات الشهرية'!$B$6:$B$1005,$B41,'الحركات الشهرية'!$A$6:$A$1005,$C$3))</f>
        <v/>
      </c>
      <c r="I41" s="110" t="str">
        <f aca="false">IF($B41="","",MAX(0,F41-G41-H41))</f>
        <v/>
      </c>
      <c r="J41" s="90" t="str">
        <f aca="false">IF($B41="","",الموظفون!$J41*$I41/cfg_DAYS_M)</f>
        <v/>
      </c>
      <c r="K41" s="90" t="str">
        <f aca="false">IF($B41="","",الموظفون!$K41*$I41/cfg_DAYS_M)</f>
        <v/>
      </c>
      <c r="L41" s="90" t="str">
        <f aca="false">IF($B41="","",الموظفون!$L41*$I41/cfg_DAYS_M)</f>
        <v/>
      </c>
      <c r="M41" s="90" t="str">
        <f aca="false">IF($B41="","",الموظفون!$M41*$I41/cfg_DAYS_M)</f>
        <v/>
      </c>
      <c r="N41" s="110" t="str">
        <f aca="false">IF($B41="","",SUMIFS('الحركات الشهرية'!$F$6:$F$1005,'الحركات الشهرية'!$B$6:$B$1005,$B41,'الحركات الشهرية'!$A$6:$A$1005,$C$3))</f>
        <v/>
      </c>
      <c r="O41" s="90" t="str">
        <f aca="false">IF($B41="","",N41*(الموظفون!$N41+الموظفون!$J41*cfg_OT_P)/cfg_DAYS_M/cfg_HRS)</f>
        <v/>
      </c>
      <c r="P41" s="90" t="str">
        <f aca="false">IF($B41="","",SUMIFS('الحركات الشهرية'!$G$6:$G$1005,'الحركات الشهرية'!$B$6:$B$1005,$B41,'الحركات الشهرية'!$A$6:$A$1005,$C$3))</f>
        <v/>
      </c>
      <c r="Q41" s="90" t="str">
        <f aca="false">IF($B41="","",SUMIFS('الحركات الشهرية'!$H$6:$H$1005,'الحركات الشهرية'!$B$6:$B$1005,$B41,'الحركات الشهرية'!$A$6:$A$1005,$C$3))</f>
        <v/>
      </c>
      <c r="R41" s="111" t="str">
        <f aca="false">IF($B41="","",SUM(J41:M41)+SUM(O41:Q41))</f>
        <v/>
      </c>
      <c r="S41" s="90" t="str">
        <f aca="false">IF($B41="","",الموظفون!$Q41*IF(E41="سعودي",cfg_G_SE,cfg_G_NE)*F41/cfg_DAYS_M)</f>
        <v/>
      </c>
      <c r="T41" s="90" t="str">
        <f aca="false">IF($B41="","",SUMIFS('الحركات الشهرية'!$I$6:$I$1005,'الحركات الشهرية'!$B$6:$B$1005,$B41,'الحركات الشهرية'!$A$6:$A$1005,$C$3))</f>
        <v/>
      </c>
      <c r="U41" s="90" t="str">
        <f aca="false">IF($B41="","",SUMIFS('الحركات الشهرية'!$J$6:$J$1005,'الحركات الشهرية'!$B$6:$B$1005,$B41,'الحركات الشهرية'!$A$6:$A$1005,$C$3))</f>
        <v/>
      </c>
      <c r="V41" s="90" t="str">
        <f aca="false">IF($B41="","",SUM(S41:U41))</f>
        <v/>
      </c>
      <c r="W41" s="112" t="str">
        <f aca="false">IF($B41="","",R41-V41)</f>
        <v/>
      </c>
      <c r="X41" s="90" t="str">
        <f aca="false">IF($B41="","",الموظفون!$Q41*IF(E41="سعودي",cfg_G_SR,cfg_G_NR)*F41/cfg_DAYS_M)</f>
        <v/>
      </c>
      <c r="Y41" s="90" t="str">
        <f aca="false">IF($B41="","",الموظفون!$O41*(cfg_EOS_R1*(MIN(AC41,cfg_EOS_TH)-MIN(AD41,cfg_EOS_TH))+cfg_EOS_R2*(MAX(AC41-cfg_EOS_TH,0)-MAX(AD41-cfg_EOS_TH,0))))</f>
        <v/>
      </c>
      <c r="Z41" s="90" t="str">
        <f aca="false">IF($B41="","",IF(الموظفون!$R41&lt;&gt;"",الموظفون!$R41,IF(AC41&gt;=cfg_LV_TH,cfg_LV_D2,cfg_LV_D1))/cfg_DAYS_Y*AE41*الموظفون!$P41/cfg_DAYS_M)</f>
        <v/>
      </c>
      <c r="AA41" s="90" t="str">
        <f aca="false">IF($B41="","",IF(AND(الموظفون!$S41="نعم",N(الموظفون!$U41)&gt;0),الموظفون!$T41/الموظفون!$U41*12/cfg_DAYS_Y*AE41,0))</f>
        <v/>
      </c>
      <c r="AB41" s="113" t="str">
        <f aca="false">IF($B41="","",R41+SUM(X41:AA41))</f>
        <v/>
      </c>
      <c r="AC41" s="114" t="str">
        <f aca="false">IF($B41="","",MAX(0,IF(OR(الموظفون!$X41="",الموظفون!$X41&gt;$G$3),$G$3,الموظفون!$X41)-الموظفون!$H41+1)/cfg_DAYS_Y)</f>
        <v/>
      </c>
      <c r="AD41" s="114" t="str">
        <f aca="false">IF($B41="","",MAX(0,IF(OR(الموظفون!$X41="",الموظفون!$X41&gt;($E$3-1)),($E$3-1),الموظفون!$X41)-الموظفون!$H41+1)/cfg_DAYS_Y)</f>
        <v/>
      </c>
      <c r="AE41" s="115" t="str">
        <f aca="false">IF($B41="","",MAX(0,IF(OR(الموظفون!$X41="",الموظفون!$X41&gt;$G$3),$G$3,الموظفون!$X41)-MAX($E$3,الموظفون!$H41)+1))</f>
        <v/>
      </c>
    </row>
    <row r="42" customFormat="false" ht="15" hidden="false" customHeight="false" outlineLevel="0" collapsed="false">
      <c r="A42" s="83" t="str">
        <f aca="false">IF($B42="","",الموظفون!$A42)</f>
        <v/>
      </c>
      <c r="B42" s="74" t="str">
        <f aca="false">IF(الموظفون!$B42="","",الموظفون!$B42)</f>
        <v/>
      </c>
      <c r="C42" s="74" t="str">
        <f aca="false">IF($B42="","",الموظفون!$C42)</f>
        <v/>
      </c>
      <c r="D42" s="74" t="str">
        <f aca="false">IF($B42="","",الموظفون!$F42)</f>
        <v/>
      </c>
      <c r="E42" s="74" t="str">
        <f aca="false">IF($B42="","",الموظفون!$E42)</f>
        <v/>
      </c>
      <c r="F42" s="105" t="str">
        <f aca="false">IF($B42="","",IF(AE42&gt;=DAY($G$3),cfg_DAYS_M,MIN(AE42,cfg_DAYS_M)))</f>
        <v/>
      </c>
      <c r="G42" s="105" t="str">
        <f aca="false">IF($B42="","",SUMIFS('الحركات الشهرية'!$D$6:$D$1005,'الحركات الشهرية'!$B$6:$B$1005,$B42,'الحركات الشهرية'!$A$6:$A$1005,$C$3))</f>
        <v/>
      </c>
      <c r="H42" s="105" t="str">
        <f aca="false">IF($B42="","",SUMIFS('الحركات الشهرية'!$E$6:$E$1005,'الحركات الشهرية'!$B$6:$B$1005,$B42,'الحركات الشهرية'!$A$6:$A$1005,$C$3))</f>
        <v/>
      </c>
      <c r="I42" s="105" t="str">
        <f aca="false">IF($B42="","",MAX(0,F42-G42-H42))</f>
        <v/>
      </c>
      <c r="J42" s="86" t="str">
        <f aca="false">IF($B42="","",الموظفون!$J42*$I42/cfg_DAYS_M)</f>
        <v/>
      </c>
      <c r="K42" s="86" t="str">
        <f aca="false">IF($B42="","",الموظفون!$K42*$I42/cfg_DAYS_M)</f>
        <v/>
      </c>
      <c r="L42" s="86" t="str">
        <f aca="false">IF($B42="","",الموظفون!$L42*$I42/cfg_DAYS_M)</f>
        <v/>
      </c>
      <c r="M42" s="86" t="str">
        <f aca="false">IF($B42="","",الموظفون!$M42*$I42/cfg_DAYS_M)</f>
        <v/>
      </c>
      <c r="N42" s="105" t="str">
        <f aca="false">IF($B42="","",SUMIFS('الحركات الشهرية'!$F$6:$F$1005,'الحركات الشهرية'!$B$6:$B$1005,$B42,'الحركات الشهرية'!$A$6:$A$1005,$C$3))</f>
        <v/>
      </c>
      <c r="O42" s="86" t="str">
        <f aca="false">IF($B42="","",N42*(الموظفون!$N42+الموظفون!$J42*cfg_OT_P)/cfg_DAYS_M/cfg_HRS)</f>
        <v/>
      </c>
      <c r="P42" s="86" t="str">
        <f aca="false">IF($B42="","",SUMIFS('الحركات الشهرية'!$G$6:$G$1005,'الحركات الشهرية'!$B$6:$B$1005,$B42,'الحركات الشهرية'!$A$6:$A$1005,$C$3))</f>
        <v/>
      </c>
      <c r="Q42" s="86" t="str">
        <f aca="false">IF($B42="","",SUMIFS('الحركات الشهرية'!$H$6:$H$1005,'الحركات الشهرية'!$B$6:$B$1005,$B42,'الحركات الشهرية'!$A$6:$A$1005,$C$3))</f>
        <v/>
      </c>
      <c r="R42" s="106" t="str">
        <f aca="false">IF($B42="","",SUM(J42:M42)+SUM(O42:Q42))</f>
        <v/>
      </c>
      <c r="S42" s="86" t="str">
        <f aca="false">IF($B42="","",الموظفون!$Q42*IF(E42="سعودي",cfg_G_SE,cfg_G_NE)*F42/cfg_DAYS_M)</f>
        <v/>
      </c>
      <c r="T42" s="86" t="str">
        <f aca="false">IF($B42="","",SUMIFS('الحركات الشهرية'!$I$6:$I$1005,'الحركات الشهرية'!$B$6:$B$1005,$B42,'الحركات الشهرية'!$A$6:$A$1005,$C$3))</f>
        <v/>
      </c>
      <c r="U42" s="86" t="str">
        <f aca="false">IF($B42="","",SUMIFS('الحركات الشهرية'!$J$6:$J$1005,'الحركات الشهرية'!$B$6:$B$1005,$B42,'الحركات الشهرية'!$A$6:$A$1005,$C$3))</f>
        <v/>
      </c>
      <c r="V42" s="86" t="str">
        <f aca="false">IF($B42="","",SUM(S42:U42))</f>
        <v/>
      </c>
      <c r="W42" s="107" t="str">
        <f aca="false">IF($B42="","",R42-V42)</f>
        <v/>
      </c>
      <c r="X42" s="86" t="str">
        <f aca="false">IF($B42="","",الموظفون!$Q42*IF(E42="سعودي",cfg_G_SR,cfg_G_NR)*F42/cfg_DAYS_M)</f>
        <v/>
      </c>
      <c r="Y42" s="86" t="str">
        <f aca="false">IF($B42="","",الموظفون!$O42*(cfg_EOS_R1*(MIN(AC42,cfg_EOS_TH)-MIN(AD42,cfg_EOS_TH))+cfg_EOS_R2*(MAX(AC42-cfg_EOS_TH,0)-MAX(AD42-cfg_EOS_TH,0))))</f>
        <v/>
      </c>
      <c r="Z42" s="86" t="str">
        <f aca="false">IF($B42="","",IF(الموظفون!$R42&lt;&gt;"",الموظفون!$R42,IF(AC42&gt;=cfg_LV_TH,cfg_LV_D2,cfg_LV_D1))/cfg_DAYS_Y*AE42*الموظفون!$P42/cfg_DAYS_M)</f>
        <v/>
      </c>
      <c r="AA42" s="86" t="str">
        <f aca="false">IF($B42="","",IF(AND(الموظفون!$S42="نعم",N(الموظفون!$U42)&gt;0),الموظفون!$T42/الموظفون!$U42*12/cfg_DAYS_Y*AE42,0))</f>
        <v/>
      </c>
      <c r="AB42" s="108" t="str">
        <f aca="false">IF($B42="","",R42+SUM(X42:AA42))</f>
        <v/>
      </c>
      <c r="AC42" s="109" t="str">
        <f aca="false">IF($B42="","",MAX(0,IF(OR(الموظفون!$X42="",الموظفون!$X42&gt;$G$3),$G$3,الموظفون!$X42)-الموظفون!$H42+1)/cfg_DAYS_Y)</f>
        <v/>
      </c>
      <c r="AD42" s="109" t="str">
        <f aca="false">IF($B42="","",MAX(0,IF(OR(الموظفون!$X42="",الموظفون!$X42&gt;($E$3-1)),($E$3-1),الموظفون!$X42)-الموظفون!$H42+1)/cfg_DAYS_Y)</f>
        <v/>
      </c>
      <c r="AE42" s="51" t="str">
        <f aca="false">IF($B42="","",MAX(0,IF(OR(الموظفون!$X42="",الموظفون!$X42&gt;$G$3),$G$3,الموظفون!$X42)-MAX($E$3,الموظفون!$H42)+1))</f>
        <v/>
      </c>
    </row>
    <row r="43" customFormat="false" ht="15" hidden="false" customHeight="false" outlineLevel="0" collapsed="false">
      <c r="A43" s="89" t="str">
        <f aca="false">IF($B43="","",الموظفون!$A43)</f>
        <v/>
      </c>
      <c r="B43" s="91" t="str">
        <f aca="false">IF(الموظفون!$B43="","",الموظفون!$B43)</f>
        <v/>
      </c>
      <c r="C43" s="91" t="str">
        <f aca="false">IF($B43="","",الموظفون!$C43)</f>
        <v/>
      </c>
      <c r="D43" s="91" t="str">
        <f aca="false">IF($B43="","",الموظفون!$F43)</f>
        <v/>
      </c>
      <c r="E43" s="91" t="str">
        <f aca="false">IF($B43="","",الموظفون!$E43)</f>
        <v/>
      </c>
      <c r="F43" s="110" t="str">
        <f aca="false">IF($B43="","",IF(AE43&gt;=DAY($G$3),cfg_DAYS_M,MIN(AE43,cfg_DAYS_M)))</f>
        <v/>
      </c>
      <c r="G43" s="110" t="str">
        <f aca="false">IF($B43="","",SUMIFS('الحركات الشهرية'!$D$6:$D$1005,'الحركات الشهرية'!$B$6:$B$1005,$B43,'الحركات الشهرية'!$A$6:$A$1005,$C$3))</f>
        <v/>
      </c>
      <c r="H43" s="110" t="str">
        <f aca="false">IF($B43="","",SUMIFS('الحركات الشهرية'!$E$6:$E$1005,'الحركات الشهرية'!$B$6:$B$1005,$B43,'الحركات الشهرية'!$A$6:$A$1005,$C$3))</f>
        <v/>
      </c>
      <c r="I43" s="110" t="str">
        <f aca="false">IF($B43="","",MAX(0,F43-G43-H43))</f>
        <v/>
      </c>
      <c r="J43" s="90" t="str">
        <f aca="false">IF($B43="","",الموظفون!$J43*$I43/cfg_DAYS_M)</f>
        <v/>
      </c>
      <c r="K43" s="90" t="str">
        <f aca="false">IF($B43="","",الموظفون!$K43*$I43/cfg_DAYS_M)</f>
        <v/>
      </c>
      <c r="L43" s="90" t="str">
        <f aca="false">IF($B43="","",الموظفون!$L43*$I43/cfg_DAYS_M)</f>
        <v/>
      </c>
      <c r="M43" s="90" t="str">
        <f aca="false">IF($B43="","",الموظفون!$M43*$I43/cfg_DAYS_M)</f>
        <v/>
      </c>
      <c r="N43" s="110" t="str">
        <f aca="false">IF($B43="","",SUMIFS('الحركات الشهرية'!$F$6:$F$1005,'الحركات الشهرية'!$B$6:$B$1005,$B43,'الحركات الشهرية'!$A$6:$A$1005,$C$3))</f>
        <v/>
      </c>
      <c r="O43" s="90" t="str">
        <f aca="false">IF($B43="","",N43*(الموظفون!$N43+الموظفون!$J43*cfg_OT_P)/cfg_DAYS_M/cfg_HRS)</f>
        <v/>
      </c>
      <c r="P43" s="90" t="str">
        <f aca="false">IF($B43="","",SUMIFS('الحركات الشهرية'!$G$6:$G$1005,'الحركات الشهرية'!$B$6:$B$1005,$B43,'الحركات الشهرية'!$A$6:$A$1005,$C$3))</f>
        <v/>
      </c>
      <c r="Q43" s="90" t="str">
        <f aca="false">IF($B43="","",SUMIFS('الحركات الشهرية'!$H$6:$H$1005,'الحركات الشهرية'!$B$6:$B$1005,$B43,'الحركات الشهرية'!$A$6:$A$1005,$C$3))</f>
        <v/>
      </c>
      <c r="R43" s="111" t="str">
        <f aca="false">IF($B43="","",SUM(J43:M43)+SUM(O43:Q43))</f>
        <v/>
      </c>
      <c r="S43" s="90" t="str">
        <f aca="false">IF($B43="","",الموظفون!$Q43*IF(E43="سعودي",cfg_G_SE,cfg_G_NE)*F43/cfg_DAYS_M)</f>
        <v/>
      </c>
      <c r="T43" s="90" t="str">
        <f aca="false">IF($B43="","",SUMIFS('الحركات الشهرية'!$I$6:$I$1005,'الحركات الشهرية'!$B$6:$B$1005,$B43,'الحركات الشهرية'!$A$6:$A$1005,$C$3))</f>
        <v/>
      </c>
      <c r="U43" s="90" t="str">
        <f aca="false">IF($B43="","",SUMIFS('الحركات الشهرية'!$J$6:$J$1005,'الحركات الشهرية'!$B$6:$B$1005,$B43,'الحركات الشهرية'!$A$6:$A$1005,$C$3))</f>
        <v/>
      </c>
      <c r="V43" s="90" t="str">
        <f aca="false">IF($B43="","",SUM(S43:U43))</f>
        <v/>
      </c>
      <c r="W43" s="112" t="str">
        <f aca="false">IF($B43="","",R43-V43)</f>
        <v/>
      </c>
      <c r="X43" s="90" t="str">
        <f aca="false">IF($B43="","",الموظفون!$Q43*IF(E43="سعودي",cfg_G_SR,cfg_G_NR)*F43/cfg_DAYS_M)</f>
        <v/>
      </c>
      <c r="Y43" s="90" t="str">
        <f aca="false">IF($B43="","",الموظفون!$O43*(cfg_EOS_R1*(MIN(AC43,cfg_EOS_TH)-MIN(AD43,cfg_EOS_TH))+cfg_EOS_R2*(MAX(AC43-cfg_EOS_TH,0)-MAX(AD43-cfg_EOS_TH,0))))</f>
        <v/>
      </c>
      <c r="Z43" s="90" t="str">
        <f aca="false">IF($B43="","",IF(الموظفون!$R43&lt;&gt;"",الموظفون!$R43,IF(AC43&gt;=cfg_LV_TH,cfg_LV_D2,cfg_LV_D1))/cfg_DAYS_Y*AE43*الموظفون!$P43/cfg_DAYS_M)</f>
        <v/>
      </c>
      <c r="AA43" s="90" t="str">
        <f aca="false">IF($B43="","",IF(AND(الموظفون!$S43="نعم",N(الموظفون!$U43)&gt;0),الموظفون!$T43/الموظفون!$U43*12/cfg_DAYS_Y*AE43,0))</f>
        <v/>
      </c>
      <c r="AB43" s="113" t="str">
        <f aca="false">IF($B43="","",R43+SUM(X43:AA43))</f>
        <v/>
      </c>
      <c r="AC43" s="114" t="str">
        <f aca="false">IF($B43="","",MAX(0,IF(OR(الموظفون!$X43="",الموظفون!$X43&gt;$G$3),$G$3,الموظفون!$X43)-الموظفون!$H43+1)/cfg_DAYS_Y)</f>
        <v/>
      </c>
      <c r="AD43" s="114" t="str">
        <f aca="false">IF($B43="","",MAX(0,IF(OR(الموظفون!$X43="",الموظفون!$X43&gt;($E$3-1)),($E$3-1),الموظفون!$X43)-الموظفون!$H43+1)/cfg_DAYS_Y)</f>
        <v/>
      </c>
      <c r="AE43" s="115" t="str">
        <f aca="false">IF($B43="","",MAX(0,IF(OR(الموظفون!$X43="",الموظفون!$X43&gt;$G$3),$G$3,الموظفون!$X43)-MAX($E$3,الموظفون!$H43)+1))</f>
        <v/>
      </c>
    </row>
    <row r="44" customFormat="false" ht="15" hidden="false" customHeight="false" outlineLevel="0" collapsed="false">
      <c r="A44" s="83" t="str">
        <f aca="false">IF($B44="","",الموظفون!$A44)</f>
        <v/>
      </c>
      <c r="B44" s="74" t="str">
        <f aca="false">IF(الموظفون!$B44="","",الموظفون!$B44)</f>
        <v/>
      </c>
      <c r="C44" s="74" t="str">
        <f aca="false">IF($B44="","",الموظفون!$C44)</f>
        <v/>
      </c>
      <c r="D44" s="74" t="str">
        <f aca="false">IF($B44="","",الموظفون!$F44)</f>
        <v/>
      </c>
      <c r="E44" s="74" t="str">
        <f aca="false">IF($B44="","",الموظفون!$E44)</f>
        <v/>
      </c>
      <c r="F44" s="105" t="str">
        <f aca="false">IF($B44="","",IF(AE44&gt;=DAY($G$3),cfg_DAYS_M,MIN(AE44,cfg_DAYS_M)))</f>
        <v/>
      </c>
      <c r="G44" s="105" t="str">
        <f aca="false">IF($B44="","",SUMIFS('الحركات الشهرية'!$D$6:$D$1005,'الحركات الشهرية'!$B$6:$B$1005,$B44,'الحركات الشهرية'!$A$6:$A$1005,$C$3))</f>
        <v/>
      </c>
      <c r="H44" s="105" t="str">
        <f aca="false">IF($B44="","",SUMIFS('الحركات الشهرية'!$E$6:$E$1005,'الحركات الشهرية'!$B$6:$B$1005,$B44,'الحركات الشهرية'!$A$6:$A$1005,$C$3))</f>
        <v/>
      </c>
      <c r="I44" s="105" t="str">
        <f aca="false">IF($B44="","",MAX(0,F44-G44-H44))</f>
        <v/>
      </c>
      <c r="J44" s="86" t="str">
        <f aca="false">IF($B44="","",الموظفون!$J44*$I44/cfg_DAYS_M)</f>
        <v/>
      </c>
      <c r="K44" s="86" t="str">
        <f aca="false">IF($B44="","",الموظفون!$K44*$I44/cfg_DAYS_M)</f>
        <v/>
      </c>
      <c r="L44" s="86" t="str">
        <f aca="false">IF($B44="","",الموظفون!$L44*$I44/cfg_DAYS_M)</f>
        <v/>
      </c>
      <c r="M44" s="86" t="str">
        <f aca="false">IF($B44="","",الموظفون!$M44*$I44/cfg_DAYS_M)</f>
        <v/>
      </c>
      <c r="N44" s="105" t="str">
        <f aca="false">IF($B44="","",SUMIFS('الحركات الشهرية'!$F$6:$F$1005,'الحركات الشهرية'!$B$6:$B$1005,$B44,'الحركات الشهرية'!$A$6:$A$1005,$C$3))</f>
        <v/>
      </c>
      <c r="O44" s="86" t="str">
        <f aca="false">IF($B44="","",N44*(الموظفون!$N44+الموظفون!$J44*cfg_OT_P)/cfg_DAYS_M/cfg_HRS)</f>
        <v/>
      </c>
      <c r="P44" s="86" t="str">
        <f aca="false">IF($B44="","",SUMIFS('الحركات الشهرية'!$G$6:$G$1005,'الحركات الشهرية'!$B$6:$B$1005,$B44,'الحركات الشهرية'!$A$6:$A$1005,$C$3))</f>
        <v/>
      </c>
      <c r="Q44" s="86" t="str">
        <f aca="false">IF($B44="","",SUMIFS('الحركات الشهرية'!$H$6:$H$1005,'الحركات الشهرية'!$B$6:$B$1005,$B44,'الحركات الشهرية'!$A$6:$A$1005,$C$3))</f>
        <v/>
      </c>
      <c r="R44" s="106" t="str">
        <f aca="false">IF($B44="","",SUM(J44:M44)+SUM(O44:Q44))</f>
        <v/>
      </c>
      <c r="S44" s="86" t="str">
        <f aca="false">IF($B44="","",الموظفون!$Q44*IF(E44="سعودي",cfg_G_SE,cfg_G_NE)*F44/cfg_DAYS_M)</f>
        <v/>
      </c>
      <c r="T44" s="86" t="str">
        <f aca="false">IF($B44="","",SUMIFS('الحركات الشهرية'!$I$6:$I$1005,'الحركات الشهرية'!$B$6:$B$1005,$B44,'الحركات الشهرية'!$A$6:$A$1005,$C$3))</f>
        <v/>
      </c>
      <c r="U44" s="86" t="str">
        <f aca="false">IF($B44="","",SUMIFS('الحركات الشهرية'!$J$6:$J$1005,'الحركات الشهرية'!$B$6:$B$1005,$B44,'الحركات الشهرية'!$A$6:$A$1005,$C$3))</f>
        <v/>
      </c>
      <c r="V44" s="86" t="str">
        <f aca="false">IF($B44="","",SUM(S44:U44))</f>
        <v/>
      </c>
      <c r="W44" s="107" t="str">
        <f aca="false">IF($B44="","",R44-V44)</f>
        <v/>
      </c>
      <c r="X44" s="86" t="str">
        <f aca="false">IF($B44="","",الموظفون!$Q44*IF(E44="سعودي",cfg_G_SR,cfg_G_NR)*F44/cfg_DAYS_M)</f>
        <v/>
      </c>
      <c r="Y44" s="86" t="str">
        <f aca="false">IF($B44="","",الموظفون!$O44*(cfg_EOS_R1*(MIN(AC44,cfg_EOS_TH)-MIN(AD44,cfg_EOS_TH))+cfg_EOS_R2*(MAX(AC44-cfg_EOS_TH,0)-MAX(AD44-cfg_EOS_TH,0))))</f>
        <v/>
      </c>
      <c r="Z44" s="86" t="str">
        <f aca="false">IF($B44="","",IF(الموظفون!$R44&lt;&gt;"",الموظفون!$R44,IF(AC44&gt;=cfg_LV_TH,cfg_LV_D2,cfg_LV_D1))/cfg_DAYS_Y*AE44*الموظفون!$P44/cfg_DAYS_M)</f>
        <v/>
      </c>
      <c r="AA44" s="86" t="str">
        <f aca="false">IF($B44="","",IF(AND(الموظفون!$S44="نعم",N(الموظفون!$U44)&gt;0),الموظفون!$T44/الموظفون!$U44*12/cfg_DAYS_Y*AE44,0))</f>
        <v/>
      </c>
      <c r="AB44" s="108" t="str">
        <f aca="false">IF($B44="","",R44+SUM(X44:AA44))</f>
        <v/>
      </c>
      <c r="AC44" s="109" t="str">
        <f aca="false">IF($B44="","",MAX(0,IF(OR(الموظفون!$X44="",الموظفون!$X44&gt;$G$3),$G$3,الموظفون!$X44)-الموظفون!$H44+1)/cfg_DAYS_Y)</f>
        <v/>
      </c>
      <c r="AD44" s="109" t="str">
        <f aca="false">IF($B44="","",MAX(0,IF(OR(الموظفون!$X44="",الموظفون!$X44&gt;($E$3-1)),($E$3-1),الموظفون!$X44)-الموظفون!$H44+1)/cfg_DAYS_Y)</f>
        <v/>
      </c>
      <c r="AE44" s="51" t="str">
        <f aca="false">IF($B44="","",MAX(0,IF(OR(الموظفون!$X44="",الموظفون!$X44&gt;$G$3),$G$3,الموظفون!$X44)-MAX($E$3,الموظفون!$H44)+1))</f>
        <v/>
      </c>
    </row>
    <row r="45" customFormat="false" ht="15" hidden="false" customHeight="false" outlineLevel="0" collapsed="false">
      <c r="A45" s="89" t="str">
        <f aca="false">IF($B45="","",الموظفون!$A45)</f>
        <v/>
      </c>
      <c r="B45" s="91" t="str">
        <f aca="false">IF(الموظفون!$B45="","",الموظفون!$B45)</f>
        <v/>
      </c>
      <c r="C45" s="91" t="str">
        <f aca="false">IF($B45="","",الموظفون!$C45)</f>
        <v/>
      </c>
      <c r="D45" s="91" t="str">
        <f aca="false">IF($B45="","",الموظفون!$F45)</f>
        <v/>
      </c>
      <c r="E45" s="91" t="str">
        <f aca="false">IF($B45="","",الموظفون!$E45)</f>
        <v/>
      </c>
      <c r="F45" s="110" t="str">
        <f aca="false">IF($B45="","",IF(AE45&gt;=DAY($G$3),cfg_DAYS_M,MIN(AE45,cfg_DAYS_M)))</f>
        <v/>
      </c>
      <c r="G45" s="110" t="str">
        <f aca="false">IF($B45="","",SUMIFS('الحركات الشهرية'!$D$6:$D$1005,'الحركات الشهرية'!$B$6:$B$1005,$B45,'الحركات الشهرية'!$A$6:$A$1005,$C$3))</f>
        <v/>
      </c>
      <c r="H45" s="110" t="str">
        <f aca="false">IF($B45="","",SUMIFS('الحركات الشهرية'!$E$6:$E$1005,'الحركات الشهرية'!$B$6:$B$1005,$B45,'الحركات الشهرية'!$A$6:$A$1005,$C$3))</f>
        <v/>
      </c>
      <c r="I45" s="110" t="str">
        <f aca="false">IF($B45="","",MAX(0,F45-G45-H45))</f>
        <v/>
      </c>
      <c r="J45" s="90" t="str">
        <f aca="false">IF($B45="","",الموظفون!$J45*$I45/cfg_DAYS_M)</f>
        <v/>
      </c>
      <c r="K45" s="90" t="str">
        <f aca="false">IF($B45="","",الموظفون!$K45*$I45/cfg_DAYS_M)</f>
        <v/>
      </c>
      <c r="L45" s="90" t="str">
        <f aca="false">IF($B45="","",الموظفون!$L45*$I45/cfg_DAYS_M)</f>
        <v/>
      </c>
      <c r="M45" s="90" t="str">
        <f aca="false">IF($B45="","",الموظفون!$M45*$I45/cfg_DAYS_M)</f>
        <v/>
      </c>
      <c r="N45" s="110" t="str">
        <f aca="false">IF($B45="","",SUMIFS('الحركات الشهرية'!$F$6:$F$1005,'الحركات الشهرية'!$B$6:$B$1005,$B45,'الحركات الشهرية'!$A$6:$A$1005,$C$3))</f>
        <v/>
      </c>
      <c r="O45" s="90" t="str">
        <f aca="false">IF($B45="","",N45*(الموظفون!$N45+الموظفون!$J45*cfg_OT_P)/cfg_DAYS_M/cfg_HRS)</f>
        <v/>
      </c>
      <c r="P45" s="90" t="str">
        <f aca="false">IF($B45="","",SUMIFS('الحركات الشهرية'!$G$6:$G$1005,'الحركات الشهرية'!$B$6:$B$1005,$B45,'الحركات الشهرية'!$A$6:$A$1005,$C$3))</f>
        <v/>
      </c>
      <c r="Q45" s="90" t="str">
        <f aca="false">IF($B45="","",SUMIFS('الحركات الشهرية'!$H$6:$H$1005,'الحركات الشهرية'!$B$6:$B$1005,$B45,'الحركات الشهرية'!$A$6:$A$1005,$C$3))</f>
        <v/>
      </c>
      <c r="R45" s="111" t="str">
        <f aca="false">IF($B45="","",SUM(J45:M45)+SUM(O45:Q45))</f>
        <v/>
      </c>
      <c r="S45" s="90" t="str">
        <f aca="false">IF($B45="","",الموظفون!$Q45*IF(E45="سعودي",cfg_G_SE,cfg_G_NE)*F45/cfg_DAYS_M)</f>
        <v/>
      </c>
      <c r="T45" s="90" t="str">
        <f aca="false">IF($B45="","",SUMIFS('الحركات الشهرية'!$I$6:$I$1005,'الحركات الشهرية'!$B$6:$B$1005,$B45,'الحركات الشهرية'!$A$6:$A$1005,$C$3))</f>
        <v/>
      </c>
      <c r="U45" s="90" t="str">
        <f aca="false">IF($B45="","",SUMIFS('الحركات الشهرية'!$J$6:$J$1005,'الحركات الشهرية'!$B$6:$B$1005,$B45,'الحركات الشهرية'!$A$6:$A$1005,$C$3))</f>
        <v/>
      </c>
      <c r="V45" s="90" t="str">
        <f aca="false">IF($B45="","",SUM(S45:U45))</f>
        <v/>
      </c>
      <c r="W45" s="112" t="str">
        <f aca="false">IF($B45="","",R45-V45)</f>
        <v/>
      </c>
      <c r="X45" s="90" t="str">
        <f aca="false">IF($B45="","",الموظفون!$Q45*IF(E45="سعودي",cfg_G_SR,cfg_G_NR)*F45/cfg_DAYS_M)</f>
        <v/>
      </c>
      <c r="Y45" s="90" t="str">
        <f aca="false">IF($B45="","",الموظفون!$O45*(cfg_EOS_R1*(MIN(AC45,cfg_EOS_TH)-MIN(AD45,cfg_EOS_TH))+cfg_EOS_R2*(MAX(AC45-cfg_EOS_TH,0)-MAX(AD45-cfg_EOS_TH,0))))</f>
        <v/>
      </c>
      <c r="Z45" s="90" t="str">
        <f aca="false">IF($B45="","",IF(الموظفون!$R45&lt;&gt;"",الموظفون!$R45,IF(AC45&gt;=cfg_LV_TH,cfg_LV_D2,cfg_LV_D1))/cfg_DAYS_Y*AE45*الموظفون!$P45/cfg_DAYS_M)</f>
        <v/>
      </c>
      <c r="AA45" s="90" t="str">
        <f aca="false">IF($B45="","",IF(AND(الموظفون!$S45="نعم",N(الموظفون!$U45)&gt;0),الموظفون!$T45/الموظفون!$U45*12/cfg_DAYS_Y*AE45,0))</f>
        <v/>
      </c>
      <c r="AB45" s="113" t="str">
        <f aca="false">IF($B45="","",R45+SUM(X45:AA45))</f>
        <v/>
      </c>
      <c r="AC45" s="114" t="str">
        <f aca="false">IF($B45="","",MAX(0,IF(OR(الموظفون!$X45="",الموظفون!$X45&gt;$G$3),$G$3,الموظفون!$X45)-الموظفون!$H45+1)/cfg_DAYS_Y)</f>
        <v/>
      </c>
      <c r="AD45" s="114" t="str">
        <f aca="false">IF($B45="","",MAX(0,IF(OR(الموظفون!$X45="",الموظفون!$X45&gt;($E$3-1)),($E$3-1),الموظفون!$X45)-الموظفون!$H45+1)/cfg_DAYS_Y)</f>
        <v/>
      </c>
      <c r="AE45" s="115" t="str">
        <f aca="false">IF($B45="","",MAX(0,IF(OR(الموظفون!$X45="",الموظفون!$X45&gt;$G$3),$G$3,الموظفون!$X45)-MAX($E$3,الموظفون!$H45)+1))</f>
        <v/>
      </c>
    </row>
    <row r="46" customFormat="false" ht="15" hidden="false" customHeight="false" outlineLevel="0" collapsed="false">
      <c r="A46" s="83" t="str">
        <f aca="false">IF($B46="","",الموظفون!$A46)</f>
        <v/>
      </c>
      <c r="B46" s="74" t="str">
        <f aca="false">IF(الموظفون!$B46="","",الموظفون!$B46)</f>
        <v/>
      </c>
      <c r="C46" s="74" t="str">
        <f aca="false">IF($B46="","",الموظفون!$C46)</f>
        <v/>
      </c>
      <c r="D46" s="74" t="str">
        <f aca="false">IF($B46="","",الموظفون!$F46)</f>
        <v/>
      </c>
      <c r="E46" s="74" t="str">
        <f aca="false">IF($B46="","",الموظفون!$E46)</f>
        <v/>
      </c>
      <c r="F46" s="105" t="str">
        <f aca="false">IF($B46="","",IF(AE46&gt;=DAY($G$3),cfg_DAYS_M,MIN(AE46,cfg_DAYS_M)))</f>
        <v/>
      </c>
      <c r="G46" s="105" t="str">
        <f aca="false">IF($B46="","",SUMIFS('الحركات الشهرية'!$D$6:$D$1005,'الحركات الشهرية'!$B$6:$B$1005,$B46,'الحركات الشهرية'!$A$6:$A$1005,$C$3))</f>
        <v/>
      </c>
      <c r="H46" s="105" t="str">
        <f aca="false">IF($B46="","",SUMIFS('الحركات الشهرية'!$E$6:$E$1005,'الحركات الشهرية'!$B$6:$B$1005,$B46,'الحركات الشهرية'!$A$6:$A$1005,$C$3))</f>
        <v/>
      </c>
      <c r="I46" s="105" t="str">
        <f aca="false">IF($B46="","",MAX(0,F46-G46-H46))</f>
        <v/>
      </c>
      <c r="J46" s="86" t="str">
        <f aca="false">IF($B46="","",الموظفون!$J46*$I46/cfg_DAYS_M)</f>
        <v/>
      </c>
      <c r="K46" s="86" t="str">
        <f aca="false">IF($B46="","",الموظفون!$K46*$I46/cfg_DAYS_M)</f>
        <v/>
      </c>
      <c r="L46" s="86" t="str">
        <f aca="false">IF($B46="","",الموظفون!$L46*$I46/cfg_DAYS_M)</f>
        <v/>
      </c>
      <c r="M46" s="86" t="str">
        <f aca="false">IF($B46="","",الموظفون!$M46*$I46/cfg_DAYS_M)</f>
        <v/>
      </c>
      <c r="N46" s="105" t="str">
        <f aca="false">IF($B46="","",SUMIFS('الحركات الشهرية'!$F$6:$F$1005,'الحركات الشهرية'!$B$6:$B$1005,$B46,'الحركات الشهرية'!$A$6:$A$1005,$C$3))</f>
        <v/>
      </c>
      <c r="O46" s="86" t="str">
        <f aca="false">IF($B46="","",N46*(الموظفون!$N46+الموظفون!$J46*cfg_OT_P)/cfg_DAYS_M/cfg_HRS)</f>
        <v/>
      </c>
      <c r="P46" s="86" t="str">
        <f aca="false">IF($B46="","",SUMIFS('الحركات الشهرية'!$G$6:$G$1005,'الحركات الشهرية'!$B$6:$B$1005,$B46,'الحركات الشهرية'!$A$6:$A$1005,$C$3))</f>
        <v/>
      </c>
      <c r="Q46" s="86" t="str">
        <f aca="false">IF($B46="","",SUMIFS('الحركات الشهرية'!$H$6:$H$1005,'الحركات الشهرية'!$B$6:$B$1005,$B46,'الحركات الشهرية'!$A$6:$A$1005,$C$3))</f>
        <v/>
      </c>
      <c r="R46" s="106" t="str">
        <f aca="false">IF($B46="","",SUM(J46:M46)+SUM(O46:Q46))</f>
        <v/>
      </c>
      <c r="S46" s="86" t="str">
        <f aca="false">IF($B46="","",الموظفون!$Q46*IF(E46="سعودي",cfg_G_SE,cfg_G_NE)*F46/cfg_DAYS_M)</f>
        <v/>
      </c>
      <c r="T46" s="86" t="str">
        <f aca="false">IF($B46="","",SUMIFS('الحركات الشهرية'!$I$6:$I$1005,'الحركات الشهرية'!$B$6:$B$1005,$B46,'الحركات الشهرية'!$A$6:$A$1005,$C$3))</f>
        <v/>
      </c>
      <c r="U46" s="86" t="str">
        <f aca="false">IF($B46="","",SUMIFS('الحركات الشهرية'!$J$6:$J$1005,'الحركات الشهرية'!$B$6:$B$1005,$B46,'الحركات الشهرية'!$A$6:$A$1005,$C$3))</f>
        <v/>
      </c>
      <c r="V46" s="86" t="str">
        <f aca="false">IF($B46="","",SUM(S46:U46))</f>
        <v/>
      </c>
      <c r="W46" s="107" t="str">
        <f aca="false">IF($B46="","",R46-V46)</f>
        <v/>
      </c>
      <c r="X46" s="86" t="str">
        <f aca="false">IF($B46="","",الموظفون!$Q46*IF(E46="سعودي",cfg_G_SR,cfg_G_NR)*F46/cfg_DAYS_M)</f>
        <v/>
      </c>
      <c r="Y46" s="86" t="str">
        <f aca="false">IF($B46="","",الموظفون!$O46*(cfg_EOS_R1*(MIN(AC46,cfg_EOS_TH)-MIN(AD46,cfg_EOS_TH))+cfg_EOS_R2*(MAX(AC46-cfg_EOS_TH,0)-MAX(AD46-cfg_EOS_TH,0))))</f>
        <v/>
      </c>
      <c r="Z46" s="86" t="str">
        <f aca="false">IF($B46="","",IF(الموظفون!$R46&lt;&gt;"",الموظفون!$R46,IF(AC46&gt;=cfg_LV_TH,cfg_LV_D2,cfg_LV_D1))/cfg_DAYS_Y*AE46*الموظفون!$P46/cfg_DAYS_M)</f>
        <v/>
      </c>
      <c r="AA46" s="86" t="str">
        <f aca="false">IF($B46="","",IF(AND(الموظفون!$S46="نعم",N(الموظفون!$U46)&gt;0),الموظفون!$T46/الموظفون!$U46*12/cfg_DAYS_Y*AE46,0))</f>
        <v/>
      </c>
      <c r="AB46" s="108" t="str">
        <f aca="false">IF($B46="","",R46+SUM(X46:AA46))</f>
        <v/>
      </c>
      <c r="AC46" s="109" t="str">
        <f aca="false">IF($B46="","",MAX(0,IF(OR(الموظفون!$X46="",الموظفون!$X46&gt;$G$3),$G$3,الموظفون!$X46)-الموظفون!$H46+1)/cfg_DAYS_Y)</f>
        <v/>
      </c>
      <c r="AD46" s="109" t="str">
        <f aca="false">IF($B46="","",MAX(0,IF(OR(الموظفون!$X46="",الموظفون!$X46&gt;($E$3-1)),($E$3-1),الموظفون!$X46)-الموظفون!$H46+1)/cfg_DAYS_Y)</f>
        <v/>
      </c>
      <c r="AE46" s="51" t="str">
        <f aca="false">IF($B46="","",MAX(0,IF(OR(الموظفون!$X46="",الموظفون!$X46&gt;$G$3),$G$3,الموظفون!$X46)-MAX($E$3,الموظفون!$H46)+1))</f>
        <v/>
      </c>
    </row>
    <row r="47" customFormat="false" ht="15" hidden="false" customHeight="false" outlineLevel="0" collapsed="false">
      <c r="A47" s="89" t="str">
        <f aca="false">IF($B47="","",الموظفون!$A47)</f>
        <v/>
      </c>
      <c r="B47" s="91" t="str">
        <f aca="false">IF(الموظفون!$B47="","",الموظفون!$B47)</f>
        <v/>
      </c>
      <c r="C47" s="91" t="str">
        <f aca="false">IF($B47="","",الموظفون!$C47)</f>
        <v/>
      </c>
      <c r="D47" s="91" t="str">
        <f aca="false">IF($B47="","",الموظفون!$F47)</f>
        <v/>
      </c>
      <c r="E47" s="91" t="str">
        <f aca="false">IF($B47="","",الموظفون!$E47)</f>
        <v/>
      </c>
      <c r="F47" s="110" t="str">
        <f aca="false">IF($B47="","",IF(AE47&gt;=DAY($G$3),cfg_DAYS_M,MIN(AE47,cfg_DAYS_M)))</f>
        <v/>
      </c>
      <c r="G47" s="110" t="str">
        <f aca="false">IF($B47="","",SUMIFS('الحركات الشهرية'!$D$6:$D$1005,'الحركات الشهرية'!$B$6:$B$1005,$B47,'الحركات الشهرية'!$A$6:$A$1005,$C$3))</f>
        <v/>
      </c>
      <c r="H47" s="110" t="str">
        <f aca="false">IF($B47="","",SUMIFS('الحركات الشهرية'!$E$6:$E$1005,'الحركات الشهرية'!$B$6:$B$1005,$B47,'الحركات الشهرية'!$A$6:$A$1005,$C$3))</f>
        <v/>
      </c>
      <c r="I47" s="110" t="str">
        <f aca="false">IF($B47="","",MAX(0,F47-G47-H47))</f>
        <v/>
      </c>
      <c r="J47" s="90" t="str">
        <f aca="false">IF($B47="","",الموظفون!$J47*$I47/cfg_DAYS_M)</f>
        <v/>
      </c>
      <c r="K47" s="90" t="str">
        <f aca="false">IF($B47="","",الموظفون!$K47*$I47/cfg_DAYS_M)</f>
        <v/>
      </c>
      <c r="L47" s="90" t="str">
        <f aca="false">IF($B47="","",الموظفون!$L47*$I47/cfg_DAYS_M)</f>
        <v/>
      </c>
      <c r="M47" s="90" t="str">
        <f aca="false">IF($B47="","",الموظفون!$M47*$I47/cfg_DAYS_M)</f>
        <v/>
      </c>
      <c r="N47" s="110" t="str">
        <f aca="false">IF($B47="","",SUMIFS('الحركات الشهرية'!$F$6:$F$1005,'الحركات الشهرية'!$B$6:$B$1005,$B47,'الحركات الشهرية'!$A$6:$A$1005,$C$3))</f>
        <v/>
      </c>
      <c r="O47" s="90" t="str">
        <f aca="false">IF($B47="","",N47*(الموظفون!$N47+الموظفون!$J47*cfg_OT_P)/cfg_DAYS_M/cfg_HRS)</f>
        <v/>
      </c>
      <c r="P47" s="90" t="str">
        <f aca="false">IF($B47="","",SUMIFS('الحركات الشهرية'!$G$6:$G$1005,'الحركات الشهرية'!$B$6:$B$1005,$B47,'الحركات الشهرية'!$A$6:$A$1005,$C$3))</f>
        <v/>
      </c>
      <c r="Q47" s="90" t="str">
        <f aca="false">IF($B47="","",SUMIFS('الحركات الشهرية'!$H$6:$H$1005,'الحركات الشهرية'!$B$6:$B$1005,$B47,'الحركات الشهرية'!$A$6:$A$1005,$C$3))</f>
        <v/>
      </c>
      <c r="R47" s="111" t="str">
        <f aca="false">IF($B47="","",SUM(J47:M47)+SUM(O47:Q47))</f>
        <v/>
      </c>
      <c r="S47" s="90" t="str">
        <f aca="false">IF($B47="","",الموظفون!$Q47*IF(E47="سعودي",cfg_G_SE,cfg_G_NE)*F47/cfg_DAYS_M)</f>
        <v/>
      </c>
      <c r="T47" s="90" t="str">
        <f aca="false">IF($B47="","",SUMIFS('الحركات الشهرية'!$I$6:$I$1005,'الحركات الشهرية'!$B$6:$B$1005,$B47,'الحركات الشهرية'!$A$6:$A$1005,$C$3))</f>
        <v/>
      </c>
      <c r="U47" s="90" t="str">
        <f aca="false">IF($B47="","",SUMIFS('الحركات الشهرية'!$J$6:$J$1005,'الحركات الشهرية'!$B$6:$B$1005,$B47,'الحركات الشهرية'!$A$6:$A$1005,$C$3))</f>
        <v/>
      </c>
      <c r="V47" s="90" t="str">
        <f aca="false">IF($B47="","",SUM(S47:U47))</f>
        <v/>
      </c>
      <c r="W47" s="112" t="str">
        <f aca="false">IF($B47="","",R47-V47)</f>
        <v/>
      </c>
      <c r="X47" s="90" t="str">
        <f aca="false">IF($B47="","",الموظفون!$Q47*IF(E47="سعودي",cfg_G_SR,cfg_G_NR)*F47/cfg_DAYS_M)</f>
        <v/>
      </c>
      <c r="Y47" s="90" t="str">
        <f aca="false">IF($B47="","",الموظفون!$O47*(cfg_EOS_R1*(MIN(AC47,cfg_EOS_TH)-MIN(AD47,cfg_EOS_TH))+cfg_EOS_R2*(MAX(AC47-cfg_EOS_TH,0)-MAX(AD47-cfg_EOS_TH,0))))</f>
        <v/>
      </c>
      <c r="Z47" s="90" t="str">
        <f aca="false">IF($B47="","",IF(الموظفون!$R47&lt;&gt;"",الموظفون!$R47,IF(AC47&gt;=cfg_LV_TH,cfg_LV_D2,cfg_LV_D1))/cfg_DAYS_Y*AE47*الموظفون!$P47/cfg_DAYS_M)</f>
        <v/>
      </c>
      <c r="AA47" s="90" t="str">
        <f aca="false">IF($B47="","",IF(AND(الموظفون!$S47="نعم",N(الموظفون!$U47)&gt;0),الموظفون!$T47/الموظفون!$U47*12/cfg_DAYS_Y*AE47,0))</f>
        <v/>
      </c>
      <c r="AB47" s="113" t="str">
        <f aca="false">IF($B47="","",R47+SUM(X47:AA47))</f>
        <v/>
      </c>
      <c r="AC47" s="114" t="str">
        <f aca="false">IF($B47="","",MAX(0,IF(OR(الموظفون!$X47="",الموظفون!$X47&gt;$G$3),$G$3,الموظفون!$X47)-الموظفون!$H47+1)/cfg_DAYS_Y)</f>
        <v/>
      </c>
      <c r="AD47" s="114" t="str">
        <f aca="false">IF($B47="","",MAX(0,IF(OR(الموظفون!$X47="",الموظفون!$X47&gt;($E$3-1)),($E$3-1),الموظفون!$X47)-الموظفون!$H47+1)/cfg_DAYS_Y)</f>
        <v/>
      </c>
      <c r="AE47" s="115" t="str">
        <f aca="false">IF($B47="","",MAX(0,IF(OR(الموظفون!$X47="",الموظفون!$X47&gt;$G$3),$G$3,الموظفون!$X47)-MAX($E$3,الموظفون!$H47)+1))</f>
        <v/>
      </c>
    </row>
    <row r="48" customFormat="false" ht="15" hidden="false" customHeight="false" outlineLevel="0" collapsed="false">
      <c r="A48" s="83" t="str">
        <f aca="false">IF($B48="","",الموظفون!$A48)</f>
        <v/>
      </c>
      <c r="B48" s="74" t="str">
        <f aca="false">IF(الموظفون!$B48="","",الموظفون!$B48)</f>
        <v/>
      </c>
      <c r="C48" s="74" t="str">
        <f aca="false">IF($B48="","",الموظفون!$C48)</f>
        <v/>
      </c>
      <c r="D48" s="74" t="str">
        <f aca="false">IF($B48="","",الموظفون!$F48)</f>
        <v/>
      </c>
      <c r="E48" s="74" t="str">
        <f aca="false">IF($B48="","",الموظفون!$E48)</f>
        <v/>
      </c>
      <c r="F48" s="105" t="str">
        <f aca="false">IF($B48="","",IF(AE48&gt;=DAY($G$3),cfg_DAYS_M,MIN(AE48,cfg_DAYS_M)))</f>
        <v/>
      </c>
      <c r="G48" s="105" t="str">
        <f aca="false">IF($B48="","",SUMIFS('الحركات الشهرية'!$D$6:$D$1005,'الحركات الشهرية'!$B$6:$B$1005,$B48,'الحركات الشهرية'!$A$6:$A$1005,$C$3))</f>
        <v/>
      </c>
      <c r="H48" s="105" t="str">
        <f aca="false">IF($B48="","",SUMIFS('الحركات الشهرية'!$E$6:$E$1005,'الحركات الشهرية'!$B$6:$B$1005,$B48,'الحركات الشهرية'!$A$6:$A$1005,$C$3))</f>
        <v/>
      </c>
      <c r="I48" s="105" t="str">
        <f aca="false">IF($B48="","",MAX(0,F48-G48-H48))</f>
        <v/>
      </c>
      <c r="J48" s="86" t="str">
        <f aca="false">IF($B48="","",الموظفون!$J48*$I48/cfg_DAYS_M)</f>
        <v/>
      </c>
      <c r="K48" s="86" t="str">
        <f aca="false">IF($B48="","",الموظفون!$K48*$I48/cfg_DAYS_M)</f>
        <v/>
      </c>
      <c r="L48" s="86" t="str">
        <f aca="false">IF($B48="","",الموظفون!$L48*$I48/cfg_DAYS_M)</f>
        <v/>
      </c>
      <c r="M48" s="86" t="str">
        <f aca="false">IF($B48="","",الموظفون!$M48*$I48/cfg_DAYS_M)</f>
        <v/>
      </c>
      <c r="N48" s="105" t="str">
        <f aca="false">IF($B48="","",SUMIFS('الحركات الشهرية'!$F$6:$F$1005,'الحركات الشهرية'!$B$6:$B$1005,$B48,'الحركات الشهرية'!$A$6:$A$1005,$C$3))</f>
        <v/>
      </c>
      <c r="O48" s="86" t="str">
        <f aca="false">IF($B48="","",N48*(الموظفون!$N48+الموظفون!$J48*cfg_OT_P)/cfg_DAYS_M/cfg_HRS)</f>
        <v/>
      </c>
      <c r="P48" s="86" t="str">
        <f aca="false">IF($B48="","",SUMIFS('الحركات الشهرية'!$G$6:$G$1005,'الحركات الشهرية'!$B$6:$B$1005,$B48,'الحركات الشهرية'!$A$6:$A$1005,$C$3))</f>
        <v/>
      </c>
      <c r="Q48" s="86" t="str">
        <f aca="false">IF($B48="","",SUMIFS('الحركات الشهرية'!$H$6:$H$1005,'الحركات الشهرية'!$B$6:$B$1005,$B48,'الحركات الشهرية'!$A$6:$A$1005,$C$3))</f>
        <v/>
      </c>
      <c r="R48" s="106" t="str">
        <f aca="false">IF($B48="","",SUM(J48:M48)+SUM(O48:Q48))</f>
        <v/>
      </c>
      <c r="S48" s="86" t="str">
        <f aca="false">IF($B48="","",الموظفون!$Q48*IF(E48="سعودي",cfg_G_SE,cfg_G_NE)*F48/cfg_DAYS_M)</f>
        <v/>
      </c>
      <c r="T48" s="86" t="str">
        <f aca="false">IF($B48="","",SUMIFS('الحركات الشهرية'!$I$6:$I$1005,'الحركات الشهرية'!$B$6:$B$1005,$B48,'الحركات الشهرية'!$A$6:$A$1005,$C$3))</f>
        <v/>
      </c>
      <c r="U48" s="86" t="str">
        <f aca="false">IF($B48="","",SUMIFS('الحركات الشهرية'!$J$6:$J$1005,'الحركات الشهرية'!$B$6:$B$1005,$B48,'الحركات الشهرية'!$A$6:$A$1005,$C$3))</f>
        <v/>
      </c>
      <c r="V48" s="86" t="str">
        <f aca="false">IF($B48="","",SUM(S48:U48))</f>
        <v/>
      </c>
      <c r="W48" s="107" t="str">
        <f aca="false">IF($B48="","",R48-V48)</f>
        <v/>
      </c>
      <c r="X48" s="86" t="str">
        <f aca="false">IF($B48="","",الموظفون!$Q48*IF(E48="سعودي",cfg_G_SR,cfg_G_NR)*F48/cfg_DAYS_M)</f>
        <v/>
      </c>
      <c r="Y48" s="86" t="str">
        <f aca="false">IF($B48="","",الموظفون!$O48*(cfg_EOS_R1*(MIN(AC48,cfg_EOS_TH)-MIN(AD48,cfg_EOS_TH))+cfg_EOS_R2*(MAX(AC48-cfg_EOS_TH,0)-MAX(AD48-cfg_EOS_TH,0))))</f>
        <v/>
      </c>
      <c r="Z48" s="86" t="str">
        <f aca="false">IF($B48="","",IF(الموظفون!$R48&lt;&gt;"",الموظفون!$R48,IF(AC48&gt;=cfg_LV_TH,cfg_LV_D2,cfg_LV_D1))/cfg_DAYS_Y*AE48*الموظفون!$P48/cfg_DAYS_M)</f>
        <v/>
      </c>
      <c r="AA48" s="86" t="str">
        <f aca="false">IF($B48="","",IF(AND(الموظفون!$S48="نعم",N(الموظفون!$U48)&gt;0),الموظفون!$T48/الموظفون!$U48*12/cfg_DAYS_Y*AE48,0))</f>
        <v/>
      </c>
      <c r="AB48" s="108" t="str">
        <f aca="false">IF($B48="","",R48+SUM(X48:AA48))</f>
        <v/>
      </c>
      <c r="AC48" s="109" t="str">
        <f aca="false">IF($B48="","",MAX(0,IF(OR(الموظفون!$X48="",الموظفون!$X48&gt;$G$3),$G$3,الموظفون!$X48)-الموظفون!$H48+1)/cfg_DAYS_Y)</f>
        <v/>
      </c>
      <c r="AD48" s="109" t="str">
        <f aca="false">IF($B48="","",MAX(0,IF(OR(الموظفون!$X48="",الموظفون!$X48&gt;($E$3-1)),($E$3-1),الموظفون!$X48)-الموظفون!$H48+1)/cfg_DAYS_Y)</f>
        <v/>
      </c>
      <c r="AE48" s="51" t="str">
        <f aca="false">IF($B48="","",MAX(0,IF(OR(الموظفون!$X48="",الموظفون!$X48&gt;$G$3),$G$3,الموظفون!$X48)-MAX($E$3,الموظفون!$H48)+1))</f>
        <v/>
      </c>
    </row>
    <row r="49" customFormat="false" ht="15" hidden="false" customHeight="false" outlineLevel="0" collapsed="false">
      <c r="A49" s="89" t="str">
        <f aca="false">IF($B49="","",الموظفون!$A49)</f>
        <v/>
      </c>
      <c r="B49" s="91" t="str">
        <f aca="false">IF(الموظفون!$B49="","",الموظفون!$B49)</f>
        <v/>
      </c>
      <c r="C49" s="91" t="str">
        <f aca="false">IF($B49="","",الموظفون!$C49)</f>
        <v/>
      </c>
      <c r="D49" s="91" t="str">
        <f aca="false">IF($B49="","",الموظفون!$F49)</f>
        <v/>
      </c>
      <c r="E49" s="91" t="str">
        <f aca="false">IF($B49="","",الموظفون!$E49)</f>
        <v/>
      </c>
      <c r="F49" s="110" t="str">
        <f aca="false">IF($B49="","",IF(AE49&gt;=DAY($G$3),cfg_DAYS_M,MIN(AE49,cfg_DAYS_M)))</f>
        <v/>
      </c>
      <c r="G49" s="110" t="str">
        <f aca="false">IF($B49="","",SUMIFS('الحركات الشهرية'!$D$6:$D$1005,'الحركات الشهرية'!$B$6:$B$1005,$B49,'الحركات الشهرية'!$A$6:$A$1005,$C$3))</f>
        <v/>
      </c>
      <c r="H49" s="110" t="str">
        <f aca="false">IF($B49="","",SUMIFS('الحركات الشهرية'!$E$6:$E$1005,'الحركات الشهرية'!$B$6:$B$1005,$B49,'الحركات الشهرية'!$A$6:$A$1005,$C$3))</f>
        <v/>
      </c>
      <c r="I49" s="110" t="str">
        <f aca="false">IF($B49="","",MAX(0,F49-G49-H49))</f>
        <v/>
      </c>
      <c r="J49" s="90" t="str">
        <f aca="false">IF($B49="","",الموظفون!$J49*$I49/cfg_DAYS_M)</f>
        <v/>
      </c>
      <c r="K49" s="90" t="str">
        <f aca="false">IF($B49="","",الموظفون!$K49*$I49/cfg_DAYS_M)</f>
        <v/>
      </c>
      <c r="L49" s="90" t="str">
        <f aca="false">IF($B49="","",الموظفون!$L49*$I49/cfg_DAYS_M)</f>
        <v/>
      </c>
      <c r="M49" s="90" t="str">
        <f aca="false">IF($B49="","",الموظفون!$M49*$I49/cfg_DAYS_M)</f>
        <v/>
      </c>
      <c r="N49" s="110" t="str">
        <f aca="false">IF($B49="","",SUMIFS('الحركات الشهرية'!$F$6:$F$1005,'الحركات الشهرية'!$B$6:$B$1005,$B49,'الحركات الشهرية'!$A$6:$A$1005,$C$3))</f>
        <v/>
      </c>
      <c r="O49" s="90" t="str">
        <f aca="false">IF($B49="","",N49*(الموظفون!$N49+الموظفون!$J49*cfg_OT_P)/cfg_DAYS_M/cfg_HRS)</f>
        <v/>
      </c>
      <c r="P49" s="90" t="str">
        <f aca="false">IF($B49="","",SUMIFS('الحركات الشهرية'!$G$6:$G$1005,'الحركات الشهرية'!$B$6:$B$1005,$B49,'الحركات الشهرية'!$A$6:$A$1005,$C$3))</f>
        <v/>
      </c>
      <c r="Q49" s="90" t="str">
        <f aca="false">IF($B49="","",SUMIFS('الحركات الشهرية'!$H$6:$H$1005,'الحركات الشهرية'!$B$6:$B$1005,$B49,'الحركات الشهرية'!$A$6:$A$1005,$C$3))</f>
        <v/>
      </c>
      <c r="R49" s="111" t="str">
        <f aca="false">IF($B49="","",SUM(J49:M49)+SUM(O49:Q49))</f>
        <v/>
      </c>
      <c r="S49" s="90" t="str">
        <f aca="false">IF($B49="","",الموظفون!$Q49*IF(E49="سعودي",cfg_G_SE,cfg_G_NE)*F49/cfg_DAYS_M)</f>
        <v/>
      </c>
      <c r="T49" s="90" t="str">
        <f aca="false">IF($B49="","",SUMIFS('الحركات الشهرية'!$I$6:$I$1005,'الحركات الشهرية'!$B$6:$B$1005,$B49,'الحركات الشهرية'!$A$6:$A$1005,$C$3))</f>
        <v/>
      </c>
      <c r="U49" s="90" t="str">
        <f aca="false">IF($B49="","",SUMIFS('الحركات الشهرية'!$J$6:$J$1005,'الحركات الشهرية'!$B$6:$B$1005,$B49,'الحركات الشهرية'!$A$6:$A$1005,$C$3))</f>
        <v/>
      </c>
      <c r="V49" s="90" t="str">
        <f aca="false">IF($B49="","",SUM(S49:U49))</f>
        <v/>
      </c>
      <c r="W49" s="112" t="str">
        <f aca="false">IF($B49="","",R49-V49)</f>
        <v/>
      </c>
      <c r="X49" s="90" t="str">
        <f aca="false">IF($B49="","",الموظفون!$Q49*IF(E49="سعودي",cfg_G_SR,cfg_G_NR)*F49/cfg_DAYS_M)</f>
        <v/>
      </c>
      <c r="Y49" s="90" t="str">
        <f aca="false">IF($B49="","",الموظفون!$O49*(cfg_EOS_R1*(MIN(AC49,cfg_EOS_TH)-MIN(AD49,cfg_EOS_TH))+cfg_EOS_R2*(MAX(AC49-cfg_EOS_TH,0)-MAX(AD49-cfg_EOS_TH,0))))</f>
        <v/>
      </c>
      <c r="Z49" s="90" t="str">
        <f aca="false">IF($B49="","",IF(الموظفون!$R49&lt;&gt;"",الموظفون!$R49,IF(AC49&gt;=cfg_LV_TH,cfg_LV_D2,cfg_LV_D1))/cfg_DAYS_Y*AE49*الموظفون!$P49/cfg_DAYS_M)</f>
        <v/>
      </c>
      <c r="AA49" s="90" t="str">
        <f aca="false">IF($B49="","",IF(AND(الموظفون!$S49="نعم",N(الموظفون!$U49)&gt;0),الموظفون!$T49/الموظفون!$U49*12/cfg_DAYS_Y*AE49,0))</f>
        <v/>
      </c>
      <c r="AB49" s="113" t="str">
        <f aca="false">IF($B49="","",R49+SUM(X49:AA49))</f>
        <v/>
      </c>
      <c r="AC49" s="114" t="str">
        <f aca="false">IF($B49="","",MAX(0,IF(OR(الموظفون!$X49="",الموظفون!$X49&gt;$G$3),$G$3,الموظفون!$X49)-الموظفون!$H49+1)/cfg_DAYS_Y)</f>
        <v/>
      </c>
      <c r="AD49" s="114" t="str">
        <f aca="false">IF($B49="","",MAX(0,IF(OR(الموظفون!$X49="",الموظفون!$X49&gt;($E$3-1)),($E$3-1),الموظفون!$X49)-الموظفون!$H49+1)/cfg_DAYS_Y)</f>
        <v/>
      </c>
      <c r="AE49" s="115" t="str">
        <f aca="false">IF($B49="","",MAX(0,IF(OR(الموظفون!$X49="",الموظفون!$X49&gt;$G$3),$G$3,الموظفون!$X49)-MAX($E$3,الموظفون!$H49)+1))</f>
        <v/>
      </c>
    </row>
    <row r="50" customFormat="false" ht="15" hidden="false" customHeight="false" outlineLevel="0" collapsed="false">
      <c r="A50" s="83" t="str">
        <f aca="false">IF($B50="","",الموظفون!$A50)</f>
        <v/>
      </c>
      <c r="B50" s="74" t="str">
        <f aca="false">IF(الموظفون!$B50="","",الموظفون!$B50)</f>
        <v/>
      </c>
      <c r="C50" s="74" t="str">
        <f aca="false">IF($B50="","",الموظفون!$C50)</f>
        <v/>
      </c>
      <c r="D50" s="74" t="str">
        <f aca="false">IF($B50="","",الموظفون!$F50)</f>
        <v/>
      </c>
      <c r="E50" s="74" t="str">
        <f aca="false">IF($B50="","",الموظفون!$E50)</f>
        <v/>
      </c>
      <c r="F50" s="105" t="str">
        <f aca="false">IF($B50="","",IF(AE50&gt;=DAY($G$3),cfg_DAYS_M,MIN(AE50,cfg_DAYS_M)))</f>
        <v/>
      </c>
      <c r="G50" s="105" t="str">
        <f aca="false">IF($B50="","",SUMIFS('الحركات الشهرية'!$D$6:$D$1005,'الحركات الشهرية'!$B$6:$B$1005,$B50,'الحركات الشهرية'!$A$6:$A$1005,$C$3))</f>
        <v/>
      </c>
      <c r="H50" s="105" t="str">
        <f aca="false">IF($B50="","",SUMIFS('الحركات الشهرية'!$E$6:$E$1005,'الحركات الشهرية'!$B$6:$B$1005,$B50,'الحركات الشهرية'!$A$6:$A$1005,$C$3))</f>
        <v/>
      </c>
      <c r="I50" s="105" t="str">
        <f aca="false">IF($B50="","",MAX(0,F50-G50-H50))</f>
        <v/>
      </c>
      <c r="J50" s="86" t="str">
        <f aca="false">IF($B50="","",الموظفون!$J50*$I50/cfg_DAYS_M)</f>
        <v/>
      </c>
      <c r="K50" s="86" t="str">
        <f aca="false">IF($B50="","",الموظفون!$K50*$I50/cfg_DAYS_M)</f>
        <v/>
      </c>
      <c r="L50" s="86" t="str">
        <f aca="false">IF($B50="","",الموظفون!$L50*$I50/cfg_DAYS_M)</f>
        <v/>
      </c>
      <c r="M50" s="86" t="str">
        <f aca="false">IF($B50="","",الموظفون!$M50*$I50/cfg_DAYS_M)</f>
        <v/>
      </c>
      <c r="N50" s="105" t="str">
        <f aca="false">IF($B50="","",SUMIFS('الحركات الشهرية'!$F$6:$F$1005,'الحركات الشهرية'!$B$6:$B$1005,$B50,'الحركات الشهرية'!$A$6:$A$1005,$C$3))</f>
        <v/>
      </c>
      <c r="O50" s="86" t="str">
        <f aca="false">IF($B50="","",N50*(الموظفون!$N50+الموظفون!$J50*cfg_OT_P)/cfg_DAYS_M/cfg_HRS)</f>
        <v/>
      </c>
      <c r="P50" s="86" t="str">
        <f aca="false">IF($B50="","",SUMIFS('الحركات الشهرية'!$G$6:$G$1005,'الحركات الشهرية'!$B$6:$B$1005,$B50,'الحركات الشهرية'!$A$6:$A$1005,$C$3))</f>
        <v/>
      </c>
      <c r="Q50" s="86" t="str">
        <f aca="false">IF($B50="","",SUMIFS('الحركات الشهرية'!$H$6:$H$1005,'الحركات الشهرية'!$B$6:$B$1005,$B50,'الحركات الشهرية'!$A$6:$A$1005,$C$3))</f>
        <v/>
      </c>
      <c r="R50" s="106" t="str">
        <f aca="false">IF($B50="","",SUM(J50:M50)+SUM(O50:Q50))</f>
        <v/>
      </c>
      <c r="S50" s="86" t="str">
        <f aca="false">IF($B50="","",الموظفون!$Q50*IF(E50="سعودي",cfg_G_SE,cfg_G_NE)*F50/cfg_DAYS_M)</f>
        <v/>
      </c>
      <c r="T50" s="86" t="str">
        <f aca="false">IF($B50="","",SUMIFS('الحركات الشهرية'!$I$6:$I$1005,'الحركات الشهرية'!$B$6:$B$1005,$B50,'الحركات الشهرية'!$A$6:$A$1005,$C$3))</f>
        <v/>
      </c>
      <c r="U50" s="86" t="str">
        <f aca="false">IF($B50="","",SUMIFS('الحركات الشهرية'!$J$6:$J$1005,'الحركات الشهرية'!$B$6:$B$1005,$B50,'الحركات الشهرية'!$A$6:$A$1005,$C$3))</f>
        <v/>
      </c>
      <c r="V50" s="86" t="str">
        <f aca="false">IF($B50="","",SUM(S50:U50))</f>
        <v/>
      </c>
      <c r="W50" s="107" t="str">
        <f aca="false">IF($B50="","",R50-V50)</f>
        <v/>
      </c>
      <c r="X50" s="86" t="str">
        <f aca="false">IF($B50="","",الموظفون!$Q50*IF(E50="سعودي",cfg_G_SR,cfg_G_NR)*F50/cfg_DAYS_M)</f>
        <v/>
      </c>
      <c r="Y50" s="86" t="str">
        <f aca="false">IF($B50="","",الموظفون!$O50*(cfg_EOS_R1*(MIN(AC50,cfg_EOS_TH)-MIN(AD50,cfg_EOS_TH))+cfg_EOS_R2*(MAX(AC50-cfg_EOS_TH,0)-MAX(AD50-cfg_EOS_TH,0))))</f>
        <v/>
      </c>
      <c r="Z50" s="86" t="str">
        <f aca="false">IF($B50="","",IF(الموظفون!$R50&lt;&gt;"",الموظفون!$R50,IF(AC50&gt;=cfg_LV_TH,cfg_LV_D2,cfg_LV_D1))/cfg_DAYS_Y*AE50*الموظفون!$P50/cfg_DAYS_M)</f>
        <v/>
      </c>
      <c r="AA50" s="86" t="str">
        <f aca="false">IF($B50="","",IF(AND(الموظفون!$S50="نعم",N(الموظفون!$U50)&gt;0),الموظفون!$T50/الموظفون!$U50*12/cfg_DAYS_Y*AE50,0))</f>
        <v/>
      </c>
      <c r="AB50" s="108" t="str">
        <f aca="false">IF($B50="","",R50+SUM(X50:AA50))</f>
        <v/>
      </c>
      <c r="AC50" s="109" t="str">
        <f aca="false">IF($B50="","",MAX(0,IF(OR(الموظفون!$X50="",الموظفون!$X50&gt;$G$3),$G$3,الموظفون!$X50)-الموظفون!$H50+1)/cfg_DAYS_Y)</f>
        <v/>
      </c>
      <c r="AD50" s="109" t="str">
        <f aca="false">IF($B50="","",MAX(0,IF(OR(الموظفون!$X50="",الموظفون!$X50&gt;($E$3-1)),($E$3-1),الموظفون!$X50)-الموظفون!$H50+1)/cfg_DAYS_Y)</f>
        <v/>
      </c>
      <c r="AE50" s="51" t="str">
        <f aca="false">IF($B50="","",MAX(0,IF(OR(الموظفون!$X50="",الموظفون!$X50&gt;$G$3),$G$3,الموظفون!$X50)-MAX($E$3,الموظفون!$H50)+1))</f>
        <v/>
      </c>
    </row>
    <row r="51" customFormat="false" ht="15" hidden="false" customHeight="false" outlineLevel="0" collapsed="false">
      <c r="A51" s="89" t="str">
        <f aca="false">IF($B51="","",الموظفون!$A51)</f>
        <v/>
      </c>
      <c r="B51" s="91" t="str">
        <f aca="false">IF(الموظفون!$B51="","",الموظفون!$B51)</f>
        <v/>
      </c>
      <c r="C51" s="91" t="str">
        <f aca="false">IF($B51="","",الموظفون!$C51)</f>
        <v/>
      </c>
      <c r="D51" s="91" t="str">
        <f aca="false">IF($B51="","",الموظفون!$F51)</f>
        <v/>
      </c>
      <c r="E51" s="91" t="str">
        <f aca="false">IF($B51="","",الموظفون!$E51)</f>
        <v/>
      </c>
      <c r="F51" s="110" t="str">
        <f aca="false">IF($B51="","",IF(AE51&gt;=DAY($G$3),cfg_DAYS_M,MIN(AE51,cfg_DAYS_M)))</f>
        <v/>
      </c>
      <c r="G51" s="110" t="str">
        <f aca="false">IF($B51="","",SUMIFS('الحركات الشهرية'!$D$6:$D$1005,'الحركات الشهرية'!$B$6:$B$1005,$B51,'الحركات الشهرية'!$A$6:$A$1005,$C$3))</f>
        <v/>
      </c>
      <c r="H51" s="110" t="str">
        <f aca="false">IF($B51="","",SUMIFS('الحركات الشهرية'!$E$6:$E$1005,'الحركات الشهرية'!$B$6:$B$1005,$B51,'الحركات الشهرية'!$A$6:$A$1005,$C$3))</f>
        <v/>
      </c>
      <c r="I51" s="110" t="str">
        <f aca="false">IF($B51="","",MAX(0,F51-G51-H51))</f>
        <v/>
      </c>
      <c r="J51" s="90" t="str">
        <f aca="false">IF($B51="","",الموظفون!$J51*$I51/cfg_DAYS_M)</f>
        <v/>
      </c>
      <c r="K51" s="90" t="str">
        <f aca="false">IF($B51="","",الموظفون!$K51*$I51/cfg_DAYS_M)</f>
        <v/>
      </c>
      <c r="L51" s="90" t="str">
        <f aca="false">IF($B51="","",الموظفون!$L51*$I51/cfg_DAYS_M)</f>
        <v/>
      </c>
      <c r="M51" s="90" t="str">
        <f aca="false">IF($B51="","",الموظفون!$M51*$I51/cfg_DAYS_M)</f>
        <v/>
      </c>
      <c r="N51" s="110" t="str">
        <f aca="false">IF($B51="","",SUMIFS('الحركات الشهرية'!$F$6:$F$1005,'الحركات الشهرية'!$B$6:$B$1005,$B51,'الحركات الشهرية'!$A$6:$A$1005,$C$3))</f>
        <v/>
      </c>
      <c r="O51" s="90" t="str">
        <f aca="false">IF($B51="","",N51*(الموظفون!$N51+الموظفون!$J51*cfg_OT_P)/cfg_DAYS_M/cfg_HRS)</f>
        <v/>
      </c>
      <c r="P51" s="90" t="str">
        <f aca="false">IF($B51="","",SUMIFS('الحركات الشهرية'!$G$6:$G$1005,'الحركات الشهرية'!$B$6:$B$1005,$B51,'الحركات الشهرية'!$A$6:$A$1005,$C$3))</f>
        <v/>
      </c>
      <c r="Q51" s="90" t="str">
        <f aca="false">IF($B51="","",SUMIFS('الحركات الشهرية'!$H$6:$H$1005,'الحركات الشهرية'!$B$6:$B$1005,$B51,'الحركات الشهرية'!$A$6:$A$1005,$C$3))</f>
        <v/>
      </c>
      <c r="R51" s="111" t="str">
        <f aca="false">IF($B51="","",SUM(J51:M51)+SUM(O51:Q51))</f>
        <v/>
      </c>
      <c r="S51" s="90" t="str">
        <f aca="false">IF($B51="","",الموظفون!$Q51*IF(E51="سعودي",cfg_G_SE,cfg_G_NE)*F51/cfg_DAYS_M)</f>
        <v/>
      </c>
      <c r="T51" s="90" t="str">
        <f aca="false">IF($B51="","",SUMIFS('الحركات الشهرية'!$I$6:$I$1005,'الحركات الشهرية'!$B$6:$B$1005,$B51,'الحركات الشهرية'!$A$6:$A$1005,$C$3))</f>
        <v/>
      </c>
      <c r="U51" s="90" t="str">
        <f aca="false">IF($B51="","",SUMIFS('الحركات الشهرية'!$J$6:$J$1005,'الحركات الشهرية'!$B$6:$B$1005,$B51,'الحركات الشهرية'!$A$6:$A$1005,$C$3))</f>
        <v/>
      </c>
      <c r="V51" s="90" t="str">
        <f aca="false">IF($B51="","",SUM(S51:U51))</f>
        <v/>
      </c>
      <c r="W51" s="112" t="str">
        <f aca="false">IF($B51="","",R51-V51)</f>
        <v/>
      </c>
      <c r="X51" s="90" t="str">
        <f aca="false">IF($B51="","",الموظفون!$Q51*IF(E51="سعودي",cfg_G_SR,cfg_G_NR)*F51/cfg_DAYS_M)</f>
        <v/>
      </c>
      <c r="Y51" s="90" t="str">
        <f aca="false">IF($B51="","",الموظفون!$O51*(cfg_EOS_R1*(MIN(AC51,cfg_EOS_TH)-MIN(AD51,cfg_EOS_TH))+cfg_EOS_R2*(MAX(AC51-cfg_EOS_TH,0)-MAX(AD51-cfg_EOS_TH,0))))</f>
        <v/>
      </c>
      <c r="Z51" s="90" t="str">
        <f aca="false">IF($B51="","",IF(الموظفون!$R51&lt;&gt;"",الموظفون!$R51,IF(AC51&gt;=cfg_LV_TH,cfg_LV_D2,cfg_LV_D1))/cfg_DAYS_Y*AE51*الموظفون!$P51/cfg_DAYS_M)</f>
        <v/>
      </c>
      <c r="AA51" s="90" t="str">
        <f aca="false">IF($B51="","",IF(AND(الموظفون!$S51="نعم",N(الموظفون!$U51)&gt;0),الموظفون!$T51/الموظفون!$U51*12/cfg_DAYS_Y*AE51,0))</f>
        <v/>
      </c>
      <c r="AB51" s="113" t="str">
        <f aca="false">IF($B51="","",R51+SUM(X51:AA51))</f>
        <v/>
      </c>
      <c r="AC51" s="114" t="str">
        <f aca="false">IF($B51="","",MAX(0,IF(OR(الموظفون!$X51="",الموظفون!$X51&gt;$G$3),$G$3,الموظفون!$X51)-الموظفون!$H51+1)/cfg_DAYS_Y)</f>
        <v/>
      </c>
      <c r="AD51" s="114" t="str">
        <f aca="false">IF($B51="","",MAX(0,IF(OR(الموظفون!$X51="",الموظفون!$X51&gt;($E$3-1)),($E$3-1),الموظفون!$X51)-الموظفون!$H51+1)/cfg_DAYS_Y)</f>
        <v/>
      </c>
      <c r="AE51" s="115" t="str">
        <f aca="false">IF($B51="","",MAX(0,IF(OR(الموظفون!$X51="",الموظفون!$X51&gt;$G$3),$G$3,الموظفون!$X51)-MAX($E$3,الموظفون!$H51)+1))</f>
        <v/>
      </c>
    </row>
    <row r="52" customFormat="false" ht="15" hidden="false" customHeight="false" outlineLevel="0" collapsed="false">
      <c r="A52" s="83" t="str">
        <f aca="false">IF($B52="","",الموظفون!$A52)</f>
        <v/>
      </c>
      <c r="B52" s="74" t="str">
        <f aca="false">IF(الموظفون!$B52="","",الموظفون!$B52)</f>
        <v/>
      </c>
      <c r="C52" s="74" t="str">
        <f aca="false">IF($B52="","",الموظفون!$C52)</f>
        <v/>
      </c>
      <c r="D52" s="74" t="str">
        <f aca="false">IF($B52="","",الموظفون!$F52)</f>
        <v/>
      </c>
      <c r="E52" s="74" t="str">
        <f aca="false">IF($B52="","",الموظفون!$E52)</f>
        <v/>
      </c>
      <c r="F52" s="105" t="str">
        <f aca="false">IF($B52="","",IF(AE52&gt;=DAY($G$3),cfg_DAYS_M,MIN(AE52,cfg_DAYS_M)))</f>
        <v/>
      </c>
      <c r="G52" s="105" t="str">
        <f aca="false">IF($B52="","",SUMIFS('الحركات الشهرية'!$D$6:$D$1005,'الحركات الشهرية'!$B$6:$B$1005,$B52,'الحركات الشهرية'!$A$6:$A$1005,$C$3))</f>
        <v/>
      </c>
      <c r="H52" s="105" t="str">
        <f aca="false">IF($B52="","",SUMIFS('الحركات الشهرية'!$E$6:$E$1005,'الحركات الشهرية'!$B$6:$B$1005,$B52,'الحركات الشهرية'!$A$6:$A$1005,$C$3))</f>
        <v/>
      </c>
      <c r="I52" s="105" t="str">
        <f aca="false">IF($B52="","",MAX(0,F52-G52-H52))</f>
        <v/>
      </c>
      <c r="J52" s="86" t="str">
        <f aca="false">IF($B52="","",الموظفون!$J52*$I52/cfg_DAYS_M)</f>
        <v/>
      </c>
      <c r="K52" s="86" t="str">
        <f aca="false">IF($B52="","",الموظفون!$K52*$I52/cfg_DAYS_M)</f>
        <v/>
      </c>
      <c r="L52" s="86" t="str">
        <f aca="false">IF($B52="","",الموظفون!$L52*$I52/cfg_DAYS_M)</f>
        <v/>
      </c>
      <c r="M52" s="86" t="str">
        <f aca="false">IF($B52="","",الموظفون!$M52*$I52/cfg_DAYS_M)</f>
        <v/>
      </c>
      <c r="N52" s="105" t="str">
        <f aca="false">IF($B52="","",SUMIFS('الحركات الشهرية'!$F$6:$F$1005,'الحركات الشهرية'!$B$6:$B$1005,$B52,'الحركات الشهرية'!$A$6:$A$1005,$C$3))</f>
        <v/>
      </c>
      <c r="O52" s="86" t="str">
        <f aca="false">IF($B52="","",N52*(الموظفون!$N52+الموظفون!$J52*cfg_OT_P)/cfg_DAYS_M/cfg_HRS)</f>
        <v/>
      </c>
      <c r="P52" s="86" t="str">
        <f aca="false">IF($B52="","",SUMIFS('الحركات الشهرية'!$G$6:$G$1005,'الحركات الشهرية'!$B$6:$B$1005,$B52,'الحركات الشهرية'!$A$6:$A$1005,$C$3))</f>
        <v/>
      </c>
      <c r="Q52" s="86" t="str">
        <f aca="false">IF($B52="","",SUMIFS('الحركات الشهرية'!$H$6:$H$1005,'الحركات الشهرية'!$B$6:$B$1005,$B52,'الحركات الشهرية'!$A$6:$A$1005,$C$3))</f>
        <v/>
      </c>
      <c r="R52" s="106" t="str">
        <f aca="false">IF($B52="","",SUM(J52:M52)+SUM(O52:Q52))</f>
        <v/>
      </c>
      <c r="S52" s="86" t="str">
        <f aca="false">IF($B52="","",الموظفون!$Q52*IF(E52="سعودي",cfg_G_SE,cfg_G_NE)*F52/cfg_DAYS_M)</f>
        <v/>
      </c>
      <c r="T52" s="86" t="str">
        <f aca="false">IF($B52="","",SUMIFS('الحركات الشهرية'!$I$6:$I$1005,'الحركات الشهرية'!$B$6:$B$1005,$B52,'الحركات الشهرية'!$A$6:$A$1005,$C$3))</f>
        <v/>
      </c>
      <c r="U52" s="86" t="str">
        <f aca="false">IF($B52="","",SUMIFS('الحركات الشهرية'!$J$6:$J$1005,'الحركات الشهرية'!$B$6:$B$1005,$B52,'الحركات الشهرية'!$A$6:$A$1005,$C$3))</f>
        <v/>
      </c>
      <c r="V52" s="86" t="str">
        <f aca="false">IF($B52="","",SUM(S52:U52))</f>
        <v/>
      </c>
      <c r="W52" s="107" t="str">
        <f aca="false">IF($B52="","",R52-V52)</f>
        <v/>
      </c>
      <c r="X52" s="86" t="str">
        <f aca="false">IF($B52="","",الموظفون!$Q52*IF(E52="سعودي",cfg_G_SR,cfg_G_NR)*F52/cfg_DAYS_M)</f>
        <v/>
      </c>
      <c r="Y52" s="86" t="str">
        <f aca="false">IF($B52="","",الموظفون!$O52*(cfg_EOS_R1*(MIN(AC52,cfg_EOS_TH)-MIN(AD52,cfg_EOS_TH))+cfg_EOS_R2*(MAX(AC52-cfg_EOS_TH,0)-MAX(AD52-cfg_EOS_TH,0))))</f>
        <v/>
      </c>
      <c r="Z52" s="86" t="str">
        <f aca="false">IF($B52="","",IF(الموظفون!$R52&lt;&gt;"",الموظفون!$R52,IF(AC52&gt;=cfg_LV_TH,cfg_LV_D2,cfg_LV_D1))/cfg_DAYS_Y*AE52*الموظفون!$P52/cfg_DAYS_M)</f>
        <v/>
      </c>
      <c r="AA52" s="86" t="str">
        <f aca="false">IF($B52="","",IF(AND(الموظفون!$S52="نعم",N(الموظفون!$U52)&gt;0),الموظفون!$T52/الموظفون!$U52*12/cfg_DAYS_Y*AE52,0))</f>
        <v/>
      </c>
      <c r="AB52" s="108" t="str">
        <f aca="false">IF($B52="","",R52+SUM(X52:AA52))</f>
        <v/>
      </c>
      <c r="AC52" s="109" t="str">
        <f aca="false">IF($B52="","",MAX(0,IF(OR(الموظفون!$X52="",الموظفون!$X52&gt;$G$3),$G$3,الموظفون!$X52)-الموظفون!$H52+1)/cfg_DAYS_Y)</f>
        <v/>
      </c>
      <c r="AD52" s="109" t="str">
        <f aca="false">IF($B52="","",MAX(0,IF(OR(الموظفون!$X52="",الموظفون!$X52&gt;($E$3-1)),($E$3-1),الموظفون!$X52)-الموظفون!$H52+1)/cfg_DAYS_Y)</f>
        <v/>
      </c>
      <c r="AE52" s="51" t="str">
        <f aca="false">IF($B52="","",MAX(0,IF(OR(الموظفون!$X52="",الموظفون!$X52&gt;$G$3),$G$3,الموظفون!$X52)-MAX($E$3,الموظفون!$H52)+1))</f>
        <v/>
      </c>
    </row>
    <row r="53" customFormat="false" ht="15" hidden="false" customHeight="false" outlineLevel="0" collapsed="false">
      <c r="A53" s="89" t="str">
        <f aca="false">IF($B53="","",الموظفون!$A53)</f>
        <v/>
      </c>
      <c r="B53" s="91" t="str">
        <f aca="false">IF(الموظفون!$B53="","",الموظفون!$B53)</f>
        <v/>
      </c>
      <c r="C53" s="91" t="str">
        <f aca="false">IF($B53="","",الموظفون!$C53)</f>
        <v/>
      </c>
      <c r="D53" s="91" t="str">
        <f aca="false">IF($B53="","",الموظفون!$F53)</f>
        <v/>
      </c>
      <c r="E53" s="91" t="str">
        <f aca="false">IF($B53="","",الموظفون!$E53)</f>
        <v/>
      </c>
      <c r="F53" s="110" t="str">
        <f aca="false">IF($B53="","",IF(AE53&gt;=DAY($G$3),cfg_DAYS_M,MIN(AE53,cfg_DAYS_M)))</f>
        <v/>
      </c>
      <c r="G53" s="110" t="str">
        <f aca="false">IF($B53="","",SUMIFS('الحركات الشهرية'!$D$6:$D$1005,'الحركات الشهرية'!$B$6:$B$1005,$B53,'الحركات الشهرية'!$A$6:$A$1005,$C$3))</f>
        <v/>
      </c>
      <c r="H53" s="110" t="str">
        <f aca="false">IF($B53="","",SUMIFS('الحركات الشهرية'!$E$6:$E$1005,'الحركات الشهرية'!$B$6:$B$1005,$B53,'الحركات الشهرية'!$A$6:$A$1005,$C$3))</f>
        <v/>
      </c>
      <c r="I53" s="110" t="str">
        <f aca="false">IF($B53="","",MAX(0,F53-G53-H53))</f>
        <v/>
      </c>
      <c r="J53" s="90" t="str">
        <f aca="false">IF($B53="","",الموظفون!$J53*$I53/cfg_DAYS_M)</f>
        <v/>
      </c>
      <c r="K53" s="90" t="str">
        <f aca="false">IF($B53="","",الموظفون!$K53*$I53/cfg_DAYS_M)</f>
        <v/>
      </c>
      <c r="L53" s="90" t="str">
        <f aca="false">IF($B53="","",الموظفون!$L53*$I53/cfg_DAYS_M)</f>
        <v/>
      </c>
      <c r="M53" s="90" t="str">
        <f aca="false">IF($B53="","",الموظفون!$M53*$I53/cfg_DAYS_M)</f>
        <v/>
      </c>
      <c r="N53" s="110" t="str">
        <f aca="false">IF($B53="","",SUMIFS('الحركات الشهرية'!$F$6:$F$1005,'الحركات الشهرية'!$B$6:$B$1005,$B53,'الحركات الشهرية'!$A$6:$A$1005,$C$3))</f>
        <v/>
      </c>
      <c r="O53" s="90" t="str">
        <f aca="false">IF($B53="","",N53*(الموظفون!$N53+الموظفون!$J53*cfg_OT_P)/cfg_DAYS_M/cfg_HRS)</f>
        <v/>
      </c>
      <c r="P53" s="90" t="str">
        <f aca="false">IF($B53="","",SUMIFS('الحركات الشهرية'!$G$6:$G$1005,'الحركات الشهرية'!$B$6:$B$1005,$B53,'الحركات الشهرية'!$A$6:$A$1005,$C$3))</f>
        <v/>
      </c>
      <c r="Q53" s="90" t="str">
        <f aca="false">IF($B53="","",SUMIFS('الحركات الشهرية'!$H$6:$H$1005,'الحركات الشهرية'!$B$6:$B$1005,$B53,'الحركات الشهرية'!$A$6:$A$1005,$C$3))</f>
        <v/>
      </c>
      <c r="R53" s="111" t="str">
        <f aca="false">IF($B53="","",SUM(J53:M53)+SUM(O53:Q53))</f>
        <v/>
      </c>
      <c r="S53" s="90" t="str">
        <f aca="false">IF($B53="","",الموظفون!$Q53*IF(E53="سعودي",cfg_G_SE,cfg_G_NE)*F53/cfg_DAYS_M)</f>
        <v/>
      </c>
      <c r="T53" s="90" t="str">
        <f aca="false">IF($B53="","",SUMIFS('الحركات الشهرية'!$I$6:$I$1005,'الحركات الشهرية'!$B$6:$B$1005,$B53,'الحركات الشهرية'!$A$6:$A$1005,$C$3))</f>
        <v/>
      </c>
      <c r="U53" s="90" t="str">
        <f aca="false">IF($B53="","",SUMIFS('الحركات الشهرية'!$J$6:$J$1005,'الحركات الشهرية'!$B$6:$B$1005,$B53,'الحركات الشهرية'!$A$6:$A$1005,$C$3))</f>
        <v/>
      </c>
      <c r="V53" s="90" t="str">
        <f aca="false">IF($B53="","",SUM(S53:U53))</f>
        <v/>
      </c>
      <c r="W53" s="112" t="str">
        <f aca="false">IF($B53="","",R53-V53)</f>
        <v/>
      </c>
      <c r="X53" s="90" t="str">
        <f aca="false">IF($B53="","",الموظفون!$Q53*IF(E53="سعودي",cfg_G_SR,cfg_G_NR)*F53/cfg_DAYS_M)</f>
        <v/>
      </c>
      <c r="Y53" s="90" t="str">
        <f aca="false">IF($B53="","",الموظفون!$O53*(cfg_EOS_R1*(MIN(AC53,cfg_EOS_TH)-MIN(AD53,cfg_EOS_TH))+cfg_EOS_R2*(MAX(AC53-cfg_EOS_TH,0)-MAX(AD53-cfg_EOS_TH,0))))</f>
        <v/>
      </c>
      <c r="Z53" s="90" t="str">
        <f aca="false">IF($B53="","",IF(الموظفون!$R53&lt;&gt;"",الموظفون!$R53,IF(AC53&gt;=cfg_LV_TH,cfg_LV_D2,cfg_LV_D1))/cfg_DAYS_Y*AE53*الموظفون!$P53/cfg_DAYS_M)</f>
        <v/>
      </c>
      <c r="AA53" s="90" t="str">
        <f aca="false">IF($B53="","",IF(AND(الموظفون!$S53="نعم",N(الموظفون!$U53)&gt;0),الموظفون!$T53/الموظفون!$U53*12/cfg_DAYS_Y*AE53,0))</f>
        <v/>
      </c>
      <c r="AB53" s="113" t="str">
        <f aca="false">IF($B53="","",R53+SUM(X53:AA53))</f>
        <v/>
      </c>
      <c r="AC53" s="114" t="str">
        <f aca="false">IF($B53="","",MAX(0,IF(OR(الموظفون!$X53="",الموظفون!$X53&gt;$G$3),$G$3,الموظفون!$X53)-الموظفون!$H53+1)/cfg_DAYS_Y)</f>
        <v/>
      </c>
      <c r="AD53" s="114" t="str">
        <f aca="false">IF($B53="","",MAX(0,IF(OR(الموظفون!$X53="",الموظفون!$X53&gt;($E$3-1)),($E$3-1),الموظفون!$X53)-الموظفون!$H53+1)/cfg_DAYS_Y)</f>
        <v/>
      </c>
      <c r="AE53" s="115" t="str">
        <f aca="false">IF($B53="","",MAX(0,IF(OR(الموظفون!$X53="",الموظفون!$X53&gt;$G$3),$G$3,الموظفون!$X53)-MAX($E$3,الموظفون!$H53)+1))</f>
        <v/>
      </c>
    </row>
    <row r="54" customFormat="false" ht="15" hidden="false" customHeight="false" outlineLevel="0" collapsed="false">
      <c r="A54" s="83" t="str">
        <f aca="false">IF($B54="","",الموظفون!$A54)</f>
        <v/>
      </c>
      <c r="B54" s="74" t="str">
        <f aca="false">IF(الموظفون!$B54="","",الموظفون!$B54)</f>
        <v/>
      </c>
      <c r="C54" s="74" t="str">
        <f aca="false">IF($B54="","",الموظفون!$C54)</f>
        <v/>
      </c>
      <c r="D54" s="74" t="str">
        <f aca="false">IF($B54="","",الموظفون!$F54)</f>
        <v/>
      </c>
      <c r="E54" s="74" t="str">
        <f aca="false">IF($B54="","",الموظفون!$E54)</f>
        <v/>
      </c>
      <c r="F54" s="105" t="str">
        <f aca="false">IF($B54="","",IF(AE54&gt;=DAY($G$3),cfg_DAYS_M,MIN(AE54,cfg_DAYS_M)))</f>
        <v/>
      </c>
      <c r="G54" s="105" t="str">
        <f aca="false">IF($B54="","",SUMIFS('الحركات الشهرية'!$D$6:$D$1005,'الحركات الشهرية'!$B$6:$B$1005,$B54,'الحركات الشهرية'!$A$6:$A$1005,$C$3))</f>
        <v/>
      </c>
      <c r="H54" s="105" t="str">
        <f aca="false">IF($B54="","",SUMIFS('الحركات الشهرية'!$E$6:$E$1005,'الحركات الشهرية'!$B$6:$B$1005,$B54,'الحركات الشهرية'!$A$6:$A$1005,$C$3))</f>
        <v/>
      </c>
      <c r="I54" s="105" t="str">
        <f aca="false">IF($B54="","",MAX(0,F54-G54-H54))</f>
        <v/>
      </c>
      <c r="J54" s="86" t="str">
        <f aca="false">IF($B54="","",الموظفون!$J54*$I54/cfg_DAYS_M)</f>
        <v/>
      </c>
      <c r="K54" s="86" t="str">
        <f aca="false">IF($B54="","",الموظفون!$K54*$I54/cfg_DAYS_M)</f>
        <v/>
      </c>
      <c r="L54" s="86" t="str">
        <f aca="false">IF($B54="","",الموظفون!$L54*$I54/cfg_DAYS_M)</f>
        <v/>
      </c>
      <c r="M54" s="86" t="str">
        <f aca="false">IF($B54="","",الموظفون!$M54*$I54/cfg_DAYS_M)</f>
        <v/>
      </c>
      <c r="N54" s="105" t="str">
        <f aca="false">IF($B54="","",SUMIFS('الحركات الشهرية'!$F$6:$F$1005,'الحركات الشهرية'!$B$6:$B$1005,$B54,'الحركات الشهرية'!$A$6:$A$1005,$C$3))</f>
        <v/>
      </c>
      <c r="O54" s="86" t="str">
        <f aca="false">IF($B54="","",N54*(الموظفون!$N54+الموظفون!$J54*cfg_OT_P)/cfg_DAYS_M/cfg_HRS)</f>
        <v/>
      </c>
      <c r="P54" s="86" t="str">
        <f aca="false">IF($B54="","",SUMIFS('الحركات الشهرية'!$G$6:$G$1005,'الحركات الشهرية'!$B$6:$B$1005,$B54,'الحركات الشهرية'!$A$6:$A$1005,$C$3))</f>
        <v/>
      </c>
      <c r="Q54" s="86" t="str">
        <f aca="false">IF($B54="","",SUMIFS('الحركات الشهرية'!$H$6:$H$1005,'الحركات الشهرية'!$B$6:$B$1005,$B54,'الحركات الشهرية'!$A$6:$A$1005,$C$3))</f>
        <v/>
      </c>
      <c r="R54" s="106" t="str">
        <f aca="false">IF($B54="","",SUM(J54:M54)+SUM(O54:Q54))</f>
        <v/>
      </c>
      <c r="S54" s="86" t="str">
        <f aca="false">IF($B54="","",الموظفون!$Q54*IF(E54="سعودي",cfg_G_SE,cfg_G_NE)*F54/cfg_DAYS_M)</f>
        <v/>
      </c>
      <c r="T54" s="86" t="str">
        <f aca="false">IF($B54="","",SUMIFS('الحركات الشهرية'!$I$6:$I$1005,'الحركات الشهرية'!$B$6:$B$1005,$B54,'الحركات الشهرية'!$A$6:$A$1005,$C$3))</f>
        <v/>
      </c>
      <c r="U54" s="86" t="str">
        <f aca="false">IF($B54="","",SUMIFS('الحركات الشهرية'!$J$6:$J$1005,'الحركات الشهرية'!$B$6:$B$1005,$B54,'الحركات الشهرية'!$A$6:$A$1005,$C$3))</f>
        <v/>
      </c>
      <c r="V54" s="86" t="str">
        <f aca="false">IF($B54="","",SUM(S54:U54))</f>
        <v/>
      </c>
      <c r="W54" s="107" t="str">
        <f aca="false">IF($B54="","",R54-V54)</f>
        <v/>
      </c>
      <c r="X54" s="86" t="str">
        <f aca="false">IF($B54="","",الموظفون!$Q54*IF(E54="سعودي",cfg_G_SR,cfg_G_NR)*F54/cfg_DAYS_M)</f>
        <v/>
      </c>
      <c r="Y54" s="86" t="str">
        <f aca="false">IF($B54="","",الموظفون!$O54*(cfg_EOS_R1*(MIN(AC54,cfg_EOS_TH)-MIN(AD54,cfg_EOS_TH))+cfg_EOS_R2*(MAX(AC54-cfg_EOS_TH,0)-MAX(AD54-cfg_EOS_TH,0))))</f>
        <v/>
      </c>
      <c r="Z54" s="86" t="str">
        <f aca="false">IF($B54="","",IF(الموظفون!$R54&lt;&gt;"",الموظفون!$R54,IF(AC54&gt;=cfg_LV_TH,cfg_LV_D2,cfg_LV_D1))/cfg_DAYS_Y*AE54*الموظفون!$P54/cfg_DAYS_M)</f>
        <v/>
      </c>
      <c r="AA54" s="86" t="str">
        <f aca="false">IF($B54="","",IF(AND(الموظفون!$S54="نعم",N(الموظفون!$U54)&gt;0),الموظفون!$T54/الموظفون!$U54*12/cfg_DAYS_Y*AE54,0))</f>
        <v/>
      </c>
      <c r="AB54" s="108" t="str">
        <f aca="false">IF($B54="","",R54+SUM(X54:AA54))</f>
        <v/>
      </c>
      <c r="AC54" s="109" t="str">
        <f aca="false">IF($B54="","",MAX(0,IF(OR(الموظفون!$X54="",الموظفون!$X54&gt;$G$3),$G$3,الموظفون!$X54)-الموظفون!$H54+1)/cfg_DAYS_Y)</f>
        <v/>
      </c>
      <c r="AD54" s="109" t="str">
        <f aca="false">IF($B54="","",MAX(0,IF(OR(الموظفون!$X54="",الموظفون!$X54&gt;($E$3-1)),($E$3-1),الموظفون!$X54)-الموظفون!$H54+1)/cfg_DAYS_Y)</f>
        <v/>
      </c>
      <c r="AE54" s="51" t="str">
        <f aca="false">IF($B54="","",MAX(0,IF(OR(الموظفون!$X54="",الموظفون!$X54&gt;$G$3),$G$3,الموظفون!$X54)-MAX($E$3,الموظفون!$H54)+1))</f>
        <v/>
      </c>
    </row>
    <row r="55" customFormat="false" ht="15" hidden="false" customHeight="false" outlineLevel="0" collapsed="false">
      <c r="A55" s="89" t="str">
        <f aca="false">IF($B55="","",الموظفون!$A55)</f>
        <v/>
      </c>
      <c r="B55" s="91" t="str">
        <f aca="false">IF(الموظفون!$B55="","",الموظفون!$B55)</f>
        <v/>
      </c>
      <c r="C55" s="91" t="str">
        <f aca="false">IF($B55="","",الموظفون!$C55)</f>
        <v/>
      </c>
      <c r="D55" s="91" t="str">
        <f aca="false">IF($B55="","",الموظفون!$F55)</f>
        <v/>
      </c>
      <c r="E55" s="91" t="str">
        <f aca="false">IF($B55="","",الموظفون!$E55)</f>
        <v/>
      </c>
      <c r="F55" s="110" t="str">
        <f aca="false">IF($B55="","",IF(AE55&gt;=DAY($G$3),cfg_DAYS_M,MIN(AE55,cfg_DAYS_M)))</f>
        <v/>
      </c>
      <c r="G55" s="110" t="str">
        <f aca="false">IF($B55="","",SUMIFS('الحركات الشهرية'!$D$6:$D$1005,'الحركات الشهرية'!$B$6:$B$1005,$B55,'الحركات الشهرية'!$A$6:$A$1005,$C$3))</f>
        <v/>
      </c>
      <c r="H55" s="110" t="str">
        <f aca="false">IF($B55="","",SUMIFS('الحركات الشهرية'!$E$6:$E$1005,'الحركات الشهرية'!$B$6:$B$1005,$B55,'الحركات الشهرية'!$A$6:$A$1005,$C$3))</f>
        <v/>
      </c>
      <c r="I55" s="110" t="str">
        <f aca="false">IF($B55="","",MAX(0,F55-G55-H55))</f>
        <v/>
      </c>
      <c r="J55" s="90" t="str">
        <f aca="false">IF($B55="","",الموظفون!$J55*$I55/cfg_DAYS_M)</f>
        <v/>
      </c>
      <c r="K55" s="90" t="str">
        <f aca="false">IF($B55="","",الموظفون!$K55*$I55/cfg_DAYS_M)</f>
        <v/>
      </c>
      <c r="L55" s="90" t="str">
        <f aca="false">IF($B55="","",الموظفون!$L55*$I55/cfg_DAYS_M)</f>
        <v/>
      </c>
      <c r="M55" s="90" t="str">
        <f aca="false">IF($B55="","",الموظفون!$M55*$I55/cfg_DAYS_M)</f>
        <v/>
      </c>
      <c r="N55" s="110" t="str">
        <f aca="false">IF($B55="","",SUMIFS('الحركات الشهرية'!$F$6:$F$1005,'الحركات الشهرية'!$B$6:$B$1005,$B55,'الحركات الشهرية'!$A$6:$A$1005,$C$3))</f>
        <v/>
      </c>
      <c r="O55" s="90" t="str">
        <f aca="false">IF($B55="","",N55*(الموظفون!$N55+الموظفون!$J55*cfg_OT_P)/cfg_DAYS_M/cfg_HRS)</f>
        <v/>
      </c>
      <c r="P55" s="90" t="str">
        <f aca="false">IF($B55="","",SUMIFS('الحركات الشهرية'!$G$6:$G$1005,'الحركات الشهرية'!$B$6:$B$1005,$B55,'الحركات الشهرية'!$A$6:$A$1005,$C$3))</f>
        <v/>
      </c>
      <c r="Q55" s="90" t="str">
        <f aca="false">IF($B55="","",SUMIFS('الحركات الشهرية'!$H$6:$H$1005,'الحركات الشهرية'!$B$6:$B$1005,$B55,'الحركات الشهرية'!$A$6:$A$1005,$C$3))</f>
        <v/>
      </c>
      <c r="R55" s="111" t="str">
        <f aca="false">IF($B55="","",SUM(J55:M55)+SUM(O55:Q55))</f>
        <v/>
      </c>
      <c r="S55" s="90" t="str">
        <f aca="false">IF($B55="","",الموظفون!$Q55*IF(E55="سعودي",cfg_G_SE,cfg_G_NE)*F55/cfg_DAYS_M)</f>
        <v/>
      </c>
      <c r="T55" s="90" t="str">
        <f aca="false">IF($B55="","",SUMIFS('الحركات الشهرية'!$I$6:$I$1005,'الحركات الشهرية'!$B$6:$B$1005,$B55,'الحركات الشهرية'!$A$6:$A$1005,$C$3))</f>
        <v/>
      </c>
      <c r="U55" s="90" t="str">
        <f aca="false">IF($B55="","",SUMIFS('الحركات الشهرية'!$J$6:$J$1005,'الحركات الشهرية'!$B$6:$B$1005,$B55,'الحركات الشهرية'!$A$6:$A$1005,$C$3))</f>
        <v/>
      </c>
      <c r="V55" s="90" t="str">
        <f aca="false">IF($B55="","",SUM(S55:U55))</f>
        <v/>
      </c>
      <c r="W55" s="112" t="str">
        <f aca="false">IF($B55="","",R55-V55)</f>
        <v/>
      </c>
      <c r="X55" s="90" t="str">
        <f aca="false">IF($B55="","",الموظفون!$Q55*IF(E55="سعودي",cfg_G_SR,cfg_G_NR)*F55/cfg_DAYS_M)</f>
        <v/>
      </c>
      <c r="Y55" s="90" t="str">
        <f aca="false">IF($B55="","",الموظفون!$O55*(cfg_EOS_R1*(MIN(AC55,cfg_EOS_TH)-MIN(AD55,cfg_EOS_TH))+cfg_EOS_R2*(MAX(AC55-cfg_EOS_TH,0)-MAX(AD55-cfg_EOS_TH,0))))</f>
        <v/>
      </c>
      <c r="Z55" s="90" t="str">
        <f aca="false">IF($B55="","",IF(الموظفون!$R55&lt;&gt;"",الموظفون!$R55,IF(AC55&gt;=cfg_LV_TH,cfg_LV_D2,cfg_LV_D1))/cfg_DAYS_Y*AE55*الموظفون!$P55/cfg_DAYS_M)</f>
        <v/>
      </c>
      <c r="AA55" s="90" t="str">
        <f aca="false">IF($B55="","",IF(AND(الموظفون!$S55="نعم",N(الموظفون!$U55)&gt;0),الموظفون!$T55/الموظفون!$U55*12/cfg_DAYS_Y*AE55,0))</f>
        <v/>
      </c>
      <c r="AB55" s="113" t="str">
        <f aca="false">IF($B55="","",R55+SUM(X55:AA55))</f>
        <v/>
      </c>
      <c r="AC55" s="114" t="str">
        <f aca="false">IF($B55="","",MAX(0,IF(OR(الموظفون!$X55="",الموظفون!$X55&gt;$G$3),$G$3,الموظفون!$X55)-الموظفون!$H55+1)/cfg_DAYS_Y)</f>
        <v/>
      </c>
      <c r="AD55" s="114" t="str">
        <f aca="false">IF($B55="","",MAX(0,IF(OR(الموظفون!$X55="",الموظفون!$X55&gt;($E$3-1)),($E$3-1),الموظفون!$X55)-الموظفون!$H55+1)/cfg_DAYS_Y)</f>
        <v/>
      </c>
      <c r="AE55" s="115" t="str">
        <f aca="false">IF($B55="","",MAX(0,IF(OR(الموظفون!$X55="",الموظفون!$X55&gt;$G$3),$G$3,الموظفون!$X55)-MAX($E$3,الموظفون!$H55)+1))</f>
        <v/>
      </c>
    </row>
    <row r="56" customFormat="false" ht="15" hidden="false" customHeight="false" outlineLevel="0" collapsed="false">
      <c r="A56" s="83" t="str">
        <f aca="false">IF($B56="","",الموظفون!$A56)</f>
        <v/>
      </c>
      <c r="B56" s="74" t="str">
        <f aca="false">IF(الموظفون!$B56="","",الموظفون!$B56)</f>
        <v/>
      </c>
      <c r="C56" s="74" t="str">
        <f aca="false">IF($B56="","",الموظفون!$C56)</f>
        <v/>
      </c>
      <c r="D56" s="74" t="str">
        <f aca="false">IF($B56="","",الموظفون!$F56)</f>
        <v/>
      </c>
      <c r="E56" s="74" t="str">
        <f aca="false">IF($B56="","",الموظفون!$E56)</f>
        <v/>
      </c>
      <c r="F56" s="105" t="str">
        <f aca="false">IF($B56="","",IF(AE56&gt;=DAY($G$3),cfg_DAYS_M,MIN(AE56,cfg_DAYS_M)))</f>
        <v/>
      </c>
      <c r="G56" s="105" t="str">
        <f aca="false">IF($B56="","",SUMIFS('الحركات الشهرية'!$D$6:$D$1005,'الحركات الشهرية'!$B$6:$B$1005,$B56,'الحركات الشهرية'!$A$6:$A$1005,$C$3))</f>
        <v/>
      </c>
      <c r="H56" s="105" t="str">
        <f aca="false">IF($B56="","",SUMIFS('الحركات الشهرية'!$E$6:$E$1005,'الحركات الشهرية'!$B$6:$B$1005,$B56,'الحركات الشهرية'!$A$6:$A$1005,$C$3))</f>
        <v/>
      </c>
      <c r="I56" s="105" t="str">
        <f aca="false">IF($B56="","",MAX(0,F56-G56-H56))</f>
        <v/>
      </c>
      <c r="J56" s="86" t="str">
        <f aca="false">IF($B56="","",الموظفون!$J56*$I56/cfg_DAYS_M)</f>
        <v/>
      </c>
      <c r="K56" s="86" t="str">
        <f aca="false">IF($B56="","",الموظفون!$K56*$I56/cfg_DAYS_M)</f>
        <v/>
      </c>
      <c r="L56" s="86" t="str">
        <f aca="false">IF($B56="","",الموظفون!$L56*$I56/cfg_DAYS_M)</f>
        <v/>
      </c>
      <c r="M56" s="86" t="str">
        <f aca="false">IF($B56="","",الموظفون!$M56*$I56/cfg_DAYS_M)</f>
        <v/>
      </c>
      <c r="N56" s="105" t="str">
        <f aca="false">IF($B56="","",SUMIFS('الحركات الشهرية'!$F$6:$F$1005,'الحركات الشهرية'!$B$6:$B$1005,$B56,'الحركات الشهرية'!$A$6:$A$1005,$C$3))</f>
        <v/>
      </c>
      <c r="O56" s="86" t="str">
        <f aca="false">IF($B56="","",N56*(الموظفون!$N56+الموظفون!$J56*cfg_OT_P)/cfg_DAYS_M/cfg_HRS)</f>
        <v/>
      </c>
      <c r="P56" s="86" t="str">
        <f aca="false">IF($B56="","",SUMIFS('الحركات الشهرية'!$G$6:$G$1005,'الحركات الشهرية'!$B$6:$B$1005,$B56,'الحركات الشهرية'!$A$6:$A$1005,$C$3))</f>
        <v/>
      </c>
      <c r="Q56" s="86" t="str">
        <f aca="false">IF($B56="","",SUMIFS('الحركات الشهرية'!$H$6:$H$1005,'الحركات الشهرية'!$B$6:$B$1005,$B56,'الحركات الشهرية'!$A$6:$A$1005,$C$3))</f>
        <v/>
      </c>
      <c r="R56" s="106" t="str">
        <f aca="false">IF($B56="","",SUM(J56:M56)+SUM(O56:Q56))</f>
        <v/>
      </c>
      <c r="S56" s="86" t="str">
        <f aca="false">IF($B56="","",الموظفون!$Q56*IF(E56="سعودي",cfg_G_SE,cfg_G_NE)*F56/cfg_DAYS_M)</f>
        <v/>
      </c>
      <c r="T56" s="86" t="str">
        <f aca="false">IF($B56="","",SUMIFS('الحركات الشهرية'!$I$6:$I$1005,'الحركات الشهرية'!$B$6:$B$1005,$B56,'الحركات الشهرية'!$A$6:$A$1005,$C$3))</f>
        <v/>
      </c>
      <c r="U56" s="86" t="str">
        <f aca="false">IF($B56="","",SUMIFS('الحركات الشهرية'!$J$6:$J$1005,'الحركات الشهرية'!$B$6:$B$1005,$B56,'الحركات الشهرية'!$A$6:$A$1005,$C$3))</f>
        <v/>
      </c>
      <c r="V56" s="86" t="str">
        <f aca="false">IF($B56="","",SUM(S56:U56))</f>
        <v/>
      </c>
      <c r="W56" s="107" t="str">
        <f aca="false">IF($B56="","",R56-V56)</f>
        <v/>
      </c>
      <c r="X56" s="86" t="str">
        <f aca="false">IF($B56="","",الموظفون!$Q56*IF(E56="سعودي",cfg_G_SR,cfg_G_NR)*F56/cfg_DAYS_M)</f>
        <v/>
      </c>
      <c r="Y56" s="86" t="str">
        <f aca="false">IF($B56="","",الموظفون!$O56*(cfg_EOS_R1*(MIN(AC56,cfg_EOS_TH)-MIN(AD56,cfg_EOS_TH))+cfg_EOS_R2*(MAX(AC56-cfg_EOS_TH,0)-MAX(AD56-cfg_EOS_TH,0))))</f>
        <v/>
      </c>
      <c r="Z56" s="86" t="str">
        <f aca="false">IF($B56="","",IF(الموظفون!$R56&lt;&gt;"",الموظفون!$R56,IF(AC56&gt;=cfg_LV_TH,cfg_LV_D2,cfg_LV_D1))/cfg_DAYS_Y*AE56*الموظفون!$P56/cfg_DAYS_M)</f>
        <v/>
      </c>
      <c r="AA56" s="86" t="str">
        <f aca="false">IF($B56="","",IF(AND(الموظفون!$S56="نعم",N(الموظفون!$U56)&gt;0),الموظفون!$T56/الموظفون!$U56*12/cfg_DAYS_Y*AE56,0))</f>
        <v/>
      </c>
      <c r="AB56" s="108" t="str">
        <f aca="false">IF($B56="","",R56+SUM(X56:AA56))</f>
        <v/>
      </c>
      <c r="AC56" s="109" t="str">
        <f aca="false">IF($B56="","",MAX(0,IF(OR(الموظفون!$X56="",الموظفون!$X56&gt;$G$3),$G$3,الموظفون!$X56)-الموظفون!$H56+1)/cfg_DAYS_Y)</f>
        <v/>
      </c>
      <c r="AD56" s="109" t="str">
        <f aca="false">IF($B56="","",MAX(0,IF(OR(الموظفون!$X56="",الموظفون!$X56&gt;($E$3-1)),($E$3-1),الموظفون!$X56)-الموظفون!$H56+1)/cfg_DAYS_Y)</f>
        <v/>
      </c>
      <c r="AE56" s="51" t="str">
        <f aca="false">IF($B56="","",MAX(0,IF(OR(الموظفون!$X56="",الموظفون!$X56&gt;$G$3),$G$3,الموظفون!$X56)-MAX($E$3,الموظفون!$H56)+1))</f>
        <v/>
      </c>
    </row>
    <row r="57" customFormat="false" ht="15" hidden="false" customHeight="false" outlineLevel="0" collapsed="false">
      <c r="A57" s="89" t="str">
        <f aca="false">IF($B57="","",الموظفون!$A57)</f>
        <v/>
      </c>
      <c r="B57" s="91" t="str">
        <f aca="false">IF(الموظفون!$B57="","",الموظفون!$B57)</f>
        <v/>
      </c>
      <c r="C57" s="91" t="str">
        <f aca="false">IF($B57="","",الموظفون!$C57)</f>
        <v/>
      </c>
      <c r="D57" s="91" t="str">
        <f aca="false">IF($B57="","",الموظفون!$F57)</f>
        <v/>
      </c>
      <c r="E57" s="91" t="str">
        <f aca="false">IF($B57="","",الموظفون!$E57)</f>
        <v/>
      </c>
      <c r="F57" s="110" t="str">
        <f aca="false">IF($B57="","",IF(AE57&gt;=DAY($G$3),cfg_DAYS_M,MIN(AE57,cfg_DAYS_M)))</f>
        <v/>
      </c>
      <c r="G57" s="110" t="str">
        <f aca="false">IF($B57="","",SUMIFS('الحركات الشهرية'!$D$6:$D$1005,'الحركات الشهرية'!$B$6:$B$1005,$B57,'الحركات الشهرية'!$A$6:$A$1005,$C$3))</f>
        <v/>
      </c>
      <c r="H57" s="110" t="str">
        <f aca="false">IF($B57="","",SUMIFS('الحركات الشهرية'!$E$6:$E$1005,'الحركات الشهرية'!$B$6:$B$1005,$B57,'الحركات الشهرية'!$A$6:$A$1005,$C$3))</f>
        <v/>
      </c>
      <c r="I57" s="110" t="str">
        <f aca="false">IF($B57="","",MAX(0,F57-G57-H57))</f>
        <v/>
      </c>
      <c r="J57" s="90" t="str">
        <f aca="false">IF($B57="","",الموظفون!$J57*$I57/cfg_DAYS_M)</f>
        <v/>
      </c>
      <c r="K57" s="90" t="str">
        <f aca="false">IF($B57="","",الموظفون!$K57*$I57/cfg_DAYS_M)</f>
        <v/>
      </c>
      <c r="L57" s="90" t="str">
        <f aca="false">IF($B57="","",الموظفون!$L57*$I57/cfg_DAYS_M)</f>
        <v/>
      </c>
      <c r="M57" s="90" t="str">
        <f aca="false">IF($B57="","",الموظفون!$M57*$I57/cfg_DAYS_M)</f>
        <v/>
      </c>
      <c r="N57" s="110" t="str">
        <f aca="false">IF($B57="","",SUMIFS('الحركات الشهرية'!$F$6:$F$1005,'الحركات الشهرية'!$B$6:$B$1005,$B57,'الحركات الشهرية'!$A$6:$A$1005,$C$3))</f>
        <v/>
      </c>
      <c r="O57" s="90" t="str">
        <f aca="false">IF($B57="","",N57*(الموظفون!$N57+الموظفون!$J57*cfg_OT_P)/cfg_DAYS_M/cfg_HRS)</f>
        <v/>
      </c>
      <c r="P57" s="90" t="str">
        <f aca="false">IF($B57="","",SUMIFS('الحركات الشهرية'!$G$6:$G$1005,'الحركات الشهرية'!$B$6:$B$1005,$B57,'الحركات الشهرية'!$A$6:$A$1005,$C$3))</f>
        <v/>
      </c>
      <c r="Q57" s="90" t="str">
        <f aca="false">IF($B57="","",SUMIFS('الحركات الشهرية'!$H$6:$H$1005,'الحركات الشهرية'!$B$6:$B$1005,$B57,'الحركات الشهرية'!$A$6:$A$1005,$C$3))</f>
        <v/>
      </c>
      <c r="R57" s="111" t="str">
        <f aca="false">IF($B57="","",SUM(J57:M57)+SUM(O57:Q57))</f>
        <v/>
      </c>
      <c r="S57" s="90" t="str">
        <f aca="false">IF($B57="","",الموظفون!$Q57*IF(E57="سعودي",cfg_G_SE,cfg_G_NE)*F57/cfg_DAYS_M)</f>
        <v/>
      </c>
      <c r="T57" s="90" t="str">
        <f aca="false">IF($B57="","",SUMIFS('الحركات الشهرية'!$I$6:$I$1005,'الحركات الشهرية'!$B$6:$B$1005,$B57,'الحركات الشهرية'!$A$6:$A$1005,$C$3))</f>
        <v/>
      </c>
      <c r="U57" s="90" t="str">
        <f aca="false">IF($B57="","",SUMIFS('الحركات الشهرية'!$J$6:$J$1005,'الحركات الشهرية'!$B$6:$B$1005,$B57,'الحركات الشهرية'!$A$6:$A$1005,$C$3))</f>
        <v/>
      </c>
      <c r="V57" s="90" t="str">
        <f aca="false">IF($B57="","",SUM(S57:U57))</f>
        <v/>
      </c>
      <c r="W57" s="112" t="str">
        <f aca="false">IF($B57="","",R57-V57)</f>
        <v/>
      </c>
      <c r="X57" s="90" t="str">
        <f aca="false">IF($B57="","",الموظفون!$Q57*IF(E57="سعودي",cfg_G_SR,cfg_G_NR)*F57/cfg_DAYS_M)</f>
        <v/>
      </c>
      <c r="Y57" s="90" t="str">
        <f aca="false">IF($B57="","",الموظفون!$O57*(cfg_EOS_R1*(MIN(AC57,cfg_EOS_TH)-MIN(AD57,cfg_EOS_TH))+cfg_EOS_R2*(MAX(AC57-cfg_EOS_TH,0)-MAX(AD57-cfg_EOS_TH,0))))</f>
        <v/>
      </c>
      <c r="Z57" s="90" t="str">
        <f aca="false">IF($B57="","",IF(الموظفون!$R57&lt;&gt;"",الموظفون!$R57,IF(AC57&gt;=cfg_LV_TH,cfg_LV_D2,cfg_LV_D1))/cfg_DAYS_Y*AE57*الموظفون!$P57/cfg_DAYS_M)</f>
        <v/>
      </c>
      <c r="AA57" s="90" t="str">
        <f aca="false">IF($B57="","",IF(AND(الموظفون!$S57="نعم",N(الموظفون!$U57)&gt;0),الموظفون!$T57/الموظفون!$U57*12/cfg_DAYS_Y*AE57,0))</f>
        <v/>
      </c>
      <c r="AB57" s="113" t="str">
        <f aca="false">IF($B57="","",R57+SUM(X57:AA57))</f>
        <v/>
      </c>
      <c r="AC57" s="114" t="str">
        <f aca="false">IF($B57="","",MAX(0,IF(OR(الموظفون!$X57="",الموظفون!$X57&gt;$G$3),$G$3,الموظفون!$X57)-الموظفون!$H57+1)/cfg_DAYS_Y)</f>
        <v/>
      </c>
      <c r="AD57" s="114" t="str">
        <f aca="false">IF($B57="","",MAX(0,IF(OR(الموظفون!$X57="",الموظفون!$X57&gt;($E$3-1)),($E$3-1),الموظفون!$X57)-الموظفون!$H57+1)/cfg_DAYS_Y)</f>
        <v/>
      </c>
      <c r="AE57" s="115" t="str">
        <f aca="false">IF($B57="","",MAX(0,IF(OR(الموظفون!$X57="",الموظفون!$X57&gt;$G$3),$G$3,الموظفون!$X57)-MAX($E$3,الموظفون!$H57)+1))</f>
        <v/>
      </c>
    </row>
    <row r="58" customFormat="false" ht="15" hidden="false" customHeight="false" outlineLevel="0" collapsed="false">
      <c r="A58" s="83" t="str">
        <f aca="false">IF($B58="","",الموظفون!$A58)</f>
        <v/>
      </c>
      <c r="B58" s="74" t="str">
        <f aca="false">IF(الموظفون!$B58="","",الموظفون!$B58)</f>
        <v/>
      </c>
      <c r="C58" s="74" t="str">
        <f aca="false">IF($B58="","",الموظفون!$C58)</f>
        <v/>
      </c>
      <c r="D58" s="74" t="str">
        <f aca="false">IF($B58="","",الموظفون!$F58)</f>
        <v/>
      </c>
      <c r="E58" s="74" t="str">
        <f aca="false">IF($B58="","",الموظفون!$E58)</f>
        <v/>
      </c>
      <c r="F58" s="105" t="str">
        <f aca="false">IF($B58="","",IF(AE58&gt;=DAY($G$3),cfg_DAYS_M,MIN(AE58,cfg_DAYS_M)))</f>
        <v/>
      </c>
      <c r="G58" s="105" t="str">
        <f aca="false">IF($B58="","",SUMIFS('الحركات الشهرية'!$D$6:$D$1005,'الحركات الشهرية'!$B$6:$B$1005,$B58,'الحركات الشهرية'!$A$6:$A$1005,$C$3))</f>
        <v/>
      </c>
      <c r="H58" s="105" t="str">
        <f aca="false">IF($B58="","",SUMIFS('الحركات الشهرية'!$E$6:$E$1005,'الحركات الشهرية'!$B$6:$B$1005,$B58,'الحركات الشهرية'!$A$6:$A$1005,$C$3))</f>
        <v/>
      </c>
      <c r="I58" s="105" t="str">
        <f aca="false">IF($B58="","",MAX(0,F58-G58-H58))</f>
        <v/>
      </c>
      <c r="J58" s="86" t="str">
        <f aca="false">IF($B58="","",الموظفون!$J58*$I58/cfg_DAYS_M)</f>
        <v/>
      </c>
      <c r="K58" s="86" t="str">
        <f aca="false">IF($B58="","",الموظفون!$K58*$I58/cfg_DAYS_M)</f>
        <v/>
      </c>
      <c r="L58" s="86" t="str">
        <f aca="false">IF($B58="","",الموظفون!$L58*$I58/cfg_DAYS_M)</f>
        <v/>
      </c>
      <c r="M58" s="86" t="str">
        <f aca="false">IF($B58="","",الموظفون!$M58*$I58/cfg_DAYS_M)</f>
        <v/>
      </c>
      <c r="N58" s="105" t="str">
        <f aca="false">IF($B58="","",SUMIFS('الحركات الشهرية'!$F$6:$F$1005,'الحركات الشهرية'!$B$6:$B$1005,$B58,'الحركات الشهرية'!$A$6:$A$1005,$C$3))</f>
        <v/>
      </c>
      <c r="O58" s="86" t="str">
        <f aca="false">IF($B58="","",N58*(الموظفون!$N58+الموظفون!$J58*cfg_OT_P)/cfg_DAYS_M/cfg_HRS)</f>
        <v/>
      </c>
      <c r="P58" s="86" t="str">
        <f aca="false">IF($B58="","",SUMIFS('الحركات الشهرية'!$G$6:$G$1005,'الحركات الشهرية'!$B$6:$B$1005,$B58,'الحركات الشهرية'!$A$6:$A$1005,$C$3))</f>
        <v/>
      </c>
      <c r="Q58" s="86" t="str">
        <f aca="false">IF($B58="","",SUMIFS('الحركات الشهرية'!$H$6:$H$1005,'الحركات الشهرية'!$B$6:$B$1005,$B58,'الحركات الشهرية'!$A$6:$A$1005,$C$3))</f>
        <v/>
      </c>
      <c r="R58" s="106" t="str">
        <f aca="false">IF($B58="","",SUM(J58:M58)+SUM(O58:Q58))</f>
        <v/>
      </c>
      <c r="S58" s="86" t="str">
        <f aca="false">IF($B58="","",الموظفون!$Q58*IF(E58="سعودي",cfg_G_SE,cfg_G_NE)*F58/cfg_DAYS_M)</f>
        <v/>
      </c>
      <c r="T58" s="86" t="str">
        <f aca="false">IF($B58="","",SUMIFS('الحركات الشهرية'!$I$6:$I$1005,'الحركات الشهرية'!$B$6:$B$1005,$B58,'الحركات الشهرية'!$A$6:$A$1005,$C$3))</f>
        <v/>
      </c>
      <c r="U58" s="86" t="str">
        <f aca="false">IF($B58="","",SUMIFS('الحركات الشهرية'!$J$6:$J$1005,'الحركات الشهرية'!$B$6:$B$1005,$B58,'الحركات الشهرية'!$A$6:$A$1005,$C$3))</f>
        <v/>
      </c>
      <c r="V58" s="86" t="str">
        <f aca="false">IF($B58="","",SUM(S58:U58))</f>
        <v/>
      </c>
      <c r="W58" s="107" t="str">
        <f aca="false">IF($B58="","",R58-V58)</f>
        <v/>
      </c>
      <c r="X58" s="86" t="str">
        <f aca="false">IF($B58="","",الموظفون!$Q58*IF(E58="سعودي",cfg_G_SR,cfg_G_NR)*F58/cfg_DAYS_M)</f>
        <v/>
      </c>
      <c r="Y58" s="86" t="str">
        <f aca="false">IF($B58="","",الموظفون!$O58*(cfg_EOS_R1*(MIN(AC58,cfg_EOS_TH)-MIN(AD58,cfg_EOS_TH))+cfg_EOS_R2*(MAX(AC58-cfg_EOS_TH,0)-MAX(AD58-cfg_EOS_TH,0))))</f>
        <v/>
      </c>
      <c r="Z58" s="86" t="str">
        <f aca="false">IF($B58="","",IF(الموظفون!$R58&lt;&gt;"",الموظفون!$R58,IF(AC58&gt;=cfg_LV_TH,cfg_LV_D2,cfg_LV_D1))/cfg_DAYS_Y*AE58*الموظفون!$P58/cfg_DAYS_M)</f>
        <v/>
      </c>
      <c r="AA58" s="86" t="str">
        <f aca="false">IF($B58="","",IF(AND(الموظفون!$S58="نعم",N(الموظفون!$U58)&gt;0),الموظفون!$T58/الموظفون!$U58*12/cfg_DAYS_Y*AE58,0))</f>
        <v/>
      </c>
      <c r="AB58" s="108" t="str">
        <f aca="false">IF($B58="","",R58+SUM(X58:AA58))</f>
        <v/>
      </c>
      <c r="AC58" s="109" t="str">
        <f aca="false">IF($B58="","",MAX(0,IF(OR(الموظفون!$X58="",الموظفون!$X58&gt;$G$3),$G$3,الموظفون!$X58)-الموظفون!$H58+1)/cfg_DAYS_Y)</f>
        <v/>
      </c>
      <c r="AD58" s="109" t="str">
        <f aca="false">IF($B58="","",MAX(0,IF(OR(الموظفون!$X58="",الموظفون!$X58&gt;($E$3-1)),($E$3-1),الموظفون!$X58)-الموظفون!$H58+1)/cfg_DAYS_Y)</f>
        <v/>
      </c>
      <c r="AE58" s="51" t="str">
        <f aca="false">IF($B58="","",MAX(0,IF(OR(الموظفون!$X58="",الموظفون!$X58&gt;$G$3),$G$3,الموظفون!$X58)-MAX($E$3,الموظفون!$H58)+1))</f>
        <v/>
      </c>
    </row>
    <row r="59" customFormat="false" ht="15" hidden="false" customHeight="false" outlineLevel="0" collapsed="false">
      <c r="A59" s="89" t="str">
        <f aca="false">IF($B59="","",الموظفون!$A59)</f>
        <v/>
      </c>
      <c r="B59" s="91" t="str">
        <f aca="false">IF(الموظفون!$B59="","",الموظفون!$B59)</f>
        <v/>
      </c>
      <c r="C59" s="91" t="str">
        <f aca="false">IF($B59="","",الموظفون!$C59)</f>
        <v/>
      </c>
      <c r="D59" s="91" t="str">
        <f aca="false">IF($B59="","",الموظفون!$F59)</f>
        <v/>
      </c>
      <c r="E59" s="91" t="str">
        <f aca="false">IF($B59="","",الموظفون!$E59)</f>
        <v/>
      </c>
      <c r="F59" s="110" t="str">
        <f aca="false">IF($B59="","",IF(AE59&gt;=DAY($G$3),cfg_DAYS_M,MIN(AE59,cfg_DAYS_M)))</f>
        <v/>
      </c>
      <c r="G59" s="110" t="str">
        <f aca="false">IF($B59="","",SUMIFS('الحركات الشهرية'!$D$6:$D$1005,'الحركات الشهرية'!$B$6:$B$1005,$B59,'الحركات الشهرية'!$A$6:$A$1005,$C$3))</f>
        <v/>
      </c>
      <c r="H59" s="110" t="str">
        <f aca="false">IF($B59="","",SUMIFS('الحركات الشهرية'!$E$6:$E$1005,'الحركات الشهرية'!$B$6:$B$1005,$B59,'الحركات الشهرية'!$A$6:$A$1005,$C$3))</f>
        <v/>
      </c>
      <c r="I59" s="110" t="str">
        <f aca="false">IF($B59="","",MAX(0,F59-G59-H59))</f>
        <v/>
      </c>
      <c r="J59" s="90" t="str">
        <f aca="false">IF($B59="","",الموظفون!$J59*$I59/cfg_DAYS_M)</f>
        <v/>
      </c>
      <c r="K59" s="90" t="str">
        <f aca="false">IF($B59="","",الموظفون!$K59*$I59/cfg_DAYS_M)</f>
        <v/>
      </c>
      <c r="L59" s="90" t="str">
        <f aca="false">IF($B59="","",الموظفون!$L59*$I59/cfg_DAYS_M)</f>
        <v/>
      </c>
      <c r="M59" s="90" t="str">
        <f aca="false">IF($B59="","",الموظفون!$M59*$I59/cfg_DAYS_M)</f>
        <v/>
      </c>
      <c r="N59" s="110" t="str">
        <f aca="false">IF($B59="","",SUMIFS('الحركات الشهرية'!$F$6:$F$1005,'الحركات الشهرية'!$B$6:$B$1005,$B59,'الحركات الشهرية'!$A$6:$A$1005,$C$3))</f>
        <v/>
      </c>
      <c r="O59" s="90" t="str">
        <f aca="false">IF($B59="","",N59*(الموظفون!$N59+الموظفون!$J59*cfg_OT_P)/cfg_DAYS_M/cfg_HRS)</f>
        <v/>
      </c>
      <c r="P59" s="90" t="str">
        <f aca="false">IF($B59="","",SUMIFS('الحركات الشهرية'!$G$6:$G$1005,'الحركات الشهرية'!$B$6:$B$1005,$B59,'الحركات الشهرية'!$A$6:$A$1005,$C$3))</f>
        <v/>
      </c>
      <c r="Q59" s="90" t="str">
        <f aca="false">IF($B59="","",SUMIFS('الحركات الشهرية'!$H$6:$H$1005,'الحركات الشهرية'!$B$6:$B$1005,$B59,'الحركات الشهرية'!$A$6:$A$1005,$C$3))</f>
        <v/>
      </c>
      <c r="R59" s="111" t="str">
        <f aca="false">IF($B59="","",SUM(J59:M59)+SUM(O59:Q59))</f>
        <v/>
      </c>
      <c r="S59" s="90" t="str">
        <f aca="false">IF($B59="","",الموظفون!$Q59*IF(E59="سعودي",cfg_G_SE,cfg_G_NE)*F59/cfg_DAYS_M)</f>
        <v/>
      </c>
      <c r="T59" s="90" t="str">
        <f aca="false">IF($B59="","",SUMIFS('الحركات الشهرية'!$I$6:$I$1005,'الحركات الشهرية'!$B$6:$B$1005,$B59,'الحركات الشهرية'!$A$6:$A$1005,$C$3))</f>
        <v/>
      </c>
      <c r="U59" s="90" t="str">
        <f aca="false">IF($B59="","",SUMIFS('الحركات الشهرية'!$J$6:$J$1005,'الحركات الشهرية'!$B$6:$B$1005,$B59,'الحركات الشهرية'!$A$6:$A$1005,$C$3))</f>
        <v/>
      </c>
      <c r="V59" s="90" t="str">
        <f aca="false">IF($B59="","",SUM(S59:U59))</f>
        <v/>
      </c>
      <c r="W59" s="112" t="str">
        <f aca="false">IF($B59="","",R59-V59)</f>
        <v/>
      </c>
      <c r="X59" s="90" t="str">
        <f aca="false">IF($B59="","",الموظفون!$Q59*IF(E59="سعودي",cfg_G_SR,cfg_G_NR)*F59/cfg_DAYS_M)</f>
        <v/>
      </c>
      <c r="Y59" s="90" t="str">
        <f aca="false">IF($B59="","",الموظفون!$O59*(cfg_EOS_R1*(MIN(AC59,cfg_EOS_TH)-MIN(AD59,cfg_EOS_TH))+cfg_EOS_R2*(MAX(AC59-cfg_EOS_TH,0)-MAX(AD59-cfg_EOS_TH,0))))</f>
        <v/>
      </c>
      <c r="Z59" s="90" t="str">
        <f aca="false">IF($B59="","",IF(الموظفون!$R59&lt;&gt;"",الموظفون!$R59,IF(AC59&gt;=cfg_LV_TH,cfg_LV_D2,cfg_LV_D1))/cfg_DAYS_Y*AE59*الموظفون!$P59/cfg_DAYS_M)</f>
        <v/>
      </c>
      <c r="AA59" s="90" t="str">
        <f aca="false">IF($B59="","",IF(AND(الموظفون!$S59="نعم",N(الموظفون!$U59)&gt;0),الموظفون!$T59/الموظفون!$U59*12/cfg_DAYS_Y*AE59,0))</f>
        <v/>
      </c>
      <c r="AB59" s="113" t="str">
        <f aca="false">IF($B59="","",R59+SUM(X59:AA59))</f>
        <v/>
      </c>
      <c r="AC59" s="114" t="str">
        <f aca="false">IF($B59="","",MAX(0,IF(OR(الموظفون!$X59="",الموظفون!$X59&gt;$G$3),$G$3,الموظفون!$X59)-الموظفون!$H59+1)/cfg_DAYS_Y)</f>
        <v/>
      </c>
      <c r="AD59" s="114" t="str">
        <f aca="false">IF($B59="","",MAX(0,IF(OR(الموظفون!$X59="",الموظفون!$X59&gt;($E$3-1)),($E$3-1),الموظفون!$X59)-الموظفون!$H59+1)/cfg_DAYS_Y)</f>
        <v/>
      </c>
      <c r="AE59" s="115" t="str">
        <f aca="false">IF($B59="","",MAX(0,IF(OR(الموظفون!$X59="",الموظفون!$X59&gt;$G$3),$G$3,الموظفون!$X59)-MAX($E$3,الموظفون!$H59)+1))</f>
        <v/>
      </c>
    </row>
    <row r="60" customFormat="false" ht="15" hidden="false" customHeight="false" outlineLevel="0" collapsed="false">
      <c r="A60" s="83" t="str">
        <f aca="false">IF($B60="","",الموظفون!$A60)</f>
        <v/>
      </c>
      <c r="B60" s="74" t="str">
        <f aca="false">IF(الموظفون!$B60="","",الموظفون!$B60)</f>
        <v/>
      </c>
      <c r="C60" s="74" t="str">
        <f aca="false">IF($B60="","",الموظفون!$C60)</f>
        <v/>
      </c>
      <c r="D60" s="74" t="str">
        <f aca="false">IF($B60="","",الموظفون!$F60)</f>
        <v/>
      </c>
      <c r="E60" s="74" t="str">
        <f aca="false">IF($B60="","",الموظفون!$E60)</f>
        <v/>
      </c>
      <c r="F60" s="105" t="str">
        <f aca="false">IF($B60="","",IF(AE60&gt;=DAY($G$3),cfg_DAYS_M,MIN(AE60,cfg_DAYS_M)))</f>
        <v/>
      </c>
      <c r="G60" s="105" t="str">
        <f aca="false">IF($B60="","",SUMIFS('الحركات الشهرية'!$D$6:$D$1005,'الحركات الشهرية'!$B$6:$B$1005,$B60,'الحركات الشهرية'!$A$6:$A$1005,$C$3))</f>
        <v/>
      </c>
      <c r="H60" s="105" t="str">
        <f aca="false">IF($B60="","",SUMIFS('الحركات الشهرية'!$E$6:$E$1005,'الحركات الشهرية'!$B$6:$B$1005,$B60,'الحركات الشهرية'!$A$6:$A$1005,$C$3))</f>
        <v/>
      </c>
      <c r="I60" s="105" t="str">
        <f aca="false">IF($B60="","",MAX(0,F60-G60-H60))</f>
        <v/>
      </c>
      <c r="J60" s="86" t="str">
        <f aca="false">IF($B60="","",الموظفون!$J60*$I60/cfg_DAYS_M)</f>
        <v/>
      </c>
      <c r="K60" s="86" t="str">
        <f aca="false">IF($B60="","",الموظفون!$K60*$I60/cfg_DAYS_M)</f>
        <v/>
      </c>
      <c r="L60" s="86" t="str">
        <f aca="false">IF($B60="","",الموظفون!$L60*$I60/cfg_DAYS_M)</f>
        <v/>
      </c>
      <c r="M60" s="86" t="str">
        <f aca="false">IF($B60="","",الموظفون!$M60*$I60/cfg_DAYS_M)</f>
        <v/>
      </c>
      <c r="N60" s="105" t="str">
        <f aca="false">IF($B60="","",SUMIFS('الحركات الشهرية'!$F$6:$F$1005,'الحركات الشهرية'!$B$6:$B$1005,$B60,'الحركات الشهرية'!$A$6:$A$1005,$C$3))</f>
        <v/>
      </c>
      <c r="O60" s="86" t="str">
        <f aca="false">IF($B60="","",N60*(الموظفون!$N60+الموظفون!$J60*cfg_OT_P)/cfg_DAYS_M/cfg_HRS)</f>
        <v/>
      </c>
      <c r="P60" s="86" t="str">
        <f aca="false">IF($B60="","",SUMIFS('الحركات الشهرية'!$G$6:$G$1005,'الحركات الشهرية'!$B$6:$B$1005,$B60,'الحركات الشهرية'!$A$6:$A$1005,$C$3))</f>
        <v/>
      </c>
      <c r="Q60" s="86" t="str">
        <f aca="false">IF($B60="","",SUMIFS('الحركات الشهرية'!$H$6:$H$1005,'الحركات الشهرية'!$B$6:$B$1005,$B60,'الحركات الشهرية'!$A$6:$A$1005,$C$3))</f>
        <v/>
      </c>
      <c r="R60" s="106" t="str">
        <f aca="false">IF($B60="","",SUM(J60:M60)+SUM(O60:Q60))</f>
        <v/>
      </c>
      <c r="S60" s="86" t="str">
        <f aca="false">IF($B60="","",الموظفون!$Q60*IF(E60="سعودي",cfg_G_SE,cfg_G_NE)*F60/cfg_DAYS_M)</f>
        <v/>
      </c>
      <c r="T60" s="86" t="str">
        <f aca="false">IF($B60="","",SUMIFS('الحركات الشهرية'!$I$6:$I$1005,'الحركات الشهرية'!$B$6:$B$1005,$B60,'الحركات الشهرية'!$A$6:$A$1005,$C$3))</f>
        <v/>
      </c>
      <c r="U60" s="86" t="str">
        <f aca="false">IF($B60="","",SUMIFS('الحركات الشهرية'!$J$6:$J$1005,'الحركات الشهرية'!$B$6:$B$1005,$B60,'الحركات الشهرية'!$A$6:$A$1005,$C$3))</f>
        <v/>
      </c>
      <c r="V60" s="86" t="str">
        <f aca="false">IF($B60="","",SUM(S60:U60))</f>
        <v/>
      </c>
      <c r="W60" s="107" t="str">
        <f aca="false">IF($B60="","",R60-V60)</f>
        <v/>
      </c>
      <c r="X60" s="86" t="str">
        <f aca="false">IF($B60="","",الموظفون!$Q60*IF(E60="سعودي",cfg_G_SR,cfg_G_NR)*F60/cfg_DAYS_M)</f>
        <v/>
      </c>
      <c r="Y60" s="86" t="str">
        <f aca="false">IF($B60="","",الموظفون!$O60*(cfg_EOS_R1*(MIN(AC60,cfg_EOS_TH)-MIN(AD60,cfg_EOS_TH))+cfg_EOS_R2*(MAX(AC60-cfg_EOS_TH,0)-MAX(AD60-cfg_EOS_TH,0))))</f>
        <v/>
      </c>
      <c r="Z60" s="86" t="str">
        <f aca="false">IF($B60="","",IF(الموظفون!$R60&lt;&gt;"",الموظفون!$R60,IF(AC60&gt;=cfg_LV_TH,cfg_LV_D2,cfg_LV_D1))/cfg_DAYS_Y*AE60*الموظفون!$P60/cfg_DAYS_M)</f>
        <v/>
      </c>
      <c r="AA60" s="86" t="str">
        <f aca="false">IF($B60="","",IF(AND(الموظفون!$S60="نعم",N(الموظفون!$U60)&gt;0),الموظفون!$T60/الموظفون!$U60*12/cfg_DAYS_Y*AE60,0))</f>
        <v/>
      </c>
      <c r="AB60" s="108" t="str">
        <f aca="false">IF($B60="","",R60+SUM(X60:AA60))</f>
        <v/>
      </c>
      <c r="AC60" s="109" t="str">
        <f aca="false">IF($B60="","",MAX(0,IF(OR(الموظفون!$X60="",الموظفون!$X60&gt;$G$3),$G$3,الموظفون!$X60)-الموظفون!$H60+1)/cfg_DAYS_Y)</f>
        <v/>
      </c>
      <c r="AD60" s="109" t="str">
        <f aca="false">IF($B60="","",MAX(0,IF(OR(الموظفون!$X60="",الموظفون!$X60&gt;($E$3-1)),($E$3-1),الموظفون!$X60)-الموظفون!$H60+1)/cfg_DAYS_Y)</f>
        <v/>
      </c>
      <c r="AE60" s="51" t="str">
        <f aca="false">IF($B60="","",MAX(0,IF(OR(الموظفون!$X60="",الموظفون!$X60&gt;$G$3),$G$3,الموظفون!$X60)-MAX($E$3,الموظفون!$H60)+1))</f>
        <v/>
      </c>
    </row>
    <row r="61" customFormat="false" ht="15" hidden="false" customHeight="false" outlineLevel="0" collapsed="false">
      <c r="A61" s="89" t="str">
        <f aca="false">IF($B61="","",الموظفون!$A61)</f>
        <v/>
      </c>
      <c r="B61" s="91" t="str">
        <f aca="false">IF(الموظفون!$B61="","",الموظفون!$B61)</f>
        <v/>
      </c>
      <c r="C61" s="91" t="str">
        <f aca="false">IF($B61="","",الموظفون!$C61)</f>
        <v/>
      </c>
      <c r="D61" s="91" t="str">
        <f aca="false">IF($B61="","",الموظفون!$F61)</f>
        <v/>
      </c>
      <c r="E61" s="91" t="str">
        <f aca="false">IF($B61="","",الموظفون!$E61)</f>
        <v/>
      </c>
      <c r="F61" s="110" t="str">
        <f aca="false">IF($B61="","",IF(AE61&gt;=DAY($G$3),cfg_DAYS_M,MIN(AE61,cfg_DAYS_M)))</f>
        <v/>
      </c>
      <c r="G61" s="110" t="str">
        <f aca="false">IF($B61="","",SUMIFS('الحركات الشهرية'!$D$6:$D$1005,'الحركات الشهرية'!$B$6:$B$1005,$B61,'الحركات الشهرية'!$A$6:$A$1005,$C$3))</f>
        <v/>
      </c>
      <c r="H61" s="110" t="str">
        <f aca="false">IF($B61="","",SUMIFS('الحركات الشهرية'!$E$6:$E$1005,'الحركات الشهرية'!$B$6:$B$1005,$B61,'الحركات الشهرية'!$A$6:$A$1005,$C$3))</f>
        <v/>
      </c>
      <c r="I61" s="110" t="str">
        <f aca="false">IF($B61="","",MAX(0,F61-G61-H61))</f>
        <v/>
      </c>
      <c r="J61" s="90" t="str">
        <f aca="false">IF($B61="","",الموظفون!$J61*$I61/cfg_DAYS_M)</f>
        <v/>
      </c>
      <c r="K61" s="90" t="str">
        <f aca="false">IF($B61="","",الموظفون!$K61*$I61/cfg_DAYS_M)</f>
        <v/>
      </c>
      <c r="L61" s="90" t="str">
        <f aca="false">IF($B61="","",الموظفون!$L61*$I61/cfg_DAYS_M)</f>
        <v/>
      </c>
      <c r="M61" s="90" t="str">
        <f aca="false">IF($B61="","",الموظفون!$M61*$I61/cfg_DAYS_M)</f>
        <v/>
      </c>
      <c r="N61" s="110" t="str">
        <f aca="false">IF($B61="","",SUMIFS('الحركات الشهرية'!$F$6:$F$1005,'الحركات الشهرية'!$B$6:$B$1005,$B61,'الحركات الشهرية'!$A$6:$A$1005,$C$3))</f>
        <v/>
      </c>
      <c r="O61" s="90" t="str">
        <f aca="false">IF($B61="","",N61*(الموظفون!$N61+الموظفون!$J61*cfg_OT_P)/cfg_DAYS_M/cfg_HRS)</f>
        <v/>
      </c>
      <c r="P61" s="90" t="str">
        <f aca="false">IF($B61="","",SUMIFS('الحركات الشهرية'!$G$6:$G$1005,'الحركات الشهرية'!$B$6:$B$1005,$B61,'الحركات الشهرية'!$A$6:$A$1005,$C$3))</f>
        <v/>
      </c>
      <c r="Q61" s="90" t="str">
        <f aca="false">IF($B61="","",SUMIFS('الحركات الشهرية'!$H$6:$H$1005,'الحركات الشهرية'!$B$6:$B$1005,$B61,'الحركات الشهرية'!$A$6:$A$1005,$C$3))</f>
        <v/>
      </c>
      <c r="R61" s="111" t="str">
        <f aca="false">IF($B61="","",SUM(J61:M61)+SUM(O61:Q61))</f>
        <v/>
      </c>
      <c r="S61" s="90" t="str">
        <f aca="false">IF($B61="","",الموظفون!$Q61*IF(E61="سعودي",cfg_G_SE,cfg_G_NE)*F61/cfg_DAYS_M)</f>
        <v/>
      </c>
      <c r="T61" s="90" t="str">
        <f aca="false">IF($B61="","",SUMIFS('الحركات الشهرية'!$I$6:$I$1005,'الحركات الشهرية'!$B$6:$B$1005,$B61,'الحركات الشهرية'!$A$6:$A$1005,$C$3))</f>
        <v/>
      </c>
      <c r="U61" s="90" t="str">
        <f aca="false">IF($B61="","",SUMIFS('الحركات الشهرية'!$J$6:$J$1005,'الحركات الشهرية'!$B$6:$B$1005,$B61,'الحركات الشهرية'!$A$6:$A$1005,$C$3))</f>
        <v/>
      </c>
      <c r="V61" s="90" t="str">
        <f aca="false">IF($B61="","",SUM(S61:U61))</f>
        <v/>
      </c>
      <c r="W61" s="112" t="str">
        <f aca="false">IF($B61="","",R61-V61)</f>
        <v/>
      </c>
      <c r="X61" s="90" t="str">
        <f aca="false">IF($B61="","",الموظفون!$Q61*IF(E61="سعودي",cfg_G_SR,cfg_G_NR)*F61/cfg_DAYS_M)</f>
        <v/>
      </c>
      <c r="Y61" s="90" t="str">
        <f aca="false">IF($B61="","",الموظفون!$O61*(cfg_EOS_R1*(MIN(AC61,cfg_EOS_TH)-MIN(AD61,cfg_EOS_TH))+cfg_EOS_R2*(MAX(AC61-cfg_EOS_TH,0)-MAX(AD61-cfg_EOS_TH,0))))</f>
        <v/>
      </c>
      <c r="Z61" s="90" t="str">
        <f aca="false">IF($B61="","",IF(الموظفون!$R61&lt;&gt;"",الموظفون!$R61,IF(AC61&gt;=cfg_LV_TH,cfg_LV_D2,cfg_LV_D1))/cfg_DAYS_Y*AE61*الموظفون!$P61/cfg_DAYS_M)</f>
        <v/>
      </c>
      <c r="AA61" s="90" t="str">
        <f aca="false">IF($B61="","",IF(AND(الموظفون!$S61="نعم",N(الموظفون!$U61)&gt;0),الموظفون!$T61/الموظفون!$U61*12/cfg_DAYS_Y*AE61,0))</f>
        <v/>
      </c>
      <c r="AB61" s="113" t="str">
        <f aca="false">IF($B61="","",R61+SUM(X61:AA61))</f>
        <v/>
      </c>
      <c r="AC61" s="114" t="str">
        <f aca="false">IF($B61="","",MAX(0,IF(OR(الموظفون!$X61="",الموظفون!$X61&gt;$G$3),$G$3,الموظفون!$X61)-الموظفون!$H61+1)/cfg_DAYS_Y)</f>
        <v/>
      </c>
      <c r="AD61" s="114" t="str">
        <f aca="false">IF($B61="","",MAX(0,IF(OR(الموظفون!$X61="",الموظفون!$X61&gt;($E$3-1)),($E$3-1),الموظفون!$X61)-الموظفون!$H61+1)/cfg_DAYS_Y)</f>
        <v/>
      </c>
      <c r="AE61" s="115" t="str">
        <f aca="false">IF($B61="","",MAX(0,IF(OR(الموظفون!$X61="",الموظفون!$X61&gt;$G$3),$G$3,الموظفون!$X61)-MAX($E$3,الموظفون!$H61)+1))</f>
        <v/>
      </c>
    </row>
    <row r="62" customFormat="false" ht="15" hidden="false" customHeight="false" outlineLevel="0" collapsed="false">
      <c r="A62" s="83" t="str">
        <f aca="false">IF($B62="","",الموظفون!$A62)</f>
        <v/>
      </c>
      <c r="B62" s="74" t="str">
        <f aca="false">IF(الموظفون!$B62="","",الموظفون!$B62)</f>
        <v/>
      </c>
      <c r="C62" s="74" t="str">
        <f aca="false">IF($B62="","",الموظفون!$C62)</f>
        <v/>
      </c>
      <c r="D62" s="74" t="str">
        <f aca="false">IF($B62="","",الموظفون!$F62)</f>
        <v/>
      </c>
      <c r="E62" s="74" t="str">
        <f aca="false">IF($B62="","",الموظفون!$E62)</f>
        <v/>
      </c>
      <c r="F62" s="105" t="str">
        <f aca="false">IF($B62="","",IF(AE62&gt;=DAY($G$3),cfg_DAYS_M,MIN(AE62,cfg_DAYS_M)))</f>
        <v/>
      </c>
      <c r="G62" s="105" t="str">
        <f aca="false">IF($B62="","",SUMIFS('الحركات الشهرية'!$D$6:$D$1005,'الحركات الشهرية'!$B$6:$B$1005,$B62,'الحركات الشهرية'!$A$6:$A$1005,$C$3))</f>
        <v/>
      </c>
      <c r="H62" s="105" t="str">
        <f aca="false">IF($B62="","",SUMIFS('الحركات الشهرية'!$E$6:$E$1005,'الحركات الشهرية'!$B$6:$B$1005,$B62,'الحركات الشهرية'!$A$6:$A$1005,$C$3))</f>
        <v/>
      </c>
      <c r="I62" s="105" t="str">
        <f aca="false">IF($B62="","",MAX(0,F62-G62-H62))</f>
        <v/>
      </c>
      <c r="J62" s="86" t="str">
        <f aca="false">IF($B62="","",الموظفون!$J62*$I62/cfg_DAYS_M)</f>
        <v/>
      </c>
      <c r="K62" s="86" t="str">
        <f aca="false">IF($B62="","",الموظفون!$K62*$I62/cfg_DAYS_M)</f>
        <v/>
      </c>
      <c r="L62" s="86" t="str">
        <f aca="false">IF($B62="","",الموظفون!$L62*$I62/cfg_DAYS_M)</f>
        <v/>
      </c>
      <c r="M62" s="86" t="str">
        <f aca="false">IF($B62="","",الموظفون!$M62*$I62/cfg_DAYS_M)</f>
        <v/>
      </c>
      <c r="N62" s="105" t="str">
        <f aca="false">IF($B62="","",SUMIFS('الحركات الشهرية'!$F$6:$F$1005,'الحركات الشهرية'!$B$6:$B$1005,$B62,'الحركات الشهرية'!$A$6:$A$1005,$C$3))</f>
        <v/>
      </c>
      <c r="O62" s="86" t="str">
        <f aca="false">IF($B62="","",N62*(الموظفون!$N62+الموظفون!$J62*cfg_OT_P)/cfg_DAYS_M/cfg_HRS)</f>
        <v/>
      </c>
      <c r="P62" s="86" t="str">
        <f aca="false">IF($B62="","",SUMIFS('الحركات الشهرية'!$G$6:$G$1005,'الحركات الشهرية'!$B$6:$B$1005,$B62,'الحركات الشهرية'!$A$6:$A$1005,$C$3))</f>
        <v/>
      </c>
      <c r="Q62" s="86" t="str">
        <f aca="false">IF($B62="","",SUMIFS('الحركات الشهرية'!$H$6:$H$1005,'الحركات الشهرية'!$B$6:$B$1005,$B62,'الحركات الشهرية'!$A$6:$A$1005,$C$3))</f>
        <v/>
      </c>
      <c r="R62" s="106" t="str">
        <f aca="false">IF($B62="","",SUM(J62:M62)+SUM(O62:Q62))</f>
        <v/>
      </c>
      <c r="S62" s="86" t="str">
        <f aca="false">IF($B62="","",الموظفون!$Q62*IF(E62="سعودي",cfg_G_SE,cfg_G_NE)*F62/cfg_DAYS_M)</f>
        <v/>
      </c>
      <c r="T62" s="86" t="str">
        <f aca="false">IF($B62="","",SUMIFS('الحركات الشهرية'!$I$6:$I$1005,'الحركات الشهرية'!$B$6:$B$1005,$B62,'الحركات الشهرية'!$A$6:$A$1005,$C$3))</f>
        <v/>
      </c>
      <c r="U62" s="86" t="str">
        <f aca="false">IF($B62="","",SUMIFS('الحركات الشهرية'!$J$6:$J$1005,'الحركات الشهرية'!$B$6:$B$1005,$B62,'الحركات الشهرية'!$A$6:$A$1005,$C$3))</f>
        <v/>
      </c>
      <c r="V62" s="86" t="str">
        <f aca="false">IF($B62="","",SUM(S62:U62))</f>
        <v/>
      </c>
      <c r="W62" s="107" t="str">
        <f aca="false">IF($B62="","",R62-V62)</f>
        <v/>
      </c>
      <c r="X62" s="86" t="str">
        <f aca="false">IF($B62="","",الموظفون!$Q62*IF(E62="سعودي",cfg_G_SR,cfg_G_NR)*F62/cfg_DAYS_M)</f>
        <v/>
      </c>
      <c r="Y62" s="86" t="str">
        <f aca="false">IF($B62="","",الموظفون!$O62*(cfg_EOS_R1*(MIN(AC62,cfg_EOS_TH)-MIN(AD62,cfg_EOS_TH))+cfg_EOS_R2*(MAX(AC62-cfg_EOS_TH,0)-MAX(AD62-cfg_EOS_TH,0))))</f>
        <v/>
      </c>
      <c r="Z62" s="86" t="str">
        <f aca="false">IF($B62="","",IF(الموظفون!$R62&lt;&gt;"",الموظفون!$R62,IF(AC62&gt;=cfg_LV_TH,cfg_LV_D2,cfg_LV_D1))/cfg_DAYS_Y*AE62*الموظفون!$P62/cfg_DAYS_M)</f>
        <v/>
      </c>
      <c r="AA62" s="86" t="str">
        <f aca="false">IF($B62="","",IF(AND(الموظفون!$S62="نعم",N(الموظفون!$U62)&gt;0),الموظفون!$T62/الموظفون!$U62*12/cfg_DAYS_Y*AE62,0))</f>
        <v/>
      </c>
      <c r="AB62" s="108" t="str">
        <f aca="false">IF($B62="","",R62+SUM(X62:AA62))</f>
        <v/>
      </c>
      <c r="AC62" s="109" t="str">
        <f aca="false">IF($B62="","",MAX(0,IF(OR(الموظفون!$X62="",الموظفون!$X62&gt;$G$3),$G$3,الموظفون!$X62)-الموظفون!$H62+1)/cfg_DAYS_Y)</f>
        <v/>
      </c>
      <c r="AD62" s="109" t="str">
        <f aca="false">IF($B62="","",MAX(0,IF(OR(الموظفون!$X62="",الموظفون!$X62&gt;($E$3-1)),($E$3-1),الموظفون!$X62)-الموظفون!$H62+1)/cfg_DAYS_Y)</f>
        <v/>
      </c>
      <c r="AE62" s="51" t="str">
        <f aca="false">IF($B62="","",MAX(0,IF(OR(الموظفون!$X62="",الموظفون!$X62&gt;$G$3),$G$3,الموظفون!$X62)-MAX($E$3,الموظفون!$H62)+1))</f>
        <v/>
      </c>
    </row>
    <row r="63" customFormat="false" ht="15" hidden="false" customHeight="false" outlineLevel="0" collapsed="false">
      <c r="A63" s="89" t="str">
        <f aca="false">IF($B63="","",الموظفون!$A63)</f>
        <v/>
      </c>
      <c r="B63" s="91" t="str">
        <f aca="false">IF(الموظفون!$B63="","",الموظفون!$B63)</f>
        <v/>
      </c>
      <c r="C63" s="91" t="str">
        <f aca="false">IF($B63="","",الموظفون!$C63)</f>
        <v/>
      </c>
      <c r="D63" s="91" t="str">
        <f aca="false">IF($B63="","",الموظفون!$F63)</f>
        <v/>
      </c>
      <c r="E63" s="91" t="str">
        <f aca="false">IF($B63="","",الموظفون!$E63)</f>
        <v/>
      </c>
      <c r="F63" s="110" t="str">
        <f aca="false">IF($B63="","",IF(AE63&gt;=DAY($G$3),cfg_DAYS_M,MIN(AE63,cfg_DAYS_M)))</f>
        <v/>
      </c>
      <c r="G63" s="110" t="str">
        <f aca="false">IF($B63="","",SUMIFS('الحركات الشهرية'!$D$6:$D$1005,'الحركات الشهرية'!$B$6:$B$1005,$B63,'الحركات الشهرية'!$A$6:$A$1005,$C$3))</f>
        <v/>
      </c>
      <c r="H63" s="110" t="str">
        <f aca="false">IF($B63="","",SUMIFS('الحركات الشهرية'!$E$6:$E$1005,'الحركات الشهرية'!$B$6:$B$1005,$B63,'الحركات الشهرية'!$A$6:$A$1005,$C$3))</f>
        <v/>
      </c>
      <c r="I63" s="110" t="str">
        <f aca="false">IF($B63="","",MAX(0,F63-G63-H63))</f>
        <v/>
      </c>
      <c r="J63" s="90" t="str">
        <f aca="false">IF($B63="","",الموظفون!$J63*$I63/cfg_DAYS_M)</f>
        <v/>
      </c>
      <c r="K63" s="90" t="str">
        <f aca="false">IF($B63="","",الموظفون!$K63*$I63/cfg_DAYS_M)</f>
        <v/>
      </c>
      <c r="L63" s="90" t="str">
        <f aca="false">IF($B63="","",الموظفون!$L63*$I63/cfg_DAYS_M)</f>
        <v/>
      </c>
      <c r="M63" s="90" t="str">
        <f aca="false">IF($B63="","",الموظفون!$M63*$I63/cfg_DAYS_M)</f>
        <v/>
      </c>
      <c r="N63" s="110" t="str">
        <f aca="false">IF($B63="","",SUMIFS('الحركات الشهرية'!$F$6:$F$1005,'الحركات الشهرية'!$B$6:$B$1005,$B63,'الحركات الشهرية'!$A$6:$A$1005,$C$3))</f>
        <v/>
      </c>
      <c r="O63" s="90" t="str">
        <f aca="false">IF($B63="","",N63*(الموظفون!$N63+الموظفون!$J63*cfg_OT_P)/cfg_DAYS_M/cfg_HRS)</f>
        <v/>
      </c>
      <c r="P63" s="90" t="str">
        <f aca="false">IF($B63="","",SUMIFS('الحركات الشهرية'!$G$6:$G$1005,'الحركات الشهرية'!$B$6:$B$1005,$B63,'الحركات الشهرية'!$A$6:$A$1005,$C$3))</f>
        <v/>
      </c>
      <c r="Q63" s="90" t="str">
        <f aca="false">IF($B63="","",SUMIFS('الحركات الشهرية'!$H$6:$H$1005,'الحركات الشهرية'!$B$6:$B$1005,$B63,'الحركات الشهرية'!$A$6:$A$1005,$C$3))</f>
        <v/>
      </c>
      <c r="R63" s="111" t="str">
        <f aca="false">IF($B63="","",SUM(J63:M63)+SUM(O63:Q63))</f>
        <v/>
      </c>
      <c r="S63" s="90" t="str">
        <f aca="false">IF($B63="","",الموظفون!$Q63*IF(E63="سعودي",cfg_G_SE,cfg_G_NE)*F63/cfg_DAYS_M)</f>
        <v/>
      </c>
      <c r="T63" s="90" t="str">
        <f aca="false">IF($B63="","",SUMIFS('الحركات الشهرية'!$I$6:$I$1005,'الحركات الشهرية'!$B$6:$B$1005,$B63,'الحركات الشهرية'!$A$6:$A$1005,$C$3))</f>
        <v/>
      </c>
      <c r="U63" s="90" t="str">
        <f aca="false">IF($B63="","",SUMIFS('الحركات الشهرية'!$J$6:$J$1005,'الحركات الشهرية'!$B$6:$B$1005,$B63,'الحركات الشهرية'!$A$6:$A$1005,$C$3))</f>
        <v/>
      </c>
      <c r="V63" s="90" t="str">
        <f aca="false">IF($B63="","",SUM(S63:U63))</f>
        <v/>
      </c>
      <c r="W63" s="112" t="str">
        <f aca="false">IF($B63="","",R63-V63)</f>
        <v/>
      </c>
      <c r="X63" s="90" t="str">
        <f aca="false">IF($B63="","",الموظفون!$Q63*IF(E63="سعودي",cfg_G_SR,cfg_G_NR)*F63/cfg_DAYS_M)</f>
        <v/>
      </c>
      <c r="Y63" s="90" t="str">
        <f aca="false">IF($B63="","",الموظفون!$O63*(cfg_EOS_R1*(MIN(AC63,cfg_EOS_TH)-MIN(AD63,cfg_EOS_TH))+cfg_EOS_R2*(MAX(AC63-cfg_EOS_TH,0)-MAX(AD63-cfg_EOS_TH,0))))</f>
        <v/>
      </c>
      <c r="Z63" s="90" t="str">
        <f aca="false">IF($B63="","",IF(الموظفون!$R63&lt;&gt;"",الموظفون!$R63,IF(AC63&gt;=cfg_LV_TH,cfg_LV_D2,cfg_LV_D1))/cfg_DAYS_Y*AE63*الموظفون!$P63/cfg_DAYS_M)</f>
        <v/>
      </c>
      <c r="AA63" s="90" t="str">
        <f aca="false">IF($B63="","",IF(AND(الموظفون!$S63="نعم",N(الموظفون!$U63)&gt;0),الموظفون!$T63/الموظفون!$U63*12/cfg_DAYS_Y*AE63,0))</f>
        <v/>
      </c>
      <c r="AB63" s="113" t="str">
        <f aca="false">IF($B63="","",R63+SUM(X63:AA63))</f>
        <v/>
      </c>
      <c r="AC63" s="114" t="str">
        <f aca="false">IF($B63="","",MAX(0,IF(OR(الموظفون!$X63="",الموظفون!$X63&gt;$G$3),$G$3,الموظفون!$X63)-الموظفون!$H63+1)/cfg_DAYS_Y)</f>
        <v/>
      </c>
      <c r="AD63" s="114" t="str">
        <f aca="false">IF($B63="","",MAX(0,IF(OR(الموظفون!$X63="",الموظفون!$X63&gt;($E$3-1)),($E$3-1),الموظفون!$X63)-الموظفون!$H63+1)/cfg_DAYS_Y)</f>
        <v/>
      </c>
      <c r="AE63" s="115" t="str">
        <f aca="false">IF($B63="","",MAX(0,IF(OR(الموظفون!$X63="",الموظفون!$X63&gt;$G$3),$G$3,الموظفون!$X63)-MAX($E$3,الموظفون!$H63)+1))</f>
        <v/>
      </c>
    </row>
    <row r="64" customFormat="false" ht="15" hidden="false" customHeight="false" outlineLevel="0" collapsed="false">
      <c r="A64" s="83" t="str">
        <f aca="false">IF($B64="","",الموظفون!$A64)</f>
        <v/>
      </c>
      <c r="B64" s="74" t="str">
        <f aca="false">IF(الموظفون!$B64="","",الموظفون!$B64)</f>
        <v/>
      </c>
      <c r="C64" s="74" t="str">
        <f aca="false">IF($B64="","",الموظفون!$C64)</f>
        <v/>
      </c>
      <c r="D64" s="74" t="str">
        <f aca="false">IF($B64="","",الموظفون!$F64)</f>
        <v/>
      </c>
      <c r="E64" s="74" t="str">
        <f aca="false">IF($B64="","",الموظفون!$E64)</f>
        <v/>
      </c>
      <c r="F64" s="105" t="str">
        <f aca="false">IF($B64="","",IF(AE64&gt;=DAY($G$3),cfg_DAYS_M,MIN(AE64,cfg_DAYS_M)))</f>
        <v/>
      </c>
      <c r="G64" s="105" t="str">
        <f aca="false">IF($B64="","",SUMIFS('الحركات الشهرية'!$D$6:$D$1005,'الحركات الشهرية'!$B$6:$B$1005,$B64,'الحركات الشهرية'!$A$6:$A$1005,$C$3))</f>
        <v/>
      </c>
      <c r="H64" s="105" t="str">
        <f aca="false">IF($B64="","",SUMIFS('الحركات الشهرية'!$E$6:$E$1005,'الحركات الشهرية'!$B$6:$B$1005,$B64,'الحركات الشهرية'!$A$6:$A$1005,$C$3))</f>
        <v/>
      </c>
      <c r="I64" s="105" t="str">
        <f aca="false">IF($B64="","",MAX(0,F64-G64-H64))</f>
        <v/>
      </c>
      <c r="J64" s="86" t="str">
        <f aca="false">IF($B64="","",الموظفون!$J64*$I64/cfg_DAYS_M)</f>
        <v/>
      </c>
      <c r="K64" s="86" t="str">
        <f aca="false">IF($B64="","",الموظفون!$K64*$I64/cfg_DAYS_M)</f>
        <v/>
      </c>
      <c r="L64" s="86" t="str">
        <f aca="false">IF($B64="","",الموظفون!$L64*$I64/cfg_DAYS_M)</f>
        <v/>
      </c>
      <c r="M64" s="86" t="str">
        <f aca="false">IF($B64="","",الموظفون!$M64*$I64/cfg_DAYS_M)</f>
        <v/>
      </c>
      <c r="N64" s="105" t="str">
        <f aca="false">IF($B64="","",SUMIFS('الحركات الشهرية'!$F$6:$F$1005,'الحركات الشهرية'!$B$6:$B$1005,$B64,'الحركات الشهرية'!$A$6:$A$1005,$C$3))</f>
        <v/>
      </c>
      <c r="O64" s="86" t="str">
        <f aca="false">IF($B64="","",N64*(الموظفون!$N64+الموظفون!$J64*cfg_OT_P)/cfg_DAYS_M/cfg_HRS)</f>
        <v/>
      </c>
      <c r="P64" s="86" t="str">
        <f aca="false">IF($B64="","",SUMIFS('الحركات الشهرية'!$G$6:$G$1005,'الحركات الشهرية'!$B$6:$B$1005,$B64,'الحركات الشهرية'!$A$6:$A$1005,$C$3))</f>
        <v/>
      </c>
      <c r="Q64" s="86" t="str">
        <f aca="false">IF($B64="","",SUMIFS('الحركات الشهرية'!$H$6:$H$1005,'الحركات الشهرية'!$B$6:$B$1005,$B64,'الحركات الشهرية'!$A$6:$A$1005,$C$3))</f>
        <v/>
      </c>
      <c r="R64" s="106" t="str">
        <f aca="false">IF($B64="","",SUM(J64:M64)+SUM(O64:Q64))</f>
        <v/>
      </c>
      <c r="S64" s="86" t="str">
        <f aca="false">IF($B64="","",الموظفون!$Q64*IF(E64="سعودي",cfg_G_SE,cfg_G_NE)*F64/cfg_DAYS_M)</f>
        <v/>
      </c>
      <c r="T64" s="86" t="str">
        <f aca="false">IF($B64="","",SUMIFS('الحركات الشهرية'!$I$6:$I$1005,'الحركات الشهرية'!$B$6:$B$1005,$B64,'الحركات الشهرية'!$A$6:$A$1005,$C$3))</f>
        <v/>
      </c>
      <c r="U64" s="86" t="str">
        <f aca="false">IF($B64="","",SUMIFS('الحركات الشهرية'!$J$6:$J$1005,'الحركات الشهرية'!$B$6:$B$1005,$B64,'الحركات الشهرية'!$A$6:$A$1005,$C$3))</f>
        <v/>
      </c>
      <c r="V64" s="86" t="str">
        <f aca="false">IF($B64="","",SUM(S64:U64))</f>
        <v/>
      </c>
      <c r="W64" s="107" t="str">
        <f aca="false">IF($B64="","",R64-V64)</f>
        <v/>
      </c>
      <c r="X64" s="86" t="str">
        <f aca="false">IF($B64="","",الموظفون!$Q64*IF(E64="سعودي",cfg_G_SR,cfg_G_NR)*F64/cfg_DAYS_M)</f>
        <v/>
      </c>
      <c r="Y64" s="86" t="str">
        <f aca="false">IF($B64="","",الموظفون!$O64*(cfg_EOS_R1*(MIN(AC64,cfg_EOS_TH)-MIN(AD64,cfg_EOS_TH))+cfg_EOS_R2*(MAX(AC64-cfg_EOS_TH,0)-MAX(AD64-cfg_EOS_TH,0))))</f>
        <v/>
      </c>
      <c r="Z64" s="86" t="str">
        <f aca="false">IF($B64="","",IF(الموظفون!$R64&lt;&gt;"",الموظفون!$R64,IF(AC64&gt;=cfg_LV_TH,cfg_LV_D2,cfg_LV_D1))/cfg_DAYS_Y*AE64*الموظفون!$P64/cfg_DAYS_M)</f>
        <v/>
      </c>
      <c r="AA64" s="86" t="str">
        <f aca="false">IF($B64="","",IF(AND(الموظفون!$S64="نعم",N(الموظفون!$U64)&gt;0),الموظفون!$T64/الموظفون!$U64*12/cfg_DAYS_Y*AE64,0))</f>
        <v/>
      </c>
      <c r="AB64" s="108" t="str">
        <f aca="false">IF($B64="","",R64+SUM(X64:AA64))</f>
        <v/>
      </c>
      <c r="AC64" s="109" t="str">
        <f aca="false">IF($B64="","",MAX(0,IF(OR(الموظفون!$X64="",الموظفون!$X64&gt;$G$3),$G$3,الموظفون!$X64)-الموظفون!$H64+1)/cfg_DAYS_Y)</f>
        <v/>
      </c>
      <c r="AD64" s="109" t="str">
        <f aca="false">IF($B64="","",MAX(0,IF(OR(الموظفون!$X64="",الموظفون!$X64&gt;($E$3-1)),($E$3-1),الموظفون!$X64)-الموظفون!$H64+1)/cfg_DAYS_Y)</f>
        <v/>
      </c>
      <c r="AE64" s="51" t="str">
        <f aca="false">IF($B64="","",MAX(0,IF(OR(الموظفون!$X64="",الموظفون!$X64&gt;$G$3),$G$3,الموظفون!$X64)-MAX($E$3,الموظفون!$H64)+1))</f>
        <v/>
      </c>
    </row>
    <row r="65" customFormat="false" ht="15" hidden="false" customHeight="false" outlineLevel="0" collapsed="false">
      <c r="A65" s="89" t="str">
        <f aca="false">IF($B65="","",الموظفون!$A65)</f>
        <v/>
      </c>
      <c r="B65" s="91" t="str">
        <f aca="false">IF(الموظفون!$B65="","",الموظفون!$B65)</f>
        <v/>
      </c>
      <c r="C65" s="91" t="str">
        <f aca="false">IF($B65="","",الموظفون!$C65)</f>
        <v/>
      </c>
      <c r="D65" s="91" t="str">
        <f aca="false">IF($B65="","",الموظفون!$F65)</f>
        <v/>
      </c>
      <c r="E65" s="91" t="str">
        <f aca="false">IF($B65="","",الموظفون!$E65)</f>
        <v/>
      </c>
      <c r="F65" s="110" t="str">
        <f aca="false">IF($B65="","",IF(AE65&gt;=DAY($G$3),cfg_DAYS_M,MIN(AE65,cfg_DAYS_M)))</f>
        <v/>
      </c>
      <c r="G65" s="110" t="str">
        <f aca="false">IF($B65="","",SUMIFS('الحركات الشهرية'!$D$6:$D$1005,'الحركات الشهرية'!$B$6:$B$1005,$B65,'الحركات الشهرية'!$A$6:$A$1005,$C$3))</f>
        <v/>
      </c>
      <c r="H65" s="110" t="str">
        <f aca="false">IF($B65="","",SUMIFS('الحركات الشهرية'!$E$6:$E$1005,'الحركات الشهرية'!$B$6:$B$1005,$B65,'الحركات الشهرية'!$A$6:$A$1005,$C$3))</f>
        <v/>
      </c>
      <c r="I65" s="110" t="str">
        <f aca="false">IF($B65="","",MAX(0,F65-G65-H65))</f>
        <v/>
      </c>
      <c r="J65" s="90" t="str">
        <f aca="false">IF($B65="","",الموظفون!$J65*$I65/cfg_DAYS_M)</f>
        <v/>
      </c>
      <c r="K65" s="90" t="str">
        <f aca="false">IF($B65="","",الموظفون!$K65*$I65/cfg_DAYS_M)</f>
        <v/>
      </c>
      <c r="L65" s="90" t="str">
        <f aca="false">IF($B65="","",الموظفون!$L65*$I65/cfg_DAYS_M)</f>
        <v/>
      </c>
      <c r="M65" s="90" t="str">
        <f aca="false">IF($B65="","",الموظفون!$M65*$I65/cfg_DAYS_M)</f>
        <v/>
      </c>
      <c r="N65" s="110" t="str">
        <f aca="false">IF($B65="","",SUMIFS('الحركات الشهرية'!$F$6:$F$1005,'الحركات الشهرية'!$B$6:$B$1005,$B65,'الحركات الشهرية'!$A$6:$A$1005,$C$3))</f>
        <v/>
      </c>
      <c r="O65" s="90" t="str">
        <f aca="false">IF($B65="","",N65*(الموظفون!$N65+الموظفون!$J65*cfg_OT_P)/cfg_DAYS_M/cfg_HRS)</f>
        <v/>
      </c>
      <c r="P65" s="90" t="str">
        <f aca="false">IF($B65="","",SUMIFS('الحركات الشهرية'!$G$6:$G$1005,'الحركات الشهرية'!$B$6:$B$1005,$B65,'الحركات الشهرية'!$A$6:$A$1005,$C$3))</f>
        <v/>
      </c>
      <c r="Q65" s="90" t="str">
        <f aca="false">IF($B65="","",SUMIFS('الحركات الشهرية'!$H$6:$H$1005,'الحركات الشهرية'!$B$6:$B$1005,$B65,'الحركات الشهرية'!$A$6:$A$1005,$C$3))</f>
        <v/>
      </c>
      <c r="R65" s="111" t="str">
        <f aca="false">IF($B65="","",SUM(J65:M65)+SUM(O65:Q65))</f>
        <v/>
      </c>
      <c r="S65" s="90" t="str">
        <f aca="false">IF($B65="","",الموظفون!$Q65*IF(E65="سعودي",cfg_G_SE,cfg_G_NE)*F65/cfg_DAYS_M)</f>
        <v/>
      </c>
      <c r="T65" s="90" t="str">
        <f aca="false">IF($B65="","",SUMIFS('الحركات الشهرية'!$I$6:$I$1005,'الحركات الشهرية'!$B$6:$B$1005,$B65,'الحركات الشهرية'!$A$6:$A$1005,$C$3))</f>
        <v/>
      </c>
      <c r="U65" s="90" t="str">
        <f aca="false">IF($B65="","",SUMIFS('الحركات الشهرية'!$J$6:$J$1005,'الحركات الشهرية'!$B$6:$B$1005,$B65,'الحركات الشهرية'!$A$6:$A$1005,$C$3))</f>
        <v/>
      </c>
      <c r="V65" s="90" t="str">
        <f aca="false">IF($B65="","",SUM(S65:U65))</f>
        <v/>
      </c>
      <c r="W65" s="112" t="str">
        <f aca="false">IF($B65="","",R65-V65)</f>
        <v/>
      </c>
      <c r="X65" s="90" t="str">
        <f aca="false">IF($B65="","",الموظفون!$Q65*IF(E65="سعودي",cfg_G_SR,cfg_G_NR)*F65/cfg_DAYS_M)</f>
        <v/>
      </c>
      <c r="Y65" s="90" t="str">
        <f aca="false">IF($B65="","",الموظفون!$O65*(cfg_EOS_R1*(MIN(AC65,cfg_EOS_TH)-MIN(AD65,cfg_EOS_TH))+cfg_EOS_R2*(MAX(AC65-cfg_EOS_TH,0)-MAX(AD65-cfg_EOS_TH,0))))</f>
        <v/>
      </c>
      <c r="Z65" s="90" t="str">
        <f aca="false">IF($B65="","",IF(الموظفون!$R65&lt;&gt;"",الموظفون!$R65,IF(AC65&gt;=cfg_LV_TH,cfg_LV_D2,cfg_LV_D1))/cfg_DAYS_Y*AE65*الموظفون!$P65/cfg_DAYS_M)</f>
        <v/>
      </c>
      <c r="AA65" s="90" t="str">
        <f aca="false">IF($B65="","",IF(AND(الموظفون!$S65="نعم",N(الموظفون!$U65)&gt;0),الموظفون!$T65/الموظفون!$U65*12/cfg_DAYS_Y*AE65,0))</f>
        <v/>
      </c>
      <c r="AB65" s="113" t="str">
        <f aca="false">IF($B65="","",R65+SUM(X65:AA65))</f>
        <v/>
      </c>
      <c r="AC65" s="114" t="str">
        <f aca="false">IF($B65="","",MAX(0,IF(OR(الموظفون!$X65="",الموظفون!$X65&gt;$G$3),$G$3,الموظفون!$X65)-الموظفون!$H65+1)/cfg_DAYS_Y)</f>
        <v/>
      </c>
      <c r="AD65" s="114" t="str">
        <f aca="false">IF($B65="","",MAX(0,IF(OR(الموظفون!$X65="",الموظفون!$X65&gt;($E$3-1)),($E$3-1),الموظفون!$X65)-الموظفون!$H65+1)/cfg_DAYS_Y)</f>
        <v/>
      </c>
      <c r="AE65" s="115" t="str">
        <f aca="false">IF($B65="","",MAX(0,IF(OR(الموظفون!$X65="",الموظفون!$X65&gt;$G$3),$G$3,الموظفون!$X65)-MAX($E$3,الموظفون!$H65)+1))</f>
        <v/>
      </c>
    </row>
    <row r="66" customFormat="false" ht="15" hidden="false" customHeight="false" outlineLevel="0" collapsed="false">
      <c r="A66" s="83" t="str">
        <f aca="false">IF($B66="","",الموظفون!$A66)</f>
        <v/>
      </c>
      <c r="B66" s="74" t="str">
        <f aca="false">IF(الموظفون!$B66="","",الموظفون!$B66)</f>
        <v/>
      </c>
      <c r="C66" s="74" t="str">
        <f aca="false">IF($B66="","",الموظفون!$C66)</f>
        <v/>
      </c>
      <c r="D66" s="74" t="str">
        <f aca="false">IF($B66="","",الموظفون!$F66)</f>
        <v/>
      </c>
      <c r="E66" s="74" t="str">
        <f aca="false">IF($B66="","",الموظفون!$E66)</f>
        <v/>
      </c>
      <c r="F66" s="105" t="str">
        <f aca="false">IF($B66="","",IF(AE66&gt;=DAY($G$3),cfg_DAYS_M,MIN(AE66,cfg_DAYS_M)))</f>
        <v/>
      </c>
      <c r="G66" s="105" t="str">
        <f aca="false">IF($B66="","",SUMIFS('الحركات الشهرية'!$D$6:$D$1005,'الحركات الشهرية'!$B$6:$B$1005,$B66,'الحركات الشهرية'!$A$6:$A$1005,$C$3))</f>
        <v/>
      </c>
      <c r="H66" s="105" t="str">
        <f aca="false">IF($B66="","",SUMIFS('الحركات الشهرية'!$E$6:$E$1005,'الحركات الشهرية'!$B$6:$B$1005,$B66,'الحركات الشهرية'!$A$6:$A$1005,$C$3))</f>
        <v/>
      </c>
      <c r="I66" s="105" t="str">
        <f aca="false">IF($B66="","",MAX(0,F66-G66-H66))</f>
        <v/>
      </c>
      <c r="J66" s="86" t="str">
        <f aca="false">IF($B66="","",الموظفون!$J66*$I66/cfg_DAYS_M)</f>
        <v/>
      </c>
      <c r="K66" s="86" t="str">
        <f aca="false">IF($B66="","",الموظفون!$K66*$I66/cfg_DAYS_M)</f>
        <v/>
      </c>
      <c r="L66" s="86" t="str">
        <f aca="false">IF($B66="","",الموظفون!$L66*$I66/cfg_DAYS_M)</f>
        <v/>
      </c>
      <c r="M66" s="86" t="str">
        <f aca="false">IF($B66="","",الموظفون!$M66*$I66/cfg_DAYS_M)</f>
        <v/>
      </c>
      <c r="N66" s="105" t="str">
        <f aca="false">IF($B66="","",SUMIFS('الحركات الشهرية'!$F$6:$F$1005,'الحركات الشهرية'!$B$6:$B$1005,$B66,'الحركات الشهرية'!$A$6:$A$1005,$C$3))</f>
        <v/>
      </c>
      <c r="O66" s="86" t="str">
        <f aca="false">IF($B66="","",N66*(الموظفون!$N66+الموظفون!$J66*cfg_OT_P)/cfg_DAYS_M/cfg_HRS)</f>
        <v/>
      </c>
      <c r="P66" s="86" t="str">
        <f aca="false">IF($B66="","",SUMIFS('الحركات الشهرية'!$G$6:$G$1005,'الحركات الشهرية'!$B$6:$B$1005,$B66,'الحركات الشهرية'!$A$6:$A$1005,$C$3))</f>
        <v/>
      </c>
      <c r="Q66" s="86" t="str">
        <f aca="false">IF($B66="","",SUMIFS('الحركات الشهرية'!$H$6:$H$1005,'الحركات الشهرية'!$B$6:$B$1005,$B66,'الحركات الشهرية'!$A$6:$A$1005,$C$3))</f>
        <v/>
      </c>
      <c r="R66" s="106" t="str">
        <f aca="false">IF($B66="","",SUM(J66:M66)+SUM(O66:Q66))</f>
        <v/>
      </c>
      <c r="S66" s="86" t="str">
        <f aca="false">IF($B66="","",الموظفون!$Q66*IF(E66="سعودي",cfg_G_SE,cfg_G_NE)*F66/cfg_DAYS_M)</f>
        <v/>
      </c>
      <c r="T66" s="86" t="str">
        <f aca="false">IF($B66="","",SUMIFS('الحركات الشهرية'!$I$6:$I$1005,'الحركات الشهرية'!$B$6:$B$1005,$B66,'الحركات الشهرية'!$A$6:$A$1005,$C$3))</f>
        <v/>
      </c>
      <c r="U66" s="86" t="str">
        <f aca="false">IF($B66="","",SUMIFS('الحركات الشهرية'!$J$6:$J$1005,'الحركات الشهرية'!$B$6:$B$1005,$B66,'الحركات الشهرية'!$A$6:$A$1005,$C$3))</f>
        <v/>
      </c>
      <c r="V66" s="86" t="str">
        <f aca="false">IF($B66="","",SUM(S66:U66))</f>
        <v/>
      </c>
      <c r="W66" s="107" t="str">
        <f aca="false">IF($B66="","",R66-V66)</f>
        <v/>
      </c>
      <c r="X66" s="86" t="str">
        <f aca="false">IF($B66="","",الموظفون!$Q66*IF(E66="سعودي",cfg_G_SR,cfg_G_NR)*F66/cfg_DAYS_M)</f>
        <v/>
      </c>
      <c r="Y66" s="86" t="str">
        <f aca="false">IF($B66="","",الموظفون!$O66*(cfg_EOS_R1*(MIN(AC66,cfg_EOS_TH)-MIN(AD66,cfg_EOS_TH))+cfg_EOS_R2*(MAX(AC66-cfg_EOS_TH,0)-MAX(AD66-cfg_EOS_TH,0))))</f>
        <v/>
      </c>
      <c r="Z66" s="86" t="str">
        <f aca="false">IF($B66="","",IF(الموظفون!$R66&lt;&gt;"",الموظفون!$R66,IF(AC66&gt;=cfg_LV_TH,cfg_LV_D2,cfg_LV_D1))/cfg_DAYS_Y*AE66*الموظفون!$P66/cfg_DAYS_M)</f>
        <v/>
      </c>
      <c r="AA66" s="86" t="str">
        <f aca="false">IF($B66="","",IF(AND(الموظفون!$S66="نعم",N(الموظفون!$U66)&gt;0),الموظفون!$T66/الموظفون!$U66*12/cfg_DAYS_Y*AE66,0))</f>
        <v/>
      </c>
      <c r="AB66" s="108" t="str">
        <f aca="false">IF($B66="","",R66+SUM(X66:AA66))</f>
        <v/>
      </c>
      <c r="AC66" s="109" t="str">
        <f aca="false">IF($B66="","",MAX(0,IF(OR(الموظفون!$X66="",الموظفون!$X66&gt;$G$3),$G$3,الموظفون!$X66)-الموظفون!$H66+1)/cfg_DAYS_Y)</f>
        <v/>
      </c>
      <c r="AD66" s="109" t="str">
        <f aca="false">IF($B66="","",MAX(0,IF(OR(الموظفون!$X66="",الموظفون!$X66&gt;($E$3-1)),($E$3-1),الموظفون!$X66)-الموظفون!$H66+1)/cfg_DAYS_Y)</f>
        <v/>
      </c>
      <c r="AE66" s="51" t="str">
        <f aca="false">IF($B66="","",MAX(0,IF(OR(الموظفون!$X66="",الموظفون!$X66&gt;$G$3),$G$3,الموظفون!$X66)-MAX($E$3,الموظفون!$H66)+1))</f>
        <v/>
      </c>
    </row>
    <row r="67" customFormat="false" ht="15" hidden="false" customHeight="false" outlineLevel="0" collapsed="false">
      <c r="A67" s="89" t="str">
        <f aca="false">IF($B67="","",الموظفون!$A67)</f>
        <v/>
      </c>
      <c r="B67" s="91" t="str">
        <f aca="false">IF(الموظفون!$B67="","",الموظفون!$B67)</f>
        <v/>
      </c>
      <c r="C67" s="91" t="str">
        <f aca="false">IF($B67="","",الموظفون!$C67)</f>
        <v/>
      </c>
      <c r="D67" s="91" t="str">
        <f aca="false">IF($B67="","",الموظفون!$F67)</f>
        <v/>
      </c>
      <c r="E67" s="91" t="str">
        <f aca="false">IF($B67="","",الموظفون!$E67)</f>
        <v/>
      </c>
      <c r="F67" s="110" t="str">
        <f aca="false">IF($B67="","",IF(AE67&gt;=DAY($G$3),cfg_DAYS_M,MIN(AE67,cfg_DAYS_M)))</f>
        <v/>
      </c>
      <c r="G67" s="110" t="str">
        <f aca="false">IF($B67="","",SUMIFS('الحركات الشهرية'!$D$6:$D$1005,'الحركات الشهرية'!$B$6:$B$1005,$B67,'الحركات الشهرية'!$A$6:$A$1005,$C$3))</f>
        <v/>
      </c>
      <c r="H67" s="110" t="str">
        <f aca="false">IF($B67="","",SUMIFS('الحركات الشهرية'!$E$6:$E$1005,'الحركات الشهرية'!$B$6:$B$1005,$B67,'الحركات الشهرية'!$A$6:$A$1005,$C$3))</f>
        <v/>
      </c>
      <c r="I67" s="110" t="str">
        <f aca="false">IF($B67="","",MAX(0,F67-G67-H67))</f>
        <v/>
      </c>
      <c r="J67" s="90" t="str">
        <f aca="false">IF($B67="","",الموظفون!$J67*$I67/cfg_DAYS_M)</f>
        <v/>
      </c>
      <c r="K67" s="90" t="str">
        <f aca="false">IF($B67="","",الموظفون!$K67*$I67/cfg_DAYS_M)</f>
        <v/>
      </c>
      <c r="L67" s="90" t="str">
        <f aca="false">IF($B67="","",الموظفون!$L67*$I67/cfg_DAYS_M)</f>
        <v/>
      </c>
      <c r="M67" s="90" t="str">
        <f aca="false">IF($B67="","",الموظفون!$M67*$I67/cfg_DAYS_M)</f>
        <v/>
      </c>
      <c r="N67" s="110" t="str">
        <f aca="false">IF($B67="","",SUMIFS('الحركات الشهرية'!$F$6:$F$1005,'الحركات الشهرية'!$B$6:$B$1005,$B67,'الحركات الشهرية'!$A$6:$A$1005,$C$3))</f>
        <v/>
      </c>
      <c r="O67" s="90" t="str">
        <f aca="false">IF($B67="","",N67*(الموظفون!$N67+الموظفون!$J67*cfg_OT_P)/cfg_DAYS_M/cfg_HRS)</f>
        <v/>
      </c>
      <c r="P67" s="90" t="str">
        <f aca="false">IF($B67="","",SUMIFS('الحركات الشهرية'!$G$6:$G$1005,'الحركات الشهرية'!$B$6:$B$1005,$B67,'الحركات الشهرية'!$A$6:$A$1005,$C$3))</f>
        <v/>
      </c>
      <c r="Q67" s="90" t="str">
        <f aca="false">IF($B67="","",SUMIFS('الحركات الشهرية'!$H$6:$H$1005,'الحركات الشهرية'!$B$6:$B$1005,$B67,'الحركات الشهرية'!$A$6:$A$1005,$C$3))</f>
        <v/>
      </c>
      <c r="R67" s="111" t="str">
        <f aca="false">IF($B67="","",SUM(J67:M67)+SUM(O67:Q67))</f>
        <v/>
      </c>
      <c r="S67" s="90" t="str">
        <f aca="false">IF($B67="","",الموظفون!$Q67*IF(E67="سعودي",cfg_G_SE,cfg_G_NE)*F67/cfg_DAYS_M)</f>
        <v/>
      </c>
      <c r="T67" s="90" t="str">
        <f aca="false">IF($B67="","",SUMIFS('الحركات الشهرية'!$I$6:$I$1005,'الحركات الشهرية'!$B$6:$B$1005,$B67,'الحركات الشهرية'!$A$6:$A$1005,$C$3))</f>
        <v/>
      </c>
      <c r="U67" s="90" t="str">
        <f aca="false">IF($B67="","",SUMIFS('الحركات الشهرية'!$J$6:$J$1005,'الحركات الشهرية'!$B$6:$B$1005,$B67,'الحركات الشهرية'!$A$6:$A$1005,$C$3))</f>
        <v/>
      </c>
      <c r="V67" s="90" t="str">
        <f aca="false">IF($B67="","",SUM(S67:U67))</f>
        <v/>
      </c>
      <c r="W67" s="112" t="str">
        <f aca="false">IF($B67="","",R67-V67)</f>
        <v/>
      </c>
      <c r="X67" s="90" t="str">
        <f aca="false">IF($B67="","",الموظفون!$Q67*IF(E67="سعودي",cfg_G_SR,cfg_G_NR)*F67/cfg_DAYS_M)</f>
        <v/>
      </c>
      <c r="Y67" s="90" t="str">
        <f aca="false">IF($B67="","",الموظفون!$O67*(cfg_EOS_R1*(MIN(AC67,cfg_EOS_TH)-MIN(AD67,cfg_EOS_TH))+cfg_EOS_R2*(MAX(AC67-cfg_EOS_TH,0)-MAX(AD67-cfg_EOS_TH,0))))</f>
        <v/>
      </c>
      <c r="Z67" s="90" t="str">
        <f aca="false">IF($B67="","",IF(الموظفون!$R67&lt;&gt;"",الموظفون!$R67,IF(AC67&gt;=cfg_LV_TH,cfg_LV_D2,cfg_LV_D1))/cfg_DAYS_Y*AE67*الموظفون!$P67/cfg_DAYS_M)</f>
        <v/>
      </c>
      <c r="AA67" s="90" t="str">
        <f aca="false">IF($B67="","",IF(AND(الموظفون!$S67="نعم",N(الموظفون!$U67)&gt;0),الموظفون!$T67/الموظفون!$U67*12/cfg_DAYS_Y*AE67,0))</f>
        <v/>
      </c>
      <c r="AB67" s="113" t="str">
        <f aca="false">IF($B67="","",R67+SUM(X67:AA67))</f>
        <v/>
      </c>
      <c r="AC67" s="114" t="str">
        <f aca="false">IF($B67="","",MAX(0,IF(OR(الموظفون!$X67="",الموظفون!$X67&gt;$G$3),$G$3,الموظفون!$X67)-الموظفون!$H67+1)/cfg_DAYS_Y)</f>
        <v/>
      </c>
      <c r="AD67" s="114" t="str">
        <f aca="false">IF($B67="","",MAX(0,IF(OR(الموظفون!$X67="",الموظفون!$X67&gt;($E$3-1)),($E$3-1),الموظفون!$X67)-الموظفون!$H67+1)/cfg_DAYS_Y)</f>
        <v/>
      </c>
      <c r="AE67" s="115" t="str">
        <f aca="false">IF($B67="","",MAX(0,IF(OR(الموظفون!$X67="",الموظفون!$X67&gt;$G$3),$G$3,الموظفون!$X67)-MAX($E$3,الموظفون!$H67)+1))</f>
        <v/>
      </c>
    </row>
    <row r="68" customFormat="false" ht="15" hidden="false" customHeight="false" outlineLevel="0" collapsed="false">
      <c r="A68" s="83" t="str">
        <f aca="false">IF($B68="","",الموظفون!$A68)</f>
        <v/>
      </c>
      <c r="B68" s="74" t="str">
        <f aca="false">IF(الموظفون!$B68="","",الموظفون!$B68)</f>
        <v/>
      </c>
      <c r="C68" s="74" t="str">
        <f aca="false">IF($B68="","",الموظفون!$C68)</f>
        <v/>
      </c>
      <c r="D68" s="74" t="str">
        <f aca="false">IF($B68="","",الموظفون!$F68)</f>
        <v/>
      </c>
      <c r="E68" s="74" t="str">
        <f aca="false">IF($B68="","",الموظفون!$E68)</f>
        <v/>
      </c>
      <c r="F68" s="105" t="str">
        <f aca="false">IF($B68="","",IF(AE68&gt;=DAY($G$3),cfg_DAYS_M,MIN(AE68,cfg_DAYS_M)))</f>
        <v/>
      </c>
      <c r="G68" s="105" t="str">
        <f aca="false">IF($B68="","",SUMIFS('الحركات الشهرية'!$D$6:$D$1005,'الحركات الشهرية'!$B$6:$B$1005,$B68,'الحركات الشهرية'!$A$6:$A$1005,$C$3))</f>
        <v/>
      </c>
      <c r="H68" s="105" t="str">
        <f aca="false">IF($B68="","",SUMIFS('الحركات الشهرية'!$E$6:$E$1005,'الحركات الشهرية'!$B$6:$B$1005,$B68,'الحركات الشهرية'!$A$6:$A$1005,$C$3))</f>
        <v/>
      </c>
      <c r="I68" s="105" t="str">
        <f aca="false">IF($B68="","",MAX(0,F68-G68-H68))</f>
        <v/>
      </c>
      <c r="J68" s="86" t="str">
        <f aca="false">IF($B68="","",الموظفون!$J68*$I68/cfg_DAYS_M)</f>
        <v/>
      </c>
      <c r="K68" s="86" t="str">
        <f aca="false">IF($B68="","",الموظفون!$K68*$I68/cfg_DAYS_M)</f>
        <v/>
      </c>
      <c r="L68" s="86" t="str">
        <f aca="false">IF($B68="","",الموظفون!$L68*$I68/cfg_DAYS_M)</f>
        <v/>
      </c>
      <c r="M68" s="86" t="str">
        <f aca="false">IF($B68="","",الموظفون!$M68*$I68/cfg_DAYS_M)</f>
        <v/>
      </c>
      <c r="N68" s="105" t="str">
        <f aca="false">IF($B68="","",SUMIFS('الحركات الشهرية'!$F$6:$F$1005,'الحركات الشهرية'!$B$6:$B$1005,$B68,'الحركات الشهرية'!$A$6:$A$1005,$C$3))</f>
        <v/>
      </c>
      <c r="O68" s="86" t="str">
        <f aca="false">IF($B68="","",N68*(الموظفون!$N68+الموظفون!$J68*cfg_OT_P)/cfg_DAYS_M/cfg_HRS)</f>
        <v/>
      </c>
      <c r="P68" s="86" t="str">
        <f aca="false">IF($B68="","",SUMIFS('الحركات الشهرية'!$G$6:$G$1005,'الحركات الشهرية'!$B$6:$B$1005,$B68,'الحركات الشهرية'!$A$6:$A$1005,$C$3))</f>
        <v/>
      </c>
      <c r="Q68" s="86" t="str">
        <f aca="false">IF($B68="","",SUMIFS('الحركات الشهرية'!$H$6:$H$1005,'الحركات الشهرية'!$B$6:$B$1005,$B68,'الحركات الشهرية'!$A$6:$A$1005,$C$3))</f>
        <v/>
      </c>
      <c r="R68" s="106" t="str">
        <f aca="false">IF($B68="","",SUM(J68:M68)+SUM(O68:Q68))</f>
        <v/>
      </c>
      <c r="S68" s="86" t="str">
        <f aca="false">IF($B68="","",الموظفون!$Q68*IF(E68="سعودي",cfg_G_SE,cfg_G_NE)*F68/cfg_DAYS_M)</f>
        <v/>
      </c>
      <c r="T68" s="86" t="str">
        <f aca="false">IF($B68="","",SUMIFS('الحركات الشهرية'!$I$6:$I$1005,'الحركات الشهرية'!$B$6:$B$1005,$B68,'الحركات الشهرية'!$A$6:$A$1005,$C$3))</f>
        <v/>
      </c>
      <c r="U68" s="86" t="str">
        <f aca="false">IF($B68="","",SUMIFS('الحركات الشهرية'!$J$6:$J$1005,'الحركات الشهرية'!$B$6:$B$1005,$B68,'الحركات الشهرية'!$A$6:$A$1005,$C$3))</f>
        <v/>
      </c>
      <c r="V68" s="86" t="str">
        <f aca="false">IF($B68="","",SUM(S68:U68))</f>
        <v/>
      </c>
      <c r="W68" s="107" t="str">
        <f aca="false">IF($B68="","",R68-V68)</f>
        <v/>
      </c>
      <c r="X68" s="86" t="str">
        <f aca="false">IF($B68="","",الموظفون!$Q68*IF(E68="سعودي",cfg_G_SR,cfg_G_NR)*F68/cfg_DAYS_M)</f>
        <v/>
      </c>
      <c r="Y68" s="86" t="str">
        <f aca="false">IF($B68="","",الموظفون!$O68*(cfg_EOS_R1*(MIN(AC68,cfg_EOS_TH)-MIN(AD68,cfg_EOS_TH))+cfg_EOS_R2*(MAX(AC68-cfg_EOS_TH,0)-MAX(AD68-cfg_EOS_TH,0))))</f>
        <v/>
      </c>
      <c r="Z68" s="86" t="str">
        <f aca="false">IF($B68="","",IF(الموظفون!$R68&lt;&gt;"",الموظفون!$R68,IF(AC68&gt;=cfg_LV_TH,cfg_LV_D2,cfg_LV_D1))/cfg_DAYS_Y*AE68*الموظفون!$P68/cfg_DAYS_M)</f>
        <v/>
      </c>
      <c r="AA68" s="86" t="str">
        <f aca="false">IF($B68="","",IF(AND(الموظفون!$S68="نعم",N(الموظفون!$U68)&gt;0),الموظفون!$T68/الموظفون!$U68*12/cfg_DAYS_Y*AE68,0))</f>
        <v/>
      </c>
      <c r="AB68" s="108" t="str">
        <f aca="false">IF($B68="","",R68+SUM(X68:AA68))</f>
        <v/>
      </c>
      <c r="AC68" s="109" t="str">
        <f aca="false">IF($B68="","",MAX(0,IF(OR(الموظفون!$X68="",الموظفون!$X68&gt;$G$3),$G$3,الموظفون!$X68)-الموظفون!$H68+1)/cfg_DAYS_Y)</f>
        <v/>
      </c>
      <c r="AD68" s="109" t="str">
        <f aca="false">IF($B68="","",MAX(0,IF(OR(الموظفون!$X68="",الموظفون!$X68&gt;($E$3-1)),($E$3-1),الموظفون!$X68)-الموظفون!$H68+1)/cfg_DAYS_Y)</f>
        <v/>
      </c>
      <c r="AE68" s="51" t="str">
        <f aca="false">IF($B68="","",MAX(0,IF(OR(الموظفون!$X68="",الموظفون!$X68&gt;$G$3),$G$3,الموظفون!$X68)-MAX($E$3,الموظفون!$H68)+1))</f>
        <v/>
      </c>
    </row>
    <row r="69" customFormat="false" ht="15" hidden="false" customHeight="false" outlineLevel="0" collapsed="false">
      <c r="A69" s="89" t="str">
        <f aca="false">IF($B69="","",الموظفون!$A69)</f>
        <v/>
      </c>
      <c r="B69" s="91" t="str">
        <f aca="false">IF(الموظفون!$B69="","",الموظفون!$B69)</f>
        <v/>
      </c>
      <c r="C69" s="91" t="str">
        <f aca="false">IF($B69="","",الموظفون!$C69)</f>
        <v/>
      </c>
      <c r="D69" s="91" t="str">
        <f aca="false">IF($B69="","",الموظفون!$F69)</f>
        <v/>
      </c>
      <c r="E69" s="91" t="str">
        <f aca="false">IF($B69="","",الموظفون!$E69)</f>
        <v/>
      </c>
      <c r="F69" s="110" t="str">
        <f aca="false">IF($B69="","",IF(AE69&gt;=DAY($G$3),cfg_DAYS_M,MIN(AE69,cfg_DAYS_M)))</f>
        <v/>
      </c>
      <c r="G69" s="110" t="str">
        <f aca="false">IF($B69="","",SUMIFS('الحركات الشهرية'!$D$6:$D$1005,'الحركات الشهرية'!$B$6:$B$1005,$B69,'الحركات الشهرية'!$A$6:$A$1005,$C$3))</f>
        <v/>
      </c>
      <c r="H69" s="110" t="str">
        <f aca="false">IF($B69="","",SUMIFS('الحركات الشهرية'!$E$6:$E$1005,'الحركات الشهرية'!$B$6:$B$1005,$B69,'الحركات الشهرية'!$A$6:$A$1005,$C$3))</f>
        <v/>
      </c>
      <c r="I69" s="110" t="str">
        <f aca="false">IF($B69="","",MAX(0,F69-G69-H69))</f>
        <v/>
      </c>
      <c r="J69" s="90" t="str">
        <f aca="false">IF($B69="","",الموظفون!$J69*$I69/cfg_DAYS_M)</f>
        <v/>
      </c>
      <c r="K69" s="90" t="str">
        <f aca="false">IF($B69="","",الموظفون!$K69*$I69/cfg_DAYS_M)</f>
        <v/>
      </c>
      <c r="L69" s="90" t="str">
        <f aca="false">IF($B69="","",الموظفون!$L69*$I69/cfg_DAYS_M)</f>
        <v/>
      </c>
      <c r="M69" s="90" t="str">
        <f aca="false">IF($B69="","",الموظفون!$M69*$I69/cfg_DAYS_M)</f>
        <v/>
      </c>
      <c r="N69" s="110" t="str">
        <f aca="false">IF($B69="","",SUMIFS('الحركات الشهرية'!$F$6:$F$1005,'الحركات الشهرية'!$B$6:$B$1005,$B69,'الحركات الشهرية'!$A$6:$A$1005,$C$3))</f>
        <v/>
      </c>
      <c r="O69" s="90" t="str">
        <f aca="false">IF($B69="","",N69*(الموظفون!$N69+الموظفون!$J69*cfg_OT_P)/cfg_DAYS_M/cfg_HRS)</f>
        <v/>
      </c>
      <c r="P69" s="90" t="str">
        <f aca="false">IF($B69="","",SUMIFS('الحركات الشهرية'!$G$6:$G$1005,'الحركات الشهرية'!$B$6:$B$1005,$B69,'الحركات الشهرية'!$A$6:$A$1005,$C$3))</f>
        <v/>
      </c>
      <c r="Q69" s="90" t="str">
        <f aca="false">IF($B69="","",SUMIFS('الحركات الشهرية'!$H$6:$H$1005,'الحركات الشهرية'!$B$6:$B$1005,$B69,'الحركات الشهرية'!$A$6:$A$1005,$C$3))</f>
        <v/>
      </c>
      <c r="R69" s="111" t="str">
        <f aca="false">IF($B69="","",SUM(J69:M69)+SUM(O69:Q69))</f>
        <v/>
      </c>
      <c r="S69" s="90" t="str">
        <f aca="false">IF($B69="","",الموظفون!$Q69*IF(E69="سعودي",cfg_G_SE,cfg_G_NE)*F69/cfg_DAYS_M)</f>
        <v/>
      </c>
      <c r="T69" s="90" t="str">
        <f aca="false">IF($B69="","",SUMIFS('الحركات الشهرية'!$I$6:$I$1005,'الحركات الشهرية'!$B$6:$B$1005,$B69,'الحركات الشهرية'!$A$6:$A$1005,$C$3))</f>
        <v/>
      </c>
      <c r="U69" s="90" t="str">
        <f aca="false">IF($B69="","",SUMIFS('الحركات الشهرية'!$J$6:$J$1005,'الحركات الشهرية'!$B$6:$B$1005,$B69,'الحركات الشهرية'!$A$6:$A$1005,$C$3))</f>
        <v/>
      </c>
      <c r="V69" s="90" t="str">
        <f aca="false">IF($B69="","",SUM(S69:U69))</f>
        <v/>
      </c>
      <c r="W69" s="112" t="str">
        <f aca="false">IF($B69="","",R69-V69)</f>
        <v/>
      </c>
      <c r="X69" s="90" t="str">
        <f aca="false">IF($B69="","",الموظفون!$Q69*IF(E69="سعودي",cfg_G_SR,cfg_G_NR)*F69/cfg_DAYS_M)</f>
        <v/>
      </c>
      <c r="Y69" s="90" t="str">
        <f aca="false">IF($B69="","",الموظفون!$O69*(cfg_EOS_R1*(MIN(AC69,cfg_EOS_TH)-MIN(AD69,cfg_EOS_TH))+cfg_EOS_R2*(MAX(AC69-cfg_EOS_TH,0)-MAX(AD69-cfg_EOS_TH,0))))</f>
        <v/>
      </c>
      <c r="Z69" s="90" t="str">
        <f aca="false">IF($B69="","",IF(الموظفون!$R69&lt;&gt;"",الموظفون!$R69,IF(AC69&gt;=cfg_LV_TH,cfg_LV_D2,cfg_LV_D1))/cfg_DAYS_Y*AE69*الموظفون!$P69/cfg_DAYS_M)</f>
        <v/>
      </c>
      <c r="AA69" s="90" t="str">
        <f aca="false">IF($B69="","",IF(AND(الموظفون!$S69="نعم",N(الموظفون!$U69)&gt;0),الموظفون!$T69/الموظفون!$U69*12/cfg_DAYS_Y*AE69,0))</f>
        <v/>
      </c>
      <c r="AB69" s="113" t="str">
        <f aca="false">IF($B69="","",R69+SUM(X69:AA69))</f>
        <v/>
      </c>
      <c r="AC69" s="114" t="str">
        <f aca="false">IF($B69="","",MAX(0,IF(OR(الموظفون!$X69="",الموظفون!$X69&gt;$G$3),$G$3,الموظفون!$X69)-الموظفون!$H69+1)/cfg_DAYS_Y)</f>
        <v/>
      </c>
      <c r="AD69" s="114" t="str">
        <f aca="false">IF($B69="","",MAX(0,IF(OR(الموظفون!$X69="",الموظفون!$X69&gt;($E$3-1)),($E$3-1),الموظفون!$X69)-الموظفون!$H69+1)/cfg_DAYS_Y)</f>
        <v/>
      </c>
      <c r="AE69" s="115" t="str">
        <f aca="false">IF($B69="","",MAX(0,IF(OR(الموظفون!$X69="",الموظفون!$X69&gt;$G$3),$G$3,الموظفون!$X69)-MAX($E$3,الموظفون!$H69)+1))</f>
        <v/>
      </c>
    </row>
    <row r="70" customFormat="false" ht="15" hidden="false" customHeight="false" outlineLevel="0" collapsed="false">
      <c r="A70" s="83" t="str">
        <f aca="false">IF($B70="","",الموظفون!$A70)</f>
        <v/>
      </c>
      <c r="B70" s="74" t="str">
        <f aca="false">IF(الموظفون!$B70="","",الموظفون!$B70)</f>
        <v/>
      </c>
      <c r="C70" s="74" t="str">
        <f aca="false">IF($B70="","",الموظفون!$C70)</f>
        <v/>
      </c>
      <c r="D70" s="74" t="str">
        <f aca="false">IF($B70="","",الموظفون!$F70)</f>
        <v/>
      </c>
      <c r="E70" s="74" t="str">
        <f aca="false">IF($B70="","",الموظفون!$E70)</f>
        <v/>
      </c>
      <c r="F70" s="105" t="str">
        <f aca="false">IF($B70="","",IF(AE70&gt;=DAY($G$3),cfg_DAYS_M,MIN(AE70,cfg_DAYS_M)))</f>
        <v/>
      </c>
      <c r="G70" s="105" t="str">
        <f aca="false">IF($B70="","",SUMIFS('الحركات الشهرية'!$D$6:$D$1005,'الحركات الشهرية'!$B$6:$B$1005,$B70,'الحركات الشهرية'!$A$6:$A$1005,$C$3))</f>
        <v/>
      </c>
      <c r="H70" s="105" t="str">
        <f aca="false">IF($B70="","",SUMIFS('الحركات الشهرية'!$E$6:$E$1005,'الحركات الشهرية'!$B$6:$B$1005,$B70,'الحركات الشهرية'!$A$6:$A$1005,$C$3))</f>
        <v/>
      </c>
      <c r="I70" s="105" t="str">
        <f aca="false">IF($B70="","",MAX(0,F70-G70-H70))</f>
        <v/>
      </c>
      <c r="J70" s="86" t="str">
        <f aca="false">IF($B70="","",الموظفون!$J70*$I70/cfg_DAYS_M)</f>
        <v/>
      </c>
      <c r="K70" s="86" t="str">
        <f aca="false">IF($B70="","",الموظفون!$K70*$I70/cfg_DAYS_M)</f>
        <v/>
      </c>
      <c r="L70" s="86" t="str">
        <f aca="false">IF($B70="","",الموظفون!$L70*$I70/cfg_DAYS_M)</f>
        <v/>
      </c>
      <c r="M70" s="86" t="str">
        <f aca="false">IF($B70="","",الموظفون!$M70*$I70/cfg_DAYS_M)</f>
        <v/>
      </c>
      <c r="N70" s="105" t="str">
        <f aca="false">IF($B70="","",SUMIFS('الحركات الشهرية'!$F$6:$F$1005,'الحركات الشهرية'!$B$6:$B$1005,$B70,'الحركات الشهرية'!$A$6:$A$1005,$C$3))</f>
        <v/>
      </c>
      <c r="O70" s="86" t="str">
        <f aca="false">IF($B70="","",N70*(الموظفون!$N70+الموظفون!$J70*cfg_OT_P)/cfg_DAYS_M/cfg_HRS)</f>
        <v/>
      </c>
      <c r="P70" s="86" t="str">
        <f aca="false">IF($B70="","",SUMIFS('الحركات الشهرية'!$G$6:$G$1005,'الحركات الشهرية'!$B$6:$B$1005,$B70,'الحركات الشهرية'!$A$6:$A$1005,$C$3))</f>
        <v/>
      </c>
      <c r="Q70" s="86" t="str">
        <f aca="false">IF($B70="","",SUMIFS('الحركات الشهرية'!$H$6:$H$1005,'الحركات الشهرية'!$B$6:$B$1005,$B70,'الحركات الشهرية'!$A$6:$A$1005,$C$3))</f>
        <v/>
      </c>
      <c r="R70" s="106" t="str">
        <f aca="false">IF($B70="","",SUM(J70:M70)+SUM(O70:Q70))</f>
        <v/>
      </c>
      <c r="S70" s="86" t="str">
        <f aca="false">IF($B70="","",الموظفون!$Q70*IF(E70="سعودي",cfg_G_SE,cfg_G_NE)*F70/cfg_DAYS_M)</f>
        <v/>
      </c>
      <c r="T70" s="86" t="str">
        <f aca="false">IF($B70="","",SUMIFS('الحركات الشهرية'!$I$6:$I$1005,'الحركات الشهرية'!$B$6:$B$1005,$B70,'الحركات الشهرية'!$A$6:$A$1005,$C$3))</f>
        <v/>
      </c>
      <c r="U70" s="86" t="str">
        <f aca="false">IF($B70="","",SUMIFS('الحركات الشهرية'!$J$6:$J$1005,'الحركات الشهرية'!$B$6:$B$1005,$B70,'الحركات الشهرية'!$A$6:$A$1005,$C$3))</f>
        <v/>
      </c>
      <c r="V70" s="86" t="str">
        <f aca="false">IF($B70="","",SUM(S70:U70))</f>
        <v/>
      </c>
      <c r="W70" s="107" t="str">
        <f aca="false">IF($B70="","",R70-V70)</f>
        <v/>
      </c>
      <c r="X70" s="86" t="str">
        <f aca="false">IF($B70="","",الموظفون!$Q70*IF(E70="سعودي",cfg_G_SR,cfg_G_NR)*F70/cfg_DAYS_M)</f>
        <v/>
      </c>
      <c r="Y70" s="86" t="str">
        <f aca="false">IF($B70="","",الموظفون!$O70*(cfg_EOS_R1*(MIN(AC70,cfg_EOS_TH)-MIN(AD70,cfg_EOS_TH))+cfg_EOS_R2*(MAX(AC70-cfg_EOS_TH,0)-MAX(AD70-cfg_EOS_TH,0))))</f>
        <v/>
      </c>
      <c r="Z70" s="86" t="str">
        <f aca="false">IF($B70="","",IF(الموظفون!$R70&lt;&gt;"",الموظفون!$R70,IF(AC70&gt;=cfg_LV_TH,cfg_LV_D2,cfg_LV_D1))/cfg_DAYS_Y*AE70*الموظفون!$P70/cfg_DAYS_M)</f>
        <v/>
      </c>
      <c r="AA70" s="86" t="str">
        <f aca="false">IF($B70="","",IF(AND(الموظفون!$S70="نعم",N(الموظفون!$U70)&gt;0),الموظفون!$T70/الموظفون!$U70*12/cfg_DAYS_Y*AE70,0))</f>
        <v/>
      </c>
      <c r="AB70" s="108" t="str">
        <f aca="false">IF($B70="","",R70+SUM(X70:AA70))</f>
        <v/>
      </c>
      <c r="AC70" s="109" t="str">
        <f aca="false">IF($B70="","",MAX(0,IF(OR(الموظفون!$X70="",الموظفون!$X70&gt;$G$3),$G$3,الموظفون!$X70)-الموظفون!$H70+1)/cfg_DAYS_Y)</f>
        <v/>
      </c>
      <c r="AD70" s="109" t="str">
        <f aca="false">IF($B70="","",MAX(0,IF(OR(الموظفون!$X70="",الموظفون!$X70&gt;($E$3-1)),($E$3-1),الموظفون!$X70)-الموظفون!$H70+1)/cfg_DAYS_Y)</f>
        <v/>
      </c>
      <c r="AE70" s="51" t="str">
        <f aca="false">IF($B70="","",MAX(0,IF(OR(الموظفون!$X70="",الموظفون!$X70&gt;$G$3),$G$3,الموظفون!$X70)-MAX($E$3,الموظفون!$H70)+1))</f>
        <v/>
      </c>
    </row>
    <row r="71" customFormat="false" ht="15" hidden="false" customHeight="false" outlineLevel="0" collapsed="false">
      <c r="A71" s="89" t="str">
        <f aca="false">IF($B71="","",الموظفون!$A71)</f>
        <v/>
      </c>
      <c r="B71" s="91" t="str">
        <f aca="false">IF(الموظفون!$B71="","",الموظفون!$B71)</f>
        <v/>
      </c>
      <c r="C71" s="91" t="str">
        <f aca="false">IF($B71="","",الموظفون!$C71)</f>
        <v/>
      </c>
      <c r="D71" s="91" t="str">
        <f aca="false">IF($B71="","",الموظفون!$F71)</f>
        <v/>
      </c>
      <c r="E71" s="91" t="str">
        <f aca="false">IF($B71="","",الموظفون!$E71)</f>
        <v/>
      </c>
      <c r="F71" s="110" t="str">
        <f aca="false">IF($B71="","",IF(AE71&gt;=DAY($G$3),cfg_DAYS_M,MIN(AE71,cfg_DAYS_M)))</f>
        <v/>
      </c>
      <c r="G71" s="110" t="str">
        <f aca="false">IF($B71="","",SUMIFS('الحركات الشهرية'!$D$6:$D$1005,'الحركات الشهرية'!$B$6:$B$1005,$B71,'الحركات الشهرية'!$A$6:$A$1005,$C$3))</f>
        <v/>
      </c>
      <c r="H71" s="110" t="str">
        <f aca="false">IF($B71="","",SUMIFS('الحركات الشهرية'!$E$6:$E$1005,'الحركات الشهرية'!$B$6:$B$1005,$B71,'الحركات الشهرية'!$A$6:$A$1005,$C$3))</f>
        <v/>
      </c>
      <c r="I71" s="110" t="str">
        <f aca="false">IF($B71="","",MAX(0,F71-G71-H71))</f>
        <v/>
      </c>
      <c r="J71" s="90" t="str">
        <f aca="false">IF($B71="","",الموظفون!$J71*$I71/cfg_DAYS_M)</f>
        <v/>
      </c>
      <c r="K71" s="90" t="str">
        <f aca="false">IF($B71="","",الموظفون!$K71*$I71/cfg_DAYS_M)</f>
        <v/>
      </c>
      <c r="L71" s="90" t="str">
        <f aca="false">IF($B71="","",الموظفون!$L71*$I71/cfg_DAYS_M)</f>
        <v/>
      </c>
      <c r="M71" s="90" t="str">
        <f aca="false">IF($B71="","",الموظفون!$M71*$I71/cfg_DAYS_M)</f>
        <v/>
      </c>
      <c r="N71" s="110" t="str">
        <f aca="false">IF($B71="","",SUMIFS('الحركات الشهرية'!$F$6:$F$1005,'الحركات الشهرية'!$B$6:$B$1005,$B71,'الحركات الشهرية'!$A$6:$A$1005,$C$3))</f>
        <v/>
      </c>
      <c r="O71" s="90" t="str">
        <f aca="false">IF($B71="","",N71*(الموظفون!$N71+الموظفون!$J71*cfg_OT_P)/cfg_DAYS_M/cfg_HRS)</f>
        <v/>
      </c>
      <c r="P71" s="90" t="str">
        <f aca="false">IF($B71="","",SUMIFS('الحركات الشهرية'!$G$6:$G$1005,'الحركات الشهرية'!$B$6:$B$1005,$B71,'الحركات الشهرية'!$A$6:$A$1005,$C$3))</f>
        <v/>
      </c>
      <c r="Q71" s="90" t="str">
        <f aca="false">IF($B71="","",SUMIFS('الحركات الشهرية'!$H$6:$H$1005,'الحركات الشهرية'!$B$6:$B$1005,$B71,'الحركات الشهرية'!$A$6:$A$1005,$C$3))</f>
        <v/>
      </c>
      <c r="R71" s="111" t="str">
        <f aca="false">IF($B71="","",SUM(J71:M71)+SUM(O71:Q71))</f>
        <v/>
      </c>
      <c r="S71" s="90" t="str">
        <f aca="false">IF($B71="","",الموظفون!$Q71*IF(E71="سعودي",cfg_G_SE,cfg_G_NE)*F71/cfg_DAYS_M)</f>
        <v/>
      </c>
      <c r="T71" s="90" t="str">
        <f aca="false">IF($B71="","",SUMIFS('الحركات الشهرية'!$I$6:$I$1005,'الحركات الشهرية'!$B$6:$B$1005,$B71,'الحركات الشهرية'!$A$6:$A$1005,$C$3))</f>
        <v/>
      </c>
      <c r="U71" s="90" t="str">
        <f aca="false">IF($B71="","",SUMIFS('الحركات الشهرية'!$J$6:$J$1005,'الحركات الشهرية'!$B$6:$B$1005,$B71,'الحركات الشهرية'!$A$6:$A$1005,$C$3))</f>
        <v/>
      </c>
      <c r="V71" s="90" t="str">
        <f aca="false">IF($B71="","",SUM(S71:U71))</f>
        <v/>
      </c>
      <c r="W71" s="112" t="str">
        <f aca="false">IF($B71="","",R71-V71)</f>
        <v/>
      </c>
      <c r="X71" s="90" t="str">
        <f aca="false">IF($B71="","",الموظفون!$Q71*IF(E71="سعودي",cfg_G_SR,cfg_G_NR)*F71/cfg_DAYS_M)</f>
        <v/>
      </c>
      <c r="Y71" s="90" t="str">
        <f aca="false">IF($B71="","",الموظفون!$O71*(cfg_EOS_R1*(MIN(AC71,cfg_EOS_TH)-MIN(AD71,cfg_EOS_TH))+cfg_EOS_R2*(MAX(AC71-cfg_EOS_TH,0)-MAX(AD71-cfg_EOS_TH,0))))</f>
        <v/>
      </c>
      <c r="Z71" s="90" t="str">
        <f aca="false">IF($B71="","",IF(الموظفون!$R71&lt;&gt;"",الموظفون!$R71,IF(AC71&gt;=cfg_LV_TH,cfg_LV_D2,cfg_LV_D1))/cfg_DAYS_Y*AE71*الموظفون!$P71/cfg_DAYS_M)</f>
        <v/>
      </c>
      <c r="AA71" s="90" t="str">
        <f aca="false">IF($B71="","",IF(AND(الموظفون!$S71="نعم",N(الموظفون!$U71)&gt;0),الموظفون!$T71/الموظفون!$U71*12/cfg_DAYS_Y*AE71,0))</f>
        <v/>
      </c>
      <c r="AB71" s="113" t="str">
        <f aca="false">IF($B71="","",R71+SUM(X71:AA71))</f>
        <v/>
      </c>
      <c r="AC71" s="114" t="str">
        <f aca="false">IF($B71="","",MAX(0,IF(OR(الموظفون!$X71="",الموظفون!$X71&gt;$G$3),$G$3,الموظفون!$X71)-الموظفون!$H71+1)/cfg_DAYS_Y)</f>
        <v/>
      </c>
      <c r="AD71" s="114" t="str">
        <f aca="false">IF($B71="","",MAX(0,IF(OR(الموظفون!$X71="",الموظفون!$X71&gt;($E$3-1)),($E$3-1),الموظفون!$X71)-الموظفون!$H71+1)/cfg_DAYS_Y)</f>
        <v/>
      </c>
      <c r="AE71" s="115" t="str">
        <f aca="false">IF($B71="","",MAX(0,IF(OR(الموظفون!$X71="",الموظفون!$X71&gt;$G$3),$G$3,الموظفون!$X71)-MAX($E$3,الموظفون!$H71)+1))</f>
        <v/>
      </c>
    </row>
    <row r="72" customFormat="false" ht="15" hidden="false" customHeight="false" outlineLevel="0" collapsed="false">
      <c r="A72" s="83" t="str">
        <f aca="false">IF($B72="","",الموظفون!$A72)</f>
        <v/>
      </c>
      <c r="B72" s="74" t="str">
        <f aca="false">IF(الموظفون!$B72="","",الموظفون!$B72)</f>
        <v/>
      </c>
      <c r="C72" s="74" t="str">
        <f aca="false">IF($B72="","",الموظفون!$C72)</f>
        <v/>
      </c>
      <c r="D72" s="74" t="str">
        <f aca="false">IF($B72="","",الموظفون!$F72)</f>
        <v/>
      </c>
      <c r="E72" s="74" t="str">
        <f aca="false">IF($B72="","",الموظفون!$E72)</f>
        <v/>
      </c>
      <c r="F72" s="105" t="str">
        <f aca="false">IF($B72="","",IF(AE72&gt;=DAY($G$3),cfg_DAYS_M,MIN(AE72,cfg_DAYS_M)))</f>
        <v/>
      </c>
      <c r="G72" s="105" t="str">
        <f aca="false">IF($B72="","",SUMIFS('الحركات الشهرية'!$D$6:$D$1005,'الحركات الشهرية'!$B$6:$B$1005,$B72,'الحركات الشهرية'!$A$6:$A$1005,$C$3))</f>
        <v/>
      </c>
      <c r="H72" s="105" t="str">
        <f aca="false">IF($B72="","",SUMIFS('الحركات الشهرية'!$E$6:$E$1005,'الحركات الشهرية'!$B$6:$B$1005,$B72,'الحركات الشهرية'!$A$6:$A$1005,$C$3))</f>
        <v/>
      </c>
      <c r="I72" s="105" t="str">
        <f aca="false">IF($B72="","",MAX(0,F72-G72-H72))</f>
        <v/>
      </c>
      <c r="J72" s="86" t="str">
        <f aca="false">IF($B72="","",الموظفون!$J72*$I72/cfg_DAYS_M)</f>
        <v/>
      </c>
      <c r="K72" s="86" t="str">
        <f aca="false">IF($B72="","",الموظفون!$K72*$I72/cfg_DAYS_M)</f>
        <v/>
      </c>
      <c r="L72" s="86" t="str">
        <f aca="false">IF($B72="","",الموظفون!$L72*$I72/cfg_DAYS_M)</f>
        <v/>
      </c>
      <c r="M72" s="86" t="str">
        <f aca="false">IF($B72="","",الموظفون!$M72*$I72/cfg_DAYS_M)</f>
        <v/>
      </c>
      <c r="N72" s="105" t="str">
        <f aca="false">IF($B72="","",SUMIFS('الحركات الشهرية'!$F$6:$F$1005,'الحركات الشهرية'!$B$6:$B$1005,$B72,'الحركات الشهرية'!$A$6:$A$1005,$C$3))</f>
        <v/>
      </c>
      <c r="O72" s="86" t="str">
        <f aca="false">IF($B72="","",N72*(الموظفون!$N72+الموظفون!$J72*cfg_OT_P)/cfg_DAYS_M/cfg_HRS)</f>
        <v/>
      </c>
      <c r="P72" s="86" t="str">
        <f aca="false">IF($B72="","",SUMIFS('الحركات الشهرية'!$G$6:$G$1005,'الحركات الشهرية'!$B$6:$B$1005,$B72,'الحركات الشهرية'!$A$6:$A$1005,$C$3))</f>
        <v/>
      </c>
      <c r="Q72" s="86" t="str">
        <f aca="false">IF($B72="","",SUMIFS('الحركات الشهرية'!$H$6:$H$1005,'الحركات الشهرية'!$B$6:$B$1005,$B72,'الحركات الشهرية'!$A$6:$A$1005,$C$3))</f>
        <v/>
      </c>
      <c r="R72" s="106" t="str">
        <f aca="false">IF($B72="","",SUM(J72:M72)+SUM(O72:Q72))</f>
        <v/>
      </c>
      <c r="S72" s="86" t="str">
        <f aca="false">IF($B72="","",الموظفون!$Q72*IF(E72="سعودي",cfg_G_SE,cfg_G_NE)*F72/cfg_DAYS_M)</f>
        <v/>
      </c>
      <c r="T72" s="86" t="str">
        <f aca="false">IF($B72="","",SUMIFS('الحركات الشهرية'!$I$6:$I$1005,'الحركات الشهرية'!$B$6:$B$1005,$B72,'الحركات الشهرية'!$A$6:$A$1005,$C$3))</f>
        <v/>
      </c>
      <c r="U72" s="86" t="str">
        <f aca="false">IF($B72="","",SUMIFS('الحركات الشهرية'!$J$6:$J$1005,'الحركات الشهرية'!$B$6:$B$1005,$B72,'الحركات الشهرية'!$A$6:$A$1005,$C$3))</f>
        <v/>
      </c>
      <c r="V72" s="86" t="str">
        <f aca="false">IF($B72="","",SUM(S72:U72))</f>
        <v/>
      </c>
      <c r="W72" s="107" t="str">
        <f aca="false">IF($B72="","",R72-V72)</f>
        <v/>
      </c>
      <c r="X72" s="86" t="str">
        <f aca="false">IF($B72="","",الموظفون!$Q72*IF(E72="سعودي",cfg_G_SR,cfg_G_NR)*F72/cfg_DAYS_M)</f>
        <v/>
      </c>
      <c r="Y72" s="86" t="str">
        <f aca="false">IF($B72="","",الموظفون!$O72*(cfg_EOS_R1*(MIN(AC72,cfg_EOS_TH)-MIN(AD72,cfg_EOS_TH))+cfg_EOS_R2*(MAX(AC72-cfg_EOS_TH,0)-MAX(AD72-cfg_EOS_TH,0))))</f>
        <v/>
      </c>
      <c r="Z72" s="86" t="str">
        <f aca="false">IF($B72="","",IF(الموظفون!$R72&lt;&gt;"",الموظفون!$R72,IF(AC72&gt;=cfg_LV_TH,cfg_LV_D2,cfg_LV_D1))/cfg_DAYS_Y*AE72*الموظفون!$P72/cfg_DAYS_M)</f>
        <v/>
      </c>
      <c r="AA72" s="86" t="str">
        <f aca="false">IF($B72="","",IF(AND(الموظفون!$S72="نعم",N(الموظفون!$U72)&gt;0),الموظفون!$T72/الموظفون!$U72*12/cfg_DAYS_Y*AE72,0))</f>
        <v/>
      </c>
      <c r="AB72" s="108" t="str">
        <f aca="false">IF($B72="","",R72+SUM(X72:AA72))</f>
        <v/>
      </c>
      <c r="AC72" s="109" t="str">
        <f aca="false">IF($B72="","",MAX(0,IF(OR(الموظفون!$X72="",الموظفون!$X72&gt;$G$3),$G$3,الموظفون!$X72)-الموظفون!$H72+1)/cfg_DAYS_Y)</f>
        <v/>
      </c>
      <c r="AD72" s="109" t="str">
        <f aca="false">IF($B72="","",MAX(0,IF(OR(الموظفون!$X72="",الموظفون!$X72&gt;($E$3-1)),($E$3-1),الموظفون!$X72)-الموظفون!$H72+1)/cfg_DAYS_Y)</f>
        <v/>
      </c>
      <c r="AE72" s="51" t="str">
        <f aca="false">IF($B72="","",MAX(0,IF(OR(الموظفون!$X72="",الموظفون!$X72&gt;$G$3),$G$3,الموظفون!$X72)-MAX($E$3,الموظفون!$H72)+1))</f>
        <v/>
      </c>
    </row>
    <row r="73" customFormat="false" ht="15" hidden="false" customHeight="false" outlineLevel="0" collapsed="false">
      <c r="A73" s="89" t="str">
        <f aca="false">IF($B73="","",الموظفون!$A73)</f>
        <v/>
      </c>
      <c r="B73" s="91" t="str">
        <f aca="false">IF(الموظفون!$B73="","",الموظفون!$B73)</f>
        <v/>
      </c>
      <c r="C73" s="91" t="str">
        <f aca="false">IF($B73="","",الموظفون!$C73)</f>
        <v/>
      </c>
      <c r="D73" s="91" t="str">
        <f aca="false">IF($B73="","",الموظفون!$F73)</f>
        <v/>
      </c>
      <c r="E73" s="91" t="str">
        <f aca="false">IF($B73="","",الموظفون!$E73)</f>
        <v/>
      </c>
      <c r="F73" s="110" t="str">
        <f aca="false">IF($B73="","",IF(AE73&gt;=DAY($G$3),cfg_DAYS_M,MIN(AE73,cfg_DAYS_M)))</f>
        <v/>
      </c>
      <c r="G73" s="110" t="str">
        <f aca="false">IF($B73="","",SUMIFS('الحركات الشهرية'!$D$6:$D$1005,'الحركات الشهرية'!$B$6:$B$1005,$B73,'الحركات الشهرية'!$A$6:$A$1005,$C$3))</f>
        <v/>
      </c>
      <c r="H73" s="110" t="str">
        <f aca="false">IF($B73="","",SUMIFS('الحركات الشهرية'!$E$6:$E$1005,'الحركات الشهرية'!$B$6:$B$1005,$B73,'الحركات الشهرية'!$A$6:$A$1005,$C$3))</f>
        <v/>
      </c>
      <c r="I73" s="110" t="str">
        <f aca="false">IF($B73="","",MAX(0,F73-G73-H73))</f>
        <v/>
      </c>
      <c r="J73" s="90" t="str">
        <f aca="false">IF($B73="","",الموظفون!$J73*$I73/cfg_DAYS_M)</f>
        <v/>
      </c>
      <c r="K73" s="90" t="str">
        <f aca="false">IF($B73="","",الموظفون!$K73*$I73/cfg_DAYS_M)</f>
        <v/>
      </c>
      <c r="L73" s="90" t="str">
        <f aca="false">IF($B73="","",الموظفون!$L73*$I73/cfg_DAYS_M)</f>
        <v/>
      </c>
      <c r="M73" s="90" t="str">
        <f aca="false">IF($B73="","",الموظفون!$M73*$I73/cfg_DAYS_M)</f>
        <v/>
      </c>
      <c r="N73" s="110" t="str">
        <f aca="false">IF($B73="","",SUMIFS('الحركات الشهرية'!$F$6:$F$1005,'الحركات الشهرية'!$B$6:$B$1005,$B73,'الحركات الشهرية'!$A$6:$A$1005,$C$3))</f>
        <v/>
      </c>
      <c r="O73" s="90" t="str">
        <f aca="false">IF($B73="","",N73*(الموظفون!$N73+الموظفون!$J73*cfg_OT_P)/cfg_DAYS_M/cfg_HRS)</f>
        <v/>
      </c>
      <c r="P73" s="90" t="str">
        <f aca="false">IF($B73="","",SUMIFS('الحركات الشهرية'!$G$6:$G$1005,'الحركات الشهرية'!$B$6:$B$1005,$B73,'الحركات الشهرية'!$A$6:$A$1005,$C$3))</f>
        <v/>
      </c>
      <c r="Q73" s="90" t="str">
        <f aca="false">IF($B73="","",SUMIFS('الحركات الشهرية'!$H$6:$H$1005,'الحركات الشهرية'!$B$6:$B$1005,$B73,'الحركات الشهرية'!$A$6:$A$1005,$C$3))</f>
        <v/>
      </c>
      <c r="R73" s="111" t="str">
        <f aca="false">IF($B73="","",SUM(J73:M73)+SUM(O73:Q73))</f>
        <v/>
      </c>
      <c r="S73" s="90" t="str">
        <f aca="false">IF($B73="","",الموظفون!$Q73*IF(E73="سعودي",cfg_G_SE,cfg_G_NE)*F73/cfg_DAYS_M)</f>
        <v/>
      </c>
      <c r="T73" s="90" t="str">
        <f aca="false">IF($B73="","",SUMIFS('الحركات الشهرية'!$I$6:$I$1005,'الحركات الشهرية'!$B$6:$B$1005,$B73,'الحركات الشهرية'!$A$6:$A$1005,$C$3))</f>
        <v/>
      </c>
      <c r="U73" s="90" t="str">
        <f aca="false">IF($B73="","",SUMIFS('الحركات الشهرية'!$J$6:$J$1005,'الحركات الشهرية'!$B$6:$B$1005,$B73,'الحركات الشهرية'!$A$6:$A$1005,$C$3))</f>
        <v/>
      </c>
      <c r="V73" s="90" t="str">
        <f aca="false">IF($B73="","",SUM(S73:U73))</f>
        <v/>
      </c>
      <c r="W73" s="112" t="str">
        <f aca="false">IF($B73="","",R73-V73)</f>
        <v/>
      </c>
      <c r="X73" s="90" t="str">
        <f aca="false">IF($B73="","",الموظفون!$Q73*IF(E73="سعودي",cfg_G_SR,cfg_G_NR)*F73/cfg_DAYS_M)</f>
        <v/>
      </c>
      <c r="Y73" s="90" t="str">
        <f aca="false">IF($B73="","",الموظفون!$O73*(cfg_EOS_R1*(MIN(AC73,cfg_EOS_TH)-MIN(AD73,cfg_EOS_TH))+cfg_EOS_R2*(MAX(AC73-cfg_EOS_TH,0)-MAX(AD73-cfg_EOS_TH,0))))</f>
        <v/>
      </c>
      <c r="Z73" s="90" t="str">
        <f aca="false">IF($B73="","",IF(الموظفون!$R73&lt;&gt;"",الموظفون!$R73,IF(AC73&gt;=cfg_LV_TH,cfg_LV_D2,cfg_LV_D1))/cfg_DAYS_Y*AE73*الموظفون!$P73/cfg_DAYS_M)</f>
        <v/>
      </c>
      <c r="AA73" s="90" t="str">
        <f aca="false">IF($B73="","",IF(AND(الموظفون!$S73="نعم",N(الموظفون!$U73)&gt;0),الموظفون!$T73/الموظفون!$U73*12/cfg_DAYS_Y*AE73,0))</f>
        <v/>
      </c>
      <c r="AB73" s="113" t="str">
        <f aca="false">IF($B73="","",R73+SUM(X73:AA73))</f>
        <v/>
      </c>
      <c r="AC73" s="114" t="str">
        <f aca="false">IF($B73="","",MAX(0,IF(OR(الموظفون!$X73="",الموظفون!$X73&gt;$G$3),$G$3,الموظفون!$X73)-الموظفون!$H73+1)/cfg_DAYS_Y)</f>
        <v/>
      </c>
      <c r="AD73" s="114" t="str">
        <f aca="false">IF($B73="","",MAX(0,IF(OR(الموظفون!$X73="",الموظفون!$X73&gt;($E$3-1)),($E$3-1),الموظفون!$X73)-الموظفون!$H73+1)/cfg_DAYS_Y)</f>
        <v/>
      </c>
      <c r="AE73" s="115" t="str">
        <f aca="false">IF($B73="","",MAX(0,IF(OR(الموظفون!$X73="",الموظفون!$X73&gt;$G$3),$G$3,الموظفون!$X73)-MAX($E$3,الموظفون!$H73)+1))</f>
        <v/>
      </c>
    </row>
    <row r="74" customFormat="false" ht="15" hidden="false" customHeight="false" outlineLevel="0" collapsed="false">
      <c r="A74" s="83" t="str">
        <f aca="false">IF($B74="","",الموظفون!$A74)</f>
        <v/>
      </c>
      <c r="B74" s="74" t="str">
        <f aca="false">IF(الموظفون!$B74="","",الموظفون!$B74)</f>
        <v/>
      </c>
      <c r="C74" s="74" t="str">
        <f aca="false">IF($B74="","",الموظفون!$C74)</f>
        <v/>
      </c>
      <c r="D74" s="74" t="str">
        <f aca="false">IF($B74="","",الموظفون!$F74)</f>
        <v/>
      </c>
      <c r="E74" s="74" t="str">
        <f aca="false">IF($B74="","",الموظفون!$E74)</f>
        <v/>
      </c>
      <c r="F74" s="105" t="str">
        <f aca="false">IF($B74="","",IF(AE74&gt;=DAY($G$3),cfg_DAYS_M,MIN(AE74,cfg_DAYS_M)))</f>
        <v/>
      </c>
      <c r="G74" s="105" t="str">
        <f aca="false">IF($B74="","",SUMIFS('الحركات الشهرية'!$D$6:$D$1005,'الحركات الشهرية'!$B$6:$B$1005,$B74,'الحركات الشهرية'!$A$6:$A$1005,$C$3))</f>
        <v/>
      </c>
      <c r="H74" s="105" t="str">
        <f aca="false">IF($B74="","",SUMIFS('الحركات الشهرية'!$E$6:$E$1005,'الحركات الشهرية'!$B$6:$B$1005,$B74,'الحركات الشهرية'!$A$6:$A$1005,$C$3))</f>
        <v/>
      </c>
      <c r="I74" s="105" t="str">
        <f aca="false">IF($B74="","",MAX(0,F74-G74-H74))</f>
        <v/>
      </c>
      <c r="J74" s="86" t="str">
        <f aca="false">IF($B74="","",الموظفون!$J74*$I74/cfg_DAYS_M)</f>
        <v/>
      </c>
      <c r="K74" s="86" t="str">
        <f aca="false">IF($B74="","",الموظفون!$K74*$I74/cfg_DAYS_M)</f>
        <v/>
      </c>
      <c r="L74" s="86" t="str">
        <f aca="false">IF($B74="","",الموظفون!$L74*$I74/cfg_DAYS_M)</f>
        <v/>
      </c>
      <c r="M74" s="86" t="str">
        <f aca="false">IF($B74="","",الموظفون!$M74*$I74/cfg_DAYS_M)</f>
        <v/>
      </c>
      <c r="N74" s="105" t="str">
        <f aca="false">IF($B74="","",SUMIFS('الحركات الشهرية'!$F$6:$F$1005,'الحركات الشهرية'!$B$6:$B$1005,$B74,'الحركات الشهرية'!$A$6:$A$1005,$C$3))</f>
        <v/>
      </c>
      <c r="O74" s="86" t="str">
        <f aca="false">IF($B74="","",N74*(الموظفون!$N74+الموظفون!$J74*cfg_OT_P)/cfg_DAYS_M/cfg_HRS)</f>
        <v/>
      </c>
      <c r="P74" s="86" t="str">
        <f aca="false">IF($B74="","",SUMIFS('الحركات الشهرية'!$G$6:$G$1005,'الحركات الشهرية'!$B$6:$B$1005,$B74,'الحركات الشهرية'!$A$6:$A$1005,$C$3))</f>
        <v/>
      </c>
      <c r="Q74" s="86" t="str">
        <f aca="false">IF($B74="","",SUMIFS('الحركات الشهرية'!$H$6:$H$1005,'الحركات الشهرية'!$B$6:$B$1005,$B74,'الحركات الشهرية'!$A$6:$A$1005,$C$3))</f>
        <v/>
      </c>
      <c r="R74" s="106" t="str">
        <f aca="false">IF($B74="","",SUM(J74:M74)+SUM(O74:Q74))</f>
        <v/>
      </c>
      <c r="S74" s="86" t="str">
        <f aca="false">IF($B74="","",الموظفون!$Q74*IF(E74="سعودي",cfg_G_SE,cfg_G_NE)*F74/cfg_DAYS_M)</f>
        <v/>
      </c>
      <c r="T74" s="86" t="str">
        <f aca="false">IF($B74="","",SUMIFS('الحركات الشهرية'!$I$6:$I$1005,'الحركات الشهرية'!$B$6:$B$1005,$B74,'الحركات الشهرية'!$A$6:$A$1005,$C$3))</f>
        <v/>
      </c>
      <c r="U74" s="86" t="str">
        <f aca="false">IF($B74="","",SUMIFS('الحركات الشهرية'!$J$6:$J$1005,'الحركات الشهرية'!$B$6:$B$1005,$B74,'الحركات الشهرية'!$A$6:$A$1005,$C$3))</f>
        <v/>
      </c>
      <c r="V74" s="86" t="str">
        <f aca="false">IF($B74="","",SUM(S74:U74))</f>
        <v/>
      </c>
      <c r="W74" s="107" t="str">
        <f aca="false">IF($B74="","",R74-V74)</f>
        <v/>
      </c>
      <c r="X74" s="86" t="str">
        <f aca="false">IF($B74="","",الموظفون!$Q74*IF(E74="سعودي",cfg_G_SR,cfg_G_NR)*F74/cfg_DAYS_M)</f>
        <v/>
      </c>
      <c r="Y74" s="86" t="str">
        <f aca="false">IF($B74="","",الموظفون!$O74*(cfg_EOS_R1*(MIN(AC74,cfg_EOS_TH)-MIN(AD74,cfg_EOS_TH))+cfg_EOS_R2*(MAX(AC74-cfg_EOS_TH,0)-MAX(AD74-cfg_EOS_TH,0))))</f>
        <v/>
      </c>
      <c r="Z74" s="86" t="str">
        <f aca="false">IF($B74="","",IF(الموظفون!$R74&lt;&gt;"",الموظفون!$R74,IF(AC74&gt;=cfg_LV_TH,cfg_LV_D2,cfg_LV_D1))/cfg_DAYS_Y*AE74*الموظفون!$P74/cfg_DAYS_M)</f>
        <v/>
      </c>
      <c r="AA74" s="86" t="str">
        <f aca="false">IF($B74="","",IF(AND(الموظفون!$S74="نعم",N(الموظفون!$U74)&gt;0),الموظفون!$T74/الموظفون!$U74*12/cfg_DAYS_Y*AE74,0))</f>
        <v/>
      </c>
      <c r="AB74" s="108" t="str">
        <f aca="false">IF($B74="","",R74+SUM(X74:AA74))</f>
        <v/>
      </c>
      <c r="AC74" s="109" t="str">
        <f aca="false">IF($B74="","",MAX(0,IF(OR(الموظفون!$X74="",الموظفون!$X74&gt;$G$3),$G$3,الموظفون!$X74)-الموظفون!$H74+1)/cfg_DAYS_Y)</f>
        <v/>
      </c>
      <c r="AD74" s="109" t="str">
        <f aca="false">IF($B74="","",MAX(0,IF(OR(الموظفون!$X74="",الموظفون!$X74&gt;($E$3-1)),($E$3-1),الموظفون!$X74)-الموظفون!$H74+1)/cfg_DAYS_Y)</f>
        <v/>
      </c>
      <c r="AE74" s="51" t="str">
        <f aca="false">IF($B74="","",MAX(0,IF(OR(الموظفون!$X74="",الموظفون!$X74&gt;$G$3),$G$3,الموظفون!$X74)-MAX($E$3,الموظفون!$H74)+1))</f>
        <v/>
      </c>
    </row>
    <row r="75" customFormat="false" ht="15" hidden="false" customHeight="false" outlineLevel="0" collapsed="false">
      <c r="A75" s="89" t="str">
        <f aca="false">IF($B75="","",الموظفون!$A75)</f>
        <v/>
      </c>
      <c r="B75" s="91" t="str">
        <f aca="false">IF(الموظفون!$B75="","",الموظفون!$B75)</f>
        <v/>
      </c>
      <c r="C75" s="91" t="str">
        <f aca="false">IF($B75="","",الموظفون!$C75)</f>
        <v/>
      </c>
      <c r="D75" s="91" t="str">
        <f aca="false">IF($B75="","",الموظفون!$F75)</f>
        <v/>
      </c>
      <c r="E75" s="91" t="str">
        <f aca="false">IF($B75="","",الموظفون!$E75)</f>
        <v/>
      </c>
      <c r="F75" s="110" t="str">
        <f aca="false">IF($B75="","",IF(AE75&gt;=DAY($G$3),cfg_DAYS_M,MIN(AE75,cfg_DAYS_M)))</f>
        <v/>
      </c>
      <c r="G75" s="110" t="str">
        <f aca="false">IF($B75="","",SUMIFS('الحركات الشهرية'!$D$6:$D$1005,'الحركات الشهرية'!$B$6:$B$1005,$B75,'الحركات الشهرية'!$A$6:$A$1005,$C$3))</f>
        <v/>
      </c>
      <c r="H75" s="110" t="str">
        <f aca="false">IF($B75="","",SUMIFS('الحركات الشهرية'!$E$6:$E$1005,'الحركات الشهرية'!$B$6:$B$1005,$B75,'الحركات الشهرية'!$A$6:$A$1005,$C$3))</f>
        <v/>
      </c>
      <c r="I75" s="110" t="str">
        <f aca="false">IF($B75="","",MAX(0,F75-G75-H75))</f>
        <v/>
      </c>
      <c r="J75" s="90" t="str">
        <f aca="false">IF($B75="","",الموظفون!$J75*$I75/cfg_DAYS_M)</f>
        <v/>
      </c>
      <c r="K75" s="90" t="str">
        <f aca="false">IF($B75="","",الموظفون!$K75*$I75/cfg_DAYS_M)</f>
        <v/>
      </c>
      <c r="L75" s="90" t="str">
        <f aca="false">IF($B75="","",الموظفون!$L75*$I75/cfg_DAYS_M)</f>
        <v/>
      </c>
      <c r="M75" s="90" t="str">
        <f aca="false">IF($B75="","",الموظفون!$M75*$I75/cfg_DAYS_M)</f>
        <v/>
      </c>
      <c r="N75" s="110" t="str">
        <f aca="false">IF($B75="","",SUMIFS('الحركات الشهرية'!$F$6:$F$1005,'الحركات الشهرية'!$B$6:$B$1005,$B75,'الحركات الشهرية'!$A$6:$A$1005,$C$3))</f>
        <v/>
      </c>
      <c r="O75" s="90" t="str">
        <f aca="false">IF($B75="","",N75*(الموظفون!$N75+الموظفون!$J75*cfg_OT_P)/cfg_DAYS_M/cfg_HRS)</f>
        <v/>
      </c>
      <c r="P75" s="90" t="str">
        <f aca="false">IF($B75="","",SUMIFS('الحركات الشهرية'!$G$6:$G$1005,'الحركات الشهرية'!$B$6:$B$1005,$B75,'الحركات الشهرية'!$A$6:$A$1005,$C$3))</f>
        <v/>
      </c>
      <c r="Q75" s="90" t="str">
        <f aca="false">IF($B75="","",SUMIFS('الحركات الشهرية'!$H$6:$H$1005,'الحركات الشهرية'!$B$6:$B$1005,$B75,'الحركات الشهرية'!$A$6:$A$1005,$C$3))</f>
        <v/>
      </c>
      <c r="R75" s="111" t="str">
        <f aca="false">IF($B75="","",SUM(J75:M75)+SUM(O75:Q75))</f>
        <v/>
      </c>
      <c r="S75" s="90" t="str">
        <f aca="false">IF($B75="","",الموظفون!$Q75*IF(E75="سعودي",cfg_G_SE,cfg_G_NE)*F75/cfg_DAYS_M)</f>
        <v/>
      </c>
      <c r="T75" s="90" t="str">
        <f aca="false">IF($B75="","",SUMIFS('الحركات الشهرية'!$I$6:$I$1005,'الحركات الشهرية'!$B$6:$B$1005,$B75,'الحركات الشهرية'!$A$6:$A$1005,$C$3))</f>
        <v/>
      </c>
      <c r="U75" s="90" t="str">
        <f aca="false">IF($B75="","",SUMIFS('الحركات الشهرية'!$J$6:$J$1005,'الحركات الشهرية'!$B$6:$B$1005,$B75,'الحركات الشهرية'!$A$6:$A$1005,$C$3))</f>
        <v/>
      </c>
      <c r="V75" s="90" t="str">
        <f aca="false">IF($B75="","",SUM(S75:U75))</f>
        <v/>
      </c>
      <c r="W75" s="112" t="str">
        <f aca="false">IF($B75="","",R75-V75)</f>
        <v/>
      </c>
      <c r="X75" s="90" t="str">
        <f aca="false">IF($B75="","",الموظفون!$Q75*IF(E75="سعودي",cfg_G_SR,cfg_G_NR)*F75/cfg_DAYS_M)</f>
        <v/>
      </c>
      <c r="Y75" s="90" t="str">
        <f aca="false">IF($B75="","",الموظفون!$O75*(cfg_EOS_R1*(MIN(AC75,cfg_EOS_TH)-MIN(AD75,cfg_EOS_TH))+cfg_EOS_R2*(MAX(AC75-cfg_EOS_TH,0)-MAX(AD75-cfg_EOS_TH,0))))</f>
        <v/>
      </c>
      <c r="Z75" s="90" t="str">
        <f aca="false">IF($B75="","",IF(الموظفون!$R75&lt;&gt;"",الموظفون!$R75,IF(AC75&gt;=cfg_LV_TH,cfg_LV_D2,cfg_LV_D1))/cfg_DAYS_Y*AE75*الموظفون!$P75/cfg_DAYS_M)</f>
        <v/>
      </c>
      <c r="AA75" s="90" t="str">
        <f aca="false">IF($B75="","",IF(AND(الموظفون!$S75="نعم",N(الموظفون!$U75)&gt;0),الموظفون!$T75/الموظفون!$U75*12/cfg_DAYS_Y*AE75,0))</f>
        <v/>
      </c>
      <c r="AB75" s="113" t="str">
        <f aca="false">IF($B75="","",R75+SUM(X75:AA75))</f>
        <v/>
      </c>
      <c r="AC75" s="114" t="str">
        <f aca="false">IF($B75="","",MAX(0,IF(OR(الموظفون!$X75="",الموظفون!$X75&gt;$G$3),$G$3,الموظفون!$X75)-الموظفون!$H75+1)/cfg_DAYS_Y)</f>
        <v/>
      </c>
      <c r="AD75" s="114" t="str">
        <f aca="false">IF($B75="","",MAX(0,IF(OR(الموظفون!$X75="",الموظفون!$X75&gt;($E$3-1)),($E$3-1),الموظفون!$X75)-الموظفون!$H75+1)/cfg_DAYS_Y)</f>
        <v/>
      </c>
      <c r="AE75" s="115" t="str">
        <f aca="false">IF($B75="","",MAX(0,IF(OR(الموظفون!$X75="",الموظفون!$X75&gt;$G$3),$G$3,الموظفون!$X75)-MAX($E$3,الموظفون!$H75)+1))</f>
        <v/>
      </c>
    </row>
    <row r="76" customFormat="false" ht="15" hidden="false" customHeight="false" outlineLevel="0" collapsed="false">
      <c r="A76" s="83" t="str">
        <f aca="false">IF($B76="","",الموظفون!$A76)</f>
        <v/>
      </c>
      <c r="B76" s="74" t="str">
        <f aca="false">IF(الموظفون!$B76="","",الموظفون!$B76)</f>
        <v/>
      </c>
      <c r="C76" s="74" t="str">
        <f aca="false">IF($B76="","",الموظفون!$C76)</f>
        <v/>
      </c>
      <c r="D76" s="74" t="str">
        <f aca="false">IF($B76="","",الموظفون!$F76)</f>
        <v/>
      </c>
      <c r="E76" s="74" t="str">
        <f aca="false">IF($B76="","",الموظفون!$E76)</f>
        <v/>
      </c>
      <c r="F76" s="105" t="str">
        <f aca="false">IF($B76="","",IF(AE76&gt;=DAY($G$3),cfg_DAYS_M,MIN(AE76,cfg_DAYS_M)))</f>
        <v/>
      </c>
      <c r="G76" s="105" t="str">
        <f aca="false">IF($B76="","",SUMIFS('الحركات الشهرية'!$D$6:$D$1005,'الحركات الشهرية'!$B$6:$B$1005,$B76,'الحركات الشهرية'!$A$6:$A$1005,$C$3))</f>
        <v/>
      </c>
      <c r="H76" s="105" t="str">
        <f aca="false">IF($B76="","",SUMIFS('الحركات الشهرية'!$E$6:$E$1005,'الحركات الشهرية'!$B$6:$B$1005,$B76,'الحركات الشهرية'!$A$6:$A$1005,$C$3))</f>
        <v/>
      </c>
      <c r="I76" s="105" t="str">
        <f aca="false">IF($B76="","",MAX(0,F76-G76-H76))</f>
        <v/>
      </c>
      <c r="J76" s="86" t="str">
        <f aca="false">IF($B76="","",الموظفون!$J76*$I76/cfg_DAYS_M)</f>
        <v/>
      </c>
      <c r="K76" s="86" t="str">
        <f aca="false">IF($B76="","",الموظفون!$K76*$I76/cfg_DAYS_M)</f>
        <v/>
      </c>
      <c r="L76" s="86" t="str">
        <f aca="false">IF($B76="","",الموظفون!$L76*$I76/cfg_DAYS_M)</f>
        <v/>
      </c>
      <c r="M76" s="86" t="str">
        <f aca="false">IF($B76="","",الموظفون!$M76*$I76/cfg_DAYS_M)</f>
        <v/>
      </c>
      <c r="N76" s="105" t="str">
        <f aca="false">IF($B76="","",SUMIFS('الحركات الشهرية'!$F$6:$F$1005,'الحركات الشهرية'!$B$6:$B$1005,$B76,'الحركات الشهرية'!$A$6:$A$1005,$C$3))</f>
        <v/>
      </c>
      <c r="O76" s="86" t="str">
        <f aca="false">IF($B76="","",N76*(الموظفون!$N76+الموظفون!$J76*cfg_OT_P)/cfg_DAYS_M/cfg_HRS)</f>
        <v/>
      </c>
      <c r="P76" s="86" t="str">
        <f aca="false">IF($B76="","",SUMIFS('الحركات الشهرية'!$G$6:$G$1005,'الحركات الشهرية'!$B$6:$B$1005,$B76,'الحركات الشهرية'!$A$6:$A$1005,$C$3))</f>
        <v/>
      </c>
      <c r="Q76" s="86" t="str">
        <f aca="false">IF($B76="","",SUMIFS('الحركات الشهرية'!$H$6:$H$1005,'الحركات الشهرية'!$B$6:$B$1005,$B76,'الحركات الشهرية'!$A$6:$A$1005,$C$3))</f>
        <v/>
      </c>
      <c r="R76" s="106" t="str">
        <f aca="false">IF($B76="","",SUM(J76:M76)+SUM(O76:Q76))</f>
        <v/>
      </c>
      <c r="S76" s="86" t="str">
        <f aca="false">IF($B76="","",الموظفون!$Q76*IF(E76="سعودي",cfg_G_SE,cfg_G_NE)*F76/cfg_DAYS_M)</f>
        <v/>
      </c>
      <c r="T76" s="86" t="str">
        <f aca="false">IF($B76="","",SUMIFS('الحركات الشهرية'!$I$6:$I$1005,'الحركات الشهرية'!$B$6:$B$1005,$B76,'الحركات الشهرية'!$A$6:$A$1005,$C$3))</f>
        <v/>
      </c>
      <c r="U76" s="86" t="str">
        <f aca="false">IF($B76="","",SUMIFS('الحركات الشهرية'!$J$6:$J$1005,'الحركات الشهرية'!$B$6:$B$1005,$B76,'الحركات الشهرية'!$A$6:$A$1005,$C$3))</f>
        <v/>
      </c>
      <c r="V76" s="86" t="str">
        <f aca="false">IF($B76="","",SUM(S76:U76))</f>
        <v/>
      </c>
      <c r="W76" s="107" t="str">
        <f aca="false">IF($B76="","",R76-V76)</f>
        <v/>
      </c>
      <c r="X76" s="86" t="str">
        <f aca="false">IF($B76="","",الموظفون!$Q76*IF(E76="سعودي",cfg_G_SR,cfg_G_NR)*F76/cfg_DAYS_M)</f>
        <v/>
      </c>
      <c r="Y76" s="86" t="str">
        <f aca="false">IF($B76="","",الموظفون!$O76*(cfg_EOS_R1*(MIN(AC76,cfg_EOS_TH)-MIN(AD76,cfg_EOS_TH))+cfg_EOS_R2*(MAX(AC76-cfg_EOS_TH,0)-MAX(AD76-cfg_EOS_TH,0))))</f>
        <v/>
      </c>
      <c r="Z76" s="86" t="str">
        <f aca="false">IF($B76="","",IF(الموظفون!$R76&lt;&gt;"",الموظفون!$R76,IF(AC76&gt;=cfg_LV_TH,cfg_LV_D2,cfg_LV_D1))/cfg_DAYS_Y*AE76*الموظفون!$P76/cfg_DAYS_M)</f>
        <v/>
      </c>
      <c r="AA76" s="86" t="str">
        <f aca="false">IF($B76="","",IF(AND(الموظفون!$S76="نعم",N(الموظفون!$U76)&gt;0),الموظفون!$T76/الموظفون!$U76*12/cfg_DAYS_Y*AE76,0))</f>
        <v/>
      </c>
      <c r="AB76" s="108" t="str">
        <f aca="false">IF($B76="","",R76+SUM(X76:AA76))</f>
        <v/>
      </c>
      <c r="AC76" s="109" t="str">
        <f aca="false">IF($B76="","",MAX(0,IF(OR(الموظفون!$X76="",الموظفون!$X76&gt;$G$3),$G$3,الموظفون!$X76)-الموظفون!$H76+1)/cfg_DAYS_Y)</f>
        <v/>
      </c>
      <c r="AD76" s="109" t="str">
        <f aca="false">IF($B76="","",MAX(0,IF(OR(الموظفون!$X76="",الموظفون!$X76&gt;($E$3-1)),($E$3-1),الموظفون!$X76)-الموظفون!$H76+1)/cfg_DAYS_Y)</f>
        <v/>
      </c>
      <c r="AE76" s="51" t="str">
        <f aca="false">IF($B76="","",MAX(0,IF(OR(الموظفون!$X76="",الموظفون!$X76&gt;$G$3),$G$3,الموظفون!$X76)-MAX($E$3,الموظفون!$H76)+1))</f>
        <v/>
      </c>
    </row>
    <row r="77" customFormat="false" ht="15" hidden="false" customHeight="false" outlineLevel="0" collapsed="false">
      <c r="A77" s="89" t="str">
        <f aca="false">IF($B77="","",الموظفون!$A77)</f>
        <v/>
      </c>
      <c r="B77" s="91" t="str">
        <f aca="false">IF(الموظفون!$B77="","",الموظفون!$B77)</f>
        <v/>
      </c>
      <c r="C77" s="91" t="str">
        <f aca="false">IF($B77="","",الموظفون!$C77)</f>
        <v/>
      </c>
      <c r="D77" s="91" t="str">
        <f aca="false">IF($B77="","",الموظفون!$F77)</f>
        <v/>
      </c>
      <c r="E77" s="91" t="str">
        <f aca="false">IF($B77="","",الموظفون!$E77)</f>
        <v/>
      </c>
      <c r="F77" s="110" t="str">
        <f aca="false">IF($B77="","",IF(AE77&gt;=DAY($G$3),cfg_DAYS_M,MIN(AE77,cfg_DAYS_M)))</f>
        <v/>
      </c>
      <c r="G77" s="110" t="str">
        <f aca="false">IF($B77="","",SUMIFS('الحركات الشهرية'!$D$6:$D$1005,'الحركات الشهرية'!$B$6:$B$1005,$B77,'الحركات الشهرية'!$A$6:$A$1005,$C$3))</f>
        <v/>
      </c>
      <c r="H77" s="110" t="str">
        <f aca="false">IF($B77="","",SUMIFS('الحركات الشهرية'!$E$6:$E$1005,'الحركات الشهرية'!$B$6:$B$1005,$B77,'الحركات الشهرية'!$A$6:$A$1005,$C$3))</f>
        <v/>
      </c>
      <c r="I77" s="110" t="str">
        <f aca="false">IF($B77="","",MAX(0,F77-G77-H77))</f>
        <v/>
      </c>
      <c r="J77" s="90" t="str">
        <f aca="false">IF($B77="","",الموظفون!$J77*$I77/cfg_DAYS_M)</f>
        <v/>
      </c>
      <c r="K77" s="90" t="str">
        <f aca="false">IF($B77="","",الموظفون!$K77*$I77/cfg_DAYS_M)</f>
        <v/>
      </c>
      <c r="L77" s="90" t="str">
        <f aca="false">IF($B77="","",الموظفون!$L77*$I77/cfg_DAYS_M)</f>
        <v/>
      </c>
      <c r="M77" s="90" t="str">
        <f aca="false">IF($B77="","",الموظفون!$M77*$I77/cfg_DAYS_M)</f>
        <v/>
      </c>
      <c r="N77" s="110" t="str">
        <f aca="false">IF($B77="","",SUMIFS('الحركات الشهرية'!$F$6:$F$1005,'الحركات الشهرية'!$B$6:$B$1005,$B77,'الحركات الشهرية'!$A$6:$A$1005,$C$3))</f>
        <v/>
      </c>
      <c r="O77" s="90" t="str">
        <f aca="false">IF($B77="","",N77*(الموظفون!$N77+الموظفون!$J77*cfg_OT_P)/cfg_DAYS_M/cfg_HRS)</f>
        <v/>
      </c>
      <c r="P77" s="90" t="str">
        <f aca="false">IF($B77="","",SUMIFS('الحركات الشهرية'!$G$6:$G$1005,'الحركات الشهرية'!$B$6:$B$1005,$B77,'الحركات الشهرية'!$A$6:$A$1005,$C$3))</f>
        <v/>
      </c>
      <c r="Q77" s="90" t="str">
        <f aca="false">IF($B77="","",SUMIFS('الحركات الشهرية'!$H$6:$H$1005,'الحركات الشهرية'!$B$6:$B$1005,$B77,'الحركات الشهرية'!$A$6:$A$1005,$C$3))</f>
        <v/>
      </c>
      <c r="R77" s="111" t="str">
        <f aca="false">IF($B77="","",SUM(J77:M77)+SUM(O77:Q77))</f>
        <v/>
      </c>
      <c r="S77" s="90" t="str">
        <f aca="false">IF($B77="","",الموظفون!$Q77*IF(E77="سعودي",cfg_G_SE,cfg_G_NE)*F77/cfg_DAYS_M)</f>
        <v/>
      </c>
      <c r="T77" s="90" t="str">
        <f aca="false">IF($B77="","",SUMIFS('الحركات الشهرية'!$I$6:$I$1005,'الحركات الشهرية'!$B$6:$B$1005,$B77,'الحركات الشهرية'!$A$6:$A$1005,$C$3))</f>
        <v/>
      </c>
      <c r="U77" s="90" t="str">
        <f aca="false">IF($B77="","",SUMIFS('الحركات الشهرية'!$J$6:$J$1005,'الحركات الشهرية'!$B$6:$B$1005,$B77,'الحركات الشهرية'!$A$6:$A$1005,$C$3))</f>
        <v/>
      </c>
      <c r="V77" s="90" t="str">
        <f aca="false">IF($B77="","",SUM(S77:U77))</f>
        <v/>
      </c>
      <c r="W77" s="112" t="str">
        <f aca="false">IF($B77="","",R77-V77)</f>
        <v/>
      </c>
      <c r="X77" s="90" t="str">
        <f aca="false">IF($B77="","",الموظفون!$Q77*IF(E77="سعودي",cfg_G_SR,cfg_G_NR)*F77/cfg_DAYS_M)</f>
        <v/>
      </c>
      <c r="Y77" s="90" t="str">
        <f aca="false">IF($B77="","",الموظفون!$O77*(cfg_EOS_R1*(MIN(AC77,cfg_EOS_TH)-MIN(AD77,cfg_EOS_TH))+cfg_EOS_R2*(MAX(AC77-cfg_EOS_TH,0)-MAX(AD77-cfg_EOS_TH,0))))</f>
        <v/>
      </c>
      <c r="Z77" s="90" t="str">
        <f aca="false">IF($B77="","",IF(الموظفون!$R77&lt;&gt;"",الموظفون!$R77,IF(AC77&gt;=cfg_LV_TH,cfg_LV_D2,cfg_LV_D1))/cfg_DAYS_Y*AE77*الموظفون!$P77/cfg_DAYS_M)</f>
        <v/>
      </c>
      <c r="AA77" s="90" t="str">
        <f aca="false">IF($B77="","",IF(AND(الموظفون!$S77="نعم",N(الموظفون!$U77)&gt;0),الموظفون!$T77/الموظفون!$U77*12/cfg_DAYS_Y*AE77,0))</f>
        <v/>
      </c>
      <c r="AB77" s="113" t="str">
        <f aca="false">IF($B77="","",R77+SUM(X77:AA77))</f>
        <v/>
      </c>
      <c r="AC77" s="114" t="str">
        <f aca="false">IF($B77="","",MAX(0,IF(OR(الموظفون!$X77="",الموظفون!$X77&gt;$G$3),$G$3,الموظفون!$X77)-الموظفون!$H77+1)/cfg_DAYS_Y)</f>
        <v/>
      </c>
      <c r="AD77" s="114" t="str">
        <f aca="false">IF($B77="","",MAX(0,IF(OR(الموظفون!$X77="",الموظفون!$X77&gt;($E$3-1)),($E$3-1),الموظفون!$X77)-الموظفون!$H77+1)/cfg_DAYS_Y)</f>
        <v/>
      </c>
      <c r="AE77" s="115" t="str">
        <f aca="false">IF($B77="","",MAX(0,IF(OR(الموظفون!$X77="",الموظفون!$X77&gt;$G$3),$G$3,الموظفون!$X77)-MAX($E$3,الموظفون!$H77)+1))</f>
        <v/>
      </c>
    </row>
    <row r="78" customFormat="false" ht="15" hidden="false" customHeight="false" outlineLevel="0" collapsed="false">
      <c r="A78" s="83" t="str">
        <f aca="false">IF($B78="","",الموظفون!$A78)</f>
        <v/>
      </c>
      <c r="B78" s="74" t="str">
        <f aca="false">IF(الموظفون!$B78="","",الموظفون!$B78)</f>
        <v/>
      </c>
      <c r="C78" s="74" t="str">
        <f aca="false">IF($B78="","",الموظفون!$C78)</f>
        <v/>
      </c>
      <c r="D78" s="74" t="str">
        <f aca="false">IF($B78="","",الموظفون!$F78)</f>
        <v/>
      </c>
      <c r="E78" s="74" t="str">
        <f aca="false">IF($B78="","",الموظفون!$E78)</f>
        <v/>
      </c>
      <c r="F78" s="105" t="str">
        <f aca="false">IF($B78="","",IF(AE78&gt;=DAY($G$3),cfg_DAYS_M,MIN(AE78,cfg_DAYS_M)))</f>
        <v/>
      </c>
      <c r="G78" s="105" t="str">
        <f aca="false">IF($B78="","",SUMIFS('الحركات الشهرية'!$D$6:$D$1005,'الحركات الشهرية'!$B$6:$B$1005,$B78,'الحركات الشهرية'!$A$6:$A$1005,$C$3))</f>
        <v/>
      </c>
      <c r="H78" s="105" t="str">
        <f aca="false">IF($B78="","",SUMIFS('الحركات الشهرية'!$E$6:$E$1005,'الحركات الشهرية'!$B$6:$B$1005,$B78,'الحركات الشهرية'!$A$6:$A$1005,$C$3))</f>
        <v/>
      </c>
      <c r="I78" s="105" t="str">
        <f aca="false">IF($B78="","",MAX(0,F78-G78-H78))</f>
        <v/>
      </c>
      <c r="J78" s="86" t="str">
        <f aca="false">IF($B78="","",الموظفون!$J78*$I78/cfg_DAYS_M)</f>
        <v/>
      </c>
      <c r="K78" s="86" t="str">
        <f aca="false">IF($B78="","",الموظفون!$K78*$I78/cfg_DAYS_M)</f>
        <v/>
      </c>
      <c r="L78" s="86" t="str">
        <f aca="false">IF($B78="","",الموظفون!$L78*$I78/cfg_DAYS_M)</f>
        <v/>
      </c>
      <c r="M78" s="86" t="str">
        <f aca="false">IF($B78="","",الموظفون!$M78*$I78/cfg_DAYS_M)</f>
        <v/>
      </c>
      <c r="N78" s="105" t="str">
        <f aca="false">IF($B78="","",SUMIFS('الحركات الشهرية'!$F$6:$F$1005,'الحركات الشهرية'!$B$6:$B$1005,$B78,'الحركات الشهرية'!$A$6:$A$1005,$C$3))</f>
        <v/>
      </c>
      <c r="O78" s="86" t="str">
        <f aca="false">IF($B78="","",N78*(الموظفون!$N78+الموظفون!$J78*cfg_OT_P)/cfg_DAYS_M/cfg_HRS)</f>
        <v/>
      </c>
      <c r="P78" s="86" t="str">
        <f aca="false">IF($B78="","",SUMIFS('الحركات الشهرية'!$G$6:$G$1005,'الحركات الشهرية'!$B$6:$B$1005,$B78,'الحركات الشهرية'!$A$6:$A$1005,$C$3))</f>
        <v/>
      </c>
      <c r="Q78" s="86" t="str">
        <f aca="false">IF($B78="","",SUMIFS('الحركات الشهرية'!$H$6:$H$1005,'الحركات الشهرية'!$B$6:$B$1005,$B78,'الحركات الشهرية'!$A$6:$A$1005,$C$3))</f>
        <v/>
      </c>
      <c r="R78" s="106" t="str">
        <f aca="false">IF($B78="","",SUM(J78:M78)+SUM(O78:Q78))</f>
        <v/>
      </c>
      <c r="S78" s="86" t="str">
        <f aca="false">IF($B78="","",الموظفون!$Q78*IF(E78="سعودي",cfg_G_SE,cfg_G_NE)*F78/cfg_DAYS_M)</f>
        <v/>
      </c>
      <c r="T78" s="86" t="str">
        <f aca="false">IF($B78="","",SUMIFS('الحركات الشهرية'!$I$6:$I$1005,'الحركات الشهرية'!$B$6:$B$1005,$B78,'الحركات الشهرية'!$A$6:$A$1005,$C$3))</f>
        <v/>
      </c>
      <c r="U78" s="86" t="str">
        <f aca="false">IF($B78="","",SUMIFS('الحركات الشهرية'!$J$6:$J$1005,'الحركات الشهرية'!$B$6:$B$1005,$B78,'الحركات الشهرية'!$A$6:$A$1005,$C$3))</f>
        <v/>
      </c>
      <c r="V78" s="86" t="str">
        <f aca="false">IF($B78="","",SUM(S78:U78))</f>
        <v/>
      </c>
      <c r="W78" s="107" t="str">
        <f aca="false">IF($B78="","",R78-V78)</f>
        <v/>
      </c>
      <c r="X78" s="86" t="str">
        <f aca="false">IF($B78="","",الموظفون!$Q78*IF(E78="سعودي",cfg_G_SR,cfg_G_NR)*F78/cfg_DAYS_M)</f>
        <v/>
      </c>
      <c r="Y78" s="86" t="str">
        <f aca="false">IF($B78="","",الموظفون!$O78*(cfg_EOS_R1*(MIN(AC78,cfg_EOS_TH)-MIN(AD78,cfg_EOS_TH))+cfg_EOS_R2*(MAX(AC78-cfg_EOS_TH,0)-MAX(AD78-cfg_EOS_TH,0))))</f>
        <v/>
      </c>
      <c r="Z78" s="86" t="str">
        <f aca="false">IF($B78="","",IF(الموظفون!$R78&lt;&gt;"",الموظفون!$R78,IF(AC78&gt;=cfg_LV_TH,cfg_LV_D2,cfg_LV_D1))/cfg_DAYS_Y*AE78*الموظفون!$P78/cfg_DAYS_M)</f>
        <v/>
      </c>
      <c r="AA78" s="86" t="str">
        <f aca="false">IF($B78="","",IF(AND(الموظفون!$S78="نعم",N(الموظفون!$U78)&gt;0),الموظفون!$T78/الموظفون!$U78*12/cfg_DAYS_Y*AE78,0))</f>
        <v/>
      </c>
      <c r="AB78" s="108" t="str">
        <f aca="false">IF($B78="","",R78+SUM(X78:AA78))</f>
        <v/>
      </c>
      <c r="AC78" s="109" t="str">
        <f aca="false">IF($B78="","",MAX(0,IF(OR(الموظفون!$X78="",الموظفون!$X78&gt;$G$3),$G$3,الموظفون!$X78)-الموظفون!$H78+1)/cfg_DAYS_Y)</f>
        <v/>
      </c>
      <c r="AD78" s="109" t="str">
        <f aca="false">IF($B78="","",MAX(0,IF(OR(الموظفون!$X78="",الموظفون!$X78&gt;($E$3-1)),($E$3-1),الموظفون!$X78)-الموظفون!$H78+1)/cfg_DAYS_Y)</f>
        <v/>
      </c>
      <c r="AE78" s="51" t="str">
        <f aca="false">IF($B78="","",MAX(0,IF(OR(الموظفون!$X78="",الموظفون!$X78&gt;$G$3),$G$3,الموظفون!$X78)-MAX($E$3,الموظفون!$H78)+1))</f>
        <v/>
      </c>
    </row>
    <row r="79" customFormat="false" ht="15" hidden="false" customHeight="false" outlineLevel="0" collapsed="false">
      <c r="A79" s="89" t="str">
        <f aca="false">IF($B79="","",الموظفون!$A79)</f>
        <v/>
      </c>
      <c r="B79" s="91" t="str">
        <f aca="false">IF(الموظفون!$B79="","",الموظفون!$B79)</f>
        <v/>
      </c>
      <c r="C79" s="91" t="str">
        <f aca="false">IF($B79="","",الموظفون!$C79)</f>
        <v/>
      </c>
      <c r="D79" s="91" t="str">
        <f aca="false">IF($B79="","",الموظفون!$F79)</f>
        <v/>
      </c>
      <c r="E79" s="91" t="str">
        <f aca="false">IF($B79="","",الموظفون!$E79)</f>
        <v/>
      </c>
      <c r="F79" s="110" t="str">
        <f aca="false">IF($B79="","",IF(AE79&gt;=DAY($G$3),cfg_DAYS_M,MIN(AE79,cfg_DAYS_M)))</f>
        <v/>
      </c>
      <c r="G79" s="110" t="str">
        <f aca="false">IF($B79="","",SUMIFS('الحركات الشهرية'!$D$6:$D$1005,'الحركات الشهرية'!$B$6:$B$1005,$B79,'الحركات الشهرية'!$A$6:$A$1005,$C$3))</f>
        <v/>
      </c>
      <c r="H79" s="110" t="str">
        <f aca="false">IF($B79="","",SUMIFS('الحركات الشهرية'!$E$6:$E$1005,'الحركات الشهرية'!$B$6:$B$1005,$B79,'الحركات الشهرية'!$A$6:$A$1005,$C$3))</f>
        <v/>
      </c>
      <c r="I79" s="110" t="str">
        <f aca="false">IF($B79="","",MAX(0,F79-G79-H79))</f>
        <v/>
      </c>
      <c r="J79" s="90" t="str">
        <f aca="false">IF($B79="","",الموظفون!$J79*$I79/cfg_DAYS_M)</f>
        <v/>
      </c>
      <c r="K79" s="90" t="str">
        <f aca="false">IF($B79="","",الموظفون!$K79*$I79/cfg_DAYS_M)</f>
        <v/>
      </c>
      <c r="L79" s="90" t="str">
        <f aca="false">IF($B79="","",الموظفون!$L79*$I79/cfg_DAYS_M)</f>
        <v/>
      </c>
      <c r="M79" s="90" t="str">
        <f aca="false">IF($B79="","",الموظفون!$M79*$I79/cfg_DAYS_M)</f>
        <v/>
      </c>
      <c r="N79" s="110" t="str">
        <f aca="false">IF($B79="","",SUMIFS('الحركات الشهرية'!$F$6:$F$1005,'الحركات الشهرية'!$B$6:$B$1005,$B79,'الحركات الشهرية'!$A$6:$A$1005,$C$3))</f>
        <v/>
      </c>
      <c r="O79" s="90" t="str">
        <f aca="false">IF($B79="","",N79*(الموظفون!$N79+الموظفون!$J79*cfg_OT_P)/cfg_DAYS_M/cfg_HRS)</f>
        <v/>
      </c>
      <c r="P79" s="90" t="str">
        <f aca="false">IF($B79="","",SUMIFS('الحركات الشهرية'!$G$6:$G$1005,'الحركات الشهرية'!$B$6:$B$1005,$B79,'الحركات الشهرية'!$A$6:$A$1005,$C$3))</f>
        <v/>
      </c>
      <c r="Q79" s="90" t="str">
        <f aca="false">IF($B79="","",SUMIFS('الحركات الشهرية'!$H$6:$H$1005,'الحركات الشهرية'!$B$6:$B$1005,$B79,'الحركات الشهرية'!$A$6:$A$1005,$C$3))</f>
        <v/>
      </c>
      <c r="R79" s="111" t="str">
        <f aca="false">IF($B79="","",SUM(J79:M79)+SUM(O79:Q79))</f>
        <v/>
      </c>
      <c r="S79" s="90" t="str">
        <f aca="false">IF($B79="","",الموظفون!$Q79*IF(E79="سعودي",cfg_G_SE,cfg_G_NE)*F79/cfg_DAYS_M)</f>
        <v/>
      </c>
      <c r="T79" s="90" t="str">
        <f aca="false">IF($B79="","",SUMIFS('الحركات الشهرية'!$I$6:$I$1005,'الحركات الشهرية'!$B$6:$B$1005,$B79,'الحركات الشهرية'!$A$6:$A$1005,$C$3))</f>
        <v/>
      </c>
      <c r="U79" s="90" t="str">
        <f aca="false">IF($B79="","",SUMIFS('الحركات الشهرية'!$J$6:$J$1005,'الحركات الشهرية'!$B$6:$B$1005,$B79,'الحركات الشهرية'!$A$6:$A$1005,$C$3))</f>
        <v/>
      </c>
      <c r="V79" s="90" t="str">
        <f aca="false">IF($B79="","",SUM(S79:U79))</f>
        <v/>
      </c>
      <c r="W79" s="112" t="str">
        <f aca="false">IF($B79="","",R79-V79)</f>
        <v/>
      </c>
      <c r="X79" s="90" t="str">
        <f aca="false">IF($B79="","",الموظفون!$Q79*IF(E79="سعودي",cfg_G_SR,cfg_G_NR)*F79/cfg_DAYS_M)</f>
        <v/>
      </c>
      <c r="Y79" s="90" t="str">
        <f aca="false">IF($B79="","",الموظفون!$O79*(cfg_EOS_R1*(MIN(AC79,cfg_EOS_TH)-MIN(AD79,cfg_EOS_TH))+cfg_EOS_R2*(MAX(AC79-cfg_EOS_TH,0)-MAX(AD79-cfg_EOS_TH,0))))</f>
        <v/>
      </c>
      <c r="Z79" s="90" t="str">
        <f aca="false">IF($B79="","",IF(الموظفون!$R79&lt;&gt;"",الموظفون!$R79,IF(AC79&gt;=cfg_LV_TH,cfg_LV_D2,cfg_LV_D1))/cfg_DAYS_Y*AE79*الموظفون!$P79/cfg_DAYS_M)</f>
        <v/>
      </c>
      <c r="AA79" s="90" t="str">
        <f aca="false">IF($B79="","",IF(AND(الموظفون!$S79="نعم",N(الموظفون!$U79)&gt;0),الموظفون!$T79/الموظفون!$U79*12/cfg_DAYS_Y*AE79,0))</f>
        <v/>
      </c>
      <c r="AB79" s="113" t="str">
        <f aca="false">IF($B79="","",R79+SUM(X79:AA79))</f>
        <v/>
      </c>
      <c r="AC79" s="114" t="str">
        <f aca="false">IF($B79="","",MAX(0,IF(OR(الموظفون!$X79="",الموظفون!$X79&gt;$G$3),$G$3,الموظفون!$X79)-الموظفون!$H79+1)/cfg_DAYS_Y)</f>
        <v/>
      </c>
      <c r="AD79" s="114" t="str">
        <f aca="false">IF($B79="","",MAX(0,IF(OR(الموظفون!$X79="",الموظفون!$X79&gt;($E$3-1)),($E$3-1),الموظفون!$X79)-الموظفون!$H79+1)/cfg_DAYS_Y)</f>
        <v/>
      </c>
      <c r="AE79" s="115" t="str">
        <f aca="false">IF($B79="","",MAX(0,IF(OR(الموظفون!$X79="",الموظفون!$X79&gt;$G$3),$G$3,الموظفون!$X79)-MAX($E$3,الموظفون!$H79)+1))</f>
        <v/>
      </c>
    </row>
    <row r="80" customFormat="false" ht="15" hidden="false" customHeight="false" outlineLevel="0" collapsed="false">
      <c r="A80" s="83" t="str">
        <f aca="false">IF($B80="","",الموظفون!$A80)</f>
        <v/>
      </c>
      <c r="B80" s="74" t="str">
        <f aca="false">IF(الموظفون!$B80="","",الموظفون!$B80)</f>
        <v/>
      </c>
      <c r="C80" s="74" t="str">
        <f aca="false">IF($B80="","",الموظفون!$C80)</f>
        <v/>
      </c>
      <c r="D80" s="74" t="str">
        <f aca="false">IF($B80="","",الموظفون!$F80)</f>
        <v/>
      </c>
      <c r="E80" s="74" t="str">
        <f aca="false">IF($B80="","",الموظفون!$E80)</f>
        <v/>
      </c>
      <c r="F80" s="105" t="str">
        <f aca="false">IF($B80="","",IF(AE80&gt;=DAY($G$3),cfg_DAYS_M,MIN(AE80,cfg_DAYS_M)))</f>
        <v/>
      </c>
      <c r="G80" s="105" t="str">
        <f aca="false">IF($B80="","",SUMIFS('الحركات الشهرية'!$D$6:$D$1005,'الحركات الشهرية'!$B$6:$B$1005,$B80,'الحركات الشهرية'!$A$6:$A$1005,$C$3))</f>
        <v/>
      </c>
      <c r="H80" s="105" t="str">
        <f aca="false">IF($B80="","",SUMIFS('الحركات الشهرية'!$E$6:$E$1005,'الحركات الشهرية'!$B$6:$B$1005,$B80,'الحركات الشهرية'!$A$6:$A$1005,$C$3))</f>
        <v/>
      </c>
      <c r="I80" s="105" t="str">
        <f aca="false">IF($B80="","",MAX(0,F80-G80-H80))</f>
        <v/>
      </c>
      <c r="J80" s="86" t="str">
        <f aca="false">IF($B80="","",الموظفون!$J80*$I80/cfg_DAYS_M)</f>
        <v/>
      </c>
      <c r="K80" s="86" t="str">
        <f aca="false">IF($B80="","",الموظفون!$K80*$I80/cfg_DAYS_M)</f>
        <v/>
      </c>
      <c r="L80" s="86" t="str">
        <f aca="false">IF($B80="","",الموظفون!$L80*$I80/cfg_DAYS_M)</f>
        <v/>
      </c>
      <c r="M80" s="86" t="str">
        <f aca="false">IF($B80="","",الموظفون!$M80*$I80/cfg_DAYS_M)</f>
        <v/>
      </c>
      <c r="N80" s="105" t="str">
        <f aca="false">IF($B80="","",SUMIFS('الحركات الشهرية'!$F$6:$F$1005,'الحركات الشهرية'!$B$6:$B$1005,$B80,'الحركات الشهرية'!$A$6:$A$1005,$C$3))</f>
        <v/>
      </c>
      <c r="O80" s="86" t="str">
        <f aca="false">IF($B80="","",N80*(الموظفون!$N80+الموظفون!$J80*cfg_OT_P)/cfg_DAYS_M/cfg_HRS)</f>
        <v/>
      </c>
      <c r="P80" s="86" t="str">
        <f aca="false">IF($B80="","",SUMIFS('الحركات الشهرية'!$G$6:$G$1005,'الحركات الشهرية'!$B$6:$B$1005,$B80,'الحركات الشهرية'!$A$6:$A$1005,$C$3))</f>
        <v/>
      </c>
      <c r="Q80" s="86" t="str">
        <f aca="false">IF($B80="","",SUMIFS('الحركات الشهرية'!$H$6:$H$1005,'الحركات الشهرية'!$B$6:$B$1005,$B80,'الحركات الشهرية'!$A$6:$A$1005,$C$3))</f>
        <v/>
      </c>
      <c r="R80" s="106" t="str">
        <f aca="false">IF($B80="","",SUM(J80:M80)+SUM(O80:Q80))</f>
        <v/>
      </c>
      <c r="S80" s="86" t="str">
        <f aca="false">IF($B80="","",الموظفون!$Q80*IF(E80="سعودي",cfg_G_SE,cfg_G_NE)*F80/cfg_DAYS_M)</f>
        <v/>
      </c>
      <c r="T80" s="86" t="str">
        <f aca="false">IF($B80="","",SUMIFS('الحركات الشهرية'!$I$6:$I$1005,'الحركات الشهرية'!$B$6:$B$1005,$B80,'الحركات الشهرية'!$A$6:$A$1005,$C$3))</f>
        <v/>
      </c>
      <c r="U80" s="86" t="str">
        <f aca="false">IF($B80="","",SUMIFS('الحركات الشهرية'!$J$6:$J$1005,'الحركات الشهرية'!$B$6:$B$1005,$B80,'الحركات الشهرية'!$A$6:$A$1005,$C$3))</f>
        <v/>
      </c>
      <c r="V80" s="86" t="str">
        <f aca="false">IF($B80="","",SUM(S80:U80))</f>
        <v/>
      </c>
      <c r="W80" s="107" t="str">
        <f aca="false">IF($B80="","",R80-V80)</f>
        <v/>
      </c>
      <c r="X80" s="86" t="str">
        <f aca="false">IF($B80="","",الموظفون!$Q80*IF(E80="سعودي",cfg_G_SR,cfg_G_NR)*F80/cfg_DAYS_M)</f>
        <v/>
      </c>
      <c r="Y80" s="86" t="str">
        <f aca="false">IF($B80="","",الموظفون!$O80*(cfg_EOS_R1*(MIN(AC80,cfg_EOS_TH)-MIN(AD80,cfg_EOS_TH))+cfg_EOS_R2*(MAX(AC80-cfg_EOS_TH,0)-MAX(AD80-cfg_EOS_TH,0))))</f>
        <v/>
      </c>
      <c r="Z80" s="86" t="str">
        <f aca="false">IF($B80="","",IF(الموظفون!$R80&lt;&gt;"",الموظفون!$R80,IF(AC80&gt;=cfg_LV_TH,cfg_LV_D2,cfg_LV_D1))/cfg_DAYS_Y*AE80*الموظفون!$P80/cfg_DAYS_M)</f>
        <v/>
      </c>
      <c r="AA80" s="86" t="str">
        <f aca="false">IF($B80="","",IF(AND(الموظفون!$S80="نعم",N(الموظفون!$U80)&gt;0),الموظفون!$T80/الموظفون!$U80*12/cfg_DAYS_Y*AE80,0))</f>
        <v/>
      </c>
      <c r="AB80" s="108" t="str">
        <f aca="false">IF($B80="","",R80+SUM(X80:AA80))</f>
        <v/>
      </c>
      <c r="AC80" s="109" t="str">
        <f aca="false">IF($B80="","",MAX(0,IF(OR(الموظفون!$X80="",الموظفون!$X80&gt;$G$3),$G$3,الموظفون!$X80)-الموظفون!$H80+1)/cfg_DAYS_Y)</f>
        <v/>
      </c>
      <c r="AD80" s="109" t="str">
        <f aca="false">IF($B80="","",MAX(0,IF(OR(الموظفون!$X80="",الموظفون!$X80&gt;($E$3-1)),($E$3-1),الموظفون!$X80)-الموظفون!$H80+1)/cfg_DAYS_Y)</f>
        <v/>
      </c>
      <c r="AE80" s="51" t="str">
        <f aca="false">IF($B80="","",MAX(0,IF(OR(الموظفون!$X80="",الموظفون!$X80&gt;$G$3),$G$3,الموظفون!$X80)-MAX($E$3,الموظفون!$H80)+1))</f>
        <v/>
      </c>
    </row>
    <row r="81" customFormat="false" ht="15" hidden="false" customHeight="false" outlineLevel="0" collapsed="false">
      <c r="A81" s="89" t="str">
        <f aca="false">IF($B81="","",الموظفون!$A81)</f>
        <v/>
      </c>
      <c r="B81" s="91" t="str">
        <f aca="false">IF(الموظفون!$B81="","",الموظفون!$B81)</f>
        <v/>
      </c>
      <c r="C81" s="91" t="str">
        <f aca="false">IF($B81="","",الموظفون!$C81)</f>
        <v/>
      </c>
      <c r="D81" s="91" t="str">
        <f aca="false">IF($B81="","",الموظفون!$F81)</f>
        <v/>
      </c>
      <c r="E81" s="91" t="str">
        <f aca="false">IF($B81="","",الموظفون!$E81)</f>
        <v/>
      </c>
      <c r="F81" s="110" t="str">
        <f aca="false">IF($B81="","",IF(AE81&gt;=DAY($G$3),cfg_DAYS_M,MIN(AE81,cfg_DAYS_M)))</f>
        <v/>
      </c>
      <c r="G81" s="110" t="str">
        <f aca="false">IF($B81="","",SUMIFS('الحركات الشهرية'!$D$6:$D$1005,'الحركات الشهرية'!$B$6:$B$1005,$B81,'الحركات الشهرية'!$A$6:$A$1005,$C$3))</f>
        <v/>
      </c>
      <c r="H81" s="110" t="str">
        <f aca="false">IF($B81="","",SUMIFS('الحركات الشهرية'!$E$6:$E$1005,'الحركات الشهرية'!$B$6:$B$1005,$B81,'الحركات الشهرية'!$A$6:$A$1005,$C$3))</f>
        <v/>
      </c>
      <c r="I81" s="110" t="str">
        <f aca="false">IF($B81="","",MAX(0,F81-G81-H81))</f>
        <v/>
      </c>
      <c r="J81" s="90" t="str">
        <f aca="false">IF($B81="","",الموظفون!$J81*$I81/cfg_DAYS_M)</f>
        <v/>
      </c>
      <c r="K81" s="90" t="str">
        <f aca="false">IF($B81="","",الموظفون!$K81*$I81/cfg_DAYS_M)</f>
        <v/>
      </c>
      <c r="L81" s="90" t="str">
        <f aca="false">IF($B81="","",الموظفون!$L81*$I81/cfg_DAYS_M)</f>
        <v/>
      </c>
      <c r="M81" s="90" t="str">
        <f aca="false">IF($B81="","",الموظفون!$M81*$I81/cfg_DAYS_M)</f>
        <v/>
      </c>
      <c r="N81" s="110" t="str">
        <f aca="false">IF($B81="","",SUMIFS('الحركات الشهرية'!$F$6:$F$1005,'الحركات الشهرية'!$B$6:$B$1005,$B81,'الحركات الشهرية'!$A$6:$A$1005,$C$3))</f>
        <v/>
      </c>
      <c r="O81" s="90" t="str">
        <f aca="false">IF($B81="","",N81*(الموظفون!$N81+الموظفون!$J81*cfg_OT_P)/cfg_DAYS_M/cfg_HRS)</f>
        <v/>
      </c>
      <c r="P81" s="90" t="str">
        <f aca="false">IF($B81="","",SUMIFS('الحركات الشهرية'!$G$6:$G$1005,'الحركات الشهرية'!$B$6:$B$1005,$B81,'الحركات الشهرية'!$A$6:$A$1005,$C$3))</f>
        <v/>
      </c>
      <c r="Q81" s="90" t="str">
        <f aca="false">IF($B81="","",SUMIFS('الحركات الشهرية'!$H$6:$H$1005,'الحركات الشهرية'!$B$6:$B$1005,$B81,'الحركات الشهرية'!$A$6:$A$1005,$C$3))</f>
        <v/>
      </c>
      <c r="R81" s="111" t="str">
        <f aca="false">IF($B81="","",SUM(J81:M81)+SUM(O81:Q81))</f>
        <v/>
      </c>
      <c r="S81" s="90" t="str">
        <f aca="false">IF($B81="","",الموظفون!$Q81*IF(E81="سعودي",cfg_G_SE,cfg_G_NE)*F81/cfg_DAYS_M)</f>
        <v/>
      </c>
      <c r="T81" s="90" t="str">
        <f aca="false">IF($B81="","",SUMIFS('الحركات الشهرية'!$I$6:$I$1005,'الحركات الشهرية'!$B$6:$B$1005,$B81,'الحركات الشهرية'!$A$6:$A$1005,$C$3))</f>
        <v/>
      </c>
      <c r="U81" s="90" t="str">
        <f aca="false">IF($B81="","",SUMIFS('الحركات الشهرية'!$J$6:$J$1005,'الحركات الشهرية'!$B$6:$B$1005,$B81,'الحركات الشهرية'!$A$6:$A$1005,$C$3))</f>
        <v/>
      </c>
      <c r="V81" s="90" t="str">
        <f aca="false">IF($B81="","",SUM(S81:U81))</f>
        <v/>
      </c>
      <c r="W81" s="112" t="str">
        <f aca="false">IF($B81="","",R81-V81)</f>
        <v/>
      </c>
      <c r="X81" s="90" t="str">
        <f aca="false">IF($B81="","",الموظفون!$Q81*IF(E81="سعودي",cfg_G_SR,cfg_G_NR)*F81/cfg_DAYS_M)</f>
        <v/>
      </c>
      <c r="Y81" s="90" t="str">
        <f aca="false">IF($B81="","",الموظفون!$O81*(cfg_EOS_R1*(MIN(AC81,cfg_EOS_TH)-MIN(AD81,cfg_EOS_TH))+cfg_EOS_R2*(MAX(AC81-cfg_EOS_TH,0)-MAX(AD81-cfg_EOS_TH,0))))</f>
        <v/>
      </c>
      <c r="Z81" s="90" t="str">
        <f aca="false">IF($B81="","",IF(الموظفون!$R81&lt;&gt;"",الموظفون!$R81,IF(AC81&gt;=cfg_LV_TH,cfg_LV_D2,cfg_LV_D1))/cfg_DAYS_Y*AE81*الموظفون!$P81/cfg_DAYS_M)</f>
        <v/>
      </c>
      <c r="AA81" s="90" t="str">
        <f aca="false">IF($B81="","",IF(AND(الموظفون!$S81="نعم",N(الموظفون!$U81)&gt;0),الموظفون!$T81/الموظفون!$U81*12/cfg_DAYS_Y*AE81,0))</f>
        <v/>
      </c>
      <c r="AB81" s="113" t="str">
        <f aca="false">IF($B81="","",R81+SUM(X81:AA81))</f>
        <v/>
      </c>
      <c r="AC81" s="114" t="str">
        <f aca="false">IF($B81="","",MAX(0,IF(OR(الموظفون!$X81="",الموظفون!$X81&gt;$G$3),$G$3,الموظفون!$X81)-الموظفون!$H81+1)/cfg_DAYS_Y)</f>
        <v/>
      </c>
      <c r="AD81" s="114" t="str">
        <f aca="false">IF($B81="","",MAX(0,IF(OR(الموظفون!$X81="",الموظفون!$X81&gt;($E$3-1)),($E$3-1),الموظفون!$X81)-الموظفون!$H81+1)/cfg_DAYS_Y)</f>
        <v/>
      </c>
      <c r="AE81" s="115" t="str">
        <f aca="false">IF($B81="","",MAX(0,IF(OR(الموظفون!$X81="",الموظفون!$X81&gt;$G$3),$G$3,الموظفون!$X81)-MAX($E$3,الموظفون!$H81)+1))</f>
        <v/>
      </c>
    </row>
    <row r="82" customFormat="false" ht="15" hidden="false" customHeight="false" outlineLevel="0" collapsed="false">
      <c r="A82" s="83" t="str">
        <f aca="false">IF($B82="","",الموظفون!$A82)</f>
        <v/>
      </c>
      <c r="B82" s="74" t="str">
        <f aca="false">IF(الموظفون!$B82="","",الموظفون!$B82)</f>
        <v/>
      </c>
      <c r="C82" s="74" t="str">
        <f aca="false">IF($B82="","",الموظفون!$C82)</f>
        <v/>
      </c>
      <c r="D82" s="74" t="str">
        <f aca="false">IF($B82="","",الموظفون!$F82)</f>
        <v/>
      </c>
      <c r="E82" s="74" t="str">
        <f aca="false">IF($B82="","",الموظفون!$E82)</f>
        <v/>
      </c>
      <c r="F82" s="105" t="str">
        <f aca="false">IF($B82="","",IF(AE82&gt;=DAY($G$3),cfg_DAYS_M,MIN(AE82,cfg_DAYS_M)))</f>
        <v/>
      </c>
      <c r="G82" s="105" t="str">
        <f aca="false">IF($B82="","",SUMIFS('الحركات الشهرية'!$D$6:$D$1005,'الحركات الشهرية'!$B$6:$B$1005,$B82,'الحركات الشهرية'!$A$6:$A$1005,$C$3))</f>
        <v/>
      </c>
      <c r="H82" s="105" t="str">
        <f aca="false">IF($B82="","",SUMIFS('الحركات الشهرية'!$E$6:$E$1005,'الحركات الشهرية'!$B$6:$B$1005,$B82,'الحركات الشهرية'!$A$6:$A$1005,$C$3))</f>
        <v/>
      </c>
      <c r="I82" s="105" t="str">
        <f aca="false">IF($B82="","",MAX(0,F82-G82-H82))</f>
        <v/>
      </c>
      <c r="J82" s="86" t="str">
        <f aca="false">IF($B82="","",الموظفون!$J82*$I82/cfg_DAYS_M)</f>
        <v/>
      </c>
      <c r="K82" s="86" t="str">
        <f aca="false">IF($B82="","",الموظفون!$K82*$I82/cfg_DAYS_M)</f>
        <v/>
      </c>
      <c r="L82" s="86" t="str">
        <f aca="false">IF($B82="","",الموظفون!$L82*$I82/cfg_DAYS_M)</f>
        <v/>
      </c>
      <c r="M82" s="86" t="str">
        <f aca="false">IF($B82="","",الموظفون!$M82*$I82/cfg_DAYS_M)</f>
        <v/>
      </c>
      <c r="N82" s="105" t="str">
        <f aca="false">IF($B82="","",SUMIFS('الحركات الشهرية'!$F$6:$F$1005,'الحركات الشهرية'!$B$6:$B$1005,$B82,'الحركات الشهرية'!$A$6:$A$1005,$C$3))</f>
        <v/>
      </c>
      <c r="O82" s="86" t="str">
        <f aca="false">IF($B82="","",N82*(الموظفون!$N82+الموظفون!$J82*cfg_OT_P)/cfg_DAYS_M/cfg_HRS)</f>
        <v/>
      </c>
      <c r="P82" s="86" t="str">
        <f aca="false">IF($B82="","",SUMIFS('الحركات الشهرية'!$G$6:$G$1005,'الحركات الشهرية'!$B$6:$B$1005,$B82,'الحركات الشهرية'!$A$6:$A$1005,$C$3))</f>
        <v/>
      </c>
      <c r="Q82" s="86" t="str">
        <f aca="false">IF($B82="","",SUMIFS('الحركات الشهرية'!$H$6:$H$1005,'الحركات الشهرية'!$B$6:$B$1005,$B82,'الحركات الشهرية'!$A$6:$A$1005,$C$3))</f>
        <v/>
      </c>
      <c r="R82" s="106" t="str">
        <f aca="false">IF($B82="","",SUM(J82:M82)+SUM(O82:Q82))</f>
        <v/>
      </c>
      <c r="S82" s="86" t="str">
        <f aca="false">IF($B82="","",الموظفون!$Q82*IF(E82="سعودي",cfg_G_SE,cfg_G_NE)*F82/cfg_DAYS_M)</f>
        <v/>
      </c>
      <c r="T82" s="86" t="str">
        <f aca="false">IF($B82="","",SUMIFS('الحركات الشهرية'!$I$6:$I$1005,'الحركات الشهرية'!$B$6:$B$1005,$B82,'الحركات الشهرية'!$A$6:$A$1005,$C$3))</f>
        <v/>
      </c>
      <c r="U82" s="86" t="str">
        <f aca="false">IF($B82="","",SUMIFS('الحركات الشهرية'!$J$6:$J$1005,'الحركات الشهرية'!$B$6:$B$1005,$B82,'الحركات الشهرية'!$A$6:$A$1005,$C$3))</f>
        <v/>
      </c>
      <c r="V82" s="86" t="str">
        <f aca="false">IF($B82="","",SUM(S82:U82))</f>
        <v/>
      </c>
      <c r="W82" s="107" t="str">
        <f aca="false">IF($B82="","",R82-V82)</f>
        <v/>
      </c>
      <c r="X82" s="86" t="str">
        <f aca="false">IF($B82="","",الموظفون!$Q82*IF(E82="سعودي",cfg_G_SR,cfg_G_NR)*F82/cfg_DAYS_M)</f>
        <v/>
      </c>
      <c r="Y82" s="86" t="str">
        <f aca="false">IF($B82="","",الموظفون!$O82*(cfg_EOS_R1*(MIN(AC82,cfg_EOS_TH)-MIN(AD82,cfg_EOS_TH))+cfg_EOS_R2*(MAX(AC82-cfg_EOS_TH,0)-MAX(AD82-cfg_EOS_TH,0))))</f>
        <v/>
      </c>
      <c r="Z82" s="86" t="str">
        <f aca="false">IF($B82="","",IF(الموظفون!$R82&lt;&gt;"",الموظفون!$R82,IF(AC82&gt;=cfg_LV_TH,cfg_LV_D2,cfg_LV_D1))/cfg_DAYS_Y*AE82*الموظفون!$P82/cfg_DAYS_M)</f>
        <v/>
      </c>
      <c r="AA82" s="86" t="str">
        <f aca="false">IF($B82="","",IF(AND(الموظفون!$S82="نعم",N(الموظفون!$U82)&gt;0),الموظفون!$T82/الموظفون!$U82*12/cfg_DAYS_Y*AE82,0))</f>
        <v/>
      </c>
      <c r="AB82" s="108" t="str">
        <f aca="false">IF($B82="","",R82+SUM(X82:AA82))</f>
        <v/>
      </c>
      <c r="AC82" s="109" t="str">
        <f aca="false">IF($B82="","",MAX(0,IF(OR(الموظفون!$X82="",الموظفون!$X82&gt;$G$3),$G$3,الموظفون!$X82)-الموظفون!$H82+1)/cfg_DAYS_Y)</f>
        <v/>
      </c>
      <c r="AD82" s="109" t="str">
        <f aca="false">IF($B82="","",MAX(0,IF(OR(الموظفون!$X82="",الموظفون!$X82&gt;($E$3-1)),($E$3-1),الموظفون!$X82)-الموظفون!$H82+1)/cfg_DAYS_Y)</f>
        <v/>
      </c>
      <c r="AE82" s="51" t="str">
        <f aca="false">IF($B82="","",MAX(0,IF(OR(الموظفون!$X82="",الموظفون!$X82&gt;$G$3),$G$3,الموظفون!$X82)-MAX($E$3,الموظفون!$H82)+1))</f>
        <v/>
      </c>
    </row>
    <row r="83" customFormat="false" ht="15" hidden="false" customHeight="false" outlineLevel="0" collapsed="false">
      <c r="A83" s="89" t="str">
        <f aca="false">IF($B83="","",الموظفون!$A83)</f>
        <v/>
      </c>
      <c r="B83" s="91" t="str">
        <f aca="false">IF(الموظفون!$B83="","",الموظفون!$B83)</f>
        <v/>
      </c>
      <c r="C83" s="91" t="str">
        <f aca="false">IF($B83="","",الموظفون!$C83)</f>
        <v/>
      </c>
      <c r="D83" s="91" t="str">
        <f aca="false">IF($B83="","",الموظفون!$F83)</f>
        <v/>
      </c>
      <c r="E83" s="91" t="str">
        <f aca="false">IF($B83="","",الموظفون!$E83)</f>
        <v/>
      </c>
      <c r="F83" s="110" t="str">
        <f aca="false">IF($B83="","",IF(AE83&gt;=DAY($G$3),cfg_DAYS_M,MIN(AE83,cfg_DAYS_M)))</f>
        <v/>
      </c>
      <c r="G83" s="110" t="str">
        <f aca="false">IF($B83="","",SUMIFS('الحركات الشهرية'!$D$6:$D$1005,'الحركات الشهرية'!$B$6:$B$1005,$B83,'الحركات الشهرية'!$A$6:$A$1005,$C$3))</f>
        <v/>
      </c>
      <c r="H83" s="110" t="str">
        <f aca="false">IF($B83="","",SUMIFS('الحركات الشهرية'!$E$6:$E$1005,'الحركات الشهرية'!$B$6:$B$1005,$B83,'الحركات الشهرية'!$A$6:$A$1005,$C$3))</f>
        <v/>
      </c>
      <c r="I83" s="110" t="str">
        <f aca="false">IF($B83="","",MAX(0,F83-G83-H83))</f>
        <v/>
      </c>
      <c r="J83" s="90" t="str">
        <f aca="false">IF($B83="","",الموظفون!$J83*$I83/cfg_DAYS_M)</f>
        <v/>
      </c>
      <c r="K83" s="90" t="str">
        <f aca="false">IF($B83="","",الموظفون!$K83*$I83/cfg_DAYS_M)</f>
        <v/>
      </c>
      <c r="L83" s="90" t="str">
        <f aca="false">IF($B83="","",الموظفون!$L83*$I83/cfg_DAYS_M)</f>
        <v/>
      </c>
      <c r="M83" s="90" t="str">
        <f aca="false">IF($B83="","",الموظفون!$M83*$I83/cfg_DAYS_M)</f>
        <v/>
      </c>
      <c r="N83" s="110" t="str">
        <f aca="false">IF($B83="","",SUMIFS('الحركات الشهرية'!$F$6:$F$1005,'الحركات الشهرية'!$B$6:$B$1005,$B83,'الحركات الشهرية'!$A$6:$A$1005,$C$3))</f>
        <v/>
      </c>
      <c r="O83" s="90" t="str">
        <f aca="false">IF($B83="","",N83*(الموظفون!$N83+الموظفون!$J83*cfg_OT_P)/cfg_DAYS_M/cfg_HRS)</f>
        <v/>
      </c>
      <c r="P83" s="90" t="str">
        <f aca="false">IF($B83="","",SUMIFS('الحركات الشهرية'!$G$6:$G$1005,'الحركات الشهرية'!$B$6:$B$1005,$B83,'الحركات الشهرية'!$A$6:$A$1005,$C$3))</f>
        <v/>
      </c>
      <c r="Q83" s="90" t="str">
        <f aca="false">IF($B83="","",SUMIFS('الحركات الشهرية'!$H$6:$H$1005,'الحركات الشهرية'!$B$6:$B$1005,$B83,'الحركات الشهرية'!$A$6:$A$1005,$C$3))</f>
        <v/>
      </c>
      <c r="R83" s="111" t="str">
        <f aca="false">IF($B83="","",SUM(J83:M83)+SUM(O83:Q83))</f>
        <v/>
      </c>
      <c r="S83" s="90" t="str">
        <f aca="false">IF($B83="","",الموظفون!$Q83*IF(E83="سعودي",cfg_G_SE,cfg_G_NE)*F83/cfg_DAYS_M)</f>
        <v/>
      </c>
      <c r="T83" s="90" t="str">
        <f aca="false">IF($B83="","",SUMIFS('الحركات الشهرية'!$I$6:$I$1005,'الحركات الشهرية'!$B$6:$B$1005,$B83,'الحركات الشهرية'!$A$6:$A$1005,$C$3))</f>
        <v/>
      </c>
      <c r="U83" s="90" t="str">
        <f aca="false">IF($B83="","",SUMIFS('الحركات الشهرية'!$J$6:$J$1005,'الحركات الشهرية'!$B$6:$B$1005,$B83,'الحركات الشهرية'!$A$6:$A$1005,$C$3))</f>
        <v/>
      </c>
      <c r="V83" s="90" t="str">
        <f aca="false">IF($B83="","",SUM(S83:U83))</f>
        <v/>
      </c>
      <c r="W83" s="112" t="str">
        <f aca="false">IF($B83="","",R83-V83)</f>
        <v/>
      </c>
      <c r="X83" s="90" t="str">
        <f aca="false">IF($B83="","",الموظفون!$Q83*IF(E83="سعودي",cfg_G_SR,cfg_G_NR)*F83/cfg_DAYS_M)</f>
        <v/>
      </c>
      <c r="Y83" s="90" t="str">
        <f aca="false">IF($B83="","",الموظفون!$O83*(cfg_EOS_R1*(MIN(AC83,cfg_EOS_TH)-MIN(AD83,cfg_EOS_TH))+cfg_EOS_R2*(MAX(AC83-cfg_EOS_TH,0)-MAX(AD83-cfg_EOS_TH,0))))</f>
        <v/>
      </c>
      <c r="Z83" s="90" t="str">
        <f aca="false">IF($B83="","",IF(الموظفون!$R83&lt;&gt;"",الموظفون!$R83,IF(AC83&gt;=cfg_LV_TH,cfg_LV_D2,cfg_LV_D1))/cfg_DAYS_Y*AE83*الموظفون!$P83/cfg_DAYS_M)</f>
        <v/>
      </c>
      <c r="AA83" s="90" t="str">
        <f aca="false">IF($B83="","",IF(AND(الموظفون!$S83="نعم",N(الموظفون!$U83)&gt;0),الموظفون!$T83/الموظفون!$U83*12/cfg_DAYS_Y*AE83,0))</f>
        <v/>
      </c>
      <c r="AB83" s="113" t="str">
        <f aca="false">IF($B83="","",R83+SUM(X83:AA83))</f>
        <v/>
      </c>
      <c r="AC83" s="114" t="str">
        <f aca="false">IF($B83="","",MAX(0,IF(OR(الموظفون!$X83="",الموظفون!$X83&gt;$G$3),$G$3,الموظفون!$X83)-الموظفون!$H83+1)/cfg_DAYS_Y)</f>
        <v/>
      </c>
      <c r="AD83" s="114" t="str">
        <f aca="false">IF($B83="","",MAX(0,IF(OR(الموظفون!$X83="",الموظفون!$X83&gt;($E$3-1)),($E$3-1),الموظفون!$X83)-الموظفون!$H83+1)/cfg_DAYS_Y)</f>
        <v/>
      </c>
      <c r="AE83" s="115" t="str">
        <f aca="false">IF($B83="","",MAX(0,IF(OR(الموظفون!$X83="",الموظفون!$X83&gt;$G$3),$G$3,الموظفون!$X83)-MAX($E$3,الموظفون!$H83)+1))</f>
        <v/>
      </c>
    </row>
    <row r="84" customFormat="false" ht="15" hidden="false" customHeight="false" outlineLevel="0" collapsed="false">
      <c r="A84" s="83" t="str">
        <f aca="false">IF($B84="","",الموظفون!$A84)</f>
        <v/>
      </c>
      <c r="B84" s="74" t="str">
        <f aca="false">IF(الموظفون!$B84="","",الموظفون!$B84)</f>
        <v/>
      </c>
      <c r="C84" s="74" t="str">
        <f aca="false">IF($B84="","",الموظفون!$C84)</f>
        <v/>
      </c>
      <c r="D84" s="74" t="str">
        <f aca="false">IF($B84="","",الموظفون!$F84)</f>
        <v/>
      </c>
      <c r="E84" s="74" t="str">
        <f aca="false">IF($B84="","",الموظفون!$E84)</f>
        <v/>
      </c>
      <c r="F84" s="105" t="str">
        <f aca="false">IF($B84="","",IF(AE84&gt;=DAY($G$3),cfg_DAYS_M,MIN(AE84,cfg_DAYS_M)))</f>
        <v/>
      </c>
      <c r="G84" s="105" t="str">
        <f aca="false">IF($B84="","",SUMIFS('الحركات الشهرية'!$D$6:$D$1005,'الحركات الشهرية'!$B$6:$B$1005,$B84,'الحركات الشهرية'!$A$6:$A$1005,$C$3))</f>
        <v/>
      </c>
      <c r="H84" s="105" t="str">
        <f aca="false">IF($B84="","",SUMIFS('الحركات الشهرية'!$E$6:$E$1005,'الحركات الشهرية'!$B$6:$B$1005,$B84,'الحركات الشهرية'!$A$6:$A$1005,$C$3))</f>
        <v/>
      </c>
      <c r="I84" s="105" t="str">
        <f aca="false">IF($B84="","",MAX(0,F84-G84-H84))</f>
        <v/>
      </c>
      <c r="J84" s="86" t="str">
        <f aca="false">IF($B84="","",الموظفون!$J84*$I84/cfg_DAYS_M)</f>
        <v/>
      </c>
      <c r="K84" s="86" t="str">
        <f aca="false">IF($B84="","",الموظفون!$K84*$I84/cfg_DAYS_M)</f>
        <v/>
      </c>
      <c r="L84" s="86" t="str">
        <f aca="false">IF($B84="","",الموظفون!$L84*$I84/cfg_DAYS_M)</f>
        <v/>
      </c>
      <c r="M84" s="86" t="str">
        <f aca="false">IF($B84="","",الموظفون!$M84*$I84/cfg_DAYS_M)</f>
        <v/>
      </c>
      <c r="N84" s="105" t="str">
        <f aca="false">IF($B84="","",SUMIFS('الحركات الشهرية'!$F$6:$F$1005,'الحركات الشهرية'!$B$6:$B$1005,$B84,'الحركات الشهرية'!$A$6:$A$1005,$C$3))</f>
        <v/>
      </c>
      <c r="O84" s="86" t="str">
        <f aca="false">IF($B84="","",N84*(الموظفون!$N84+الموظفون!$J84*cfg_OT_P)/cfg_DAYS_M/cfg_HRS)</f>
        <v/>
      </c>
      <c r="P84" s="86" t="str">
        <f aca="false">IF($B84="","",SUMIFS('الحركات الشهرية'!$G$6:$G$1005,'الحركات الشهرية'!$B$6:$B$1005,$B84,'الحركات الشهرية'!$A$6:$A$1005,$C$3))</f>
        <v/>
      </c>
      <c r="Q84" s="86" t="str">
        <f aca="false">IF($B84="","",SUMIFS('الحركات الشهرية'!$H$6:$H$1005,'الحركات الشهرية'!$B$6:$B$1005,$B84,'الحركات الشهرية'!$A$6:$A$1005,$C$3))</f>
        <v/>
      </c>
      <c r="R84" s="106" t="str">
        <f aca="false">IF($B84="","",SUM(J84:M84)+SUM(O84:Q84))</f>
        <v/>
      </c>
      <c r="S84" s="86" t="str">
        <f aca="false">IF($B84="","",الموظفون!$Q84*IF(E84="سعودي",cfg_G_SE,cfg_G_NE)*F84/cfg_DAYS_M)</f>
        <v/>
      </c>
      <c r="T84" s="86" t="str">
        <f aca="false">IF($B84="","",SUMIFS('الحركات الشهرية'!$I$6:$I$1005,'الحركات الشهرية'!$B$6:$B$1005,$B84,'الحركات الشهرية'!$A$6:$A$1005,$C$3))</f>
        <v/>
      </c>
      <c r="U84" s="86" t="str">
        <f aca="false">IF($B84="","",SUMIFS('الحركات الشهرية'!$J$6:$J$1005,'الحركات الشهرية'!$B$6:$B$1005,$B84,'الحركات الشهرية'!$A$6:$A$1005,$C$3))</f>
        <v/>
      </c>
      <c r="V84" s="86" t="str">
        <f aca="false">IF($B84="","",SUM(S84:U84))</f>
        <v/>
      </c>
      <c r="W84" s="107" t="str">
        <f aca="false">IF($B84="","",R84-V84)</f>
        <v/>
      </c>
      <c r="X84" s="86" t="str">
        <f aca="false">IF($B84="","",الموظفون!$Q84*IF(E84="سعودي",cfg_G_SR,cfg_G_NR)*F84/cfg_DAYS_M)</f>
        <v/>
      </c>
      <c r="Y84" s="86" t="str">
        <f aca="false">IF($B84="","",الموظفون!$O84*(cfg_EOS_R1*(MIN(AC84,cfg_EOS_TH)-MIN(AD84,cfg_EOS_TH))+cfg_EOS_R2*(MAX(AC84-cfg_EOS_TH,0)-MAX(AD84-cfg_EOS_TH,0))))</f>
        <v/>
      </c>
      <c r="Z84" s="86" t="str">
        <f aca="false">IF($B84="","",IF(الموظفون!$R84&lt;&gt;"",الموظفون!$R84,IF(AC84&gt;=cfg_LV_TH,cfg_LV_D2,cfg_LV_D1))/cfg_DAYS_Y*AE84*الموظفون!$P84/cfg_DAYS_M)</f>
        <v/>
      </c>
      <c r="AA84" s="86" t="str">
        <f aca="false">IF($B84="","",IF(AND(الموظفون!$S84="نعم",N(الموظفون!$U84)&gt;0),الموظفون!$T84/الموظفون!$U84*12/cfg_DAYS_Y*AE84,0))</f>
        <v/>
      </c>
      <c r="AB84" s="108" t="str">
        <f aca="false">IF($B84="","",R84+SUM(X84:AA84))</f>
        <v/>
      </c>
      <c r="AC84" s="109" t="str">
        <f aca="false">IF($B84="","",MAX(0,IF(OR(الموظفون!$X84="",الموظفون!$X84&gt;$G$3),$G$3,الموظفون!$X84)-الموظفون!$H84+1)/cfg_DAYS_Y)</f>
        <v/>
      </c>
      <c r="AD84" s="109" t="str">
        <f aca="false">IF($B84="","",MAX(0,IF(OR(الموظفون!$X84="",الموظفون!$X84&gt;($E$3-1)),($E$3-1),الموظفون!$X84)-الموظفون!$H84+1)/cfg_DAYS_Y)</f>
        <v/>
      </c>
      <c r="AE84" s="51" t="str">
        <f aca="false">IF($B84="","",MAX(0,IF(OR(الموظفون!$X84="",الموظفون!$X84&gt;$G$3),$G$3,الموظفون!$X84)-MAX($E$3,الموظفون!$H84)+1))</f>
        <v/>
      </c>
    </row>
    <row r="85" customFormat="false" ht="15" hidden="false" customHeight="false" outlineLevel="0" collapsed="false">
      <c r="A85" s="89" t="str">
        <f aca="false">IF($B85="","",الموظفون!$A85)</f>
        <v/>
      </c>
      <c r="B85" s="91" t="str">
        <f aca="false">IF(الموظفون!$B85="","",الموظفون!$B85)</f>
        <v/>
      </c>
      <c r="C85" s="91" t="str">
        <f aca="false">IF($B85="","",الموظفون!$C85)</f>
        <v/>
      </c>
      <c r="D85" s="91" t="str">
        <f aca="false">IF($B85="","",الموظفون!$F85)</f>
        <v/>
      </c>
      <c r="E85" s="91" t="str">
        <f aca="false">IF($B85="","",الموظفون!$E85)</f>
        <v/>
      </c>
      <c r="F85" s="110" t="str">
        <f aca="false">IF($B85="","",IF(AE85&gt;=DAY($G$3),cfg_DAYS_M,MIN(AE85,cfg_DAYS_M)))</f>
        <v/>
      </c>
      <c r="G85" s="110" t="str">
        <f aca="false">IF($B85="","",SUMIFS('الحركات الشهرية'!$D$6:$D$1005,'الحركات الشهرية'!$B$6:$B$1005,$B85,'الحركات الشهرية'!$A$6:$A$1005,$C$3))</f>
        <v/>
      </c>
      <c r="H85" s="110" t="str">
        <f aca="false">IF($B85="","",SUMIFS('الحركات الشهرية'!$E$6:$E$1005,'الحركات الشهرية'!$B$6:$B$1005,$B85,'الحركات الشهرية'!$A$6:$A$1005,$C$3))</f>
        <v/>
      </c>
      <c r="I85" s="110" t="str">
        <f aca="false">IF($B85="","",MAX(0,F85-G85-H85))</f>
        <v/>
      </c>
      <c r="J85" s="90" t="str">
        <f aca="false">IF($B85="","",الموظفون!$J85*$I85/cfg_DAYS_M)</f>
        <v/>
      </c>
      <c r="K85" s="90" t="str">
        <f aca="false">IF($B85="","",الموظفون!$K85*$I85/cfg_DAYS_M)</f>
        <v/>
      </c>
      <c r="L85" s="90" t="str">
        <f aca="false">IF($B85="","",الموظفون!$L85*$I85/cfg_DAYS_M)</f>
        <v/>
      </c>
      <c r="M85" s="90" t="str">
        <f aca="false">IF($B85="","",الموظفون!$M85*$I85/cfg_DAYS_M)</f>
        <v/>
      </c>
      <c r="N85" s="110" t="str">
        <f aca="false">IF($B85="","",SUMIFS('الحركات الشهرية'!$F$6:$F$1005,'الحركات الشهرية'!$B$6:$B$1005,$B85,'الحركات الشهرية'!$A$6:$A$1005,$C$3))</f>
        <v/>
      </c>
      <c r="O85" s="90" t="str">
        <f aca="false">IF($B85="","",N85*(الموظفون!$N85+الموظفون!$J85*cfg_OT_P)/cfg_DAYS_M/cfg_HRS)</f>
        <v/>
      </c>
      <c r="P85" s="90" t="str">
        <f aca="false">IF($B85="","",SUMIFS('الحركات الشهرية'!$G$6:$G$1005,'الحركات الشهرية'!$B$6:$B$1005,$B85,'الحركات الشهرية'!$A$6:$A$1005,$C$3))</f>
        <v/>
      </c>
      <c r="Q85" s="90" t="str">
        <f aca="false">IF($B85="","",SUMIFS('الحركات الشهرية'!$H$6:$H$1005,'الحركات الشهرية'!$B$6:$B$1005,$B85,'الحركات الشهرية'!$A$6:$A$1005,$C$3))</f>
        <v/>
      </c>
      <c r="R85" s="111" t="str">
        <f aca="false">IF($B85="","",SUM(J85:M85)+SUM(O85:Q85))</f>
        <v/>
      </c>
      <c r="S85" s="90" t="str">
        <f aca="false">IF($B85="","",الموظفون!$Q85*IF(E85="سعودي",cfg_G_SE,cfg_G_NE)*F85/cfg_DAYS_M)</f>
        <v/>
      </c>
      <c r="T85" s="90" t="str">
        <f aca="false">IF($B85="","",SUMIFS('الحركات الشهرية'!$I$6:$I$1005,'الحركات الشهرية'!$B$6:$B$1005,$B85,'الحركات الشهرية'!$A$6:$A$1005,$C$3))</f>
        <v/>
      </c>
      <c r="U85" s="90" t="str">
        <f aca="false">IF($B85="","",SUMIFS('الحركات الشهرية'!$J$6:$J$1005,'الحركات الشهرية'!$B$6:$B$1005,$B85,'الحركات الشهرية'!$A$6:$A$1005,$C$3))</f>
        <v/>
      </c>
      <c r="V85" s="90" t="str">
        <f aca="false">IF($B85="","",SUM(S85:U85))</f>
        <v/>
      </c>
      <c r="W85" s="112" t="str">
        <f aca="false">IF($B85="","",R85-V85)</f>
        <v/>
      </c>
      <c r="X85" s="90" t="str">
        <f aca="false">IF($B85="","",الموظفون!$Q85*IF(E85="سعودي",cfg_G_SR,cfg_G_NR)*F85/cfg_DAYS_M)</f>
        <v/>
      </c>
      <c r="Y85" s="90" t="str">
        <f aca="false">IF($B85="","",الموظفون!$O85*(cfg_EOS_R1*(MIN(AC85,cfg_EOS_TH)-MIN(AD85,cfg_EOS_TH))+cfg_EOS_R2*(MAX(AC85-cfg_EOS_TH,0)-MAX(AD85-cfg_EOS_TH,0))))</f>
        <v/>
      </c>
      <c r="Z85" s="90" t="str">
        <f aca="false">IF($B85="","",IF(الموظفون!$R85&lt;&gt;"",الموظفون!$R85,IF(AC85&gt;=cfg_LV_TH,cfg_LV_D2,cfg_LV_D1))/cfg_DAYS_Y*AE85*الموظفون!$P85/cfg_DAYS_M)</f>
        <v/>
      </c>
      <c r="AA85" s="90" t="str">
        <f aca="false">IF($B85="","",IF(AND(الموظفون!$S85="نعم",N(الموظفون!$U85)&gt;0),الموظفون!$T85/الموظفون!$U85*12/cfg_DAYS_Y*AE85,0))</f>
        <v/>
      </c>
      <c r="AB85" s="113" t="str">
        <f aca="false">IF($B85="","",R85+SUM(X85:AA85))</f>
        <v/>
      </c>
      <c r="AC85" s="114" t="str">
        <f aca="false">IF($B85="","",MAX(0,IF(OR(الموظفون!$X85="",الموظفون!$X85&gt;$G$3),$G$3,الموظفون!$X85)-الموظفون!$H85+1)/cfg_DAYS_Y)</f>
        <v/>
      </c>
      <c r="AD85" s="114" t="str">
        <f aca="false">IF($B85="","",MAX(0,IF(OR(الموظفون!$X85="",الموظفون!$X85&gt;($E$3-1)),($E$3-1),الموظفون!$X85)-الموظفون!$H85+1)/cfg_DAYS_Y)</f>
        <v/>
      </c>
      <c r="AE85" s="115" t="str">
        <f aca="false">IF($B85="","",MAX(0,IF(OR(الموظفون!$X85="",الموظفون!$X85&gt;$G$3),$G$3,الموظفون!$X85)-MAX($E$3,الموظفون!$H85)+1))</f>
        <v/>
      </c>
    </row>
    <row r="86" customFormat="false" ht="15" hidden="false" customHeight="false" outlineLevel="0" collapsed="false">
      <c r="A86" s="83" t="str">
        <f aca="false">IF($B86="","",الموظفون!$A86)</f>
        <v/>
      </c>
      <c r="B86" s="74" t="str">
        <f aca="false">IF(الموظفون!$B86="","",الموظفون!$B86)</f>
        <v/>
      </c>
      <c r="C86" s="74" t="str">
        <f aca="false">IF($B86="","",الموظفون!$C86)</f>
        <v/>
      </c>
      <c r="D86" s="74" t="str">
        <f aca="false">IF($B86="","",الموظفون!$F86)</f>
        <v/>
      </c>
      <c r="E86" s="74" t="str">
        <f aca="false">IF($B86="","",الموظفون!$E86)</f>
        <v/>
      </c>
      <c r="F86" s="105" t="str">
        <f aca="false">IF($B86="","",IF(AE86&gt;=DAY($G$3),cfg_DAYS_M,MIN(AE86,cfg_DAYS_M)))</f>
        <v/>
      </c>
      <c r="G86" s="105" t="str">
        <f aca="false">IF($B86="","",SUMIFS('الحركات الشهرية'!$D$6:$D$1005,'الحركات الشهرية'!$B$6:$B$1005,$B86,'الحركات الشهرية'!$A$6:$A$1005,$C$3))</f>
        <v/>
      </c>
      <c r="H86" s="105" t="str">
        <f aca="false">IF($B86="","",SUMIFS('الحركات الشهرية'!$E$6:$E$1005,'الحركات الشهرية'!$B$6:$B$1005,$B86,'الحركات الشهرية'!$A$6:$A$1005,$C$3))</f>
        <v/>
      </c>
      <c r="I86" s="105" t="str">
        <f aca="false">IF($B86="","",MAX(0,F86-G86-H86))</f>
        <v/>
      </c>
      <c r="J86" s="86" t="str">
        <f aca="false">IF($B86="","",الموظفون!$J86*$I86/cfg_DAYS_M)</f>
        <v/>
      </c>
      <c r="K86" s="86" t="str">
        <f aca="false">IF($B86="","",الموظفون!$K86*$I86/cfg_DAYS_M)</f>
        <v/>
      </c>
      <c r="L86" s="86" t="str">
        <f aca="false">IF($B86="","",الموظفون!$L86*$I86/cfg_DAYS_M)</f>
        <v/>
      </c>
      <c r="M86" s="86" t="str">
        <f aca="false">IF($B86="","",الموظفون!$M86*$I86/cfg_DAYS_M)</f>
        <v/>
      </c>
      <c r="N86" s="105" t="str">
        <f aca="false">IF($B86="","",SUMIFS('الحركات الشهرية'!$F$6:$F$1005,'الحركات الشهرية'!$B$6:$B$1005,$B86,'الحركات الشهرية'!$A$6:$A$1005,$C$3))</f>
        <v/>
      </c>
      <c r="O86" s="86" t="str">
        <f aca="false">IF($B86="","",N86*(الموظفون!$N86+الموظفون!$J86*cfg_OT_P)/cfg_DAYS_M/cfg_HRS)</f>
        <v/>
      </c>
      <c r="P86" s="86" t="str">
        <f aca="false">IF($B86="","",SUMIFS('الحركات الشهرية'!$G$6:$G$1005,'الحركات الشهرية'!$B$6:$B$1005,$B86,'الحركات الشهرية'!$A$6:$A$1005,$C$3))</f>
        <v/>
      </c>
      <c r="Q86" s="86" t="str">
        <f aca="false">IF($B86="","",SUMIFS('الحركات الشهرية'!$H$6:$H$1005,'الحركات الشهرية'!$B$6:$B$1005,$B86,'الحركات الشهرية'!$A$6:$A$1005,$C$3))</f>
        <v/>
      </c>
      <c r="R86" s="106" t="str">
        <f aca="false">IF($B86="","",SUM(J86:M86)+SUM(O86:Q86))</f>
        <v/>
      </c>
      <c r="S86" s="86" t="str">
        <f aca="false">IF($B86="","",الموظفون!$Q86*IF(E86="سعودي",cfg_G_SE,cfg_G_NE)*F86/cfg_DAYS_M)</f>
        <v/>
      </c>
      <c r="T86" s="86" t="str">
        <f aca="false">IF($B86="","",SUMIFS('الحركات الشهرية'!$I$6:$I$1005,'الحركات الشهرية'!$B$6:$B$1005,$B86,'الحركات الشهرية'!$A$6:$A$1005,$C$3))</f>
        <v/>
      </c>
      <c r="U86" s="86" t="str">
        <f aca="false">IF($B86="","",SUMIFS('الحركات الشهرية'!$J$6:$J$1005,'الحركات الشهرية'!$B$6:$B$1005,$B86,'الحركات الشهرية'!$A$6:$A$1005,$C$3))</f>
        <v/>
      </c>
      <c r="V86" s="86" t="str">
        <f aca="false">IF($B86="","",SUM(S86:U86))</f>
        <v/>
      </c>
      <c r="W86" s="107" t="str">
        <f aca="false">IF($B86="","",R86-V86)</f>
        <v/>
      </c>
      <c r="X86" s="86" t="str">
        <f aca="false">IF($B86="","",الموظفون!$Q86*IF(E86="سعودي",cfg_G_SR,cfg_G_NR)*F86/cfg_DAYS_M)</f>
        <v/>
      </c>
      <c r="Y86" s="86" t="str">
        <f aca="false">IF($B86="","",الموظفون!$O86*(cfg_EOS_R1*(MIN(AC86,cfg_EOS_TH)-MIN(AD86,cfg_EOS_TH))+cfg_EOS_R2*(MAX(AC86-cfg_EOS_TH,0)-MAX(AD86-cfg_EOS_TH,0))))</f>
        <v/>
      </c>
      <c r="Z86" s="86" t="str">
        <f aca="false">IF($B86="","",IF(الموظفون!$R86&lt;&gt;"",الموظفون!$R86,IF(AC86&gt;=cfg_LV_TH,cfg_LV_D2,cfg_LV_D1))/cfg_DAYS_Y*AE86*الموظفون!$P86/cfg_DAYS_M)</f>
        <v/>
      </c>
      <c r="AA86" s="86" t="str">
        <f aca="false">IF($B86="","",IF(AND(الموظفون!$S86="نعم",N(الموظفون!$U86)&gt;0),الموظفون!$T86/الموظفون!$U86*12/cfg_DAYS_Y*AE86,0))</f>
        <v/>
      </c>
      <c r="AB86" s="108" t="str">
        <f aca="false">IF($B86="","",R86+SUM(X86:AA86))</f>
        <v/>
      </c>
      <c r="AC86" s="109" t="str">
        <f aca="false">IF($B86="","",MAX(0,IF(OR(الموظفون!$X86="",الموظفون!$X86&gt;$G$3),$G$3,الموظفون!$X86)-الموظفون!$H86+1)/cfg_DAYS_Y)</f>
        <v/>
      </c>
      <c r="AD86" s="109" t="str">
        <f aca="false">IF($B86="","",MAX(0,IF(OR(الموظفون!$X86="",الموظفون!$X86&gt;($E$3-1)),($E$3-1),الموظفون!$X86)-الموظفون!$H86+1)/cfg_DAYS_Y)</f>
        <v/>
      </c>
      <c r="AE86" s="51" t="str">
        <f aca="false">IF($B86="","",MAX(0,IF(OR(الموظفون!$X86="",الموظفون!$X86&gt;$G$3),$G$3,الموظفون!$X86)-MAX($E$3,الموظفون!$H86)+1))</f>
        <v/>
      </c>
    </row>
    <row r="87" customFormat="false" ht="15" hidden="false" customHeight="false" outlineLevel="0" collapsed="false">
      <c r="A87" s="89" t="str">
        <f aca="false">IF($B87="","",الموظفون!$A87)</f>
        <v/>
      </c>
      <c r="B87" s="91" t="str">
        <f aca="false">IF(الموظفون!$B87="","",الموظفون!$B87)</f>
        <v/>
      </c>
      <c r="C87" s="91" t="str">
        <f aca="false">IF($B87="","",الموظفون!$C87)</f>
        <v/>
      </c>
      <c r="D87" s="91" t="str">
        <f aca="false">IF($B87="","",الموظفون!$F87)</f>
        <v/>
      </c>
      <c r="E87" s="91" t="str">
        <f aca="false">IF($B87="","",الموظفون!$E87)</f>
        <v/>
      </c>
      <c r="F87" s="110" t="str">
        <f aca="false">IF($B87="","",IF(AE87&gt;=DAY($G$3),cfg_DAYS_M,MIN(AE87,cfg_DAYS_M)))</f>
        <v/>
      </c>
      <c r="G87" s="110" t="str">
        <f aca="false">IF($B87="","",SUMIFS('الحركات الشهرية'!$D$6:$D$1005,'الحركات الشهرية'!$B$6:$B$1005,$B87,'الحركات الشهرية'!$A$6:$A$1005,$C$3))</f>
        <v/>
      </c>
      <c r="H87" s="110" t="str">
        <f aca="false">IF($B87="","",SUMIFS('الحركات الشهرية'!$E$6:$E$1005,'الحركات الشهرية'!$B$6:$B$1005,$B87,'الحركات الشهرية'!$A$6:$A$1005,$C$3))</f>
        <v/>
      </c>
      <c r="I87" s="110" t="str">
        <f aca="false">IF($B87="","",MAX(0,F87-G87-H87))</f>
        <v/>
      </c>
      <c r="J87" s="90" t="str">
        <f aca="false">IF($B87="","",الموظفون!$J87*$I87/cfg_DAYS_M)</f>
        <v/>
      </c>
      <c r="K87" s="90" t="str">
        <f aca="false">IF($B87="","",الموظفون!$K87*$I87/cfg_DAYS_M)</f>
        <v/>
      </c>
      <c r="L87" s="90" t="str">
        <f aca="false">IF($B87="","",الموظفون!$L87*$I87/cfg_DAYS_M)</f>
        <v/>
      </c>
      <c r="M87" s="90" t="str">
        <f aca="false">IF($B87="","",الموظفون!$M87*$I87/cfg_DAYS_M)</f>
        <v/>
      </c>
      <c r="N87" s="110" t="str">
        <f aca="false">IF($B87="","",SUMIFS('الحركات الشهرية'!$F$6:$F$1005,'الحركات الشهرية'!$B$6:$B$1005,$B87,'الحركات الشهرية'!$A$6:$A$1005,$C$3))</f>
        <v/>
      </c>
      <c r="O87" s="90" t="str">
        <f aca="false">IF($B87="","",N87*(الموظفون!$N87+الموظفون!$J87*cfg_OT_P)/cfg_DAYS_M/cfg_HRS)</f>
        <v/>
      </c>
      <c r="P87" s="90" t="str">
        <f aca="false">IF($B87="","",SUMIFS('الحركات الشهرية'!$G$6:$G$1005,'الحركات الشهرية'!$B$6:$B$1005,$B87,'الحركات الشهرية'!$A$6:$A$1005,$C$3))</f>
        <v/>
      </c>
      <c r="Q87" s="90" t="str">
        <f aca="false">IF($B87="","",SUMIFS('الحركات الشهرية'!$H$6:$H$1005,'الحركات الشهرية'!$B$6:$B$1005,$B87,'الحركات الشهرية'!$A$6:$A$1005,$C$3))</f>
        <v/>
      </c>
      <c r="R87" s="111" t="str">
        <f aca="false">IF($B87="","",SUM(J87:M87)+SUM(O87:Q87))</f>
        <v/>
      </c>
      <c r="S87" s="90" t="str">
        <f aca="false">IF($B87="","",الموظفون!$Q87*IF(E87="سعودي",cfg_G_SE,cfg_G_NE)*F87/cfg_DAYS_M)</f>
        <v/>
      </c>
      <c r="T87" s="90" t="str">
        <f aca="false">IF($B87="","",SUMIFS('الحركات الشهرية'!$I$6:$I$1005,'الحركات الشهرية'!$B$6:$B$1005,$B87,'الحركات الشهرية'!$A$6:$A$1005,$C$3))</f>
        <v/>
      </c>
      <c r="U87" s="90" t="str">
        <f aca="false">IF($B87="","",SUMIFS('الحركات الشهرية'!$J$6:$J$1005,'الحركات الشهرية'!$B$6:$B$1005,$B87,'الحركات الشهرية'!$A$6:$A$1005,$C$3))</f>
        <v/>
      </c>
      <c r="V87" s="90" t="str">
        <f aca="false">IF($B87="","",SUM(S87:U87))</f>
        <v/>
      </c>
      <c r="W87" s="112" t="str">
        <f aca="false">IF($B87="","",R87-V87)</f>
        <v/>
      </c>
      <c r="X87" s="90" t="str">
        <f aca="false">IF($B87="","",الموظفون!$Q87*IF(E87="سعودي",cfg_G_SR,cfg_G_NR)*F87/cfg_DAYS_M)</f>
        <v/>
      </c>
      <c r="Y87" s="90" t="str">
        <f aca="false">IF($B87="","",الموظفون!$O87*(cfg_EOS_R1*(MIN(AC87,cfg_EOS_TH)-MIN(AD87,cfg_EOS_TH))+cfg_EOS_R2*(MAX(AC87-cfg_EOS_TH,0)-MAX(AD87-cfg_EOS_TH,0))))</f>
        <v/>
      </c>
      <c r="Z87" s="90" t="str">
        <f aca="false">IF($B87="","",IF(الموظفون!$R87&lt;&gt;"",الموظفون!$R87,IF(AC87&gt;=cfg_LV_TH,cfg_LV_D2,cfg_LV_D1))/cfg_DAYS_Y*AE87*الموظفون!$P87/cfg_DAYS_M)</f>
        <v/>
      </c>
      <c r="AA87" s="90" t="str">
        <f aca="false">IF($B87="","",IF(AND(الموظفون!$S87="نعم",N(الموظفون!$U87)&gt;0),الموظفون!$T87/الموظفون!$U87*12/cfg_DAYS_Y*AE87,0))</f>
        <v/>
      </c>
      <c r="AB87" s="113" t="str">
        <f aca="false">IF($B87="","",R87+SUM(X87:AA87))</f>
        <v/>
      </c>
      <c r="AC87" s="114" t="str">
        <f aca="false">IF($B87="","",MAX(0,IF(OR(الموظفون!$X87="",الموظفون!$X87&gt;$G$3),$G$3,الموظفون!$X87)-الموظفون!$H87+1)/cfg_DAYS_Y)</f>
        <v/>
      </c>
      <c r="AD87" s="114" t="str">
        <f aca="false">IF($B87="","",MAX(0,IF(OR(الموظفون!$X87="",الموظفون!$X87&gt;($E$3-1)),($E$3-1),الموظفون!$X87)-الموظفون!$H87+1)/cfg_DAYS_Y)</f>
        <v/>
      </c>
      <c r="AE87" s="115" t="str">
        <f aca="false">IF($B87="","",MAX(0,IF(OR(الموظفون!$X87="",الموظفون!$X87&gt;$G$3),$G$3,الموظفون!$X87)-MAX($E$3,الموظفون!$H87)+1))</f>
        <v/>
      </c>
    </row>
    <row r="88" customFormat="false" ht="15" hidden="false" customHeight="false" outlineLevel="0" collapsed="false">
      <c r="A88" s="83" t="str">
        <f aca="false">IF($B88="","",الموظفون!$A88)</f>
        <v/>
      </c>
      <c r="B88" s="74" t="str">
        <f aca="false">IF(الموظفون!$B88="","",الموظفون!$B88)</f>
        <v/>
      </c>
      <c r="C88" s="74" t="str">
        <f aca="false">IF($B88="","",الموظفون!$C88)</f>
        <v/>
      </c>
      <c r="D88" s="74" t="str">
        <f aca="false">IF($B88="","",الموظفون!$F88)</f>
        <v/>
      </c>
      <c r="E88" s="74" t="str">
        <f aca="false">IF($B88="","",الموظفون!$E88)</f>
        <v/>
      </c>
      <c r="F88" s="105" t="str">
        <f aca="false">IF($B88="","",IF(AE88&gt;=DAY($G$3),cfg_DAYS_M,MIN(AE88,cfg_DAYS_M)))</f>
        <v/>
      </c>
      <c r="G88" s="105" t="str">
        <f aca="false">IF($B88="","",SUMIFS('الحركات الشهرية'!$D$6:$D$1005,'الحركات الشهرية'!$B$6:$B$1005,$B88,'الحركات الشهرية'!$A$6:$A$1005,$C$3))</f>
        <v/>
      </c>
      <c r="H88" s="105" t="str">
        <f aca="false">IF($B88="","",SUMIFS('الحركات الشهرية'!$E$6:$E$1005,'الحركات الشهرية'!$B$6:$B$1005,$B88,'الحركات الشهرية'!$A$6:$A$1005,$C$3))</f>
        <v/>
      </c>
      <c r="I88" s="105" t="str">
        <f aca="false">IF($B88="","",MAX(0,F88-G88-H88))</f>
        <v/>
      </c>
      <c r="J88" s="86" t="str">
        <f aca="false">IF($B88="","",الموظفون!$J88*$I88/cfg_DAYS_M)</f>
        <v/>
      </c>
      <c r="K88" s="86" t="str">
        <f aca="false">IF($B88="","",الموظفون!$K88*$I88/cfg_DAYS_M)</f>
        <v/>
      </c>
      <c r="L88" s="86" t="str">
        <f aca="false">IF($B88="","",الموظفون!$L88*$I88/cfg_DAYS_M)</f>
        <v/>
      </c>
      <c r="M88" s="86" t="str">
        <f aca="false">IF($B88="","",الموظفون!$M88*$I88/cfg_DAYS_M)</f>
        <v/>
      </c>
      <c r="N88" s="105" t="str">
        <f aca="false">IF($B88="","",SUMIFS('الحركات الشهرية'!$F$6:$F$1005,'الحركات الشهرية'!$B$6:$B$1005,$B88,'الحركات الشهرية'!$A$6:$A$1005,$C$3))</f>
        <v/>
      </c>
      <c r="O88" s="86" t="str">
        <f aca="false">IF($B88="","",N88*(الموظفون!$N88+الموظفون!$J88*cfg_OT_P)/cfg_DAYS_M/cfg_HRS)</f>
        <v/>
      </c>
      <c r="P88" s="86" t="str">
        <f aca="false">IF($B88="","",SUMIFS('الحركات الشهرية'!$G$6:$G$1005,'الحركات الشهرية'!$B$6:$B$1005,$B88,'الحركات الشهرية'!$A$6:$A$1005,$C$3))</f>
        <v/>
      </c>
      <c r="Q88" s="86" t="str">
        <f aca="false">IF($B88="","",SUMIFS('الحركات الشهرية'!$H$6:$H$1005,'الحركات الشهرية'!$B$6:$B$1005,$B88,'الحركات الشهرية'!$A$6:$A$1005,$C$3))</f>
        <v/>
      </c>
      <c r="R88" s="106" t="str">
        <f aca="false">IF($B88="","",SUM(J88:M88)+SUM(O88:Q88))</f>
        <v/>
      </c>
      <c r="S88" s="86" t="str">
        <f aca="false">IF($B88="","",الموظفون!$Q88*IF(E88="سعودي",cfg_G_SE,cfg_G_NE)*F88/cfg_DAYS_M)</f>
        <v/>
      </c>
      <c r="T88" s="86" t="str">
        <f aca="false">IF($B88="","",SUMIFS('الحركات الشهرية'!$I$6:$I$1005,'الحركات الشهرية'!$B$6:$B$1005,$B88,'الحركات الشهرية'!$A$6:$A$1005,$C$3))</f>
        <v/>
      </c>
      <c r="U88" s="86" t="str">
        <f aca="false">IF($B88="","",SUMIFS('الحركات الشهرية'!$J$6:$J$1005,'الحركات الشهرية'!$B$6:$B$1005,$B88,'الحركات الشهرية'!$A$6:$A$1005,$C$3))</f>
        <v/>
      </c>
      <c r="V88" s="86" t="str">
        <f aca="false">IF($B88="","",SUM(S88:U88))</f>
        <v/>
      </c>
      <c r="W88" s="107" t="str">
        <f aca="false">IF($B88="","",R88-V88)</f>
        <v/>
      </c>
      <c r="X88" s="86" t="str">
        <f aca="false">IF($B88="","",الموظفون!$Q88*IF(E88="سعودي",cfg_G_SR,cfg_G_NR)*F88/cfg_DAYS_M)</f>
        <v/>
      </c>
      <c r="Y88" s="86" t="str">
        <f aca="false">IF($B88="","",الموظفون!$O88*(cfg_EOS_R1*(MIN(AC88,cfg_EOS_TH)-MIN(AD88,cfg_EOS_TH))+cfg_EOS_R2*(MAX(AC88-cfg_EOS_TH,0)-MAX(AD88-cfg_EOS_TH,0))))</f>
        <v/>
      </c>
      <c r="Z88" s="86" t="str">
        <f aca="false">IF($B88="","",IF(الموظفون!$R88&lt;&gt;"",الموظفون!$R88,IF(AC88&gt;=cfg_LV_TH,cfg_LV_D2,cfg_LV_D1))/cfg_DAYS_Y*AE88*الموظفون!$P88/cfg_DAYS_M)</f>
        <v/>
      </c>
      <c r="AA88" s="86" t="str">
        <f aca="false">IF($B88="","",IF(AND(الموظفون!$S88="نعم",N(الموظفون!$U88)&gt;0),الموظفون!$T88/الموظفون!$U88*12/cfg_DAYS_Y*AE88,0))</f>
        <v/>
      </c>
      <c r="AB88" s="108" t="str">
        <f aca="false">IF($B88="","",R88+SUM(X88:AA88))</f>
        <v/>
      </c>
      <c r="AC88" s="109" t="str">
        <f aca="false">IF($B88="","",MAX(0,IF(OR(الموظفون!$X88="",الموظفون!$X88&gt;$G$3),$G$3,الموظفون!$X88)-الموظفون!$H88+1)/cfg_DAYS_Y)</f>
        <v/>
      </c>
      <c r="AD88" s="109" t="str">
        <f aca="false">IF($B88="","",MAX(0,IF(OR(الموظفون!$X88="",الموظفون!$X88&gt;($E$3-1)),($E$3-1),الموظفون!$X88)-الموظفون!$H88+1)/cfg_DAYS_Y)</f>
        <v/>
      </c>
      <c r="AE88" s="51" t="str">
        <f aca="false">IF($B88="","",MAX(0,IF(OR(الموظفون!$X88="",الموظفون!$X88&gt;$G$3),$G$3,الموظفون!$X88)-MAX($E$3,الموظفون!$H88)+1))</f>
        <v/>
      </c>
    </row>
    <row r="89" customFormat="false" ht="15" hidden="false" customHeight="false" outlineLevel="0" collapsed="false">
      <c r="A89" s="89" t="str">
        <f aca="false">IF($B89="","",الموظفون!$A89)</f>
        <v/>
      </c>
      <c r="B89" s="91" t="str">
        <f aca="false">IF(الموظفون!$B89="","",الموظفون!$B89)</f>
        <v/>
      </c>
      <c r="C89" s="91" t="str">
        <f aca="false">IF($B89="","",الموظفون!$C89)</f>
        <v/>
      </c>
      <c r="D89" s="91" t="str">
        <f aca="false">IF($B89="","",الموظفون!$F89)</f>
        <v/>
      </c>
      <c r="E89" s="91" t="str">
        <f aca="false">IF($B89="","",الموظفون!$E89)</f>
        <v/>
      </c>
      <c r="F89" s="110" t="str">
        <f aca="false">IF($B89="","",IF(AE89&gt;=DAY($G$3),cfg_DAYS_M,MIN(AE89,cfg_DAYS_M)))</f>
        <v/>
      </c>
      <c r="G89" s="110" t="str">
        <f aca="false">IF($B89="","",SUMIFS('الحركات الشهرية'!$D$6:$D$1005,'الحركات الشهرية'!$B$6:$B$1005,$B89,'الحركات الشهرية'!$A$6:$A$1005,$C$3))</f>
        <v/>
      </c>
      <c r="H89" s="110" t="str">
        <f aca="false">IF($B89="","",SUMIFS('الحركات الشهرية'!$E$6:$E$1005,'الحركات الشهرية'!$B$6:$B$1005,$B89,'الحركات الشهرية'!$A$6:$A$1005,$C$3))</f>
        <v/>
      </c>
      <c r="I89" s="110" t="str">
        <f aca="false">IF($B89="","",MAX(0,F89-G89-H89))</f>
        <v/>
      </c>
      <c r="J89" s="90" t="str">
        <f aca="false">IF($B89="","",الموظفون!$J89*$I89/cfg_DAYS_M)</f>
        <v/>
      </c>
      <c r="K89" s="90" t="str">
        <f aca="false">IF($B89="","",الموظفون!$K89*$I89/cfg_DAYS_M)</f>
        <v/>
      </c>
      <c r="L89" s="90" t="str">
        <f aca="false">IF($B89="","",الموظفون!$L89*$I89/cfg_DAYS_M)</f>
        <v/>
      </c>
      <c r="M89" s="90" t="str">
        <f aca="false">IF($B89="","",الموظفون!$M89*$I89/cfg_DAYS_M)</f>
        <v/>
      </c>
      <c r="N89" s="110" t="str">
        <f aca="false">IF($B89="","",SUMIFS('الحركات الشهرية'!$F$6:$F$1005,'الحركات الشهرية'!$B$6:$B$1005,$B89,'الحركات الشهرية'!$A$6:$A$1005,$C$3))</f>
        <v/>
      </c>
      <c r="O89" s="90" t="str">
        <f aca="false">IF($B89="","",N89*(الموظفون!$N89+الموظفون!$J89*cfg_OT_P)/cfg_DAYS_M/cfg_HRS)</f>
        <v/>
      </c>
      <c r="P89" s="90" t="str">
        <f aca="false">IF($B89="","",SUMIFS('الحركات الشهرية'!$G$6:$G$1005,'الحركات الشهرية'!$B$6:$B$1005,$B89,'الحركات الشهرية'!$A$6:$A$1005,$C$3))</f>
        <v/>
      </c>
      <c r="Q89" s="90" t="str">
        <f aca="false">IF($B89="","",SUMIFS('الحركات الشهرية'!$H$6:$H$1005,'الحركات الشهرية'!$B$6:$B$1005,$B89,'الحركات الشهرية'!$A$6:$A$1005,$C$3))</f>
        <v/>
      </c>
      <c r="R89" s="111" t="str">
        <f aca="false">IF($B89="","",SUM(J89:M89)+SUM(O89:Q89))</f>
        <v/>
      </c>
      <c r="S89" s="90" t="str">
        <f aca="false">IF($B89="","",الموظفون!$Q89*IF(E89="سعودي",cfg_G_SE,cfg_G_NE)*F89/cfg_DAYS_M)</f>
        <v/>
      </c>
      <c r="T89" s="90" t="str">
        <f aca="false">IF($B89="","",SUMIFS('الحركات الشهرية'!$I$6:$I$1005,'الحركات الشهرية'!$B$6:$B$1005,$B89,'الحركات الشهرية'!$A$6:$A$1005,$C$3))</f>
        <v/>
      </c>
      <c r="U89" s="90" t="str">
        <f aca="false">IF($B89="","",SUMIFS('الحركات الشهرية'!$J$6:$J$1005,'الحركات الشهرية'!$B$6:$B$1005,$B89,'الحركات الشهرية'!$A$6:$A$1005,$C$3))</f>
        <v/>
      </c>
      <c r="V89" s="90" t="str">
        <f aca="false">IF($B89="","",SUM(S89:U89))</f>
        <v/>
      </c>
      <c r="W89" s="112" t="str">
        <f aca="false">IF($B89="","",R89-V89)</f>
        <v/>
      </c>
      <c r="X89" s="90" t="str">
        <f aca="false">IF($B89="","",الموظفون!$Q89*IF(E89="سعودي",cfg_G_SR,cfg_G_NR)*F89/cfg_DAYS_M)</f>
        <v/>
      </c>
      <c r="Y89" s="90" t="str">
        <f aca="false">IF($B89="","",الموظفون!$O89*(cfg_EOS_R1*(MIN(AC89,cfg_EOS_TH)-MIN(AD89,cfg_EOS_TH))+cfg_EOS_R2*(MAX(AC89-cfg_EOS_TH,0)-MAX(AD89-cfg_EOS_TH,0))))</f>
        <v/>
      </c>
      <c r="Z89" s="90" t="str">
        <f aca="false">IF($B89="","",IF(الموظفون!$R89&lt;&gt;"",الموظفون!$R89,IF(AC89&gt;=cfg_LV_TH,cfg_LV_D2,cfg_LV_D1))/cfg_DAYS_Y*AE89*الموظفون!$P89/cfg_DAYS_M)</f>
        <v/>
      </c>
      <c r="AA89" s="90" t="str">
        <f aca="false">IF($B89="","",IF(AND(الموظفون!$S89="نعم",N(الموظفون!$U89)&gt;0),الموظفون!$T89/الموظفون!$U89*12/cfg_DAYS_Y*AE89,0))</f>
        <v/>
      </c>
      <c r="AB89" s="113" t="str">
        <f aca="false">IF($B89="","",R89+SUM(X89:AA89))</f>
        <v/>
      </c>
      <c r="AC89" s="114" t="str">
        <f aca="false">IF($B89="","",MAX(0,IF(OR(الموظفون!$X89="",الموظفون!$X89&gt;$G$3),$G$3,الموظفون!$X89)-الموظفون!$H89+1)/cfg_DAYS_Y)</f>
        <v/>
      </c>
      <c r="AD89" s="114" t="str">
        <f aca="false">IF($B89="","",MAX(0,IF(OR(الموظفون!$X89="",الموظفون!$X89&gt;($E$3-1)),($E$3-1),الموظفون!$X89)-الموظفون!$H89+1)/cfg_DAYS_Y)</f>
        <v/>
      </c>
      <c r="AE89" s="115" t="str">
        <f aca="false">IF($B89="","",MAX(0,IF(OR(الموظفون!$X89="",الموظفون!$X89&gt;$G$3),$G$3,الموظفون!$X89)-MAX($E$3,الموظفون!$H89)+1))</f>
        <v/>
      </c>
    </row>
    <row r="90" customFormat="false" ht="15" hidden="false" customHeight="false" outlineLevel="0" collapsed="false">
      <c r="A90" s="83" t="str">
        <f aca="false">IF($B90="","",الموظفون!$A90)</f>
        <v/>
      </c>
      <c r="B90" s="74" t="str">
        <f aca="false">IF(الموظفون!$B90="","",الموظفون!$B90)</f>
        <v/>
      </c>
      <c r="C90" s="74" t="str">
        <f aca="false">IF($B90="","",الموظفون!$C90)</f>
        <v/>
      </c>
      <c r="D90" s="74" t="str">
        <f aca="false">IF($B90="","",الموظفون!$F90)</f>
        <v/>
      </c>
      <c r="E90" s="74" t="str">
        <f aca="false">IF($B90="","",الموظفون!$E90)</f>
        <v/>
      </c>
      <c r="F90" s="105" t="str">
        <f aca="false">IF($B90="","",IF(AE90&gt;=DAY($G$3),cfg_DAYS_M,MIN(AE90,cfg_DAYS_M)))</f>
        <v/>
      </c>
      <c r="G90" s="105" t="str">
        <f aca="false">IF($B90="","",SUMIFS('الحركات الشهرية'!$D$6:$D$1005,'الحركات الشهرية'!$B$6:$B$1005,$B90,'الحركات الشهرية'!$A$6:$A$1005,$C$3))</f>
        <v/>
      </c>
      <c r="H90" s="105" t="str">
        <f aca="false">IF($B90="","",SUMIFS('الحركات الشهرية'!$E$6:$E$1005,'الحركات الشهرية'!$B$6:$B$1005,$B90,'الحركات الشهرية'!$A$6:$A$1005,$C$3))</f>
        <v/>
      </c>
      <c r="I90" s="105" t="str">
        <f aca="false">IF($B90="","",MAX(0,F90-G90-H90))</f>
        <v/>
      </c>
      <c r="J90" s="86" t="str">
        <f aca="false">IF($B90="","",الموظفون!$J90*$I90/cfg_DAYS_M)</f>
        <v/>
      </c>
      <c r="K90" s="86" t="str">
        <f aca="false">IF($B90="","",الموظفون!$K90*$I90/cfg_DAYS_M)</f>
        <v/>
      </c>
      <c r="L90" s="86" t="str">
        <f aca="false">IF($B90="","",الموظفون!$L90*$I90/cfg_DAYS_M)</f>
        <v/>
      </c>
      <c r="M90" s="86" t="str">
        <f aca="false">IF($B90="","",الموظفون!$M90*$I90/cfg_DAYS_M)</f>
        <v/>
      </c>
      <c r="N90" s="105" t="str">
        <f aca="false">IF($B90="","",SUMIFS('الحركات الشهرية'!$F$6:$F$1005,'الحركات الشهرية'!$B$6:$B$1005,$B90,'الحركات الشهرية'!$A$6:$A$1005,$C$3))</f>
        <v/>
      </c>
      <c r="O90" s="86" t="str">
        <f aca="false">IF($B90="","",N90*(الموظفون!$N90+الموظفون!$J90*cfg_OT_P)/cfg_DAYS_M/cfg_HRS)</f>
        <v/>
      </c>
      <c r="P90" s="86" t="str">
        <f aca="false">IF($B90="","",SUMIFS('الحركات الشهرية'!$G$6:$G$1005,'الحركات الشهرية'!$B$6:$B$1005,$B90,'الحركات الشهرية'!$A$6:$A$1005,$C$3))</f>
        <v/>
      </c>
      <c r="Q90" s="86" t="str">
        <f aca="false">IF($B90="","",SUMIFS('الحركات الشهرية'!$H$6:$H$1005,'الحركات الشهرية'!$B$6:$B$1005,$B90,'الحركات الشهرية'!$A$6:$A$1005,$C$3))</f>
        <v/>
      </c>
      <c r="R90" s="106" t="str">
        <f aca="false">IF($B90="","",SUM(J90:M90)+SUM(O90:Q90))</f>
        <v/>
      </c>
      <c r="S90" s="86" t="str">
        <f aca="false">IF($B90="","",الموظفون!$Q90*IF(E90="سعودي",cfg_G_SE,cfg_G_NE)*F90/cfg_DAYS_M)</f>
        <v/>
      </c>
      <c r="T90" s="86" t="str">
        <f aca="false">IF($B90="","",SUMIFS('الحركات الشهرية'!$I$6:$I$1005,'الحركات الشهرية'!$B$6:$B$1005,$B90,'الحركات الشهرية'!$A$6:$A$1005,$C$3))</f>
        <v/>
      </c>
      <c r="U90" s="86" t="str">
        <f aca="false">IF($B90="","",SUMIFS('الحركات الشهرية'!$J$6:$J$1005,'الحركات الشهرية'!$B$6:$B$1005,$B90,'الحركات الشهرية'!$A$6:$A$1005,$C$3))</f>
        <v/>
      </c>
      <c r="V90" s="86" t="str">
        <f aca="false">IF($B90="","",SUM(S90:U90))</f>
        <v/>
      </c>
      <c r="W90" s="107" t="str">
        <f aca="false">IF($B90="","",R90-V90)</f>
        <v/>
      </c>
      <c r="X90" s="86" t="str">
        <f aca="false">IF($B90="","",الموظفون!$Q90*IF(E90="سعودي",cfg_G_SR,cfg_G_NR)*F90/cfg_DAYS_M)</f>
        <v/>
      </c>
      <c r="Y90" s="86" t="str">
        <f aca="false">IF($B90="","",الموظفون!$O90*(cfg_EOS_R1*(MIN(AC90,cfg_EOS_TH)-MIN(AD90,cfg_EOS_TH))+cfg_EOS_R2*(MAX(AC90-cfg_EOS_TH,0)-MAX(AD90-cfg_EOS_TH,0))))</f>
        <v/>
      </c>
      <c r="Z90" s="86" t="str">
        <f aca="false">IF($B90="","",IF(الموظفون!$R90&lt;&gt;"",الموظفون!$R90,IF(AC90&gt;=cfg_LV_TH,cfg_LV_D2,cfg_LV_D1))/cfg_DAYS_Y*AE90*الموظفون!$P90/cfg_DAYS_M)</f>
        <v/>
      </c>
      <c r="AA90" s="86" t="str">
        <f aca="false">IF($B90="","",IF(AND(الموظفون!$S90="نعم",N(الموظفون!$U90)&gt;0),الموظفون!$T90/الموظفون!$U90*12/cfg_DAYS_Y*AE90,0))</f>
        <v/>
      </c>
      <c r="AB90" s="108" t="str">
        <f aca="false">IF($B90="","",R90+SUM(X90:AA90))</f>
        <v/>
      </c>
      <c r="AC90" s="109" t="str">
        <f aca="false">IF($B90="","",MAX(0,IF(OR(الموظفون!$X90="",الموظفون!$X90&gt;$G$3),$G$3,الموظفون!$X90)-الموظفون!$H90+1)/cfg_DAYS_Y)</f>
        <v/>
      </c>
      <c r="AD90" s="109" t="str">
        <f aca="false">IF($B90="","",MAX(0,IF(OR(الموظفون!$X90="",الموظفون!$X90&gt;($E$3-1)),($E$3-1),الموظفون!$X90)-الموظفون!$H90+1)/cfg_DAYS_Y)</f>
        <v/>
      </c>
      <c r="AE90" s="51" t="str">
        <f aca="false">IF($B90="","",MAX(0,IF(OR(الموظفون!$X90="",الموظفون!$X90&gt;$G$3),$G$3,الموظفون!$X90)-MAX($E$3,الموظفون!$H90)+1))</f>
        <v/>
      </c>
    </row>
    <row r="91" customFormat="false" ht="15" hidden="false" customHeight="false" outlineLevel="0" collapsed="false">
      <c r="A91" s="89" t="str">
        <f aca="false">IF($B91="","",الموظفون!$A91)</f>
        <v/>
      </c>
      <c r="B91" s="91" t="str">
        <f aca="false">IF(الموظفون!$B91="","",الموظفون!$B91)</f>
        <v/>
      </c>
      <c r="C91" s="91" t="str">
        <f aca="false">IF($B91="","",الموظفون!$C91)</f>
        <v/>
      </c>
      <c r="D91" s="91" t="str">
        <f aca="false">IF($B91="","",الموظفون!$F91)</f>
        <v/>
      </c>
      <c r="E91" s="91" t="str">
        <f aca="false">IF($B91="","",الموظفون!$E91)</f>
        <v/>
      </c>
      <c r="F91" s="110" t="str">
        <f aca="false">IF($B91="","",IF(AE91&gt;=DAY($G$3),cfg_DAYS_M,MIN(AE91,cfg_DAYS_M)))</f>
        <v/>
      </c>
      <c r="G91" s="110" t="str">
        <f aca="false">IF($B91="","",SUMIFS('الحركات الشهرية'!$D$6:$D$1005,'الحركات الشهرية'!$B$6:$B$1005,$B91,'الحركات الشهرية'!$A$6:$A$1005,$C$3))</f>
        <v/>
      </c>
      <c r="H91" s="110" t="str">
        <f aca="false">IF($B91="","",SUMIFS('الحركات الشهرية'!$E$6:$E$1005,'الحركات الشهرية'!$B$6:$B$1005,$B91,'الحركات الشهرية'!$A$6:$A$1005,$C$3))</f>
        <v/>
      </c>
      <c r="I91" s="110" t="str">
        <f aca="false">IF($B91="","",MAX(0,F91-G91-H91))</f>
        <v/>
      </c>
      <c r="J91" s="90" t="str">
        <f aca="false">IF($B91="","",الموظفون!$J91*$I91/cfg_DAYS_M)</f>
        <v/>
      </c>
      <c r="K91" s="90" t="str">
        <f aca="false">IF($B91="","",الموظفون!$K91*$I91/cfg_DAYS_M)</f>
        <v/>
      </c>
      <c r="L91" s="90" t="str">
        <f aca="false">IF($B91="","",الموظفون!$L91*$I91/cfg_DAYS_M)</f>
        <v/>
      </c>
      <c r="M91" s="90" t="str">
        <f aca="false">IF($B91="","",الموظفون!$M91*$I91/cfg_DAYS_M)</f>
        <v/>
      </c>
      <c r="N91" s="110" t="str">
        <f aca="false">IF($B91="","",SUMIFS('الحركات الشهرية'!$F$6:$F$1005,'الحركات الشهرية'!$B$6:$B$1005,$B91,'الحركات الشهرية'!$A$6:$A$1005,$C$3))</f>
        <v/>
      </c>
      <c r="O91" s="90" t="str">
        <f aca="false">IF($B91="","",N91*(الموظفون!$N91+الموظفون!$J91*cfg_OT_P)/cfg_DAYS_M/cfg_HRS)</f>
        <v/>
      </c>
      <c r="P91" s="90" t="str">
        <f aca="false">IF($B91="","",SUMIFS('الحركات الشهرية'!$G$6:$G$1005,'الحركات الشهرية'!$B$6:$B$1005,$B91,'الحركات الشهرية'!$A$6:$A$1005,$C$3))</f>
        <v/>
      </c>
      <c r="Q91" s="90" t="str">
        <f aca="false">IF($B91="","",SUMIFS('الحركات الشهرية'!$H$6:$H$1005,'الحركات الشهرية'!$B$6:$B$1005,$B91,'الحركات الشهرية'!$A$6:$A$1005,$C$3))</f>
        <v/>
      </c>
      <c r="R91" s="111" t="str">
        <f aca="false">IF($B91="","",SUM(J91:M91)+SUM(O91:Q91))</f>
        <v/>
      </c>
      <c r="S91" s="90" t="str">
        <f aca="false">IF($B91="","",الموظفون!$Q91*IF(E91="سعودي",cfg_G_SE,cfg_G_NE)*F91/cfg_DAYS_M)</f>
        <v/>
      </c>
      <c r="T91" s="90" t="str">
        <f aca="false">IF($B91="","",SUMIFS('الحركات الشهرية'!$I$6:$I$1005,'الحركات الشهرية'!$B$6:$B$1005,$B91,'الحركات الشهرية'!$A$6:$A$1005,$C$3))</f>
        <v/>
      </c>
      <c r="U91" s="90" t="str">
        <f aca="false">IF($B91="","",SUMIFS('الحركات الشهرية'!$J$6:$J$1005,'الحركات الشهرية'!$B$6:$B$1005,$B91,'الحركات الشهرية'!$A$6:$A$1005,$C$3))</f>
        <v/>
      </c>
      <c r="V91" s="90" t="str">
        <f aca="false">IF($B91="","",SUM(S91:U91))</f>
        <v/>
      </c>
      <c r="W91" s="112" t="str">
        <f aca="false">IF($B91="","",R91-V91)</f>
        <v/>
      </c>
      <c r="X91" s="90" t="str">
        <f aca="false">IF($B91="","",الموظفون!$Q91*IF(E91="سعودي",cfg_G_SR,cfg_G_NR)*F91/cfg_DAYS_M)</f>
        <v/>
      </c>
      <c r="Y91" s="90" t="str">
        <f aca="false">IF($B91="","",الموظفون!$O91*(cfg_EOS_R1*(MIN(AC91,cfg_EOS_TH)-MIN(AD91,cfg_EOS_TH))+cfg_EOS_R2*(MAX(AC91-cfg_EOS_TH,0)-MAX(AD91-cfg_EOS_TH,0))))</f>
        <v/>
      </c>
      <c r="Z91" s="90" t="str">
        <f aca="false">IF($B91="","",IF(الموظفون!$R91&lt;&gt;"",الموظفون!$R91,IF(AC91&gt;=cfg_LV_TH,cfg_LV_D2,cfg_LV_D1))/cfg_DAYS_Y*AE91*الموظفون!$P91/cfg_DAYS_M)</f>
        <v/>
      </c>
      <c r="AA91" s="90" t="str">
        <f aca="false">IF($B91="","",IF(AND(الموظفون!$S91="نعم",N(الموظفون!$U91)&gt;0),الموظفون!$T91/الموظفون!$U91*12/cfg_DAYS_Y*AE91,0))</f>
        <v/>
      </c>
      <c r="AB91" s="113" t="str">
        <f aca="false">IF($B91="","",R91+SUM(X91:AA91))</f>
        <v/>
      </c>
      <c r="AC91" s="114" t="str">
        <f aca="false">IF($B91="","",MAX(0,IF(OR(الموظفون!$X91="",الموظفون!$X91&gt;$G$3),$G$3,الموظفون!$X91)-الموظفون!$H91+1)/cfg_DAYS_Y)</f>
        <v/>
      </c>
      <c r="AD91" s="114" t="str">
        <f aca="false">IF($B91="","",MAX(0,IF(OR(الموظفون!$X91="",الموظفون!$X91&gt;($E$3-1)),($E$3-1),الموظفون!$X91)-الموظفون!$H91+1)/cfg_DAYS_Y)</f>
        <v/>
      </c>
      <c r="AE91" s="115" t="str">
        <f aca="false">IF($B91="","",MAX(0,IF(OR(الموظفون!$X91="",الموظفون!$X91&gt;$G$3),$G$3,الموظفون!$X91)-MAX($E$3,الموظفون!$H91)+1))</f>
        <v/>
      </c>
    </row>
    <row r="92" customFormat="false" ht="15" hidden="false" customHeight="false" outlineLevel="0" collapsed="false">
      <c r="A92" s="83" t="str">
        <f aca="false">IF($B92="","",الموظفون!$A92)</f>
        <v/>
      </c>
      <c r="B92" s="74" t="str">
        <f aca="false">IF(الموظفون!$B92="","",الموظفون!$B92)</f>
        <v/>
      </c>
      <c r="C92" s="74" t="str">
        <f aca="false">IF($B92="","",الموظفون!$C92)</f>
        <v/>
      </c>
      <c r="D92" s="74" t="str">
        <f aca="false">IF($B92="","",الموظفون!$F92)</f>
        <v/>
      </c>
      <c r="E92" s="74" t="str">
        <f aca="false">IF($B92="","",الموظفون!$E92)</f>
        <v/>
      </c>
      <c r="F92" s="105" t="str">
        <f aca="false">IF($B92="","",IF(AE92&gt;=DAY($G$3),cfg_DAYS_M,MIN(AE92,cfg_DAYS_M)))</f>
        <v/>
      </c>
      <c r="G92" s="105" t="str">
        <f aca="false">IF($B92="","",SUMIFS('الحركات الشهرية'!$D$6:$D$1005,'الحركات الشهرية'!$B$6:$B$1005,$B92,'الحركات الشهرية'!$A$6:$A$1005,$C$3))</f>
        <v/>
      </c>
      <c r="H92" s="105" t="str">
        <f aca="false">IF($B92="","",SUMIFS('الحركات الشهرية'!$E$6:$E$1005,'الحركات الشهرية'!$B$6:$B$1005,$B92,'الحركات الشهرية'!$A$6:$A$1005,$C$3))</f>
        <v/>
      </c>
      <c r="I92" s="105" t="str">
        <f aca="false">IF($B92="","",MAX(0,F92-G92-H92))</f>
        <v/>
      </c>
      <c r="J92" s="86" t="str">
        <f aca="false">IF($B92="","",الموظفون!$J92*$I92/cfg_DAYS_M)</f>
        <v/>
      </c>
      <c r="K92" s="86" t="str">
        <f aca="false">IF($B92="","",الموظفون!$K92*$I92/cfg_DAYS_M)</f>
        <v/>
      </c>
      <c r="L92" s="86" t="str">
        <f aca="false">IF($B92="","",الموظفون!$L92*$I92/cfg_DAYS_M)</f>
        <v/>
      </c>
      <c r="M92" s="86" t="str">
        <f aca="false">IF($B92="","",الموظفون!$M92*$I92/cfg_DAYS_M)</f>
        <v/>
      </c>
      <c r="N92" s="105" t="str">
        <f aca="false">IF($B92="","",SUMIFS('الحركات الشهرية'!$F$6:$F$1005,'الحركات الشهرية'!$B$6:$B$1005,$B92,'الحركات الشهرية'!$A$6:$A$1005,$C$3))</f>
        <v/>
      </c>
      <c r="O92" s="86" t="str">
        <f aca="false">IF($B92="","",N92*(الموظفون!$N92+الموظفون!$J92*cfg_OT_P)/cfg_DAYS_M/cfg_HRS)</f>
        <v/>
      </c>
      <c r="P92" s="86" t="str">
        <f aca="false">IF($B92="","",SUMIFS('الحركات الشهرية'!$G$6:$G$1005,'الحركات الشهرية'!$B$6:$B$1005,$B92,'الحركات الشهرية'!$A$6:$A$1005,$C$3))</f>
        <v/>
      </c>
      <c r="Q92" s="86" t="str">
        <f aca="false">IF($B92="","",SUMIFS('الحركات الشهرية'!$H$6:$H$1005,'الحركات الشهرية'!$B$6:$B$1005,$B92,'الحركات الشهرية'!$A$6:$A$1005,$C$3))</f>
        <v/>
      </c>
      <c r="R92" s="106" t="str">
        <f aca="false">IF($B92="","",SUM(J92:M92)+SUM(O92:Q92))</f>
        <v/>
      </c>
      <c r="S92" s="86" t="str">
        <f aca="false">IF($B92="","",الموظفون!$Q92*IF(E92="سعودي",cfg_G_SE,cfg_G_NE)*F92/cfg_DAYS_M)</f>
        <v/>
      </c>
      <c r="T92" s="86" t="str">
        <f aca="false">IF($B92="","",SUMIFS('الحركات الشهرية'!$I$6:$I$1005,'الحركات الشهرية'!$B$6:$B$1005,$B92,'الحركات الشهرية'!$A$6:$A$1005,$C$3))</f>
        <v/>
      </c>
      <c r="U92" s="86" t="str">
        <f aca="false">IF($B92="","",SUMIFS('الحركات الشهرية'!$J$6:$J$1005,'الحركات الشهرية'!$B$6:$B$1005,$B92,'الحركات الشهرية'!$A$6:$A$1005,$C$3))</f>
        <v/>
      </c>
      <c r="V92" s="86" t="str">
        <f aca="false">IF($B92="","",SUM(S92:U92))</f>
        <v/>
      </c>
      <c r="W92" s="107" t="str">
        <f aca="false">IF($B92="","",R92-V92)</f>
        <v/>
      </c>
      <c r="X92" s="86" t="str">
        <f aca="false">IF($B92="","",الموظفون!$Q92*IF(E92="سعودي",cfg_G_SR,cfg_G_NR)*F92/cfg_DAYS_M)</f>
        <v/>
      </c>
      <c r="Y92" s="86" t="str">
        <f aca="false">IF($B92="","",الموظفون!$O92*(cfg_EOS_R1*(MIN(AC92,cfg_EOS_TH)-MIN(AD92,cfg_EOS_TH))+cfg_EOS_R2*(MAX(AC92-cfg_EOS_TH,0)-MAX(AD92-cfg_EOS_TH,0))))</f>
        <v/>
      </c>
      <c r="Z92" s="86" t="str">
        <f aca="false">IF($B92="","",IF(الموظفون!$R92&lt;&gt;"",الموظفون!$R92,IF(AC92&gt;=cfg_LV_TH,cfg_LV_D2,cfg_LV_D1))/cfg_DAYS_Y*AE92*الموظفون!$P92/cfg_DAYS_M)</f>
        <v/>
      </c>
      <c r="AA92" s="86" t="str">
        <f aca="false">IF($B92="","",IF(AND(الموظفون!$S92="نعم",N(الموظفون!$U92)&gt;0),الموظفون!$T92/الموظفون!$U92*12/cfg_DAYS_Y*AE92,0))</f>
        <v/>
      </c>
      <c r="AB92" s="108" t="str">
        <f aca="false">IF($B92="","",R92+SUM(X92:AA92))</f>
        <v/>
      </c>
      <c r="AC92" s="109" t="str">
        <f aca="false">IF($B92="","",MAX(0,IF(OR(الموظفون!$X92="",الموظفون!$X92&gt;$G$3),$G$3,الموظفون!$X92)-الموظفون!$H92+1)/cfg_DAYS_Y)</f>
        <v/>
      </c>
      <c r="AD92" s="109" t="str">
        <f aca="false">IF($B92="","",MAX(0,IF(OR(الموظفون!$X92="",الموظفون!$X92&gt;($E$3-1)),($E$3-1),الموظفون!$X92)-الموظفون!$H92+1)/cfg_DAYS_Y)</f>
        <v/>
      </c>
      <c r="AE92" s="51" t="str">
        <f aca="false">IF($B92="","",MAX(0,IF(OR(الموظفون!$X92="",الموظفون!$X92&gt;$G$3),$G$3,الموظفون!$X92)-MAX($E$3,الموظفون!$H92)+1))</f>
        <v/>
      </c>
    </row>
    <row r="93" customFormat="false" ht="15" hidden="false" customHeight="false" outlineLevel="0" collapsed="false">
      <c r="A93" s="89" t="str">
        <f aca="false">IF($B93="","",الموظفون!$A93)</f>
        <v/>
      </c>
      <c r="B93" s="91" t="str">
        <f aca="false">IF(الموظفون!$B93="","",الموظفون!$B93)</f>
        <v/>
      </c>
      <c r="C93" s="91" t="str">
        <f aca="false">IF($B93="","",الموظفون!$C93)</f>
        <v/>
      </c>
      <c r="D93" s="91" t="str">
        <f aca="false">IF($B93="","",الموظفون!$F93)</f>
        <v/>
      </c>
      <c r="E93" s="91" t="str">
        <f aca="false">IF($B93="","",الموظفون!$E93)</f>
        <v/>
      </c>
      <c r="F93" s="110" t="str">
        <f aca="false">IF($B93="","",IF(AE93&gt;=DAY($G$3),cfg_DAYS_M,MIN(AE93,cfg_DAYS_M)))</f>
        <v/>
      </c>
      <c r="G93" s="110" t="str">
        <f aca="false">IF($B93="","",SUMIFS('الحركات الشهرية'!$D$6:$D$1005,'الحركات الشهرية'!$B$6:$B$1005,$B93,'الحركات الشهرية'!$A$6:$A$1005,$C$3))</f>
        <v/>
      </c>
      <c r="H93" s="110" t="str">
        <f aca="false">IF($B93="","",SUMIFS('الحركات الشهرية'!$E$6:$E$1005,'الحركات الشهرية'!$B$6:$B$1005,$B93,'الحركات الشهرية'!$A$6:$A$1005,$C$3))</f>
        <v/>
      </c>
      <c r="I93" s="110" t="str">
        <f aca="false">IF($B93="","",MAX(0,F93-G93-H93))</f>
        <v/>
      </c>
      <c r="J93" s="90" t="str">
        <f aca="false">IF($B93="","",الموظفون!$J93*$I93/cfg_DAYS_M)</f>
        <v/>
      </c>
      <c r="K93" s="90" t="str">
        <f aca="false">IF($B93="","",الموظفون!$K93*$I93/cfg_DAYS_M)</f>
        <v/>
      </c>
      <c r="L93" s="90" t="str">
        <f aca="false">IF($B93="","",الموظفون!$L93*$I93/cfg_DAYS_M)</f>
        <v/>
      </c>
      <c r="M93" s="90" t="str">
        <f aca="false">IF($B93="","",الموظفون!$M93*$I93/cfg_DAYS_M)</f>
        <v/>
      </c>
      <c r="N93" s="110" t="str">
        <f aca="false">IF($B93="","",SUMIFS('الحركات الشهرية'!$F$6:$F$1005,'الحركات الشهرية'!$B$6:$B$1005,$B93,'الحركات الشهرية'!$A$6:$A$1005,$C$3))</f>
        <v/>
      </c>
      <c r="O93" s="90" t="str">
        <f aca="false">IF($B93="","",N93*(الموظفون!$N93+الموظفون!$J93*cfg_OT_P)/cfg_DAYS_M/cfg_HRS)</f>
        <v/>
      </c>
      <c r="P93" s="90" t="str">
        <f aca="false">IF($B93="","",SUMIFS('الحركات الشهرية'!$G$6:$G$1005,'الحركات الشهرية'!$B$6:$B$1005,$B93,'الحركات الشهرية'!$A$6:$A$1005,$C$3))</f>
        <v/>
      </c>
      <c r="Q93" s="90" t="str">
        <f aca="false">IF($B93="","",SUMIFS('الحركات الشهرية'!$H$6:$H$1005,'الحركات الشهرية'!$B$6:$B$1005,$B93,'الحركات الشهرية'!$A$6:$A$1005,$C$3))</f>
        <v/>
      </c>
      <c r="R93" s="111" t="str">
        <f aca="false">IF($B93="","",SUM(J93:M93)+SUM(O93:Q93))</f>
        <v/>
      </c>
      <c r="S93" s="90" t="str">
        <f aca="false">IF($B93="","",الموظفون!$Q93*IF(E93="سعودي",cfg_G_SE,cfg_G_NE)*F93/cfg_DAYS_M)</f>
        <v/>
      </c>
      <c r="T93" s="90" t="str">
        <f aca="false">IF($B93="","",SUMIFS('الحركات الشهرية'!$I$6:$I$1005,'الحركات الشهرية'!$B$6:$B$1005,$B93,'الحركات الشهرية'!$A$6:$A$1005,$C$3))</f>
        <v/>
      </c>
      <c r="U93" s="90" t="str">
        <f aca="false">IF($B93="","",SUMIFS('الحركات الشهرية'!$J$6:$J$1005,'الحركات الشهرية'!$B$6:$B$1005,$B93,'الحركات الشهرية'!$A$6:$A$1005,$C$3))</f>
        <v/>
      </c>
      <c r="V93" s="90" t="str">
        <f aca="false">IF($B93="","",SUM(S93:U93))</f>
        <v/>
      </c>
      <c r="W93" s="112" t="str">
        <f aca="false">IF($B93="","",R93-V93)</f>
        <v/>
      </c>
      <c r="X93" s="90" t="str">
        <f aca="false">IF($B93="","",الموظفون!$Q93*IF(E93="سعودي",cfg_G_SR,cfg_G_NR)*F93/cfg_DAYS_M)</f>
        <v/>
      </c>
      <c r="Y93" s="90" t="str">
        <f aca="false">IF($B93="","",الموظفون!$O93*(cfg_EOS_R1*(MIN(AC93,cfg_EOS_TH)-MIN(AD93,cfg_EOS_TH))+cfg_EOS_R2*(MAX(AC93-cfg_EOS_TH,0)-MAX(AD93-cfg_EOS_TH,0))))</f>
        <v/>
      </c>
      <c r="Z93" s="90" t="str">
        <f aca="false">IF($B93="","",IF(الموظفون!$R93&lt;&gt;"",الموظفون!$R93,IF(AC93&gt;=cfg_LV_TH,cfg_LV_D2,cfg_LV_D1))/cfg_DAYS_Y*AE93*الموظفون!$P93/cfg_DAYS_M)</f>
        <v/>
      </c>
      <c r="AA93" s="90" t="str">
        <f aca="false">IF($B93="","",IF(AND(الموظفون!$S93="نعم",N(الموظفون!$U93)&gt;0),الموظفون!$T93/الموظفون!$U93*12/cfg_DAYS_Y*AE93,0))</f>
        <v/>
      </c>
      <c r="AB93" s="113" t="str">
        <f aca="false">IF($B93="","",R93+SUM(X93:AA93))</f>
        <v/>
      </c>
      <c r="AC93" s="114" t="str">
        <f aca="false">IF($B93="","",MAX(0,IF(OR(الموظفون!$X93="",الموظفون!$X93&gt;$G$3),$G$3,الموظفون!$X93)-الموظفون!$H93+1)/cfg_DAYS_Y)</f>
        <v/>
      </c>
      <c r="AD93" s="114" t="str">
        <f aca="false">IF($B93="","",MAX(0,IF(OR(الموظفون!$X93="",الموظفون!$X93&gt;($E$3-1)),($E$3-1),الموظفون!$X93)-الموظفون!$H93+1)/cfg_DAYS_Y)</f>
        <v/>
      </c>
      <c r="AE93" s="115" t="str">
        <f aca="false">IF($B93="","",MAX(0,IF(OR(الموظفون!$X93="",الموظفون!$X93&gt;$G$3),$G$3,الموظفون!$X93)-MAX($E$3,الموظفون!$H93)+1))</f>
        <v/>
      </c>
    </row>
    <row r="94" customFormat="false" ht="15" hidden="false" customHeight="false" outlineLevel="0" collapsed="false">
      <c r="A94" s="83" t="str">
        <f aca="false">IF($B94="","",الموظفون!$A94)</f>
        <v/>
      </c>
      <c r="B94" s="74" t="str">
        <f aca="false">IF(الموظفون!$B94="","",الموظفون!$B94)</f>
        <v/>
      </c>
      <c r="C94" s="74" t="str">
        <f aca="false">IF($B94="","",الموظفون!$C94)</f>
        <v/>
      </c>
      <c r="D94" s="74" t="str">
        <f aca="false">IF($B94="","",الموظفون!$F94)</f>
        <v/>
      </c>
      <c r="E94" s="74" t="str">
        <f aca="false">IF($B94="","",الموظفون!$E94)</f>
        <v/>
      </c>
      <c r="F94" s="105" t="str">
        <f aca="false">IF($B94="","",IF(AE94&gt;=DAY($G$3),cfg_DAYS_M,MIN(AE94,cfg_DAYS_M)))</f>
        <v/>
      </c>
      <c r="G94" s="105" t="str">
        <f aca="false">IF($B94="","",SUMIFS('الحركات الشهرية'!$D$6:$D$1005,'الحركات الشهرية'!$B$6:$B$1005,$B94,'الحركات الشهرية'!$A$6:$A$1005,$C$3))</f>
        <v/>
      </c>
      <c r="H94" s="105" t="str">
        <f aca="false">IF($B94="","",SUMIFS('الحركات الشهرية'!$E$6:$E$1005,'الحركات الشهرية'!$B$6:$B$1005,$B94,'الحركات الشهرية'!$A$6:$A$1005,$C$3))</f>
        <v/>
      </c>
      <c r="I94" s="105" t="str">
        <f aca="false">IF($B94="","",MAX(0,F94-G94-H94))</f>
        <v/>
      </c>
      <c r="J94" s="86" t="str">
        <f aca="false">IF($B94="","",الموظفون!$J94*$I94/cfg_DAYS_M)</f>
        <v/>
      </c>
      <c r="K94" s="86" t="str">
        <f aca="false">IF($B94="","",الموظفون!$K94*$I94/cfg_DAYS_M)</f>
        <v/>
      </c>
      <c r="L94" s="86" t="str">
        <f aca="false">IF($B94="","",الموظفون!$L94*$I94/cfg_DAYS_M)</f>
        <v/>
      </c>
      <c r="M94" s="86" t="str">
        <f aca="false">IF($B94="","",الموظفون!$M94*$I94/cfg_DAYS_M)</f>
        <v/>
      </c>
      <c r="N94" s="105" t="str">
        <f aca="false">IF($B94="","",SUMIFS('الحركات الشهرية'!$F$6:$F$1005,'الحركات الشهرية'!$B$6:$B$1005,$B94,'الحركات الشهرية'!$A$6:$A$1005,$C$3))</f>
        <v/>
      </c>
      <c r="O94" s="86" t="str">
        <f aca="false">IF($B94="","",N94*(الموظفون!$N94+الموظفون!$J94*cfg_OT_P)/cfg_DAYS_M/cfg_HRS)</f>
        <v/>
      </c>
      <c r="P94" s="86" t="str">
        <f aca="false">IF($B94="","",SUMIFS('الحركات الشهرية'!$G$6:$G$1005,'الحركات الشهرية'!$B$6:$B$1005,$B94,'الحركات الشهرية'!$A$6:$A$1005,$C$3))</f>
        <v/>
      </c>
      <c r="Q94" s="86" t="str">
        <f aca="false">IF($B94="","",SUMIFS('الحركات الشهرية'!$H$6:$H$1005,'الحركات الشهرية'!$B$6:$B$1005,$B94,'الحركات الشهرية'!$A$6:$A$1005,$C$3))</f>
        <v/>
      </c>
      <c r="R94" s="106" t="str">
        <f aca="false">IF($B94="","",SUM(J94:M94)+SUM(O94:Q94))</f>
        <v/>
      </c>
      <c r="S94" s="86" t="str">
        <f aca="false">IF($B94="","",الموظفون!$Q94*IF(E94="سعودي",cfg_G_SE,cfg_G_NE)*F94/cfg_DAYS_M)</f>
        <v/>
      </c>
      <c r="T94" s="86" t="str">
        <f aca="false">IF($B94="","",SUMIFS('الحركات الشهرية'!$I$6:$I$1005,'الحركات الشهرية'!$B$6:$B$1005,$B94,'الحركات الشهرية'!$A$6:$A$1005,$C$3))</f>
        <v/>
      </c>
      <c r="U94" s="86" t="str">
        <f aca="false">IF($B94="","",SUMIFS('الحركات الشهرية'!$J$6:$J$1005,'الحركات الشهرية'!$B$6:$B$1005,$B94,'الحركات الشهرية'!$A$6:$A$1005,$C$3))</f>
        <v/>
      </c>
      <c r="V94" s="86" t="str">
        <f aca="false">IF($B94="","",SUM(S94:U94))</f>
        <v/>
      </c>
      <c r="W94" s="107" t="str">
        <f aca="false">IF($B94="","",R94-V94)</f>
        <v/>
      </c>
      <c r="X94" s="86" t="str">
        <f aca="false">IF($B94="","",الموظفون!$Q94*IF(E94="سعودي",cfg_G_SR,cfg_G_NR)*F94/cfg_DAYS_M)</f>
        <v/>
      </c>
      <c r="Y94" s="86" t="str">
        <f aca="false">IF($B94="","",الموظفون!$O94*(cfg_EOS_R1*(MIN(AC94,cfg_EOS_TH)-MIN(AD94,cfg_EOS_TH))+cfg_EOS_R2*(MAX(AC94-cfg_EOS_TH,0)-MAX(AD94-cfg_EOS_TH,0))))</f>
        <v/>
      </c>
      <c r="Z94" s="86" t="str">
        <f aca="false">IF($B94="","",IF(الموظفون!$R94&lt;&gt;"",الموظفون!$R94,IF(AC94&gt;=cfg_LV_TH,cfg_LV_D2,cfg_LV_D1))/cfg_DAYS_Y*AE94*الموظفون!$P94/cfg_DAYS_M)</f>
        <v/>
      </c>
      <c r="AA94" s="86" t="str">
        <f aca="false">IF($B94="","",IF(AND(الموظفون!$S94="نعم",N(الموظفون!$U94)&gt;0),الموظفون!$T94/الموظفون!$U94*12/cfg_DAYS_Y*AE94,0))</f>
        <v/>
      </c>
      <c r="AB94" s="108" t="str">
        <f aca="false">IF($B94="","",R94+SUM(X94:AA94))</f>
        <v/>
      </c>
      <c r="AC94" s="109" t="str">
        <f aca="false">IF($B94="","",MAX(0,IF(OR(الموظفون!$X94="",الموظفون!$X94&gt;$G$3),$G$3,الموظفون!$X94)-الموظفون!$H94+1)/cfg_DAYS_Y)</f>
        <v/>
      </c>
      <c r="AD94" s="109" t="str">
        <f aca="false">IF($B94="","",MAX(0,IF(OR(الموظفون!$X94="",الموظفون!$X94&gt;($E$3-1)),($E$3-1),الموظفون!$X94)-الموظفون!$H94+1)/cfg_DAYS_Y)</f>
        <v/>
      </c>
      <c r="AE94" s="51" t="str">
        <f aca="false">IF($B94="","",MAX(0,IF(OR(الموظفون!$X94="",الموظفون!$X94&gt;$G$3),$G$3,الموظفون!$X94)-MAX($E$3,الموظفون!$H94)+1))</f>
        <v/>
      </c>
    </row>
    <row r="95" customFormat="false" ht="15" hidden="false" customHeight="false" outlineLevel="0" collapsed="false">
      <c r="A95" s="89" t="str">
        <f aca="false">IF($B95="","",الموظفون!$A95)</f>
        <v/>
      </c>
      <c r="B95" s="91" t="str">
        <f aca="false">IF(الموظفون!$B95="","",الموظفون!$B95)</f>
        <v/>
      </c>
      <c r="C95" s="91" t="str">
        <f aca="false">IF($B95="","",الموظفون!$C95)</f>
        <v/>
      </c>
      <c r="D95" s="91" t="str">
        <f aca="false">IF($B95="","",الموظفون!$F95)</f>
        <v/>
      </c>
      <c r="E95" s="91" t="str">
        <f aca="false">IF($B95="","",الموظفون!$E95)</f>
        <v/>
      </c>
      <c r="F95" s="110" t="str">
        <f aca="false">IF($B95="","",IF(AE95&gt;=DAY($G$3),cfg_DAYS_M,MIN(AE95,cfg_DAYS_M)))</f>
        <v/>
      </c>
      <c r="G95" s="110" t="str">
        <f aca="false">IF($B95="","",SUMIFS('الحركات الشهرية'!$D$6:$D$1005,'الحركات الشهرية'!$B$6:$B$1005,$B95,'الحركات الشهرية'!$A$6:$A$1005,$C$3))</f>
        <v/>
      </c>
      <c r="H95" s="110" t="str">
        <f aca="false">IF($B95="","",SUMIFS('الحركات الشهرية'!$E$6:$E$1005,'الحركات الشهرية'!$B$6:$B$1005,$B95,'الحركات الشهرية'!$A$6:$A$1005,$C$3))</f>
        <v/>
      </c>
      <c r="I95" s="110" t="str">
        <f aca="false">IF($B95="","",MAX(0,F95-G95-H95))</f>
        <v/>
      </c>
      <c r="J95" s="90" t="str">
        <f aca="false">IF($B95="","",الموظفون!$J95*$I95/cfg_DAYS_M)</f>
        <v/>
      </c>
      <c r="K95" s="90" t="str">
        <f aca="false">IF($B95="","",الموظفون!$K95*$I95/cfg_DAYS_M)</f>
        <v/>
      </c>
      <c r="L95" s="90" t="str">
        <f aca="false">IF($B95="","",الموظفون!$L95*$I95/cfg_DAYS_M)</f>
        <v/>
      </c>
      <c r="M95" s="90" t="str">
        <f aca="false">IF($B95="","",الموظفون!$M95*$I95/cfg_DAYS_M)</f>
        <v/>
      </c>
      <c r="N95" s="110" t="str">
        <f aca="false">IF($B95="","",SUMIFS('الحركات الشهرية'!$F$6:$F$1005,'الحركات الشهرية'!$B$6:$B$1005,$B95,'الحركات الشهرية'!$A$6:$A$1005,$C$3))</f>
        <v/>
      </c>
      <c r="O95" s="90" t="str">
        <f aca="false">IF($B95="","",N95*(الموظفون!$N95+الموظفون!$J95*cfg_OT_P)/cfg_DAYS_M/cfg_HRS)</f>
        <v/>
      </c>
      <c r="P95" s="90" t="str">
        <f aca="false">IF($B95="","",SUMIFS('الحركات الشهرية'!$G$6:$G$1005,'الحركات الشهرية'!$B$6:$B$1005,$B95,'الحركات الشهرية'!$A$6:$A$1005,$C$3))</f>
        <v/>
      </c>
      <c r="Q95" s="90" t="str">
        <f aca="false">IF($B95="","",SUMIFS('الحركات الشهرية'!$H$6:$H$1005,'الحركات الشهرية'!$B$6:$B$1005,$B95,'الحركات الشهرية'!$A$6:$A$1005,$C$3))</f>
        <v/>
      </c>
      <c r="R95" s="111" t="str">
        <f aca="false">IF($B95="","",SUM(J95:M95)+SUM(O95:Q95))</f>
        <v/>
      </c>
      <c r="S95" s="90" t="str">
        <f aca="false">IF($B95="","",الموظفون!$Q95*IF(E95="سعودي",cfg_G_SE,cfg_G_NE)*F95/cfg_DAYS_M)</f>
        <v/>
      </c>
      <c r="T95" s="90" t="str">
        <f aca="false">IF($B95="","",SUMIFS('الحركات الشهرية'!$I$6:$I$1005,'الحركات الشهرية'!$B$6:$B$1005,$B95,'الحركات الشهرية'!$A$6:$A$1005,$C$3))</f>
        <v/>
      </c>
      <c r="U95" s="90" t="str">
        <f aca="false">IF($B95="","",SUMIFS('الحركات الشهرية'!$J$6:$J$1005,'الحركات الشهرية'!$B$6:$B$1005,$B95,'الحركات الشهرية'!$A$6:$A$1005,$C$3))</f>
        <v/>
      </c>
      <c r="V95" s="90" t="str">
        <f aca="false">IF($B95="","",SUM(S95:U95))</f>
        <v/>
      </c>
      <c r="W95" s="112" t="str">
        <f aca="false">IF($B95="","",R95-V95)</f>
        <v/>
      </c>
      <c r="X95" s="90" t="str">
        <f aca="false">IF($B95="","",الموظفون!$Q95*IF(E95="سعودي",cfg_G_SR,cfg_G_NR)*F95/cfg_DAYS_M)</f>
        <v/>
      </c>
      <c r="Y95" s="90" t="str">
        <f aca="false">IF($B95="","",الموظفون!$O95*(cfg_EOS_R1*(MIN(AC95,cfg_EOS_TH)-MIN(AD95,cfg_EOS_TH))+cfg_EOS_R2*(MAX(AC95-cfg_EOS_TH,0)-MAX(AD95-cfg_EOS_TH,0))))</f>
        <v/>
      </c>
      <c r="Z95" s="90" t="str">
        <f aca="false">IF($B95="","",IF(الموظفون!$R95&lt;&gt;"",الموظفون!$R95,IF(AC95&gt;=cfg_LV_TH,cfg_LV_D2,cfg_LV_D1))/cfg_DAYS_Y*AE95*الموظفون!$P95/cfg_DAYS_M)</f>
        <v/>
      </c>
      <c r="AA95" s="90" t="str">
        <f aca="false">IF($B95="","",IF(AND(الموظفون!$S95="نعم",N(الموظفون!$U95)&gt;0),الموظفون!$T95/الموظفون!$U95*12/cfg_DAYS_Y*AE95,0))</f>
        <v/>
      </c>
      <c r="AB95" s="113" t="str">
        <f aca="false">IF($B95="","",R95+SUM(X95:AA95))</f>
        <v/>
      </c>
      <c r="AC95" s="114" t="str">
        <f aca="false">IF($B95="","",MAX(0,IF(OR(الموظفون!$X95="",الموظفون!$X95&gt;$G$3),$G$3,الموظفون!$X95)-الموظفون!$H95+1)/cfg_DAYS_Y)</f>
        <v/>
      </c>
      <c r="AD95" s="114" t="str">
        <f aca="false">IF($B95="","",MAX(0,IF(OR(الموظفون!$X95="",الموظفون!$X95&gt;($E$3-1)),($E$3-1),الموظفون!$X95)-الموظفون!$H95+1)/cfg_DAYS_Y)</f>
        <v/>
      </c>
      <c r="AE95" s="115" t="str">
        <f aca="false">IF($B95="","",MAX(0,IF(OR(الموظفون!$X95="",الموظفون!$X95&gt;$G$3),$G$3,الموظفون!$X95)-MAX($E$3,الموظفون!$H95)+1))</f>
        <v/>
      </c>
    </row>
    <row r="96" customFormat="false" ht="15" hidden="false" customHeight="false" outlineLevel="0" collapsed="false">
      <c r="A96" s="83" t="str">
        <f aca="false">IF($B96="","",الموظفون!$A96)</f>
        <v/>
      </c>
      <c r="B96" s="74" t="str">
        <f aca="false">IF(الموظفون!$B96="","",الموظفون!$B96)</f>
        <v/>
      </c>
      <c r="C96" s="74" t="str">
        <f aca="false">IF($B96="","",الموظفون!$C96)</f>
        <v/>
      </c>
      <c r="D96" s="74" t="str">
        <f aca="false">IF($B96="","",الموظفون!$F96)</f>
        <v/>
      </c>
      <c r="E96" s="74" t="str">
        <f aca="false">IF($B96="","",الموظفون!$E96)</f>
        <v/>
      </c>
      <c r="F96" s="105" t="str">
        <f aca="false">IF($B96="","",IF(AE96&gt;=DAY($G$3),cfg_DAYS_M,MIN(AE96,cfg_DAYS_M)))</f>
        <v/>
      </c>
      <c r="G96" s="105" t="str">
        <f aca="false">IF($B96="","",SUMIFS('الحركات الشهرية'!$D$6:$D$1005,'الحركات الشهرية'!$B$6:$B$1005,$B96,'الحركات الشهرية'!$A$6:$A$1005,$C$3))</f>
        <v/>
      </c>
      <c r="H96" s="105" t="str">
        <f aca="false">IF($B96="","",SUMIFS('الحركات الشهرية'!$E$6:$E$1005,'الحركات الشهرية'!$B$6:$B$1005,$B96,'الحركات الشهرية'!$A$6:$A$1005,$C$3))</f>
        <v/>
      </c>
      <c r="I96" s="105" t="str">
        <f aca="false">IF($B96="","",MAX(0,F96-G96-H96))</f>
        <v/>
      </c>
      <c r="J96" s="86" t="str">
        <f aca="false">IF($B96="","",الموظفون!$J96*$I96/cfg_DAYS_M)</f>
        <v/>
      </c>
      <c r="K96" s="86" t="str">
        <f aca="false">IF($B96="","",الموظفون!$K96*$I96/cfg_DAYS_M)</f>
        <v/>
      </c>
      <c r="L96" s="86" t="str">
        <f aca="false">IF($B96="","",الموظفون!$L96*$I96/cfg_DAYS_M)</f>
        <v/>
      </c>
      <c r="M96" s="86" t="str">
        <f aca="false">IF($B96="","",الموظفون!$M96*$I96/cfg_DAYS_M)</f>
        <v/>
      </c>
      <c r="N96" s="105" t="str">
        <f aca="false">IF($B96="","",SUMIFS('الحركات الشهرية'!$F$6:$F$1005,'الحركات الشهرية'!$B$6:$B$1005,$B96,'الحركات الشهرية'!$A$6:$A$1005,$C$3))</f>
        <v/>
      </c>
      <c r="O96" s="86" t="str">
        <f aca="false">IF($B96="","",N96*(الموظفون!$N96+الموظفون!$J96*cfg_OT_P)/cfg_DAYS_M/cfg_HRS)</f>
        <v/>
      </c>
      <c r="P96" s="86" t="str">
        <f aca="false">IF($B96="","",SUMIFS('الحركات الشهرية'!$G$6:$G$1005,'الحركات الشهرية'!$B$6:$B$1005,$B96,'الحركات الشهرية'!$A$6:$A$1005,$C$3))</f>
        <v/>
      </c>
      <c r="Q96" s="86" t="str">
        <f aca="false">IF($B96="","",SUMIFS('الحركات الشهرية'!$H$6:$H$1005,'الحركات الشهرية'!$B$6:$B$1005,$B96,'الحركات الشهرية'!$A$6:$A$1005,$C$3))</f>
        <v/>
      </c>
      <c r="R96" s="106" t="str">
        <f aca="false">IF($B96="","",SUM(J96:M96)+SUM(O96:Q96))</f>
        <v/>
      </c>
      <c r="S96" s="86" t="str">
        <f aca="false">IF($B96="","",الموظفون!$Q96*IF(E96="سعودي",cfg_G_SE,cfg_G_NE)*F96/cfg_DAYS_M)</f>
        <v/>
      </c>
      <c r="T96" s="86" t="str">
        <f aca="false">IF($B96="","",SUMIFS('الحركات الشهرية'!$I$6:$I$1005,'الحركات الشهرية'!$B$6:$B$1005,$B96,'الحركات الشهرية'!$A$6:$A$1005,$C$3))</f>
        <v/>
      </c>
      <c r="U96" s="86" t="str">
        <f aca="false">IF($B96="","",SUMIFS('الحركات الشهرية'!$J$6:$J$1005,'الحركات الشهرية'!$B$6:$B$1005,$B96,'الحركات الشهرية'!$A$6:$A$1005,$C$3))</f>
        <v/>
      </c>
      <c r="V96" s="86" t="str">
        <f aca="false">IF($B96="","",SUM(S96:U96))</f>
        <v/>
      </c>
      <c r="W96" s="107" t="str">
        <f aca="false">IF($B96="","",R96-V96)</f>
        <v/>
      </c>
      <c r="X96" s="86" t="str">
        <f aca="false">IF($B96="","",الموظفون!$Q96*IF(E96="سعودي",cfg_G_SR,cfg_G_NR)*F96/cfg_DAYS_M)</f>
        <v/>
      </c>
      <c r="Y96" s="86" t="str">
        <f aca="false">IF($B96="","",الموظفون!$O96*(cfg_EOS_R1*(MIN(AC96,cfg_EOS_TH)-MIN(AD96,cfg_EOS_TH))+cfg_EOS_R2*(MAX(AC96-cfg_EOS_TH,0)-MAX(AD96-cfg_EOS_TH,0))))</f>
        <v/>
      </c>
      <c r="Z96" s="86" t="str">
        <f aca="false">IF($B96="","",IF(الموظفون!$R96&lt;&gt;"",الموظفون!$R96,IF(AC96&gt;=cfg_LV_TH,cfg_LV_D2,cfg_LV_D1))/cfg_DAYS_Y*AE96*الموظفون!$P96/cfg_DAYS_M)</f>
        <v/>
      </c>
      <c r="AA96" s="86" t="str">
        <f aca="false">IF($B96="","",IF(AND(الموظفون!$S96="نعم",N(الموظفون!$U96)&gt;0),الموظفون!$T96/الموظفون!$U96*12/cfg_DAYS_Y*AE96,0))</f>
        <v/>
      </c>
      <c r="AB96" s="108" t="str">
        <f aca="false">IF($B96="","",R96+SUM(X96:AA96))</f>
        <v/>
      </c>
      <c r="AC96" s="109" t="str">
        <f aca="false">IF($B96="","",MAX(0,IF(OR(الموظفون!$X96="",الموظفون!$X96&gt;$G$3),$G$3,الموظفون!$X96)-الموظفون!$H96+1)/cfg_DAYS_Y)</f>
        <v/>
      </c>
      <c r="AD96" s="109" t="str">
        <f aca="false">IF($B96="","",MAX(0,IF(OR(الموظفون!$X96="",الموظفون!$X96&gt;($E$3-1)),($E$3-1),الموظفون!$X96)-الموظفون!$H96+1)/cfg_DAYS_Y)</f>
        <v/>
      </c>
      <c r="AE96" s="51" t="str">
        <f aca="false">IF($B96="","",MAX(0,IF(OR(الموظفون!$X96="",الموظفون!$X96&gt;$G$3),$G$3,الموظفون!$X96)-MAX($E$3,الموظفون!$H96)+1))</f>
        <v/>
      </c>
    </row>
    <row r="97" customFormat="false" ht="15" hidden="false" customHeight="false" outlineLevel="0" collapsed="false">
      <c r="A97" s="89" t="str">
        <f aca="false">IF($B97="","",الموظفون!$A97)</f>
        <v/>
      </c>
      <c r="B97" s="91" t="str">
        <f aca="false">IF(الموظفون!$B97="","",الموظفون!$B97)</f>
        <v/>
      </c>
      <c r="C97" s="91" t="str">
        <f aca="false">IF($B97="","",الموظفون!$C97)</f>
        <v/>
      </c>
      <c r="D97" s="91" t="str">
        <f aca="false">IF($B97="","",الموظفون!$F97)</f>
        <v/>
      </c>
      <c r="E97" s="91" t="str">
        <f aca="false">IF($B97="","",الموظفون!$E97)</f>
        <v/>
      </c>
      <c r="F97" s="110" t="str">
        <f aca="false">IF($B97="","",IF(AE97&gt;=DAY($G$3),cfg_DAYS_M,MIN(AE97,cfg_DAYS_M)))</f>
        <v/>
      </c>
      <c r="G97" s="110" t="str">
        <f aca="false">IF($B97="","",SUMIFS('الحركات الشهرية'!$D$6:$D$1005,'الحركات الشهرية'!$B$6:$B$1005,$B97,'الحركات الشهرية'!$A$6:$A$1005,$C$3))</f>
        <v/>
      </c>
      <c r="H97" s="110" t="str">
        <f aca="false">IF($B97="","",SUMIFS('الحركات الشهرية'!$E$6:$E$1005,'الحركات الشهرية'!$B$6:$B$1005,$B97,'الحركات الشهرية'!$A$6:$A$1005,$C$3))</f>
        <v/>
      </c>
      <c r="I97" s="110" t="str">
        <f aca="false">IF($B97="","",MAX(0,F97-G97-H97))</f>
        <v/>
      </c>
      <c r="J97" s="90" t="str">
        <f aca="false">IF($B97="","",الموظفون!$J97*$I97/cfg_DAYS_M)</f>
        <v/>
      </c>
      <c r="K97" s="90" t="str">
        <f aca="false">IF($B97="","",الموظفون!$K97*$I97/cfg_DAYS_M)</f>
        <v/>
      </c>
      <c r="L97" s="90" t="str">
        <f aca="false">IF($B97="","",الموظفون!$L97*$I97/cfg_DAYS_M)</f>
        <v/>
      </c>
      <c r="M97" s="90" t="str">
        <f aca="false">IF($B97="","",الموظفون!$M97*$I97/cfg_DAYS_M)</f>
        <v/>
      </c>
      <c r="N97" s="110" t="str">
        <f aca="false">IF($B97="","",SUMIFS('الحركات الشهرية'!$F$6:$F$1005,'الحركات الشهرية'!$B$6:$B$1005,$B97,'الحركات الشهرية'!$A$6:$A$1005,$C$3))</f>
        <v/>
      </c>
      <c r="O97" s="90" t="str">
        <f aca="false">IF($B97="","",N97*(الموظفون!$N97+الموظفون!$J97*cfg_OT_P)/cfg_DAYS_M/cfg_HRS)</f>
        <v/>
      </c>
      <c r="P97" s="90" t="str">
        <f aca="false">IF($B97="","",SUMIFS('الحركات الشهرية'!$G$6:$G$1005,'الحركات الشهرية'!$B$6:$B$1005,$B97,'الحركات الشهرية'!$A$6:$A$1005,$C$3))</f>
        <v/>
      </c>
      <c r="Q97" s="90" t="str">
        <f aca="false">IF($B97="","",SUMIFS('الحركات الشهرية'!$H$6:$H$1005,'الحركات الشهرية'!$B$6:$B$1005,$B97,'الحركات الشهرية'!$A$6:$A$1005,$C$3))</f>
        <v/>
      </c>
      <c r="R97" s="111" t="str">
        <f aca="false">IF($B97="","",SUM(J97:M97)+SUM(O97:Q97))</f>
        <v/>
      </c>
      <c r="S97" s="90" t="str">
        <f aca="false">IF($B97="","",الموظفون!$Q97*IF(E97="سعودي",cfg_G_SE,cfg_G_NE)*F97/cfg_DAYS_M)</f>
        <v/>
      </c>
      <c r="T97" s="90" t="str">
        <f aca="false">IF($B97="","",SUMIFS('الحركات الشهرية'!$I$6:$I$1005,'الحركات الشهرية'!$B$6:$B$1005,$B97,'الحركات الشهرية'!$A$6:$A$1005,$C$3))</f>
        <v/>
      </c>
      <c r="U97" s="90" t="str">
        <f aca="false">IF($B97="","",SUMIFS('الحركات الشهرية'!$J$6:$J$1005,'الحركات الشهرية'!$B$6:$B$1005,$B97,'الحركات الشهرية'!$A$6:$A$1005,$C$3))</f>
        <v/>
      </c>
      <c r="V97" s="90" t="str">
        <f aca="false">IF($B97="","",SUM(S97:U97))</f>
        <v/>
      </c>
      <c r="W97" s="112" t="str">
        <f aca="false">IF($B97="","",R97-V97)</f>
        <v/>
      </c>
      <c r="X97" s="90" t="str">
        <f aca="false">IF($B97="","",الموظفون!$Q97*IF(E97="سعودي",cfg_G_SR,cfg_G_NR)*F97/cfg_DAYS_M)</f>
        <v/>
      </c>
      <c r="Y97" s="90" t="str">
        <f aca="false">IF($B97="","",الموظفون!$O97*(cfg_EOS_R1*(MIN(AC97,cfg_EOS_TH)-MIN(AD97,cfg_EOS_TH))+cfg_EOS_R2*(MAX(AC97-cfg_EOS_TH,0)-MAX(AD97-cfg_EOS_TH,0))))</f>
        <v/>
      </c>
      <c r="Z97" s="90" t="str">
        <f aca="false">IF($B97="","",IF(الموظفون!$R97&lt;&gt;"",الموظفون!$R97,IF(AC97&gt;=cfg_LV_TH,cfg_LV_D2,cfg_LV_D1))/cfg_DAYS_Y*AE97*الموظفون!$P97/cfg_DAYS_M)</f>
        <v/>
      </c>
      <c r="AA97" s="90" t="str">
        <f aca="false">IF($B97="","",IF(AND(الموظفون!$S97="نعم",N(الموظفون!$U97)&gt;0),الموظفون!$T97/الموظفون!$U97*12/cfg_DAYS_Y*AE97,0))</f>
        <v/>
      </c>
      <c r="AB97" s="113" t="str">
        <f aca="false">IF($B97="","",R97+SUM(X97:AA97))</f>
        <v/>
      </c>
      <c r="AC97" s="114" t="str">
        <f aca="false">IF($B97="","",MAX(0,IF(OR(الموظفون!$X97="",الموظفون!$X97&gt;$G$3),$G$3,الموظفون!$X97)-الموظفون!$H97+1)/cfg_DAYS_Y)</f>
        <v/>
      </c>
      <c r="AD97" s="114" t="str">
        <f aca="false">IF($B97="","",MAX(0,IF(OR(الموظفون!$X97="",الموظفون!$X97&gt;($E$3-1)),($E$3-1),الموظفون!$X97)-الموظفون!$H97+1)/cfg_DAYS_Y)</f>
        <v/>
      </c>
      <c r="AE97" s="115" t="str">
        <f aca="false">IF($B97="","",MAX(0,IF(OR(الموظفون!$X97="",الموظفون!$X97&gt;$G$3),$G$3,الموظفون!$X97)-MAX($E$3,الموظفون!$H97)+1))</f>
        <v/>
      </c>
    </row>
    <row r="98" customFormat="false" ht="15" hidden="false" customHeight="false" outlineLevel="0" collapsed="false">
      <c r="A98" s="83" t="str">
        <f aca="false">IF($B98="","",الموظفون!$A98)</f>
        <v/>
      </c>
      <c r="B98" s="74" t="str">
        <f aca="false">IF(الموظفون!$B98="","",الموظفون!$B98)</f>
        <v/>
      </c>
      <c r="C98" s="74" t="str">
        <f aca="false">IF($B98="","",الموظفون!$C98)</f>
        <v/>
      </c>
      <c r="D98" s="74" t="str">
        <f aca="false">IF($B98="","",الموظفون!$F98)</f>
        <v/>
      </c>
      <c r="E98" s="74" t="str">
        <f aca="false">IF($B98="","",الموظفون!$E98)</f>
        <v/>
      </c>
      <c r="F98" s="105" t="str">
        <f aca="false">IF($B98="","",IF(AE98&gt;=DAY($G$3),cfg_DAYS_M,MIN(AE98,cfg_DAYS_M)))</f>
        <v/>
      </c>
      <c r="G98" s="105" t="str">
        <f aca="false">IF($B98="","",SUMIFS('الحركات الشهرية'!$D$6:$D$1005,'الحركات الشهرية'!$B$6:$B$1005,$B98,'الحركات الشهرية'!$A$6:$A$1005,$C$3))</f>
        <v/>
      </c>
      <c r="H98" s="105" t="str">
        <f aca="false">IF($B98="","",SUMIFS('الحركات الشهرية'!$E$6:$E$1005,'الحركات الشهرية'!$B$6:$B$1005,$B98,'الحركات الشهرية'!$A$6:$A$1005,$C$3))</f>
        <v/>
      </c>
      <c r="I98" s="105" t="str">
        <f aca="false">IF($B98="","",MAX(0,F98-G98-H98))</f>
        <v/>
      </c>
      <c r="J98" s="86" t="str">
        <f aca="false">IF($B98="","",الموظفون!$J98*$I98/cfg_DAYS_M)</f>
        <v/>
      </c>
      <c r="K98" s="86" t="str">
        <f aca="false">IF($B98="","",الموظفون!$K98*$I98/cfg_DAYS_M)</f>
        <v/>
      </c>
      <c r="L98" s="86" t="str">
        <f aca="false">IF($B98="","",الموظفون!$L98*$I98/cfg_DAYS_M)</f>
        <v/>
      </c>
      <c r="M98" s="86" t="str">
        <f aca="false">IF($B98="","",الموظفون!$M98*$I98/cfg_DAYS_M)</f>
        <v/>
      </c>
      <c r="N98" s="105" t="str">
        <f aca="false">IF($B98="","",SUMIFS('الحركات الشهرية'!$F$6:$F$1005,'الحركات الشهرية'!$B$6:$B$1005,$B98,'الحركات الشهرية'!$A$6:$A$1005,$C$3))</f>
        <v/>
      </c>
      <c r="O98" s="86" t="str">
        <f aca="false">IF($B98="","",N98*(الموظفون!$N98+الموظفون!$J98*cfg_OT_P)/cfg_DAYS_M/cfg_HRS)</f>
        <v/>
      </c>
      <c r="P98" s="86" t="str">
        <f aca="false">IF($B98="","",SUMIFS('الحركات الشهرية'!$G$6:$G$1005,'الحركات الشهرية'!$B$6:$B$1005,$B98,'الحركات الشهرية'!$A$6:$A$1005,$C$3))</f>
        <v/>
      </c>
      <c r="Q98" s="86" t="str">
        <f aca="false">IF($B98="","",SUMIFS('الحركات الشهرية'!$H$6:$H$1005,'الحركات الشهرية'!$B$6:$B$1005,$B98,'الحركات الشهرية'!$A$6:$A$1005,$C$3))</f>
        <v/>
      </c>
      <c r="R98" s="106" t="str">
        <f aca="false">IF($B98="","",SUM(J98:M98)+SUM(O98:Q98))</f>
        <v/>
      </c>
      <c r="S98" s="86" t="str">
        <f aca="false">IF($B98="","",الموظفون!$Q98*IF(E98="سعودي",cfg_G_SE,cfg_G_NE)*F98/cfg_DAYS_M)</f>
        <v/>
      </c>
      <c r="T98" s="86" t="str">
        <f aca="false">IF($B98="","",SUMIFS('الحركات الشهرية'!$I$6:$I$1005,'الحركات الشهرية'!$B$6:$B$1005,$B98,'الحركات الشهرية'!$A$6:$A$1005,$C$3))</f>
        <v/>
      </c>
      <c r="U98" s="86" t="str">
        <f aca="false">IF($B98="","",SUMIFS('الحركات الشهرية'!$J$6:$J$1005,'الحركات الشهرية'!$B$6:$B$1005,$B98,'الحركات الشهرية'!$A$6:$A$1005,$C$3))</f>
        <v/>
      </c>
      <c r="V98" s="86" t="str">
        <f aca="false">IF($B98="","",SUM(S98:U98))</f>
        <v/>
      </c>
      <c r="W98" s="107" t="str">
        <f aca="false">IF($B98="","",R98-V98)</f>
        <v/>
      </c>
      <c r="X98" s="86" t="str">
        <f aca="false">IF($B98="","",الموظفون!$Q98*IF(E98="سعودي",cfg_G_SR,cfg_G_NR)*F98/cfg_DAYS_M)</f>
        <v/>
      </c>
      <c r="Y98" s="86" t="str">
        <f aca="false">IF($B98="","",الموظفون!$O98*(cfg_EOS_R1*(MIN(AC98,cfg_EOS_TH)-MIN(AD98,cfg_EOS_TH))+cfg_EOS_R2*(MAX(AC98-cfg_EOS_TH,0)-MAX(AD98-cfg_EOS_TH,0))))</f>
        <v/>
      </c>
      <c r="Z98" s="86" t="str">
        <f aca="false">IF($B98="","",IF(الموظفون!$R98&lt;&gt;"",الموظفون!$R98,IF(AC98&gt;=cfg_LV_TH,cfg_LV_D2,cfg_LV_D1))/cfg_DAYS_Y*AE98*الموظفون!$P98/cfg_DAYS_M)</f>
        <v/>
      </c>
      <c r="AA98" s="86" t="str">
        <f aca="false">IF($B98="","",IF(AND(الموظفون!$S98="نعم",N(الموظفون!$U98)&gt;0),الموظفون!$T98/الموظفون!$U98*12/cfg_DAYS_Y*AE98,0))</f>
        <v/>
      </c>
      <c r="AB98" s="108" t="str">
        <f aca="false">IF($B98="","",R98+SUM(X98:AA98))</f>
        <v/>
      </c>
      <c r="AC98" s="109" t="str">
        <f aca="false">IF($B98="","",MAX(0,IF(OR(الموظفون!$X98="",الموظفون!$X98&gt;$G$3),$G$3,الموظفون!$X98)-الموظفون!$H98+1)/cfg_DAYS_Y)</f>
        <v/>
      </c>
      <c r="AD98" s="109" t="str">
        <f aca="false">IF($B98="","",MAX(0,IF(OR(الموظفون!$X98="",الموظفون!$X98&gt;($E$3-1)),($E$3-1),الموظفون!$X98)-الموظفون!$H98+1)/cfg_DAYS_Y)</f>
        <v/>
      </c>
      <c r="AE98" s="51" t="str">
        <f aca="false">IF($B98="","",MAX(0,IF(OR(الموظفون!$X98="",الموظفون!$X98&gt;$G$3),$G$3,الموظفون!$X98)-MAX($E$3,الموظفون!$H98)+1))</f>
        <v/>
      </c>
    </row>
    <row r="99" customFormat="false" ht="15" hidden="false" customHeight="false" outlineLevel="0" collapsed="false">
      <c r="A99" s="89" t="str">
        <f aca="false">IF($B99="","",الموظفون!$A99)</f>
        <v/>
      </c>
      <c r="B99" s="91" t="str">
        <f aca="false">IF(الموظفون!$B99="","",الموظفون!$B99)</f>
        <v/>
      </c>
      <c r="C99" s="91" t="str">
        <f aca="false">IF($B99="","",الموظفون!$C99)</f>
        <v/>
      </c>
      <c r="D99" s="91" t="str">
        <f aca="false">IF($B99="","",الموظفون!$F99)</f>
        <v/>
      </c>
      <c r="E99" s="91" t="str">
        <f aca="false">IF($B99="","",الموظفون!$E99)</f>
        <v/>
      </c>
      <c r="F99" s="110" t="str">
        <f aca="false">IF($B99="","",IF(AE99&gt;=DAY($G$3),cfg_DAYS_M,MIN(AE99,cfg_DAYS_M)))</f>
        <v/>
      </c>
      <c r="G99" s="110" t="str">
        <f aca="false">IF($B99="","",SUMIFS('الحركات الشهرية'!$D$6:$D$1005,'الحركات الشهرية'!$B$6:$B$1005,$B99,'الحركات الشهرية'!$A$6:$A$1005,$C$3))</f>
        <v/>
      </c>
      <c r="H99" s="110" t="str">
        <f aca="false">IF($B99="","",SUMIFS('الحركات الشهرية'!$E$6:$E$1005,'الحركات الشهرية'!$B$6:$B$1005,$B99,'الحركات الشهرية'!$A$6:$A$1005,$C$3))</f>
        <v/>
      </c>
      <c r="I99" s="110" t="str">
        <f aca="false">IF($B99="","",MAX(0,F99-G99-H99))</f>
        <v/>
      </c>
      <c r="J99" s="90" t="str">
        <f aca="false">IF($B99="","",الموظفون!$J99*$I99/cfg_DAYS_M)</f>
        <v/>
      </c>
      <c r="K99" s="90" t="str">
        <f aca="false">IF($B99="","",الموظفون!$K99*$I99/cfg_DAYS_M)</f>
        <v/>
      </c>
      <c r="L99" s="90" t="str">
        <f aca="false">IF($B99="","",الموظفون!$L99*$I99/cfg_DAYS_M)</f>
        <v/>
      </c>
      <c r="M99" s="90" t="str">
        <f aca="false">IF($B99="","",الموظفون!$M99*$I99/cfg_DAYS_M)</f>
        <v/>
      </c>
      <c r="N99" s="110" t="str">
        <f aca="false">IF($B99="","",SUMIFS('الحركات الشهرية'!$F$6:$F$1005,'الحركات الشهرية'!$B$6:$B$1005,$B99,'الحركات الشهرية'!$A$6:$A$1005,$C$3))</f>
        <v/>
      </c>
      <c r="O99" s="90" t="str">
        <f aca="false">IF($B99="","",N99*(الموظفون!$N99+الموظفون!$J99*cfg_OT_P)/cfg_DAYS_M/cfg_HRS)</f>
        <v/>
      </c>
      <c r="P99" s="90" t="str">
        <f aca="false">IF($B99="","",SUMIFS('الحركات الشهرية'!$G$6:$G$1005,'الحركات الشهرية'!$B$6:$B$1005,$B99,'الحركات الشهرية'!$A$6:$A$1005,$C$3))</f>
        <v/>
      </c>
      <c r="Q99" s="90" t="str">
        <f aca="false">IF($B99="","",SUMIFS('الحركات الشهرية'!$H$6:$H$1005,'الحركات الشهرية'!$B$6:$B$1005,$B99,'الحركات الشهرية'!$A$6:$A$1005,$C$3))</f>
        <v/>
      </c>
      <c r="R99" s="111" t="str">
        <f aca="false">IF($B99="","",SUM(J99:M99)+SUM(O99:Q99))</f>
        <v/>
      </c>
      <c r="S99" s="90" t="str">
        <f aca="false">IF($B99="","",الموظفون!$Q99*IF(E99="سعودي",cfg_G_SE,cfg_G_NE)*F99/cfg_DAYS_M)</f>
        <v/>
      </c>
      <c r="T99" s="90" t="str">
        <f aca="false">IF($B99="","",SUMIFS('الحركات الشهرية'!$I$6:$I$1005,'الحركات الشهرية'!$B$6:$B$1005,$B99,'الحركات الشهرية'!$A$6:$A$1005,$C$3))</f>
        <v/>
      </c>
      <c r="U99" s="90" t="str">
        <f aca="false">IF($B99="","",SUMIFS('الحركات الشهرية'!$J$6:$J$1005,'الحركات الشهرية'!$B$6:$B$1005,$B99,'الحركات الشهرية'!$A$6:$A$1005,$C$3))</f>
        <v/>
      </c>
      <c r="V99" s="90" t="str">
        <f aca="false">IF($B99="","",SUM(S99:U99))</f>
        <v/>
      </c>
      <c r="W99" s="112" t="str">
        <f aca="false">IF($B99="","",R99-V99)</f>
        <v/>
      </c>
      <c r="X99" s="90" t="str">
        <f aca="false">IF($B99="","",الموظفون!$Q99*IF(E99="سعودي",cfg_G_SR,cfg_G_NR)*F99/cfg_DAYS_M)</f>
        <v/>
      </c>
      <c r="Y99" s="90" t="str">
        <f aca="false">IF($B99="","",الموظفون!$O99*(cfg_EOS_R1*(MIN(AC99,cfg_EOS_TH)-MIN(AD99,cfg_EOS_TH))+cfg_EOS_R2*(MAX(AC99-cfg_EOS_TH,0)-MAX(AD99-cfg_EOS_TH,0))))</f>
        <v/>
      </c>
      <c r="Z99" s="90" t="str">
        <f aca="false">IF($B99="","",IF(الموظفون!$R99&lt;&gt;"",الموظفون!$R99,IF(AC99&gt;=cfg_LV_TH,cfg_LV_D2,cfg_LV_D1))/cfg_DAYS_Y*AE99*الموظفون!$P99/cfg_DAYS_M)</f>
        <v/>
      </c>
      <c r="AA99" s="90" t="str">
        <f aca="false">IF($B99="","",IF(AND(الموظفون!$S99="نعم",N(الموظفون!$U99)&gt;0),الموظفون!$T99/الموظفون!$U99*12/cfg_DAYS_Y*AE99,0))</f>
        <v/>
      </c>
      <c r="AB99" s="113" t="str">
        <f aca="false">IF($B99="","",R99+SUM(X99:AA99))</f>
        <v/>
      </c>
      <c r="AC99" s="114" t="str">
        <f aca="false">IF($B99="","",MAX(0,IF(OR(الموظفون!$X99="",الموظفون!$X99&gt;$G$3),$G$3,الموظفون!$X99)-الموظفون!$H99+1)/cfg_DAYS_Y)</f>
        <v/>
      </c>
      <c r="AD99" s="114" t="str">
        <f aca="false">IF($B99="","",MAX(0,IF(OR(الموظفون!$X99="",الموظفون!$X99&gt;($E$3-1)),($E$3-1),الموظفون!$X99)-الموظفون!$H99+1)/cfg_DAYS_Y)</f>
        <v/>
      </c>
      <c r="AE99" s="115" t="str">
        <f aca="false">IF($B99="","",MAX(0,IF(OR(الموظفون!$X99="",الموظفون!$X99&gt;$G$3),$G$3,الموظفون!$X99)-MAX($E$3,الموظفون!$H99)+1))</f>
        <v/>
      </c>
    </row>
    <row r="100" customFormat="false" ht="15" hidden="false" customHeight="false" outlineLevel="0" collapsed="false">
      <c r="A100" s="83" t="str">
        <f aca="false">IF($B100="","",الموظفون!$A100)</f>
        <v/>
      </c>
      <c r="B100" s="74" t="str">
        <f aca="false">IF(الموظفون!$B100="","",الموظفون!$B100)</f>
        <v/>
      </c>
      <c r="C100" s="74" t="str">
        <f aca="false">IF($B100="","",الموظفون!$C100)</f>
        <v/>
      </c>
      <c r="D100" s="74" t="str">
        <f aca="false">IF($B100="","",الموظفون!$F100)</f>
        <v/>
      </c>
      <c r="E100" s="74" t="str">
        <f aca="false">IF($B100="","",الموظفون!$E100)</f>
        <v/>
      </c>
      <c r="F100" s="105" t="str">
        <f aca="false">IF($B100="","",IF(AE100&gt;=DAY($G$3),cfg_DAYS_M,MIN(AE100,cfg_DAYS_M)))</f>
        <v/>
      </c>
      <c r="G100" s="105" t="str">
        <f aca="false">IF($B100="","",SUMIFS('الحركات الشهرية'!$D$6:$D$1005,'الحركات الشهرية'!$B$6:$B$1005,$B100,'الحركات الشهرية'!$A$6:$A$1005,$C$3))</f>
        <v/>
      </c>
      <c r="H100" s="105" t="str">
        <f aca="false">IF($B100="","",SUMIFS('الحركات الشهرية'!$E$6:$E$1005,'الحركات الشهرية'!$B$6:$B$1005,$B100,'الحركات الشهرية'!$A$6:$A$1005,$C$3))</f>
        <v/>
      </c>
      <c r="I100" s="105" t="str">
        <f aca="false">IF($B100="","",MAX(0,F100-G100-H100))</f>
        <v/>
      </c>
      <c r="J100" s="86" t="str">
        <f aca="false">IF($B100="","",الموظفون!$J100*$I100/cfg_DAYS_M)</f>
        <v/>
      </c>
      <c r="K100" s="86" t="str">
        <f aca="false">IF($B100="","",الموظفون!$K100*$I100/cfg_DAYS_M)</f>
        <v/>
      </c>
      <c r="L100" s="86" t="str">
        <f aca="false">IF($B100="","",الموظفون!$L100*$I100/cfg_DAYS_M)</f>
        <v/>
      </c>
      <c r="M100" s="86" t="str">
        <f aca="false">IF($B100="","",الموظفون!$M100*$I100/cfg_DAYS_M)</f>
        <v/>
      </c>
      <c r="N100" s="105" t="str">
        <f aca="false">IF($B100="","",SUMIFS('الحركات الشهرية'!$F$6:$F$1005,'الحركات الشهرية'!$B$6:$B$1005,$B100,'الحركات الشهرية'!$A$6:$A$1005,$C$3))</f>
        <v/>
      </c>
      <c r="O100" s="86" t="str">
        <f aca="false">IF($B100="","",N100*(الموظفون!$N100+الموظفون!$J100*cfg_OT_P)/cfg_DAYS_M/cfg_HRS)</f>
        <v/>
      </c>
      <c r="P100" s="86" t="str">
        <f aca="false">IF($B100="","",SUMIFS('الحركات الشهرية'!$G$6:$G$1005,'الحركات الشهرية'!$B$6:$B$1005,$B100,'الحركات الشهرية'!$A$6:$A$1005,$C$3))</f>
        <v/>
      </c>
      <c r="Q100" s="86" t="str">
        <f aca="false">IF($B100="","",SUMIFS('الحركات الشهرية'!$H$6:$H$1005,'الحركات الشهرية'!$B$6:$B$1005,$B100,'الحركات الشهرية'!$A$6:$A$1005,$C$3))</f>
        <v/>
      </c>
      <c r="R100" s="106" t="str">
        <f aca="false">IF($B100="","",SUM(J100:M100)+SUM(O100:Q100))</f>
        <v/>
      </c>
      <c r="S100" s="86" t="str">
        <f aca="false">IF($B100="","",الموظفون!$Q100*IF(E100="سعودي",cfg_G_SE,cfg_G_NE)*F100/cfg_DAYS_M)</f>
        <v/>
      </c>
      <c r="T100" s="86" t="str">
        <f aca="false">IF($B100="","",SUMIFS('الحركات الشهرية'!$I$6:$I$1005,'الحركات الشهرية'!$B$6:$B$1005,$B100,'الحركات الشهرية'!$A$6:$A$1005,$C$3))</f>
        <v/>
      </c>
      <c r="U100" s="86" t="str">
        <f aca="false">IF($B100="","",SUMIFS('الحركات الشهرية'!$J$6:$J$1005,'الحركات الشهرية'!$B$6:$B$1005,$B100,'الحركات الشهرية'!$A$6:$A$1005,$C$3))</f>
        <v/>
      </c>
      <c r="V100" s="86" t="str">
        <f aca="false">IF($B100="","",SUM(S100:U100))</f>
        <v/>
      </c>
      <c r="W100" s="107" t="str">
        <f aca="false">IF($B100="","",R100-V100)</f>
        <v/>
      </c>
      <c r="X100" s="86" t="str">
        <f aca="false">IF($B100="","",الموظفون!$Q100*IF(E100="سعودي",cfg_G_SR,cfg_G_NR)*F100/cfg_DAYS_M)</f>
        <v/>
      </c>
      <c r="Y100" s="86" t="str">
        <f aca="false">IF($B100="","",الموظفون!$O100*(cfg_EOS_R1*(MIN(AC100,cfg_EOS_TH)-MIN(AD100,cfg_EOS_TH))+cfg_EOS_R2*(MAX(AC100-cfg_EOS_TH,0)-MAX(AD100-cfg_EOS_TH,0))))</f>
        <v/>
      </c>
      <c r="Z100" s="86" t="str">
        <f aca="false">IF($B100="","",IF(الموظفون!$R100&lt;&gt;"",الموظفون!$R100,IF(AC100&gt;=cfg_LV_TH,cfg_LV_D2,cfg_LV_D1))/cfg_DAYS_Y*AE100*الموظفون!$P100/cfg_DAYS_M)</f>
        <v/>
      </c>
      <c r="AA100" s="86" t="str">
        <f aca="false">IF($B100="","",IF(AND(الموظفون!$S100="نعم",N(الموظفون!$U100)&gt;0),الموظفون!$T100/الموظفون!$U100*12/cfg_DAYS_Y*AE100,0))</f>
        <v/>
      </c>
      <c r="AB100" s="108" t="str">
        <f aca="false">IF($B100="","",R100+SUM(X100:AA100))</f>
        <v/>
      </c>
      <c r="AC100" s="109" t="str">
        <f aca="false">IF($B100="","",MAX(0,IF(OR(الموظفون!$X100="",الموظفون!$X100&gt;$G$3),$G$3,الموظفون!$X100)-الموظفون!$H100+1)/cfg_DAYS_Y)</f>
        <v/>
      </c>
      <c r="AD100" s="109" t="str">
        <f aca="false">IF($B100="","",MAX(0,IF(OR(الموظفون!$X100="",الموظفون!$X100&gt;($E$3-1)),($E$3-1),الموظفون!$X100)-الموظفون!$H100+1)/cfg_DAYS_Y)</f>
        <v/>
      </c>
      <c r="AE100" s="51" t="str">
        <f aca="false">IF($B100="","",MAX(0,IF(OR(الموظفون!$X100="",الموظفون!$X100&gt;$G$3),$G$3,الموظفون!$X100)-MAX($E$3,الموظفون!$H100)+1))</f>
        <v/>
      </c>
    </row>
    <row r="101" customFormat="false" ht="15" hidden="false" customHeight="false" outlineLevel="0" collapsed="false">
      <c r="A101" s="89" t="str">
        <f aca="false">IF($B101="","",الموظفون!$A101)</f>
        <v/>
      </c>
      <c r="B101" s="91" t="str">
        <f aca="false">IF(الموظفون!$B101="","",الموظفون!$B101)</f>
        <v/>
      </c>
      <c r="C101" s="91" t="str">
        <f aca="false">IF($B101="","",الموظفون!$C101)</f>
        <v/>
      </c>
      <c r="D101" s="91" t="str">
        <f aca="false">IF($B101="","",الموظفون!$F101)</f>
        <v/>
      </c>
      <c r="E101" s="91" t="str">
        <f aca="false">IF($B101="","",الموظفون!$E101)</f>
        <v/>
      </c>
      <c r="F101" s="110" t="str">
        <f aca="false">IF($B101="","",IF(AE101&gt;=DAY($G$3),cfg_DAYS_M,MIN(AE101,cfg_DAYS_M)))</f>
        <v/>
      </c>
      <c r="G101" s="110" t="str">
        <f aca="false">IF($B101="","",SUMIFS('الحركات الشهرية'!$D$6:$D$1005,'الحركات الشهرية'!$B$6:$B$1005,$B101,'الحركات الشهرية'!$A$6:$A$1005,$C$3))</f>
        <v/>
      </c>
      <c r="H101" s="110" t="str">
        <f aca="false">IF($B101="","",SUMIFS('الحركات الشهرية'!$E$6:$E$1005,'الحركات الشهرية'!$B$6:$B$1005,$B101,'الحركات الشهرية'!$A$6:$A$1005,$C$3))</f>
        <v/>
      </c>
      <c r="I101" s="110" t="str">
        <f aca="false">IF($B101="","",MAX(0,F101-G101-H101))</f>
        <v/>
      </c>
      <c r="J101" s="90" t="str">
        <f aca="false">IF($B101="","",الموظفون!$J101*$I101/cfg_DAYS_M)</f>
        <v/>
      </c>
      <c r="K101" s="90" t="str">
        <f aca="false">IF($B101="","",الموظفون!$K101*$I101/cfg_DAYS_M)</f>
        <v/>
      </c>
      <c r="L101" s="90" t="str">
        <f aca="false">IF($B101="","",الموظفون!$L101*$I101/cfg_DAYS_M)</f>
        <v/>
      </c>
      <c r="M101" s="90" t="str">
        <f aca="false">IF($B101="","",الموظفون!$M101*$I101/cfg_DAYS_M)</f>
        <v/>
      </c>
      <c r="N101" s="110" t="str">
        <f aca="false">IF($B101="","",SUMIFS('الحركات الشهرية'!$F$6:$F$1005,'الحركات الشهرية'!$B$6:$B$1005,$B101,'الحركات الشهرية'!$A$6:$A$1005,$C$3))</f>
        <v/>
      </c>
      <c r="O101" s="90" t="str">
        <f aca="false">IF($B101="","",N101*(الموظفون!$N101+الموظفون!$J101*cfg_OT_P)/cfg_DAYS_M/cfg_HRS)</f>
        <v/>
      </c>
      <c r="P101" s="90" t="str">
        <f aca="false">IF($B101="","",SUMIFS('الحركات الشهرية'!$G$6:$G$1005,'الحركات الشهرية'!$B$6:$B$1005,$B101,'الحركات الشهرية'!$A$6:$A$1005,$C$3))</f>
        <v/>
      </c>
      <c r="Q101" s="90" t="str">
        <f aca="false">IF($B101="","",SUMIFS('الحركات الشهرية'!$H$6:$H$1005,'الحركات الشهرية'!$B$6:$B$1005,$B101,'الحركات الشهرية'!$A$6:$A$1005,$C$3))</f>
        <v/>
      </c>
      <c r="R101" s="111" t="str">
        <f aca="false">IF($B101="","",SUM(J101:M101)+SUM(O101:Q101))</f>
        <v/>
      </c>
      <c r="S101" s="90" t="str">
        <f aca="false">IF($B101="","",الموظفون!$Q101*IF(E101="سعودي",cfg_G_SE,cfg_G_NE)*F101/cfg_DAYS_M)</f>
        <v/>
      </c>
      <c r="T101" s="90" t="str">
        <f aca="false">IF($B101="","",SUMIFS('الحركات الشهرية'!$I$6:$I$1005,'الحركات الشهرية'!$B$6:$B$1005,$B101,'الحركات الشهرية'!$A$6:$A$1005,$C$3))</f>
        <v/>
      </c>
      <c r="U101" s="90" t="str">
        <f aca="false">IF($B101="","",SUMIFS('الحركات الشهرية'!$J$6:$J$1005,'الحركات الشهرية'!$B$6:$B$1005,$B101,'الحركات الشهرية'!$A$6:$A$1005,$C$3))</f>
        <v/>
      </c>
      <c r="V101" s="90" t="str">
        <f aca="false">IF($B101="","",SUM(S101:U101))</f>
        <v/>
      </c>
      <c r="W101" s="112" t="str">
        <f aca="false">IF($B101="","",R101-V101)</f>
        <v/>
      </c>
      <c r="X101" s="90" t="str">
        <f aca="false">IF($B101="","",الموظفون!$Q101*IF(E101="سعودي",cfg_G_SR,cfg_G_NR)*F101/cfg_DAYS_M)</f>
        <v/>
      </c>
      <c r="Y101" s="90" t="str">
        <f aca="false">IF($B101="","",الموظفون!$O101*(cfg_EOS_R1*(MIN(AC101,cfg_EOS_TH)-MIN(AD101,cfg_EOS_TH))+cfg_EOS_R2*(MAX(AC101-cfg_EOS_TH,0)-MAX(AD101-cfg_EOS_TH,0))))</f>
        <v/>
      </c>
      <c r="Z101" s="90" t="str">
        <f aca="false">IF($B101="","",IF(الموظفون!$R101&lt;&gt;"",الموظفون!$R101,IF(AC101&gt;=cfg_LV_TH,cfg_LV_D2,cfg_LV_D1))/cfg_DAYS_Y*AE101*الموظفون!$P101/cfg_DAYS_M)</f>
        <v/>
      </c>
      <c r="AA101" s="90" t="str">
        <f aca="false">IF($B101="","",IF(AND(الموظفون!$S101="نعم",N(الموظفون!$U101)&gt;0),الموظفون!$T101/الموظفون!$U101*12/cfg_DAYS_Y*AE101,0))</f>
        <v/>
      </c>
      <c r="AB101" s="113" t="str">
        <f aca="false">IF($B101="","",R101+SUM(X101:AA101))</f>
        <v/>
      </c>
      <c r="AC101" s="114" t="str">
        <f aca="false">IF($B101="","",MAX(0,IF(OR(الموظفون!$X101="",الموظفون!$X101&gt;$G$3),$G$3,الموظفون!$X101)-الموظفون!$H101+1)/cfg_DAYS_Y)</f>
        <v/>
      </c>
      <c r="AD101" s="114" t="str">
        <f aca="false">IF($B101="","",MAX(0,IF(OR(الموظفون!$X101="",الموظفون!$X101&gt;($E$3-1)),($E$3-1),الموظفون!$X101)-الموظفون!$H101+1)/cfg_DAYS_Y)</f>
        <v/>
      </c>
      <c r="AE101" s="115" t="str">
        <f aca="false">IF($B101="","",MAX(0,IF(OR(الموظفون!$X101="",الموظفون!$X101&gt;$G$3),$G$3,الموظفون!$X101)-MAX($E$3,الموظفون!$H101)+1))</f>
        <v/>
      </c>
    </row>
    <row r="102" customFormat="false" ht="15" hidden="false" customHeight="false" outlineLevel="0" collapsed="false">
      <c r="A102" s="83" t="str">
        <f aca="false">IF($B102="","",الموظفون!$A102)</f>
        <v/>
      </c>
      <c r="B102" s="74" t="str">
        <f aca="false">IF(الموظفون!$B102="","",الموظفون!$B102)</f>
        <v/>
      </c>
      <c r="C102" s="74" t="str">
        <f aca="false">IF($B102="","",الموظفون!$C102)</f>
        <v/>
      </c>
      <c r="D102" s="74" t="str">
        <f aca="false">IF($B102="","",الموظفون!$F102)</f>
        <v/>
      </c>
      <c r="E102" s="74" t="str">
        <f aca="false">IF($B102="","",الموظفون!$E102)</f>
        <v/>
      </c>
      <c r="F102" s="105" t="str">
        <f aca="false">IF($B102="","",IF(AE102&gt;=DAY($G$3),cfg_DAYS_M,MIN(AE102,cfg_DAYS_M)))</f>
        <v/>
      </c>
      <c r="G102" s="105" t="str">
        <f aca="false">IF($B102="","",SUMIFS('الحركات الشهرية'!$D$6:$D$1005,'الحركات الشهرية'!$B$6:$B$1005,$B102,'الحركات الشهرية'!$A$6:$A$1005,$C$3))</f>
        <v/>
      </c>
      <c r="H102" s="105" t="str">
        <f aca="false">IF($B102="","",SUMIFS('الحركات الشهرية'!$E$6:$E$1005,'الحركات الشهرية'!$B$6:$B$1005,$B102,'الحركات الشهرية'!$A$6:$A$1005,$C$3))</f>
        <v/>
      </c>
      <c r="I102" s="105" t="str">
        <f aca="false">IF($B102="","",MAX(0,F102-G102-H102))</f>
        <v/>
      </c>
      <c r="J102" s="86" t="str">
        <f aca="false">IF($B102="","",الموظفون!$J102*$I102/cfg_DAYS_M)</f>
        <v/>
      </c>
      <c r="K102" s="86" t="str">
        <f aca="false">IF($B102="","",الموظفون!$K102*$I102/cfg_DAYS_M)</f>
        <v/>
      </c>
      <c r="L102" s="86" t="str">
        <f aca="false">IF($B102="","",الموظفون!$L102*$I102/cfg_DAYS_M)</f>
        <v/>
      </c>
      <c r="M102" s="86" t="str">
        <f aca="false">IF($B102="","",الموظفون!$M102*$I102/cfg_DAYS_M)</f>
        <v/>
      </c>
      <c r="N102" s="105" t="str">
        <f aca="false">IF($B102="","",SUMIFS('الحركات الشهرية'!$F$6:$F$1005,'الحركات الشهرية'!$B$6:$B$1005,$B102,'الحركات الشهرية'!$A$6:$A$1005,$C$3))</f>
        <v/>
      </c>
      <c r="O102" s="86" t="str">
        <f aca="false">IF($B102="","",N102*(الموظفون!$N102+الموظفون!$J102*cfg_OT_P)/cfg_DAYS_M/cfg_HRS)</f>
        <v/>
      </c>
      <c r="P102" s="86" t="str">
        <f aca="false">IF($B102="","",SUMIFS('الحركات الشهرية'!$G$6:$G$1005,'الحركات الشهرية'!$B$6:$B$1005,$B102,'الحركات الشهرية'!$A$6:$A$1005,$C$3))</f>
        <v/>
      </c>
      <c r="Q102" s="86" t="str">
        <f aca="false">IF($B102="","",SUMIFS('الحركات الشهرية'!$H$6:$H$1005,'الحركات الشهرية'!$B$6:$B$1005,$B102,'الحركات الشهرية'!$A$6:$A$1005,$C$3))</f>
        <v/>
      </c>
      <c r="R102" s="106" t="str">
        <f aca="false">IF($B102="","",SUM(J102:M102)+SUM(O102:Q102))</f>
        <v/>
      </c>
      <c r="S102" s="86" t="str">
        <f aca="false">IF($B102="","",الموظفون!$Q102*IF(E102="سعودي",cfg_G_SE,cfg_G_NE)*F102/cfg_DAYS_M)</f>
        <v/>
      </c>
      <c r="T102" s="86" t="str">
        <f aca="false">IF($B102="","",SUMIFS('الحركات الشهرية'!$I$6:$I$1005,'الحركات الشهرية'!$B$6:$B$1005,$B102,'الحركات الشهرية'!$A$6:$A$1005,$C$3))</f>
        <v/>
      </c>
      <c r="U102" s="86" t="str">
        <f aca="false">IF($B102="","",SUMIFS('الحركات الشهرية'!$J$6:$J$1005,'الحركات الشهرية'!$B$6:$B$1005,$B102,'الحركات الشهرية'!$A$6:$A$1005,$C$3))</f>
        <v/>
      </c>
      <c r="V102" s="86" t="str">
        <f aca="false">IF($B102="","",SUM(S102:U102))</f>
        <v/>
      </c>
      <c r="W102" s="107" t="str">
        <f aca="false">IF($B102="","",R102-V102)</f>
        <v/>
      </c>
      <c r="X102" s="86" t="str">
        <f aca="false">IF($B102="","",الموظفون!$Q102*IF(E102="سعودي",cfg_G_SR,cfg_G_NR)*F102/cfg_DAYS_M)</f>
        <v/>
      </c>
      <c r="Y102" s="86" t="str">
        <f aca="false">IF($B102="","",الموظفون!$O102*(cfg_EOS_R1*(MIN(AC102,cfg_EOS_TH)-MIN(AD102,cfg_EOS_TH))+cfg_EOS_R2*(MAX(AC102-cfg_EOS_TH,0)-MAX(AD102-cfg_EOS_TH,0))))</f>
        <v/>
      </c>
      <c r="Z102" s="86" t="str">
        <f aca="false">IF($B102="","",IF(الموظفون!$R102&lt;&gt;"",الموظفون!$R102,IF(AC102&gt;=cfg_LV_TH,cfg_LV_D2,cfg_LV_D1))/cfg_DAYS_Y*AE102*الموظفون!$P102/cfg_DAYS_M)</f>
        <v/>
      </c>
      <c r="AA102" s="86" t="str">
        <f aca="false">IF($B102="","",IF(AND(الموظفون!$S102="نعم",N(الموظفون!$U102)&gt;0),الموظفون!$T102/الموظفون!$U102*12/cfg_DAYS_Y*AE102,0))</f>
        <v/>
      </c>
      <c r="AB102" s="108" t="str">
        <f aca="false">IF($B102="","",R102+SUM(X102:AA102))</f>
        <v/>
      </c>
      <c r="AC102" s="109" t="str">
        <f aca="false">IF($B102="","",MAX(0,IF(OR(الموظفون!$X102="",الموظفون!$X102&gt;$G$3),$G$3,الموظفون!$X102)-الموظفون!$H102+1)/cfg_DAYS_Y)</f>
        <v/>
      </c>
      <c r="AD102" s="109" t="str">
        <f aca="false">IF($B102="","",MAX(0,IF(OR(الموظفون!$X102="",الموظفون!$X102&gt;($E$3-1)),($E$3-1),الموظفون!$X102)-الموظفون!$H102+1)/cfg_DAYS_Y)</f>
        <v/>
      </c>
      <c r="AE102" s="51" t="str">
        <f aca="false">IF($B102="","",MAX(0,IF(OR(الموظفون!$X102="",الموظفون!$X102&gt;$G$3),$G$3,الموظفون!$X102)-MAX($E$3,الموظفون!$H102)+1))</f>
        <v/>
      </c>
    </row>
    <row r="103" customFormat="false" ht="15" hidden="false" customHeight="false" outlineLevel="0" collapsed="false">
      <c r="A103" s="89" t="str">
        <f aca="false">IF($B103="","",الموظفون!$A103)</f>
        <v/>
      </c>
      <c r="B103" s="91" t="str">
        <f aca="false">IF(الموظفون!$B103="","",الموظفون!$B103)</f>
        <v/>
      </c>
      <c r="C103" s="91" t="str">
        <f aca="false">IF($B103="","",الموظفون!$C103)</f>
        <v/>
      </c>
      <c r="D103" s="91" t="str">
        <f aca="false">IF($B103="","",الموظفون!$F103)</f>
        <v/>
      </c>
      <c r="E103" s="91" t="str">
        <f aca="false">IF($B103="","",الموظفون!$E103)</f>
        <v/>
      </c>
      <c r="F103" s="110" t="str">
        <f aca="false">IF($B103="","",IF(AE103&gt;=DAY($G$3),cfg_DAYS_M,MIN(AE103,cfg_DAYS_M)))</f>
        <v/>
      </c>
      <c r="G103" s="110" t="str">
        <f aca="false">IF($B103="","",SUMIFS('الحركات الشهرية'!$D$6:$D$1005,'الحركات الشهرية'!$B$6:$B$1005,$B103,'الحركات الشهرية'!$A$6:$A$1005,$C$3))</f>
        <v/>
      </c>
      <c r="H103" s="110" t="str">
        <f aca="false">IF($B103="","",SUMIFS('الحركات الشهرية'!$E$6:$E$1005,'الحركات الشهرية'!$B$6:$B$1005,$B103,'الحركات الشهرية'!$A$6:$A$1005,$C$3))</f>
        <v/>
      </c>
      <c r="I103" s="110" t="str">
        <f aca="false">IF($B103="","",MAX(0,F103-G103-H103))</f>
        <v/>
      </c>
      <c r="J103" s="90" t="str">
        <f aca="false">IF($B103="","",الموظفون!$J103*$I103/cfg_DAYS_M)</f>
        <v/>
      </c>
      <c r="K103" s="90" t="str">
        <f aca="false">IF($B103="","",الموظفون!$K103*$I103/cfg_DAYS_M)</f>
        <v/>
      </c>
      <c r="L103" s="90" t="str">
        <f aca="false">IF($B103="","",الموظفون!$L103*$I103/cfg_DAYS_M)</f>
        <v/>
      </c>
      <c r="M103" s="90" t="str">
        <f aca="false">IF($B103="","",الموظفون!$M103*$I103/cfg_DAYS_M)</f>
        <v/>
      </c>
      <c r="N103" s="110" t="str">
        <f aca="false">IF($B103="","",SUMIFS('الحركات الشهرية'!$F$6:$F$1005,'الحركات الشهرية'!$B$6:$B$1005,$B103,'الحركات الشهرية'!$A$6:$A$1005,$C$3))</f>
        <v/>
      </c>
      <c r="O103" s="90" t="str">
        <f aca="false">IF($B103="","",N103*(الموظفون!$N103+الموظفون!$J103*cfg_OT_P)/cfg_DAYS_M/cfg_HRS)</f>
        <v/>
      </c>
      <c r="P103" s="90" t="str">
        <f aca="false">IF($B103="","",SUMIFS('الحركات الشهرية'!$G$6:$G$1005,'الحركات الشهرية'!$B$6:$B$1005,$B103,'الحركات الشهرية'!$A$6:$A$1005,$C$3))</f>
        <v/>
      </c>
      <c r="Q103" s="90" t="str">
        <f aca="false">IF($B103="","",SUMIFS('الحركات الشهرية'!$H$6:$H$1005,'الحركات الشهرية'!$B$6:$B$1005,$B103,'الحركات الشهرية'!$A$6:$A$1005,$C$3))</f>
        <v/>
      </c>
      <c r="R103" s="111" t="str">
        <f aca="false">IF($B103="","",SUM(J103:M103)+SUM(O103:Q103))</f>
        <v/>
      </c>
      <c r="S103" s="90" t="str">
        <f aca="false">IF($B103="","",الموظفون!$Q103*IF(E103="سعودي",cfg_G_SE,cfg_G_NE)*F103/cfg_DAYS_M)</f>
        <v/>
      </c>
      <c r="T103" s="90" t="str">
        <f aca="false">IF($B103="","",SUMIFS('الحركات الشهرية'!$I$6:$I$1005,'الحركات الشهرية'!$B$6:$B$1005,$B103,'الحركات الشهرية'!$A$6:$A$1005,$C$3))</f>
        <v/>
      </c>
      <c r="U103" s="90" t="str">
        <f aca="false">IF($B103="","",SUMIFS('الحركات الشهرية'!$J$6:$J$1005,'الحركات الشهرية'!$B$6:$B$1005,$B103,'الحركات الشهرية'!$A$6:$A$1005,$C$3))</f>
        <v/>
      </c>
      <c r="V103" s="90" t="str">
        <f aca="false">IF($B103="","",SUM(S103:U103))</f>
        <v/>
      </c>
      <c r="W103" s="112" t="str">
        <f aca="false">IF($B103="","",R103-V103)</f>
        <v/>
      </c>
      <c r="X103" s="90" t="str">
        <f aca="false">IF($B103="","",الموظفون!$Q103*IF(E103="سعودي",cfg_G_SR,cfg_G_NR)*F103/cfg_DAYS_M)</f>
        <v/>
      </c>
      <c r="Y103" s="90" t="str">
        <f aca="false">IF($B103="","",الموظفون!$O103*(cfg_EOS_R1*(MIN(AC103,cfg_EOS_TH)-MIN(AD103,cfg_EOS_TH))+cfg_EOS_R2*(MAX(AC103-cfg_EOS_TH,0)-MAX(AD103-cfg_EOS_TH,0))))</f>
        <v/>
      </c>
      <c r="Z103" s="90" t="str">
        <f aca="false">IF($B103="","",IF(الموظفون!$R103&lt;&gt;"",الموظفون!$R103,IF(AC103&gt;=cfg_LV_TH,cfg_LV_D2,cfg_LV_D1))/cfg_DAYS_Y*AE103*الموظفون!$P103/cfg_DAYS_M)</f>
        <v/>
      </c>
      <c r="AA103" s="90" t="str">
        <f aca="false">IF($B103="","",IF(AND(الموظفون!$S103="نعم",N(الموظفون!$U103)&gt;0),الموظفون!$T103/الموظفون!$U103*12/cfg_DAYS_Y*AE103,0))</f>
        <v/>
      </c>
      <c r="AB103" s="113" t="str">
        <f aca="false">IF($B103="","",R103+SUM(X103:AA103))</f>
        <v/>
      </c>
      <c r="AC103" s="114" t="str">
        <f aca="false">IF($B103="","",MAX(0,IF(OR(الموظفون!$X103="",الموظفون!$X103&gt;$G$3),$G$3,الموظفون!$X103)-الموظفون!$H103+1)/cfg_DAYS_Y)</f>
        <v/>
      </c>
      <c r="AD103" s="114" t="str">
        <f aca="false">IF($B103="","",MAX(0,IF(OR(الموظفون!$X103="",الموظفون!$X103&gt;($E$3-1)),($E$3-1),الموظفون!$X103)-الموظفون!$H103+1)/cfg_DAYS_Y)</f>
        <v/>
      </c>
      <c r="AE103" s="115" t="str">
        <f aca="false">IF($B103="","",MAX(0,IF(OR(الموظفون!$X103="",الموظفون!$X103&gt;$G$3),$G$3,الموظفون!$X103)-MAX($E$3,الموظفون!$H103)+1))</f>
        <v/>
      </c>
    </row>
    <row r="104" customFormat="false" ht="15" hidden="false" customHeight="false" outlineLevel="0" collapsed="false">
      <c r="A104" s="83" t="str">
        <f aca="false">IF($B104="","",الموظفون!$A104)</f>
        <v/>
      </c>
      <c r="B104" s="74" t="str">
        <f aca="false">IF(الموظفون!$B104="","",الموظفون!$B104)</f>
        <v/>
      </c>
      <c r="C104" s="74" t="str">
        <f aca="false">IF($B104="","",الموظفون!$C104)</f>
        <v/>
      </c>
      <c r="D104" s="74" t="str">
        <f aca="false">IF($B104="","",الموظفون!$F104)</f>
        <v/>
      </c>
      <c r="E104" s="74" t="str">
        <f aca="false">IF($B104="","",الموظفون!$E104)</f>
        <v/>
      </c>
      <c r="F104" s="105" t="str">
        <f aca="false">IF($B104="","",IF(AE104&gt;=DAY($G$3),cfg_DAYS_M,MIN(AE104,cfg_DAYS_M)))</f>
        <v/>
      </c>
      <c r="G104" s="105" t="str">
        <f aca="false">IF($B104="","",SUMIFS('الحركات الشهرية'!$D$6:$D$1005,'الحركات الشهرية'!$B$6:$B$1005,$B104,'الحركات الشهرية'!$A$6:$A$1005,$C$3))</f>
        <v/>
      </c>
      <c r="H104" s="105" t="str">
        <f aca="false">IF($B104="","",SUMIFS('الحركات الشهرية'!$E$6:$E$1005,'الحركات الشهرية'!$B$6:$B$1005,$B104,'الحركات الشهرية'!$A$6:$A$1005,$C$3))</f>
        <v/>
      </c>
      <c r="I104" s="105" t="str">
        <f aca="false">IF($B104="","",MAX(0,F104-G104-H104))</f>
        <v/>
      </c>
      <c r="J104" s="86" t="str">
        <f aca="false">IF($B104="","",الموظفون!$J104*$I104/cfg_DAYS_M)</f>
        <v/>
      </c>
      <c r="K104" s="86" t="str">
        <f aca="false">IF($B104="","",الموظفون!$K104*$I104/cfg_DAYS_M)</f>
        <v/>
      </c>
      <c r="L104" s="86" t="str">
        <f aca="false">IF($B104="","",الموظفون!$L104*$I104/cfg_DAYS_M)</f>
        <v/>
      </c>
      <c r="M104" s="86" t="str">
        <f aca="false">IF($B104="","",الموظفون!$M104*$I104/cfg_DAYS_M)</f>
        <v/>
      </c>
      <c r="N104" s="105" t="str">
        <f aca="false">IF($B104="","",SUMIFS('الحركات الشهرية'!$F$6:$F$1005,'الحركات الشهرية'!$B$6:$B$1005,$B104,'الحركات الشهرية'!$A$6:$A$1005,$C$3))</f>
        <v/>
      </c>
      <c r="O104" s="86" t="str">
        <f aca="false">IF($B104="","",N104*(الموظفون!$N104+الموظفون!$J104*cfg_OT_P)/cfg_DAYS_M/cfg_HRS)</f>
        <v/>
      </c>
      <c r="P104" s="86" t="str">
        <f aca="false">IF($B104="","",SUMIFS('الحركات الشهرية'!$G$6:$G$1005,'الحركات الشهرية'!$B$6:$B$1005,$B104,'الحركات الشهرية'!$A$6:$A$1005,$C$3))</f>
        <v/>
      </c>
      <c r="Q104" s="86" t="str">
        <f aca="false">IF($B104="","",SUMIFS('الحركات الشهرية'!$H$6:$H$1005,'الحركات الشهرية'!$B$6:$B$1005,$B104,'الحركات الشهرية'!$A$6:$A$1005,$C$3))</f>
        <v/>
      </c>
      <c r="R104" s="106" t="str">
        <f aca="false">IF($B104="","",SUM(J104:M104)+SUM(O104:Q104))</f>
        <v/>
      </c>
      <c r="S104" s="86" t="str">
        <f aca="false">IF($B104="","",الموظفون!$Q104*IF(E104="سعودي",cfg_G_SE,cfg_G_NE)*F104/cfg_DAYS_M)</f>
        <v/>
      </c>
      <c r="T104" s="86" t="str">
        <f aca="false">IF($B104="","",SUMIFS('الحركات الشهرية'!$I$6:$I$1005,'الحركات الشهرية'!$B$6:$B$1005,$B104,'الحركات الشهرية'!$A$6:$A$1005,$C$3))</f>
        <v/>
      </c>
      <c r="U104" s="86" t="str">
        <f aca="false">IF($B104="","",SUMIFS('الحركات الشهرية'!$J$6:$J$1005,'الحركات الشهرية'!$B$6:$B$1005,$B104,'الحركات الشهرية'!$A$6:$A$1005,$C$3))</f>
        <v/>
      </c>
      <c r="V104" s="86" t="str">
        <f aca="false">IF($B104="","",SUM(S104:U104))</f>
        <v/>
      </c>
      <c r="W104" s="107" t="str">
        <f aca="false">IF($B104="","",R104-V104)</f>
        <v/>
      </c>
      <c r="X104" s="86" t="str">
        <f aca="false">IF($B104="","",الموظفون!$Q104*IF(E104="سعودي",cfg_G_SR,cfg_G_NR)*F104/cfg_DAYS_M)</f>
        <v/>
      </c>
      <c r="Y104" s="86" t="str">
        <f aca="false">IF($B104="","",الموظفون!$O104*(cfg_EOS_R1*(MIN(AC104,cfg_EOS_TH)-MIN(AD104,cfg_EOS_TH))+cfg_EOS_R2*(MAX(AC104-cfg_EOS_TH,0)-MAX(AD104-cfg_EOS_TH,0))))</f>
        <v/>
      </c>
      <c r="Z104" s="86" t="str">
        <f aca="false">IF($B104="","",IF(الموظفون!$R104&lt;&gt;"",الموظفون!$R104,IF(AC104&gt;=cfg_LV_TH,cfg_LV_D2,cfg_LV_D1))/cfg_DAYS_Y*AE104*الموظفون!$P104/cfg_DAYS_M)</f>
        <v/>
      </c>
      <c r="AA104" s="86" t="str">
        <f aca="false">IF($B104="","",IF(AND(الموظفون!$S104="نعم",N(الموظفون!$U104)&gt;0),الموظفون!$T104/الموظفون!$U104*12/cfg_DAYS_Y*AE104,0))</f>
        <v/>
      </c>
      <c r="AB104" s="108" t="str">
        <f aca="false">IF($B104="","",R104+SUM(X104:AA104))</f>
        <v/>
      </c>
      <c r="AC104" s="109" t="str">
        <f aca="false">IF($B104="","",MAX(0,IF(OR(الموظفون!$X104="",الموظفون!$X104&gt;$G$3),$G$3,الموظفون!$X104)-الموظفون!$H104+1)/cfg_DAYS_Y)</f>
        <v/>
      </c>
      <c r="AD104" s="109" t="str">
        <f aca="false">IF($B104="","",MAX(0,IF(OR(الموظفون!$X104="",الموظفون!$X104&gt;($E$3-1)),($E$3-1),الموظفون!$X104)-الموظفون!$H104+1)/cfg_DAYS_Y)</f>
        <v/>
      </c>
      <c r="AE104" s="51" t="str">
        <f aca="false">IF($B104="","",MAX(0,IF(OR(الموظفون!$X104="",الموظفون!$X104&gt;$G$3),$G$3,الموظفون!$X104)-MAX($E$3,الموظفون!$H104)+1))</f>
        <v/>
      </c>
    </row>
    <row r="105" customFormat="false" ht="15" hidden="false" customHeight="false" outlineLevel="0" collapsed="false">
      <c r="A105" s="89" t="str">
        <f aca="false">IF($B105="","",الموظفون!$A105)</f>
        <v/>
      </c>
      <c r="B105" s="91" t="str">
        <f aca="false">IF(الموظفون!$B105="","",الموظفون!$B105)</f>
        <v/>
      </c>
      <c r="C105" s="91" t="str">
        <f aca="false">IF($B105="","",الموظفون!$C105)</f>
        <v/>
      </c>
      <c r="D105" s="91" t="str">
        <f aca="false">IF($B105="","",الموظفون!$F105)</f>
        <v/>
      </c>
      <c r="E105" s="91" t="str">
        <f aca="false">IF($B105="","",الموظفون!$E105)</f>
        <v/>
      </c>
      <c r="F105" s="110" t="str">
        <f aca="false">IF($B105="","",IF(AE105&gt;=DAY($G$3),cfg_DAYS_M,MIN(AE105,cfg_DAYS_M)))</f>
        <v/>
      </c>
      <c r="G105" s="110" t="str">
        <f aca="false">IF($B105="","",SUMIFS('الحركات الشهرية'!$D$6:$D$1005,'الحركات الشهرية'!$B$6:$B$1005,$B105,'الحركات الشهرية'!$A$6:$A$1005,$C$3))</f>
        <v/>
      </c>
      <c r="H105" s="110" t="str">
        <f aca="false">IF($B105="","",SUMIFS('الحركات الشهرية'!$E$6:$E$1005,'الحركات الشهرية'!$B$6:$B$1005,$B105,'الحركات الشهرية'!$A$6:$A$1005,$C$3))</f>
        <v/>
      </c>
      <c r="I105" s="110" t="str">
        <f aca="false">IF($B105="","",MAX(0,F105-G105-H105))</f>
        <v/>
      </c>
      <c r="J105" s="90" t="str">
        <f aca="false">IF($B105="","",الموظفون!$J105*$I105/cfg_DAYS_M)</f>
        <v/>
      </c>
      <c r="K105" s="90" t="str">
        <f aca="false">IF($B105="","",الموظفون!$K105*$I105/cfg_DAYS_M)</f>
        <v/>
      </c>
      <c r="L105" s="90" t="str">
        <f aca="false">IF($B105="","",الموظفون!$L105*$I105/cfg_DAYS_M)</f>
        <v/>
      </c>
      <c r="M105" s="90" t="str">
        <f aca="false">IF($B105="","",الموظفون!$M105*$I105/cfg_DAYS_M)</f>
        <v/>
      </c>
      <c r="N105" s="110" t="str">
        <f aca="false">IF($B105="","",SUMIFS('الحركات الشهرية'!$F$6:$F$1005,'الحركات الشهرية'!$B$6:$B$1005,$B105,'الحركات الشهرية'!$A$6:$A$1005,$C$3))</f>
        <v/>
      </c>
      <c r="O105" s="90" t="str">
        <f aca="false">IF($B105="","",N105*(الموظفون!$N105+الموظفون!$J105*cfg_OT_P)/cfg_DAYS_M/cfg_HRS)</f>
        <v/>
      </c>
      <c r="P105" s="90" t="str">
        <f aca="false">IF($B105="","",SUMIFS('الحركات الشهرية'!$G$6:$G$1005,'الحركات الشهرية'!$B$6:$B$1005,$B105,'الحركات الشهرية'!$A$6:$A$1005,$C$3))</f>
        <v/>
      </c>
      <c r="Q105" s="90" t="str">
        <f aca="false">IF($B105="","",SUMIFS('الحركات الشهرية'!$H$6:$H$1005,'الحركات الشهرية'!$B$6:$B$1005,$B105,'الحركات الشهرية'!$A$6:$A$1005,$C$3))</f>
        <v/>
      </c>
      <c r="R105" s="111" t="str">
        <f aca="false">IF($B105="","",SUM(J105:M105)+SUM(O105:Q105))</f>
        <v/>
      </c>
      <c r="S105" s="90" t="str">
        <f aca="false">IF($B105="","",الموظفون!$Q105*IF(E105="سعودي",cfg_G_SE,cfg_G_NE)*F105/cfg_DAYS_M)</f>
        <v/>
      </c>
      <c r="T105" s="90" t="str">
        <f aca="false">IF($B105="","",SUMIFS('الحركات الشهرية'!$I$6:$I$1005,'الحركات الشهرية'!$B$6:$B$1005,$B105,'الحركات الشهرية'!$A$6:$A$1005,$C$3))</f>
        <v/>
      </c>
      <c r="U105" s="90" t="str">
        <f aca="false">IF($B105="","",SUMIFS('الحركات الشهرية'!$J$6:$J$1005,'الحركات الشهرية'!$B$6:$B$1005,$B105,'الحركات الشهرية'!$A$6:$A$1005,$C$3))</f>
        <v/>
      </c>
      <c r="V105" s="90" t="str">
        <f aca="false">IF($B105="","",SUM(S105:U105))</f>
        <v/>
      </c>
      <c r="W105" s="112" t="str">
        <f aca="false">IF($B105="","",R105-V105)</f>
        <v/>
      </c>
      <c r="X105" s="90" t="str">
        <f aca="false">IF($B105="","",الموظفون!$Q105*IF(E105="سعودي",cfg_G_SR,cfg_G_NR)*F105/cfg_DAYS_M)</f>
        <v/>
      </c>
      <c r="Y105" s="90" t="str">
        <f aca="false">IF($B105="","",الموظفون!$O105*(cfg_EOS_R1*(MIN(AC105,cfg_EOS_TH)-MIN(AD105,cfg_EOS_TH))+cfg_EOS_R2*(MAX(AC105-cfg_EOS_TH,0)-MAX(AD105-cfg_EOS_TH,0))))</f>
        <v/>
      </c>
      <c r="Z105" s="90" t="str">
        <f aca="false">IF($B105="","",IF(الموظفون!$R105&lt;&gt;"",الموظفون!$R105,IF(AC105&gt;=cfg_LV_TH,cfg_LV_D2,cfg_LV_D1))/cfg_DAYS_Y*AE105*الموظفون!$P105/cfg_DAYS_M)</f>
        <v/>
      </c>
      <c r="AA105" s="90" t="str">
        <f aca="false">IF($B105="","",IF(AND(الموظفون!$S105="نعم",N(الموظفون!$U105)&gt;0),الموظفون!$T105/الموظفون!$U105*12/cfg_DAYS_Y*AE105,0))</f>
        <v/>
      </c>
      <c r="AB105" s="113" t="str">
        <f aca="false">IF($B105="","",R105+SUM(X105:AA105))</f>
        <v/>
      </c>
      <c r="AC105" s="114" t="str">
        <f aca="false">IF($B105="","",MAX(0,IF(OR(الموظفون!$X105="",الموظفون!$X105&gt;$G$3),$G$3,الموظفون!$X105)-الموظفون!$H105+1)/cfg_DAYS_Y)</f>
        <v/>
      </c>
      <c r="AD105" s="114" t="str">
        <f aca="false">IF($B105="","",MAX(0,IF(OR(الموظفون!$X105="",الموظفون!$X105&gt;($E$3-1)),($E$3-1),الموظفون!$X105)-الموظفون!$H105+1)/cfg_DAYS_Y)</f>
        <v/>
      </c>
      <c r="AE105" s="115" t="str">
        <f aca="false">IF($B105="","",MAX(0,IF(OR(الموظفون!$X105="",الموظفون!$X105&gt;$G$3),$G$3,الموظفون!$X105)-MAX($E$3,الموظفون!$H105)+1))</f>
        <v/>
      </c>
    </row>
    <row r="106" customFormat="false" ht="24" hidden="false" customHeight="true" outlineLevel="0" collapsed="false">
      <c r="A106" s="92"/>
      <c r="B106" s="92" t="str">
        <f aca="false">COUNTIF(F6:F105,"&gt;0")&amp;" موظف"</f>
        <v>12 موظف</v>
      </c>
      <c r="C106" s="92" t="s">
        <v>101</v>
      </c>
      <c r="D106" s="92"/>
      <c r="E106" s="92"/>
      <c r="F106" s="92"/>
      <c r="G106" s="116" t="n">
        <f aca="false">SUM(G6:G105)</f>
        <v>0</v>
      </c>
      <c r="H106" s="116" t="n">
        <f aca="false">SUM(H6:H105)</f>
        <v>0</v>
      </c>
      <c r="I106" s="116" t="n">
        <f aca="false">SUM(I6:I105)</f>
        <v>360</v>
      </c>
      <c r="J106" s="92" t="n">
        <f aca="false">SUM(J6:J105)</f>
        <v>141500</v>
      </c>
      <c r="K106" s="92" t="n">
        <f aca="false">SUM(K6:K105)</f>
        <v>35375</v>
      </c>
      <c r="L106" s="92" t="n">
        <f aca="false">SUM(L6:L105)</f>
        <v>14150</v>
      </c>
      <c r="M106" s="92" t="n">
        <f aca="false">SUM(M6:M105)</f>
        <v>10300</v>
      </c>
      <c r="N106" s="116" t="n">
        <f aca="false">SUM(N6:N105)</f>
        <v>0</v>
      </c>
      <c r="O106" s="92" t="n">
        <f aca="false">SUM(O6:O105)</f>
        <v>0</v>
      </c>
      <c r="P106" s="92" t="n">
        <f aca="false">SUM(P6:P105)</f>
        <v>6500</v>
      </c>
      <c r="Q106" s="92" t="n">
        <f aca="false">SUM(Q6:Q105)</f>
        <v>0</v>
      </c>
      <c r="R106" s="92" t="n">
        <f aca="false">SUM(R6:R105)</f>
        <v>207825</v>
      </c>
      <c r="S106" s="92" t="n">
        <f aca="false">SUM(S6:S105)</f>
        <v>12370.3125</v>
      </c>
      <c r="T106" s="92" t="n">
        <f aca="false">SUM(T6:T105)</f>
        <v>0</v>
      </c>
      <c r="U106" s="92" t="n">
        <f aca="false">SUM(U6:U105)</f>
        <v>0</v>
      </c>
      <c r="V106" s="92" t="n">
        <f aca="false">SUM(V6:V105)</f>
        <v>12370.3125</v>
      </c>
      <c r="W106" s="92" t="n">
        <f aca="false">SUM(W6:W105)</f>
        <v>195454.6875</v>
      </c>
      <c r="X106" s="92" t="n">
        <f aca="false">SUM(X6:X105)</f>
        <v>15907.8125</v>
      </c>
      <c r="Y106" s="92" t="n">
        <f aca="false">SUM(Y6:Y105)</f>
        <v>14119.5205479452</v>
      </c>
      <c r="Z106" s="92" t="n">
        <f aca="false">SUM(Z6:Z105)</f>
        <v>14751.9863013699</v>
      </c>
      <c r="AA106" s="92" t="n">
        <f aca="false">SUM(AA6:AA105)</f>
        <v>928.767123287671</v>
      </c>
      <c r="AB106" s="92" t="n">
        <f aca="false">SUM(AB6:AB105)</f>
        <v>253533.086472603</v>
      </c>
      <c r="AC106" s="92"/>
      <c r="AD106" s="92"/>
      <c r="AE106" s="92"/>
    </row>
    <row r="107" customFormat="false" ht="43.5" hidden="false" customHeight="true" outlineLevel="0" collapsed="false">
      <c r="A107" s="21" t="s">
        <v>347</v>
      </c>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row>
  </sheetData>
  <autoFilter ref="A5:AE105"/>
  <mergeCells count="5">
    <mergeCell ref="A1:AB1"/>
    <mergeCell ref="A2:AB2"/>
    <mergeCell ref="J3:K3"/>
    <mergeCell ref="L3:M3"/>
    <mergeCell ref="A107:AE107"/>
  </mergeCells>
  <conditionalFormatting sqref="H3">
    <cfRule type="expression" priority="2" aboveAverage="0" equalAverage="0" bottom="0" percent="0" rank="0" text="" dxfId="0">
      <formula>ISNUMBER(SEARCH("✔",H3))</formula>
    </cfRule>
    <cfRule type="expression" priority="3" aboveAverage="0" equalAverage="0" bottom="0" percent="0" rank="0" text="" dxfId="1">
      <formula>ISNUMBER(SEARCH("✖",H3))</formula>
    </cfRule>
    <cfRule type="expression" priority="4" aboveAverage="0" equalAverage="0" bottom="0" percent="0" rank="0" text="" dxfId="2">
      <formula>ISNUMBER(SEARCH("⚠",H3))</formula>
    </cfRule>
  </conditionalFormatting>
  <conditionalFormatting sqref="A6:AE105">
    <cfRule type="expression" priority="5" aboveAverage="0" equalAverage="0" bottom="0" percent="0" rank="0" text="" dxfId="20">
      <formula>AND($B6&lt;&gt;"",$F6=0)</formula>
    </cfRule>
  </conditionalFormatting>
  <conditionalFormatting sqref="W6:W105">
    <cfRule type="expression" priority="6" aboveAverage="0" equalAverage="0" bottom="0" percent="0" rank="0" text="" dxfId="1">
      <formula>AND(ISNUMBER(W6),W6&lt;0)</formula>
    </cfRule>
  </conditionalFormatting>
  <hyperlinks>
    <hyperlink ref="J3" location="'مسير مايو'!A1" display="◀ الشهر السابق"/>
    <hyperlink ref="L3" location="'مسير يوليو'!A1" display="الشهر التالي ▶"/>
    <hyperlink ref="O3" location="'الرئيسية'!A1" display="🏠 الرئيسية"/>
    <hyperlink ref="P3" location="'لوحة التحكم'!A1" display="📊 لوحة التحكم"/>
    <hyperlink ref="R3" location="'الموظفون'!A1" display="👥 الموظفون"/>
    <hyperlink ref="S3" location="'الحركات الشهرية'!A1" display="✍ الحركات"/>
    <hyperlink ref="U3" location="'الملخص الشهري'!A1" display="📅 الملخص الشهري"/>
    <hyperlink ref="W3" location="'قيود الرواتب'!A1" display="🧾 القيود"/>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791F"/>
    <pageSetUpPr fitToPage="true"/>
  </sheetPr>
  <dimension ref="A1:AE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9"/>
    <col collapsed="false" customWidth="true" hidden="false" outlineLevel="0" max="8" min="7" style="0" width="8"/>
    <col collapsed="false" customWidth="true" hidden="false" outlineLevel="0" max="9" min="9" style="0" width="9"/>
    <col collapsed="false" customWidth="true" hidden="false" outlineLevel="0" max="10" min="10" style="0" width="12"/>
    <col collapsed="false" customWidth="true" hidden="false" outlineLevel="0" max="11" min="11" style="0" width="11"/>
    <col collapsed="false" customWidth="true" hidden="false" outlineLevel="0" max="13" min="12" style="0" width="10"/>
    <col collapsed="false" customWidth="true" hidden="false" outlineLevel="0" max="14" min="14" style="0" width="8"/>
    <col collapsed="false" customWidth="true" hidden="false" outlineLevel="0" max="17" min="15" style="0" width="11"/>
    <col collapsed="false" customWidth="true" hidden="false" outlineLevel="0" max="18" min="18" style="0" width="13"/>
    <col collapsed="false" customWidth="true" hidden="false" outlineLevel="0" max="19" min="19" style="0" width="11"/>
    <col collapsed="false" customWidth="true" hidden="false" outlineLevel="0" max="21" min="20" style="0" width="10"/>
    <col collapsed="false" customWidth="true" hidden="false" outlineLevel="0" max="22" min="22" style="0" width="12"/>
    <col collapsed="false" customWidth="true" hidden="false" outlineLevel="0" max="23" min="23" style="0" width="13"/>
    <col collapsed="false" customWidth="true" hidden="false" outlineLevel="0" max="24" min="24" style="0" width="11"/>
    <col collapsed="false" customWidth="true" hidden="false" outlineLevel="0" max="25" min="25" style="0" width="12"/>
    <col collapsed="false" customWidth="true" hidden="false" outlineLevel="0" max="27" min="26" style="0" width="11"/>
    <col collapsed="false" customWidth="true" hidden="false" outlineLevel="0" max="28" min="28" style="0" width="13"/>
    <col collapsed="false" customWidth="true" hidden="false" outlineLevel="0" max="31" min="29" style="0" width="9"/>
  </cols>
  <sheetData>
    <row r="1" customFormat="false" ht="37.5" hidden="false" customHeight="true" outlineLevel="0" collapsed="false">
      <c r="A1" s="1" t="str">
        <f aca="false">"💵 مسير رواتب شهر يوليو "&amp;cfg_FY</f>
        <v>💵 مسير رواتب شهر يوليو 2026</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9.5" hidden="false" customHeight="true" outlineLevel="0" collapsed="false">
      <c r="A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row>
    <row r="3" customFormat="false" ht="25.5" hidden="false" customHeight="true" outlineLevel="0" collapsed="false">
      <c r="B3" s="93" t="s">
        <v>103</v>
      </c>
      <c r="C3" s="94" t="n">
        <v>7</v>
      </c>
      <c r="D3" s="93" t="s">
        <v>322</v>
      </c>
      <c r="E3" s="95" t="n">
        <f aca="false">DATE(cfg_FY,C3,1)</f>
        <v>46204</v>
      </c>
      <c r="F3" s="93" t="s">
        <v>323</v>
      </c>
      <c r="G3" s="95" t="n">
        <f aca="false">EOMONTH(E3,0)</f>
        <v>46234</v>
      </c>
      <c r="H3" s="96" t="str">
        <f aca="false">IF(C3&lt;=cfg_VAL_M,"✔ فعلي","⚠ متوقع")</f>
        <v>✔ فعلي</v>
      </c>
      <c r="J3" s="97" t="s">
        <v>348</v>
      </c>
      <c r="K3" s="97"/>
      <c r="L3" s="97" t="s">
        <v>324</v>
      </c>
      <c r="M3" s="97"/>
      <c r="O3" s="22" t="s">
        <v>61</v>
      </c>
      <c r="P3" s="12" t="s">
        <v>111</v>
      </c>
      <c r="R3" s="23" t="s">
        <v>63</v>
      </c>
      <c r="S3" s="23" t="s">
        <v>64</v>
      </c>
      <c r="U3" s="23" t="s">
        <v>39</v>
      </c>
      <c r="W3" s="23" t="s">
        <v>65</v>
      </c>
    </row>
    <row r="4" customFormat="false" ht="7.5" hidden="false" customHeight="true" outlineLevel="0" collapsed="false"/>
    <row r="5" customFormat="false" ht="48" hidden="false" customHeight="true" outlineLevel="0" collapsed="false">
      <c r="A5" s="98" t="s">
        <v>207</v>
      </c>
      <c r="B5" s="98" t="s">
        <v>208</v>
      </c>
      <c r="C5" s="98" t="s">
        <v>209</v>
      </c>
      <c r="D5" s="98" t="s">
        <v>96</v>
      </c>
      <c r="E5" s="98" t="s">
        <v>84</v>
      </c>
      <c r="F5" s="99" t="s">
        <v>325</v>
      </c>
      <c r="G5" s="99" t="s">
        <v>326</v>
      </c>
      <c r="H5" s="99" t="s">
        <v>327</v>
      </c>
      <c r="I5" s="99" t="s">
        <v>328</v>
      </c>
      <c r="J5" s="100" t="s">
        <v>329</v>
      </c>
      <c r="K5" s="100" t="s">
        <v>330</v>
      </c>
      <c r="L5" s="100" t="s">
        <v>331</v>
      </c>
      <c r="M5" s="100" t="s">
        <v>332</v>
      </c>
      <c r="N5" s="100" t="s">
        <v>333</v>
      </c>
      <c r="O5" s="100" t="s">
        <v>334</v>
      </c>
      <c r="P5" s="100" t="s">
        <v>298</v>
      </c>
      <c r="Q5" s="100" t="s">
        <v>335</v>
      </c>
      <c r="R5" s="100" t="s">
        <v>74</v>
      </c>
      <c r="S5" s="101" t="s">
        <v>336</v>
      </c>
      <c r="T5" s="101" t="s">
        <v>300</v>
      </c>
      <c r="U5" s="101" t="s">
        <v>301</v>
      </c>
      <c r="V5" s="101" t="s">
        <v>337</v>
      </c>
      <c r="W5" s="102" t="s">
        <v>338</v>
      </c>
      <c r="X5" s="103" t="s">
        <v>339</v>
      </c>
      <c r="Y5" s="103" t="s">
        <v>340</v>
      </c>
      <c r="Z5" s="103" t="s">
        <v>341</v>
      </c>
      <c r="AA5" s="103" t="s">
        <v>342</v>
      </c>
      <c r="AB5" s="103" t="s">
        <v>343</v>
      </c>
      <c r="AC5" s="104" t="s">
        <v>344</v>
      </c>
      <c r="AD5" s="104" t="s">
        <v>345</v>
      </c>
      <c r="AE5" s="104" t="s">
        <v>346</v>
      </c>
    </row>
    <row r="6" customFormat="false" ht="15" hidden="false" customHeight="false" outlineLevel="0" collapsed="false">
      <c r="A6" s="83" t="n">
        <f aca="false">IF($B6="","",الموظفون!$A6)</f>
        <v>1</v>
      </c>
      <c r="B6" s="74" t="str">
        <f aca="false">IF(الموظفون!$B6="","",الموظفون!$B6)</f>
        <v>E001</v>
      </c>
      <c r="C6" s="74" t="str">
        <f aca="false">IF($B6="","",الموظفون!$C6)</f>
        <v>عبدالله محمد العتيبي</v>
      </c>
      <c r="D6" s="74" t="str">
        <f aca="false">IF($B6="","",الموظفون!$F6)</f>
        <v>الإدارة العليا</v>
      </c>
      <c r="E6" s="74" t="str">
        <f aca="false">IF($B6="","",الموظفون!$E6)</f>
        <v>سعودي</v>
      </c>
      <c r="F6" s="105" t="n">
        <f aca="false">IF($B6="","",IF(AE6&gt;=DAY($G$3),cfg_DAYS_M,MIN(AE6,cfg_DAYS_M)))</f>
        <v>30</v>
      </c>
      <c r="G6" s="105" t="n">
        <f aca="false">IF($B6="","",SUMIFS('الحركات الشهرية'!$D$6:$D$1005,'الحركات الشهرية'!$B$6:$B$1005,$B6,'الحركات الشهرية'!$A$6:$A$1005,$C$3))</f>
        <v>0</v>
      </c>
      <c r="H6" s="105" t="n">
        <f aca="false">IF($B6="","",SUMIFS('الحركات الشهرية'!$E$6:$E$1005,'الحركات الشهرية'!$B$6:$B$1005,$B6,'الحركات الشهرية'!$A$6:$A$1005,$C$3))</f>
        <v>0</v>
      </c>
      <c r="I6" s="105" t="n">
        <f aca="false">IF($B6="","",MAX(0,F6-G6-H6))</f>
        <v>30</v>
      </c>
      <c r="J6" s="86" t="n">
        <f aca="false">IF($B6="","",الموظفون!$J6*$I6/cfg_DAYS_M)</f>
        <v>28000</v>
      </c>
      <c r="K6" s="86" t="n">
        <f aca="false">IF($B6="","",الموظفون!$K6*$I6/cfg_DAYS_M)</f>
        <v>7000</v>
      </c>
      <c r="L6" s="86" t="n">
        <f aca="false">IF($B6="","",الموظفون!$L6*$I6/cfg_DAYS_M)</f>
        <v>2800</v>
      </c>
      <c r="M6" s="86" t="n">
        <f aca="false">IF($B6="","",الموظفون!$M6*$I6/cfg_DAYS_M)</f>
        <v>3000</v>
      </c>
      <c r="N6" s="105" t="n">
        <f aca="false">IF($B6="","",SUMIFS('الحركات الشهرية'!$F$6:$F$1005,'الحركات الشهرية'!$B$6:$B$1005,$B6,'الحركات الشهرية'!$A$6:$A$1005,$C$3))</f>
        <v>0</v>
      </c>
      <c r="O6" s="86" t="n">
        <f aca="false">IF($B6="","",N6*(الموظفون!$N6+الموظفون!$J6*cfg_OT_P)/cfg_DAYS_M/cfg_HRS)</f>
        <v>0</v>
      </c>
      <c r="P6" s="86" t="n">
        <f aca="false">IF($B6="","",SUMIFS('الحركات الشهرية'!$G$6:$G$1005,'الحركات الشهرية'!$B$6:$B$1005,$B6,'الحركات الشهرية'!$A$6:$A$1005,$C$3))</f>
        <v>0</v>
      </c>
      <c r="Q6" s="86" t="n">
        <f aca="false">IF($B6="","",SUMIFS('الحركات الشهرية'!$H$6:$H$1005,'الحركات الشهرية'!$B$6:$B$1005,$B6,'الحركات الشهرية'!$A$6:$A$1005,$C$3))</f>
        <v>0</v>
      </c>
      <c r="R6" s="106" t="n">
        <f aca="false">IF($B6="","",SUM(J6:M6)+SUM(O6:Q6))</f>
        <v>40800</v>
      </c>
      <c r="S6" s="86" t="n">
        <f aca="false">IF($B6="","",الموظفون!$Q6*IF(E6="سعودي",cfg_G_SE,cfg_G_NE)*F6/cfg_DAYS_M)</f>
        <v>3412.5</v>
      </c>
      <c r="T6" s="86" t="n">
        <f aca="false">IF($B6="","",SUMIFS('الحركات الشهرية'!$I$6:$I$1005,'الحركات الشهرية'!$B$6:$B$1005,$B6,'الحركات الشهرية'!$A$6:$A$1005,$C$3))</f>
        <v>0</v>
      </c>
      <c r="U6" s="86" t="n">
        <f aca="false">IF($B6="","",SUMIFS('الحركات الشهرية'!$J$6:$J$1005,'الحركات الشهرية'!$B$6:$B$1005,$B6,'الحركات الشهرية'!$A$6:$A$1005,$C$3))</f>
        <v>0</v>
      </c>
      <c r="V6" s="86" t="n">
        <f aca="false">IF($B6="","",SUM(S6:U6))</f>
        <v>3412.5</v>
      </c>
      <c r="W6" s="107" t="n">
        <f aca="false">IF($B6="","",R6-V6)</f>
        <v>37387.5</v>
      </c>
      <c r="X6" s="86" t="n">
        <f aca="false">IF($B6="","",الموظفون!$Q6*IF(E6="سعودي",cfg_G_SR,cfg_G_NR)*F6/cfg_DAYS_M)</f>
        <v>4112.5</v>
      </c>
      <c r="Y6" s="86" t="n">
        <f aca="false">IF($B6="","",الموظفون!$O6*(cfg_EOS_R1*(MIN(AC6,cfg_EOS_TH)-MIN(AD6,cfg_EOS_TH))+cfg_EOS_R2*(MAX(AC6-cfg_EOS_TH,0)-MAX(AD6-cfg_EOS_TH,0))))</f>
        <v>3210.41095890413</v>
      </c>
      <c r="Z6" s="86" t="n">
        <f aca="false">IF($B6="","",IF(الموظفون!$R6&lt;&gt;"",الموظفون!$R6,IF(AC6&gt;=cfg_LV_TH,cfg_LV_D2,cfg_LV_D1))/cfg_DAYS_Y*AE6*الموظفون!$P6/cfg_DAYS_M)</f>
        <v>3210.41095890411</v>
      </c>
      <c r="AA6" s="86" t="n">
        <f aca="false">IF($B6="","",IF(AND(الموظفون!$S6="نعم",N(الموظفون!$U6)&gt;0),الموظفون!$T6/الموظفون!$U6*12/cfg_DAYS_Y*AE6,0))</f>
        <v>0</v>
      </c>
      <c r="AB6" s="108" t="n">
        <f aca="false">IF($B6="","",R6+SUM(X6:AA6))</f>
        <v>51333.3219178082</v>
      </c>
      <c r="AC6" s="109" t="n">
        <f aca="false">IF($B6="","",MAX(0,IF(OR(الموظفون!$X6="",الموظفون!$X6&gt;$G$3),$G$3,الموظفون!$X6)-الموظفون!$H6+1)/cfg_DAYS_Y)</f>
        <v>14.5534246575342</v>
      </c>
      <c r="AD6" s="109" t="n">
        <f aca="false">IF($B6="","",MAX(0,IF(OR(الموظفون!$X6="",الموظفون!$X6&gt;($E$3-1)),($E$3-1),الموظفون!$X6)-الموظفون!$H6+1)/cfg_DAYS_Y)</f>
        <v>14.4684931506849</v>
      </c>
      <c r="AE6" s="51" t="n">
        <f aca="false">IF($B6="","",MAX(0,IF(OR(الموظفون!$X6="",الموظفون!$X6&gt;$G$3),$G$3,الموظفون!$X6)-MAX($E$3,الموظفون!$H6)+1))</f>
        <v>31</v>
      </c>
    </row>
    <row r="7" customFormat="false" ht="15" hidden="false" customHeight="false" outlineLevel="0" collapsed="false">
      <c r="A7" s="89" t="n">
        <f aca="false">IF($B7="","",الموظفون!$A7)</f>
        <v>2</v>
      </c>
      <c r="B7" s="91" t="str">
        <f aca="false">IF(الموظفون!$B7="","",الموظفون!$B7)</f>
        <v>E002</v>
      </c>
      <c r="C7" s="91" t="str">
        <f aca="false">IF($B7="","",الموظفون!$C7)</f>
        <v>أحمد سعيد القحطاني</v>
      </c>
      <c r="D7" s="91" t="str">
        <f aca="false">IF($B7="","",الموظفون!$F7)</f>
        <v>المالية</v>
      </c>
      <c r="E7" s="91" t="str">
        <f aca="false">IF($B7="","",الموظفون!$E7)</f>
        <v>سعودي</v>
      </c>
      <c r="F7" s="110" t="n">
        <f aca="false">IF($B7="","",IF(AE7&gt;=DAY($G$3),cfg_DAYS_M,MIN(AE7,cfg_DAYS_M)))</f>
        <v>30</v>
      </c>
      <c r="G7" s="110" t="n">
        <f aca="false">IF($B7="","",SUMIFS('الحركات الشهرية'!$D$6:$D$1005,'الحركات الشهرية'!$B$6:$B$1005,$B7,'الحركات الشهرية'!$A$6:$A$1005,$C$3))</f>
        <v>0</v>
      </c>
      <c r="H7" s="110" t="n">
        <f aca="false">IF($B7="","",SUMIFS('الحركات الشهرية'!$E$6:$E$1005,'الحركات الشهرية'!$B$6:$B$1005,$B7,'الحركات الشهرية'!$A$6:$A$1005,$C$3))</f>
        <v>0</v>
      </c>
      <c r="I7" s="110" t="n">
        <f aca="false">IF($B7="","",MAX(0,F7-G7-H7))</f>
        <v>30</v>
      </c>
      <c r="J7" s="90" t="n">
        <f aca="false">IF($B7="","",الموظفون!$J7*$I7/cfg_DAYS_M)</f>
        <v>18000</v>
      </c>
      <c r="K7" s="90" t="n">
        <f aca="false">IF($B7="","",الموظفون!$K7*$I7/cfg_DAYS_M)</f>
        <v>4500</v>
      </c>
      <c r="L7" s="90" t="n">
        <f aca="false">IF($B7="","",الموظفون!$L7*$I7/cfg_DAYS_M)</f>
        <v>1800</v>
      </c>
      <c r="M7" s="90" t="n">
        <f aca="false">IF($B7="","",الموظفون!$M7*$I7/cfg_DAYS_M)</f>
        <v>1000</v>
      </c>
      <c r="N7" s="110" t="n">
        <f aca="false">IF($B7="","",SUMIFS('الحركات الشهرية'!$F$6:$F$1005,'الحركات الشهرية'!$B$6:$B$1005,$B7,'الحركات الشهرية'!$A$6:$A$1005,$C$3))</f>
        <v>0</v>
      </c>
      <c r="O7" s="90" t="n">
        <f aca="false">IF($B7="","",N7*(الموظفون!$N7+الموظفون!$J7*cfg_OT_P)/cfg_DAYS_M/cfg_HRS)</f>
        <v>0</v>
      </c>
      <c r="P7" s="90" t="n">
        <f aca="false">IF($B7="","",SUMIFS('الحركات الشهرية'!$G$6:$G$1005,'الحركات الشهرية'!$B$6:$B$1005,$B7,'الحركات الشهرية'!$A$6:$A$1005,$C$3))</f>
        <v>0</v>
      </c>
      <c r="Q7" s="90" t="n">
        <f aca="false">IF($B7="","",SUMIFS('الحركات الشهرية'!$H$6:$H$1005,'الحركات الشهرية'!$B$6:$B$1005,$B7,'الحركات الشهرية'!$A$6:$A$1005,$C$3))</f>
        <v>0</v>
      </c>
      <c r="R7" s="111" t="n">
        <f aca="false">IF($B7="","",SUM(J7:M7)+SUM(O7:Q7))</f>
        <v>25300</v>
      </c>
      <c r="S7" s="90" t="n">
        <f aca="false">IF($B7="","",الموظفون!$Q7*IF(E7="سعودي",cfg_G_SE,cfg_G_NE)*F7/cfg_DAYS_M)</f>
        <v>2193.75</v>
      </c>
      <c r="T7" s="90" t="n">
        <f aca="false">IF($B7="","",SUMIFS('الحركات الشهرية'!$I$6:$I$1005,'الحركات الشهرية'!$B$6:$B$1005,$B7,'الحركات الشهرية'!$A$6:$A$1005,$C$3))</f>
        <v>0</v>
      </c>
      <c r="U7" s="90" t="n">
        <f aca="false">IF($B7="","",SUMIFS('الحركات الشهرية'!$J$6:$J$1005,'الحركات الشهرية'!$B$6:$B$1005,$B7,'الحركات الشهرية'!$A$6:$A$1005,$C$3))</f>
        <v>0</v>
      </c>
      <c r="V7" s="90" t="n">
        <f aca="false">IF($B7="","",SUM(S7:U7))</f>
        <v>2193.75</v>
      </c>
      <c r="W7" s="112" t="n">
        <f aca="false">IF($B7="","",R7-V7)</f>
        <v>23106.25</v>
      </c>
      <c r="X7" s="90" t="n">
        <f aca="false">IF($B7="","",الموظفون!$Q7*IF(E7="سعودي",cfg_G_SR,cfg_G_NR)*F7/cfg_DAYS_M)</f>
        <v>2643.75</v>
      </c>
      <c r="Y7" s="90" t="n">
        <f aca="false">IF($B7="","",الموظفون!$O7*(cfg_EOS_R1*(MIN(AC7,cfg_EOS_TH)-MIN(AD7,cfg_EOS_TH))+cfg_EOS_R2*(MAX(AC7-cfg_EOS_TH,0)-MAX(AD7-cfg_EOS_TH,0))))</f>
        <v>2063.83561643837</v>
      </c>
      <c r="Z7" s="90" t="n">
        <f aca="false">IF($B7="","",IF(الموظفون!$R7&lt;&gt;"",الموظفون!$R7,IF(AC7&gt;=cfg_LV_TH,cfg_LV_D2,cfg_LV_D1))/cfg_DAYS_Y*AE7*الموظفون!$P7/cfg_DAYS_M)</f>
        <v>2063.83561643836</v>
      </c>
      <c r="AA7" s="90" t="n">
        <f aca="false">IF($B7="","",IF(AND(الموظفون!$S7="نعم",N(الموظفون!$U7)&gt;0),الموظفون!$T7/الموظفون!$U7*12/cfg_DAYS_Y*AE7,0))</f>
        <v>0</v>
      </c>
      <c r="AB7" s="113" t="n">
        <f aca="false">IF($B7="","",R7+SUM(X7:AA7))</f>
        <v>32071.4212328767</v>
      </c>
      <c r="AC7" s="114" t="n">
        <f aca="false">IF($B7="","",MAX(0,IF(OR(الموظفون!$X7="",الموظفون!$X7&gt;$G$3),$G$3,الموظفون!$X7)-الموظفون!$H7+1)/cfg_DAYS_Y)</f>
        <v>10.172602739726</v>
      </c>
      <c r="AD7" s="114" t="n">
        <f aca="false">IF($B7="","",MAX(0,IF(OR(الموظفون!$X7="",الموظفون!$X7&gt;($E$3-1)),($E$3-1),الموظفون!$X7)-الموظفون!$H7+1)/cfg_DAYS_Y)</f>
        <v>10.0876712328767</v>
      </c>
      <c r="AE7" s="115" t="n">
        <f aca="false">IF($B7="","",MAX(0,IF(OR(الموظفون!$X7="",الموظفون!$X7&gt;$G$3),$G$3,الموظفون!$X7)-MAX($E$3,الموظفون!$H7)+1))</f>
        <v>31</v>
      </c>
    </row>
    <row r="8" customFormat="false" ht="15" hidden="false" customHeight="false" outlineLevel="0" collapsed="false">
      <c r="A8" s="83" t="n">
        <f aca="false">IF($B8="","",الموظفون!$A8)</f>
        <v>3</v>
      </c>
      <c r="B8" s="74" t="str">
        <f aca="false">IF(الموظفون!$B8="","",الموظفون!$B8)</f>
        <v>E003</v>
      </c>
      <c r="C8" s="74" t="str">
        <f aca="false">IF($B8="","",الموظفون!$C8)</f>
        <v>محمد علي حسن</v>
      </c>
      <c r="D8" s="74" t="str">
        <f aca="false">IF($B8="","",الموظفون!$F8)</f>
        <v>المالية</v>
      </c>
      <c r="E8" s="74" t="str">
        <f aca="false">IF($B8="","",الموظفون!$E8)</f>
        <v>غير سعودي</v>
      </c>
      <c r="F8" s="105" t="n">
        <f aca="false">IF($B8="","",IF(AE8&gt;=DAY($G$3),cfg_DAYS_M,MIN(AE8,cfg_DAYS_M)))</f>
        <v>30</v>
      </c>
      <c r="G8" s="105" t="n">
        <f aca="false">IF($B8="","",SUMIFS('الحركات الشهرية'!$D$6:$D$1005,'الحركات الشهرية'!$B$6:$B$1005,$B8,'الحركات الشهرية'!$A$6:$A$1005,$C$3))</f>
        <v>0</v>
      </c>
      <c r="H8" s="105" t="n">
        <f aca="false">IF($B8="","",SUMIFS('الحركات الشهرية'!$E$6:$E$1005,'الحركات الشهرية'!$B$6:$B$1005,$B8,'الحركات الشهرية'!$A$6:$A$1005,$C$3))</f>
        <v>0</v>
      </c>
      <c r="I8" s="105" t="n">
        <f aca="false">IF($B8="","",MAX(0,F8-G8-H8))</f>
        <v>30</v>
      </c>
      <c r="J8" s="86" t="n">
        <f aca="false">IF($B8="","",الموظفون!$J8*$I8/cfg_DAYS_M)</f>
        <v>8500</v>
      </c>
      <c r="K8" s="86" t="n">
        <f aca="false">IF($B8="","",الموظفون!$K8*$I8/cfg_DAYS_M)</f>
        <v>2125</v>
      </c>
      <c r="L8" s="86" t="n">
        <f aca="false">IF($B8="","",الموظفون!$L8*$I8/cfg_DAYS_M)</f>
        <v>850</v>
      </c>
      <c r="M8" s="86" t="n">
        <f aca="false">IF($B8="","",الموظفون!$M8*$I8/cfg_DAYS_M)</f>
        <v>500</v>
      </c>
      <c r="N8" s="105" t="n">
        <f aca="false">IF($B8="","",SUMIFS('الحركات الشهرية'!$F$6:$F$1005,'الحركات الشهرية'!$B$6:$B$1005,$B8,'الحركات الشهرية'!$A$6:$A$1005,$C$3))</f>
        <v>0</v>
      </c>
      <c r="O8" s="86" t="n">
        <f aca="false">IF($B8="","",N8*(الموظفون!$N8+الموظفون!$J8*cfg_OT_P)/cfg_DAYS_M/cfg_HRS)</f>
        <v>0</v>
      </c>
      <c r="P8" s="86" t="n">
        <f aca="false">IF($B8="","",SUMIFS('الحركات الشهرية'!$G$6:$G$1005,'الحركات الشهرية'!$B$6:$B$1005,$B8,'الحركات الشهرية'!$A$6:$A$1005,$C$3))</f>
        <v>0</v>
      </c>
      <c r="Q8" s="86" t="n">
        <f aca="false">IF($B8="","",SUMIFS('الحركات الشهرية'!$H$6:$H$1005,'الحركات الشهرية'!$B$6:$B$1005,$B8,'الحركات الشهرية'!$A$6:$A$1005,$C$3))</f>
        <v>0</v>
      </c>
      <c r="R8" s="106" t="n">
        <f aca="false">IF($B8="","",SUM(J8:M8)+SUM(O8:Q8))</f>
        <v>11975</v>
      </c>
      <c r="S8" s="86" t="n">
        <f aca="false">IF($B8="","",الموظفون!$Q8*IF(E8="سعودي",cfg_G_SE,cfg_G_NE)*F8/cfg_DAYS_M)</f>
        <v>0</v>
      </c>
      <c r="T8" s="86" t="n">
        <f aca="false">IF($B8="","",SUMIFS('الحركات الشهرية'!$I$6:$I$1005,'الحركات الشهرية'!$B$6:$B$1005,$B8,'الحركات الشهرية'!$A$6:$A$1005,$C$3))</f>
        <v>0</v>
      </c>
      <c r="U8" s="86" t="n">
        <f aca="false">IF($B8="","",SUMIFS('الحركات الشهرية'!$J$6:$J$1005,'الحركات الشهرية'!$B$6:$B$1005,$B8,'الحركات الشهرية'!$A$6:$A$1005,$C$3))</f>
        <v>0</v>
      </c>
      <c r="V8" s="86" t="n">
        <f aca="false">IF($B8="","",SUM(S8:U8))</f>
        <v>0</v>
      </c>
      <c r="W8" s="107" t="n">
        <f aca="false">IF($B8="","",R8-V8)</f>
        <v>11975</v>
      </c>
      <c r="X8" s="86" t="n">
        <f aca="false">IF($B8="","",الموظفون!$Q8*IF(E8="سعودي",cfg_G_SR,cfg_G_NR)*F8/cfg_DAYS_M)</f>
        <v>212.5</v>
      </c>
      <c r="Y8" s="86" t="n">
        <f aca="false">IF($B8="","",الموظفون!$O8*(cfg_EOS_R1*(MIN(AC8,cfg_EOS_TH)-MIN(AD8,cfg_EOS_TH))+cfg_EOS_R2*(MAX(AC8-cfg_EOS_TH,0)-MAX(AD8-cfg_EOS_TH,0))))</f>
        <v>974.589041095885</v>
      </c>
      <c r="Z8" s="86" t="n">
        <f aca="false">IF($B8="","",IF(الموظفون!$R8&lt;&gt;"",الموظفون!$R8,IF(AC8&gt;=cfg_LV_TH,cfg_LV_D2,cfg_LV_D1))/cfg_DAYS_Y*AE8*الموظفون!$P8/cfg_DAYS_M)</f>
        <v>974.589041095891</v>
      </c>
      <c r="AA8" s="86" t="n">
        <f aca="false">IF($B8="","",IF(AND(الموظفون!$S8="نعم",N(الموظفون!$U8)&gt;0),الموظفون!$T8/الموظفون!$U8*12/cfg_DAYS_Y*AE8,0))</f>
        <v>135.890410958904</v>
      </c>
      <c r="AB8" s="108" t="n">
        <f aca="false">IF($B8="","",R8+SUM(X8:AA8))</f>
        <v>14272.5684931507</v>
      </c>
      <c r="AC8" s="109" t="n">
        <f aca="false">IF($B8="","",MAX(0,IF(OR(الموظفون!$X8="",الموظفون!$X8&gt;$G$3),$G$3,الموظفون!$X8)-الموظفون!$H8+1)/cfg_DAYS_Y)</f>
        <v>7.8958904109589</v>
      </c>
      <c r="AD8" s="109" t="n">
        <f aca="false">IF($B8="","",MAX(0,IF(OR(الموظفون!$X8="",الموظفون!$X8&gt;($E$3-1)),($E$3-1),الموظفون!$X8)-الموظفون!$H8+1)/cfg_DAYS_Y)</f>
        <v>7.81095890410959</v>
      </c>
      <c r="AE8" s="51" t="n">
        <f aca="false">IF($B8="","",MAX(0,IF(OR(الموظفون!$X8="",الموظفون!$X8&gt;$G$3),$G$3,الموظفون!$X8)-MAX($E$3,الموظفون!$H8)+1))</f>
        <v>31</v>
      </c>
    </row>
    <row r="9" customFormat="false" ht="15" hidden="false" customHeight="false" outlineLevel="0" collapsed="false">
      <c r="A9" s="89" t="n">
        <f aca="false">IF($B9="","",الموظفون!$A9)</f>
        <v>4</v>
      </c>
      <c r="B9" s="91" t="str">
        <f aca="false">IF(الموظفون!$B9="","",الموظفون!$B9)</f>
        <v>E004</v>
      </c>
      <c r="C9" s="91" t="str">
        <f aca="false">IF($B9="","",الموظفون!$C9)</f>
        <v>نورة خالد الدوسري</v>
      </c>
      <c r="D9" s="91" t="str">
        <f aca="false">IF($B9="","",الموظفون!$F9)</f>
        <v>الموارد البشرية</v>
      </c>
      <c r="E9" s="91" t="str">
        <f aca="false">IF($B9="","",الموظفون!$E9)</f>
        <v>سعودي</v>
      </c>
      <c r="F9" s="110" t="n">
        <f aca="false">IF($B9="","",IF(AE9&gt;=DAY($G$3),cfg_DAYS_M,MIN(AE9,cfg_DAYS_M)))</f>
        <v>30</v>
      </c>
      <c r="G9" s="110" t="n">
        <f aca="false">IF($B9="","",SUMIFS('الحركات الشهرية'!$D$6:$D$1005,'الحركات الشهرية'!$B$6:$B$1005,$B9,'الحركات الشهرية'!$A$6:$A$1005,$C$3))</f>
        <v>0</v>
      </c>
      <c r="H9" s="110" t="n">
        <f aca="false">IF($B9="","",SUMIFS('الحركات الشهرية'!$E$6:$E$1005,'الحركات الشهرية'!$B$6:$B$1005,$B9,'الحركات الشهرية'!$A$6:$A$1005,$C$3))</f>
        <v>0</v>
      </c>
      <c r="I9" s="110" t="n">
        <f aca="false">IF($B9="","",MAX(0,F9-G9-H9))</f>
        <v>30</v>
      </c>
      <c r="J9" s="90" t="n">
        <f aca="false">IF($B9="","",الموظفون!$J9*$I9/cfg_DAYS_M)</f>
        <v>14000</v>
      </c>
      <c r="K9" s="90" t="n">
        <f aca="false">IF($B9="","",الموظفون!$K9*$I9/cfg_DAYS_M)</f>
        <v>3500</v>
      </c>
      <c r="L9" s="90" t="n">
        <f aca="false">IF($B9="","",الموظفون!$L9*$I9/cfg_DAYS_M)</f>
        <v>1400</v>
      </c>
      <c r="M9" s="90" t="n">
        <f aca="false">IF($B9="","",الموظفون!$M9*$I9/cfg_DAYS_M)</f>
        <v>0</v>
      </c>
      <c r="N9" s="110" t="n">
        <f aca="false">IF($B9="","",SUMIFS('الحركات الشهرية'!$F$6:$F$1005,'الحركات الشهرية'!$B$6:$B$1005,$B9,'الحركات الشهرية'!$A$6:$A$1005,$C$3))</f>
        <v>0</v>
      </c>
      <c r="O9" s="90" t="n">
        <f aca="false">IF($B9="","",N9*(الموظفون!$N9+الموظفون!$J9*cfg_OT_P)/cfg_DAYS_M/cfg_HRS)</f>
        <v>0</v>
      </c>
      <c r="P9" s="90" t="n">
        <f aca="false">IF($B9="","",SUMIFS('الحركات الشهرية'!$G$6:$G$1005,'الحركات الشهرية'!$B$6:$B$1005,$B9,'الحركات الشهرية'!$A$6:$A$1005,$C$3))</f>
        <v>0</v>
      </c>
      <c r="Q9" s="90" t="n">
        <f aca="false">IF($B9="","",SUMIFS('الحركات الشهرية'!$H$6:$H$1005,'الحركات الشهرية'!$B$6:$B$1005,$B9,'الحركات الشهرية'!$A$6:$A$1005,$C$3))</f>
        <v>0</v>
      </c>
      <c r="R9" s="111" t="n">
        <f aca="false">IF($B9="","",SUM(J9:M9)+SUM(O9:Q9))</f>
        <v>18900</v>
      </c>
      <c r="S9" s="90" t="n">
        <f aca="false">IF($B9="","",الموظفون!$Q9*IF(E9="سعودي",cfg_G_SE,cfg_G_NE)*F9/cfg_DAYS_M)</f>
        <v>1706.25</v>
      </c>
      <c r="T9" s="90" t="n">
        <f aca="false">IF($B9="","",SUMIFS('الحركات الشهرية'!$I$6:$I$1005,'الحركات الشهرية'!$B$6:$B$1005,$B9,'الحركات الشهرية'!$A$6:$A$1005,$C$3))</f>
        <v>0</v>
      </c>
      <c r="U9" s="90" t="n">
        <f aca="false">IF($B9="","",SUMIFS('الحركات الشهرية'!$J$6:$J$1005,'الحركات الشهرية'!$B$6:$B$1005,$B9,'الحركات الشهرية'!$A$6:$A$1005,$C$3))</f>
        <v>0</v>
      </c>
      <c r="V9" s="90" t="n">
        <f aca="false">IF($B9="","",SUM(S9:U9))</f>
        <v>1706.25</v>
      </c>
      <c r="W9" s="112" t="n">
        <f aca="false">IF($B9="","",R9-V9)</f>
        <v>17193.75</v>
      </c>
      <c r="X9" s="90" t="n">
        <f aca="false">IF($B9="","",الموظفون!$Q9*IF(E9="سعودي",cfg_G_SR,cfg_G_NR)*F9/cfg_DAYS_M)</f>
        <v>2056.25</v>
      </c>
      <c r="Y9" s="90" t="n">
        <f aca="false">IF($B9="","",الموظفون!$O9*(cfg_EOS_R1*(MIN(AC9,cfg_EOS_TH)-MIN(AD9,cfg_EOS_TH))+cfg_EOS_R2*(MAX(AC9-cfg_EOS_TH,0)-MAX(AD9-cfg_EOS_TH,0))))</f>
        <v>1605.20547945205</v>
      </c>
      <c r="Z9" s="90" t="n">
        <f aca="false">IF($B9="","",IF(الموظفون!$R9&lt;&gt;"",الموظفون!$R9,IF(AC9&gt;=cfg_LV_TH,cfg_LV_D2,cfg_LV_D1))/cfg_DAYS_Y*AE9*الموظفون!$P9/cfg_DAYS_M)</f>
        <v>1605.20547945205</v>
      </c>
      <c r="AA9" s="90" t="n">
        <f aca="false">IF($B9="","",IF(AND(الموظفون!$S9="نعم",N(الموظفون!$U9)&gt;0),الموظفون!$T9/الموظفون!$U9*12/cfg_DAYS_Y*AE9,0))</f>
        <v>0</v>
      </c>
      <c r="AB9" s="113" t="n">
        <f aca="false">IF($B9="","",R9+SUM(X9:AA9))</f>
        <v>24166.6609589041</v>
      </c>
      <c r="AC9" s="114" t="n">
        <f aca="false">IF($B9="","",MAX(0,IF(OR(الموظفون!$X9="",الموظفون!$X9&gt;$G$3),$G$3,الموظفون!$X9)-الموظفون!$H9+1)/cfg_DAYS_Y)</f>
        <v>7.5013698630137</v>
      </c>
      <c r="AD9" s="114" t="n">
        <f aca="false">IF($B9="","",MAX(0,IF(OR(الموظفون!$X9="",الموظفون!$X9&gt;($E$3-1)),($E$3-1),الموظفون!$X9)-الموظفون!$H9+1)/cfg_DAYS_Y)</f>
        <v>7.41643835616438</v>
      </c>
      <c r="AE9" s="115" t="n">
        <f aca="false">IF($B9="","",MAX(0,IF(OR(الموظفون!$X9="",الموظفون!$X9&gt;$G$3),$G$3,الموظفون!$X9)-MAX($E$3,الموظفون!$H9)+1))</f>
        <v>31</v>
      </c>
    </row>
    <row r="10" customFormat="false" ht="15" hidden="false" customHeight="false" outlineLevel="0" collapsed="false">
      <c r="A10" s="83" t="n">
        <f aca="false">IF($B10="","",الموظفون!$A10)</f>
        <v>5</v>
      </c>
      <c r="B10" s="74" t="str">
        <f aca="false">IF(الموظفون!$B10="","",الموظفون!$B10)</f>
        <v>E005</v>
      </c>
      <c r="C10" s="74" t="str">
        <f aca="false">IF($B10="","",الموظفون!$C10)</f>
        <v>راجيش كومار</v>
      </c>
      <c r="D10" s="74" t="str">
        <f aca="false">IF($B10="","",الموظفون!$F10)</f>
        <v>تقنية المعلومات</v>
      </c>
      <c r="E10" s="74" t="str">
        <f aca="false">IF($B10="","",الموظفون!$E10)</f>
        <v>غير سعودي</v>
      </c>
      <c r="F10" s="105" t="n">
        <f aca="false">IF($B10="","",IF(AE10&gt;=DAY($G$3),cfg_DAYS_M,MIN(AE10,cfg_DAYS_M)))</f>
        <v>30</v>
      </c>
      <c r="G10" s="105" t="n">
        <f aca="false">IF($B10="","",SUMIFS('الحركات الشهرية'!$D$6:$D$1005,'الحركات الشهرية'!$B$6:$B$1005,$B10,'الحركات الشهرية'!$A$6:$A$1005,$C$3))</f>
        <v>0</v>
      </c>
      <c r="H10" s="105" t="n">
        <f aca="false">IF($B10="","",SUMIFS('الحركات الشهرية'!$E$6:$E$1005,'الحركات الشهرية'!$B$6:$B$1005,$B10,'الحركات الشهرية'!$A$6:$A$1005,$C$3))</f>
        <v>0</v>
      </c>
      <c r="I10" s="105" t="n">
        <f aca="false">IF($B10="","",MAX(0,F10-G10-H10))</f>
        <v>30</v>
      </c>
      <c r="J10" s="86" t="n">
        <f aca="false">IF($B10="","",الموظفون!$J10*$I10/cfg_DAYS_M)</f>
        <v>9000</v>
      </c>
      <c r="K10" s="86" t="n">
        <f aca="false">IF($B10="","",الموظفون!$K10*$I10/cfg_DAYS_M)</f>
        <v>2250</v>
      </c>
      <c r="L10" s="86" t="n">
        <f aca="false">IF($B10="","",الموظفون!$L10*$I10/cfg_DAYS_M)</f>
        <v>900</v>
      </c>
      <c r="M10" s="86" t="n">
        <f aca="false">IF($B10="","",الموظفون!$M10*$I10/cfg_DAYS_M)</f>
        <v>700</v>
      </c>
      <c r="N10" s="105" t="n">
        <f aca="false">IF($B10="","",SUMIFS('الحركات الشهرية'!$F$6:$F$1005,'الحركات الشهرية'!$B$6:$B$1005,$B10,'الحركات الشهرية'!$A$6:$A$1005,$C$3))</f>
        <v>0</v>
      </c>
      <c r="O10" s="86" t="n">
        <f aca="false">IF($B10="","",N10*(الموظفون!$N10+الموظفون!$J10*cfg_OT_P)/cfg_DAYS_M/cfg_HRS)</f>
        <v>0</v>
      </c>
      <c r="P10" s="86" t="n">
        <f aca="false">IF($B10="","",SUMIFS('الحركات الشهرية'!$G$6:$G$1005,'الحركات الشهرية'!$B$6:$B$1005,$B10,'الحركات الشهرية'!$A$6:$A$1005,$C$3))</f>
        <v>0</v>
      </c>
      <c r="Q10" s="86" t="n">
        <f aca="false">IF($B10="","",SUMIFS('الحركات الشهرية'!$H$6:$H$1005,'الحركات الشهرية'!$B$6:$B$1005,$B10,'الحركات الشهرية'!$A$6:$A$1005,$C$3))</f>
        <v>0</v>
      </c>
      <c r="R10" s="106" t="n">
        <f aca="false">IF($B10="","",SUM(J10:M10)+SUM(O10:Q10))</f>
        <v>12850</v>
      </c>
      <c r="S10" s="86" t="n">
        <f aca="false">IF($B10="","",الموظفون!$Q10*IF(E10="سعودي",cfg_G_SE,cfg_G_NE)*F10/cfg_DAYS_M)</f>
        <v>0</v>
      </c>
      <c r="T10" s="86" t="n">
        <f aca="false">IF($B10="","",SUMIFS('الحركات الشهرية'!$I$6:$I$1005,'الحركات الشهرية'!$B$6:$B$1005,$B10,'الحركات الشهرية'!$A$6:$A$1005,$C$3))</f>
        <v>0</v>
      </c>
      <c r="U10" s="86" t="n">
        <f aca="false">IF($B10="","",SUMIFS('الحركات الشهرية'!$J$6:$J$1005,'الحركات الشهرية'!$B$6:$B$1005,$B10,'الحركات الشهرية'!$A$6:$A$1005,$C$3))</f>
        <v>0</v>
      </c>
      <c r="V10" s="86" t="n">
        <f aca="false">IF($B10="","",SUM(S10:U10))</f>
        <v>0</v>
      </c>
      <c r="W10" s="107" t="n">
        <f aca="false">IF($B10="","",R10-V10)</f>
        <v>12850</v>
      </c>
      <c r="X10" s="86" t="n">
        <f aca="false">IF($B10="","",الموظفون!$Q10*IF(E10="سعودي",cfg_G_SR,cfg_G_NR)*F10/cfg_DAYS_M)</f>
        <v>225</v>
      </c>
      <c r="Y10" s="86" t="n">
        <f aca="false">IF($B10="","",الموظفون!$O10*(cfg_EOS_R1*(MIN(AC10,cfg_EOS_TH)-MIN(AD10,cfg_EOS_TH))+cfg_EOS_R2*(MAX(AC10-cfg_EOS_TH,0)-MAX(AD10-cfg_EOS_TH,0))))</f>
        <v>1031.91780821917</v>
      </c>
      <c r="Z10" s="86" t="n">
        <f aca="false">IF($B10="","",IF(الموظفون!$R10&lt;&gt;"",الموظفون!$R10,IF(AC10&gt;=cfg_LV_TH,cfg_LV_D2,cfg_LV_D1))/cfg_DAYS_Y*AE10*الموظفون!$P10/cfg_DAYS_M)</f>
        <v>1031.91780821918</v>
      </c>
      <c r="AA10" s="86" t="n">
        <f aca="false">IF($B10="","",IF(AND(الموظفون!$S10="نعم",N(الموظفون!$U10)&gt;0),الموظفون!$T10/الموظفون!$U10*12/cfg_DAYS_Y*AE10,0))</f>
        <v>237.808219178082</v>
      </c>
      <c r="AB10" s="108" t="n">
        <f aca="false">IF($B10="","",R10+SUM(X10:AA10))</f>
        <v>15376.6438356164</v>
      </c>
      <c r="AC10" s="109" t="n">
        <f aca="false">IF($B10="","",MAX(0,IF(OR(الموظفون!$X10="",الموظفون!$X10&gt;$G$3),$G$3,الموظفون!$X10)-الموظفون!$H10+1)/cfg_DAYS_Y)</f>
        <v>6.30684931506849</v>
      </c>
      <c r="AD10" s="109" t="n">
        <f aca="false">IF($B10="","",MAX(0,IF(OR(الموظفون!$X10="",الموظفون!$X10&gt;($E$3-1)),($E$3-1),الموظفون!$X10)-الموظفون!$H10+1)/cfg_DAYS_Y)</f>
        <v>6.22191780821918</v>
      </c>
      <c r="AE10" s="51" t="n">
        <f aca="false">IF($B10="","",MAX(0,IF(OR(الموظفون!$X10="",الموظفون!$X10&gt;$G$3),$G$3,الموظفون!$X10)-MAX($E$3,الموظفون!$H10)+1))</f>
        <v>31</v>
      </c>
    </row>
    <row r="11" customFormat="false" ht="15" hidden="false" customHeight="false" outlineLevel="0" collapsed="false">
      <c r="A11" s="89" t="n">
        <f aca="false">IF($B11="","",الموظفون!$A11)</f>
        <v>6</v>
      </c>
      <c r="B11" s="91" t="str">
        <f aca="false">IF(الموظفون!$B11="","",الموظفون!$B11)</f>
        <v>E006</v>
      </c>
      <c r="C11" s="91" t="str">
        <f aca="false">IF($B11="","",الموظفون!$C11)</f>
        <v>فهد ناصر الشمري</v>
      </c>
      <c r="D11" s="91" t="str">
        <f aca="false">IF($B11="","",الموظفون!$F11)</f>
        <v>المبيعات</v>
      </c>
      <c r="E11" s="91" t="str">
        <f aca="false">IF($B11="","",الموظفون!$E11)</f>
        <v>سعودي</v>
      </c>
      <c r="F11" s="110" t="n">
        <f aca="false">IF($B11="","",IF(AE11&gt;=DAY($G$3),cfg_DAYS_M,MIN(AE11,cfg_DAYS_M)))</f>
        <v>30</v>
      </c>
      <c r="G11" s="110" t="n">
        <f aca="false">IF($B11="","",SUMIFS('الحركات الشهرية'!$D$6:$D$1005,'الحركات الشهرية'!$B$6:$B$1005,$B11,'الحركات الشهرية'!$A$6:$A$1005,$C$3))</f>
        <v>0</v>
      </c>
      <c r="H11" s="110" t="n">
        <f aca="false">IF($B11="","",SUMIFS('الحركات الشهرية'!$E$6:$E$1005,'الحركات الشهرية'!$B$6:$B$1005,$B11,'الحركات الشهرية'!$A$6:$A$1005,$C$3))</f>
        <v>0</v>
      </c>
      <c r="I11" s="110" t="n">
        <f aca="false">IF($B11="","",MAX(0,F11-G11-H11))</f>
        <v>30</v>
      </c>
      <c r="J11" s="90" t="n">
        <f aca="false">IF($B11="","",الموظفون!$J11*$I11/cfg_DAYS_M)</f>
        <v>13000</v>
      </c>
      <c r="K11" s="90" t="n">
        <f aca="false">IF($B11="","",الموظفون!$K11*$I11/cfg_DAYS_M)</f>
        <v>3250</v>
      </c>
      <c r="L11" s="90" t="n">
        <f aca="false">IF($B11="","",الموظفون!$L11*$I11/cfg_DAYS_M)</f>
        <v>1300</v>
      </c>
      <c r="M11" s="90" t="n">
        <f aca="false">IF($B11="","",الموظفون!$M11*$I11/cfg_DAYS_M)</f>
        <v>2500</v>
      </c>
      <c r="N11" s="110" t="n">
        <f aca="false">IF($B11="","",SUMIFS('الحركات الشهرية'!$F$6:$F$1005,'الحركات الشهرية'!$B$6:$B$1005,$B11,'الحركات الشهرية'!$A$6:$A$1005,$C$3))</f>
        <v>0</v>
      </c>
      <c r="O11" s="90" t="n">
        <f aca="false">IF($B11="","",N11*(الموظفون!$N11+الموظفون!$J11*cfg_OT_P)/cfg_DAYS_M/cfg_HRS)</f>
        <v>0</v>
      </c>
      <c r="P11" s="90" t="n">
        <f aca="false">IF($B11="","",SUMIFS('الحركات الشهرية'!$G$6:$G$1005,'الحركات الشهرية'!$B$6:$B$1005,$B11,'الحركات الشهرية'!$A$6:$A$1005,$C$3))</f>
        <v>0</v>
      </c>
      <c r="Q11" s="90" t="n">
        <f aca="false">IF($B11="","",SUMIFS('الحركات الشهرية'!$H$6:$H$1005,'الحركات الشهرية'!$B$6:$B$1005,$B11,'الحركات الشهرية'!$A$6:$A$1005,$C$3))</f>
        <v>0</v>
      </c>
      <c r="R11" s="111" t="n">
        <f aca="false">IF($B11="","",SUM(J11:M11)+SUM(O11:Q11))</f>
        <v>20050</v>
      </c>
      <c r="S11" s="90" t="n">
        <f aca="false">IF($B11="","",الموظفون!$Q11*IF(E11="سعودي",cfg_G_SE,cfg_G_NE)*F11/cfg_DAYS_M)</f>
        <v>1584.375</v>
      </c>
      <c r="T11" s="90" t="n">
        <f aca="false">IF($B11="","",SUMIFS('الحركات الشهرية'!$I$6:$I$1005,'الحركات الشهرية'!$B$6:$B$1005,$B11,'الحركات الشهرية'!$A$6:$A$1005,$C$3))</f>
        <v>0</v>
      </c>
      <c r="U11" s="90" t="n">
        <f aca="false">IF($B11="","",SUMIFS('الحركات الشهرية'!$J$6:$J$1005,'الحركات الشهرية'!$B$6:$B$1005,$B11,'الحركات الشهرية'!$A$6:$A$1005,$C$3))</f>
        <v>0</v>
      </c>
      <c r="V11" s="90" t="n">
        <f aca="false">IF($B11="","",SUM(S11:U11))</f>
        <v>1584.375</v>
      </c>
      <c r="W11" s="112" t="n">
        <f aca="false">IF($B11="","",R11-V11)</f>
        <v>18465.625</v>
      </c>
      <c r="X11" s="90" t="n">
        <f aca="false">IF($B11="","",الموظفون!$Q11*IF(E11="سعودي",cfg_G_SR,cfg_G_NR)*F11/cfg_DAYS_M)</f>
        <v>1909.375</v>
      </c>
      <c r="Y11" s="90" t="n">
        <f aca="false">IF($B11="","",الموظفون!$O11*(cfg_EOS_R1*(MIN(AC11,cfg_EOS_TH)-MIN(AD11,cfg_EOS_TH))+cfg_EOS_R2*(MAX(AC11-cfg_EOS_TH,0)-MAX(AD11-cfg_EOS_TH,0))))</f>
        <v>1490.54794520546</v>
      </c>
      <c r="Z11" s="90" t="n">
        <f aca="false">IF($B11="","",IF(الموظفون!$R11&lt;&gt;"",الموظفون!$R11,IF(AC11&gt;=cfg_LV_TH,cfg_LV_D2,cfg_LV_D1))/cfg_DAYS_Y*AE11*الموظفون!$P11/cfg_DAYS_M)</f>
        <v>1490.54794520548</v>
      </c>
      <c r="AA11" s="90" t="n">
        <f aca="false">IF($B11="","",IF(AND(الموظفون!$S11="نعم",N(الموظفون!$U11)&gt;0),الموظفون!$T11/الموظفون!$U11*12/cfg_DAYS_Y*AE11,0))</f>
        <v>0</v>
      </c>
      <c r="AB11" s="113" t="n">
        <f aca="false">IF($B11="","",R11+SUM(X11:AA11))</f>
        <v>24940.4708904109</v>
      </c>
      <c r="AC11" s="114" t="n">
        <f aca="false">IF($B11="","",MAX(0,IF(OR(الموظفون!$X11="",الموظفون!$X11&gt;$G$3),$G$3,الموظفون!$X11)-الموظفون!$H11+1)/cfg_DAYS_Y)</f>
        <v>8.74246575342466</v>
      </c>
      <c r="AD11" s="114" t="n">
        <f aca="false">IF($B11="","",MAX(0,IF(OR(الموظفون!$X11="",الموظفون!$X11&gt;($E$3-1)),($E$3-1),الموظفون!$X11)-الموظفون!$H11+1)/cfg_DAYS_Y)</f>
        <v>8.65753424657534</v>
      </c>
      <c r="AE11" s="115" t="n">
        <f aca="false">IF($B11="","",MAX(0,IF(OR(الموظفون!$X11="",الموظفون!$X11&gt;$G$3),$G$3,الموظفون!$X11)-MAX($E$3,الموظفون!$H11)+1))</f>
        <v>31</v>
      </c>
    </row>
    <row r="12" customFormat="false" ht="15" hidden="false" customHeight="false" outlineLevel="0" collapsed="false">
      <c r="A12" s="83" t="n">
        <f aca="false">IF($B12="","",الموظفون!$A12)</f>
        <v>7</v>
      </c>
      <c r="B12" s="74" t="str">
        <f aca="false">IF(الموظفون!$B12="","",الموظفون!$B12)</f>
        <v>E007</v>
      </c>
      <c r="C12" s="74" t="str">
        <f aca="false">IF($B12="","",الموظفون!$C12)</f>
        <v>خالد يوسف الأحمد</v>
      </c>
      <c r="D12" s="74" t="str">
        <f aca="false">IF($B12="","",الموظفون!$F12)</f>
        <v>المشاريع</v>
      </c>
      <c r="E12" s="74" t="str">
        <f aca="false">IF($B12="","",الموظفون!$E12)</f>
        <v>غير سعودي</v>
      </c>
      <c r="F12" s="105" t="n">
        <f aca="false">IF($B12="","",IF(AE12&gt;=DAY($G$3),cfg_DAYS_M,MIN(AE12,cfg_DAYS_M)))</f>
        <v>30</v>
      </c>
      <c r="G12" s="105" t="n">
        <f aca="false">IF($B12="","",SUMIFS('الحركات الشهرية'!$D$6:$D$1005,'الحركات الشهرية'!$B$6:$B$1005,$B12,'الحركات الشهرية'!$A$6:$A$1005,$C$3))</f>
        <v>0</v>
      </c>
      <c r="H12" s="105" t="n">
        <f aca="false">IF($B12="","",SUMIFS('الحركات الشهرية'!$E$6:$E$1005,'الحركات الشهرية'!$B$6:$B$1005,$B12,'الحركات الشهرية'!$A$6:$A$1005,$C$3))</f>
        <v>0</v>
      </c>
      <c r="I12" s="105" t="n">
        <f aca="false">IF($B12="","",MAX(0,F12-G12-H12))</f>
        <v>30</v>
      </c>
      <c r="J12" s="86" t="n">
        <f aca="false">IF($B12="","",الموظفون!$J12*$I12/cfg_DAYS_M)</f>
        <v>11000</v>
      </c>
      <c r="K12" s="86" t="n">
        <f aca="false">IF($B12="","",الموظفون!$K12*$I12/cfg_DAYS_M)</f>
        <v>2750</v>
      </c>
      <c r="L12" s="86" t="n">
        <f aca="false">IF($B12="","",الموظفون!$L12*$I12/cfg_DAYS_M)</f>
        <v>1100</v>
      </c>
      <c r="M12" s="86" t="n">
        <f aca="false">IF($B12="","",الموظفون!$M12*$I12/cfg_DAYS_M)</f>
        <v>800</v>
      </c>
      <c r="N12" s="105" t="n">
        <f aca="false">IF($B12="","",SUMIFS('الحركات الشهرية'!$F$6:$F$1005,'الحركات الشهرية'!$B$6:$B$1005,$B12,'الحركات الشهرية'!$A$6:$A$1005,$C$3))</f>
        <v>0</v>
      </c>
      <c r="O12" s="86" t="n">
        <f aca="false">IF($B12="","",N12*(الموظفون!$N12+الموظفون!$J12*cfg_OT_P)/cfg_DAYS_M/cfg_HRS)</f>
        <v>0</v>
      </c>
      <c r="P12" s="86" t="n">
        <f aca="false">IF($B12="","",SUMIFS('الحركات الشهرية'!$G$6:$G$1005,'الحركات الشهرية'!$B$6:$B$1005,$B12,'الحركات الشهرية'!$A$6:$A$1005,$C$3))</f>
        <v>0</v>
      </c>
      <c r="Q12" s="86" t="n">
        <f aca="false">IF($B12="","",SUMIFS('الحركات الشهرية'!$H$6:$H$1005,'الحركات الشهرية'!$B$6:$B$1005,$B12,'الحركات الشهرية'!$A$6:$A$1005,$C$3))</f>
        <v>0</v>
      </c>
      <c r="R12" s="106" t="n">
        <f aca="false">IF($B12="","",SUM(J12:M12)+SUM(O12:Q12))</f>
        <v>15650</v>
      </c>
      <c r="S12" s="86" t="n">
        <f aca="false">IF($B12="","",الموظفون!$Q12*IF(E12="سعودي",cfg_G_SE,cfg_G_NE)*F12/cfg_DAYS_M)</f>
        <v>0</v>
      </c>
      <c r="T12" s="86" t="n">
        <f aca="false">IF($B12="","",SUMIFS('الحركات الشهرية'!$I$6:$I$1005,'الحركات الشهرية'!$B$6:$B$1005,$B12,'الحركات الشهرية'!$A$6:$A$1005,$C$3))</f>
        <v>0</v>
      </c>
      <c r="U12" s="86" t="n">
        <f aca="false">IF($B12="","",SUMIFS('الحركات الشهرية'!$J$6:$J$1005,'الحركات الشهرية'!$B$6:$B$1005,$B12,'الحركات الشهرية'!$A$6:$A$1005,$C$3))</f>
        <v>0</v>
      </c>
      <c r="V12" s="86" t="n">
        <f aca="false">IF($B12="","",SUM(S12:U12))</f>
        <v>0</v>
      </c>
      <c r="W12" s="107" t="n">
        <f aca="false">IF($B12="","",R12-V12)</f>
        <v>15650</v>
      </c>
      <c r="X12" s="86" t="n">
        <f aca="false">IF($B12="","",الموظفون!$Q12*IF(E12="سعودي",cfg_G_SR,cfg_G_NR)*F12/cfg_DAYS_M)</f>
        <v>275</v>
      </c>
      <c r="Y12" s="86" t="n">
        <f aca="false">IF($B12="","",الموظفون!$O12*(cfg_EOS_R1*(MIN(AC12,cfg_EOS_TH)-MIN(AD12,cfg_EOS_TH))+cfg_EOS_R2*(MAX(AC12-cfg_EOS_TH,0)-MAX(AD12-cfg_EOS_TH,0))))</f>
        <v>1261.23287671232</v>
      </c>
      <c r="Z12" s="86" t="n">
        <f aca="false">IF($B12="","",IF(الموظفون!$R12&lt;&gt;"",الموظفون!$R12,IF(AC12&gt;=cfg_LV_TH,cfg_LV_D2,cfg_LV_D1))/cfg_DAYS_Y*AE12*الموظفون!$P12/cfg_DAYS_M)</f>
        <v>1261.23287671233</v>
      </c>
      <c r="AA12" s="86" t="n">
        <f aca="false">IF($B12="","",IF(AND(الموظفون!$S12="نعم",N(الموظفون!$U12)&gt;0),الموظفون!$T12/الموظفون!$U12*12/cfg_DAYS_Y*AE12,0))</f>
        <v>382.191780821918</v>
      </c>
      <c r="AB12" s="108" t="n">
        <f aca="false">IF($B12="","",R12+SUM(X12:AA12))</f>
        <v>18829.6575342466</v>
      </c>
      <c r="AC12" s="109" t="n">
        <f aca="false">IF($B12="","",MAX(0,IF(OR(الموظفون!$X12="",الموظفون!$X12&gt;$G$3),$G$3,الموظفون!$X12)-الموظفون!$H12+1)/cfg_DAYS_Y)</f>
        <v>5.53150684931507</v>
      </c>
      <c r="AD12" s="109" t="n">
        <f aca="false">IF($B12="","",MAX(0,IF(OR(الموظفون!$X12="",الموظفون!$X12&gt;($E$3-1)),($E$3-1),الموظفون!$X12)-الموظفون!$H12+1)/cfg_DAYS_Y)</f>
        <v>5.44657534246575</v>
      </c>
      <c r="AE12" s="51" t="n">
        <f aca="false">IF($B12="","",MAX(0,IF(OR(الموظفون!$X12="",الموظفون!$X12&gt;$G$3),$G$3,الموظفون!$X12)-MAX($E$3,الموظفون!$H12)+1))</f>
        <v>31</v>
      </c>
    </row>
    <row r="13" customFormat="false" ht="15" hidden="false" customHeight="false" outlineLevel="0" collapsed="false">
      <c r="A13" s="89" t="n">
        <f aca="false">IF($B13="","",الموظفون!$A13)</f>
        <v>8</v>
      </c>
      <c r="B13" s="91" t="str">
        <f aca="false">IF(الموظفون!$B13="","",الموظفون!$B13)</f>
        <v>E008</v>
      </c>
      <c r="C13" s="91" t="str">
        <f aca="false">IF($B13="","",الموظفون!$C13)</f>
        <v>سارة عبدالرحمن الزهراني</v>
      </c>
      <c r="D13" s="91" t="str">
        <f aca="false">IF($B13="","",الموظفون!$F13)</f>
        <v>المالية</v>
      </c>
      <c r="E13" s="91" t="str">
        <f aca="false">IF($B13="","",الموظفون!$E13)</f>
        <v>سعودي</v>
      </c>
      <c r="F13" s="110" t="n">
        <f aca="false">IF($B13="","",IF(AE13&gt;=DAY($G$3),cfg_DAYS_M,MIN(AE13,cfg_DAYS_M)))</f>
        <v>30</v>
      </c>
      <c r="G13" s="110" t="n">
        <f aca="false">IF($B13="","",SUMIFS('الحركات الشهرية'!$D$6:$D$1005,'الحركات الشهرية'!$B$6:$B$1005,$B13,'الحركات الشهرية'!$A$6:$A$1005,$C$3))</f>
        <v>0</v>
      </c>
      <c r="H13" s="110" t="n">
        <f aca="false">IF($B13="","",SUMIFS('الحركات الشهرية'!$E$6:$E$1005,'الحركات الشهرية'!$B$6:$B$1005,$B13,'الحركات الشهرية'!$A$6:$A$1005,$C$3))</f>
        <v>0</v>
      </c>
      <c r="I13" s="110" t="n">
        <f aca="false">IF($B13="","",MAX(0,F13-G13-H13))</f>
        <v>30</v>
      </c>
      <c r="J13" s="90" t="n">
        <f aca="false">IF($B13="","",الموظفون!$J13*$I13/cfg_DAYS_M)</f>
        <v>7500</v>
      </c>
      <c r="K13" s="90" t="n">
        <f aca="false">IF($B13="","",الموظفون!$K13*$I13/cfg_DAYS_M)</f>
        <v>1875</v>
      </c>
      <c r="L13" s="90" t="n">
        <f aca="false">IF($B13="","",الموظفون!$L13*$I13/cfg_DAYS_M)</f>
        <v>750</v>
      </c>
      <c r="M13" s="90" t="n">
        <f aca="false">IF($B13="","",الموظفون!$M13*$I13/cfg_DAYS_M)</f>
        <v>0</v>
      </c>
      <c r="N13" s="110" t="n">
        <f aca="false">IF($B13="","",SUMIFS('الحركات الشهرية'!$F$6:$F$1005,'الحركات الشهرية'!$B$6:$B$1005,$B13,'الحركات الشهرية'!$A$6:$A$1005,$C$3))</f>
        <v>0</v>
      </c>
      <c r="O13" s="90" t="n">
        <f aca="false">IF($B13="","",N13*(الموظفون!$N13+الموظفون!$J13*cfg_OT_P)/cfg_DAYS_M/cfg_HRS)</f>
        <v>0</v>
      </c>
      <c r="P13" s="90" t="n">
        <f aca="false">IF($B13="","",SUMIFS('الحركات الشهرية'!$G$6:$G$1005,'الحركات الشهرية'!$B$6:$B$1005,$B13,'الحركات الشهرية'!$A$6:$A$1005,$C$3))</f>
        <v>0</v>
      </c>
      <c r="Q13" s="90" t="n">
        <f aca="false">IF($B13="","",SUMIFS('الحركات الشهرية'!$H$6:$H$1005,'الحركات الشهرية'!$B$6:$B$1005,$B13,'الحركات الشهرية'!$A$6:$A$1005,$C$3))</f>
        <v>0</v>
      </c>
      <c r="R13" s="111" t="n">
        <f aca="false">IF($B13="","",SUM(J13:M13)+SUM(O13:Q13))</f>
        <v>10125</v>
      </c>
      <c r="S13" s="90" t="n">
        <f aca="false">IF($B13="","",الموظفون!$Q13*IF(E13="سعودي",cfg_G_SE,cfg_G_NE)*F13/cfg_DAYS_M)</f>
        <v>914.0625</v>
      </c>
      <c r="T13" s="90" t="n">
        <f aca="false">IF($B13="","",SUMIFS('الحركات الشهرية'!$I$6:$I$1005,'الحركات الشهرية'!$B$6:$B$1005,$B13,'الحركات الشهرية'!$A$6:$A$1005,$C$3))</f>
        <v>0</v>
      </c>
      <c r="U13" s="90" t="n">
        <f aca="false">IF($B13="","",SUMIFS('الحركات الشهرية'!$J$6:$J$1005,'الحركات الشهرية'!$B$6:$B$1005,$B13,'الحركات الشهرية'!$A$6:$A$1005,$C$3))</f>
        <v>0</v>
      </c>
      <c r="V13" s="90" t="n">
        <f aca="false">IF($B13="","",SUM(S13:U13))</f>
        <v>914.0625</v>
      </c>
      <c r="W13" s="112" t="n">
        <f aca="false">IF($B13="","",R13-V13)</f>
        <v>9210.9375</v>
      </c>
      <c r="X13" s="90" t="n">
        <f aca="false">IF($B13="","",الموظفون!$Q13*IF(E13="سعودي",cfg_G_SR,cfg_G_NR)*F13/cfg_DAYS_M)</f>
        <v>1101.5625</v>
      </c>
      <c r="Y13" s="90" t="n">
        <f aca="false">IF($B13="","",الموظفون!$O13*(cfg_EOS_R1*(MIN(AC13,cfg_EOS_TH)-MIN(AD13,cfg_EOS_TH))+cfg_EOS_R2*(MAX(AC13-cfg_EOS_TH,0)-MAX(AD13-cfg_EOS_TH,0))))</f>
        <v>429.965753424657</v>
      </c>
      <c r="Z13" s="90" t="n">
        <f aca="false">IF($B13="","",IF(الموظفون!$R13&lt;&gt;"",الموظفون!$R13,IF(AC13&gt;=cfg_LV_TH,cfg_LV_D2,cfg_LV_D1))/cfg_DAYS_Y*AE13*الموظفون!$P13/cfg_DAYS_M)</f>
        <v>601.952054794521</v>
      </c>
      <c r="AA13" s="90" t="n">
        <f aca="false">IF($B13="","",IF(AND(الموظفون!$S13="نعم",N(الموظفون!$U13)&gt;0),الموظفون!$T13/الموظفون!$U13*12/cfg_DAYS_Y*AE13,0))</f>
        <v>0</v>
      </c>
      <c r="AB13" s="113" t="n">
        <f aca="false">IF($B13="","",R13+SUM(X13:AA13))</f>
        <v>12258.4803082192</v>
      </c>
      <c r="AC13" s="114" t="n">
        <f aca="false">IF($B13="","",MAX(0,IF(OR(الموظفون!$X13="",الموظفون!$X13&gt;$G$3),$G$3,الموظفون!$X13)-الموظفون!$H13+1)/cfg_DAYS_Y)</f>
        <v>3.42191780821918</v>
      </c>
      <c r="AD13" s="114" t="n">
        <f aca="false">IF($B13="","",MAX(0,IF(OR(الموظفون!$X13="",الموظفون!$X13&gt;($E$3-1)),($E$3-1),الموظفون!$X13)-الموظفون!$H13+1)/cfg_DAYS_Y)</f>
        <v>3.33698630136986</v>
      </c>
      <c r="AE13" s="115" t="n">
        <f aca="false">IF($B13="","",MAX(0,IF(OR(الموظفون!$X13="",الموظفون!$X13&gt;$G$3),$G$3,الموظفون!$X13)-MAX($E$3,الموظفون!$H13)+1))</f>
        <v>31</v>
      </c>
    </row>
    <row r="14" customFormat="false" ht="15" hidden="false" customHeight="false" outlineLevel="0" collapsed="false">
      <c r="A14" s="83" t="n">
        <f aca="false">IF($B14="","",الموظفون!$A14)</f>
        <v>9</v>
      </c>
      <c r="B14" s="74" t="str">
        <f aca="false">IF(الموظفون!$B14="","",الموظفون!$B14)</f>
        <v>E009</v>
      </c>
      <c r="C14" s="74" t="str">
        <f aca="false">IF($B14="","",الموظفون!$C14)</f>
        <v>محمد رفيق</v>
      </c>
      <c r="D14" s="74" t="str">
        <f aca="false">IF($B14="","",الموظفون!$F14)</f>
        <v>العمليات</v>
      </c>
      <c r="E14" s="74" t="str">
        <f aca="false">IF($B14="","",الموظفون!$E14)</f>
        <v>غير سعودي</v>
      </c>
      <c r="F14" s="105" t="n">
        <f aca="false">IF($B14="","",IF(AE14&gt;=DAY($G$3),cfg_DAYS_M,MIN(AE14,cfg_DAYS_M)))</f>
        <v>30</v>
      </c>
      <c r="G14" s="105" t="n">
        <f aca="false">IF($B14="","",SUMIFS('الحركات الشهرية'!$D$6:$D$1005,'الحركات الشهرية'!$B$6:$B$1005,$B14,'الحركات الشهرية'!$A$6:$A$1005,$C$3))</f>
        <v>0</v>
      </c>
      <c r="H14" s="105" t="n">
        <f aca="false">IF($B14="","",SUMIFS('الحركات الشهرية'!$E$6:$E$1005,'الحركات الشهرية'!$B$6:$B$1005,$B14,'الحركات الشهرية'!$A$6:$A$1005,$C$3))</f>
        <v>0</v>
      </c>
      <c r="I14" s="105" t="n">
        <f aca="false">IF($B14="","",MAX(0,F14-G14-H14))</f>
        <v>30</v>
      </c>
      <c r="J14" s="86" t="n">
        <f aca="false">IF($B14="","",الموظفون!$J14*$I14/cfg_DAYS_M)</f>
        <v>6500</v>
      </c>
      <c r="K14" s="86" t="n">
        <f aca="false">IF($B14="","",الموظفون!$K14*$I14/cfg_DAYS_M)</f>
        <v>1625</v>
      </c>
      <c r="L14" s="86" t="n">
        <f aca="false">IF($B14="","",الموظفون!$L14*$I14/cfg_DAYS_M)</f>
        <v>650</v>
      </c>
      <c r="M14" s="86" t="n">
        <f aca="false">IF($B14="","",الموظفون!$M14*$I14/cfg_DAYS_M)</f>
        <v>300</v>
      </c>
      <c r="N14" s="105" t="n">
        <f aca="false">IF($B14="","",SUMIFS('الحركات الشهرية'!$F$6:$F$1005,'الحركات الشهرية'!$B$6:$B$1005,$B14,'الحركات الشهرية'!$A$6:$A$1005,$C$3))</f>
        <v>0</v>
      </c>
      <c r="O14" s="86" t="n">
        <f aca="false">IF($B14="","",N14*(الموظفون!$N14+الموظفون!$J14*cfg_OT_P)/cfg_DAYS_M/cfg_HRS)</f>
        <v>0</v>
      </c>
      <c r="P14" s="86" t="n">
        <f aca="false">IF($B14="","",SUMIFS('الحركات الشهرية'!$G$6:$G$1005,'الحركات الشهرية'!$B$6:$B$1005,$B14,'الحركات الشهرية'!$A$6:$A$1005,$C$3))</f>
        <v>0</v>
      </c>
      <c r="Q14" s="86" t="n">
        <f aca="false">IF($B14="","",SUMIFS('الحركات الشهرية'!$H$6:$H$1005,'الحركات الشهرية'!$B$6:$B$1005,$B14,'الحركات الشهرية'!$A$6:$A$1005,$C$3))</f>
        <v>0</v>
      </c>
      <c r="R14" s="106" t="n">
        <f aca="false">IF($B14="","",SUM(J14:M14)+SUM(O14:Q14))</f>
        <v>9075</v>
      </c>
      <c r="S14" s="86" t="n">
        <f aca="false">IF($B14="","",الموظفون!$Q14*IF(E14="سعودي",cfg_G_SE,cfg_G_NE)*F14/cfg_DAYS_M)</f>
        <v>0</v>
      </c>
      <c r="T14" s="86" t="n">
        <f aca="false">IF($B14="","",SUMIFS('الحركات الشهرية'!$I$6:$I$1005,'الحركات الشهرية'!$B$6:$B$1005,$B14,'الحركات الشهرية'!$A$6:$A$1005,$C$3))</f>
        <v>0</v>
      </c>
      <c r="U14" s="86" t="n">
        <f aca="false">IF($B14="","",SUMIFS('الحركات الشهرية'!$J$6:$J$1005,'الحركات الشهرية'!$B$6:$B$1005,$B14,'الحركات الشهرية'!$A$6:$A$1005,$C$3))</f>
        <v>0</v>
      </c>
      <c r="V14" s="86" t="n">
        <f aca="false">IF($B14="","",SUM(S14:U14))</f>
        <v>0</v>
      </c>
      <c r="W14" s="107" t="n">
        <f aca="false">IF($B14="","",R14-V14)</f>
        <v>9075</v>
      </c>
      <c r="X14" s="86" t="n">
        <f aca="false">IF($B14="","",الموظفون!$Q14*IF(E14="سعودي",cfg_G_SR,cfg_G_NR)*F14/cfg_DAYS_M)</f>
        <v>162.5</v>
      </c>
      <c r="Y14" s="86" t="n">
        <f aca="false">IF($B14="","",الموظفون!$O14*(cfg_EOS_R1*(MIN(AC14,cfg_EOS_TH)-MIN(AD14,cfg_EOS_TH))+cfg_EOS_R2*(MAX(AC14-cfg_EOS_TH,0)-MAX(AD14-cfg_EOS_TH,0))))</f>
        <v>745.273972602744</v>
      </c>
      <c r="Z14" s="86" t="n">
        <f aca="false">IF($B14="","",IF(الموظفون!$R14&lt;&gt;"",الموظفون!$R14,IF(AC14&gt;=cfg_LV_TH,cfg_LV_D2,cfg_LV_D1))/cfg_DAYS_Y*AE14*الموظفون!$P14/cfg_DAYS_M)</f>
        <v>745.27397260274</v>
      </c>
      <c r="AA14" s="86" t="n">
        <f aca="false">IF($B14="","",IF(AND(الموظفون!$S14="نعم",N(الموظفون!$U14)&gt;0),الموظفون!$T14/الموظفون!$U14*12/cfg_DAYS_Y*AE14,0))</f>
        <v>93.4246575342466</v>
      </c>
      <c r="AB14" s="108" t="n">
        <f aca="false">IF($B14="","",R14+SUM(X14:AA14))</f>
        <v>10821.4726027397</v>
      </c>
      <c r="AC14" s="109" t="n">
        <f aca="false">IF($B14="","",MAX(0,IF(OR(الموظفون!$X14="",الموظفون!$X14&gt;$G$3),$G$3,الموظفون!$X14)-الموظفون!$H14+1)/cfg_DAYS_Y)</f>
        <v>11.9616438356164</v>
      </c>
      <c r="AD14" s="109" t="n">
        <f aca="false">IF($B14="","",MAX(0,IF(OR(الموظفون!$X14="",الموظفون!$X14&gt;($E$3-1)),($E$3-1),الموظفون!$X14)-الموظفون!$H14+1)/cfg_DAYS_Y)</f>
        <v>11.8767123287671</v>
      </c>
      <c r="AE14" s="51" t="n">
        <f aca="false">IF($B14="","",MAX(0,IF(OR(الموظفون!$X14="",الموظفون!$X14&gt;$G$3),$G$3,الموظفون!$X14)-MAX($E$3,الموظفون!$H14)+1))</f>
        <v>31</v>
      </c>
    </row>
    <row r="15" customFormat="false" ht="15" hidden="false" customHeight="false" outlineLevel="0" collapsed="false">
      <c r="A15" s="89" t="n">
        <f aca="false">IF($B15="","",الموظفون!$A15)</f>
        <v>10</v>
      </c>
      <c r="B15" s="91" t="str">
        <f aca="false">IF(الموظفون!$B15="","",الموظفون!$B15)</f>
        <v>E010</v>
      </c>
      <c r="C15" s="91" t="str">
        <f aca="false">IF($B15="","",الموظفون!$C15)</f>
        <v>ريم سلطان المطيري</v>
      </c>
      <c r="D15" s="91" t="str">
        <f aca="false">IF($B15="","",الموظفون!$F15)</f>
        <v>المبيعات</v>
      </c>
      <c r="E15" s="91" t="str">
        <f aca="false">IF($B15="","",الموظفون!$E15)</f>
        <v>سعودي</v>
      </c>
      <c r="F15" s="110" t="n">
        <f aca="false">IF($B15="","",IF(AE15&gt;=DAY($G$3),cfg_DAYS_M,MIN(AE15,cfg_DAYS_M)))</f>
        <v>30</v>
      </c>
      <c r="G15" s="110" t="n">
        <f aca="false">IF($B15="","",SUMIFS('الحركات الشهرية'!$D$6:$D$1005,'الحركات الشهرية'!$B$6:$B$1005,$B15,'الحركات الشهرية'!$A$6:$A$1005,$C$3))</f>
        <v>0</v>
      </c>
      <c r="H15" s="110" t="n">
        <f aca="false">IF($B15="","",SUMIFS('الحركات الشهرية'!$E$6:$E$1005,'الحركات الشهرية'!$B$6:$B$1005,$B15,'الحركات الشهرية'!$A$6:$A$1005,$C$3))</f>
        <v>0</v>
      </c>
      <c r="I15" s="110" t="n">
        <f aca="false">IF($B15="","",MAX(0,F15-G15-H15))</f>
        <v>30</v>
      </c>
      <c r="J15" s="90" t="n">
        <f aca="false">IF($B15="","",الموظفون!$J15*$I15/cfg_DAYS_M)</f>
        <v>9000</v>
      </c>
      <c r="K15" s="90" t="n">
        <f aca="false">IF($B15="","",الموظفون!$K15*$I15/cfg_DAYS_M)</f>
        <v>2250</v>
      </c>
      <c r="L15" s="90" t="n">
        <f aca="false">IF($B15="","",الموظفون!$L15*$I15/cfg_DAYS_M)</f>
        <v>900</v>
      </c>
      <c r="M15" s="90" t="n">
        <f aca="false">IF($B15="","",الموظفون!$M15*$I15/cfg_DAYS_M)</f>
        <v>0</v>
      </c>
      <c r="N15" s="110" t="n">
        <f aca="false">IF($B15="","",SUMIFS('الحركات الشهرية'!$F$6:$F$1005,'الحركات الشهرية'!$B$6:$B$1005,$B15,'الحركات الشهرية'!$A$6:$A$1005,$C$3))</f>
        <v>0</v>
      </c>
      <c r="O15" s="90" t="n">
        <f aca="false">IF($B15="","",N15*(الموظفون!$N15+الموظفون!$J15*cfg_OT_P)/cfg_DAYS_M/cfg_HRS)</f>
        <v>0</v>
      </c>
      <c r="P15" s="90" t="n">
        <f aca="false">IF($B15="","",SUMIFS('الحركات الشهرية'!$G$6:$G$1005,'الحركات الشهرية'!$B$6:$B$1005,$B15,'الحركات الشهرية'!$A$6:$A$1005,$C$3))</f>
        <v>0</v>
      </c>
      <c r="Q15" s="90" t="n">
        <f aca="false">IF($B15="","",SUMIFS('الحركات الشهرية'!$H$6:$H$1005,'الحركات الشهرية'!$B$6:$B$1005,$B15,'الحركات الشهرية'!$A$6:$A$1005,$C$3))</f>
        <v>0</v>
      </c>
      <c r="R15" s="111" t="n">
        <f aca="false">IF($B15="","",SUM(J15:M15)+SUM(O15:Q15))</f>
        <v>12150</v>
      </c>
      <c r="S15" s="90" t="n">
        <f aca="false">IF($B15="","",الموظفون!$Q15*IF(E15="سعودي",cfg_G_SE,cfg_G_NE)*F15/cfg_DAYS_M)</f>
        <v>1096.875</v>
      </c>
      <c r="T15" s="90" t="n">
        <f aca="false">IF($B15="","",SUMIFS('الحركات الشهرية'!$I$6:$I$1005,'الحركات الشهرية'!$B$6:$B$1005,$B15,'الحركات الشهرية'!$A$6:$A$1005,$C$3))</f>
        <v>0</v>
      </c>
      <c r="U15" s="90" t="n">
        <f aca="false">IF($B15="","",SUMIFS('الحركات الشهرية'!$J$6:$J$1005,'الحركات الشهرية'!$B$6:$B$1005,$B15,'الحركات الشهرية'!$A$6:$A$1005,$C$3))</f>
        <v>0</v>
      </c>
      <c r="V15" s="90" t="n">
        <f aca="false">IF($B15="","",SUM(S15:U15))</f>
        <v>1096.875</v>
      </c>
      <c r="W15" s="112" t="n">
        <f aca="false">IF($B15="","",R15-V15)</f>
        <v>11053.125</v>
      </c>
      <c r="X15" s="90" t="n">
        <f aca="false">IF($B15="","",الموظفون!$Q15*IF(E15="سعودي",cfg_G_SR,cfg_G_NR)*F15/cfg_DAYS_M)</f>
        <v>1321.875</v>
      </c>
      <c r="Y15" s="90" t="n">
        <f aca="false">IF($B15="","",الموظفون!$O15*(cfg_EOS_R1*(MIN(AC15,cfg_EOS_TH)-MIN(AD15,cfg_EOS_TH))+cfg_EOS_R2*(MAX(AC15-cfg_EOS_TH,0)-MAX(AD15-cfg_EOS_TH,0))))</f>
        <v>515.958904109589</v>
      </c>
      <c r="Z15" s="90" t="n">
        <f aca="false">IF($B15="","",IF(الموظفون!$R15&lt;&gt;"",الموظفون!$R15,IF(AC15&gt;=cfg_LV_TH,cfg_LV_D2,cfg_LV_D1))/cfg_DAYS_Y*AE15*الموظفون!$P15/cfg_DAYS_M)</f>
        <v>722.342465753425</v>
      </c>
      <c r="AA15" s="90" t="n">
        <f aca="false">IF($B15="","",IF(AND(الموظفون!$S15="نعم",N(الموظفون!$U15)&gt;0),الموظفون!$T15/الموظفون!$U15*12/cfg_DAYS_Y*AE15,0))</f>
        <v>0</v>
      </c>
      <c r="AB15" s="113" t="n">
        <f aca="false">IF($B15="","",R15+SUM(X15:AA15))</f>
        <v>14710.176369863</v>
      </c>
      <c r="AC15" s="114" t="n">
        <f aca="false">IF($B15="","",MAX(0,IF(OR(الموظفون!$X15="",الموظفون!$X15&gt;$G$3),$G$3,الموظفون!$X15)-الموظفون!$H15+1)/cfg_DAYS_Y)</f>
        <v>0.295890410958904</v>
      </c>
      <c r="AD15" s="114" t="n">
        <f aca="false">IF($B15="","",MAX(0,IF(OR(الموظفون!$X15="",الموظفون!$X15&gt;($E$3-1)),($E$3-1),الموظفون!$X15)-الموظفون!$H15+1)/cfg_DAYS_Y)</f>
        <v>0.210958904109589</v>
      </c>
      <c r="AE15" s="115" t="n">
        <f aca="false">IF($B15="","",MAX(0,IF(OR(الموظفون!$X15="",الموظفون!$X15&gt;$G$3),$G$3,الموظفون!$X15)-MAX($E$3,الموظفون!$H15)+1))</f>
        <v>31</v>
      </c>
    </row>
    <row r="16" customFormat="false" ht="15" hidden="false" customHeight="false" outlineLevel="0" collapsed="false">
      <c r="A16" s="83" t="n">
        <f aca="false">IF($B16="","",الموظفون!$A16)</f>
        <v>11</v>
      </c>
      <c r="B16" s="74" t="str">
        <f aca="false">IF(الموظفون!$B16="","",الموظفون!$B16)</f>
        <v>E011</v>
      </c>
      <c r="C16" s="74" t="str">
        <f aca="false">IF($B16="","",الموظفون!$C16)</f>
        <v>جون ماتيو</v>
      </c>
      <c r="D16" s="74" t="str">
        <f aca="false">IF($B16="","",الموظفون!$F16)</f>
        <v>العمليات</v>
      </c>
      <c r="E16" s="74" t="str">
        <f aca="false">IF($B16="","",الموظفون!$E16)</f>
        <v>غير سعودي</v>
      </c>
      <c r="F16" s="105" t="n">
        <f aca="false">IF($B16="","",IF(AE16&gt;=DAY($G$3),cfg_DAYS_M,MIN(AE16,cfg_DAYS_M)))</f>
        <v>0</v>
      </c>
      <c r="G16" s="105" t="n">
        <f aca="false">IF($B16="","",SUMIFS('الحركات الشهرية'!$D$6:$D$1005,'الحركات الشهرية'!$B$6:$B$1005,$B16,'الحركات الشهرية'!$A$6:$A$1005,$C$3))</f>
        <v>0</v>
      </c>
      <c r="H16" s="105" t="n">
        <f aca="false">IF($B16="","",SUMIFS('الحركات الشهرية'!$E$6:$E$1005,'الحركات الشهرية'!$B$6:$B$1005,$B16,'الحركات الشهرية'!$A$6:$A$1005,$C$3))</f>
        <v>0</v>
      </c>
      <c r="I16" s="105" t="n">
        <f aca="false">IF($B16="","",MAX(0,F16-G16-H16))</f>
        <v>0</v>
      </c>
      <c r="J16" s="86" t="n">
        <f aca="false">IF($B16="","",الموظفون!$J16*$I16/cfg_DAYS_M)</f>
        <v>0</v>
      </c>
      <c r="K16" s="86" t="n">
        <f aca="false">IF($B16="","",الموظفون!$K16*$I16/cfg_DAYS_M)</f>
        <v>0</v>
      </c>
      <c r="L16" s="86" t="n">
        <f aca="false">IF($B16="","",الموظفون!$L16*$I16/cfg_DAYS_M)</f>
        <v>0</v>
      </c>
      <c r="M16" s="86" t="n">
        <f aca="false">IF($B16="","",الموظفون!$M16*$I16/cfg_DAYS_M)</f>
        <v>0</v>
      </c>
      <c r="N16" s="105" t="n">
        <f aca="false">IF($B16="","",SUMIFS('الحركات الشهرية'!$F$6:$F$1005,'الحركات الشهرية'!$B$6:$B$1005,$B16,'الحركات الشهرية'!$A$6:$A$1005,$C$3))</f>
        <v>0</v>
      </c>
      <c r="O16" s="86" t="n">
        <f aca="false">IF($B16="","",N16*(الموظفون!$N16+الموظفون!$J16*cfg_OT_P)/cfg_DAYS_M/cfg_HRS)</f>
        <v>0</v>
      </c>
      <c r="P16" s="86" t="n">
        <f aca="false">IF($B16="","",SUMIFS('الحركات الشهرية'!$G$6:$G$1005,'الحركات الشهرية'!$B$6:$B$1005,$B16,'الحركات الشهرية'!$A$6:$A$1005,$C$3))</f>
        <v>0</v>
      </c>
      <c r="Q16" s="86" t="n">
        <f aca="false">IF($B16="","",SUMIFS('الحركات الشهرية'!$H$6:$H$1005,'الحركات الشهرية'!$B$6:$B$1005,$B16,'الحركات الشهرية'!$A$6:$A$1005,$C$3))</f>
        <v>8297.2602739726</v>
      </c>
      <c r="R16" s="106" t="n">
        <f aca="false">IF($B16="","",SUM(J16:M16)+SUM(O16:Q16))</f>
        <v>8297.2602739726</v>
      </c>
      <c r="S16" s="86" t="n">
        <f aca="false">IF($B16="","",الموظفون!$Q16*IF(E16="سعودي",cfg_G_SE,cfg_G_NE)*F16/cfg_DAYS_M)</f>
        <v>0</v>
      </c>
      <c r="T16" s="86" t="n">
        <f aca="false">IF($B16="","",SUMIFS('الحركات الشهرية'!$I$6:$I$1005,'الحركات الشهرية'!$B$6:$B$1005,$B16,'الحركات الشهرية'!$A$6:$A$1005,$C$3))</f>
        <v>0</v>
      </c>
      <c r="U16" s="86" t="n">
        <f aca="false">IF($B16="","",SUMIFS('الحركات الشهرية'!$J$6:$J$1005,'الحركات الشهرية'!$B$6:$B$1005,$B16,'الحركات الشهرية'!$A$6:$A$1005,$C$3))</f>
        <v>0</v>
      </c>
      <c r="V16" s="86" t="n">
        <f aca="false">IF($B16="","",SUM(S16:U16))</f>
        <v>0</v>
      </c>
      <c r="W16" s="107" t="n">
        <f aca="false">IF($B16="","",R16-V16)</f>
        <v>8297.2602739726</v>
      </c>
      <c r="X16" s="86" t="n">
        <f aca="false">IF($B16="","",الموظفون!$Q16*IF(E16="سعودي",cfg_G_SR,cfg_G_NR)*F16/cfg_DAYS_M)</f>
        <v>0</v>
      </c>
      <c r="Y16" s="86" t="n">
        <f aca="false">IF($B16="","",الموظفون!$O16*(cfg_EOS_R1*(MIN(AC16,cfg_EOS_TH)-MIN(AD16,cfg_EOS_TH))+cfg_EOS_R2*(MAX(AC16-cfg_EOS_TH,0)-MAX(AD16-cfg_EOS_TH,0))))</f>
        <v>0</v>
      </c>
      <c r="Z16" s="86" t="n">
        <f aca="false">IF($B16="","",IF(الموظفون!$R16&lt;&gt;"",الموظفون!$R16,IF(AC16&gt;=cfg_LV_TH,cfg_LV_D2,cfg_LV_D1))/cfg_DAYS_Y*AE16*الموظفون!$P16/cfg_DAYS_M)</f>
        <v>0</v>
      </c>
      <c r="AA16" s="86" t="n">
        <f aca="false">IF($B16="","",IF(AND(الموظفون!$S16="نعم",N(الموظفون!$U16)&gt;0),الموظفون!$T16/الموظفون!$U16*12/cfg_DAYS_Y*AE16,0))</f>
        <v>0</v>
      </c>
      <c r="AB16" s="108" t="n">
        <f aca="false">IF($B16="","",R16+SUM(X16:AA16))</f>
        <v>8297.2602739726</v>
      </c>
      <c r="AC16" s="109" t="n">
        <f aca="false">IF($B16="","",MAX(0,IF(OR(الموظفون!$X16="",الموظفون!$X16&gt;$G$3),$G$3,الموظفون!$X16)-الموظفون!$H16+1)/cfg_DAYS_Y)</f>
        <v>7.33972602739726</v>
      </c>
      <c r="AD16" s="109" t="n">
        <f aca="false">IF($B16="","",MAX(0,IF(OR(الموظفون!$X16="",الموظفون!$X16&gt;($E$3-1)),($E$3-1),الموظفون!$X16)-الموظفون!$H16+1)/cfg_DAYS_Y)</f>
        <v>7.33972602739726</v>
      </c>
      <c r="AE16" s="51" t="n">
        <f aca="false">IF($B16="","",MAX(0,IF(OR(الموظفون!$X16="",الموظفون!$X16&gt;$G$3),$G$3,الموظفون!$X16)-MAX($E$3,الموظفون!$H16)+1))</f>
        <v>0</v>
      </c>
    </row>
    <row r="17" customFormat="false" ht="15" hidden="false" customHeight="false" outlineLevel="0" collapsed="false">
      <c r="A17" s="89" t="n">
        <f aca="false">IF($B17="","",الموظفون!$A17)</f>
        <v>12</v>
      </c>
      <c r="B17" s="91" t="str">
        <f aca="false">IF(الموظفون!$B17="","",الموظفون!$B17)</f>
        <v>E012</v>
      </c>
      <c r="C17" s="91" t="str">
        <f aca="false">IF($B17="","",الموظفون!$C17)</f>
        <v>عمر حسين البيشي</v>
      </c>
      <c r="D17" s="91" t="str">
        <f aca="false">IF($B17="","",الموظفون!$F17)</f>
        <v>تقنية المعلومات</v>
      </c>
      <c r="E17" s="91" t="str">
        <f aca="false">IF($B17="","",الموظفون!$E17)</f>
        <v>سعودي</v>
      </c>
      <c r="F17" s="110" t="n">
        <f aca="false">IF($B17="","",IF(AE17&gt;=DAY($G$3),cfg_DAYS_M,MIN(AE17,cfg_DAYS_M)))</f>
        <v>30</v>
      </c>
      <c r="G17" s="110" t="n">
        <f aca="false">IF($B17="","",SUMIFS('الحركات الشهرية'!$D$6:$D$1005,'الحركات الشهرية'!$B$6:$B$1005,$B17,'الحركات الشهرية'!$A$6:$A$1005,$C$3))</f>
        <v>0</v>
      </c>
      <c r="H17" s="110" t="n">
        <f aca="false">IF($B17="","",SUMIFS('الحركات الشهرية'!$E$6:$E$1005,'الحركات الشهرية'!$B$6:$B$1005,$B17,'الحركات الشهرية'!$A$6:$A$1005,$C$3))</f>
        <v>0</v>
      </c>
      <c r="I17" s="110" t="n">
        <f aca="false">IF($B17="","",MAX(0,F17-G17-H17))</f>
        <v>30</v>
      </c>
      <c r="J17" s="90" t="n">
        <f aca="false">IF($B17="","",الموظفون!$J17*$I17/cfg_DAYS_M)</f>
        <v>12000</v>
      </c>
      <c r="K17" s="90" t="n">
        <f aca="false">IF($B17="","",الموظفون!$K17*$I17/cfg_DAYS_M)</f>
        <v>3000</v>
      </c>
      <c r="L17" s="90" t="n">
        <f aca="false">IF($B17="","",الموظفون!$L17*$I17/cfg_DAYS_M)</f>
        <v>1200</v>
      </c>
      <c r="M17" s="90" t="n">
        <f aca="false">IF($B17="","",الموظفون!$M17*$I17/cfg_DAYS_M)</f>
        <v>1500</v>
      </c>
      <c r="N17" s="110" t="n">
        <f aca="false">IF($B17="","",SUMIFS('الحركات الشهرية'!$F$6:$F$1005,'الحركات الشهرية'!$B$6:$B$1005,$B17,'الحركات الشهرية'!$A$6:$A$1005,$C$3))</f>
        <v>0</v>
      </c>
      <c r="O17" s="90" t="n">
        <f aca="false">IF($B17="","",N17*(الموظفون!$N17+الموظفون!$J17*cfg_OT_P)/cfg_DAYS_M/cfg_HRS)</f>
        <v>0</v>
      </c>
      <c r="P17" s="90" t="n">
        <f aca="false">IF($B17="","",SUMIFS('الحركات الشهرية'!$G$6:$G$1005,'الحركات الشهرية'!$B$6:$B$1005,$B17,'الحركات الشهرية'!$A$6:$A$1005,$C$3))</f>
        <v>0</v>
      </c>
      <c r="Q17" s="90" t="n">
        <f aca="false">IF($B17="","",SUMIFS('الحركات الشهرية'!$H$6:$H$1005,'الحركات الشهرية'!$B$6:$B$1005,$B17,'الحركات الشهرية'!$A$6:$A$1005,$C$3))</f>
        <v>0</v>
      </c>
      <c r="R17" s="111" t="n">
        <f aca="false">IF($B17="","",SUM(J17:M17)+SUM(O17:Q17))</f>
        <v>17700</v>
      </c>
      <c r="S17" s="90" t="n">
        <f aca="false">IF($B17="","",الموظفون!$Q17*IF(E17="سعودي",cfg_G_SE,cfg_G_NE)*F17/cfg_DAYS_M)</f>
        <v>1462.5</v>
      </c>
      <c r="T17" s="90" t="n">
        <f aca="false">IF($B17="","",SUMIFS('الحركات الشهرية'!$I$6:$I$1005,'الحركات الشهرية'!$B$6:$B$1005,$B17,'الحركات الشهرية'!$A$6:$A$1005,$C$3))</f>
        <v>0</v>
      </c>
      <c r="U17" s="90" t="n">
        <f aca="false">IF($B17="","",SUMIFS('الحركات الشهرية'!$J$6:$J$1005,'الحركات الشهرية'!$B$6:$B$1005,$B17,'الحركات الشهرية'!$A$6:$A$1005,$C$3))</f>
        <v>0</v>
      </c>
      <c r="V17" s="90" t="n">
        <f aca="false">IF($B17="","",SUM(S17:U17))</f>
        <v>1462.5</v>
      </c>
      <c r="W17" s="112" t="n">
        <f aca="false">IF($B17="","",R17-V17)</f>
        <v>16237.5</v>
      </c>
      <c r="X17" s="90" t="n">
        <f aca="false">IF($B17="","",الموظفون!$Q17*IF(E17="سعودي",cfg_G_SR,cfg_G_NR)*F17/cfg_DAYS_M)</f>
        <v>1762.5</v>
      </c>
      <c r="Y17" s="90" t="n">
        <f aca="false">IF($B17="","",الموظفون!$O17*(cfg_EOS_R1*(MIN(AC17,cfg_EOS_TH)-MIN(AD17,cfg_EOS_TH))+cfg_EOS_R2*(MAX(AC17-cfg_EOS_TH,0)-MAX(AD17-cfg_EOS_TH,0))))</f>
        <v>687.945205479448</v>
      </c>
      <c r="Z17" s="90" t="n">
        <f aca="false">IF($B17="","",IF(الموظفون!$R17&lt;&gt;"",الموظفون!$R17,IF(AC17&gt;=cfg_LV_TH,cfg_LV_D2,cfg_LV_D1))/cfg_DAYS_Y*AE17*الموظفون!$P17/cfg_DAYS_M)</f>
        <v>963.123287671233</v>
      </c>
      <c r="AA17" s="90" t="n">
        <f aca="false">IF($B17="","",IF(AND(الموظفون!$S17="نعم",N(الموظفون!$U17)&gt;0),الموظفون!$T17/الموظفون!$U17*12/cfg_DAYS_Y*AE17,0))</f>
        <v>0</v>
      </c>
      <c r="AB17" s="113" t="n">
        <f aca="false">IF($B17="","",R17+SUM(X17:AA17))</f>
        <v>21113.5684931507</v>
      </c>
      <c r="AC17" s="114" t="n">
        <f aca="false">IF($B17="","",MAX(0,IF(OR(الموظفون!$X17="",الموظفون!$X17&gt;$G$3),$G$3,الموظفون!$X17)-الموظفون!$H17+1)/cfg_DAYS_Y)</f>
        <v>4.06301369863014</v>
      </c>
      <c r="AD17" s="114" t="n">
        <f aca="false">IF($B17="","",MAX(0,IF(OR(الموظفون!$X17="",الموظفون!$X17&gt;($E$3-1)),($E$3-1),الموظفون!$X17)-الموظفون!$H17+1)/cfg_DAYS_Y)</f>
        <v>3.97808219178082</v>
      </c>
      <c r="AE17" s="115" t="n">
        <f aca="false">IF($B17="","",MAX(0,IF(OR(الموظفون!$X17="",الموظفون!$X17&gt;$G$3),$G$3,الموظفون!$X17)-MAX($E$3,الموظفون!$H17)+1))</f>
        <v>31</v>
      </c>
    </row>
    <row r="18" customFormat="false" ht="15" hidden="false" customHeight="false" outlineLevel="0" collapsed="false">
      <c r="A18" s="83" t="str">
        <f aca="false">IF($B18="","",الموظفون!$A18)</f>
        <v/>
      </c>
      <c r="B18" s="74" t="str">
        <f aca="false">IF(الموظفون!$B18="","",الموظفون!$B18)</f>
        <v/>
      </c>
      <c r="C18" s="74" t="str">
        <f aca="false">IF($B18="","",الموظفون!$C18)</f>
        <v/>
      </c>
      <c r="D18" s="74" t="str">
        <f aca="false">IF($B18="","",الموظفون!$F18)</f>
        <v/>
      </c>
      <c r="E18" s="74" t="str">
        <f aca="false">IF($B18="","",الموظفون!$E18)</f>
        <v/>
      </c>
      <c r="F18" s="105" t="str">
        <f aca="false">IF($B18="","",IF(AE18&gt;=DAY($G$3),cfg_DAYS_M,MIN(AE18,cfg_DAYS_M)))</f>
        <v/>
      </c>
      <c r="G18" s="105" t="str">
        <f aca="false">IF($B18="","",SUMIFS('الحركات الشهرية'!$D$6:$D$1005,'الحركات الشهرية'!$B$6:$B$1005,$B18,'الحركات الشهرية'!$A$6:$A$1005,$C$3))</f>
        <v/>
      </c>
      <c r="H18" s="105" t="str">
        <f aca="false">IF($B18="","",SUMIFS('الحركات الشهرية'!$E$6:$E$1005,'الحركات الشهرية'!$B$6:$B$1005,$B18,'الحركات الشهرية'!$A$6:$A$1005,$C$3))</f>
        <v/>
      </c>
      <c r="I18" s="105" t="str">
        <f aca="false">IF($B18="","",MAX(0,F18-G18-H18))</f>
        <v/>
      </c>
      <c r="J18" s="86" t="str">
        <f aca="false">IF($B18="","",الموظفون!$J18*$I18/cfg_DAYS_M)</f>
        <v/>
      </c>
      <c r="K18" s="86" t="str">
        <f aca="false">IF($B18="","",الموظفون!$K18*$I18/cfg_DAYS_M)</f>
        <v/>
      </c>
      <c r="L18" s="86" t="str">
        <f aca="false">IF($B18="","",الموظفون!$L18*$I18/cfg_DAYS_M)</f>
        <v/>
      </c>
      <c r="M18" s="86" t="str">
        <f aca="false">IF($B18="","",الموظفون!$M18*$I18/cfg_DAYS_M)</f>
        <v/>
      </c>
      <c r="N18" s="105" t="str">
        <f aca="false">IF($B18="","",SUMIFS('الحركات الشهرية'!$F$6:$F$1005,'الحركات الشهرية'!$B$6:$B$1005,$B18,'الحركات الشهرية'!$A$6:$A$1005,$C$3))</f>
        <v/>
      </c>
      <c r="O18" s="86" t="str">
        <f aca="false">IF($B18="","",N18*(الموظفون!$N18+الموظفون!$J18*cfg_OT_P)/cfg_DAYS_M/cfg_HRS)</f>
        <v/>
      </c>
      <c r="P18" s="86" t="str">
        <f aca="false">IF($B18="","",SUMIFS('الحركات الشهرية'!$G$6:$G$1005,'الحركات الشهرية'!$B$6:$B$1005,$B18,'الحركات الشهرية'!$A$6:$A$1005,$C$3))</f>
        <v/>
      </c>
      <c r="Q18" s="86" t="str">
        <f aca="false">IF($B18="","",SUMIFS('الحركات الشهرية'!$H$6:$H$1005,'الحركات الشهرية'!$B$6:$B$1005,$B18,'الحركات الشهرية'!$A$6:$A$1005,$C$3))</f>
        <v/>
      </c>
      <c r="R18" s="106" t="str">
        <f aca="false">IF($B18="","",SUM(J18:M18)+SUM(O18:Q18))</f>
        <v/>
      </c>
      <c r="S18" s="86" t="str">
        <f aca="false">IF($B18="","",الموظفون!$Q18*IF(E18="سعودي",cfg_G_SE,cfg_G_NE)*F18/cfg_DAYS_M)</f>
        <v/>
      </c>
      <c r="T18" s="86" t="str">
        <f aca="false">IF($B18="","",SUMIFS('الحركات الشهرية'!$I$6:$I$1005,'الحركات الشهرية'!$B$6:$B$1005,$B18,'الحركات الشهرية'!$A$6:$A$1005,$C$3))</f>
        <v/>
      </c>
      <c r="U18" s="86" t="str">
        <f aca="false">IF($B18="","",SUMIFS('الحركات الشهرية'!$J$6:$J$1005,'الحركات الشهرية'!$B$6:$B$1005,$B18,'الحركات الشهرية'!$A$6:$A$1005,$C$3))</f>
        <v/>
      </c>
      <c r="V18" s="86" t="str">
        <f aca="false">IF($B18="","",SUM(S18:U18))</f>
        <v/>
      </c>
      <c r="W18" s="107" t="str">
        <f aca="false">IF($B18="","",R18-V18)</f>
        <v/>
      </c>
      <c r="X18" s="86" t="str">
        <f aca="false">IF($B18="","",الموظفون!$Q18*IF(E18="سعودي",cfg_G_SR,cfg_G_NR)*F18/cfg_DAYS_M)</f>
        <v/>
      </c>
      <c r="Y18" s="86" t="str">
        <f aca="false">IF($B18="","",الموظفون!$O18*(cfg_EOS_R1*(MIN(AC18,cfg_EOS_TH)-MIN(AD18,cfg_EOS_TH))+cfg_EOS_R2*(MAX(AC18-cfg_EOS_TH,0)-MAX(AD18-cfg_EOS_TH,0))))</f>
        <v/>
      </c>
      <c r="Z18" s="86" t="str">
        <f aca="false">IF($B18="","",IF(الموظفون!$R18&lt;&gt;"",الموظفون!$R18,IF(AC18&gt;=cfg_LV_TH,cfg_LV_D2,cfg_LV_D1))/cfg_DAYS_Y*AE18*الموظفون!$P18/cfg_DAYS_M)</f>
        <v/>
      </c>
      <c r="AA18" s="86" t="str">
        <f aca="false">IF($B18="","",IF(AND(الموظفون!$S18="نعم",N(الموظفون!$U18)&gt;0),الموظفون!$T18/الموظفون!$U18*12/cfg_DAYS_Y*AE18,0))</f>
        <v/>
      </c>
      <c r="AB18" s="108" t="str">
        <f aca="false">IF($B18="","",R18+SUM(X18:AA18))</f>
        <v/>
      </c>
      <c r="AC18" s="109" t="str">
        <f aca="false">IF($B18="","",MAX(0,IF(OR(الموظفون!$X18="",الموظفون!$X18&gt;$G$3),$G$3,الموظفون!$X18)-الموظفون!$H18+1)/cfg_DAYS_Y)</f>
        <v/>
      </c>
      <c r="AD18" s="109" t="str">
        <f aca="false">IF($B18="","",MAX(0,IF(OR(الموظفون!$X18="",الموظفون!$X18&gt;($E$3-1)),($E$3-1),الموظفون!$X18)-الموظفون!$H18+1)/cfg_DAYS_Y)</f>
        <v/>
      </c>
      <c r="AE18" s="51" t="str">
        <f aca="false">IF($B18="","",MAX(0,IF(OR(الموظفون!$X18="",الموظفون!$X18&gt;$G$3),$G$3,الموظفون!$X18)-MAX($E$3,الموظفون!$H18)+1))</f>
        <v/>
      </c>
    </row>
    <row r="19" customFormat="false" ht="15" hidden="false" customHeight="false" outlineLevel="0" collapsed="false">
      <c r="A19" s="89" t="str">
        <f aca="false">IF($B19="","",الموظفون!$A19)</f>
        <v/>
      </c>
      <c r="B19" s="91" t="str">
        <f aca="false">IF(الموظفون!$B19="","",الموظفون!$B19)</f>
        <v/>
      </c>
      <c r="C19" s="91" t="str">
        <f aca="false">IF($B19="","",الموظفون!$C19)</f>
        <v/>
      </c>
      <c r="D19" s="91" t="str">
        <f aca="false">IF($B19="","",الموظفون!$F19)</f>
        <v/>
      </c>
      <c r="E19" s="91" t="str">
        <f aca="false">IF($B19="","",الموظفون!$E19)</f>
        <v/>
      </c>
      <c r="F19" s="110" t="str">
        <f aca="false">IF($B19="","",IF(AE19&gt;=DAY($G$3),cfg_DAYS_M,MIN(AE19,cfg_DAYS_M)))</f>
        <v/>
      </c>
      <c r="G19" s="110" t="str">
        <f aca="false">IF($B19="","",SUMIFS('الحركات الشهرية'!$D$6:$D$1005,'الحركات الشهرية'!$B$6:$B$1005,$B19,'الحركات الشهرية'!$A$6:$A$1005,$C$3))</f>
        <v/>
      </c>
      <c r="H19" s="110" t="str">
        <f aca="false">IF($B19="","",SUMIFS('الحركات الشهرية'!$E$6:$E$1005,'الحركات الشهرية'!$B$6:$B$1005,$B19,'الحركات الشهرية'!$A$6:$A$1005,$C$3))</f>
        <v/>
      </c>
      <c r="I19" s="110" t="str">
        <f aca="false">IF($B19="","",MAX(0,F19-G19-H19))</f>
        <v/>
      </c>
      <c r="J19" s="90" t="str">
        <f aca="false">IF($B19="","",الموظفون!$J19*$I19/cfg_DAYS_M)</f>
        <v/>
      </c>
      <c r="K19" s="90" t="str">
        <f aca="false">IF($B19="","",الموظفون!$K19*$I19/cfg_DAYS_M)</f>
        <v/>
      </c>
      <c r="L19" s="90" t="str">
        <f aca="false">IF($B19="","",الموظفون!$L19*$I19/cfg_DAYS_M)</f>
        <v/>
      </c>
      <c r="M19" s="90" t="str">
        <f aca="false">IF($B19="","",الموظفون!$M19*$I19/cfg_DAYS_M)</f>
        <v/>
      </c>
      <c r="N19" s="110" t="str">
        <f aca="false">IF($B19="","",SUMIFS('الحركات الشهرية'!$F$6:$F$1005,'الحركات الشهرية'!$B$6:$B$1005,$B19,'الحركات الشهرية'!$A$6:$A$1005,$C$3))</f>
        <v/>
      </c>
      <c r="O19" s="90" t="str">
        <f aca="false">IF($B19="","",N19*(الموظفون!$N19+الموظفون!$J19*cfg_OT_P)/cfg_DAYS_M/cfg_HRS)</f>
        <v/>
      </c>
      <c r="P19" s="90" t="str">
        <f aca="false">IF($B19="","",SUMIFS('الحركات الشهرية'!$G$6:$G$1005,'الحركات الشهرية'!$B$6:$B$1005,$B19,'الحركات الشهرية'!$A$6:$A$1005,$C$3))</f>
        <v/>
      </c>
      <c r="Q19" s="90" t="str">
        <f aca="false">IF($B19="","",SUMIFS('الحركات الشهرية'!$H$6:$H$1005,'الحركات الشهرية'!$B$6:$B$1005,$B19,'الحركات الشهرية'!$A$6:$A$1005,$C$3))</f>
        <v/>
      </c>
      <c r="R19" s="111" t="str">
        <f aca="false">IF($B19="","",SUM(J19:M19)+SUM(O19:Q19))</f>
        <v/>
      </c>
      <c r="S19" s="90" t="str">
        <f aca="false">IF($B19="","",الموظفون!$Q19*IF(E19="سعودي",cfg_G_SE,cfg_G_NE)*F19/cfg_DAYS_M)</f>
        <v/>
      </c>
      <c r="T19" s="90" t="str">
        <f aca="false">IF($B19="","",SUMIFS('الحركات الشهرية'!$I$6:$I$1005,'الحركات الشهرية'!$B$6:$B$1005,$B19,'الحركات الشهرية'!$A$6:$A$1005,$C$3))</f>
        <v/>
      </c>
      <c r="U19" s="90" t="str">
        <f aca="false">IF($B19="","",SUMIFS('الحركات الشهرية'!$J$6:$J$1005,'الحركات الشهرية'!$B$6:$B$1005,$B19,'الحركات الشهرية'!$A$6:$A$1005,$C$3))</f>
        <v/>
      </c>
      <c r="V19" s="90" t="str">
        <f aca="false">IF($B19="","",SUM(S19:U19))</f>
        <v/>
      </c>
      <c r="W19" s="112" t="str">
        <f aca="false">IF($B19="","",R19-V19)</f>
        <v/>
      </c>
      <c r="X19" s="90" t="str">
        <f aca="false">IF($B19="","",الموظفون!$Q19*IF(E19="سعودي",cfg_G_SR,cfg_G_NR)*F19/cfg_DAYS_M)</f>
        <v/>
      </c>
      <c r="Y19" s="90" t="str">
        <f aca="false">IF($B19="","",الموظفون!$O19*(cfg_EOS_R1*(MIN(AC19,cfg_EOS_TH)-MIN(AD19,cfg_EOS_TH))+cfg_EOS_R2*(MAX(AC19-cfg_EOS_TH,0)-MAX(AD19-cfg_EOS_TH,0))))</f>
        <v/>
      </c>
      <c r="Z19" s="90" t="str">
        <f aca="false">IF($B19="","",IF(الموظفون!$R19&lt;&gt;"",الموظفون!$R19,IF(AC19&gt;=cfg_LV_TH,cfg_LV_D2,cfg_LV_D1))/cfg_DAYS_Y*AE19*الموظفون!$P19/cfg_DAYS_M)</f>
        <v/>
      </c>
      <c r="AA19" s="90" t="str">
        <f aca="false">IF($B19="","",IF(AND(الموظفون!$S19="نعم",N(الموظفون!$U19)&gt;0),الموظفون!$T19/الموظفون!$U19*12/cfg_DAYS_Y*AE19,0))</f>
        <v/>
      </c>
      <c r="AB19" s="113" t="str">
        <f aca="false">IF($B19="","",R19+SUM(X19:AA19))</f>
        <v/>
      </c>
      <c r="AC19" s="114" t="str">
        <f aca="false">IF($B19="","",MAX(0,IF(OR(الموظفون!$X19="",الموظفون!$X19&gt;$G$3),$G$3,الموظفون!$X19)-الموظفون!$H19+1)/cfg_DAYS_Y)</f>
        <v/>
      </c>
      <c r="AD19" s="114" t="str">
        <f aca="false">IF($B19="","",MAX(0,IF(OR(الموظفون!$X19="",الموظفون!$X19&gt;($E$3-1)),($E$3-1),الموظفون!$X19)-الموظفون!$H19+1)/cfg_DAYS_Y)</f>
        <v/>
      </c>
      <c r="AE19" s="115" t="str">
        <f aca="false">IF($B19="","",MAX(0,IF(OR(الموظفون!$X19="",الموظفون!$X19&gt;$G$3),$G$3,الموظفون!$X19)-MAX($E$3,الموظفون!$H19)+1))</f>
        <v/>
      </c>
    </row>
    <row r="20" customFormat="false" ht="15" hidden="false" customHeight="false" outlineLevel="0" collapsed="false">
      <c r="A20" s="83" t="str">
        <f aca="false">IF($B20="","",الموظفون!$A20)</f>
        <v/>
      </c>
      <c r="B20" s="74" t="str">
        <f aca="false">IF(الموظفون!$B20="","",الموظفون!$B20)</f>
        <v/>
      </c>
      <c r="C20" s="74" t="str">
        <f aca="false">IF($B20="","",الموظفون!$C20)</f>
        <v/>
      </c>
      <c r="D20" s="74" t="str">
        <f aca="false">IF($B20="","",الموظفون!$F20)</f>
        <v/>
      </c>
      <c r="E20" s="74" t="str">
        <f aca="false">IF($B20="","",الموظفون!$E20)</f>
        <v/>
      </c>
      <c r="F20" s="105" t="str">
        <f aca="false">IF($B20="","",IF(AE20&gt;=DAY($G$3),cfg_DAYS_M,MIN(AE20,cfg_DAYS_M)))</f>
        <v/>
      </c>
      <c r="G20" s="105" t="str">
        <f aca="false">IF($B20="","",SUMIFS('الحركات الشهرية'!$D$6:$D$1005,'الحركات الشهرية'!$B$6:$B$1005,$B20,'الحركات الشهرية'!$A$6:$A$1005,$C$3))</f>
        <v/>
      </c>
      <c r="H20" s="105" t="str">
        <f aca="false">IF($B20="","",SUMIFS('الحركات الشهرية'!$E$6:$E$1005,'الحركات الشهرية'!$B$6:$B$1005,$B20,'الحركات الشهرية'!$A$6:$A$1005,$C$3))</f>
        <v/>
      </c>
      <c r="I20" s="105" t="str">
        <f aca="false">IF($B20="","",MAX(0,F20-G20-H20))</f>
        <v/>
      </c>
      <c r="J20" s="86" t="str">
        <f aca="false">IF($B20="","",الموظفون!$J20*$I20/cfg_DAYS_M)</f>
        <v/>
      </c>
      <c r="K20" s="86" t="str">
        <f aca="false">IF($B20="","",الموظفون!$K20*$I20/cfg_DAYS_M)</f>
        <v/>
      </c>
      <c r="L20" s="86" t="str">
        <f aca="false">IF($B20="","",الموظفون!$L20*$I20/cfg_DAYS_M)</f>
        <v/>
      </c>
      <c r="M20" s="86" t="str">
        <f aca="false">IF($B20="","",الموظفون!$M20*$I20/cfg_DAYS_M)</f>
        <v/>
      </c>
      <c r="N20" s="105" t="str">
        <f aca="false">IF($B20="","",SUMIFS('الحركات الشهرية'!$F$6:$F$1005,'الحركات الشهرية'!$B$6:$B$1005,$B20,'الحركات الشهرية'!$A$6:$A$1005,$C$3))</f>
        <v/>
      </c>
      <c r="O20" s="86" t="str">
        <f aca="false">IF($B20="","",N20*(الموظفون!$N20+الموظفون!$J20*cfg_OT_P)/cfg_DAYS_M/cfg_HRS)</f>
        <v/>
      </c>
      <c r="P20" s="86" t="str">
        <f aca="false">IF($B20="","",SUMIFS('الحركات الشهرية'!$G$6:$G$1005,'الحركات الشهرية'!$B$6:$B$1005,$B20,'الحركات الشهرية'!$A$6:$A$1005,$C$3))</f>
        <v/>
      </c>
      <c r="Q20" s="86" t="str">
        <f aca="false">IF($B20="","",SUMIFS('الحركات الشهرية'!$H$6:$H$1005,'الحركات الشهرية'!$B$6:$B$1005,$B20,'الحركات الشهرية'!$A$6:$A$1005,$C$3))</f>
        <v/>
      </c>
      <c r="R20" s="106" t="str">
        <f aca="false">IF($B20="","",SUM(J20:M20)+SUM(O20:Q20))</f>
        <v/>
      </c>
      <c r="S20" s="86" t="str">
        <f aca="false">IF($B20="","",الموظفون!$Q20*IF(E20="سعودي",cfg_G_SE,cfg_G_NE)*F20/cfg_DAYS_M)</f>
        <v/>
      </c>
      <c r="T20" s="86" t="str">
        <f aca="false">IF($B20="","",SUMIFS('الحركات الشهرية'!$I$6:$I$1005,'الحركات الشهرية'!$B$6:$B$1005,$B20,'الحركات الشهرية'!$A$6:$A$1005,$C$3))</f>
        <v/>
      </c>
      <c r="U20" s="86" t="str">
        <f aca="false">IF($B20="","",SUMIFS('الحركات الشهرية'!$J$6:$J$1005,'الحركات الشهرية'!$B$6:$B$1005,$B20,'الحركات الشهرية'!$A$6:$A$1005,$C$3))</f>
        <v/>
      </c>
      <c r="V20" s="86" t="str">
        <f aca="false">IF($B20="","",SUM(S20:U20))</f>
        <v/>
      </c>
      <c r="W20" s="107" t="str">
        <f aca="false">IF($B20="","",R20-V20)</f>
        <v/>
      </c>
      <c r="X20" s="86" t="str">
        <f aca="false">IF($B20="","",الموظفون!$Q20*IF(E20="سعودي",cfg_G_SR,cfg_G_NR)*F20/cfg_DAYS_M)</f>
        <v/>
      </c>
      <c r="Y20" s="86" t="str">
        <f aca="false">IF($B20="","",الموظفون!$O20*(cfg_EOS_R1*(MIN(AC20,cfg_EOS_TH)-MIN(AD20,cfg_EOS_TH))+cfg_EOS_R2*(MAX(AC20-cfg_EOS_TH,0)-MAX(AD20-cfg_EOS_TH,0))))</f>
        <v/>
      </c>
      <c r="Z20" s="86" t="str">
        <f aca="false">IF($B20="","",IF(الموظفون!$R20&lt;&gt;"",الموظفون!$R20,IF(AC20&gt;=cfg_LV_TH,cfg_LV_D2,cfg_LV_D1))/cfg_DAYS_Y*AE20*الموظفون!$P20/cfg_DAYS_M)</f>
        <v/>
      </c>
      <c r="AA20" s="86" t="str">
        <f aca="false">IF($B20="","",IF(AND(الموظفون!$S20="نعم",N(الموظفون!$U20)&gt;0),الموظفون!$T20/الموظفون!$U20*12/cfg_DAYS_Y*AE20,0))</f>
        <v/>
      </c>
      <c r="AB20" s="108" t="str">
        <f aca="false">IF($B20="","",R20+SUM(X20:AA20))</f>
        <v/>
      </c>
      <c r="AC20" s="109" t="str">
        <f aca="false">IF($B20="","",MAX(0,IF(OR(الموظفون!$X20="",الموظفون!$X20&gt;$G$3),$G$3,الموظفون!$X20)-الموظفون!$H20+1)/cfg_DAYS_Y)</f>
        <v/>
      </c>
      <c r="AD20" s="109" t="str">
        <f aca="false">IF($B20="","",MAX(0,IF(OR(الموظفون!$X20="",الموظفون!$X20&gt;($E$3-1)),($E$3-1),الموظفون!$X20)-الموظفون!$H20+1)/cfg_DAYS_Y)</f>
        <v/>
      </c>
      <c r="AE20" s="51" t="str">
        <f aca="false">IF($B20="","",MAX(0,IF(OR(الموظفون!$X20="",الموظفون!$X20&gt;$G$3),$G$3,الموظفون!$X20)-MAX($E$3,الموظفون!$H20)+1))</f>
        <v/>
      </c>
    </row>
    <row r="21" customFormat="false" ht="15" hidden="false" customHeight="false" outlineLevel="0" collapsed="false">
      <c r="A21" s="89" t="str">
        <f aca="false">IF($B21="","",الموظفون!$A21)</f>
        <v/>
      </c>
      <c r="B21" s="91" t="str">
        <f aca="false">IF(الموظفون!$B21="","",الموظفون!$B21)</f>
        <v/>
      </c>
      <c r="C21" s="91" t="str">
        <f aca="false">IF($B21="","",الموظفون!$C21)</f>
        <v/>
      </c>
      <c r="D21" s="91" t="str">
        <f aca="false">IF($B21="","",الموظفون!$F21)</f>
        <v/>
      </c>
      <c r="E21" s="91" t="str">
        <f aca="false">IF($B21="","",الموظفون!$E21)</f>
        <v/>
      </c>
      <c r="F21" s="110" t="str">
        <f aca="false">IF($B21="","",IF(AE21&gt;=DAY($G$3),cfg_DAYS_M,MIN(AE21,cfg_DAYS_M)))</f>
        <v/>
      </c>
      <c r="G21" s="110" t="str">
        <f aca="false">IF($B21="","",SUMIFS('الحركات الشهرية'!$D$6:$D$1005,'الحركات الشهرية'!$B$6:$B$1005,$B21,'الحركات الشهرية'!$A$6:$A$1005,$C$3))</f>
        <v/>
      </c>
      <c r="H21" s="110" t="str">
        <f aca="false">IF($B21="","",SUMIFS('الحركات الشهرية'!$E$6:$E$1005,'الحركات الشهرية'!$B$6:$B$1005,$B21,'الحركات الشهرية'!$A$6:$A$1005,$C$3))</f>
        <v/>
      </c>
      <c r="I21" s="110" t="str">
        <f aca="false">IF($B21="","",MAX(0,F21-G21-H21))</f>
        <v/>
      </c>
      <c r="J21" s="90" t="str">
        <f aca="false">IF($B21="","",الموظفون!$J21*$I21/cfg_DAYS_M)</f>
        <v/>
      </c>
      <c r="K21" s="90" t="str">
        <f aca="false">IF($B21="","",الموظفون!$K21*$I21/cfg_DAYS_M)</f>
        <v/>
      </c>
      <c r="L21" s="90" t="str">
        <f aca="false">IF($B21="","",الموظفون!$L21*$I21/cfg_DAYS_M)</f>
        <v/>
      </c>
      <c r="M21" s="90" t="str">
        <f aca="false">IF($B21="","",الموظفون!$M21*$I21/cfg_DAYS_M)</f>
        <v/>
      </c>
      <c r="N21" s="110" t="str">
        <f aca="false">IF($B21="","",SUMIFS('الحركات الشهرية'!$F$6:$F$1005,'الحركات الشهرية'!$B$6:$B$1005,$B21,'الحركات الشهرية'!$A$6:$A$1005,$C$3))</f>
        <v/>
      </c>
      <c r="O21" s="90" t="str">
        <f aca="false">IF($B21="","",N21*(الموظفون!$N21+الموظفون!$J21*cfg_OT_P)/cfg_DAYS_M/cfg_HRS)</f>
        <v/>
      </c>
      <c r="P21" s="90" t="str">
        <f aca="false">IF($B21="","",SUMIFS('الحركات الشهرية'!$G$6:$G$1005,'الحركات الشهرية'!$B$6:$B$1005,$B21,'الحركات الشهرية'!$A$6:$A$1005,$C$3))</f>
        <v/>
      </c>
      <c r="Q21" s="90" t="str">
        <f aca="false">IF($B21="","",SUMIFS('الحركات الشهرية'!$H$6:$H$1005,'الحركات الشهرية'!$B$6:$B$1005,$B21,'الحركات الشهرية'!$A$6:$A$1005,$C$3))</f>
        <v/>
      </c>
      <c r="R21" s="111" t="str">
        <f aca="false">IF($B21="","",SUM(J21:M21)+SUM(O21:Q21))</f>
        <v/>
      </c>
      <c r="S21" s="90" t="str">
        <f aca="false">IF($B21="","",الموظفون!$Q21*IF(E21="سعودي",cfg_G_SE,cfg_G_NE)*F21/cfg_DAYS_M)</f>
        <v/>
      </c>
      <c r="T21" s="90" t="str">
        <f aca="false">IF($B21="","",SUMIFS('الحركات الشهرية'!$I$6:$I$1005,'الحركات الشهرية'!$B$6:$B$1005,$B21,'الحركات الشهرية'!$A$6:$A$1005,$C$3))</f>
        <v/>
      </c>
      <c r="U21" s="90" t="str">
        <f aca="false">IF($B21="","",SUMIFS('الحركات الشهرية'!$J$6:$J$1005,'الحركات الشهرية'!$B$6:$B$1005,$B21,'الحركات الشهرية'!$A$6:$A$1005,$C$3))</f>
        <v/>
      </c>
      <c r="V21" s="90" t="str">
        <f aca="false">IF($B21="","",SUM(S21:U21))</f>
        <v/>
      </c>
      <c r="W21" s="112" t="str">
        <f aca="false">IF($B21="","",R21-V21)</f>
        <v/>
      </c>
      <c r="X21" s="90" t="str">
        <f aca="false">IF($B21="","",الموظفون!$Q21*IF(E21="سعودي",cfg_G_SR,cfg_G_NR)*F21/cfg_DAYS_M)</f>
        <v/>
      </c>
      <c r="Y21" s="90" t="str">
        <f aca="false">IF($B21="","",الموظفون!$O21*(cfg_EOS_R1*(MIN(AC21,cfg_EOS_TH)-MIN(AD21,cfg_EOS_TH))+cfg_EOS_R2*(MAX(AC21-cfg_EOS_TH,0)-MAX(AD21-cfg_EOS_TH,0))))</f>
        <v/>
      </c>
      <c r="Z21" s="90" t="str">
        <f aca="false">IF($B21="","",IF(الموظفون!$R21&lt;&gt;"",الموظفون!$R21,IF(AC21&gt;=cfg_LV_TH,cfg_LV_D2,cfg_LV_D1))/cfg_DAYS_Y*AE21*الموظفون!$P21/cfg_DAYS_M)</f>
        <v/>
      </c>
      <c r="AA21" s="90" t="str">
        <f aca="false">IF($B21="","",IF(AND(الموظفون!$S21="نعم",N(الموظفون!$U21)&gt;0),الموظفون!$T21/الموظفون!$U21*12/cfg_DAYS_Y*AE21,0))</f>
        <v/>
      </c>
      <c r="AB21" s="113" t="str">
        <f aca="false">IF($B21="","",R21+SUM(X21:AA21))</f>
        <v/>
      </c>
      <c r="AC21" s="114" t="str">
        <f aca="false">IF($B21="","",MAX(0,IF(OR(الموظفون!$X21="",الموظفون!$X21&gt;$G$3),$G$3,الموظفون!$X21)-الموظفون!$H21+1)/cfg_DAYS_Y)</f>
        <v/>
      </c>
      <c r="AD21" s="114" t="str">
        <f aca="false">IF($B21="","",MAX(0,IF(OR(الموظفون!$X21="",الموظفون!$X21&gt;($E$3-1)),($E$3-1),الموظفون!$X21)-الموظفون!$H21+1)/cfg_DAYS_Y)</f>
        <v/>
      </c>
      <c r="AE21" s="115" t="str">
        <f aca="false">IF($B21="","",MAX(0,IF(OR(الموظفون!$X21="",الموظفون!$X21&gt;$G$3),$G$3,الموظفون!$X21)-MAX($E$3,الموظفون!$H21)+1))</f>
        <v/>
      </c>
    </row>
    <row r="22" customFormat="false" ht="15" hidden="false" customHeight="false" outlineLevel="0" collapsed="false">
      <c r="A22" s="83" t="str">
        <f aca="false">IF($B22="","",الموظفون!$A22)</f>
        <v/>
      </c>
      <c r="B22" s="74" t="str">
        <f aca="false">IF(الموظفون!$B22="","",الموظفون!$B22)</f>
        <v/>
      </c>
      <c r="C22" s="74" t="str">
        <f aca="false">IF($B22="","",الموظفون!$C22)</f>
        <v/>
      </c>
      <c r="D22" s="74" t="str">
        <f aca="false">IF($B22="","",الموظفون!$F22)</f>
        <v/>
      </c>
      <c r="E22" s="74" t="str">
        <f aca="false">IF($B22="","",الموظفون!$E22)</f>
        <v/>
      </c>
      <c r="F22" s="105" t="str">
        <f aca="false">IF($B22="","",IF(AE22&gt;=DAY($G$3),cfg_DAYS_M,MIN(AE22,cfg_DAYS_M)))</f>
        <v/>
      </c>
      <c r="G22" s="105" t="str">
        <f aca="false">IF($B22="","",SUMIFS('الحركات الشهرية'!$D$6:$D$1005,'الحركات الشهرية'!$B$6:$B$1005,$B22,'الحركات الشهرية'!$A$6:$A$1005,$C$3))</f>
        <v/>
      </c>
      <c r="H22" s="105" t="str">
        <f aca="false">IF($B22="","",SUMIFS('الحركات الشهرية'!$E$6:$E$1005,'الحركات الشهرية'!$B$6:$B$1005,$B22,'الحركات الشهرية'!$A$6:$A$1005,$C$3))</f>
        <v/>
      </c>
      <c r="I22" s="105" t="str">
        <f aca="false">IF($B22="","",MAX(0,F22-G22-H22))</f>
        <v/>
      </c>
      <c r="J22" s="86" t="str">
        <f aca="false">IF($B22="","",الموظفون!$J22*$I22/cfg_DAYS_M)</f>
        <v/>
      </c>
      <c r="K22" s="86" t="str">
        <f aca="false">IF($B22="","",الموظفون!$K22*$I22/cfg_DAYS_M)</f>
        <v/>
      </c>
      <c r="L22" s="86" t="str">
        <f aca="false">IF($B22="","",الموظفون!$L22*$I22/cfg_DAYS_M)</f>
        <v/>
      </c>
      <c r="M22" s="86" t="str">
        <f aca="false">IF($B22="","",الموظفون!$M22*$I22/cfg_DAYS_M)</f>
        <v/>
      </c>
      <c r="N22" s="105" t="str">
        <f aca="false">IF($B22="","",SUMIFS('الحركات الشهرية'!$F$6:$F$1005,'الحركات الشهرية'!$B$6:$B$1005,$B22,'الحركات الشهرية'!$A$6:$A$1005,$C$3))</f>
        <v/>
      </c>
      <c r="O22" s="86" t="str">
        <f aca="false">IF($B22="","",N22*(الموظفون!$N22+الموظفون!$J22*cfg_OT_P)/cfg_DAYS_M/cfg_HRS)</f>
        <v/>
      </c>
      <c r="P22" s="86" t="str">
        <f aca="false">IF($B22="","",SUMIFS('الحركات الشهرية'!$G$6:$G$1005,'الحركات الشهرية'!$B$6:$B$1005,$B22,'الحركات الشهرية'!$A$6:$A$1005,$C$3))</f>
        <v/>
      </c>
      <c r="Q22" s="86" t="str">
        <f aca="false">IF($B22="","",SUMIFS('الحركات الشهرية'!$H$6:$H$1005,'الحركات الشهرية'!$B$6:$B$1005,$B22,'الحركات الشهرية'!$A$6:$A$1005,$C$3))</f>
        <v/>
      </c>
      <c r="R22" s="106" t="str">
        <f aca="false">IF($B22="","",SUM(J22:M22)+SUM(O22:Q22))</f>
        <v/>
      </c>
      <c r="S22" s="86" t="str">
        <f aca="false">IF($B22="","",الموظفون!$Q22*IF(E22="سعودي",cfg_G_SE,cfg_G_NE)*F22/cfg_DAYS_M)</f>
        <v/>
      </c>
      <c r="T22" s="86" t="str">
        <f aca="false">IF($B22="","",SUMIFS('الحركات الشهرية'!$I$6:$I$1005,'الحركات الشهرية'!$B$6:$B$1005,$B22,'الحركات الشهرية'!$A$6:$A$1005,$C$3))</f>
        <v/>
      </c>
      <c r="U22" s="86" t="str">
        <f aca="false">IF($B22="","",SUMIFS('الحركات الشهرية'!$J$6:$J$1005,'الحركات الشهرية'!$B$6:$B$1005,$B22,'الحركات الشهرية'!$A$6:$A$1005,$C$3))</f>
        <v/>
      </c>
      <c r="V22" s="86" t="str">
        <f aca="false">IF($B22="","",SUM(S22:U22))</f>
        <v/>
      </c>
      <c r="W22" s="107" t="str">
        <f aca="false">IF($B22="","",R22-V22)</f>
        <v/>
      </c>
      <c r="X22" s="86" t="str">
        <f aca="false">IF($B22="","",الموظفون!$Q22*IF(E22="سعودي",cfg_G_SR,cfg_G_NR)*F22/cfg_DAYS_M)</f>
        <v/>
      </c>
      <c r="Y22" s="86" t="str">
        <f aca="false">IF($B22="","",الموظفون!$O22*(cfg_EOS_R1*(MIN(AC22,cfg_EOS_TH)-MIN(AD22,cfg_EOS_TH))+cfg_EOS_R2*(MAX(AC22-cfg_EOS_TH,0)-MAX(AD22-cfg_EOS_TH,0))))</f>
        <v/>
      </c>
      <c r="Z22" s="86" t="str">
        <f aca="false">IF($B22="","",IF(الموظفون!$R22&lt;&gt;"",الموظفون!$R22,IF(AC22&gt;=cfg_LV_TH,cfg_LV_D2,cfg_LV_D1))/cfg_DAYS_Y*AE22*الموظفون!$P22/cfg_DAYS_M)</f>
        <v/>
      </c>
      <c r="AA22" s="86" t="str">
        <f aca="false">IF($B22="","",IF(AND(الموظفون!$S22="نعم",N(الموظفون!$U22)&gt;0),الموظفون!$T22/الموظفون!$U22*12/cfg_DAYS_Y*AE22,0))</f>
        <v/>
      </c>
      <c r="AB22" s="108" t="str">
        <f aca="false">IF($B22="","",R22+SUM(X22:AA22))</f>
        <v/>
      </c>
      <c r="AC22" s="109" t="str">
        <f aca="false">IF($B22="","",MAX(0,IF(OR(الموظفون!$X22="",الموظفون!$X22&gt;$G$3),$G$3,الموظفون!$X22)-الموظفون!$H22+1)/cfg_DAYS_Y)</f>
        <v/>
      </c>
      <c r="AD22" s="109" t="str">
        <f aca="false">IF($B22="","",MAX(0,IF(OR(الموظفون!$X22="",الموظفون!$X22&gt;($E$3-1)),($E$3-1),الموظفون!$X22)-الموظفون!$H22+1)/cfg_DAYS_Y)</f>
        <v/>
      </c>
      <c r="AE22" s="51" t="str">
        <f aca="false">IF($B22="","",MAX(0,IF(OR(الموظفون!$X22="",الموظفون!$X22&gt;$G$3),$G$3,الموظفون!$X22)-MAX($E$3,الموظفون!$H22)+1))</f>
        <v/>
      </c>
    </row>
    <row r="23" customFormat="false" ht="15" hidden="false" customHeight="false" outlineLevel="0" collapsed="false">
      <c r="A23" s="89" t="str">
        <f aca="false">IF($B23="","",الموظفون!$A23)</f>
        <v/>
      </c>
      <c r="B23" s="91" t="str">
        <f aca="false">IF(الموظفون!$B23="","",الموظفون!$B23)</f>
        <v/>
      </c>
      <c r="C23" s="91" t="str">
        <f aca="false">IF($B23="","",الموظفون!$C23)</f>
        <v/>
      </c>
      <c r="D23" s="91" t="str">
        <f aca="false">IF($B23="","",الموظفون!$F23)</f>
        <v/>
      </c>
      <c r="E23" s="91" t="str">
        <f aca="false">IF($B23="","",الموظفون!$E23)</f>
        <v/>
      </c>
      <c r="F23" s="110" t="str">
        <f aca="false">IF($B23="","",IF(AE23&gt;=DAY($G$3),cfg_DAYS_M,MIN(AE23,cfg_DAYS_M)))</f>
        <v/>
      </c>
      <c r="G23" s="110" t="str">
        <f aca="false">IF($B23="","",SUMIFS('الحركات الشهرية'!$D$6:$D$1005,'الحركات الشهرية'!$B$6:$B$1005,$B23,'الحركات الشهرية'!$A$6:$A$1005,$C$3))</f>
        <v/>
      </c>
      <c r="H23" s="110" t="str">
        <f aca="false">IF($B23="","",SUMIFS('الحركات الشهرية'!$E$6:$E$1005,'الحركات الشهرية'!$B$6:$B$1005,$B23,'الحركات الشهرية'!$A$6:$A$1005,$C$3))</f>
        <v/>
      </c>
      <c r="I23" s="110" t="str">
        <f aca="false">IF($B23="","",MAX(0,F23-G23-H23))</f>
        <v/>
      </c>
      <c r="J23" s="90" t="str">
        <f aca="false">IF($B23="","",الموظفون!$J23*$I23/cfg_DAYS_M)</f>
        <v/>
      </c>
      <c r="K23" s="90" t="str">
        <f aca="false">IF($B23="","",الموظفون!$K23*$I23/cfg_DAYS_M)</f>
        <v/>
      </c>
      <c r="L23" s="90" t="str">
        <f aca="false">IF($B23="","",الموظفون!$L23*$I23/cfg_DAYS_M)</f>
        <v/>
      </c>
      <c r="M23" s="90" t="str">
        <f aca="false">IF($B23="","",الموظفون!$M23*$I23/cfg_DAYS_M)</f>
        <v/>
      </c>
      <c r="N23" s="110" t="str">
        <f aca="false">IF($B23="","",SUMIFS('الحركات الشهرية'!$F$6:$F$1005,'الحركات الشهرية'!$B$6:$B$1005,$B23,'الحركات الشهرية'!$A$6:$A$1005,$C$3))</f>
        <v/>
      </c>
      <c r="O23" s="90" t="str">
        <f aca="false">IF($B23="","",N23*(الموظفون!$N23+الموظفون!$J23*cfg_OT_P)/cfg_DAYS_M/cfg_HRS)</f>
        <v/>
      </c>
      <c r="P23" s="90" t="str">
        <f aca="false">IF($B23="","",SUMIFS('الحركات الشهرية'!$G$6:$G$1005,'الحركات الشهرية'!$B$6:$B$1005,$B23,'الحركات الشهرية'!$A$6:$A$1005,$C$3))</f>
        <v/>
      </c>
      <c r="Q23" s="90" t="str">
        <f aca="false">IF($B23="","",SUMIFS('الحركات الشهرية'!$H$6:$H$1005,'الحركات الشهرية'!$B$6:$B$1005,$B23,'الحركات الشهرية'!$A$6:$A$1005,$C$3))</f>
        <v/>
      </c>
      <c r="R23" s="111" t="str">
        <f aca="false">IF($B23="","",SUM(J23:M23)+SUM(O23:Q23))</f>
        <v/>
      </c>
      <c r="S23" s="90" t="str">
        <f aca="false">IF($B23="","",الموظفون!$Q23*IF(E23="سعودي",cfg_G_SE,cfg_G_NE)*F23/cfg_DAYS_M)</f>
        <v/>
      </c>
      <c r="T23" s="90" t="str">
        <f aca="false">IF($B23="","",SUMIFS('الحركات الشهرية'!$I$6:$I$1005,'الحركات الشهرية'!$B$6:$B$1005,$B23,'الحركات الشهرية'!$A$6:$A$1005,$C$3))</f>
        <v/>
      </c>
      <c r="U23" s="90" t="str">
        <f aca="false">IF($B23="","",SUMIFS('الحركات الشهرية'!$J$6:$J$1005,'الحركات الشهرية'!$B$6:$B$1005,$B23,'الحركات الشهرية'!$A$6:$A$1005,$C$3))</f>
        <v/>
      </c>
      <c r="V23" s="90" t="str">
        <f aca="false">IF($B23="","",SUM(S23:U23))</f>
        <v/>
      </c>
      <c r="W23" s="112" t="str">
        <f aca="false">IF($B23="","",R23-V23)</f>
        <v/>
      </c>
      <c r="X23" s="90" t="str">
        <f aca="false">IF($B23="","",الموظفون!$Q23*IF(E23="سعودي",cfg_G_SR,cfg_G_NR)*F23/cfg_DAYS_M)</f>
        <v/>
      </c>
      <c r="Y23" s="90" t="str">
        <f aca="false">IF($B23="","",الموظفون!$O23*(cfg_EOS_R1*(MIN(AC23,cfg_EOS_TH)-MIN(AD23,cfg_EOS_TH))+cfg_EOS_R2*(MAX(AC23-cfg_EOS_TH,0)-MAX(AD23-cfg_EOS_TH,0))))</f>
        <v/>
      </c>
      <c r="Z23" s="90" t="str">
        <f aca="false">IF($B23="","",IF(الموظفون!$R23&lt;&gt;"",الموظفون!$R23,IF(AC23&gt;=cfg_LV_TH,cfg_LV_D2,cfg_LV_D1))/cfg_DAYS_Y*AE23*الموظفون!$P23/cfg_DAYS_M)</f>
        <v/>
      </c>
      <c r="AA23" s="90" t="str">
        <f aca="false">IF($B23="","",IF(AND(الموظفون!$S23="نعم",N(الموظفون!$U23)&gt;0),الموظفون!$T23/الموظفون!$U23*12/cfg_DAYS_Y*AE23,0))</f>
        <v/>
      </c>
      <c r="AB23" s="113" t="str">
        <f aca="false">IF($B23="","",R23+SUM(X23:AA23))</f>
        <v/>
      </c>
      <c r="AC23" s="114" t="str">
        <f aca="false">IF($B23="","",MAX(0,IF(OR(الموظفون!$X23="",الموظفون!$X23&gt;$G$3),$G$3,الموظفون!$X23)-الموظفون!$H23+1)/cfg_DAYS_Y)</f>
        <v/>
      </c>
      <c r="AD23" s="114" t="str">
        <f aca="false">IF($B23="","",MAX(0,IF(OR(الموظفون!$X23="",الموظفون!$X23&gt;($E$3-1)),($E$3-1),الموظفون!$X23)-الموظفون!$H23+1)/cfg_DAYS_Y)</f>
        <v/>
      </c>
      <c r="AE23" s="115" t="str">
        <f aca="false">IF($B23="","",MAX(0,IF(OR(الموظفون!$X23="",الموظفون!$X23&gt;$G$3),$G$3,الموظفون!$X23)-MAX($E$3,الموظفون!$H23)+1))</f>
        <v/>
      </c>
    </row>
    <row r="24" customFormat="false" ht="15" hidden="false" customHeight="false" outlineLevel="0" collapsed="false">
      <c r="A24" s="83" t="str">
        <f aca="false">IF($B24="","",الموظفون!$A24)</f>
        <v/>
      </c>
      <c r="B24" s="74" t="str">
        <f aca="false">IF(الموظفون!$B24="","",الموظفون!$B24)</f>
        <v/>
      </c>
      <c r="C24" s="74" t="str">
        <f aca="false">IF($B24="","",الموظفون!$C24)</f>
        <v/>
      </c>
      <c r="D24" s="74" t="str">
        <f aca="false">IF($B24="","",الموظفون!$F24)</f>
        <v/>
      </c>
      <c r="E24" s="74" t="str">
        <f aca="false">IF($B24="","",الموظفون!$E24)</f>
        <v/>
      </c>
      <c r="F24" s="105" t="str">
        <f aca="false">IF($B24="","",IF(AE24&gt;=DAY($G$3),cfg_DAYS_M,MIN(AE24,cfg_DAYS_M)))</f>
        <v/>
      </c>
      <c r="G24" s="105" t="str">
        <f aca="false">IF($B24="","",SUMIFS('الحركات الشهرية'!$D$6:$D$1005,'الحركات الشهرية'!$B$6:$B$1005,$B24,'الحركات الشهرية'!$A$6:$A$1005,$C$3))</f>
        <v/>
      </c>
      <c r="H24" s="105" t="str">
        <f aca="false">IF($B24="","",SUMIFS('الحركات الشهرية'!$E$6:$E$1005,'الحركات الشهرية'!$B$6:$B$1005,$B24,'الحركات الشهرية'!$A$6:$A$1005,$C$3))</f>
        <v/>
      </c>
      <c r="I24" s="105" t="str">
        <f aca="false">IF($B24="","",MAX(0,F24-G24-H24))</f>
        <v/>
      </c>
      <c r="J24" s="86" t="str">
        <f aca="false">IF($B24="","",الموظفون!$J24*$I24/cfg_DAYS_M)</f>
        <v/>
      </c>
      <c r="K24" s="86" t="str">
        <f aca="false">IF($B24="","",الموظفون!$K24*$I24/cfg_DAYS_M)</f>
        <v/>
      </c>
      <c r="L24" s="86" t="str">
        <f aca="false">IF($B24="","",الموظفون!$L24*$I24/cfg_DAYS_M)</f>
        <v/>
      </c>
      <c r="M24" s="86" t="str">
        <f aca="false">IF($B24="","",الموظفون!$M24*$I24/cfg_DAYS_M)</f>
        <v/>
      </c>
      <c r="N24" s="105" t="str">
        <f aca="false">IF($B24="","",SUMIFS('الحركات الشهرية'!$F$6:$F$1005,'الحركات الشهرية'!$B$6:$B$1005,$B24,'الحركات الشهرية'!$A$6:$A$1005,$C$3))</f>
        <v/>
      </c>
      <c r="O24" s="86" t="str">
        <f aca="false">IF($B24="","",N24*(الموظفون!$N24+الموظفون!$J24*cfg_OT_P)/cfg_DAYS_M/cfg_HRS)</f>
        <v/>
      </c>
      <c r="P24" s="86" t="str">
        <f aca="false">IF($B24="","",SUMIFS('الحركات الشهرية'!$G$6:$G$1005,'الحركات الشهرية'!$B$6:$B$1005,$B24,'الحركات الشهرية'!$A$6:$A$1005,$C$3))</f>
        <v/>
      </c>
      <c r="Q24" s="86" t="str">
        <f aca="false">IF($B24="","",SUMIFS('الحركات الشهرية'!$H$6:$H$1005,'الحركات الشهرية'!$B$6:$B$1005,$B24,'الحركات الشهرية'!$A$6:$A$1005,$C$3))</f>
        <v/>
      </c>
      <c r="R24" s="106" t="str">
        <f aca="false">IF($B24="","",SUM(J24:M24)+SUM(O24:Q24))</f>
        <v/>
      </c>
      <c r="S24" s="86" t="str">
        <f aca="false">IF($B24="","",الموظفون!$Q24*IF(E24="سعودي",cfg_G_SE,cfg_G_NE)*F24/cfg_DAYS_M)</f>
        <v/>
      </c>
      <c r="T24" s="86" t="str">
        <f aca="false">IF($B24="","",SUMIFS('الحركات الشهرية'!$I$6:$I$1005,'الحركات الشهرية'!$B$6:$B$1005,$B24,'الحركات الشهرية'!$A$6:$A$1005,$C$3))</f>
        <v/>
      </c>
      <c r="U24" s="86" t="str">
        <f aca="false">IF($B24="","",SUMIFS('الحركات الشهرية'!$J$6:$J$1005,'الحركات الشهرية'!$B$6:$B$1005,$B24,'الحركات الشهرية'!$A$6:$A$1005,$C$3))</f>
        <v/>
      </c>
      <c r="V24" s="86" t="str">
        <f aca="false">IF($B24="","",SUM(S24:U24))</f>
        <v/>
      </c>
      <c r="W24" s="107" t="str">
        <f aca="false">IF($B24="","",R24-V24)</f>
        <v/>
      </c>
      <c r="X24" s="86" t="str">
        <f aca="false">IF($B24="","",الموظفون!$Q24*IF(E24="سعودي",cfg_G_SR,cfg_G_NR)*F24/cfg_DAYS_M)</f>
        <v/>
      </c>
      <c r="Y24" s="86" t="str">
        <f aca="false">IF($B24="","",الموظفون!$O24*(cfg_EOS_R1*(MIN(AC24,cfg_EOS_TH)-MIN(AD24,cfg_EOS_TH))+cfg_EOS_R2*(MAX(AC24-cfg_EOS_TH,0)-MAX(AD24-cfg_EOS_TH,0))))</f>
        <v/>
      </c>
      <c r="Z24" s="86" t="str">
        <f aca="false">IF($B24="","",IF(الموظفون!$R24&lt;&gt;"",الموظفون!$R24,IF(AC24&gt;=cfg_LV_TH,cfg_LV_D2,cfg_LV_D1))/cfg_DAYS_Y*AE24*الموظفون!$P24/cfg_DAYS_M)</f>
        <v/>
      </c>
      <c r="AA24" s="86" t="str">
        <f aca="false">IF($B24="","",IF(AND(الموظفون!$S24="نعم",N(الموظفون!$U24)&gt;0),الموظفون!$T24/الموظفون!$U24*12/cfg_DAYS_Y*AE24,0))</f>
        <v/>
      </c>
      <c r="AB24" s="108" t="str">
        <f aca="false">IF($B24="","",R24+SUM(X24:AA24))</f>
        <v/>
      </c>
      <c r="AC24" s="109" t="str">
        <f aca="false">IF($B24="","",MAX(0,IF(OR(الموظفون!$X24="",الموظفون!$X24&gt;$G$3),$G$3,الموظفون!$X24)-الموظفون!$H24+1)/cfg_DAYS_Y)</f>
        <v/>
      </c>
      <c r="AD24" s="109" t="str">
        <f aca="false">IF($B24="","",MAX(0,IF(OR(الموظفون!$X24="",الموظفون!$X24&gt;($E$3-1)),($E$3-1),الموظفون!$X24)-الموظفون!$H24+1)/cfg_DAYS_Y)</f>
        <v/>
      </c>
      <c r="AE24" s="51" t="str">
        <f aca="false">IF($B24="","",MAX(0,IF(OR(الموظفون!$X24="",الموظفون!$X24&gt;$G$3),$G$3,الموظفون!$X24)-MAX($E$3,الموظفون!$H24)+1))</f>
        <v/>
      </c>
    </row>
    <row r="25" customFormat="false" ht="15" hidden="false" customHeight="false" outlineLevel="0" collapsed="false">
      <c r="A25" s="89" t="str">
        <f aca="false">IF($B25="","",الموظفون!$A25)</f>
        <v/>
      </c>
      <c r="B25" s="91" t="str">
        <f aca="false">IF(الموظفون!$B25="","",الموظفون!$B25)</f>
        <v/>
      </c>
      <c r="C25" s="91" t="str">
        <f aca="false">IF($B25="","",الموظفون!$C25)</f>
        <v/>
      </c>
      <c r="D25" s="91" t="str">
        <f aca="false">IF($B25="","",الموظفون!$F25)</f>
        <v/>
      </c>
      <c r="E25" s="91" t="str">
        <f aca="false">IF($B25="","",الموظفون!$E25)</f>
        <v/>
      </c>
      <c r="F25" s="110" t="str">
        <f aca="false">IF($B25="","",IF(AE25&gt;=DAY($G$3),cfg_DAYS_M,MIN(AE25,cfg_DAYS_M)))</f>
        <v/>
      </c>
      <c r="G25" s="110" t="str">
        <f aca="false">IF($B25="","",SUMIFS('الحركات الشهرية'!$D$6:$D$1005,'الحركات الشهرية'!$B$6:$B$1005,$B25,'الحركات الشهرية'!$A$6:$A$1005,$C$3))</f>
        <v/>
      </c>
      <c r="H25" s="110" t="str">
        <f aca="false">IF($B25="","",SUMIFS('الحركات الشهرية'!$E$6:$E$1005,'الحركات الشهرية'!$B$6:$B$1005,$B25,'الحركات الشهرية'!$A$6:$A$1005,$C$3))</f>
        <v/>
      </c>
      <c r="I25" s="110" t="str">
        <f aca="false">IF($B25="","",MAX(0,F25-G25-H25))</f>
        <v/>
      </c>
      <c r="J25" s="90" t="str">
        <f aca="false">IF($B25="","",الموظفون!$J25*$I25/cfg_DAYS_M)</f>
        <v/>
      </c>
      <c r="K25" s="90" t="str">
        <f aca="false">IF($B25="","",الموظفون!$K25*$I25/cfg_DAYS_M)</f>
        <v/>
      </c>
      <c r="L25" s="90" t="str">
        <f aca="false">IF($B25="","",الموظفون!$L25*$I25/cfg_DAYS_M)</f>
        <v/>
      </c>
      <c r="M25" s="90" t="str">
        <f aca="false">IF($B25="","",الموظفون!$M25*$I25/cfg_DAYS_M)</f>
        <v/>
      </c>
      <c r="N25" s="110" t="str">
        <f aca="false">IF($B25="","",SUMIFS('الحركات الشهرية'!$F$6:$F$1005,'الحركات الشهرية'!$B$6:$B$1005,$B25,'الحركات الشهرية'!$A$6:$A$1005,$C$3))</f>
        <v/>
      </c>
      <c r="O25" s="90" t="str">
        <f aca="false">IF($B25="","",N25*(الموظفون!$N25+الموظفون!$J25*cfg_OT_P)/cfg_DAYS_M/cfg_HRS)</f>
        <v/>
      </c>
      <c r="P25" s="90" t="str">
        <f aca="false">IF($B25="","",SUMIFS('الحركات الشهرية'!$G$6:$G$1005,'الحركات الشهرية'!$B$6:$B$1005,$B25,'الحركات الشهرية'!$A$6:$A$1005,$C$3))</f>
        <v/>
      </c>
      <c r="Q25" s="90" t="str">
        <f aca="false">IF($B25="","",SUMIFS('الحركات الشهرية'!$H$6:$H$1005,'الحركات الشهرية'!$B$6:$B$1005,$B25,'الحركات الشهرية'!$A$6:$A$1005,$C$3))</f>
        <v/>
      </c>
      <c r="R25" s="111" t="str">
        <f aca="false">IF($B25="","",SUM(J25:M25)+SUM(O25:Q25))</f>
        <v/>
      </c>
      <c r="S25" s="90" t="str">
        <f aca="false">IF($B25="","",الموظفون!$Q25*IF(E25="سعودي",cfg_G_SE,cfg_G_NE)*F25/cfg_DAYS_M)</f>
        <v/>
      </c>
      <c r="T25" s="90" t="str">
        <f aca="false">IF($B25="","",SUMIFS('الحركات الشهرية'!$I$6:$I$1005,'الحركات الشهرية'!$B$6:$B$1005,$B25,'الحركات الشهرية'!$A$6:$A$1005,$C$3))</f>
        <v/>
      </c>
      <c r="U25" s="90" t="str">
        <f aca="false">IF($B25="","",SUMIFS('الحركات الشهرية'!$J$6:$J$1005,'الحركات الشهرية'!$B$6:$B$1005,$B25,'الحركات الشهرية'!$A$6:$A$1005,$C$3))</f>
        <v/>
      </c>
      <c r="V25" s="90" t="str">
        <f aca="false">IF($B25="","",SUM(S25:U25))</f>
        <v/>
      </c>
      <c r="W25" s="112" t="str">
        <f aca="false">IF($B25="","",R25-V25)</f>
        <v/>
      </c>
      <c r="X25" s="90" t="str">
        <f aca="false">IF($B25="","",الموظفون!$Q25*IF(E25="سعودي",cfg_G_SR,cfg_G_NR)*F25/cfg_DAYS_M)</f>
        <v/>
      </c>
      <c r="Y25" s="90" t="str">
        <f aca="false">IF($B25="","",الموظفون!$O25*(cfg_EOS_R1*(MIN(AC25,cfg_EOS_TH)-MIN(AD25,cfg_EOS_TH))+cfg_EOS_R2*(MAX(AC25-cfg_EOS_TH,0)-MAX(AD25-cfg_EOS_TH,0))))</f>
        <v/>
      </c>
      <c r="Z25" s="90" t="str">
        <f aca="false">IF($B25="","",IF(الموظفون!$R25&lt;&gt;"",الموظفون!$R25,IF(AC25&gt;=cfg_LV_TH,cfg_LV_D2,cfg_LV_D1))/cfg_DAYS_Y*AE25*الموظفون!$P25/cfg_DAYS_M)</f>
        <v/>
      </c>
      <c r="AA25" s="90" t="str">
        <f aca="false">IF($B25="","",IF(AND(الموظفون!$S25="نعم",N(الموظفون!$U25)&gt;0),الموظفون!$T25/الموظفون!$U25*12/cfg_DAYS_Y*AE25,0))</f>
        <v/>
      </c>
      <c r="AB25" s="113" t="str">
        <f aca="false">IF($B25="","",R25+SUM(X25:AA25))</f>
        <v/>
      </c>
      <c r="AC25" s="114" t="str">
        <f aca="false">IF($B25="","",MAX(0,IF(OR(الموظفون!$X25="",الموظفون!$X25&gt;$G$3),$G$3,الموظفون!$X25)-الموظفون!$H25+1)/cfg_DAYS_Y)</f>
        <v/>
      </c>
      <c r="AD25" s="114" t="str">
        <f aca="false">IF($B25="","",MAX(0,IF(OR(الموظفون!$X25="",الموظفون!$X25&gt;($E$3-1)),($E$3-1),الموظفون!$X25)-الموظفون!$H25+1)/cfg_DAYS_Y)</f>
        <v/>
      </c>
      <c r="AE25" s="115" t="str">
        <f aca="false">IF($B25="","",MAX(0,IF(OR(الموظفون!$X25="",الموظفون!$X25&gt;$G$3),$G$3,الموظفون!$X25)-MAX($E$3,الموظفون!$H25)+1))</f>
        <v/>
      </c>
    </row>
    <row r="26" customFormat="false" ht="15" hidden="false" customHeight="false" outlineLevel="0" collapsed="false">
      <c r="A26" s="83" t="str">
        <f aca="false">IF($B26="","",الموظفون!$A26)</f>
        <v/>
      </c>
      <c r="B26" s="74" t="str">
        <f aca="false">IF(الموظفون!$B26="","",الموظفون!$B26)</f>
        <v/>
      </c>
      <c r="C26" s="74" t="str">
        <f aca="false">IF($B26="","",الموظفون!$C26)</f>
        <v/>
      </c>
      <c r="D26" s="74" t="str">
        <f aca="false">IF($B26="","",الموظفون!$F26)</f>
        <v/>
      </c>
      <c r="E26" s="74" t="str">
        <f aca="false">IF($B26="","",الموظفون!$E26)</f>
        <v/>
      </c>
      <c r="F26" s="105" t="str">
        <f aca="false">IF($B26="","",IF(AE26&gt;=DAY($G$3),cfg_DAYS_M,MIN(AE26,cfg_DAYS_M)))</f>
        <v/>
      </c>
      <c r="G26" s="105" t="str">
        <f aca="false">IF($B26="","",SUMIFS('الحركات الشهرية'!$D$6:$D$1005,'الحركات الشهرية'!$B$6:$B$1005,$B26,'الحركات الشهرية'!$A$6:$A$1005,$C$3))</f>
        <v/>
      </c>
      <c r="H26" s="105" t="str">
        <f aca="false">IF($B26="","",SUMIFS('الحركات الشهرية'!$E$6:$E$1005,'الحركات الشهرية'!$B$6:$B$1005,$B26,'الحركات الشهرية'!$A$6:$A$1005,$C$3))</f>
        <v/>
      </c>
      <c r="I26" s="105" t="str">
        <f aca="false">IF($B26="","",MAX(0,F26-G26-H26))</f>
        <v/>
      </c>
      <c r="J26" s="86" t="str">
        <f aca="false">IF($B26="","",الموظفون!$J26*$I26/cfg_DAYS_M)</f>
        <v/>
      </c>
      <c r="K26" s="86" t="str">
        <f aca="false">IF($B26="","",الموظفون!$K26*$I26/cfg_DAYS_M)</f>
        <v/>
      </c>
      <c r="L26" s="86" t="str">
        <f aca="false">IF($B26="","",الموظفون!$L26*$I26/cfg_DAYS_M)</f>
        <v/>
      </c>
      <c r="M26" s="86" t="str">
        <f aca="false">IF($B26="","",الموظفون!$M26*$I26/cfg_DAYS_M)</f>
        <v/>
      </c>
      <c r="N26" s="105" t="str">
        <f aca="false">IF($B26="","",SUMIFS('الحركات الشهرية'!$F$6:$F$1005,'الحركات الشهرية'!$B$6:$B$1005,$B26,'الحركات الشهرية'!$A$6:$A$1005,$C$3))</f>
        <v/>
      </c>
      <c r="O26" s="86" t="str">
        <f aca="false">IF($B26="","",N26*(الموظفون!$N26+الموظفون!$J26*cfg_OT_P)/cfg_DAYS_M/cfg_HRS)</f>
        <v/>
      </c>
      <c r="P26" s="86" t="str">
        <f aca="false">IF($B26="","",SUMIFS('الحركات الشهرية'!$G$6:$G$1005,'الحركات الشهرية'!$B$6:$B$1005,$B26,'الحركات الشهرية'!$A$6:$A$1005,$C$3))</f>
        <v/>
      </c>
      <c r="Q26" s="86" t="str">
        <f aca="false">IF($B26="","",SUMIFS('الحركات الشهرية'!$H$6:$H$1005,'الحركات الشهرية'!$B$6:$B$1005,$B26,'الحركات الشهرية'!$A$6:$A$1005,$C$3))</f>
        <v/>
      </c>
      <c r="R26" s="106" t="str">
        <f aca="false">IF($B26="","",SUM(J26:M26)+SUM(O26:Q26))</f>
        <v/>
      </c>
      <c r="S26" s="86" t="str">
        <f aca="false">IF($B26="","",الموظفون!$Q26*IF(E26="سعودي",cfg_G_SE,cfg_G_NE)*F26/cfg_DAYS_M)</f>
        <v/>
      </c>
      <c r="T26" s="86" t="str">
        <f aca="false">IF($B26="","",SUMIFS('الحركات الشهرية'!$I$6:$I$1005,'الحركات الشهرية'!$B$6:$B$1005,$B26,'الحركات الشهرية'!$A$6:$A$1005,$C$3))</f>
        <v/>
      </c>
      <c r="U26" s="86" t="str">
        <f aca="false">IF($B26="","",SUMIFS('الحركات الشهرية'!$J$6:$J$1005,'الحركات الشهرية'!$B$6:$B$1005,$B26,'الحركات الشهرية'!$A$6:$A$1005,$C$3))</f>
        <v/>
      </c>
      <c r="V26" s="86" t="str">
        <f aca="false">IF($B26="","",SUM(S26:U26))</f>
        <v/>
      </c>
      <c r="W26" s="107" t="str">
        <f aca="false">IF($B26="","",R26-V26)</f>
        <v/>
      </c>
      <c r="X26" s="86" t="str">
        <f aca="false">IF($B26="","",الموظفون!$Q26*IF(E26="سعودي",cfg_G_SR,cfg_G_NR)*F26/cfg_DAYS_M)</f>
        <v/>
      </c>
      <c r="Y26" s="86" t="str">
        <f aca="false">IF($B26="","",الموظفون!$O26*(cfg_EOS_R1*(MIN(AC26,cfg_EOS_TH)-MIN(AD26,cfg_EOS_TH))+cfg_EOS_R2*(MAX(AC26-cfg_EOS_TH,0)-MAX(AD26-cfg_EOS_TH,0))))</f>
        <v/>
      </c>
      <c r="Z26" s="86" t="str">
        <f aca="false">IF($B26="","",IF(الموظفون!$R26&lt;&gt;"",الموظفون!$R26,IF(AC26&gt;=cfg_LV_TH,cfg_LV_D2,cfg_LV_D1))/cfg_DAYS_Y*AE26*الموظفون!$P26/cfg_DAYS_M)</f>
        <v/>
      </c>
      <c r="AA26" s="86" t="str">
        <f aca="false">IF($B26="","",IF(AND(الموظفون!$S26="نعم",N(الموظفون!$U26)&gt;0),الموظفون!$T26/الموظفون!$U26*12/cfg_DAYS_Y*AE26,0))</f>
        <v/>
      </c>
      <c r="AB26" s="108" t="str">
        <f aca="false">IF($B26="","",R26+SUM(X26:AA26))</f>
        <v/>
      </c>
      <c r="AC26" s="109" t="str">
        <f aca="false">IF($B26="","",MAX(0,IF(OR(الموظفون!$X26="",الموظفون!$X26&gt;$G$3),$G$3,الموظفون!$X26)-الموظفون!$H26+1)/cfg_DAYS_Y)</f>
        <v/>
      </c>
      <c r="AD26" s="109" t="str">
        <f aca="false">IF($B26="","",MAX(0,IF(OR(الموظفون!$X26="",الموظفون!$X26&gt;($E$3-1)),($E$3-1),الموظفون!$X26)-الموظفون!$H26+1)/cfg_DAYS_Y)</f>
        <v/>
      </c>
      <c r="AE26" s="51" t="str">
        <f aca="false">IF($B26="","",MAX(0,IF(OR(الموظفون!$X26="",الموظفون!$X26&gt;$G$3),$G$3,الموظفون!$X26)-MAX($E$3,الموظفون!$H26)+1))</f>
        <v/>
      </c>
    </row>
    <row r="27" customFormat="false" ht="15" hidden="false" customHeight="false" outlineLevel="0" collapsed="false">
      <c r="A27" s="89" t="str">
        <f aca="false">IF($B27="","",الموظفون!$A27)</f>
        <v/>
      </c>
      <c r="B27" s="91" t="str">
        <f aca="false">IF(الموظفون!$B27="","",الموظفون!$B27)</f>
        <v/>
      </c>
      <c r="C27" s="91" t="str">
        <f aca="false">IF($B27="","",الموظفون!$C27)</f>
        <v/>
      </c>
      <c r="D27" s="91" t="str">
        <f aca="false">IF($B27="","",الموظفون!$F27)</f>
        <v/>
      </c>
      <c r="E27" s="91" t="str">
        <f aca="false">IF($B27="","",الموظفون!$E27)</f>
        <v/>
      </c>
      <c r="F27" s="110" t="str">
        <f aca="false">IF($B27="","",IF(AE27&gt;=DAY($G$3),cfg_DAYS_M,MIN(AE27,cfg_DAYS_M)))</f>
        <v/>
      </c>
      <c r="G27" s="110" t="str">
        <f aca="false">IF($B27="","",SUMIFS('الحركات الشهرية'!$D$6:$D$1005,'الحركات الشهرية'!$B$6:$B$1005,$B27,'الحركات الشهرية'!$A$6:$A$1005,$C$3))</f>
        <v/>
      </c>
      <c r="H27" s="110" t="str">
        <f aca="false">IF($B27="","",SUMIFS('الحركات الشهرية'!$E$6:$E$1005,'الحركات الشهرية'!$B$6:$B$1005,$B27,'الحركات الشهرية'!$A$6:$A$1005,$C$3))</f>
        <v/>
      </c>
      <c r="I27" s="110" t="str">
        <f aca="false">IF($B27="","",MAX(0,F27-G27-H27))</f>
        <v/>
      </c>
      <c r="J27" s="90" t="str">
        <f aca="false">IF($B27="","",الموظفون!$J27*$I27/cfg_DAYS_M)</f>
        <v/>
      </c>
      <c r="K27" s="90" t="str">
        <f aca="false">IF($B27="","",الموظفون!$K27*$I27/cfg_DAYS_M)</f>
        <v/>
      </c>
      <c r="L27" s="90" t="str">
        <f aca="false">IF($B27="","",الموظفون!$L27*$I27/cfg_DAYS_M)</f>
        <v/>
      </c>
      <c r="M27" s="90" t="str">
        <f aca="false">IF($B27="","",الموظفون!$M27*$I27/cfg_DAYS_M)</f>
        <v/>
      </c>
      <c r="N27" s="110" t="str">
        <f aca="false">IF($B27="","",SUMIFS('الحركات الشهرية'!$F$6:$F$1005,'الحركات الشهرية'!$B$6:$B$1005,$B27,'الحركات الشهرية'!$A$6:$A$1005,$C$3))</f>
        <v/>
      </c>
      <c r="O27" s="90" t="str">
        <f aca="false">IF($B27="","",N27*(الموظفون!$N27+الموظفون!$J27*cfg_OT_P)/cfg_DAYS_M/cfg_HRS)</f>
        <v/>
      </c>
      <c r="P27" s="90" t="str">
        <f aca="false">IF($B27="","",SUMIFS('الحركات الشهرية'!$G$6:$G$1005,'الحركات الشهرية'!$B$6:$B$1005,$B27,'الحركات الشهرية'!$A$6:$A$1005,$C$3))</f>
        <v/>
      </c>
      <c r="Q27" s="90" t="str">
        <f aca="false">IF($B27="","",SUMIFS('الحركات الشهرية'!$H$6:$H$1005,'الحركات الشهرية'!$B$6:$B$1005,$B27,'الحركات الشهرية'!$A$6:$A$1005,$C$3))</f>
        <v/>
      </c>
      <c r="R27" s="111" t="str">
        <f aca="false">IF($B27="","",SUM(J27:M27)+SUM(O27:Q27))</f>
        <v/>
      </c>
      <c r="S27" s="90" t="str">
        <f aca="false">IF($B27="","",الموظفون!$Q27*IF(E27="سعودي",cfg_G_SE,cfg_G_NE)*F27/cfg_DAYS_M)</f>
        <v/>
      </c>
      <c r="T27" s="90" t="str">
        <f aca="false">IF($B27="","",SUMIFS('الحركات الشهرية'!$I$6:$I$1005,'الحركات الشهرية'!$B$6:$B$1005,$B27,'الحركات الشهرية'!$A$6:$A$1005,$C$3))</f>
        <v/>
      </c>
      <c r="U27" s="90" t="str">
        <f aca="false">IF($B27="","",SUMIFS('الحركات الشهرية'!$J$6:$J$1005,'الحركات الشهرية'!$B$6:$B$1005,$B27,'الحركات الشهرية'!$A$6:$A$1005,$C$3))</f>
        <v/>
      </c>
      <c r="V27" s="90" t="str">
        <f aca="false">IF($B27="","",SUM(S27:U27))</f>
        <v/>
      </c>
      <c r="W27" s="112" t="str">
        <f aca="false">IF($B27="","",R27-V27)</f>
        <v/>
      </c>
      <c r="X27" s="90" t="str">
        <f aca="false">IF($B27="","",الموظفون!$Q27*IF(E27="سعودي",cfg_G_SR,cfg_G_NR)*F27/cfg_DAYS_M)</f>
        <v/>
      </c>
      <c r="Y27" s="90" t="str">
        <f aca="false">IF($B27="","",الموظفون!$O27*(cfg_EOS_R1*(MIN(AC27,cfg_EOS_TH)-MIN(AD27,cfg_EOS_TH))+cfg_EOS_R2*(MAX(AC27-cfg_EOS_TH,0)-MAX(AD27-cfg_EOS_TH,0))))</f>
        <v/>
      </c>
      <c r="Z27" s="90" t="str">
        <f aca="false">IF($B27="","",IF(الموظفون!$R27&lt;&gt;"",الموظفون!$R27,IF(AC27&gt;=cfg_LV_TH,cfg_LV_D2,cfg_LV_D1))/cfg_DAYS_Y*AE27*الموظفون!$P27/cfg_DAYS_M)</f>
        <v/>
      </c>
      <c r="AA27" s="90" t="str">
        <f aca="false">IF($B27="","",IF(AND(الموظفون!$S27="نعم",N(الموظفون!$U27)&gt;0),الموظفون!$T27/الموظفون!$U27*12/cfg_DAYS_Y*AE27,0))</f>
        <v/>
      </c>
      <c r="AB27" s="113" t="str">
        <f aca="false">IF($B27="","",R27+SUM(X27:AA27))</f>
        <v/>
      </c>
      <c r="AC27" s="114" t="str">
        <f aca="false">IF($B27="","",MAX(0,IF(OR(الموظفون!$X27="",الموظفون!$X27&gt;$G$3),$G$3,الموظفون!$X27)-الموظفون!$H27+1)/cfg_DAYS_Y)</f>
        <v/>
      </c>
      <c r="AD27" s="114" t="str">
        <f aca="false">IF($B27="","",MAX(0,IF(OR(الموظفون!$X27="",الموظفون!$X27&gt;($E$3-1)),($E$3-1),الموظفون!$X27)-الموظفون!$H27+1)/cfg_DAYS_Y)</f>
        <v/>
      </c>
      <c r="AE27" s="115" t="str">
        <f aca="false">IF($B27="","",MAX(0,IF(OR(الموظفون!$X27="",الموظفون!$X27&gt;$G$3),$G$3,الموظفون!$X27)-MAX($E$3,الموظفون!$H27)+1))</f>
        <v/>
      </c>
    </row>
    <row r="28" customFormat="false" ht="15" hidden="false" customHeight="false" outlineLevel="0" collapsed="false">
      <c r="A28" s="83" t="str">
        <f aca="false">IF($B28="","",الموظفون!$A28)</f>
        <v/>
      </c>
      <c r="B28" s="74" t="str">
        <f aca="false">IF(الموظفون!$B28="","",الموظفون!$B28)</f>
        <v/>
      </c>
      <c r="C28" s="74" t="str">
        <f aca="false">IF($B28="","",الموظفون!$C28)</f>
        <v/>
      </c>
      <c r="D28" s="74" t="str">
        <f aca="false">IF($B28="","",الموظفون!$F28)</f>
        <v/>
      </c>
      <c r="E28" s="74" t="str">
        <f aca="false">IF($B28="","",الموظفون!$E28)</f>
        <v/>
      </c>
      <c r="F28" s="105" t="str">
        <f aca="false">IF($B28="","",IF(AE28&gt;=DAY($G$3),cfg_DAYS_M,MIN(AE28,cfg_DAYS_M)))</f>
        <v/>
      </c>
      <c r="G28" s="105" t="str">
        <f aca="false">IF($B28="","",SUMIFS('الحركات الشهرية'!$D$6:$D$1005,'الحركات الشهرية'!$B$6:$B$1005,$B28,'الحركات الشهرية'!$A$6:$A$1005,$C$3))</f>
        <v/>
      </c>
      <c r="H28" s="105" t="str">
        <f aca="false">IF($B28="","",SUMIFS('الحركات الشهرية'!$E$6:$E$1005,'الحركات الشهرية'!$B$6:$B$1005,$B28,'الحركات الشهرية'!$A$6:$A$1005,$C$3))</f>
        <v/>
      </c>
      <c r="I28" s="105" t="str">
        <f aca="false">IF($B28="","",MAX(0,F28-G28-H28))</f>
        <v/>
      </c>
      <c r="J28" s="86" t="str">
        <f aca="false">IF($B28="","",الموظفون!$J28*$I28/cfg_DAYS_M)</f>
        <v/>
      </c>
      <c r="K28" s="86" t="str">
        <f aca="false">IF($B28="","",الموظفون!$K28*$I28/cfg_DAYS_M)</f>
        <v/>
      </c>
      <c r="L28" s="86" t="str">
        <f aca="false">IF($B28="","",الموظفون!$L28*$I28/cfg_DAYS_M)</f>
        <v/>
      </c>
      <c r="M28" s="86" t="str">
        <f aca="false">IF($B28="","",الموظفون!$M28*$I28/cfg_DAYS_M)</f>
        <v/>
      </c>
      <c r="N28" s="105" t="str">
        <f aca="false">IF($B28="","",SUMIFS('الحركات الشهرية'!$F$6:$F$1005,'الحركات الشهرية'!$B$6:$B$1005,$B28,'الحركات الشهرية'!$A$6:$A$1005,$C$3))</f>
        <v/>
      </c>
      <c r="O28" s="86" t="str">
        <f aca="false">IF($B28="","",N28*(الموظفون!$N28+الموظفون!$J28*cfg_OT_P)/cfg_DAYS_M/cfg_HRS)</f>
        <v/>
      </c>
      <c r="P28" s="86" t="str">
        <f aca="false">IF($B28="","",SUMIFS('الحركات الشهرية'!$G$6:$G$1005,'الحركات الشهرية'!$B$6:$B$1005,$B28,'الحركات الشهرية'!$A$6:$A$1005,$C$3))</f>
        <v/>
      </c>
      <c r="Q28" s="86" t="str">
        <f aca="false">IF($B28="","",SUMIFS('الحركات الشهرية'!$H$6:$H$1005,'الحركات الشهرية'!$B$6:$B$1005,$B28,'الحركات الشهرية'!$A$6:$A$1005,$C$3))</f>
        <v/>
      </c>
      <c r="R28" s="106" t="str">
        <f aca="false">IF($B28="","",SUM(J28:M28)+SUM(O28:Q28))</f>
        <v/>
      </c>
      <c r="S28" s="86" t="str">
        <f aca="false">IF($B28="","",الموظفون!$Q28*IF(E28="سعودي",cfg_G_SE,cfg_G_NE)*F28/cfg_DAYS_M)</f>
        <v/>
      </c>
      <c r="T28" s="86" t="str">
        <f aca="false">IF($B28="","",SUMIFS('الحركات الشهرية'!$I$6:$I$1005,'الحركات الشهرية'!$B$6:$B$1005,$B28,'الحركات الشهرية'!$A$6:$A$1005,$C$3))</f>
        <v/>
      </c>
      <c r="U28" s="86" t="str">
        <f aca="false">IF($B28="","",SUMIFS('الحركات الشهرية'!$J$6:$J$1005,'الحركات الشهرية'!$B$6:$B$1005,$B28,'الحركات الشهرية'!$A$6:$A$1005,$C$3))</f>
        <v/>
      </c>
      <c r="V28" s="86" t="str">
        <f aca="false">IF($B28="","",SUM(S28:U28))</f>
        <v/>
      </c>
      <c r="W28" s="107" t="str">
        <f aca="false">IF($B28="","",R28-V28)</f>
        <v/>
      </c>
      <c r="X28" s="86" t="str">
        <f aca="false">IF($B28="","",الموظفون!$Q28*IF(E28="سعودي",cfg_G_SR,cfg_G_NR)*F28/cfg_DAYS_M)</f>
        <v/>
      </c>
      <c r="Y28" s="86" t="str">
        <f aca="false">IF($B28="","",الموظفون!$O28*(cfg_EOS_R1*(MIN(AC28,cfg_EOS_TH)-MIN(AD28,cfg_EOS_TH))+cfg_EOS_R2*(MAX(AC28-cfg_EOS_TH,0)-MAX(AD28-cfg_EOS_TH,0))))</f>
        <v/>
      </c>
      <c r="Z28" s="86" t="str">
        <f aca="false">IF($B28="","",IF(الموظفون!$R28&lt;&gt;"",الموظفون!$R28,IF(AC28&gt;=cfg_LV_TH,cfg_LV_D2,cfg_LV_D1))/cfg_DAYS_Y*AE28*الموظفون!$P28/cfg_DAYS_M)</f>
        <v/>
      </c>
      <c r="AA28" s="86" t="str">
        <f aca="false">IF($B28="","",IF(AND(الموظفون!$S28="نعم",N(الموظفون!$U28)&gt;0),الموظفون!$T28/الموظفون!$U28*12/cfg_DAYS_Y*AE28,0))</f>
        <v/>
      </c>
      <c r="AB28" s="108" t="str">
        <f aca="false">IF($B28="","",R28+SUM(X28:AA28))</f>
        <v/>
      </c>
      <c r="AC28" s="109" t="str">
        <f aca="false">IF($B28="","",MAX(0,IF(OR(الموظفون!$X28="",الموظفون!$X28&gt;$G$3),$G$3,الموظفون!$X28)-الموظفون!$H28+1)/cfg_DAYS_Y)</f>
        <v/>
      </c>
      <c r="AD28" s="109" t="str">
        <f aca="false">IF($B28="","",MAX(0,IF(OR(الموظفون!$X28="",الموظفون!$X28&gt;($E$3-1)),($E$3-1),الموظفون!$X28)-الموظفون!$H28+1)/cfg_DAYS_Y)</f>
        <v/>
      </c>
      <c r="AE28" s="51" t="str">
        <f aca="false">IF($B28="","",MAX(0,IF(OR(الموظفون!$X28="",الموظفون!$X28&gt;$G$3),$G$3,الموظفون!$X28)-MAX($E$3,الموظفون!$H28)+1))</f>
        <v/>
      </c>
    </row>
    <row r="29" customFormat="false" ht="15" hidden="false" customHeight="false" outlineLevel="0" collapsed="false">
      <c r="A29" s="89" t="str">
        <f aca="false">IF($B29="","",الموظفون!$A29)</f>
        <v/>
      </c>
      <c r="B29" s="91" t="str">
        <f aca="false">IF(الموظفون!$B29="","",الموظفون!$B29)</f>
        <v/>
      </c>
      <c r="C29" s="91" t="str">
        <f aca="false">IF($B29="","",الموظفون!$C29)</f>
        <v/>
      </c>
      <c r="D29" s="91" t="str">
        <f aca="false">IF($B29="","",الموظفون!$F29)</f>
        <v/>
      </c>
      <c r="E29" s="91" t="str">
        <f aca="false">IF($B29="","",الموظفون!$E29)</f>
        <v/>
      </c>
      <c r="F29" s="110" t="str">
        <f aca="false">IF($B29="","",IF(AE29&gt;=DAY($G$3),cfg_DAYS_M,MIN(AE29,cfg_DAYS_M)))</f>
        <v/>
      </c>
      <c r="G29" s="110" t="str">
        <f aca="false">IF($B29="","",SUMIFS('الحركات الشهرية'!$D$6:$D$1005,'الحركات الشهرية'!$B$6:$B$1005,$B29,'الحركات الشهرية'!$A$6:$A$1005,$C$3))</f>
        <v/>
      </c>
      <c r="H29" s="110" t="str">
        <f aca="false">IF($B29="","",SUMIFS('الحركات الشهرية'!$E$6:$E$1005,'الحركات الشهرية'!$B$6:$B$1005,$B29,'الحركات الشهرية'!$A$6:$A$1005,$C$3))</f>
        <v/>
      </c>
      <c r="I29" s="110" t="str">
        <f aca="false">IF($B29="","",MAX(0,F29-G29-H29))</f>
        <v/>
      </c>
      <c r="J29" s="90" t="str">
        <f aca="false">IF($B29="","",الموظفون!$J29*$I29/cfg_DAYS_M)</f>
        <v/>
      </c>
      <c r="K29" s="90" t="str">
        <f aca="false">IF($B29="","",الموظفون!$K29*$I29/cfg_DAYS_M)</f>
        <v/>
      </c>
      <c r="L29" s="90" t="str">
        <f aca="false">IF($B29="","",الموظفون!$L29*$I29/cfg_DAYS_M)</f>
        <v/>
      </c>
      <c r="M29" s="90" t="str">
        <f aca="false">IF($B29="","",الموظفون!$M29*$I29/cfg_DAYS_M)</f>
        <v/>
      </c>
      <c r="N29" s="110" t="str">
        <f aca="false">IF($B29="","",SUMIFS('الحركات الشهرية'!$F$6:$F$1005,'الحركات الشهرية'!$B$6:$B$1005,$B29,'الحركات الشهرية'!$A$6:$A$1005,$C$3))</f>
        <v/>
      </c>
      <c r="O29" s="90" t="str">
        <f aca="false">IF($B29="","",N29*(الموظفون!$N29+الموظفون!$J29*cfg_OT_P)/cfg_DAYS_M/cfg_HRS)</f>
        <v/>
      </c>
      <c r="P29" s="90" t="str">
        <f aca="false">IF($B29="","",SUMIFS('الحركات الشهرية'!$G$6:$G$1005,'الحركات الشهرية'!$B$6:$B$1005,$B29,'الحركات الشهرية'!$A$6:$A$1005,$C$3))</f>
        <v/>
      </c>
      <c r="Q29" s="90" t="str">
        <f aca="false">IF($B29="","",SUMIFS('الحركات الشهرية'!$H$6:$H$1005,'الحركات الشهرية'!$B$6:$B$1005,$B29,'الحركات الشهرية'!$A$6:$A$1005,$C$3))</f>
        <v/>
      </c>
      <c r="R29" s="111" t="str">
        <f aca="false">IF($B29="","",SUM(J29:M29)+SUM(O29:Q29))</f>
        <v/>
      </c>
      <c r="S29" s="90" t="str">
        <f aca="false">IF($B29="","",الموظفون!$Q29*IF(E29="سعودي",cfg_G_SE,cfg_G_NE)*F29/cfg_DAYS_M)</f>
        <v/>
      </c>
      <c r="T29" s="90" t="str">
        <f aca="false">IF($B29="","",SUMIFS('الحركات الشهرية'!$I$6:$I$1005,'الحركات الشهرية'!$B$6:$B$1005,$B29,'الحركات الشهرية'!$A$6:$A$1005,$C$3))</f>
        <v/>
      </c>
      <c r="U29" s="90" t="str">
        <f aca="false">IF($B29="","",SUMIFS('الحركات الشهرية'!$J$6:$J$1005,'الحركات الشهرية'!$B$6:$B$1005,$B29,'الحركات الشهرية'!$A$6:$A$1005,$C$3))</f>
        <v/>
      </c>
      <c r="V29" s="90" t="str">
        <f aca="false">IF($B29="","",SUM(S29:U29))</f>
        <v/>
      </c>
      <c r="W29" s="112" t="str">
        <f aca="false">IF($B29="","",R29-V29)</f>
        <v/>
      </c>
      <c r="X29" s="90" t="str">
        <f aca="false">IF($B29="","",الموظفون!$Q29*IF(E29="سعودي",cfg_G_SR,cfg_G_NR)*F29/cfg_DAYS_M)</f>
        <v/>
      </c>
      <c r="Y29" s="90" t="str">
        <f aca="false">IF($B29="","",الموظفون!$O29*(cfg_EOS_R1*(MIN(AC29,cfg_EOS_TH)-MIN(AD29,cfg_EOS_TH))+cfg_EOS_R2*(MAX(AC29-cfg_EOS_TH,0)-MAX(AD29-cfg_EOS_TH,0))))</f>
        <v/>
      </c>
      <c r="Z29" s="90" t="str">
        <f aca="false">IF($B29="","",IF(الموظفون!$R29&lt;&gt;"",الموظفون!$R29,IF(AC29&gt;=cfg_LV_TH,cfg_LV_D2,cfg_LV_D1))/cfg_DAYS_Y*AE29*الموظفون!$P29/cfg_DAYS_M)</f>
        <v/>
      </c>
      <c r="AA29" s="90" t="str">
        <f aca="false">IF($B29="","",IF(AND(الموظفون!$S29="نعم",N(الموظفون!$U29)&gt;0),الموظفون!$T29/الموظفون!$U29*12/cfg_DAYS_Y*AE29,0))</f>
        <v/>
      </c>
      <c r="AB29" s="113" t="str">
        <f aca="false">IF($B29="","",R29+SUM(X29:AA29))</f>
        <v/>
      </c>
      <c r="AC29" s="114" t="str">
        <f aca="false">IF($B29="","",MAX(0,IF(OR(الموظفون!$X29="",الموظفون!$X29&gt;$G$3),$G$3,الموظفون!$X29)-الموظفون!$H29+1)/cfg_DAYS_Y)</f>
        <v/>
      </c>
      <c r="AD29" s="114" t="str">
        <f aca="false">IF($B29="","",MAX(0,IF(OR(الموظفون!$X29="",الموظفون!$X29&gt;($E$3-1)),($E$3-1),الموظفون!$X29)-الموظفون!$H29+1)/cfg_DAYS_Y)</f>
        <v/>
      </c>
      <c r="AE29" s="115" t="str">
        <f aca="false">IF($B29="","",MAX(0,IF(OR(الموظفون!$X29="",الموظفون!$X29&gt;$G$3),$G$3,الموظفون!$X29)-MAX($E$3,الموظفون!$H29)+1))</f>
        <v/>
      </c>
    </row>
    <row r="30" customFormat="false" ht="15" hidden="false" customHeight="false" outlineLevel="0" collapsed="false">
      <c r="A30" s="83" t="str">
        <f aca="false">IF($B30="","",الموظفون!$A30)</f>
        <v/>
      </c>
      <c r="B30" s="74" t="str">
        <f aca="false">IF(الموظفون!$B30="","",الموظفون!$B30)</f>
        <v/>
      </c>
      <c r="C30" s="74" t="str">
        <f aca="false">IF($B30="","",الموظفون!$C30)</f>
        <v/>
      </c>
      <c r="D30" s="74" t="str">
        <f aca="false">IF($B30="","",الموظفون!$F30)</f>
        <v/>
      </c>
      <c r="E30" s="74" t="str">
        <f aca="false">IF($B30="","",الموظفون!$E30)</f>
        <v/>
      </c>
      <c r="F30" s="105" t="str">
        <f aca="false">IF($B30="","",IF(AE30&gt;=DAY($G$3),cfg_DAYS_M,MIN(AE30,cfg_DAYS_M)))</f>
        <v/>
      </c>
      <c r="G30" s="105" t="str">
        <f aca="false">IF($B30="","",SUMIFS('الحركات الشهرية'!$D$6:$D$1005,'الحركات الشهرية'!$B$6:$B$1005,$B30,'الحركات الشهرية'!$A$6:$A$1005,$C$3))</f>
        <v/>
      </c>
      <c r="H30" s="105" t="str">
        <f aca="false">IF($B30="","",SUMIFS('الحركات الشهرية'!$E$6:$E$1005,'الحركات الشهرية'!$B$6:$B$1005,$B30,'الحركات الشهرية'!$A$6:$A$1005,$C$3))</f>
        <v/>
      </c>
      <c r="I30" s="105" t="str">
        <f aca="false">IF($B30="","",MAX(0,F30-G30-H30))</f>
        <v/>
      </c>
      <c r="J30" s="86" t="str">
        <f aca="false">IF($B30="","",الموظفون!$J30*$I30/cfg_DAYS_M)</f>
        <v/>
      </c>
      <c r="K30" s="86" t="str">
        <f aca="false">IF($B30="","",الموظفون!$K30*$I30/cfg_DAYS_M)</f>
        <v/>
      </c>
      <c r="L30" s="86" t="str">
        <f aca="false">IF($B30="","",الموظفون!$L30*$I30/cfg_DAYS_M)</f>
        <v/>
      </c>
      <c r="M30" s="86" t="str">
        <f aca="false">IF($B30="","",الموظفون!$M30*$I30/cfg_DAYS_M)</f>
        <v/>
      </c>
      <c r="N30" s="105" t="str">
        <f aca="false">IF($B30="","",SUMIFS('الحركات الشهرية'!$F$6:$F$1005,'الحركات الشهرية'!$B$6:$B$1005,$B30,'الحركات الشهرية'!$A$6:$A$1005,$C$3))</f>
        <v/>
      </c>
      <c r="O30" s="86" t="str">
        <f aca="false">IF($B30="","",N30*(الموظفون!$N30+الموظفون!$J30*cfg_OT_P)/cfg_DAYS_M/cfg_HRS)</f>
        <v/>
      </c>
      <c r="P30" s="86" t="str">
        <f aca="false">IF($B30="","",SUMIFS('الحركات الشهرية'!$G$6:$G$1005,'الحركات الشهرية'!$B$6:$B$1005,$B30,'الحركات الشهرية'!$A$6:$A$1005,$C$3))</f>
        <v/>
      </c>
      <c r="Q30" s="86" t="str">
        <f aca="false">IF($B30="","",SUMIFS('الحركات الشهرية'!$H$6:$H$1005,'الحركات الشهرية'!$B$6:$B$1005,$B30,'الحركات الشهرية'!$A$6:$A$1005,$C$3))</f>
        <v/>
      </c>
      <c r="R30" s="106" t="str">
        <f aca="false">IF($B30="","",SUM(J30:M30)+SUM(O30:Q30))</f>
        <v/>
      </c>
      <c r="S30" s="86" t="str">
        <f aca="false">IF($B30="","",الموظفون!$Q30*IF(E30="سعودي",cfg_G_SE,cfg_G_NE)*F30/cfg_DAYS_M)</f>
        <v/>
      </c>
      <c r="T30" s="86" t="str">
        <f aca="false">IF($B30="","",SUMIFS('الحركات الشهرية'!$I$6:$I$1005,'الحركات الشهرية'!$B$6:$B$1005,$B30,'الحركات الشهرية'!$A$6:$A$1005,$C$3))</f>
        <v/>
      </c>
      <c r="U30" s="86" t="str">
        <f aca="false">IF($B30="","",SUMIFS('الحركات الشهرية'!$J$6:$J$1005,'الحركات الشهرية'!$B$6:$B$1005,$B30,'الحركات الشهرية'!$A$6:$A$1005,$C$3))</f>
        <v/>
      </c>
      <c r="V30" s="86" t="str">
        <f aca="false">IF($B30="","",SUM(S30:U30))</f>
        <v/>
      </c>
      <c r="W30" s="107" t="str">
        <f aca="false">IF($B30="","",R30-V30)</f>
        <v/>
      </c>
      <c r="X30" s="86" t="str">
        <f aca="false">IF($B30="","",الموظفون!$Q30*IF(E30="سعودي",cfg_G_SR,cfg_G_NR)*F30/cfg_DAYS_M)</f>
        <v/>
      </c>
      <c r="Y30" s="86" t="str">
        <f aca="false">IF($B30="","",الموظفون!$O30*(cfg_EOS_R1*(MIN(AC30,cfg_EOS_TH)-MIN(AD30,cfg_EOS_TH))+cfg_EOS_R2*(MAX(AC30-cfg_EOS_TH,0)-MAX(AD30-cfg_EOS_TH,0))))</f>
        <v/>
      </c>
      <c r="Z30" s="86" t="str">
        <f aca="false">IF($B30="","",IF(الموظفون!$R30&lt;&gt;"",الموظفون!$R30,IF(AC30&gt;=cfg_LV_TH,cfg_LV_D2,cfg_LV_D1))/cfg_DAYS_Y*AE30*الموظفون!$P30/cfg_DAYS_M)</f>
        <v/>
      </c>
      <c r="AA30" s="86" t="str">
        <f aca="false">IF($B30="","",IF(AND(الموظفون!$S30="نعم",N(الموظفون!$U30)&gt;0),الموظفون!$T30/الموظفون!$U30*12/cfg_DAYS_Y*AE30,0))</f>
        <v/>
      </c>
      <c r="AB30" s="108" t="str">
        <f aca="false">IF($B30="","",R30+SUM(X30:AA30))</f>
        <v/>
      </c>
      <c r="AC30" s="109" t="str">
        <f aca="false">IF($B30="","",MAX(0,IF(OR(الموظفون!$X30="",الموظفون!$X30&gt;$G$3),$G$3,الموظفون!$X30)-الموظفون!$H30+1)/cfg_DAYS_Y)</f>
        <v/>
      </c>
      <c r="AD30" s="109" t="str">
        <f aca="false">IF($B30="","",MAX(0,IF(OR(الموظفون!$X30="",الموظفون!$X30&gt;($E$3-1)),($E$3-1),الموظفون!$X30)-الموظفون!$H30+1)/cfg_DAYS_Y)</f>
        <v/>
      </c>
      <c r="AE30" s="51" t="str">
        <f aca="false">IF($B30="","",MAX(0,IF(OR(الموظفون!$X30="",الموظفون!$X30&gt;$G$3),$G$3,الموظفون!$X30)-MAX($E$3,الموظفون!$H30)+1))</f>
        <v/>
      </c>
    </row>
    <row r="31" customFormat="false" ht="15" hidden="false" customHeight="false" outlineLevel="0" collapsed="false">
      <c r="A31" s="89" t="str">
        <f aca="false">IF($B31="","",الموظفون!$A31)</f>
        <v/>
      </c>
      <c r="B31" s="91" t="str">
        <f aca="false">IF(الموظفون!$B31="","",الموظفون!$B31)</f>
        <v/>
      </c>
      <c r="C31" s="91" t="str">
        <f aca="false">IF($B31="","",الموظفون!$C31)</f>
        <v/>
      </c>
      <c r="D31" s="91" t="str">
        <f aca="false">IF($B31="","",الموظفون!$F31)</f>
        <v/>
      </c>
      <c r="E31" s="91" t="str">
        <f aca="false">IF($B31="","",الموظفون!$E31)</f>
        <v/>
      </c>
      <c r="F31" s="110" t="str">
        <f aca="false">IF($B31="","",IF(AE31&gt;=DAY($G$3),cfg_DAYS_M,MIN(AE31,cfg_DAYS_M)))</f>
        <v/>
      </c>
      <c r="G31" s="110" t="str">
        <f aca="false">IF($B31="","",SUMIFS('الحركات الشهرية'!$D$6:$D$1005,'الحركات الشهرية'!$B$6:$B$1005,$B31,'الحركات الشهرية'!$A$6:$A$1005,$C$3))</f>
        <v/>
      </c>
      <c r="H31" s="110" t="str">
        <f aca="false">IF($B31="","",SUMIFS('الحركات الشهرية'!$E$6:$E$1005,'الحركات الشهرية'!$B$6:$B$1005,$B31,'الحركات الشهرية'!$A$6:$A$1005,$C$3))</f>
        <v/>
      </c>
      <c r="I31" s="110" t="str">
        <f aca="false">IF($B31="","",MAX(0,F31-G31-H31))</f>
        <v/>
      </c>
      <c r="J31" s="90" t="str">
        <f aca="false">IF($B31="","",الموظفون!$J31*$I31/cfg_DAYS_M)</f>
        <v/>
      </c>
      <c r="K31" s="90" t="str">
        <f aca="false">IF($B31="","",الموظفون!$K31*$I31/cfg_DAYS_M)</f>
        <v/>
      </c>
      <c r="L31" s="90" t="str">
        <f aca="false">IF($B31="","",الموظفون!$L31*$I31/cfg_DAYS_M)</f>
        <v/>
      </c>
      <c r="M31" s="90" t="str">
        <f aca="false">IF($B31="","",الموظفون!$M31*$I31/cfg_DAYS_M)</f>
        <v/>
      </c>
      <c r="N31" s="110" t="str">
        <f aca="false">IF($B31="","",SUMIFS('الحركات الشهرية'!$F$6:$F$1005,'الحركات الشهرية'!$B$6:$B$1005,$B31,'الحركات الشهرية'!$A$6:$A$1005,$C$3))</f>
        <v/>
      </c>
      <c r="O31" s="90" t="str">
        <f aca="false">IF($B31="","",N31*(الموظفون!$N31+الموظفون!$J31*cfg_OT_P)/cfg_DAYS_M/cfg_HRS)</f>
        <v/>
      </c>
      <c r="P31" s="90" t="str">
        <f aca="false">IF($B31="","",SUMIFS('الحركات الشهرية'!$G$6:$G$1005,'الحركات الشهرية'!$B$6:$B$1005,$B31,'الحركات الشهرية'!$A$6:$A$1005,$C$3))</f>
        <v/>
      </c>
      <c r="Q31" s="90" t="str">
        <f aca="false">IF($B31="","",SUMIFS('الحركات الشهرية'!$H$6:$H$1005,'الحركات الشهرية'!$B$6:$B$1005,$B31,'الحركات الشهرية'!$A$6:$A$1005,$C$3))</f>
        <v/>
      </c>
      <c r="R31" s="111" t="str">
        <f aca="false">IF($B31="","",SUM(J31:M31)+SUM(O31:Q31))</f>
        <v/>
      </c>
      <c r="S31" s="90" t="str">
        <f aca="false">IF($B31="","",الموظفون!$Q31*IF(E31="سعودي",cfg_G_SE,cfg_G_NE)*F31/cfg_DAYS_M)</f>
        <v/>
      </c>
      <c r="T31" s="90" t="str">
        <f aca="false">IF($B31="","",SUMIFS('الحركات الشهرية'!$I$6:$I$1005,'الحركات الشهرية'!$B$6:$B$1005,$B31,'الحركات الشهرية'!$A$6:$A$1005,$C$3))</f>
        <v/>
      </c>
      <c r="U31" s="90" t="str">
        <f aca="false">IF($B31="","",SUMIFS('الحركات الشهرية'!$J$6:$J$1005,'الحركات الشهرية'!$B$6:$B$1005,$B31,'الحركات الشهرية'!$A$6:$A$1005,$C$3))</f>
        <v/>
      </c>
      <c r="V31" s="90" t="str">
        <f aca="false">IF($B31="","",SUM(S31:U31))</f>
        <v/>
      </c>
      <c r="W31" s="112" t="str">
        <f aca="false">IF($B31="","",R31-V31)</f>
        <v/>
      </c>
      <c r="X31" s="90" t="str">
        <f aca="false">IF($B31="","",الموظفون!$Q31*IF(E31="سعودي",cfg_G_SR,cfg_G_NR)*F31/cfg_DAYS_M)</f>
        <v/>
      </c>
      <c r="Y31" s="90" t="str">
        <f aca="false">IF($B31="","",الموظفون!$O31*(cfg_EOS_R1*(MIN(AC31,cfg_EOS_TH)-MIN(AD31,cfg_EOS_TH))+cfg_EOS_R2*(MAX(AC31-cfg_EOS_TH,0)-MAX(AD31-cfg_EOS_TH,0))))</f>
        <v/>
      </c>
      <c r="Z31" s="90" t="str">
        <f aca="false">IF($B31="","",IF(الموظفون!$R31&lt;&gt;"",الموظفون!$R31,IF(AC31&gt;=cfg_LV_TH,cfg_LV_D2,cfg_LV_D1))/cfg_DAYS_Y*AE31*الموظفون!$P31/cfg_DAYS_M)</f>
        <v/>
      </c>
      <c r="AA31" s="90" t="str">
        <f aca="false">IF($B31="","",IF(AND(الموظفون!$S31="نعم",N(الموظفون!$U31)&gt;0),الموظفون!$T31/الموظفون!$U31*12/cfg_DAYS_Y*AE31,0))</f>
        <v/>
      </c>
      <c r="AB31" s="113" t="str">
        <f aca="false">IF($B31="","",R31+SUM(X31:AA31))</f>
        <v/>
      </c>
      <c r="AC31" s="114" t="str">
        <f aca="false">IF($B31="","",MAX(0,IF(OR(الموظفون!$X31="",الموظفون!$X31&gt;$G$3),$G$3,الموظفون!$X31)-الموظفون!$H31+1)/cfg_DAYS_Y)</f>
        <v/>
      </c>
      <c r="AD31" s="114" t="str">
        <f aca="false">IF($B31="","",MAX(0,IF(OR(الموظفون!$X31="",الموظفون!$X31&gt;($E$3-1)),($E$3-1),الموظفون!$X31)-الموظفون!$H31+1)/cfg_DAYS_Y)</f>
        <v/>
      </c>
      <c r="AE31" s="115" t="str">
        <f aca="false">IF($B31="","",MAX(0,IF(OR(الموظفون!$X31="",الموظفون!$X31&gt;$G$3),$G$3,الموظفون!$X31)-MAX($E$3,الموظفون!$H31)+1))</f>
        <v/>
      </c>
    </row>
    <row r="32" customFormat="false" ht="15" hidden="false" customHeight="false" outlineLevel="0" collapsed="false">
      <c r="A32" s="83" t="str">
        <f aca="false">IF($B32="","",الموظفون!$A32)</f>
        <v/>
      </c>
      <c r="B32" s="74" t="str">
        <f aca="false">IF(الموظفون!$B32="","",الموظفون!$B32)</f>
        <v/>
      </c>
      <c r="C32" s="74" t="str">
        <f aca="false">IF($B32="","",الموظفون!$C32)</f>
        <v/>
      </c>
      <c r="D32" s="74" t="str">
        <f aca="false">IF($B32="","",الموظفون!$F32)</f>
        <v/>
      </c>
      <c r="E32" s="74" t="str">
        <f aca="false">IF($B32="","",الموظفون!$E32)</f>
        <v/>
      </c>
      <c r="F32" s="105" t="str">
        <f aca="false">IF($B32="","",IF(AE32&gt;=DAY($G$3),cfg_DAYS_M,MIN(AE32,cfg_DAYS_M)))</f>
        <v/>
      </c>
      <c r="G32" s="105" t="str">
        <f aca="false">IF($B32="","",SUMIFS('الحركات الشهرية'!$D$6:$D$1005,'الحركات الشهرية'!$B$6:$B$1005,$B32,'الحركات الشهرية'!$A$6:$A$1005,$C$3))</f>
        <v/>
      </c>
      <c r="H32" s="105" t="str">
        <f aca="false">IF($B32="","",SUMIFS('الحركات الشهرية'!$E$6:$E$1005,'الحركات الشهرية'!$B$6:$B$1005,$B32,'الحركات الشهرية'!$A$6:$A$1005,$C$3))</f>
        <v/>
      </c>
      <c r="I32" s="105" t="str">
        <f aca="false">IF($B32="","",MAX(0,F32-G32-H32))</f>
        <v/>
      </c>
      <c r="J32" s="86" t="str">
        <f aca="false">IF($B32="","",الموظفون!$J32*$I32/cfg_DAYS_M)</f>
        <v/>
      </c>
      <c r="K32" s="86" t="str">
        <f aca="false">IF($B32="","",الموظفون!$K32*$I32/cfg_DAYS_M)</f>
        <v/>
      </c>
      <c r="L32" s="86" t="str">
        <f aca="false">IF($B32="","",الموظفون!$L32*$I32/cfg_DAYS_M)</f>
        <v/>
      </c>
      <c r="M32" s="86" t="str">
        <f aca="false">IF($B32="","",الموظفون!$M32*$I32/cfg_DAYS_M)</f>
        <v/>
      </c>
      <c r="N32" s="105" t="str">
        <f aca="false">IF($B32="","",SUMIFS('الحركات الشهرية'!$F$6:$F$1005,'الحركات الشهرية'!$B$6:$B$1005,$B32,'الحركات الشهرية'!$A$6:$A$1005,$C$3))</f>
        <v/>
      </c>
      <c r="O32" s="86" t="str">
        <f aca="false">IF($B32="","",N32*(الموظفون!$N32+الموظفون!$J32*cfg_OT_P)/cfg_DAYS_M/cfg_HRS)</f>
        <v/>
      </c>
      <c r="P32" s="86" t="str">
        <f aca="false">IF($B32="","",SUMIFS('الحركات الشهرية'!$G$6:$G$1005,'الحركات الشهرية'!$B$6:$B$1005,$B32,'الحركات الشهرية'!$A$6:$A$1005,$C$3))</f>
        <v/>
      </c>
      <c r="Q32" s="86" t="str">
        <f aca="false">IF($B32="","",SUMIFS('الحركات الشهرية'!$H$6:$H$1005,'الحركات الشهرية'!$B$6:$B$1005,$B32,'الحركات الشهرية'!$A$6:$A$1005,$C$3))</f>
        <v/>
      </c>
      <c r="R32" s="106" t="str">
        <f aca="false">IF($B32="","",SUM(J32:M32)+SUM(O32:Q32))</f>
        <v/>
      </c>
      <c r="S32" s="86" t="str">
        <f aca="false">IF($B32="","",الموظفون!$Q32*IF(E32="سعودي",cfg_G_SE,cfg_G_NE)*F32/cfg_DAYS_M)</f>
        <v/>
      </c>
      <c r="T32" s="86" t="str">
        <f aca="false">IF($B32="","",SUMIFS('الحركات الشهرية'!$I$6:$I$1005,'الحركات الشهرية'!$B$6:$B$1005,$B32,'الحركات الشهرية'!$A$6:$A$1005,$C$3))</f>
        <v/>
      </c>
      <c r="U32" s="86" t="str">
        <f aca="false">IF($B32="","",SUMIFS('الحركات الشهرية'!$J$6:$J$1005,'الحركات الشهرية'!$B$6:$B$1005,$B32,'الحركات الشهرية'!$A$6:$A$1005,$C$3))</f>
        <v/>
      </c>
      <c r="V32" s="86" t="str">
        <f aca="false">IF($B32="","",SUM(S32:U32))</f>
        <v/>
      </c>
      <c r="W32" s="107" t="str">
        <f aca="false">IF($B32="","",R32-V32)</f>
        <v/>
      </c>
      <c r="X32" s="86" t="str">
        <f aca="false">IF($B32="","",الموظفون!$Q32*IF(E32="سعودي",cfg_G_SR,cfg_G_NR)*F32/cfg_DAYS_M)</f>
        <v/>
      </c>
      <c r="Y32" s="86" t="str">
        <f aca="false">IF($B32="","",الموظفون!$O32*(cfg_EOS_R1*(MIN(AC32,cfg_EOS_TH)-MIN(AD32,cfg_EOS_TH))+cfg_EOS_R2*(MAX(AC32-cfg_EOS_TH,0)-MAX(AD32-cfg_EOS_TH,0))))</f>
        <v/>
      </c>
      <c r="Z32" s="86" t="str">
        <f aca="false">IF($B32="","",IF(الموظفون!$R32&lt;&gt;"",الموظفون!$R32,IF(AC32&gt;=cfg_LV_TH,cfg_LV_D2,cfg_LV_D1))/cfg_DAYS_Y*AE32*الموظفون!$P32/cfg_DAYS_M)</f>
        <v/>
      </c>
      <c r="AA32" s="86" t="str">
        <f aca="false">IF($B32="","",IF(AND(الموظفون!$S32="نعم",N(الموظفون!$U32)&gt;0),الموظفون!$T32/الموظفون!$U32*12/cfg_DAYS_Y*AE32,0))</f>
        <v/>
      </c>
      <c r="AB32" s="108" t="str">
        <f aca="false">IF($B32="","",R32+SUM(X32:AA32))</f>
        <v/>
      </c>
      <c r="AC32" s="109" t="str">
        <f aca="false">IF($B32="","",MAX(0,IF(OR(الموظفون!$X32="",الموظفون!$X32&gt;$G$3),$G$3,الموظفون!$X32)-الموظفون!$H32+1)/cfg_DAYS_Y)</f>
        <v/>
      </c>
      <c r="AD32" s="109" t="str">
        <f aca="false">IF($B32="","",MAX(0,IF(OR(الموظفون!$X32="",الموظفون!$X32&gt;($E$3-1)),($E$3-1),الموظفون!$X32)-الموظفون!$H32+1)/cfg_DAYS_Y)</f>
        <v/>
      </c>
      <c r="AE32" s="51" t="str">
        <f aca="false">IF($B32="","",MAX(0,IF(OR(الموظفون!$X32="",الموظفون!$X32&gt;$G$3),$G$3,الموظفون!$X32)-MAX($E$3,الموظفون!$H32)+1))</f>
        <v/>
      </c>
    </row>
    <row r="33" customFormat="false" ht="15" hidden="false" customHeight="false" outlineLevel="0" collapsed="false">
      <c r="A33" s="89" t="str">
        <f aca="false">IF($B33="","",الموظفون!$A33)</f>
        <v/>
      </c>
      <c r="B33" s="91" t="str">
        <f aca="false">IF(الموظفون!$B33="","",الموظفون!$B33)</f>
        <v/>
      </c>
      <c r="C33" s="91" t="str">
        <f aca="false">IF($B33="","",الموظفون!$C33)</f>
        <v/>
      </c>
      <c r="D33" s="91" t="str">
        <f aca="false">IF($B33="","",الموظفون!$F33)</f>
        <v/>
      </c>
      <c r="E33" s="91" t="str">
        <f aca="false">IF($B33="","",الموظفون!$E33)</f>
        <v/>
      </c>
      <c r="F33" s="110" t="str">
        <f aca="false">IF($B33="","",IF(AE33&gt;=DAY($G$3),cfg_DAYS_M,MIN(AE33,cfg_DAYS_M)))</f>
        <v/>
      </c>
      <c r="G33" s="110" t="str">
        <f aca="false">IF($B33="","",SUMIFS('الحركات الشهرية'!$D$6:$D$1005,'الحركات الشهرية'!$B$6:$B$1005,$B33,'الحركات الشهرية'!$A$6:$A$1005,$C$3))</f>
        <v/>
      </c>
      <c r="H33" s="110" t="str">
        <f aca="false">IF($B33="","",SUMIFS('الحركات الشهرية'!$E$6:$E$1005,'الحركات الشهرية'!$B$6:$B$1005,$B33,'الحركات الشهرية'!$A$6:$A$1005,$C$3))</f>
        <v/>
      </c>
      <c r="I33" s="110" t="str">
        <f aca="false">IF($B33="","",MAX(0,F33-G33-H33))</f>
        <v/>
      </c>
      <c r="J33" s="90" t="str">
        <f aca="false">IF($B33="","",الموظفون!$J33*$I33/cfg_DAYS_M)</f>
        <v/>
      </c>
      <c r="K33" s="90" t="str">
        <f aca="false">IF($B33="","",الموظفون!$K33*$I33/cfg_DAYS_M)</f>
        <v/>
      </c>
      <c r="L33" s="90" t="str">
        <f aca="false">IF($B33="","",الموظفون!$L33*$I33/cfg_DAYS_M)</f>
        <v/>
      </c>
      <c r="M33" s="90" t="str">
        <f aca="false">IF($B33="","",الموظفون!$M33*$I33/cfg_DAYS_M)</f>
        <v/>
      </c>
      <c r="N33" s="110" t="str">
        <f aca="false">IF($B33="","",SUMIFS('الحركات الشهرية'!$F$6:$F$1005,'الحركات الشهرية'!$B$6:$B$1005,$B33,'الحركات الشهرية'!$A$6:$A$1005,$C$3))</f>
        <v/>
      </c>
      <c r="O33" s="90" t="str">
        <f aca="false">IF($B33="","",N33*(الموظفون!$N33+الموظفون!$J33*cfg_OT_P)/cfg_DAYS_M/cfg_HRS)</f>
        <v/>
      </c>
      <c r="P33" s="90" t="str">
        <f aca="false">IF($B33="","",SUMIFS('الحركات الشهرية'!$G$6:$G$1005,'الحركات الشهرية'!$B$6:$B$1005,$B33,'الحركات الشهرية'!$A$6:$A$1005,$C$3))</f>
        <v/>
      </c>
      <c r="Q33" s="90" t="str">
        <f aca="false">IF($B33="","",SUMIFS('الحركات الشهرية'!$H$6:$H$1005,'الحركات الشهرية'!$B$6:$B$1005,$B33,'الحركات الشهرية'!$A$6:$A$1005,$C$3))</f>
        <v/>
      </c>
      <c r="R33" s="111" t="str">
        <f aca="false">IF($B33="","",SUM(J33:M33)+SUM(O33:Q33))</f>
        <v/>
      </c>
      <c r="S33" s="90" t="str">
        <f aca="false">IF($B33="","",الموظفون!$Q33*IF(E33="سعودي",cfg_G_SE,cfg_G_NE)*F33/cfg_DAYS_M)</f>
        <v/>
      </c>
      <c r="T33" s="90" t="str">
        <f aca="false">IF($B33="","",SUMIFS('الحركات الشهرية'!$I$6:$I$1005,'الحركات الشهرية'!$B$6:$B$1005,$B33,'الحركات الشهرية'!$A$6:$A$1005,$C$3))</f>
        <v/>
      </c>
      <c r="U33" s="90" t="str">
        <f aca="false">IF($B33="","",SUMIFS('الحركات الشهرية'!$J$6:$J$1005,'الحركات الشهرية'!$B$6:$B$1005,$B33,'الحركات الشهرية'!$A$6:$A$1005,$C$3))</f>
        <v/>
      </c>
      <c r="V33" s="90" t="str">
        <f aca="false">IF($B33="","",SUM(S33:U33))</f>
        <v/>
      </c>
      <c r="W33" s="112" t="str">
        <f aca="false">IF($B33="","",R33-V33)</f>
        <v/>
      </c>
      <c r="X33" s="90" t="str">
        <f aca="false">IF($B33="","",الموظفون!$Q33*IF(E33="سعودي",cfg_G_SR,cfg_G_NR)*F33/cfg_DAYS_M)</f>
        <v/>
      </c>
      <c r="Y33" s="90" t="str">
        <f aca="false">IF($B33="","",الموظفون!$O33*(cfg_EOS_R1*(MIN(AC33,cfg_EOS_TH)-MIN(AD33,cfg_EOS_TH))+cfg_EOS_R2*(MAX(AC33-cfg_EOS_TH,0)-MAX(AD33-cfg_EOS_TH,0))))</f>
        <v/>
      </c>
      <c r="Z33" s="90" t="str">
        <f aca="false">IF($B33="","",IF(الموظفون!$R33&lt;&gt;"",الموظفون!$R33,IF(AC33&gt;=cfg_LV_TH,cfg_LV_D2,cfg_LV_D1))/cfg_DAYS_Y*AE33*الموظفون!$P33/cfg_DAYS_M)</f>
        <v/>
      </c>
      <c r="AA33" s="90" t="str">
        <f aca="false">IF($B33="","",IF(AND(الموظفون!$S33="نعم",N(الموظفون!$U33)&gt;0),الموظفون!$T33/الموظفون!$U33*12/cfg_DAYS_Y*AE33,0))</f>
        <v/>
      </c>
      <c r="AB33" s="113" t="str">
        <f aca="false">IF($B33="","",R33+SUM(X33:AA33))</f>
        <v/>
      </c>
      <c r="AC33" s="114" t="str">
        <f aca="false">IF($B33="","",MAX(0,IF(OR(الموظفون!$X33="",الموظفون!$X33&gt;$G$3),$G$3,الموظفون!$X33)-الموظفون!$H33+1)/cfg_DAYS_Y)</f>
        <v/>
      </c>
      <c r="AD33" s="114" t="str">
        <f aca="false">IF($B33="","",MAX(0,IF(OR(الموظفون!$X33="",الموظفون!$X33&gt;($E$3-1)),($E$3-1),الموظفون!$X33)-الموظفون!$H33+1)/cfg_DAYS_Y)</f>
        <v/>
      </c>
      <c r="AE33" s="115" t="str">
        <f aca="false">IF($B33="","",MAX(0,IF(OR(الموظفون!$X33="",الموظفون!$X33&gt;$G$3),$G$3,الموظفون!$X33)-MAX($E$3,الموظفون!$H33)+1))</f>
        <v/>
      </c>
    </row>
    <row r="34" customFormat="false" ht="15" hidden="false" customHeight="false" outlineLevel="0" collapsed="false">
      <c r="A34" s="83" t="str">
        <f aca="false">IF($B34="","",الموظفون!$A34)</f>
        <v/>
      </c>
      <c r="B34" s="74" t="str">
        <f aca="false">IF(الموظفون!$B34="","",الموظفون!$B34)</f>
        <v/>
      </c>
      <c r="C34" s="74" t="str">
        <f aca="false">IF($B34="","",الموظفون!$C34)</f>
        <v/>
      </c>
      <c r="D34" s="74" t="str">
        <f aca="false">IF($B34="","",الموظفون!$F34)</f>
        <v/>
      </c>
      <c r="E34" s="74" t="str">
        <f aca="false">IF($B34="","",الموظفون!$E34)</f>
        <v/>
      </c>
      <c r="F34" s="105" t="str">
        <f aca="false">IF($B34="","",IF(AE34&gt;=DAY($G$3),cfg_DAYS_M,MIN(AE34,cfg_DAYS_M)))</f>
        <v/>
      </c>
      <c r="G34" s="105" t="str">
        <f aca="false">IF($B34="","",SUMIFS('الحركات الشهرية'!$D$6:$D$1005,'الحركات الشهرية'!$B$6:$B$1005,$B34,'الحركات الشهرية'!$A$6:$A$1005,$C$3))</f>
        <v/>
      </c>
      <c r="H34" s="105" t="str">
        <f aca="false">IF($B34="","",SUMIFS('الحركات الشهرية'!$E$6:$E$1005,'الحركات الشهرية'!$B$6:$B$1005,$B34,'الحركات الشهرية'!$A$6:$A$1005,$C$3))</f>
        <v/>
      </c>
      <c r="I34" s="105" t="str">
        <f aca="false">IF($B34="","",MAX(0,F34-G34-H34))</f>
        <v/>
      </c>
      <c r="J34" s="86" t="str">
        <f aca="false">IF($B34="","",الموظفون!$J34*$I34/cfg_DAYS_M)</f>
        <v/>
      </c>
      <c r="K34" s="86" t="str">
        <f aca="false">IF($B34="","",الموظفون!$K34*$I34/cfg_DAYS_M)</f>
        <v/>
      </c>
      <c r="L34" s="86" t="str">
        <f aca="false">IF($B34="","",الموظفون!$L34*$I34/cfg_DAYS_M)</f>
        <v/>
      </c>
      <c r="M34" s="86" t="str">
        <f aca="false">IF($B34="","",الموظفون!$M34*$I34/cfg_DAYS_M)</f>
        <v/>
      </c>
      <c r="N34" s="105" t="str">
        <f aca="false">IF($B34="","",SUMIFS('الحركات الشهرية'!$F$6:$F$1005,'الحركات الشهرية'!$B$6:$B$1005,$B34,'الحركات الشهرية'!$A$6:$A$1005,$C$3))</f>
        <v/>
      </c>
      <c r="O34" s="86" t="str">
        <f aca="false">IF($B34="","",N34*(الموظفون!$N34+الموظفون!$J34*cfg_OT_P)/cfg_DAYS_M/cfg_HRS)</f>
        <v/>
      </c>
      <c r="P34" s="86" t="str">
        <f aca="false">IF($B34="","",SUMIFS('الحركات الشهرية'!$G$6:$G$1005,'الحركات الشهرية'!$B$6:$B$1005,$B34,'الحركات الشهرية'!$A$6:$A$1005,$C$3))</f>
        <v/>
      </c>
      <c r="Q34" s="86" t="str">
        <f aca="false">IF($B34="","",SUMIFS('الحركات الشهرية'!$H$6:$H$1005,'الحركات الشهرية'!$B$6:$B$1005,$B34,'الحركات الشهرية'!$A$6:$A$1005,$C$3))</f>
        <v/>
      </c>
      <c r="R34" s="106" t="str">
        <f aca="false">IF($B34="","",SUM(J34:M34)+SUM(O34:Q34))</f>
        <v/>
      </c>
      <c r="S34" s="86" t="str">
        <f aca="false">IF($B34="","",الموظفون!$Q34*IF(E34="سعودي",cfg_G_SE,cfg_G_NE)*F34/cfg_DAYS_M)</f>
        <v/>
      </c>
      <c r="T34" s="86" t="str">
        <f aca="false">IF($B34="","",SUMIFS('الحركات الشهرية'!$I$6:$I$1005,'الحركات الشهرية'!$B$6:$B$1005,$B34,'الحركات الشهرية'!$A$6:$A$1005,$C$3))</f>
        <v/>
      </c>
      <c r="U34" s="86" t="str">
        <f aca="false">IF($B34="","",SUMIFS('الحركات الشهرية'!$J$6:$J$1005,'الحركات الشهرية'!$B$6:$B$1005,$B34,'الحركات الشهرية'!$A$6:$A$1005,$C$3))</f>
        <v/>
      </c>
      <c r="V34" s="86" t="str">
        <f aca="false">IF($B34="","",SUM(S34:U34))</f>
        <v/>
      </c>
      <c r="W34" s="107" t="str">
        <f aca="false">IF($B34="","",R34-V34)</f>
        <v/>
      </c>
      <c r="X34" s="86" t="str">
        <f aca="false">IF($B34="","",الموظفون!$Q34*IF(E34="سعودي",cfg_G_SR,cfg_G_NR)*F34/cfg_DAYS_M)</f>
        <v/>
      </c>
      <c r="Y34" s="86" t="str">
        <f aca="false">IF($B34="","",الموظفون!$O34*(cfg_EOS_R1*(MIN(AC34,cfg_EOS_TH)-MIN(AD34,cfg_EOS_TH))+cfg_EOS_R2*(MAX(AC34-cfg_EOS_TH,0)-MAX(AD34-cfg_EOS_TH,0))))</f>
        <v/>
      </c>
      <c r="Z34" s="86" t="str">
        <f aca="false">IF($B34="","",IF(الموظفون!$R34&lt;&gt;"",الموظفون!$R34,IF(AC34&gt;=cfg_LV_TH,cfg_LV_D2,cfg_LV_D1))/cfg_DAYS_Y*AE34*الموظفون!$P34/cfg_DAYS_M)</f>
        <v/>
      </c>
      <c r="AA34" s="86" t="str">
        <f aca="false">IF($B34="","",IF(AND(الموظفون!$S34="نعم",N(الموظفون!$U34)&gt;0),الموظفون!$T34/الموظفون!$U34*12/cfg_DAYS_Y*AE34,0))</f>
        <v/>
      </c>
      <c r="AB34" s="108" t="str">
        <f aca="false">IF($B34="","",R34+SUM(X34:AA34))</f>
        <v/>
      </c>
      <c r="AC34" s="109" t="str">
        <f aca="false">IF($B34="","",MAX(0,IF(OR(الموظفون!$X34="",الموظفون!$X34&gt;$G$3),$G$3,الموظفون!$X34)-الموظفون!$H34+1)/cfg_DAYS_Y)</f>
        <v/>
      </c>
      <c r="AD34" s="109" t="str">
        <f aca="false">IF($B34="","",MAX(0,IF(OR(الموظفون!$X34="",الموظفون!$X34&gt;($E$3-1)),($E$3-1),الموظفون!$X34)-الموظفون!$H34+1)/cfg_DAYS_Y)</f>
        <v/>
      </c>
      <c r="AE34" s="51" t="str">
        <f aca="false">IF($B34="","",MAX(0,IF(OR(الموظفون!$X34="",الموظفون!$X34&gt;$G$3),$G$3,الموظفون!$X34)-MAX($E$3,الموظفون!$H34)+1))</f>
        <v/>
      </c>
    </row>
    <row r="35" customFormat="false" ht="15" hidden="false" customHeight="false" outlineLevel="0" collapsed="false">
      <c r="A35" s="89" t="str">
        <f aca="false">IF($B35="","",الموظفون!$A35)</f>
        <v/>
      </c>
      <c r="B35" s="91" t="str">
        <f aca="false">IF(الموظفون!$B35="","",الموظفون!$B35)</f>
        <v/>
      </c>
      <c r="C35" s="91" t="str">
        <f aca="false">IF($B35="","",الموظفون!$C35)</f>
        <v/>
      </c>
      <c r="D35" s="91" t="str">
        <f aca="false">IF($B35="","",الموظفون!$F35)</f>
        <v/>
      </c>
      <c r="E35" s="91" t="str">
        <f aca="false">IF($B35="","",الموظفون!$E35)</f>
        <v/>
      </c>
      <c r="F35" s="110" t="str">
        <f aca="false">IF($B35="","",IF(AE35&gt;=DAY($G$3),cfg_DAYS_M,MIN(AE35,cfg_DAYS_M)))</f>
        <v/>
      </c>
      <c r="G35" s="110" t="str">
        <f aca="false">IF($B35="","",SUMIFS('الحركات الشهرية'!$D$6:$D$1005,'الحركات الشهرية'!$B$6:$B$1005,$B35,'الحركات الشهرية'!$A$6:$A$1005,$C$3))</f>
        <v/>
      </c>
      <c r="H35" s="110" t="str">
        <f aca="false">IF($B35="","",SUMIFS('الحركات الشهرية'!$E$6:$E$1005,'الحركات الشهرية'!$B$6:$B$1005,$B35,'الحركات الشهرية'!$A$6:$A$1005,$C$3))</f>
        <v/>
      </c>
      <c r="I35" s="110" t="str">
        <f aca="false">IF($B35="","",MAX(0,F35-G35-H35))</f>
        <v/>
      </c>
      <c r="J35" s="90" t="str">
        <f aca="false">IF($B35="","",الموظفون!$J35*$I35/cfg_DAYS_M)</f>
        <v/>
      </c>
      <c r="K35" s="90" t="str">
        <f aca="false">IF($B35="","",الموظفون!$K35*$I35/cfg_DAYS_M)</f>
        <v/>
      </c>
      <c r="L35" s="90" t="str">
        <f aca="false">IF($B35="","",الموظفون!$L35*$I35/cfg_DAYS_M)</f>
        <v/>
      </c>
      <c r="M35" s="90" t="str">
        <f aca="false">IF($B35="","",الموظفون!$M35*$I35/cfg_DAYS_M)</f>
        <v/>
      </c>
      <c r="N35" s="110" t="str">
        <f aca="false">IF($B35="","",SUMIFS('الحركات الشهرية'!$F$6:$F$1005,'الحركات الشهرية'!$B$6:$B$1005,$B35,'الحركات الشهرية'!$A$6:$A$1005,$C$3))</f>
        <v/>
      </c>
      <c r="O35" s="90" t="str">
        <f aca="false">IF($B35="","",N35*(الموظفون!$N35+الموظفون!$J35*cfg_OT_P)/cfg_DAYS_M/cfg_HRS)</f>
        <v/>
      </c>
      <c r="P35" s="90" t="str">
        <f aca="false">IF($B35="","",SUMIFS('الحركات الشهرية'!$G$6:$G$1005,'الحركات الشهرية'!$B$6:$B$1005,$B35,'الحركات الشهرية'!$A$6:$A$1005,$C$3))</f>
        <v/>
      </c>
      <c r="Q35" s="90" t="str">
        <f aca="false">IF($B35="","",SUMIFS('الحركات الشهرية'!$H$6:$H$1005,'الحركات الشهرية'!$B$6:$B$1005,$B35,'الحركات الشهرية'!$A$6:$A$1005,$C$3))</f>
        <v/>
      </c>
      <c r="R35" s="111" t="str">
        <f aca="false">IF($B35="","",SUM(J35:M35)+SUM(O35:Q35))</f>
        <v/>
      </c>
      <c r="S35" s="90" t="str">
        <f aca="false">IF($B35="","",الموظفون!$Q35*IF(E35="سعودي",cfg_G_SE,cfg_G_NE)*F35/cfg_DAYS_M)</f>
        <v/>
      </c>
      <c r="T35" s="90" t="str">
        <f aca="false">IF($B35="","",SUMIFS('الحركات الشهرية'!$I$6:$I$1005,'الحركات الشهرية'!$B$6:$B$1005,$B35,'الحركات الشهرية'!$A$6:$A$1005,$C$3))</f>
        <v/>
      </c>
      <c r="U35" s="90" t="str">
        <f aca="false">IF($B35="","",SUMIFS('الحركات الشهرية'!$J$6:$J$1005,'الحركات الشهرية'!$B$6:$B$1005,$B35,'الحركات الشهرية'!$A$6:$A$1005,$C$3))</f>
        <v/>
      </c>
      <c r="V35" s="90" t="str">
        <f aca="false">IF($B35="","",SUM(S35:U35))</f>
        <v/>
      </c>
      <c r="W35" s="112" t="str">
        <f aca="false">IF($B35="","",R35-V35)</f>
        <v/>
      </c>
      <c r="X35" s="90" t="str">
        <f aca="false">IF($B35="","",الموظفون!$Q35*IF(E35="سعودي",cfg_G_SR,cfg_G_NR)*F35/cfg_DAYS_M)</f>
        <v/>
      </c>
      <c r="Y35" s="90" t="str">
        <f aca="false">IF($B35="","",الموظفون!$O35*(cfg_EOS_R1*(MIN(AC35,cfg_EOS_TH)-MIN(AD35,cfg_EOS_TH))+cfg_EOS_R2*(MAX(AC35-cfg_EOS_TH,0)-MAX(AD35-cfg_EOS_TH,0))))</f>
        <v/>
      </c>
      <c r="Z35" s="90" t="str">
        <f aca="false">IF($B35="","",IF(الموظفون!$R35&lt;&gt;"",الموظفون!$R35,IF(AC35&gt;=cfg_LV_TH,cfg_LV_D2,cfg_LV_D1))/cfg_DAYS_Y*AE35*الموظفون!$P35/cfg_DAYS_M)</f>
        <v/>
      </c>
      <c r="AA35" s="90" t="str">
        <f aca="false">IF($B35="","",IF(AND(الموظفون!$S35="نعم",N(الموظفون!$U35)&gt;0),الموظفون!$T35/الموظفون!$U35*12/cfg_DAYS_Y*AE35,0))</f>
        <v/>
      </c>
      <c r="AB35" s="113" t="str">
        <f aca="false">IF($B35="","",R35+SUM(X35:AA35))</f>
        <v/>
      </c>
      <c r="AC35" s="114" t="str">
        <f aca="false">IF($B35="","",MAX(0,IF(OR(الموظفون!$X35="",الموظفون!$X35&gt;$G$3),$G$3,الموظفون!$X35)-الموظفون!$H35+1)/cfg_DAYS_Y)</f>
        <v/>
      </c>
      <c r="AD35" s="114" t="str">
        <f aca="false">IF($B35="","",MAX(0,IF(OR(الموظفون!$X35="",الموظفون!$X35&gt;($E$3-1)),($E$3-1),الموظفون!$X35)-الموظفون!$H35+1)/cfg_DAYS_Y)</f>
        <v/>
      </c>
      <c r="AE35" s="115" t="str">
        <f aca="false">IF($B35="","",MAX(0,IF(OR(الموظفون!$X35="",الموظفون!$X35&gt;$G$3),$G$3,الموظفون!$X35)-MAX($E$3,الموظفون!$H35)+1))</f>
        <v/>
      </c>
    </row>
    <row r="36" customFormat="false" ht="15" hidden="false" customHeight="false" outlineLevel="0" collapsed="false">
      <c r="A36" s="83" t="str">
        <f aca="false">IF($B36="","",الموظفون!$A36)</f>
        <v/>
      </c>
      <c r="B36" s="74" t="str">
        <f aca="false">IF(الموظفون!$B36="","",الموظفون!$B36)</f>
        <v/>
      </c>
      <c r="C36" s="74" t="str">
        <f aca="false">IF($B36="","",الموظفون!$C36)</f>
        <v/>
      </c>
      <c r="D36" s="74" t="str">
        <f aca="false">IF($B36="","",الموظفون!$F36)</f>
        <v/>
      </c>
      <c r="E36" s="74" t="str">
        <f aca="false">IF($B36="","",الموظفون!$E36)</f>
        <v/>
      </c>
      <c r="F36" s="105" t="str">
        <f aca="false">IF($B36="","",IF(AE36&gt;=DAY($G$3),cfg_DAYS_M,MIN(AE36,cfg_DAYS_M)))</f>
        <v/>
      </c>
      <c r="G36" s="105" t="str">
        <f aca="false">IF($B36="","",SUMIFS('الحركات الشهرية'!$D$6:$D$1005,'الحركات الشهرية'!$B$6:$B$1005,$B36,'الحركات الشهرية'!$A$6:$A$1005,$C$3))</f>
        <v/>
      </c>
      <c r="H36" s="105" t="str">
        <f aca="false">IF($B36="","",SUMIFS('الحركات الشهرية'!$E$6:$E$1005,'الحركات الشهرية'!$B$6:$B$1005,$B36,'الحركات الشهرية'!$A$6:$A$1005,$C$3))</f>
        <v/>
      </c>
      <c r="I36" s="105" t="str">
        <f aca="false">IF($B36="","",MAX(0,F36-G36-H36))</f>
        <v/>
      </c>
      <c r="J36" s="86" t="str">
        <f aca="false">IF($B36="","",الموظفون!$J36*$I36/cfg_DAYS_M)</f>
        <v/>
      </c>
      <c r="K36" s="86" t="str">
        <f aca="false">IF($B36="","",الموظفون!$K36*$I36/cfg_DAYS_M)</f>
        <v/>
      </c>
      <c r="L36" s="86" t="str">
        <f aca="false">IF($B36="","",الموظفون!$L36*$I36/cfg_DAYS_M)</f>
        <v/>
      </c>
      <c r="M36" s="86" t="str">
        <f aca="false">IF($B36="","",الموظفون!$M36*$I36/cfg_DAYS_M)</f>
        <v/>
      </c>
      <c r="N36" s="105" t="str">
        <f aca="false">IF($B36="","",SUMIFS('الحركات الشهرية'!$F$6:$F$1005,'الحركات الشهرية'!$B$6:$B$1005,$B36,'الحركات الشهرية'!$A$6:$A$1005,$C$3))</f>
        <v/>
      </c>
      <c r="O36" s="86" t="str">
        <f aca="false">IF($B36="","",N36*(الموظفون!$N36+الموظفون!$J36*cfg_OT_P)/cfg_DAYS_M/cfg_HRS)</f>
        <v/>
      </c>
      <c r="P36" s="86" t="str">
        <f aca="false">IF($B36="","",SUMIFS('الحركات الشهرية'!$G$6:$G$1005,'الحركات الشهرية'!$B$6:$B$1005,$B36,'الحركات الشهرية'!$A$6:$A$1005,$C$3))</f>
        <v/>
      </c>
      <c r="Q36" s="86" t="str">
        <f aca="false">IF($B36="","",SUMIFS('الحركات الشهرية'!$H$6:$H$1005,'الحركات الشهرية'!$B$6:$B$1005,$B36,'الحركات الشهرية'!$A$6:$A$1005,$C$3))</f>
        <v/>
      </c>
      <c r="R36" s="106" t="str">
        <f aca="false">IF($B36="","",SUM(J36:M36)+SUM(O36:Q36))</f>
        <v/>
      </c>
      <c r="S36" s="86" t="str">
        <f aca="false">IF($B36="","",الموظفون!$Q36*IF(E36="سعودي",cfg_G_SE,cfg_G_NE)*F36/cfg_DAYS_M)</f>
        <v/>
      </c>
      <c r="T36" s="86" t="str">
        <f aca="false">IF($B36="","",SUMIFS('الحركات الشهرية'!$I$6:$I$1005,'الحركات الشهرية'!$B$6:$B$1005,$B36,'الحركات الشهرية'!$A$6:$A$1005,$C$3))</f>
        <v/>
      </c>
      <c r="U36" s="86" t="str">
        <f aca="false">IF($B36="","",SUMIFS('الحركات الشهرية'!$J$6:$J$1005,'الحركات الشهرية'!$B$6:$B$1005,$B36,'الحركات الشهرية'!$A$6:$A$1005,$C$3))</f>
        <v/>
      </c>
      <c r="V36" s="86" t="str">
        <f aca="false">IF($B36="","",SUM(S36:U36))</f>
        <v/>
      </c>
      <c r="W36" s="107" t="str">
        <f aca="false">IF($B36="","",R36-V36)</f>
        <v/>
      </c>
      <c r="X36" s="86" t="str">
        <f aca="false">IF($B36="","",الموظفون!$Q36*IF(E36="سعودي",cfg_G_SR,cfg_G_NR)*F36/cfg_DAYS_M)</f>
        <v/>
      </c>
      <c r="Y36" s="86" t="str">
        <f aca="false">IF($B36="","",الموظفون!$O36*(cfg_EOS_R1*(MIN(AC36,cfg_EOS_TH)-MIN(AD36,cfg_EOS_TH))+cfg_EOS_R2*(MAX(AC36-cfg_EOS_TH,0)-MAX(AD36-cfg_EOS_TH,0))))</f>
        <v/>
      </c>
      <c r="Z36" s="86" t="str">
        <f aca="false">IF($B36="","",IF(الموظفون!$R36&lt;&gt;"",الموظفون!$R36,IF(AC36&gt;=cfg_LV_TH,cfg_LV_D2,cfg_LV_D1))/cfg_DAYS_Y*AE36*الموظفون!$P36/cfg_DAYS_M)</f>
        <v/>
      </c>
      <c r="AA36" s="86" t="str">
        <f aca="false">IF($B36="","",IF(AND(الموظفون!$S36="نعم",N(الموظفون!$U36)&gt;0),الموظفون!$T36/الموظفون!$U36*12/cfg_DAYS_Y*AE36,0))</f>
        <v/>
      </c>
      <c r="AB36" s="108" t="str">
        <f aca="false">IF($B36="","",R36+SUM(X36:AA36))</f>
        <v/>
      </c>
      <c r="AC36" s="109" t="str">
        <f aca="false">IF($B36="","",MAX(0,IF(OR(الموظفون!$X36="",الموظفون!$X36&gt;$G$3),$G$3,الموظفون!$X36)-الموظفون!$H36+1)/cfg_DAYS_Y)</f>
        <v/>
      </c>
      <c r="AD36" s="109" t="str">
        <f aca="false">IF($B36="","",MAX(0,IF(OR(الموظفون!$X36="",الموظفون!$X36&gt;($E$3-1)),($E$3-1),الموظفون!$X36)-الموظفون!$H36+1)/cfg_DAYS_Y)</f>
        <v/>
      </c>
      <c r="AE36" s="51" t="str">
        <f aca="false">IF($B36="","",MAX(0,IF(OR(الموظفون!$X36="",الموظفون!$X36&gt;$G$3),$G$3,الموظفون!$X36)-MAX($E$3,الموظفون!$H36)+1))</f>
        <v/>
      </c>
    </row>
    <row r="37" customFormat="false" ht="15" hidden="false" customHeight="false" outlineLevel="0" collapsed="false">
      <c r="A37" s="89" t="str">
        <f aca="false">IF($B37="","",الموظفون!$A37)</f>
        <v/>
      </c>
      <c r="B37" s="91" t="str">
        <f aca="false">IF(الموظفون!$B37="","",الموظفون!$B37)</f>
        <v/>
      </c>
      <c r="C37" s="91" t="str">
        <f aca="false">IF($B37="","",الموظفون!$C37)</f>
        <v/>
      </c>
      <c r="D37" s="91" t="str">
        <f aca="false">IF($B37="","",الموظفون!$F37)</f>
        <v/>
      </c>
      <c r="E37" s="91" t="str">
        <f aca="false">IF($B37="","",الموظفون!$E37)</f>
        <v/>
      </c>
      <c r="F37" s="110" t="str">
        <f aca="false">IF($B37="","",IF(AE37&gt;=DAY($G$3),cfg_DAYS_M,MIN(AE37,cfg_DAYS_M)))</f>
        <v/>
      </c>
      <c r="G37" s="110" t="str">
        <f aca="false">IF($B37="","",SUMIFS('الحركات الشهرية'!$D$6:$D$1005,'الحركات الشهرية'!$B$6:$B$1005,$B37,'الحركات الشهرية'!$A$6:$A$1005,$C$3))</f>
        <v/>
      </c>
      <c r="H37" s="110" t="str">
        <f aca="false">IF($B37="","",SUMIFS('الحركات الشهرية'!$E$6:$E$1005,'الحركات الشهرية'!$B$6:$B$1005,$B37,'الحركات الشهرية'!$A$6:$A$1005,$C$3))</f>
        <v/>
      </c>
      <c r="I37" s="110" t="str">
        <f aca="false">IF($B37="","",MAX(0,F37-G37-H37))</f>
        <v/>
      </c>
      <c r="J37" s="90" t="str">
        <f aca="false">IF($B37="","",الموظفون!$J37*$I37/cfg_DAYS_M)</f>
        <v/>
      </c>
      <c r="K37" s="90" t="str">
        <f aca="false">IF($B37="","",الموظفون!$K37*$I37/cfg_DAYS_M)</f>
        <v/>
      </c>
      <c r="L37" s="90" t="str">
        <f aca="false">IF($B37="","",الموظفون!$L37*$I37/cfg_DAYS_M)</f>
        <v/>
      </c>
      <c r="M37" s="90" t="str">
        <f aca="false">IF($B37="","",الموظفون!$M37*$I37/cfg_DAYS_M)</f>
        <v/>
      </c>
      <c r="N37" s="110" t="str">
        <f aca="false">IF($B37="","",SUMIFS('الحركات الشهرية'!$F$6:$F$1005,'الحركات الشهرية'!$B$6:$B$1005,$B37,'الحركات الشهرية'!$A$6:$A$1005,$C$3))</f>
        <v/>
      </c>
      <c r="O37" s="90" t="str">
        <f aca="false">IF($B37="","",N37*(الموظفون!$N37+الموظفون!$J37*cfg_OT_P)/cfg_DAYS_M/cfg_HRS)</f>
        <v/>
      </c>
      <c r="P37" s="90" t="str">
        <f aca="false">IF($B37="","",SUMIFS('الحركات الشهرية'!$G$6:$G$1005,'الحركات الشهرية'!$B$6:$B$1005,$B37,'الحركات الشهرية'!$A$6:$A$1005,$C$3))</f>
        <v/>
      </c>
      <c r="Q37" s="90" t="str">
        <f aca="false">IF($B37="","",SUMIFS('الحركات الشهرية'!$H$6:$H$1005,'الحركات الشهرية'!$B$6:$B$1005,$B37,'الحركات الشهرية'!$A$6:$A$1005,$C$3))</f>
        <v/>
      </c>
      <c r="R37" s="111" t="str">
        <f aca="false">IF($B37="","",SUM(J37:M37)+SUM(O37:Q37))</f>
        <v/>
      </c>
      <c r="S37" s="90" t="str">
        <f aca="false">IF($B37="","",الموظفون!$Q37*IF(E37="سعودي",cfg_G_SE,cfg_G_NE)*F37/cfg_DAYS_M)</f>
        <v/>
      </c>
      <c r="T37" s="90" t="str">
        <f aca="false">IF($B37="","",SUMIFS('الحركات الشهرية'!$I$6:$I$1005,'الحركات الشهرية'!$B$6:$B$1005,$B37,'الحركات الشهرية'!$A$6:$A$1005,$C$3))</f>
        <v/>
      </c>
      <c r="U37" s="90" t="str">
        <f aca="false">IF($B37="","",SUMIFS('الحركات الشهرية'!$J$6:$J$1005,'الحركات الشهرية'!$B$6:$B$1005,$B37,'الحركات الشهرية'!$A$6:$A$1005,$C$3))</f>
        <v/>
      </c>
      <c r="V37" s="90" t="str">
        <f aca="false">IF($B37="","",SUM(S37:U37))</f>
        <v/>
      </c>
      <c r="W37" s="112" t="str">
        <f aca="false">IF($B37="","",R37-V37)</f>
        <v/>
      </c>
      <c r="X37" s="90" t="str">
        <f aca="false">IF($B37="","",الموظفون!$Q37*IF(E37="سعودي",cfg_G_SR,cfg_G_NR)*F37/cfg_DAYS_M)</f>
        <v/>
      </c>
      <c r="Y37" s="90" t="str">
        <f aca="false">IF($B37="","",الموظفون!$O37*(cfg_EOS_R1*(MIN(AC37,cfg_EOS_TH)-MIN(AD37,cfg_EOS_TH))+cfg_EOS_R2*(MAX(AC37-cfg_EOS_TH,0)-MAX(AD37-cfg_EOS_TH,0))))</f>
        <v/>
      </c>
      <c r="Z37" s="90" t="str">
        <f aca="false">IF($B37="","",IF(الموظفون!$R37&lt;&gt;"",الموظفون!$R37,IF(AC37&gt;=cfg_LV_TH,cfg_LV_D2,cfg_LV_D1))/cfg_DAYS_Y*AE37*الموظفون!$P37/cfg_DAYS_M)</f>
        <v/>
      </c>
      <c r="AA37" s="90" t="str">
        <f aca="false">IF($B37="","",IF(AND(الموظفون!$S37="نعم",N(الموظفون!$U37)&gt;0),الموظفون!$T37/الموظفون!$U37*12/cfg_DAYS_Y*AE37,0))</f>
        <v/>
      </c>
      <c r="AB37" s="113" t="str">
        <f aca="false">IF($B37="","",R37+SUM(X37:AA37))</f>
        <v/>
      </c>
      <c r="AC37" s="114" t="str">
        <f aca="false">IF($B37="","",MAX(0,IF(OR(الموظفون!$X37="",الموظفون!$X37&gt;$G$3),$G$3,الموظفون!$X37)-الموظفون!$H37+1)/cfg_DAYS_Y)</f>
        <v/>
      </c>
      <c r="AD37" s="114" t="str">
        <f aca="false">IF($B37="","",MAX(0,IF(OR(الموظفون!$X37="",الموظفون!$X37&gt;($E$3-1)),($E$3-1),الموظفون!$X37)-الموظفون!$H37+1)/cfg_DAYS_Y)</f>
        <v/>
      </c>
      <c r="AE37" s="115" t="str">
        <f aca="false">IF($B37="","",MAX(0,IF(OR(الموظفون!$X37="",الموظفون!$X37&gt;$G$3),$G$3,الموظفون!$X37)-MAX($E$3,الموظفون!$H37)+1))</f>
        <v/>
      </c>
    </row>
    <row r="38" customFormat="false" ht="15" hidden="false" customHeight="false" outlineLevel="0" collapsed="false">
      <c r="A38" s="83" t="str">
        <f aca="false">IF($B38="","",الموظفون!$A38)</f>
        <v/>
      </c>
      <c r="B38" s="74" t="str">
        <f aca="false">IF(الموظفون!$B38="","",الموظفون!$B38)</f>
        <v/>
      </c>
      <c r="C38" s="74" t="str">
        <f aca="false">IF($B38="","",الموظفون!$C38)</f>
        <v/>
      </c>
      <c r="D38" s="74" t="str">
        <f aca="false">IF($B38="","",الموظفون!$F38)</f>
        <v/>
      </c>
      <c r="E38" s="74" t="str">
        <f aca="false">IF($B38="","",الموظفون!$E38)</f>
        <v/>
      </c>
      <c r="F38" s="105" t="str">
        <f aca="false">IF($B38="","",IF(AE38&gt;=DAY($G$3),cfg_DAYS_M,MIN(AE38,cfg_DAYS_M)))</f>
        <v/>
      </c>
      <c r="G38" s="105" t="str">
        <f aca="false">IF($B38="","",SUMIFS('الحركات الشهرية'!$D$6:$D$1005,'الحركات الشهرية'!$B$6:$B$1005,$B38,'الحركات الشهرية'!$A$6:$A$1005,$C$3))</f>
        <v/>
      </c>
      <c r="H38" s="105" t="str">
        <f aca="false">IF($B38="","",SUMIFS('الحركات الشهرية'!$E$6:$E$1005,'الحركات الشهرية'!$B$6:$B$1005,$B38,'الحركات الشهرية'!$A$6:$A$1005,$C$3))</f>
        <v/>
      </c>
      <c r="I38" s="105" t="str">
        <f aca="false">IF($B38="","",MAX(0,F38-G38-H38))</f>
        <v/>
      </c>
      <c r="J38" s="86" t="str">
        <f aca="false">IF($B38="","",الموظفون!$J38*$I38/cfg_DAYS_M)</f>
        <v/>
      </c>
      <c r="K38" s="86" t="str">
        <f aca="false">IF($B38="","",الموظفون!$K38*$I38/cfg_DAYS_M)</f>
        <v/>
      </c>
      <c r="L38" s="86" t="str">
        <f aca="false">IF($B38="","",الموظفون!$L38*$I38/cfg_DAYS_M)</f>
        <v/>
      </c>
      <c r="M38" s="86" t="str">
        <f aca="false">IF($B38="","",الموظفون!$M38*$I38/cfg_DAYS_M)</f>
        <v/>
      </c>
      <c r="N38" s="105" t="str">
        <f aca="false">IF($B38="","",SUMIFS('الحركات الشهرية'!$F$6:$F$1005,'الحركات الشهرية'!$B$6:$B$1005,$B38,'الحركات الشهرية'!$A$6:$A$1005,$C$3))</f>
        <v/>
      </c>
      <c r="O38" s="86" t="str">
        <f aca="false">IF($B38="","",N38*(الموظفون!$N38+الموظفون!$J38*cfg_OT_P)/cfg_DAYS_M/cfg_HRS)</f>
        <v/>
      </c>
      <c r="P38" s="86" t="str">
        <f aca="false">IF($B38="","",SUMIFS('الحركات الشهرية'!$G$6:$G$1005,'الحركات الشهرية'!$B$6:$B$1005,$B38,'الحركات الشهرية'!$A$6:$A$1005,$C$3))</f>
        <v/>
      </c>
      <c r="Q38" s="86" t="str">
        <f aca="false">IF($B38="","",SUMIFS('الحركات الشهرية'!$H$6:$H$1005,'الحركات الشهرية'!$B$6:$B$1005,$B38,'الحركات الشهرية'!$A$6:$A$1005,$C$3))</f>
        <v/>
      </c>
      <c r="R38" s="106" t="str">
        <f aca="false">IF($B38="","",SUM(J38:M38)+SUM(O38:Q38))</f>
        <v/>
      </c>
      <c r="S38" s="86" t="str">
        <f aca="false">IF($B38="","",الموظفون!$Q38*IF(E38="سعودي",cfg_G_SE,cfg_G_NE)*F38/cfg_DAYS_M)</f>
        <v/>
      </c>
      <c r="T38" s="86" t="str">
        <f aca="false">IF($B38="","",SUMIFS('الحركات الشهرية'!$I$6:$I$1005,'الحركات الشهرية'!$B$6:$B$1005,$B38,'الحركات الشهرية'!$A$6:$A$1005,$C$3))</f>
        <v/>
      </c>
      <c r="U38" s="86" t="str">
        <f aca="false">IF($B38="","",SUMIFS('الحركات الشهرية'!$J$6:$J$1005,'الحركات الشهرية'!$B$6:$B$1005,$B38,'الحركات الشهرية'!$A$6:$A$1005,$C$3))</f>
        <v/>
      </c>
      <c r="V38" s="86" t="str">
        <f aca="false">IF($B38="","",SUM(S38:U38))</f>
        <v/>
      </c>
      <c r="W38" s="107" t="str">
        <f aca="false">IF($B38="","",R38-V38)</f>
        <v/>
      </c>
      <c r="X38" s="86" t="str">
        <f aca="false">IF($B38="","",الموظفون!$Q38*IF(E38="سعودي",cfg_G_SR,cfg_G_NR)*F38/cfg_DAYS_M)</f>
        <v/>
      </c>
      <c r="Y38" s="86" t="str">
        <f aca="false">IF($B38="","",الموظفون!$O38*(cfg_EOS_R1*(MIN(AC38,cfg_EOS_TH)-MIN(AD38,cfg_EOS_TH))+cfg_EOS_R2*(MAX(AC38-cfg_EOS_TH,0)-MAX(AD38-cfg_EOS_TH,0))))</f>
        <v/>
      </c>
      <c r="Z38" s="86" t="str">
        <f aca="false">IF($B38="","",IF(الموظفون!$R38&lt;&gt;"",الموظفون!$R38,IF(AC38&gt;=cfg_LV_TH,cfg_LV_D2,cfg_LV_D1))/cfg_DAYS_Y*AE38*الموظفون!$P38/cfg_DAYS_M)</f>
        <v/>
      </c>
      <c r="AA38" s="86" t="str">
        <f aca="false">IF($B38="","",IF(AND(الموظفون!$S38="نعم",N(الموظفون!$U38)&gt;0),الموظفون!$T38/الموظفون!$U38*12/cfg_DAYS_Y*AE38,0))</f>
        <v/>
      </c>
      <c r="AB38" s="108" t="str">
        <f aca="false">IF($B38="","",R38+SUM(X38:AA38))</f>
        <v/>
      </c>
      <c r="AC38" s="109" t="str">
        <f aca="false">IF($B38="","",MAX(0,IF(OR(الموظفون!$X38="",الموظفون!$X38&gt;$G$3),$G$3,الموظفون!$X38)-الموظفون!$H38+1)/cfg_DAYS_Y)</f>
        <v/>
      </c>
      <c r="AD38" s="109" t="str">
        <f aca="false">IF($B38="","",MAX(0,IF(OR(الموظفون!$X38="",الموظفون!$X38&gt;($E$3-1)),($E$3-1),الموظفون!$X38)-الموظفون!$H38+1)/cfg_DAYS_Y)</f>
        <v/>
      </c>
      <c r="AE38" s="51" t="str">
        <f aca="false">IF($B38="","",MAX(0,IF(OR(الموظفون!$X38="",الموظفون!$X38&gt;$G$3),$G$3,الموظفون!$X38)-MAX($E$3,الموظفون!$H38)+1))</f>
        <v/>
      </c>
    </row>
    <row r="39" customFormat="false" ht="15" hidden="false" customHeight="false" outlineLevel="0" collapsed="false">
      <c r="A39" s="89" t="str">
        <f aca="false">IF($B39="","",الموظفون!$A39)</f>
        <v/>
      </c>
      <c r="B39" s="91" t="str">
        <f aca="false">IF(الموظفون!$B39="","",الموظفون!$B39)</f>
        <v/>
      </c>
      <c r="C39" s="91" t="str">
        <f aca="false">IF($B39="","",الموظفون!$C39)</f>
        <v/>
      </c>
      <c r="D39" s="91" t="str">
        <f aca="false">IF($B39="","",الموظفون!$F39)</f>
        <v/>
      </c>
      <c r="E39" s="91" t="str">
        <f aca="false">IF($B39="","",الموظفون!$E39)</f>
        <v/>
      </c>
      <c r="F39" s="110" t="str">
        <f aca="false">IF($B39="","",IF(AE39&gt;=DAY($G$3),cfg_DAYS_M,MIN(AE39,cfg_DAYS_M)))</f>
        <v/>
      </c>
      <c r="G39" s="110" t="str">
        <f aca="false">IF($B39="","",SUMIFS('الحركات الشهرية'!$D$6:$D$1005,'الحركات الشهرية'!$B$6:$B$1005,$B39,'الحركات الشهرية'!$A$6:$A$1005,$C$3))</f>
        <v/>
      </c>
      <c r="H39" s="110" t="str">
        <f aca="false">IF($B39="","",SUMIFS('الحركات الشهرية'!$E$6:$E$1005,'الحركات الشهرية'!$B$6:$B$1005,$B39,'الحركات الشهرية'!$A$6:$A$1005,$C$3))</f>
        <v/>
      </c>
      <c r="I39" s="110" t="str">
        <f aca="false">IF($B39="","",MAX(0,F39-G39-H39))</f>
        <v/>
      </c>
      <c r="J39" s="90" t="str">
        <f aca="false">IF($B39="","",الموظفون!$J39*$I39/cfg_DAYS_M)</f>
        <v/>
      </c>
      <c r="K39" s="90" t="str">
        <f aca="false">IF($B39="","",الموظفون!$K39*$I39/cfg_DAYS_M)</f>
        <v/>
      </c>
      <c r="L39" s="90" t="str">
        <f aca="false">IF($B39="","",الموظفون!$L39*$I39/cfg_DAYS_M)</f>
        <v/>
      </c>
      <c r="M39" s="90" t="str">
        <f aca="false">IF($B39="","",الموظفون!$M39*$I39/cfg_DAYS_M)</f>
        <v/>
      </c>
      <c r="N39" s="110" t="str">
        <f aca="false">IF($B39="","",SUMIFS('الحركات الشهرية'!$F$6:$F$1005,'الحركات الشهرية'!$B$6:$B$1005,$B39,'الحركات الشهرية'!$A$6:$A$1005,$C$3))</f>
        <v/>
      </c>
      <c r="O39" s="90" t="str">
        <f aca="false">IF($B39="","",N39*(الموظفون!$N39+الموظفون!$J39*cfg_OT_P)/cfg_DAYS_M/cfg_HRS)</f>
        <v/>
      </c>
      <c r="P39" s="90" t="str">
        <f aca="false">IF($B39="","",SUMIFS('الحركات الشهرية'!$G$6:$G$1005,'الحركات الشهرية'!$B$6:$B$1005,$B39,'الحركات الشهرية'!$A$6:$A$1005,$C$3))</f>
        <v/>
      </c>
      <c r="Q39" s="90" t="str">
        <f aca="false">IF($B39="","",SUMIFS('الحركات الشهرية'!$H$6:$H$1005,'الحركات الشهرية'!$B$6:$B$1005,$B39,'الحركات الشهرية'!$A$6:$A$1005,$C$3))</f>
        <v/>
      </c>
      <c r="R39" s="111" t="str">
        <f aca="false">IF($B39="","",SUM(J39:M39)+SUM(O39:Q39))</f>
        <v/>
      </c>
      <c r="S39" s="90" t="str">
        <f aca="false">IF($B39="","",الموظفون!$Q39*IF(E39="سعودي",cfg_G_SE,cfg_G_NE)*F39/cfg_DAYS_M)</f>
        <v/>
      </c>
      <c r="T39" s="90" t="str">
        <f aca="false">IF($B39="","",SUMIFS('الحركات الشهرية'!$I$6:$I$1005,'الحركات الشهرية'!$B$6:$B$1005,$B39,'الحركات الشهرية'!$A$6:$A$1005,$C$3))</f>
        <v/>
      </c>
      <c r="U39" s="90" t="str">
        <f aca="false">IF($B39="","",SUMIFS('الحركات الشهرية'!$J$6:$J$1005,'الحركات الشهرية'!$B$6:$B$1005,$B39,'الحركات الشهرية'!$A$6:$A$1005,$C$3))</f>
        <v/>
      </c>
      <c r="V39" s="90" t="str">
        <f aca="false">IF($B39="","",SUM(S39:U39))</f>
        <v/>
      </c>
      <c r="W39" s="112" t="str">
        <f aca="false">IF($B39="","",R39-V39)</f>
        <v/>
      </c>
      <c r="X39" s="90" t="str">
        <f aca="false">IF($B39="","",الموظفون!$Q39*IF(E39="سعودي",cfg_G_SR,cfg_G_NR)*F39/cfg_DAYS_M)</f>
        <v/>
      </c>
      <c r="Y39" s="90" t="str">
        <f aca="false">IF($B39="","",الموظفون!$O39*(cfg_EOS_R1*(MIN(AC39,cfg_EOS_TH)-MIN(AD39,cfg_EOS_TH))+cfg_EOS_R2*(MAX(AC39-cfg_EOS_TH,0)-MAX(AD39-cfg_EOS_TH,0))))</f>
        <v/>
      </c>
      <c r="Z39" s="90" t="str">
        <f aca="false">IF($B39="","",IF(الموظفون!$R39&lt;&gt;"",الموظفون!$R39,IF(AC39&gt;=cfg_LV_TH,cfg_LV_D2,cfg_LV_D1))/cfg_DAYS_Y*AE39*الموظفون!$P39/cfg_DAYS_M)</f>
        <v/>
      </c>
      <c r="AA39" s="90" t="str">
        <f aca="false">IF($B39="","",IF(AND(الموظفون!$S39="نعم",N(الموظفون!$U39)&gt;0),الموظفون!$T39/الموظفون!$U39*12/cfg_DAYS_Y*AE39,0))</f>
        <v/>
      </c>
      <c r="AB39" s="113" t="str">
        <f aca="false">IF($B39="","",R39+SUM(X39:AA39))</f>
        <v/>
      </c>
      <c r="AC39" s="114" t="str">
        <f aca="false">IF($B39="","",MAX(0,IF(OR(الموظفون!$X39="",الموظفون!$X39&gt;$G$3),$G$3,الموظفون!$X39)-الموظفون!$H39+1)/cfg_DAYS_Y)</f>
        <v/>
      </c>
      <c r="AD39" s="114" t="str">
        <f aca="false">IF($B39="","",MAX(0,IF(OR(الموظفون!$X39="",الموظفون!$X39&gt;($E$3-1)),($E$3-1),الموظفون!$X39)-الموظفون!$H39+1)/cfg_DAYS_Y)</f>
        <v/>
      </c>
      <c r="AE39" s="115" t="str">
        <f aca="false">IF($B39="","",MAX(0,IF(OR(الموظفون!$X39="",الموظفون!$X39&gt;$G$3),$G$3,الموظفون!$X39)-MAX($E$3,الموظفون!$H39)+1))</f>
        <v/>
      </c>
    </row>
    <row r="40" customFormat="false" ht="15" hidden="false" customHeight="false" outlineLevel="0" collapsed="false">
      <c r="A40" s="83" t="str">
        <f aca="false">IF($B40="","",الموظفون!$A40)</f>
        <v/>
      </c>
      <c r="B40" s="74" t="str">
        <f aca="false">IF(الموظفون!$B40="","",الموظفون!$B40)</f>
        <v/>
      </c>
      <c r="C40" s="74" t="str">
        <f aca="false">IF($B40="","",الموظفون!$C40)</f>
        <v/>
      </c>
      <c r="D40" s="74" t="str">
        <f aca="false">IF($B40="","",الموظفون!$F40)</f>
        <v/>
      </c>
      <c r="E40" s="74" t="str">
        <f aca="false">IF($B40="","",الموظفون!$E40)</f>
        <v/>
      </c>
      <c r="F40" s="105" t="str">
        <f aca="false">IF($B40="","",IF(AE40&gt;=DAY($G$3),cfg_DAYS_M,MIN(AE40,cfg_DAYS_M)))</f>
        <v/>
      </c>
      <c r="G40" s="105" t="str">
        <f aca="false">IF($B40="","",SUMIFS('الحركات الشهرية'!$D$6:$D$1005,'الحركات الشهرية'!$B$6:$B$1005,$B40,'الحركات الشهرية'!$A$6:$A$1005,$C$3))</f>
        <v/>
      </c>
      <c r="H40" s="105" t="str">
        <f aca="false">IF($B40="","",SUMIFS('الحركات الشهرية'!$E$6:$E$1005,'الحركات الشهرية'!$B$6:$B$1005,$B40,'الحركات الشهرية'!$A$6:$A$1005,$C$3))</f>
        <v/>
      </c>
      <c r="I40" s="105" t="str">
        <f aca="false">IF($B40="","",MAX(0,F40-G40-H40))</f>
        <v/>
      </c>
      <c r="J40" s="86" t="str">
        <f aca="false">IF($B40="","",الموظفون!$J40*$I40/cfg_DAYS_M)</f>
        <v/>
      </c>
      <c r="K40" s="86" t="str">
        <f aca="false">IF($B40="","",الموظفون!$K40*$I40/cfg_DAYS_M)</f>
        <v/>
      </c>
      <c r="L40" s="86" t="str">
        <f aca="false">IF($B40="","",الموظفون!$L40*$I40/cfg_DAYS_M)</f>
        <v/>
      </c>
      <c r="M40" s="86" t="str">
        <f aca="false">IF($B40="","",الموظفون!$M40*$I40/cfg_DAYS_M)</f>
        <v/>
      </c>
      <c r="N40" s="105" t="str">
        <f aca="false">IF($B40="","",SUMIFS('الحركات الشهرية'!$F$6:$F$1005,'الحركات الشهرية'!$B$6:$B$1005,$B40,'الحركات الشهرية'!$A$6:$A$1005,$C$3))</f>
        <v/>
      </c>
      <c r="O40" s="86" t="str">
        <f aca="false">IF($B40="","",N40*(الموظفون!$N40+الموظفون!$J40*cfg_OT_P)/cfg_DAYS_M/cfg_HRS)</f>
        <v/>
      </c>
      <c r="P40" s="86" t="str">
        <f aca="false">IF($B40="","",SUMIFS('الحركات الشهرية'!$G$6:$G$1005,'الحركات الشهرية'!$B$6:$B$1005,$B40,'الحركات الشهرية'!$A$6:$A$1005,$C$3))</f>
        <v/>
      </c>
      <c r="Q40" s="86" t="str">
        <f aca="false">IF($B40="","",SUMIFS('الحركات الشهرية'!$H$6:$H$1005,'الحركات الشهرية'!$B$6:$B$1005,$B40,'الحركات الشهرية'!$A$6:$A$1005,$C$3))</f>
        <v/>
      </c>
      <c r="R40" s="106" t="str">
        <f aca="false">IF($B40="","",SUM(J40:M40)+SUM(O40:Q40))</f>
        <v/>
      </c>
      <c r="S40" s="86" t="str">
        <f aca="false">IF($B40="","",الموظفون!$Q40*IF(E40="سعودي",cfg_G_SE,cfg_G_NE)*F40/cfg_DAYS_M)</f>
        <v/>
      </c>
      <c r="T40" s="86" t="str">
        <f aca="false">IF($B40="","",SUMIFS('الحركات الشهرية'!$I$6:$I$1005,'الحركات الشهرية'!$B$6:$B$1005,$B40,'الحركات الشهرية'!$A$6:$A$1005,$C$3))</f>
        <v/>
      </c>
      <c r="U40" s="86" t="str">
        <f aca="false">IF($B40="","",SUMIFS('الحركات الشهرية'!$J$6:$J$1005,'الحركات الشهرية'!$B$6:$B$1005,$B40,'الحركات الشهرية'!$A$6:$A$1005,$C$3))</f>
        <v/>
      </c>
      <c r="V40" s="86" t="str">
        <f aca="false">IF($B40="","",SUM(S40:U40))</f>
        <v/>
      </c>
      <c r="W40" s="107" t="str">
        <f aca="false">IF($B40="","",R40-V40)</f>
        <v/>
      </c>
      <c r="X40" s="86" t="str">
        <f aca="false">IF($B40="","",الموظفون!$Q40*IF(E40="سعودي",cfg_G_SR,cfg_G_NR)*F40/cfg_DAYS_M)</f>
        <v/>
      </c>
      <c r="Y40" s="86" t="str">
        <f aca="false">IF($B40="","",الموظفون!$O40*(cfg_EOS_R1*(MIN(AC40,cfg_EOS_TH)-MIN(AD40,cfg_EOS_TH))+cfg_EOS_R2*(MAX(AC40-cfg_EOS_TH,0)-MAX(AD40-cfg_EOS_TH,0))))</f>
        <v/>
      </c>
      <c r="Z40" s="86" t="str">
        <f aca="false">IF($B40="","",IF(الموظفون!$R40&lt;&gt;"",الموظفون!$R40,IF(AC40&gt;=cfg_LV_TH,cfg_LV_D2,cfg_LV_D1))/cfg_DAYS_Y*AE40*الموظفون!$P40/cfg_DAYS_M)</f>
        <v/>
      </c>
      <c r="AA40" s="86" t="str">
        <f aca="false">IF($B40="","",IF(AND(الموظفون!$S40="نعم",N(الموظفون!$U40)&gt;0),الموظفون!$T40/الموظفون!$U40*12/cfg_DAYS_Y*AE40,0))</f>
        <v/>
      </c>
      <c r="AB40" s="108" t="str">
        <f aca="false">IF($B40="","",R40+SUM(X40:AA40))</f>
        <v/>
      </c>
      <c r="AC40" s="109" t="str">
        <f aca="false">IF($B40="","",MAX(0,IF(OR(الموظفون!$X40="",الموظفون!$X40&gt;$G$3),$G$3,الموظفون!$X40)-الموظفون!$H40+1)/cfg_DAYS_Y)</f>
        <v/>
      </c>
      <c r="AD40" s="109" t="str">
        <f aca="false">IF($B40="","",MAX(0,IF(OR(الموظفون!$X40="",الموظفون!$X40&gt;($E$3-1)),($E$3-1),الموظفون!$X40)-الموظفون!$H40+1)/cfg_DAYS_Y)</f>
        <v/>
      </c>
      <c r="AE40" s="51" t="str">
        <f aca="false">IF($B40="","",MAX(0,IF(OR(الموظفون!$X40="",الموظفون!$X40&gt;$G$3),$G$3,الموظفون!$X40)-MAX($E$3,الموظفون!$H40)+1))</f>
        <v/>
      </c>
    </row>
    <row r="41" customFormat="false" ht="15" hidden="false" customHeight="false" outlineLevel="0" collapsed="false">
      <c r="A41" s="89" t="str">
        <f aca="false">IF($B41="","",الموظفون!$A41)</f>
        <v/>
      </c>
      <c r="B41" s="91" t="str">
        <f aca="false">IF(الموظفون!$B41="","",الموظفون!$B41)</f>
        <v/>
      </c>
      <c r="C41" s="91" t="str">
        <f aca="false">IF($B41="","",الموظفون!$C41)</f>
        <v/>
      </c>
      <c r="D41" s="91" t="str">
        <f aca="false">IF($B41="","",الموظفون!$F41)</f>
        <v/>
      </c>
      <c r="E41" s="91" t="str">
        <f aca="false">IF($B41="","",الموظفون!$E41)</f>
        <v/>
      </c>
      <c r="F41" s="110" t="str">
        <f aca="false">IF($B41="","",IF(AE41&gt;=DAY($G$3),cfg_DAYS_M,MIN(AE41,cfg_DAYS_M)))</f>
        <v/>
      </c>
      <c r="G41" s="110" t="str">
        <f aca="false">IF($B41="","",SUMIFS('الحركات الشهرية'!$D$6:$D$1005,'الحركات الشهرية'!$B$6:$B$1005,$B41,'الحركات الشهرية'!$A$6:$A$1005,$C$3))</f>
        <v/>
      </c>
      <c r="H41" s="110" t="str">
        <f aca="false">IF($B41="","",SUMIFS('الحركات الشهرية'!$E$6:$E$1005,'الحركات الشهرية'!$B$6:$B$1005,$B41,'الحركات الشهرية'!$A$6:$A$1005,$C$3))</f>
        <v/>
      </c>
      <c r="I41" s="110" t="str">
        <f aca="false">IF($B41="","",MAX(0,F41-G41-H41))</f>
        <v/>
      </c>
      <c r="J41" s="90" t="str">
        <f aca="false">IF($B41="","",الموظفون!$J41*$I41/cfg_DAYS_M)</f>
        <v/>
      </c>
      <c r="K41" s="90" t="str">
        <f aca="false">IF($B41="","",الموظفون!$K41*$I41/cfg_DAYS_M)</f>
        <v/>
      </c>
      <c r="L41" s="90" t="str">
        <f aca="false">IF($B41="","",الموظفون!$L41*$I41/cfg_DAYS_M)</f>
        <v/>
      </c>
      <c r="M41" s="90" t="str">
        <f aca="false">IF($B41="","",الموظفون!$M41*$I41/cfg_DAYS_M)</f>
        <v/>
      </c>
      <c r="N41" s="110" t="str">
        <f aca="false">IF($B41="","",SUMIFS('الحركات الشهرية'!$F$6:$F$1005,'الحركات الشهرية'!$B$6:$B$1005,$B41,'الحركات الشهرية'!$A$6:$A$1005,$C$3))</f>
        <v/>
      </c>
      <c r="O41" s="90" t="str">
        <f aca="false">IF($B41="","",N41*(الموظفون!$N41+الموظفون!$J41*cfg_OT_P)/cfg_DAYS_M/cfg_HRS)</f>
        <v/>
      </c>
      <c r="P41" s="90" t="str">
        <f aca="false">IF($B41="","",SUMIFS('الحركات الشهرية'!$G$6:$G$1005,'الحركات الشهرية'!$B$6:$B$1005,$B41,'الحركات الشهرية'!$A$6:$A$1005,$C$3))</f>
        <v/>
      </c>
      <c r="Q41" s="90" t="str">
        <f aca="false">IF($B41="","",SUMIFS('الحركات الشهرية'!$H$6:$H$1005,'الحركات الشهرية'!$B$6:$B$1005,$B41,'الحركات الشهرية'!$A$6:$A$1005,$C$3))</f>
        <v/>
      </c>
      <c r="R41" s="111" t="str">
        <f aca="false">IF($B41="","",SUM(J41:M41)+SUM(O41:Q41))</f>
        <v/>
      </c>
      <c r="S41" s="90" t="str">
        <f aca="false">IF($B41="","",الموظفون!$Q41*IF(E41="سعودي",cfg_G_SE,cfg_G_NE)*F41/cfg_DAYS_M)</f>
        <v/>
      </c>
      <c r="T41" s="90" t="str">
        <f aca="false">IF($B41="","",SUMIFS('الحركات الشهرية'!$I$6:$I$1005,'الحركات الشهرية'!$B$6:$B$1005,$B41,'الحركات الشهرية'!$A$6:$A$1005,$C$3))</f>
        <v/>
      </c>
      <c r="U41" s="90" t="str">
        <f aca="false">IF($B41="","",SUMIFS('الحركات الشهرية'!$J$6:$J$1005,'الحركات الشهرية'!$B$6:$B$1005,$B41,'الحركات الشهرية'!$A$6:$A$1005,$C$3))</f>
        <v/>
      </c>
      <c r="V41" s="90" t="str">
        <f aca="false">IF($B41="","",SUM(S41:U41))</f>
        <v/>
      </c>
      <c r="W41" s="112" t="str">
        <f aca="false">IF($B41="","",R41-V41)</f>
        <v/>
      </c>
      <c r="X41" s="90" t="str">
        <f aca="false">IF($B41="","",الموظفون!$Q41*IF(E41="سعودي",cfg_G_SR,cfg_G_NR)*F41/cfg_DAYS_M)</f>
        <v/>
      </c>
      <c r="Y41" s="90" t="str">
        <f aca="false">IF($B41="","",الموظفون!$O41*(cfg_EOS_R1*(MIN(AC41,cfg_EOS_TH)-MIN(AD41,cfg_EOS_TH))+cfg_EOS_R2*(MAX(AC41-cfg_EOS_TH,0)-MAX(AD41-cfg_EOS_TH,0))))</f>
        <v/>
      </c>
      <c r="Z41" s="90" t="str">
        <f aca="false">IF($B41="","",IF(الموظفون!$R41&lt;&gt;"",الموظفون!$R41,IF(AC41&gt;=cfg_LV_TH,cfg_LV_D2,cfg_LV_D1))/cfg_DAYS_Y*AE41*الموظفون!$P41/cfg_DAYS_M)</f>
        <v/>
      </c>
      <c r="AA41" s="90" t="str">
        <f aca="false">IF($B41="","",IF(AND(الموظفون!$S41="نعم",N(الموظفون!$U41)&gt;0),الموظفون!$T41/الموظفون!$U41*12/cfg_DAYS_Y*AE41,0))</f>
        <v/>
      </c>
      <c r="AB41" s="113" t="str">
        <f aca="false">IF($B41="","",R41+SUM(X41:AA41))</f>
        <v/>
      </c>
      <c r="AC41" s="114" t="str">
        <f aca="false">IF($B41="","",MAX(0,IF(OR(الموظفون!$X41="",الموظفون!$X41&gt;$G$3),$G$3,الموظفون!$X41)-الموظفون!$H41+1)/cfg_DAYS_Y)</f>
        <v/>
      </c>
      <c r="AD41" s="114" t="str">
        <f aca="false">IF($B41="","",MAX(0,IF(OR(الموظفون!$X41="",الموظفون!$X41&gt;($E$3-1)),($E$3-1),الموظفون!$X41)-الموظفون!$H41+1)/cfg_DAYS_Y)</f>
        <v/>
      </c>
      <c r="AE41" s="115" t="str">
        <f aca="false">IF($B41="","",MAX(0,IF(OR(الموظفون!$X41="",الموظفون!$X41&gt;$G$3),$G$3,الموظفون!$X41)-MAX($E$3,الموظفون!$H41)+1))</f>
        <v/>
      </c>
    </row>
    <row r="42" customFormat="false" ht="15" hidden="false" customHeight="false" outlineLevel="0" collapsed="false">
      <c r="A42" s="83" t="str">
        <f aca="false">IF($B42="","",الموظفون!$A42)</f>
        <v/>
      </c>
      <c r="B42" s="74" t="str">
        <f aca="false">IF(الموظفون!$B42="","",الموظفون!$B42)</f>
        <v/>
      </c>
      <c r="C42" s="74" t="str">
        <f aca="false">IF($B42="","",الموظفون!$C42)</f>
        <v/>
      </c>
      <c r="D42" s="74" t="str">
        <f aca="false">IF($B42="","",الموظفون!$F42)</f>
        <v/>
      </c>
      <c r="E42" s="74" t="str">
        <f aca="false">IF($B42="","",الموظفون!$E42)</f>
        <v/>
      </c>
      <c r="F42" s="105" t="str">
        <f aca="false">IF($B42="","",IF(AE42&gt;=DAY($G$3),cfg_DAYS_M,MIN(AE42,cfg_DAYS_M)))</f>
        <v/>
      </c>
      <c r="G42" s="105" t="str">
        <f aca="false">IF($B42="","",SUMIFS('الحركات الشهرية'!$D$6:$D$1005,'الحركات الشهرية'!$B$6:$B$1005,$B42,'الحركات الشهرية'!$A$6:$A$1005,$C$3))</f>
        <v/>
      </c>
      <c r="H42" s="105" t="str">
        <f aca="false">IF($B42="","",SUMIFS('الحركات الشهرية'!$E$6:$E$1005,'الحركات الشهرية'!$B$6:$B$1005,$B42,'الحركات الشهرية'!$A$6:$A$1005,$C$3))</f>
        <v/>
      </c>
      <c r="I42" s="105" t="str">
        <f aca="false">IF($B42="","",MAX(0,F42-G42-H42))</f>
        <v/>
      </c>
      <c r="J42" s="86" t="str">
        <f aca="false">IF($B42="","",الموظفون!$J42*$I42/cfg_DAYS_M)</f>
        <v/>
      </c>
      <c r="K42" s="86" t="str">
        <f aca="false">IF($B42="","",الموظفون!$K42*$I42/cfg_DAYS_M)</f>
        <v/>
      </c>
      <c r="L42" s="86" t="str">
        <f aca="false">IF($B42="","",الموظفون!$L42*$I42/cfg_DAYS_M)</f>
        <v/>
      </c>
      <c r="M42" s="86" t="str">
        <f aca="false">IF($B42="","",الموظفون!$M42*$I42/cfg_DAYS_M)</f>
        <v/>
      </c>
      <c r="N42" s="105" t="str">
        <f aca="false">IF($B42="","",SUMIFS('الحركات الشهرية'!$F$6:$F$1005,'الحركات الشهرية'!$B$6:$B$1005,$B42,'الحركات الشهرية'!$A$6:$A$1005,$C$3))</f>
        <v/>
      </c>
      <c r="O42" s="86" t="str">
        <f aca="false">IF($B42="","",N42*(الموظفون!$N42+الموظفون!$J42*cfg_OT_P)/cfg_DAYS_M/cfg_HRS)</f>
        <v/>
      </c>
      <c r="P42" s="86" t="str">
        <f aca="false">IF($B42="","",SUMIFS('الحركات الشهرية'!$G$6:$G$1005,'الحركات الشهرية'!$B$6:$B$1005,$B42,'الحركات الشهرية'!$A$6:$A$1005,$C$3))</f>
        <v/>
      </c>
      <c r="Q42" s="86" t="str">
        <f aca="false">IF($B42="","",SUMIFS('الحركات الشهرية'!$H$6:$H$1005,'الحركات الشهرية'!$B$6:$B$1005,$B42,'الحركات الشهرية'!$A$6:$A$1005,$C$3))</f>
        <v/>
      </c>
      <c r="R42" s="106" t="str">
        <f aca="false">IF($B42="","",SUM(J42:M42)+SUM(O42:Q42))</f>
        <v/>
      </c>
      <c r="S42" s="86" t="str">
        <f aca="false">IF($B42="","",الموظفون!$Q42*IF(E42="سعودي",cfg_G_SE,cfg_G_NE)*F42/cfg_DAYS_M)</f>
        <v/>
      </c>
      <c r="T42" s="86" t="str">
        <f aca="false">IF($B42="","",SUMIFS('الحركات الشهرية'!$I$6:$I$1005,'الحركات الشهرية'!$B$6:$B$1005,$B42,'الحركات الشهرية'!$A$6:$A$1005,$C$3))</f>
        <v/>
      </c>
      <c r="U42" s="86" t="str">
        <f aca="false">IF($B42="","",SUMIFS('الحركات الشهرية'!$J$6:$J$1005,'الحركات الشهرية'!$B$6:$B$1005,$B42,'الحركات الشهرية'!$A$6:$A$1005,$C$3))</f>
        <v/>
      </c>
      <c r="V42" s="86" t="str">
        <f aca="false">IF($B42="","",SUM(S42:U42))</f>
        <v/>
      </c>
      <c r="W42" s="107" t="str">
        <f aca="false">IF($B42="","",R42-V42)</f>
        <v/>
      </c>
      <c r="X42" s="86" t="str">
        <f aca="false">IF($B42="","",الموظفون!$Q42*IF(E42="سعودي",cfg_G_SR,cfg_G_NR)*F42/cfg_DAYS_M)</f>
        <v/>
      </c>
      <c r="Y42" s="86" t="str">
        <f aca="false">IF($B42="","",الموظفون!$O42*(cfg_EOS_R1*(MIN(AC42,cfg_EOS_TH)-MIN(AD42,cfg_EOS_TH))+cfg_EOS_R2*(MAX(AC42-cfg_EOS_TH,0)-MAX(AD42-cfg_EOS_TH,0))))</f>
        <v/>
      </c>
      <c r="Z42" s="86" t="str">
        <f aca="false">IF($B42="","",IF(الموظفون!$R42&lt;&gt;"",الموظفون!$R42,IF(AC42&gt;=cfg_LV_TH,cfg_LV_D2,cfg_LV_D1))/cfg_DAYS_Y*AE42*الموظفون!$P42/cfg_DAYS_M)</f>
        <v/>
      </c>
      <c r="AA42" s="86" t="str">
        <f aca="false">IF($B42="","",IF(AND(الموظفون!$S42="نعم",N(الموظفون!$U42)&gt;0),الموظفون!$T42/الموظفون!$U42*12/cfg_DAYS_Y*AE42,0))</f>
        <v/>
      </c>
      <c r="AB42" s="108" t="str">
        <f aca="false">IF($B42="","",R42+SUM(X42:AA42))</f>
        <v/>
      </c>
      <c r="AC42" s="109" t="str">
        <f aca="false">IF($B42="","",MAX(0,IF(OR(الموظفون!$X42="",الموظفون!$X42&gt;$G$3),$G$3,الموظفون!$X42)-الموظفون!$H42+1)/cfg_DAYS_Y)</f>
        <v/>
      </c>
      <c r="AD42" s="109" t="str">
        <f aca="false">IF($B42="","",MAX(0,IF(OR(الموظفون!$X42="",الموظفون!$X42&gt;($E$3-1)),($E$3-1),الموظفون!$X42)-الموظفون!$H42+1)/cfg_DAYS_Y)</f>
        <v/>
      </c>
      <c r="AE42" s="51" t="str">
        <f aca="false">IF($B42="","",MAX(0,IF(OR(الموظفون!$X42="",الموظفون!$X42&gt;$G$3),$G$3,الموظفون!$X42)-MAX($E$3,الموظفون!$H42)+1))</f>
        <v/>
      </c>
    </row>
    <row r="43" customFormat="false" ht="15" hidden="false" customHeight="false" outlineLevel="0" collapsed="false">
      <c r="A43" s="89" t="str">
        <f aca="false">IF($B43="","",الموظفون!$A43)</f>
        <v/>
      </c>
      <c r="B43" s="91" t="str">
        <f aca="false">IF(الموظفون!$B43="","",الموظفون!$B43)</f>
        <v/>
      </c>
      <c r="C43" s="91" t="str">
        <f aca="false">IF($B43="","",الموظفون!$C43)</f>
        <v/>
      </c>
      <c r="D43" s="91" t="str">
        <f aca="false">IF($B43="","",الموظفون!$F43)</f>
        <v/>
      </c>
      <c r="E43" s="91" t="str">
        <f aca="false">IF($B43="","",الموظفون!$E43)</f>
        <v/>
      </c>
      <c r="F43" s="110" t="str">
        <f aca="false">IF($B43="","",IF(AE43&gt;=DAY($G$3),cfg_DAYS_M,MIN(AE43,cfg_DAYS_M)))</f>
        <v/>
      </c>
      <c r="G43" s="110" t="str">
        <f aca="false">IF($B43="","",SUMIFS('الحركات الشهرية'!$D$6:$D$1005,'الحركات الشهرية'!$B$6:$B$1005,$B43,'الحركات الشهرية'!$A$6:$A$1005,$C$3))</f>
        <v/>
      </c>
      <c r="H43" s="110" t="str">
        <f aca="false">IF($B43="","",SUMIFS('الحركات الشهرية'!$E$6:$E$1005,'الحركات الشهرية'!$B$6:$B$1005,$B43,'الحركات الشهرية'!$A$6:$A$1005,$C$3))</f>
        <v/>
      </c>
      <c r="I43" s="110" t="str">
        <f aca="false">IF($B43="","",MAX(0,F43-G43-H43))</f>
        <v/>
      </c>
      <c r="J43" s="90" t="str">
        <f aca="false">IF($B43="","",الموظفون!$J43*$I43/cfg_DAYS_M)</f>
        <v/>
      </c>
      <c r="K43" s="90" t="str">
        <f aca="false">IF($B43="","",الموظفون!$K43*$I43/cfg_DAYS_M)</f>
        <v/>
      </c>
      <c r="L43" s="90" t="str">
        <f aca="false">IF($B43="","",الموظفون!$L43*$I43/cfg_DAYS_M)</f>
        <v/>
      </c>
      <c r="M43" s="90" t="str">
        <f aca="false">IF($B43="","",الموظفون!$M43*$I43/cfg_DAYS_M)</f>
        <v/>
      </c>
      <c r="N43" s="110" t="str">
        <f aca="false">IF($B43="","",SUMIFS('الحركات الشهرية'!$F$6:$F$1005,'الحركات الشهرية'!$B$6:$B$1005,$B43,'الحركات الشهرية'!$A$6:$A$1005,$C$3))</f>
        <v/>
      </c>
      <c r="O43" s="90" t="str">
        <f aca="false">IF($B43="","",N43*(الموظفون!$N43+الموظفون!$J43*cfg_OT_P)/cfg_DAYS_M/cfg_HRS)</f>
        <v/>
      </c>
      <c r="P43" s="90" t="str">
        <f aca="false">IF($B43="","",SUMIFS('الحركات الشهرية'!$G$6:$G$1005,'الحركات الشهرية'!$B$6:$B$1005,$B43,'الحركات الشهرية'!$A$6:$A$1005,$C$3))</f>
        <v/>
      </c>
      <c r="Q43" s="90" t="str">
        <f aca="false">IF($B43="","",SUMIFS('الحركات الشهرية'!$H$6:$H$1005,'الحركات الشهرية'!$B$6:$B$1005,$B43,'الحركات الشهرية'!$A$6:$A$1005,$C$3))</f>
        <v/>
      </c>
      <c r="R43" s="111" t="str">
        <f aca="false">IF($B43="","",SUM(J43:M43)+SUM(O43:Q43))</f>
        <v/>
      </c>
      <c r="S43" s="90" t="str">
        <f aca="false">IF($B43="","",الموظفون!$Q43*IF(E43="سعودي",cfg_G_SE,cfg_G_NE)*F43/cfg_DAYS_M)</f>
        <v/>
      </c>
      <c r="T43" s="90" t="str">
        <f aca="false">IF($B43="","",SUMIFS('الحركات الشهرية'!$I$6:$I$1005,'الحركات الشهرية'!$B$6:$B$1005,$B43,'الحركات الشهرية'!$A$6:$A$1005,$C$3))</f>
        <v/>
      </c>
      <c r="U43" s="90" t="str">
        <f aca="false">IF($B43="","",SUMIFS('الحركات الشهرية'!$J$6:$J$1005,'الحركات الشهرية'!$B$6:$B$1005,$B43,'الحركات الشهرية'!$A$6:$A$1005,$C$3))</f>
        <v/>
      </c>
      <c r="V43" s="90" t="str">
        <f aca="false">IF($B43="","",SUM(S43:U43))</f>
        <v/>
      </c>
      <c r="W43" s="112" t="str">
        <f aca="false">IF($B43="","",R43-V43)</f>
        <v/>
      </c>
      <c r="X43" s="90" t="str">
        <f aca="false">IF($B43="","",الموظفون!$Q43*IF(E43="سعودي",cfg_G_SR,cfg_G_NR)*F43/cfg_DAYS_M)</f>
        <v/>
      </c>
      <c r="Y43" s="90" t="str">
        <f aca="false">IF($B43="","",الموظفون!$O43*(cfg_EOS_R1*(MIN(AC43,cfg_EOS_TH)-MIN(AD43,cfg_EOS_TH))+cfg_EOS_R2*(MAX(AC43-cfg_EOS_TH,0)-MAX(AD43-cfg_EOS_TH,0))))</f>
        <v/>
      </c>
      <c r="Z43" s="90" t="str">
        <f aca="false">IF($B43="","",IF(الموظفون!$R43&lt;&gt;"",الموظفون!$R43,IF(AC43&gt;=cfg_LV_TH,cfg_LV_D2,cfg_LV_D1))/cfg_DAYS_Y*AE43*الموظفون!$P43/cfg_DAYS_M)</f>
        <v/>
      </c>
      <c r="AA43" s="90" t="str">
        <f aca="false">IF($B43="","",IF(AND(الموظفون!$S43="نعم",N(الموظفون!$U43)&gt;0),الموظفون!$T43/الموظفون!$U43*12/cfg_DAYS_Y*AE43,0))</f>
        <v/>
      </c>
      <c r="AB43" s="113" t="str">
        <f aca="false">IF($B43="","",R43+SUM(X43:AA43))</f>
        <v/>
      </c>
      <c r="AC43" s="114" t="str">
        <f aca="false">IF($B43="","",MAX(0,IF(OR(الموظفون!$X43="",الموظفون!$X43&gt;$G$3),$G$3,الموظفون!$X43)-الموظفون!$H43+1)/cfg_DAYS_Y)</f>
        <v/>
      </c>
      <c r="AD43" s="114" t="str">
        <f aca="false">IF($B43="","",MAX(0,IF(OR(الموظفون!$X43="",الموظفون!$X43&gt;($E$3-1)),($E$3-1),الموظفون!$X43)-الموظفون!$H43+1)/cfg_DAYS_Y)</f>
        <v/>
      </c>
      <c r="AE43" s="115" t="str">
        <f aca="false">IF($B43="","",MAX(0,IF(OR(الموظفون!$X43="",الموظفون!$X43&gt;$G$3),$G$3,الموظفون!$X43)-MAX($E$3,الموظفون!$H43)+1))</f>
        <v/>
      </c>
    </row>
    <row r="44" customFormat="false" ht="15" hidden="false" customHeight="false" outlineLevel="0" collapsed="false">
      <c r="A44" s="83" t="str">
        <f aca="false">IF($B44="","",الموظفون!$A44)</f>
        <v/>
      </c>
      <c r="B44" s="74" t="str">
        <f aca="false">IF(الموظفون!$B44="","",الموظفون!$B44)</f>
        <v/>
      </c>
      <c r="C44" s="74" t="str">
        <f aca="false">IF($B44="","",الموظفون!$C44)</f>
        <v/>
      </c>
      <c r="D44" s="74" t="str">
        <f aca="false">IF($B44="","",الموظفون!$F44)</f>
        <v/>
      </c>
      <c r="E44" s="74" t="str">
        <f aca="false">IF($B44="","",الموظفون!$E44)</f>
        <v/>
      </c>
      <c r="F44" s="105" t="str">
        <f aca="false">IF($B44="","",IF(AE44&gt;=DAY($G$3),cfg_DAYS_M,MIN(AE44,cfg_DAYS_M)))</f>
        <v/>
      </c>
      <c r="G44" s="105" t="str">
        <f aca="false">IF($B44="","",SUMIFS('الحركات الشهرية'!$D$6:$D$1005,'الحركات الشهرية'!$B$6:$B$1005,$B44,'الحركات الشهرية'!$A$6:$A$1005,$C$3))</f>
        <v/>
      </c>
      <c r="H44" s="105" t="str">
        <f aca="false">IF($B44="","",SUMIFS('الحركات الشهرية'!$E$6:$E$1005,'الحركات الشهرية'!$B$6:$B$1005,$B44,'الحركات الشهرية'!$A$6:$A$1005,$C$3))</f>
        <v/>
      </c>
      <c r="I44" s="105" t="str">
        <f aca="false">IF($B44="","",MAX(0,F44-G44-H44))</f>
        <v/>
      </c>
      <c r="J44" s="86" t="str">
        <f aca="false">IF($B44="","",الموظفون!$J44*$I44/cfg_DAYS_M)</f>
        <v/>
      </c>
      <c r="K44" s="86" t="str">
        <f aca="false">IF($B44="","",الموظفون!$K44*$I44/cfg_DAYS_M)</f>
        <v/>
      </c>
      <c r="L44" s="86" t="str">
        <f aca="false">IF($B44="","",الموظفون!$L44*$I44/cfg_DAYS_M)</f>
        <v/>
      </c>
      <c r="M44" s="86" t="str">
        <f aca="false">IF($B44="","",الموظفون!$M44*$I44/cfg_DAYS_M)</f>
        <v/>
      </c>
      <c r="N44" s="105" t="str">
        <f aca="false">IF($B44="","",SUMIFS('الحركات الشهرية'!$F$6:$F$1005,'الحركات الشهرية'!$B$6:$B$1005,$B44,'الحركات الشهرية'!$A$6:$A$1005,$C$3))</f>
        <v/>
      </c>
      <c r="O44" s="86" t="str">
        <f aca="false">IF($B44="","",N44*(الموظفون!$N44+الموظفون!$J44*cfg_OT_P)/cfg_DAYS_M/cfg_HRS)</f>
        <v/>
      </c>
      <c r="P44" s="86" t="str">
        <f aca="false">IF($B44="","",SUMIFS('الحركات الشهرية'!$G$6:$G$1005,'الحركات الشهرية'!$B$6:$B$1005,$B44,'الحركات الشهرية'!$A$6:$A$1005,$C$3))</f>
        <v/>
      </c>
      <c r="Q44" s="86" t="str">
        <f aca="false">IF($B44="","",SUMIFS('الحركات الشهرية'!$H$6:$H$1005,'الحركات الشهرية'!$B$6:$B$1005,$B44,'الحركات الشهرية'!$A$6:$A$1005,$C$3))</f>
        <v/>
      </c>
      <c r="R44" s="106" t="str">
        <f aca="false">IF($B44="","",SUM(J44:M44)+SUM(O44:Q44))</f>
        <v/>
      </c>
      <c r="S44" s="86" t="str">
        <f aca="false">IF($B44="","",الموظفون!$Q44*IF(E44="سعودي",cfg_G_SE,cfg_G_NE)*F44/cfg_DAYS_M)</f>
        <v/>
      </c>
      <c r="T44" s="86" t="str">
        <f aca="false">IF($B44="","",SUMIFS('الحركات الشهرية'!$I$6:$I$1005,'الحركات الشهرية'!$B$6:$B$1005,$B44,'الحركات الشهرية'!$A$6:$A$1005,$C$3))</f>
        <v/>
      </c>
      <c r="U44" s="86" t="str">
        <f aca="false">IF($B44="","",SUMIFS('الحركات الشهرية'!$J$6:$J$1005,'الحركات الشهرية'!$B$6:$B$1005,$B44,'الحركات الشهرية'!$A$6:$A$1005,$C$3))</f>
        <v/>
      </c>
      <c r="V44" s="86" t="str">
        <f aca="false">IF($B44="","",SUM(S44:U44))</f>
        <v/>
      </c>
      <c r="W44" s="107" t="str">
        <f aca="false">IF($B44="","",R44-V44)</f>
        <v/>
      </c>
      <c r="X44" s="86" t="str">
        <f aca="false">IF($B44="","",الموظفون!$Q44*IF(E44="سعودي",cfg_G_SR,cfg_G_NR)*F44/cfg_DAYS_M)</f>
        <v/>
      </c>
      <c r="Y44" s="86" t="str">
        <f aca="false">IF($B44="","",الموظفون!$O44*(cfg_EOS_R1*(MIN(AC44,cfg_EOS_TH)-MIN(AD44,cfg_EOS_TH))+cfg_EOS_R2*(MAX(AC44-cfg_EOS_TH,0)-MAX(AD44-cfg_EOS_TH,0))))</f>
        <v/>
      </c>
      <c r="Z44" s="86" t="str">
        <f aca="false">IF($B44="","",IF(الموظفون!$R44&lt;&gt;"",الموظفون!$R44,IF(AC44&gt;=cfg_LV_TH,cfg_LV_D2,cfg_LV_D1))/cfg_DAYS_Y*AE44*الموظفون!$P44/cfg_DAYS_M)</f>
        <v/>
      </c>
      <c r="AA44" s="86" t="str">
        <f aca="false">IF($B44="","",IF(AND(الموظفون!$S44="نعم",N(الموظفون!$U44)&gt;0),الموظفون!$T44/الموظفون!$U44*12/cfg_DAYS_Y*AE44,0))</f>
        <v/>
      </c>
      <c r="AB44" s="108" t="str">
        <f aca="false">IF($B44="","",R44+SUM(X44:AA44))</f>
        <v/>
      </c>
      <c r="AC44" s="109" t="str">
        <f aca="false">IF($B44="","",MAX(0,IF(OR(الموظفون!$X44="",الموظفون!$X44&gt;$G$3),$G$3,الموظفون!$X44)-الموظفون!$H44+1)/cfg_DAYS_Y)</f>
        <v/>
      </c>
      <c r="AD44" s="109" t="str">
        <f aca="false">IF($B44="","",MAX(0,IF(OR(الموظفون!$X44="",الموظفون!$X44&gt;($E$3-1)),($E$3-1),الموظفون!$X44)-الموظفون!$H44+1)/cfg_DAYS_Y)</f>
        <v/>
      </c>
      <c r="AE44" s="51" t="str">
        <f aca="false">IF($B44="","",MAX(0,IF(OR(الموظفون!$X44="",الموظفون!$X44&gt;$G$3),$G$3,الموظفون!$X44)-MAX($E$3,الموظفون!$H44)+1))</f>
        <v/>
      </c>
    </row>
    <row r="45" customFormat="false" ht="15" hidden="false" customHeight="false" outlineLevel="0" collapsed="false">
      <c r="A45" s="89" t="str">
        <f aca="false">IF($B45="","",الموظفون!$A45)</f>
        <v/>
      </c>
      <c r="B45" s="91" t="str">
        <f aca="false">IF(الموظفون!$B45="","",الموظفون!$B45)</f>
        <v/>
      </c>
      <c r="C45" s="91" t="str">
        <f aca="false">IF($B45="","",الموظفون!$C45)</f>
        <v/>
      </c>
      <c r="D45" s="91" t="str">
        <f aca="false">IF($B45="","",الموظفون!$F45)</f>
        <v/>
      </c>
      <c r="E45" s="91" t="str">
        <f aca="false">IF($B45="","",الموظفون!$E45)</f>
        <v/>
      </c>
      <c r="F45" s="110" t="str">
        <f aca="false">IF($B45="","",IF(AE45&gt;=DAY($G$3),cfg_DAYS_M,MIN(AE45,cfg_DAYS_M)))</f>
        <v/>
      </c>
      <c r="G45" s="110" t="str">
        <f aca="false">IF($B45="","",SUMIFS('الحركات الشهرية'!$D$6:$D$1005,'الحركات الشهرية'!$B$6:$B$1005,$B45,'الحركات الشهرية'!$A$6:$A$1005,$C$3))</f>
        <v/>
      </c>
      <c r="H45" s="110" t="str">
        <f aca="false">IF($B45="","",SUMIFS('الحركات الشهرية'!$E$6:$E$1005,'الحركات الشهرية'!$B$6:$B$1005,$B45,'الحركات الشهرية'!$A$6:$A$1005,$C$3))</f>
        <v/>
      </c>
      <c r="I45" s="110" t="str">
        <f aca="false">IF($B45="","",MAX(0,F45-G45-H45))</f>
        <v/>
      </c>
      <c r="J45" s="90" t="str">
        <f aca="false">IF($B45="","",الموظفون!$J45*$I45/cfg_DAYS_M)</f>
        <v/>
      </c>
      <c r="K45" s="90" t="str">
        <f aca="false">IF($B45="","",الموظفون!$K45*$I45/cfg_DAYS_M)</f>
        <v/>
      </c>
      <c r="L45" s="90" t="str">
        <f aca="false">IF($B45="","",الموظفون!$L45*$I45/cfg_DAYS_M)</f>
        <v/>
      </c>
      <c r="M45" s="90" t="str">
        <f aca="false">IF($B45="","",الموظفون!$M45*$I45/cfg_DAYS_M)</f>
        <v/>
      </c>
      <c r="N45" s="110" t="str">
        <f aca="false">IF($B45="","",SUMIFS('الحركات الشهرية'!$F$6:$F$1005,'الحركات الشهرية'!$B$6:$B$1005,$B45,'الحركات الشهرية'!$A$6:$A$1005,$C$3))</f>
        <v/>
      </c>
      <c r="O45" s="90" t="str">
        <f aca="false">IF($B45="","",N45*(الموظفون!$N45+الموظفون!$J45*cfg_OT_P)/cfg_DAYS_M/cfg_HRS)</f>
        <v/>
      </c>
      <c r="P45" s="90" t="str">
        <f aca="false">IF($B45="","",SUMIFS('الحركات الشهرية'!$G$6:$G$1005,'الحركات الشهرية'!$B$6:$B$1005,$B45,'الحركات الشهرية'!$A$6:$A$1005,$C$3))</f>
        <v/>
      </c>
      <c r="Q45" s="90" t="str">
        <f aca="false">IF($B45="","",SUMIFS('الحركات الشهرية'!$H$6:$H$1005,'الحركات الشهرية'!$B$6:$B$1005,$B45,'الحركات الشهرية'!$A$6:$A$1005,$C$3))</f>
        <v/>
      </c>
      <c r="R45" s="111" t="str">
        <f aca="false">IF($B45="","",SUM(J45:M45)+SUM(O45:Q45))</f>
        <v/>
      </c>
      <c r="S45" s="90" t="str">
        <f aca="false">IF($B45="","",الموظفون!$Q45*IF(E45="سعودي",cfg_G_SE,cfg_G_NE)*F45/cfg_DAYS_M)</f>
        <v/>
      </c>
      <c r="T45" s="90" t="str">
        <f aca="false">IF($B45="","",SUMIFS('الحركات الشهرية'!$I$6:$I$1005,'الحركات الشهرية'!$B$6:$B$1005,$B45,'الحركات الشهرية'!$A$6:$A$1005,$C$3))</f>
        <v/>
      </c>
      <c r="U45" s="90" t="str">
        <f aca="false">IF($B45="","",SUMIFS('الحركات الشهرية'!$J$6:$J$1005,'الحركات الشهرية'!$B$6:$B$1005,$B45,'الحركات الشهرية'!$A$6:$A$1005,$C$3))</f>
        <v/>
      </c>
      <c r="V45" s="90" t="str">
        <f aca="false">IF($B45="","",SUM(S45:U45))</f>
        <v/>
      </c>
      <c r="W45" s="112" t="str">
        <f aca="false">IF($B45="","",R45-V45)</f>
        <v/>
      </c>
      <c r="X45" s="90" t="str">
        <f aca="false">IF($B45="","",الموظفون!$Q45*IF(E45="سعودي",cfg_G_SR,cfg_G_NR)*F45/cfg_DAYS_M)</f>
        <v/>
      </c>
      <c r="Y45" s="90" t="str">
        <f aca="false">IF($B45="","",الموظفون!$O45*(cfg_EOS_R1*(MIN(AC45,cfg_EOS_TH)-MIN(AD45,cfg_EOS_TH))+cfg_EOS_R2*(MAX(AC45-cfg_EOS_TH,0)-MAX(AD45-cfg_EOS_TH,0))))</f>
        <v/>
      </c>
      <c r="Z45" s="90" t="str">
        <f aca="false">IF($B45="","",IF(الموظفون!$R45&lt;&gt;"",الموظفون!$R45,IF(AC45&gt;=cfg_LV_TH,cfg_LV_D2,cfg_LV_D1))/cfg_DAYS_Y*AE45*الموظفون!$P45/cfg_DAYS_M)</f>
        <v/>
      </c>
      <c r="AA45" s="90" t="str">
        <f aca="false">IF($B45="","",IF(AND(الموظفون!$S45="نعم",N(الموظفون!$U45)&gt;0),الموظفون!$T45/الموظفون!$U45*12/cfg_DAYS_Y*AE45,0))</f>
        <v/>
      </c>
      <c r="AB45" s="113" t="str">
        <f aca="false">IF($B45="","",R45+SUM(X45:AA45))</f>
        <v/>
      </c>
      <c r="AC45" s="114" t="str">
        <f aca="false">IF($B45="","",MAX(0,IF(OR(الموظفون!$X45="",الموظفون!$X45&gt;$G$3),$G$3,الموظفون!$X45)-الموظفون!$H45+1)/cfg_DAYS_Y)</f>
        <v/>
      </c>
      <c r="AD45" s="114" t="str">
        <f aca="false">IF($B45="","",MAX(0,IF(OR(الموظفون!$X45="",الموظفون!$X45&gt;($E$3-1)),($E$3-1),الموظفون!$X45)-الموظفون!$H45+1)/cfg_DAYS_Y)</f>
        <v/>
      </c>
      <c r="AE45" s="115" t="str">
        <f aca="false">IF($B45="","",MAX(0,IF(OR(الموظفون!$X45="",الموظفون!$X45&gt;$G$3),$G$3,الموظفون!$X45)-MAX($E$3,الموظفون!$H45)+1))</f>
        <v/>
      </c>
    </row>
    <row r="46" customFormat="false" ht="15" hidden="false" customHeight="false" outlineLevel="0" collapsed="false">
      <c r="A46" s="83" t="str">
        <f aca="false">IF($B46="","",الموظفون!$A46)</f>
        <v/>
      </c>
      <c r="B46" s="74" t="str">
        <f aca="false">IF(الموظفون!$B46="","",الموظفون!$B46)</f>
        <v/>
      </c>
      <c r="C46" s="74" t="str">
        <f aca="false">IF($B46="","",الموظفون!$C46)</f>
        <v/>
      </c>
      <c r="D46" s="74" t="str">
        <f aca="false">IF($B46="","",الموظفون!$F46)</f>
        <v/>
      </c>
      <c r="E46" s="74" t="str">
        <f aca="false">IF($B46="","",الموظفون!$E46)</f>
        <v/>
      </c>
      <c r="F46" s="105" t="str">
        <f aca="false">IF($B46="","",IF(AE46&gt;=DAY($G$3),cfg_DAYS_M,MIN(AE46,cfg_DAYS_M)))</f>
        <v/>
      </c>
      <c r="G46" s="105" t="str">
        <f aca="false">IF($B46="","",SUMIFS('الحركات الشهرية'!$D$6:$D$1005,'الحركات الشهرية'!$B$6:$B$1005,$B46,'الحركات الشهرية'!$A$6:$A$1005,$C$3))</f>
        <v/>
      </c>
      <c r="H46" s="105" t="str">
        <f aca="false">IF($B46="","",SUMIFS('الحركات الشهرية'!$E$6:$E$1005,'الحركات الشهرية'!$B$6:$B$1005,$B46,'الحركات الشهرية'!$A$6:$A$1005,$C$3))</f>
        <v/>
      </c>
      <c r="I46" s="105" t="str">
        <f aca="false">IF($B46="","",MAX(0,F46-G46-H46))</f>
        <v/>
      </c>
      <c r="J46" s="86" t="str">
        <f aca="false">IF($B46="","",الموظفون!$J46*$I46/cfg_DAYS_M)</f>
        <v/>
      </c>
      <c r="K46" s="86" t="str">
        <f aca="false">IF($B46="","",الموظفون!$K46*$I46/cfg_DAYS_M)</f>
        <v/>
      </c>
      <c r="L46" s="86" t="str">
        <f aca="false">IF($B46="","",الموظفون!$L46*$I46/cfg_DAYS_M)</f>
        <v/>
      </c>
      <c r="M46" s="86" t="str">
        <f aca="false">IF($B46="","",الموظفون!$M46*$I46/cfg_DAYS_M)</f>
        <v/>
      </c>
      <c r="N46" s="105" t="str">
        <f aca="false">IF($B46="","",SUMIFS('الحركات الشهرية'!$F$6:$F$1005,'الحركات الشهرية'!$B$6:$B$1005,$B46,'الحركات الشهرية'!$A$6:$A$1005,$C$3))</f>
        <v/>
      </c>
      <c r="O46" s="86" t="str">
        <f aca="false">IF($B46="","",N46*(الموظفون!$N46+الموظفون!$J46*cfg_OT_P)/cfg_DAYS_M/cfg_HRS)</f>
        <v/>
      </c>
      <c r="P46" s="86" t="str">
        <f aca="false">IF($B46="","",SUMIFS('الحركات الشهرية'!$G$6:$G$1005,'الحركات الشهرية'!$B$6:$B$1005,$B46,'الحركات الشهرية'!$A$6:$A$1005,$C$3))</f>
        <v/>
      </c>
      <c r="Q46" s="86" t="str">
        <f aca="false">IF($B46="","",SUMIFS('الحركات الشهرية'!$H$6:$H$1005,'الحركات الشهرية'!$B$6:$B$1005,$B46,'الحركات الشهرية'!$A$6:$A$1005,$C$3))</f>
        <v/>
      </c>
      <c r="R46" s="106" t="str">
        <f aca="false">IF($B46="","",SUM(J46:M46)+SUM(O46:Q46))</f>
        <v/>
      </c>
      <c r="S46" s="86" t="str">
        <f aca="false">IF($B46="","",الموظفون!$Q46*IF(E46="سعودي",cfg_G_SE,cfg_G_NE)*F46/cfg_DAYS_M)</f>
        <v/>
      </c>
      <c r="T46" s="86" t="str">
        <f aca="false">IF($B46="","",SUMIFS('الحركات الشهرية'!$I$6:$I$1005,'الحركات الشهرية'!$B$6:$B$1005,$B46,'الحركات الشهرية'!$A$6:$A$1005,$C$3))</f>
        <v/>
      </c>
      <c r="U46" s="86" t="str">
        <f aca="false">IF($B46="","",SUMIFS('الحركات الشهرية'!$J$6:$J$1005,'الحركات الشهرية'!$B$6:$B$1005,$B46,'الحركات الشهرية'!$A$6:$A$1005,$C$3))</f>
        <v/>
      </c>
      <c r="V46" s="86" t="str">
        <f aca="false">IF($B46="","",SUM(S46:U46))</f>
        <v/>
      </c>
      <c r="W46" s="107" t="str">
        <f aca="false">IF($B46="","",R46-V46)</f>
        <v/>
      </c>
      <c r="X46" s="86" t="str">
        <f aca="false">IF($B46="","",الموظفون!$Q46*IF(E46="سعودي",cfg_G_SR,cfg_G_NR)*F46/cfg_DAYS_M)</f>
        <v/>
      </c>
      <c r="Y46" s="86" t="str">
        <f aca="false">IF($B46="","",الموظفون!$O46*(cfg_EOS_R1*(MIN(AC46,cfg_EOS_TH)-MIN(AD46,cfg_EOS_TH))+cfg_EOS_R2*(MAX(AC46-cfg_EOS_TH,0)-MAX(AD46-cfg_EOS_TH,0))))</f>
        <v/>
      </c>
      <c r="Z46" s="86" t="str">
        <f aca="false">IF($B46="","",IF(الموظفون!$R46&lt;&gt;"",الموظفون!$R46,IF(AC46&gt;=cfg_LV_TH,cfg_LV_D2,cfg_LV_D1))/cfg_DAYS_Y*AE46*الموظفون!$P46/cfg_DAYS_M)</f>
        <v/>
      </c>
      <c r="AA46" s="86" t="str">
        <f aca="false">IF($B46="","",IF(AND(الموظفون!$S46="نعم",N(الموظفون!$U46)&gt;0),الموظفون!$T46/الموظفون!$U46*12/cfg_DAYS_Y*AE46,0))</f>
        <v/>
      </c>
      <c r="AB46" s="108" t="str">
        <f aca="false">IF($B46="","",R46+SUM(X46:AA46))</f>
        <v/>
      </c>
      <c r="AC46" s="109" t="str">
        <f aca="false">IF($B46="","",MAX(0,IF(OR(الموظفون!$X46="",الموظفون!$X46&gt;$G$3),$G$3,الموظفون!$X46)-الموظفون!$H46+1)/cfg_DAYS_Y)</f>
        <v/>
      </c>
      <c r="AD46" s="109" t="str">
        <f aca="false">IF($B46="","",MAX(0,IF(OR(الموظفون!$X46="",الموظفون!$X46&gt;($E$3-1)),($E$3-1),الموظفون!$X46)-الموظفون!$H46+1)/cfg_DAYS_Y)</f>
        <v/>
      </c>
      <c r="AE46" s="51" t="str">
        <f aca="false">IF($B46="","",MAX(0,IF(OR(الموظفون!$X46="",الموظفون!$X46&gt;$G$3),$G$3,الموظفون!$X46)-MAX($E$3,الموظفون!$H46)+1))</f>
        <v/>
      </c>
    </row>
    <row r="47" customFormat="false" ht="15" hidden="false" customHeight="false" outlineLevel="0" collapsed="false">
      <c r="A47" s="89" t="str">
        <f aca="false">IF($B47="","",الموظفون!$A47)</f>
        <v/>
      </c>
      <c r="B47" s="91" t="str">
        <f aca="false">IF(الموظفون!$B47="","",الموظفون!$B47)</f>
        <v/>
      </c>
      <c r="C47" s="91" t="str">
        <f aca="false">IF($B47="","",الموظفون!$C47)</f>
        <v/>
      </c>
      <c r="D47" s="91" t="str">
        <f aca="false">IF($B47="","",الموظفون!$F47)</f>
        <v/>
      </c>
      <c r="E47" s="91" t="str">
        <f aca="false">IF($B47="","",الموظفون!$E47)</f>
        <v/>
      </c>
      <c r="F47" s="110" t="str">
        <f aca="false">IF($B47="","",IF(AE47&gt;=DAY($G$3),cfg_DAYS_M,MIN(AE47,cfg_DAYS_M)))</f>
        <v/>
      </c>
      <c r="G47" s="110" t="str">
        <f aca="false">IF($B47="","",SUMIFS('الحركات الشهرية'!$D$6:$D$1005,'الحركات الشهرية'!$B$6:$B$1005,$B47,'الحركات الشهرية'!$A$6:$A$1005,$C$3))</f>
        <v/>
      </c>
      <c r="H47" s="110" t="str">
        <f aca="false">IF($B47="","",SUMIFS('الحركات الشهرية'!$E$6:$E$1005,'الحركات الشهرية'!$B$6:$B$1005,$B47,'الحركات الشهرية'!$A$6:$A$1005,$C$3))</f>
        <v/>
      </c>
      <c r="I47" s="110" t="str">
        <f aca="false">IF($B47="","",MAX(0,F47-G47-H47))</f>
        <v/>
      </c>
      <c r="J47" s="90" t="str">
        <f aca="false">IF($B47="","",الموظفون!$J47*$I47/cfg_DAYS_M)</f>
        <v/>
      </c>
      <c r="K47" s="90" t="str">
        <f aca="false">IF($B47="","",الموظفون!$K47*$I47/cfg_DAYS_M)</f>
        <v/>
      </c>
      <c r="L47" s="90" t="str">
        <f aca="false">IF($B47="","",الموظفون!$L47*$I47/cfg_DAYS_M)</f>
        <v/>
      </c>
      <c r="M47" s="90" t="str">
        <f aca="false">IF($B47="","",الموظفون!$M47*$I47/cfg_DAYS_M)</f>
        <v/>
      </c>
      <c r="N47" s="110" t="str">
        <f aca="false">IF($B47="","",SUMIFS('الحركات الشهرية'!$F$6:$F$1005,'الحركات الشهرية'!$B$6:$B$1005,$B47,'الحركات الشهرية'!$A$6:$A$1005,$C$3))</f>
        <v/>
      </c>
      <c r="O47" s="90" t="str">
        <f aca="false">IF($B47="","",N47*(الموظفون!$N47+الموظفون!$J47*cfg_OT_P)/cfg_DAYS_M/cfg_HRS)</f>
        <v/>
      </c>
      <c r="P47" s="90" t="str">
        <f aca="false">IF($B47="","",SUMIFS('الحركات الشهرية'!$G$6:$G$1005,'الحركات الشهرية'!$B$6:$B$1005,$B47,'الحركات الشهرية'!$A$6:$A$1005,$C$3))</f>
        <v/>
      </c>
      <c r="Q47" s="90" t="str">
        <f aca="false">IF($B47="","",SUMIFS('الحركات الشهرية'!$H$6:$H$1005,'الحركات الشهرية'!$B$6:$B$1005,$B47,'الحركات الشهرية'!$A$6:$A$1005,$C$3))</f>
        <v/>
      </c>
      <c r="R47" s="111" t="str">
        <f aca="false">IF($B47="","",SUM(J47:M47)+SUM(O47:Q47))</f>
        <v/>
      </c>
      <c r="S47" s="90" t="str">
        <f aca="false">IF($B47="","",الموظفون!$Q47*IF(E47="سعودي",cfg_G_SE,cfg_G_NE)*F47/cfg_DAYS_M)</f>
        <v/>
      </c>
      <c r="T47" s="90" t="str">
        <f aca="false">IF($B47="","",SUMIFS('الحركات الشهرية'!$I$6:$I$1005,'الحركات الشهرية'!$B$6:$B$1005,$B47,'الحركات الشهرية'!$A$6:$A$1005,$C$3))</f>
        <v/>
      </c>
      <c r="U47" s="90" t="str">
        <f aca="false">IF($B47="","",SUMIFS('الحركات الشهرية'!$J$6:$J$1005,'الحركات الشهرية'!$B$6:$B$1005,$B47,'الحركات الشهرية'!$A$6:$A$1005,$C$3))</f>
        <v/>
      </c>
      <c r="V47" s="90" t="str">
        <f aca="false">IF($B47="","",SUM(S47:U47))</f>
        <v/>
      </c>
      <c r="W47" s="112" t="str">
        <f aca="false">IF($B47="","",R47-V47)</f>
        <v/>
      </c>
      <c r="X47" s="90" t="str">
        <f aca="false">IF($B47="","",الموظفون!$Q47*IF(E47="سعودي",cfg_G_SR,cfg_G_NR)*F47/cfg_DAYS_M)</f>
        <v/>
      </c>
      <c r="Y47" s="90" t="str">
        <f aca="false">IF($B47="","",الموظفون!$O47*(cfg_EOS_R1*(MIN(AC47,cfg_EOS_TH)-MIN(AD47,cfg_EOS_TH))+cfg_EOS_R2*(MAX(AC47-cfg_EOS_TH,0)-MAX(AD47-cfg_EOS_TH,0))))</f>
        <v/>
      </c>
      <c r="Z47" s="90" t="str">
        <f aca="false">IF($B47="","",IF(الموظفون!$R47&lt;&gt;"",الموظفون!$R47,IF(AC47&gt;=cfg_LV_TH,cfg_LV_D2,cfg_LV_D1))/cfg_DAYS_Y*AE47*الموظفون!$P47/cfg_DAYS_M)</f>
        <v/>
      </c>
      <c r="AA47" s="90" t="str">
        <f aca="false">IF($B47="","",IF(AND(الموظفون!$S47="نعم",N(الموظفون!$U47)&gt;0),الموظفون!$T47/الموظفون!$U47*12/cfg_DAYS_Y*AE47,0))</f>
        <v/>
      </c>
      <c r="AB47" s="113" t="str">
        <f aca="false">IF($B47="","",R47+SUM(X47:AA47))</f>
        <v/>
      </c>
      <c r="AC47" s="114" t="str">
        <f aca="false">IF($B47="","",MAX(0,IF(OR(الموظفون!$X47="",الموظفون!$X47&gt;$G$3),$G$3,الموظفون!$X47)-الموظفون!$H47+1)/cfg_DAYS_Y)</f>
        <v/>
      </c>
      <c r="AD47" s="114" t="str">
        <f aca="false">IF($B47="","",MAX(0,IF(OR(الموظفون!$X47="",الموظفون!$X47&gt;($E$3-1)),($E$3-1),الموظفون!$X47)-الموظفون!$H47+1)/cfg_DAYS_Y)</f>
        <v/>
      </c>
      <c r="AE47" s="115" t="str">
        <f aca="false">IF($B47="","",MAX(0,IF(OR(الموظفون!$X47="",الموظفون!$X47&gt;$G$3),$G$3,الموظفون!$X47)-MAX($E$3,الموظفون!$H47)+1))</f>
        <v/>
      </c>
    </row>
    <row r="48" customFormat="false" ht="15" hidden="false" customHeight="false" outlineLevel="0" collapsed="false">
      <c r="A48" s="83" t="str">
        <f aca="false">IF($B48="","",الموظفون!$A48)</f>
        <v/>
      </c>
      <c r="B48" s="74" t="str">
        <f aca="false">IF(الموظفون!$B48="","",الموظفون!$B48)</f>
        <v/>
      </c>
      <c r="C48" s="74" t="str">
        <f aca="false">IF($B48="","",الموظفون!$C48)</f>
        <v/>
      </c>
      <c r="D48" s="74" t="str">
        <f aca="false">IF($B48="","",الموظفون!$F48)</f>
        <v/>
      </c>
      <c r="E48" s="74" t="str">
        <f aca="false">IF($B48="","",الموظفون!$E48)</f>
        <v/>
      </c>
      <c r="F48" s="105" t="str">
        <f aca="false">IF($B48="","",IF(AE48&gt;=DAY($G$3),cfg_DAYS_M,MIN(AE48,cfg_DAYS_M)))</f>
        <v/>
      </c>
      <c r="G48" s="105" t="str">
        <f aca="false">IF($B48="","",SUMIFS('الحركات الشهرية'!$D$6:$D$1005,'الحركات الشهرية'!$B$6:$B$1005,$B48,'الحركات الشهرية'!$A$6:$A$1005,$C$3))</f>
        <v/>
      </c>
      <c r="H48" s="105" t="str">
        <f aca="false">IF($B48="","",SUMIFS('الحركات الشهرية'!$E$6:$E$1005,'الحركات الشهرية'!$B$6:$B$1005,$B48,'الحركات الشهرية'!$A$6:$A$1005,$C$3))</f>
        <v/>
      </c>
      <c r="I48" s="105" t="str">
        <f aca="false">IF($B48="","",MAX(0,F48-G48-H48))</f>
        <v/>
      </c>
      <c r="J48" s="86" t="str">
        <f aca="false">IF($B48="","",الموظفون!$J48*$I48/cfg_DAYS_M)</f>
        <v/>
      </c>
      <c r="K48" s="86" t="str">
        <f aca="false">IF($B48="","",الموظفون!$K48*$I48/cfg_DAYS_M)</f>
        <v/>
      </c>
      <c r="L48" s="86" t="str">
        <f aca="false">IF($B48="","",الموظفون!$L48*$I48/cfg_DAYS_M)</f>
        <v/>
      </c>
      <c r="M48" s="86" t="str">
        <f aca="false">IF($B48="","",الموظفون!$M48*$I48/cfg_DAYS_M)</f>
        <v/>
      </c>
      <c r="N48" s="105" t="str">
        <f aca="false">IF($B48="","",SUMIFS('الحركات الشهرية'!$F$6:$F$1005,'الحركات الشهرية'!$B$6:$B$1005,$B48,'الحركات الشهرية'!$A$6:$A$1005,$C$3))</f>
        <v/>
      </c>
      <c r="O48" s="86" t="str">
        <f aca="false">IF($B48="","",N48*(الموظفون!$N48+الموظفون!$J48*cfg_OT_P)/cfg_DAYS_M/cfg_HRS)</f>
        <v/>
      </c>
      <c r="P48" s="86" t="str">
        <f aca="false">IF($B48="","",SUMIFS('الحركات الشهرية'!$G$6:$G$1005,'الحركات الشهرية'!$B$6:$B$1005,$B48,'الحركات الشهرية'!$A$6:$A$1005,$C$3))</f>
        <v/>
      </c>
      <c r="Q48" s="86" t="str">
        <f aca="false">IF($B48="","",SUMIFS('الحركات الشهرية'!$H$6:$H$1005,'الحركات الشهرية'!$B$6:$B$1005,$B48,'الحركات الشهرية'!$A$6:$A$1005,$C$3))</f>
        <v/>
      </c>
      <c r="R48" s="106" t="str">
        <f aca="false">IF($B48="","",SUM(J48:M48)+SUM(O48:Q48))</f>
        <v/>
      </c>
      <c r="S48" s="86" t="str">
        <f aca="false">IF($B48="","",الموظفون!$Q48*IF(E48="سعودي",cfg_G_SE,cfg_G_NE)*F48/cfg_DAYS_M)</f>
        <v/>
      </c>
      <c r="T48" s="86" t="str">
        <f aca="false">IF($B48="","",SUMIFS('الحركات الشهرية'!$I$6:$I$1005,'الحركات الشهرية'!$B$6:$B$1005,$B48,'الحركات الشهرية'!$A$6:$A$1005,$C$3))</f>
        <v/>
      </c>
      <c r="U48" s="86" t="str">
        <f aca="false">IF($B48="","",SUMIFS('الحركات الشهرية'!$J$6:$J$1005,'الحركات الشهرية'!$B$6:$B$1005,$B48,'الحركات الشهرية'!$A$6:$A$1005,$C$3))</f>
        <v/>
      </c>
      <c r="V48" s="86" t="str">
        <f aca="false">IF($B48="","",SUM(S48:U48))</f>
        <v/>
      </c>
      <c r="W48" s="107" t="str">
        <f aca="false">IF($B48="","",R48-V48)</f>
        <v/>
      </c>
      <c r="X48" s="86" t="str">
        <f aca="false">IF($B48="","",الموظفون!$Q48*IF(E48="سعودي",cfg_G_SR,cfg_G_NR)*F48/cfg_DAYS_M)</f>
        <v/>
      </c>
      <c r="Y48" s="86" t="str">
        <f aca="false">IF($B48="","",الموظفون!$O48*(cfg_EOS_R1*(MIN(AC48,cfg_EOS_TH)-MIN(AD48,cfg_EOS_TH))+cfg_EOS_R2*(MAX(AC48-cfg_EOS_TH,0)-MAX(AD48-cfg_EOS_TH,0))))</f>
        <v/>
      </c>
      <c r="Z48" s="86" t="str">
        <f aca="false">IF($B48="","",IF(الموظفون!$R48&lt;&gt;"",الموظفون!$R48,IF(AC48&gt;=cfg_LV_TH,cfg_LV_D2,cfg_LV_D1))/cfg_DAYS_Y*AE48*الموظفون!$P48/cfg_DAYS_M)</f>
        <v/>
      </c>
      <c r="AA48" s="86" t="str">
        <f aca="false">IF($B48="","",IF(AND(الموظفون!$S48="نعم",N(الموظفون!$U48)&gt;0),الموظفون!$T48/الموظفون!$U48*12/cfg_DAYS_Y*AE48,0))</f>
        <v/>
      </c>
      <c r="AB48" s="108" t="str">
        <f aca="false">IF($B48="","",R48+SUM(X48:AA48))</f>
        <v/>
      </c>
      <c r="AC48" s="109" t="str">
        <f aca="false">IF($B48="","",MAX(0,IF(OR(الموظفون!$X48="",الموظفون!$X48&gt;$G$3),$G$3,الموظفون!$X48)-الموظفون!$H48+1)/cfg_DAYS_Y)</f>
        <v/>
      </c>
      <c r="AD48" s="109" t="str">
        <f aca="false">IF($B48="","",MAX(0,IF(OR(الموظفون!$X48="",الموظفون!$X48&gt;($E$3-1)),($E$3-1),الموظفون!$X48)-الموظفون!$H48+1)/cfg_DAYS_Y)</f>
        <v/>
      </c>
      <c r="AE48" s="51" t="str">
        <f aca="false">IF($B48="","",MAX(0,IF(OR(الموظفون!$X48="",الموظفون!$X48&gt;$G$3),$G$3,الموظفون!$X48)-MAX($E$3,الموظفون!$H48)+1))</f>
        <v/>
      </c>
    </row>
    <row r="49" customFormat="false" ht="15" hidden="false" customHeight="false" outlineLevel="0" collapsed="false">
      <c r="A49" s="89" t="str">
        <f aca="false">IF($B49="","",الموظفون!$A49)</f>
        <v/>
      </c>
      <c r="B49" s="91" t="str">
        <f aca="false">IF(الموظفون!$B49="","",الموظفون!$B49)</f>
        <v/>
      </c>
      <c r="C49" s="91" t="str">
        <f aca="false">IF($B49="","",الموظفون!$C49)</f>
        <v/>
      </c>
      <c r="D49" s="91" t="str">
        <f aca="false">IF($B49="","",الموظفون!$F49)</f>
        <v/>
      </c>
      <c r="E49" s="91" t="str">
        <f aca="false">IF($B49="","",الموظفون!$E49)</f>
        <v/>
      </c>
      <c r="F49" s="110" t="str">
        <f aca="false">IF($B49="","",IF(AE49&gt;=DAY($G$3),cfg_DAYS_M,MIN(AE49,cfg_DAYS_M)))</f>
        <v/>
      </c>
      <c r="G49" s="110" t="str">
        <f aca="false">IF($B49="","",SUMIFS('الحركات الشهرية'!$D$6:$D$1005,'الحركات الشهرية'!$B$6:$B$1005,$B49,'الحركات الشهرية'!$A$6:$A$1005,$C$3))</f>
        <v/>
      </c>
      <c r="H49" s="110" t="str">
        <f aca="false">IF($B49="","",SUMIFS('الحركات الشهرية'!$E$6:$E$1005,'الحركات الشهرية'!$B$6:$B$1005,$B49,'الحركات الشهرية'!$A$6:$A$1005,$C$3))</f>
        <v/>
      </c>
      <c r="I49" s="110" t="str">
        <f aca="false">IF($B49="","",MAX(0,F49-G49-H49))</f>
        <v/>
      </c>
      <c r="J49" s="90" t="str">
        <f aca="false">IF($B49="","",الموظفون!$J49*$I49/cfg_DAYS_M)</f>
        <v/>
      </c>
      <c r="K49" s="90" t="str">
        <f aca="false">IF($B49="","",الموظفون!$K49*$I49/cfg_DAYS_M)</f>
        <v/>
      </c>
      <c r="L49" s="90" t="str">
        <f aca="false">IF($B49="","",الموظفون!$L49*$I49/cfg_DAYS_M)</f>
        <v/>
      </c>
      <c r="M49" s="90" t="str">
        <f aca="false">IF($B49="","",الموظفون!$M49*$I49/cfg_DAYS_M)</f>
        <v/>
      </c>
      <c r="N49" s="110" t="str">
        <f aca="false">IF($B49="","",SUMIFS('الحركات الشهرية'!$F$6:$F$1005,'الحركات الشهرية'!$B$6:$B$1005,$B49,'الحركات الشهرية'!$A$6:$A$1005,$C$3))</f>
        <v/>
      </c>
      <c r="O49" s="90" t="str">
        <f aca="false">IF($B49="","",N49*(الموظفون!$N49+الموظفون!$J49*cfg_OT_P)/cfg_DAYS_M/cfg_HRS)</f>
        <v/>
      </c>
      <c r="P49" s="90" t="str">
        <f aca="false">IF($B49="","",SUMIFS('الحركات الشهرية'!$G$6:$G$1005,'الحركات الشهرية'!$B$6:$B$1005,$B49,'الحركات الشهرية'!$A$6:$A$1005,$C$3))</f>
        <v/>
      </c>
      <c r="Q49" s="90" t="str">
        <f aca="false">IF($B49="","",SUMIFS('الحركات الشهرية'!$H$6:$H$1005,'الحركات الشهرية'!$B$6:$B$1005,$B49,'الحركات الشهرية'!$A$6:$A$1005,$C$3))</f>
        <v/>
      </c>
      <c r="R49" s="111" t="str">
        <f aca="false">IF($B49="","",SUM(J49:M49)+SUM(O49:Q49))</f>
        <v/>
      </c>
      <c r="S49" s="90" t="str">
        <f aca="false">IF($B49="","",الموظفون!$Q49*IF(E49="سعودي",cfg_G_SE,cfg_G_NE)*F49/cfg_DAYS_M)</f>
        <v/>
      </c>
      <c r="T49" s="90" t="str">
        <f aca="false">IF($B49="","",SUMIFS('الحركات الشهرية'!$I$6:$I$1005,'الحركات الشهرية'!$B$6:$B$1005,$B49,'الحركات الشهرية'!$A$6:$A$1005,$C$3))</f>
        <v/>
      </c>
      <c r="U49" s="90" t="str">
        <f aca="false">IF($B49="","",SUMIFS('الحركات الشهرية'!$J$6:$J$1005,'الحركات الشهرية'!$B$6:$B$1005,$B49,'الحركات الشهرية'!$A$6:$A$1005,$C$3))</f>
        <v/>
      </c>
      <c r="V49" s="90" t="str">
        <f aca="false">IF($B49="","",SUM(S49:U49))</f>
        <v/>
      </c>
      <c r="W49" s="112" t="str">
        <f aca="false">IF($B49="","",R49-V49)</f>
        <v/>
      </c>
      <c r="X49" s="90" t="str">
        <f aca="false">IF($B49="","",الموظفون!$Q49*IF(E49="سعودي",cfg_G_SR,cfg_G_NR)*F49/cfg_DAYS_M)</f>
        <v/>
      </c>
      <c r="Y49" s="90" t="str">
        <f aca="false">IF($B49="","",الموظفون!$O49*(cfg_EOS_R1*(MIN(AC49,cfg_EOS_TH)-MIN(AD49,cfg_EOS_TH))+cfg_EOS_R2*(MAX(AC49-cfg_EOS_TH,0)-MAX(AD49-cfg_EOS_TH,0))))</f>
        <v/>
      </c>
      <c r="Z49" s="90" t="str">
        <f aca="false">IF($B49="","",IF(الموظفون!$R49&lt;&gt;"",الموظفون!$R49,IF(AC49&gt;=cfg_LV_TH,cfg_LV_D2,cfg_LV_D1))/cfg_DAYS_Y*AE49*الموظفون!$P49/cfg_DAYS_M)</f>
        <v/>
      </c>
      <c r="AA49" s="90" t="str">
        <f aca="false">IF($B49="","",IF(AND(الموظفون!$S49="نعم",N(الموظفون!$U49)&gt;0),الموظفون!$T49/الموظفون!$U49*12/cfg_DAYS_Y*AE49,0))</f>
        <v/>
      </c>
      <c r="AB49" s="113" t="str">
        <f aca="false">IF($B49="","",R49+SUM(X49:AA49))</f>
        <v/>
      </c>
      <c r="AC49" s="114" t="str">
        <f aca="false">IF($B49="","",MAX(0,IF(OR(الموظفون!$X49="",الموظفون!$X49&gt;$G$3),$G$3,الموظفون!$X49)-الموظفون!$H49+1)/cfg_DAYS_Y)</f>
        <v/>
      </c>
      <c r="AD49" s="114" t="str">
        <f aca="false">IF($B49="","",MAX(0,IF(OR(الموظفون!$X49="",الموظفون!$X49&gt;($E$3-1)),($E$3-1),الموظفون!$X49)-الموظفون!$H49+1)/cfg_DAYS_Y)</f>
        <v/>
      </c>
      <c r="AE49" s="115" t="str">
        <f aca="false">IF($B49="","",MAX(0,IF(OR(الموظفون!$X49="",الموظفون!$X49&gt;$G$3),$G$3,الموظفون!$X49)-MAX($E$3,الموظفون!$H49)+1))</f>
        <v/>
      </c>
    </row>
    <row r="50" customFormat="false" ht="15" hidden="false" customHeight="false" outlineLevel="0" collapsed="false">
      <c r="A50" s="83" t="str">
        <f aca="false">IF($B50="","",الموظفون!$A50)</f>
        <v/>
      </c>
      <c r="B50" s="74" t="str">
        <f aca="false">IF(الموظفون!$B50="","",الموظفون!$B50)</f>
        <v/>
      </c>
      <c r="C50" s="74" t="str">
        <f aca="false">IF($B50="","",الموظفون!$C50)</f>
        <v/>
      </c>
      <c r="D50" s="74" t="str">
        <f aca="false">IF($B50="","",الموظفون!$F50)</f>
        <v/>
      </c>
      <c r="E50" s="74" t="str">
        <f aca="false">IF($B50="","",الموظفون!$E50)</f>
        <v/>
      </c>
      <c r="F50" s="105" t="str">
        <f aca="false">IF($B50="","",IF(AE50&gt;=DAY($G$3),cfg_DAYS_M,MIN(AE50,cfg_DAYS_M)))</f>
        <v/>
      </c>
      <c r="G50" s="105" t="str">
        <f aca="false">IF($B50="","",SUMIFS('الحركات الشهرية'!$D$6:$D$1005,'الحركات الشهرية'!$B$6:$B$1005,$B50,'الحركات الشهرية'!$A$6:$A$1005,$C$3))</f>
        <v/>
      </c>
      <c r="H50" s="105" t="str">
        <f aca="false">IF($B50="","",SUMIFS('الحركات الشهرية'!$E$6:$E$1005,'الحركات الشهرية'!$B$6:$B$1005,$B50,'الحركات الشهرية'!$A$6:$A$1005,$C$3))</f>
        <v/>
      </c>
      <c r="I50" s="105" t="str">
        <f aca="false">IF($B50="","",MAX(0,F50-G50-H50))</f>
        <v/>
      </c>
      <c r="J50" s="86" t="str">
        <f aca="false">IF($B50="","",الموظفون!$J50*$I50/cfg_DAYS_M)</f>
        <v/>
      </c>
      <c r="K50" s="86" t="str">
        <f aca="false">IF($B50="","",الموظفون!$K50*$I50/cfg_DAYS_M)</f>
        <v/>
      </c>
      <c r="L50" s="86" t="str">
        <f aca="false">IF($B50="","",الموظفون!$L50*$I50/cfg_DAYS_M)</f>
        <v/>
      </c>
      <c r="M50" s="86" t="str">
        <f aca="false">IF($B50="","",الموظفون!$M50*$I50/cfg_DAYS_M)</f>
        <v/>
      </c>
      <c r="N50" s="105" t="str">
        <f aca="false">IF($B50="","",SUMIFS('الحركات الشهرية'!$F$6:$F$1005,'الحركات الشهرية'!$B$6:$B$1005,$B50,'الحركات الشهرية'!$A$6:$A$1005,$C$3))</f>
        <v/>
      </c>
      <c r="O50" s="86" t="str">
        <f aca="false">IF($B50="","",N50*(الموظفون!$N50+الموظفون!$J50*cfg_OT_P)/cfg_DAYS_M/cfg_HRS)</f>
        <v/>
      </c>
      <c r="P50" s="86" t="str">
        <f aca="false">IF($B50="","",SUMIFS('الحركات الشهرية'!$G$6:$G$1005,'الحركات الشهرية'!$B$6:$B$1005,$B50,'الحركات الشهرية'!$A$6:$A$1005,$C$3))</f>
        <v/>
      </c>
      <c r="Q50" s="86" t="str">
        <f aca="false">IF($B50="","",SUMIFS('الحركات الشهرية'!$H$6:$H$1005,'الحركات الشهرية'!$B$6:$B$1005,$B50,'الحركات الشهرية'!$A$6:$A$1005,$C$3))</f>
        <v/>
      </c>
      <c r="R50" s="106" t="str">
        <f aca="false">IF($B50="","",SUM(J50:M50)+SUM(O50:Q50))</f>
        <v/>
      </c>
      <c r="S50" s="86" t="str">
        <f aca="false">IF($B50="","",الموظفون!$Q50*IF(E50="سعودي",cfg_G_SE,cfg_G_NE)*F50/cfg_DAYS_M)</f>
        <v/>
      </c>
      <c r="T50" s="86" t="str">
        <f aca="false">IF($B50="","",SUMIFS('الحركات الشهرية'!$I$6:$I$1005,'الحركات الشهرية'!$B$6:$B$1005,$B50,'الحركات الشهرية'!$A$6:$A$1005,$C$3))</f>
        <v/>
      </c>
      <c r="U50" s="86" t="str">
        <f aca="false">IF($B50="","",SUMIFS('الحركات الشهرية'!$J$6:$J$1005,'الحركات الشهرية'!$B$6:$B$1005,$B50,'الحركات الشهرية'!$A$6:$A$1005,$C$3))</f>
        <v/>
      </c>
      <c r="V50" s="86" t="str">
        <f aca="false">IF($B50="","",SUM(S50:U50))</f>
        <v/>
      </c>
      <c r="W50" s="107" t="str">
        <f aca="false">IF($B50="","",R50-V50)</f>
        <v/>
      </c>
      <c r="X50" s="86" t="str">
        <f aca="false">IF($B50="","",الموظفون!$Q50*IF(E50="سعودي",cfg_G_SR,cfg_G_NR)*F50/cfg_DAYS_M)</f>
        <v/>
      </c>
      <c r="Y50" s="86" t="str">
        <f aca="false">IF($B50="","",الموظفون!$O50*(cfg_EOS_R1*(MIN(AC50,cfg_EOS_TH)-MIN(AD50,cfg_EOS_TH))+cfg_EOS_R2*(MAX(AC50-cfg_EOS_TH,0)-MAX(AD50-cfg_EOS_TH,0))))</f>
        <v/>
      </c>
      <c r="Z50" s="86" t="str">
        <f aca="false">IF($B50="","",IF(الموظفون!$R50&lt;&gt;"",الموظفون!$R50,IF(AC50&gt;=cfg_LV_TH,cfg_LV_D2,cfg_LV_D1))/cfg_DAYS_Y*AE50*الموظفون!$P50/cfg_DAYS_M)</f>
        <v/>
      </c>
      <c r="AA50" s="86" t="str">
        <f aca="false">IF($B50="","",IF(AND(الموظفون!$S50="نعم",N(الموظفون!$U50)&gt;0),الموظفون!$T50/الموظفون!$U50*12/cfg_DAYS_Y*AE50,0))</f>
        <v/>
      </c>
      <c r="AB50" s="108" t="str">
        <f aca="false">IF($B50="","",R50+SUM(X50:AA50))</f>
        <v/>
      </c>
      <c r="AC50" s="109" t="str">
        <f aca="false">IF($B50="","",MAX(0,IF(OR(الموظفون!$X50="",الموظفون!$X50&gt;$G$3),$G$3,الموظفون!$X50)-الموظفون!$H50+1)/cfg_DAYS_Y)</f>
        <v/>
      </c>
      <c r="AD50" s="109" t="str">
        <f aca="false">IF($B50="","",MAX(0,IF(OR(الموظفون!$X50="",الموظفون!$X50&gt;($E$3-1)),($E$3-1),الموظفون!$X50)-الموظفون!$H50+1)/cfg_DAYS_Y)</f>
        <v/>
      </c>
      <c r="AE50" s="51" t="str">
        <f aca="false">IF($B50="","",MAX(0,IF(OR(الموظفون!$X50="",الموظفون!$X50&gt;$G$3),$G$3,الموظفون!$X50)-MAX($E$3,الموظفون!$H50)+1))</f>
        <v/>
      </c>
    </row>
    <row r="51" customFormat="false" ht="15" hidden="false" customHeight="false" outlineLevel="0" collapsed="false">
      <c r="A51" s="89" t="str">
        <f aca="false">IF($B51="","",الموظفون!$A51)</f>
        <v/>
      </c>
      <c r="B51" s="91" t="str">
        <f aca="false">IF(الموظفون!$B51="","",الموظفون!$B51)</f>
        <v/>
      </c>
      <c r="C51" s="91" t="str">
        <f aca="false">IF($B51="","",الموظفون!$C51)</f>
        <v/>
      </c>
      <c r="D51" s="91" t="str">
        <f aca="false">IF($B51="","",الموظفون!$F51)</f>
        <v/>
      </c>
      <c r="E51" s="91" t="str">
        <f aca="false">IF($B51="","",الموظفون!$E51)</f>
        <v/>
      </c>
      <c r="F51" s="110" t="str">
        <f aca="false">IF($B51="","",IF(AE51&gt;=DAY($G$3),cfg_DAYS_M,MIN(AE51,cfg_DAYS_M)))</f>
        <v/>
      </c>
      <c r="G51" s="110" t="str">
        <f aca="false">IF($B51="","",SUMIFS('الحركات الشهرية'!$D$6:$D$1005,'الحركات الشهرية'!$B$6:$B$1005,$B51,'الحركات الشهرية'!$A$6:$A$1005,$C$3))</f>
        <v/>
      </c>
      <c r="H51" s="110" t="str">
        <f aca="false">IF($B51="","",SUMIFS('الحركات الشهرية'!$E$6:$E$1005,'الحركات الشهرية'!$B$6:$B$1005,$B51,'الحركات الشهرية'!$A$6:$A$1005,$C$3))</f>
        <v/>
      </c>
      <c r="I51" s="110" t="str">
        <f aca="false">IF($B51="","",MAX(0,F51-G51-H51))</f>
        <v/>
      </c>
      <c r="J51" s="90" t="str">
        <f aca="false">IF($B51="","",الموظفون!$J51*$I51/cfg_DAYS_M)</f>
        <v/>
      </c>
      <c r="K51" s="90" t="str">
        <f aca="false">IF($B51="","",الموظفون!$K51*$I51/cfg_DAYS_M)</f>
        <v/>
      </c>
      <c r="L51" s="90" t="str">
        <f aca="false">IF($B51="","",الموظفون!$L51*$I51/cfg_DAYS_M)</f>
        <v/>
      </c>
      <c r="M51" s="90" t="str">
        <f aca="false">IF($B51="","",الموظفون!$M51*$I51/cfg_DAYS_M)</f>
        <v/>
      </c>
      <c r="N51" s="110" t="str">
        <f aca="false">IF($B51="","",SUMIFS('الحركات الشهرية'!$F$6:$F$1005,'الحركات الشهرية'!$B$6:$B$1005,$B51,'الحركات الشهرية'!$A$6:$A$1005,$C$3))</f>
        <v/>
      </c>
      <c r="O51" s="90" t="str">
        <f aca="false">IF($B51="","",N51*(الموظفون!$N51+الموظفون!$J51*cfg_OT_P)/cfg_DAYS_M/cfg_HRS)</f>
        <v/>
      </c>
      <c r="P51" s="90" t="str">
        <f aca="false">IF($B51="","",SUMIFS('الحركات الشهرية'!$G$6:$G$1005,'الحركات الشهرية'!$B$6:$B$1005,$B51,'الحركات الشهرية'!$A$6:$A$1005,$C$3))</f>
        <v/>
      </c>
      <c r="Q51" s="90" t="str">
        <f aca="false">IF($B51="","",SUMIFS('الحركات الشهرية'!$H$6:$H$1005,'الحركات الشهرية'!$B$6:$B$1005,$B51,'الحركات الشهرية'!$A$6:$A$1005,$C$3))</f>
        <v/>
      </c>
      <c r="R51" s="111" t="str">
        <f aca="false">IF($B51="","",SUM(J51:M51)+SUM(O51:Q51))</f>
        <v/>
      </c>
      <c r="S51" s="90" t="str">
        <f aca="false">IF($B51="","",الموظفون!$Q51*IF(E51="سعودي",cfg_G_SE,cfg_G_NE)*F51/cfg_DAYS_M)</f>
        <v/>
      </c>
      <c r="T51" s="90" t="str">
        <f aca="false">IF($B51="","",SUMIFS('الحركات الشهرية'!$I$6:$I$1005,'الحركات الشهرية'!$B$6:$B$1005,$B51,'الحركات الشهرية'!$A$6:$A$1005,$C$3))</f>
        <v/>
      </c>
      <c r="U51" s="90" t="str">
        <f aca="false">IF($B51="","",SUMIFS('الحركات الشهرية'!$J$6:$J$1005,'الحركات الشهرية'!$B$6:$B$1005,$B51,'الحركات الشهرية'!$A$6:$A$1005,$C$3))</f>
        <v/>
      </c>
      <c r="V51" s="90" t="str">
        <f aca="false">IF($B51="","",SUM(S51:U51))</f>
        <v/>
      </c>
      <c r="W51" s="112" t="str">
        <f aca="false">IF($B51="","",R51-V51)</f>
        <v/>
      </c>
      <c r="X51" s="90" t="str">
        <f aca="false">IF($B51="","",الموظفون!$Q51*IF(E51="سعودي",cfg_G_SR,cfg_G_NR)*F51/cfg_DAYS_M)</f>
        <v/>
      </c>
      <c r="Y51" s="90" t="str">
        <f aca="false">IF($B51="","",الموظفون!$O51*(cfg_EOS_R1*(MIN(AC51,cfg_EOS_TH)-MIN(AD51,cfg_EOS_TH))+cfg_EOS_R2*(MAX(AC51-cfg_EOS_TH,0)-MAX(AD51-cfg_EOS_TH,0))))</f>
        <v/>
      </c>
      <c r="Z51" s="90" t="str">
        <f aca="false">IF($B51="","",IF(الموظفون!$R51&lt;&gt;"",الموظفون!$R51,IF(AC51&gt;=cfg_LV_TH,cfg_LV_D2,cfg_LV_D1))/cfg_DAYS_Y*AE51*الموظفون!$P51/cfg_DAYS_M)</f>
        <v/>
      </c>
      <c r="AA51" s="90" t="str">
        <f aca="false">IF($B51="","",IF(AND(الموظفون!$S51="نعم",N(الموظفون!$U51)&gt;0),الموظفون!$T51/الموظفون!$U51*12/cfg_DAYS_Y*AE51,0))</f>
        <v/>
      </c>
      <c r="AB51" s="113" t="str">
        <f aca="false">IF($B51="","",R51+SUM(X51:AA51))</f>
        <v/>
      </c>
      <c r="AC51" s="114" t="str">
        <f aca="false">IF($B51="","",MAX(0,IF(OR(الموظفون!$X51="",الموظفون!$X51&gt;$G$3),$G$3,الموظفون!$X51)-الموظفون!$H51+1)/cfg_DAYS_Y)</f>
        <v/>
      </c>
      <c r="AD51" s="114" t="str">
        <f aca="false">IF($B51="","",MAX(0,IF(OR(الموظفون!$X51="",الموظفون!$X51&gt;($E$3-1)),($E$3-1),الموظفون!$X51)-الموظفون!$H51+1)/cfg_DAYS_Y)</f>
        <v/>
      </c>
      <c r="AE51" s="115" t="str">
        <f aca="false">IF($B51="","",MAX(0,IF(OR(الموظفون!$X51="",الموظفون!$X51&gt;$G$3),$G$3,الموظفون!$X51)-MAX($E$3,الموظفون!$H51)+1))</f>
        <v/>
      </c>
    </row>
    <row r="52" customFormat="false" ht="15" hidden="false" customHeight="false" outlineLevel="0" collapsed="false">
      <c r="A52" s="83" t="str">
        <f aca="false">IF($B52="","",الموظفون!$A52)</f>
        <v/>
      </c>
      <c r="B52" s="74" t="str">
        <f aca="false">IF(الموظفون!$B52="","",الموظفون!$B52)</f>
        <v/>
      </c>
      <c r="C52" s="74" t="str">
        <f aca="false">IF($B52="","",الموظفون!$C52)</f>
        <v/>
      </c>
      <c r="D52" s="74" t="str">
        <f aca="false">IF($B52="","",الموظفون!$F52)</f>
        <v/>
      </c>
      <c r="E52" s="74" t="str">
        <f aca="false">IF($B52="","",الموظفون!$E52)</f>
        <v/>
      </c>
      <c r="F52" s="105" t="str">
        <f aca="false">IF($B52="","",IF(AE52&gt;=DAY($G$3),cfg_DAYS_M,MIN(AE52,cfg_DAYS_M)))</f>
        <v/>
      </c>
      <c r="G52" s="105" t="str">
        <f aca="false">IF($B52="","",SUMIFS('الحركات الشهرية'!$D$6:$D$1005,'الحركات الشهرية'!$B$6:$B$1005,$B52,'الحركات الشهرية'!$A$6:$A$1005,$C$3))</f>
        <v/>
      </c>
      <c r="H52" s="105" t="str">
        <f aca="false">IF($B52="","",SUMIFS('الحركات الشهرية'!$E$6:$E$1005,'الحركات الشهرية'!$B$6:$B$1005,$B52,'الحركات الشهرية'!$A$6:$A$1005,$C$3))</f>
        <v/>
      </c>
      <c r="I52" s="105" t="str">
        <f aca="false">IF($B52="","",MAX(0,F52-G52-H52))</f>
        <v/>
      </c>
      <c r="J52" s="86" t="str">
        <f aca="false">IF($B52="","",الموظفون!$J52*$I52/cfg_DAYS_M)</f>
        <v/>
      </c>
      <c r="K52" s="86" t="str">
        <f aca="false">IF($B52="","",الموظفون!$K52*$I52/cfg_DAYS_M)</f>
        <v/>
      </c>
      <c r="L52" s="86" t="str">
        <f aca="false">IF($B52="","",الموظفون!$L52*$I52/cfg_DAYS_M)</f>
        <v/>
      </c>
      <c r="M52" s="86" t="str">
        <f aca="false">IF($B52="","",الموظفون!$M52*$I52/cfg_DAYS_M)</f>
        <v/>
      </c>
      <c r="N52" s="105" t="str">
        <f aca="false">IF($B52="","",SUMIFS('الحركات الشهرية'!$F$6:$F$1005,'الحركات الشهرية'!$B$6:$B$1005,$B52,'الحركات الشهرية'!$A$6:$A$1005,$C$3))</f>
        <v/>
      </c>
      <c r="O52" s="86" t="str">
        <f aca="false">IF($B52="","",N52*(الموظفون!$N52+الموظفون!$J52*cfg_OT_P)/cfg_DAYS_M/cfg_HRS)</f>
        <v/>
      </c>
      <c r="P52" s="86" t="str">
        <f aca="false">IF($B52="","",SUMIFS('الحركات الشهرية'!$G$6:$G$1005,'الحركات الشهرية'!$B$6:$B$1005,$B52,'الحركات الشهرية'!$A$6:$A$1005,$C$3))</f>
        <v/>
      </c>
      <c r="Q52" s="86" t="str">
        <f aca="false">IF($B52="","",SUMIFS('الحركات الشهرية'!$H$6:$H$1005,'الحركات الشهرية'!$B$6:$B$1005,$B52,'الحركات الشهرية'!$A$6:$A$1005,$C$3))</f>
        <v/>
      </c>
      <c r="R52" s="106" t="str">
        <f aca="false">IF($B52="","",SUM(J52:M52)+SUM(O52:Q52))</f>
        <v/>
      </c>
      <c r="S52" s="86" t="str">
        <f aca="false">IF($B52="","",الموظفون!$Q52*IF(E52="سعودي",cfg_G_SE,cfg_G_NE)*F52/cfg_DAYS_M)</f>
        <v/>
      </c>
      <c r="T52" s="86" t="str">
        <f aca="false">IF($B52="","",SUMIFS('الحركات الشهرية'!$I$6:$I$1005,'الحركات الشهرية'!$B$6:$B$1005,$B52,'الحركات الشهرية'!$A$6:$A$1005,$C$3))</f>
        <v/>
      </c>
      <c r="U52" s="86" t="str">
        <f aca="false">IF($B52="","",SUMIFS('الحركات الشهرية'!$J$6:$J$1005,'الحركات الشهرية'!$B$6:$B$1005,$B52,'الحركات الشهرية'!$A$6:$A$1005,$C$3))</f>
        <v/>
      </c>
      <c r="V52" s="86" t="str">
        <f aca="false">IF($B52="","",SUM(S52:U52))</f>
        <v/>
      </c>
      <c r="W52" s="107" t="str">
        <f aca="false">IF($B52="","",R52-V52)</f>
        <v/>
      </c>
      <c r="X52" s="86" t="str">
        <f aca="false">IF($B52="","",الموظفون!$Q52*IF(E52="سعودي",cfg_G_SR,cfg_G_NR)*F52/cfg_DAYS_M)</f>
        <v/>
      </c>
      <c r="Y52" s="86" t="str">
        <f aca="false">IF($B52="","",الموظفون!$O52*(cfg_EOS_R1*(MIN(AC52,cfg_EOS_TH)-MIN(AD52,cfg_EOS_TH))+cfg_EOS_R2*(MAX(AC52-cfg_EOS_TH,0)-MAX(AD52-cfg_EOS_TH,0))))</f>
        <v/>
      </c>
      <c r="Z52" s="86" t="str">
        <f aca="false">IF($B52="","",IF(الموظفون!$R52&lt;&gt;"",الموظفون!$R52,IF(AC52&gt;=cfg_LV_TH,cfg_LV_D2,cfg_LV_D1))/cfg_DAYS_Y*AE52*الموظفون!$P52/cfg_DAYS_M)</f>
        <v/>
      </c>
      <c r="AA52" s="86" t="str">
        <f aca="false">IF($B52="","",IF(AND(الموظفون!$S52="نعم",N(الموظفون!$U52)&gt;0),الموظفون!$T52/الموظفون!$U52*12/cfg_DAYS_Y*AE52,0))</f>
        <v/>
      </c>
      <c r="AB52" s="108" t="str">
        <f aca="false">IF($B52="","",R52+SUM(X52:AA52))</f>
        <v/>
      </c>
      <c r="AC52" s="109" t="str">
        <f aca="false">IF($B52="","",MAX(0,IF(OR(الموظفون!$X52="",الموظفون!$X52&gt;$G$3),$G$3,الموظفون!$X52)-الموظفون!$H52+1)/cfg_DAYS_Y)</f>
        <v/>
      </c>
      <c r="AD52" s="109" t="str">
        <f aca="false">IF($B52="","",MAX(0,IF(OR(الموظفون!$X52="",الموظفون!$X52&gt;($E$3-1)),($E$3-1),الموظفون!$X52)-الموظفون!$H52+1)/cfg_DAYS_Y)</f>
        <v/>
      </c>
      <c r="AE52" s="51" t="str">
        <f aca="false">IF($B52="","",MAX(0,IF(OR(الموظفون!$X52="",الموظفون!$X52&gt;$G$3),$G$3,الموظفون!$X52)-MAX($E$3,الموظفون!$H52)+1))</f>
        <v/>
      </c>
    </row>
    <row r="53" customFormat="false" ht="15" hidden="false" customHeight="false" outlineLevel="0" collapsed="false">
      <c r="A53" s="89" t="str">
        <f aca="false">IF($B53="","",الموظفون!$A53)</f>
        <v/>
      </c>
      <c r="B53" s="91" t="str">
        <f aca="false">IF(الموظفون!$B53="","",الموظفون!$B53)</f>
        <v/>
      </c>
      <c r="C53" s="91" t="str">
        <f aca="false">IF($B53="","",الموظفون!$C53)</f>
        <v/>
      </c>
      <c r="D53" s="91" t="str">
        <f aca="false">IF($B53="","",الموظفون!$F53)</f>
        <v/>
      </c>
      <c r="E53" s="91" t="str">
        <f aca="false">IF($B53="","",الموظفون!$E53)</f>
        <v/>
      </c>
      <c r="F53" s="110" t="str">
        <f aca="false">IF($B53="","",IF(AE53&gt;=DAY($G$3),cfg_DAYS_M,MIN(AE53,cfg_DAYS_M)))</f>
        <v/>
      </c>
      <c r="G53" s="110" t="str">
        <f aca="false">IF($B53="","",SUMIFS('الحركات الشهرية'!$D$6:$D$1005,'الحركات الشهرية'!$B$6:$B$1005,$B53,'الحركات الشهرية'!$A$6:$A$1005,$C$3))</f>
        <v/>
      </c>
      <c r="H53" s="110" t="str">
        <f aca="false">IF($B53="","",SUMIFS('الحركات الشهرية'!$E$6:$E$1005,'الحركات الشهرية'!$B$6:$B$1005,$B53,'الحركات الشهرية'!$A$6:$A$1005,$C$3))</f>
        <v/>
      </c>
      <c r="I53" s="110" t="str">
        <f aca="false">IF($B53="","",MAX(0,F53-G53-H53))</f>
        <v/>
      </c>
      <c r="J53" s="90" t="str">
        <f aca="false">IF($B53="","",الموظفون!$J53*$I53/cfg_DAYS_M)</f>
        <v/>
      </c>
      <c r="K53" s="90" t="str">
        <f aca="false">IF($B53="","",الموظفون!$K53*$I53/cfg_DAYS_M)</f>
        <v/>
      </c>
      <c r="L53" s="90" t="str">
        <f aca="false">IF($B53="","",الموظفون!$L53*$I53/cfg_DAYS_M)</f>
        <v/>
      </c>
      <c r="M53" s="90" t="str">
        <f aca="false">IF($B53="","",الموظفون!$M53*$I53/cfg_DAYS_M)</f>
        <v/>
      </c>
      <c r="N53" s="110" t="str">
        <f aca="false">IF($B53="","",SUMIFS('الحركات الشهرية'!$F$6:$F$1005,'الحركات الشهرية'!$B$6:$B$1005,$B53,'الحركات الشهرية'!$A$6:$A$1005,$C$3))</f>
        <v/>
      </c>
      <c r="O53" s="90" t="str">
        <f aca="false">IF($B53="","",N53*(الموظفون!$N53+الموظفون!$J53*cfg_OT_P)/cfg_DAYS_M/cfg_HRS)</f>
        <v/>
      </c>
      <c r="P53" s="90" t="str">
        <f aca="false">IF($B53="","",SUMIFS('الحركات الشهرية'!$G$6:$G$1005,'الحركات الشهرية'!$B$6:$B$1005,$B53,'الحركات الشهرية'!$A$6:$A$1005,$C$3))</f>
        <v/>
      </c>
      <c r="Q53" s="90" t="str">
        <f aca="false">IF($B53="","",SUMIFS('الحركات الشهرية'!$H$6:$H$1005,'الحركات الشهرية'!$B$6:$B$1005,$B53,'الحركات الشهرية'!$A$6:$A$1005,$C$3))</f>
        <v/>
      </c>
      <c r="R53" s="111" t="str">
        <f aca="false">IF($B53="","",SUM(J53:M53)+SUM(O53:Q53))</f>
        <v/>
      </c>
      <c r="S53" s="90" t="str">
        <f aca="false">IF($B53="","",الموظفون!$Q53*IF(E53="سعودي",cfg_G_SE,cfg_G_NE)*F53/cfg_DAYS_M)</f>
        <v/>
      </c>
      <c r="T53" s="90" t="str">
        <f aca="false">IF($B53="","",SUMIFS('الحركات الشهرية'!$I$6:$I$1005,'الحركات الشهرية'!$B$6:$B$1005,$B53,'الحركات الشهرية'!$A$6:$A$1005,$C$3))</f>
        <v/>
      </c>
      <c r="U53" s="90" t="str">
        <f aca="false">IF($B53="","",SUMIFS('الحركات الشهرية'!$J$6:$J$1005,'الحركات الشهرية'!$B$6:$B$1005,$B53,'الحركات الشهرية'!$A$6:$A$1005,$C$3))</f>
        <v/>
      </c>
      <c r="V53" s="90" t="str">
        <f aca="false">IF($B53="","",SUM(S53:U53))</f>
        <v/>
      </c>
      <c r="W53" s="112" t="str">
        <f aca="false">IF($B53="","",R53-V53)</f>
        <v/>
      </c>
      <c r="X53" s="90" t="str">
        <f aca="false">IF($B53="","",الموظفون!$Q53*IF(E53="سعودي",cfg_G_SR,cfg_G_NR)*F53/cfg_DAYS_M)</f>
        <v/>
      </c>
      <c r="Y53" s="90" t="str">
        <f aca="false">IF($B53="","",الموظفون!$O53*(cfg_EOS_R1*(MIN(AC53,cfg_EOS_TH)-MIN(AD53,cfg_EOS_TH))+cfg_EOS_R2*(MAX(AC53-cfg_EOS_TH,0)-MAX(AD53-cfg_EOS_TH,0))))</f>
        <v/>
      </c>
      <c r="Z53" s="90" t="str">
        <f aca="false">IF($B53="","",IF(الموظفون!$R53&lt;&gt;"",الموظفون!$R53,IF(AC53&gt;=cfg_LV_TH,cfg_LV_D2,cfg_LV_D1))/cfg_DAYS_Y*AE53*الموظفون!$P53/cfg_DAYS_M)</f>
        <v/>
      </c>
      <c r="AA53" s="90" t="str">
        <f aca="false">IF($B53="","",IF(AND(الموظفون!$S53="نعم",N(الموظفون!$U53)&gt;0),الموظفون!$T53/الموظفون!$U53*12/cfg_DAYS_Y*AE53,0))</f>
        <v/>
      </c>
      <c r="AB53" s="113" t="str">
        <f aca="false">IF($B53="","",R53+SUM(X53:AA53))</f>
        <v/>
      </c>
      <c r="AC53" s="114" t="str">
        <f aca="false">IF($B53="","",MAX(0,IF(OR(الموظفون!$X53="",الموظفون!$X53&gt;$G$3),$G$3,الموظفون!$X53)-الموظفون!$H53+1)/cfg_DAYS_Y)</f>
        <v/>
      </c>
      <c r="AD53" s="114" t="str">
        <f aca="false">IF($B53="","",MAX(0,IF(OR(الموظفون!$X53="",الموظفون!$X53&gt;($E$3-1)),($E$3-1),الموظفون!$X53)-الموظفون!$H53+1)/cfg_DAYS_Y)</f>
        <v/>
      </c>
      <c r="AE53" s="115" t="str">
        <f aca="false">IF($B53="","",MAX(0,IF(OR(الموظفون!$X53="",الموظفون!$X53&gt;$G$3),$G$3,الموظفون!$X53)-MAX($E$3,الموظفون!$H53)+1))</f>
        <v/>
      </c>
    </row>
    <row r="54" customFormat="false" ht="15" hidden="false" customHeight="false" outlineLevel="0" collapsed="false">
      <c r="A54" s="83" t="str">
        <f aca="false">IF($B54="","",الموظفون!$A54)</f>
        <v/>
      </c>
      <c r="B54" s="74" t="str">
        <f aca="false">IF(الموظفون!$B54="","",الموظفون!$B54)</f>
        <v/>
      </c>
      <c r="C54" s="74" t="str">
        <f aca="false">IF($B54="","",الموظفون!$C54)</f>
        <v/>
      </c>
      <c r="D54" s="74" t="str">
        <f aca="false">IF($B54="","",الموظفون!$F54)</f>
        <v/>
      </c>
      <c r="E54" s="74" t="str">
        <f aca="false">IF($B54="","",الموظفون!$E54)</f>
        <v/>
      </c>
      <c r="F54" s="105" t="str">
        <f aca="false">IF($B54="","",IF(AE54&gt;=DAY($G$3),cfg_DAYS_M,MIN(AE54,cfg_DAYS_M)))</f>
        <v/>
      </c>
      <c r="G54" s="105" t="str">
        <f aca="false">IF($B54="","",SUMIFS('الحركات الشهرية'!$D$6:$D$1005,'الحركات الشهرية'!$B$6:$B$1005,$B54,'الحركات الشهرية'!$A$6:$A$1005,$C$3))</f>
        <v/>
      </c>
      <c r="H54" s="105" t="str">
        <f aca="false">IF($B54="","",SUMIFS('الحركات الشهرية'!$E$6:$E$1005,'الحركات الشهرية'!$B$6:$B$1005,$B54,'الحركات الشهرية'!$A$6:$A$1005,$C$3))</f>
        <v/>
      </c>
      <c r="I54" s="105" t="str">
        <f aca="false">IF($B54="","",MAX(0,F54-G54-H54))</f>
        <v/>
      </c>
      <c r="J54" s="86" t="str">
        <f aca="false">IF($B54="","",الموظفون!$J54*$I54/cfg_DAYS_M)</f>
        <v/>
      </c>
      <c r="K54" s="86" t="str">
        <f aca="false">IF($B54="","",الموظفون!$K54*$I54/cfg_DAYS_M)</f>
        <v/>
      </c>
      <c r="L54" s="86" t="str">
        <f aca="false">IF($B54="","",الموظفون!$L54*$I54/cfg_DAYS_M)</f>
        <v/>
      </c>
      <c r="M54" s="86" t="str">
        <f aca="false">IF($B54="","",الموظفون!$M54*$I54/cfg_DAYS_M)</f>
        <v/>
      </c>
      <c r="N54" s="105" t="str">
        <f aca="false">IF($B54="","",SUMIFS('الحركات الشهرية'!$F$6:$F$1005,'الحركات الشهرية'!$B$6:$B$1005,$B54,'الحركات الشهرية'!$A$6:$A$1005,$C$3))</f>
        <v/>
      </c>
      <c r="O54" s="86" t="str">
        <f aca="false">IF($B54="","",N54*(الموظفون!$N54+الموظفون!$J54*cfg_OT_P)/cfg_DAYS_M/cfg_HRS)</f>
        <v/>
      </c>
      <c r="P54" s="86" t="str">
        <f aca="false">IF($B54="","",SUMIFS('الحركات الشهرية'!$G$6:$G$1005,'الحركات الشهرية'!$B$6:$B$1005,$B54,'الحركات الشهرية'!$A$6:$A$1005,$C$3))</f>
        <v/>
      </c>
      <c r="Q54" s="86" t="str">
        <f aca="false">IF($B54="","",SUMIFS('الحركات الشهرية'!$H$6:$H$1005,'الحركات الشهرية'!$B$6:$B$1005,$B54,'الحركات الشهرية'!$A$6:$A$1005,$C$3))</f>
        <v/>
      </c>
      <c r="R54" s="106" t="str">
        <f aca="false">IF($B54="","",SUM(J54:M54)+SUM(O54:Q54))</f>
        <v/>
      </c>
      <c r="S54" s="86" t="str">
        <f aca="false">IF($B54="","",الموظفون!$Q54*IF(E54="سعودي",cfg_G_SE,cfg_G_NE)*F54/cfg_DAYS_M)</f>
        <v/>
      </c>
      <c r="T54" s="86" t="str">
        <f aca="false">IF($B54="","",SUMIFS('الحركات الشهرية'!$I$6:$I$1005,'الحركات الشهرية'!$B$6:$B$1005,$B54,'الحركات الشهرية'!$A$6:$A$1005,$C$3))</f>
        <v/>
      </c>
      <c r="U54" s="86" t="str">
        <f aca="false">IF($B54="","",SUMIFS('الحركات الشهرية'!$J$6:$J$1005,'الحركات الشهرية'!$B$6:$B$1005,$B54,'الحركات الشهرية'!$A$6:$A$1005,$C$3))</f>
        <v/>
      </c>
      <c r="V54" s="86" t="str">
        <f aca="false">IF($B54="","",SUM(S54:U54))</f>
        <v/>
      </c>
      <c r="W54" s="107" t="str">
        <f aca="false">IF($B54="","",R54-V54)</f>
        <v/>
      </c>
      <c r="X54" s="86" t="str">
        <f aca="false">IF($B54="","",الموظفون!$Q54*IF(E54="سعودي",cfg_G_SR,cfg_G_NR)*F54/cfg_DAYS_M)</f>
        <v/>
      </c>
      <c r="Y54" s="86" t="str">
        <f aca="false">IF($B54="","",الموظفون!$O54*(cfg_EOS_R1*(MIN(AC54,cfg_EOS_TH)-MIN(AD54,cfg_EOS_TH))+cfg_EOS_R2*(MAX(AC54-cfg_EOS_TH,0)-MAX(AD54-cfg_EOS_TH,0))))</f>
        <v/>
      </c>
      <c r="Z54" s="86" t="str">
        <f aca="false">IF($B54="","",IF(الموظفون!$R54&lt;&gt;"",الموظفون!$R54,IF(AC54&gt;=cfg_LV_TH,cfg_LV_D2,cfg_LV_D1))/cfg_DAYS_Y*AE54*الموظفون!$P54/cfg_DAYS_M)</f>
        <v/>
      </c>
      <c r="AA54" s="86" t="str">
        <f aca="false">IF($B54="","",IF(AND(الموظفون!$S54="نعم",N(الموظفون!$U54)&gt;0),الموظفون!$T54/الموظفون!$U54*12/cfg_DAYS_Y*AE54,0))</f>
        <v/>
      </c>
      <c r="AB54" s="108" t="str">
        <f aca="false">IF($B54="","",R54+SUM(X54:AA54))</f>
        <v/>
      </c>
      <c r="AC54" s="109" t="str">
        <f aca="false">IF($B54="","",MAX(0,IF(OR(الموظفون!$X54="",الموظفون!$X54&gt;$G$3),$G$3,الموظفون!$X54)-الموظفون!$H54+1)/cfg_DAYS_Y)</f>
        <v/>
      </c>
      <c r="AD54" s="109" t="str">
        <f aca="false">IF($B54="","",MAX(0,IF(OR(الموظفون!$X54="",الموظفون!$X54&gt;($E$3-1)),($E$3-1),الموظفون!$X54)-الموظفون!$H54+1)/cfg_DAYS_Y)</f>
        <v/>
      </c>
      <c r="AE54" s="51" t="str">
        <f aca="false">IF($B54="","",MAX(0,IF(OR(الموظفون!$X54="",الموظفون!$X54&gt;$G$3),$G$3,الموظفون!$X54)-MAX($E$3,الموظفون!$H54)+1))</f>
        <v/>
      </c>
    </row>
    <row r="55" customFormat="false" ht="15" hidden="false" customHeight="false" outlineLevel="0" collapsed="false">
      <c r="A55" s="89" t="str">
        <f aca="false">IF($B55="","",الموظفون!$A55)</f>
        <v/>
      </c>
      <c r="B55" s="91" t="str">
        <f aca="false">IF(الموظفون!$B55="","",الموظفون!$B55)</f>
        <v/>
      </c>
      <c r="C55" s="91" t="str">
        <f aca="false">IF($B55="","",الموظفون!$C55)</f>
        <v/>
      </c>
      <c r="D55" s="91" t="str">
        <f aca="false">IF($B55="","",الموظفون!$F55)</f>
        <v/>
      </c>
      <c r="E55" s="91" t="str">
        <f aca="false">IF($B55="","",الموظفون!$E55)</f>
        <v/>
      </c>
      <c r="F55" s="110" t="str">
        <f aca="false">IF($B55="","",IF(AE55&gt;=DAY($G$3),cfg_DAYS_M,MIN(AE55,cfg_DAYS_M)))</f>
        <v/>
      </c>
      <c r="G55" s="110" t="str">
        <f aca="false">IF($B55="","",SUMIFS('الحركات الشهرية'!$D$6:$D$1005,'الحركات الشهرية'!$B$6:$B$1005,$B55,'الحركات الشهرية'!$A$6:$A$1005,$C$3))</f>
        <v/>
      </c>
      <c r="H55" s="110" t="str">
        <f aca="false">IF($B55="","",SUMIFS('الحركات الشهرية'!$E$6:$E$1005,'الحركات الشهرية'!$B$6:$B$1005,$B55,'الحركات الشهرية'!$A$6:$A$1005,$C$3))</f>
        <v/>
      </c>
      <c r="I55" s="110" t="str">
        <f aca="false">IF($B55="","",MAX(0,F55-G55-H55))</f>
        <v/>
      </c>
      <c r="J55" s="90" t="str">
        <f aca="false">IF($B55="","",الموظفون!$J55*$I55/cfg_DAYS_M)</f>
        <v/>
      </c>
      <c r="K55" s="90" t="str">
        <f aca="false">IF($B55="","",الموظفون!$K55*$I55/cfg_DAYS_M)</f>
        <v/>
      </c>
      <c r="L55" s="90" t="str">
        <f aca="false">IF($B55="","",الموظفون!$L55*$I55/cfg_DAYS_M)</f>
        <v/>
      </c>
      <c r="M55" s="90" t="str">
        <f aca="false">IF($B55="","",الموظفون!$M55*$I55/cfg_DAYS_M)</f>
        <v/>
      </c>
      <c r="N55" s="110" t="str">
        <f aca="false">IF($B55="","",SUMIFS('الحركات الشهرية'!$F$6:$F$1005,'الحركات الشهرية'!$B$6:$B$1005,$B55,'الحركات الشهرية'!$A$6:$A$1005,$C$3))</f>
        <v/>
      </c>
      <c r="O55" s="90" t="str">
        <f aca="false">IF($B55="","",N55*(الموظفون!$N55+الموظفون!$J55*cfg_OT_P)/cfg_DAYS_M/cfg_HRS)</f>
        <v/>
      </c>
      <c r="P55" s="90" t="str">
        <f aca="false">IF($B55="","",SUMIFS('الحركات الشهرية'!$G$6:$G$1005,'الحركات الشهرية'!$B$6:$B$1005,$B55,'الحركات الشهرية'!$A$6:$A$1005,$C$3))</f>
        <v/>
      </c>
      <c r="Q55" s="90" t="str">
        <f aca="false">IF($B55="","",SUMIFS('الحركات الشهرية'!$H$6:$H$1005,'الحركات الشهرية'!$B$6:$B$1005,$B55,'الحركات الشهرية'!$A$6:$A$1005,$C$3))</f>
        <v/>
      </c>
      <c r="R55" s="111" t="str">
        <f aca="false">IF($B55="","",SUM(J55:M55)+SUM(O55:Q55))</f>
        <v/>
      </c>
      <c r="S55" s="90" t="str">
        <f aca="false">IF($B55="","",الموظفون!$Q55*IF(E55="سعودي",cfg_G_SE,cfg_G_NE)*F55/cfg_DAYS_M)</f>
        <v/>
      </c>
      <c r="T55" s="90" t="str">
        <f aca="false">IF($B55="","",SUMIFS('الحركات الشهرية'!$I$6:$I$1005,'الحركات الشهرية'!$B$6:$B$1005,$B55,'الحركات الشهرية'!$A$6:$A$1005,$C$3))</f>
        <v/>
      </c>
      <c r="U55" s="90" t="str">
        <f aca="false">IF($B55="","",SUMIFS('الحركات الشهرية'!$J$6:$J$1005,'الحركات الشهرية'!$B$6:$B$1005,$B55,'الحركات الشهرية'!$A$6:$A$1005,$C$3))</f>
        <v/>
      </c>
      <c r="V55" s="90" t="str">
        <f aca="false">IF($B55="","",SUM(S55:U55))</f>
        <v/>
      </c>
      <c r="W55" s="112" t="str">
        <f aca="false">IF($B55="","",R55-V55)</f>
        <v/>
      </c>
      <c r="X55" s="90" t="str">
        <f aca="false">IF($B55="","",الموظفون!$Q55*IF(E55="سعودي",cfg_G_SR,cfg_G_NR)*F55/cfg_DAYS_M)</f>
        <v/>
      </c>
      <c r="Y55" s="90" t="str">
        <f aca="false">IF($B55="","",الموظفون!$O55*(cfg_EOS_R1*(MIN(AC55,cfg_EOS_TH)-MIN(AD55,cfg_EOS_TH))+cfg_EOS_R2*(MAX(AC55-cfg_EOS_TH,0)-MAX(AD55-cfg_EOS_TH,0))))</f>
        <v/>
      </c>
      <c r="Z55" s="90" t="str">
        <f aca="false">IF($B55="","",IF(الموظفون!$R55&lt;&gt;"",الموظفون!$R55,IF(AC55&gt;=cfg_LV_TH,cfg_LV_D2,cfg_LV_D1))/cfg_DAYS_Y*AE55*الموظفون!$P55/cfg_DAYS_M)</f>
        <v/>
      </c>
      <c r="AA55" s="90" t="str">
        <f aca="false">IF($B55="","",IF(AND(الموظفون!$S55="نعم",N(الموظفون!$U55)&gt;0),الموظفون!$T55/الموظفون!$U55*12/cfg_DAYS_Y*AE55,0))</f>
        <v/>
      </c>
      <c r="AB55" s="113" t="str">
        <f aca="false">IF($B55="","",R55+SUM(X55:AA55))</f>
        <v/>
      </c>
      <c r="AC55" s="114" t="str">
        <f aca="false">IF($B55="","",MAX(0,IF(OR(الموظفون!$X55="",الموظفون!$X55&gt;$G$3),$G$3,الموظفون!$X55)-الموظفون!$H55+1)/cfg_DAYS_Y)</f>
        <v/>
      </c>
      <c r="AD55" s="114" t="str">
        <f aca="false">IF($B55="","",MAX(0,IF(OR(الموظفون!$X55="",الموظفون!$X55&gt;($E$3-1)),($E$3-1),الموظفون!$X55)-الموظفون!$H55+1)/cfg_DAYS_Y)</f>
        <v/>
      </c>
      <c r="AE55" s="115" t="str">
        <f aca="false">IF($B55="","",MAX(0,IF(OR(الموظفون!$X55="",الموظفون!$X55&gt;$G$3),$G$3,الموظفون!$X55)-MAX($E$3,الموظفون!$H55)+1))</f>
        <v/>
      </c>
    </row>
    <row r="56" customFormat="false" ht="15" hidden="false" customHeight="false" outlineLevel="0" collapsed="false">
      <c r="A56" s="83" t="str">
        <f aca="false">IF($B56="","",الموظفون!$A56)</f>
        <v/>
      </c>
      <c r="B56" s="74" t="str">
        <f aca="false">IF(الموظفون!$B56="","",الموظفون!$B56)</f>
        <v/>
      </c>
      <c r="C56" s="74" t="str">
        <f aca="false">IF($B56="","",الموظفون!$C56)</f>
        <v/>
      </c>
      <c r="D56" s="74" t="str">
        <f aca="false">IF($B56="","",الموظفون!$F56)</f>
        <v/>
      </c>
      <c r="E56" s="74" t="str">
        <f aca="false">IF($B56="","",الموظفون!$E56)</f>
        <v/>
      </c>
      <c r="F56" s="105" t="str">
        <f aca="false">IF($B56="","",IF(AE56&gt;=DAY($G$3),cfg_DAYS_M,MIN(AE56,cfg_DAYS_M)))</f>
        <v/>
      </c>
      <c r="G56" s="105" t="str">
        <f aca="false">IF($B56="","",SUMIFS('الحركات الشهرية'!$D$6:$D$1005,'الحركات الشهرية'!$B$6:$B$1005,$B56,'الحركات الشهرية'!$A$6:$A$1005,$C$3))</f>
        <v/>
      </c>
      <c r="H56" s="105" t="str">
        <f aca="false">IF($B56="","",SUMIFS('الحركات الشهرية'!$E$6:$E$1005,'الحركات الشهرية'!$B$6:$B$1005,$B56,'الحركات الشهرية'!$A$6:$A$1005,$C$3))</f>
        <v/>
      </c>
      <c r="I56" s="105" t="str">
        <f aca="false">IF($B56="","",MAX(0,F56-G56-H56))</f>
        <v/>
      </c>
      <c r="J56" s="86" t="str">
        <f aca="false">IF($B56="","",الموظفون!$J56*$I56/cfg_DAYS_M)</f>
        <v/>
      </c>
      <c r="K56" s="86" t="str">
        <f aca="false">IF($B56="","",الموظفون!$K56*$I56/cfg_DAYS_M)</f>
        <v/>
      </c>
      <c r="L56" s="86" t="str">
        <f aca="false">IF($B56="","",الموظفون!$L56*$I56/cfg_DAYS_M)</f>
        <v/>
      </c>
      <c r="M56" s="86" t="str">
        <f aca="false">IF($B56="","",الموظفون!$M56*$I56/cfg_DAYS_M)</f>
        <v/>
      </c>
      <c r="N56" s="105" t="str">
        <f aca="false">IF($B56="","",SUMIFS('الحركات الشهرية'!$F$6:$F$1005,'الحركات الشهرية'!$B$6:$B$1005,$B56,'الحركات الشهرية'!$A$6:$A$1005,$C$3))</f>
        <v/>
      </c>
      <c r="O56" s="86" t="str">
        <f aca="false">IF($B56="","",N56*(الموظفون!$N56+الموظفون!$J56*cfg_OT_P)/cfg_DAYS_M/cfg_HRS)</f>
        <v/>
      </c>
      <c r="P56" s="86" t="str">
        <f aca="false">IF($B56="","",SUMIFS('الحركات الشهرية'!$G$6:$G$1005,'الحركات الشهرية'!$B$6:$B$1005,$B56,'الحركات الشهرية'!$A$6:$A$1005,$C$3))</f>
        <v/>
      </c>
      <c r="Q56" s="86" t="str">
        <f aca="false">IF($B56="","",SUMIFS('الحركات الشهرية'!$H$6:$H$1005,'الحركات الشهرية'!$B$6:$B$1005,$B56,'الحركات الشهرية'!$A$6:$A$1005,$C$3))</f>
        <v/>
      </c>
      <c r="R56" s="106" t="str">
        <f aca="false">IF($B56="","",SUM(J56:M56)+SUM(O56:Q56))</f>
        <v/>
      </c>
      <c r="S56" s="86" t="str">
        <f aca="false">IF($B56="","",الموظفون!$Q56*IF(E56="سعودي",cfg_G_SE,cfg_G_NE)*F56/cfg_DAYS_M)</f>
        <v/>
      </c>
      <c r="T56" s="86" t="str">
        <f aca="false">IF($B56="","",SUMIFS('الحركات الشهرية'!$I$6:$I$1005,'الحركات الشهرية'!$B$6:$B$1005,$B56,'الحركات الشهرية'!$A$6:$A$1005,$C$3))</f>
        <v/>
      </c>
      <c r="U56" s="86" t="str">
        <f aca="false">IF($B56="","",SUMIFS('الحركات الشهرية'!$J$6:$J$1005,'الحركات الشهرية'!$B$6:$B$1005,$B56,'الحركات الشهرية'!$A$6:$A$1005,$C$3))</f>
        <v/>
      </c>
      <c r="V56" s="86" t="str">
        <f aca="false">IF($B56="","",SUM(S56:U56))</f>
        <v/>
      </c>
      <c r="W56" s="107" t="str">
        <f aca="false">IF($B56="","",R56-V56)</f>
        <v/>
      </c>
      <c r="X56" s="86" t="str">
        <f aca="false">IF($B56="","",الموظفون!$Q56*IF(E56="سعودي",cfg_G_SR,cfg_G_NR)*F56/cfg_DAYS_M)</f>
        <v/>
      </c>
      <c r="Y56" s="86" t="str">
        <f aca="false">IF($B56="","",الموظفون!$O56*(cfg_EOS_R1*(MIN(AC56,cfg_EOS_TH)-MIN(AD56,cfg_EOS_TH))+cfg_EOS_R2*(MAX(AC56-cfg_EOS_TH,0)-MAX(AD56-cfg_EOS_TH,0))))</f>
        <v/>
      </c>
      <c r="Z56" s="86" t="str">
        <f aca="false">IF($B56="","",IF(الموظفون!$R56&lt;&gt;"",الموظفون!$R56,IF(AC56&gt;=cfg_LV_TH,cfg_LV_D2,cfg_LV_D1))/cfg_DAYS_Y*AE56*الموظفون!$P56/cfg_DAYS_M)</f>
        <v/>
      </c>
      <c r="AA56" s="86" t="str">
        <f aca="false">IF($B56="","",IF(AND(الموظفون!$S56="نعم",N(الموظفون!$U56)&gt;0),الموظفون!$T56/الموظفون!$U56*12/cfg_DAYS_Y*AE56,0))</f>
        <v/>
      </c>
      <c r="AB56" s="108" t="str">
        <f aca="false">IF($B56="","",R56+SUM(X56:AA56))</f>
        <v/>
      </c>
      <c r="AC56" s="109" t="str">
        <f aca="false">IF($B56="","",MAX(0,IF(OR(الموظفون!$X56="",الموظفون!$X56&gt;$G$3),$G$3,الموظفون!$X56)-الموظفون!$H56+1)/cfg_DAYS_Y)</f>
        <v/>
      </c>
      <c r="AD56" s="109" t="str">
        <f aca="false">IF($B56="","",MAX(0,IF(OR(الموظفون!$X56="",الموظفون!$X56&gt;($E$3-1)),($E$3-1),الموظفون!$X56)-الموظفون!$H56+1)/cfg_DAYS_Y)</f>
        <v/>
      </c>
      <c r="AE56" s="51" t="str">
        <f aca="false">IF($B56="","",MAX(0,IF(OR(الموظفون!$X56="",الموظفون!$X56&gt;$G$3),$G$3,الموظفون!$X56)-MAX($E$3,الموظفون!$H56)+1))</f>
        <v/>
      </c>
    </row>
    <row r="57" customFormat="false" ht="15" hidden="false" customHeight="false" outlineLevel="0" collapsed="false">
      <c r="A57" s="89" t="str">
        <f aca="false">IF($B57="","",الموظفون!$A57)</f>
        <v/>
      </c>
      <c r="B57" s="91" t="str">
        <f aca="false">IF(الموظفون!$B57="","",الموظفون!$B57)</f>
        <v/>
      </c>
      <c r="C57" s="91" t="str">
        <f aca="false">IF($B57="","",الموظفون!$C57)</f>
        <v/>
      </c>
      <c r="D57" s="91" t="str">
        <f aca="false">IF($B57="","",الموظفون!$F57)</f>
        <v/>
      </c>
      <c r="E57" s="91" t="str">
        <f aca="false">IF($B57="","",الموظفون!$E57)</f>
        <v/>
      </c>
      <c r="F57" s="110" t="str">
        <f aca="false">IF($B57="","",IF(AE57&gt;=DAY($G$3),cfg_DAYS_M,MIN(AE57,cfg_DAYS_M)))</f>
        <v/>
      </c>
      <c r="G57" s="110" t="str">
        <f aca="false">IF($B57="","",SUMIFS('الحركات الشهرية'!$D$6:$D$1005,'الحركات الشهرية'!$B$6:$B$1005,$B57,'الحركات الشهرية'!$A$6:$A$1005,$C$3))</f>
        <v/>
      </c>
      <c r="H57" s="110" t="str">
        <f aca="false">IF($B57="","",SUMIFS('الحركات الشهرية'!$E$6:$E$1005,'الحركات الشهرية'!$B$6:$B$1005,$B57,'الحركات الشهرية'!$A$6:$A$1005,$C$3))</f>
        <v/>
      </c>
      <c r="I57" s="110" t="str">
        <f aca="false">IF($B57="","",MAX(0,F57-G57-H57))</f>
        <v/>
      </c>
      <c r="J57" s="90" t="str">
        <f aca="false">IF($B57="","",الموظفون!$J57*$I57/cfg_DAYS_M)</f>
        <v/>
      </c>
      <c r="K57" s="90" t="str">
        <f aca="false">IF($B57="","",الموظفون!$K57*$I57/cfg_DAYS_M)</f>
        <v/>
      </c>
      <c r="L57" s="90" t="str">
        <f aca="false">IF($B57="","",الموظفون!$L57*$I57/cfg_DAYS_M)</f>
        <v/>
      </c>
      <c r="M57" s="90" t="str">
        <f aca="false">IF($B57="","",الموظفون!$M57*$I57/cfg_DAYS_M)</f>
        <v/>
      </c>
      <c r="N57" s="110" t="str">
        <f aca="false">IF($B57="","",SUMIFS('الحركات الشهرية'!$F$6:$F$1005,'الحركات الشهرية'!$B$6:$B$1005,$B57,'الحركات الشهرية'!$A$6:$A$1005,$C$3))</f>
        <v/>
      </c>
      <c r="O57" s="90" t="str">
        <f aca="false">IF($B57="","",N57*(الموظفون!$N57+الموظفون!$J57*cfg_OT_P)/cfg_DAYS_M/cfg_HRS)</f>
        <v/>
      </c>
      <c r="P57" s="90" t="str">
        <f aca="false">IF($B57="","",SUMIFS('الحركات الشهرية'!$G$6:$G$1005,'الحركات الشهرية'!$B$6:$B$1005,$B57,'الحركات الشهرية'!$A$6:$A$1005,$C$3))</f>
        <v/>
      </c>
      <c r="Q57" s="90" t="str">
        <f aca="false">IF($B57="","",SUMIFS('الحركات الشهرية'!$H$6:$H$1005,'الحركات الشهرية'!$B$6:$B$1005,$B57,'الحركات الشهرية'!$A$6:$A$1005,$C$3))</f>
        <v/>
      </c>
      <c r="R57" s="111" t="str">
        <f aca="false">IF($B57="","",SUM(J57:M57)+SUM(O57:Q57))</f>
        <v/>
      </c>
      <c r="S57" s="90" t="str">
        <f aca="false">IF($B57="","",الموظفون!$Q57*IF(E57="سعودي",cfg_G_SE,cfg_G_NE)*F57/cfg_DAYS_M)</f>
        <v/>
      </c>
      <c r="T57" s="90" t="str">
        <f aca="false">IF($B57="","",SUMIFS('الحركات الشهرية'!$I$6:$I$1005,'الحركات الشهرية'!$B$6:$B$1005,$B57,'الحركات الشهرية'!$A$6:$A$1005,$C$3))</f>
        <v/>
      </c>
      <c r="U57" s="90" t="str">
        <f aca="false">IF($B57="","",SUMIFS('الحركات الشهرية'!$J$6:$J$1005,'الحركات الشهرية'!$B$6:$B$1005,$B57,'الحركات الشهرية'!$A$6:$A$1005,$C$3))</f>
        <v/>
      </c>
      <c r="V57" s="90" t="str">
        <f aca="false">IF($B57="","",SUM(S57:U57))</f>
        <v/>
      </c>
      <c r="W57" s="112" t="str">
        <f aca="false">IF($B57="","",R57-V57)</f>
        <v/>
      </c>
      <c r="X57" s="90" t="str">
        <f aca="false">IF($B57="","",الموظفون!$Q57*IF(E57="سعودي",cfg_G_SR,cfg_G_NR)*F57/cfg_DAYS_M)</f>
        <v/>
      </c>
      <c r="Y57" s="90" t="str">
        <f aca="false">IF($B57="","",الموظفون!$O57*(cfg_EOS_R1*(MIN(AC57,cfg_EOS_TH)-MIN(AD57,cfg_EOS_TH))+cfg_EOS_R2*(MAX(AC57-cfg_EOS_TH,0)-MAX(AD57-cfg_EOS_TH,0))))</f>
        <v/>
      </c>
      <c r="Z57" s="90" t="str">
        <f aca="false">IF($B57="","",IF(الموظفون!$R57&lt;&gt;"",الموظفون!$R57,IF(AC57&gt;=cfg_LV_TH,cfg_LV_D2,cfg_LV_D1))/cfg_DAYS_Y*AE57*الموظفون!$P57/cfg_DAYS_M)</f>
        <v/>
      </c>
      <c r="AA57" s="90" t="str">
        <f aca="false">IF($B57="","",IF(AND(الموظفون!$S57="نعم",N(الموظفون!$U57)&gt;0),الموظفون!$T57/الموظفون!$U57*12/cfg_DAYS_Y*AE57,0))</f>
        <v/>
      </c>
      <c r="AB57" s="113" t="str">
        <f aca="false">IF($B57="","",R57+SUM(X57:AA57))</f>
        <v/>
      </c>
      <c r="AC57" s="114" t="str">
        <f aca="false">IF($B57="","",MAX(0,IF(OR(الموظفون!$X57="",الموظفون!$X57&gt;$G$3),$G$3,الموظفون!$X57)-الموظفون!$H57+1)/cfg_DAYS_Y)</f>
        <v/>
      </c>
      <c r="AD57" s="114" t="str">
        <f aca="false">IF($B57="","",MAX(0,IF(OR(الموظفون!$X57="",الموظفون!$X57&gt;($E$3-1)),($E$3-1),الموظفون!$X57)-الموظفون!$H57+1)/cfg_DAYS_Y)</f>
        <v/>
      </c>
      <c r="AE57" s="115" t="str">
        <f aca="false">IF($B57="","",MAX(0,IF(OR(الموظفون!$X57="",الموظفون!$X57&gt;$G$3),$G$3,الموظفون!$X57)-MAX($E$3,الموظفون!$H57)+1))</f>
        <v/>
      </c>
    </row>
    <row r="58" customFormat="false" ht="15" hidden="false" customHeight="false" outlineLevel="0" collapsed="false">
      <c r="A58" s="83" t="str">
        <f aca="false">IF($B58="","",الموظفون!$A58)</f>
        <v/>
      </c>
      <c r="B58" s="74" t="str">
        <f aca="false">IF(الموظفون!$B58="","",الموظفون!$B58)</f>
        <v/>
      </c>
      <c r="C58" s="74" t="str">
        <f aca="false">IF($B58="","",الموظفون!$C58)</f>
        <v/>
      </c>
      <c r="D58" s="74" t="str">
        <f aca="false">IF($B58="","",الموظفون!$F58)</f>
        <v/>
      </c>
      <c r="E58" s="74" t="str">
        <f aca="false">IF($B58="","",الموظفون!$E58)</f>
        <v/>
      </c>
      <c r="F58" s="105" t="str">
        <f aca="false">IF($B58="","",IF(AE58&gt;=DAY($G$3),cfg_DAYS_M,MIN(AE58,cfg_DAYS_M)))</f>
        <v/>
      </c>
      <c r="G58" s="105" t="str">
        <f aca="false">IF($B58="","",SUMIFS('الحركات الشهرية'!$D$6:$D$1005,'الحركات الشهرية'!$B$6:$B$1005,$B58,'الحركات الشهرية'!$A$6:$A$1005,$C$3))</f>
        <v/>
      </c>
      <c r="H58" s="105" t="str">
        <f aca="false">IF($B58="","",SUMIFS('الحركات الشهرية'!$E$6:$E$1005,'الحركات الشهرية'!$B$6:$B$1005,$B58,'الحركات الشهرية'!$A$6:$A$1005,$C$3))</f>
        <v/>
      </c>
      <c r="I58" s="105" t="str">
        <f aca="false">IF($B58="","",MAX(0,F58-G58-H58))</f>
        <v/>
      </c>
      <c r="J58" s="86" t="str">
        <f aca="false">IF($B58="","",الموظفون!$J58*$I58/cfg_DAYS_M)</f>
        <v/>
      </c>
      <c r="K58" s="86" t="str">
        <f aca="false">IF($B58="","",الموظفون!$K58*$I58/cfg_DAYS_M)</f>
        <v/>
      </c>
      <c r="L58" s="86" t="str">
        <f aca="false">IF($B58="","",الموظفون!$L58*$I58/cfg_DAYS_M)</f>
        <v/>
      </c>
      <c r="M58" s="86" t="str">
        <f aca="false">IF($B58="","",الموظفون!$M58*$I58/cfg_DAYS_M)</f>
        <v/>
      </c>
      <c r="N58" s="105" t="str">
        <f aca="false">IF($B58="","",SUMIFS('الحركات الشهرية'!$F$6:$F$1005,'الحركات الشهرية'!$B$6:$B$1005,$B58,'الحركات الشهرية'!$A$6:$A$1005,$C$3))</f>
        <v/>
      </c>
      <c r="O58" s="86" t="str">
        <f aca="false">IF($B58="","",N58*(الموظفون!$N58+الموظفون!$J58*cfg_OT_P)/cfg_DAYS_M/cfg_HRS)</f>
        <v/>
      </c>
      <c r="P58" s="86" t="str">
        <f aca="false">IF($B58="","",SUMIFS('الحركات الشهرية'!$G$6:$G$1005,'الحركات الشهرية'!$B$6:$B$1005,$B58,'الحركات الشهرية'!$A$6:$A$1005,$C$3))</f>
        <v/>
      </c>
      <c r="Q58" s="86" t="str">
        <f aca="false">IF($B58="","",SUMIFS('الحركات الشهرية'!$H$6:$H$1005,'الحركات الشهرية'!$B$6:$B$1005,$B58,'الحركات الشهرية'!$A$6:$A$1005,$C$3))</f>
        <v/>
      </c>
      <c r="R58" s="106" t="str">
        <f aca="false">IF($B58="","",SUM(J58:M58)+SUM(O58:Q58))</f>
        <v/>
      </c>
      <c r="S58" s="86" t="str">
        <f aca="false">IF($B58="","",الموظفون!$Q58*IF(E58="سعودي",cfg_G_SE,cfg_G_NE)*F58/cfg_DAYS_M)</f>
        <v/>
      </c>
      <c r="T58" s="86" t="str">
        <f aca="false">IF($B58="","",SUMIFS('الحركات الشهرية'!$I$6:$I$1005,'الحركات الشهرية'!$B$6:$B$1005,$B58,'الحركات الشهرية'!$A$6:$A$1005,$C$3))</f>
        <v/>
      </c>
      <c r="U58" s="86" t="str">
        <f aca="false">IF($B58="","",SUMIFS('الحركات الشهرية'!$J$6:$J$1005,'الحركات الشهرية'!$B$6:$B$1005,$B58,'الحركات الشهرية'!$A$6:$A$1005,$C$3))</f>
        <v/>
      </c>
      <c r="V58" s="86" t="str">
        <f aca="false">IF($B58="","",SUM(S58:U58))</f>
        <v/>
      </c>
      <c r="W58" s="107" t="str">
        <f aca="false">IF($B58="","",R58-V58)</f>
        <v/>
      </c>
      <c r="X58" s="86" t="str">
        <f aca="false">IF($B58="","",الموظفون!$Q58*IF(E58="سعودي",cfg_G_SR,cfg_G_NR)*F58/cfg_DAYS_M)</f>
        <v/>
      </c>
      <c r="Y58" s="86" t="str">
        <f aca="false">IF($B58="","",الموظفون!$O58*(cfg_EOS_R1*(MIN(AC58,cfg_EOS_TH)-MIN(AD58,cfg_EOS_TH))+cfg_EOS_R2*(MAX(AC58-cfg_EOS_TH,0)-MAX(AD58-cfg_EOS_TH,0))))</f>
        <v/>
      </c>
      <c r="Z58" s="86" t="str">
        <f aca="false">IF($B58="","",IF(الموظفون!$R58&lt;&gt;"",الموظفون!$R58,IF(AC58&gt;=cfg_LV_TH,cfg_LV_D2,cfg_LV_D1))/cfg_DAYS_Y*AE58*الموظفون!$P58/cfg_DAYS_M)</f>
        <v/>
      </c>
      <c r="AA58" s="86" t="str">
        <f aca="false">IF($B58="","",IF(AND(الموظفون!$S58="نعم",N(الموظفون!$U58)&gt;0),الموظفون!$T58/الموظفون!$U58*12/cfg_DAYS_Y*AE58,0))</f>
        <v/>
      </c>
      <c r="AB58" s="108" t="str">
        <f aca="false">IF($B58="","",R58+SUM(X58:AA58))</f>
        <v/>
      </c>
      <c r="AC58" s="109" t="str">
        <f aca="false">IF($B58="","",MAX(0,IF(OR(الموظفون!$X58="",الموظفون!$X58&gt;$G$3),$G$3,الموظفون!$X58)-الموظفون!$H58+1)/cfg_DAYS_Y)</f>
        <v/>
      </c>
      <c r="AD58" s="109" t="str">
        <f aca="false">IF($B58="","",MAX(0,IF(OR(الموظفون!$X58="",الموظفون!$X58&gt;($E$3-1)),($E$3-1),الموظفون!$X58)-الموظفون!$H58+1)/cfg_DAYS_Y)</f>
        <v/>
      </c>
      <c r="AE58" s="51" t="str">
        <f aca="false">IF($B58="","",MAX(0,IF(OR(الموظفون!$X58="",الموظفون!$X58&gt;$G$3),$G$3,الموظفون!$X58)-MAX($E$3,الموظفون!$H58)+1))</f>
        <v/>
      </c>
    </row>
    <row r="59" customFormat="false" ht="15" hidden="false" customHeight="false" outlineLevel="0" collapsed="false">
      <c r="A59" s="89" t="str">
        <f aca="false">IF($B59="","",الموظفون!$A59)</f>
        <v/>
      </c>
      <c r="B59" s="91" t="str">
        <f aca="false">IF(الموظفون!$B59="","",الموظفون!$B59)</f>
        <v/>
      </c>
      <c r="C59" s="91" t="str">
        <f aca="false">IF($B59="","",الموظفون!$C59)</f>
        <v/>
      </c>
      <c r="D59" s="91" t="str">
        <f aca="false">IF($B59="","",الموظفون!$F59)</f>
        <v/>
      </c>
      <c r="E59" s="91" t="str">
        <f aca="false">IF($B59="","",الموظفون!$E59)</f>
        <v/>
      </c>
      <c r="F59" s="110" t="str">
        <f aca="false">IF($B59="","",IF(AE59&gt;=DAY($G$3),cfg_DAYS_M,MIN(AE59,cfg_DAYS_M)))</f>
        <v/>
      </c>
      <c r="G59" s="110" t="str">
        <f aca="false">IF($B59="","",SUMIFS('الحركات الشهرية'!$D$6:$D$1005,'الحركات الشهرية'!$B$6:$B$1005,$B59,'الحركات الشهرية'!$A$6:$A$1005,$C$3))</f>
        <v/>
      </c>
      <c r="H59" s="110" t="str">
        <f aca="false">IF($B59="","",SUMIFS('الحركات الشهرية'!$E$6:$E$1005,'الحركات الشهرية'!$B$6:$B$1005,$B59,'الحركات الشهرية'!$A$6:$A$1005,$C$3))</f>
        <v/>
      </c>
      <c r="I59" s="110" t="str">
        <f aca="false">IF($B59="","",MAX(0,F59-G59-H59))</f>
        <v/>
      </c>
      <c r="J59" s="90" t="str">
        <f aca="false">IF($B59="","",الموظفون!$J59*$I59/cfg_DAYS_M)</f>
        <v/>
      </c>
      <c r="K59" s="90" t="str">
        <f aca="false">IF($B59="","",الموظفون!$K59*$I59/cfg_DAYS_M)</f>
        <v/>
      </c>
      <c r="L59" s="90" t="str">
        <f aca="false">IF($B59="","",الموظفون!$L59*$I59/cfg_DAYS_M)</f>
        <v/>
      </c>
      <c r="M59" s="90" t="str">
        <f aca="false">IF($B59="","",الموظفون!$M59*$I59/cfg_DAYS_M)</f>
        <v/>
      </c>
      <c r="N59" s="110" t="str">
        <f aca="false">IF($B59="","",SUMIFS('الحركات الشهرية'!$F$6:$F$1005,'الحركات الشهرية'!$B$6:$B$1005,$B59,'الحركات الشهرية'!$A$6:$A$1005,$C$3))</f>
        <v/>
      </c>
      <c r="O59" s="90" t="str">
        <f aca="false">IF($B59="","",N59*(الموظفون!$N59+الموظفون!$J59*cfg_OT_P)/cfg_DAYS_M/cfg_HRS)</f>
        <v/>
      </c>
      <c r="P59" s="90" t="str">
        <f aca="false">IF($B59="","",SUMIFS('الحركات الشهرية'!$G$6:$G$1005,'الحركات الشهرية'!$B$6:$B$1005,$B59,'الحركات الشهرية'!$A$6:$A$1005,$C$3))</f>
        <v/>
      </c>
      <c r="Q59" s="90" t="str">
        <f aca="false">IF($B59="","",SUMIFS('الحركات الشهرية'!$H$6:$H$1005,'الحركات الشهرية'!$B$6:$B$1005,$B59,'الحركات الشهرية'!$A$6:$A$1005,$C$3))</f>
        <v/>
      </c>
      <c r="R59" s="111" t="str">
        <f aca="false">IF($B59="","",SUM(J59:M59)+SUM(O59:Q59))</f>
        <v/>
      </c>
      <c r="S59" s="90" t="str">
        <f aca="false">IF($B59="","",الموظفون!$Q59*IF(E59="سعودي",cfg_G_SE,cfg_G_NE)*F59/cfg_DAYS_M)</f>
        <v/>
      </c>
      <c r="T59" s="90" t="str">
        <f aca="false">IF($B59="","",SUMIFS('الحركات الشهرية'!$I$6:$I$1005,'الحركات الشهرية'!$B$6:$B$1005,$B59,'الحركات الشهرية'!$A$6:$A$1005,$C$3))</f>
        <v/>
      </c>
      <c r="U59" s="90" t="str">
        <f aca="false">IF($B59="","",SUMIFS('الحركات الشهرية'!$J$6:$J$1005,'الحركات الشهرية'!$B$6:$B$1005,$B59,'الحركات الشهرية'!$A$6:$A$1005,$C$3))</f>
        <v/>
      </c>
      <c r="V59" s="90" t="str">
        <f aca="false">IF($B59="","",SUM(S59:U59))</f>
        <v/>
      </c>
      <c r="W59" s="112" t="str">
        <f aca="false">IF($B59="","",R59-V59)</f>
        <v/>
      </c>
      <c r="X59" s="90" t="str">
        <f aca="false">IF($B59="","",الموظفون!$Q59*IF(E59="سعودي",cfg_G_SR,cfg_G_NR)*F59/cfg_DAYS_M)</f>
        <v/>
      </c>
      <c r="Y59" s="90" t="str">
        <f aca="false">IF($B59="","",الموظفون!$O59*(cfg_EOS_R1*(MIN(AC59,cfg_EOS_TH)-MIN(AD59,cfg_EOS_TH))+cfg_EOS_R2*(MAX(AC59-cfg_EOS_TH,0)-MAX(AD59-cfg_EOS_TH,0))))</f>
        <v/>
      </c>
      <c r="Z59" s="90" t="str">
        <f aca="false">IF($B59="","",IF(الموظفون!$R59&lt;&gt;"",الموظفون!$R59,IF(AC59&gt;=cfg_LV_TH,cfg_LV_D2,cfg_LV_D1))/cfg_DAYS_Y*AE59*الموظفون!$P59/cfg_DAYS_M)</f>
        <v/>
      </c>
      <c r="AA59" s="90" t="str">
        <f aca="false">IF($B59="","",IF(AND(الموظفون!$S59="نعم",N(الموظفون!$U59)&gt;0),الموظفون!$T59/الموظفون!$U59*12/cfg_DAYS_Y*AE59,0))</f>
        <v/>
      </c>
      <c r="AB59" s="113" t="str">
        <f aca="false">IF($B59="","",R59+SUM(X59:AA59))</f>
        <v/>
      </c>
      <c r="AC59" s="114" t="str">
        <f aca="false">IF($B59="","",MAX(0,IF(OR(الموظفون!$X59="",الموظفون!$X59&gt;$G$3),$G$3,الموظفون!$X59)-الموظفون!$H59+1)/cfg_DAYS_Y)</f>
        <v/>
      </c>
      <c r="AD59" s="114" t="str">
        <f aca="false">IF($B59="","",MAX(0,IF(OR(الموظفون!$X59="",الموظفون!$X59&gt;($E$3-1)),($E$3-1),الموظفون!$X59)-الموظفون!$H59+1)/cfg_DAYS_Y)</f>
        <v/>
      </c>
      <c r="AE59" s="115" t="str">
        <f aca="false">IF($B59="","",MAX(0,IF(OR(الموظفون!$X59="",الموظفون!$X59&gt;$G$3),$G$3,الموظفون!$X59)-MAX($E$3,الموظفون!$H59)+1))</f>
        <v/>
      </c>
    </row>
    <row r="60" customFormat="false" ht="15" hidden="false" customHeight="false" outlineLevel="0" collapsed="false">
      <c r="A60" s="83" t="str">
        <f aca="false">IF($B60="","",الموظفون!$A60)</f>
        <v/>
      </c>
      <c r="B60" s="74" t="str">
        <f aca="false">IF(الموظفون!$B60="","",الموظفون!$B60)</f>
        <v/>
      </c>
      <c r="C60" s="74" t="str">
        <f aca="false">IF($B60="","",الموظفون!$C60)</f>
        <v/>
      </c>
      <c r="D60" s="74" t="str">
        <f aca="false">IF($B60="","",الموظفون!$F60)</f>
        <v/>
      </c>
      <c r="E60" s="74" t="str">
        <f aca="false">IF($B60="","",الموظفون!$E60)</f>
        <v/>
      </c>
      <c r="F60" s="105" t="str">
        <f aca="false">IF($B60="","",IF(AE60&gt;=DAY($G$3),cfg_DAYS_M,MIN(AE60,cfg_DAYS_M)))</f>
        <v/>
      </c>
      <c r="G60" s="105" t="str">
        <f aca="false">IF($B60="","",SUMIFS('الحركات الشهرية'!$D$6:$D$1005,'الحركات الشهرية'!$B$6:$B$1005,$B60,'الحركات الشهرية'!$A$6:$A$1005,$C$3))</f>
        <v/>
      </c>
      <c r="H60" s="105" t="str">
        <f aca="false">IF($B60="","",SUMIFS('الحركات الشهرية'!$E$6:$E$1005,'الحركات الشهرية'!$B$6:$B$1005,$B60,'الحركات الشهرية'!$A$6:$A$1005,$C$3))</f>
        <v/>
      </c>
      <c r="I60" s="105" t="str">
        <f aca="false">IF($B60="","",MAX(0,F60-G60-H60))</f>
        <v/>
      </c>
      <c r="J60" s="86" t="str">
        <f aca="false">IF($B60="","",الموظفون!$J60*$I60/cfg_DAYS_M)</f>
        <v/>
      </c>
      <c r="K60" s="86" t="str">
        <f aca="false">IF($B60="","",الموظفون!$K60*$I60/cfg_DAYS_M)</f>
        <v/>
      </c>
      <c r="L60" s="86" t="str">
        <f aca="false">IF($B60="","",الموظفون!$L60*$I60/cfg_DAYS_M)</f>
        <v/>
      </c>
      <c r="M60" s="86" t="str">
        <f aca="false">IF($B60="","",الموظفون!$M60*$I60/cfg_DAYS_M)</f>
        <v/>
      </c>
      <c r="N60" s="105" t="str">
        <f aca="false">IF($B60="","",SUMIFS('الحركات الشهرية'!$F$6:$F$1005,'الحركات الشهرية'!$B$6:$B$1005,$B60,'الحركات الشهرية'!$A$6:$A$1005,$C$3))</f>
        <v/>
      </c>
      <c r="O60" s="86" t="str">
        <f aca="false">IF($B60="","",N60*(الموظفون!$N60+الموظفون!$J60*cfg_OT_P)/cfg_DAYS_M/cfg_HRS)</f>
        <v/>
      </c>
      <c r="P60" s="86" t="str">
        <f aca="false">IF($B60="","",SUMIFS('الحركات الشهرية'!$G$6:$G$1005,'الحركات الشهرية'!$B$6:$B$1005,$B60,'الحركات الشهرية'!$A$6:$A$1005,$C$3))</f>
        <v/>
      </c>
      <c r="Q60" s="86" t="str">
        <f aca="false">IF($B60="","",SUMIFS('الحركات الشهرية'!$H$6:$H$1005,'الحركات الشهرية'!$B$6:$B$1005,$B60,'الحركات الشهرية'!$A$6:$A$1005,$C$3))</f>
        <v/>
      </c>
      <c r="R60" s="106" t="str">
        <f aca="false">IF($B60="","",SUM(J60:M60)+SUM(O60:Q60))</f>
        <v/>
      </c>
      <c r="S60" s="86" t="str">
        <f aca="false">IF($B60="","",الموظفون!$Q60*IF(E60="سعودي",cfg_G_SE,cfg_G_NE)*F60/cfg_DAYS_M)</f>
        <v/>
      </c>
      <c r="T60" s="86" t="str">
        <f aca="false">IF($B60="","",SUMIFS('الحركات الشهرية'!$I$6:$I$1005,'الحركات الشهرية'!$B$6:$B$1005,$B60,'الحركات الشهرية'!$A$6:$A$1005,$C$3))</f>
        <v/>
      </c>
      <c r="U60" s="86" t="str">
        <f aca="false">IF($B60="","",SUMIFS('الحركات الشهرية'!$J$6:$J$1005,'الحركات الشهرية'!$B$6:$B$1005,$B60,'الحركات الشهرية'!$A$6:$A$1005,$C$3))</f>
        <v/>
      </c>
      <c r="V60" s="86" t="str">
        <f aca="false">IF($B60="","",SUM(S60:U60))</f>
        <v/>
      </c>
      <c r="W60" s="107" t="str">
        <f aca="false">IF($B60="","",R60-V60)</f>
        <v/>
      </c>
      <c r="X60" s="86" t="str">
        <f aca="false">IF($B60="","",الموظفون!$Q60*IF(E60="سعودي",cfg_G_SR,cfg_G_NR)*F60/cfg_DAYS_M)</f>
        <v/>
      </c>
      <c r="Y60" s="86" t="str">
        <f aca="false">IF($B60="","",الموظفون!$O60*(cfg_EOS_R1*(MIN(AC60,cfg_EOS_TH)-MIN(AD60,cfg_EOS_TH))+cfg_EOS_R2*(MAX(AC60-cfg_EOS_TH,0)-MAX(AD60-cfg_EOS_TH,0))))</f>
        <v/>
      </c>
      <c r="Z60" s="86" t="str">
        <f aca="false">IF($B60="","",IF(الموظفون!$R60&lt;&gt;"",الموظفون!$R60,IF(AC60&gt;=cfg_LV_TH,cfg_LV_D2,cfg_LV_D1))/cfg_DAYS_Y*AE60*الموظفون!$P60/cfg_DAYS_M)</f>
        <v/>
      </c>
      <c r="AA60" s="86" t="str">
        <f aca="false">IF($B60="","",IF(AND(الموظفون!$S60="نعم",N(الموظفون!$U60)&gt;0),الموظفون!$T60/الموظفون!$U60*12/cfg_DAYS_Y*AE60,0))</f>
        <v/>
      </c>
      <c r="AB60" s="108" t="str">
        <f aca="false">IF($B60="","",R60+SUM(X60:AA60))</f>
        <v/>
      </c>
      <c r="AC60" s="109" t="str">
        <f aca="false">IF($B60="","",MAX(0,IF(OR(الموظفون!$X60="",الموظفون!$X60&gt;$G$3),$G$3,الموظفون!$X60)-الموظفون!$H60+1)/cfg_DAYS_Y)</f>
        <v/>
      </c>
      <c r="AD60" s="109" t="str">
        <f aca="false">IF($B60="","",MAX(0,IF(OR(الموظفون!$X60="",الموظفون!$X60&gt;($E$3-1)),($E$3-1),الموظفون!$X60)-الموظفون!$H60+1)/cfg_DAYS_Y)</f>
        <v/>
      </c>
      <c r="AE60" s="51" t="str">
        <f aca="false">IF($B60="","",MAX(0,IF(OR(الموظفون!$X60="",الموظفون!$X60&gt;$G$3),$G$3,الموظفون!$X60)-MAX($E$3,الموظفون!$H60)+1))</f>
        <v/>
      </c>
    </row>
    <row r="61" customFormat="false" ht="15" hidden="false" customHeight="false" outlineLevel="0" collapsed="false">
      <c r="A61" s="89" t="str">
        <f aca="false">IF($B61="","",الموظفون!$A61)</f>
        <v/>
      </c>
      <c r="B61" s="91" t="str">
        <f aca="false">IF(الموظفون!$B61="","",الموظفون!$B61)</f>
        <v/>
      </c>
      <c r="C61" s="91" t="str">
        <f aca="false">IF($B61="","",الموظفون!$C61)</f>
        <v/>
      </c>
      <c r="D61" s="91" t="str">
        <f aca="false">IF($B61="","",الموظفون!$F61)</f>
        <v/>
      </c>
      <c r="E61" s="91" t="str">
        <f aca="false">IF($B61="","",الموظفون!$E61)</f>
        <v/>
      </c>
      <c r="F61" s="110" t="str">
        <f aca="false">IF($B61="","",IF(AE61&gt;=DAY($G$3),cfg_DAYS_M,MIN(AE61,cfg_DAYS_M)))</f>
        <v/>
      </c>
      <c r="G61" s="110" t="str">
        <f aca="false">IF($B61="","",SUMIFS('الحركات الشهرية'!$D$6:$D$1005,'الحركات الشهرية'!$B$6:$B$1005,$B61,'الحركات الشهرية'!$A$6:$A$1005,$C$3))</f>
        <v/>
      </c>
      <c r="H61" s="110" t="str">
        <f aca="false">IF($B61="","",SUMIFS('الحركات الشهرية'!$E$6:$E$1005,'الحركات الشهرية'!$B$6:$B$1005,$B61,'الحركات الشهرية'!$A$6:$A$1005,$C$3))</f>
        <v/>
      </c>
      <c r="I61" s="110" t="str">
        <f aca="false">IF($B61="","",MAX(0,F61-G61-H61))</f>
        <v/>
      </c>
      <c r="J61" s="90" t="str">
        <f aca="false">IF($B61="","",الموظفون!$J61*$I61/cfg_DAYS_M)</f>
        <v/>
      </c>
      <c r="K61" s="90" t="str">
        <f aca="false">IF($B61="","",الموظفون!$K61*$I61/cfg_DAYS_M)</f>
        <v/>
      </c>
      <c r="L61" s="90" t="str">
        <f aca="false">IF($B61="","",الموظفون!$L61*$I61/cfg_DAYS_M)</f>
        <v/>
      </c>
      <c r="M61" s="90" t="str">
        <f aca="false">IF($B61="","",الموظفون!$M61*$I61/cfg_DAYS_M)</f>
        <v/>
      </c>
      <c r="N61" s="110" t="str">
        <f aca="false">IF($B61="","",SUMIFS('الحركات الشهرية'!$F$6:$F$1005,'الحركات الشهرية'!$B$6:$B$1005,$B61,'الحركات الشهرية'!$A$6:$A$1005,$C$3))</f>
        <v/>
      </c>
      <c r="O61" s="90" t="str">
        <f aca="false">IF($B61="","",N61*(الموظفون!$N61+الموظفون!$J61*cfg_OT_P)/cfg_DAYS_M/cfg_HRS)</f>
        <v/>
      </c>
      <c r="P61" s="90" t="str">
        <f aca="false">IF($B61="","",SUMIFS('الحركات الشهرية'!$G$6:$G$1005,'الحركات الشهرية'!$B$6:$B$1005,$B61,'الحركات الشهرية'!$A$6:$A$1005,$C$3))</f>
        <v/>
      </c>
      <c r="Q61" s="90" t="str">
        <f aca="false">IF($B61="","",SUMIFS('الحركات الشهرية'!$H$6:$H$1005,'الحركات الشهرية'!$B$6:$B$1005,$B61,'الحركات الشهرية'!$A$6:$A$1005,$C$3))</f>
        <v/>
      </c>
      <c r="R61" s="111" t="str">
        <f aca="false">IF($B61="","",SUM(J61:M61)+SUM(O61:Q61))</f>
        <v/>
      </c>
      <c r="S61" s="90" t="str">
        <f aca="false">IF($B61="","",الموظفون!$Q61*IF(E61="سعودي",cfg_G_SE,cfg_G_NE)*F61/cfg_DAYS_M)</f>
        <v/>
      </c>
      <c r="T61" s="90" t="str">
        <f aca="false">IF($B61="","",SUMIFS('الحركات الشهرية'!$I$6:$I$1005,'الحركات الشهرية'!$B$6:$B$1005,$B61,'الحركات الشهرية'!$A$6:$A$1005,$C$3))</f>
        <v/>
      </c>
      <c r="U61" s="90" t="str">
        <f aca="false">IF($B61="","",SUMIFS('الحركات الشهرية'!$J$6:$J$1005,'الحركات الشهرية'!$B$6:$B$1005,$B61,'الحركات الشهرية'!$A$6:$A$1005,$C$3))</f>
        <v/>
      </c>
      <c r="V61" s="90" t="str">
        <f aca="false">IF($B61="","",SUM(S61:U61))</f>
        <v/>
      </c>
      <c r="W61" s="112" t="str">
        <f aca="false">IF($B61="","",R61-V61)</f>
        <v/>
      </c>
      <c r="X61" s="90" t="str">
        <f aca="false">IF($B61="","",الموظفون!$Q61*IF(E61="سعودي",cfg_G_SR,cfg_G_NR)*F61/cfg_DAYS_M)</f>
        <v/>
      </c>
      <c r="Y61" s="90" t="str">
        <f aca="false">IF($B61="","",الموظفون!$O61*(cfg_EOS_R1*(MIN(AC61,cfg_EOS_TH)-MIN(AD61,cfg_EOS_TH))+cfg_EOS_R2*(MAX(AC61-cfg_EOS_TH,0)-MAX(AD61-cfg_EOS_TH,0))))</f>
        <v/>
      </c>
      <c r="Z61" s="90" t="str">
        <f aca="false">IF($B61="","",IF(الموظفون!$R61&lt;&gt;"",الموظفون!$R61,IF(AC61&gt;=cfg_LV_TH,cfg_LV_D2,cfg_LV_D1))/cfg_DAYS_Y*AE61*الموظفون!$P61/cfg_DAYS_M)</f>
        <v/>
      </c>
      <c r="AA61" s="90" t="str">
        <f aca="false">IF($B61="","",IF(AND(الموظفون!$S61="نعم",N(الموظفون!$U61)&gt;0),الموظفون!$T61/الموظفون!$U61*12/cfg_DAYS_Y*AE61,0))</f>
        <v/>
      </c>
      <c r="AB61" s="113" t="str">
        <f aca="false">IF($B61="","",R61+SUM(X61:AA61))</f>
        <v/>
      </c>
      <c r="AC61" s="114" t="str">
        <f aca="false">IF($B61="","",MAX(0,IF(OR(الموظفون!$X61="",الموظفون!$X61&gt;$G$3),$G$3,الموظفون!$X61)-الموظفون!$H61+1)/cfg_DAYS_Y)</f>
        <v/>
      </c>
      <c r="AD61" s="114" t="str">
        <f aca="false">IF($B61="","",MAX(0,IF(OR(الموظفون!$X61="",الموظفون!$X61&gt;($E$3-1)),($E$3-1),الموظفون!$X61)-الموظفون!$H61+1)/cfg_DAYS_Y)</f>
        <v/>
      </c>
      <c r="AE61" s="115" t="str">
        <f aca="false">IF($B61="","",MAX(0,IF(OR(الموظفون!$X61="",الموظفون!$X61&gt;$G$3),$G$3,الموظفون!$X61)-MAX($E$3,الموظفون!$H61)+1))</f>
        <v/>
      </c>
    </row>
    <row r="62" customFormat="false" ht="15" hidden="false" customHeight="false" outlineLevel="0" collapsed="false">
      <c r="A62" s="83" t="str">
        <f aca="false">IF($B62="","",الموظفون!$A62)</f>
        <v/>
      </c>
      <c r="B62" s="74" t="str">
        <f aca="false">IF(الموظفون!$B62="","",الموظفون!$B62)</f>
        <v/>
      </c>
      <c r="C62" s="74" t="str">
        <f aca="false">IF($B62="","",الموظفون!$C62)</f>
        <v/>
      </c>
      <c r="D62" s="74" t="str">
        <f aca="false">IF($B62="","",الموظفون!$F62)</f>
        <v/>
      </c>
      <c r="E62" s="74" t="str">
        <f aca="false">IF($B62="","",الموظفون!$E62)</f>
        <v/>
      </c>
      <c r="F62" s="105" t="str">
        <f aca="false">IF($B62="","",IF(AE62&gt;=DAY($G$3),cfg_DAYS_M,MIN(AE62,cfg_DAYS_M)))</f>
        <v/>
      </c>
      <c r="G62" s="105" t="str">
        <f aca="false">IF($B62="","",SUMIFS('الحركات الشهرية'!$D$6:$D$1005,'الحركات الشهرية'!$B$6:$B$1005,$B62,'الحركات الشهرية'!$A$6:$A$1005,$C$3))</f>
        <v/>
      </c>
      <c r="H62" s="105" t="str">
        <f aca="false">IF($B62="","",SUMIFS('الحركات الشهرية'!$E$6:$E$1005,'الحركات الشهرية'!$B$6:$B$1005,$B62,'الحركات الشهرية'!$A$6:$A$1005,$C$3))</f>
        <v/>
      </c>
      <c r="I62" s="105" t="str">
        <f aca="false">IF($B62="","",MAX(0,F62-G62-H62))</f>
        <v/>
      </c>
      <c r="J62" s="86" t="str">
        <f aca="false">IF($B62="","",الموظفون!$J62*$I62/cfg_DAYS_M)</f>
        <v/>
      </c>
      <c r="K62" s="86" t="str">
        <f aca="false">IF($B62="","",الموظفون!$K62*$I62/cfg_DAYS_M)</f>
        <v/>
      </c>
      <c r="L62" s="86" t="str">
        <f aca="false">IF($B62="","",الموظفون!$L62*$I62/cfg_DAYS_M)</f>
        <v/>
      </c>
      <c r="M62" s="86" t="str">
        <f aca="false">IF($B62="","",الموظفون!$M62*$I62/cfg_DAYS_M)</f>
        <v/>
      </c>
      <c r="N62" s="105" t="str">
        <f aca="false">IF($B62="","",SUMIFS('الحركات الشهرية'!$F$6:$F$1005,'الحركات الشهرية'!$B$6:$B$1005,$B62,'الحركات الشهرية'!$A$6:$A$1005,$C$3))</f>
        <v/>
      </c>
      <c r="O62" s="86" t="str">
        <f aca="false">IF($B62="","",N62*(الموظفون!$N62+الموظفون!$J62*cfg_OT_P)/cfg_DAYS_M/cfg_HRS)</f>
        <v/>
      </c>
      <c r="P62" s="86" t="str">
        <f aca="false">IF($B62="","",SUMIFS('الحركات الشهرية'!$G$6:$G$1005,'الحركات الشهرية'!$B$6:$B$1005,$B62,'الحركات الشهرية'!$A$6:$A$1005,$C$3))</f>
        <v/>
      </c>
      <c r="Q62" s="86" t="str">
        <f aca="false">IF($B62="","",SUMIFS('الحركات الشهرية'!$H$6:$H$1005,'الحركات الشهرية'!$B$6:$B$1005,$B62,'الحركات الشهرية'!$A$6:$A$1005,$C$3))</f>
        <v/>
      </c>
      <c r="R62" s="106" t="str">
        <f aca="false">IF($B62="","",SUM(J62:M62)+SUM(O62:Q62))</f>
        <v/>
      </c>
      <c r="S62" s="86" t="str">
        <f aca="false">IF($B62="","",الموظفون!$Q62*IF(E62="سعودي",cfg_G_SE,cfg_G_NE)*F62/cfg_DAYS_M)</f>
        <v/>
      </c>
      <c r="T62" s="86" t="str">
        <f aca="false">IF($B62="","",SUMIFS('الحركات الشهرية'!$I$6:$I$1005,'الحركات الشهرية'!$B$6:$B$1005,$B62,'الحركات الشهرية'!$A$6:$A$1005,$C$3))</f>
        <v/>
      </c>
      <c r="U62" s="86" t="str">
        <f aca="false">IF($B62="","",SUMIFS('الحركات الشهرية'!$J$6:$J$1005,'الحركات الشهرية'!$B$6:$B$1005,$B62,'الحركات الشهرية'!$A$6:$A$1005,$C$3))</f>
        <v/>
      </c>
      <c r="V62" s="86" t="str">
        <f aca="false">IF($B62="","",SUM(S62:U62))</f>
        <v/>
      </c>
      <c r="W62" s="107" t="str">
        <f aca="false">IF($B62="","",R62-V62)</f>
        <v/>
      </c>
      <c r="X62" s="86" t="str">
        <f aca="false">IF($B62="","",الموظفون!$Q62*IF(E62="سعودي",cfg_G_SR,cfg_G_NR)*F62/cfg_DAYS_M)</f>
        <v/>
      </c>
      <c r="Y62" s="86" t="str">
        <f aca="false">IF($B62="","",الموظفون!$O62*(cfg_EOS_R1*(MIN(AC62,cfg_EOS_TH)-MIN(AD62,cfg_EOS_TH))+cfg_EOS_R2*(MAX(AC62-cfg_EOS_TH,0)-MAX(AD62-cfg_EOS_TH,0))))</f>
        <v/>
      </c>
      <c r="Z62" s="86" t="str">
        <f aca="false">IF($B62="","",IF(الموظفون!$R62&lt;&gt;"",الموظفون!$R62,IF(AC62&gt;=cfg_LV_TH,cfg_LV_D2,cfg_LV_D1))/cfg_DAYS_Y*AE62*الموظفون!$P62/cfg_DAYS_M)</f>
        <v/>
      </c>
      <c r="AA62" s="86" t="str">
        <f aca="false">IF($B62="","",IF(AND(الموظفون!$S62="نعم",N(الموظفون!$U62)&gt;0),الموظفون!$T62/الموظفون!$U62*12/cfg_DAYS_Y*AE62,0))</f>
        <v/>
      </c>
      <c r="AB62" s="108" t="str">
        <f aca="false">IF($B62="","",R62+SUM(X62:AA62))</f>
        <v/>
      </c>
      <c r="AC62" s="109" t="str">
        <f aca="false">IF($B62="","",MAX(0,IF(OR(الموظفون!$X62="",الموظفون!$X62&gt;$G$3),$G$3,الموظفون!$X62)-الموظفون!$H62+1)/cfg_DAYS_Y)</f>
        <v/>
      </c>
      <c r="AD62" s="109" t="str">
        <f aca="false">IF($B62="","",MAX(0,IF(OR(الموظفون!$X62="",الموظفون!$X62&gt;($E$3-1)),($E$3-1),الموظفون!$X62)-الموظفون!$H62+1)/cfg_DAYS_Y)</f>
        <v/>
      </c>
      <c r="AE62" s="51" t="str">
        <f aca="false">IF($B62="","",MAX(0,IF(OR(الموظفون!$X62="",الموظفون!$X62&gt;$G$3),$G$3,الموظفون!$X62)-MAX($E$3,الموظفون!$H62)+1))</f>
        <v/>
      </c>
    </row>
    <row r="63" customFormat="false" ht="15" hidden="false" customHeight="false" outlineLevel="0" collapsed="false">
      <c r="A63" s="89" t="str">
        <f aca="false">IF($B63="","",الموظفون!$A63)</f>
        <v/>
      </c>
      <c r="B63" s="91" t="str">
        <f aca="false">IF(الموظفون!$B63="","",الموظفون!$B63)</f>
        <v/>
      </c>
      <c r="C63" s="91" t="str">
        <f aca="false">IF($B63="","",الموظفون!$C63)</f>
        <v/>
      </c>
      <c r="D63" s="91" t="str">
        <f aca="false">IF($B63="","",الموظفون!$F63)</f>
        <v/>
      </c>
      <c r="E63" s="91" t="str">
        <f aca="false">IF($B63="","",الموظفون!$E63)</f>
        <v/>
      </c>
      <c r="F63" s="110" t="str">
        <f aca="false">IF($B63="","",IF(AE63&gt;=DAY($G$3),cfg_DAYS_M,MIN(AE63,cfg_DAYS_M)))</f>
        <v/>
      </c>
      <c r="G63" s="110" t="str">
        <f aca="false">IF($B63="","",SUMIFS('الحركات الشهرية'!$D$6:$D$1005,'الحركات الشهرية'!$B$6:$B$1005,$B63,'الحركات الشهرية'!$A$6:$A$1005,$C$3))</f>
        <v/>
      </c>
      <c r="H63" s="110" t="str">
        <f aca="false">IF($B63="","",SUMIFS('الحركات الشهرية'!$E$6:$E$1005,'الحركات الشهرية'!$B$6:$B$1005,$B63,'الحركات الشهرية'!$A$6:$A$1005,$C$3))</f>
        <v/>
      </c>
      <c r="I63" s="110" t="str">
        <f aca="false">IF($B63="","",MAX(0,F63-G63-H63))</f>
        <v/>
      </c>
      <c r="J63" s="90" t="str">
        <f aca="false">IF($B63="","",الموظفون!$J63*$I63/cfg_DAYS_M)</f>
        <v/>
      </c>
      <c r="K63" s="90" t="str">
        <f aca="false">IF($B63="","",الموظفون!$K63*$I63/cfg_DAYS_M)</f>
        <v/>
      </c>
      <c r="L63" s="90" t="str">
        <f aca="false">IF($B63="","",الموظفون!$L63*$I63/cfg_DAYS_M)</f>
        <v/>
      </c>
      <c r="M63" s="90" t="str">
        <f aca="false">IF($B63="","",الموظفون!$M63*$I63/cfg_DAYS_M)</f>
        <v/>
      </c>
      <c r="N63" s="110" t="str">
        <f aca="false">IF($B63="","",SUMIFS('الحركات الشهرية'!$F$6:$F$1005,'الحركات الشهرية'!$B$6:$B$1005,$B63,'الحركات الشهرية'!$A$6:$A$1005,$C$3))</f>
        <v/>
      </c>
      <c r="O63" s="90" t="str">
        <f aca="false">IF($B63="","",N63*(الموظفون!$N63+الموظفون!$J63*cfg_OT_P)/cfg_DAYS_M/cfg_HRS)</f>
        <v/>
      </c>
      <c r="P63" s="90" t="str">
        <f aca="false">IF($B63="","",SUMIFS('الحركات الشهرية'!$G$6:$G$1005,'الحركات الشهرية'!$B$6:$B$1005,$B63,'الحركات الشهرية'!$A$6:$A$1005,$C$3))</f>
        <v/>
      </c>
      <c r="Q63" s="90" t="str">
        <f aca="false">IF($B63="","",SUMIFS('الحركات الشهرية'!$H$6:$H$1005,'الحركات الشهرية'!$B$6:$B$1005,$B63,'الحركات الشهرية'!$A$6:$A$1005,$C$3))</f>
        <v/>
      </c>
      <c r="R63" s="111" t="str">
        <f aca="false">IF($B63="","",SUM(J63:M63)+SUM(O63:Q63))</f>
        <v/>
      </c>
      <c r="S63" s="90" t="str">
        <f aca="false">IF($B63="","",الموظفون!$Q63*IF(E63="سعودي",cfg_G_SE,cfg_G_NE)*F63/cfg_DAYS_M)</f>
        <v/>
      </c>
      <c r="T63" s="90" t="str">
        <f aca="false">IF($B63="","",SUMIFS('الحركات الشهرية'!$I$6:$I$1005,'الحركات الشهرية'!$B$6:$B$1005,$B63,'الحركات الشهرية'!$A$6:$A$1005,$C$3))</f>
        <v/>
      </c>
      <c r="U63" s="90" t="str">
        <f aca="false">IF($B63="","",SUMIFS('الحركات الشهرية'!$J$6:$J$1005,'الحركات الشهرية'!$B$6:$B$1005,$B63,'الحركات الشهرية'!$A$6:$A$1005,$C$3))</f>
        <v/>
      </c>
      <c r="V63" s="90" t="str">
        <f aca="false">IF($B63="","",SUM(S63:U63))</f>
        <v/>
      </c>
      <c r="W63" s="112" t="str">
        <f aca="false">IF($B63="","",R63-V63)</f>
        <v/>
      </c>
      <c r="X63" s="90" t="str">
        <f aca="false">IF($B63="","",الموظفون!$Q63*IF(E63="سعودي",cfg_G_SR,cfg_G_NR)*F63/cfg_DAYS_M)</f>
        <v/>
      </c>
      <c r="Y63" s="90" t="str">
        <f aca="false">IF($B63="","",الموظفون!$O63*(cfg_EOS_R1*(MIN(AC63,cfg_EOS_TH)-MIN(AD63,cfg_EOS_TH))+cfg_EOS_R2*(MAX(AC63-cfg_EOS_TH,0)-MAX(AD63-cfg_EOS_TH,0))))</f>
        <v/>
      </c>
      <c r="Z63" s="90" t="str">
        <f aca="false">IF($B63="","",IF(الموظفون!$R63&lt;&gt;"",الموظفون!$R63,IF(AC63&gt;=cfg_LV_TH,cfg_LV_D2,cfg_LV_D1))/cfg_DAYS_Y*AE63*الموظفون!$P63/cfg_DAYS_M)</f>
        <v/>
      </c>
      <c r="AA63" s="90" t="str">
        <f aca="false">IF($B63="","",IF(AND(الموظفون!$S63="نعم",N(الموظفون!$U63)&gt;0),الموظفون!$T63/الموظفون!$U63*12/cfg_DAYS_Y*AE63,0))</f>
        <v/>
      </c>
      <c r="AB63" s="113" t="str">
        <f aca="false">IF($B63="","",R63+SUM(X63:AA63))</f>
        <v/>
      </c>
      <c r="AC63" s="114" t="str">
        <f aca="false">IF($B63="","",MAX(0,IF(OR(الموظفون!$X63="",الموظفون!$X63&gt;$G$3),$G$3,الموظفون!$X63)-الموظفون!$H63+1)/cfg_DAYS_Y)</f>
        <v/>
      </c>
      <c r="AD63" s="114" t="str">
        <f aca="false">IF($B63="","",MAX(0,IF(OR(الموظفون!$X63="",الموظفون!$X63&gt;($E$3-1)),($E$3-1),الموظفون!$X63)-الموظفون!$H63+1)/cfg_DAYS_Y)</f>
        <v/>
      </c>
      <c r="AE63" s="115" t="str">
        <f aca="false">IF($B63="","",MAX(0,IF(OR(الموظفون!$X63="",الموظفون!$X63&gt;$G$3),$G$3,الموظفون!$X63)-MAX($E$3,الموظفون!$H63)+1))</f>
        <v/>
      </c>
    </row>
    <row r="64" customFormat="false" ht="15" hidden="false" customHeight="false" outlineLevel="0" collapsed="false">
      <c r="A64" s="83" t="str">
        <f aca="false">IF($B64="","",الموظفون!$A64)</f>
        <v/>
      </c>
      <c r="B64" s="74" t="str">
        <f aca="false">IF(الموظفون!$B64="","",الموظفون!$B64)</f>
        <v/>
      </c>
      <c r="C64" s="74" t="str">
        <f aca="false">IF($B64="","",الموظفون!$C64)</f>
        <v/>
      </c>
      <c r="D64" s="74" t="str">
        <f aca="false">IF($B64="","",الموظفون!$F64)</f>
        <v/>
      </c>
      <c r="E64" s="74" t="str">
        <f aca="false">IF($B64="","",الموظفون!$E64)</f>
        <v/>
      </c>
      <c r="F64" s="105" t="str">
        <f aca="false">IF($B64="","",IF(AE64&gt;=DAY($G$3),cfg_DAYS_M,MIN(AE64,cfg_DAYS_M)))</f>
        <v/>
      </c>
      <c r="G64" s="105" t="str">
        <f aca="false">IF($B64="","",SUMIFS('الحركات الشهرية'!$D$6:$D$1005,'الحركات الشهرية'!$B$6:$B$1005,$B64,'الحركات الشهرية'!$A$6:$A$1005,$C$3))</f>
        <v/>
      </c>
      <c r="H64" s="105" t="str">
        <f aca="false">IF($B64="","",SUMIFS('الحركات الشهرية'!$E$6:$E$1005,'الحركات الشهرية'!$B$6:$B$1005,$B64,'الحركات الشهرية'!$A$6:$A$1005,$C$3))</f>
        <v/>
      </c>
      <c r="I64" s="105" t="str">
        <f aca="false">IF($B64="","",MAX(0,F64-G64-H64))</f>
        <v/>
      </c>
      <c r="J64" s="86" t="str">
        <f aca="false">IF($B64="","",الموظفون!$J64*$I64/cfg_DAYS_M)</f>
        <v/>
      </c>
      <c r="K64" s="86" t="str">
        <f aca="false">IF($B64="","",الموظفون!$K64*$I64/cfg_DAYS_M)</f>
        <v/>
      </c>
      <c r="L64" s="86" t="str">
        <f aca="false">IF($B64="","",الموظفون!$L64*$I64/cfg_DAYS_M)</f>
        <v/>
      </c>
      <c r="M64" s="86" t="str">
        <f aca="false">IF($B64="","",الموظفون!$M64*$I64/cfg_DAYS_M)</f>
        <v/>
      </c>
      <c r="N64" s="105" t="str">
        <f aca="false">IF($B64="","",SUMIFS('الحركات الشهرية'!$F$6:$F$1005,'الحركات الشهرية'!$B$6:$B$1005,$B64,'الحركات الشهرية'!$A$6:$A$1005,$C$3))</f>
        <v/>
      </c>
      <c r="O64" s="86" t="str">
        <f aca="false">IF($B64="","",N64*(الموظفون!$N64+الموظفون!$J64*cfg_OT_P)/cfg_DAYS_M/cfg_HRS)</f>
        <v/>
      </c>
      <c r="P64" s="86" t="str">
        <f aca="false">IF($B64="","",SUMIFS('الحركات الشهرية'!$G$6:$G$1005,'الحركات الشهرية'!$B$6:$B$1005,$B64,'الحركات الشهرية'!$A$6:$A$1005,$C$3))</f>
        <v/>
      </c>
      <c r="Q64" s="86" t="str">
        <f aca="false">IF($B64="","",SUMIFS('الحركات الشهرية'!$H$6:$H$1005,'الحركات الشهرية'!$B$6:$B$1005,$B64,'الحركات الشهرية'!$A$6:$A$1005,$C$3))</f>
        <v/>
      </c>
      <c r="R64" s="106" t="str">
        <f aca="false">IF($B64="","",SUM(J64:M64)+SUM(O64:Q64))</f>
        <v/>
      </c>
      <c r="S64" s="86" t="str">
        <f aca="false">IF($B64="","",الموظفون!$Q64*IF(E64="سعودي",cfg_G_SE,cfg_G_NE)*F64/cfg_DAYS_M)</f>
        <v/>
      </c>
      <c r="T64" s="86" t="str">
        <f aca="false">IF($B64="","",SUMIFS('الحركات الشهرية'!$I$6:$I$1005,'الحركات الشهرية'!$B$6:$B$1005,$B64,'الحركات الشهرية'!$A$6:$A$1005,$C$3))</f>
        <v/>
      </c>
      <c r="U64" s="86" t="str">
        <f aca="false">IF($B64="","",SUMIFS('الحركات الشهرية'!$J$6:$J$1005,'الحركات الشهرية'!$B$6:$B$1005,$B64,'الحركات الشهرية'!$A$6:$A$1005,$C$3))</f>
        <v/>
      </c>
      <c r="V64" s="86" t="str">
        <f aca="false">IF($B64="","",SUM(S64:U64))</f>
        <v/>
      </c>
      <c r="W64" s="107" t="str">
        <f aca="false">IF($B64="","",R64-V64)</f>
        <v/>
      </c>
      <c r="X64" s="86" t="str">
        <f aca="false">IF($B64="","",الموظفون!$Q64*IF(E64="سعودي",cfg_G_SR,cfg_G_NR)*F64/cfg_DAYS_M)</f>
        <v/>
      </c>
      <c r="Y64" s="86" t="str">
        <f aca="false">IF($B64="","",الموظفون!$O64*(cfg_EOS_R1*(MIN(AC64,cfg_EOS_TH)-MIN(AD64,cfg_EOS_TH))+cfg_EOS_R2*(MAX(AC64-cfg_EOS_TH,0)-MAX(AD64-cfg_EOS_TH,0))))</f>
        <v/>
      </c>
      <c r="Z64" s="86" t="str">
        <f aca="false">IF($B64="","",IF(الموظفون!$R64&lt;&gt;"",الموظفون!$R64,IF(AC64&gt;=cfg_LV_TH,cfg_LV_D2,cfg_LV_D1))/cfg_DAYS_Y*AE64*الموظفون!$P64/cfg_DAYS_M)</f>
        <v/>
      </c>
      <c r="AA64" s="86" t="str">
        <f aca="false">IF($B64="","",IF(AND(الموظفون!$S64="نعم",N(الموظفون!$U64)&gt;0),الموظفون!$T64/الموظفون!$U64*12/cfg_DAYS_Y*AE64,0))</f>
        <v/>
      </c>
      <c r="AB64" s="108" t="str">
        <f aca="false">IF($B64="","",R64+SUM(X64:AA64))</f>
        <v/>
      </c>
      <c r="AC64" s="109" t="str">
        <f aca="false">IF($B64="","",MAX(0,IF(OR(الموظفون!$X64="",الموظفون!$X64&gt;$G$3),$G$3,الموظفون!$X64)-الموظفون!$H64+1)/cfg_DAYS_Y)</f>
        <v/>
      </c>
      <c r="AD64" s="109" t="str">
        <f aca="false">IF($B64="","",MAX(0,IF(OR(الموظفون!$X64="",الموظفون!$X64&gt;($E$3-1)),($E$3-1),الموظفون!$X64)-الموظفون!$H64+1)/cfg_DAYS_Y)</f>
        <v/>
      </c>
      <c r="AE64" s="51" t="str">
        <f aca="false">IF($B64="","",MAX(0,IF(OR(الموظفون!$X64="",الموظفون!$X64&gt;$G$3),$G$3,الموظفون!$X64)-MAX($E$3,الموظفون!$H64)+1))</f>
        <v/>
      </c>
    </row>
    <row r="65" customFormat="false" ht="15" hidden="false" customHeight="false" outlineLevel="0" collapsed="false">
      <c r="A65" s="89" t="str">
        <f aca="false">IF($B65="","",الموظفون!$A65)</f>
        <v/>
      </c>
      <c r="B65" s="91" t="str">
        <f aca="false">IF(الموظفون!$B65="","",الموظفون!$B65)</f>
        <v/>
      </c>
      <c r="C65" s="91" t="str">
        <f aca="false">IF($B65="","",الموظفون!$C65)</f>
        <v/>
      </c>
      <c r="D65" s="91" t="str">
        <f aca="false">IF($B65="","",الموظفون!$F65)</f>
        <v/>
      </c>
      <c r="E65" s="91" t="str">
        <f aca="false">IF($B65="","",الموظفون!$E65)</f>
        <v/>
      </c>
      <c r="F65" s="110" t="str">
        <f aca="false">IF($B65="","",IF(AE65&gt;=DAY($G$3),cfg_DAYS_M,MIN(AE65,cfg_DAYS_M)))</f>
        <v/>
      </c>
      <c r="G65" s="110" t="str">
        <f aca="false">IF($B65="","",SUMIFS('الحركات الشهرية'!$D$6:$D$1005,'الحركات الشهرية'!$B$6:$B$1005,$B65,'الحركات الشهرية'!$A$6:$A$1005,$C$3))</f>
        <v/>
      </c>
      <c r="H65" s="110" t="str">
        <f aca="false">IF($B65="","",SUMIFS('الحركات الشهرية'!$E$6:$E$1005,'الحركات الشهرية'!$B$6:$B$1005,$B65,'الحركات الشهرية'!$A$6:$A$1005,$C$3))</f>
        <v/>
      </c>
      <c r="I65" s="110" t="str">
        <f aca="false">IF($B65="","",MAX(0,F65-G65-H65))</f>
        <v/>
      </c>
      <c r="J65" s="90" t="str">
        <f aca="false">IF($B65="","",الموظفون!$J65*$I65/cfg_DAYS_M)</f>
        <v/>
      </c>
      <c r="K65" s="90" t="str">
        <f aca="false">IF($B65="","",الموظفون!$K65*$I65/cfg_DAYS_M)</f>
        <v/>
      </c>
      <c r="L65" s="90" t="str">
        <f aca="false">IF($B65="","",الموظفون!$L65*$I65/cfg_DAYS_M)</f>
        <v/>
      </c>
      <c r="M65" s="90" t="str">
        <f aca="false">IF($B65="","",الموظفون!$M65*$I65/cfg_DAYS_M)</f>
        <v/>
      </c>
      <c r="N65" s="110" t="str">
        <f aca="false">IF($B65="","",SUMIFS('الحركات الشهرية'!$F$6:$F$1005,'الحركات الشهرية'!$B$6:$B$1005,$B65,'الحركات الشهرية'!$A$6:$A$1005,$C$3))</f>
        <v/>
      </c>
      <c r="O65" s="90" t="str">
        <f aca="false">IF($B65="","",N65*(الموظفون!$N65+الموظفون!$J65*cfg_OT_P)/cfg_DAYS_M/cfg_HRS)</f>
        <v/>
      </c>
      <c r="P65" s="90" t="str">
        <f aca="false">IF($B65="","",SUMIFS('الحركات الشهرية'!$G$6:$G$1005,'الحركات الشهرية'!$B$6:$B$1005,$B65,'الحركات الشهرية'!$A$6:$A$1005,$C$3))</f>
        <v/>
      </c>
      <c r="Q65" s="90" t="str">
        <f aca="false">IF($B65="","",SUMIFS('الحركات الشهرية'!$H$6:$H$1005,'الحركات الشهرية'!$B$6:$B$1005,$B65,'الحركات الشهرية'!$A$6:$A$1005,$C$3))</f>
        <v/>
      </c>
      <c r="R65" s="111" t="str">
        <f aca="false">IF($B65="","",SUM(J65:M65)+SUM(O65:Q65))</f>
        <v/>
      </c>
      <c r="S65" s="90" t="str">
        <f aca="false">IF($B65="","",الموظفون!$Q65*IF(E65="سعودي",cfg_G_SE,cfg_G_NE)*F65/cfg_DAYS_M)</f>
        <v/>
      </c>
      <c r="T65" s="90" t="str">
        <f aca="false">IF($B65="","",SUMIFS('الحركات الشهرية'!$I$6:$I$1005,'الحركات الشهرية'!$B$6:$B$1005,$B65,'الحركات الشهرية'!$A$6:$A$1005,$C$3))</f>
        <v/>
      </c>
      <c r="U65" s="90" t="str">
        <f aca="false">IF($B65="","",SUMIFS('الحركات الشهرية'!$J$6:$J$1005,'الحركات الشهرية'!$B$6:$B$1005,$B65,'الحركات الشهرية'!$A$6:$A$1005,$C$3))</f>
        <v/>
      </c>
      <c r="V65" s="90" t="str">
        <f aca="false">IF($B65="","",SUM(S65:U65))</f>
        <v/>
      </c>
      <c r="W65" s="112" t="str">
        <f aca="false">IF($B65="","",R65-V65)</f>
        <v/>
      </c>
      <c r="X65" s="90" t="str">
        <f aca="false">IF($B65="","",الموظفون!$Q65*IF(E65="سعودي",cfg_G_SR,cfg_G_NR)*F65/cfg_DAYS_M)</f>
        <v/>
      </c>
      <c r="Y65" s="90" t="str">
        <f aca="false">IF($B65="","",الموظفون!$O65*(cfg_EOS_R1*(MIN(AC65,cfg_EOS_TH)-MIN(AD65,cfg_EOS_TH))+cfg_EOS_R2*(MAX(AC65-cfg_EOS_TH,0)-MAX(AD65-cfg_EOS_TH,0))))</f>
        <v/>
      </c>
      <c r="Z65" s="90" t="str">
        <f aca="false">IF($B65="","",IF(الموظفون!$R65&lt;&gt;"",الموظفون!$R65,IF(AC65&gt;=cfg_LV_TH,cfg_LV_D2,cfg_LV_D1))/cfg_DAYS_Y*AE65*الموظفون!$P65/cfg_DAYS_M)</f>
        <v/>
      </c>
      <c r="AA65" s="90" t="str">
        <f aca="false">IF($B65="","",IF(AND(الموظفون!$S65="نعم",N(الموظفون!$U65)&gt;0),الموظفون!$T65/الموظفون!$U65*12/cfg_DAYS_Y*AE65,0))</f>
        <v/>
      </c>
      <c r="AB65" s="113" t="str">
        <f aca="false">IF($B65="","",R65+SUM(X65:AA65))</f>
        <v/>
      </c>
      <c r="AC65" s="114" t="str">
        <f aca="false">IF($B65="","",MAX(0,IF(OR(الموظفون!$X65="",الموظفون!$X65&gt;$G$3),$G$3,الموظفون!$X65)-الموظفون!$H65+1)/cfg_DAYS_Y)</f>
        <v/>
      </c>
      <c r="AD65" s="114" t="str">
        <f aca="false">IF($B65="","",MAX(0,IF(OR(الموظفون!$X65="",الموظفون!$X65&gt;($E$3-1)),($E$3-1),الموظفون!$X65)-الموظفون!$H65+1)/cfg_DAYS_Y)</f>
        <v/>
      </c>
      <c r="AE65" s="115" t="str">
        <f aca="false">IF($B65="","",MAX(0,IF(OR(الموظفون!$X65="",الموظفون!$X65&gt;$G$3),$G$3,الموظفون!$X65)-MAX($E$3,الموظفون!$H65)+1))</f>
        <v/>
      </c>
    </row>
    <row r="66" customFormat="false" ht="15" hidden="false" customHeight="false" outlineLevel="0" collapsed="false">
      <c r="A66" s="83" t="str">
        <f aca="false">IF($B66="","",الموظفون!$A66)</f>
        <v/>
      </c>
      <c r="B66" s="74" t="str">
        <f aca="false">IF(الموظفون!$B66="","",الموظفون!$B66)</f>
        <v/>
      </c>
      <c r="C66" s="74" t="str">
        <f aca="false">IF($B66="","",الموظفون!$C66)</f>
        <v/>
      </c>
      <c r="D66" s="74" t="str">
        <f aca="false">IF($B66="","",الموظفون!$F66)</f>
        <v/>
      </c>
      <c r="E66" s="74" t="str">
        <f aca="false">IF($B66="","",الموظفون!$E66)</f>
        <v/>
      </c>
      <c r="F66" s="105" t="str">
        <f aca="false">IF($B66="","",IF(AE66&gt;=DAY($G$3),cfg_DAYS_M,MIN(AE66,cfg_DAYS_M)))</f>
        <v/>
      </c>
      <c r="G66" s="105" t="str">
        <f aca="false">IF($B66="","",SUMIFS('الحركات الشهرية'!$D$6:$D$1005,'الحركات الشهرية'!$B$6:$B$1005,$B66,'الحركات الشهرية'!$A$6:$A$1005,$C$3))</f>
        <v/>
      </c>
      <c r="H66" s="105" t="str">
        <f aca="false">IF($B66="","",SUMIFS('الحركات الشهرية'!$E$6:$E$1005,'الحركات الشهرية'!$B$6:$B$1005,$B66,'الحركات الشهرية'!$A$6:$A$1005,$C$3))</f>
        <v/>
      </c>
      <c r="I66" s="105" t="str">
        <f aca="false">IF($B66="","",MAX(0,F66-G66-H66))</f>
        <v/>
      </c>
      <c r="J66" s="86" t="str">
        <f aca="false">IF($B66="","",الموظفون!$J66*$I66/cfg_DAYS_M)</f>
        <v/>
      </c>
      <c r="K66" s="86" t="str">
        <f aca="false">IF($B66="","",الموظفون!$K66*$I66/cfg_DAYS_M)</f>
        <v/>
      </c>
      <c r="L66" s="86" t="str">
        <f aca="false">IF($B66="","",الموظفون!$L66*$I66/cfg_DAYS_M)</f>
        <v/>
      </c>
      <c r="M66" s="86" t="str">
        <f aca="false">IF($B66="","",الموظفون!$M66*$I66/cfg_DAYS_M)</f>
        <v/>
      </c>
      <c r="N66" s="105" t="str">
        <f aca="false">IF($B66="","",SUMIFS('الحركات الشهرية'!$F$6:$F$1005,'الحركات الشهرية'!$B$6:$B$1005,$B66,'الحركات الشهرية'!$A$6:$A$1005,$C$3))</f>
        <v/>
      </c>
      <c r="O66" s="86" t="str">
        <f aca="false">IF($B66="","",N66*(الموظفون!$N66+الموظفون!$J66*cfg_OT_P)/cfg_DAYS_M/cfg_HRS)</f>
        <v/>
      </c>
      <c r="P66" s="86" t="str">
        <f aca="false">IF($B66="","",SUMIFS('الحركات الشهرية'!$G$6:$G$1005,'الحركات الشهرية'!$B$6:$B$1005,$B66,'الحركات الشهرية'!$A$6:$A$1005,$C$3))</f>
        <v/>
      </c>
      <c r="Q66" s="86" t="str">
        <f aca="false">IF($B66="","",SUMIFS('الحركات الشهرية'!$H$6:$H$1005,'الحركات الشهرية'!$B$6:$B$1005,$B66,'الحركات الشهرية'!$A$6:$A$1005,$C$3))</f>
        <v/>
      </c>
      <c r="R66" s="106" t="str">
        <f aca="false">IF($B66="","",SUM(J66:M66)+SUM(O66:Q66))</f>
        <v/>
      </c>
      <c r="S66" s="86" t="str">
        <f aca="false">IF($B66="","",الموظفون!$Q66*IF(E66="سعودي",cfg_G_SE,cfg_G_NE)*F66/cfg_DAYS_M)</f>
        <v/>
      </c>
      <c r="T66" s="86" t="str">
        <f aca="false">IF($B66="","",SUMIFS('الحركات الشهرية'!$I$6:$I$1005,'الحركات الشهرية'!$B$6:$B$1005,$B66,'الحركات الشهرية'!$A$6:$A$1005,$C$3))</f>
        <v/>
      </c>
      <c r="U66" s="86" t="str">
        <f aca="false">IF($B66="","",SUMIFS('الحركات الشهرية'!$J$6:$J$1005,'الحركات الشهرية'!$B$6:$B$1005,$B66,'الحركات الشهرية'!$A$6:$A$1005,$C$3))</f>
        <v/>
      </c>
      <c r="V66" s="86" t="str">
        <f aca="false">IF($B66="","",SUM(S66:U66))</f>
        <v/>
      </c>
      <c r="W66" s="107" t="str">
        <f aca="false">IF($B66="","",R66-V66)</f>
        <v/>
      </c>
      <c r="X66" s="86" t="str">
        <f aca="false">IF($B66="","",الموظفون!$Q66*IF(E66="سعودي",cfg_G_SR,cfg_G_NR)*F66/cfg_DAYS_M)</f>
        <v/>
      </c>
      <c r="Y66" s="86" t="str">
        <f aca="false">IF($B66="","",الموظفون!$O66*(cfg_EOS_R1*(MIN(AC66,cfg_EOS_TH)-MIN(AD66,cfg_EOS_TH))+cfg_EOS_R2*(MAX(AC66-cfg_EOS_TH,0)-MAX(AD66-cfg_EOS_TH,0))))</f>
        <v/>
      </c>
      <c r="Z66" s="86" t="str">
        <f aca="false">IF($B66="","",IF(الموظفون!$R66&lt;&gt;"",الموظفون!$R66,IF(AC66&gt;=cfg_LV_TH,cfg_LV_D2,cfg_LV_D1))/cfg_DAYS_Y*AE66*الموظفون!$P66/cfg_DAYS_M)</f>
        <v/>
      </c>
      <c r="AA66" s="86" t="str">
        <f aca="false">IF($B66="","",IF(AND(الموظفون!$S66="نعم",N(الموظفون!$U66)&gt;0),الموظفون!$T66/الموظفون!$U66*12/cfg_DAYS_Y*AE66,0))</f>
        <v/>
      </c>
      <c r="AB66" s="108" t="str">
        <f aca="false">IF($B66="","",R66+SUM(X66:AA66))</f>
        <v/>
      </c>
      <c r="AC66" s="109" t="str">
        <f aca="false">IF($B66="","",MAX(0,IF(OR(الموظفون!$X66="",الموظفون!$X66&gt;$G$3),$G$3,الموظفون!$X66)-الموظفون!$H66+1)/cfg_DAYS_Y)</f>
        <v/>
      </c>
      <c r="AD66" s="109" t="str">
        <f aca="false">IF($B66="","",MAX(0,IF(OR(الموظفون!$X66="",الموظفون!$X66&gt;($E$3-1)),($E$3-1),الموظفون!$X66)-الموظفون!$H66+1)/cfg_DAYS_Y)</f>
        <v/>
      </c>
      <c r="AE66" s="51" t="str">
        <f aca="false">IF($B66="","",MAX(0,IF(OR(الموظفون!$X66="",الموظفون!$X66&gt;$G$3),$G$3,الموظفون!$X66)-MAX($E$3,الموظفون!$H66)+1))</f>
        <v/>
      </c>
    </row>
    <row r="67" customFormat="false" ht="15" hidden="false" customHeight="false" outlineLevel="0" collapsed="false">
      <c r="A67" s="89" t="str">
        <f aca="false">IF($B67="","",الموظفون!$A67)</f>
        <v/>
      </c>
      <c r="B67" s="91" t="str">
        <f aca="false">IF(الموظفون!$B67="","",الموظفون!$B67)</f>
        <v/>
      </c>
      <c r="C67" s="91" t="str">
        <f aca="false">IF($B67="","",الموظفون!$C67)</f>
        <v/>
      </c>
      <c r="D67" s="91" t="str">
        <f aca="false">IF($B67="","",الموظفون!$F67)</f>
        <v/>
      </c>
      <c r="E67" s="91" t="str">
        <f aca="false">IF($B67="","",الموظفون!$E67)</f>
        <v/>
      </c>
      <c r="F67" s="110" t="str">
        <f aca="false">IF($B67="","",IF(AE67&gt;=DAY($G$3),cfg_DAYS_M,MIN(AE67,cfg_DAYS_M)))</f>
        <v/>
      </c>
      <c r="G67" s="110" t="str">
        <f aca="false">IF($B67="","",SUMIFS('الحركات الشهرية'!$D$6:$D$1005,'الحركات الشهرية'!$B$6:$B$1005,$B67,'الحركات الشهرية'!$A$6:$A$1005,$C$3))</f>
        <v/>
      </c>
      <c r="H67" s="110" t="str">
        <f aca="false">IF($B67="","",SUMIFS('الحركات الشهرية'!$E$6:$E$1005,'الحركات الشهرية'!$B$6:$B$1005,$B67,'الحركات الشهرية'!$A$6:$A$1005,$C$3))</f>
        <v/>
      </c>
      <c r="I67" s="110" t="str">
        <f aca="false">IF($B67="","",MAX(0,F67-G67-H67))</f>
        <v/>
      </c>
      <c r="J67" s="90" t="str">
        <f aca="false">IF($B67="","",الموظفون!$J67*$I67/cfg_DAYS_M)</f>
        <v/>
      </c>
      <c r="K67" s="90" t="str">
        <f aca="false">IF($B67="","",الموظفون!$K67*$I67/cfg_DAYS_M)</f>
        <v/>
      </c>
      <c r="L67" s="90" t="str">
        <f aca="false">IF($B67="","",الموظفون!$L67*$I67/cfg_DAYS_M)</f>
        <v/>
      </c>
      <c r="M67" s="90" t="str">
        <f aca="false">IF($B67="","",الموظفون!$M67*$I67/cfg_DAYS_M)</f>
        <v/>
      </c>
      <c r="N67" s="110" t="str">
        <f aca="false">IF($B67="","",SUMIFS('الحركات الشهرية'!$F$6:$F$1005,'الحركات الشهرية'!$B$6:$B$1005,$B67,'الحركات الشهرية'!$A$6:$A$1005,$C$3))</f>
        <v/>
      </c>
      <c r="O67" s="90" t="str">
        <f aca="false">IF($B67="","",N67*(الموظفون!$N67+الموظفون!$J67*cfg_OT_P)/cfg_DAYS_M/cfg_HRS)</f>
        <v/>
      </c>
      <c r="P67" s="90" t="str">
        <f aca="false">IF($B67="","",SUMIFS('الحركات الشهرية'!$G$6:$G$1005,'الحركات الشهرية'!$B$6:$B$1005,$B67,'الحركات الشهرية'!$A$6:$A$1005,$C$3))</f>
        <v/>
      </c>
      <c r="Q67" s="90" t="str">
        <f aca="false">IF($B67="","",SUMIFS('الحركات الشهرية'!$H$6:$H$1005,'الحركات الشهرية'!$B$6:$B$1005,$B67,'الحركات الشهرية'!$A$6:$A$1005,$C$3))</f>
        <v/>
      </c>
      <c r="R67" s="111" t="str">
        <f aca="false">IF($B67="","",SUM(J67:M67)+SUM(O67:Q67))</f>
        <v/>
      </c>
      <c r="S67" s="90" t="str">
        <f aca="false">IF($B67="","",الموظفون!$Q67*IF(E67="سعودي",cfg_G_SE,cfg_G_NE)*F67/cfg_DAYS_M)</f>
        <v/>
      </c>
      <c r="T67" s="90" t="str">
        <f aca="false">IF($B67="","",SUMIFS('الحركات الشهرية'!$I$6:$I$1005,'الحركات الشهرية'!$B$6:$B$1005,$B67,'الحركات الشهرية'!$A$6:$A$1005,$C$3))</f>
        <v/>
      </c>
      <c r="U67" s="90" t="str">
        <f aca="false">IF($B67="","",SUMIFS('الحركات الشهرية'!$J$6:$J$1005,'الحركات الشهرية'!$B$6:$B$1005,$B67,'الحركات الشهرية'!$A$6:$A$1005,$C$3))</f>
        <v/>
      </c>
      <c r="V67" s="90" t="str">
        <f aca="false">IF($B67="","",SUM(S67:U67))</f>
        <v/>
      </c>
      <c r="W67" s="112" t="str">
        <f aca="false">IF($B67="","",R67-V67)</f>
        <v/>
      </c>
      <c r="X67" s="90" t="str">
        <f aca="false">IF($B67="","",الموظفون!$Q67*IF(E67="سعودي",cfg_G_SR,cfg_G_NR)*F67/cfg_DAYS_M)</f>
        <v/>
      </c>
      <c r="Y67" s="90" t="str">
        <f aca="false">IF($B67="","",الموظفون!$O67*(cfg_EOS_R1*(MIN(AC67,cfg_EOS_TH)-MIN(AD67,cfg_EOS_TH))+cfg_EOS_R2*(MAX(AC67-cfg_EOS_TH,0)-MAX(AD67-cfg_EOS_TH,0))))</f>
        <v/>
      </c>
      <c r="Z67" s="90" t="str">
        <f aca="false">IF($B67="","",IF(الموظفون!$R67&lt;&gt;"",الموظفون!$R67,IF(AC67&gt;=cfg_LV_TH,cfg_LV_D2,cfg_LV_D1))/cfg_DAYS_Y*AE67*الموظفون!$P67/cfg_DAYS_M)</f>
        <v/>
      </c>
      <c r="AA67" s="90" t="str">
        <f aca="false">IF($B67="","",IF(AND(الموظفون!$S67="نعم",N(الموظفون!$U67)&gt;0),الموظفون!$T67/الموظفون!$U67*12/cfg_DAYS_Y*AE67,0))</f>
        <v/>
      </c>
      <c r="AB67" s="113" t="str">
        <f aca="false">IF($B67="","",R67+SUM(X67:AA67))</f>
        <v/>
      </c>
      <c r="AC67" s="114" t="str">
        <f aca="false">IF($B67="","",MAX(0,IF(OR(الموظفون!$X67="",الموظفون!$X67&gt;$G$3),$G$3,الموظفون!$X67)-الموظفون!$H67+1)/cfg_DAYS_Y)</f>
        <v/>
      </c>
      <c r="AD67" s="114" t="str">
        <f aca="false">IF($B67="","",MAX(0,IF(OR(الموظفون!$X67="",الموظفون!$X67&gt;($E$3-1)),($E$3-1),الموظفون!$X67)-الموظفون!$H67+1)/cfg_DAYS_Y)</f>
        <v/>
      </c>
      <c r="AE67" s="115" t="str">
        <f aca="false">IF($B67="","",MAX(0,IF(OR(الموظفون!$X67="",الموظفون!$X67&gt;$G$3),$G$3,الموظفون!$X67)-MAX($E$3,الموظفون!$H67)+1))</f>
        <v/>
      </c>
    </row>
    <row r="68" customFormat="false" ht="15" hidden="false" customHeight="false" outlineLevel="0" collapsed="false">
      <c r="A68" s="83" t="str">
        <f aca="false">IF($B68="","",الموظفون!$A68)</f>
        <v/>
      </c>
      <c r="B68" s="74" t="str">
        <f aca="false">IF(الموظفون!$B68="","",الموظفون!$B68)</f>
        <v/>
      </c>
      <c r="C68" s="74" t="str">
        <f aca="false">IF($B68="","",الموظفون!$C68)</f>
        <v/>
      </c>
      <c r="D68" s="74" t="str">
        <f aca="false">IF($B68="","",الموظفون!$F68)</f>
        <v/>
      </c>
      <c r="E68" s="74" t="str">
        <f aca="false">IF($B68="","",الموظفون!$E68)</f>
        <v/>
      </c>
      <c r="F68" s="105" t="str">
        <f aca="false">IF($B68="","",IF(AE68&gt;=DAY($G$3),cfg_DAYS_M,MIN(AE68,cfg_DAYS_M)))</f>
        <v/>
      </c>
      <c r="G68" s="105" t="str">
        <f aca="false">IF($B68="","",SUMIFS('الحركات الشهرية'!$D$6:$D$1005,'الحركات الشهرية'!$B$6:$B$1005,$B68,'الحركات الشهرية'!$A$6:$A$1005,$C$3))</f>
        <v/>
      </c>
      <c r="H68" s="105" t="str">
        <f aca="false">IF($B68="","",SUMIFS('الحركات الشهرية'!$E$6:$E$1005,'الحركات الشهرية'!$B$6:$B$1005,$B68,'الحركات الشهرية'!$A$6:$A$1005,$C$3))</f>
        <v/>
      </c>
      <c r="I68" s="105" t="str">
        <f aca="false">IF($B68="","",MAX(0,F68-G68-H68))</f>
        <v/>
      </c>
      <c r="J68" s="86" t="str">
        <f aca="false">IF($B68="","",الموظفون!$J68*$I68/cfg_DAYS_M)</f>
        <v/>
      </c>
      <c r="K68" s="86" t="str">
        <f aca="false">IF($B68="","",الموظفون!$K68*$I68/cfg_DAYS_M)</f>
        <v/>
      </c>
      <c r="L68" s="86" t="str">
        <f aca="false">IF($B68="","",الموظفون!$L68*$I68/cfg_DAYS_M)</f>
        <v/>
      </c>
      <c r="M68" s="86" t="str">
        <f aca="false">IF($B68="","",الموظفون!$M68*$I68/cfg_DAYS_M)</f>
        <v/>
      </c>
      <c r="N68" s="105" t="str">
        <f aca="false">IF($B68="","",SUMIFS('الحركات الشهرية'!$F$6:$F$1005,'الحركات الشهرية'!$B$6:$B$1005,$B68,'الحركات الشهرية'!$A$6:$A$1005,$C$3))</f>
        <v/>
      </c>
      <c r="O68" s="86" t="str">
        <f aca="false">IF($B68="","",N68*(الموظفون!$N68+الموظفون!$J68*cfg_OT_P)/cfg_DAYS_M/cfg_HRS)</f>
        <v/>
      </c>
      <c r="P68" s="86" t="str">
        <f aca="false">IF($B68="","",SUMIFS('الحركات الشهرية'!$G$6:$G$1005,'الحركات الشهرية'!$B$6:$B$1005,$B68,'الحركات الشهرية'!$A$6:$A$1005,$C$3))</f>
        <v/>
      </c>
      <c r="Q68" s="86" t="str">
        <f aca="false">IF($B68="","",SUMIFS('الحركات الشهرية'!$H$6:$H$1005,'الحركات الشهرية'!$B$6:$B$1005,$B68,'الحركات الشهرية'!$A$6:$A$1005,$C$3))</f>
        <v/>
      </c>
      <c r="R68" s="106" t="str">
        <f aca="false">IF($B68="","",SUM(J68:M68)+SUM(O68:Q68))</f>
        <v/>
      </c>
      <c r="S68" s="86" t="str">
        <f aca="false">IF($B68="","",الموظفون!$Q68*IF(E68="سعودي",cfg_G_SE,cfg_G_NE)*F68/cfg_DAYS_M)</f>
        <v/>
      </c>
      <c r="T68" s="86" t="str">
        <f aca="false">IF($B68="","",SUMIFS('الحركات الشهرية'!$I$6:$I$1005,'الحركات الشهرية'!$B$6:$B$1005,$B68,'الحركات الشهرية'!$A$6:$A$1005,$C$3))</f>
        <v/>
      </c>
      <c r="U68" s="86" t="str">
        <f aca="false">IF($B68="","",SUMIFS('الحركات الشهرية'!$J$6:$J$1005,'الحركات الشهرية'!$B$6:$B$1005,$B68,'الحركات الشهرية'!$A$6:$A$1005,$C$3))</f>
        <v/>
      </c>
      <c r="V68" s="86" t="str">
        <f aca="false">IF($B68="","",SUM(S68:U68))</f>
        <v/>
      </c>
      <c r="W68" s="107" t="str">
        <f aca="false">IF($B68="","",R68-V68)</f>
        <v/>
      </c>
      <c r="X68" s="86" t="str">
        <f aca="false">IF($B68="","",الموظفون!$Q68*IF(E68="سعودي",cfg_G_SR,cfg_G_NR)*F68/cfg_DAYS_M)</f>
        <v/>
      </c>
      <c r="Y68" s="86" t="str">
        <f aca="false">IF($B68="","",الموظفون!$O68*(cfg_EOS_R1*(MIN(AC68,cfg_EOS_TH)-MIN(AD68,cfg_EOS_TH))+cfg_EOS_R2*(MAX(AC68-cfg_EOS_TH,0)-MAX(AD68-cfg_EOS_TH,0))))</f>
        <v/>
      </c>
      <c r="Z68" s="86" t="str">
        <f aca="false">IF($B68="","",IF(الموظفون!$R68&lt;&gt;"",الموظفون!$R68,IF(AC68&gt;=cfg_LV_TH,cfg_LV_D2,cfg_LV_D1))/cfg_DAYS_Y*AE68*الموظفون!$P68/cfg_DAYS_M)</f>
        <v/>
      </c>
      <c r="AA68" s="86" t="str">
        <f aca="false">IF($B68="","",IF(AND(الموظفون!$S68="نعم",N(الموظفون!$U68)&gt;0),الموظفون!$T68/الموظفون!$U68*12/cfg_DAYS_Y*AE68,0))</f>
        <v/>
      </c>
      <c r="AB68" s="108" t="str">
        <f aca="false">IF($B68="","",R68+SUM(X68:AA68))</f>
        <v/>
      </c>
      <c r="AC68" s="109" t="str">
        <f aca="false">IF($B68="","",MAX(0,IF(OR(الموظفون!$X68="",الموظفون!$X68&gt;$G$3),$G$3,الموظفون!$X68)-الموظفون!$H68+1)/cfg_DAYS_Y)</f>
        <v/>
      </c>
      <c r="AD68" s="109" t="str">
        <f aca="false">IF($B68="","",MAX(0,IF(OR(الموظفون!$X68="",الموظفون!$X68&gt;($E$3-1)),($E$3-1),الموظفون!$X68)-الموظفون!$H68+1)/cfg_DAYS_Y)</f>
        <v/>
      </c>
      <c r="AE68" s="51" t="str">
        <f aca="false">IF($B68="","",MAX(0,IF(OR(الموظفون!$X68="",الموظفون!$X68&gt;$G$3),$G$3,الموظفون!$X68)-MAX($E$3,الموظفون!$H68)+1))</f>
        <v/>
      </c>
    </row>
    <row r="69" customFormat="false" ht="15" hidden="false" customHeight="false" outlineLevel="0" collapsed="false">
      <c r="A69" s="89" t="str">
        <f aca="false">IF($B69="","",الموظفون!$A69)</f>
        <v/>
      </c>
      <c r="B69" s="91" t="str">
        <f aca="false">IF(الموظفون!$B69="","",الموظفون!$B69)</f>
        <v/>
      </c>
      <c r="C69" s="91" t="str">
        <f aca="false">IF($B69="","",الموظفون!$C69)</f>
        <v/>
      </c>
      <c r="D69" s="91" t="str">
        <f aca="false">IF($B69="","",الموظفون!$F69)</f>
        <v/>
      </c>
      <c r="E69" s="91" t="str">
        <f aca="false">IF($B69="","",الموظفون!$E69)</f>
        <v/>
      </c>
      <c r="F69" s="110" t="str">
        <f aca="false">IF($B69="","",IF(AE69&gt;=DAY($G$3),cfg_DAYS_M,MIN(AE69,cfg_DAYS_M)))</f>
        <v/>
      </c>
      <c r="G69" s="110" t="str">
        <f aca="false">IF($B69="","",SUMIFS('الحركات الشهرية'!$D$6:$D$1005,'الحركات الشهرية'!$B$6:$B$1005,$B69,'الحركات الشهرية'!$A$6:$A$1005,$C$3))</f>
        <v/>
      </c>
      <c r="H69" s="110" t="str">
        <f aca="false">IF($B69="","",SUMIFS('الحركات الشهرية'!$E$6:$E$1005,'الحركات الشهرية'!$B$6:$B$1005,$B69,'الحركات الشهرية'!$A$6:$A$1005,$C$3))</f>
        <v/>
      </c>
      <c r="I69" s="110" t="str">
        <f aca="false">IF($B69="","",MAX(0,F69-G69-H69))</f>
        <v/>
      </c>
      <c r="J69" s="90" t="str">
        <f aca="false">IF($B69="","",الموظفون!$J69*$I69/cfg_DAYS_M)</f>
        <v/>
      </c>
      <c r="K69" s="90" t="str">
        <f aca="false">IF($B69="","",الموظفون!$K69*$I69/cfg_DAYS_M)</f>
        <v/>
      </c>
      <c r="L69" s="90" t="str">
        <f aca="false">IF($B69="","",الموظفون!$L69*$I69/cfg_DAYS_M)</f>
        <v/>
      </c>
      <c r="M69" s="90" t="str">
        <f aca="false">IF($B69="","",الموظفون!$M69*$I69/cfg_DAYS_M)</f>
        <v/>
      </c>
      <c r="N69" s="110" t="str">
        <f aca="false">IF($B69="","",SUMIFS('الحركات الشهرية'!$F$6:$F$1005,'الحركات الشهرية'!$B$6:$B$1005,$B69,'الحركات الشهرية'!$A$6:$A$1005,$C$3))</f>
        <v/>
      </c>
      <c r="O69" s="90" t="str">
        <f aca="false">IF($B69="","",N69*(الموظفون!$N69+الموظفون!$J69*cfg_OT_P)/cfg_DAYS_M/cfg_HRS)</f>
        <v/>
      </c>
      <c r="P69" s="90" t="str">
        <f aca="false">IF($B69="","",SUMIFS('الحركات الشهرية'!$G$6:$G$1005,'الحركات الشهرية'!$B$6:$B$1005,$B69,'الحركات الشهرية'!$A$6:$A$1005,$C$3))</f>
        <v/>
      </c>
      <c r="Q69" s="90" t="str">
        <f aca="false">IF($B69="","",SUMIFS('الحركات الشهرية'!$H$6:$H$1005,'الحركات الشهرية'!$B$6:$B$1005,$B69,'الحركات الشهرية'!$A$6:$A$1005,$C$3))</f>
        <v/>
      </c>
      <c r="R69" s="111" t="str">
        <f aca="false">IF($B69="","",SUM(J69:M69)+SUM(O69:Q69))</f>
        <v/>
      </c>
      <c r="S69" s="90" t="str">
        <f aca="false">IF($B69="","",الموظفون!$Q69*IF(E69="سعودي",cfg_G_SE,cfg_G_NE)*F69/cfg_DAYS_M)</f>
        <v/>
      </c>
      <c r="T69" s="90" t="str">
        <f aca="false">IF($B69="","",SUMIFS('الحركات الشهرية'!$I$6:$I$1005,'الحركات الشهرية'!$B$6:$B$1005,$B69,'الحركات الشهرية'!$A$6:$A$1005,$C$3))</f>
        <v/>
      </c>
      <c r="U69" s="90" t="str">
        <f aca="false">IF($B69="","",SUMIFS('الحركات الشهرية'!$J$6:$J$1005,'الحركات الشهرية'!$B$6:$B$1005,$B69,'الحركات الشهرية'!$A$6:$A$1005,$C$3))</f>
        <v/>
      </c>
      <c r="V69" s="90" t="str">
        <f aca="false">IF($B69="","",SUM(S69:U69))</f>
        <v/>
      </c>
      <c r="W69" s="112" t="str">
        <f aca="false">IF($B69="","",R69-V69)</f>
        <v/>
      </c>
      <c r="X69" s="90" t="str">
        <f aca="false">IF($B69="","",الموظفون!$Q69*IF(E69="سعودي",cfg_G_SR,cfg_G_NR)*F69/cfg_DAYS_M)</f>
        <v/>
      </c>
      <c r="Y69" s="90" t="str">
        <f aca="false">IF($B69="","",الموظفون!$O69*(cfg_EOS_R1*(MIN(AC69,cfg_EOS_TH)-MIN(AD69,cfg_EOS_TH))+cfg_EOS_R2*(MAX(AC69-cfg_EOS_TH,0)-MAX(AD69-cfg_EOS_TH,0))))</f>
        <v/>
      </c>
      <c r="Z69" s="90" t="str">
        <f aca="false">IF($B69="","",IF(الموظفون!$R69&lt;&gt;"",الموظفون!$R69,IF(AC69&gt;=cfg_LV_TH,cfg_LV_D2,cfg_LV_D1))/cfg_DAYS_Y*AE69*الموظفون!$P69/cfg_DAYS_M)</f>
        <v/>
      </c>
      <c r="AA69" s="90" t="str">
        <f aca="false">IF($B69="","",IF(AND(الموظفون!$S69="نعم",N(الموظفون!$U69)&gt;0),الموظفون!$T69/الموظفون!$U69*12/cfg_DAYS_Y*AE69,0))</f>
        <v/>
      </c>
      <c r="AB69" s="113" t="str">
        <f aca="false">IF($B69="","",R69+SUM(X69:AA69))</f>
        <v/>
      </c>
      <c r="AC69" s="114" t="str">
        <f aca="false">IF($B69="","",MAX(0,IF(OR(الموظفون!$X69="",الموظفون!$X69&gt;$G$3),$G$3,الموظفون!$X69)-الموظفون!$H69+1)/cfg_DAYS_Y)</f>
        <v/>
      </c>
      <c r="AD69" s="114" t="str">
        <f aca="false">IF($B69="","",MAX(0,IF(OR(الموظفون!$X69="",الموظفون!$X69&gt;($E$3-1)),($E$3-1),الموظفون!$X69)-الموظفون!$H69+1)/cfg_DAYS_Y)</f>
        <v/>
      </c>
      <c r="AE69" s="115" t="str">
        <f aca="false">IF($B69="","",MAX(0,IF(OR(الموظفون!$X69="",الموظفون!$X69&gt;$G$3),$G$3,الموظفون!$X69)-MAX($E$3,الموظفون!$H69)+1))</f>
        <v/>
      </c>
    </row>
    <row r="70" customFormat="false" ht="15" hidden="false" customHeight="false" outlineLevel="0" collapsed="false">
      <c r="A70" s="83" t="str">
        <f aca="false">IF($B70="","",الموظفون!$A70)</f>
        <v/>
      </c>
      <c r="B70" s="74" t="str">
        <f aca="false">IF(الموظفون!$B70="","",الموظفون!$B70)</f>
        <v/>
      </c>
      <c r="C70" s="74" t="str">
        <f aca="false">IF($B70="","",الموظفون!$C70)</f>
        <v/>
      </c>
      <c r="D70" s="74" t="str">
        <f aca="false">IF($B70="","",الموظفون!$F70)</f>
        <v/>
      </c>
      <c r="E70" s="74" t="str">
        <f aca="false">IF($B70="","",الموظفون!$E70)</f>
        <v/>
      </c>
      <c r="F70" s="105" t="str">
        <f aca="false">IF($B70="","",IF(AE70&gt;=DAY($G$3),cfg_DAYS_M,MIN(AE70,cfg_DAYS_M)))</f>
        <v/>
      </c>
      <c r="G70" s="105" t="str">
        <f aca="false">IF($B70="","",SUMIFS('الحركات الشهرية'!$D$6:$D$1005,'الحركات الشهرية'!$B$6:$B$1005,$B70,'الحركات الشهرية'!$A$6:$A$1005,$C$3))</f>
        <v/>
      </c>
      <c r="H70" s="105" t="str">
        <f aca="false">IF($B70="","",SUMIFS('الحركات الشهرية'!$E$6:$E$1005,'الحركات الشهرية'!$B$6:$B$1005,$B70,'الحركات الشهرية'!$A$6:$A$1005,$C$3))</f>
        <v/>
      </c>
      <c r="I70" s="105" t="str">
        <f aca="false">IF($B70="","",MAX(0,F70-G70-H70))</f>
        <v/>
      </c>
      <c r="J70" s="86" t="str">
        <f aca="false">IF($B70="","",الموظفون!$J70*$I70/cfg_DAYS_M)</f>
        <v/>
      </c>
      <c r="K70" s="86" t="str">
        <f aca="false">IF($B70="","",الموظفون!$K70*$I70/cfg_DAYS_M)</f>
        <v/>
      </c>
      <c r="L70" s="86" t="str">
        <f aca="false">IF($B70="","",الموظفون!$L70*$I70/cfg_DAYS_M)</f>
        <v/>
      </c>
      <c r="M70" s="86" t="str">
        <f aca="false">IF($B70="","",الموظفون!$M70*$I70/cfg_DAYS_M)</f>
        <v/>
      </c>
      <c r="N70" s="105" t="str">
        <f aca="false">IF($B70="","",SUMIFS('الحركات الشهرية'!$F$6:$F$1005,'الحركات الشهرية'!$B$6:$B$1005,$B70,'الحركات الشهرية'!$A$6:$A$1005,$C$3))</f>
        <v/>
      </c>
      <c r="O70" s="86" t="str">
        <f aca="false">IF($B70="","",N70*(الموظفون!$N70+الموظفون!$J70*cfg_OT_P)/cfg_DAYS_M/cfg_HRS)</f>
        <v/>
      </c>
      <c r="P70" s="86" t="str">
        <f aca="false">IF($B70="","",SUMIFS('الحركات الشهرية'!$G$6:$G$1005,'الحركات الشهرية'!$B$6:$B$1005,$B70,'الحركات الشهرية'!$A$6:$A$1005,$C$3))</f>
        <v/>
      </c>
      <c r="Q70" s="86" t="str">
        <f aca="false">IF($B70="","",SUMIFS('الحركات الشهرية'!$H$6:$H$1005,'الحركات الشهرية'!$B$6:$B$1005,$B70,'الحركات الشهرية'!$A$6:$A$1005,$C$3))</f>
        <v/>
      </c>
      <c r="R70" s="106" t="str">
        <f aca="false">IF($B70="","",SUM(J70:M70)+SUM(O70:Q70))</f>
        <v/>
      </c>
      <c r="S70" s="86" t="str">
        <f aca="false">IF($B70="","",الموظفون!$Q70*IF(E70="سعودي",cfg_G_SE,cfg_G_NE)*F70/cfg_DAYS_M)</f>
        <v/>
      </c>
      <c r="T70" s="86" t="str">
        <f aca="false">IF($B70="","",SUMIFS('الحركات الشهرية'!$I$6:$I$1005,'الحركات الشهرية'!$B$6:$B$1005,$B70,'الحركات الشهرية'!$A$6:$A$1005,$C$3))</f>
        <v/>
      </c>
      <c r="U70" s="86" t="str">
        <f aca="false">IF($B70="","",SUMIFS('الحركات الشهرية'!$J$6:$J$1005,'الحركات الشهرية'!$B$6:$B$1005,$B70,'الحركات الشهرية'!$A$6:$A$1005,$C$3))</f>
        <v/>
      </c>
      <c r="V70" s="86" t="str">
        <f aca="false">IF($B70="","",SUM(S70:U70))</f>
        <v/>
      </c>
      <c r="W70" s="107" t="str">
        <f aca="false">IF($B70="","",R70-V70)</f>
        <v/>
      </c>
      <c r="X70" s="86" t="str">
        <f aca="false">IF($B70="","",الموظفون!$Q70*IF(E70="سعودي",cfg_G_SR,cfg_G_NR)*F70/cfg_DAYS_M)</f>
        <v/>
      </c>
      <c r="Y70" s="86" t="str">
        <f aca="false">IF($B70="","",الموظفون!$O70*(cfg_EOS_R1*(MIN(AC70,cfg_EOS_TH)-MIN(AD70,cfg_EOS_TH))+cfg_EOS_R2*(MAX(AC70-cfg_EOS_TH,0)-MAX(AD70-cfg_EOS_TH,0))))</f>
        <v/>
      </c>
      <c r="Z70" s="86" t="str">
        <f aca="false">IF($B70="","",IF(الموظفون!$R70&lt;&gt;"",الموظفون!$R70,IF(AC70&gt;=cfg_LV_TH,cfg_LV_D2,cfg_LV_D1))/cfg_DAYS_Y*AE70*الموظفون!$P70/cfg_DAYS_M)</f>
        <v/>
      </c>
      <c r="AA70" s="86" t="str">
        <f aca="false">IF($B70="","",IF(AND(الموظفون!$S70="نعم",N(الموظفون!$U70)&gt;0),الموظفون!$T70/الموظفون!$U70*12/cfg_DAYS_Y*AE70,0))</f>
        <v/>
      </c>
      <c r="AB70" s="108" t="str">
        <f aca="false">IF($B70="","",R70+SUM(X70:AA70))</f>
        <v/>
      </c>
      <c r="AC70" s="109" t="str">
        <f aca="false">IF($B70="","",MAX(0,IF(OR(الموظفون!$X70="",الموظفون!$X70&gt;$G$3),$G$3,الموظفون!$X70)-الموظفون!$H70+1)/cfg_DAYS_Y)</f>
        <v/>
      </c>
      <c r="AD70" s="109" t="str">
        <f aca="false">IF($B70="","",MAX(0,IF(OR(الموظفون!$X70="",الموظفون!$X70&gt;($E$3-1)),($E$3-1),الموظفون!$X70)-الموظفون!$H70+1)/cfg_DAYS_Y)</f>
        <v/>
      </c>
      <c r="AE70" s="51" t="str">
        <f aca="false">IF($B70="","",MAX(0,IF(OR(الموظفون!$X70="",الموظفون!$X70&gt;$G$3),$G$3,الموظفون!$X70)-MAX($E$3,الموظفون!$H70)+1))</f>
        <v/>
      </c>
    </row>
    <row r="71" customFormat="false" ht="15" hidden="false" customHeight="false" outlineLevel="0" collapsed="false">
      <c r="A71" s="89" t="str">
        <f aca="false">IF($B71="","",الموظفون!$A71)</f>
        <v/>
      </c>
      <c r="B71" s="91" t="str">
        <f aca="false">IF(الموظفون!$B71="","",الموظفون!$B71)</f>
        <v/>
      </c>
      <c r="C71" s="91" t="str">
        <f aca="false">IF($B71="","",الموظفون!$C71)</f>
        <v/>
      </c>
      <c r="D71" s="91" t="str">
        <f aca="false">IF($B71="","",الموظفون!$F71)</f>
        <v/>
      </c>
      <c r="E71" s="91" t="str">
        <f aca="false">IF($B71="","",الموظفون!$E71)</f>
        <v/>
      </c>
      <c r="F71" s="110" t="str">
        <f aca="false">IF($B71="","",IF(AE71&gt;=DAY($G$3),cfg_DAYS_M,MIN(AE71,cfg_DAYS_M)))</f>
        <v/>
      </c>
      <c r="G71" s="110" t="str">
        <f aca="false">IF($B71="","",SUMIFS('الحركات الشهرية'!$D$6:$D$1005,'الحركات الشهرية'!$B$6:$B$1005,$B71,'الحركات الشهرية'!$A$6:$A$1005,$C$3))</f>
        <v/>
      </c>
      <c r="H71" s="110" t="str">
        <f aca="false">IF($B71="","",SUMIFS('الحركات الشهرية'!$E$6:$E$1005,'الحركات الشهرية'!$B$6:$B$1005,$B71,'الحركات الشهرية'!$A$6:$A$1005,$C$3))</f>
        <v/>
      </c>
      <c r="I71" s="110" t="str">
        <f aca="false">IF($B71="","",MAX(0,F71-G71-H71))</f>
        <v/>
      </c>
      <c r="J71" s="90" t="str">
        <f aca="false">IF($B71="","",الموظفون!$J71*$I71/cfg_DAYS_M)</f>
        <v/>
      </c>
      <c r="K71" s="90" t="str">
        <f aca="false">IF($B71="","",الموظفون!$K71*$I71/cfg_DAYS_M)</f>
        <v/>
      </c>
      <c r="L71" s="90" t="str">
        <f aca="false">IF($B71="","",الموظفون!$L71*$I71/cfg_DAYS_M)</f>
        <v/>
      </c>
      <c r="M71" s="90" t="str">
        <f aca="false">IF($B71="","",الموظفون!$M71*$I71/cfg_DAYS_M)</f>
        <v/>
      </c>
      <c r="N71" s="110" t="str">
        <f aca="false">IF($B71="","",SUMIFS('الحركات الشهرية'!$F$6:$F$1005,'الحركات الشهرية'!$B$6:$B$1005,$B71,'الحركات الشهرية'!$A$6:$A$1005,$C$3))</f>
        <v/>
      </c>
      <c r="O71" s="90" t="str">
        <f aca="false">IF($B71="","",N71*(الموظفون!$N71+الموظفون!$J71*cfg_OT_P)/cfg_DAYS_M/cfg_HRS)</f>
        <v/>
      </c>
      <c r="P71" s="90" t="str">
        <f aca="false">IF($B71="","",SUMIFS('الحركات الشهرية'!$G$6:$G$1005,'الحركات الشهرية'!$B$6:$B$1005,$B71,'الحركات الشهرية'!$A$6:$A$1005,$C$3))</f>
        <v/>
      </c>
      <c r="Q71" s="90" t="str">
        <f aca="false">IF($B71="","",SUMIFS('الحركات الشهرية'!$H$6:$H$1005,'الحركات الشهرية'!$B$6:$B$1005,$B71,'الحركات الشهرية'!$A$6:$A$1005,$C$3))</f>
        <v/>
      </c>
      <c r="R71" s="111" t="str">
        <f aca="false">IF($B71="","",SUM(J71:M71)+SUM(O71:Q71))</f>
        <v/>
      </c>
      <c r="S71" s="90" t="str">
        <f aca="false">IF($B71="","",الموظفون!$Q71*IF(E71="سعودي",cfg_G_SE,cfg_G_NE)*F71/cfg_DAYS_M)</f>
        <v/>
      </c>
      <c r="T71" s="90" t="str">
        <f aca="false">IF($B71="","",SUMIFS('الحركات الشهرية'!$I$6:$I$1005,'الحركات الشهرية'!$B$6:$B$1005,$B71,'الحركات الشهرية'!$A$6:$A$1005,$C$3))</f>
        <v/>
      </c>
      <c r="U71" s="90" t="str">
        <f aca="false">IF($B71="","",SUMIFS('الحركات الشهرية'!$J$6:$J$1005,'الحركات الشهرية'!$B$6:$B$1005,$B71,'الحركات الشهرية'!$A$6:$A$1005,$C$3))</f>
        <v/>
      </c>
      <c r="V71" s="90" t="str">
        <f aca="false">IF($B71="","",SUM(S71:U71))</f>
        <v/>
      </c>
      <c r="W71" s="112" t="str">
        <f aca="false">IF($B71="","",R71-V71)</f>
        <v/>
      </c>
      <c r="X71" s="90" t="str">
        <f aca="false">IF($B71="","",الموظفون!$Q71*IF(E71="سعودي",cfg_G_SR,cfg_G_NR)*F71/cfg_DAYS_M)</f>
        <v/>
      </c>
      <c r="Y71" s="90" t="str">
        <f aca="false">IF($B71="","",الموظفون!$O71*(cfg_EOS_R1*(MIN(AC71,cfg_EOS_TH)-MIN(AD71,cfg_EOS_TH))+cfg_EOS_R2*(MAX(AC71-cfg_EOS_TH,0)-MAX(AD71-cfg_EOS_TH,0))))</f>
        <v/>
      </c>
      <c r="Z71" s="90" t="str">
        <f aca="false">IF($B71="","",IF(الموظفون!$R71&lt;&gt;"",الموظفون!$R71,IF(AC71&gt;=cfg_LV_TH,cfg_LV_D2,cfg_LV_D1))/cfg_DAYS_Y*AE71*الموظفون!$P71/cfg_DAYS_M)</f>
        <v/>
      </c>
      <c r="AA71" s="90" t="str">
        <f aca="false">IF($B71="","",IF(AND(الموظفون!$S71="نعم",N(الموظفون!$U71)&gt;0),الموظفون!$T71/الموظفون!$U71*12/cfg_DAYS_Y*AE71,0))</f>
        <v/>
      </c>
      <c r="AB71" s="113" t="str">
        <f aca="false">IF($B71="","",R71+SUM(X71:AA71))</f>
        <v/>
      </c>
      <c r="AC71" s="114" t="str">
        <f aca="false">IF($B71="","",MAX(0,IF(OR(الموظفون!$X71="",الموظفون!$X71&gt;$G$3),$G$3,الموظفون!$X71)-الموظفون!$H71+1)/cfg_DAYS_Y)</f>
        <v/>
      </c>
      <c r="AD71" s="114" t="str">
        <f aca="false">IF($B71="","",MAX(0,IF(OR(الموظفون!$X71="",الموظفون!$X71&gt;($E$3-1)),($E$3-1),الموظفون!$X71)-الموظفون!$H71+1)/cfg_DAYS_Y)</f>
        <v/>
      </c>
      <c r="AE71" s="115" t="str">
        <f aca="false">IF($B71="","",MAX(0,IF(OR(الموظفون!$X71="",الموظفون!$X71&gt;$G$3),$G$3,الموظفون!$X71)-MAX($E$3,الموظفون!$H71)+1))</f>
        <v/>
      </c>
    </row>
    <row r="72" customFormat="false" ht="15" hidden="false" customHeight="false" outlineLevel="0" collapsed="false">
      <c r="A72" s="83" t="str">
        <f aca="false">IF($B72="","",الموظفون!$A72)</f>
        <v/>
      </c>
      <c r="B72" s="74" t="str">
        <f aca="false">IF(الموظفون!$B72="","",الموظفون!$B72)</f>
        <v/>
      </c>
      <c r="C72" s="74" t="str">
        <f aca="false">IF($B72="","",الموظفون!$C72)</f>
        <v/>
      </c>
      <c r="D72" s="74" t="str">
        <f aca="false">IF($B72="","",الموظفون!$F72)</f>
        <v/>
      </c>
      <c r="E72" s="74" t="str">
        <f aca="false">IF($B72="","",الموظفون!$E72)</f>
        <v/>
      </c>
      <c r="F72" s="105" t="str">
        <f aca="false">IF($B72="","",IF(AE72&gt;=DAY($G$3),cfg_DAYS_M,MIN(AE72,cfg_DAYS_M)))</f>
        <v/>
      </c>
      <c r="G72" s="105" t="str">
        <f aca="false">IF($B72="","",SUMIFS('الحركات الشهرية'!$D$6:$D$1005,'الحركات الشهرية'!$B$6:$B$1005,$B72,'الحركات الشهرية'!$A$6:$A$1005,$C$3))</f>
        <v/>
      </c>
      <c r="H72" s="105" t="str">
        <f aca="false">IF($B72="","",SUMIFS('الحركات الشهرية'!$E$6:$E$1005,'الحركات الشهرية'!$B$6:$B$1005,$B72,'الحركات الشهرية'!$A$6:$A$1005,$C$3))</f>
        <v/>
      </c>
      <c r="I72" s="105" t="str">
        <f aca="false">IF($B72="","",MAX(0,F72-G72-H72))</f>
        <v/>
      </c>
      <c r="J72" s="86" t="str">
        <f aca="false">IF($B72="","",الموظفون!$J72*$I72/cfg_DAYS_M)</f>
        <v/>
      </c>
      <c r="K72" s="86" t="str">
        <f aca="false">IF($B72="","",الموظفون!$K72*$I72/cfg_DAYS_M)</f>
        <v/>
      </c>
      <c r="L72" s="86" t="str">
        <f aca="false">IF($B72="","",الموظفون!$L72*$I72/cfg_DAYS_M)</f>
        <v/>
      </c>
      <c r="M72" s="86" t="str">
        <f aca="false">IF($B72="","",الموظفون!$M72*$I72/cfg_DAYS_M)</f>
        <v/>
      </c>
      <c r="N72" s="105" t="str">
        <f aca="false">IF($B72="","",SUMIFS('الحركات الشهرية'!$F$6:$F$1005,'الحركات الشهرية'!$B$6:$B$1005,$B72,'الحركات الشهرية'!$A$6:$A$1005,$C$3))</f>
        <v/>
      </c>
      <c r="O72" s="86" t="str">
        <f aca="false">IF($B72="","",N72*(الموظفون!$N72+الموظفون!$J72*cfg_OT_P)/cfg_DAYS_M/cfg_HRS)</f>
        <v/>
      </c>
      <c r="P72" s="86" t="str">
        <f aca="false">IF($B72="","",SUMIFS('الحركات الشهرية'!$G$6:$G$1005,'الحركات الشهرية'!$B$6:$B$1005,$B72,'الحركات الشهرية'!$A$6:$A$1005,$C$3))</f>
        <v/>
      </c>
      <c r="Q72" s="86" t="str">
        <f aca="false">IF($B72="","",SUMIFS('الحركات الشهرية'!$H$6:$H$1005,'الحركات الشهرية'!$B$6:$B$1005,$B72,'الحركات الشهرية'!$A$6:$A$1005,$C$3))</f>
        <v/>
      </c>
      <c r="R72" s="106" t="str">
        <f aca="false">IF($B72="","",SUM(J72:M72)+SUM(O72:Q72))</f>
        <v/>
      </c>
      <c r="S72" s="86" t="str">
        <f aca="false">IF($B72="","",الموظفون!$Q72*IF(E72="سعودي",cfg_G_SE,cfg_G_NE)*F72/cfg_DAYS_M)</f>
        <v/>
      </c>
      <c r="T72" s="86" t="str">
        <f aca="false">IF($B72="","",SUMIFS('الحركات الشهرية'!$I$6:$I$1005,'الحركات الشهرية'!$B$6:$B$1005,$B72,'الحركات الشهرية'!$A$6:$A$1005,$C$3))</f>
        <v/>
      </c>
      <c r="U72" s="86" t="str">
        <f aca="false">IF($B72="","",SUMIFS('الحركات الشهرية'!$J$6:$J$1005,'الحركات الشهرية'!$B$6:$B$1005,$B72,'الحركات الشهرية'!$A$6:$A$1005,$C$3))</f>
        <v/>
      </c>
      <c r="V72" s="86" t="str">
        <f aca="false">IF($B72="","",SUM(S72:U72))</f>
        <v/>
      </c>
      <c r="W72" s="107" t="str">
        <f aca="false">IF($B72="","",R72-V72)</f>
        <v/>
      </c>
      <c r="X72" s="86" t="str">
        <f aca="false">IF($B72="","",الموظفون!$Q72*IF(E72="سعودي",cfg_G_SR,cfg_G_NR)*F72/cfg_DAYS_M)</f>
        <v/>
      </c>
      <c r="Y72" s="86" t="str">
        <f aca="false">IF($B72="","",الموظفون!$O72*(cfg_EOS_R1*(MIN(AC72,cfg_EOS_TH)-MIN(AD72,cfg_EOS_TH))+cfg_EOS_R2*(MAX(AC72-cfg_EOS_TH,0)-MAX(AD72-cfg_EOS_TH,0))))</f>
        <v/>
      </c>
      <c r="Z72" s="86" t="str">
        <f aca="false">IF($B72="","",IF(الموظفون!$R72&lt;&gt;"",الموظفون!$R72,IF(AC72&gt;=cfg_LV_TH,cfg_LV_D2,cfg_LV_D1))/cfg_DAYS_Y*AE72*الموظفون!$P72/cfg_DAYS_M)</f>
        <v/>
      </c>
      <c r="AA72" s="86" t="str">
        <f aca="false">IF($B72="","",IF(AND(الموظفون!$S72="نعم",N(الموظفون!$U72)&gt;0),الموظفون!$T72/الموظفون!$U72*12/cfg_DAYS_Y*AE72,0))</f>
        <v/>
      </c>
      <c r="AB72" s="108" t="str">
        <f aca="false">IF($B72="","",R72+SUM(X72:AA72))</f>
        <v/>
      </c>
      <c r="AC72" s="109" t="str">
        <f aca="false">IF($B72="","",MAX(0,IF(OR(الموظفون!$X72="",الموظفون!$X72&gt;$G$3),$G$3,الموظفون!$X72)-الموظفون!$H72+1)/cfg_DAYS_Y)</f>
        <v/>
      </c>
      <c r="AD72" s="109" t="str">
        <f aca="false">IF($B72="","",MAX(0,IF(OR(الموظفون!$X72="",الموظفون!$X72&gt;($E$3-1)),($E$3-1),الموظفون!$X72)-الموظفون!$H72+1)/cfg_DAYS_Y)</f>
        <v/>
      </c>
      <c r="AE72" s="51" t="str">
        <f aca="false">IF($B72="","",MAX(0,IF(OR(الموظفون!$X72="",الموظفون!$X72&gt;$G$3),$G$3,الموظفون!$X72)-MAX($E$3,الموظفون!$H72)+1))</f>
        <v/>
      </c>
    </row>
    <row r="73" customFormat="false" ht="15" hidden="false" customHeight="false" outlineLevel="0" collapsed="false">
      <c r="A73" s="89" t="str">
        <f aca="false">IF($B73="","",الموظفون!$A73)</f>
        <v/>
      </c>
      <c r="B73" s="91" t="str">
        <f aca="false">IF(الموظفون!$B73="","",الموظفون!$B73)</f>
        <v/>
      </c>
      <c r="C73" s="91" t="str">
        <f aca="false">IF($B73="","",الموظفون!$C73)</f>
        <v/>
      </c>
      <c r="D73" s="91" t="str">
        <f aca="false">IF($B73="","",الموظفون!$F73)</f>
        <v/>
      </c>
      <c r="E73" s="91" t="str">
        <f aca="false">IF($B73="","",الموظفون!$E73)</f>
        <v/>
      </c>
      <c r="F73" s="110" t="str">
        <f aca="false">IF($B73="","",IF(AE73&gt;=DAY($G$3),cfg_DAYS_M,MIN(AE73,cfg_DAYS_M)))</f>
        <v/>
      </c>
      <c r="G73" s="110" t="str">
        <f aca="false">IF($B73="","",SUMIFS('الحركات الشهرية'!$D$6:$D$1005,'الحركات الشهرية'!$B$6:$B$1005,$B73,'الحركات الشهرية'!$A$6:$A$1005,$C$3))</f>
        <v/>
      </c>
      <c r="H73" s="110" t="str">
        <f aca="false">IF($B73="","",SUMIFS('الحركات الشهرية'!$E$6:$E$1005,'الحركات الشهرية'!$B$6:$B$1005,$B73,'الحركات الشهرية'!$A$6:$A$1005,$C$3))</f>
        <v/>
      </c>
      <c r="I73" s="110" t="str">
        <f aca="false">IF($B73="","",MAX(0,F73-G73-H73))</f>
        <v/>
      </c>
      <c r="J73" s="90" t="str">
        <f aca="false">IF($B73="","",الموظفون!$J73*$I73/cfg_DAYS_M)</f>
        <v/>
      </c>
      <c r="K73" s="90" t="str">
        <f aca="false">IF($B73="","",الموظفون!$K73*$I73/cfg_DAYS_M)</f>
        <v/>
      </c>
      <c r="L73" s="90" t="str">
        <f aca="false">IF($B73="","",الموظفون!$L73*$I73/cfg_DAYS_M)</f>
        <v/>
      </c>
      <c r="M73" s="90" t="str">
        <f aca="false">IF($B73="","",الموظفون!$M73*$I73/cfg_DAYS_M)</f>
        <v/>
      </c>
      <c r="N73" s="110" t="str">
        <f aca="false">IF($B73="","",SUMIFS('الحركات الشهرية'!$F$6:$F$1005,'الحركات الشهرية'!$B$6:$B$1005,$B73,'الحركات الشهرية'!$A$6:$A$1005,$C$3))</f>
        <v/>
      </c>
      <c r="O73" s="90" t="str">
        <f aca="false">IF($B73="","",N73*(الموظفون!$N73+الموظفون!$J73*cfg_OT_P)/cfg_DAYS_M/cfg_HRS)</f>
        <v/>
      </c>
      <c r="P73" s="90" t="str">
        <f aca="false">IF($B73="","",SUMIFS('الحركات الشهرية'!$G$6:$G$1005,'الحركات الشهرية'!$B$6:$B$1005,$B73,'الحركات الشهرية'!$A$6:$A$1005,$C$3))</f>
        <v/>
      </c>
      <c r="Q73" s="90" t="str">
        <f aca="false">IF($B73="","",SUMIFS('الحركات الشهرية'!$H$6:$H$1005,'الحركات الشهرية'!$B$6:$B$1005,$B73,'الحركات الشهرية'!$A$6:$A$1005,$C$3))</f>
        <v/>
      </c>
      <c r="R73" s="111" t="str">
        <f aca="false">IF($B73="","",SUM(J73:M73)+SUM(O73:Q73))</f>
        <v/>
      </c>
      <c r="S73" s="90" t="str">
        <f aca="false">IF($B73="","",الموظفون!$Q73*IF(E73="سعودي",cfg_G_SE,cfg_G_NE)*F73/cfg_DAYS_M)</f>
        <v/>
      </c>
      <c r="T73" s="90" t="str">
        <f aca="false">IF($B73="","",SUMIFS('الحركات الشهرية'!$I$6:$I$1005,'الحركات الشهرية'!$B$6:$B$1005,$B73,'الحركات الشهرية'!$A$6:$A$1005,$C$3))</f>
        <v/>
      </c>
      <c r="U73" s="90" t="str">
        <f aca="false">IF($B73="","",SUMIFS('الحركات الشهرية'!$J$6:$J$1005,'الحركات الشهرية'!$B$6:$B$1005,$B73,'الحركات الشهرية'!$A$6:$A$1005,$C$3))</f>
        <v/>
      </c>
      <c r="V73" s="90" t="str">
        <f aca="false">IF($B73="","",SUM(S73:U73))</f>
        <v/>
      </c>
      <c r="W73" s="112" t="str">
        <f aca="false">IF($B73="","",R73-V73)</f>
        <v/>
      </c>
      <c r="X73" s="90" t="str">
        <f aca="false">IF($B73="","",الموظفون!$Q73*IF(E73="سعودي",cfg_G_SR,cfg_G_NR)*F73/cfg_DAYS_M)</f>
        <v/>
      </c>
      <c r="Y73" s="90" t="str">
        <f aca="false">IF($B73="","",الموظفون!$O73*(cfg_EOS_R1*(MIN(AC73,cfg_EOS_TH)-MIN(AD73,cfg_EOS_TH))+cfg_EOS_R2*(MAX(AC73-cfg_EOS_TH,0)-MAX(AD73-cfg_EOS_TH,0))))</f>
        <v/>
      </c>
      <c r="Z73" s="90" t="str">
        <f aca="false">IF($B73="","",IF(الموظفون!$R73&lt;&gt;"",الموظفون!$R73,IF(AC73&gt;=cfg_LV_TH,cfg_LV_D2,cfg_LV_D1))/cfg_DAYS_Y*AE73*الموظفون!$P73/cfg_DAYS_M)</f>
        <v/>
      </c>
      <c r="AA73" s="90" t="str">
        <f aca="false">IF($B73="","",IF(AND(الموظفون!$S73="نعم",N(الموظفون!$U73)&gt;0),الموظفون!$T73/الموظفون!$U73*12/cfg_DAYS_Y*AE73,0))</f>
        <v/>
      </c>
      <c r="AB73" s="113" t="str">
        <f aca="false">IF($B73="","",R73+SUM(X73:AA73))</f>
        <v/>
      </c>
      <c r="AC73" s="114" t="str">
        <f aca="false">IF($B73="","",MAX(0,IF(OR(الموظفون!$X73="",الموظفون!$X73&gt;$G$3),$G$3,الموظفون!$X73)-الموظفون!$H73+1)/cfg_DAYS_Y)</f>
        <v/>
      </c>
      <c r="AD73" s="114" t="str">
        <f aca="false">IF($B73="","",MAX(0,IF(OR(الموظفون!$X73="",الموظفون!$X73&gt;($E$3-1)),($E$3-1),الموظفون!$X73)-الموظفون!$H73+1)/cfg_DAYS_Y)</f>
        <v/>
      </c>
      <c r="AE73" s="115" t="str">
        <f aca="false">IF($B73="","",MAX(0,IF(OR(الموظفون!$X73="",الموظفون!$X73&gt;$G$3),$G$3,الموظفون!$X73)-MAX($E$3,الموظفون!$H73)+1))</f>
        <v/>
      </c>
    </row>
    <row r="74" customFormat="false" ht="15" hidden="false" customHeight="false" outlineLevel="0" collapsed="false">
      <c r="A74" s="83" t="str">
        <f aca="false">IF($B74="","",الموظفون!$A74)</f>
        <v/>
      </c>
      <c r="B74" s="74" t="str">
        <f aca="false">IF(الموظفون!$B74="","",الموظفون!$B74)</f>
        <v/>
      </c>
      <c r="C74" s="74" t="str">
        <f aca="false">IF($B74="","",الموظفون!$C74)</f>
        <v/>
      </c>
      <c r="D74" s="74" t="str">
        <f aca="false">IF($B74="","",الموظفون!$F74)</f>
        <v/>
      </c>
      <c r="E74" s="74" t="str">
        <f aca="false">IF($B74="","",الموظفون!$E74)</f>
        <v/>
      </c>
      <c r="F74" s="105" t="str">
        <f aca="false">IF($B74="","",IF(AE74&gt;=DAY($G$3),cfg_DAYS_M,MIN(AE74,cfg_DAYS_M)))</f>
        <v/>
      </c>
      <c r="G74" s="105" t="str">
        <f aca="false">IF($B74="","",SUMIFS('الحركات الشهرية'!$D$6:$D$1005,'الحركات الشهرية'!$B$6:$B$1005,$B74,'الحركات الشهرية'!$A$6:$A$1005,$C$3))</f>
        <v/>
      </c>
      <c r="H74" s="105" t="str">
        <f aca="false">IF($B74="","",SUMIFS('الحركات الشهرية'!$E$6:$E$1005,'الحركات الشهرية'!$B$6:$B$1005,$B74,'الحركات الشهرية'!$A$6:$A$1005,$C$3))</f>
        <v/>
      </c>
      <c r="I74" s="105" t="str">
        <f aca="false">IF($B74="","",MAX(0,F74-G74-H74))</f>
        <v/>
      </c>
      <c r="J74" s="86" t="str">
        <f aca="false">IF($B74="","",الموظفون!$J74*$I74/cfg_DAYS_M)</f>
        <v/>
      </c>
      <c r="K74" s="86" t="str">
        <f aca="false">IF($B74="","",الموظفون!$K74*$I74/cfg_DAYS_M)</f>
        <v/>
      </c>
      <c r="L74" s="86" t="str">
        <f aca="false">IF($B74="","",الموظفون!$L74*$I74/cfg_DAYS_M)</f>
        <v/>
      </c>
      <c r="M74" s="86" t="str">
        <f aca="false">IF($B74="","",الموظفون!$M74*$I74/cfg_DAYS_M)</f>
        <v/>
      </c>
      <c r="N74" s="105" t="str">
        <f aca="false">IF($B74="","",SUMIFS('الحركات الشهرية'!$F$6:$F$1005,'الحركات الشهرية'!$B$6:$B$1005,$B74,'الحركات الشهرية'!$A$6:$A$1005,$C$3))</f>
        <v/>
      </c>
      <c r="O74" s="86" t="str">
        <f aca="false">IF($B74="","",N74*(الموظفون!$N74+الموظفون!$J74*cfg_OT_P)/cfg_DAYS_M/cfg_HRS)</f>
        <v/>
      </c>
      <c r="P74" s="86" t="str">
        <f aca="false">IF($B74="","",SUMIFS('الحركات الشهرية'!$G$6:$G$1005,'الحركات الشهرية'!$B$6:$B$1005,$B74,'الحركات الشهرية'!$A$6:$A$1005,$C$3))</f>
        <v/>
      </c>
      <c r="Q74" s="86" t="str">
        <f aca="false">IF($B74="","",SUMIFS('الحركات الشهرية'!$H$6:$H$1005,'الحركات الشهرية'!$B$6:$B$1005,$B74,'الحركات الشهرية'!$A$6:$A$1005,$C$3))</f>
        <v/>
      </c>
      <c r="R74" s="106" t="str">
        <f aca="false">IF($B74="","",SUM(J74:M74)+SUM(O74:Q74))</f>
        <v/>
      </c>
      <c r="S74" s="86" t="str">
        <f aca="false">IF($B74="","",الموظفون!$Q74*IF(E74="سعودي",cfg_G_SE,cfg_G_NE)*F74/cfg_DAYS_M)</f>
        <v/>
      </c>
      <c r="T74" s="86" t="str">
        <f aca="false">IF($B74="","",SUMIFS('الحركات الشهرية'!$I$6:$I$1005,'الحركات الشهرية'!$B$6:$B$1005,$B74,'الحركات الشهرية'!$A$6:$A$1005,$C$3))</f>
        <v/>
      </c>
      <c r="U74" s="86" t="str">
        <f aca="false">IF($B74="","",SUMIFS('الحركات الشهرية'!$J$6:$J$1005,'الحركات الشهرية'!$B$6:$B$1005,$B74,'الحركات الشهرية'!$A$6:$A$1005,$C$3))</f>
        <v/>
      </c>
      <c r="V74" s="86" t="str">
        <f aca="false">IF($B74="","",SUM(S74:U74))</f>
        <v/>
      </c>
      <c r="W74" s="107" t="str">
        <f aca="false">IF($B74="","",R74-V74)</f>
        <v/>
      </c>
      <c r="X74" s="86" t="str">
        <f aca="false">IF($B74="","",الموظفون!$Q74*IF(E74="سعودي",cfg_G_SR,cfg_G_NR)*F74/cfg_DAYS_M)</f>
        <v/>
      </c>
      <c r="Y74" s="86" t="str">
        <f aca="false">IF($B74="","",الموظفون!$O74*(cfg_EOS_R1*(MIN(AC74,cfg_EOS_TH)-MIN(AD74,cfg_EOS_TH))+cfg_EOS_R2*(MAX(AC74-cfg_EOS_TH,0)-MAX(AD74-cfg_EOS_TH,0))))</f>
        <v/>
      </c>
      <c r="Z74" s="86" t="str">
        <f aca="false">IF($B74="","",IF(الموظفون!$R74&lt;&gt;"",الموظفون!$R74,IF(AC74&gt;=cfg_LV_TH,cfg_LV_D2,cfg_LV_D1))/cfg_DAYS_Y*AE74*الموظفون!$P74/cfg_DAYS_M)</f>
        <v/>
      </c>
      <c r="AA74" s="86" t="str">
        <f aca="false">IF($B74="","",IF(AND(الموظفون!$S74="نعم",N(الموظفون!$U74)&gt;0),الموظفون!$T74/الموظفون!$U74*12/cfg_DAYS_Y*AE74,0))</f>
        <v/>
      </c>
      <c r="AB74" s="108" t="str">
        <f aca="false">IF($B74="","",R74+SUM(X74:AA74))</f>
        <v/>
      </c>
      <c r="AC74" s="109" t="str">
        <f aca="false">IF($B74="","",MAX(0,IF(OR(الموظفون!$X74="",الموظفون!$X74&gt;$G$3),$G$3,الموظفون!$X74)-الموظفون!$H74+1)/cfg_DAYS_Y)</f>
        <v/>
      </c>
      <c r="AD74" s="109" t="str">
        <f aca="false">IF($B74="","",MAX(0,IF(OR(الموظفون!$X74="",الموظفون!$X74&gt;($E$3-1)),($E$3-1),الموظفون!$X74)-الموظفون!$H74+1)/cfg_DAYS_Y)</f>
        <v/>
      </c>
      <c r="AE74" s="51" t="str">
        <f aca="false">IF($B74="","",MAX(0,IF(OR(الموظفون!$X74="",الموظفون!$X74&gt;$G$3),$G$3,الموظفون!$X74)-MAX($E$3,الموظفون!$H74)+1))</f>
        <v/>
      </c>
    </row>
    <row r="75" customFormat="false" ht="15" hidden="false" customHeight="false" outlineLevel="0" collapsed="false">
      <c r="A75" s="89" t="str">
        <f aca="false">IF($B75="","",الموظفون!$A75)</f>
        <v/>
      </c>
      <c r="B75" s="91" t="str">
        <f aca="false">IF(الموظفون!$B75="","",الموظفون!$B75)</f>
        <v/>
      </c>
      <c r="C75" s="91" t="str">
        <f aca="false">IF($B75="","",الموظفون!$C75)</f>
        <v/>
      </c>
      <c r="D75" s="91" t="str">
        <f aca="false">IF($B75="","",الموظفون!$F75)</f>
        <v/>
      </c>
      <c r="E75" s="91" t="str">
        <f aca="false">IF($B75="","",الموظفون!$E75)</f>
        <v/>
      </c>
      <c r="F75" s="110" t="str">
        <f aca="false">IF($B75="","",IF(AE75&gt;=DAY($G$3),cfg_DAYS_M,MIN(AE75,cfg_DAYS_M)))</f>
        <v/>
      </c>
      <c r="G75" s="110" t="str">
        <f aca="false">IF($B75="","",SUMIFS('الحركات الشهرية'!$D$6:$D$1005,'الحركات الشهرية'!$B$6:$B$1005,$B75,'الحركات الشهرية'!$A$6:$A$1005,$C$3))</f>
        <v/>
      </c>
      <c r="H75" s="110" t="str">
        <f aca="false">IF($B75="","",SUMIFS('الحركات الشهرية'!$E$6:$E$1005,'الحركات الشهرية'!$B$6:$B$1005,$B75,'الحركات الشهرية'!$A$6:$A$1005,$C$3))</f>
        <v/>
      </c>
      <c r="I75" s="110" t="str">
        <f aca="false">IF($B75="","",MAX(0,F75-G75-H75))</f>
        <v/>
      </c>
      <c r="J75" s="90" t="str">
        <f aca="false">IF($B75="","",الموظفون!$J75*$I75/cfg_DAYS_M)</f>
        <v/>
      </c>
      <c r="K75" s="90" t="str">
        <f aca="false">IF($B75="","",الموظفون!$K75*$I75/cfg_DAYS_M)</f>
        <v/>
      </c>
      <c r="L75" s="90" t="str">
        <f aca="false">IF($B75="","",الموظفون!$L75*$I75/cfg_DAYS_M)</f>
        <v/>
      </c>
      <c r="M75" s="90" t="str">
        <f aca="false">IF($B75="","",الموظفون!$M75*$I75/cfg_DAYS_M)</f>
        <v/>
      </c>
      <c r="N75" s="110" t="str">
        <f aca="false">IF($B75="","",SUMIFS('الحركات الشهرية'!$F$6:$F$1005,'الحركات الشهرية'!$B$6:$B$1005,$B75,'الحركات الشهرية'!$A$6:$A$1005,$C$3))</f>
        <v/>
      </c>
      <c r="O75" s="90" t="str">
        <f aca="false">IF($B75="","",N75*(الموظفون!$N75+الموظفون!$J75*cfg_OT_P)/cfg_DAYS_M/cfg_HRS)</f>
        <v/>
      </c>
      <c r="P75" s="90" t="str">
        <f aca="false">IF($B75="","",SUMIFS('الحركات الشهرية'!$G$6:$G$1005,'الحركات الشهرية'!$B$6:$B$1005,$B75,'الحركات الشهرية'!$A$6:$A$1005,$C$3))</f>
        <v/>
      </c>
      <c r="Q75" s="90" t="str">
        <f aca="false">IF($B75="","",SUMIFS('الحركات الشهرية'!$H$6:$H$1005,'الحركات الشهرية'!$B$6:$B$1005,$B75,'الحركات الشهرية'!$A$6:$A$1005,$C$3))</f>
        <v/>
      </c>
      <c r="R75" s="111" t="str">
        <f aca="false">IF($B75="","",SUM(J75:M75)+SUM(O75:Q75))</f>
        <v/>
      </c>
      <c r="S75" s="90" t="str">
        <f aca="false">IF($B75="","",الموظفون!$Q75*IF(E75="سعودي",cfg_G_SE,cfg_G_NE)*F75/cfg_DAYS_M)</f>
        <v/>
      </c>
      <c r="T75" s="90" t="str">
        <f aca="false">IF($B75="","",SUMIFS('الحركات الشهرية'!$I$6:$I$1005,'الحركات الشهرية'!$B$6:$B$1005,$B75,'الحركات الشهرية'!$A$6:$A$1005,$C$3))</f>
        <v/>
      </c>
      <c r="U75" s="90" t="str">
        <f aca="false">IF($B75="","",SUMIFS('الحركات الشهرية'!$J$6:$J$1005,'الحركات الشهرية'!$B$6:$B$1005,$B75,'الحركات الشهرية'!$A$6:$A$1005,$C$3))</f>
        <v/>
      </c>
      <c r="V75" s="90" t="str">
        <f aca="false">IF($B75="","",SUM(S75:U75))</f>
        <v/>
      </c>
      <c r="W75" s="112" t="str">
        <f aca="false">IF($B75="","",R75-V75)</f>
        <v/>
      </c>
      <c r="X75" s="90" t="str">
        <f aca="false">IF($B75="","",الموظفون!$Q75*IF(E75="سعودي",cfg_G_SR,cfg_G_NR)*F75/cfg_DAYS_M)</f>
        <v/>
      </c>
      <c r="Y75" s="90" t="str">
        <f aca="false">IF($B75="","",الموظفون!$O75*(cfg_EOS_R1*(MIN(AC75,cfg_EOS_TH)-MIN(AD75,cfg_EOS_TH))+cfg_EOS_R2*(MAX(AC75-cfg_EOS_TH,0)-MAX(AD75-cfg_EOS_TH,0))))</f>
        <v/>
      </c>
      <c r="Z75" s="90" t="str">
        <f aca="false">IF($B75="","",IF(الموظفون!$R75&lt;&gt;"",الموظفون!$R75,IF(AC75&gt;=cfg_LV_TH,cfg_LV_D2,cfg_LV_D1))/cfg_DAYS_Y*AE75*الموظفون!$P75/cfg_DAYS_M)</f>
        <v/>
      </c>
      <c r="AA75" s="90" t="str">
        <f aca="false">IF($B75="","",IF(AND(الموظفون!$S75="نعم",N(الموظفون!$U75)&gt;0),الموظفون!$T75/الموظفون!$U75*12/cfg_DAYS_Y*AE75,0))</f>
        <v/>
      </c>
      <c r="AB75" s="113" t="str">
        <f aca="false">IF($B75="","",R75+SUM(X75:AA75))</f>
        <v/>
      </c>
      <c r="AC75" s="114" t="str">
        <f aca="false">IF($B75="","",MAX(0,IF(OR(الموظفون!$X75="",الموظفون!$X75&gt;$G$3),$G$3,الموظفون!$X75)-الموظفون!$H75+1)/cfg_DAYS_Y)</f>
        <v/>
      </c>
      <c r="AD75" s="114" t="str">
        <f aca="false">IF($B75="","",MAX(0,IF(OR(الموظفون!$X75="",الموظفون!$X75&gt;($E$3-1)),($E$3-1),الموظفون!$X75)-الموظفون!$H75+1)/cfg_DAYS_Y)</f>
        <v/>
      </c>
      <c r="AE75" s="115" t="str">
        <f aca="false">IF($B75="","",MAX(0,IF(OR(الموظفون!$X75="",الموظفون!$X75&gt;$G$3),$G$3,الموظفون!$X75)-MAX($E$3,الموظفون!$H75)+1))</f>
        <v/>
      </c>
    </row>
    <row r="76" customFormat="false" ht="15" hidden="false" customHeight="false" outlineLevel="0" collapsed="false">
      <c r="A76" s="83" t="str">
        <f aca="false">IF($B76="","",الموظفون!$A76)</f>
        <v/>
      </c>
      <c r="B76" s="74" t="str">
        <f aca="false">IF(الموظفون!$B76="","",الموظفون!$B76)</f>
        <v/>
      </c>
      <c r="C76" s="74" t="str">
        <f aca="false">IF($B76="","",الموظفون!$C76)</f>
        <v/>
      </c>
      <c r="D76" s="74" t="str">
        <f aca="false">IF($B76="","",الموظفون!$F76)</f>
        <v/>
      </c>
      <c r="E76" s="74" t="str">
        <f aca="false">IF($B76="","",الموظفون!$E76)</f>
        <v/>
      </c>
      <c r="F76" s="105" t="str">
        <f aca="false">IF($B76="","",IF(AE76&gt;=DAY($G$3),cfg_DAYS_M,MIN(AE76,cfg_DAYS_M)))</f>
        <v/>
      </c>
      <c r="G76" s="105" t="str">
        <f aca="false">IF($B76="","",SUMIFS('الحركات الشهرية'!$D$6:$D$1005,'الحركات الشهرية'!$B$6:$B$1005,$B76,'الحركات الشهرية'!$A$6:$A$1005,$C$3))</f>
        <v/>
      </c>
      <c r="H76" s="105" t="str">
        <f aca="false">IF($B76="","",SUMIFS('الحركات الشهرية'!$E$6:$E$1005,'الحركات الشهرية'!$B$6:$B$1005,$B76,'الحركات الشهرية'!$A$6:$A$1005,$C$3))</f>
        <v/>
      </c>
      <c r="I76" s="105" t="str">
        <f aca="false">IF($B76="","",MAX(0,F76-G76-H76))</f>
        <v/>
      </c>
      <c r="J76" s="86" t="str">
        <f aca="false">IF($B76="","",الموظفون!$J76*$I76/cfg_DAYS_M)</f>
        <v/>
      </c>
      <c r="K76" s="86" t="str">
        <f aca="false">IF($B76="","",الموظفون!$K76*$I76/cfg_DAYS_M)</f>
        <v/>
      </c>
      <c r="L76" s="86" t="str">
        <f aca="false">IF($B76="","",الموظفون!$L76*$I76/cfg_DAYS_M)</f>
        <v/>
      </c>
      <c r="M76" s="86" t="str">
        <f aca="false">IF($B76="","",الموظفون!$M76*$I76/cfg_DAYS_M)</f>
        <v/>
      </c>
      <c r="N76" s="105" t="str">
        <f aca="false">IF($B76="","",SUMIFS('الحركات الشهرية'!$F$6:$F$1005,'الحركات الشهرية'!$B$6:$B$1005,$B76,'الحركات الشهرية'!$A$6:$A$1005,$C$3))</f>
        <v/>
      </c>
      <c r="O76" s="86" t="str">
        <f aca="false">IF($B76="","",N76*(الموظفون!$N76+الموظفون!$J76*cfg_OT_P)/cfg_DAYS_M/cfg_HRS)</f>
        <v/>
      </c>
      <c r="P76" s="86" t="str">
        <f aca="false">IF($B76="","",SUMIFS('الحركات الشهرية'!$G$6:$G$1005,'الحركات الشهرية'!$B$6:$B$1005,$B76,'الحركات الشهرية'!$A$6:$A$1005,$C$3))</f>
        <v/>
      </c>
      <c r="Q76" s="86" t="str">
        <f aca="false">IF($B76="","",SUMIFS('الحركات الشهرية'!$H$6:$H$1005,'الحركات الشهرية'!$B$6:$B$1005,$B76,'الحركات الشهرية'!$A$6:$A$1005,$C$3))</f>
        <v/>
      </c>
      <c r="R76" s="106" t="str">
        <f aca="false">IF($B76="","",SUM(J76:M76)+SUM(O76:Q76))</f>
        <v/>
      </c>
      <c r="S76" s="86" t="str">
        <f aca="false">IF($B76="","",الموظفون!$Q76*IF(E76="سعودي",cfg_G_SE,cfg_G_NE)*F76/cfg_DAYS_M)</f>
        <v/>
      </c>
      <c r="T76" s="86" t="str">
        <f aca="false">IF($B76="","",SUMIFS('الحركات الشهرية'!$I$6:$I$1005,'الحركات الشهرية'!$B$6:$B$1005,$B76,'الحركات الشهرية'!$A$6:$A$1005,$C$3))</f>
        <v/>
      </c>
      <c r="U76" s="86" t="str">
        <f aca="false">IF($B76="","",SUMIFS('الحركات الشهرية'!$J$6:$J$1005,'الحركات الشهرية'!$B$6:$B$1005,$B76,'الحركات الشهرية'!$A$6:$A$1005,$C$3))</f>
        <v/>
      </c>
      <c r="V76" s="86" t="str">
        <f aca="false">IF($B76="","",SUM(S76:U76))</f>
        <v/>
      </c>
      <c r="W76" s="107" t="str">
        <f aca="false">IF($B76="","",R76-V76)</f>
        <v/>
      </c>
      <c r="X76" s="86" t="str">
        <f aca="false">IF($B76="","",الموظفون!$Q76*IF(E76="سعودي",cfg_G_SR,cfg_G_NR)*F76/cfg_DAYS_M)</f>
        <v/>
      </c>
      <c r="Y76" s="86" t="str">
        <f aca="false">IF($B76="","",الموظفون!$O76*(cfg_EOS_R1*(MIN(AC76,cfg_EOS_TH)-MIN(AD76,cfg_EOS_TH))+cfg_EOS_R2*(MAX(AC76-cfg_EOS_TH,0)-MAX(AD76-cfg_EOS_TH,0))))</f>
        <v/>
      </c>
      <c r="Z76" s="86" t="str">
        <f aca="false">IF($B76="","",IF(الموظفون!$R76&lt;&gt;"",الموظفون!$R76,IF(AC76&gt;=cfg_LV_TH,cfg_LV_D2,cfg_LV_D1))/cfg_DAYS_Y*AE76*الموظفون!$P76/cfg_DAYS_M)</f>
        <v/>
      </c>
      <c r="AA76" s="86" t="str">
        <f aca="false">IF($B76="","",IF(AND(الموظفون!$S76="نعم",N(الموظفون!$U76)&gt;0),الموظفون!$T76/الموظفون!$U76*12/cfg_DAYS_Y*AE76,0))</f>
        <v/>
      </c>
      <c r="AB76" s="108" t="str">
        <f aca="false">IF($B76="","",R76+SUM(X76:AA76))</f>
        <v/>
      </c>
      <c r="AC76" s="109" t="str">
        <f aca="false">IF($B76="","",MAX(0,IF(OR(الموظفون!$X76="",الموظفون!$X76&gt;$G$3),$G$3,الموظفون!$X76)-الموظفون!$H76+1)/cfg_DAYS_Y)</f>
        <v/>
      </c>
      <c r="AD76" s="109" t="str">
        <f aca="false">IF($B76="","",MAX(0,IF(OR(الموظفون!$X76="",الموظفون!$X76&gt;($E$3-1)),($E$3-1),الموظفون!$X76)-الموظفون!$H76+1)/cfg_DAYS_Y)</f>
        <v/>
      </c>
      <c r="AE76" s="51" t="str">
        <f aca="false">IF($B76="","",MAX(0,IF(OR(الموظفون!$X76="",الموظفون!$X76&gt;$G$3),$G$3,الموظفون!$X76)-MAX($E$3,الموظفون!$H76)+1))</f>
        <v/>
      </c>
    </row>
    <row r="77" customFormat="false" ht="15" hidden="false" customHeight="false" outlineLevel="0" collapsed="false">
      <c r="A77" s="89" t="str">
        <f aca="false">IF($B77="","",الموظفون!$A77)</f>
        <v/>
      </c>
      <c r="B77" s="91" t="str">
        <f aca="false">IF(الموظفون!$B77="","",الموظفون!$B77)</f>
        <v/>
      </c>
      <c r="C77" s="91" t="str">
        <f aca="false">IF($B77="","",الموظفون!$C77)</f>
        <v/>
      </c>
      <c r="D77" s="91" t="str">
        <f aca="false">IF($B77="","",الموظفون!$F77)</f>
        <v/>
      </c>
      <c r="E77" s="91" t="str">
        <f aca="false">IF($B77="","",الموظفون!$E77)</f>
        <v/>
      </c>
      <c r="F77" s="110" t="str">
        <f aca="false">IF($B77="","",IF(AE77&gt;=DAY($G$3),cfg_DAYS_M,MIN(AE77,cfg_DAYS_M)))</f>
        <v/>
      </c>
      <c r="G77" s="110" t="str">
        <f aca="false">IF($B77="","",SUMIFS('الحركات الشهرية'!$D$6:$D$1005,'الحركات الشهرية'!$B$6:$B$1005,$B77,'الحركات الشهرية'!$A$6:$A$1005,$C$3))</f>
        <v/>
      </c>
      <c r="H77" s="110" t="str">
        <f aca="false">IF($B77="","",SUMIFS('الحركات الشهرية'!$E$6:$E$1005,'الحركات الشهرية'!$B$6:$B$1005,$B77,'الحركات الشهرية'!$A$6:$A$1005,$C$3))</f>
        <v/>
      </c>
      <c r="I77" s="110" t="str">
        <f aca="false">IF($B77="","",MAX(0,F77-G77-H77))</f>
        <v/>
      </c>
      <c r="J77" s="90" t="str">
        <f aca="false">IF($B77="","",الموظفون!$J77*$I77/cfg_DAYS_M)</f>
        <v/>
      </c>
      <c r="K77" s="90" t="str">
        <f aca="false">IF($B77="","",الموظفون!$K77*$I77/cfg_DAYS_M)</f>
        <v/>
      </c>
      <c r="L77" s="90" t="str">
        <f aca="false">IF($B77="","",الموظفون!$L77*$I77/cfg_DAYS_M)</f>
        <v/>
      </c>
      <c r="M77" s="90" t="str">
        <f aca="false">IF($B77="","",الموظفون!$M77*$I77/cfg_DAYS_M)</f>
        <v/>
      </c>
      <c r="N77" s="110" t="str">
        <f aca="false">IF($B77="","",SUMIFS('الحركات الشهرية'!$F$6:$F$1005,'الحركات الشهرية'!$B$6:$B$1005,$B77,'الحركات الشهرية'!$A$6:$A$1005,$C$3))</f>
        <v/>
      </c>
      <c r="O77" s="90" t="str">
        <f aca="false">IF($B77="","",N77*(الموظفون!$N77+الموظفون!$J77*cfg_OT_P)/cfg_DAYS_M/cfg_HRS)</f>
        <v/>
      </c>
      <c r="P77" s="90" t="str">
        <f aca="false">IF($B77="","",SUMIFS('الحركات الشهرية'!$G$6:$G$1005,'الحركات الشهرية'!$B$6:$B$1005,$B77,'الحركات الشهرية'!$A$6:$A$1005,$C$3))</f>
        <v/>
      </c>
      <c r="Q77" s="90" t="str">
        <f aca="false">IF($B77="","",SUMIFS('الحركات الشهرية'!$H$6:$H$1005,'الحركات الشهرية'!$B$6:$B$1005,$B77,'الحركات الشهرية'!$A$6:$A$1005,$C$3))</f>
        <v/>
      </c>
      <c r="R77" s="111" t="str">
        <f aca="false">IF($B77="","",SUM(J77:M77)+SUM(O77:Q77))</f>
        <v/>
      </c>
      <c r="S77" s="90" t="str">
        <f aca="false">IF($B77="","",الموظفون!$Q77*IF(E77="سعودي",cfg_G_SE,cfg_G_NE)*F77/cfg_DAYS_M)</f>
        <v/>
      </c>
      <c r="T77" s="90" t="str">
        <f aca="false">IF($B77="","",SUMIFS('الحركات الشهرية'!$I$6:$I$1005,'الحركات الشهرية'!$B$6:$B$1005,$B77,'الحركات الشهرية'!$A$6:$A$1005,$C$3))</f>
        <v/>
      </c>
      <c r="U77" s="90" t="str">
        <f aca="false">IF($B77="","",SUMIFS('الحركات الشهرية'!$J$6:$J$1005,'الحركات الشهرية'!$B$6:$B$1005,$B77,'الحركات الشهرية'!$A$6:$A$1005,$C$3))</f>
        <v/>
      </c>
      <c r="V77" s="90" t="str">
        <f aca="false">IF($B77="","",SUM(S77:U77))</f>
        <v/>
      </c>
      <c r="W77" s="112" t="str">
        <f aca="false">IF($B77="","",R77-V77)</f>
        <v/>
      </c>
      <c r="X77" s="90" t="str">
        <f aca="false">IF($B77="","",الموظفون!$Q77*IF(E77="سعودي",cfg_G_SR,cfg_G_NR)*F77/cfg_DAYS_M)</f>
        <v/>
      </c>
      <c r="Y77" s="90" t="str">
        <f aca="false">IF($B77="","",الموظفون!$O77*(cfg_EOS_R1*(MIN(AC77,cfg_EOS_TH)-MIN(AD77,cfg_EOS_TH))+cfg_EOS_R2*(MAX(AC77-cfg_EOS_TH,0)-MAX(AD77-cfg_EOS_TH,0))))</f>
        <v/>
      </c>
      <c r="Z77" s="90" t="str">
        <f aca="false">IF($B77="","",IF(الموظفون!$R77&lt;&gt;"",الموظفون!$R77,IF(AC77&gt;=cfg_LV_TH,cfg_LV_D2,cfg_LV_D1))/cfg_DAYS_Y*AE77*الموظفون!$P77/cfg_DAYS_M)</f>
        <v/>
      </c>
      <c r="AA77" s="90" t="str">
        <f aca="false">IF($B77="","",IF(AND(الموظفون!$S77="نعم",N(الموظفون!$U77)&gt;0),الموظفون!$T77/الموظفون!$U77*12/cfg_DAYS_Y*AE77,0))</f>
        <v/>
      </c>
      <c r="AB77" s="113" t="str">
        <f aca="false">IF($B77="","",R77+SUM(X77:AA77))</f>
        <v/>
      </c>
      <c r="AC77" s="114" t="str">
        <f aca="false">IF($B77="","",MAX(0,IF(OR(الموظفون!$X77="",الموظفون!$X77&gt;$G$3),$G$3,الموظفون!$X77)-الموظفون!$H77+1)/cfg_DAYS_Y)</f>
        <v/>
      </c>
      <c r="AD77" s="114" t="str">
        <f aca="false">IF($B77="","",MAX(0,IF(OR(الموظفون!$X77="",الموظفون!$X77&gt;($E$3-1)),($E$3-1),الموظفون!$X77)-الموظفون!$H77+1)/cfg_DAYS_Y)</f>
        <v/>
      </c>
      <c r="AE77" s="115" t="str">
        <f aca="false">IF($B77="","",MAX(0,IF(OR(الموظفون!$X77="",الموظفون!$X77&gt;$G$3),$G$3,الموظفون!$X77)-MAX($E$3,الموظفون!$H77)+1))</f>
        <v/>
      </c>
    </row>
    <row r="78" customFormat="false" ht="15" hidden="false" customHeight="false" outlineLevel="0" collapsed="false">
      <c r="A78" s="83" t="str">
        <f aca="false">IF($B78="","",الموظفون!$A78)</f>
        <v/>
      </c>
      <c r="B78" s="74" t="str">
        <f aca="false">IF(الموظفون!$B78="","",الموظفون!$B78)</f>
        <v/>
      </c>
      <c r="C78" s="74" t="str">
        <f aca="false">IF($B78="","",الموظفون!$C78)</f>
        <v/>
      </c>
      <c r="D78" s="74" t="str">
        <f aca="false">IF($B78="","",الموظفون!$F78)</f>
        <v/>
      </c>
      <c r="E78" s="74" t="str">
        <f aca="false">IF($B78="","",الموظفون!$E78)</f>
        <v/>
      </c>
      <c r="F78" s="105" t="str">
        <f aca="false">IF($B78="","",IF(AE78&gt;=DAY($G$3),cfg_DAYS_M,MIN(AE78,cfg_DAYS_M)))</f>
        <v/>
      </c>
      <c r="G78" s="105" t="str">
        <f aca="false">IF($B78="","",SUMIFS('الحركات الشهرية'!$D$6:$D$1005,'الحركات الشهرية'!$B$6:$B$1005,$B78,'الحركات الشهرية'!$A$6:$A$1005,$C$3))</f>
        <v/>
      </c>
      <c r="H78" s="105" t="str">
        <f aca="false">IF($B78="","",SUMIFS('الحركات الشهرية'!$E$6:$E$1005,'الحركات الشهرية'!$B$6:$B$1005,$B78,'الحركات الشهرية'!$A$6:$A$1005,$C$3))</f>
        <v/>
      </c>
      <c r="I78" s="105" t="str">
        <f aca="false">IF($B78="","",MAX(0,F78-G78-H78))</f>
        <v/>
      </c>
      <c r="J78" s="86" t="str">
        <f aca="false">IF($B78="","",الموظفون!$J78*$I78/cfg_DAYS_M)</f>
        <v/>
      </c>
      <c r="K78" s="86" t="str">
        <f aca="false">IF($B78="","",الموظفون!$K78*$I78/cfg_DAYS_M)</f>
        <v/>
      </c>
      <c r="L78" s="86" t="str">
        <f aca="false">IF($B78="","",الموظفون!$L78*$I78/cfg_DAYS_M)</f>
        <v/>
      </c>
      <c r="M78" s="86" t="str">
        <f aca="false">IF($B78="","",الموظفون!$M78*$I78/cfg_DAYS_M)</f>
        <v/>
      </c>
      <c r="N78" s="105" t="str">
        <f aca="false">IF($B78="","",SUMIFS('الحركات الشهرية'!$F$6:$F$1005,'الحركات الشهرية'!$B$6:$B$1005,$B78,'الحركات الشهرية'!$A$6:$A$1005,$C$3))</f>
        <v/>
      </c>
      <c r="O78" s="86" t="str">
        <f aca="false">IF($B78="","",N78*(الموظفون!$N78+الموظفون!$J78*cfg_OT_P)/cfg_DAYS_M/cfg_HRS)</f>
        <v/>
      </c>
      <c r="P78" s="86" t="str">
        <f aca="false">IF($B78="","",SUMIFS('الحركات الشهرية'!$G$6:$G$1005,'الحركات الشهرية'!$B$6:$B$1005,$B78,'الحركات الشهرية'!$A$6:$A$1005,$C$3))</f>
        <v/>
      </c>
      <c r="Q78" s="86" t="str">
        <f aca="false">IF($B78="","",SUMIFS('الحركات الشهرية'!$H$6:$H$1005,'الحركات الشهرية'!$B$6:$B$1005,$B78,'الحركات الشهرية'!$A$6:$A$1005,$C$3))</f>
        <v/>
      </c>
      <c r="R78" s="106" t="str">
        <f aca="false">IF($B78="","",SUM(J78:M78)+SUM(O78:Q78))</f>
        <v/>
      </c>
      <c r="S78" s="86" t="str">
        <f aca="false">IF($B78="","",الموظفون!$Q78*IF(E78="سعودي",cfg_G_SE,cfg_G_NE)*F78/cfg_DAYS_M)</f>
        <v/>
      </c>
      <c r="T78" s="86" t="str">
        <f aca="false">IF($B78="","",SUMIFS('الحركات الشهرية'!$I$6:$I$1005,'الحركات الشهرية'!$B$6:$B$1005,$B78,'الحركات الشهرية'!$A$6:$A$1005,$C$3))</f>
        <v/>
      </c>
      <c r="U78" s="86" t="str">
        <f aca="false">IF($B78="","",SUMIFS('الحركات الشهرية'!$J$6:$J$1005,'الحركات الشهرية'!$B$6:$B$1005,$B78,'الحركات الشهرية'!$A$6:$A$1005,$C$3))</f>
        <v/>
      </c>
      <c r="V78" s="86" t="str">
        <f aca="false">IF($B78="","",SUM(S78:U78))</f>
        <v/>
      </c>
      <c r="W78" s="107" t="str">
        <f aca="false">IF($B78="","",R78-V78)</f>
        <v/>
      </c>
      <c r="X78" s="86" t="str">
        <f aca="false">IF($B78="","",الموظفون!$Q78*IF(E78="سعودي",cfg_G_SR,cfg_G_NR)*F78/cfg_DAYS_M)</f>
        <v/>
      </c>
      <c r="Y78" s="86" t="str">
        <f aca="false">IF($B78="","",الموظفون!$O78*(cfg_EOS_R1*(MIN(AC78,cfg_EOS_TH)-MIN(AD78,cfg_EOS_TH))+cfg_EOS_R2*(MAX(AC78-cfg_EOS_TH,0)-MAX(AD78-cfg_EOS_TH,0))))</f>
        <v/>
      </c>
      <c r="Z78" s="86" t="str">
        <f aca="false">IF($B78="","",IF(الموظفون!$R78&lt;&gt;"",الموظفون!$R78,IF(AC78&gt;=cfg_LV_TH,cfg_LV_D2,cfg_LV_D1))/cfg_DAYS_Y*AE78*الموظفون!$P78/cfg_DAYS_M)</f>
        <v/>
      </c>
      <c r="AA78" s="86" t="str">
        <f aca="false">IF($B78="","",IF(AND(الموظفون!$S78="نعم",N(الموظفون!$U78)&gt;0),الموظفون!$T78/الموظفون!$U78*12/cfg_DAYS_Y*AE78,0))</f>
        <v/>
      </c>
      <c r="AB78" s="108" t="str">
        <f aca="false">IF($B78="","",R78+SUM(X78:AA78))</f>
        <v/>
      </c>
      <c r="AC78" s="109" t="str">
        <f aca="false">IF($B78="","",MAX(0,IF(OR(الموظفون!$X78="",الموظفون!$X78&gt;$G$3),$G$3,الموظفون!$X78)-الموظفون!$H78+1)/cfg_DAYS_Y)</f>
        <v/>
      </c>
      <c r="AD78" s="109" t="str">
        <f aca="false">IF($B78="","",MAX(0,IF(OR(الموظفون!$X78="",الموظفون!$X78&gt;($E$3-1)),($E$3-1),الموظفون!$X78)-الموظفون!$H78+1)/cfg_DAYS_Y)</f>
        <v/>
      </c>
      <c r="AE78" s="51" t="str">
        <f aca="false">IF($B78="","",MAX(0,IF(OR(الموظفون!$X78="",الموظفون!$X78&gt;$G$3),$G$3,الموظفون!$X78)-MAX($E$3,الموظفون!$H78)+1))</f>
        <v/>
      </c>
    </row>
    <row r="79" customFormat="false" ht="15" hidden="false" customHeight="false" outlineLevel="0" collapsed="false">
      <c r="A79" s="89" t="str">
        <f aca="false">IF($B79="","",الموظفون!$A79)</f>
        <v/>
      </c>
      <c r="B79" s="91" t="str">
        <f aca="false">IF(الموظفون!$B79="","",الموظفون!$B79)</f>
        <v/>
      </c>
      <c r="C79" s="91" t="str">
        <f aca="false">IF($B79="","",الموظفون!$C79)</f>
        <v/>
      </c>
      <c r="D79" s="91" t="str">
        <f aca="false">IF($B79="","",الموظفون!$F79)</f>
        <v/>
      </c>
      <c r="E79" s="91" t="str">
        <f aca="false">IF($B79="","",الموظفون!$E79)</f>
        <v/>
      </c>
      <c r="F79" s="110" t="str">
        <f aca="false">IF($B79="","",IF(AE79&gt;=DAY($G$3),cfg_DAYS_M,MIN(AE79,cfg_DAYS_M)))</f>
        <v/>
      </c>
      <c r="G79" s="110" t="str">
        <f aca="false">IF($B79="","",SUMIFS('الحركات الشهرية'!$D$6:$D$1005,'الحركات الشهرية'!$B$6:$B$1005,$B79,'الحركات الشهرية'!$A$6:$A$1005,$C$3))</f>
        <v/>
      </c>
      <c r="H79" s="110" t="str">
        <f aca="false">IF($B79="","",SUMIFS('الحركات الشهرية'!$E$6:$E$1005,'الحركات الشهرية'!$B$6:$B$1005,$B79,'الحركات الشهرية'!$A$6:$A$1005,$C$3))</f>
        <v/>
      </c>
      <c r="I79" s="110" t="str">
        <f aca="false">IF($B79="","",MAX(0,F79-G79-H79))</f>
        <v/>
      </c>
      <c r="J79" s="90" t="str">
        <f aca="false">IF($B79="","",الموظفون!$J79*$I79/cfg_DAYS_M)</f>
        <v/>
      </c>
      <c r="K79" s="90" t="str">
        <f aca="false">IF($B79="","",الموظفون!$K79*$I79/cfg_DAYS_M)</f>
        <v/>
      </c>
      <c r="L79" s="90" t="str">
        <f aca="false">IF($B79="","",الموظفون!$L79*$I79/cfg_DAYS_M)</f>
        <v/>
      </c>
      <c r="M79" s="90" t="str">
        <f aca="false">IF($B79="","",الموظفون!$M79*$I79/cfg_DAYS_M)</f>
        <v/>
      </c>
      <c r="N79" s="110" t="str">
        <f aca="false">IF($B79="","",SUMIFS('الحركات الشهرية'!$F$6:$F$1005,'الحركات الشهرية'!$B$6:$B$1005,$B79,'الحركات الشهرية'!$A$6:$A$1005,$C$3))</f>
        <v/>
      </c>
      <c r="O79" s="90" t="str">
        <f aca="false">IF($B79="","",N79*(الموظفون!$N79+الموظفون!$J79*cfg_OT_P)/cfg_DAYS_M/cfg_HRS)</f>
        <v/>
      </c>
      <c r="P79" s="90" t="str">
        <f aca="false">IF($B79="","",SUMIFS('الحركات الشهرية'!$G$6:$G$1005,'الحركات الشهرية'!$B$6:$B$1005,$B79,'الحركات الشهرية'!$A$6:$A$1005,$C$3))</f>
        <v/>
      </c>
      <c r="Q79" s="90" t="str">
        <f aca="false">IF($B79="","",SUMIFS('الحركات الشهرية'!$H$6:$H$1005,'الحركات الشهرية'!$B$6:$B$1005,$B79,'الحركات الشهرية'!$A$6:$A$1005,$C$3))</f>
        <v/>
      </c>
      <c r="R79" s="111" t="str">
        <f aca="false">IF($B79="","",SUM(J79:M79)+SUM(O79:Q79))</f>
        <v/>
      </c>
      <c r="S79" s="90" t="str">
        <f aca="false">IF($B79="","",الموظفون!$Q79*IF(E79="سعودي",cfg_G_SE,cfg_G_NE)*F79/cfg_DAYS_M)</f>
        <v/>
      </c>
      <c r="T79" s="90" t="str">
        <f aca="false">IF($B79="","",SUMIFS('الحركات الشهرية'!$I$6:$I$1005,'الحركات الشهرية'!$B$6:$B$1005,$B79,'الحركات الشهرية'!$A$6:$A$1005,$C$3))</f>
        <v/>
      </c>
      <c r="U79" s="90" t="str">
        <f aca="false">IF($B79="","",SUMIFS('الحركات الشهرية'!$J$6:$J$1005,'الحركات الشهرية'!$B$6:$B$1005,$B79,'الحركات الشهرية'!$A$6:$A$1005,$C$3))</f>
        <v/>
      </c>
      <c r="V79" s="90" t="str">
        <f aca="false">IF($B79="","",SUM(S79:U79))</f>
        <v/>
      </c>
      <c r="W79" s="112" t="str">
        <f aca="false">IF($B79="","",R79-V79)</f>
        <v/>
      </c>
      <c r="X79" s="90" t="str">
        <f aca="false">IF($B79="","",الموظفون!$Q79*IF(E79="سعودي",cfg_G_SR,cfg_G_NR)*F79/cfg_DAYS_M)</f>
        <v/>
      </c>
      <c r="Y79" s="90" t="str">
        <f aca="false">IF($B79="","",الموظفون!$O79*(cfg_EOS_R1*(MIN(AC79,cfg_EOS_TH)-MIN(AD79,cfg_EOS_TH))+cfg_EOS_R2*(MAX(AC79-cfg_EOS_TH,0)-MAX(AD79-cfg_EOS_TH,0))))</f>
        <v/>
      </c>
      <c r="Z79" s="90" t="str">
        <f aca="false">IF($B79="","",IF(الموظفون!$R79&lt;&gt;"",الموظفون!$R79,IF(AC79&gt;=cfg_LV_TH,cfg_LV_D2,cfg_LV_D1))/cfg_DAYS_Y*AE79*الموظفون!$P79/cfg_DAYS_M)</f>
        <v/>
      </c>
      <c r="AA79" s="90" t="str">
        <f aca="false">IF($B79="","",IF(AND(الموظفون!$S79="نعم",N(الموظفون!$U79)&gt;0),الموظفون!$T79/الموظفون!$U79*12/cfg_DAYS_Y*AE79,0))</f>
        <v/>
      </c>
      <c r="AB79" s="113" t="str">
        <f aca="false">IF($B79="","",R79+SUM(X79:AA79))</f>
        <v/>
      </c>
      <c r="AC79" s="114" t="str">
        <f aca="false">IF($B79="","",MAX(0,IF(OR(الموظفون!$X79="",الموظفون!$X79&gt;$G$3),$G$3,الموظفون!$X79)-الموظفون!$H79+1)/cfg_DAYS_Y)</f>
        <v/>
      </c>
      <c r="AD79" s="114" t="str">
        <f aca="false">IF($B79="","",MAX(0,IF(OR(الموظفون!$X79="",الموظفون!$X79&gt;($E$3-1)),($E$3-1),الموظفون!$X79)-الموظفون!$H79+1)/cfg_DAYS_Y)</f>
        <v/>
      </c>
      <c r="AE79" s="115" t="str">
        <f aca="false">IF($B79="","",MAX(0,IF(OR(الموظفون!$X79="",الموظفون!$X79&gt;$G$3),$G$3,الموظفون!$X79)-MAX($E$3,الموظفون!$H79)+1))</f>
        <v/>
      </c>
    </row>
    <row r="80" customFormat="false" ht="15" hidden="false" customHeight="false" outlineLevel="0" collapsed="false">
      <c r="A80" s="83" t="str">
        <f aca="false">IF($B80="","",الموظفون!$A80)</f>
        <v/>
      </c>
      <c r="B80" s="74" t="str">
        <f aca="false">IF(الموظفون!$B80="","",الموظفون!$B80)</f>
        <v/>
      </c>
      <c r="C80" s="74" t="str">
        <f aca="false">IF($B80="","",الموظفون!$C80)</f>
        <v/>
      </c>
      <c r="D80" s="74" t="str">
        <f aca="false">IF($B80="","",الموظفون!$F80)</f>
        <v/>
      </c>
      <c r="E80" s="74" t="str">
        <f aca="false">IF($B80="","",الموظفون!$E80)</f>
        <v/>
      </c>
      <c r="F80" s="105" t="str">
        <f aca="false">IF($B80="","",IF(AE80&gt;=DAY($G$3),cfg_DAYS_M,MIN(AE80,cfg_DAYS_M)))</f>
        <v/>
      </c>
      <c r="G80" s="105" t="str">
        <f aca="false">IF($B80="","",SUMIFS('الحركات الشهرية'!$D$6:$D$1005,'الحركات الشهرية'!$B$6:$B$1005,$B80,'الحركات الشهرية'!$A$6:$A$1005,$C$3))</f>
        <v/>
      </c>
      <c r="H80" s="105" t="str">
        <f aca="false">IF($B80="","",SUMIFS('الحركات الشهرية'!$E$6:$E$1005,'الحركات الشهرية'!$B$6:$B$1005,$B80,'الحركات الشهرية'!$A$6:$A$1005,$C$3))</f>
        <v/>
      </c>
      <c r="I80" s="105" t="str">
        <f aca="false">IF($B80="","",MAX(0,F80-G80-H80))</f>
        <v/>
      </c>
      <c r="J80" s="86" t="str">
        <f aca="false">IF($B80="","",الموظفون!$J80*$I80/cfg_DAYS_M)</f>
        <v/>
      </c>
      <c r="K80" s="86" t="str">
        <f aca="false">IF($B80="","",الموظفون!$K80*$I80/cfg_DAYS_M)</f>
        <v/>
      </c>
      <c r="L80" s="86" t="str">
        <f aca="false">IF($B80="","",الموظفون!$L80*$I80/cfg_DAYS_M)</f>
        <v/>
      </c>
      <c r="M80" s="86" t="str">
        <f aca="false">IF($B80="","",الموظفون!$M80*$I80/cfg_DAYS_M)</f>
        <v/>
      </c>
      <c r="N80" s="105" t="str">
        <f aca="false">IF($B80="","",SUMIFS('الحركات الشهرية'!$F$6:$F$1005,'الحركات الشهرية'!$B$6:$B$1005,$B80,'الحركات الشهرية'!$A$6:$A$1005,$C$3))</f>
        <v/>
      </c>
      <c r="O80" s="86" t="str">
        <f aca="false">IF($B80="","",N80*(الموظفون!$N80+الموظفون!$J80*cfg_OT_P)/cfg_DAYS_M/cfg_HRS)</f>
        <v/>
      </c>
      <c r="P80" s="86" t="str">
        <f aca="false">IF($B80="","",SUMIFS('الحركات الشهرية'!$G$6:$G$1005,'الحركات الشهرية'!$B$6:$B$1005,$B80,'الحركات الشهرية'!$A$6:$A$1005,$C$3))</f>
        <v/>
      </c>
      <c r="Q80" s="86" t="str">
        <f aca="false">IF($B80="","",SUMIFS('الحركات الشهرية'!$H$6:$H$1005,'الحركات الشهرية'!$B$6:$B$1005,$B80,'الحركات الشهرية'!$A$6:$A$1005,$C$3))</f>
        <v/>
      </c>
      <c r="R80" s="106" t="str">
        <f aca="false">IF($B80="","",SUM(J80:M80)+SUM(O80:Q80))</f>
        <v/>
      </c>
      <c r="S80" s="86" t="str">
        <f aca="false">IF($B80="","",الموظفون!$Q80*IF(E80="سعودي",cfg_G_SE,cfg_G_NE)*F80/cfg_DAYS_M)</f>
        <v/>
      </c>
      <c r="T80" s="86" t="str">
        <f aca="false">IF($B80="","",SUMIFS('الحركات الشهرية'!$I$6:$I$1005,'الحركات الشهرية'!$B$6:$B$1005,$B80,'الحركات الشهرية'!$A$6:$A$1005,$C$3))</f>
        <v/>
      </c>
      <c r="U80" s="86" t="str">
        <f aca="false">IF($B80="","",SUMIFS('الحركات الشهرية'!$J$6:$J$1005,'الحركات الشهرية'!$B$6:$B$1005,$B80,'الحركات الشهرية'!$A$6:$A$1005,$C$3))</f>
        <v/>
      </c>
      <c r="V80" s="86" t="str">
        <f aca="false">IF($B80="","",SUM(S80:U80))</f>
        <v/>
      </c>
      <c r="W80" s="107" t="str">
        <f aca="false">IF($B80="","",R80-V80)</f>
        <v/>
      </c>
      <c r="X80" s="86" t="str">
        <f aca="false">IF($B80="","",الموظفون!$Q80*IF(E80="سعودي",cfg_G_SR,cfg_G_NR)*F80/cfg_DAYS_M)</f>
        <v/>
      </c>
      <c r="Y80" s="86" t="str">
        <f aca="false">IF($B80="","",الموظفون!$O80*(cfg_EOS_R1*(MIN(AC80,cfg_EOS_TH)-MIN(AD80,cfg_EOS_TH))+cfg_EOS_R2*(MAX(AC80-cfg_EOS_TH,0)-MAX(AD80-cfg_EOS_TH,0))))</f>
        <v/>
      </c>
      <c r="Z80" s="86" t="str">
        <f aca="false">IF($B80="","",IF(الموظفون!$R80&lt;&gt;"",الموظفون!$R80,IF(AC80&gt;=cfg_LV_TH,cfg_LV_D2,cfg_LV_D1))/cfg_DAYS_Y*AE80*الموظفون!$P80/cfg_DAYS_M)</f>
        <v/>
      </c>
      <c r="AA80" s="86" t="str">
        <f aca="false">IF($B80="","",IF(AND(الموظفون!$S80="نعم",N(الموظفون!$U80)&gt;0),الموظفون!$T80/الموظفون!$U80*12/cfg_DAYS_Y*AE80,0))</f>
        <v/>
      </c>
      <c r="AB80" s="108" t="str">
        <f aca="false">IF($B80="","",R80+SUM(X80:AA80))</f>
        <v/>
      </c>
      <c r="AC80" s="109" t="str">
        <f aca="false">IF($B80="","",MAX(0,IF(OR(الموظفون!$X80="",الموظفون!$X80&gt;$G$3),$G$3,الموظفون!$X80)-الموظفون!$H80+1)/cfg_DAYS_Y)</f>
        <v/>
      </c>
      <c r="AD80" s="109" t="str">
        <f aca="false">IF($B80="","",MAX(0,IF(OR(الموظفون!$X80="",الموظفون!$X80&gt;($E$3-1)),($E$3-1),الموظفون!$X80)-الموظفون!$H80+1)/cfg_DAYS_Y)</f>
        <v/>
      </c>
      <c r="AE80" s="51" t="str">
        <f aca="false">IF($B80="","",MAX(0,IF(OR(الموظفون!$X80="",الموظفون!$X80&gt;$G$3),$G$3,الموظفون!$X80)-MAX($E$3,الموظفون!$H80)+1))</f>
        <v/>
      </c>
    </row>
    <row r="81" customFormat="false" ht="15" hidden="false" customHeight="false" outlineLevel="0" collapsed="false">
      <c r="A81" s="89" t="str">
        <f aca="false">IF($B81="","",الموظفون!$A81)</f>
        <v/>
      </c>
      <c r="B81" s="91" t="str">
        <f aca="false">IF(الموظفون!$B81="","",الموظفون!$B81)</f>
        <v/>
      </c>
      <c r="C81" s="91" t="str">
        <f aca="false">IF($B81="","",الموظفون!$C81)</f>
        <v/>
      </c>
      <c r="D81" s="91" t="str">
        <f aca="false">IF($B81="","",الموظفون!$F81)</f>
        <v/>
      </c>
      <c r="E81" s="91" t="str">
        <f aca="false">IF($B81="","",الموظفون!$E81)</f>
        <v/>
      </c>
      <c r="F81" s="110" t="str">
        <f aca="false">IF($B81="","",IF(AE81&gt;=DAY($G$3),cfg_DAYS_M,MIN(AE81,cfg_DAYS_M)))</f>
        <v/>
      </c>
      <c r="G81" s="110" t="str">
        <f aca="false">IF($B81="","",SUMIFS('الحركات الشهرية'!$D$6:$D$1005,'الحركات الشهرية'!$B$6:$B$1005,$B81,'الحركات الشهرية'!$A$6:$A$1005,$C$3))</f>
        <v/>
      </c>
      <c r="H81" s="110" t="str">
        <f aca="false">IF($B81="","",SUMIFS('الحركات الشهرية'!$E$6:$E$1005,'الحركات الشهرية'!$B$6:$B$1005,$B81,'الحركات الشهرية'!$A$6:$A$1005,$C$3))</f>
        <v/>
      </c>
      <c r="I81" s="110" t="str">
        <f aca="false">IF($B81="","",MAX(0,F81-G81-H81))</f>
        <v/>
      </c>
      <c r="J81" s="90" t="str">
        <f aca="false">IF($B81="","",الموظفون!$J81*$I81/cfg_DAYS_M)</f>
        <v/>
      </c>
      <c r="K81" s="90" t="str">
        <f aca="false">IF($B81="","",الموظفون!$K81*$I81/cfg_DAYS_M)</f>
        <v/>
      </c>
      <c r="L81" s="90" t="str">
        <f aca="false">IF($B81="","",الموظفون!$L81*$I81/cfg_DAYS_M)</f>
        <v/>
      </c>
      <c r="M81" s="90" t="str">
        <f aca="false">IF($B81="","",الموظفون!$M81*$I81/cfg_DAYS_M)</f>
        <v/>
      </c>
      <c r="N81" s="110" t="str">
        <f aca="false">IF($B81="","",SUMIFS('الحركات الشهرية'!$F$6:$F$1005,'الحركات الشهرية'!$B$6:$B$1005,$B81,'الحركات الشهرية'!$A$6:$A$1005,$C$3))</f>
        <v/>
      </c>
      <c r="O81" s="90" t="str">
        <f aca="false">IF($B81="","",N81*(الموظفون!$N81+الموظفون!$J81*cfg_OT_P)/cfg_DAYS_M/cfg_HRS)</f>
        <v/>
      </c>
      <c r="P81" s="90" t="str">
        <f aca="false">IF($B81="","",SUMIFS('الحركات الشهرية'!$G$6:$G$1005,'الحركات الشهرية'!$B$6:$B$1005,$B81,'الحركات الشهرية'!$A$6:$A$1005,$C$3))</f>
        <v/>
      </c>
      <c r="Q81" s="90" t="str">
        <f aca="false">IF($B81="","",SUMIFS('الحركات الشهرية'!$H$6:$H$1005,'الحركات الشهرية'!$B$6:$B$1005,$B81,'الحركات الشهرية'!$A$6:$A$1005,$C$3))</f>
        <v/>
      </c>
      <c r="R81" s="111" t="str">
        <f aca="false">IF($B81="","",SUM(J81:M81)+SUM(O81:Q81))</f>
        <v/>
      </c>
      <c r="S81" s="90" t="str">
        <f aca="false">IF($B81="","",الموظفون!$Q81*IF(E81="سعودي",cfg_G_SE,cfg_G_NE)*F81/cfg_DAYS_M)</f>
        <v/>
      </c>
      <c r="T81" s="90" t="str">
        <f aca="false">IF($B81="","",SUMIFS('الحركات الشهرية'!$I$6:$I$1005,'الحركات الشهرية'!$B$6:$B$1005,$B81,'الحركات الشهرية'!$A$6:$A$1005,$C$3))</f>
        <v/>
      </c>
      <c r="U81" s="90" t="str">
        <f aca="false">IF($B81="","",SUMIFS('الحركات الشهرية'!$J$6:$J$1005,'الحركات الشهرية'!$B$6:$B$1005,$B81,'الحركات الشهرية'!$A$6:$A$1005,$C$3))</f>
        <v/>
      </c>
      <c r="V81" s="90" t="str">
        <f aca="false">IF($B81="","",SUM(S81:U81))</f>
        <v/>
      </c>
      <c r="W81" s="112" t="str">
        <f aca="false">IF($B81="","",R81-V81)</f>
        <v/>
      </c>
      <c r="X81" s="90" t="str">
        <f aca="false">IF($B81="","",الموظفون!$Q81*IF(E81="سعودي",cfg_G_SR,cfg_G_NR)*F81/cfg_DAYS_M)</f>
        <v/>
      </c>
      <c r="Y81" s="90" t="str">
        <f aca="false">IF($B81="","",الموظفون!$O81*(cfg_EOS_R1*(MIN(AC81,cfg_EOS_TH)-MIN(AD81,cfg_EOS_TH))+cfg_EOS_R2*(MAX(AC81-cfg_EOS_TH,0)-MAX(AD81-cfg_EOS_TH,0))))</f>
        <v/>
      </c>
      <c r="Z81" s="90" t="str">
        <f aca="false">IF($B81="","",IF(الموظفون!$R81&lt;&gt;"",الموظفون!$R81,IF(AC81&gt;=cfg_LV_TH,cfg_LV_D2,cfg_LV_D1))/cfg_DAYS_Y*AE81*الموظفون!$P81/cfg_DAYS_M)</f>
        <v/>
      </c>
      <c r="AA81" s="90" t="str">
        <f aca="false">IF($B81="","",IF(AND(الموظفون!$S81="نعم",N(الموظفون!$U81)&gt;0),الموظفون!$T81/الموظفون!$U81*12/cfg_DAYS_Y*AE81,0))</f>
        <v/>
      </c>
      <c r="AB81" s="113" t="str">
        <f aca="false">IF($B81="","",R81+SUM(X81:AA81))</f>
        <v/>
      </c>
      <c r="AC81" s="114" t="str">
        <f aca="false">IF($B81="","",MAX(0,IF(OR(الموظفون!$X81="",الموظفون!$X81&gt;$G$3),$G$3,الموظفون!$X81)-الموظفون!$H81+1)/cfg_DAYS_Y)</f>
        <v/>
      </c>
      <c r="AD81" s="114" t="str">
        <f aca="false">IF($B81="","",MAX(0,IF(OR(الموظفون!$X81="",الموظفون!$X81&gt;($E$3-1)),($E$3-1),الموظفون!$X81)-الموظفون!$H81+1)/cfg_DAYS_Y)</f>
        <v/>
      </c>
      <c r="AE81" s="115" t="str">
        <f aca="false">IF($B81="","",MAX(0,IF(OR(الموظفون!$X81="",الموظفون!$X81&gt;$G$3),$G$3,الموظفون!$X81)-MAX($E$3,الموظفون!$H81)+1))</f>
        <v/>
      </c>
    </row>
    <row r="82" customFormat="false" ht="15" hidden="false" customHeight="false" outlineLevel="0" collapsed="false">
      <c r="A82" s="83" t="str">
        <f aca="false">IF($B82="","",الموظفون!$A82)</f>
        <v/>
      </c>
      <c r="B82" s="74" t="str">
        <f aca="false">IF(الموظفون!$B82="","",الموظفون!$B82)</f>
        <v/>
      </c>
      <c r="C82" s="74" t="str">
        <f aca="false">IF($B82="","",الموظفون!$C82)</f>
        <v/>
      </c>
      <c r="D82" s="74" t="str">
        <f aca="false">IF($B82="","",الموظفون!$F82)</f>
        <v/>
      </c>
      <c r="E82" s="74" t="str">
        <f aca="false">IF($B82="","",الموظفون!$E82)</f>
        <v/>
      </c>
      <c r="F82" s="105" t="str">
        <f aca="false">IF($B82="","",IF(AE82&gt;=DAY($G$3),cfg_DAYS_M,MIN(AE82,cfg_DAYS_M)))</f>
        <v/>
      </c>
      <c r="G82" s="105" t="str">
        <f aca="false">IF($B82="","",SUMIFS('الحركات الشهرية'!$D$6:$D$1005,'الحركات الشهرية'!$B$6:$B$1005,$B82,'الحركات الشهرية'!$A$6:$A$1005,$C$3))</f>
        <v/>
      </c>
      <c r="H82" s="105" t="str">
        <f aca="false">IF($B82="","",SUMIFS('الحركات الشهرية'!$E$6:$E$1005,'الحركات الشهرية'!$B$6:$B$1005,$B82,'الحركات الشهرية'!$A$6:$A$1005,$C$3))</f>
        <v/>
      </c>
      <c r="I82" s="105" t="str">
        <f aca="false">IF($B82="","",MAX(0,F82-G82-H82))</f>
        <v/>
      </c>
      <c r="J82" s="86" t="str">
        <f aca="false">IF($B82="","",الموظفون!$J82*$I82/cfg_DAYS_M)</f>
        <v/>
      </c>
      <c r="K82" s="86" t="str">
        <f aca="false">IF($B82="","",الموظفون!$K82*$I82/cfg_DAYS_M)</f>
        <v/>
      </c>
      <c r="L82" s="86" t="str">
        <f aca="false">IF($B82="","",الموظفون!$L82*$I82/cfg_DAYS_M)</f>
        <v/>
      </c>
      <c r="M82" s="86" t="str">
        <f aca="false">IF($B82="","",الموظفون!$M82*$I82/cfg_DAYS_M)</f>
        <v/>
      </c>
      <c r="N82" s="105" t="str">
        <f aca="false">IF($B82="","",SUMIFS('الحركات الشهرية'!$F$6:$F$1005,'الحركات الشهرية'!$B$6:$B$1005,$B82,'الحركات الشهرية'!$A$6:$A$1005,$C$3))</f>
        <v/>
      </c>
      <c r="O82" s="86" t="str">
        <f aca="false">IF($B82="","",N82*(الموظفون!$N82+الموظفون!$J82*cfg_OT_P)/cfg_DAYS_M/cfg_HRS)</f>
        <v/>
      </c>
      <c r="P82" s="86" t="str">
        <f aca="false">IF($B82="","",SUMIFS('الحركات الشهرية'!$G$6:$G$1005,'الحركات الشهرية'!$B$6:$B$1005,$B82,'الحركات الشهرية'!$A$6:$A$1005,$C$3))</f>
        <v/>
      </c>
      <c r="Q82" s="86" t="str">
        <f aca="false">IF($B82="","",SUMIFS('الحركات الشهرية'!$H$6:$H$1005,'الحركات الشهرية'!$B$6:$B$1005,$B82,'الحركات الشهرية'!$A$6:$A$1005,$C$3))</f>
        <v/>
      </c>
      <c r="R82" s="106" t="str">
        <f aca="false">IF($B82="","",SUM(J82:M82)+SUM(O82:Q82))</f>
        <v/>
      </c>
      <c r="S82" s="86" t="str">
        <f aca="false">IF($B82="","",الموظفون!$Q82*IF(E82="سعودي",cfg_G_SE,cfg_G_NE)*F82/cfg_DAYS_M)</f>
        <v/>
      </c>
      <c r="T82" s="86" t="str">
        <f aca="false">IF($B82="","",SUMIFS('الحركات الشهرية'!$I$6:$I$1005,'الحركات الشهرية'!$B$6:$B$1005,$B82,'الحركات الشهرية'!$A$6:$A$1005,$C$3))</f>
        <v/>
      </c>
      <c r="U82" s="86" t="str">
        <f aca="false">IF($B82="","",SUMIFS('الحركات الشهرية'!$J$6:$J$1005,'الحركات الشهرية'!$B$6:$B$1005,$B82,'الحركات الشهرية'!$A$6:$A$1005,$C$3))</f>
        <v/>
      </c>
      <c r="V82" s="86" t="str">
        <f aca="false">IF($B82="","",SUM(S82:U82))</f>
        <v/>
      </c>
      <c r="W82" s="107" t="str">
        <f aca="false">IF($B82="","",R82-V82)</f>
        <v/>
      </c>
      <c r="X82" s="86" t="str">
        <f aca="false">IF($B82="","",الموظفون!$Q82*IF(E82="سعودي",cfg_G_SR,cfg_G_NR)*F82/cfg_DAYS_M)</f>
        <v/>
      </c>
      <c r="Y82" s="86" t="str">
        <f aca="false">IF($B82="","",الموظفون!$O82*(cfg_EOS_R1*(MIN(AC82,cfg_EOS_TH)-MIN(AD82,cfg_EOS_TH))+cfg_EOS_R2*(MAX(AC82-cfg_EOS_TH,0)-MAX(AD82-cfg_EOS_TH,0))))</f>
        <v/>
      </c>
      <c r="Z82" s="86" t="str">
        <f aca="false">IF($B82="","",IF(الموظفون!$R82&lt;&gt;"",الموظفون!$R82,IF(AC82&gt;=cfg_LV_TH,cfg_LV_D2,cfg_LV_D1))/cfg_DAYS_Y*AE82*الموظفون!$P82/cfg_DAYS_M)</f>
        <v/>
      </c>
      <c r="AA82" s="86" t="str">
        <f aca="false">IF($B82="","",IF(AND(الموظفون!$S82="نعم",N(الموظفون!$U82)&gt;0),الموظفون!$T82/الموظفون!$U82*12/cfg_DAYS_Y*AE82,0))</f>
        <v/>
      </c>
      <c r="AB82" s="108" t="str">
        <f aca="false">IF($B82="","",R82+SUM(X82:AA82))</f>
        <v/>
      </c>
      <c r="AC82" s="109" t="str">
        <f aca="false">IF($B82="","",MAX(0,IF(OR(الموظفون!$X82="",الموظفون!$X82&gt;$G$3),$G$3,الموظفون!$X82)-الموظفون!$H82+1)/cfg_DAYS_Y)</f>
        <v/>
      </c>
      <c r="AD82" s="109" t="str">
        <f aca="false">IF($B82="","",MAX(0,IF(OR(الموظفون!$X82="",الموظفون!$X82&gt;($E$3-1)),($E$3-1),الموظفون!$X82)-الموظفون!$H82+1)/cfg_DAYS_Y)</f>
        <v/>
      </c>
      <c r="AE82" s="51" t="str">
        <f aca="false">IF($B82="","",MAX(0,IF(OR(الموظفون!$X82="",الموظفون!$X82&gt;$G$3),$G$3,الموظفون!$X82)-MAX($E$3,الموظفون!$H82)+1))</f>
        <v/>
      </c>
    </row>
    <row r="83" customFormat="false" ht="15" hidden="false" customHeight="false" outlineLevel="0" collapsed="false">
      <c r="A83" s="89" t="str">
        <f aca="false">IF($B83="","",الموظفون!$A83)</f>
        <v/>
      </c>
      <c r="B83" s="91" t="str">
        <f aca="false">IF(الموظفون!$B83="","",الموظفون!$B83)</f>
        <v/>
      </c>
      <c r="C83" s="91" t="str">
        <f aca="false">IF($B83="","",الموظفون!$C83)</f>
        <v/>
      </c>
      <c r="D83" s="91" t="str">
        <f aca="false">IF($B83="","",الموظفون!$F83)</f>
        <v/>
      </c>
      <c r="E83" s="91" t="str">
        <f aca="false">IF($B83="","",الموظفون!$E83)</f>
        <v/>
      </c>
      <c r="F83" s="110" t="str">
        <f aca="false">IF($B83="","",IF(AE83&gt;=DAY($G$3),cfg_DAYS_M,MIN(AE83,cfg_DAYS_M)))</f>
        <v/>
      </c>
      <c r="G83" s="110" t="str">
        <f aca="false">IF($B83="","",SUMIFS('الحركات الشهرية'!$D$6:$D$1005,'الحركات الشهرية'!$B$6:$B$1005,$B83,'الحركات الشهرية'!$A$6:$A$1005,$C$3))</f>
        <v/>
      </c>
      <c r="H83" s="110" t="str">
        <f aca="false">IF($B83="","",SUMIFS('الحركات الشهرية'!$E$6:$E$1005,'الحركات الشهرية'!$B$6:$B$1005,$B83,'الحركات الشهرية'!$A$6:$A$1005,$C$3))</f>
        <v/>
      </c>
      <c r="I83" s="110" t="str">
        <f aca="false">IF($B83="","",MAX(0,F83-G83-H83))</f>
        <v/>
      </c>
      <c r="J83" s="90" t="str">
        <f aca="false">IF($B83="","",الموظفون!$J83*$I83/cfg_DAYS_M)</f>
        <v/>
      </c>
      <c r="K83" s="90" t="str">
        <f aca="false">IF($B83="","",الموظفون!$K83*$I83/cfg_DAYS_M)</f>
        <v/>
      </c>
      <c r="L83" s="90" t="str">
        <f aca="false">IF($B83="","",الموظفون!$L83*$I83/cfg_DAYS_M)</f>
        <v/>
      </c>
      <c r="M83" s="90" t="str">
        <f aca="false">IF($B83="","",الموظفون!$M83*$I83/cfg_DAYS_M)</f>
        <v/>
      </c>
      <c r="N83" s="110" t="str">
        <f aca="false">IF($B83="","",SUMIFS('الحركات الشهرية'!$F$6:$F$1005,'الحركات الشهرية'!$B$6:$B$1005,$B83,'الحركات الشهرية'!$A$6:$A$1005,$C$3))</f>
        <v/>
      </c>
      <c r="O83" s="90" t="str">
        <f aca="false">IF($B83="","",N83*(الموظفون!$N83+الموظفون!$J83*cfg_OT_P)/cfg_DAYS_M/cfg_HRS)</f>
        <v/>
      </c>
      <c r="P83" s="90" t="str">
        <f aca="false">IF($B83="","",SUMIFS('الحركات الشهرية'!$G$6:$G$1005,'الحركات الشهرية'!$B$6:$B$1005,$B83,'الحركات الشهرية'!$A$6:$A$1005,$C$3))</f>
        <v/>
      </c>
      <c r="Q83" s="90" t="str">
        <f aca="false">IF($B83="","",SUMIFS('الحركات الشهرية'!$H$6:$H$1005,'الحركات الشهرية'!$B$6:$B$1005,$B83,'الحركات الشهرية'!$A$6:$A$1005,$C$3))</f>
        <v/>
      </c>
      <c r="R83" s="111" t="str">
        <f aca="false">IF($B83="","",SUM(J83:M83)+SUM(O83:Q83))</f>
        <v/>
      </c>
      <c r="S83" s="90" t="str">
        <f aca="false">IF($B83="","",الموظفون!$Q83*IF(E83="سعودي",cfg_G_SE,cfg_G_NE)*F83/cfg_DAYS_M)</f>
        <v/>
      </c>
      <c r="T83" s="90" t="str">
        <f aca="false">IF($B83="","",SUMIFS('الحركات الشهرية'!$I$6:$I$1005,'الحركات الشهرية'!$B$6:$B$1005,$B83,'الحركات الشهرية'!$A$6:$A$1005,$C$3))</f>
        <v/>
      </c>
      <c r="U83" s="90" t="str">
        <f aca="false">IF($B83="","",SUMIFS('الحركات الشهرية'!$J$6:$J$1005,'الحركات الشهرية'!$B$6:$B$1005,$B83,'الحركات الشهرية'!$A$6:$A$1005,$C$3))</f>
        <v/>
      </c>
      <c r="V83" s="90" t="str">
        <f aca="false">IF($B83="","",SUM(S83:U83))</f>
        <v/>
      </c>
      <c r="W83" s="112" t="str">
        <f aca="false">IF($B83="","",R83-V83)</f>
        <v/>
      </c>
      <c r="X83" s="90" t="str">
        <f aca="false">IF($B83="","",الموظفون!$Q83*IF(E83="سعودي",cfg_G_SR,cfg_G_NR)*F83/cfg_DAYS_M)</f>
        <v/>
      </c>
      <c r="Y83" s="90" t="str">
        <f aca="false">IF($B83="","",الموظفون!$O83*(cfg_EOS_R1*(MIN(AC83,cfg_EOS_TH)-MIN(AD83,cfg_EOS_TH))+cfg_EOS_R2*(MAX(AC83-cfg_EOS_TH,0)-MAX(AD83-cfg_EOS_TH,0))))</f>
        <v/>
      </c>
      <c r="Z83" s="90" t="str">
        <f aca="false">IF($B83="","",IF(الموظفون!$R83&lt;&gt;"",الموظفون!$R83,IF(AC83&gt;=cfg_LV_TH,cfg_LV_D2,cfg_LV_D1))/cfg_DAYS_Y*AE83*الموظفون!$P83/cfg_DAYS_M)</f>
        <v/>
      </c>
      <c r="AA83" s="90" t="str">
        <f aca="false">IF($B83="","",IF(AND(الموظفون!$S83="نعم",N(الموظفون!$U83)&gt;0),الموظفون!$T83/الموظفون!$U83*12/cfg_DAYS_Y*AE83,0))</f>
        <v/>
      </c>
      <c r="AB83" s="113" t="str">
        <f aca="false">IF($B83="","",R83+SUM(X83:AA83))</f>
        <v/>
      </c>
      <c r="AC83" s="114" t="str">
        <f aca="false">IF($B83="","",MAX(0,IF(OR(الموظفون!$X83="",الموظفون!$X83&gt;$G$3),$G$3,الموظفون!$X83)-الموظفون!$H83+1)/cfg_DAYS_Y)</f>
        <v/>
      </c>
      <c r="AD83" s="114" t="str">
        <f aca="false">IF($B83="","",MAX(0,IF(OR(الموظفون!$X83="",الموظفون!$X83&gt;($E$3-1)),($E$3-1),الموظفون!$X83)-الموظفون!$H83+1)/cfg_DAYS_Y)</f>
        <v/>
      </c>
      <c r="AE83" s="115" t="str">
        <f aca="false">IF($B83="","",MAX(0,IF(OR(الموظفون!$X83="",الموظفون!$X83&gt;$G$3),$G$3,الموظفون!$X83)-MAX($E$3,الموظفون!$H83)+1))</f>
        <v/>
      </c>
    </row>
    <row r="84" customFormat="false" ht="15" hidden="false" customHeight="false" outlineLevel="0" collapsed="false">
      <c r="A84" s="83" t="str">
        <f aca="false">IF($B84="","",الموظفون!$A84)</f>
        <v/>
      </c>
      <c r="B84" s="74" t="str">
        <f aca="false">IF(الموظفون!$B84="","",الموظفون!$B84)</f>
        <v/>
      </c>
      <c r="C84" s="74" t="str">
        <f aca="false">IF($B84="","",الموظفون!$C84)</f>
        <v/>
      </c>
      <c r="D84" s="74" t="str">
        <f aca="false">IF($B84="","",الموظفون!$F84)</f>
        <v/>
      </c>
      <c r="E84" s="74" t="str">
        <f aca="false">IF($B84="","",الموظفون!$E84)</f>
        <v/>
      </c>
      <c r="F84" s="105" t="str">
        <f aca="false">IF($B84="","",IF(AE84&gt;=DAY($G$3),cfg_DAYS_M,MIN(AE84,cfg_DAYS_M)))</f>
        <v/>
      </c>
      <c r="G84" s="105" t="str">
        <f aca="false">IF($B84="","",SUMIFS('الحركات الشهرية'!$D$6:$D$1005,'الحركات الشهرية'!$B$6:$B$1005,$B84,'الحركات الشهرية'!$A$6:$A$1005,$C$3))</f>
        <v/>
      </c>
      <c r="H84" s="105" t="str">
        <f aca="false">IF($B84="","",SUMIFS('الحركات الشهرية'!$E$6:$E$1005,'الحركات الشهرية'!$B$6:$B$1005,$B84,'الحركات الشهرية'!$A$6:$A$1005,$C$3))</f>
        <v/>
      </c>
      <c r="I84" s="105" t="str">
        <f aca="false">IF($B84="","",MAX(0,F84-G84-H84))</f>
        <v/>
      </c>
      <c r="J84" s="86" t="str">
        <f aca="false">IF($B84="","",الموظفون!$J84*$I84/cfg_DAYS_M)</f>
        <v/>
      </c>
      <c r="K84" s="86" t="str">
        <f aca="false">IF($B84="","",الموظفون!$K84*$I84/cfg_DAYS_M)</f>
        <v/>
      </c>
      <c r="L84" s="86" t="str">
        <f aca="false">IF($B84="","",الموظفون!$L84*$I84/cfg_DAYS_M)</f>
        <v/>
      </c>
      <c r="M84" s="86" t="str">
        <f aca="false">IF($B84="","",الموظفون!$M84*$I84/cfg_DAYS_M)</f>
        <v/>
      </c>
      <c r="N84" s="105" t="str">
        <f aca="false">IF($B84="","",SUMIFS('الحركات الشهرية'!$F$6:$F$1005,'الحركات الشهرية'!$B$6:$B$1005,$B84,'الحركات الشهرية'!$A$6:$A$1005,$C$3))</f>
        <v/>
      </c>
      <c r="O84" s="86" t="str">
        <f aca="false">IF($B84="","",N84*(الموظفون!$N84+الموظفون!$J84*cfg_OT_P)/cfg_DAYS_M/cfg_HRS)</f>
        <v/>
      </c>
      <c r="P84" s="86" t="str">
        <f aca="false">IF($B84="","",SUMIFS('الحركات الشهرية'!$G$6:$G$1005,'الحركات الشهرية'!$B$6:$B$1005,$B84,'الحركات الشهرية'!$A$6:$A$1005,$C$3))</f>
        <v/>
      </c>
      <c r="Q84" s="86" t="str">
        <f aca="false">IF($B84="","",SUMIFS('الحركات الشهرية'!$H$6:$H$1005,'الحركات الشهرية'!$B$6:$B$1005,$B84,'الحركات الشهرية'!$A$6:$A$1005,$C$3))</f>
        <v/>
      </c>
      <c r="R84" s="106" t="str">
        <f aca="false">IF($B84="","",SUM(J84:M84)+SUM(O84:Q84))</f>
        <v/>
      </c>
      <c r="S84" s="86" t="str">
        <f aca="false">IF($B84="","",الموظفون!$Q84*IF(E84="سعودي",cfg_G_SE,cfg_G_NE)*F84/cfg_DAYS_M)</f>
        <v/>
      </c>
      <c r="T84" s="86" t="str">
        <f aca="false">IF($B84="","",SUMIFS('الحركات الشهرية'!$I$6:$I$1005,'الحركات الشهرية'!$B$6:$B$1005,$B84,'الحركات الشهرية'!$A$6:$A$1005,$C$3))</f>
        <v/>
      </c>
      <c r="U84" s="86" t="str">
        <f aca="false">IF($B84="","",SUMIFS('الحركات الشهرية'!$J$6:$J$1005,'الحركات الشهرية'!$B$6:$B$1005,$B84,'الحركات الشهرية'!$A$6:$A$1005,$C$3))</f>
        <v/>
      </c>
      <c r="V84" s="86" t="str">
        <f aca="false">IF($B84="","",SUM(S84:U84))</f>
        <v/>
      </c>
      <c r="W84" s="107" t="str">
        <f aca="false">IF($B84="","",R84-V84)</f>
        <v/>
      </c>
      <c r="X84" s="86" t="str">
        <f aca="false">IF($B84="","",الموظفون!$Q84*IF(E84="سعودي",cfg_G_SR,cfg_G_NR)*F84/cfg_DAYS_M)</f>
        <v/>
      </c>
      <c r="Y84" s="86" t="str">
        <f aca="false">IF($B84="","",الموظفون!$O84*(cfg_EOS_R1*(MIN(AC84,cfg_EOS_TH)-MIN(AD84,cfg_EOS_TH))+cfg_EOS_R2*(MAX(AC84-cfg_EOS_TH,0)-MAX(AD84-cfg_EOS_TH,0))))</f>
        <v/>
      </c>
      <c r="Z84" s="86" t="str">
        <f aca="false">IF($B84="","",IF(الموظفون!$R84&lt;&gt;"",الموظفون!$R84,IF(AC84&gt;=cfg_LV_TH,cfg_LV_D2,cfg_LV_D1))/cfg_DAYS_Y*AE84*الموظفون!$P84/cfg_DAYS_M)</f>
        <v/>
      </c>
      <c r="AA84" s="86" t="str">
        <f aca="false">IF($B84="","",IF(AND(الموظفون!$S84="نعم",N(الموظفون!$U84)&gt;0),الموظفون!$T84/الموظفون!$U84*12/cfg_DAYS_Y*AE84,0))</f>
        <v/>
      </c>
      <c r="AB84" s="108" t="str">
        <f aca="false">IF($B84="","",R84+SUM(X84:AA84))</f>
        <v/>
      </c>
      <c r="AC84" s="109" t="str">
        <f aca="false">IF($B84="","",MAX(0,IF(OR(الموظفون!$X84="",الموظفون!$X84&gt;$G$3),$G$3,الموظفون!$X84)-الموظفون!$H84+1)/cfg_DAYS_Y)</f>
        <v/>
      </c>
      <c r="AD84" s="109" t="str">
        <f aca="false">IF($B84="","",MAX(0,IF(OR(الموظفون!$X84="",الموظفون!$X84&gt;($E$3-1)),($E$3-1),الموظفون!$X84)-الموظفون!$H84+1)/cfg_DAYS_Y)</f>
        <v/>
      </c>
      <c r="AE84" s="51" t="str">
        <f aca="false">IF($B84="","",MAX(0,IF(OR(الموظفون!$X84="",الموظفون!$X84&gt;$G$3),$G$3,الموظفون!$X84)-MAX($E$3,الموظفون!$H84)+1))</f>
        <v/>
      </c>
    </row>
    <row r="85" customFormat="false" ht="15" hidden="false" customHeight="false" outlineLevel="0" collapsed="false">
      <c r="A85" s="89" t="str">
        <f aca="false">IF($B85="","",الموظفون!$A85)</f>
        <v/>
      </c>
      <c r="B85" s="91" t="str">
        <f aca="false">IF(الموظفون!$B85="","",الموظفون!$B85)</f>
        <v/>
      </c>
      <c r="C85" s="91" t="str">
        <f aca="false">IF($B85="","",الموظفون!$C85)</f>
        <v/>
      </c>
      <c r="D85" s="91" t="str">
        <f aca="false">IF($B85="","",الموظفون!$F85)</f>
        <v/>
      </c>
      <c r="E85" s="91" t="str">
        <f aca="false">IF($B85="","",الموظفون!$E85)</f>
        <v/>
      </c>
      <c r="F85" s="110" t="str">
        <f aca="false">IF($B85="","",IF(AE85&gt;=DAY($G$3),cfg_DAYS_M,MIN(AE85,cfg_DAYS_M)))</f>
        <v/>
      </c>
      <c r="G85" s="110" t="str">
        <f aca="false">IF($B85="","",SUMIFS('الحركات الشهرية'!$D$6:$D$1005,'الحركات الشهرية'!$B$6:$B$1005,$B85,'الحركات الشهرية'!$A$6:$A$1005,$C$3))</f>
        <v/>
      </c>
      <c r="H85" s="110" t="str">
        <f aca="false">IF($B85="","",SUMIFS('الحركات الشهرية'!$E$6:$E$1005,'الحركات الشهرية'!$B$6:$B$1005,$B85,'الحركات الشهرية'!$A$6:$A$1005,$C$3))</f>
        <v/>
      </c>
      <c r="I85" s="110" t="str">
        <f aca="false">IF($B85="","",MAX(0,F85-G85-H85))</f>
        <v/>
      </c>
      <c r="J85" s="90" t="str">
        <f aca="false">IF($B85="","",الموظفون!$J85*$I85/cfg_DAYS_M)</f>
        <v/>
      </c>
      <c r="K85" s="90" t="str">
        <f aca="false">IF($B85="","",الموظفون!$K85*$I85/cfg_DAYS_M)</f>
        <v/>
      </c>
      <c r="L85" s="90" t="str">
        <f aca="false">IF($B85="","",الموظفون!$L85*$I85/cfg_DAYS_M)</f>
        <v/>
      </c>
      <c r="M85" s="90" t="str">
        <f aca="false">IF($B85="","",الموظفون!$M85*$I85/cfg_DAYS_M)</f>
        <v/>
      </c>
      <c r="N85" s="110" t="str">
        <f aca="false">IF($B85="","",SUMIFS('الحركات الشهرية'!$F$6:$F$1005,'الحركات الشهرية'!$B$6:$B$1005,$B85,'الحركات الشهرية'!$A$6:$A$1005,$C$3))</f>
        <v/>
      </c>
      <c r="O85" s="90" t="str">
        <f aca="false">IF($B85="","",N85*(الموظفون!$N85+الموظفون!$J85*cfg_OT_P)/cfg_DAYS_M/cfg_HRS)</f>
        <v/>
      </c>
      <c r="P85" s="90" t="str">
        <f aca="false">IF($B85="","",SUMIFS('الحركات الشهرية'!$G$6:$G$1005,'الحركات الشهرية'!$B$6:$B$1005,$B85,'الحركات الشهرية'!$A$6:$A$1005,$C$3))</f>
        <v/>
      </c>
      <c r="Q85" s="90" t="str">
        <f aca="false">IF($B85="","",SUMIFS('الحركات الشهرية'!$H$6:$H$1005,'الحركات الشهرية'!$B$6:$B$1005,$B85,'الحركات الشهرية'!$A$6:$A$1005,$C$3))</f>
        <v/>
      </c>
      <c r="R85" s="111" t="str">
        <f aca="false">IF($B85="","",SUM(J85:M85)+SUM(O85:Q85))</f>
        <v/>
      </c>
      <c r="S85" s="90" t="str">
        <f aca="false">IF($B85="","",الموظفون!$Q85*IF(E85="سعودي",cfg_G_SE,cfg_G_NE)*F85/cfg_DAYS_M)</f>
        <v/>
      </c>
      <c r="T85" s="90" t="str">
        <f aca="false">IF($B85="","",SUMIFS('الحركات الشهرية'!$I$6:$I$1005,'الحركات الشهرية'!$B$6:$B$1005,$B85,'الحركات الشهرية'!$A$6:$A$1005,$C$3))</f>
        <v/>
      </c>
      <c r="U85" s="90" t="str">
        <f aca="false">IF($B85="","",SUMIFS('الحركات الشهرية'!$J$6:$J$1005,'الحركات الشهرية'!$B$6:$B$1005,$B85,'الحركات الشهرية'!$A$6:$A$1005,$C$3))</f>
        <v/>
      </c>
      <c r="V85" s="90" t="str">
        <f aca="false">IF($B85="","",SUM(S85:U85))</f>
        <v/>
      </c>
      <c r="W85" s="112" t="str">
        <f aca="false">IF($B85="","",R85-V85)</f>
        <v/>
      </c>
      <c r="X85" s="90" t="str">
        <f aca="false">IF($B85="","",الموظفون!$Q85*IF(E85="سعودي",cfg_G_SR,cfg_G_NR)*F85/cfg_DAYS_M)</f>
        <v/>
      </c>
      <c r="Y85" s="90" t="str">
        <f aca="false">IF($B85="","",الموظفون!$O85*(cfg_EOS_R1*(MIN(AC85,cfg_EOS_TH)-MIN(AD85,cfg_EOS_TH))+cfg_EOS_R2*(MAX(AC85-cfg_EOS_TH,0)-MAX(AD85-cfg_EOS_TH,0))))</f>
        <v/>
      </c>
      <c r="Z85" s="90" t="str">
        <f aca="false">IF($B85="","",IF(الموظفون!$R85&lt;&gt;"",الموظفون!$R85,IF(AC85&gt;=cfg_LV_TH,cfg_LV_D2,cfg_LV_D1))/cfg_DAYS_Y*AE85*الموظفون!$P85/cfg_DAYS_M)</f>
        <v/>
      </c>
      <c r="AA85" s="90" t="str">
        <f aca="false">IF($B85="","",IF(AND(الموظفون!$S85="نعم",N(الموظفون!$U85)&gt;0),الموظفون!$T85/الموظفون!$U85*12/cfg_DAYS_Y*AE85,0))</f>
        <v/>
      </c>
      <c r="AB85" s="113" t="str">
        <f aca="false">IF($B85="","",R85+SUM(X85:AA85))</f>
        <v/>
      </c>
      <c r="AC85" s="114" t="str">
        <f aca="false">IF($B85="","",MAX(0,IF(OR(الموظفون!$X85="",الموظفون!$X85&gt;$G$3),$G$3,الموظفون!$X85)-الموظفون!$H85+1)/cfg_DAYS_Y)</f>
        <v/>
      </c>
      <c r="AD85" s="114" t="str">
        <f aca="false">IF($B85="","",MAX(0,IF(OR(الموظفون!$X85="",الموظفون!$X85&gt;($E$3-1)),($E$3-1),الموظفون!$X85)-الموظفون!$H85+1)/cfg_DAYS_Y)</f>
        <v/>
      </c>
      <c r="AE85" s="115" t="str">
        <f aca="false">IF($B85="","",MAX(0,IF(OR(الموظفون!$X85="",الموظفون!$X85&gt;$G$3),$G$3,الموظفون!$X85)-MAX($E$3,الموظفون!$H85)+1))</f>
        <v/>
      </c>
    </row>
    <row r="86" customFormat="false" ht="15" hidden="false" customHeight="false" outlineLevel="0" collapsed="false">
      <c r="A86" s="83" t="str">
        <f aca="false">IF($B86="","",الموظفون!$A86)</f>
        <v/>
      </c>
      <c r="B86" s="74" t="str">
        <f aca="false">IF(الموظفون!$B86="","",الموظفون!$B86)</f>
        <v/>
      </c>
      <c r="C86" s="74" t="str">
        <f aca="false">IF($B86="","",الموظفون!$C86)</f>
        <v/>
      </c>
      <c r="D86" s="74" t="str">
        <f aca="false">IF($B86="","",الموظفون!$F86)</f>
        <v/>
      </c>
      <c r="E86" s="74" t="str">
        <f aca="false">IF($B86="","",الموظفون!$E86)</f>
        <v/>
      </c>
      <c r="F86" s="105" t="str">
        <f aca="false">IF($B86="","",IF(AE86&gt;=DAY($G$3),cfg_DAYS_M,MIN(AE86,cfg_DAYS_M)))</f>
        <v/>
      </c>
      <c r="G86" s="105" t="str">
        <f aca="false">IF($B86="","",SUMIFS('الحركات الشهرية'!$D$6:$D$1005,'الحركات الشهرية'!$B$6:$B$1005,$B86,'الحركات الشهرية'!$A$6:$A$1005,$C$3))</f>
        <v/>
      </c>
      <c r="H86" s="105" t="str">
        <f aca="false">IF($B86="","",SUMIFS('الحركات الشهرية'!$E$6:$E$1005,'الحركات الشهرية'!$B$6:$B$1005,$B86,'الحركات الشهرية'!$A$6:$A$1005,$C$3))</f>
        <v/>
      </c>
      <c r="I86" s="105" t="str">
        <f aca="false">IF($B86="","",MAX(0,F86-G86-H86))</f>
        <v/>
      </c>
      <c r="J86" s="86" t="str">
        <f aca="false">IF($B86="","",الموظفون!$J86*$I86/cfg_DAYS_M)</f>
        <v/>
      </c>
      <c r="K86" s="86" t="str">
        <f aca="false">IF($B86="","",الموظفون!$K86*$I86/cfg_DAYS_M)</f>
        <v/>
      </c>
      <c r="L86" s="86" t="str">
        <f aca="false">IF($B86="","",الموظفون!$L86*$I86/cfg_DAYS_M)</f>
        <v/>
      </c>
      <c r="M86" s="86" t="str">
        <f aca="false">IF($B86="","",الموظفون!$M86*$I86/cfg_DAYS_M)</f>
        <v/>
      </c>
      <c r="N86" s="105" t="str">
        <f aca="false">IF($B86="","",SUMIFS('الحركات الشهرية'!$F$6:$F$1005,'الحركات الشهرية'!$B$6:$B$1005,$B86,'الحركات الشهرية'!$A$6:$A$1005,$C$3))</f>
        <v/>
      </c>
      <c r="O86" s="86" t="str">
        <f aca="false">IF($B86="","",N86*(الموظفون!$N86+الموظفون!$J86*cfg_OT_P)/cfg_DAYS_M/cfg_HRS)</f>
        <v/>
      </c>
      <c r="P86" s="86" t="str">
        <f aca="false">IF($B86="","",SUMIFS('الحركات الشهرية'!$G$6:$G$1005,'الحركات الشهرية'!$B$6:$B$1005,$B86,'الحركات الشهرية'!$A$6:$A$1005,$C$3))</f>
        <v/>
      </c>
      <c r="Q86" s="86" t="str">
        <f aca="false">IF($B86="","",SUMIFS('الحركات الشهرية'!$H$6:$H$1005,'الحركات الشهرية'!$B$6:$B$1005,$B86,'الحركات الشهرية'!$A$6:$A$1005,$C$3))</f>
        <v/>
      </c>
      <c r="R86" s="106" t="str">
        <f aca="false">IF($B86="","",SUM(J86:M86)+SUM(O86:Q86))</f>
        <v/>
      </c>
      <c r="S86" s="86" t="str">
        <f aca="false">IF($B86="","",الموظفون!$Q86*IF(E86="سعودي",cfg_G_SE,cfg_G_NE)*F86/cfg_DAYS_M)</f>
        <v/>
      </c>
      <c r="T86" s="86" t="str">
        <f aca="false">IF($B86="","",SUMIFS('الحركات الشهرية'!$I$6:$I$1005,'الحركات الشهرية'!$B$6:$B$1005,$B86,'الحركات الشهرية'!$A$6:$A$1005,$C$3))</f>
        <v/>
      </c>
      <c r="U86" s="86" t="str">
        <f aca="false">IF($B86="","",SUMIFS('الحركات الشهرية'!$J$6:$J$1005,'الحركات الشهرية'!$B$6:$B$1005,$B86,'الحركات الشهرية'!$A$6:$A$1005,$C$3))</f>
        <v/>
      </c>
      <c r="V86" s="86" t="str">
        <f aca="false">IF($B86="","",SUM(S86:U86))</f>
        <v/>
      </c>
      <c r="W86" s="107" t="str">
        <f aca="false">IF($B86="","",R86-V86)</f>
        <v/>
      </c>
      <c r="X86" s="86" t="str">
        <f aca="false">IF($B86="","",الموظفون!$Q86*IF(E86="سعودي",cfg_G_SR,cfg_G_NR)*F86/cfg_DAYS_M)</f>
        <v/>
      </c>
      <c r="Y86" s="86" t="str">
        <f aca="false">IF($B86="","",الموظفون!$O86*(cfg_EOS_R1*(MIN(AC86,cfg_EOS_TH)-MIN(AD86,cfg_EOS_TH))+cfg_EOS_R2*(MAX(AC86-cfg_EOS_TH,0)-MAX(AD86-cfg_EOS_TH,0))))</f>
        <v/>
      </c>
      <c r="Z86" s="86" t="str">
        <f aca="false">IF($B86="","",IF(الموظفون!$R86&lt;&gt;"",الموظفون!$R86,IF(AC86&gt;=cfg_LV_TH,cfg_LV_D2,cfg_LV_D1))/cfg_DAYS_Y*AE86*الموظفون!$P86/cfg_DAYS_M)</f>
        <v/>
      </c>
      <c r="AA86" s="86" t="str">
        <f aca="false">IF($B86="","",IF(AND(الموظفون!$S86="نعم",N(الموظفون!$U86)&gt;0),الموظفون!$T86/الموظفون!$U86*12/cfg_DAYS_Y*AE86,0))</f>
        <v/>
      </c>
      <c r="AB86" s="108" t="str">
        <f aca="false">IF($B86="","",R86+SUM(X86:AA86))</f>
        <v/>
      </c>
      <c r="AC86" s="109" t="str">
        <f aca="false">IF($B86="","",MAX(0,IF(OR(الموظفون!$X86="",الموظفون!$X86&gt;$G$3),$G$3,الموظفون!$X86)-الموظفون!$H86+1)/cfg_DAYS_Y)</f>
        <v/>
      </c>
      <c r="AD86" s="109" t="str">
        <f aca="false">IF($B86="","",MAX(0,IF(OR(الموظفون!$X86="",الموظفون!$X86&gt;($E$3-1)),($E$3-1),الموظفون!$X86)-الموظفون!$H86+1)/cfg_DAYS_Y)</f>
        <v/>
      </c>
      <c r="AE86" s="51" t="str">
        <f aca="false">IF($B86="","",MAX(0,IF(OR(الموظفون!$X86="",الموظفون!$X86&gt;$G$3),$G$3,الموظفون!$X86)-MAX($E$3,الموظفون!$H86)+1))</f>
        <v/>
      </c>
    </row>
    <row r="87" customFormat="false" ht="15" hidden="false" customHeight="false" outlineLevel="0" collapsed="false">
      <c r="A87" s="89" t="str">
        <f aca="false">IF($B87="","",الموظفون!$A87)</f>
        <v/>
      </c>
      <c r="B87" s="91" t="str">
        <f aca="false">IF(الموظفون!$B87="","",الموظفون!$B87)</f>
        <v/>
      </c>
      <c r="C87" s="91" t="str">
        <f aca="false">IF($B87="","",الموظفون!$C87)</f>
        <v/>
      </c>
      <c r="D87" s="91" t="str">
        <f aca="false">IF($B87="","",الموظفون!$F87)</f>
        <v/>
      </c>
      <c r="E87" s="91" t="str">
        <f aca="false">IF($B87="","",الموظفون!$E87)</f>
        <v/>
      </c>
      <c r="F87" s="110" t="str">
        <f aca="false">IF($B87="","",IF(AE87&gt;=DAY($G$3),cfg_DAYS_M,MIN(AE87,cfg_DAYS_M)))</f>
        <v/>
      </c>
      <c r="G87" s="110" t="str">
        <f aca="false">IF($B87="","",SUMIFS('الحركات الشهرية'!$D$6:$D$1005,'الحركات الشهرية'!$B$6:$B$1005,$B87,'الحركات الشهرية'!$A$6:$A$1005,$C$3))</f>
        <v/>
      </c>
      <c r="H87" s="110" t="str">
        <f aca="false">IF($B87="","",SUMIFS('الحركات الشهرية'!$E$6:$E$1005,'الحركات الشهرية'!$B$6:$B$1005,$B87,'الحركات الشهرية'!$A$6:$A$1005,$C$3))</f>
        <v/>
      </c>
      <c r="I87" s="110" t="str">
        <f aca="false">IF($B87="","",MAX(0,F87-G87-H87))</f>
        <v/>
      </c>
      <c r="J87" s="90" t="str">
        <f aca="false">IF($B87="","",الموظفون!$J87*$I87/cfg_DAYS_M)</f>
        <v/>
      </c>
      <c r="K87" s="90" t="str">
        <f aca="false">IF($B87="","",الموظفون!$K87*$I87/cfg_DAYS_M)</f>
        <v/>
      </c>
      <c r="L87" s="90" t="str">
        <f aca="false">IF($B87="","",الموظفون!$L87*$I87/cfg_DAYS_M)</f>
        <v/>
      </c>
      <c r="M87" s="90" t="str">
        <f aca="false">IF($B87="","",الموظفون!$M87*$I87/cfg_DAYS_M)</f>
        <v/>
      </c>
      <c r="N87" s="110" t="str">
        <f aca="false">IF($B87="","",SUMIFS('الحركات الشهرية'!$F$6:$F$1005,'الحركات الشهرية'!$B$6:$B$1005,$B87,'الحركات الشهرية'!$A$6:$A$1005,$C$3))</f>
        <v/>
      </c>
      <c r="O87" s="90" t="str">
        <f aca="false">IF($B87="","",N87*(الموظفون!$N87+الموظفون!$J87*cfg_OT_P)/cfg_DAYS_M/cfg_HRS)</f>
        <v/>
      </c>
      <c r="P87" s="90" t="str">
        <f aca="false">IF($B87="","",SUMIFS('الحركات الشهرية'!$G$6:$G$1005,'الحركات الشهرية'!$B$6:$B$1005,$B87,'الحركات الشهرية'!$A$6:$A$1005,$C$3))</f>
        <v/>
      </c>
      <c r="Q87" s="90" t="str">
        <f aca="false">IF($B87="","",SUMIFS('الحركات الشهرية'!$H$6:$H$1005,'الحركات الشهرية'!$B$6:$B$1005,$B87,'الحركات الشهرية'!$A$6:$A$1005,$C$3))</f>
        <v/>
      </c>
      <c r="R87" s="111" t="str">
        <f aca="false">IF($B87="","",SUM(J87:M87)+SUM(O87:Q87))</f>
        <v/>
      </c>
      <c r="S87" s="90" t="str">
        <f aca="false">IF($B87="","",الموظفون!$Q87*IF(E87="سعودي",cfg_G_SE,cfg_G_NE)*F87/cfg_DAYS_M)</f>
        <v/>
      </c>
      <c r="T87" s="90" t="str">
        <f aca="false">IF($B87="","",SUMIFS('الحركات الشهرية'!$I$6:$I$1005,'الحركات الشهرية'!$B$6:$B$1005,$B87,'الحركات الشهرية'!$A$6:$A$1005,$C$3))</f>
        <v/>
      </c>
      <c r="U87" s="90" t="str">
        <f aca="false">IF($B87="","",SUMIFS('الحركات الشهرية'!$J$6:$J$1005,'الحركات الشهرية'!$B$6:$B$1005,$B87,'الحركات الشهرية'!$A$6:$A$1005,$C$3))</f>
        <v/>
      </c>
      <c r="V87" s="90" t="str">
        <f aca="false">IF($B87="","",SUM(S87:U87))</f>
        <v/>
      </c>
      <c r="W87" s="112" t="str">
        <f aca="false">IF($B87="","",R87-V87)</f>
        <v/>
      </c>
      <c r="X87" s="90" t="str">
        <f aca="false">IF($B87="","",الموظفون!$Q87*IF(E87="سعودي",cfg_G_SR,cfg_G_NR)*F87/cfg_DAYS_M)</f>
        <v/>
      </c>
      <c r="Y87" s="90" t="str">
        <f aca="false">IF($B87="","",الموظفون!$O87*(cfg_EOS_R1*(MIN(AC87,cfg_EOS_TH)-MIN(AD87,cfg_EOS_TH))+cfg_EOS_R2*(MAX(AC87-cfg_EOS_TH,0)-MAX(AD87-cfg_EOS_TH,0))))</f>
        <v/>
      </c>
      <c r="Z87" s="90" t="str">
        <f aca="false">IF($B87="","",IF(الموظفون!$R87&lt;&gt;"",الموظفون!$R87,IF(AC87&gt;=cfg_LV_TH,cfg_LV_D2,cfg_LV_D1))/cfg_DAYS_Y*AE87*الموظفون!$P87/cfg_DAYS_M)</f>
        <v/>
      </c>
      <c r="AA87" s="90" t="str">
        <f aca="false">IF($B87="","",IF(AND(الموظفون!$S87="نعم",N(الموظفون!$U87)&gt;0),الموظفون!$T87/الموظفون!$U87*12/cfg_DAYS_Y*AE87,0))</f>
        <v/>
      </c>
      <c r="AB87" s="113" t="str">
        <f aca="false">IF($B87="","",R87+SUM(X87:AA87))</f>
        <v/>
      </c>
      <c r="AC87" s="114" t="str">
        <f aca="false">IF($B87="","",MAX(0,IF(OR(الموظفون!$X87="",الموظفون!$X87&gt;$G$3),$G$3,الموظفون!$X87)-الموظفون!$H87+1)/cfg_DAYS_Y)</f>
        <v/>
      </c>
      <c r="AD87" s="114" t="str">
        <f aca="false">IF($B87="","",MAX(0,IF(OR(الموظفون!$X87="",الموظفون!$X87&gt;($E$3-1)),($E$3-1),الموظفون!$X87)-الموظفون!$H87+1)/cfg_DAYS_Y)</f>
        <v/>
      </c>
      <c r="AE87" s="115" t="str">
        <f aca="false">IF($B87="","",MAX(0,IF(OR(الموظفون!$X87="",الموظفون!$X87&gt;$G$3),$G$3,الموظفون!$X87)-MAX($E$3,الموظفون!$H87)+1))</f>
        <v/>
      </c>
    </row>
    <row r="88" customFormat="false" ht="15" hidden="false" customHeight="false" outlineLevel="0" collapsed="false">
      <c r="A88" s="83" t="str">
        <f aca="false">IF($B88="","",الموظفون!$A88)</f>
        <v/>
      </c>
      <c r="B88" s="74" t="str">
        <f aca="false">IF(الموظفون!$B88="","",الموظفون!$B88)</f>
        <v/>
      </c>
      <c r="C88" s="74" t="str">
        <f aca="false">IF($B88="","",الموظفون!$C88)</f>
        <v/>
      </c>
      <c r="D88" s="74" t="str">
        <f aca="false">IF($B88="","",الموظفون!$F88)</f>
        <v/>
      </c>
      <c r="E88" s="74" t="str">
        <f aca="false">IF($B88="","",الموظفون!$E88)</f>
        <v/>
      </c>
      <c r="F88" s="105" t="str">
        <f aca="false">IF($B88="","",IF(AE88&gt;=DAY($G$3),cfg_DAYS_M,MIN(AE88,cfg_DAYS_M)))</f>
        <v/>
      </c>
      <c r="G88" s="105" t="str">
        <f aca="false">IF($B88="","",SUMIFS('الحركات الشهرية'!$D$6:$D$1005,'الحركات الشهرية'!$B$6:$B$1005,$B88,'الحركات الشهرية'!$A$6:$A$1005,$C$3))</f>
        <v/>
      </c>
      <c r="H88" s="105" t="str">
        <f aca="false">IF($B88="","",SUMIFS('الحركات الشهرية'!$E$6:$E$1005,'الحركات الشهرية'!$B$6:$B$1005,$B88,'الحركات الشهرية'!$A$6:$A$1005,$C$3))</f>
        <v/>
      </c>
      <c r="I88" s="105" t="str">
        <f aca="false">IF($B88="","",MAX(0,F88-G88-H88))</f>
        <v/>
      </c>
      <c r="J88" s="86" t="str">
        <f aca="false">IF($B88="","",الموظفون!$J88*$I88/cfg_DAYS_M)</f>
        <v/>
      </c>
      <c r="K88" s="86" t="str">
        <f aca="false">IF($B88="","",الموظفون!$K88*$I88/cfg_DAYS_M)</f>
        <v/>
      </c>
      <c r="L88" s="86" t="str">
        <f aca="false">IF($B88="","",الموظفون!$L88*$I88/cfg_DAYS_M)</f>
        <v/>
      </c>
      <c r="M88" s="86" t="str">
        <f aca="false">IF($B88="","",الموظفون!$M88*$I88/cfg_DAYS_M)</f>
        <v/>
      </c>
      <c r="N88" s="105" t="str">
        <f aca="false">IF($B88="","",SUMIFS('الحركات الشهرية'!$F$6:$F$1005,'الحركات الشهرية'!$B$6:$B$1005,$B88,'الحركات الشهرية'!$A$6:$A$1005,$C$3))</f>
        <v/>
      </c>
      <c r="O88" s="86" t="str">
        <f aca="false">IF($B88="","",N88*(الموظفون!$N88+الموظفون!$J88*cfg_OT_P)/cfg_DAYS_M/cfg_HRS)</f>
        <v/>
      </c>
      <c r="P88" s="86" t="str">
        <f aca="false">IF($B88="","",SUMIFS('الحركات الشهرية'!$G$6:$G$1005,'الحركات الشهرية'!$B$6:$B$1005,$B88,'الحركات الشهرية'!$A$6:$A$1005,$C$3))</f>
        <v/>
      </c>
      <c r="Q88" s="86" t="str">
        <f aca="false">IF($B88="","",SUMIFS('الحركات الشهرية'!$H$6:$H$1005,'الحركات الشهرية'!$B$6:$B$1005,$B88,'الحركات الشهرية'!$A$6:$A$1005,$C$3))</f>
        <v/>
      </c>
      <c r="R88" s="106" t="str">
        <f aca="false">IF($B88="","",SUM(J88:M88)+SUM(O88:Q88))</f>
        <v/>
      </c>
      <c r="S88" s="86" t="str">
        <f aca="false">IF($B88="","",الموظفون!$Q88*IF(E88="سعودي",cfg_G_SE,cfg_G_NE)*F88/cfg_DAYS_M)</f>
        <v/>
      </c>
      <c r="T88" s="86" t="str">
        <f aca="false">IF($B88="","",SUMIFS('الحركات الشهرية'!$I$6:$I$1005,'الحركات الشهرية'!$B$6:$B$1005,$B88,'الحركات الشهرية'!$A$6:$A$1005,$C$3))</f>
        <v/>
      </c>
      <c r="U88" s="86" t="str">
        <f aca="false">IF($B88="","",SUMIFS('الحركات الشهرية'!$J$6:$J$1005,'الحركات الشهرية'!$B$6:$B$1005,$B88,'الحركات الشهرية'!$A$6:$A$1005,$C$3))</f>
        <v/>
      </c>
      <c r="V88" s="86" t="str">
        <f aca="false">IF($B88="","",SUM(S88:U88))</f>
        <v/>
      </c>
      <c r="W88" s="107" t="str">
        <f aca="false">IF($B88="","",R88-V88)</f>
        <v/>
      </c>
      <c r="X88" s="86" t="str">
        <f aca="false">IF($B88="","",الموظفون!$Q88*IF(E88="سعودي",cfg_G_SR,cfg_G_NR)*F88/cfg_DAYS_M)</f>
        <v/>
      </c>
      <c r="Y88" s="86" t="str">
        <f aca="false">IF($B88="","",الموظفون!$O88*(cfg_EOS_R1*(MIN(AC88,cfg_EOS_TH)-MIN(AD88,cfg_EOS_TH))+cfg_EOS_R2*(MAX(AC88-cfg_EOS_TH,0)-MAX(AD88-cfg_EOS_TH,0))))</f>
        <v/>
      </c>
      <c r="Z88" s="86" t="str">
        <f aca="false">IF($B88="","",IF(الموظفون!$R88&lt;&gt;"",الموظفون!$R88,IF(AC88&gt;=cfg_LV_TH,cfg_LV_D2,cfg_LV_D1))/cfg_DAYS_Y*AE88*الموظفون!$P88/cfg_DAYS_M)</f>
        <v/>
      </c>
      <c r="AA88" s="86" t="str">
        <f aca="false">IF($B88="","",IF(AND(الموظفون!$S88="نعم",N(الموظفون!$U88)&gt;0),الموظفون!$T88/الموظفون!$U88*12/cfg_DAYS_Y*AE88,0))</f>
        <v/>
      </c>
      <c r="AB88" s="108" t="str">
        <f aca="false">IF($B88="","",R88+SUM(X88:AA88))</f>
        <v/>
      </c>
      <c r="AC88" s="109" t="str">
        <f aca="false">IF($B88="","",MAX(0,IF(OR(الموظفون!$X88="",الموظفون!$X88&gt;$G$3),$G$3,الموظفون!$X88)-الموظفون!$H88+1)/cfg_DAYS_Y)</f>
        <v/>
      </c>
      <c r="AD88" s="109" t="str">
        <f aca="false">IF($B88="","",MAX(0,IF(OR(الموظفون!$X88="",الموظفون!$X88&gt;($E$3-1)),($E$3-1),الموظفون!$X88)-الموظفون!$H88+1)/cfg_DAYS_Y)</f>
        <v/>
      </c>
      <c r="AE88" s="51" t="str">
        <f aca="false">IF($B88="","",MAX(0,IF(OR(الموظفون!$X88="",الموظفون!$X88&gt;$G$3),$G$3,الموظفون!$X88)-MAX($E$3,الموظفون!$H88)+1))</f>
        <v/>
      </c>
    </row>
    <row r="89" customFormat="false" ht="15" hidden="false" customHeight="false" outlineLevel="0" collapsed="false">
      <c r="A89" s="89" t="str">
        <f aca="false">IF($B89="","",الموظفون!$A89)</f>
        <v/>
      </c>
      <c r="B89" s="91" t="str">
        <f aca="false">IF(الموظفون!$B89="","",الموظفون!$B89)</f>
        <v/>
      </c>
      <c r="C89" s="91" t="str">
        <f aca="false">IF($B89="","",الموظفون!$C89)</f>
        <v/>
      </c>
      <c r="D89" s="91" t="str">
        <f aca="false">IF($B89="","",الموظفون!$F89)</f>
        <v/>
      </c>
      <c r="E89" s="91" t="str">
        <f aca="false">IF($B89="","",الموظفون!$E89)</f>
        <v/>
      </c>
      <c r="F89" s="110" t="str">
        <f aca="false">IF($B89="","",IF(AE89&gt;=DAY($G$3),cfg_DAYS_M,MIN(AE89,cfg_DAYS_M)))</f>
        <v/>
      </c>
      <c r="G89" s="110" t="str">
        <f aca="false">IF($B89="","",SUMIFS('الحركات الشهرية'!$D$6:$D$1005,'الحركات الشهرية'!$B$6:$B$1005,$B89,'الحركات الشهرية'!$A$6:$A$1005,$C$3))</f>
        <v/>
      </c>
      <c r="H89" s="110" t="str">
        <f aca="false">IF($B89="","",SUMIFS('الحركات الشهرية'!$E$6:$E$1005,'الحركات الشهرية'!$B$6:$B$1005,$B89,'الحركات الشهرية'!$A$6:$A$1005,$C$3))</f>
        <v/>
      </c>
      <c r="I89" s="110" t="str">
        <f aca="false">IF($B89="","",MAX(0,F89-G89-H89))</f>
        <v/>
      </c>
      <c r="J89" s="90" t="str">
        <f aca="false">IF($B89="","",الموظفون!$J89*$I89/cfg_DAYS_M)</f>
        <v/>
      </c>
      <c r="K89" s="90" t="str">
        <f aca="false">IF($B89="","",الموظفون!$K89*$I89/cfg_DAYS_M)</f>
        <v/>
      </c>
      <c r="L89" s="90" t="str">
        <f aca="false">IF($B89="","",الموظفون!$L89*$I89/cfg_DAYS_M)</f>
        <v/>
      </c>
      <c r="M89" s="90" t="str">
        <f aca="false">IF($B89="","",الموظفون!$M89*$I89/cfg_DAYS_M)</f>
        <v/>
      </c>
      <c r="N89" s="110" t="str">
        <f aca="false">IF($B89="","",SUMIFS('الحركات الشهرية'!$F$6:$F$1005,'الحركات الشهرية'!$B$6:$B$1005,$B89,'الحركات الشهرية'!$A$6:$A$1005,$C$3))</f>
        <v/>
      </c>
      <c r="O89" s="90" t="str">
        <f aca="false">IF($B89="","",N89*(الموظفون!$N89+الموظفون!$J89*cfg_OT_P)/cfg_DAYS_M/cfg_HRS)</f>
        <v/>
      </c>
      <c r="P89" s="90" t="str">
        <f aca="false">IF($B89="","",SUMIFS('الحركات الشهرية'!$G$6:$G$1005,'الحركات الشهرية'!$B$6:$B$1005,$B89,'الحركات الشهرية'!$A$6:$A$1005,$C$3))</f>
        <v/>
      </c>
      <c r="Q89" s="90" t="str">
        <f aca="false">IF($B89="","",SUMIFS('الحركات الشهرية'!$H$6:$H$1005,'الحركات الشهرية'!$B$6:$B$1005,$B89,'الحركات الشهرية'!$A$6:$A$1005,$C$3))</f>
        <v/>
      </c>
      <c r="R89" s="111" t="str">
        <f aca="false">IF($B89="","",SUM(J89:M89)+SUM(O89:Q89))</f>
        <v/>
      </c>
      <c r="S89" s="90" t="str">
        <f aca="false">IF($B89="","",الموظفون!$Q89*IF(E89="سعودي",cfg_G_SE,cfg_G_NE)*F89/cfg_DAYS_M)</f>
        <v/>
      </c>
      <c r="T89" s="90" t="str">
        <f aca="false">IF($B89="","",SUMIFS('الحركات الشهرية'!$I$6:$I$1005,'الحركات الشهرية'!$B$6:$B$1005,$B89,'الحركات الشهرية'!$A$6:$A$1005,$C$3))</f>
        <v/>
      </c>
      <c r="U89" s="90" t="str">
        <f aca="false">IF($B89="","",SUMIFS('الحركات الشهرية'!$J$6:$J$1005,'الحركات الشهرية'!$B$6:$B$1005,$B89,'الحركات الشهرية'!$A$6:$A$1005,$C$3))</f>
        <v/>
      </c>
      <c r="V89" s="90" t="str">
        <f aca="false">IF($B89="","",SUM(S89:U89))</f>
        <v/>
      </c>
      <c r="W89" s="112" t="str">
        <f aca="false">IF($B89="","",R89-V89)</f>
        <v/>
      </c>
      <c r="X89" s="90" t="str">
        <f aca="false">IF($B89="","",الموظفون!$Q89*IF(E89="سعودي",cfg_G_SR,cfg_G_NR)*F89/cfg_DAYS_M)</f>
        <v/>
      </c>
      <c r="Y89" s="90" t="str">
        <f aca="false">IF($B89="","",الموظفون!$O89*(cfg_EOS_R1*(MIN(AC89,cfg_EOS_TH)-MIN(AD89,cfg_EOS_TH))+cfg_EOS_R2*(MAX(AC89-cfg_EOS_TH,0)-MAX(AD89-cfg_EOS_TH,0))))</f>
        <v/>
      </c>
      <c r="Z89" s="90" t="str">
        <f aca="false">IF($B89="","",IF(الموظفون!$R89&lt;&gt;"",الموظفون!$R89,IF(AC89&gt;=cfg_LV_TH,cfg_LV_D2,cfg_LV_D1))/cfg_DAYS_Y*AE89*الموظفون!$P89/cfg_DAYS_M)</f>
        <v/>
      </c>
      <c r="AA89" s="90" t="str">
        <f aca="false">IF($B89="","",IF(AND(الموظفون!$S89="نعم",N(الموظفون!$U89)&gt;0),الموظفون!$T89/الموظفون!$U89*12/cfg_DAYS_Y*AE89,0))</f>
        <v/>
      </c>
      <c r="AB89" s="113" t="str">
        <f aca="false">IF($B89="","",R89+SUM(X89:AA89))</f>
        <v/>
      </c>
      <c r="AC89" s="114" t="str">
        <f aca="false">IF($B89="","",MAX(0,IF(OR(الموظفون!$X89="",الموظفون!$X89&gt;$G$3),$G$3,الموظفون!$X89)-الموظفون!$H89+1)/cfg_DAYS_Y)</f>
        <v/>
      </c>
      <c r="AD89" s="114" t="str">
        <f aca="false">IF($B89="","",MAX(0,IF(OR(الموظفون!$X89="",الموظفون!$X89&gt;($E$3-1)),($E$3-1),الموظفون!$X89)-الموظفون!$H89+1)/cfg_DAYS_Y)</f>
        <v/>
      </c>
      <c r="AE89" s="115" t="str">
        <f aca="false">IF($B89="","",MAX(0,IF(OR(الموظفون!$X89="",الموظفون!$X89&gt;$G$3),$G$3,الموظفون!$X89)-MAX($E$3,الموظفون!$H89)+1))</f>
        <v/>
      </c>
    </row>
    <row r="90" customFormat="false" ht="15" hidden="false" customHeight="false" outlineLevel="0" collapsed="false">
      <c r="A90" s="83" t="str">
        <f aca="false">IF($B90="","",الموظفون!$A90)</f>
        <v/>
      </c>
      <c r="B90" s="74" t="str">
        <f aca="false">IF(الموظفون!$B90="","",الموظفون!$B90)</f>
        <v/>
      </c>
      <c r="C90" s="74" t="str">
        <f aca="false">IF($B90="","",الموظفون!$C90)</f>
        <v/>
      </c>
      <c r="D90" s="74" t="str">
        <f aca="false">IF($B90="","",الموظفون!$F90)</f>
        <v/>
      </c>
      <c r="E90" s="74" t="str">
        <f aca="false">IF($B90="","",الموظفون!$E90)</f>
        <v/>
      </c>
      <c r="F90" s="105" t="str">
        <f aca="false">IF($B90="","",IF(AE90&gt;=DAY($G$3),cfg_DAYS_M,MIN(AE90,cfg_DAYS_M)))</f>
        <v/>
      </c>
      <c r="G90" s="105" t="str">
        <f aca="false">IF($B90="","",SUMIFS('الحركات الشهرية'!$D$6:$D$1005,'الحركات الشهرية'!$B$6:$B$1005,$B90,'الحركات الشهرية'!$A$6:$A$1005,$C$3))</f>
        <v/>
      </c>
      <c r="H90" s="105" t="str">
        <f aca="false">IF($B90="","",SUMIFS('الحركات الشهرية'!$E$6:$E$1005,'الحركات الشهرية'!$B$6:$B$1005,$B90,'الحركات الشهرية'!$A$6:$A$1005,$C$3))</f>
        <v/>
      </c>
      <c r="I90" s="105" t="str">
        <f aca="false">IF($B90="","",MAX(0,F90-G90-H90))</f>
        <v/>
      </c>
      <c r="J90" s="86" t="str">
        <f aca="false">IF($B90="","",الموظفون!$J90*$I90/cfg_DAYS_M)</f>
        <v/>
      </c>
      <c r="K90" s="86" t="str">
        <f aca="false">IF($B90="","",الموظفون!$K90*$I90/cfg_DAYS_M)</f>
        <v/>
      </c>
      <c r="L90" s="86" t="str">
        <f aca="false">IF($B90="","",الموظفون!$L90*$I90/cfg_DAYS_M)</f>
        <v/>
      </c>
      <c r="M90" s="86" t="str">
        <f aca="false">IF($B90="","",الموظفون!$M90*$I90/cfg_DAYS_M)</f>
        <v/>
      </c>
      <c r="N90" s="105" t="str">
        <f aca="false">IF($B90="","",SUMIFS('الحركات الشهرية'!$F$6:$F$1005,'الحركات الشهرية'!$B$6:$B$1005,$B90,'الحركات الشهرية'!$A$6:$A$1005,$C$3))</f>
        <v/>
      </c>
      <c r="O90" s="86" t="str">
        <f aca="false">IF($B90="","",N90*(الموظفون!$N90+الموظفون!$J90*cfg_OT_P)/cfg_DAYS_M/cfg_HRS)</f>
        <v/>
      </c>
      <c r="P90" s="86" t="str">
        <f aca="false">IF($B90="","",SUMIFS('الحركات الشهرية'!$G$6:$G$1005,'الحركات الشهرية'!$B$6:$B$1005,$B90,'الحركات الشهرية'!$A$6:$A$1005,$C$3))</f>
        <v/>
      </c>
      <c r="Q90" s="86" t="str">
        <f aca="false">IF($B90="","",SUMIFS('الحركات الشهرية'!$H$6:$H$1005,'الحركات الشهرية'!$B$6:$B$1005,$B90,'الحركات الشهرية'!$A$6:$A$1005,$C$3))</f>
        <v/>
      </c>
      <c r="R90" s="106" t="str">
        <f aca="false">IF($B90="","",SUM(J90:M90)+SUM(O90:Q90))</f>
        <v/>
      </c>
      <c r="S90" s="86" t="str">
        <f aca="false">IF($B90="","",الموظفون!$Q90*IF(E90="سعودي",cfg_G_SE,cfg_G_NE)*F90/cfg_DAYS_M)</f>
        <v/>
      </c>
      <c r="T90" s="86" t="str">
        <f aca="false">IF($B90="","",SUMIFS('الحركات الشهرية'!$I$6:$I$1005,'الحركات الشهرية'!$B$6:$B$1005,$B90,'الحركات الشهرية'!$A$6:$A$1005,$C$3))</f>
        <v/>
      </c>
      <c r="U90" s="86" t="str">
        <f aca="false">IF($B90="","",SUMIFS('الحركات الشهرية'!$J$6:$J$1005,'الحركات الشهرية'!$B$6:$B$1005,$B90,'الحركات الشهرية'!$A$6:$A$1005,$C$3))</f>
        <v/>
      </c>
      <c r="V90" s="86" t="str">
        <f aca="false">IF($B90="","",SUM(S90:U90))</f>
        <v/>
      </c>
      <c r="W90" s="107" t="str">
        <f aca="false">IF($B90="","",R90-V90)</f>
        <v/>
      </c>
      <c r="X90" s="86" t="str">
        <f aca="false">IF($B90="","",الموظفون!$Q90*IF(E90="سعودي",cfg_G_SR,cfg_G_NR)*F90/cfg_DAYS_M)</f>
        <v/>
      </c>
      <c r="Y90" s="86" t="str">
        <f aca="false">IF($B90="","",الموظفون!$O90*(cfg_EOS_R1*(MIN(AC90,cfg_EOS_TH)-MIN(AD90,cfg_EOS_TH))+cfg_EOS_R2*(MAX(AC90-cfg_EOS_TH,0)-MAX(AD90-cfg_EOS_TH,0))))</f>
        <v/>
      </c>
      <c r="Z90" s="86" t="str">
        <f aca="false">IF($B90="","",IF(الموظفون!$R90&lt;&gt;"",الموظفون!$R90,IF(AC90&gt;=cfg_LV_TH,cfg_LV_D2,cfg_LV_D1))/cfg_DAYS_Y*AE90*الموظفون!$P90/cfg_DAYS_M)</f>
        <v/>
      </c>
      <c r="AA90" s="86" t="str">
        <f aca="false">IF($B90="","",IF(AND(الموظفون!$S90="نعم",N(الموظفون!$U90)&gt;0),الموظفون!$T90/الموظفون!$U90*12/cfg_DAYS_Y*AE90,0))</f>
        <v/>
      </c>
      <c r="AB90" s="108" t="str">
        <f aca="false">IF($B90="","",R90+SUM(X90:AA90))</f>
        <v/>
      </c>
      <c r="AC90" s="109" t="str">
        <f aca="false">IF($B90="","",MAX(0,IF(OR(الموظفون!$X90="",الموظفون!$X90&gt;$G$3),$G$3,الموظفون!$X90)-الموظفون!$H90+1)/cfg_DAYS_Y)</f>
        <v/>
      </c>
      <c r="AD90" s="109" t="str">
        <f aca="false">IF($B90="","",MAX(0,IF(OR(الموظفون!$X90="",الموظفون!$X90&gt;($E$3-1)),($E$3-1),الموظفون!$X90)-الموظفون!$H90+1)/cfg_DAYS_Y)</f>
        <v/>
      </c>
      <c r="AE90" s="51" t="str">
        <f aca="false">IF($B90="","",MAX(0,IF(OR(الموظفون!$X90="",الموظفون!$X90&gt;$G$3),$G$3,الموظفون!$X90)-MAX($E$3,الموظفون!$H90)+1))</f>
        <v/>
      </c>
    </row>
    <row r="91" customFormat="false" ht="15" hidden="false" customHeight="false" outlineLevel="0" collapsed="false">
      <c r="A91" s="89" t="str">
        <f aca="false">IF($B91="","",الموظفون!$A91)</f>
        <v/>
      </c>
      <c r="B91" s="91" t="str">
        <f aca="false">IF(الموظفون!$B91="","",الموظفون!$B91)</f>
        <v/>
      </c>
      <c r="C91" s="91" t="str">
        <f aca="false">IF($B91="","",الموظفون!$C91)</f>
        <v/>
      </c>
      <c r="D91" s="91" t="str">
        <f aca="false">IF($B91="","",الموظفون!$F91)</f>
        <v/>
      </c>
      <c r="E91" s="91" t="str">
        <f aca="false">IF($B91="","",الموظفون!$E91)</f>
        <v/>
      </c>
      <c r="F91" s="110" t="str">
        <f aca="false">IF($B91="","",IF(AE91&gt;=DAY($G$3),cfg_DAYS_M,MIN(AE91,cfg_DAYS_M)))</f>
        <v/>
      </c>
      <c r="G91" s="110" t="str">
        <f aca="false">IF($B91="","",SUMIFS('الحركات الشهرية'!$D$6:$D$1005,'الحركات الشهرية'!$B$6:$B$1005,$B91,'الحركات الشهرية'!$A$6:$A$1005,$C$3))</f>
        <v/>
      </c>
      <c r="H91" s="110" t="str">
        <f aca="false">IF($B91="","",SUMIFS('الحركات الشهرية'!$E$6:$E$1005,'الحركات الشهرية'!$B$6:$B$1005,$B91,'الحركات الشهرية'!$A$6:$A$1005,$C$3))</f>
        <v/>
      </c>
      <c r="I91" s="110" t="str">
        <f aca="false">IF($B91="","",MAX(0,F91-G91-H91))</f>
        <v/>
      </c>
      <c r="J91" s="90" t="str">
        <f aca="false">IF($B91="","",الموظفون!$J91*$I91/cfg_DAYS_M)</f>
        <v/>
      </c>
      <c r="K91" s="90" t="str">
        <f aca="false">IF($B91="","",الموظفون!$K91*$I91/cfg_DAYS_M)</f>
        <v/>
      </c>
      <c r="L91" s="90" t="str">
        <f aca="false">IF($B91="","",الموظفون!$L91*$I91/cfg_DAYS_M)</f>
        <v/>
      </c>
      <c r="M91" s="90" t="str">
        <f aca="false">IF($B91="","",الموظفون!$M91*$I91/cfg_DAYS_M)</f>
        <v/>
      </c>
      <c r="N91" s="110" t="str">
        <f aca="false">IF($B91="","",SUMIFS('الحركات الشهرية'!$F$6:$F$1005,'الحركات الشهرية'!$B$6:$B$1005,$B91,'الحركات الشهرية'!$A$6:$A$1005,$C$3))</f>
        <v/>
      </c>
      <c r="O91" s="90" t="str">
        <f aca="false">IF($B91="","",N91*(الموظفون!$N91+الموظفون!$J91*cfg_OT_P)/cfg_DAYS_M/cfg_HRS)</f>
        <v/>
      </c>
      <c r="P91" s="90" t="str">
        <f aca="false">IF($B91="","",SUMIFS('الحركات الشهرية'!$G$6:$G$1005,'الحركات الشهرية'!$B$6:$B$1005,$B91,'الحركات الشهرية'!$A$6:$A$1005,$C$3))</f>
        <v/>
      </c>
      <c r="Q91" s="90" t="str">
        <f aca="false">IF($B91="","",SUMIFS('الحركات الشهرية'!$H$6:$H$1005,'الحركات الشهرية'!$B$6:$B$1005,$B91,'الحركات الشهرية'!$A$6:$A$1005,$C$3))</f>
        <v/>
      </c>
      <c r="R91" s="111" t="str">
        <f aca="false">IF($B91="","",SUM(J91:M91)+SUM(O91:Q91))</f>
        <v/>
      </c>
      <c r="S91" s="90" t="str">
        <f aca="false">IF($B91="","",الموظفون!$Q91*IF(E91="سعودي",cfg_G_SE,cfg_G_NE)*F91/cfg_DAYS_M)</f>
        <v/>
      </c>
      <c r="T91" s="90" t="str">
        <f aca="false">IF($B91="","",SUMIFS('الحركات الشهرية'!$I$6:$I$1005,'الحركات الشهرية'!$B$6:$B$1005,$B91,'الحركات الشهرية'!$A$6:$A$1005,$C$3))</f>
        <v/>
      </c>
      <c r="U91" s="90" t="str">
        <f aca="false">IF($B91="","",SUMIFS('الحركات الشهرية'!$J$6:$J$1005,'الحركات الشهرية'!$B$6:$B$1005,$B91,'الحركات الشهرية'!$A$6:$A$1005,$C$3))</f>
        <v/>
      </c>
      <c r="V91" s="90" t="str">
        <f aca="false">IF($B91="","",SUM(S91:U91))</f>
        <v/>
      </c>
      <c r="W91" s="112" t="str">
        <f aca="false">IF($B91="","",R91-V91)</f>
        <v/>
      </c>
      <c r="X91" s="90" t="str">
        <f aca="false">IF($B91="","",الموظفون!$Q91*IF(E91="سعودي",cfg_G_SR,cfg_G_NR)*F91/cfg_DAYS_M)</f>
        <v/>
      </c>
      <c r="Y91" s="90" t="str">
        <f aca="false">IF($B91="","",الموظفون!$O91*(cfg_EOS_R1*(MIN(AC91,cfg_EOS_TH)-MIN(AD91,cfg_EOS_TH))+cfg_EOS_R2*(MAX(AC91-cfg_EOS_TH,0)-MAX(AD91-cfg_EOS_TH,0))))</f>
        <v/>
      </c>
      <c r="Z91" s="90" t="str">
        <f aca="false">IF($B91="","",IF(الموظفون!$R91&lt;&gt;"",الموظفون!$R91,IF(AC91&gt;=cfg_LV_TH,cfg_LV_D2,cfg_LV_D1))/cfg_DAYS_Y*AE91*الموظفون!$P91/cfg_DAYS_M)</f>
        <v/>
      </c>
      <c r="AA91" s="90" t="str">
        <f aca="false">IF($B91="","",IF(AND(الموظفون!$S91="نعم",N(الموظفون!$U91)&gt;0),الموظفون!$T91/الموظفون!$U91*12/cfg_DAYS_Y*AE91,0))</f>
        <v/>
      </c>
      <c r="AB91" s="113" t="str">
        <f aca="false">IF($B91="","",R91+SUM(X91:AA91))</f>
        <v/>
      </c>
      <c r="AC91" s="114" t="str">
        <f aca="false">IF($B91="","",MAX(0,IF(OR(الموظفون!$X91="",الموظفون!$X91&gt;$G$3),$G$3,الموظفون!$X91)-الموظفون!$H91+1)/cfg_DAYS_Y)</f>
        <v/>
      </c>
      <c r="AD91" s="114" t="str">
        <f aca="false">IF($B91="","",MAX(0,IF(OR(الموظفون!$X91="",الموظفون!$X91&gt;($E$3-1)),($E$3-1),الموظفون!$X91)-الموظفون!$H91+1)/cfg_DAYS_Y)</f>
        <v/>
      </c>
      <c r="AE91" s="115" t="str">
        <f aca="false">IF($B91="","",MAX(0,IF(OR(الموظفون!$X91="",الموظفون!$X91&gt;$G$3),$G$3,الموظفون!$X91)-MAX($E$3,الموظفون!$H91)+1))</f>
        <v/>
      </c>
    </row>
    <row r="92" customFormat="false" ht="15" hidden="false" customHeight="false" outlineLevel="0" collapsed="false">
      <c r="A92" s="83" t="str">
        <f aca="false">IF($B92="","",الموظفون!$A92)</f>
        <v/>
      </c>
      <c r="B92" s="74" t="str">
        <f aca="false">IF(الموظفون!$B92="","",الموظفون!$B92)</f>
        <v/>
      </c>
      <c r="C92" s="74" t="str">
        <f aca="false">IF($B92="","",الموظفون!$C92)</f>
        <v/>
      </c>
      <c r="D92" s="74" t="str">
        <f aca="false">IF($B92="","",الموظفون!$F92)</f>
        <v/>
      </c>
      <c r="E92" s="74" t="str">
        <f aca="false">IF($B92="","",الموظفون!$E92)</f>
        <v/>
      </c>
      <c r="F92" s="105" t="str">
        <f aca="false">IF($B92="","",IF(AE92&gt;=DAY($G$3),cfg_DAYS_M,MIN(AE92,cfg_DAYS_M)))</f>
        <v/>
      </c>
      <c r="G92" s="105" t="str">
        <f aca="false">IF($B92="","",SUMIFS('الحركات الشهرية'!$D$6:$D$1005,'الحركات الشهرية'!$B$6:$B$1005,$B92,'الحركات الشهرية'!$A$6:$A$1005,$C$3))</f>
        <v/>
      </c>
      <c r="H92" s="105" t="str">
        <f aca="false">IF($B92="","",SUMIFS('الحركات الشهرية'!$E$6:$E$1005,'الحركات الشهرية'!$B$6:$B$1005,$B92,'الحركات الشهرية'!$A$6:$A$1005,$C$3))</f>
        <v/>
      </c>
      <c r="I92" s="105" t="str">
        <f aca="false">IF($B92="","",MAX(0,F92-G92-H92))</f>
        <v/>
      </c>
      <c r="J92" s="86" t="str">
        <f aca="false">IF($B92="","",الموظفون!$J92*$I92/cfg_DAYS_M)</f>
        <v/>
      </c>
      <c r="K92" s="86" t="str">
        <f aca="false">IF($B92="","",الموظفون!$K92*$I92/cfg_DAYS_M)</f>
        <v/>
      </c>
      <c r="L92" s="86" t="str">
        <f aca="false">IF($B92="","",الموظفون!$L92*$I92/cfg_DAYS_M)</f>
        <v/>
      </c>
      <c r="M92" s="86" t="str">
        <f aca="false">IF($B92="","",الموظفون!$M92*$I92/cfg_DAYS_M)</f>
        <v/>
      </c>
      <c r="N92" s="105" t="str">
        <f aca="false">IF($B92="","",SUMIFS('الحركات الشهرية'!$F$6:$F$1005,'الحركات الشهرية'!$B$6:$B$1005,$B92,'الحركات الشهرية'!$A$6:$A$1005,$C$3))</f>
        <v/>
      </c>
      <c r="O92" s="86" t="str">
        <f aca="false">IF($B92="","",N92*(الموظفون!$N92+الموظفون!$J92*cfg_OT_P)/cfg_DAYS_M/cfg_HRS)</f>
        <v/>
      </c>
      <c r="P92" s="86" t="str">
        <f aca="false">IF($B92="","",SUMIFS('الحركات الشهرية'!$G$6:$G$1005,'الحركات الشهرية'!$B$6:$B$1005,$B92,'الحركات الشهرية'!$A$6:$A$1005,$C$3))</f>
        <v/>
      </c>
      <c r="Q92" s="86" t="str">
        <f aca="false">IF($B92="","",SUMIFS('الحركات الشهرية'!$H$6:$H$1005,'الحركات الشهرية'!$B$6:$B$1005,$B92,'الحركات الشهرية'!$A$6:$A$1005,$C$3))</f>
        <v/>
      </c>
      <c r="R92" s="106" t="str">
        <f aca="false">IF($B92="","",SUM(J92:M92)+SUM(O92:Q92))</f>
        <v/>
      </c>
      <c r="S92" s="86" t="str">
        <f aca="false">IF($B92="","",الموظفون!$Q92*IF(E92="سعودي",cfg_G_SE,cfg_G_NE)*F92/cfg_DAYS_M)</f>
        <v/>
      </c>
      <c r="T92" s="86" t="str">
        <f aca="false">IF($B92="","",SUMIFS('الحركات الشهرية'!$I$6:$I$1005,'الحركات الشهرية'!$B$6:$B$1005,$B92,'الحركات الشهرية'!$A$6:$A$1005,$C$3))</f>
        <v/>
      </c>
      <c r="U92" s="86" t="str">
        <f aca="false">IF($B92="","",SUMIFS('الحركات الشهرية'!$J$6:$J$1005,'الحركات الشهرية'!$B$6:$B$1005,$B92,'الحركات الشهرية'!$A$6:$A$1005,$C$3))</f>
        <v/>
      </c>
      <c r="V92" s="86" t="str">
        <f aca="false">IF($B92="","",SUM(S92:U92))</f>
        <v/>
      </c>
      <c r="W92" s="107" t="str">
        <f aca="false">IF($B92="","",R92-V92)</f>
        <v/>
      </c>
      <c r="X92" s="86" t="str">
        <f aca="false">IF($B92="","",الموظفون!$Q92*IF(E92="سعودي",cfg_G_SR,cfg_G_NR)*F92/cfg_DAYS_M)</f>
        <v/>
      </c>
      <c r="Y92" s="86" t="str">
        <f aca="false">IF($B92="","",الموظفون!$O92*(cfg_EOS_R1*(MIN(AC92,cfg_EOS_TH)-MIN(AD92,cfg_EOS_TH))+cfg_EOS_R2*(MAX(AC92-cfg_EOS_TH,0)-MAX(AD92-cfg_EOS_TH,0))))</f>
        <v/>
      </c>
      <c r="Z92" s="86" t="str">
        <f aca="false">IF($B92="","",IF(الموظفون!$R92&lt;&gt;"",الموظفون!$R92,IF(AC92&gt;=cfg_LV_TH,cfg_LV_D2,cfg_LV_D1))/cfg_DAYS_Y*AE92*الموظفون!$P92/cfg_DAYS_M)</f>
        <v/>
      </c>
      <c r="AA92" s="86" t="str">
        <f aca="false">IF($B92="","",IF(AND(الموظفون!$S92="نعم",N(الموظفون!$U92)&gt;0),الموظفون!$T92/الموظفون!$U92*12/cfg_DAYS_Y*AE92,0))</f>
        <v/>
      </c>
      <c r="AB92" s="108" t="str">
        <f aca="false">IF($B92="","",R92+SUM(X92:AA92))</f>
        <v/>
      </c>
      <c r="AC92" s="109" t="str">
        <f aca="false">IF($B92="","",MAX(0,IF(OR(الموظفون!$X92="",الموظفون!$X92&gt;$G$3),$G$3,الموظفون!$X92)-الموظفون!$H92+1)/cfg_DAYS_Y)</f>
        <v/>
      </c>
      <c r="AD92" s="109" t="str">
        <f aca="false">IF($B92="","",MAX(0,IF(OR(الموظفون!$X92="",الموظفون!$X92&gt;($E$3-1)),($E$3-1),الموظفون!$X92)-الموظفون!$H92+1)/cfg_DAYS_Y)</f>
        <v/>
      </c>
      <c r="AE92" s="51" t="str">
        <f aca="false">IF($B92="","",MAX(0,IF(OR(الموظفون!$X92="",الموظفون!$X92&gt;$G$3),$G$3,الموظفون!$X92)-MAX($E$3,الموظفون!$H92)+1))</f>
        <v/>
      </c>
    </row>
    <row r="93" customFormat="false" ht="15" hidden="false" customHeight="false" outlineLevel="0" collapsed="false">
      <c r="A93" s="89" t="str">
        <f aca="false">IF($B93="","",الموظفون!$A93)</f>
        <v/>
      </c>
      <c r="B93" s="91" t="str">
        <f aca="false">IF(الموظفون!$B93="","",الموظفون!$B93)</f>
        <v/>
      </c>
      <c r="C93" s="91" t="str">
        <f aca="false">IF($B93="","",الموظفون!$C93)</f>
        <v/>
      </c>
      <c r="D93" s="91" t="str">
        <f aca="false">IF($B93="","",الموظفون!$F93)</f>
        <v/>
      </c>
      <c r="E93" s="91" t="str">
        <f aca="false">IF($B93="","",الموظفون!$E93)</f>
        <v/>
      </c>
      <c r="F93" s="110" t="str">
        <f aca="false">IF($B93="","",IF(AE93&gt;=DAY($G$3),cfg_DAYS_M,MIN(AE93,cfg_DAYS_M)))</f>
        <v/>
      </c>
      <c r="G93" s="110" t="str">
        <f aca="false">IF($B93="","",SUMIFS('الحركات الشهرية'!$D$6:$D$1005,'الحركات الشهرية'!$B$6:$B$1005,$B93,'الحركات الشهرية'!$A$6:$A$1005,$C$3))</f>
        <v/>
      </c>
      <c r="H93" s="110" t="str">
        <f aca="false">IF($B93="","",SUMIFS('الحركات الشهرية'!$E$6:$E$1005,'الحركات الشهرية'!$B$6:$B$1005,$B93,'الحركات الشهرية'!$A$6:$A$1005,$C$3))</f>
        <v/>
      </c>
      <c r="I93" s="110" t="str">
        <f aca="false">IF($B93="","",MAX(0,F93-G93-H93))</f>
        <v/>
      </c>
      <c r="J93" s="90" t="str">
        <f aca="false">IF($B93="","",الموظفون!$J93*$I93/cfg_DAYS_M)</f>
        <v/>
      </c>
      <c r="K93" s="90" t="str">
        <f aca="false">IF($B93="","",الموظفون!$K93*$I93/cfg_DAYS_M)</f>
        <v/>
      </c>
      <c r="L93" s="90" t="str">
        <f aca="false">IF($B93="","",الموظفون!$L93*$I93/cfg_DAYS_M)</f>
        <v/>
      </c>
      <c r="M93" s="90" t="str">
        <f aca="false">IF($B93="","",الموظفون!$M93*$I93/cfg_DAYS_M)</f>
        <v/>
      </c>
      <c r="N93" s="110" t="str">
        <f aca="false">IF($B93="","",SUMIFS('الحركات الشهرية'!$F$6:$F$1005,'الحركات الشهرية'!$B$6:$B$1005,$B93,'الحركات الشهرية'!$A$6:$A$1005,$C$3))</f>
        <v/>
      </c>
      <c r="O93" s="90" t="str">
        <f aca="false">IF($B93="","",N93*(الموظفون!$N93+الموظفون!$J93*cfg_OT_P)/cfg_DAYS_M/cfg_HRS)</f>
        <v/>
      </c>
      <c r="P93" s="90" t="str">
        <f aca="false">IF($B93="","",SUMIFS('الحركات الشهرية'!$G$6:$G$1005,'الحركات الشهرية'!$B$6:$B$1005,$B93,'الحركات الشهرية'!$A$6:$A$1005,$C$3))</f>
        <v/>
      </c>
      <c r="Q93" s="90" t="str">
        <f aca="false">IF($B93="","",SUMIFS('الحركات الشهرية'!$H$6:$H$1005,'الحركات الشهرية'!$B$6:$B$1005,$B93,'الحركات الشهرية'!$A$6:$A$1005,$C$3))</f>
        <v/>
      </c>
      <c r="R93" s="111" t="str">
        <f aca="false">IF($B93="","",SUM(J93:M93)+SUM(O93:Q93))</f>
        <v/>
      </c>
      <c r="S93" s="90" t="str">
        <f aca="false">IF($B93="","",الموظفون!$Q93*IF(E93="سعودي",cfg_G_SE,cfg_G_NE)*F93/cfg_DAYS_M)</f>
        <v/>
      </c>
      <c r="T93" s="90" t="str">
        <f aca="false">IF($B93="","",SUMIFS('الحركات الشهرية'!$I$6:$I$1005,'الحركات الشهرية'!$B$6:$B$1005,$B93,'الحركات الشهرية'!$A$6:$A$1005,$C$3))</f>
        <v/>
      </c>
      <c r="U93" s="90" t="str">
        <f aca="false">IF($B93="","",SUMIFS('الحركات الشهرية'!$J$6:$J$1005,'الحركات الشهرية'!$B$6:$B$1005,$B93,'الحركات الشهرية'!$A$6:$A$1005,$C$3))</f>
        <v/>
      </c>
      <c r="V93" s="90" t="str">
        <f aca="false">IF($B93="","",SUM(S93:U93))</f>
        <v/>
      </c>
      <c r="W93" s="112" t="str">
        <f aca="false">IF($B93="","",R93-V93)</f>
        <v/>
      </c>
      <c r="X93" s="90" t="str">
        <f aca="false">IF($B93="","",الموظفون!$Q93*IF(E93="سعودي",cfg_G_SR,cfg_G_NR)*F93/cfg_DAYS_M)</f>
        <v/>
      </c>
      <c r="Y93" s="90" t="str">
        <f aca="false">IF($B93="","",الموظفون!$O93*(cfg_EOS_R1*(MIN(AC93,cfg_EOS_TH)-MIN(AD93,cfg_EOS_TH))+cfg_EOS_R2*(MAX(AC93-cfg_EOS_TH,0)-MAX(AD93-cfg_EOS_TH,0))))</f>
        <v/>
      </c>
      <c r="Z93" s="90" t="str">
        <f aca="false">IF($B93="","",IF(الموظفون!$R93&lt;&gt;"",الموظفون!$R93,IF(AC93&gt;=cfg_LV_TH,cfg_LV_D2,cfg_LV_D1))/cfg_DAYS_Y*AE93*الموظفون!$P93/cfg_DAYS_M)</f>
        <v/>
      </c>
      <c r="AA93" s="90" t="str">
        <f aca="false">IF($B93="","",IF(AND(الموظفون!$S93="نعم",N(الموظفون!$U93)&gt;0),الموظفون!$T93/الموظفون!$U93*12/cfg_DAYS_Y*AE93,0))</f>
        <v/>
      </c>
      <c r="AB93" s="113" t="str">
        <f aca="false">IF($B93="","",R93+SUM(X93:AA93))</f>
        <v/>
      </c>
      <c r="AC93" s="114" t="str">
        <f aca="false">IF($B93="","",MAX(0,IF(OR(الموظفون!$X93="",الموظفون!$X93&gt;$G$3),$G$3,الموظفون!$X93)-الموظفون!$H93+1)/cfg_DAYS_Y)</f>
        <v/>
      </c>
      <c r="AD93" s="114" t="str">
        <f aca="false">IF($B93="","",MAX(0,IF(OR(الموظفون!$X93="",الموظفون!$X93&gt;($E$3-1)),($E$3-1),الموظفون!$X93)-الموظفون!$H93+1)/cfg_DAYS_Y)</f>
        <v/>
      </c>
      <c r="AE93" s="115" t="str">
        <f aca="false">IF($B93="","",MAX(0,IF(OR(الموظفون!$X93="",الموظفون!$X93&gt;$G$3),$G$3,الموظفون!$X93)-MAX($E$3,الموظفون!$H93)+1))</f>
        <v/>
      </c>
    </row>
    <row r="94" customFormat="false" ht="15" hidden="false" customHeight="false" outlineLevel="0" collapsed="false">
      <c r="A94" s="83" t="str">
        <f aca="false">IF($B94="","",الموظفون!$A94)</f>
        <v/>
      </c>
      <c r="B94" s="74" t="str">
        <f aca="false">IF(الموظفون!$B94="","",الموظفون!$B94)</f>
        <v/>
      </c>
      <c r="C94" s="74" t="str">
        <f aca="false">IF($B94="","",الموظفون!$C94)</f>
        <v/>
      </c>
      <c r="D94" s="74" t="str">
        <f aca="false">IF($B94="","",الموظفون!$F94)</f>
        <v/>
      </c>
      <c r="E94" s="74" t="str">
        <f aca="false">IF($B94="","",الموظفون!$E94)</f>
        <v/>
      </c>
      <c r="F94" s="105" t="str">
        <f aca="false">IF($B94="","",IF(AE94&gt;=DAY($G$3),cfg_DAYS_M,MIN(AE94,cfg_DAYS_M)))</f>
        <v/>
      </c>
      <c r="G94" s="105" t="str">
        <f aca="false">IF($B94="","",SUMIFS('الحركات الشهرية'!$D$6:$D$1005,'الحركات الشهرية'!$B$6:$B$1005,$B94,'الحركات الشهرية'!$A$6:$A$1005,$C$3))</f>
        <v/>
      </c>
      <c r="H94" s="105" t="str">
        <f aca="false">IF($B94="","",SUMIFS('الحركات الشهرية'!$E$6:$E$1005,'الحركات الشهرية'!$B$6:$B$1005,$B94,'الحركات الشهرية'!$A$6:$A$1005,$C$3))</f>
        <v/>
      </c>
      <c r="I94" s="105" t="str">
        <f aca="false">IF($B94="","",MAX(0,F94-G94-H94))</f>
        <v/>
      </c>
      <c r="J94" s="86" t="str">
        <f aca="false">IF($B94="","",الموظفون!$J94*$I94/cfg_DAYS_M)</f>
        <v/>
      </c>
      <c r="K94" s="86" t="str">
        <f aca="false">IF($B94="","",الموظفون!$K94*$I94/cfg_DAYS_M)</f>
        <v/>
      </c>
      <c r="L94" s="86" t="str">
        <f aca="false">IF($B94="","",الموظفون!$L94*$I94/cfg_DAYS_M)</f>
        <v/>
      </c>
      <c r="M94" s="86" t="str">
        <f aca="false">IF($B94="","",الموظفون!$M94*$I94/cfg_DAYS_M)</f>
        <v/>
      </c>
      <c r="N94" s="105" t="str">
        <f aca="false">IF($B94="","",SUMIFS('الحركات الشهرية'!$F$6:$F$1005,'الحركات الشهرية'!$B$6:$B$1005,$B94,'الحركات الشهرية'!$A$6:$A$1005,$C$3))</f>
        <v/>
      </c>
      <c r="O94" s="86" t="str">
        <f aca="false">IF($B94="","",N94*(الموظفون!$N94+الموظفون!$J94*cfg_OT_P)/cfg_DAYS_M/cfg_HRS)</f>
        <v/>
      </c>
      <c r="P94" s="86" t="str">
        <f aca="false">IF($B94="","",SUMIFS('الحركات الشهرية'!$G$6:$G$1005,'الحركات الشهرية'!$B$6:$B$1005,$B94,'الحركات الشهرية'!$A$6:$A$1005,$C$3))</f>
        <v/>
      </c>
      <c r="Q94" s="86" t="str">
        <f aca="false">IF($B94="","",SUMIFS('الحركات الشهرية'!$H$6:$H$1005,'الحركات الشهرية'!$B$6:$B$1005,$B94,'الحركات الشهرية'!$A$6:$A$1005,$C$3))</f>
        <v/>
      </c>
      <c r="R94" s="106" t="str">
        <f aca="false">IF($B94="","",SUM(J94:M94)+SUM(O94:Q94))</f>
        <v/>
      </c>
      <c r="S94" s="86" t="str">
        <f aca="false">IF($B94="","",الموظفون!$Q94*IF(E94="سعودي",cfg_G_SE,cfg_G_NE)*F94/cfg_DAYS_M)</f>
        <v/>
      </c>
      <c r="T94" s="86" t="str">
        <f aca="false">IF($B94="","",SUMIFS('الحركات الشهرية'!$I$6:$I$1005,'الحركات الشهرية'!$B$6:$B$1005,$B94,'الحركات الشهرية'!$A$6:$A$1005,$C$3))</f>
        <v/>
      </c>
      <c r="U94" s="86" t="str">
        <f aca="false">IF($B94="","",SUMIFS('الحركات الشهرية'!$J$6:$J$1005,'الحركات الشهرية'!$B$6:$B$1005,$B94,'الحركات الشهرية'!$A$6:$A$1005,$C$3))</f>
        <v/>
      </c>
      <c r="V94" s="86" t="str">
        <f aca="false">IF($B94="","",SUM(S94:U94))</f>
        <v/>
      </c>
      <c r="W94" s="107" t="str">
        <f aca="false">IF($B94="","",R94-V94)</f>
        <v/>
      </c>
      <c r="X94" s="86" t="str">
        <f aca="false">IF($B94="","",الموظفون!$Q94*IF(E94="سعودي",cfg_G_SR,cfg_G_NR)*F94/cfg_DAYS_M)</f>
        <v/>
      </c>
      <c r="Y94" s="86" t="str">
        <f aca="false">IF($B94="","",الموظفون!$O94*(cfg_EOS_R1*(MIN(AC94,cfg_EOS_TH)-MIN(AD94,cfg_EOS_TH))+cfg_EOS_R2*(MAX(AC94-cfg_EOS_TH,0)-MAX(AD94-cfg_EOS_TH,0))))</f>
        <v/>
      </c>
      <c r="Z94" s="86" t="str">
        <f aca="false">IF($B94="","",IF(الموظفون!$R94&lt;&gt;"",الموظفون!$R94,IF(AC94&gt;=cfg_LV_TH,cfg_LV_D2,cfg_LV_D1))/cfg_DAYS_Y*AE94*الموظفون!$P94/cfg_DAYS_M)</f>
        <v/>
      </c>
      <c r="AA94" s="86" t="str">
        <f aca="false">IF($B94="","",IF(AND(الموظفون!$S94="نعم",N(الموظفون!$U94)&gt;0),الموظفون!$T94/الموظفون!$U94*12/cfg_DAYS_Y*AE94,0))</f>
        <v/>
      </c>
      <c r="AB94" s="108" t="str">
        <f aca="false">IF($B94="","",R94+SUM(X94:AA94))</f>
        <v/>
      </c>
      <c r="AC94" s="109" t="str">
        <f aca="false">IF($B94="","",MAX(0,IF(OR(الموظفون!$X94="",الموظفون!$X94&gt;$G$3),$G$3,الموظفون!$X94)-الموظفون!$H94+1)/cfg_DAYS_Y)</f>
        <v/>
      </c>
      <c r="AD94" s="109" t="str">
        <f aca="false">IF($B94="","",MAX(0,IF(OR(الموظفون!$X94="",الموظفون!$X94&gt;($E$3-1)),($E$3-1),الموظفون!$X94)-الموظفون!$H94+1)/cfg_DAYS_Y)</f>
        <v/>
      </c>
      <c r="AE94" s="51" t="str">
        <f aca="false">IF($B94="","",MAX(0,IF(OR(الموظفون!$X94="",الموظفون!$X94&gt;$G$3),$G$3,الموظفون!$X94)-MAX($E$3,الموظفون!$H94)+1))</f>
        <v/>
      </c>
    </row>
    <row r="95" customFormat="false" ht="15" hidden="false" customHeight="false" outlineLevel="0" collapsed="false">
      <c r="A95" s="89" t="str">
        <f aca="false">IF($B95="","",الموظفون!$A95)</f>
        <v/>
      </c>
      <c r="B95" s="91" t="str">
        <f aca="false">IF(الموظفون!$B95="","",الموظفون!$B95)</f>
        <v/>
      </c>
      <c r="C95" s="91" t="str">
        <f aca="false">IF($B95="","",الموظفون!$C95)</f>
        <v/>
      </c>
      <c r="D95" s="91" t="str">
        <f aca="false">IF($B95="","",الموظفون!$F95)</f>
        <v/>
      </c>
      <c r="E95" s="91" t="str">
        <f aca="false">IF($B95="","",الموظفون!$E95)</f>
        <v/>
      </c>
      <c r="F95" s="110" t="str">
        <f aca="false">IF($B95="","",IF(AE95&gt;=DAY($G$3),cfg_DAYS_M,MIN(AE95,cfg_DAYS_M)))</f>
        <v/>
      </c>
      <c r="G95" s="110" t="str">
        <f aca="false">IF($B95="","",SUMIFS('الحركات الشهرية'!$D$6:$D$1005,'الحركات الشهرية'!$B$6:$B$1005,$B95,'الحركات الشهرية'!$A$6:$A$1005,$C$3))</f>
        <v/>
      </c>
      <c r="H95" s="110" t="str">
        <f aca="false">IF($B95="","",SUMIFS('الحركات الشهرية'!$E$6:$E$1005,'الحركات الشهرية'!$B$6:$B$1005,$B95,'الحركات الشهرية'!$A$6:$A$1005,$C$3))</f>
        <v/>
      </c>
      <c r="I95" s="110" t="str">
        <f aca="false">IF($B95="","",MAX(0,F95-G95-H95))</f>
        <v/>
      </c>
      <c r="J95" s="90" t="str">
        <f aca="false">IF($B95="","",الموظفون!$J95*$I95/cfg_DAYS_M)</f>
        <v/>
      </c>
      <c r="K95" s="90" t="str">
        <f aca="false">IF($B95="","",الموظفون!$K95*$I95/cfg_DAYS_M)</f>
        <v/>
      </c>
      <c r="L95" s="90" t="str">
        <f aca="false">IF($B95="","",الموظفون!$L95*$I95/cfg_DAYS_M)</f>
        <v/>
      </c>
      <c r="M95" s="90" t="str">
        <f aca="false">IF($B95="","",الموظفون!$M95*$I95/cfg_DAYS_M)</f>
        <v/>
      </c>
      <c r="N95" s="110" t="str">
        <f aca="false">IF($B95="","",SUMIFS('الحركات الشهرية'!$F$6:$F$1005,'الحركات الشهرية'!$B$6:$B$1005,$B95,'الحركات الشهرية'!$A$6:$A$1005,$C$3))</f>
        <v/>
      </c>
      <c r="O95" s="90" t="str">
        <f aca="false">IF($B95="","",N95*(الموظفون!$N95+الموظفون!$J95*cfg_OT_P)/cfg_DAYS_M/cfg_HRS)</f>
        <v/>
      </c>
      <c r="P95" s="90" t="str">
        <f aca="false">IF($B95="","",SUMIFS('الحركات الشهرية'!$G$6:$G$1005,'الحركات الشهرية'!$B$6:$B$1005,$B95,'الحركات الشهرية'!$A$6:$A$1005,$C$3))</f>
        <v/>
      </c>
      <c r="Q95" s="90" t="str">
        <f aca="false">IF($B95="","",SUMIFS('الحركات الشهرية'!$H$6:$H$1005,'الحركات الشهرية'!$B$6:$B$1005,$B95,'الحركات الشهرية'!$A$6:$A$1005,$C$3))</f>
        <v/>
      </c>
      <c r="R95" s="111" t="str">
        <f aca="false">IF($B95="","",SUM(J95:M95)+SUM(O95:Q95))</f>
        <v/>
      </c>
      <c r="S95" s="90" t="str">
        <f aca="false">IF($B95="","",الموظفون!$Q95*IF(E95="سعودي",cfg_G_SE,cfg_G_NE)*F95/cfg_DAYS_M)</f>
        <v/>
      </c>
      <c r="T95" s="90" t="str">
        <f aca="false">IF($B95="","",SUMIFS('الحركات الشهرية'!$I$6:$I$1005,'الحركات الشهرية'!$B$6:$B$1005,$B95,'الحركات الشهرية'!$A$6:$A$1005,$C$3))</f>
        <v/>
      </c>
      <c r="U95" s="90" t="str">
        <f aca="false">IF($B95="","",SUMIFS('الحركات الشهرية'!$J$6:$J$1005,'الحركات الشهرية'!$B$6:$B$1005,$B95,'الحركات الشهرية'!$A$6:$A$1005,$C$3))</f>
        <v/>
      </c>
      <c r="V95" s="90" t="str">
        <f aca="false">IF($B95="","",SUM(S95:U95))</f>
        <v/>
      </c>
      <c r="W95" s="112" t="str">
        <f aca="false">IF($B95="","",R95-V95)</f>
        <v/>
      </c>
      <c r="X95" s="90" t="str">
        <f aca="false">IF($B95="","",الموظفون!$Q95*IF(E95="سعودي",cfg_G_SR,cfg_G_NR)*F95/cfg_DAYS_M)</f>
        <v/>
      </c>
      <c r="Y95" s="90" t="str">
        <f aca="false">IF($B95="","",الموظفون!$O95*(cfg_EOS_R1*(MIN(AC95,cfg_EOS_TH)-MIN(AD95,cfg_EOS_TH))+cfg_EOS_R2*(MAX(AC95-cfg_EOS_TH,0)-MAX(AD95-cfg_EOS_TH,0))))</f>
        <v/>
      </c>
      <c r="Z95" s="90" t="str">
        <f aca="false">IF($B95="","",IF(الموظفون!$R95&lt;&gt;"",الموظفون!$R95,IF(AC95&gt;=cfg_LV_TH,cfg_LV_D2,cfg_LV_D1))/cfg_DAYS_Y*AE95*الموظفون!$P95/cfg_DAYS_M)</f>
        <v/>
      </c>
      <c r="AA95" s="90" t="str">
        <f aca="false">IF($B95="","",IF(AND(الموظفون!$S95="نعم",N(الموظفون!$U95)&gt;0),الموظفون!$T95/الموظفون!$U95*12/cfg_DAYS_Y*AE95,0))</f>
        <v/>
      </c>
      <c r="AB95" s="113" t="str">
        <f aca="false">IF($B95="","",R95+SUM(X95:AA95))</f>
        <v/>
      </c>
      <c r="AC95" s="114" t="str">
        <f aca="false">IF($B95="","",MAX(0,IF(OR(الموظفون!$X95="",الموظفون!$X95&gt;$G$3),$G$3,الموظفون!$X95)-الموظفون!$H95+1)/cfg_DAYS_Y)</f>
        <v/>
      </c>
      <c r="AD95" s="114" t="str">
        <f aca="false">IF($B95="","",MAX(0,IF(OR(الموظفون!$X95="",الموظفون!$X95&gt;($E$3-1)),($E$3-1),الموظفون!$X95)-الموظفون!$H95+1)/cfg_DAYS_Y)</f>
        <v/>
      </c>
      <c r="AE95" s="115" t="str">
        <f aca="false">IF($B95="","",MAX(0,IF(OR(الموظفون!$X95="",الموظفون!$X95&gt;$G$3),$G$3,الموظفون!$X95)-MAX($E$3,الموظفون!$H95)+1))</f>
        <v/>
      </c>
    </row>
    <row r="96" customFormat="false" ht="15" hidden="false" customHeight="false" outlineLevel="0" collapsed="false">
      <c r="A96" s="83" t="str">
        <f aca="false">IF($B96="","",الموظفون!$A96)</f>
        <v/>
      </c>
      <c r="B96" s="74" t="str">
        <f aca="false">IF(الموظفون!$B96="","",الموظفون!$B96)</f>
        <v/>
      </c>
      <c r="C96" s="74" t="str">
        <f aca="false">IF($B96="","",الموظفون!$C96)</f>
        <v/>
      </c>
      <c r="D96" s="74" t="str">
        <f aca="false">IF($B96="","",الموظفون!$F96)</f>
        <v/>
      </c>
      <c r="E96" s="74" t="str">
        <f aca="false">IF($B96="","",الموظفون!$E96)</f>
        <v/>
      </c>
      <c r="F96" s="105" t="str">
        <f aca="false">IF($B96="","",IF(AE96&gt;=DAY($G$3),cfg_DAYS_M,MIN(AE96,cfg_DAYS_M)))</f>
        <v/>
      </c>
      <c r="G96" s="105" t="str">
        <f aca="false">IF($B96="","",SUMIFS('الحركات الشهرية'!$D$6:$D$1005,'الحركات الشهرية'!$B$6:$B$1005,$B96,'الحركات الشهرية'!$A$6:$A$1005,$C$3))</f>
        <v/>
      </c>
      <c r="H96" s="105" t="str">
        <f aca="false">IF($B96="","",SUMIFS('الحركات الشهرية'!$E$6:$E$1005,'الحركات الشهرية'!$B$6:$B$1005,$B96,'الحركات الشهرية'!$A$6:$A$1005,$C$3))</f>
        <v/>
      </c>
      <c r="I96" s="105" t="str">
        <f aca="false">IF($B96="","",MAX(0,F96-G96-H96))</f>
        <v/>
      </c>
      <c r="J96" s="86" t="str">
        <f aca="false">IF($B96="","",الموظفون!$J96*$I96/cfg_DAYS_M)</f>
        <v/>
      </c>
      <c r="K96" s="86" t="str">
        <f aca="false">IF($B96="","",الموظفون!$K96*$I96/cfg_DAYS_M)</f>
        <v/>
      </c>
      <c r="L96" s="86" t="str">
        <f aca="false">IF($B96="","",الموظفون!$L96*$I96/cfg_DAYS_M)</f>
        <v/>
      </c>
      <c r="M96" s="86" t="str">
        <f aca="false">IF($B96="","",الموظفون!$M96*$I96/cfg_DAYS_M)</f>
        <v/>
      </c>
      <c r="N96" s="105" t="str">
        <f aca="false">IF($B96="","",SUMIFS('الحركات الشهرية'!$F$6:$F$1005,'الحركات الشهرية'!$B$6:$B$1005,$B96,'الحركات الشهرية'!$A$6:$A$1005,$C$3))</f>
        <v/>
      </c>
      <c r="O96" s="86" t="str">
        <f aca="false">IF($B96="","",N96*(الموظفون!$N96+الموظفون!$J96*cfg_OT_P)/cfg_DAYS_M/cfg_HRS)</f>
        <v/>
      </c>
      <c r="P96" s="86" t="str">
        <f aca="false">IF($B96="","",SUMIFS('الحركات الشهرية'!$G$6:$G$1005,'الحركات الشهرية'!$B$6:$B$1005,$B96,'الحركات الشهرية'!$A$6:$A$1005,$C$3))</f>
        <v/>
      </c>
      <c r="Q96" s="86" t="str">
        <f aca="false">IF($B96="","",SUMIFS('الحركات الشهرية'!$H$6:$H$1005,'الحركات الشهرية'!$B$6:$B$1005,$B96,'الحركات الشهرية'!$A$6:$A$1005,$C$3))</f>
        <v/>
      </c>
      <c r="R96" s="106" t="str">
        <f aca="false">IF($B96="","",SUM(J96:M96)+SUM(O96:Q96))</f>
        <v/>
      </c>
      <c r="S96" s="86" t="str">
        <f aca="false">IF($B96="","",الموظفون!$Q96*IF(E96="سعودي",cfg_G_SE,cfg_G_NE)*F96/cfg_DAYS_M)</f>
        <v/>
      </c>
      <c r="T96" s="86" t="str">
        <f aca="false">IF($B96="","",SUMIFS('الحركات الشهرية'!$I$6:$I$1005,'الحركات الشهرية'!$B$6:$B$1005,$B96,'الحركات الشهرية'!$A$6:$A$1005,$C$3))</f>
        <v/>
      </c>
      <c r="U96" s="86" t="str">
        <f aca="false">IF($B96="","",SUMIFS('الحركات الشهرية'!$J$6:$J$1005,'الحركات الشهرية'!$B$6:$B$1005,$B96,'الحركات الشهرية'!$A$6:$A$1005,$C$3))</f>
        <v/>
      </c>
      <c r="V96" s="86" t="str">
        <f aca="false">IF($B96="","",SUM(S96:U96))</f>
        <v/>
      </c>
      <c r="W96" s="107" t="str">
        <f aca="false">IF($B96="","",R96-V96)</f>
        <v/>
      </c>
      <c r="X96" s="86" t="str">
        <f aca="false">IF($B96="","",الموظفون!$Q96*IF(E96="سعودي",cfg_G_SR,cfg_G_NR)*F96/cfg_DAYS_M)</f>
        <v/>
      </c>
      <c r="Y96" s="86" t="str">
        <f aca="false">IF($B96="","",الموظفون!$O96*(cfg_EOS_R1*(MIN(AC96,cfg_EOS_TH)-MIN(AD96,cfg_EOS_TH))+cfg_EOS_R2*(MAX(AC96-cfg_EOS_TH,0)-MAX(AD96-cfg_EOS_TH,0))))</f>
        <v/>
      </c>
      <c r="Z96" s="86" t="str">
        <f aca="false">IF($B96="","",IF(الموظفون!$R96&lt;&gt;"",الموظفون!$R96,IF(AC96&gt;=cfg_LV_TH,cfg_LV_D2,cfg_LV_D1))/cfg_DAYS_Y*AE96*الموظفون!$P96/cfg_DAYS_M)</f>
        <v/>
      </c>
      <c r="AA96" s="86" t="str">
        <f aca="false">IF($B96="","",IF(AND(الموظفون!$S96="نعم",N(الموظفون!$U96)&gt;0),الموظفون!$T96/الموظفون!$U96*12/cfg_DAYS_Y*AE96,0))</f>
        <v/>
      </c>
      <c r="AB96" s="108" t="str">
        <f aca="false">IF($B96="","",R96+SUM(X96:AA96))</f>
        <v/>
      </c>
      <c r="AC96" s="109" t="str">
        <f aca="false">IF($B96="","",MAX(0,IF(OR(الموظفون!$X96="",الموظفون!$X96&gt;$G$3),$G$3,الموظفون!$X96)-الموظفون!$H96+1)/cfg_DAYS_Y)</f>
        <v/>
      </c>
      <c r="AD96" s="109" t="str">
        <f aca="false">IF($B96="","",MAX(0,IF(OR(الموظفون!$X96="",الموظفون!$X96&gt;($E$3-1)),($E$3-1),الموظفون!$X96)-الموظفون!$H96+1)/cfg_DAYS_Y)</f>
        <v/>
      </c>
      <c r="AE96" s="51" t="str">
        <f aca="false">IF($B96="","",MAX(0,IF(OR(الموظفون!$X96="",الموظفون!$X96&gt;$G$3),$G$3,الموظفون!$X96)-MAX($E$3,الموظفون!$H96)+1))</f>
        <v/>
      </c>
    </row>
    <row r="97" customFormat="false" ht="15" hidden="false" customHeight="false" outlineLevel="0" collapsed="false">
      <c r="A97" s="89" t="str">
        <f aca="false">IF($B97="","",الموظفون!$A97)</f>
        <v/>
      </c>
      <c r="B97" s="91" t="str">
        <f aca="false">IF(الموظفون!$B97="","",الموظفون!$B97)</f>
        <v/>
      </c>
      <c r="C97" s="91" t="str">
        <f aca="false">IF($B97="","",الموظفون!$C97)</f>
        <v/>
      </c>
      <c r="D97" s="91" t="str">
        <f aca="false">IF($B97="","",الموظفون!$F97)</f>
        <v/>
      </c>
      <c r="E97" s="91" t="str">
        <f aca="false">IF($B97="","",الموظفون!$E97)</f>
        <v/>
      </c>
      <c r="F97" s="110" t="str">
        <f aca="false">IF($B97="","",IF(AE97&gt;=DAY($G$3),cfg_DAYS_M,MIN(AE97,cfg_DAYS_M)))</f>
        <v/>
      </c>
      <c r="G97" s="110" t="str">
        <f aca="false">IF($B97="","",SUMIFS('الحركات الشهرية'!$D$6:$D$1005,'الحركات الشهرية'!$B$6:$B$1005,$B97,'الحركات الشهرية'!$A$6:$A$1005,$C$3))</f>
        <v/>
      </c>
      <c r="H97" s="110" t="str">
        <f aca="false">IF($B97="","",SUMIFS('الحركات الشهرية'!$E$6:$E$1005,'الحركات الشهرية'!$B$6:$B$1005,$B97,'الحركات الشهرية'!$A$6:$A$1005,$C$3))</f>
        <v/>
      </c>
      <c r="I97" s="110" t="str">
        <f aca="false">IF($B97="","",MAX(0,F97-G97-H97))</f>
        <v/>
      </c>
      <c r="J97" s="90" t="str">
        <f aca="false">IF($B97="","",الموظفون!$J97*$I97/cfg_DAYS_M)</f>
        <v/>
      </c>
      <c r="K97" s="90" t="str">
        <f aca="false">IF($B97="","",الموظفون!$K97*$I97/cfg_DAYS_M)</f>
        <v/>
      </c>
      <c r="L97" s="90" t="str">
        <f aca="false">IF($B97="","",الموظفون!$L97*$I97/cfg_DAYS_M)</f>
        <v/>
      </c>
      <c r="M97" s="90" t="str">
        <f aca="false">IF($B97="","",الموظفون!$M97*$I97/cfg_DAYS_M)</f>
        <v/>
      </c>
      <c r="N97" s="110" t="str">
        <f aca="false">IF($B97="","",SUMIFS('الحركات الشهرية'!$F$6:$F$1005,'الحركات الشهرية'!$B$6:$B$1005,$B97,'الحركات الشهرية'!$A$6:$A$1005,$C$3))</f>
        <v/>
      </c>
      <c r="O97" s="90" t="str">
        <f aca="false">IF($B97="","",N97*(الموظفون!$N97+الموظفون!$J97*cfg_OT_P)/cfg_DAYS_M/cfg_HRS)</f>
        <v/>
      </c>
      <c r="P97" s="90" t="str">
        <f aca="false">IF($B97="","",SUMIFS('الحركات الشهرية'!$G$6:$G$1005,'الحركات الشهرية'!$B$6:$B$1005,$B97,'الحركات الشهرية'!$A$6:$A$1005,$C$3))</f>
        <v/>
      </c>
      <c r="Q97" s="90" t="str">
        <f aca="false">IF($B97="","",SUMIFS('الحركات الشهرية'!$H$6:$H$1005,'الحركات الشهرية'!$B$6:$B$1005,$B97,'الحركات الشهرية'!$A$6:$A$1005,$C$3))</f>
        <v/>
      </c>
      <c r="R97" s="111" t="str">
        <f aca="false">IF($B97="","",SUM(J97:M97)+SUM(O97:Q97))</f>
        <v/>
      </c>
      <c r="S97" s="90" t="str">
        <f aca="false">IF($B97="","",الموظفون!$Q97*IF(E97="سعودي",cfg_G_SE,cfg_G_NE)*F97/cfg_DAYS_M)</f>
        <v/>
      </c>
      <c r="T97" s="90" t="str">
        <f aca="false">IF($B97="","",SUMIFS('الحركات الشهرية'!$I$6:$I$1005,'الحركات الشهرية'!$B$6:$B$1005,$B97,'الحركات الشهرية'!$A$6:$A$1005,$C$3))</f>
        <v/>
      </c>
      <c r="U97" s="90" t="str">
        <f aca="false">IF($B97="","",SUMIFS('الحركات الشهرية'!$J$6:$J$1005,'الحركات الشهرية'!$B$6:$B$1005,$B97,'الحركات الشهرية'!$A$6:$A$1005,$C$3))</f>
        <v/>
      </c>
      <c r="V97" s="90" t="str">
        <f aca="false">IF($B97="","",SUM(S97:U97))</f>
        <v/>
      </c>
      <c r="W97" s="112" t="str">
        <f aca="false">IF($B97="","",R97-V97)</f>
        <v/>
      </c>
      <c r="X97" s="90" t="str">
        <f aca="false">IF($B97="","",الموظفون!$Q97*IF(E97="سعودي",cfg_G_SR,cfg_G_NR)*F97/cfg_DAYS_M)</f>
        <v/>
      </c>
      <c r="Y97" s="90" t="str">
        <f aca="false">IF($B97="","",الموظفون!$O97*(cfg_EOS_R1*(MIN(AC97,cfg_EOS_TH)-MIN(AD97,cfg_EOS_TH))+cfg_EOS_R2*(MAX(AC97-cfg_EOS_TH,0)-MAX(AD97-cfg_EOS_TH,0))))</f>
        <v/>
      </c>
      <c r="Z97" s="90" t="str">
        <f aca="false">IF($B97="","",IF(الموظفون!$R97&lt;&gt;"",الموظفون!$R97,IF(AC97&gt;=cfg_LV_TH,cfg_LV_D2,cfg_LV_D1))/cfg_DAYS_Y*AE97*الموظفون!$P97/cfg_DAYS_M)</f>
        <v/>
      </c>
      <c r="AA97" s="90" t="str">
        <f aca="false">IF($B97="","",IF(AND(الموظفون!$S97="نعم",N(الموظفون!$U97)&gt;0),الموظفون!$T97/الموظفون!$U97*12/cfg_DAYS_Y*AE97,0))</f>
        <v/>
      </c>
      <c r="AB97" s="113" t="str">
        <f aca="false">IF($B97="","",R97+SUM(X97:AA97))</f>
        <v/>
      </c>
      <c r="AC97" s="114" t="str">
        <f aca="false">IF($B97="","",MAX(0,IF(OR(الموظفون!$X97="",الموظفون!$X97&gt;$G$3),$G$3,الموظفون!$X97)-الموظفون!$H97+1)/cfg_DAYS_Y)</f>
        <v/>
      </c>
      <c r="AD97" s="114" t="str">
        <f aca="false">IF($B97="","",MAX(0,IF(OR(الموظفون!$X97="",الموظفون!$X97&gt;($E$3-1)),($E$3-1),الموظفون!$X97)-الموظفون!$H97+1)/cfg_DAYS_Y)</f>
        <v/>
      </c>
      <c r="AE97" s="115" t="str">
        <f aca="false">IF($B97="","",MAX(0,IF(OR(الموظفون!$X97="",الموظفون!$X97&gt;$G$3),$G$3,الموظفون!$X97)-MAX($E$3,الموظفون!$H97)+1))</f>
        <v/>
      </c>
    </row>
    <row r="98" customFormat="false" ht="15" hidden="false" customHeight="false" outlineLevel="0" collapsed="false">
      <c r="A98" s="83" t="str">
        <f aca="false">IF($B98="","",الموظفون!$A98)</f>
        <v/>
      </c>
      <c r="B98" s="74" t="str">
        <f aca="false">IF(الموظفون!$B98="","",الموظفون!$B98)</f>
        <v/>
      </c>
      <c r="C98" s="74" t="str">
        <f aca="false">IF($B98="","",الموظفون!$C98)</f>
        <v/>
      </c>
      <c r="D98" s="74" t="str">
        <f aca="false">IF($B98="","",الموظفون!$F98)</f>
        <v/>
      </c>
      <c r="E98" s="74" t="str">
        <f aca="false">IF($B98="","",الموظفون!$E98)</f>
        <v/>
      </c>
      <c r="F98" s="105" t="str">
        <f aca="false">IF($B98="","",IF(AE98&gt;=DAY($G$3),cfg_DAYS_M,MIN(AE98,cfg_DAYS_M)))</f>
        <v/>
      </c>
      <c r="G98" s="105" t="str">
        <f aca="false">IF($B98="","",SUMIFS('الحركات الشهرية'!$D$6:$D$1005,'الحركات الشهرية'!$B$6:$B$1005,$B98,'الحركات الشهرية'!$A$6:$A$1005,$C$3))</f>
        <v/>
      </c>
      <c r="H98" s="105" t="str">
        <f aca="false">IF($B98="","",SUMIFS('الحركات الشهرية'!$E$6:$E$1005,'الحركات الشهرية'!$B$6:$B$1005,$B98,'الحركات الشهرية'!$A$6:$A$1005,$C$3))</f>
        <v/>
      </c>
      <c r="I98" s="105" t="str">
        <f aca="false">IF($B98="","",MAX(0,F98-G98-H98))</f>
        <v/>
      </c>
      <c r="J98" s="86" t="str">
        <f aca="false">IF($B98="","",الموظفون!$J98*$I98/cfg_DAYS_M)</f>
        <v/>
      </c>
      <c r="K98" s="86" t="str">
        <f aca="false">IF($B98="","",الموظفون!$K98*$I98/cfg_DAYS_M)</f>
        <v/>
      </c>
      <c r="L98" s="86" t="str">
        <f aca="false">IF($B98="","",الموظفون!$L98*$I98/cfg_DAYS_M)</f>
        <v/>
      </c>
      <c r="M98" s="86" t="str">
        <f aca="false">IF($B98="","",الموظفون!$M98*$I98/cfg_DAYS_M)</f>
        <v/>
      </c>
      <c r="N98" s="105" t="str">
        <f aca="false">IF($B98="","",SUMIFS('الحركات الشهرية'!$F$6:$F$1005,'الحركات الشهرية'!$B$6:$B$1005,$B98,'الحركات الشهرية'!$A$6:$A$1005,$C$3))</f>
        <v/>
      </c>
      <c r="O98" s="86" t="str">
        <f aca="false">IF($B98="","",N98*(الموظفون!$N98+الموظفون!$J98*cfg_OT_P)/cfg_DAYS_M/cfg_HRS)</f>
        <v/>
      </c>
      <c r="P98" s="86" t="str">
        <f aca="false">IF($B98="","",SUMIFS('الحركات الشهرية'!$G$6:$G$1005,'الحركات الشهرية'!$B$6:$B$1005,$B98,'الحركات الشهرية'!$A$6:$A$1005,$C$3))</f>
        <v/>
      </c>
      <c r="Q98" s="86" t="str">
        <f aca="false">IF($B98="","",SUMIFS('الحركات الشهرية'!$H$6:$H$1005,'الحركات الشهرية'!$B$6:$B$1005,$B98,'الحركات الشهرية'!$A$6:$A$1005,$C$3))</f>
        <v/>
      </c>
      <c r="R98" s="106" t="str">
        <f aca="false">IF($B98="","",SUM(J98:M98)+SUM(O98:Q98))</f>
        <v/>
      </c>
      <c r="S98" s="86" t="str">
        <f aca="false">IF($B98="","",الموظفون!$Q98*IF(E98="سعودي",cfg_G_SE,cfg_G_NE)*F98/cfg_DAYS_M)</f>
        <v/>
      </c>
      <c r="T98" s="86" t="str">
        <f aca="false">IF($B98="","",SUMIFS('الحركات الشهرية'!$I$6:$I$1005,'الحركات الشهرية'!$B$6:$B$1005,$B98,'الحركات الشهرية'!$A$6:$A$1005,$C$3))</f>
        <v/>
      </c>
      <c r="U98" s="86" t="str">
        <f aca="false">IF($B98="","",SUMIFS('الحركات الشهرية'!$J$6:$J$1005,'الحركات الشهرية'!$B$6:$B$1005,$B98,'الحركات الشهرية'!$A$6:$A$1005,$C$3))</f>
        <v/>
      </c>
      <c r="V98" s="86" t="str">
        <f aca="false">IF($B98="","",SUM(S98:U98))</f>
        <v/>
      </c>
      <c r="W98" s="107" t="str">
        <f aca="false">IF($B98="","",R98-V98)</f>
        <v/>
      </c>
      <c r="X98" s="86" t="str">
        <f aca="false">IF($B98="","",الموظفون!$Q98*IF(E98="سعودي",cfg_G_SR,cfg_G_NR)*F98/cfg_DAYS_M)</f>
        <v/>
      </c>
      <c r="Y98" s="86" t="str">
        <f aca="false">IF($B98="","",الموظفون!$O98*(cfg_EOS_R1*(MIN(AC98,cfg_EOS_TH)-MIN(AD98,cfg_EOS_TH))+cfg_EOS_R2*(MAX(AC98-cfg_EOS_TH,0)-MAX(AD98-cfg_EOS_TH,0))))</f>
        <v/>
      </c>
      <c r="Z98" s="86" t="str">
        <f aca="false">IF($B98="","",IF(الموظفون!$R98&lt;&gt;"",الموظفون!$R98,IF(AC98&gt;=cfg_LV_TH,cfg_LV_D2,cfg_LV_D1))/cfg_DAYS_Y*AE98*الموظفون!$P98/cfg_DAYS_M)</f>
        <v/>
      </c>
      <c r="AA98" s="86" t="str">
        <f aca="false">IF($B98="","",IF(AND(الموظفون!$S98="نعم",N(الموظفون!$U98)&gt;0),الموظفون!$T98/الموظفون!$U98*12/cfg_DAYS_Y*AE98,0))</f>
        <v/>
      </c>
      <c r="AB98" s="108" t="str">
        <f aca="false">IF($B98="","",R98+SUM(X98:AA98))</f>
        <v/>
      </c>
      <c r="AC98" s="109" t="str">
        <f aca="false">IF($B98="","",MAX(0,IF(OR(الموظفون!$X98="",الموظفون!$X98&gt;$G$3),$G$3,الموظفون!$X98)-الموظفون!$H98+1)/cfg_DAYS_Y)</f>
        <v/>
      </c>
      <c r="AD98" s="109" t="str">
        <f aca="false">IF($B98="","",MAX(0,IF(OR(الموظفون!$X98="",الموظفون!$X98&gt;($E$3-1)),($E$3-1),الموظفون!$X98)-الموظفون!$H98+1)/cfg_DAYS_Y)</f>
        <v/>
      </c>
      <c r="AE98" s="51" t="str">
        <f aca="false">IF($B98="","",MAX(0,IF(OR(الموظفون!$X98="",الموظفون!$X98&gt;$G$3),$G$3,الموظفون!$X98)-MAX($E$3,الموظفون!$H98)+1))</f>
        <v/>
      </c>
    </row>
    <row r="99" customFormat="false" ht="15" hidden="false" customHeight="false" outlineLevel="0" collapsed="false">
      <c r="A99" s="89" t="str">
        <f aca="false">IF($B99="","",الموظفون!$A99)</f>
        <v/>
      </c>
      <c r="B99" s="91" t="str">
        <f aca="false">IF(الموظفون!$B99="","",الموظفون!$B99)</f>
        <v/>
      </c>
      <c r="C99" s="91" t="str">
        <f aca="false">IF($B99="","",الموظفون!$C99)</f>
        <v/>
      </c>
      <c r="D99" s="91" t="str">
        <f aca="false">IF($B99="","",الموظفون!$F99)</f>
        <v/>
      </c>
      <c r="E99" s="91" t="str">
        <f aca="false">IF($B99="","",الموظفون!$E99)</f>
        <v/>
      </c>
      <c r="F99" s="110" t="str">
        <f aca="false">IF($B99="","",IF(AE99&gt;=DAY($G$3),cfg_DAYS_M,MIN(AE99,cfg_DAYS_M)))</f>
        <v/>
      </c>
      <c r="G99" s="110" t="str">
        <f aca="false">IF($B99="","",SUMIFS('الحركات الشهرية'!$D$6:$D$1005,'الحركات الشهرية'!$B$6:$B$1005,$B99,'الحركات الشهرية'!$A$6:$A$1005,$C$3))</f>
        <v/>
      </c>
      <c r="H99" s="110" t="str">
        <f aca="false">IF($B99="","",SUMIFS('الحركات الشهرية'!$E$6:$E$1005,'الحركات الشهرية'!$B$6:$B$1005,$B99,'الحركات الشهرية'!$A$6:$A$1005,$C$3))</f>
        <v/>
      </c>
      <c r="I99" s="110" t="str">
        <f aca="false">IF($B99="","",MAX(0,F99-G99-H99))</f>
        <v/>
      </c>
      <c r="J99" s="90" t="str">
        <f aca="false">IF($B99="","",الموظفون!$J99*$I99/cfg_DAYS_M)</f>
        <v/>
      </c>
      <c r="K99" s="90" t="str">
        <f aca="false">IF($B99="","",الموظفون!$K99*$I99/cfg_DAYS_M)</f>
        <v/>
      </c>
      <c r="L99" s="90" t="str">
        <f aca="false">IF($B99="","",الموظفون!$L99*$I99/cfg_DAYS_M)</f>
        <v/>
      </c>
      <c r="M99" s="90" t="str">
        <f aca="false">IF($B99="","",الموظفون!$M99*$I99/cfg_DAYS_M)</f>
        <v/>
      </c>
      <c r="N99" s="110" t="str">
        <f aca="false">IF($B99="","",SUMIFS('الحركات الشهرية'!$F$6:$F$1005,'الحركات الشهرية'!$B$6:$B$1005,$B99,'الحركات الشهرية'!$A$6:$A$1005,$C$3))</f>
        <v/>
      </c>
      <c r="O99" s="90" t="str">
        <f aca="false">IF($B99="","",N99*(الموظفون!$N99+الموظفون!$J99*cfg_OT_P)/cfg_DAYS_M/cfg_HRS)</f>
        <v/>
      </c>
      <c r="P99" s="90" t="str">
        <f aca="false">IF($B99="","",SUMIFS('الحركات الشهرية'!$G$6:$G$1005,'الحركات الشهرية'!$B$6:$B$1005,$B99,'الحركات الشهرية'!$A$6:$A$1005,$C$3))</f>
        <v/>
      </c>
      <c r="Q99" s="90" t="str">
        <f aca="false">IF($B99="","",SUMIFS('الحركات الشهرية'!$H$6:$H$1005,'الحركات الشهرية'!$B$6:$B$1005,$B99,'الحركات الشهرية'!$A$6:$A$1005,$C$3))</f>
        <v/>
      </c>
      <c r="R99" s="111" t="str">
        <f aca="false">IF($B99="","",SUM(J99:M99)+SUM(O99:Q99))</f>
        <v/>
      </c>
      <c r="S99" s="90" t="str">
        <f aca="false">IF($B99="","",الموظفون!$Q99*IF(E99="سعودي",cfg_G_SE,cfg_G_NE)*F99/cfg_DAYS_M)</f>
        <v/>
      </c>
      <c r="T99" s="90" t="str">
        <f aca="false">IF($B99="","",SUMIFS('الحركات الشهرية'!$I$6:$I$1005,'الحركات الشهرية'!$B$6:$B$1005,$B99,'الحركات الشهرية'!$A$6:$A$1005,$C$3))</f>
        <v/>
      </c>
      <c r="U99" s="90" t="str">
        <f aca="false">IF($B99="","",SUMIFS('الحركات الشهرية'!$J$6:$J$1005,'الحركات الشهرية'!$B$6:$B$1005,$B99,'الحركات الشهرية'!$A$6:$A$1005,$C$3))</f>
        <v/>
      </c>
      <c r="V99" s="90" t="str">
        <f aca="false">IF($B99="","",SUM(S99:U99))</f>
        <v/>
      </c>
      <c r="W99" s="112" t="str">
        <f aca="false">IF($B99="","",R99-V99)</f>
        <v/>
      </c>
      <c r="X99" s="90" t="str">
        <f aca="false">IF($B99="","",الموظفون!$Q99*IF(E99="سعودي",cfg_G_SR,cfg_G_NR)*F99/cfg_DAYS_M)</f>
        <v/>
      </c>
      <c r="Y99" s="90" t="str">
        <f aca="false">IF($B99="","",الموظفون!$O99*(cfg_EOS_R1*(MIN(AC99,cfg_EOS_TH)-MIN(AD99,cfg_EOS_TH))+cfg_EOS_R2*(MAX(AC99-cfg_EOS_TH,0)-MAX(AD99-cfg_EOS_TH,0))))</f>
        <v/>
      </c>
      <c r="Z99" s="90" t="str">
        <f aca="false">IF($B99="","",IF(الموظفون!$R99&lt;&gt;"",الموظفون!$R99,IF(AC99&gt;=cfg_LV_TH,cfg_LV_D2,cfg_LV_D1))/cfg_DAYS_Y*AE99*الموظفون!$P99/cfg_DAYS_M)</f>
        <v/>
      </c>
      <c r="AA99" s="90" t="str">
        <f aca="false">IF($B99="","",IF(AND(الموظفون!$S99="نعم",N(الموظفون!$U99)&gt;0),الموظفون!$T99/الموظفون!$U99*12/cfg_DAYS_Y*AE99,0))</f>
        <v/>
      </c>
      <c r="AB99" s="113" t="str">
        <f aca="false">IF($B99="","",R99+SUM(X99:AA99))</f>
        <v/>
      </c>
      <c r="AC99" s="114" t="str">
        <f aca="false">IF($B99="","",MAX(0,IF(OR(الموظفون!$X99="",الموظفون!$X99&gt;$G$3),$G$3,الموظفون!$X99)-الموظفون!$H99+1)/cfg_DAYS_Y)</f>
        <v/>
      </c>
      <c r="AD99" s="114" t="str">
        <f aca="false">IF($B99="","",MAX(0,IF(OR(الموظفون!$X99="",الموظفون!$X99&gt;($E$3-1)),($E$3-1),الموظفون!$X99)-الموظفون!$H99+1)/cfg_DAYS_Y)</f>
        <v/>
      </c>
      <c r="AE99" s="115" t="str">
        <f aca="false">IF($B99="","",MAX(0,IF(OR(الموظفون!$X99="",الموظفون!$X99&gt;$G$3),$G$3,الموظفون!$X99)-MAX($E$3,الموظفون!$H99)+1))</f>
        <v/>
      </c>
    </row>
    <row r="100" customFormat="false" ht="15" hidden="false" customHeight="false" outlineLevel="0" collapsed="false">
      <c r="A100" s="83" t="str">
        <f aca="false">IF($B100="","",الموظفون!$A100)</f>
        <v/>
      </c>
      <c r="B100" s="74" t="str">
        <f aca="false">IF(الموظفون!$B100="","",الموظفون!$B100)</f>
        <v/>
      </c>
      <c r="C100" s="74" t="str">
        <f aca="false">IF($B100="","",الموظفون!$C100)</f>
        <v/>
      </c>
      <c r="D100" s="74" t="str">
        <f aca="false">IF($B100="","",الموظفون!$F100)</f>
        <v/>
      </c>
      <c r="E100" s="74" t="str">
        <f aca="false">IF($B100="","",الموظفون!$E100)</f>
        <v/>
      </c>
      <c r="F100" s="105" t="str">
        <f aca="false">IF($B100="","",IF(AE100&gt;=DAY($G$3),cfg_DAYS_M,MIN(AE100,cfg_DAYS_M)))</f>
        <v/>
      </c>
      <c r="G100" s="105" t="str">
        <f aca="false">IF($B100="","",SUMIFS('الحركات الشهرية'!$D$6:$D$1005,'الحركات الشهرية'!$B$6:$B$1005,$B100,'الحركات الشهرية'!$A$6:$A$1005,$C$3))</f>
        <v/>
      </c>
      <c r="H100" s="105" t="str">
        <f aca="false">IF($B100="","",SUMIFS('الحركات الشهرية'!$E$6:$E$1005,'الحركات الشهرية'!$B$6:$B$1005,$B100,'الحركات الشهرية'!$A$6:$A$1005,$C$3))</f>
        <v/>
      </c>
      <c r="I100" s="105" t="str">
        <f aca="false">IF($B100="","",MAX(0,F100-G100-H100))</f>
        <v/>
      </c>
      <c r="J100" s="86" t="str">
        <f aca="false">IF($B100="","",الموظفون!$J100*$I100/cfg_DAYS_M)</f>
        <v/>
      </c>
      <c r="K100" s="86" t="str">
        <f aca="false">IF($B100="","",الموظفون!$K100*$I100/cfg_DAYS_M)</f>
        <v/>
      </c>
      <c r="L100" s="86" t="str">
        <f aca="false">IF($B100="","",الموظفون!$L100*$I100/cfg_DAYS_M)</f>
        <v/>
      </c>
      <c r="M100" s="86" t="str">
        <f aca="false">IF($B100="","",الموظفون!$M100*$I100/cfg_DAYS_M)</f>
        <v/>
      </c>
      <c r="N100" s="105" t="str">
        <f aca="false">IF($B100="","",SUMIFS('الحركات الشهرية'!$F$6:$F$1005,'الحركات الشهرية'!$B$6:$B$1005,$B100,'الحركات الشهرية'!$A$6:$A$1005,$C$3))</f>
        <v/>
      </c>
      <c r="O100" s="86" t="str">
        <f aca="false">IF($B100="","",N100*(الموظفون!$N100+الموظفون!$J100*cfg_OT_P)/cfg_DAYS_M/cfg_HRS)</f>
        <v/>
      </c>
      <c r="P100" s="86" t="str">
        <f aca="false">IF($B100="","",SUMIFS('الحركات الشهرية'!$G$6:$G$1005,'الحركات الشهرية'!$B$6:$B$1005,$B100,'الحركات الشهرية'!$A$6:$A$1005,$C$3))</f>
        <v/>
      </c>
      <c r="Q100" s="86" t="str">
        <f aca="false">IF($B100="","",SUMIFS('الحركات الشهرية'!$H$6:$H$1005,'الحركات الشهرية'!$B$6:$B$1005,$B100,'الحركات الشهرية'!$A$6:$A$1005,$C$3))</f>
        <v/>
      </c>
      <c r="R100" s="106" t="str">
        <f aca="false">IF($B100="","",SUM(J100:M100)+SUM(O100:Q100))</f>
        <v/>
      </c>
      <c r="S100" s="86" t="str">
        <f aca="false">IF($B100="","",الموظفون!$Q100*IF(E100="سعودي",cfg_G_SE,cfg_G_NE)*F100/cfg_DAYS_M)</f>
        <v/>
      </c>
      <c r="T100" s="86" t="str">
        <f aca="false">IF($B100="","",SUMIFS('الحركات الشهرية'!$I$6:$I$1005,'الحركات الشهرية'!$B$6:$B$1005,$B100,'الحركات الشهرية'!$A$6:$A$1005,$C$3))</f>
        <v/>
      </c>
      <c r="U100" s="86" t="str">
        <f aca="false">IF($B100="","",SUMIFS('الحركات الشهرية'!$J$6:$J$1005,'الحركات الشهرية'!$B$6:$B$1005,$B100,'الحركات الشهرية'!$A$6:$A$1005,$C$3))</f>
        <v/>
      </c>
      <c r="V100" s="86" t="str">
        <f aca="false">IF($B100="","",SUM(S100:U100))</f>
        <v/>
      </c>
      <c r="W100" s="107" t="str">
        <f aca="false">IF($B100="","",R100-V100)</f>
        <v/>
      </c>
      <c r="X100" s="86" t="str">
        <f aca="false">IF($B100="","",الموظفون!$Q100*IF(E100="سعودي",cfg_G_SR,cfg_G_NR)*F100/cfg_DAYS_M)</f>
        <v/>
      </c>
      <c r="Y100" s="86" t="str">
        <f aca="false">IF($B100="","",الموظفون!$O100*(cfg_EOS_R1*(MIN(AC100,cfg_EOS_TH)-MIN(AD100,cfg_EOS_TH))+cfg_EOS_R2*(MAX(AC100-cfg_EOS_TH,0)-MAX(AD100-cfg_EOS_TH,0))))</f>
        <v/>
      </c>
      <c r="Z100" s="86" t="str">
        <f aca="false">IF($B100="","",IF(الموظفون!$R100&lt;&gt;"",الموظفون!$R100,IF(AC100&gt;=cfg_LV_TH,cfg_LV_D2,cfg_LV_D1))/cfg_DAYS_Y*AE100*الموظفون!$P100/cfg_DAYS_M)</f>
        <v/>
      </c>
      <c r="AA100" s="86" t="str">
        <f aca="false">IF($B100="","",IF(AND(الموظفون!$S100="نعم",N(الموظفون!$U100)&gt;0),الموظفون!$T100/الموظفون!$U100*12/cfg_DAYS_Y*AE100,0))</f>
        <v/>
      </c>
      <c r="AB100" s="108" t="str">
        <f aca="false">IF($B100="","",R100+SUM(X100:AA100))</f>
        <v/>
      </c>
      <c r="AC100" s="109" t="str">
        <f aca="false">IF($B100="","",MAX(0,IF(OR(الموظفون!$X100="",الموظفون!$X100&gt;$G$3),$G$3,الموظفون!$X100)-الموظفون!$H100+1)/cfg_DAYS_Y)</f>
        <v/>
      </c>
      <c r="AD100" s="109" t="str">
        <f aca="false">IF($B100="","",MAX(0,IF(OR(الموظفون!$X100="",الموظفون!$X100&gt;($E$3-1)),($E$3-1),الموظفون!$X100)-الموظفون!$H100+1)/cfg_DAYS_Y)</f>
        <v/>
      </c>
      <c r="AE100" s="51" t="str">
        <f aca="false">IF($B100="","",MAX(0,IF(OR(الموظفون!$X100="",الموظفون!$X100&gt;$G$3),$G$3,الموظفون!$X100)-MAX($E$3,الموظفون!$H100)+1))</f>
        <v/>
      </c>
    </row>
    <row r="101" customFormat="false" ht="15" hidden="false" customHeight="false" outlineLevel="0" collapsed="false">
      <c r="A101" s="89" t="str">
        <f aca="false">IF($B101="","",الموظفون!$A101)</f>
        <v/>
      </c>
      <c r="B101" s="91" t="str">
        <f aca="false">IF(الموظفون!$B101="","",الموظفون!$B101)</f>
        <v/>
      </c>
      <c r="C101" s="91" t="str">
        <f aca="false">IF($B101="","",الموظفون!$C101)</f>
        <v/>
      </c>
      <c r="D101" s="91" t="str">
        <f aca="false">IF($B101="","",الموظفون!$F101)</f>
        <v/>
      </c>
      <c r="E101" s="91" t="str">
        <f aca="false">IF($B101="","",الموظفون!$E101)</f>
        <v/>
      </c>
      <c r="F101" s="110" t="str">
        <f aca="false">IF($B101="","",IF(AE101&gt;=DAY($G$3),cfg_DAYS_M,MIN(AE101,cfg_DAYS_M)))</f>
        <v/>
      </c>
      <c r="G101" s="110" t="str">
        <f aca="false">IF($B101="","",SUMIFS('الحركات الشهرية'!$D$6:$D$1005,'الحركات الشهرية'!$B$6:$B$1005,$B101,'الحركات الشهرية'!$A$6:$A$1005,$C$3))</f>
        <v/>
      </c>
      <c r="H101" s="110" t="str">
        <f aca="false">IF($B101="","",SUMIFS('الحركات الشهرية'!$E$6:$E$1005,'الحركات الشهرية'!$B$6:$B$1005,$B101,'الحركات الشهرية'!$A$6:$A$1005,$C$3))</f>
        <v/>
      </c>
      <c r="I101" s="110" t="str">
        <f aca="false">IF($B101="","",MAX(0,F101-G101-H101))</f>
        <v/>
      </c>
      <c r="J101" s="90" t="str">
        <f aca="false">IF($B101="","",الموظفون!$J101*$I101/cfg_DAYS_M)</f>
        <v/>
      </c>
      <c r="K101" s="90" t="str">
        <f aca="false">IF($B101="","",الموظفون!$K101*$I101/cfg_DAYS_M)</f>
        <v/>
      </c>
      <c r="L101" s="90" t="str">
        <f aca="false">IF($B101="","",الموظفون!$L101*$I101/cfg_DAYS_M)</f>
        <v/>
      </c>
      <c r="M101" s="90" t="str">
        <f aca="false">IF($B101="","",الموظفون!$M101*$I101/cfg_DAYS_M)</f>
        <v/>
      </c>
      <c r="N101" s="110" t="str">
        <f aca="false">IF($B101="","",SUMIFS('الحركات الشهرية'!$F$6:$F$1005,'الحركات الشهرية'!$B$6:$B$1005,$B101,'الحركات الشهرية'!$A$6:$A$1005,$C$3))</f>
        <v/>
      </c>
      <c r="O101" s="90" t="str">
        <f aca="false">IF($B101="","",N101*(الموظفون!$N101+الموظفون!$J101*cfg_OT_P)/cfg_DAYS_M/cfg_HRS)</f>
        <v/>
      </c>
      <c r="P101" s="90" t="str">
        <f aca="false">IF($B101="","",SUMIFS('الحركات الشهرية'!$G$6:$G$1005,'الحركات الشهرية'!$B$6:$B$1005,$B101,'الحركات الشهرية'!$A$6:$A$1005,$C$3))</f>
        <v/>
      </c>
      <c r="Q101" s="90" t="str">
        <f aca="false">IF($B101="","",SUMIFS('الحركات الشهرية'!$H$6:$H$1005,'الحركات الشهرية'!$B$6:$B$1005,$B101,'الحركات الشهرية'!$A$6:$A$1005,$C$3))</f>
        <v/>
      </c>
      <c r="R101" s="111" t="str">
        <f aca="false">IF($B101="","",SUM(J101:M101)+SUM(O101:Q101))</f>
        <v/>
      </c>
      <c r="S101" s="90" t="str">
        <f aca="false">IF($B101="","",الموظفون!$Q101*IF(E101="سعودي",cfg_G_SE,cfg_G_NE)*F101/cfg_DAYS_M)</f>
        <v/>
      </c>
      <c r="T101" s="90" t="str">
        <f aca="false">IF($B101="","",SUMIFS('الحركات الشهرية'!$I$6:$I$1005,'الحركات الشهرية'!$B$6:$B$1005,$B101,'الحركات الشهرية'!$A$6:$A$1005,$C$3))</f>
        <v/>
      </c>
      <c r="U101" s="90" t="str">
        <f aca="false">IF($B101="","",SUMIFS('الحركات الشهرية'!$J$6:$J$1005,'الحركات الشهرية'!$B$6:$B$1005,$B101,'الحركات الشهرية'!$A$6:$A$1005,$C$3))</f>
        <v/>
      </c>
      <c r="V101" s="90" t="str">
        <f aca="false">IF($B101="","",SUM(S101:U101))</f>
        <v/>
      </c>
      <c r="W101" s="112" t="str">
        <f aca="false">IF($B101="","",R101-V101)</f>
        <v/>
      </c>
      <c r="X101" s="90" t="str">
        <f aca="false">IF($B101="","",الموظفون!$Q101*IF(E101="سعودي",cfg_G_SR,cfg_G_NR)*F101/cfg_DAYS_M)</f>
        <v/>
      </c>
      <c r="Y101" s="90" t="str">
        <f aca="false">IF($B101="","",الموظفون!$O101*(cfg_EOS_R1*(MIN(AC101,cfg_EOS_TH)-MIN(AD101,cfg_EOS_TH))+cfg_EOS_R2*(MAX(AC101-cfg_EOS_TH,0)-MAX(AD101-cfg_EOS_TH,0))))</f>
        <v/>
      </c>
      <c r="Z101" s="90" t="str">
        <f aca="false">IF($B101="","",IF(الموظفون!$R101&lt;&gt;"",الموظفون!$R101,IF(AC101&gt;=cfg_LV_TH,cfg_LV_D2,cfg_LV_D1))/cfg_DAYS_Y*AE101*الموظفون!$P101/cfg_DAYS_M)</f>
        <v/>
      </c>
      <c r="AA101" s="90" t="str">
        <f aca="false">IF($B101="","",IF(AND(الموظفون!$S101="نعم",N(الموظفون!$U101)&gt;0),الموظفون!$T101/الموظفون!$U101*12/cfg_DAYS_Y*AE101,0))</f>
        <v/>
      </c>
      <c r="AB101" s="113" t="str">
        <f aca="false">IF($B101="","",R101+SUM(X101:AA101))</f>
        <v/>
      </c>
      <c r="AC101" s="114" t="str">
        <f aca="false">IF($B101="","",MAX(0,IF(OR(الموظفون!$X101="",الموظفون!$X101&gt;$G$3),$G$3,الموظفون!$X101)-الموظفون!$H101+1)/cfg_DAYS_Y)</f>
        <v/>
      </c>
      <c r="AD101" s="114" t="str">
        <f aca="false">IF($B101="","",MAX(0,IF(OR(الموظفون!$X101="",الموظفون!$X101&gt;($E$3-1)),($E$3-1),الموظفون!$X101)-الموظفون!$H101+1)/cfg_DAYS_Y)</f>
        <v/>
      </c>
      <c r="AE101" s="115" t="str">
        <f aca="false">IF($B101="","",MAX(0,IF(OR(الموظفون!$X101="",الموظفون!$X101&gt;$G$3),$G$3,الموظفون!$X101)-MAX($E$3,الموظفون!$H101)+1))</f>
        <v/>
      </c>
    </row>
    <row r="102" customFormat="false" ht="15" hidden="false" customHeight="false" outlineLevel="0" collapsed="false">
      <c r="A102" s="83" t="str">
        <f aca="false">IF($B102="","",الموظفون!$A102)</f>
        <v/>
      </c>
      <c r="B102" s="74" t="str">
        <f aca="false">IF(الموظفون!$B102="","",الموظفون!$B102)</f>
        <v/>
      </c>
      <c r="C102" s="74" t="str">
        <f aca="false">IF($B102="","",الموظفون!$C102)</f>
        <v/>
      </c>
      <c r="D102" s="74" t="str">
        <f aca="false">IF($B102="","",الموظفون!$F102)</f>
        <v/>
      </c>
      <c r="E102" s="74" t="str">
        <f aca="false">IF($B102="","",الموظفون!$E102)</f>
        <v/>
      </c>
      <c r="F102" s="105" t="str">
        <f aca="false">IF($B102="","",IF(AE102&gt;=DAY($G$3),cfg_DAYS_M,MIN(AE102,cfg_DAYS_M)))</f>
        <v/>
      </c>
      <c r="G102" s="105" t="str">
        <f aca="false">IF($B102="","",SUMIFS('الحركات الشهرية'!$D$6:$D$1005,'الحركات الشهرية'!$B$6:$B$1005,$B102,'الحركات الشهرية'!$A$6:$A$1005,$C$3))</f>
        <v/>
      </c>
      <c r="H102" s="105" t="str">
        <f aca="false">IF($B102="","",SUMIFS('الحركات الشهرية'!$E$6:$E$1005,'الحركات الشهرية'!$B$6:$B$1005,$B102,'الحركات الشهرية'!$A$6:$A$1005,$C$3))</f>
        <v/>
      </c>
      <c r="I102" s="105" t="str">
        <f aca="false">IF($B102="","",MAX(0,F102-G102-H102))</f>
        <v/>
      </c>
      <c r="J102" s="86" t="str">
        <f aca="false">IF($B102="","",الموظفون!$J102*$I102/cfg_DAYS_M)</f>
        <v/>
      </c>
      <c r="K102" s="86" t="str">
        <f aca="false">IF($B102="","",الموظفون!$K102*$I102/cfg_DAYS_M)</f>
        <v/>
      </c>
      <c r="L102" s="86" t="str">
        <f aca="false">IF($B102="","",الموظفون!$L102*$I102/cfg_DAYS_M)</f>
        <v/>
      </c>
      <c r="M102" s="86" t="str">
        <f aca="false">IF($B102="","",الموظفون!$M102*$I102/cfg_DAYS_M)</f>
        <v/>
      </c>
      <c r="N102" s="105" t="str">
        <f aca="false">IF($B102="","",SUMIFS('الحركات الشهرية'!$F$6:$F$1005,'الحركات الشهرية'!$B$6:$B$1005,$B102,'الحركات الشهرية'!$A$6:$A$1005,$C$3))</f>
        <v/>
      </c>
      <c r="O102" s="86" t="str">
        <f aca="false">IF($B102="","",N102*(الموظفون!$N102+الموظفون!$J102*cfg_OT_P)/cfg_DAYS_M/cfg_HRS)</f>
        <v/>
      </c>
      <c r="P102" s="86" t="str">
        <f aca="false">IF($B102="","",SUMIFS('الحركات الشهرية'!$G$6:$G$1005,'الحركات الشهرية'!$B$6:$B$1005,$B102,'الحركات الشهرية'!$A$6:$A$1005,$C$3))</f>
        <v/>
      </c>
      <c r="Q102" s="86" t="str">
        <f aca="false">IF($B102="","",SUMIFS('الحركات الشهرية'!$H$6:$H$1005,'الحركات الشهرية'!$B$6:$B$1005,$B102,'الحركات الشهرية'!$A$6:$A$1005,$C$3))</f>
        <v/>
      </c>
      <c r="R102" s="106" t="str">
        <f aca="false">IF($B102="","",SUM(J102:M102)+SUM(O102:Q102))</f>
        <v/>
      </c>
      <c r="S102" s="86" t="str">
        <f aca="false">IF($B102="","",الموظفون!$Q102*IF(E102="سعودي",cfg_G_SE,cfg_G_NE)*F102/cfg_DAYS_M)</f>
        <v/>
      </c>
      <c r="T102" s="86" t="str">
        <f aca="false">IF($B102="","",SUMIFS('الحركات الشهرية'!$I$6:$I$1005,'الحركات الشهرية'!$B$6:$B$1005,$B102,'الحركات الشهرية'!$A$6:$A$1005,$C$3))</f>
        <v/>
      </c>
      <c r="U102" s="86" t="str">
        <f aca="false">IF($B102="","",SUMIFS('الحركات الشهرية'!$J$6:$J$1005,'الحركات الشهرية'!$B$6:$B$1005,$B102,'الحركات الشهرية'!$A$6:$A$1005,$C$3))</f>
        <v/>
      </c>
      <c r="V102" s="86" t="str">
        <f aca="false">IF($B102="","",SUM(S102:U102))</f>
        <v/>
      </c>
      <c r="W102" s="107" t="str">
        <f aca="false">IF($B102="","",R102-V102)</f>
        <v/>
      </c>
      <c r="X102" s="86" t="str">
        <f aca="false">IF($B102="","",الموظفون!$Q102*IF(E102="سعودي",cfg_G_SR,cfg_G_NR)*F102/cfg_DAYS_M)</f>
        <v/>
      </c>
      <c r="Y102" s="86" t="str">
        <f aca="false">IF($B102="","",الموظفون!$O102*(cfg_EOS_R1*(MIN(AC102,cfg_EOS_TH)-MIN(AD102,cfg_EOS_TH))+cfg_EOS_R2*(MAX(AC102-cfg_EOS_TH,0)-MAX(AD102-cfg_EOS_TH,0))))</f>
        <v/>
      </c>
      <c r="Z102" s="86" t="str">
        <f aca="false">IF($B102="","",IF(الموظفون!$R102&lt;&gt;"",الموظفون!$R102,IF(AC102&gt;=cfg_LV_TH,cfg_LV_D2,cfg_LV_D1))/cfg_DAYS_Y*AE102*الموظفون!$P102/cfg_DAYS_M)</f>
        <v/>
      </c>
      <c r="AA102" s="86" t="str">
        <f aca="false">IF($B102="","",IF(AND(الموظفون!$S102="نعم",N(الموظفون!$U102)&gt;0),الموظفون!$T102/الموظفون!$U102*12/cfg_DAYS_Y*AE102,0))</f>
        <v/>
      </c>
      <c r="AB102" s="108" t="str">
        <f aca="false">IF($B102="","",R102+SUM(X102:AA102))</f>
        <v/>
      </c>
      <c r="AC102" s="109" t="str">
        <f aca="false">IF($B102="","",MAX(0,IF(OR(الموظفون!$X102="",الموظفون!$X102&gt;$G$3),$G$3,الموظفون!$X102)-الموظفون!$H102+1)/cfg_DAYS_Y)</f>
        <v/>
      </c>
      <c r="AD102" s="109" t="str">
        <f aca="false">IF($B102="","",MAX(0,IF(OR(الموظفون!$X102="",الموظفون!$X102&gt;($E$3-1)),($E$3-1),الموظفون!$X102)-الموظفون!$H102+1)/cfg_DAYS_Y)</f>
        <v/>
      </c>
      <c r="AE102" s="51" t="str">
        <f aca="false">IF($B102="","",MAX(0,IF(OR(الموظفون!$X102="",الموظفون!$X102&gt;$G$3),$G$3,الموظفون!$X102)-MAX($E$3,الموظفون!$H102)+1))</f>
        <v/>
      </c>
    </row>
    <row r="103" customFormat="false" ht="15" hidden="false" customHeight="false" outlineLevel="0" collapsed="false">
      <c r="A103" s="89" t="str">
        <f aca="false">IF($B103="","",الموظفون!$A103)</f>
        <v/>
      </c>
      <c r="B103" s="91" t="str">
        <f aca="false">IF(الموظفون!$B103="","",الموظفون!$B103)</f>
        <v/>
      </c>
      <c r="C103" s="91" t="str">
        <f aca="false">IF($B103="","",الموظفون!$C103)</f>
        <v/>
      </c>
      <c r="D103" s="91" t="str">
        <f aca="false">IF($B103="","",الموظفون!$F103)</f>
        <v/>
      </c>
      <c r="E103" s="91" t="str">
        <f aca="false">IF($B103="","",الموظفون!$E103)</f>
        <v/>
      </c>
      <c r="F103" s="110" t="str">
        <f aca="false">IF($B103="","",IF(AE103&gt;=DAY($G$3),cfg_DAYS_M,MIN(AE103,cfg_DAYS_M)))</f>
        <v/>
      </c>
      <c r="G103" s="110" t="str">
        <f aca="false">IF($B103="","",SUMIFS('الحركات الشهرية'!$D$6:$D$1005,'الحركات الشهرية'!$B$6:$B$1005,$B103,'الحركات الشهرية'!$A$6:$A$1005,$C$3))</f>
        <v/>
      </c>
      <c r="H103" s="110" t="str">
        <f aca="false">IF($B103="","",SUMIFS('الحركات الشهرية'!$E$6:$E$1005,'الحركات الشهرية'!$B$6:$B$1005,$B103,'الحركات الشهرية'!$A$6:$A$1005,$C$3))</f>
        <v/>
      </c>
      <c r="I103" s="110" t="str">
        <f aca="false">IF($B103="","",MAX(0,F103-G103-H103))</f>
        <v/>
      </c>
      <c r="J103" s="90" t="str">
        <f aca="false">IF($B103="","",الموظفون!$J103*$I103/cfg_DAYS_M)</f>
        <v/>
      </c>
      <c r="K103" s="90" t="str">
        <f aca="false">IF($B103="","",الموظفون!$K103*$I103/cfg_DAYS_M)</f>
        <v/>
      </c>
      <c r="L103" s="90" t="str">
        <f aca="false">IF($B103="","",الموظفون!$L103*$I103/cfg_DAYS_M)</f>
        <v/>
      </c>
      <c r="M103" s="90" t="str">
        <f aca="false">IF($B103="","",الموظفون!$M103*$I103/cfg_DAYS_M)</f>
        <v/>
      </c>
      <c r="N103" s="110" t="str">
        <f aca="false">IF($B103="","",SUMIFS('الحركات الشهرية'!$F$6:$F$1005,'الحركات الشهرية'!$B$6:$B$1005,$B103,'الحركات الشهرية'!$A$6:$A$1005,$C$3))</f>
        <v/>
      </c>
      <c r="O103" s="90" t="str">
        <f aca="false">IF($B103="","",N103*(الموظفون!$N103+الموظفون!$J103*cfg_OT_P)/cfg_DAYS_M/cfg_HRS)</f>
        <v/>
      </c>
      <c r="P103" s="90" t="str">
        <f aca="false">IF($B103="","",SUMIFS('الحركات الشهرية'!$G$6:$G$1005,'الحركات الشهرية'!$B$6:$B$1005,$B103,'الحركات الشهرية'!$A$6:$A$1005,$C$3))</f>
        <v/>
      </c>
      <c r="Q103" s="90" t="str">
        <f aca="false">IF($B103="","",SUMIFS('الحركات الشهرية'!$H$6:$H$1005,'الحركات الشهرية'!$B$6:$B$1005,$B103,'الحركات الشهرية'!$A$6:$A$1005,$C$3))</f>
        <v/>
      </c>
      <c r="R103" s="111" t="str">
        <f aca="false">IF($B103="","",SUM(J103:M103)+SUM(O103:Q103))</f>
        <v/>
      </c>
      <c r="S103" s="90" t="str">
        <f aca="false">IF($B103="","",الموظفون!$Q103*IF(E103="سعودي",cfg_G_SE,cfg_G_NE)*F103/cfg_DAYS_M)</f>
        <v/>
      </c>
      <c r="T103" s="90" t="str">
        <f aca="false">IF($B103="","",SUMIFS('الحركات الشهرية'!$I$6:$I$1005,'الحركات الشهرية'!$B$6:$B$1005,$B103,'الحركات الشهرية'!$A$6:$A$1005,$C$3))</f>
        <v/>
      </c>
      <c r="U103" s="90" t="str">
        <f aca="false">IF($B103="","",SUMIFS('الحركات الشهرية'!$J$6:$J$1005,'الحركات الشهرية'!$B$6:$B$1005,$B103,'الحركات الشهرية'!$A$6:$A$1005,$C$3))</f>
        <v/>
      </c>
      <c r="V103" s="90" t="str">
        <f aca="false">IF($B103="","",SUM(S103:U103))</f>
        <v/>
      </c>
      <c r="W103" s="112" t="str">
        <f aca="false">IF($B103="","",R103-V103)</f>
        <v/>
      </c>
      <c r="X103" s="90" t="str">
        <f aca="false">IF($B103="","",الموظفون!$Q103*IF(E103="سعودي",cfg_G_SR,cfg_G_NR)*F103/cfg_DAYS_M)</f>
        <v/>
      </c>
      <c r="Y103" s="90" t="str">
        <f aca="false">IF($B103="","",الموظفون!$O103*(cfg_EOS_R1*(MIN(AC103,cfg_EOS_TH)-MIN(AD103,cfg_EOS_TH))+cfg_EOS_R2*(MAX(AC103-cfg_EOS_TH,0)-MAX(AD103-cfg_EOS_TH,0))))</f>
        <v/>
      </c>
      <c r="Z103" s="90" t="str">
        <f aca="false">IF($B103="","",IF(الموظفون!$R103&lt;&gt;"",الموظفون!$R103,IF(AC103&gt;=cfg_LV_TH,cfg_LV_D2,cfg_LV_D1))/cfg_DAYS_Y*AE103*الموظفون!$P103/cfg_DAYS_M)</f>
        <v/>
      </c>
      <c r="AA103" s="90" t="str">
        <f aca="false">IF($B103="","",IF(AND(الموظفون!$S103="نعم",N(الموظفون!$U103)&gt;0),الموظفون!$T103/الموظفون!$U103*12/cfg_DAYS_Y*AE103,0))</f>
        <v/>
      </c>
      <c r="AB103" s="113" t="str">
        <f aca="false">IF($B103="","",R103+SUM(X103:AA103))</f>
        <v/>
      </c>
      <c r="AC103" s="114" t="str">
        <f aca="false">IF($B103="","",MAX(0,IF(OR(الموظفون!$X103="",الموظفون!$X103&gt;$G$3),$G$3,الموظفون!$X103)-الموظفون!$H103+1)/cfg_DAYS_Y)</f>
        <v/>
      </c>
      <c r="AD103" s="114" t="str">
        <f aca="false">IF($B103="","",MAX(0,IF(OR(الموظفون!$X103="",الموظفون!$X103&gt;($E$3-1)),($E$3-1),الموظفون!$X103)-الموظفون!$H103+1)/cfg_DAYS_Y)</f>
        <v/>
      </c>
      <c r="AE103" s="115" t="str">
        <f aca="false">IF($B103="","",MAX(0,IF(OR(الموظفون!$X103="",الموظفون!$X103&gt;$G$3),$G$3,الموظفون!$X103)-MAX($E$3,الموظفون!$H103)+1))</f>
        <v/>
      </c>
    </row>
    <row r="104" customFormat="false" ht="15" hidden="false" customHeight="false" outlineLevel="0" collapsed="false">
      <c r="A104" s="83" t="str">
        <f aca="false">IF($B104="","",الموظفون!$A104)</f>
        <v/>
      </c>
      <c r="B104" s="74" t="str">
        <f aca="false">IF(الموظفون!$B104="","",الموظفون!$B104)</f>
        <v/>
      </c>
      <c r="C104" s="74" t="str">
        <f aca="false">IF($B104="","",الموظفون!$C104)</f>
        <v/>
      </c>
      <c r="D104" s="74" t="str">
        <f aca="false">IF($B104="","",الموظفون!$F104)</f>
        <v/>
      </c>
      <c r="E104" s="74" t="str">
        <f aca="false">IF($B104="","",الموظفون!$E104)</f>
        <v/>
      </c>
      <c r="F104" s="105" t="str">
        <f aca="false">IF($B104="","",IF(AE104&gt;=DAY($G$3),cfg_DAYS_M,MIN(AE104,cfg_DAYS_M)))</f>
        <v/>
      </c>
      <c r="G104" s="105" t="str">
        <f aca="false">IF($B104="","",SUMIFS('الحركات الشهرية'!$D$6:$D$1005,'الحركات الشهرية'!$B$6:$B$1005,$B104,'الحركات الشهرية'!$A$6:$A$1005,$C$3))</f>
        <v/>
      </c>
      <c r="H104" s="105" t="str">
        <f aca="false">IF($B104="","",SUMIFS('الحركات الشهرية'!$E$6:$E$1005,'الحركات الشهرية'!$B$6:$B$1005,$B104,'الحركات الشهرية'!$A$6:$A$1005,$C$3))</f>
        <v/>
      </c>
      <c r="I104" s="105" t="str">
        <f aca="false">IF($B104="","",MAX(0,F104-G104-H104))</f>
        <v/>
      </c>
      <c r="J104" s="86" t="str">
        <f aca="false">IF($B104="","",الموظفون!$J104*$I104/cfg_DAYS_M)</f>
        <v/>
      </c>
      <c r="K104" s="86" t="str">
        <f aca="false">IF($B104="","",الموظفون!$K104*$I104/cfg_DAYS_M)</f>
        <v/>
      </c>
      <c r="L104" s="86" t="str">
        <f aca="false">IF($B104="","",الموظفون!$L104*$I104/cfg_DAYS_M)</f>
        <v/>
      </c>
      <c r="M104" s="86" t="str">
        <f aca="false">IF($B104="","",الموظفون!$M104*$I104/cfg_DAYS_M)</f>
        <v/>
      </c>
      <c r="N104" s="105" t="str">
        <f aca="false">IF($B104="","",SUMIFS('الحركات الشهرية'!$F$6:$F$1005,'الحركات الشهرية'!$B$6:$B$1005,$B104,'الحركات الشهرية'!$A$6:$A$1005,$C$3))</f>
        <v/>
      </c>
      <c r="O104" s="86" t="str">
        <f aca="false">IF($B104="","",N104*(الموظفون!$N104+الموظفون!$J104*cfg_OT_P)/cfg_DAYS_M/cfg_HRS)</f>
        <v/>
      </c>
      <c r="P104" s="86" t="str">
        <f aca="false">IF($B104="","",SUMIFS('الحركات الشهرية'!$G$6:$G$1005,'الحركات الشهرية'!$B$6:$B$1005,$B104,'الحركات الشهرية'!$A$6:$A$1005,$C$3))</f>
        <v/>
      </c>
      <c r="Q104" s="86" t="str">
        <f aca="false">IF($B104="","",SUMIFS('الحركات الشهرية'!$H$6:$H$1005,'الحركات الشهرية'!$B$6:$B$1005,$B104,'الحركات الشهرية'!$A$6:$A$1005,$C$3))</f>
        <v/>
      </c>
      <c r="R104" s="106" t="str">
        <f aca="false">IF($B104="","",SUM(J104:M104)+SUM(O104:Q104))</f>
        <v/>
      </c>
      <c r="S104" s="86" t="str">
        <f aca="false">IF($B104="","",الموظفون!$Q104*IF(E104="سعودي",cfg_G_SE,cfg_G_NE)*F104/cfg_DAYS_M)</f>
        <v/>
      </c>
      <c r="T104" s="86" t="str">
        <f aca="false">IF($B104="","",SUMIFS('الحركات الشهرية'!$I$6:$I$1005,'الحركات الشهرية'!$B$6:$B$1005,$B104,'الحركات الشهرية'!$A$6:$A$1005,$C$3))</f>
        <v/>
      </c>
      <c r="U104" s="86" t="str">
        <f aca="false">IF($B104="","",SUMIFS('الحركات الشهرية'!$J$6:$J$1005,'الحركات الشهرية'!$B$6:$B$1005,$B104,'الحركات الشهرية'!$A$6:$A$1005,$C$3))</f>
        <v/>
      </c>
      <c r="V104" s="86" t="str">
        <f aca="false">IF($B104="","",SUM(S104:U104))</f>
        <v/>
      </c>
      <c r="W104" s="107" t="str">
        <f aca="false">IF($B104="","",R104-V104)</f>
        <v/>
      </c>
      <c r="X104" s="86" t="str">
        <f aca="false">IF($B104="","",الموظفون!$Q104*IF(E104="سعودي",cfg_G_SR,cfg_G_NR)*F104/cfg_DAYS_M)</f>
        <v/>
      </c>
      <c r="Y104" s="86" t="str">
        <f aca="false">IF($B104="","",الموظفون!$O104*(cfg_EOS_R1*(MIN(AC104,cfg_EOS_TH)-MIN(AD104,cfg_EOS_TH))+cfg_EOS_R2*(MAX(AC104-cfg_EOS_TH,0)-MAX(AD104-cfg_EOS_TH,0))))</f>
        <v/>
      </c>
      <c r="Z104" s="86" t="str">
        <f aca="false">IF($B104="","",IF(الموظفون!$R104&lt;&gt;"",الموظفون!$R104,IF(AC104&gt;=cfg_LV_TH,cfg_LV_D2,cfg_LV_D1))/cfg_DAYS_Y*AE104*الموظفون!$P104/cfg_DAYS_M)</f>
        <v/>
      </c>
      <c r="AA104" s="86" t="str">
        <f aca="false">IF($B104="","",IF(AND(الموظفون!$S104="نعم",N(الموظفون!$U104)&gt;0),الموظفون!$T104/الموظفون!$U104*12/cfg_DAYS_Y*AE104,0))</f>
        <v/>
      </c>
      <c r="AB104" s="108" t="str">
        <f aca="false">IF($B104="","",R104+SUM(X104:AA104))</f>
        <v/>
      </c>
      <c r="AC104" s="109" t="str">
        <f aca="false">IF($B104="","",MAX(0,IF(OR(الموظفون!$X104="",الموظفون!$X104&gt;$G$3),$G$3,الموظفون!$X104)-الموظفون!$H104+1)/cfg_DAYS_Y)</f>
        <v/>
      </c>
      <c r="AD104" s="109" t="str">
        <f aca="false">IF($B104="","",MAX(0,IF(OR(الموظفون!$X104="",الموظفون!$X104&gt;($E$3-1)),($E$3-1),الموظفون!$X104)-الموظفون!$H104+1)/cfg_DAYS_Y)</f>
        <v/>
      </c>
      <c r="AE104" s="51" t="str">
        <f aca="false">IF($B104="","",MAX(0,IF(OR(الموظفون!$X104="",الموظفون!$X104&gt;$G$3),$G$3,الموظفون!$X104)-MAX($E$3,الموظفون!$H104)+1))</f>
        <v/>
      </c>
    </row>
    <row r="105" customFormat="false" ht="15" hidden="false" customHeight="false" outlineLevel="0" collapsed="false">
      <c r="A105" s="89" t="str">
        <f aca="false">IF($B105="","",الموظفون!$A105)</f>
        <v/>
      </c>
      <c r="B105" s="91" t="str">
        <f aca="false">IF(الموظفون!$B105="","",الموظفون!$B105)</f>
        <v/>
      </c>
      <c r="C105" s="91" t="str">
        <f aca="false">IF($B105="","",الموظفون!$C105)</f>
        <v/>
      </c>
      <c r="D105" s="91" t="str">
        <f aca="false">IF($B105="","",الموظفون!$F105)</f>
        <v/>
      </c>
      <c r="E105" s="91" t="str">
        <f aca="false">IF($B105="","",الموظفون!$E105)</f>
        <v/>
      </c>
      <c r="F105" s="110" t="str">
        <f aca="false">IF($B105="","",IF(AE105&gt;=DAY($G$3),cfg_DAYS_M,MIN(AE105,cfg_DAYS_M)))</f>
        <v/>
      </c>
      <c r="G105" s="110" t="str">
        <f aca="false">IF($B105="","",SUMIFS('الحركات الشهرية'!$D$6:$D$1005,'الحركات الشهرية'!$B$6:$B$1005,$B105,'الحركات الشهرية'!$A$6:$A$1005,$C$3))</f>
        <v/>
      </c>
      <c r="H105" s="110" t="str">
        <f aca="false">IF($B105="","",SUMIFS('الحركات الشهرية'!$E$6:$E$1005,'الحركات الشهرية'!$B$6:$B$1005,$B105,'الحركات الشهرية'!$A$6:$A$1005,$C$3))</f>
        <v/>
      </c>
      <c r="I105" s="110" t="str">
        <f aca="false">IF($B105="","",MAX(0,F105-G105-H105))</f>
        <v/>
      </c>
      <c r="J105" s="90" t="str">
        <f aca="false">IF($B105="","",الموظفون!$J105*$I105/cfg_DAYS_M)</f>
        <v/>
      </c>
      <c r="K105" s="90" t="str">
        <f aca="false">IF($B105="","",الموظفون!$K105*$I105/cfg_DAYS_M)</f>
        <v/>
      </c>
      <c r="L105" s="90" t="str">
        <f aca="false">IF($B105="","",الموظفون!$L105*$I105/cfg_DAYS_M)</f>
        <v/>
      </c>
      <c r="M105" s="90" t="str">
        <f aca="false">IF($B105="","",الموظفون!$M105*$I105/cfg_DAYS_M)</f>
        <v/>
      </c>
      <c r="N105" s="110" t="str">
        <f aca="false">IF($B105="","",SUMIFS('الحركات الشهرية'!$F$6:$F$1005,'الحركات الشهرية'!$B$6:$B$1005,$B105,'الحركات الشهرية'!$A$6:$A$1005,$C$3))</f>
        <v/>
      </c>
      <c r="O105" s="90" t="str">
        <f aca="false">IF($B105="","",N105*(الموظفون!$N105+الموظفون!$J105*cfg_OT_P)/cfg_DAYS_M/cfg_HRS)</f>
        <v/>
      </c>
      <c r="P105" s="90" t="str">
        <f aca="false">IF($B105="","",SUMIFS('الحركات الشهرية'!$G$6:$G$1005,'الحركات الشهرية'!$B$6:$B$1005,$B105,'الحركات الشهرية'!$A$6:$A$1005,$C$3))</f>
        <v/>
      </c>
      <c r="Q105" s="90" t="str">
        <f aca="false">IF($B105="","",SUMIFS('الحركات الشهرية'!$H$6:$H$1005,'الحركات الشهرية'!$B$6:$B$1005,$B105,'الحركات الشهرية'!$A$6:$A$1005,$C$3))</f>
        <v/>
      </c>
      <c r="R105" s="111" t="str">
        <f aca="false">IF($B105="","",SUM(J105:M105)+SUM(O105:Q105))</f>
        <v/>
      </c>
      <c r="S105" s="90" t="str">
        <f aca="false">IF($B105="","",الموظفون!$Q105*IF(E105="سعودي",cfg_G_SE,cfg_G_NE)*F105/cfg_DAYS_M)</f>
        <v/>
      </c>
      <c r="T105" s="90" t="str">
        <f aca="false">IF($B105="","",SUMIFS('الحركات الشهرية'!$I$6:$I$1005,'الحركات الشهرية'!$B$6:$B$1005,$B105,'الحركات الشهرية'!$A$6:$A$1005,$C$3))</f>
        <v/>
      </c>
      <c r="U105" s="90" t="str">
        <f aca="false">IF($B105="","",SUMIFS('الحركات الشهرية'!$J$6:$J$1005,'الحركات الشهرية'!$B$6:$B$1005,$B105,'الحركات الشهرية'!$A$6:$A$1005,$C$3))</f>
        <v/>
      </c>
      <c r="V105" s="90" t="str">
        <f aca="false">IF($B105="","",SUM(S105:U105))</f>
        <v/>
      </c>
      <c r="W105" s="112" t="str">
        <f aca="false">IF($B105="","",R105-V105)</f>
        <v/>
      </c>
      <c r="X105" s="90" t="str">
        <f aca="false">IF($B105="","",الموظفون!$Q105*IF(E105="سعودي",cfg_G_SR,cfg_G_NR)*F105/cfg_DAYS_M)</f>
        <v/>
      </c>
      <c r="Y105" s="90" t="str">
        <f aca="false">IF($B105="","",الموظفون!$O105*(cfg_EOS_R1*(MIN(AC105,cfg_EOS_TH)-MIN(AD105,cfg_EOS_TH))+cfg_EOS_R2*(MAX(AC105-cfg_EOS_TH,0)-MAX(AD105-cfg_EOS_TH,0))))</f>
        <v/>
      </c>
      <c r="Z105" s="90" t="str">
        <f aca="false">IF($B105="","",IF(الموظفون!$R105&lt;&gt;"",الموظفون!$R105,IF(AC105&gt;=cfg_LV_TH,cfg_LV_D2,cfg_LV_D1))/cfg_DAYS_Y*AE105*الموظفون!$P105/cfg_DAYS_M)</f>
        <v/>
      </c>
      <c r="AA105" s="90" t="str">
        <f aca="false">IF($B105="","",IF(AND(الموظفون!$S105="نعم",N(الموظفون!$U105)&gt;0),الموظفون!$T105/الموظفون!$U105*12/cfg_DAYS_Y*AE105,0))</f>
        <v/>
      </c>
      <c r="AB105" s="113" t="str">
        <f aca="false">IF($B105="","",R105+SUM(X105:AA105))</f>
        <v/>
      </c>
      <c r="AC105" s="114" t="str">
        <f aca="false">IF($B105="","",MAX(0,IF(OR(الموظفون!$X105="",الموظفون!$X105&gt;$G$3),$G$3,الموظفون!$X105)-الموظفون!$H105+1)/cfg_DAYS_Y)</f>
        <v/>
      </c>
      <c r="AD105" s="114" t="str">
        <f aca="false">IF($B105="","",MAX(0,IF(OR(الموظفون!$X105="",الموظفون!$X105&gt;($E$3-1)),($E$3-1),الموظفون!$X105)-الموظفون!$H105+1)/cfg_DAYS_Y)</f>
        <v/>
      </c>
      <c r="AE105" s="115" t="str">
        <f aca="false">IF($B105="","",MAX(0,IF(OR(الموظفون!$X105="",الموظفون!$X105&gt;$G$3),$G$3,الموظفون!$X105)-MAX($E$3,الموظفون!$H105)+1))</f>
        <v/>
      </c>
    </row>
    <row r="106" customFormat="false" ht="24" hidden="false" customHeight="true" outlineLevel="0" collapsed="false">
      <c r="A106" s="92"/>
      <c r="B106" s="92" t="str">
        <f aca="false">COUNTIF(F6:F105,"&gt;0")&amp;" موظف"</f>
        <v>11 موظف</v>
      </c>
      <c r="C106" s="92" t="s">
        <v>101</v>
      </c>
      <c r="D106" s="92"/>
      <c r="E106" s="92"/>
      <c r="F106" s="92"/>
      <c r="G106" s="116" t="n">
        <f aca="false">SUM(G6:G105)</f>
        <v>0</v>
      </c>
      <c r="H106" s="116" t="n">
        <f aca="false">SUM(H6:H105)</f>
        <v>0</v>
      </c>
      <c r="I106" s="116" t="n">
        <f aca="false">SUM(I6:I105)</f>
        <v>330</v>
      </c>
      <c r="J106" s="92" t="n">
        <f aca="false">SUM(J6:J105)</f>
        <v>136500</v>
      </c>
      <c r="K106" s="92" t="n">
        <f aca="false">SUM(K6:K105)</f>
        <v>34125</v>
      </c>
      <c r="L106" s="92" t="n">
        <f aca="false">SUM(L6:L105)</f>
        <v>13650</v>
      </c>
      <c r="M106" s="92" t="n">
        <f aca="false">SUM(M6:M105)</f>
        <v>10300</v>
      </c>
      <c r="N106" s="116" t="n">
        <f aca="false">SUM(N6:N105)</f>
        <v>0</v>
      </c>
      <c r="O106" s="92" t="n">
        <f aca="false">SUM(O6:O105)</f>
        <v>0</v>
      </c>
      <c r="P106" s="92" t="n">
        <f aca="false">SUM(P6:P105)</f>
        <v>0</v>
      </c>
      <c r="Q106" s="92" t="n">
        <f aca="false">SUM(Q6:Q105)</f>
        <v>8297.2602739726</v>
      </c>
      <c r="R106" s="92" t="n">
        <f aca="false">SUM(R6:R105)</f>
        <v>202872.260273973</v>
      </c>
      <c r="S106" s="92" t="n">
        <f aca="false">SUM(S6:S105)</f>
        <v>12370.3125</v>
      </c>
      <c r="T106" s="92" t="n">
        <f aca="false">SUM(T6:T105)</f>
        <v>0</v>
      </c>
      <c r="U106" s="92" t="n">
        <f aca="false">SUM(U6:U105)</f>
        <v>0</v>
      </c>
      <c r="V106" s="92" t="n">
        <f aca="false">SUM(V6:V105)</f>
        <v>12370.3125</v>
      </c>
      <c r="W106" s="92" t="n">
        <f aca="false">SUM(W6:W105)</f>
        <v>190501.947773973</v>
      </c>
      <c r="X106" s="92" t="n">
        <f aca="false">SUM(X6:X105)</f>
        <v>15782.8125</v>
      </c>
      <c r="Y106" s="92" t="n">
        <f aca="false">SUM(Y6:Y105)</f>
        <v>14016.8835616438</v>
      </c>
      <c r="Z106" s="92" t="n">
        <f aca="false">SUM(Z6:Z105)</f>
        <v>14670.4315068493</v>
      </c>
      <c r="AA106" s="92" t="n">
        <f aca="false">SUM(AA6:AA105)</f>
        <v>849.315068493151</v>
      </c>
      <c r="AB106" s="92" t="n">
        <f aca="false">SUM(AB6:AB105)</f>
        <v>248191.702910959</v>
      </c>
      <c r="AC106" s="92"/>
      <c r="AD106" s="92"/>
      <c r="AE106" s="92"/>
    </row>
    <row r="107" customFormat="false" ht="43.5" hidden="false" customHeight="true" outlineLevel="0" collapsed="false">
      <c r="A107" s="21" t="s">
        <v>347</v>
      </c>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row>
  </sheetData>
  <autoFilter ref="A5:AE105"/>
  <mergeCells count="5">
    <mergeCell ref="A1:AB1"/>
    <mergeCell ref="A2:AB2"/>
    <mergeCell ref="J3:K3"/>
    <mergeCell ref="L3:M3"/>
    <mergeCell ref="A107:AE107"/>
  </mergeCells>
  <conditionalFormatting sqref="H3">
    <cfRule type="expression" priority="2" aboveAverage="0" equalAverage="0" bottom="0" percent="0" rank="0" text="" dxfId="0">
      <formula>ISNUMBER(SEARCH("✔",H3))</formula>
    </cfRule>
    <cfRule type="expression" priority="3" aboveAverage="0" equalAverage="0" bottom="0" percent="0" rank="0" text="" dxfId="1">
      <formula>ISNUMBER(SEARCH("✖",H3))</formula>
    </cfRule>
    <cfRule type="expression" priority="4" aboveAverage="0" equalAverage="0" bottom="0" percent="0" rank="0" text="" dxfId="2">
      <formula>ISNUMBER(SEARCH("⚠",H3))</formula>
    </cfRule>
  </conditionalFormatting>
  <conditionalFormatting sqref="A6:AE105">
    <cfRule type="expression" priority="5" aboveAverage="0" equalAverage="0" bottom="0" percent="0" rank="0" text="" dxfId="20">
      <formula>AND($B6&lt;&gt;"",$F6=0)</formula>
    </cfRule>
  </conditionalFormatting>
  <conditionalFormatting sqref="W6:W105">
    <cfRule type="expression" priority="6" aboveAverage="0" equalAverage="0" bottom="0" percent="0" rank="0" text="" dxfId="1">
      <formula>AND(ISNUMBER(W6),W6&lt;0)</formula>
    </cfRule>
  </conditionalFormatting>
  <hyperlinks>
    <hyperlink ref="J3" location="'مسير يونيو'!A1" display="◀ الشهر السابق"/>
    <hyperlink ref="L3" location="'مسير أغسطس'!A1" display="الشهر التالي ▶"/>
    <hyperlink ref="O3" location="'الرئيسية'!A1" display="🏠 الرئيسية"/>
    <hyperlink ref="P3" location="'لوحة التحكم'!A1" display="📊 لوحة التحكم"/>
    <hyperlink ref="R3" location="'الموظفون'!A1" display="👥 الموظفون"/>
    <hyperlink ref="S3" location="'الحركات الشهرية'!A1" display="✍ الحركات"/>
    <hyperlink ref="U3" location="'الملخص الشهري'!A1" display="📅 الملخص الشهري"/>
    <hyperlink ref="W3" location="'قيود الرواتب'!A1" display="🧾 القيود"/>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5621"/>
    <pageSetUpPr fitToPage="true"/>
  </sheetPr>
  <dimension ref="A1:AE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9"/>
    <col collapsed="false" customWidth="true" hidden="false" outlineLevel="0" max="8" min="7" style="0" width="8"/>
    <col collapsed="false" customWidth="true" hidden="false" outlineLevel="0" max="9" min="9" style="0" width="9"/>
    <col collapsed="false" customWidth="true" hidden="false" outlineLevel="0" max="10" min="10" style="0" width="12"/>
    <col collapsed="false" customWidth="true" hidden="false" outlineLevel="0" max="11" min="11" style="0" width="11"/>
    <col collapsed="false" customWidth="true" hidden="false" outlineLevel="0" max="13" min="12" style="0" width="10"/>
    <col collapsed="false" customWidth="true" hidden="false" outlineLevel="0" max="14" min="14" style="0" width="8"/>
    <col collapsed="false" customWidth="true" hidden="false" outlineLevel="0" max="17" min="15" style="0" width="11"/>
    <col collapsed="false" customWidth="true" hidden="false" outlineLevel="0" max="18" min="18" style="0" width="13"/>
    <col collapsed="false" customWidth="true" hidden="false" outlineLevel="0" max="19" min="19" style="0" width="11"/>
    <col collapsed="false" customWidth="true" hidden="false" outlineLevel="0" max="21" min="20" style="0" width="10"/>
    <col collapsed="false" customWidth="true" hidden="false" outlineLevel="0" max="22" min="22" style="0" width="12"/>
    <col collapsed="false" customWidth="true" hidden="false" outlineLevel="0" max="23" min="23" style="0" width="13"/>
    <col collapsed="false" customWidth="true" hidden="false" outlineLevel="0" max="24" min="24" style="0" width="11"/>
    <col collapsed="false" customWidth="true" hidden="false" outlineLevel="0" max="25" min="25" style="0" width="12"/>
    <col collapsed="false" customWidth="true" hidden="false" outlineLevel="0" max="27" min="26" style="0" width="11"/>
    <col collapsed="false" customWidth="true" hidden="false" outlineLevel="0" max="28" min="28" style="0" width="13"/>
    <col collapsed="false" customWidth="true" hidden="false" outlineLevel="0" max="31" min="29" style="0" width="9"/>
  </cols>
  <sheetData>
    <row r="1" customFormat="false" ht="37.5" hidden="false" customHeight="true" outlineLevel="0" collapsed="false">
      <c r="A1" s="1" t="str">
        <f aca="false">"💵 مسير رواتب شهر أغسطس "&amp;cfg_FY</f>
        <v>💵 مسير رواتب شهر أغسطس 2026</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9.5" hidden="false" customHeight="true" outlineLevel="0" collapsed="false">
      <c r="A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row>
    <row r="3" customFormat="false" ht="25.5" hidden="false" customHeight="true" outlineLevel="0" collapsed="false">
      <c r="B3" s="93" t="s">
        <v>103</v>
      </c>
      <c r="C3" s="94" t="n">
        <v>8</v>
      </c>
      <c r="D3" s="93" t="s">
        <v>322</v>
      </c>
      <c r="E3" s="95" t="n">
        <f aca="false">DATE(cfg_FY,C3,1)</f>
        <v>46235</v>
      </c>
      <c r="F3" s="93" t="s">
        <v>323</v>
      </c>
      <c r="G3" s="95" t="n">
        <f aca="false">EOMONTH(E3,0)</f>
        <v>46265</v>
      </c>
      <c r="H3" s="96" t="str">
        <f aca="false">IF(C3&lt;=cfg_VAL_M,"✔ فعلي","⚠ متوقع")</f>
        <v>✔ فعلي</v>
      </c>
      <c r="J3" s="97" t="s">
        <v>348</v>
      </c>
      <c r="K3" s="97"/>
      <c r="L3" s="97" t="s">
        <v>324</v>
      </c>
      <c r="M3" s="97"/>
      <c r="O3" s="22" t="s">
        <v>61</v>
      </c>
      <c r="P3" s="12" t="s">
        <v>111</v>
      </c>
      <c r="R3" s="23" t="s">
        <v>63</v>
      </c>
      <c r="S3" s="23" t="s">
        <v>64</v>
      </c>
      <c r="U3" s="23" t="s">
        <v>39</v>
      </c>
      <c r="W3" s="23" t="s">
        <v>65</v>
      </c>
    </row>
    <row r="4" customFormat="false" ht="7.5" hidden="false" customHeight="true" outlineLevel="0" collapsed="false"/>
    <row r="5" customFormat="false" ht="48" hidden="false" customHeight="true" outlineLevel="0" collapsed="false">
      <c r="A5" s="98" t="s">
        <v>207</v>
      </c>
      <c r="B5" s="98" t="s">
        <v>208</v>
      </c>
      <c r="C5" s="98" t="s">
        <v>209</v>
      </c>
      <c r="D5" s="98" t="s">
        <v>96</v>
      </c>
      <c r="E5" s="98" t="s">
        <v>84</v>
      </c>
      <c r="F5" s="99" t="s">
        <v>325</v>
      </c>
      <c r="G5" s="99" t="s">
        <v>326</v>
      </c>
      <c r="H5" s="99" t="s">
        <v>327</v>
      </c>
      <c r="I5" s="99" t="s">
        <v>328</v>
      </c>
      <c r="J5" s="100" t="s">
        <v>329</v>
      </c>
      <c r="K5" s="100" t="s">
        <v>330</v>
      </c>
      <c r="L5" s="100" t="s">
        <v>331</v>
      </c>
      <c r="M5" s="100" t="s">
        <v>332</v>
      </c>
      <c r="N5" s="100" t="s">
        <v>333</v>
      </c>
      <c r="O5" s="100" t="s">
        <v>334</v>
      </c>
      <c r="P5" s="100" t="s">
        <v>298</v>
      </c>
      <c r="Q5" s="100" t="s">
        <v>335</v>
      </c>
      <c r="R5" s="100" t="s">
        <v>74</v>
      </c>
      <c r="S5" s="101" t="s">
        <v>336</v>
      </c>
      <c r="T5" s="101" t="s">
        <v>300</v>
      </c>
      <c r="U5" s="101" t="s">
        <v>301</v>
      </c>
      <c r="V5" s="101" t="s">
        <v>337</v>
      </c>
      <c r="W5" s="102" t="s">
        <v>338</v>
      </c>
      <c r="X5" s="103" t="s">
        <v>339</v>
      </c>
      <c r="Y5" s="103" t="s">
        <v>340</v>
      </c>
      <c r="Z5" s="103" t="s">
        <v>341</v>
      </c>
      <c r="AA5" s="103" t="s">
        <v>342</v>
      </c>
      <c r="AB5" s="103" t="s">
        <v>343</v>
      </c>
      <c r="AC5" s="104" t="s">
        <v>344</v>
      </c>
      <c r="AD5" s="104" t="s">
        <v>345</v>
      </c>
      <c r="AE5" s="104" t="s">
        <v>346</v>
      </c>
    </row>
    <row r="6" customFormat="false" ht="15" hidden="false" customHeight="false" outlineLevel="0" collapsed="false">
      <c r="A6" s="83" t="n">
        <f aca="false">IF($B6="","",الموظفون!$A6)</f>
        <v>1</v>
      </c>
      <c r="B6" s="74" t="str">
        <f aca="false">IF(الموظفون!$B6="","",الموظفون!$B6)</f>
        <v>E001</v>
      </c>
      <c r="C6" s="74" t="str">
        <f aca="false">IF($B6="","",الموظفون!$C6)</f>
        <v>عبدالله محمد العتيبي</v>
      </c>
      <c r="D6" s="74" t="str">
        <f aca="false">IF($B6="","",الموظفون!$F6)</f>
        <v>الإدارة العليا</v>
      </c>
      <c r="E6" s="74" t="str">
        <f aca="false">IF($B6="","",الموظفون!$E6)</f>
        <v>سعودي</v>
      </c>
      <c r="F6" s="105" t="n">
        <f aca="false">IF($B6="","",IF(AE6&gt;=DAY($G$3),cfg_DAYS_M,MIN(AE6,cfg_DAYS_M)))</f>
        <v>30</v>
      </c>
      <c r="G6" s="105" t="n">
        <f aca="false">IF($B6="","",SUMIFS('الحركات الشهرية'!$D$6:$D$1005,'الحركات الشهرية'!$B$6:$B$1005,$B6,'الحركات الشهرية'!$A$6:$A$1005,$C$3))</f>
        <v>0</v>
      </c>
      <c r="H6" s="105" t="n">
        <f aca="false">IF($B6="","",SUMIFS('الحركات الشهرية'!$E$6:$E$1005,'الحركات الشهرية'!$B$6:$B$1005,$B6,'الحركات الشهرية'!$A$6:$A$1005,$C$3))</f>
        <v>0</v>
      </c>
      <c r="I6" s="105" t="n">
        <f aca="false">IF($B6="","",MAX(0,F6-G6-H6))</f>
        <v>30</v>
      </c>
      <c r="J6" s="86" t="n">
        <f aca="false">IF($B6="","",الموظفون!$J6*$I6/cfg_DAYS_M)</f>
        <v>28000</v>
      </c>
      <c r="K6" s="86" t="n">
        <f aca="false">IF($B6="","",الموظفون!$K6*$I6/cfg_DAYS_M)</f>
        <v>7000</v>
      </c>
      <c r="L6" s="86" t="n">
        <f aca="false">IF($B6="","",الموظفون!$L6*$I6/cfg_DAYS_M)</f>
        <v>2800</v>
      </c>
      <c r="M6" s="86" t="n">
        <f aca="false">IF($B6="","",الموظفون!$M6*$I6/cfg_DAYS_M)</f>
        <v>3000</v>
      </c>
      <c r="N6" s="105" t="n">
        <f aca="false">IF($B6="","",SUMIFS('الحركات الشهرية'!$F$6:$F$1005,'الحركات الشهرية'!$B$6:$B$1005,$B6,'الحركات الشهرية'!$A$6:$A$1005,$C$3))</f>
        <v>0</v>
      </c>
      <c r="O6" s="86" t="n">
        <f aca="false">IF($B6="","",N6*(الموظفون!$N6+الموظفون!$J6*cfg_OT_P)/cfg_DAYS_M/cfg_HRS)</f>
        <v>0</v>
      </c>
      <c r="P6" s="86" t="n">
        <f aca="false">IF($B6="","",SUMIFS('الحركات الشهرية'!$G$6:$G$1005,'الحركات الشهرية'!$B$6:$B$1005,$B6,'الحركات الشهرية'!$A$6:$A$1005,$C$3))</f>
        <v>0</v>
      </c>
      <c r="Q6" s="86" t="n">
        <f aca="false">IF($B6="","",SUMIFS('الحركات الشهرية'!$H$6:$H$1005,'الحركات الشهرية'!$B$6:$B$1005,$B6,'الحركات الشهرية'!$A$6:$A$1005,$C$3))</f>
        <v>0</v>
      </c>
      <c r="R6" s="106" t="n">
        <f aca="false">IF($B6="","",SUM(J6:M6)+SUM(O6:Q6))</f>
        <v>40800</v>
      </c>
      <c r="S6" s="86" t="n">
        <f aca="false">IF($B6="","",الموظفون!$Q6*IF(E6="سعودي",cfg_G_SE,cfg_G_NE)*F6/cfg_DAYS_M)</f>
        <v>3412.5</v>
      </c>
      <c r="T6" s="86" t="n">
        <f aca="false">IF($B6="","",SUMIFS('الحركات الشهرية'!$I$6:$I$1005,'الحركات الشهرية'!$B$6:$B$1005,$B6,'الحركات الشهرية'!$A$6:$A$1005,$C$3))</f>
        <v>0</v>
      </c>
      <c r="U6" s="86" t="n">
        <f aca="false">IF($B6="","",SUMIFS('الحركات الشهرية'!$J$6:$J$1005,'الحركات الشهرية'!$B$6:$B$1005,$B6,'الحركات الشهرية'!$A$6:$A$1005,$C$3))</f>
        <v>0</v>
      </c>
      <c r="V6" s="86" t="n">
        <f aca="false">IF($B6="","",SUM(S6:U6))</f>
        <v>3412.5</v>
      </c>
      <c r="W6" s="107" t="n">
        <f aca="false">IF($B6="","",R6-V6)</f>
        <v>37387.5</v>
      </c>
      <c r="X6" s="86" t="n">
        <f aca="false">IF($B6="","",الموظفون!$Q6*IF(E6="سعودي",cfg_G_SR,cfg_G_NR)*F6/cfg_DAYS_M)</f>
        <v>4112.5</v>
      </c>
      <c r="Y6" s="86" t="n">
        <f aca="false">IF($B6="","",الموظفون!$O6*(cfg_EOS_R1*(MIN(AC6,cfg_EOS_TH)-MIN(AD6,cfg_EOS_TH))+cfg_EOS_R2*(MAX(AC6-cfg_EOS_TH,0)-MAX(AD6-cfg_EOS_TH,0))))</f>
        <v>3210.41095890406</v>
      </c>
      <c r="Z6" s="86" t="n">
        <f aca="false">IF($B6="","",IF(الموظفون!$R6&lt;&gt;"",الموظفون!$R6,IF(AC6&gt;=cfg_LV_TH,cfg_LV_D2,cfg_LV_D1))/cfg_DAYS_Y*AE6*الموظفون!$P6/cfg_DAYS_M)</f>
        <v>3210.41095890411</v>
      </c>
      <c r="AA6" s="86" t="n">
        <f aca="false">IF($B6="","",IF(AND(الموظفون!$S6="نعم",N(الموظفون!$U6)&gt;0),الموظفون!$T6/الموظفون!$U6*12/cfg_DAYS_Y*AE6,0))</f>
        <v>0</v>
      </c>
      <c r="AB6" s="108" t="n">
        <f aca="false">IF($B6="","",R6+SUM(X6:AA6))</f>
        <v>51333.3219178082</v>
      </c>
      <c r="AC6" s="109" t="n">
        <f aca="false">IF($B6="","",MAX(0,IF(OR(الموظفون!$X6="",الموظفون!$X6&gt;$G$3),$G$3,الموظفون!$X6)-الموظفون!$H6+1)/cfg_DAYS_Y)</f>
        <v>14.6383561643836</v>
      </c>
      <c r="AD6" s="109" t="n">
        <f aca="false">IF($B6="","",MAX(0,IF(OR(الموظفون!$X6="",الموظفون!$X6&gt;($E$3-1)),($E$3-1),الموظفون!$X6)-الموظفون!$H6+1)/cfg_DAYS_Y)</f>
        <v>14.5534246575342</v>
      </c>
      <c r="AE6" s="51" t="n">
        <f aca="false">IF($B6="","",MAX(0,IF(OR(الموظفون!$X6="",الموظفون!$X6&gt;$G$3),$G$3,الموظفون!$X6)-MAX($E$3,الموظفون!$H6)+1))</f>
        <v>31</v>
      </c>
    </row>
    <row r="7" customFormat="false" ht="15" hidden="false" customHeight="false" outlineLevel="0" collapsed="false">
      <c r="A7" s="89" t="n">
        <f aca="false">IF($B7="","",الموظفون!$A7)</f>
        <v>2</v>
      </c>
      <c r="B7" s="91" t="str">
        <f aca="false">IF(الموظفون!$B7="","",الموظفون!$B7)</f>
        <v>E002</v>
      </c>
      <c r="C7" s="91" t="str">
        <f aca="false">IF($B7="","",الموظفون!$C7)</f>
        <v>أحمد سعيد القحطاني</v>
      </c>
      <c r="D7" s="91" t="str">
        <f aca="false">IF($B7="","",الموظفون!$F7)</f>
        <v>المالية</v>
      </c>
      <c r="E7" s="91" t="str">
        <f aca="false">IF($B7="","",الموظفون!$E7)</f>
        <v>سعودي</v>
      </c>
      <c r="F7" s="110" t="n">
        <f aca="false">IF($B7="","",IF(AE7&gt;=DAY($G$3),cfg_DAYS_M,MIN(AE7,cfg_DAYS_M)))</f>
        <v>30</v>
      </c>
      <c r="G7" s="110" t="n">
        <f aca="false">IF($B7="","",SUMIFS('الحركات الشهرية'!$D$6:$D$1005,'الحركات الشهرية'!$B$6:$B$1005,$B7,'الحركات الشهرية'!$A$6:$A$1005,$C$3))</f>
        <v>0</v>
      </c>
      <c r="H7" s="110" t="n">
        <f aca="false">IF($B7="","",SUMIFS('الحركات الشهرية'!$E$6:$E$1005,'الحركات الشهرية'!$B$6:$B$1005,$B7,'الحركات الشهرية'!$A$6:$A$1005,$C$3))</f>
        <v>0</v>
      </c>
      <c r="I7" s="110" t="n">
        <f aca="false">IF($B7="","",MAX(0,F7-G7-H7))</f>
        <v>30</v>
      </c>
      <c r="J7" s="90" t="n">
        <f aca="false">IF($B7="","",الموظفون!$J7*$I7/cfg_DAYS_M)</f>
        <v>18000</v>
      </c>
      <c r="K7" s="90" t="n">
        <f aca="false">IF($B7="","",الموظفون!$K7*$I7/cfg_DAYS_M)</f>
        <v>4500</v>
      </c>
      <c r="L7" s="90" t="n">
        <f aca="false">IF($B7="","",الموظفون!$L7*$I7/cfg_DAYS_M)</f>
        <v>1800</v>
      </c>
      <c r="M7" s="90" t="n">
        <f aca="false">IF($B7="","",الموظفون!$M7*$I7/cfg_DAYS_M)</f>
        <v>1000</v>
      </c>
      <c r="N7" s="110" t="n">
        <f aca="false">IF($B7="","",SUMIFS('الحركات الشهرية'!$F$6:$F$1005,'الحركات الشهرية'!$B$6:$B$1005,$B7,'الحركات الشهرية'!$A$6:$A$1005,$C$3))</f>
        <v>0</v>
      </c>
      <c r="O7" s="90" t="n">
        <f aca="false">IF($B7="","",N7*(الموظفون!$N7+الموظفون!$J7*cfg_OT_P)/cfg_DAYS_M/cfg_HRS)</f>
        <v>0</v>
      </c>
      <c r="P7" s="90" t="n">
        <f aca="false">IF($B7="","",SUMIFS('الحركات الشهرية'!$G$6:$G$1005,'الحركات الشهرية'!$B$6:$B$1005,$B7,'الحركات الشهرية'!$A$6:$A$1005,$C$3))</f>
        <v>0</v>
      </c>
      <c r="Q7" s="90" t="n">
        <f aca="false">IF($B7="","",SUMIFS('الحركات الشهرية'!$H$6:$H$1005,'الحركات الشهرية'!$B$6:$B$1005,$B7,'الحركات الشهرية'!$A$6:$A$1005,$C$3))</f>
        <v>0</v>
      </c>
      <c r="R7" s="111" t="n">
        <f aca="false">IF($B7="","",SUM(J7:M7)+SUM(O7:Q7))</f>
        <v>25300</v>
      </c>
      <c r="S7" s="90" t="n">
        <f aca="false">IF($B7="","",الموظفون!$Q7*IF(E7="سعودي",cfg_G_SE,cfg_G_NE)*F7/cfg_DAYS_M)</f>
        <v>2193.75</v>
      </c>
      <c r="T7" s="90" t="n">
        <f aca="false">IF($B7="","",SUMIFS('الحركات الشهرية'!$I$6:$I$1005,'الحركات الشهرية'!$B$6:$B$1005,$B7,'الحركات الشهرية'!$A$6:$A$1005,$C$3))</f>
        <v>0</v>
      </c>
      <c r="U7" s="90" t="n">
        <f aca="false">IF($B7="","",SUMIFS('الحركات الشهرية'!$J$6:$J$1005,'الحركات الشهرية'!$B$6:$B$1005,$B7,'الحركات الشهرية'!$A$6:$A$1005,$C$3))</f>
        <v>0</v>
      </c>
      <c r="V7" s="90" t="n">
        <f aca="false">IF($B7="","",SUM(S7:U7))</f>
        <v>2193.75</v>
      </c>
      <c r="W7" s="112" t="n">
        <f aca="false">IF($B7="","",R7-V7)</f>
        <v>23106.25</v>
      </c>
      <c r="X7" s="90" t="n">
        <f aca="false">IF($B7="","",الموظفون!$Q7*IF(E7="سعودي",cfg_G_SR,cfg_G_NR)*F7/cfg_DAYS_M)</f>
        <v>2643.75</v>
      </c>
      <c r="Y7" s="90" t="n">
        <f aca="false">IF($B7="","",الموظفون!$O7*(cfg_EOS_R1*(MIN(AC7,cfg_EOS_TH)-MIN(AD7,cfg_EOS_TH))+cfg_EOS_R2*(MAX(AC7-cfg_EOS_TH,0)-MAX(AD7-cfg_EOS_TH,0))))</f>
        <v>2063.83561643837</v>
      </c>
      <c r="Z7" s="90" t="n">
        <f aca="false">IF($B7="","",IF(الموظفون!$R7&lt;&gt;"",الموظفون!$R7,IF(AC7&gt;=cfg_LV_TH,cfg_LV_D2,cfg_LV_D1))/cfg_DAYS_Y*AE7*الموظفون!$P7/cfg_DAYS_M)</f>
        <v>2063.83561643836</v>
      </c>
      <c r="AA7" s="90" t="n">
        <f aca="false">IF($B7="","",IF(AND(الموظفون!$S7="نعم",N(الموظفون!$U7)&gt;0),الموظفون!$T7/الموظفون!$U7*12/cfg_DAYS_Y*AE7,0))</f>
        <v>0</v>
      </c>
      <c r="AB7" s="113" t="n">
        <f aca="false">IF($B7="","",R7+SUM(X7:AA7))</f>
        <v>32071.4212328767</v>
      </c>
      <c r="AC7" s="114" t="n">
        <f aca="false">IF($B7="","",MAX(0,IF(OR(الموظفون!$X7="",الموظفون!$X7&gt;$G$3),$G$3,الموظفون!$X7)-الموظفون!$H7+1)/cfg_DAYS_Y)</f>
        <v>10.2575342465753</v>
      </c>
      <c r="AD7" s="114" t="n">
        <f aca="false">IF($B7="","",MAX(0,IF(OR(الموظفون!$X7="",الموظفون!$X7&gt;($E$3-1)),($E$3-1),الموظفون!$X7)-الموظفون!$H7+1)/cfg_DAYS_Y)</f>
        <v>10.172602739726</v>
      </c>
      <c r="AE7" s="115" t="n">
        <f aca="false">IF($B7="","",MAX(0,IF(OR(الموظفون!$X7="",الموظفون!$X7&gt;$G$3),$G$3,الموظفون!$X7)-MAX($E$3,الموظفون!$H7)+1))</f>
        <v>31</v>
      </c>
    </row>
    <row r="8" customFormat="false" ht="15" hidden="false" customHeight="false" outlineLevel="0" collapsed="false">
      <c r="A8" s="83" t="n">
        <f aca="false">IF($B8="","",الموظفون!$A8)</f>
        <v>3</v>
      </c>
      <c r="B8" s="74" t="str">
        <f aca="false">IF(الموظفون!$B8="","",الموظفون!$B8)</f>
        <v>E003</v>
      </c>
      <c r="C8" s="74" t="str">
        <f aca="false">IF($B8="","",الموظفون!$C8)</f>
        <v>محمد علي حسن</v>
      </c>
      <c r="D8" s="74" t="str">
        <f aca="false">IF($B8="","",الموظفون!$F8)</f>
        <v>المالية</v>
      </c>
      <c r="E8" s="74" t="str">
        <f aca="false">IF($B8="","",الموظفون!$E8)</f>
        <v>غير سعودي</v>
      </c>
      <c r="F8" s="105" t="n">
        <f aca="false">IF($B8="","",IF(AE8&gt;=DAY($G$3),cfg_DAYS_M,MIN(AE8,cfg_DAYS_M)))</f>
        <v>30</v>
      </c>
      <c r="G8" s="105" t="n">
        <f aca="false">IF($B8="","",SUMIFS('الحركات الشهرية'!$D$6:$D$1005,'الحركات الشهرية'!$B$6:$B$1005,$B8,'الحركات الشهرية'!$A$6:$A$1005,$C$3))</f>
        <v>0</v>
      </c>
      <c r="H8" s="105" t="n">
        <f aca="false">IF($B8="","",SUMIFS('الحركات الشهرية'!$E$6:$E$1005,'الحركات الشهرية'!$B$6:$B$1005,$B8,'الحركات الشهرية'!$A$6:$A$1005,$C$3))</f>
        <v>0</v>
      </c>
      <c r="I8" s="105" t="n">
        <f aca="false">IF($B8="","",MAX(0,F8-G8-H8))</f>
        <v>30</v>
      </c>
      <c r="J8" s="86" t="n">
        <f aca="false">IF($B8="","",الموظفون!$J8*$I8/cfg_DAYS_M)</f>
        <v>8500</v>
      </c>
      <c r="K8" s="86" t="n">
        <f aca="false">IF($B8="","",الموظفون!$K8*$I8/cfg_DAYS_M)</f>
        <v>2125</v>
      </c>
      <c r="L8" s="86" t="n">
        <f aca="false">IF($B8="","",الموظفون!$L8*$I8/cfg_DAYS_M)</f>
        <v>850</v>
      </c>
      <c r="M8" s="86" t="n">
        <f aca="false">IF($B8="","",الموظفون!$M8*$I8/cfg_DAYS_M)</f>
        <v>500</v>
      </c>
      <c r="N8" s="105" t="n">
        <f aca="false">IF($B8="","",SUMIFS('الحركات الشهرية'!$F$6:$F$1005,'الحركات الشهرية'!$B$6:$B$1005,$B8,'الحركات الشهرية'!$A$6:$A$1005,$C$3))</f>
        <v>0</v>
      </c>
      <c r="O8" s="86" t="n">
        <f aca="false">IF($B8="","",N8*(الموظفون!$N8+الموظفون!$J8*cfg_OT_P)/cfg_DAYS_M/cfg_HRS)</f>
        <v>0</v>
      </c>
      <c r="P8" s="86" t="n">
        <f aca="false">IF($B8="","",SUMIFS('الحركات الشهرية'!$G$6:$G$1005,'الحركات الشهرية'!$B$6:$B$1005,$B8,'الحركات الشهرية'!$A$6:$A$1005,$C$3))</f>
        <v>0</v>
      </c>
      <c r="Q8" s="86" t="n">
        <f aca="false">IF($B8="","",SUMIFS('الحركات الشهرية'!$H$6:$H$1005,'الحركات الشهرية'!$B$6:$B$1005,$B8,'الحركات الشهرية'!$A$6:$A$1005,$C$3))</f>
        <v>0</v>
      </c>
      <c r="R8" s="106" t="n">
        <f aca="false">IF($B8="","",SUM(J8:M8)+SUM(O8:Q8))</f>
        <v>11975</v>
      </c>
      <c r="S8" s="86" t="n">
        <f aca="false">IF($B8="","",الموظفون!$Q8*IF(E8="سعودي",cfg_G_SE,cfg_G_NE)*F8/cfg_DAYS_M)</f>
        <v>0</v>
      </c>
      <c r="T8" s="86" t="n">
        <f aca="false">IF($B8="","",SUMIFS('الحركات الشهرية'!$I$6:$I$1005,'الحركات الشهرية'!$B$6:$B$1005,$B8,'الحركات الشهرية'!$A$6:$A$1005,$C$3))</f>
        <v>0</v>
      </c>
      <c r="U8" s="86" t="n">
        <f aca="false">IF($B8="","",SUMIFS('الحركات الشهرية'!$J$6:$J$1005,'الحركات الشهرية'!$B$6:$B$1005,$B8,'الحركات الشهرية'!$A$6:$A$1005,$C$3))</f>
        <v>0</v>
      </c>
      <c r="V8" s="86" t="n">
        <f aca="false">IF($B8="","",SUM(S8:U8))</f>
        <v>0</v>
      </c>
      <c r="W8" s="107" t="n">
        <f aca="false">IF($B8="","",R8-V8)</f>
        <v>11975</v>
      </c>
      <c r="X8" s="86" t="n">
        <f aca="false">IF($B8="","",الموظفون!$Q8*IF(E8="سعودي",cfg_G_SR,cfg_G_NR)*F8/cfg_DAYS_M)</f>
        <v>212.5</v>
      </c>
      <c r="Y8" s="86" t="n">
        <f aca="false">IF($B8="","",الموظفون!$O8*(cfg_EOS_R1*(MIN(AC8,cfg_EOS_TH)-MIN(AD8,cfg_EOS_TH))+cfg_EOS_R2*(MAX(AC8-cfg_EOS_TH,0)-MAX(AD8-cfg_EOS_TH,0))))</f>
        <v>974.589041095895</v>
      </c>
      <c r="Z8" s="86" t="n">
        <f aca="false">IF($B8="","",IF(الموظفون!$R8&lt;&gt;"",الموظفون!$R8,IF(AC8&gt;=cfg_LV_TH,cfg_LV_D2,cfg_LV_D1))/cfg_DAYS_Y*AE8*الموظفون!$P8/cfg_DAYS_M)</f>
        <v>974.589041095891</v>
      </c>
      <c r="AA8" s="86" t="n">
        <f aca="false">IF($B8="","",IF(AND(الموظفون!$S8="نعم",N(الموظفون!$U8)&gt;0),الموظفون!$T8/الموظفون!$U8*12/cfg_DAYS_Y*AE8,0))</f>
        <v>135.890410958904</v>
      </c>
      <c r="AB8" s="108" t="n">
        <f aca="false">IF($B8="","",R8+SUM(X8:AA8))</f>
        <v>14272.5684931507</v>
      </c>
      <c r="AC8" s="109" t="n">
        <f aca="false">IF($B8="","",MAX(0,IF(OR(الموظفون!$X8="",الموظفون!$X8&gt;$G$3),$G$3,الموظفون!$X8)-الموظفون!$H8+1)/cfg_DAYS_Y)</f>
        <v>7.98082191780822</v>
      </c>
      <c r="AD8" s="109" t="n">
        <f aca="false">IF($B8="","",MAX(0,IF(OR(الموظفون!$X8="",الموظفون!$X8&gt;($E$3-1)),($E$3-1),الموظفون!$X8)-الموظفون!$H8+1)/cfg_DAYS_Y)</f>
        <v>7.8958904109589</v>
      </c>
      <c r="AE8" s="51" t="n">
        <f aca="false">IF($B8="","",MAX(0,IF(OR(الموظفون!$X8="",الموظفون!$X8&gt;$G$3),$G$3,الموظفون!$X8)-MAX($E$3,الموظفون!$H8)+1))</f>
        <v>31</v>
      </c>
    </row>
    <row r="9" customFormat="false" ht="15" hidden="false" customHeight="false" outlineLevel="0" collapsed="false">
      <c r="A9" s="89" t="n">
        <f aca="false">IF($B9="","",الموظفون!$A9)</f>
        <v>4</v>
      </c>
      <c r="B9" s="91" t="str">
        <f aca="false">IF(الموظفون!$B9="","",الموظفون!$B9)</f>
        <v>E004</v>
      </c>
      <c r="C9" s="91" t="str">
        <f aca="false">IF($B9="","",الموظفون!$C9)</f>
        <v>نورة خالد الدوسري</v>
      </c>
      <c r="D9" s="91" t="str">
        <f aca="false">IF($B9="","",الموظفون!$F9)</f>
        <v>الموارد البشرية</v>
      </c>
      <c r="E9" s="91" t="str">
        <f aca="false">IF($B9="","",الموظفون!$E9)</f>
        <v>سعودي</v>
      </c>
      <c r="F9" s="110" t="n">
        <f aca="false">IF($B9="","",IF(AE9&gt;=DAY($G$3),cfg_DAYS_M,MIN(AE9,cfg_DAYS_M)))</f>
        <v>30</v>
      </c>
      <c r="G9" s="110" t="n">
        <f aca="false">IF($B9="","",SUMIFS('الحركات الشهرية'!$D$6:$D$1005,'الحركات الشهرية'!$B$6:$B$1005,$B9,'الحركات الشهرية'!$A$6:$A$1005,$C$3))</f>
        <v>0</v>
      </c>
      <c r="H9" s="110" t="n">
        <f aca="false">IF($B9="","",SUMIFS('الحركات الشهرية'!$E$6:$E$1005,'الحركات الشهرية'!$B$6:$B$1005,$B9,'الحركات الشهرية'!$A$6:$A$1005,$C$3))</f>
        <v>0</v>
      </c>
      <c r="I9" s="110" t="n">
        <f aca="false">IF($B9="","",MAX(0,F9-G9-H9))</f>
        <v>30</v>
      </c>
      <c r="J9" s="90" t="n">
        <f aca="false">IF($B9="","",الموظفون!$J9*$I9/cfg_DAYS_M)</f>
        <v>14000</v>
      </c>
      <c r="K9" s="90" t="n">
        <f aca="false">IF($B9="","",الموظفون!$K9*$I9/cfg_DAYS_M)</f>
        <v>3500</v>
      </c>
      <c r="L9" s="90" t="n">
        <f aca="false">IF($B9="","",الموظفون!$L9*$I9/cfg_DAYS_M)</f>
        <v>1400</v>
      </c>
      <c r="M9" s="90" t="n">
        <f aca="false">IF($B9="","",الموظفون!$M9*$I9/cfg_DAYS_M)</f>
        <v>0</v>
      </c>
      <c r="N9" s="110" t="n">
        <f aca="false">IF($B9="","",SUMIFS('الحركات الشهرية'!$F$6:$F$1005,'الحركات الشهرية'!$B$6:$B$1005,$B9,'الحركات الشهرية'!$A$6:$A$1005,$C$3))</f>
        <v>0</v>
      </c>
      <c r="O9" s="90" t="n">
        <f aca="false">IF($B9="","",N9*(الموظفون!$N9+الموظفون!$J9*cfg_OT_P)/cfg_DAYS_M/cfg_HRS)</f>
        <v>0</v>
      </c>
      <c r="P9" s="90" t="n">
        <f aca="false">IF($B9="","",SUMIFS('الحركات الشهرية'!$G$6:$G$1005,'الحركات الشهرية'!$B$6:$B$1005,$B9,'الحركات الشهرية'!$A$6:$A$1005,$C$3))</f>
        <v>0</v>
      </c>
      <c r="Q9" s="90" t="n">
        <f aca="false">IF($B9="","",SUMIFS('الحركات الشهرية'!$H$6:$H$1005,'الحركات الشهرية'!$B$6:$B$1005,$B9,'الحركات الشهرية'!$A$6:$A$1005,$C$3))</f>
        <v>0</v>
      </c>
      <c r="R9" s="111" t="n">
        <f aca="false">IF($B9="","",SUM(J9:M9)+SUM(O9:Q9))</f>
        <v>18900</v>
      </c>
      <c r="S9" s="90" t="n">
        <f aca="false">IF($B9="","",الموظفون!$Q9*IF(E9="سعودي",cfg_G_SE,cfg_G_NE)*F9/cfg_DAYS_M)</f>
        <v>1706.25</v>
      </c>
      <c r="T9" s="90" t="n">
        <f aca="false">IF($B9="","",SUMIFS('الحركات الشهرية'!$I$6:$I$1005,'الحركات الشهرية'!$B$6:$B$1005,$B9,'الحركات الشهرية'!$A$6:$A$1005,$C$3))</f>
        <v>0</v>
      </c>
      <c r="U9" s="90" t="n">
        <f aca="false">IF($B9="","",SUMIFS('الحركات الشهرية'!$J$6:$J$1005,'الحركات الشهرية'!$B$6:$B$1005,$B9,'الحركات الشهرية'!$A$6:$A$1005,$C$3))</f>
        <v>0</v>
      </c>
      <c r="V9" s="90" t="n">
        <f aca="false">IF($B9="","",SUM(S9:U9))</f>
        <v>1706.25</v>
      </c>
      <c r="W9" s="112" t="n">
        <f aca="false">IF($B9="","",R9-V9)</f>
        <v>17193.75</v>
      </c>
      <c r="X9" s="90" t="n">
        <f aca="false">IF($B9="","",الموظفون!$Q9*IF(E9="سعودي",cfg_G_SR,cfg_G_NR)*F9/cfg_DAYS_M)</f>
        <v>2056.25</v>
      </c>
      <c r="Y9" s="90" t="n">
        <f aca="false">IF($B9="","",الموظفون!$O9*(cfg_EOS_R1*(MIN(AC9,cfg_EOS_TH)-MIN(AD9,cfg_EOS_TH))+cfg_EOS_R2*(MAX(AC9-cfg_EOS_TH,0)-MAX(AD9-cfg_EOS_TH,0))))</f>
        <v>1605.20547945206</v>
      </c>
      <c r="Z9" s="90" t="n">
        <f aca="false">IF($B9="","",IF(الموظفون!$R9&lt;&gt;"",الموظفون!$R9,IF(AC9&gt;=cfg_LV_TH,cfg_LV_D2,cfg_LV_D1))/cfg_DAYS_Y*AE9*الموظفون!$P9/cfg_DAYS_M)</f>
        <v>1605.20547945205</v>
      </c>
      <c r="AA9" s="90" t="n">
        <f aca="false">IF($B9="","",IF(AND(الموظفون!$S9="نعم",N(الموظفون!$U9)&gt;0),الموظفون!$T9/الموظفون!$U9*12/cfg_DAYS_Y*AE9,0))</f>
        <v>0</v>
      </c>
      <c r="AB9" s="113" t="n">
        <f aca="false">IF($B9="","",R9+SUM(X9:AA9))</f>
        <v>24166.6609589041</v>
      </c>
      <c r="AC9" s="114" t="n">
        <f aca="false">IF($B9="","",MAX(0,IF(OR(الموظفون!$X9="",الموظفون!$X9&gt;$G$3),$G$3,الموظفون!$X9)-الموظفون!$H9+1)/cfg_DAYS_Y)</f>
        <v>7.58630136986301</v>
      </c>
      <c r="AD9" s="114" t="n">
        <f aca="false">IF($B9="","",MAX(0,IF(OR(الموظفون!$X9="",الموظفون!$X9&gt;($E$3-1)),($E$3-1),الموظفون!$X9)-الموظفون!$H9+1)/cfg_DAYS_Y)</f>
        <v>7.5013698630137</v>
      </c>
      <c r="AE9" s="115" t="n">
        <f aca="false">IF($B9="","",MAX(0,IF(OR(الموظفون!$X9="",الموظفون!$X9&gt;$G$3),$G$3,الموظفون!$X9)-MAX($E$3,الموظفون!$H9)+1))</f>
        <v>31</v>
      </c>
    </row>
    <row r="10" customFormat="false" ht="15" hidden="false" customHeight="false" outlineLevel="0" collapsed="false">
      <c r="A10" s="83" t="n">
        <f aca="false">IF($B10="","",الموظفون!$A10)</f>
        <v>5</v>
      </c>
      <c r="B10" s="74" t="str">
        <f aca="false">IF(الموظفون!$B10="","",الموظفون!$B10)</f>
        <v>E005</v>
      </c>
      <c r="C10" s="74" t="str">
        <f aca="false">IF($B10="","",الموظفون!$C10)</f>
        <v>راجيش كومار</v>
      </c>
      <c r="D10" s="74" t="str">
        <f aca="false">IF($B10="","",الموظفون!$F10)</f>
        <v>تقنية المعلومات</v>
      </c>
      <c r="E10" s="74" t="str">
        <f aca="false">IF($B10="","",الموظفون!$E10)</f>
        <v>غير سعودي</v>
      </c>
      <c r="F10" s="105" t="n">
        <f aca="false">IF($B10="","",IF(AE10&gt;=DAY($G$3),cfg_DAYS_M,MIN(AE10,cfg_DAYS_M)))</f>
        <v>30</v>
      </c>
      <c r="G10" s="105" t="n">
        <f aca="false">IF($B10="","",SUMIFS('الحركات الشهرية'!$D$6:$D$1005,'الحركات الشهرية'!$B$6:$B$1005,$B10,'الحركات الشهرية'!$A$6:$A$1005,$C$3))</f>
        <v>0</v>
      </c>
      <c r="H10" s="105" t="n">
        <f aca="false">IF($B10="","",SUMIFS('الحركات الشهرية'!$E$6:$E$1005,'الحركات الشهرية'!$B$6:$B$1005,$B10,'الحركات الشهرية'!$A$6:$A$1005,$C$3))</f>
        <v>0</v>
      </c>
      <c r="I10" s="105" t="n">
        <f aca="false">IF($B10="","",MAX(0,F10-G10-H10))</f>
        <v>30</v>
      </c>
      <c r="J10" s="86" t="n">
        <f aca="false">IF($B10="","",الموظفون!$J10*$I10/cfg_DAYS_M)</f>
        <v>9000</v>
      </c>
      <c r="K10" s="86" t="n">
        <f aca="false">IF($B10="","",الموظفون!$K10*$I10/cfg_DAYS_M)</f>
        <v>2250</v>
      </c>
      <c r="L10" s="86" t="n">
        <f aca="false">IF($B10="","",الموظفون!$L10*$I10/cfg_DAYS_M)</f>
        <v>900</v>
      </c>
      <c r="M10" s="86" t="n">
        <f aca="false">IF($B10="","",الموظفون!$M10*$I10/cfg_DAYS_M)</f>
        <v>700</v>
      </c>
      <c r="N10" s="105" t="n">
        <f aca="false">IF($B10="","",SUMIFS('الحركات الشهرية'!$F$6:$F$1005,'الحركات الشهرية'!$B$6:$B$1005,$B10,'الحركات الشهرية'!$A$6:$A$1005,$C$3))</f>
        <v>0</v>
      </c>
      <c r="O10" s="86" t="n">
        <f aca="false">IF($B10="","",N10*(الموظفون!$N10+الموظفون!$J10*cfg_OT_P)/cfg_DAYS_M/cfg_HRS)</f>
        <v>0</v>
      </c>
      <c r="P10" s="86" t="n">
        <f aca="false">IF($B10="","",SUMIFS('الحركات الشهرية'!$G$6:$G$1005,'الحركات الشهرية'!$B$6:$B$1005,$B10,'الحركات الشهرية'!$A$6:$A$1005,$C$3))</f>
        <v>0</v>
      </c>
      <c r="Q10" s="86" t="n">
        <f aca="false">IF($B10="","",SUMIFS('الحركات الشهرية'!$H$6:$H$1005,'الحركات الشهرية'!$B$6:$B$1005,$B10,'الحركات الشهرية'!$A$6:$A$1005,$C$3))</f>
        <v>0</v>
      </c>
      <c r="R10" s="106" t="n">
        <f aca="false">IF($B10="","",SUM(J10:M10)+SUM(O10:Q10))</f>
        <v>12850</v>
      </c>
      <c r="S10" s="86" t="n">
        <f aca="false">IF($B10="","",الموظفون!$Q10*IF(E10="سعودي",cfg_G_SE,cfg_G_NE)*F10/cfg_DAYS_M)</f>
        <v>0</v>
      </c>
      <c r="T10" s="86" t="n">
        <f aca="false">IF($B10="","",SUMIFS('الحركات الشهرية'!$I$6:$I$1005,'الحركات الشهرية'!$B$6:$B$1005,$B10,'الحركات الشهرية'!$A$6:$A$1005,$C$3))</f>
        <v>0</v>
      </c>
      <c r="U10" s="86" t="n">
        <f aca="false">IF($B10="","",SUMIFS('الحركات الشهرية'!$J$6:$J$1005,'الحركات الشهرية'!$B$6:$B$1005,$B10,'الحركات الشهرية'!$A$6:$A$1005,$C$3))</f>
        <v>0</v>
      </c>
      <c r="V10" s="86" t="n">
        <f aca="false">IF($B10="","",SUM(S10:U10))</f>
        <v>0</v>
      </c>
      <c r="W10" s="107" t="n">
        <f aca="false">IF($B10="","",R10-V10)</f>
        <v>12850</v>
      </c>
      <c r="X10" s="86" t="n">
        <f aca="false">IF($B10="","",الموظفون!$Q10*IF(E10="سعودي",cfg_G_SR,cfg_G_NR)*F10/cfg_DAYS_M)</f>
        <v>225</v>
      </c>
      <c r="Y10" s="86" t="n">
        <f aca="false">IF($B10="","",الموظفون!$O10*(cfg_EOS_R1*(MIN(AC10,cfg_EOS_TH)-MIN(AD10,cfg_EOS_TH))+cfg_EOS_R2*(MAX(AC10-cfg_EOS_TH,0)-MAX(AD10-cfg_EOS_TH,0))))</f>
        <v>1031.91780821918</v>
      </c>
      <c r="Z10" s="86" t="n">
        <f aca="false">IF($B10="","",IF(الموظفون!$R10&lt;&gt;"",الموظفون!$R10,IF(AC10&gt;=cfg_LV_TH,cfg_LV_D2,cfg_LV_D1))/cfg_DAYS_Y*AE10*الموظفون!$P10/cfg_DAYS_M)</f>
        <v>1031.91780821918</v>
      </c>
      <c r="AA10" s="86" t="n">
        <f aca="false">IF($B10="","",IF(AND(الموظفون!$S10="نعم",N(الموظفون!$U10)&gt;0),الموظفون!$T10/الموظفون!$U10*12/cfg_DAYS_Y*AE10,0))</f>
        <v>237.808219178082</v>
      </c>
      <c r="AB10" s="108" t="n">
        <f aca="false">IF($B10="","",R10+SUM(X10:AA10))</f>
        <v>15376.6438356164</v>
      </c>
      <c r="AC10" s="109" t="n">
        <f aca="false">IF($B10="","",MAX(0,IF(OR(الموظفون!$X10="",الموظفون!$X10&gt;$G$3),$G$3,الموظفون!$X10)-الموظفون!$H10+1)/cfg_DAYS_Y)</f>
        <v>6.39178082191781</v>
      </c>
      <c r="AD10" s="109" t="n">
        <f aca="false">IF($B10="","",MAX(0,IF(OR(الموظفون!$X10="",الموظفون!$X10&gt;($E$3-1)),($E$3-1),الموظفون!$X10)-الموظفون!$H10+1)/cfg_DAYS_Y)</f>
        <v>6.30684931506849</v>
      </c>
      <c r="AE10" s="51" t="n">
        <f aca="false">IF($B10="","",MAX(0,IF(OR(الموظفون!$X10="",الموظفون!$X10&gt;$G$3),$G$3,الموظفون!$X10)-MAX($E$3,الموظفون!$H10)+1))</f>
        <v>31</v>
      </c>
    </row>
    <row r="11" customFormat="false" ht="15" hidden="false" customHeight="false" outlineLevel="0" collapsed="false">
      <c r="A11" s="89" t="n">
        <f aca="false">IF($B11="","",الموظفون!$A11)</f>
        <v>6</v>
      </c>
      <c r="B11" s="91" t="str">
        <f aca="false">IF(الموظفون!$B11="","",الموظفون!$B11)</f>
        <v>E006</v>
      </c>
      <c r="C11" s="91" t="str">
        <f aca="false">IF($B11="","",الموظفون!$C11)</f>
        <v>فهد ناصر الشمري</v>
      </c>
      <c r="D11" s="91" t="str">
        <f aca="false">IF($B11="","",الموظفون!$F11)</f>
        <v>المبيعات</v>
      </c>
      <c r="E11" s="91" t="str">
        <f aca="false">IF($B11="","",الموظفون!$E11)</f>
        <v>سعودي</v>
      </c>
      <c r="F11" s="110" t="n">
        <f aca="false">IF($B11="","",IF(AE11&gt;=DAY($G$3),cfg_DAYS_M,MIN(AE11,cfg_DAYS_M)))</f>
        <v>30</v>
      </c>
      <c r="G11" s="110" t="n">
        <f aca="false">IF($B11="","",SUMIFS('الحركات الشهرية'!$D$6:$D$1005,'الحركات الشهرية'!$B$6:$B$1005,$B11,'الحركات الشهرية'!$A$6:$A$1005,$C$3))</f>
        <v>0</v>
      </c>
      <c r="H11" s="110" t="n">
        <f aca="false">IF($B11="","",SUMIFS('الحركات الشهرية'!$E$6:$E$1005,'الحركات الشهرية'!$B$6:$B$1005,$B11,'الحركات الشهرية'!$A$6:$A$1005,$C$3))</f>
        <v>0</v>
      </c>
      <c r="I11" s="110" t="n">
        <f aca="false">IF($B11="","",MAX(0,F11-G11-H11))</f>
        <v>30</v>
      </c>
      <c r="J11" s="90" t="n">
        <f aca="false">IF($B11="","",الموظفون!$J11*$I11/cfg_DAYS_M)</f>
        <v>13000</v>
      </c>
      <c r="K11" s="90" t="n">
        <f aca="false">IF($B11="","",الموظفون!$K11*$I11/cfg_DAYS_M)</f>
        <v>3250</v>
      </c>
      <c r="L11" s="90" t="n">
        <f aca="false">IF($B11="","",الموظفون!$L11*$I11/cfg_DAYS_M)</f>
        <v>1300</v>
      </c>
      <c r="M11" s="90" t="n">
        <f aca="false">IF($B11="","",الموظفون!$M11*$I11/cfg_DAYS_M)</f>
        <v>2500</v>
      </c>
      <c r="N11" s="110" t="n">
        <f aca="false">IF($B11="","",SUMIFS('الحركات الشهرية'!$F$6:$F$1005,'الحركات الشهرية'!$B$6:$B$1005,$B11,'الحركات الشهرية'!$A$6:$A$1005,$C$3))</f>
        <v>0</v>
      </c>
      <c r="O11" s="90" t="n">
        <f aca="false">IF($B11="","",N11*(الموظفون!$N11+الموظفون!$J11*cfg_OT_P)/cfg_DAYS_M/cfg_HRS)</f>
        <v>0</v>
      </c>
      <c r="P11" s="90" t="n">
        <f aca="false">IF($B11="","",SUMIFS('الحركات الشهرية'!$G$6:$G$1005,'الحركات الشهرية'!$B$6:$B$1005,$B11,'الحركات الشهرية'!$A$6:$A$1005,$C$3))</f>
        <v>0</v>
      </c>
      <c r="Q11" s="90" t="n">
        <f aca="false">IF($B11="","",SUMIFS('الحركات الشهرية'!$H$6:$H$1005,'الحركات الشهرية'!$B$6:$B$1005,$B11,'الحركات الشهرية'!$A$6:$A$1005,$C$3))</f>
        <v>0</v>
      </c>
      <c r="R11" s="111" t="n">
        <f aca="false">IF($B11="","",SUM(J11:M11)+SUM(O11:Q11))</f>
        <v>20050</v>
      </c>
      <c r="S11" s="90" t="n">
        <f aca="false">IF($B11="","",الموظفون!$Q11*IF(E11="سعودي",cfg_G_SE,cfg_G_NE)*F11/cfg_DAYS_M)</f>
        <v>1584.375</v>
      </c>
      <c r="T11" s="90" t="n">
        <f aca="false">IF($B11="","",SUMIFS('الحركات الشهرية'!$I$6:$I$1005,'الحركات الشهرية'!$B$6:$B$1005,$B11,'الحركات الشهرية'!$A$6:$A$1005,$C$3))</f>
        <v>0</v>
      </c>
      <c r="U11" s="90" t="n">
        <f aca="false">IF($B11="","",SUMIFS('الحركات الشهرية'!$J$6:$J$1005,'الحركات الشهرية'!$B$6:$B$1005,$B11,'الحركات الشهرية'!$A$6:$A$1005,$C$3))</f>
        <v>0</v>
      </c>
      <c r="V11" s="90" t="n">
        <f aca="false">IF($B11="","",SUM(S11:U11))</f>
        <v>1584.375</v>
      </c>
      <c r="W11" s="112" t="n">
        <f aca="false">IF($B11="","",R11-V11)</f>
        <v>18465.625</v>
      </c>
      <c r="X11" s="90" t="n">
        <f aca="false">IF($B11="","",الموظفون!$Q11*IF(E11="سعودي",cfg_G_SR,cfg_G_NR)*F11/cfg_DAYS_M)</f>
        <v>1909.375</v>
      </c>
      <c r="Y11" s="90" t="n">
        <f aca="false">IF($B11="","",الموظفون!$O11*(cfg_EOS_R1*(MIN(AC11,cfg_EOS_TH)-MIN(AD11,cfg_EOS_TH))+cfg_EOS_R2*(MAX(AC11-cfg_EOS_TH,0)-MAX(AD11-cfg_EOS_TH,0))))</f>
        <v>1490.54794520549</v>
      </c>
      <c r="Z11" s="90" t="n">
        <f aca="false">IF($B11="","",IF(الموظفون!$R11&lt;&gt;"",الموظفون!$R11,IF(AC11&gt;=cfg_LV_TH,cfg_LV_D2,cfg_LV_D1))/cfg_DAYS_Y*AE11*الموظفون!$P11/cfg_DAYS_M)</f>
        <v>1490.54794520548</v>
      </c>
      <c r="AA11" s="90" t="n">
        <f aca="false">IF($B11="","",IF(AND(الموظفون!$S11="نعم",N(الموظفون!$U11)&gt;0),الموظفون!$T11/الموظفون!$U11*12/cfg_DAYS_Y*AE11,0))</f>
        <v>0</v>
      </c>
      <c r="AB11" s="113" t="n">
        <f aca="false">IF($B11="","",R11+SUM(X11:AA11))</f>
        <v>24940.470890411</v>
      </c>
      <c r="AC11" s="114" t="n">
        <f aca="false">IF($B11="","",MAX(0,IF(OR(الموظفون!$X11="",الموظفون!$X11&gt;$G$3),$G$3,الموظفون!$X11)-الموظفون!$H11+1)/cfg_DAYS_Y)</f>
        <v>8.82739726027397</v>
      </c>
      <c r="AD11" s="114" t="n">
        <f aca="false">IF($B11="","",MAX(0,IF(OR(الموظفون!$X11="",الموظفون!$X11&gt;($E$3-1)),($E$3-1),الموظفون!$X11)-الموظفون!$H11+1)/cfg_DAYS_Y)</f>
        <v>8.74246575342466</v>
      </c>
      <c r="AE11" s="115" t="n">
        <f aca="false">IF($B11="","",MAX(0,IF(OR(الموظفون!$X11="",الموظفون!$X11&gt;$G$3),$G$3,الموظفون!$X11)-MAX($E$3,الموظفون!$H11)+1))</f>
        <v>31</v>
      </c>
    </row>
    <row r="12" customFormat="false" ht="15" hidden="false" customHeight="false" outlineLevel="0" collapsed="false">
      <c r="A12" s="83" t="n">
        <f aca="false">IF($B12="","",الموظفون!$A12)</f>
        <v>7</v>
      </c>
      <c r="B12" s="74" t="str">
        <f aca="false">IF(الموظفون!$B12="","",الموظفون!$B12)</f>
        <v>E007</v>
      </c>
      <c r="C12" s="74" t="str">
        <f aca="false">IF($B12="","",الموظفون!$C12)</f>
        <v>خالد يوسف الأحمد</v>
      </c>
      <c r="D12" s="74" t="str">
        <f aca="false">IF($B12="","",الموظفون!$F12)</f>
        <v>المشاريع</v>
      </c>
      <c r="E12" s="74" t="str">
        <f aca="false">IF($B12="","",الموظفون!$E12)</f>
        <v>غير سعودي</v>
      </c>
      <c r="F12" s="105" t="n">
        <f aca="false">IF($B12="","",IF(AE12&gt;=DAY($G$3),cfg_DAYS_M,MIN(AE12,cfg_DAYS_M)))</f>
        <v>30</v>
      </c>
      <c r="G12" s="105" t="n">
        <f aca="false">IF($B12="","",SUMIFS('الحركات الشهرية'!$D$6:$D$1005,'الحركات الشهرية'!$B$6:$B$1005,$B12,'الحركات الشهرية'!$A$6:$A$1005,$C$3))</f>
        <v>0</v>
      </c>
      <c r="H12" s="105" t="n">
        <f aca="false">IF($B12="","",SUMIFS('الحركات الشهرية'!$E$6:$E$1005,'الحركات الشهرية'!$B$6:$B$1005,$B12,'الحركات الشهرية'!$A$6:$A$1005,$C$3))</f>
        <v>0</v>
      </c>
      <c r="I12" s="105" t="n">
        <f aca="false">IF($B12="","",MAX(0,F12-G12-H12))</f>
        <v>30</v>
      </c>
      <c r="J12" s="86" t="n">
        <f aca="false">IF($B12="","",الموظفون!$J12*$I12/cfg_DAYS_M)</f>
        <v>11000</v>
      </c>
      <c r="K12" s="86" t="n">
        <f aca="false">IF($B12="","",الموظفون!$K12*$I12/cfg_DAYS_M)</f>
        <v>2750</v>
      </c>
      <c r="L12" s="86" t="n">
        <f aca="false">IF($B12="","",الموظفون!$L12*$I12/cfg_DAYS_M)</f>
        <v>1100</v>
      </c>
      <c r="M12" s="86" t="n">
        <f aca="false">IF($B12="","",الموظفون!$M12*$I12/cfg_DAYS_M)</f>
        <v>800</v>
      </c>
      <c r="N12" s="105" t="n">
        <f aca="false">IF($B12="","",SUMIFS('الحركات الشهرية'!$F$6:$F$1005,'الحركات الشهرية'!$B$6:$B$1005,$B12,'الحركات الشهرية'!$A$6:$A$1005,$C$3))</f>
        <v>0</v>
      </c>
      <c r="O12" s="86" t="n">
        <f aca="false">IF($B12="","",N12*(الموظفون!$N12+الموظفون!$J12*cfg_OT_P)/cfg_DAYS_M/cfg_HRS)</f>
        <v>0</v>
      </c>
      <c r="P12" s="86" t="n">
        <f aca="false">IF($B12="","",SUMIFS('الحركات الشهرية'!$G$6:$G$1005,'الحركات الشهرية'!$B$6:$B$1005,$B12,'الحركات الشهرية'!$A$6:$A$1005,$C$3))</f>
        <v>0</v>
      </c>
      <c r="Q12" s="86" t="n">
        <f aca="false">IF($B12="","",SUMIFS('الحركات الشهرية'!$H$6:$H$1005,'الحركات الشهرية'!$B$6:$B$1005,$B12,'الحركات الشهرية'!$A$6:$A$1005,$C$3))</f>
        <v>0</v>
      </c>
      <c r="R12" s="106" t="n">
        <f aca="false">IF($B12="","",SUM(J12:M12)+SUM(O12:Q12))</f>
        <v>15650</v>
      </c>
      <c r="S12" s="86" t="n">
        <f aca="false">IF($B12="","",الموظفون!$Q12*IF(E12="سعودي",cfg_G_SE,cfg_G_NE)*F12/cfg_DAYS_M)</f>
        <v>0</v>
      </c>
      <c r="T12" s="86" t="n">
        <f aca="false">IF($B12="","",SUMIFS('الحركات الشهرية'!$I$6:$I$1005,'الحركات الشهرية'!$B$6:$B$1005,$B12,'الحركات الشهرية'!$A$6:$A$1005,$C$3))</f>
        <v>0</v>
      </c>
      <c r="U12" s="86" t="n">
        <f aca="false">IF($B12="","",SUMIFS('الحركات الشهرية'!$J$6:$J$1005,'الحركات الشهرية'!$B$6:$B$1005,$B12,'الحركات الشهرية'!$A$6:$A$1005,$C$3))</f>
        <v>0</v>
      </c>
      <c r="V12" s="86" t="n">
        <f aca="false">IF($B12="","",SUM(S12:U12))</f>
        <v>0</v>
      </c>
      <c r="W12" s="107" t="n">
        <f aca="false">IF($B12="","",R12-V12)</f>
        <v>15650</v>
      </c>
      <c r="X12" s="86" t="n">
        <f aca="false">IF($B12="","",الموظفون!$Q12*IF(E12="سعودي",cfg_G_SR,cfg_G_NR)*F12/cfg_DAYS_M)</f>
        <v>275</v>
      </c>
      <c r="Y12" s="86" t="n">
        <f aca="false">IF($B12="","",الموظفون!$O12*(cfg_EOS_R1*(MIN(AC12,cfg_EOS_TH)-MIN(AD12,cfg_EOS_TH))+cfg_EOS_R2*(MAX(AC12-cfg_EOS_TH,0)-MAX(AD12-cfg_EOS_TH,0))))</f>
        <v>1261.23287671234</v>
      </c>
      <c r="Z12" s="86" t="n">
        <f aca="false">IF($B12="","",IF(الموظفون!$R12&lt;&gt;"",الموظفون!$R12,IF(AC12&gt;=cfg_LV_TH,cfg_LV_D2,cfg_LV_D1))/cfg_DAYS_Y*AE12*الموظفون!$P12/cfg_DAYS_M)</f>
        <v>1261.23287671233</v>
      </c>
      <c r="AA12" s="86" t="n">
        <f aca="false">IF($B12="","",IF(AND(الموظفون!$S12="نعم",N(الموظفون!$U12)&gt;0),الموظفون!$T12/الموظفون!$U12*12/cfg_DAYS_Y*AE12,0))</f>
        <v>382.191780821918</v>
      </c>
      <c r="AB12" s="108" t="n">
        <f aca="false">IF($B12="","",R12+SUM(X12:AA12))</f>
        <v>18829.6575342466</v>
      </c>
      <c r="AC12" s="109" t="n">
        <f aca="false">IF($B12="","",MAX(0,IF(OR(الموظفون!$X12="",الموظفون!$X12&gt;$G$3),$G$3,الموظفون!$X12)-الموظفون!$H12+1)/cfg_DAYS_Y)</f>
        <v>5.61643835616438</v>
      </c>
      <c r="AD12" s="109" t="n">
        <f aca="false">IF($B12="","",MAX(0,IF(OR(الموظفون!$X12="",الموظفون!$X12&gt;($E$3-1)),($E$3-1),الموظفون!$X12)-الموظفون!$H12+1)/cfg_DAYS_Y)</f>
        <v>5.53150684931507</v>
      </c>
      <c r="AE12" s="51" t="n">
        <f aca="false">IF($B12="","",MAX(0,IF(OR(الموظفون!$X12="",الموظفون!$X12&gt;$G$3),$G$3,الموظفون!$X12)-MAX($E$3,الموظفون!$H12)+1))</f>
        <v>31</v>
      </c>
    </row>
    <row r="13" customFormat="false" ht="15" hidden="false" customHeight="false" outlineLevel="0" collapsed="false">
      <c r="A13" s="89" t="n">
        <f aca="false">IF($B13="","",الموظفون!$A13)</f>
        <v>8</v>
      </c>
      <c r="B13" s="91" t="str">
        <f aca="false">IF(الموظفون!$B13="","",الموظفون!$B13)</f>
        <v>E008</v>
      </c>
      <c r="C13" s="91" t="str">
        <f aca="false">IF($B13="","",الموظفون!$C13)</f>
        <v>سارة عبدالرحمن الزهراني</v>
      </c>
      <c r="D13" s="91" t="str">
        <f aca="false">IF($B13="","",الموظفون!$F13)</f>
        <v>المالية</v>
      </c>
      <c r="E13" s="91" t="str">
        <f aca="false">IF($B13="","",الموظفون!$E13)</f>
        <v>سعودي</v>
      </c>
      <c r="F13" s="110" t="n">
        <f aca="false">IF($B13="","",IF(AE13&gt;=DAY($G$3),cfg_DAYS_M,MIN(AE13,cfg_DAYS_M)))</f>
        <v>30</v>
      </c>
      <c r="G13" s="110" t="n">
        <f aca="false">IF($B13="","",SUMIFS('الحركات الشهرية'!$D$6:$D$1005,'الحركات الشهرية'!$B$6:$B$1005,$B13,'الحركات الشهرية'!$A$6:$A$1005,$C$3))</f>
        <v>0</v>
      </c>
      <c r="H13" s="110" t="n">
        <f aca="false">IF($B13="","",SUMIFS('الحركات الشهرية'!$E$6:$E$1005,'الحركات الشهرية'!$B$6:$B$1005,$B13,'الحركات الشهرية'!$A$6:$A$1005,$C$3))</f>
        <v>3</v>
      </c>
      <c r="I13" s="110" t="n">
        <f aca="false">IF($B13="","",MAX(0,F13-G13-H13))</f>
        <v>27</v>
      </c>
      <c r="J13" s="90" t="n">
        <f aca="false">IF($B13="","",الموظفون!$J13*$I13/cfg_DAYS_M)</f>
        <v>6750</v>
      </c>
      <c r="K13" s="90" t="n">
        <f aca="false">IF($B13="","",الموظفون!$K13*$I13/cfg_DAYS_M)</f>
        <v>1687.5</v>
      </c>
      <c r="L13" s="90" t="n">
        <f aca="false">IF($B13="","",الموظفون!$L13*$I13/cfg_DAYS_M)</f>
        <v>675</v>
      </c>
      <c r="M13" s="90" t="n">
        <f aca="false">IF($B13="","",الموظفون!$M13*$I13/cfg_DAYS_M)</f>
        <v>0</v>
      </c>
      <c r="N13" s="110" t="n">
        <f aca="false">IF($B13="","",SUMIFS('الحركات الشهرية'!$F$6:$F$1005,'الحركات الشهرية'!$B$6:$B$1005,$B13,'الحركات الشهرية'!$A$6:$A$1005,$C$3))</f>
        <v>0</v>
      </c>
      <c r="O13" s="90" t="n">
        <f aca="false">IF($B13="","",N13*(الموظفون!$N13+الموظفون!$J13*cfg_OT_P)/cfg_DAYS_M/cfg_HRS)</f>
        <v>0</v>
      </c>
      <c r="P13" s="90" t="n">
        <f aca="false">IF($B13="","",SUMIFS('الحركات الشهرية'!$G$6:$G$1005,'الحركات الشهرية'!$B$6:$B$1005,$B13,'الحركات الشهرية'!$A$6:$A$1005,$C$3))</f>
        <v>0</v>
      </c>
      <c r="Q13" s="90" t="n">
        <f aca="false">IF($B13="","",SUMIFS('الحركات الشهرية'!$H$6:$H$1005,'الحركات الشهرية'!$B$6:$B$1005,$B13,'الحركات الشهرية'!$A$6:$A$1005,$C$3))</f>
        <v>0</v>
      </c>
      <c r="R13" s="111" t="n">
        <f aca="false">IF($B13="","",SUM(J13:M13)+SUM(O13:Q13))</f>
        <v>9112.5</v>
      </c>
      <c r="S13" s="90" t="n">
        <f aca="false">IF($B13="","",الموظفون!$Q13*IF(E13="سعودي",cfg_G_SE,cfg_G_NE)*F13/cfg_DAYS_M)</f>
        <v>914.0625</v>
      </c>
      <c r="T13" s="90" t="n">
        <f aca="false">IF($B13="","",SUMIFS('الحركات الشهرية'!$I$6:$I$1005,'الحركات الشهرية'!$B$6:$B$1005,$B13,'الحركات الشهرية'!$A$6:$A$1005,$C$3))</f>
        <v>0</v>
      </c>
      <c r="U13" s="90" t="n">
        <f aca="false">IF($B13="","",SUMIFS('الحركات الشهرية'!$J$6:$J$1005,'الحركات الشهرية'!$B$6:$B$1005,$B13,'الحركات الشهرية'!$A$6:$A$1005,$C$3))</f>
        <v>0</v>
      </c>
      <c r="V13" s="90" t="n">
        <f aca="false">IF($B13="","",SUM(S13:U13))</f>
        <v>914.0625</v>
      </c>
      <c r="W13" s="112" t="n">
        <f aca="false">IF($B13="","",R13-V13)</f>
        <v>8198.4375</v>
      </c>
      <c r="X13" s="90" t="n">
        <f aca="false">IF($B13="","",الموظفون!$Q13*IF(E13="سعودي",cfg_G_SR,cfg_G_NR)*F13/cfg_DAYS_M)</f>
        <v>1101.5625</v>
      </c>
      <c r="Y13" s="90" t="n">
        <f aca="false">IF($B13="","",الموظفون!$O13*(cfg_EOS_R1*(MIN(AC13,cfg_EOS_TH)-MIN(AD13,cfg_EOS_TH))+cfg_EOS_R2*(MAX(AC13-cfg_EOS_TH,0)-MAX(AD13-cfg_EOS_TH,0))))</f>
        <v>429.965753424657</v>
      </c>
      <c r="Z13" s="90" t="n">
        <f aca="false">IF($B13="","",IF(الموظفون!$R13&lt;&gt;"",الموظفون!$R13,IF(AC13&gt;=cfg_LV_TH,cfg_LV_D2,cfg_LV_D1))/cfg_DAYS_Y*AE13*الموظفون!$P13/cfg_DAYS_M)</f>
        <v>601.952054794521</v>
      </c>
      <c r="AA13" s="90" t="n">
        <f aca="false">IF($B13="","",IF(AND(الموظفون!$S13="نعم",N(الموظفون!$U13)&gt;0),الموظفون!$T13/الموظفون!$U13*12/cfg_DAYS_Y*AE13,0))</f>
        <v>0</v>
      </c>
      <c r="AB13" s="113" t="n">
        <f aca="false">IF($B13="","",R13+SUM(X13:AA13))</f>
        <v>11245.9803082192</v>
      </c>
      <c r="AC13" s="114" t="n">
        <f aca="false">IF($B13="","",MAX(0,IF(OR(الموظفون!$X13="",الموظفون!$X13&gt;$G$3),$G$3,الموظفون!$X13)-الموظفون!$H13+1)/cfg_DAYS_Y)</f>
        <v>3.50684931506849</v>
      </c>
      <c r="AD13" s="114" t="n">
        <f aca="false">IF($B13="","",MAX(0,IF(OR(الموظفون!$X13="",الموظفون!$X13&gt;($E$3-1)),($E$3-1),الموظفون!$X13)-الموظفون!$H13+1)/cfg_DAYS_Y)</f>
        <v>3.42191780821918</v>
      </c>
      <c r="AE13" s="115" t="n">
        <f aca="false">IF($B13="","",MAX(0,IF(OR(الموظفون!$X13="",الموظفون!$X13&gt;$G$3),$G$3,الموظفون!$X13)-MAX($E$3,الموظفون!$H13)+1))</f>
        <v>31</v>
      </c>
    </row>
    <row r="14" customFormat="false" ht="15" hidden="false" customHeight="false" outlineLevel="0" collapsed="false">
      <c r="A14" s="83" t="n">
        <f aca="false">IF($B14="","",الموظفون!$A14)</f>
        <v>9</v>
      </c>
      <c r="B14" s="74" t="str">
        <f aca="false">IF(الموظفون!$B14="","",الموظفون!$B14)</f>
        <v>E009</v>
      </c>
      <c r="C14" s="74" t="str">
        <f aca="false">IF($B14="","",الموظفون!$C14)</f>
        <v>محمد رفيق</v>
      </c>
      <c r="D14" s="74" t="str">
        <f aca="false">IF($B14="","",الموظفون!$F14)</f>
        <v>العمليات</v>
      </c>
      <c r="E14" s="74" t="str">
        <f aca="false">IF($B14="","",الموظفون!$E14)</f>
        <v>غير سعودي</v>
      </c>
      <c r="F14" s="105" t="n">
        <f aca="false">IF($B14="","",IF(AE14&gt;=DAY($G$3),cfg_DAYS_M,MIN(AE14,cfg_DAYS_M)))</f>
        <v>30</v>
      </c>
      <c r="G14" s="105" t="n">
        <f aca="false">IF($B14="","",SUMIFS('الحركات الشهرية'!$D$6:$D$1005,'الحركات الشهرية'!$B$6:$B$1005,$B14,'الحركات الشهرية'!$A$6:$A$1005,$C$3))</f>
        <v>0</v>
      </c>
      <c r="H14" s="105" t="n">
        <f aca="false">IF($B14="","",SUMIFS('الحركات الشهرية'!$E$6:$E$1005,'الحركات الشهرية'!$B$6:$B$1005,$B14,'الحركات الشهرية'!$A$6:$A$1005,$C$3))</f>
        <v>0</v>
      </c>
      <c r="I14" s="105" t="n">
        <f aca="false">IF($B14="","",MAX(0,F14-G14-H14))</f>
        <v>30</v>
      </c>
      <c r="J14" s="86" t="n">
        <f aca="false">IF($B14="","",الموظفون!$J14*$I14/cfg_DAYS_M)</f>
        <v>6500</v>
      </c>
      <c r="K14" s="86" t="n">
        <f aca="false">IF($B14="","",الموظفون!$K14*$I14/cfg_DAYS_M)</f>
        <v>1625</v>
      </c>
      <c r="L14" s="86" t="n">
        <f aca="false">IF($B14="","",الموظفون!$L14*$I14/cfg_DAYS_M)</f>
        <v>650</v>
      </c>
      <c r="M14" s="86" t="n">
        <f aca="false">IF($B14="","",الموظفون!$M14*$I14/cfg_DAYS_M)</f>
        <v>300</v>
      </c>
      <c r="N14" s="105" t="n">
        <f aca="false">IF($B14="","",SUMIFS('الحركات الشهرية'!$F$6:$F$1005,'الحركات الشهرية'!$B$6:$B$1005,$B14,'الحركات الشهرية'!$A$6:$A$1005,$C$3))</f>
        <v>0</v>
      </c>
      <c r="O14" s="86" t="n">
        <f aca="false">IF($B14="","",N14*(الموظفون!$N14+الموظفون!$J14*cfg_OT_P)/cfg_DAYS_M/cfg_HRS)</f>
        <v>0</v>
      </c>
      <c r="P14" s="86" t="n">
        <f aca="false">IF($B14="","",SUMIFS('الحركات الشهرية'!$G$6:$G$1005,'الحركات الشهرية'!$B$6:$B$1005,$B14,'الحركات الشهرية'!$A$6:$A$1005,$C$3))</f>
        <v>0</v>
      </c>
      <c r="Q14" s="86" t="n">
        <f aca="false">IF($B14="","",SUMIFS('الحركات الشهرية'!$H$6:$H$1005,'الحركات الشهرية'!$B$6:$B$1005,$B14,'الحركات الشهرية'!$A$6:$A$1005,$C$3))</f>
        <v>0</v>
      </c>
      <c r="R14" s="106" t="n">
        <f aca="false">IF($B14="","",SUM(J14:M14)+SUM(O14:Q14))</f>
        <v>9075</v>
      </c>
      <c r="S14" s="86" t="n">
        <f aca="false">IF($B14="","",الموظفون!$Q14*IF(E14="سعودي",cfg_G_SE,cfg_G_NE)*F14/cfg_DAYS_M)</f>
        <v>0</v>
      </c>
      <c r="T14" s="86" t="n">
        <f aca="false">IF($B14="","",SUMIFS('الحركات الشهرية'!$I$6:$I$1005,'الحركات الشهرية'!$B$6:$B$1005,$B14,'الحركات الشهرية'!$A$6:$A$1005,$C$3))</f>
        <v>0</v>
      </c>
      <c r="U14" s="86" t="n">
        <f aca="false">IF($B14="","",SUMIFS('الحركات الشهرية'!$J$6:$J$1005,'الحركات الشهرية'!$B$6:$B$1005,$B14,'الحركات الشهرية'!$A$6:$A$1005,$C$3))</f>
        <v>0</v>
      </c>
      <c r="V14" s="86" t="n">
        <f aca="false">IF($B14="","",SUM(S14:U14))</f>
        <v>0</v>
      </c>
      <c r="W14" s="107" t="n">
        <f aca="false">IF($B14="","",R14-V14)</f>
        <v>9075</v>
      </c>
      <c r="X14" s="86" t="n">
        <f aca="false">IF($B14="","",الموظفون!$Q14*IF(E14="سعودي",cfg_G_SR,cfg_G_NR)*F14/cfg_DAYS_M)</f>
        <v>162.5</v>
      </c>
      <c r="Y14" s="86" t="n">
        <f aca="false">IF($B14="","",الموظفون!$O14*(cfg_EOS_R1*(MIN(AC14,cfg_EOS_TH)-MIN(AD14,cfg_EOS_TH))+cfg_EOS_R2*(MAX(AC14-cfg_EOS_TH,0)-MAX(AD14-cfg_EOS_TH,0))))</f>
        <v>745.273972602744</v>
      </c>
      <c r="Z14" s="86" t="n">
        <f aca="false">IF($B14="","",IF(الموظفون!$R14&lt;&gt;"",الموظفون!$R14,IF(AC14&gt;=cfg_LV_TH,cfg_LV_D2,cfg_LV_D1))/cfg_DAYS_Y*AE14*الموظفون!$P14/cfg_DAYS_M)</f>
        <v>745.27397260274</v>
      </c>
      <c r="AA14" s="86" t="n">
        <f aca="false">IF($B14="","",IF(AND(الموظفون!$S14="نعم",N(الموظفون!$U14)&gt;0),الموظفون!$T14/الموظفون!$U14*12/cfg_DAYS_Y*AE14,0))</f>
        <v>93.4246575342466</v>
      </c>
      <c r="AB14" s="108" t="n">
        <f aca="false">IF($B14="","",R14+SUM(X14:AA14))</f>
        <v>10821.4726027397</v>
      </c>
      <c r="AC14" s="109" t="n">
        <f aca="false">IF($B14="","",MAX(0,IF(OR(الموظفون!$X14="",الموظفون!$X14&gt;$G$3),$G$3,الموظفون!$X14)-الموظفون!$H14+1)/cfg_DAYS_Y)</f>
        <v>12.0465753424658</v>
      </c>
      <c r="AD14" s="109" t="n">
        <f aca="false">IF($B14="","",MAX(0,IF(OR(الموظفون!$X14="",الموظفون!$X14&gt;($E$3-1)),($E$3-1),الموظفون!$X14)-الموظفون!$H14+1)/cfg_DAYS_Y)</f>
        <v>11.9616438356164</v>
      </c>
      <c r="AE14" s="51" t="n">
        <f aca="false">IF($B14="","",MAX(0,IF(OR(الموظفون!$X14="",الموظفون!$X14&gt;$G$3),$G$3,الموظفون!$X14)-MAX($E$3,الموظفون!$H14)+1))</f>
        <v>31</v>
      </c>
    </row>
    <row r="15" customFormat="false" ht="15" hidden="false" customHeight="false" outlineLevel="0" collapsed="false">
      <c r="A15" s="89" t="n">
        <f aca="false">IF($B15="","",الموظفون!$A15)</f>
        <v>10</v>
      </c>
      <c r="B15" s="91" t="str">
        <f aca="false">IF(الموظفون!$B15="","",الموظفون!$B15)</f>
        <v>E010</v>
      </c>
      <c r="C15" s="91" t="str">
        <f aca="false">IF($B15="","",الموظفون!$C15)</f>
        <v>ريم سلطان المطيري</v>
      </c>
      <c r="D15" s="91" t="str">
        <f aca="false">IF($B15="","",الموظفون!$F15)</f>
        <v>المبيعات</v>
      </c>
      <c r="E15" s="91" t="str">
        <f aca="false">IF($B15="","",الموظفون!$E15)</f>
        <v>سعودي</v>
      </c>
      <c r="F15" s="110" t="n">
        <f aca="false">IF($B15="","",IF(AE15&gt;=DAY($G$3),cfg_DAYS_M,MIN(AE15,cfg_DAYS_M)))</f>
        <v>30</v>
      </c>
      <c r="G15" s="110" t="n">
        <f aca="false">IF($B15="","",SUMIFS('الحركات الشهرية'!$D$6:$D$1005,'الحركات الشهرية'!$B$6:$B$1005,$B15,'الحركات الشهرية'!$A$6:$A$1005,$C$3))</f>
        <v>0</v>
      </c>
      <c r="H15" s="110" t="n">
        <f aca="false">IF($B15="","",SUMIFS('الحركات الشهرية'!$E$6:$E$1005,'الحركات الشهرية'!$B$6:$B$1005,$B15,'الحركات الشهرية'!$A$6:$A$1005,$C$3))</f>
        <v>0</v>
      </c>
      <c r="I15" s="110" t="n">
        <f aca="false">IF($B15="","",MAX(0,F15-G15-H15))</f>
        <v>30</v>
      </c>
      <c r="J15" s="90" t="n">
        <f aca="false">IF($B15="","",الموظفون!$J15*$I15/cfg_DAYS_M)</f>
        <v>9000</v>
      </c>
      <c r="K15" s="90" t="n">
        <f aca="false">IF($B15="","",الموظفون!$K15*$I15/cfg_DAYS_M)</f>
        <v>2250</v>
      </c>
      <c r="L15" s="90" t="n">
        <f aca="false">IF($B15="","",الموظفون!$L15*$I15/cfg_DAYS_M)</f>
        <v>900</v>
      </c>
      <c r="M15" s="90" t="n">
        <f aca="false">IF($B15="","",الموظفون!$M15*$I15/cfg_DAYS_M)</f>
        <v>0</v>
      </c>
      <c r="N15" s="110" t="n">
        <f aca="false">IF($B15="","",SUMIFS('الحركات الشهرية'!$F$6:$F$1005,'الحركات الشهرية'!$B$6:$B$1005,$B15,'الحركات الشهرية'!$A$6:$A$1005,$C$3))</f>
        <v>0</v>
      </c>
      <c r="O15" s="90" t="n">
        <f aca="false">IF($B15="","",N15*(الموظفون!$N15+الموظفون!$J15*cfg_OT_P)/cfg_DAYS_M/cfg_HRS)</f>
        <v>0</v>
      </c>
      <c r="P15" s="90" t="n">
        <f aca="false">IF($B15="","",SUMIFS('الحركات الشهرية'!$G$6:$G$1005,'الحركات الشهرية'!$B$6:$B$1005,$B15,'الحركات الشهرية'!$A$6:$A$1005,$C$3))</f>
        <v>0</v>
      </c>
      <c r="Q15" s="90" t="n">
        <f aca="false">IF($B15="","",SUMIFS('الحركات الشهرية'!$H$6:$H$1005,'الحركات الشهرية'!$B$6:$B$1005,$B15,'الحركات الشهرية'!$A$6:$A$1005,$C$3))</f>
        <v>0</v>
      </c>
      <c r="R15" s="111" t="n">
        <f aca="false">IF($B15="","",SUM(J15:M15)+SUM(O15:Q15))</f>
        <v>12150</v>
      </c>
      <c r="S15" s="90" t="n">
        <f aca="false">IF($B15="","",الموظفون!$Q15*IF(E15="سعودي",cfg_G_SE,cfg_G_NE)*F15/cfg_DAYS_M)</f>
        <v>1096.875</v>
      </c>
      <c r="T15" s="90" t="n">
        <f aca="false">IF($B15="","",SUMIFS('الحركات الشهرية'!$I$6:$I$1005,'الحركات الشهرية'!$B$6:$B$1005,$B15,'الحركات الشهرية'!$A$6:$A$1005,$C$3))</f>
        <v>0</v>
      </c>
      <c r="U15" s="90" t="n">
        <f aca="false">IF($B15="","",SUMIFS('الحركات الشهرية'!$J$6:$J$1005,'الحركات الشهرية'!$B$6:$B$1005,$B15,'الحركات الشهرية'!$A$6:$A$1005,$C$3))</f>
        <v>0</v>
      </c>
      <c r="V15" s="90" t="n">
        <f aca="false">IF($B15="","",SUM(S15:U15))</f>
        <v>1096.875</v>
      </c>
      <c r="W15" s="112" t="n">
        <f aca="false">IF($B15="","",R15-V15)</f>
        <v>11053.125</v>
      </c>
      <c r="X15" s="90" t="n">
        <f aca="false">IF($B15="","",الموظفون!$Q15*IF(E15="سعودي",cfg_G_SR,cfg_G_NR)*F15/cfg_DAYS_M)</f>
        <v>1321.875</v>
      </c>
      <c r="Y15" s="90" t="n">
        <f aca="false">IF($B15="","",الموظفون!$O15*(cfg_EOS_R1*(MIN(AC15,cfg_EOS_TH)-MIN(AD15,cfg_EOS_TH))+cfg_EOS_R2*(MAX(AC15-cfg_EOS_TH,0)-MAX(AD15-cfg_EOS_TH,0))))</f>
        <v>515.958904109589</v>
      </c>
      <c r="Z15" s="90" t="n">
        <f aca="false">IF($B15="","",IF(الموظفون!$R15&lt;&gt;"",الموظفون!$R15,IF(AC15&gt;=cfg_LV_TH,cfg_LV_D2,cfg_LV_D1))/cfg_DAYS_Y*AE15*الموظفون!$P15/cfg_DAYS_M)</f>
        <v>722.342465753425</v>
      </c>
      <c r="AA15" s="90" t="n">
        <f aca="false">IF($B15="","",IF(AND(الموظفون!$S15="نعم",N(الموظفون!$U15)&gt;0),الموظفون!$T15/الموظفون!$U15*12/cfg_DAYS_Y*AE15,0))</f>
        <v>0</v>
      </c>
      <c r="AB15" s="113" t="n">
        <f aca="false">IF($B15="","",R15+SUM(X15:AA15))</f>
        <v>14710.176369863</v>
      </c>
      <c r="AC15" s="114" t="n">
        <f aca="false">IF($B15="","",MAX(0,IF(OR(الموظفون!$X15="",الموظفون!$X15&gt;$G$3),$G$3,الموظفون!$X15)-الموظفون!$H15+1)/cfg_DAYS_Y)</f>
        <v>0.380821917808219</v>
      </c>
      <c r="AD15" s="114" t="n">
        <f aca="false">IF($B15="","",MAX(0,IF(OR(الموظفون!$X15="",الموظفون!$X15&gt;($E$3-1)),($E$3-1),الموظفون!$X15)-الموظفون!$H15+1)/cfg_DAYS_Y)</f>
        <v>0.295890410958904</v>
      </c>
      <c r="AE15" s="115" t="n">
        <f aca="false">IF($B15="","",MAX(0,IF(OR(الموظفون!$X15="",الموظفون!$X15&gt;$G$3),$G$3,الموظفون!$X15)-MAX($E$3,الموظفون!$H15)+1))</f>
        <v>31</v>
      </c>
    </row>
    <row r="16" customFormat="false" ht="15" hidden="false" customHeight="false" outlineLevel="0" collapsed="false">
      <c r="A16" s="83" t="n">
        <f aca="false">IF($B16="","",الموظفون!$A16)</f>
        <v>11</v>
      </c>
      <c r="B16" s="74" t="str">
        <f aca="false">IF(الموظفون!$B16="","",الموظفون!$B16)</f>
        <v>E011</v>
      </c>
      <c r="C16" s="74" t="str">
        <f aca="false">IF($B16="","",الموظفون!$C16)</f>
        <v>جون ماتيو</v>
      </c>
      <c r="D16" s="74" t="str">
        <f aca="false">IF($B16="","",الموظفون!$F16)</f>
        <v>العمليات</v>
      </c>
      <c r="E16" s="74" t="str">
        <f aca="false">IF($B16="","",الموظفون!$E16)</f>
        <v>غير سعودي</v>
      </c>
      <c r="F16" s="105" t="n">
        <f aca="false">IF($B16="","",IF(AE16&gt;=DAY($G$3),cfg_DAYS_M,MIN(AE16,cfg_DAYS_M)))</f>
        <v>0</v>
      </c>
      <c r="G16" s="105" t="n">
        <f aca="false">IF($B16="","",SUMIFS('الحركات الشهرية'!$D$6:$D$1005,'الحركات الشهرية'!$B$6:$B$1005,$B16,'الحركات الشهرية'!$A$6:$A$1005,$C$3))</f>
        <v>0</v>
      </c>
      <c r="H16" s="105" t="n">
        <f aca="false">IF($B16="","",SUMIFS('الحركات الشهرية'!$E$6:$E$1005,'الحركات الشهرية'!$B$6:$B$1005,$B16,'الحركات الشهرية'!$A$6:$A$1005,$C$3))</f>
        <v>0</v>
      </c>
      <c r="I16" s="105" t="n">
        <f aca="false">IF($B16="","",MAX(0,F16-G16-H16))</f>
        <v>0</v>
      </c>
      <c r="J16" s="86" t="n">
        <f aca="false">IF($B16="","",الموظفون!$J16*$I16/cfg_DAYS_M)</f>
        <v>0</v>
      </c>
      <c r="K16" s="86" t="n">
        <f aca="false">IF($B16="","",الموظفون!$K16*$I16/cfg_DAYS_M)</f>
        <v>0</v>
      </c>
      <c r="L16" s="86" t="n">
        <f aca="false">IF($B16="","",الموظفون!$L16*$I16/cfg_DAYS_M)</f>
        <v>0</v>
      </c>
      <c r="M16" s="86" t="n">
        <f aca="false">IF($B16="","",الموظفون!$M16*$I16/cfg_DAYS_M)</f>
        <v>0</v>
      </c>
      <c r="N16" s="105" t="n">
        <f aca="false">IF($B16="","",SUMIFS('الحركات الشهرية'!$F$6:$F$1005,'الحركات الشهرية'!$B$6:$B$1005,$B16,'الحركات الشهرية'!$A$6:$A$1005,$C$3))</f>
        <v>0</v>
      </c>
      <c r="O16" s="86" t="n">
        <f aca="false">IF($B16="","",N16*(الموظفون!$N16+الموظفون!$J16*cfg_OT_P)/cfg_DAYS_M/cfg_HRS)</f>
        <v>0</v>
      </c>
      <c r="P16" s="86" t="n">
        <f aca="false">IF($B16="","",SUMIFS('الحركات الشهرية'!$G$6:$G$1005,'الحركات الشهرية'!$B$6:$B$1005,$B16,'الحركات الشهرية'!$A$6:$A$1005,$C$3))</f>
        <v>0</v>
      </c>
      <c r="Q16" s="86" t="n">
        <f aca="false">IF($B16="","",SUMIFS('الحركات الشهرية'!$H$6:$H$1005,'الحركات الشهرية'!$B$6:$B$1005,$B16,'الحركات الشهرية'!$A$6:$A$1005,$C$3))</f>
        <v>0</v>
      </c>
      <c r="R16" s="106" t="n">
        <f aca="false">IF($B16="","",SUM(J16:M16)+SUM(O16:Q16))</f>
        <v>0</v>
      </c>
      <c r="S16" s="86" t="n">
        <f aca="false">IF($B16="","",الموظفون!$Q16*IF(E16="سعودي",cfg_G_SE,cfg_G_NE)*F16/cfg_DAYS_M)</f>
        <v>0</v>
      </c>
      <c r="T16" s="86" t="n">
        <f aca="false">IF($B16="","",SUMIFS('الحركات الشهرية'!$I$6:$I$1005,'الحركات الشهرية'!$B$6:$B$1005,$B16,'الحركات الشهرية'!$A$6:$A$1005,$C$3))</f>
        <v>0</v>
      </c>
      <c r="U16" s="86" t="n">
        <f aca="false">IF($B16="","",SUMIFS('الحركات الشهرية'!$J$6:$J$1005,'الحركات الشهرية'!$B$6:$B$1005,$B16,'الحركات الشهرية'!$A$6:$A$1005,$C$3))</f>
        <v>0</v>
      </c>
      <c r="V16" s="86" t="n">
        <f aca="false">IF($B16="","",SUM(S16:U16))</f>
        <v>0</v>
      </c>
      <c r="W16" s="107" t="n">
        <f aca="false">IF($B16="","",R16-V16)</f>
        <v>0</v>
      </c>
      <c r="X16" s="86" t="n">
        <f aca="false">IF($B16="","",الموظفون!$Q16*IF(E16="سعودي",cfg_G_SR,cfg_G_NR)*F16/cfg_DAYS_M)</f>
        <v>0</v>
      </c>
      <c r="Y16" s="86" t="n">
        <f aca="false">IF($B16="","",الموظفون!$O16*(cfg_EOS_R1*(MIN(AC16,cfg_EOS_TH)-MIN(AD16,cfg_EOS_TH))+cfg_EOS_R2*(MAX(AC16-cfg_EOS_TH,0)-MAX(AD16-cfg_EOS_TH,0))))</f>
        <v>0</v>
      </c>
      <c r="Z16" s="86" t="n">
        <f aca="false">IF($B16="","",IF(الموظفون!$R16&lt;&gt;"",الموظفون!$R16,IF(AC16&gt;=cfg_LV_TH,cfg_LV_D2,cfg_LV_D1))/cfg_DAYS_Y*AE16*الموظفون!$P16/cfg_DAYS_M)</f>
        <v>0</v>
      </c>
      <c r="AA16" s="86" t="n">
        <f aca="false">IF($B16="","",IF(AND(الموظفون!$S16="نعم",N(الموظفون!$U16)&gt;0),الموظفون!$T16/الموظفون!$U16*12/cfg_DAYS_Y*AE16,0))</f>
        <v>0</v>
      </c>
      <c r="AB16" s="108" t="n">
        <f aca="false">IF($B16="","",R16+SUM(X16:AA16))</f>
        <v>0</v>
      </c>
      <c r="AC16" s="109" t="n">
        <f aca="false">IF($B16="","",MAX(0,IF(OR(الموظفون!$X16="",الموظفون!$X16&gt;$G$3),$G$3,الموظفون!$X16)-الموظفون!$H16+1)/cfg_DAYS_Y)</f>
        <v>7.33972602739726</v>
      </c>
      <c r="AD16" s="109" t="n">
        <f aca="false">IF($B16="","",MAX(0,IF(OR(الموظفون!$X16="",الموظفون!$X16&gt;($E$3-1)),($E$3-1),الموظفون!$X16)-الموظفون!$H16+1)/cfg_DAYS_Y)</f>
        <v>7.33972602739726</v>
      </c>
      <c r="AE16" s="51" t="n">
        <f aca="false">IF($B16="","",MAX(0,IF(OR(الموظفون!$X16="",الموظفون!$X16&gt;$G$3),$G$3,الموظفون!$X16)-MAX($E$3,الموظفون!$H16)+1))</f>
        <v>0</v>
      </c>
    </row>
    <row r="17" customFormat="false" ht="15" hidden="false" customHeight="false" outlineLevel="0" collapsed="false">
      <c r="A17" s="89" t="n">
        <f aca="false">IF($B17="","",الموظفون!$A17)</f>
        <v>12</v>
      </c>
      <c r="B17" s="91" t="str">
        <f aca="false">IF(الموظفون!$B17="","",الموظفون!$B17)</f>
        <v>E012</v>
      </c>
      <c r="C17" s="91" t="str">
        <f aca="false">IF($B17="","",الموظفون!$C17)</f>
        <v>عمر حسين البيشي</v>
      </c>
      <c r="D17" s="91" t="str">
        <f aca="false">IF($B17="","",الموظفون!$F17)</f>
        <v>تقنية المعلومات</v>
      </c>
      <c r="E17" s="91" t="str">
        <f aca="false">IF($B17="","",الموظفون!$E17)</f>
        <v>سعودي</v>
      </c>
      <c r="F17" s="110" t="n">
        <f aca="false">IF($B17="","",IF(AE17&gt;=DAY($G$3),cfg_DAYS_M,MIN(AE17,cfg_DAYS_M)))</f>
        <v>30</v>
      </c>
      <c r="G17" s="110" t="n">
        <f aca="false">IF($B17="","",SUMIFS('الحركات الشهرية'!$D$6:$D$1005,'الحركات الشهرية'!$B$6:$B$1005,$B17,'الحركات الشهرية'!$A$6:$A$1005,$C$3))</f>
        <v>0</v>
      </c>
      <c r="H17" s="110" t="n">
        <f aca="false">IF($B17="","",SUMIFS('الحركات الشهرية'!$E$6:$E$1005,'الحركات الشهرية'!$B$6:$B$1005,$B17,'الحركات الشهرية'!$A$6:$A$1005,$C$3))</f>
        <v>0</v>
      </c>
      <c r="I17" s="110" t="n">
        <f aca="false">IF($B17="","",MAX(0,F17-G17-H17))</f>
        <v>30</v>
      </c>
      <c r="J17" s="90" t="n">
        <f aca="false">IF($B17="","",الموظفون!$J17*$I17/cfg_DAYS_M)</f>
        <v>12000</v>
      </c>
      <c r="K17" s="90" t="n">
        <f aca="false">IF($B17="","",الموظفون!$K17*$I17/cfg_DAYS_M)</f>
        <v>3000</v>
      </c>
      <c r="L17" s="90" t="n">
        <f aca="false">IF($B17="","",الموظفون!$L17*$I17/cfg_DAYS_M)</f>
        <v>1200</v>
      </c>
      <c r="M17" s="90" t="n">
        <f aca="false">IF($B17="","",الموظفون!$M17*$I17/cfg_DAYS_M)</f>
        <v>1500</v>
      </c>
      <c r="N17" s="110" t="n">
        <f aca="false">IF($B17="","",SUMIFS('الحركات الشهرية'!$F$6:$F$1005,'الحركات الشهرية'!$B$6:$B$1005,$B17,'الحركات الشهرية'!$A$6:$A$1005,$C$3))</f>
        <v>0</v>
      </c>
      <c r="O17" s="90" t="n">
        <f aca="false">IF($B17="","",N17*(الموظفون!$N17+الموظفون!$J17*cfg_OT_P)/cfg_DAYS_M/cfg_HRS)</f>
        <v>0</v>
      </c>
      <c r="P17" s="90" t="n">
        <f aca="false">IF($B17="","",SUMIFS('الحركات الشهرية'!$G$6:$G$1005,'الحركات الشهرية'!$B$6:$B$1005,$B17,'الحركات الشهرية'!$A$6:$A$1005,$C$3))</f>
        <v>0</v>
      </c>
      <c r="Q17" s="90" t="n">
        <f aca="false">IF($B17="","",SUMIFS('الحركات الشهرية'!$H$6:$H$1005,'الحركات الشهرية'!$B$6:$B$1005,$B17,'الحركات الشهرية'!$A$6:$A$1005,$C$3))</f>
        <v>0</v>
      </c>
      <c r="R17" s="111" t="n">
        <f aca="false">IF($B17="","",SUM(J17:M17)+SUM(O17:Q17))</f>
        <v>17700</v>
      </c>
      <c r="S17" s="90" t="n">
        <f aca="false">IF($B17="","",الموظفون!$Q17*IF(E17="سعودي",cfg_G_SE,cfg_G_NE)*F17/cfg_DAYS_M)</f>
        <v>1462.5</v>
      </c>
      <c r="T17" s="90" t="n">
        <f aca="false">IF($B17="","",SUMIFS('الحركات الشهرية'!$I$6:$I$1005,'الحركات الشهرية'!$B$6:$B$1005,$B17,'الحركات الشهرية'!$A$6:$A$1005,$C$3))</f>
        <v>0</v>
      </c>
      <c r="U17" s="90" t="n">
        <f aca="false">IF($B17="","",SUMIFS('الحركات الشهرية'!$J$6:$J$1005,'الحركات الشهرية'!$B$6:$B$1005,$B17,'الحركات الشهرية'!$A$6:$A$1005,$C$3))</f>
        <v>0</v>
      </c>
      <c r="V17" s="90" t="n">
        <f aca="false">IF($B17="","",SUM(S17:U17))</f>
        <v>1462.5</v>
      </c>
      <c r="W17" s="112" t="n">
        <f aca="false">IF($B17="","",R17-V17)</f>
        <v>16237.5</v>
      </c>
      <c r="X17" s="90" t="n">
        <f aca="false">IF($B17="","",الموظفون!$Q17*IF(E17="سعودي",cfg_G_SR,cfg_G_NR)*F17/cfg_DAYS_M)</f>
        <v>1762.5</v>
      </c>
      <c r="Y17" s="90" t="n">
        <f aca="false">IF($B17="","",الموظفون!$O17*(cfg_EOS_R1*(MIN(AC17,cfg_EOS_TH)-MIN(AD17,cfg_EOS_TH))+cfg_EOS_R2*(MAX(AC17-cfg_EOS_TH,0)-MAX(AD17-cfg_EOS_TH,0))))</f>
        <v>687.945205479456</v>
      </c>
      <c r="Z17" s="90" t="n">
        <f aca="false">IF($B17="","",IF(الموظفون!$R17&lt;&gt;"",الموظفون!$R17,IF(AC17&gt;=cfg_LV_TH,cfg_LV_D2,cfg_LV_D1))/cfg_DAYS_Y*AE17*الموظفون!$P17/cfg_DAYS_M)</f>
        <v>963.123287671233</v>
      </c>
      <c r="AA17" s="90" t="n">
        <f aca="false">IF($B17="","",IF(AND(الموظفون!$S17="نعم",N(الموظفون!$U17)&gt;0),الموظفون!$T17/الموظفون!$U17*12/cfg_DAYS_Y*AE17,0))</f>
        <v>0</v>
      </c>
      <c r="AB17" s="113" t="n">
        <f aca="false">IF($B17="","",R17+SUM(X17:AA17))</f>
        <v>21113.5684931507</v>
      </c>
      <c r="AC17" s="114" t="n">
        <f aca="false">IF($B17="","",MAX(0,IF(OR(الموظفون!$X17="",الموظفون!$X17&gt;$G$3),$G$3,الموظفون!$X17)-الموظفون!$H17+1)/cfg_DAYS_Y)</f>
        <v>4.14794520547945</v>
      </c>
      <c r="AD17" s="114" t="n">
        <f aca="false">IF($B17="","",MAX(0,IF(OR(الموظفون!$X17="",الموظفون!$X17&gt;($E$3-1)),($E$3-1),الموظفون!$X17)-الموظفون!$H17+1)/cfg_DAYS_Y)</f>
        <v>4.06301369863014</v>
      </c>
      <c r="AE17" s="115" t="n">
        <f aca="false">IF($B17="","",MAX(0,IF(OR(الموظفون!$X17="",الموظفون!$X17&gt;$G$3),$G$3,الموظفون!$X17)-MAX($E$3,الموظفون!$H17)+1))</f>
        <v>31</v>
      </c>
    </row>
    <row r="18" customFormat="false" ht="15" hidden="false" customHeight="false" outlineLevel="0" collapsed="false">
      <c r="A18" s="83" t="str">
        <f aca="false">IF($B18="","",الموظفون!$A18)</f>
        <v/>
      </c>
      <c r="B18" s="74" t="str">
        <f aca="false">IF(الموظفون!$B18="","",الموظفون!$B18)</f>
        <v/>
      </c>
      <c r="C18" s="74" t="str">
        <f aca="false">IF($B18="","",الموظفون!$C18)</f>
        <v/>
      </c>
      <c r="D18" s="74" t="str">
        <f aca="false">IF($B18="","",الموظفون!$F18)</f>
        <v/>
      </c>
      <c r="E18" s="74" t="str">
        <f aca="false">IF($B18="","",الموظفون!$E18)</f>
        <v/>
      </c>
      <c r="F18" s="105" t="str">
        <f aca="false">IF($B18="","",IF(AE18&gt;=DAY($G$3),cfg_DAYS_M,MIN(AE18,cfg_DAYS_M)))</f>
        <v/>
      </c>
      <c r="G18" s="105" t="str">
        <f aca="false">IF($B18="","",SUMIFS('الحركات الشهرية'!$D$6:$D$1005,'الحركات الشهرية'!$B$6:$B$1005,$B18,'الحركات الشهرية'!$A$6:$A$1005,$C$3))</f>
        <v/>
      </c>
      <c r="H18" s="105" t="str">
        <f aca="false">IF($B18="","",SUMIFS('الحركات الشهرية'!$E$6:$E$1005,'الحركات الشهرية'!$B$6:$B$1005,$B18,'الحركات الشهرية'!$A$6:$A$1005,$C$3))</f>
        <v/>
      </c>
      <c r="I18" s="105" t="str">
        <f aca="false">IF($B18="","",MAX(0,F18-G18-H18))</f>
        <v/>
      </c>
      <c r="J18" s="86" t="str">
        <f aca="false">IF($B18="","",الموظفون!$J18*$I18/cfg_DAYS_M)</f>
        <v/>
      </c>
      <c r="K18" s="86" t="str">
        <f aca="false">IF($B18="","",الموظفون!$K18*$I18/cfg_DAYS_M)</f>
        <v/>
      </c>
      <c r="L18" s="86" t="str">
        <f aca="false">IF($B18="","",الموظفون!$L18*$I18/cfg_DAYS_M)</f>
        <v/>
      </c>
      <c r="M18" s="86" t="str">
        <f aca="false">IF($B18="","",الموظفون!$M18*$I18/cfg_DAYS_M)</f>
        <v/>
      </c>
      <c r="N18" s="105" t="str">
        <f aca="false">IF($B18="","",SUMIFS('الحركات الشهرية'!$F$6:$F$1005,'الحركات الشهرية'!$B$6:$B$1005,$B18,'الحركات الشهرية'!$A$6:$A$1005,$C$3))</f>
        <v/>
      </c>
      <c r="O18" s="86" t="str">
        <f aca="false">IF($B18="","",N18*(الموظفون!$N18+الموظفون!$J18*cfg_OT_P)/cfg_DAYS_M/cfg_HRS)</f>
        <v/>
      </c>
      <c r="P18" s="86" t="str">
        <f aca="false">IF($B18="","",SUMIFS('الحركات الشهرية'!$G$6:$G$1005,'الحركات الشهرية'!$B$6:$B$1005,$B18,'الحركات الشهرية'!$A$6:$A$1005,$C$3))</f>
        <v/>
      </c>
      <c r="Q18" s="86" t="str">
        <f aca="false">IF($B18="","",SUMIFS('الحركات الشهرية'!$H$6:$H$1005,'الحركات الشهرية'!$B$6:$B$1005,$B18,'الحركات الشهرية'!$A$6:$A$1005,$C$3))</f>
        <v/>
      </c>
      <c r="R18" s="106" t="str">
        <f aca="false">IF($B18="","",SUM(J18:M18)+SUM(O18:Q18))</f>
        <v/>
      </c>
      <c r="S18" s="86" t="str">
        <f aca="false">IF($B18="","",الموظفون!$Q18*IF(E18="سعودي",cfg_G_SE,cfg_G_NE)*F18/cfg_DAYS_M)</f>
        <v/>
      </c>
      <c r="T18" s="86" t="str">
        <f aca="false">IF($B18="","",SUMIFS('الحركات الشهرية'!$I$6:$I$1005,'الحركات الشهرية'!$B$6:$B$1005,$B18,'الحركات الشهرية'!$A$6:$A$1005,$C$3))</f>
        <v/>
      </c>
      <c r="U18" s="86" t="str">
        <f aca="false">IF($B18="","",SUMIFS('الحركات الشهرية'!$J$6:$J$1005,'الحركات الشهرية'!$B$6:$B$1005,$B18,'الحركات الشهرية'!$A$6:$A$1005,$C$3))</f>
        <v/>
      </c>
      <c r="V18" s="86" t="str">
        <f aca="false">IF($B18="","",SUM(S18:U18))</f>
        <v/>
      </c>
      <c r="W18" s="107" t="str">
        <f aca="false">IF($B18="","",R18-V18)</f>
        <v/>
      </c>
      <c r="X18" s="86" t="str">
        <f aca="false">IF($B18="","",الموظفون!$Q18*IF(E18="سعودي",cfg_G_SR,cfg_G_NR)*F18/cfg_DAYS_M)</f>
        <v/>
      </c>
      <c r="Y18" s="86" t="str">
        <f aca="false">IF($B18="","",الموظفون!$O18*(cfg_EOS_R1*(MIN(AC18,cfg_EOS_TH)-MIN(AD18,cfg_EOS_TH))+cfg_EOS_R2*(MAX(AC18-cfg_EOS_TH,0)-MAX(AD18-cfg_EOS_TH,0))))</f>
        <v/>
      </c>
      <c r="Z18" s="86" t="str">
        <f aca="false">IF($B18="","",IF(الموظفون!$R18&lt;&gt;"",الموظفون!$R18,IF(AC18&gt;=cfg_LV_TH,cfg_LV_D2,cfg_LV_D1))/cfg_DAYS_Y*AE18*الموظفون!$P18/cfg_DAYS_M)</f>
        <v/>
      </c>
      <c r="AA18" s="86" t="str">
        <f aca="false">IF($B18="","",IF(AND(الموظفون!$S18="نعم",N(الموظفون!$U18)&gt;0),الموظفون!$T18/الموظفون!$U18*12/cfg_DAYS_Y*AE18,0))</f>
        <v/>
      </c>
      <c r="AB18" s="108" t="str">
        <f aca="false">IF($B18="","",R18+SUM(X18:AA18))</f>
        <v/>
      </c>
      <c r="AC18" s="109" t="str">
        <f aca="false">IF($B18="","",MAX(0,IF(OR(الموظفون!$X18="",الموظفون!$X18&gt;$G$3),$G$3,الموظفون!$X18)-الموظفون!$H18+1)/cfg_DAYS_Y)</f>
        <v/>
      </c>
      <c r="AD18" s="109" t="str">
        <f aca="false">IF($B18="","",MAX(0,IF(OR(الموظفون!$X18="",الموظفون!$X18&gt;($E$3-1)),($E$3-1),الموظفون!$X18)-الموظفون!$H18+1)/cfg_DAYS_Y)</f>
        <v/>
      </c>
      <c r="AE18" s="51" t="str">
        <f aca="false">IF($B18="","",MAX(0,IF(OR(الموظفون!$X18="",الموظفون!$X18&gt;$G$3),$G$3,الموظفون!$X18)-MAX($E$3,الموظفون!$H18)+1))</f>
        <v/>
      </c>
    </row>
    <row r="19" customFormat="false" ht="15" hidden="false" customHeight="false" outlineLevel="0" collapsed="false">
      <c r="A19" s="89" t="str">
        <f aca="false">IF($B19="","",الموظفون!$A19)</f>
        <v/>
      </c>
      <c r="B19" s="91" t="str">
        <f aca="false">IF(الموظفون!$B19="","",الموظفون!$B19)</f>
        <v/>
      </c>
      <c r="C19" s="91" t="str">
        <f aca="false">IF($B19="","",الموظفون!$C19)</f>
        <v/>
      </c>
      <c r="D19" s="91" t="str">
        <f aca="false">IF($B19="","",الموظفون!$F19)</f>
        <v/>
      </c>
      <c r="E19" s="91" t="str">
        <f aca="false">IF($B19="","",الموظفون!$E19)</f>
        <v/>
      </c>
      <c r="F19" s="110" t="str">
        <f aca="false">IF($B19="","",IF(AE19&gt;=DAY($G$3),cfg_DAYS_M,MIN(AE19,cfg_DAYS_M)))</f>
        <v/>
      </c>
      <c r="G19" s="110" t="str">
        <f aca="false">IF($B19="","",SUMIFS('الحركات الشهرية'!$D$6:$D$1005,'الحركات الشهرية'!$B$6:$B$1005,$B19,'الحركات الشهرية'!$A$6:$A$1005,$C$3))</f>
        <v/>
      </c>
      <c r="H19" s="110" t="str">
        <f aca="false">IF($B19="","",SUMIFS('الحركات الشهرية'!$E$6:$E$1005,'الحركات الشهرية'!$B$6:$B$1005,$B19,'الحركات الشهرية'!$A$6:$A$1005,$C$3))</f>
        <v/>
      </c>
      <c r="I19" s="110" t="str">
        <f aca="false">IF($B19="","",MAX(0,F19-G19-H19))</f>
        <v/>
      </c>
      <c r="J19" s="90" t="str">
        <f aca="false">IF($B19="","",الموظفون!$J19*$I19/cfg_DAYS_M)</f>
        <v/>
      </c>
      <c r="K19" s="90" t="str">
        <f aca="false">IF($B19="","",الموظفون!$K19*$I19/cfg_DAYS_M)</f>
        <v/>
      </c>
      <c r="L19" s="90" t="str">
        <f aca="false">IF($B19="","",الموظفون!$L19*$I19/cfg_DAYS_M)</f>
        <v/>
      </c>
      <c r="M19" s="90" t="str">
        <f aca="false">IF($B19="","",الموظفون!$M19*$I19/cfg_DAYS_M)</f>
        <v/>
      </c>
      <c r="N19" s="110" t="str">
        <f aca="false">IF($B19="","",SUMIFS('الحركات الشهرية'!$F$6:$F$1005,'الحركات الشهرية'!$B$6:$B$1005,$B19,'الحركات الشهرية'!$A$6:$A$1005,$C$3))</f>
        <v/>
      </c>
      <c r="O19" s="90" t="str">
        <f aca="false">IF($B19="","",N19*(الموظفون!$N19+الموظفون!$J19*cfg_OT_P)/cfg_DAYS_M/cfg_HRS)</f>
        <v/>
      </c>
      <c r="P19" s="90" t="str">
        <f aca="false">IF($B19="","",SUMIFS('الحركات الشهرية'!$G$6:$G$1005,'الحركات الشهرية'!$B$6:$B$1005,$B19,'الحركات الشهرية'!$A$6:$A$1005,$C$3))</f>
        <v/>
      </c>
      <c r="Q19" s="90" t="str">
        <f aca="false">IF($B19="","",SUMIFS('الحركات الشهرية'!$H$6:$H$1005,'الحركات الشهرية'!$B$6:$B$1005,$B19,'الحركات الشهرية'!$A$6:$A$1005,$C$3))</f>
        <v/>
      </c>
      <c r="R19" s="111" t="str">
        <f aca="false">IF($B19="","",SUM(J19:M19)+SUM(O19:Q19))</f>
        <v/>
      </c>
      <c r="S19" s="90" t="str">
        <f aca="false">IF($B19="","",الموظفون!$Q19*IF(E19="سعودي",cfg_G_SE,cfg_G_NE)*F19/cfg_DAYS_M)</f>
        <v/>
      </c>
      <c r="T19" s="90" t="str">
        <f aca="false">IF($B19="","",SUMIFS('الحركات الشهرية'!$I$6:$I$1005,'الحركات الشهرية'!$B$6:$B$1005,$B19,'الحركات الشهرية'!$A$6:$A$1005,$C$3))</f>
        <v/>
      </c>
      <c r="U19" s="90" t="str">
        <f aca="false">IF($B19="","",SUMIFS('الحركات الشهرية'!$J$6:$J$1005,'الحركات الشهرية'!$B$6:$B$1005,$B19,'الحركات الشهرية'!$A$6:$A$1005,$C$3))</f>
        <v/>
      </c>
      <c r="V19" s="90" t="str">
        <f aca="false">IF($B19="","",SUM(S19:U19))</f>
        <v/>
      </c>
      <c r="W19" s="112" t="str">
        <f aca="false">IF($B19="","",R19-V19)</f>
        <v/>
      </c>
      <c r="X19" s="90" t="str">
        <f aca="false">IF($B19="","",الموظفون!$Q19*IF(E19="سعودي",cfg_G_SR,cfg_G_NR)*F19/cfg_DAYS_M)</f>
        <v/>
      </c>
      <c r="Y19" s="90" t="str">
        <f aca="false">IF($B19="","",الموظفون!$O19*(cfg_EOS_R1*(MIN(AC19,cfg_EOS_TH)-MIN(AD19,cfg_EOS_TH))+cfg_EOS_R2*(MAX(AC19-cfg_EOS_TH,0)-MAX(AD19-cfg_EOS_TH,0))))</f>
        <v/>
      </c>
      <c r="Z19" s="90" t="str">
        <f aca="false">IF($B19="","",IF(الموظفون!$R19&lt;&gt;"",الموظفون!$R19,IF(AC19&gt;=cfg_LV_TH,cfg_LV_D2,cfg_LV_D1))/cfg_DAYS_Y*AE19*الموظفون!$P19/cfg_DAYS_M)</f>
        <v/>
      </c>
      <c r="AA19" s="90" t="str">
        <f aca="false">IF($B19="","",IF(AND(الموظفون!$S19="نعم",N(الموظفون!$U19)&gt;0),الموظفون!$T19/الموظفون!$U19*12/cfg_DAYS_Y*AE19,0))</f>
        <v/>
      </c>
      <c r="AB19" s="113" t="str">
        <f aca="false">IF($B19="","",R19+SUM(X19:AA19))</f>
        <v/>
      </c>
      <c r="AC19" s="114" t="str">
        <f aca="false">IF($B19="","",MAX(0,IF(OR(الموظفون!$X19="",الموظفون!$X19&gt;$G$3),$G$3,الموظفون!$X19)-الموظفون!$H19+1)/cfg_DAYS_Y)</f>
        <v/>
      </c>
      <c r="AD19" s="114" t="str">
        <f aca="false">IF($B19="","",MAX(0,IF(OR(الموظفون!$X19="",الموظفون!$X19&gt;($E$3-1)),($E$3-1),الموظفون!$X19)-الموظفون!$H19+1)/cfg_DAYS_Y)</f>
        <v/>
      </c>
      <c r="AE19" s="115" t="str">
        <f aca="false">IF($B19="","",MAX(0,IF(OR(الموظفون!$X19="",الموظفون!$X19&gt;$G$3),$G$3,الموظفون!$X19)-MAX($E$3,الموظفون!$H19)+1))</f>
        <v/>
      </c>
    </row>
    <row r="20" customFormat="false" ht="15" hidden="false" customHeight="false" outlineLevel="0" collapsed="false">
      <c r="A20" s="83" t="str">
        <f aca="false">IF($B20="","",الموظفون!$A20)</f>
        <v/>
      </c>
      <c r="B20" s="74" t="str">
        <f aca="false">IF(الموظفون!$B20="","",الموظفون!$B20)</f>
        <v/>
      </c>
      <c r="C20" s="74" t="str">
        <f aca="false">IF($B20="","",الموظفون!$C20)</f>
        <v/>
      </c>
      <c r="D20" s="74" t="str">
        <f aca="false">IF($B20="","",الموظفون!$F20)</f>
        <v/>
      </c>
      <c r="E20" s="74" t="str">
        <f aca="false">IF($B20="","",الموظفون!$E20)</f>
        <v/>
      </c>
      <c r="F20" s="105" t="str">
        <f aca="false">IF($B20="","",IF(AE20&gt;=DAY($G$3),cfg_DAYS_M,MIN(AE20,cfg_DAYS_M)))</f>
        <v/>
      </c>
      <c r="G20" s="105" t="str">
        <f aca="false">IF($B20="","",SUMIFS('الحركات الشهرية'!$D$6:$D$1005,'الحركات الشهرية'!$B$6:$B$1005,$B20,'الحركات الشهرية'!$A$6:$A$1005,$C$3))</f>
        <v/>
      </c>
      <c r="H20" s="105" t="str">
        <f aca="false">IF($B20="","",SUMIFS('الحركات الشهرية'!$E$6:$E$1005,'الحركات الشهرية'!$B$6:$B$1005,$B20,'الحركات الشهرية'!$A$6:$A$1005,$C$3))</f>
        <v/>
      </c>
      <c r="I20" s="105" t="str">
        <f aca="false">IF($B20="","",MAX(0,F20-G20-H20))</f>
        <v/>
      </c>
      <c r="J20" s="86" t="str">
        <f aca="false">IF($B20="","",الموظفون!$J20*$I20/cfg_DAYS_M)</f>
        <v/>
      </c>
      <c r="K20" s="86" t="str">
        <f aca="false">IF($B20="","",الموظفون!$K20*$I20/cfg_DAYS_M)</f>
        <v/>
      </c>
      <c r="L20" s="86" t="str">
        <f aca="false">IF($B20="","",الموظفون!$L20*$I20/cfg_DAYS_M)</f>
        <v/>
      </c>
      <c r="M20" s="86" t="str">
        <f aca="false">IF($B20="","",الموظفون!$M20*$I20/cfg_DAYS_M)</f>
        <v/>
      </c>
      <c r="N20" s="105" t="str">
        <f aca="false">IF($B20="","",SUMIFS('الحركات الشهرية'!$F$6:$F$1005,'الحركات الشهرية'!$B$6:$B$1005,$B20,'الحركات الشهرية'!$A$6:$A$1005,$C$3))</f>
        <v/>
      </c>
      <c r="O20" s="86" t="str">
        <f aca="false">IF($B20="","",N20*(الموظفون!$N20+الموظفون!$J20*cfg_OT_P)/cfg_DAYS_M/cfg_HRS)</f>
        <v/>
      </c>
      <c r="P20" s="86" t="str">
        <f aca="false">IF($B20="","",SUMIFS('الحركات الشهرية'!$G$6:$G$1005,'الحركات الشهرية'!$B$6:$B$1005,$B20,'الحركات الشهرية'!$A$6:$A$1005,$C$3))</f>
        <v/>
      </c>
      <c r="Q20" s="86" t="str">
        <f aca="false">IF($B20="","",SUMIFS('الحركات الشهرية'!$H$6:$H$1005,'الحركات الشهرية'!$B$6:$B$1005,$B20,'الحركات الشهرية'!$A$6:$A$1005,$C$3))</f>
        <v/>
      </c>
      <c r="R20" s="106" t="str">
        <f aca="false">IF($B20="","",SUM(J20:M20)+SUM(O20:Q20))</f>
        <v/>
      </c>
      <c r="S20" s="86" t="str">
        <f aca="false">IF($B20="","",الموظفون!$Q20*IF(E20="سعودي",cfg_G_SE,cfg_G_NE)*F20/cfg_DAYS_M)</f>
        <v/>
      </c>
      <c r="T20" s="86" t="str">
        <f aca="false">IF($B20="","",SUMIFS('الحركات الشهرية'!$I$6:$I$1005,'الحركات الشهرية'!$B$6:$B$1005,$B20,'الحركات الشهرية'!$A$6:$A$1005,$C$3))</f>
        <v/>
      </c>
      <c r="U20" s="86" t="str">
        <f aca="false">IF($B20="","",SUMIFS('الحركات الشهرية'!$J$6:$J$1005,'الحركات الشهرية'!$B$6:$B$1005,$B20,'الحركات الشهرية'!$A$6:$A$1005,$C$3))</f>
        <v/>
      </c>
      <c r="V20" s="86" t="str">
        <f aca="false">IF($B20="","",SUM(S20:U20))</f>
        <v/>
      </c>
      <c r="W20" s="107" t="str">
        <f aca="false">IF($B20="","",R20-V20)</f>
        <v/>
      </c>
      <c r="X20" s="86" t="str">
        <f aca="false">IF($B20="","",الموظفون!$Q20*IF(E20="سعودي",cfg_G_SR,cfg_G_NR)*F20/cfg_DAYS_M)</f>
        <v/>
      </c>
      <c r="Y20" s="86" t="str">
        <f aca="false">IF($B20="","",الموظفون!$O20*(cfg_EOS_R1*(MIN(AC20,cfg_EOS_TH)-MIN(AD20,cfg_EOS_TH))+cfg_EOS_R2*(MAX(AC20-cfg_EOS_TH,0)-MAX(AD20-cfg_EOS_TH,0))))</f>
        <v/>
      </c>
      <c r="Z20" s="86" t="str">
        <f aca="false">IF($B20="","",IF(الموظفون!$R20&lt;&gt;"",الموظفون!$R20,IF(AC20&gt;=cfg_LV_TH,cfg_LV_D2,cfg_LV_D1))/cfg_DAYS_Y*AE20*الموظفون!$P20/cfg_DAYS_M)</f>
        <v/>
      </c>
      <c r="AA20" s="86" t="str">
        <f aca="false">IF($B20="","",IF(AND(الموظفون!$S20="نعم",N(الموظفون!$U20)&gt;0),الموظفون!$T20/الموظفون!$U20*12/cfg_DAYS_Y*AE20,0))</f>
        <v/>
      </c>
      <c r="AB20" s="108" t="str">
        <f aca="false">IF($B20="","",R20+SUM(X20:AA20))</f>
        <v/>
      </c>
      <c r="AC20" s="109" t="str">
        <f aca="false">IF($B20="","",MAX(0,IF(OR(الموظفون!$X20="",الموظفون!$X20&gt;$G$3),$G$3,الموظفون!$X20)-الموظفون!$H20+1)/cfg_DAYS_Y)</f>
        <v/>
      </c>
      <c r="AD20" s="109" t="str">
        <f aca="false">IF($B20="","",MAX(0,IF(OR(الموظفون!$X20="",الموظفون!$X20&gt;($E$3-1)),($E$3-1),الموظفون!$X20)-الموظفون!$H20+1)/cfg_DAYS_Y)</f>
        <v/>
      </c>
      <c r="AE20" s="51" t="str">
        <f aca="false">IF($B20="","",MAX(0,IF(OR(الموظفون!$X20="",الموظفون!$X20&gt;$G$3),$G$3,الموظفون!$X20)-MAX($E$3,الموظفون!$H20)+1))</f>
        <v/>
      </c>
    </row>
    <row r="21" customFormat="false" ht="15" hidden="false" customHeight="false" outlineLevel="0" collapsed="false">
      <c r="A21" s="89" t="str">
        <f aca="false">IF($B21="","",الموظفون!$A21)</f>
        <v/>
      </c>
      <c r="B21" s="91" t="str">
        <f aca="false">IF(الموظفون!$B21="","",الموظفون!$B21)</f>
        <v/>
      </c>
      <c r="C21" s="91" t="str">
        <f aca="false">IF($B21="","",الموظفون!$C21)</f>
        <v/>
      </c>
      <c r="D21" s="91" t="str">
        <f aca="false">IF($B21="","",الموظفون!$F21)</f>
        <v/>
      </c>
      <c r="E21" s="91" t="str">
        <f aca="false">IF($B21="","",الموظفون!$E21)</f>
        <v/>
      </c>
      <c r="F21" s="110" t="str">
        <f aca="false">IF($B21="","",IF(AE21&gt;=DAY($G$3),cfg_DAYS_M,MIN(AE21,cfg_DAYS_M)))</f>
        <v/>
      </c>
      <c r="G21" s="110" t="str">
        <f aca="false">IF($B21="","",SUMIFS('الحركات الشهرية'!$D$6:$D$1005,'الحركات الشهرية'!$B$6:$B$1005,$B21,'الحركات الشهرية'!$A$6:$A$1005,$C$3))</f>
        <v/>
      </c>
      <c r="H21" s="110" t="str">
        <f aca="false">IF($B21="","",SUMIFS('الحركات الشهرية'!$E$6:$E$1005,'الحركات الشهرية'!$B$6:$B$1005,$B21,'الحركات الشهرية'!$A$6:$A$1005,$C$3))</f>
        <v/>
      </c>
      <c r="I21" s="110" t="str">
        <f aca="false">IF($B21="","",MAX(0,F21-G21-H21))</f>
        <v/>
      </c>
      <c r="J21" s="90" t="str">
        <f aca="false">IF($B21="","",الموظفون!$J21*$I21/cfg_DAYS_M)</f>
        <v/>
      </c>
      <c r="K21" s="90" t="str">
        <f aca="false">IF($B21="","",الموظفون!$K21*$I21/cfg_DAYS_M)</f>
        <v/>
      </c>
      <c r="L21" s="90" t="str">
        <f aca="false">IF($B21="","",الموظفون!$L21*$I21/cfg_DAYS_M)</f>
        <v/>
      </c>
      <c r="M21" s="90" t="str">
        <f aca="false">IF($B21="","",الموظفون!$M21*$I21/cfg_DAYS_M)</f>
        <v/>
      </c>
      <c r="N21" s="110" t="str">
        <f aca="false">IF($B21="","",SUMIFS('الحركات الشهرية'!$F$6:$F$1005,'الحركات الشهرية'!$B$6:$B$1005,$B21,'الحركات الشهرية'!$A$6:$A$1005,$C$3))</f>
        <v/>
      </c>
      <c r="O21" s="90" t="str">
        <f aca="false">IF($B21="","",N21*(الموظفون!$N21+الموظفون!$J21*cfg_OT_P)/cfg_DAYS_M/cfg_HRS)</f>
        <v/>
      </c>
      <c r="P21" s="90" t="str">
        <f aca="false">IF($B21="","",SUMIFS('الحركات الشهرية'!$G$6:$G$1005,'الحركات الشهرية'!$B$6:$B$1005,$B21,'الحركات الشهرية'!$A$6:$A$1005,$C$3))</f>
        <v/>
      </c>
      <c r="Q21" s="90" t="str">
        <f aca="false">IF($B21="","",SUMIFS('الحركات الشهرية'!$H$6:$H$1005,'الحركات الشهرية'!$B$6:$B$1005,$B21,'الحركات الشهرية'!$A$6:$A$1005,$C$3))</f>
        <v/>
      </c>
      <c r="R21" s="111" t="str">
        <f aca="false">IF($B21="","",SUM(J21:M21)+SUM(O21:Q21))</f>
        <v/>
      </c>
      <c r="S21" s="90" t="str">
        <f aca="false">IF($B21="","",الموظفون!$Q21*IF(E21="سعودي",cfg_G_SE,cfg_G_NE)*F21/cfg_DAYS_M)</f>
        <v/>
      </c>
      <c r="T21" s="90" t="str">
        <f aca="false">IF($B21="","",SUMIFS('الحركات الشهرية'!$I$6:$I$1005,'الحركات الشهرية'!$B$6:$B$1005,$B21,'الحركات الشهرية'!$A$6:$A$1005,$C$3))</f>
        <v/>
      </c>
      <c r="U21" s="90" t="str">
        <f aca="false">IF($B21="","",SUMIFS('الحركات الشهرية'!$J$6:$J$1005,'الحركات الشهرية'!$B$6:$B$1005,$B21,'الحركات الشهرية'!$A$6:$A$1005,$C$3))</f>
        <v/>
      </c>
      <c r="V21" s="90" t="str">
        <f aca="false">IF($B21="","",SUM(S21:U21))</f>
        <v/>
      </c>
      <c r="W21" s="112" t="str">
        <f aca="false">IF($B21="","",R21-V21)</f>
        <v/>
      </c>
      <c r="X21" s="90" t="str">
        <f aca="false">IF($B21="","",الموظفون!$Q21*IF(E21="سعودي",cfg_G_SR,cfg_G_NR)*F21/cfg_DAYS_M)</f>
        <v/>
      </c>
      <c r="Y21" s="90" t="str">
        <f aca="false">IF($B21="","",الموظفون!$O21*(cfg_EOS_R1*(MIN(AC21,cfg_EOS_TH)-MIN(AD21,cfg_EOS_TH))+cfg_EOS_R2*(MAX(AC21-cfg_EOS_TH,0)-MAX(AD21-cfg_EOS_TH,0))))</f>
        <v/>
      </c>
      <c r="Z21" s="90" t="str">
        <f aca="false">IF($B21="","",IF(الموظفون!$R21&lt;&gt;"",الموظفون!$R21,IF(AC21&gt;=cfg_LV_TH,cfg_LV_D2,cfg_LV_D1))/cfg_DAYS_Y*AE21*الموظفون!$P21/cfg_DAYS_M)</f>
        <v/>
      </c>
      <c r="AA21" s="90" t="str">
        <f aca="false">IF($B21="","",IF(AND(الموظفون!$S21="نعم",N(الموظفون!$U21)&gt;0),الموظفون!$T21/الموظفون!$U21*12/cfg_DAYS_Y*AE21,0))</f>
        <v/>
      </c>
      <c r="AB21" s="113" t="str">
        <f aca="false">IF($B21="","",R21+SUM(X21:AA21))</f>
        <v/>
      </c>
      <c r="AC21" s="114" t="str">
        <f aca="false">IF($B21="","",MAX(0,IF(OR(الموظفون!$X21="",الموظفون!$X21&gt;$G$3),$G$3,الموظفون!$X21)-الموظفون!$H21+1)/cfg_DAYS_Y)</f>
        <v/>
      </c>
      <c r="AD21" s="114" t="str">
        <f aca="false">IF($B21="","",MAX(0,IF(OR(الموظفون!$X21="",الموظفون!$X21&gt;($E$3-1)),($E$3-1),الموظفون!$X21)-الموظفون!$H21+1)/cfg_DAYS_Y)</f>
        <v/>
      </c>
      <c r="AE21" s="115" t="str">
        <f aca="false">IF($B21="","",MAX(0,IF(OR(الموظفون!$X21="",الموظفون!$X21&gt;$G$3),$G$3,الموظفون!$X21)-MAX($E$3,الموظفون!$H21)+1))</f>
        <v/>
      </c>
    </row>
    <row r="22" customFormat="false" ht="15" hidden="false" customHeight="false" outlineLevel="0" collapsed="false">
      <c r="A22" s="83" t="str">
        <f aca="false">IF($B22="","",الموظفون!$A22)</f>
        <v/>
      </c>
      <c r="B22" s="74" t="str">
        <f aca="false">IF(الموظفون!$B22="","",الموظفون!$B22)</f>
        <v/>
      </c>
      <c r="C22" s="74" t="str">
        <f aca="false">IF($B22="","",الموظفون!$C22)</f>
        <v/>
      </c>
      <c r="D22" s="74" t="str">
        <f aca="false">IF($B22="","",الموظفون!$F22)</f>
        <v/>
      </c>
      <c r="E22" s="74" t="str">
        <f aca="false">IF($B22="","",الموظفون!$E22)</f>
        <v/>
      </c>
      <c r="F22" s="105" t="str">
        <f aca="false">IF($B22="","",IF(AE22&gt;=DAY($G$3),cfg_DAYS_M,MIN(AE22,cfg_DAYS_M)))</f>
        <v/>
      </c>
      <c r="G22" s="105" t="str">
        <f aca="false">IF($B22="","",SUMIFS('الحركات الشهرية'!$D$6:$D$1005,'الحركات الشهرية'!$B$6:$B$1005,$B22,'الحركات الشهرية'!$A$6:$A$1005,$C$3))</f>
        <v/>
      </c>
      <c r="H22" s="105" t="str">
        <f aca="false">IF($B22="","",SUMIFS('الحركات الشهرية'!$E$6:$E$1005,'الحركات الشهرية'!$B$6:$B$1005,$B22,'الحركات الشهرية'!$A$6:$A$1005,$C$3))</f>
        <v/>
      </c>
      <c r="I22" s="105" t="str">
        <f aca="false">IF($B22="","",MAX(0,F22-G22-H22))</f>
        <v/>
      </c>
      <c r="J22" s="86" t="str">
        <f aca="false">IF($B22="","",الموظفون!$J22*$I22/cfg_DAYS_M)</f>
        <v/>
      </c>
      <c r="K22" s="86" t="str">
        <f aca="false">IF($B22="","",الموظفون!$K22*$I22/cfg_DAYS_M)</f>
        <v/>
      </c>
      <c r="L22" s="86" t="str">
        <f aca="false">IF($B22="","",الموظفون!$L22*$I22/cfg_DAYS_M)</f>
        <v/>
      </c>
      <c r="M22" s="86" t="str">
        <f aca="false">IF($B22="","",الموظفون!$M22*$I22/cfg_DAYS_M)</f>
        <v/>
      </c>
      <c r="N22" s="105" t="str">
        <f aca="false">IF($B22="","",SUMIFS('الحركات الشهرية'!$F$6:$F$1005,'الحركات الشهرية'!$B$6:$B$1005,$B22,'الحركات الشهرية'!$A$6:$A$1005,$C$3))</f>
        <v/>
      </c>
      <c r="O22" s="86" t="str">
        <f aca="false">IF($B22="","",N22*(الموظفون!$N22+الموظفون!$J22*cfg_OT_P)/cfg_DAYS_M/cfg_HRS)</f>
        <v/>
      </c>
      <c r="P22" s="86" t="str">
        <f aca="false">IF($B22="","",SUMIFS('الحركات الشهرية'!$G$6:$G$1005,'الحركات الشهرية'!$B$6:$B$1005,$B22,'الحركات الشهرية'!$A$6:$A$1005,$C$3))</f>
        <v/>
      </c>
      <c r="Q22" s="86" t="str">
        <f aca="false">IF($B22="","",SUMIFS('الحركات الشهرية'!$H$6:$H$1005,'الحركات الشهرية'!$B$6:$B$1005,$B22,'الحركات الشهرية'!$A$6:$A$1005,$C$3))</f>
        <v/>
      </c>
      <c r="R22" s="106" t="str">
        <f aca="false">IF($B22="","",SUM(J22:M22)+SUM(O22:Q22))</f>
        <v/>
      </c>
      <c r="S22" s="86" t="str">
        <f aca="false">IF($B22="","",الموظفون!$Q22*IF(E22="سعودي",cfg_G_SE,cfg_G_NE)*F22/cfg_DAYS_M)</f>
        <v/>
      </c>
      <c r="T22" s="86" t="str">
        <f aca="false">IF($B22="","",SUMIFS('الحركات الشهرية'!$I$6:$I$1005,'الحركات الشهرية'!$B$6:$B$1005,$B22,'الحركات الشهرية'!$A$6:$A$1005,$C$3))</f>
        <v/>
      </c>
      <c r="U22" s="86" t="str">
        <f aca="false">IF($B22="","",SUMIFS('الحركات الشهرية'!$J$6:$J$1005,'الحركات الشهرية'!$B$6:$B$1005,$B22,'الحركات الشهرية'!$A$6:$A$1005,$C$3))</f>
        <v/>
      </c>
      <c r="V22" s="86" t="str">
        <f aca="false">IF($B22="","",SUM(S22:U22))</f>
        <v/>
      </c>
      <c r="W22" s="107" t="str">
        <f aca="false">IF($B22="","",R22-V22)</f>
        <v/>
      </c>
      <c r="X22" s="86" t="str">
        <f aca="false">IF($B22="","",الموظفون!$Q22*IF(E22="سعودي",cfg_G_SR,cfg_G_NR)*F22/cfg_DAYS_M)</f>
        <v/>
      </c>
      <c r="Y22" s="86" t="str">
        <f aca="false">IF($B22="","",الموظفون!$O22*(cfg_EOS_R1*(MIN(AC22,cfg_EOS_TH)-MIN(AD22,cfg_EOS_TH))+cfg_EOS_R2*(MAX(AC22-cfg_EOS_TH,0)-MAX(AD22-cfg_EOS_TH,0))))</f>
        <v/>
      </c>
      <c r="Z22" s="86" t="str">
        <f aca="false">IF($B22="","",IF(الموظفون!$R22&lt;&gt;"",الموظفون!$R22,IF(AC22&gt;=cfg_LV_TH,cfg_LV_D2,cfg_LV_D1))/cfg_DAYS_Y*AE22*الموظفون!$P22/cfg_DAYS_M)</f>
        <v/>
      </c>
      <c r="AA22" s="86" t="str">
        <f aca="false">IF($B22="","",IF(AND(الموظفون!$S22="نعم",N(الموظفون!$U22)&gt;0),الموظفون!$T22/الموظفون!$U22*12/cfg_DAYS_Y*AE22,0))</f>
        <v/>
      </c>
      <c r="AB22" s="108" t="str">
        <f aca="false">IF($B22="","",R22+SUM(X22:AA22))</f>
        <v/>
      </c>
      <c r="AC22" s="109" t="str">
        <f aca="false">IF($B22="","",MAX(0,IF(OR(الموظفون!$X22="",الموظفون!$X22&gt;$G$3),$G$3,الموظفون!$X22)-الموظفون!$H22+1)/cfg_DAYS_Y)</f>
        <v/>
      </c>
      <c r="AD22" s="109" t="str">
        <f aca="false">IF($B22="","",MAX(0,IF(OR(الموظفون!$X22="",الموظفون!$X22&gt;($E$3-1)),($E$3-1),الموظفون!$X22)-الموظفون!$H22+1)/cfg_DAYS_Y)</f>
        <v/>
      </c>
      <c r="AE22" s="51" t="str">
        <f aca="false">IF($B22="","",MAX(0,IF(OR(الموظفون!$X22="",الموظفون!$X22&gt;$G$3),$G$3,الموظفون!$X22)-MAX($E$3,الموظفون!$H22)+1))</f>
        <v/>
      </c>
    </row>
    <row r="23" customFormat="false" ht="15" hidden="false" customHeight="false" outlineLevel="0" collapsed="false">
      <c r="A23" s="89" t="str">
        <f aca="false">IF($B23="","",الموظفون!$A23)</f>
        <v/>
      </c>
      <c r="B23" s="91" t="str">
        <f aca="false">IF(الموظفون!$B23="","",الموظفون!$B23)</f>
        <v/>
      </c>
      <c r="C23" s="91" t="str">
        <f aca="false">IF($B23="","",الموظفون!$C23)</f>
        <v/>
      </c>
      <c r="D23" s="91" t="str">
        <f aca="false">IF($B23="","",الموظفون!$F23)</f>
        <v/>
      </c>
      <c r="E23" s="91" t="str">
        <f aca="false">IF($B23="","",الموظفون!$E23)</f>
        <v/>
      </c>
      <c r="F23" s="110" t="str">
        <f aca="false">IF($B23="","",IF(AE23&gt;=DAY($G$3),cfg_DAYS_M,MIN(AE23,cfg_DAYS_M)))</f>
        <v/>
      </c>
      <c r="G23" s="110" t="str">
        <f aca="false">IF($B23="","",SUMIFS('الحركات الشهرية'!$D$6:$D$1005,'الحركات الشهرية'!$B$6:$B$1005,$B23,'الحركات الشهرية'!$A$6:$A$1005,$C$3))</f>
        <v/>
      </c>
      <c r="H23" s="110" t="str">
        <f aca="false">IF($B23="","",SUMIFS('الحركات الشهرية'!$E$6:$E$1005,'الحركات الشهرية'!$B$6:$B$1005,$B23,'الحركات الشهرية'!$A$6:$A$1005,$C$3))</f>
        <v/>
      </c>
      <c r="I23" s="110" t="str">
        <f aca="false">IF($B23="","",MAX(0,F23-G23-H23))</f>
        <v/>
      </c>
      <c r="J23" s="90" t="str">
        <f aca="false">IF($B23="","",الموظفون!$J23*$I23/cfg_DAYS_M)</f>
        <v/>
      </c>
      <c r="K23" s="90" t="str">
        <f aca="false">IF($B23="","",الموظفون!$K23*$I23/cfg_DAYS_M)</f>
        <v/>
      </c>
      <c r="L23" s="90" t="str">
        <f aca="false">IF($B23="","",الموظفون!$L23*$I23/cfg_DAYS_M)</f>
        <v/>
      </c>
      <c r="M23" s="90" t="str">
        <f aca="false">IF($B23="","",الموظفون!$M23*$I23/cfg_DAYS_M)</f>
        <v/>
      </c>
      <c r="N23" s="110" t="str">
        <f aca="false">IF($B23="","",SUMIFS('الحركات الشهرية'!$F$6:$F$1005,'الحركات الشهرية'!$B$6:$B$1005,$B23,'الحركات الشهرية'!$A$6:$A$1005,$C$3))</f>
        <v/>
      </c>
      <c r="O23" s="90" t="str">
        <f aca="false">IF($B23="","",N23*(الموظفون!$N23+الموظفون!$J23*cfg_OT_P)/cfg_DAYS_M/cfg_HRS)</f>
        <v/>
      </c>
      <c r="P23" s="90" t="str">
        <f aca="false">IF($B23="","",SUMIFS('الحركات الشهرية'!$G$6:$G$1005,'الحركات الشهرية'!$B$6:$B$1005,$B23,'الحركات الشهرية'!$A$6:$A$1005,$C$3))</f>
        <v/>
      </c>
      <c r="Q23" s="90" t="str">
        <f aca="false">IF($B23="","",SUMIFS('الحركات الشهرية'!$H$6:$H$1005,'الحركات الشهرية'!$B$6:$B$1005,$B23,'الحركات الشهرية'!$A$6:$A$1005,$C$3))</f>
        <v/>
      </c>
      <c r="R23" s="111" t="str">
        <f aca="false">IF($B23="","",SUM(J23:M23)+SUM(O23:Q23))</f>
        <v/>
      </c>
      <c r="S23" s="90" t="str">
        <f aca="false">IF($B23="","",الموظفون!$Q23*IF(E23="سعودي",cfg_G_SE,cfg_G_NE)*F23/cfg_DAYS_M)</f>
        <v/>
      </c>
      <c r="T23" s="90" t="str">
        <f aca="false">IF($B23="","",SUMIFS('الحركات الشهرية'!$I$6:$I$1005,'الحركات الشهرية'!$B$6:$B$1005,$B23,'الحركات الشهرية'!$A$6:$A$1005,$C$3))</f>
        <v/>
      </c>
      <c r="U23" s="90" t="str">
        <f aca="false">IF($B23="","",SUMIFS('الحركات الشهرية'!$J$6:$J$1005,'الحركات الشهرية'!$B$6:$B$1005,$B23,'الحركات الشهرية'!$A$6:$A$1005,$C$3))</f>
        <v/>
      </c>
      <c r="V23" s="90" t="str">
        <f aca="false">IF($B23="","",SUM(S23:U23))</f>
        <v/>
      </c>
      <c r="W23" s="112" t="str">
        <f aca="false">IF($B23="","",R23-V23)</f>
        <v/>
      </c>
      <c r="X23" s="90" t="str">
        <f aca="false">IF($B23="","",الموظفون!$Q23*IF(E23="سعودي",cfg_G_SR,cfg_G_NR)*F23/cfg_DAYS_M)</f>
        <v/>
      </c>
      <c r="Y23" s="90" t="str">
        <f aca="false">IF($B23="","",الموظفون!$O23*(cfg_EOS_R1*(MIN(AC23,cfg_EOS_TH)-MIN(AD23,cfg_EOS_TH))+cfg_EOS_R2*(MAX(AC23-cfg_EOS_TH,0)-MAX(AD23-cfg_EOS_TH,0))))</f>
        <v/>
      </c>
      <c r="Z23" s="90" t="str">
        <f aca="false">IF($B23="","",IF(الموظفون!$R23&lt;&gt;"",الموظفون!$R23,IF(AC23&gt;=cfg_LV_TH,cfg_LV_D2,cfg_LV_D1))/cfg_DAYS_Y*AE23*الموظفون!$P23/cfg_DAYS_M)</f>
        <v/>
      </c>
      <c r="AA23" s="90" t="str">
        <f aca="false">IF($B23="","",IF(AND(الموظفون!$S23="نعم",N(الموظفون!$U23)&gt;0),الموظفون!$T23/الموظفون!$U23*12/cfg_DAYS_Y*AE23,0))</f>
        <v/>
      </c>
      <c r="AB23" s="113" t="str">
        <f aca="false">IF($B23="","",R23+SUM(X23:AA23))</f>
        <v/>
      </c>
      <c r="AC23" s="114" t="str">
        <f aca="false">IF($B23="","",MAX(0,IF(OR(الموظفون!$X23="",الموظفون!$X23&gt;$G$3),$G$3,الموظفون!$X23)-الموظفون!$H23+1)/cfg_DAYS_Y)</f>
        <v/>
      </c>
      <c r="AD23" s="114" t="str">
        <f aca="false">IF($B23="","",MAX(0,IF(OR(الموظفون!$X23="",الموظفون!$X23&gt;($E$3-1)),($E$3-1),الموظفون!$X23)-الموظفون!$H23+1)/cfg_DAYS_Y)</f>
        <v/>
      </c>
      <c r="AE23" s="115" t="str">
        <f aca="false">IF($B23="","",MAX(0,IF(OR(الموظفون!$X23="",الموظفون!$X23&gt;$G$3),$G$3,الموظفون!$X23)-MAX($E$3,الموظفون!$H23)+1))</f>
        <v/>
      </c>
    </row>
    <row r="24" customFormat="false" ht="15" hidden="false" customHeight="false" outlineLevel="0" collapsed="false">
      <c r="A24" s="83" t="str">
        <f aca="false">IF($B24="","",الموظفون!$A24)</f>
        <v/>
      </c>
      <c r="B24" s="74" t="str">
        <f aca="false">IF(الموظفون!$B24="","",الموظفون!$B24)</f>
        <v/>
      </c>
      <c r="C24" s="74" t="str">
        <f aca="false">IF($B24="","",الموظفون!$C24)</f>
        <v/>
      </c>
      <c r="D24" s="74" t="str">
        <f aca="false">IF($B24="","",الموظفون!$F24)</f>
        <v/>
      </c>
      <c r="E24" s="74" t="str">
        <f aca="false">IF($B24="","",الموظفون!$E24)</f>
        <v/>
      </c>
      <c r="F24" s="105" t="str">
        <f aca="false">IF($B24="","",IF(AE24&gt;=DAY($G$3),cfg_DAYS_M,MIN(AE24,cfg_DAYS_M)))</f>
        <v/>
      </c>
      <c r="G24" s="105" t="str">
        <f aca="false">IF($B24="","",SUMIFS('الحركات الشهرية'!$D$6:$D$1005,'الحركات الشهرية'!$B$6:$B$1005,$B24,'الحركات الشهرية'!$A$6:$A$1005,$C$3))</f>
        <v/>
      </c>
      <c r="H24" s="105" t="str">
        <f aca="false">IF($B24="","",SUMIFS('الحركات الشهرية'!$E$6:$E$1005,'الحركات الشهرية'!$B$6:$B$1005,$B24,'الحركات الشهرية'!$A$6:$A$1005,$C$3))</f>
        <v/>
      </c>
      <c r="I24" s="105" t="str">
        <f aca="false">IF($B24="","",MAX(0,F24-G24-H24))</f>
        <v/>
      </c>
      <c r="J24" s="86" t="str">
        <f aca="false">IF($B24="","",الموظفون!$J24*$I24/cfg_DAYS_M)</f>
        <v/>
      </c>
      <c r="K24" s="86" t="str">
        <f aca="false">IF($B24="","",الموظفون!$K24*$I24/cfg_DAYS_M)</f>
        <v/>
      </c>
      <c r="L24" s="86" t="str">
        <f aca="false">IF($B24="","",الموظفون!$L24*$I24/cfg_DAYS_M)</f>
        <v/>
      </c>
      <c r="M24" s="86" t="str">
        <f aca="false">IF($B24="","",الموظفون!$M24*$I24/cfg_DAYS_M)</f>
        <v/>
      </c>
      <c r="N24" s="105" t="str">
        <f aca="false">IF($B24="","",SUMIFS('الحركات الشهرية'!$F$6:$F$1005,'الحركات الشهرية'!$B$6:$B$1005,$B24,'الحركات الشهرية'!$A$6:$A$1005,$C$3))</f>
        <v/>
      </c>
      <c r="O24" s="86" t="str">
        <f aca="false">IF($B24="","",N24*(الموظفون!$N24+الموظفون!$J24*cfg_OT_P)/cfg_DAYS_M/cfg_HRS)</f>
        <v/>
      </c>
      <c r="P24" s="86" t="str">
        <f aca="false">IF($B24="","",SUMIFS('الحركات الشهرية'!$G$6:$G$1005,'الحركات الشهرية'!$B$6:$B$1005,$B24,'الحركات الشهرية'!$A$6:$A$1005,$C$3))</f>
        <v/>
      </c>
      <c r="Q24" s="86" t="str">
        <f aca="false">IF($B24="","",SUMIFS('الحركات الشهرية'!$H$6:$H$1005,'الحركات الشهرية'!$B$6:$B$1005,$B24,'الحركات الشهرية'!$A$6:$A$1005,$C$3))</f>
        <v/>
      </c>
      <c r="R24" s="106" t="str">
        <f aca="false">IF($B24="","",SUM(J24:M24)+SUM(O24:Q24))</f>
        <v/>
      </c>
      <c r="S24" s="86" t="str">
        <f aca="false">IF($B24="","",الموظفون!$Q24*IF(E24="سعودي",cfg_G_SE,cfg_G_NE)*F24/cfg_DAYS_M)</f>
        <v/>
      </c>
      <c r="T24" s="86" t="str">
        <f aca="false">IF($B24="","",SUMIFS('الحركات الشهرية'!$I$6:$I$1005,'الحركات الشهرية'!$B$6:$B$1005,$B24,'الحركات الشهرية'!$A$6:$A$1005,$C$3))</f>
        <v/>
      </c>
      <c r="U24" s="86" t="str">
        <f aca="false">IF($B24="","",SUMIFS('الحركات الشهرية'!$J$6:$J$1005,'الحركات الشهرية'!$B$6:$B$1005,$B24,'الحركات الشهرية'!$A$6:$A$1005,$C$3))</f>
        <v/>
      </c>
      <c r="V24" s="86" t="str">
        <f aca="false">IF($B24="","",SUM(S24:U24))</f>
        <v/>
      </c>
      <c r="W24" s="107" t="str">
        <f aca="false">IF($B24="","",R24-V24)</f>
        <v/>
      </c>
      <c r="X24" s="86" t="str">
        <f aca="false">IF($B24="","",الموظفون!$Q24*IF(E24="سعودي",cfg_G_SR,cfg_G_NR)*F24/cfg_DAYS_M)</f>
        <v/>
      </c>
      <c r="Y24" s="86" t="str">
        <f aca="false">IF($B24="","",الموظفون!$O24*(cfg_EOS_R1*(MIN(AC24,cfg_EOS_TH)-MIN(AD24,cfg_EOS_TH))+cfg_EOS_R2*(MAX(AC24-cfg_EOS_TH,0)-MAX(AD24-cfg_EOS_TH,0))))</f>
        <v/>
      </c>
      <c r="Z24" s="86" t="str">
        <f aca="false">IF($B24="","",IF(الموظفون!$R24&lt;&gt;"",الموظفون!$R24,IF(AC24&gt;=cfg_LV_TH,cfg_LV_D2,cfg_LV_D1))/cfg_DAYS_Y*AE24*الموظفون!$P24/cfg_DAYS_M)</f>
        <v/>
      </c>
      <c r="AA24" s="86" t="str">
        <f aca="false">IF($B24="","",IF(AND(الموظفون!$S24="نعم",N(الموظفون!$U24)&gt;0),الموظفون!$T24/الموظفون!$U24*12/cfg_DAYS_Y*AE24,0))</f>
        <v/>
      </c>
      <c r="AB24" s="108" t="str">
        <f aca="false">IF($B24="","",R24+SUM(X24:AA24))</f>
        <v/>
      </c>
      <c r="AC24" s="109" t="str">
        <f aca="false">IF($B24="","",MAX(0,IF(OR(الموظفون!$X24="",الموظفون!$X24&gt;$G$3),$G$3,الموظفون!$X24)-الموظفون!$H24+1)/cfg_DAYS_Y)</f>
        <v/>
      </c>
      <c r="AD24" s="109" t="str">
        <f aca="false">IF($B24="","",MAX(0,IF(OR(الموظفون!$X24="",الموظفون!$X24&gt;($E$3-1)),($E$3-1),الموظفون!$X24)-الموظفون!$H24+1)/cfg_DAYS_Y)</f>
        <v/>
      </c>
      <c r="AE24" s="51" t="str">
        <f aca="false">IF($B24="","",MAX(0,IF(OR(الموظفون!$X24="",الموظفون!$X24&gt;$G$3),$G$3,الموظفون!$X24)-MAX($E$3,الموظفون!$H24)+1))</f>
        <v/>
      </c>
    </row>
    <row r="25" customFormat="false" ht="15" hidden="false" customHeight="false" outlineLevel="0" collapsed="false">
      <c r="A25" s="89" t="str">
        <f aca="false">IF($B25="","",الموظفون!$A25)</f>
        <v/>
      </c>
      <c r="B25" s="91" t="str">
        <f aca="false">IF(الموظفون!$B25="","",الموظفون!$B25)</f>
        <v/>
      </c>
      <c r="C25" s="91" t="str">
        <f aca="false">IF($B25="","",الموظفون!$C25)</f>
        <v/>
      </c>
      <c r="D25" s="91" t="str">
        <f aca="false">IF($B25="","",الموظفون!$F25)</f>
        <v/>
      </c>
      <c r="E25" s="91" t="str">
        <f aca="false">IF($B25="","",الموظفون!$E25)</f>
        <v/>
      </c>
      <c r="F25" s="110" t="str">
        <f aca="false">IF($B25="","",IF(AE25&gt;=DAY($G$3),cfg_DAYS_M,MIN(AE25,cfg_DAYS_M)))</f>
        <v/>
      </c>
      <c r="G25" s="110" t="str">
        <f aca="false">IF($B25="","",SUMIFS('الحركات الشهرية'!$D$6:$D$1005,'الحركات الشهرية'!$B$6:$B$1005,$B25,'الحركات الشهرية'!$A$6:$A$1005,$C$3))</f>
        <v/>
      </c>
      <c r="H25" s="110" t="str">
        <f aca="false">IF($B25="","",SUMIFS('الحركات الشهرية'!$E$6:$E$1005,'الحركات الشهرية'!$B$6:$B$1005,$B25,'الحركات الشهرية'!$A$6:$A$1005,$C$3))</f>
        <v/>
      </c>
      <c r="I25" s="110" t="str">
        <f aca="false">IF($B25="","",MAX(0,F25-G25-H25))</f>
        <v/>
      </c>
      <c r="J25" s="90" t="str">
        <f aca="false">IF($B25="","",الموظفون!$J25*$I25/cfg_DAYS_M)</f>
        <v/>
      </c>
      <c r="K25" s="90" t="str">
        <f aca="false">IF($B25="","",الموظفون!$K25*$I25/cfg_DAYS_M)</f>
        <v/>
      </c>
      <c r="L25" s="90" t="str">
        <f aca="false">IF($B25="","",الموظفون!$L25*$I25/cfg_DAYS_M)</f>
        <v/>
      </c>
      <c r="M25" s="90" t="str">
        <f aca="false">IF($B25="","",الموظفون!$M25*$I25/cfg_DAYS_M)</f>
        <v/>
      </c>
      <c r="N25" s="110" t="str">
        <f aca="false">IF($B25="","",SUMIFS('الحركات الشهرية'!$F$6:$F$1005,'الحركات الشهرية'!$B$6:$B$1005,$B25,'الحركات الشهرية'!$A$6:$A$1005,$C$3))</f>
        <v/>
      </c>
      <c r="O25" s="90" t="str">
        <f aca="false">IF($B25="","",N25*(الموظفون!$N25+الموظفون!$J25*cfg_OT_P)/cfg_DAYS_M/cfg_HRS)</f>
        <v/>
      </c>
      <c r="P25" s="90" t="str">
        <f aca="false">IF($B25="","",SUMIFS('الحركات الشهرية'!$G$6:$G$1005,'الحركات الشهرية'!$B$6:$B$1005,$B25,'الحركات الشهرية'!$A$6:$A$1005,$C$3))</f>
        <v/>
      </c>
      <c r="Q25" s="90" t="str">
        <f aca="false">IF($B25="","",SUMIFS('الحركات الشهرية'!$H$6:$H$1005,'الحركات الشهرية'!$B$6:$B$1005,$B25,'الحركات الشهرية'!$A$6:$A$1005,$C$3))</f>
        <v/>
      </c>
      <c r="R25" s="111" t="str">
        <f aca="false">IF($B25="","",SUM(J25:M25)+SUM(O25:Q25))</f>
        <v/>
      </c>
      <c r="S25" s="90" t="str">
        <f aca="false">IF($B25="","",الموظفون!$Q25*IF(E25="سعودي",cfg_G_SE,cfg_G_NE)*F25/cfg_DAYS_M)</f>
        <v/>
      </c>
      <c r="T25" s="90" t="str">
        <f aca="false">IF($B25="","",SUMIFS('الحركات الشهرية'!$I$6:$I$1005,'الحركات الشهرية'!$B$6:$B$1005,$B25,'الحركات الشهرية'!$A$6:$A$1005,$C$3))</f>
        <v/>
      </c>
      <c r="U25" s="90" t="str">
        <f aca="false">IF($B25="","",SUMIFS('الحركات الشهرية'!$J$6:$J$1005,'الحركات الشهرية'!$B$6:$B$1005,$B25,'الحركات الشهرية'!$A$6:$A$1005,$C$3))</f>
        <v/>
      </c>
      <c r="V25" s="90" t="str">
        <f aca="false">IF($B25="","",SUM(S25:U25))</f>
        <v/>
      </c>
      <c r="W25" s="112" t="str">
        <f aca="false">IF($B25="","",R25-V25)</f>
        <v/>
      </c>
      <c r="X25" s="90" t="str">
        <f aca="false">IF($B25="","",الموظفون!$Q25*IF(E25="سعودي",cfg_G_SR,cfg_G_NR)*F25/cfg_DAYS_M)</f>
        <v/>
      </c>
      <c r="Y25" s="90" t="str">
        <f aca="false">IF($B25="","",الموظفون!$O25*(cfg_EOS_R1*(MIN(AC25,cfg_EOS_TH)-MIN(AD25,cfg_EOS_TH))+cfg_EOS_R2*(MAX(AC25-cfg_EOS_TH,0)-MAX(AD25-cfg_EOS_TH,0))))</f>
        <v/>
      </c>
      <c r="Z25" s="90" t="str">
        <f aca="false">IF($B25="","",IF(الموظفون!$R25&lt;&gt;"",الموظفون!$R25,IF(AC25&gt;=cfg_LV_TH,cfg_LV_D2,cfg_LV_D1))/cfg_DAYS_Y*AE25*الموظفون!$P25/cfg_DAYS_M)</f>
        <v/>
      </c>
      <c r="AA25" s="90" t="str">
        <f aca="false">IF($B25="","",IF(AND(الموظفون!$S25="نعم",N(الموظفون!$U25)&gt;0),الموظفون!$T25/الموظفون!$U25*12/cfg_DAYS_Y*AE25,0))</f>
        <v/>
      </c>
      <c r="AB25" s="113" t="str">
        <f aca="false">IF($B25="","",R25+SUM(X25:AA25))</f>
        <v/>
      </c>
      <c r="AC25" s="114" t="str">
        <f aca="false">IF($B25="","",MAX(0,IF(OR(الموظفون!$X25="",الموظفون!$X25&gt;$G$3),$G$3,الموظفون!$X25)-الموظفون!$H25+1)/cfg_DAYS_Y)</f>
        <v/>
      </c>
      <c r="AD25" s="114" t="str">
        <f aca="false">IF($B25="","",MAX(0,IF(OR(الموظفون!$X25="",الموظفون!$X25&gt;($E$3-1)),($E$3-1),الموظفون!$X25)-الموظفون!$H25+1)/cfg_DAYS_Y)</f>
        <v/>
      </c>
      <c r="AE25" s="115" t="str">
        <f aca="false">IF($B25="","",MAX(0,IF(OR(الموظفون!$X25="",الموظفون!$X25&gt;$G$3),$G$3,الموظفون!$X25)-MAX($E$3,الموظفون!$H25)+1))</f>
        <v/>
      </c>
    </row>
    <row r="26" customFormat="false" ht="15" hidden="false" customHeight="false" outlineLevel="0" collapsed="false">
      <c r="A26" s="83" t="str">
        <f aca="false">IF($B26="","",الموظفون!$A26)</f>
        <v/>
      </c>
      <c r="B26" s="74" t="str">
        <f aca="false">IF(الموظفون!$B26="","",الموظفون!$B26)</f>
        <v/>
      </c>
      <c r="C26" s="74" t="str">
        <f aca="false">IF($B26="","",الموظفون!$C26)</f>
        <v/>
      </c>
      <c r="D26" s="74" t="str">
        <f aca="false">IF($B26="","",الموظفون!$F26)</f>
        <v/>
      </c>
      <c r="E26" s="74" t="str">
        <f aca="false">IF($B26="","",الموظفون!$E26)</f>
        <v/>
      </c>
      <c r="F26" s="105" t="str">
        <f aca="false">IF($B26="","",IF(AE26&gt;=DAY($G$3),cfg_DAYS_M,MIN(AE26,cfg_DAYS_M)))</f>
        <v/>
      </c>
      <c r="G26" s="105" t="str">
        <f aca="false">IF($B26="","",SUMIFS('الحركات الشهرية'!$D$6:$D$1005,'الحركات الشهرية'!$B$6:$B$1005,$B26,'الحركات الشهرية'!$A$6:$A$1005,$C$3))</f>
        <v/>
      </c>
      <c r="H26" s="105" t="str">
        <f aca="false">IF($B26="","",SUMIFS('الحركات الشهرية'!$E$6:$E$1005,'الحركات الشهرية'!$B$6:$B$1005,$B26,'الحركات الشهرية'!$A$6:$A$1005,$C$3))</f>
        <v/>
      </c>
      <c r="I26" s="105" t="str">
        <f aca="false">IF($B26="","",MAX(0,F26-G26-H26))</f>
        <v/>
      </c>
      <c r="J26" s="86" t="str">
        <f aca="false">IF($B26="","",الموظفون!$J26*$I26/cfg_DAYS_M)</f>
        <v/>
      </c>
      <c r="K26" s="86" t="str">
        <f aca="false">IF($B26="","",الموظفون!$K26*$I26/cfg_DAYS_M)</f>
        <v/>
      </c>
      <c r="L26" s="86" t="str">
        <f aca="false">IF($B26="","",الموظفون!$L26*$I26/cfg_DAYS_M)</f>
        <v/>
      </c>
      <c r="M26" s="86" t="str">
        <f aca="false">IF($B26="","",الموظفون!$M26*$I26/cfg_DAYS_M)</f>
        <v/>
      </c>
      <c r="N26" s="105" t="str">
        <f aca="false">IF($B26="","",SUMIFS('الحركات الشهرية'!$F$6:$F$1005,'الحركات الشهرية'!$B$6:$B$1005,$B26,'الحركات الشهرية'!$A$6:$A$1005,$C$3))</f>
        <v/>
      </c>
      <c r="O26" s="86" t="str">
        <f aca="false">IF($B26="","",N26*(الموظفون!$N26+الموظفون!$J26*cfg_OT_P)/cfg_DAYS_M/cfg_HRS)</f>
        <v/>
      </c>
      <c r="P26" s="86" t="str">
        <f aca="false">IF($B26="","",SUMIFS('الحركات الشهرية'!$G$6:$G$1005,'الحركات الشهرية'!$B$6:$B$1005,$B26,'الحركات الشهرية'!$A$6:$A$1005,$C$3))</f>
        <v/>
      </c>
      <c r="Q26" s="86" t="str">
        <f aca="false">IF($B26="","",SUMIFS('الحركات الشهرية'!$H$6:$H$1005,'الحركات الشهرية'!$B$6:$B$1005,$B26,'الحركات الشهرية'!$A$6:$A$1005,$C$3))</f>
        <v/>
      </c>
      <c r="R26" s="106" t="str">
        <f aca="false">IF($B26="","",SUM(J26:M26)+SUM(O26:Q26))</f>
        <v/>
      </c>
      <c r="S26" s="86" t="str">
        <f aca="false">IF($B26="","",الموظفون!$Q26*IF(E26="سعودي",cfg_G_SE,cfg_G_NE)*F26/cfg_DAYS_M)</f>
        <v/>
      </c>
      <c r="T26" s="86" t="str">
        <f aca="false">IF($B26="","",SUMIFS('الحركات الشهرية'!$I$6:$I$1005,'الحركات الشهرية'!$B$6:$B$1005,$B26,'الحركات الشهرية'!$A$6:$A$1005,$C$3))</f>
        <v/>
      </c>
      <c r="U26" s="86" t="str">
        <f aca="false">IF($B26="","",SUMIFS('الحركات الشهرية'!$J$6:$J$1005,'الحركات الشهرية'!$B$6:$B$1005,$B26,'الحركات الشهرية'!$A$6:$A$1005,$C$3))</f>
        <v/>
      </c>
      <c r="V26" s="86" t="str">
        <f aca="false">IF($B26="","",SUM(S26:U26))</f>
        <v/>
      </c>
      <c r="W26" s="107" t="str">
        <f aca="false">IF($B26="","",R26-V26)</f>
        <v/>
      </c>
      <c r="X26" s="86" t="str">
        <f aca="false">IF($B26="","",الموظفون!$Q26*IF(E26="سعودي",cfg_G_SR,cfg_G_NR)*F26/cfg_DAYS_M)</f>
        <v/>
      </c>
      <c r="Y26" s="86" t="str">
        <f aca="false">IF($B26="","",الموظفون!$O26*(cfg_EOS_R1*(MIN(AC26,cfg_EOS_TH)-MIN(AD26,cfg_EOS_TH))+cfg_EOS_R2*(MAX(AC26-cfg_EOS_TH,0)-MAX(AD26-cfg_EOS_TH,0))))</f>
        <v/>
      </c>
      <c r="Z26" s="86" t="str">
        <f aca="false">IF($B26="","",IF(الموظفون!$R26&lt;&gt;"",الموظفون!$R26,IF(AC26&gt;=cfg_LV_TH,cfg_LV_D2,cfg_LV_D1))/cfg_DAYS_Y*AE26*الموظفون!$P26/cfg_DAYS_M)</f>
        <v/>
      </c>
      <c r="AA26" s="86" t="str">
        <f aca="false">IF($B26="","",IF(AND(الموظفون!$S26="نعم",N(الموظفون!$U26)&gt;0),الموظفون!$T26/الموظفون!$U26*12/cfg_DAYS_Y*AE26,0))</f>
        <v/>
      </c>
      <c r="AB26" s="108" t="str">
        <f aca="false">IF($B26="","",R26+SUM(X26:AA26))</f>
        <v/>
      </c>
      <c r="AC26" s="109" t="str">
        <f aca="false">IF($B26="","",MAX(0,IF(OR(الموظفون!$X26="",الموظفون!$X26&gt;$G$3),$G$3,الموظفون!$X26)-الموظفون!$H26+1)/cfg_DAYS_Y)</f>
        <v/>
      </c>
      <c r="AD26" s="109" t="str">
        <f aca="false">IF($B26="","",MAX(0,IF(OR(الموظفون!$X26="",الموظفون!$X26&gt;($E$3-1)),($E$3-1),الموظفون!$X26)-الموظفون!$H26+1)/cfg_DAYS_Y)</f>
        <v/>
      </c>
      <c r="AE26" s="51" t="str">
        <f aca="false">IF($B26="","",MAX(0,IF(OR(الموظفون!$X26="",الموظفون!$X26&gt;$G$3),$G$3,الموظفون!$X26)-MAX($E$3,الموظفون!$H26)+1))</f>
        <v/>
      </c>
    </row>
    <row r="27" customFormat="false" ht="15" hidden="false" customHeight="false" outlineLevel="0" collapsed="false">
      <c r="A27" s="89" t="str">
        <f aca="false">IF($B27="","",الموظفون!$A27)</f>
        <v/>
      </c>
      <c r="B27" s="91" t="str">
        <f aca="false">IF(الموظفون!$B27="","",الموظفون!$B27)</f>
        <v/>
      </c>
      <c r="C27" s="91" t="str">
        <f aca="false">IF($B27="","",الموظفون!$C27)</f>
        <v/>
      </c>
      <c r="D27" s="91" t="str">
        <f aca="false">IF($B27="","",الموظفون!$F27)</f>
        <v/>
      </c>
      <c r="E27" s="91" t="str">
        <f aca="false">IF($B27="","",الموظفون!$E27)</f>
        <v/>
      </c>
      <c r="F27" s="110" t="str">
        <f aca="false">IF($B27="","",IF(AE27&gt;=DAY($G$3),cfg_DAYS_M,MIN(AE27,cfg_DAYS_M)))</f>
        <v/>
      </c>
      <c r="G27" s="110" t="str">
        <f aca="false">IF($B27="","",SUMIFS('الحركات الشهرية'!$D$6:$D$1005,'الحركات الشهرية'!$B$6:$B$1005,$B27,'الحركات الشهرية'!$A$6:$A$1005,$C$3))</f>
        <v/>
      </c>
      <c r="H27" s="110" t="str">
        <f aca="false">IF($B27="","",SUMIFS('الحركات الشهرية'!$E$6:$E$1005,'الحركات الشهرية'!$B$6:$B$1005,$B27,'الحركات الشهرية'!$A$6:$A$1005,$C$3))</f>
        <v/>
      </c>
      <c r="I27" s="110" t="str">
        <f aca="false">IF($B27="","",MAX(0,F27-G27-H27))</f>
        <v/>
      </c>
      <c r="J27" s="90" t="str">
        <f aca="false">IF($B27="","",الموظفون!$J27*$I27/cfg_DAYS_M)</f>
        <v/>
      </c>
      <c r="K27" s="90" t="str">
        <f aca="false">IF($B27="","",الموظفون!$K27*$I27/cfg_DAYS_M)</f>
        <v/>
      </c>
      <c r="L27" s="90" t="str">
        <f aca="false">IF($B27="","",الموظفون!$L27*$I27/cfg_DAYS_M)</f>
        <v/>
      </c>
      <c r="M27" s="90" t="str">
        <f aca="false">IF($B27="","",الموظفون!$M27*$I27/cfg_DAYS_M)</f>
        <v/>
      </c>
      <c r="N27" s="110" t="str">
        <f aca="false">IF($B27="","",SUMIFS('الحركات الشهرية'!$F$6:$F$1005,'الحركات الشهرية'!$B$6:$B$1005,$B27,'الحركات الشهرية'!$A$6:$A$1005,$C$3))</f>
        <v/>
      </c>
      <c r="O27" s="90" t="str">
        <f aca="false">IF($B27="","",N27*(الموظفون!$N27+الموظفون!$J27*cfg_OT_P)/cfg_DAYS_M/cfg_HRS)</f>
        <v/>
      </c>
      <c r="P27" s="90" t="str">
        <f aca="false">IF($B27="","",SUMIFS('الحركات الشهرية'!$G$6:$G$1005,'الحركات الشهرية'!$B$6:$B$1005,$B27,'الحركات الشهرية'!$A$6:$A$1005,$C$3))</f>
        <v/>
      </c>
      <c r="Q27" s="90" t="str">
        <f aca="false">IF($B27="","",SUMIFS('الحركات الشهرية'!$H$6:$H$1005,'الحركات الشهرية'!$B$6:$B$1005,$B27,'الحركات الشهرية'!$A$6:$A$1005,$C$3))</f>
        <v/>
      </c>
      <c r="R27" s="111" t="str">
        <f aca="false">IF($B27="","",SUM(J27:M27)+SUM(O27:Q27))</f>
        <v/>
      </c>
      <c r="S27" s="90" t="str">
        <f aca="false">IF($B27="","",الموظفون!$Q27*IF(E27="سعودي",cfg_G_SE,cfg_G_NE)*F27/cfg_DAYS_M)</f>
        <v/>
      </c>
      <c r="T27" s="90" t="str">
        <f aca="false">IF($B27="","",SUMIFS('الحركات الشهرية'!$I$6:$I$1005,'الحركات الشهرية'!$B$6:$B$1005,$B27,'الحركات الشهرية'!$A$6:$A$1005,$C$3))</f>
        <v/>
      </c>
      <c r="U27" s="90" t="str">
        <f aca="false">IF($B27="","",SUMIFS('الحركات الشهرية'!$J$6:$J$1005,'الحركات الشهرية'!$B$6:$B$1005,$B27,'الحركات الشهرية'!$A$6:$A$1005,$C$3))</f>
        <v/>
      </c>
      <c r="V27" s="90" t="str">
        <f aca="false">IF($B27="","",SUM(S27:U27))</f>
        <v/>
      </c>
      <c r="W27" s="112" t="str">
        <f aca="false">IF($B27="","",R27-V27)</f>
        <v/>
      </c>
      <c r="X27" s="90" t="str">
        <f aca="false">IF($B27="","",الموظفون!$Q27*IF(E27="سعودي",cfg_G_SR,cfg_G_NR)*F27/cfg_DAYS_M)</f>
        <v/>
      </c>
      <c r="Y27" s="90" t="str">
        <f aca="false">IF($B27="","",الموظفون!$O27*(cfg_EOS_R1*(MIN(AC27,cfg_EOS_TH)-MIN(AD27,cfg_EOS_TH))+cfg_EOS_R2*(MAX(AC27-cfg_EOS_TH,0)-MAX(AD27-cfg_EOS_TH,0))))</f>
        <v/>
      </c>
      <c r="Z27" s="90" t="str">
        <f aca="false">IF($B27="","",IF(الموظفون!$R27&lt;&gt;"",الموظفون!$R27,IF(AC27&gt;=cfg_LV_TH,cfg_LV_D2,cfg_LV_D1))/cfg_DAYS_Y*AE27*الموظفون!$P27/cfg_DAYS_M)</f>
        <v/>
      </c>
      <c r="AA27" s="90" t="str">
        <f aca="false">IF($B27="","",IF(AND(الموظفون!$S27="نعم",N(الموظفون!$U27)&gt;0),الموظفون!$T27/الموظفون!$U27*12/cfg_DAYS_Y*AE27,0))</f>
        <v/>
      </c>
      <c r="AB27" s="113" t="str">
        <f aca="false">IF($B27="","",R27+SUM(X27:AA27))</f>
        <v/>
      </c>
      <c r="AC27" s="114" t="str">
        <f aca="false">IF($B27="","",MAX(0,IF(OR(الموظفون!$X27="",الموظفون!$X27&gt;$G$3),$G$3,الموظفون!$X27)-الموظفون!$H27+1)/cfg_DAYS_Y)</f>
        <v/>
      </c>
      <c r="AD27" s="114" t="str">
        <f aca="false">IF($B27="","",MAX(0,IF(OR(الموظفون!$X27="",الموظفون!$X27&gt;($E$3-1)),($E$3-1),الموظفون!$X27)-الموظفون!$H27+1)/cfg_DAYS_Y)</f>
        <v/>
      </c>
      <c r="AE27" s="115" t="str">
        <f aca="false">IF($B27="","",MAX(0,IF(OR(الموظفون!$X27="",الموظفون!$X27&gt;$G$3),$G$3,الموظفون!$X27)-MAX($E$3,الموظفون!$H27)+1))</f>
        <v/>
      </c>
    </row>
    <row r="28" customFormat="false" ht="15" hidden="false" customHeight="false" outlineLevel="0" collapsed="false">
      <c r="A28" s="83" t="str">
        <f aca="false">IF($B28="","",الموظفون!$A28)</f>
        <v/>
      </c>
      <c r="B28" s="74" t="str">
        <f aca="false">IF(الموظفون!$B28="","",الموظفون!$B28)</f>
        <v/>
      </c>
      <c r="C28" s="74" t="str">
        <f aca="false">IF($B28="","",الموظفون!$C28)</f>
        <v/>
      </c>
      <c r="D28" s="74" t="str">
        <f aca="false">IF($B28="","",الموظفون!$F28)</f>
        <v/>
      </c>
      <c r="E28" s="74" t="str">
        <f aca="false">IF($B28="","",الموظفون!$E28)</f>
        <v/>
      </c>
      <c r="F28" s="105" t="str">
        <f aca="false">IF($B28="","",IF(AE28&gt;=DAY($G$3),cfg_DAYS_M,MIN(AE28,cfg_DAYS_M)))</f>
        <v/>
      </c>
      <c r="G28" s="105" t="str">
        <f aca="false">IF($B28="","",SUMIFS('الحركات الشهرية'!$D$6:$D$1005,'الحركات الشهرية'!$B$6:$B$1005,$B28,'الحركات الشهرية'!$A$6:$A$1005,$C$3))</f>
        <v/>
      </c>
      <c r="H28" s="105" t="str">
        <f aca="false">IF($B28="","",SUMIFS('الحركات الشهرية'!$E$6:$E$1005,'الحركات الشهرية'!$B$6:$B$1005,$B28,'الحركات الشهرية'!$A$6:$A$1005,$C$3))</f>
        <v/>
      </c>
      <c r="I28" s="105" t="str">
        <f aca="false">IF($B28="","",MAX(0,F28-G28-H28))</f>
        <v/>
      </c>
      <c r="J28" s="86" t="str">
        <f aca="false">IF($B28="","",الموظفون!$J28*$I28/cfg_DAYS_M)</f>
        <v/>
      </c>
      <c r="K28" s="86" t="str">
        <f aca="false">IF($B28="","",الموظفون!$K28*$I28/cfg_DAYS_M)</f>
        <v/>
      </c>
      <c r="L28" s="86" t="str">
        <f aca="false">IF($B28="","",الموظفون!$L28*$I28/cfg_DAYS_M)</f>
        <v/>
      </c>
      <c r="M28" s="86" t="str">
        <f aca="false">IF($B28="","",الموظفون!$M28*$I28/cfg_DAYS_M)</f>
        <v/>
      </c>
      <c r="N28" s="105" t="str">
        <f aca="false">IF($B28="","",SUMIFS('الحركات الشهرية'!$F$6:$F$1005,'الحركات الشهرية'!$B$6:$B$1005,$B28,'الحركات الشهرية'!$A$6:$A$1005,$C$3))</f>
        <v/>
      </c>
      <c r="O28" s="86" t="str">
        <f aca="false">IF($B28="","",N28*(الموظفون!$N28+الموظفون!$J28*cfg_OT_P)/cfg_DAYS_M/cfg_HRS)</f>
        <v/>
      </c>
      <c r="P28" s="86" t="str">
        <f aca="false">IF($B28="","",SUMIFS('الحركات الشهرية'!$G$6:$G$1005,'الحركات الشهرية'!$B$6:$B$1005,$B28,'الحركات الشهرية'!$A$6:$A$1005,$C$3))</f>
        <v/>
      </c>
      <c r="Q28" s="86" t="str">
        <f aca="false">IF($B28="","",SUMIFS('الحركات الشهرية'!$H$6:$H$1005,'الحركات الشهرية'!$B$6:$B$1005,$B28,'الحركات الشهرية'!$A$6:$A$1005,$C$3))</f>
        <v/>
      </c>
      <c r="R28" s="106" t="str">
        <f aca="false">IF($B28="","",SUM(J28:M28)+SUM(O28:Q28))</f>
        <v/>
      </c>
      <c r="S28" s="86" t="str">
        <f aca="false">IF($B28="","",الموظفون!$Q28*IF(E28="سعودي",cfg_G_SE,cfg_G_NE)*F28/cfg_DAYS_M)</f>
        <v/>
      </c>
      <c r="T28" s="86" t="str">
        <f aca="false">IF($B28="","",SUMIFS('الحركات الشهرية'!$I$6:$I$1005,'الحركات الشهرية'!$B$6:$B$1005,$B28,'الحركات الشهرية'!$A$6:$A$1005,$C$3))</f>
        <v/>
      </c>
      <c r="U28" s="86" t="str">
        <f aca="false">IF($B28="","",SUMIFS('الحركات الشهرية'!$J$6:$J$1005,'الحركات الشهرية'!$B$6:$B$1005,$B28,'الحركات الشهرية'!$A$6:$A$1005,$C$3))</f>
        <v/>
      </c>
      <c r="V28" s="86" t="str">
        <f aca="false">IF($B28="","",SUM(S28:U28))</f>
        <v/>
      </c>
      <c r="W28" s="107" t="str">
        <f aca="false">IF($B28="","",R28-V28)</f>
        <v/>
      </c>
      <c r="X28" s="86" t="str">
        <f aca="false">IF($B28="","",الموظفون!$Q28*IF(E28="سعودي",cfg_G_SR,cfg_G_NR)*F28/cfg_DAYS_M)</f>
        <v/>
      </c>
      <c r="Y28" s="86" t="str">
        <f aca="false">IF($B28="","",الموظفون!$O28*(cfg_EOS_R1*(MIN(AC28,cfg_EOS_TH)-MIN(AD28,cfg_EOS_TH))+cfg_EOS_R2*(MAX(AC28-cfg_EOS_TH,0)-MAX(AD28-cfg_EOS_TH,0))))</f>
        <v/>
      </c>
      <c r="Z28" s="86" t="str">
        <f aca="false">IF($B28="","",IF(الموظفون!$R28&lt;&gt;"",الموظفون!$R28,IF(AC28&gt;=cfg_LV_TH,cfg_LV_D2,cfg_LV_D1))/cfg_DAYS_Y*AE28*الموظفون!$P28/cfg_DAYS_M)</f>
        <v/>
      </c>
      <c r="AA28" s="86" t="str">
        <f aca="false">IF($B28="","",IF(AND(الموظفون!$S28="نعم",N(الموظفون!$U28)&gt;0),الموظفون!$T28/الموظفون!$U28*12/cfg_DAYS_Y*AE28,0))</f>
        <v/>
      </c>
      <c r="AB28" s="108" t="str">
        <f aca="false">IF($B28="","",R28+SUM(X28:AA28))</f>
        <v/>
      </c>
      <c r="AC28" s="109" t="str">
        <f aca="false">IF($B28="","",MAX(0,IF(OR(الموظفون!$X28="",الموظفون!$X28&gt;$G$3),$G$3,الموظفون!$X28)-الموظفون!$H28+1)/cfg_DAYS_Y)</f>
        <v/>
      </c>
      <c r="AD28" s="109" t="str">
        <f aca="false">IF($B28="","",MAX(0,IF(OR(الموظفون!$X28="",الموظفون!$X28&gt;($E$3-1)),($E$3-1),الموظفون!$X28)-الموظفون!$H28+1)/cfg_DAYS_Y)</f>
        <v/>
      </c>
      <c r="AE28" s="51" t="str">
        <f aca="false">IF($B28="","",MAX(0,IF(OR(الموظفون!$X28="",الموظفون!$X28&gt;$G$3),$G$3,الموظفون!$X28)-MAX($E$3,الموظفون!$H28)+1))</f>
        <v/>
      </c>
    </row>
    <row r="29" customFormat="false" ht="15" hidden="false" customHeight="false" outlineLevel="0" collapsed="false">
      <c r="A29" s="89" t="str">
        <f aca="false">IF($B29="","",الموظفون!$A29)</f>
        <v/>
      </c>
      <c r="B29" s="91" t="str">
        <f aca="false">IF(الموظفون!$B29="","",الموظفون!$B29)</f>
        <v/>
      </c>
      <c r="C29" s="91" t="str">
        <f aca="false">IF($B29="","",الموظفون!$C29)</f>
        <v/>
      </c>
      <c r="D29" s="91" t="str">
        <f aca="false">IF($B29="","",الموظفون!$F29)</f>
        <v/>
      </c>
      <c r="E29" s="91" t="str">
        <f aca="false">IF($B29="","",الموظفون!$E29)</f>
        <v/>
      </c>
      <c r="F29" s="110" t="str">
        <f aca="false">IF($B29="","",IF(AE29&gt;=DAY($G$3),cfg_DAYS_M,MIN(AE29,cfg_DAYS_M)))</f>
        <v/>
      </c>
      <c r="G29" s="110" t="str">
        <f aca="false">IF($B29="","",SUMIFS('الحركات الشهرية'!$D$6:$D$1005,'الحركات الشهرية'!$B$6:$B$1005,$B29,'الحركات الشهرية'!$A$6:$A$1005,$C$3))</f>
        <v/>
      </c>
      <c r="H29" s="110" t="str">
        <f aca="false">IF($B29="","",SUMIFS('الحركات الشهرية'!$E$6:$E$1005,'الحركات الشهرية'!$B$6:$B$1005,$B29,'الحركات الشهرية'!$A$6:$A$1005,$C$3))</f>
        <v/>
      </c>
      <c r="I29" s="110" t="str">
        <f aca="false">IF($B29="","",MAX(0,F29-G29-H29))</f>
        <v/>
      </c>
      <c r="J29" s="90" t="str">
        <f aca="false">IF($B29="","",الموظفون!$J29*$I29/cfg_DAYS_M)</f>
        <v/>
      </c>
      <c r="K29" s="90" t="str">
        <f aca="false">IF($B29="","",الموظفون!$K29*$I29/cfg_DAYS_M)</f>
        <v/>
      </c>
      <c r="L29" s="90" t="str">
        <f aca="false">IF($B29="","",الموظفون!$L29*$I29/cfg_DAYS_M)</f>
        <v/>
      </c>
      <c r="M29" s="90" t="str">
        <f aca="false">IF($B29="","",الموظفون!$M29*$I29/cfg_DAYS_M)</f>
        <v/>
      </c>
      <c r="N29" s="110" t="str">
        <f aca="false">IF($B29="","",SUMIFS('الحركات الشهرية'!$F$6:$F$1005,'الحركات الشهرية'!$B$6:$B$1005,$B29,'الحركات الشهرية'!$A$6:$A$1005,$C$3))</f>
        <v/>
      </c>
      <c r="O29" s="90" t="str">
        <f aca="false">IF($B29="","",N29*(الموظفون!$N29+الموظفون!$J29*cfg_OT_P)/cfg_DAYS_M/cfg_HRS)</f>
        <v/>
      </c>
      <c r="P29" s="90" t="str">
        <f aca="false">IF($B29="","",SUMIFS('الحركات الشهرية'!$G$6:$G$1005,'الحركات الشهرية'!$B$6:$B$1005,$B29,'الحركات الشهرية'!$A$6:$A$1005,$C$3))</f>
        <v/>
      </c>
      <c r="Q29" s="90" t="str">
        <f aca="false">IF($B29="","",SUMIFS('الحركات الشهرية'!$H$6:$H$1005,'الحركات الشهرية'!$B$6:$B$1005,$B29,'الحركات الشهرية'!$A$6:$A$1005,$C$3))</f>
        <v/>
      </c>
      <c r="R29" s="111" t="str">
        <f aca="false">IF($B29="","",SUM(J29:M29)+SUM(O29:Q29))</f>
        <v/>
      </c>
      <c r="S29" s="90" t="str">
        <f aca="false">IF($B29="","",الموظفون!$Q29*IF(E29="سعودي",cfg_G_SE,cfg_G_NE)*F29/cfg_DAYS_M)</f>
        <v/>
      </c>
      <c r="T29" s="90" t="str">
        <f aca="false">IF($B29="","",SUMIFS('الحركات الشهرية'!$I$6:$I$1005,'الحركات الشهرية'!$B$6:$B$1005,$B29,'الحركات الشهرية'!$A$6:$A$1005,$C$3))</f>
        <v/>
      </c>
      <c r="U29" s="90" t="str">
        <f aca="false">IF($B29="","",SUMIFS('الحركات الشهرية'!$J$6:$J$1005,'الحركات الشهرية'!$B$6:$B$1005,$B29,'الحركات الشهرية'!$A$6:$A$1005,$C$3))</f>
        <v/>
      </c>
      <c r="V29" s="90" t="str">
        <f aca="false">IF($B29="","",SUM(S29:U29))</f>
        <v/>
      </c>
      <c r="W29" s="112" t="str">
        <f aca="false">IF($B29="","",R29-V29)</f>
        <v/>
      </c>
      <c r="X29" s="90" t="str">
        <f aca="false">IF($B29="","",الموظفون!$Q29*IF(E29="سعودي",cfg_G_SR,cfg_G_NR)*F29/cfg_DAYS_M)</f>
        <v/>
      </c>
      <c r="Y29" s="90" t="str">
        <f aca="false">IF($B29="","",الموظفون!$O29*(cfg_EOS_R1*(MIN(AC29,cfg_EOS_TH)-MIN(AD29,cfg_EOS_TH))+cfg_EOS_R2*(MAX(AC29-cfg_EOS_TH,0)-MAX(AD29-cfg_EOS_TH,0))))</f>
        <v/>
      </c>
      <c r="Z29" s="90" t="str">
        <f aca="false">IF($B29="","",IF(الموظفون!$R29&lt;&gt;"",الموظفون!$R29,IF(AC29&gt;=cfg_LV_TH,cfg_LV_D2,cfg_LV_D1))/cfg_DAYS_Y*AE29*الموظفون!$P29/cfg_DAYS_M)</f>
        <v/>
      </c>
      <c r="AA29" s="90" t="str">
        <f aca="false">IF($B29="","",IF(AND(الموظفون!$S29="نعم",N(الموظفون!$U29)&gt;0),الموظفون!$T29/الموظفون!$U29*12/cfg_DAYS_Y*AE29,0))</f>
        <v/>
      </c>
      <c r="AB29" s="113" t="str">
        <f aca="false">IF($B29="","",R29+SUM(X29:AA29))</f>
        <v/>
      </c>
      <c r="AC29" s="114" t="str">
        <f aca="false">IF($B29="","",MAX(0,IF(OR(الموظفون!$X29="",الموظفون!$X29&gt;$G$3),$G$3,الموظفون!$X29)-الموظفون!$H29+1)/cfg_DAYS_Y)</f>
        <v/>
      </c>
      <c r="AD29" s="114" t="str">
        <f aca="false">IF($B29="","",MAX(0,IF(OR(الموظفون!$X29="",الموظفون!$X29&gt;($E$3-1)),($E$3-1),الموظفون!$X29)-الموظفون!$H29+1)/cfg_DAYS_Y)</f>
        <v/>
      </c>
      <c r="AE29" s="115" t="str">
        <f aca="false">IF($B29="","",MAX(0,IF(OR(الموظفون!$X29="",الموظفون!$X29&gt;$G$3),$G$3,الموظفون!$X29)-MAX($E$3,الموظفون!$H29)+1))</f>
        <v/>
      </c>
    </row>
    <row r="30" customFormat="false" ht="15" hidden="false" customHeight="false" outlineLevel="0" collapsed="false">
      <c r="A30" s="83" t="str">
        <f aca="false">IF($B30="","",الموظفون!$A30)</f>
        <v/>
      </c>
      <c r="B30" s="74" t="str">
        <f aca="false">IF(الموظفون!$B30="","",الموظفون!$B30)</f>
        <v/>
      </c>
      <c r="C30" s="74" t="str">
        <f aca="false">IF($B30="","",الموظفون!$C30)</f>
        <v/>
      </c>
      <c r="D30" s="74" t="str">
        <f aca="false">IF($B30="","",الموظفون!$F30)</f>
        <v/>
      </c>
      <c r="E30" s="74" t="str">
        <f aca="false">IF($B30="","",الموظفون!$E30)</f>
        <v/>
      </c>
      <c r="F30" s="105" t="str">
        <f aca="false">IF($B30="","",IF(AE30&gt;=DAY($G$3),cfg_DAYS_M,MIN(AE30,cfg_DAYS_M)))</f>
        <v/>
      </c>
      <c r="G30" s="105" t="str">
        <f aca="false">IF($B30="","",SUMIFS('الحركات الشهرية'!$D$6:$D$1005,'الحركات الشهرية'!$B$6:$B$1005,$B30,'الحركات الشهرية'!$A$6:$A$1005,$C$3))</f>
        <v/>
      </c>
      <c r="H30" s="105" t="str">
        <f aca="false">IF($B30="","",SUMIFS('الحركات الشهرية'!$E$6:$E$1005,'الحركات الشهرية'!$B$6:$B$1005,$B30,'الحركات الشهرية'!$A$6:$A$1005,$C$3))</f>
        <v/>
      </c>
      <c r="I30" s="105" t="str">
        <f aca="false">IF($B30="","",MAX(0,F30-G30-H30))</f>
        <v/>
      </c>
      <c r="J30" s="86" t="str">
        <f aca="false">IF($B30="","",الموظفون!$J30*$I30/cfg_DAYS_M)</f>
        <v/>
      </c>
      <c r="K30" s="86" t="str">
        <f aca="false">IF($B30="","",الموظفون!$K30*$I30/cfg_DAYS_M)</f>
        <v/>
      </c>
      <c r="L30" s="86" t="str">
        <f aca="false">IF($B30="","",الموظفون!$L30*$I30/cfg_DAYS_M)</f>
        <v/>
      </c>
      <c r="M30" s="86" t="str">
        <f aca="false">IF($B30="","",الموظفون!$M30*$I30/cfg_DAYS_M)</f>
        <v/>
      </c>
      <c r="N30" s="105" t="str">
        <f aca="false">IF($B30="","",SUMIFS('الحركات الشهرية'!$F$6:$F$1005,'الحركات الشهرية'!$B$6:$B$1005,$B30,'الحركات الشهرية'!$A$6:$A$1005,$C$3))</f>
        <v/>
      </c>
      <c r="O30" s="86" t="str">
        <f aca="false">IF($B30="","",N30*(الموظفون!$N30+الموظفون!$J30*cfg_OT_P)/cfg_DAYS_M/cfg_HRS)</f>
        <v/>
      </c>
      <c r="P30" s="86" t="str">
        <f aca="false">IF($B30="","",SUMIFS('الحركات الشهرية'!$G$6:$G$1005,'الحركات الشهرية'!$B$6:$B$1005,$B30,'الحركات الشهرية'!$A$6:$A$1005,$C$3))</f>
        <v/>
      </c>
      <c r="Q30" s="86" t="str">
        <f aca="false">IF($B30="","",SUMIFS('الحركات الشهرية'!$H$6:$H$1005,'الحركات الشهرية'!$B$6:$B$1005,$B30,'الحركات الشهرية'!$A$6:$A$1005,$C$3))</f>
        <v/>
      </c>
      <c r="R30" s="106" t="str">
        <f aca="false">IF($B30="","",SUM(J30:M30)+SUM(O30:Q30))</f>
        <v/>
      </c>
      <c r="S30" s="86" t="str">
        <f aca="false">IF($B30="","",الموظفون!$Q30*IF(E30="سعودي",cfg_G_SE,cfg_G_NE)*F30/cfg_DAYS_M)</f>
        <v/>
      </c>
      <c r="T30" s="86" t="str">
        <f aca="false">IF($B30="","",SUMIFS('الحركات الشهرية'!$I$6:$I$1005,'الحركات الشهرية'!$B$6:$B$1005,$B30,'الحركات الشهرية'!$A$6:$A$1005,$C$3))</f>
        <v/>
      </c>
      <c r="U30" s="86" t="str">
        <f aca="false">IF($B30="","",SUMIFS('الحركات الشهرية'!$J$6:$J$1005,'الحركات الشهرية'!$B$6:$B$1005,$B30,'الحركات الشهرية'!$A$6:$A$1005,$C$3))</f>
        <v/>
      </c>
      <c r="V30" s="86" t="str">
        <f aca="false">IF($B30="","",SUM(S30:U30))</f>
        <v/>
      </c>
      <c r="W30" s="107" t="str">
        <f aca="false">IF($B30="","",R30-V30)</f>
        <v/>
      </c>
      <c r="X30" s="86" t="str">
        <f aca="false">IF($B30="","",الموظفون!$Q30*IF(E30="سعودي",cfg_G_SR,cfg_G_NR)*F30/cfg_DAYS_M)</f>
        <v/>
      </c>
      <c r="Y30" s="86" t="str">
        <f aca="false">IF($B30="","",الموظفون!$O30*(cfg_EOS_R1*(MIN(AC30,cfg_EOS_TH)-MIN(AD30,cfg_EOS_TH))+cfg_EOS_R2*(MAX(AC30-cfg_EOS_TH,0)-MAX(AD30-cfg_EOS_TH,0))))</f>
        <v/>
      </c>
      <c r="Z30" s="86" t="str">
        <f aca="false">IF($B30="","",IF(الموظفون!$R30&lt;&gt;"",الموظفون!$R30,IF(AC30&gt;=cfg_LV_TH,cfg_LV_D2,cfg_LV_D1))/cfg_DAYS_Y*AE30*الموظفون!$P30/cfg_DAYS_M)</f>
        <v/>
      </c>
      <c r="AA30" s="86" t="str">
        <f aca="false">IF($B30="","",IF(AND(الموظفون!$S30="نعم",N(الموظفون!$U30)&gt;0),الموظفون!$T30/الموظفون!$U30*12/cfg_DAYS_Y*AE30,0))</f>
        <v/>
      </c>
      <c r="AB30" s="108" t="str">
        <f aca="false">IF($B30="","",R30+SUM(X30:AA30))</f>
        <v/>
      </c>
      <c r="AC30" s="109" t="str">
        <f aca="false">IF($B30="","",MAX(0,IF(OR(الموظفون!$X30="",الموظفون!$X30&gt;$G$3),$G$3,الموظفون!$X30)-الموظفون!$H30+1)/cfg_DAYS_Y)</f>
        <v/>
      </c>
      <c r="AD30" s="109" t="str">
        <f aca="false">IF($B30="","",MAX(0,IF(OR(الموظفون!$X30="",الموظفون!$X30&gt;($E$3-1)),($E$3-1),الموظفون!$X30)-الموظفون!$H30+1)/cfg_DAYS_Y)</f>
        <v/>
      </c>
      <c r="AE30" s="51" t="str">
        <f aca="false">IF($B30="","",MAX(0,IF(OR(الموظفون!$X30="",الموظفون!$X30&gt;$G$3),$G$3,الموظفون!$X30)-MAX($E$3,الموظفون!$H30)+1))</f>
        <v/>
      </c>
    </row>
    <row r="31" customFormat="false" ht="15" hidden="false" customHeight="false" outlineLevel="0" collapsed="false">
      <c r="A31" s="89" t="str">
        <f aca="false">IF($B31="","",الموظفون!$A31)</f>
        <v/>
      </c>
      <c r="B31" s="91" t="str">
        <f aca="false">IF(الموظفون!$B31="","",الموظفون!$B31)</f>
        <v/>
      </c>
      <c r="C31" s="91" t="str">
        <f aca="false">IF($B31="","",الموظفون!$C31)</f>
        <v/>
      </c>
      <c r="D31" s="91" t="str">
        <f aca="false">IF($B31="","",الموظفون!$F31)</f>
        <v/>
      </c>
      <c r="E31" s="91" t="str">
        <f aca="false">IF($B31="","",الموظفون!$E31)</f>
        <v/>
      </c>
      <c r="F31" s="110" t="str">
        <f aca="false">IF($B31="","",IF(AE31&gt;=DAY($G$3),cfg_DAYS_M,MIN(AE31,cfg_DAYS_M)))</f>
        <v/>
      </c>
      <c r="G31" s="110" t="str">
        <f aca="false">IF($B31="","",SUMIFS('الحركات الشهرية'!$D$6:$D$1005,'الحركات الشهرية'!$B$6:$B$1005,$B31,'الحركات الشهرية'!$A$6:$A$1005,$C$3))</f>
        <v/>
      </c>
      <c r="H31" s="110" t="str">
        <f aca="false">IF($B31="","",SUMIFS('الحركات الشهرية'!$E$6:$E$1005,'الحركات الشهرية'!$B$6:$B$1005,$B31,'الحركات الشهرية'!$A$6:$A$1005,$C$3))</f>
        <v/>
      </c>
      <c r="I31" s="110" t="str">
        <f aca="false">IF($B31="","",MAX(0,F31-G31-H31))</f>
        <v/>
      </c>
      <c r="J31" s="90" t="str">
        <f aca="false">IF($B31="","",الموظفون!$J31*$I31/cfg_DAYS_M)</f>
        <v/>
      </c>
      <c r="K31" s="90" t="str">
        <f aca="false">IF($B31="","",الموظفون!$K31*$I31/cfg_DAYS_M)</f>
        <v/>
      </c>
      <c r="L31" s="90" t="str">
        <f aca="false">IF($B31="","",الموظفون!$L31*$I31/cfg_DAYS_M)</f>
        <v/>
      </c>
      <c r="M31" s="90" t="str">
        <f aca="false">IF($B31="","",الموظفون!$M31*$I31/cfg_DAYS_M)</f>
        <v/>
      </c>
      <c r="N31" s="110" t="str">
        <f aca="false">IF($B31="","",SUMIFS('الحركات الشهرية'!$F$6:$F$1005,'الحركات الشهرية'!$B$6:$B$1005,$B31,'الحركات الشهرية'!$A$6:$A$1005,$C$3))</f>
        <v/>
      </c>
      <c r="O31" s="90" t="str">
        <f aca="false">IF($B31="","",N31*(الموظفون!$N31+الموظفون!$J31*cfg_OT_P)/cfg_DAYS_M/cfg_HRS)</f>
        <v/>
      </c>
      <c r="P31" s="90" t="str">
        <f aca="false">IF($B31="","",SUMIFS('الحركات الشهرية'!$G$6:$G$1005,'الحركات الشهرية'!$B$6:$B$1005,$B31,'الحركات الشهرية'!$A$6:$A$1005,$C$3))</f>
        <v/>
      </c>
      <c r="Q31" s="90" t="str">
        <f aca="false">IF($B31="","",SUMIFS('الحركات الشهرية'!$H$6:$H$1005,'الحركات الشهرية'!$B$6:$B$1005,$B31,'الحركات الشهرية'!$A$6:$A$1005,$C$3))</f>
        <v/>
      </c>
      <c r="R31" s="111" t="str">
        <f aca="false">IF($B31="","",SUM(J31:M31)+SUM(O31:Q31))</f>
        <v/>
      </c>
      <c r="S31" s="90" t="str">
        <f aca="false">IF($B31="","",الموظفون!$Q31*IF(E31="سعودي",cfg_G_SE,cfg_G_NE)*F31/cfg_DAYS_M)</f>
        <v/>
      </c>
      <c r="T31" s="90" t="str">
        <f aca="false">IF($B31="","",SUMIFS('الحركات الشهرية'!$I$6:$I$1005,'الحركات الشهرية'!$B$6:$B$1005,$B31,'الحركات الشهرية'!$A$6:$A$1005,$C$3))</f>
        <v/>
      </c>
      <c r="U31" s="90" t="str">
        <f aca="false">IF($B31="","",SUMIFS('الحركات الشهرية'!$J$6:$J$1005,'الحركات الشهرية'!$B$6:$B$1005,$B31,'الحركات الشهرية'!$A$6:$A$1005,$C$3))</f>
        <v/>
      </c>
      <c r="V31" s="90" t="str">
        <f aca="false">IF($B31="","",SUM(S31:U31))</f>
        <v/>
      </c>
      <c r="W31" s="112" t="str">
        <f aca="false">IF($B31="","",R31-V31)</f>
        <v/>
      </c>
      <c r="X31" s="90" t="str">
        <f aca="false">IF($B31="","",الموظفون!$Q31*IF(E31="سعودي",cfg_G_SR,cfg_G_NR)*F31/cfg_DAYS_M)</f>
        <v/>
      </c>
      <c r="Y31" s="90" t="str">
        <f aca="false">IF($B31="","",الموظفون!$O31*(cfg_EOS_R1*(MIN(AC31,cfg_EOS_TH)-MIN(AD31,cfg_EOS_TH))+cfg_EOS_R2*(MAX(AC31-cfg_EOS_TH,0)-MAX(AD31-cfg_EOS_TH,0))))</f>
        <v/>
      </c>
      <c r="Z31" s="90" t="str">
        <f aca="false">IF($B31="","",IF(الموظفون!$R31&lt;&gt;"",الموظفون!$R31,IF(AC31&gt;=cfg_LV_TH,cfg_LV_D2,cfg_LV_D1))/cfg_DAYS_Y*AE31*الموظفون!$P31/cfg_DAYS_M)</f>
        <v/>
      </c>
      <c r="AA31" s="90" t="str">
        <f aca="false">IF($B31="","",IF(AND(الموظفون!$S31="نعم",N(الموظفون!$U31)&gt;0),الموظفون!$T31/الموظفون!$U31*12/cfg_DAYS_Y*AE31,0))</f>
        <v/>
      </c>
      <c r="AB31" s="113" t="str">
        <f aca="false">IF($B31="","",R31+SUM(X31:AA31))</f>
        <v/>
      </c>
      <c r="AC31" s="114" t="str">
        <f aca="false">IF($B31="","",MAX(0,IF(OR(الموظفون!$X31="",الموظفون!$X31&gt;$G$3),$G$3,الموظفون!$X31)-الموظفون!$H31+1)/cfg_DAYS_Y)</f>
        <v/>
      </c>
      <c r="AD31" s="114" t="str">
        <f aca="false">IF($B31="","",MAX(0,IF(OR(الموظفون!$X31="",الموظفون!$X31&gt;($E$3-1)),($E$3-1),الموظفون!$X31)-الموظفون!$H31+1)/cfg_DAYS_Y)</f>
        <v/>
      </c>
      <c r="AE31" s="115" t="str">
        <f aca="false">IF($B31="","",MAX(0,IF(OR(الموظفون!$X31="",الموظفون!$X31&gt;$G$3),$G$3,الموظفون!$X31)-MAX($E$3,الموظفون!$H31)+1))</f>
        <v/>
      </c>
    </row>
    <row r="32" customFormat="false" ht="15" hidden="false" customHeight="false" outlineLevel="0" collapsed="false">
      <c r="A32" s="83" t="str">
        <f aca="false">IF($B32="","",الموظفون!$A32)</f>
        <v/>
      </c>
      <c r="B32" s="74" t="str">
        <f aca="false">IF(الموظفون!$B32="","",الموظفون!$B32)</f>
        <v/>
      </c>
      <c r="C32" s="74" t="str">
        <f aca="false">IF($B32="","",الموظفون!$C32)</f>
        <v/>
      </c>
      <c r="D32" s="74" t="str">
        <f aca="false">IF($B32="","",الموظفون!$F32)</f>
        <v/>
      </c>
      <c r="E32" s="74" t="str">
        <f aca="false">IF($B32="","",الموظفون!$E32)</f>
        <v/>
      </c>
      <c r="F32" s="105" t="str">
        <f aca="false">IF($B32="","",IF(AE32&gt;=DAY($G$3),cfg_DAYS_M,MIN(AE32,cfg_DAYS_M)))</f>
        <v/>
      </c>
      <c r="G32" s="105" t="str">
        <f aca="false">IF($B32="","",SUMIFS('الحركات الشهرية'!$D$6:$D$1005,'الحركات الشهرية'!$B$6:$B$1005,$B32,'الحركات الشهرية'!$A$6:$A$1005,$C$3))</f>
        <v/>
      </c>
      <c r="H32" s="105" t="str">
        <f aca="false">IF($B32="","",SUMIFS('الحركات الشهرية'!$E$6:$E$1005,'الحركات الشهرية'!$B$6:$B$1005,$B32,'الحركات الشهرية'!$A$6:$A$1005,$C$3))</f>
        <v/>
      </c>
      <c r="I32" s="105" t="str">
        <f aca="false">IF($B32="","",MAX(0,F32-G32-H32))</f>
        <v/>
      </c>
      <c r="J32" s="86" t="str">
        <f aca="false">IF($B32="","",الموظفون!$J32*$I32/cfg_DAYS_M)</f>
        <v/>
      </c>
      <c r="K32" s="86" t="str">
        <f aca="false">IF($B32="","",الموظفون!$K32*$I32/cfg_DAYS_M)</f>
        <v/>
      </c>
      <c r="L32" s="86" t="str">
        <f aca="false">IF($B32="","",الموظفون!$L32*$I32/cfg_DAYS_M)</f>
        <v/>
      </c>
      <c r="M32" s="86" t="str">
        <f aca="false">IF($B32="","",الموظفون!$M32*$I32/cfg_DAYS_M)</f>
        <v/>
      </c>
      <c r="N32" s="105" t="str">
        <f aca="false">IF($B32="","",SUMIFS('الحركات الشهرية'!$F$6:$F$1005,'الحركات الشهرية'!$B$6:$B$1005,$B32,'الحركات الشهرية'!$A$6:$A$1005,$C$3))</f>
        <v/>
      </c>
      <c r="O32" s="86" t="str">
        <f aca="false">IF($B32="","",N32*(الموظفون!$N32+الموظفون!$J32*cfg_OT_P)/cfg_DAYS_M/cfg_HRS)</f>
        <v/>
      </c>
      <c r="P32" s="86" t="str">
        <f aca="false">IF($B32="","",SUMIFS('الحركات الشهرية'!$G$6:$G$1005,'الحركات الشهرية'!$B$6:$B$1005,$B32,'الحركات الشهرية'!$A$6:$A$1005,$C$3))</f>
        <v/>
      </c>
      <c r="Q32" s="86" t="str">
        <f aca="false">IF($B32="","",SUMIFS('الحركات الشهرية'!$H$6:$H$1005,'الحركات الشهرية'!$B$6:$B$1005,$B32,'الحركات الشهرية'!$A$6:$A$1005,$C$3))</f>
        <v/>
      </c>
      <c r="R32" s="106" t="str">
        <f aca="false">IF($B32="","",SUM(J32:M32)+SUM(O32:Q32))</f>
        <v/>
      </c>
      <c r="S32" s="86" t="str">
        <f aca="false">IF($B32="","",الموظفون!$Q32*IF(E32="سعودي",cfg_G_SE,cfg_G_NE)*F32/cfg_DAYS_M)</f>
        <v/>
      </c>
      <c r="T32" s="86" t="str">
        <f aca="false">IF($B32="","",SUMIFS('الحركات الشهرية'!$I$6:$I$1005,'الحركات الشهرية'!$B$6:$B$1005,$B32,'الحركات الشهرية'!$A$6:$A$1005,$C$3))</f>
        <v/>
      </c>
      <c r="U32" s="86" t="str">
        <f aca="false">IF($B32="","",SUMIFS('الحركات الشهرية'!$J$6:$J$1005,'الحركات الشهرية'!$B$6:$B$1005,$B32,'الحركات الشهرية'!$A$6:$A$1005,$C$3))</f>
        <v/>
      </c>
      <c r="V32" s="86" t="str">
        <f aca="false">IF($B32="","",SUM(S32:U32))</f>
        <v/>
      </c>
      <c r="W32" s="107" t="str">
        <f aca="false">IF($B32="","",R32-V32)</f>
        <v/>
      </c>
      <c r="X32" s="86" t="str">
        <f aca="false">IF($B32="","",الموظفون!$Q32*IF(E32="سعودي",cfg_G_SR,cfg_G_NR)*F32/cfg_DAYS_M)</f>
        <v/>
      </c>
      <c r="Y32" s="86" t="str">
        <f aca="false">IF($B32="","",الموظفون!$O32*(cfg_EOS_R1*(MIN(AC32,cfg_EOS_TH)-MIN(AD32,cfg_EOS_TH))+cfg_EOS_R2*(MAX(AC32-cfg_EOS_TH,0)-MAX(AD32-cfg_EOS_TH,0))))</f>
        <v/>
      </c>
      <c r="Z32" s="86" t="str">
        <f aca="false">IF($B32="","",IF(الموظفون!$R32&lt;&gt;"",الموظفون!$R32,IF(AC32&gt;=cfg_LV_TH,cfg_LV_D2,cfg_LV_D1))/cfg_DAYS_Y*AE32*الموظفون!$P32/cfg_DAYS_M)</f>
        <v/>
      </c>
      <c r="AA32" s="86" t="str">
        <f aca="false">IF($B32="","",IF(AND(الموظفون!$S32="نعم",N(الموظفون!$U32)&gt;0),الموظفون!$T32/الموظفون!$U32*12/cfg_DAYS_Y*AE32,0))</f>
        <v/>
      </c>
      <c r="AB32" s="108" t="str">
        <f aca="false">IF($B32="","",R32+SUM(X32:AA32))</f>
        <v/>
      </c>
      <c r="AC32" s="109" t="str">
        <f aca="false">IF($B32="","",MAX(0,IF(OR(الموظفون!$X32="",الموظفون!$X32&gt;$G$3),$G$3,الموظفون!$X32)-الموظفون!$H32+1)/cfg_DAYS_Y)</f>
        <v/>
      </c>
      <c r="AD32" s="109" t="str">
        <f aca="false">IF($B32="","",MAX(0,IF(OR(الموظفون!$X32="",الموظفون!$X32&gt;($E$3-1)),($E$3-1),الموظفون!$X32)-الموظفون!$H32+1)/cfg_DAYS_Y)</f>
        <v/>
      </c>
      <c r="AE32" s="51" t="str">
        <f aca="false">IF($B32="","",MAX(0,IF(OR(الموظفون!$X32="",الموظفون!$X32&gt;$G$3),$G$3,الموظفون!$X32)-MAX($E$3,الموظفون!$H32)+1))</f>
        <v/>
      </c>
    </row>
    <row r="33" customFormat="false" ht="15" hidden="false" customHeight="false" outlineLevel="0" collapsed="false">
      <c r="A33" s="89" t="str">
        <f aca="false">IF($B33="","",الموظفون!$A33)</f>
        <v/>
      </c>
      <c r="B33" s="91" t="str">
        <f aca="false">IF(الموظفون!$B33="","",الموظفون!$B33)</f>
        <v/>
      </c>
      <c r="C33" s="91" t="str">
        <f aca="false">IF($B33="","",الموظفون!$C33)</f>
        <v/>
      </c>
      <c r="D33" s="91" t="str">
        <f aca="false">IF($B33="","",الموظفون!$F33)</f>
        <v/>
      </c>
      <c r="E33" s="91" t="str">
        <f aca="false">IF($B33="","",الموظفون!$E33)</f>
        <v/>
      </c>
      <c r="F33" s="110" t="str">
        <f aca="false">IF($B33="","",IF(AE33&gt;=DAY($G$3),cfg_DAYS_M,MIN(AE33,cfg_DAYS_M)))</f>
        <v/>
      </c>
      <c r="G33" s="110" t="str">
        <f aca="false">IF($B33="","",SUMIFS('الحركات الشهرية'!$D$6:$D$1005,'الحركات الشهرية'!$B$6:$B$1005,$B33,'الحركات الشهرية'!$A$6:$A$1005,$C$3))</f>
        <v/>
      </c>
      <c r="H33" s="110" t="str">
        <f aca="false">IF($B33="","",SUMIFS('الحركات الشهرية'!$E$6:$E$1005,'الحركات الشهرية'!$B$6:$B$1005,$B33,'الحركات الشهرية'!$A$6:$A$1005,$C$3))</f>
        <v/>
      </c>
      <c r="I33" s="110" t="str">
        <f aca="false">IF($B33="","",MAX(0,F33-G33-H33))</f>
        <v/>
      </c>
      <c r="J33" s="90" t="str">
        <f aca="false">IF($B33="","",الموظفون!$J33*$I33/cfg_DAYS_M)</f>
        <v/>
      </c>
      <c r="K33" s="90" t="str">
        <f aca="false">IF($B33="","",الموظفون!$K33*$I33/cfg_DAYS_M)</f>
        <v/>
      </c>
      <c r="L33" s="90" t="str">
        <f aca="false">IF($B33="","",الموظفون!$L33*$I33/cfg_DAYS_M)</f>
        <v/>
      </c>
      <c r="M33" s="90" t="str">
        <f aca="false">IF($B33="","",الموظفون!$M33*$I33/cfg_DAYS_M)</f>
        <v/>
      </c>
      <c r="N33" s="110" t="str">
        <f aca="false">IF($B33="","",SUMIFS('الحركات الشهرية'!$F$6:$F$1005,'الحركات الشهرية'!$B$6:$B$1005,$B33,'الحركات الشهرية'!$A$6:$A$1005,$C$3))</f>
        <v/>
      </c>
      <c r="O33" s="90" t="str">
        <f aca="false">IF($B33="","",N33*(الموظفون!$N33+الموظفون!$J33*cfg_OT_P)/cfg_DAYS_M/cfg_HRS)</f>
        <v/>
      </c>
      <c r="P33" s="90" t="str">
        <f aca="false">IF($B33="","",SUMIFS('الحركات الشهرية'!$G$6:$G$1005,'الحركات الشهرية'!$B$6:$B$1005,$B33,'الحركات الشهرية'!$A$6:$A$1005,$C$3))</f>
        <v/>
      </c>
      <c r="Q33" s="90" t="str">
        <f aca="false">IF($B33="","",SUMIFS('الحركات الشهرية'!$H$6:$H$1005,'الحركات الشهرية'!$B$6:$B$1005,$B33,'الحركات الشهرية'!$A$6:$A$1005,$C$3))</f>
        <v/>
      </c>
      <c r="R33" s="111" t="str">
        <f aca="false">IF($B33="","",SUM(J33:M33)+SUM(O33:Q33))</f>
        <v/>
      </c>
      <c r="S33" s="90" t="str">
        <f aca="false">IF($B33="","",الموظفون!$Q33*IF(E33="سعودي",cfg_G_SE,cfg_G_NE)*F33/cfg_DAYS_M)</f>
        <v/>
      </c>
      <c r="T33" s="90" t="str">
        <f aca="false">IF($B33="","",SUMIFS('الحركات الشهرية'!$I$6:$I$1005,'الحركات الشهرية'!$B$6:$B$1005,$B33,'الحركات الشهرية'!$A$6:$A$1005,$C$3))</f>
        <v/>
      </c>
      <c r="U33" s="90" t="str">
        <f aca="false">IF($B33="","",SUMIFS('الحركات الشهرية'!$J$6:$J$1005,'الحركات الشهرية'!$B$6:$B$1005,$B33,'الحركات الشهرية'!$A$6:$A$1005,$C$3))</f>
        <v/>
      </c>
      <c r="V33" s="90" t="str">
        <f aca="false">IF($B33="","",SUM(S33:U33))</f>
        <v/>
      </c>
      <c r="W33" s="112" t="str">
        <f aca="false">IF($B33="","",R33-V33)</f>
        <v/>
      </c>
      <c r="X33" s="90" t="str">
        <f aca="false">IF($B33="","",الموظفون!$Q33*IF(E33="سعودي",cfg_G_SR,cfg_G_NR)*F33/cfg_DAYS_M)</f>
        <v/>
      </c>
      <c r="Y33" s="90" t="str">
        <f aca="false">IF($B33="","",الموظفون!$O33*(cfg_EOS_R1*(MIN(AC33,cfg_EOS_TH)-MIN(AD33,cfg_EOS_TH))+cfg_EOS_R2*(MAX(AC33-cfg_EOS_TH,0)-MAX(AD33-cfg_EOS_TH,0))))</f>
        <v/>
      </c>
      <c r="Z33" s="90" t="str">
        <f aca="false">IF($B33="","",IF(الموظفون!$R33&lt;&gt;"",الموظفون!$R33,IF(AC33&gt;=cfg_LV_TH,cfg_LV_D2,cfg_LV_D1))/cfg_DAYS_Y*AE33*الموظفون!$P33/cfg_DAYS_M)</f>
        <v/>
      </c>
      <c r="AA33" s="90" t="str">
        <f aca="false">IF($B33="","",IF(AND(الموظفون!$S33="نعم",N(الموظفون!$U33)&gt;0),الموظفون!$T33/الموظفون!$U33*12/cfg_DAYS_Y*AE33,0))</f>
        <v/>
      </c>
      <c r="AB33" s="113" t="str">
        <f aca="false">IF($B33="","",R33+SUM(X33:AA33))</f>
        <v/>
      </c>
      <c r="AC33" s="114" t="str">
        <f aca="false">IF($B33="","",MAX(0,IF(OR(الموظفون!$X33="",الموظفون!$X33&gt;$G$3),$G$3,الموظفون!$X33)-الموظفون!$H33+1)/cfg_DAYS_Y)</f>
        <v/>
      </c>
      <c r="AD33" s="114" t="str">
        <f aca="false">IF($B33="","",MAX(0,IF(OR(الموظفون!$X33="",الموظفون!$X33&gt;($E$3-1)),($E$3-1),الموظفون!$X33)-الموظفون!$H33+1)/cfg_DAYS_Y)</f>
        <v/>
      </c>
      <c r="AE33" s="115" t="str">
        <f aca="false">IF($B33="","",MAX(0,IF(OR(الموظفون!$X33="",الموظفون!$X33&gt;$G$3),$G$3,الموظفون!$X33)-MAX($E$3,الموظفون!$H33)+1))</f>
        <v/>
      </c>
    </row>
    <row r="34" customFormat="false" ht="15" hidden="false" customHeight="false" outlineLevel="0" collapsed="false">
      <c r="A34" s="83" t="str">
        <f aca="false">IF($B34="","",الموظفون!$A34)</f>
        <v/>
      </c>
      <c r="B34" s="74" t="str">
        <f aca="false">IF(الموظفون!$B34="","",الموظفون!$B34)</f>
        <v/>
      </c>
      <c r="C34" s="74" t="str">
        <f aca="false">IF($B34="","",الموظفون!$C34)</f>
        <v/>
      </c>
      <c r="D34" s="74" t="str">
        <f aca="false">IF($B34="","",الموظفون!$F34)</f>
        <v/>
      </c>
      <c r="E34" s="74" t="str">
        <f aca="false">IF($B34="","",الموظفون!$E34)</f>
        <v/>
      </c>
      <c r="F34" s="105" t="str">
        <f aca="false">IF($B34="","",IF(AE34&gt;=DAY($G$3),cfg_DAYS_M,MIN(AE34,cfg_DAYS_M)))</f>
        <v/>
      </c>
      <c r="G34" s="105" t="str">
        <f aca="false">IF($B34="","",SUMIFS('الحركات الشهرية'!$D$6:$D$1005,'الحركات الشهرية'!$B$6:$B$1005,$B34,'الحركات الشهرية'!$A$6:$A$1005,$C$3))</f>
        <v/>
      </c>
      <c r="H34" s="105" t="str">
        <f aca="false">IF($B34="","",SUMIFS('الحركات الشهرية'!$E$6:$E$1005,'الحركات الشهرية'!$B$6:$B$1005,$B34,'الحركات الشهرية'!$A$6:$A$1005,$C$3))</f>
        <v/>
      </c>
      <c r="I34" s="105" t="str">
        <f aca="false">IF($B34="","",MAX(0,F34-G34-H34))</f>
        <v/>
      </c>
      <c r="J34" s="86" t="str">
        <f aca="false">IF($B34="","",الموظفون!$J34*$I34/cfg_DAYS_M)</f>
        <v/>
      </c>
      <c r="K34" s="86" t="str">
        <f aca="false">IF($B34="","",الموظفون!$K34*$I34/cfg_DAYS_M)</f>
        <v/>
      </c>
      <c r="L34" s="86" t="str">
        <f aca="false">IF($B34="","",الموظفون!$L34*$I34/cfg_DAYS_M)</f>
        <v/>
      </c>
      <c r="M34" s="86" t="str">
        <f aca="false">IF($B34="","",الموظفون!$M34*$I34/cfg_DAYS_M)</f>
        <v/>
      </c>
      <c r="N34" s="105" t="str">
        <f aca="false">IF($B34="","",SUMIFS('الحركات الشهرية'!$F$6:$F$1005,'الحركات الشهرية'!$B$6:$B$1005,$B34,'الحركات الشهرية'!$A$6:$A$1005,$C$3))</f>
        <v/>
      </c>
      <c r="O34" s="86" t="str">
        <f aca="false">IF($B34="","",N34*(الموظفون!$N34+الموظفون!$J34*cfg_OT_P)/cfg_DAYS_M/cfg_HRS)</f>
        <v/>
      </c>
      <c r="P34" s="86" t="str">
        <f aca="false">IF($B34="","",SUMIFS('الحركات الشهرية'!$G$6:$G$1005,'الحركات الشهرية'!$B$6:$B$1005,$B34,'الحركات الشهرية'!$A$6:$A$1005,$C$3))</f>
        <v/>
      </c>
      <c r="Q34" s="86" t="str">
        <f aca="false">IF($B34="","",SUMIFS('الحركات الشهرية'!$H$6:$H$1005,'الحركات الشهرية'!$B$6:$B$1005,$B34,'الحركات الشهرية'!$A$6:$A$1005,$C$3))</f>
        <v/>
      </c>
      <c r="R34" s="106" t="str">
        <f aca="false">IF($B34="","",SUM(J34:M34)+SUM(O34:Q34))</f>
        <v/>
      </c>
      <c r="S34" s="86" t="str">
        <f aca="false">IF($B34="","",الموظفون!$Q34*IF(E34="سعودي",cfg_G_SE,cfg_G_NE)*F34/cfg_DAYS_M)</f>
        <v/>
      </c>
      <c r="T34" s="86" t="str">
        <f aca="false">IF($B34="","",SUMIFS('الحركات الشهرية'!$I$6:$I$1005,'الحركات الشهرية'!$B$6:$B$1005,$B34,'الحركات الشهرية'!$A$6:$A$1005,$C$3))</f>
        <v/>
      </c>
      <c r="U34" s="86" t="str">
        <f aca="false">IF($B34="","",SUMIFS('الحركات الشهرية'!$J$6:$J$1005,'الحركات الشهرية'!$B$6:$B$1005,$B34,'الحركات الشهرية'!$A$6:$A$1005,$C$3))</f>
        <v/>
      </c>
      <c r="V34" s="86" t="str">
        <f aca="false">IF($B34="","",SUM(S34:U34))</f>
        <v/>
      </c>
      <c r="W34" s="107" t="str">
        <f aca="false">IF($B34="","",R34-V34)</f>
        <v/>
      </c>
      <c r="X34" s="86" t="str">
        <f aca="false">IF($B34="","",الموظفون!$Q34*IF(E34="سعودي",cfg_G_SR,cfg_G_NR)*F34/cfg_DAYS_M)</f>
        <v/>
      </c>
      <c r="Y34" s="86" t="str">
        <f aca="false">IF($B34="","",الموظفون!$O34*(cfg_EOS_R1*(MIN(AC34,cfg_EOS_TH)-MIN(AD34,cfg_EOS_TH))+cfg_EOS_R2*(MAX(AC34-cfg_EOS_TH,0)-MAX(AD34-cfg_EOS_TH,0))))</f>
        <v/>
      </c>
      <c r="Z34" s="86" t="str">
        <f aca="false">IF($B34="","",IF(الموظفون!$R34&lt;&gt;"",الموظفون!$R34,IF(AC34&gt;=cfg_LV_TH,cfg_LV_D2,cfg_LV_D1))/cfg_DAYS_Y*AE34*الموظفون!$P34/cfg_DAYS_M)</f>
        <v/>
      </c>
      <c r="AA34" s="86" t="str">
        <f aca="false">IF($B34="","",IF(AND(الموظفون!$S34="نعم",N(الموظفون!$U34)&gt;0),الموظفون!$T34/الموظفون!$U34*12/cfg_DAYS_Y*AE34,0))</f>
        <v/>
      </c>
      <c r="AB34" s="108" t="str">
        <f aca="false">IF($B34="","",R34+SUM(X34:AA34))</f>
        <v/>
      </c>
      <c r="AC34" s="109" t="str">
        <f aca="false">IF($B34="","",MAX(0,IF(OR(الموظفون!$X34="",الموظفون!$X34&gt;$G$3),$G$3,الموظفون!$X34)-الموظفون!$H34+1)/cfg_DAYS_Y)</f>
        <v/>
      </c>
      <c r="AD34" s="109" t="str">
        <f aca="false">IF($B34="","",MAX(0,IF(OR(الموظفون!$X34="",الموظفون!$X34&gt;($E$3-1)),($E$3-1),الموظفون!$X34)-الموظفون!$H34+1)/cfg_DAYS_Y)</f>
        <v/>
      </c>
      <c r="AE34" s="51" t="str">
        <f aca="false">IF($B34="","",MAX(0,IF(OR(الموظفون!$X34="",الموظفون!$X34&gt;$G$3),$G$3,الموظفون!$X34)-MAX($E$3,الموظفون!$H34)+1))</f>
        <v/>
      </c>
    </row>
    <row r="35" customFormat="false" ht="15" hidden="false" customHeight="false" outlineLevel="0" collapsed="false">
      <c r="A35" s="89" t="str">
        <f aca="false">IF($B35="","",الموظفون!$A35)</f>
        <v/>
      </c>
      <c r="B35" s="91" t="str">
        <f aca="false">IF(الموظفون!$B35="","",الموظفون!$B35)</f>
        <v/>
      </c>
      <c r="C35" s="91" t="str">
        <f aca="false">IF($B35="","",الموظفون!$C35)</f>
        <v/>
      </c>
      <c r="D35" s="91" t="str">
        <f aca="false">IF($B35="","",الموظفون!$F35)</f>
        <v/>
      </c>
      <c r="E35" s="91" t="str">
        <f aca="false">IF($B35="","",الموظفون!$E35)</f>
        <v/>
      </c>
      <c r="F35" s="110" t="str">
        <f aca="false">IF($B35="","",IF(AE35&gt;=DAY($G$3),cfg_DAYS_M,MIN(AE35,cfg_DAYS_M)))</f>
        <v/>
      </c>
      <c r="G35" s="110" t="str">
        <f aca="false">IF($B35="","",SUMIFS('الحركات الشهرية'!$D$6:$D$1005,'الحركات الشهرية'!$B$6:$B$1005,$B35,'الحركات الشهرية'!$A$6:$A$1005,$C$3))</f>
        <v/>
      </c>
      <c r="H35" s="110" t="str">
        <f aca="false">IF($B35="","",SUMIFS('الحركات الشهرية'!$E$6:$E$1005,'الحركات الشهرية'!$B$6:$B$1005,$B35,'الحركات الشهرية'!$A$6:$A$1005,$C$3))</f>
        <v/>
      </c>
      <c r="I35" s="110" t="str">
        <f aca="false">IF($B35="","",MAX(0,F35-G35-H35))</f>
        <v/>
      </c>
      <c r="J35" s="90" t="str">
        <f aca="false">IF($B35="","",الموظفون!$J35*$I35/cfg_DAYS_M)</f>
        <v/>
      </c>
      <c r="K35" s="90" t="str">
        <f aca="false">IF($B35="","",الموظفون!$K35*$I35/cfg_DAYS_M)</f>
        <v/>
      </c>
      <c r="L35" s="90" t="str">
        <f aca="false">IF($B35="","",الموظفون!$L35*$I35/cfg_DAYS_M)</f>
        <v/>
      </c>
      <c r="M35" s="90" t="str">
        <f aca="false">IF($B35="","",الموظفون!$M35*$I35/cfg_DAYS_M)</f>
        <v/>
      </c>
      <c r="N35" s="110" t="str">
        <f aca="false">IF($B35="","",SUMIFS('الحركات الشهرية'!$F$6:$F$1005,'الحركات الشهرية'!$B$6:$B$1005,$B35,'الحركات الشهرية'!$A$6:$A$1005,$C$3))</f>
        <v/>
      </c>
      <c r="O35" s="90" t="str">
        <f aca="false">IF($B35="","",N35*(الموظفون!$N35+الموظفون!$J35*cfg_OT_P)/cfg_DAYS_M/cfg_HRS)</f>
        <v/>
      </c>
      <c r="P35" s="90" t="str">
        <f aca="false">IF($B35="","",SUMIFS('الحركات الشهرية'!$G$6:$G$1005,'الحركات الشهرية'!$B$6:$B$1005,$B35,'الحركات الشهرية'!$A$6:$A$1005,$C$3))</f>
        <v/>
      </c>
      <c r="Q35" s="90" t="str">
        <f aca="false">IF($B35="","",SUMIFS('الحركات الشهرية'!$H$6:$H$1005,'الحركات الشهرية'!$B$6:$B$1005,$B35,'الحركات الشهرية'!$A$6:$A$1005,$C$3))</f>
        <v/>
      </c>
      <c r="R35" s="111" t="str">
        <f aca="false">IF($B35="","",SUM(J35:M35)+SUM(O35:Q35))</f>
        <v/>
      </c>
      <c r="S35" s="90" t="str">
        <f aca="false">IF($B35="","",الموظفون!$Q35*IF(E35="سعودي",cfg_G_SE,cfg_G_NE)*F35/cfg_DAYS_M)</f>
        <v/>
      </c>
      <c r="T35" s="90" t="str">
        <f aca="false">IF($B35="","",SUMIFS('الحركات الشهرية'!$I$6:$I$1005,'الحركات الشهرية'!$B$6:$B$1005,$B35,'الحركات الشهرية'!$A$6:$A$1005,$C$3))</f>
        <v/>
      </c>
      <c r="U35" s="90" t="str">
        <f aca="false">IF($B35="","",SUMIFS('الحركات الشهرية'!$J$6:$J$1005,'الحركات الشهرية'!$B$6:$B$1005,$B35,'الحركات الشهرية'!$A$6:$A$1005,$C$3))</f>
        <v/>
      </c>
      <c r="V35" s="90" t="str">
        <f aca="false">IF($B35="","",SUM(S35:U35))</f>
        <v/>
      </c>
      <c r="W35" s="112" t="str">
        <f aca="false">IF($B35="","",R35-V35)</f>
        <v/>
      </c>
      <c r="X35" s="90" t="str">
        <f aca="false">IF($B35="","",الموظفون!$Q35*IF(E35="سعودي",cfg_G_SR,cfg_G_NR)*F35/cfg_DAYS_M)</f>
        <v/>
      </c>
      <c r="Y35" s="90" t="str">
        <f aca="false">IF($B35="","",الموظفون!$O35*(cfg_EOS_R1*(MIN(AC35,cfg_EOS_TH)-MIN(AD35,cfg_EOS_TH))+cfg_EOS_R2*(MAX(AC35-cfg_EOS_TH,0)-MAX(AD35-cfg_EOS_TH,0))))</f>
        <v/>
      </c>
      <c r="Z35" s="90" t="str">
        <f aca="false">IF($B35="","",IF(الموظفون!$R35&lt;&gt;"",الموظفون!$R35,IF(AC35&gt;=cfg_LV_TH,cfg_LV_D2,cfg_LV_D1))/cfg_DAYS_Y*AE35*الموظفون!$P35/cfg_DAYS_M)</f>
        <v/>
      </c>
      <c r="AA35" s="90" t="str">
        <f aca="false">IF($B35="","",IF(AND(الموظفون!$S35="نعم",N(الموظفون!$U35)&gt;0),الموظفون!$T35/الموظفون!$U35*12/cfg_DAYS_Y*AE35,0))</f>
        <v/>
      </c>
      <c r="AB35" s="113" t="str">
        <f aca="false">IF($B35="","",R35+SUM(X35:AA35))</f>
        <v/>
      </c>
      <c r="AC35" s="114" t="str">
        <f aca="false">IF($B35="","",MAX(0,IF(OR(الموظفون!$X35="",الموظفون!$X35&gt;$G$3),$G$3,الموظفون!$X35)-الموظفون!$H35+1)/cfg_DAYS_Y)</f>
        <v/>
      </c>
      <c r="AD35" s="114" t="str">
        <f aca="false">IF($B35="","",MAX(0,IF(OR(الموظفون!$X35="",الموظفون!$X35&gt;($E$3-1)),($E$3-1),الموظفون!$X35)-الموظفون!$H35+1)/cfg_DAYS_Y)</f>
        <v/>
      </c>
      <c r="AE35" s="115" t="str">
        <f aca="false">IF($B35="","",MAX(0,IF(OR(الموظفون!$X35="",الموظفون!$X35&gt;$G$3),$G$3,الموظفون!$X35)-MAX($E$3,الموظفون!$H35)+1))</f>
        <v/>
      </c>
    </row>
    <row r="36" customFormat="false" ht="15" hidden="false" customHeight="false" outlineLevel="0" collapsed="false">
      <c r="A36" s="83" t="str">
        <f aca="false">IF($B36="","",الموظفون!$A36)</f>
        <v/>
      </c>
      <c r="B36" s="74" t="str">
        <f aca="false">IF(الموظفون!$B36="","",الموظفون!$B36)</f>
        <v/>
      </c>
      <c r="C36" s="74" t="str">
        <f aca="false">IF($B36="","",الموظفون!$C36)</f>
        <v/>
      </c>
      <c r="D36" s="74" t="str">
        <f aca="false">IF($B36="","",الموظفون!$F36)</f>
        <v/>
      </c>
      <c r="E36" s="74" t="str">
        <f aca="false">IF($B36="","",الموظفون!$E36)</f>
        <v/>
      </c>
      <c r="F36" s="105" t="str">
        <f aca="false">IF($B36="","",IF(AE36&gt;=DAY($G$3),cfg_DAYS_M,MIN(AE36,cfg_DAYS_M)))</f>
        <v/>
      </c>
      <c r="G36" s="105" t="str">
        <f aca="false">IF($B36="","",SUMIFS('الحركات الشهرية'!$D$6:$D$1005,'الحركات الشهرية'!$B$6:$B$1005,$B36,'الحركات الشهرية'!$A$6:$A$1005,$C$3))</f>
        <v/>
      </c>
      <c r="H36" s="105" t="str">
        <f aca="false">IF($B36="","",SUMIFS('الحركات الشهرية'!$E$6:$E$1005,'الحركات الشهرية'!$B$6:$B$1005,$B36,'الحركات الشهرية'!$A$6:$A$1005,$C$3))</f>
        <v/>
      </c>
      <c r="I36" s="105" t="str">
        <f aca="false">IF($B36="","",MAX(0,F36-G36-H36))</f>
        <v/>
      </c>
      <c r="J36" s="86" t="str">
        <f aca="false">IF($B36="","",الموظفون!$J36*$I36/cfg_DAYS_M)</f>
        <v/>
      </c>
      <c r="K36" s="86" t="str">
        <f aca="false">IF($B36="","",الموظفون!$K36*$I36/cfg_DAYS_M)</f>
        <v/>
      </c>
      <c r="L36" s="86" t="str">
        <f aca="false">IF($B36="","",الموظفون!$L36*$I36/cfg_DAYS_M)</f>
        <v/>
      </c>
      <c r="M36" s="86" t="str">
        <f aca="false">IF($B36="","",الموظفون!$M36*$I36/cfg_DAYS_M)</f>
        <v/>
      </c>
      <c r="N36" s="105" t="str">
        <f aca="false">IF($B36="","",SUMIFS('الحركات الشهرية'!$F$6:$F$1005,'الحركات الشهرية'!$B$6:$B$1005,$B36,'الحركات الشهرية'!$A$6:$A$1005,$C$3))</f>
        <v/>
      </c>
      <c r="O36" s="86" t="str">
        <f aca="false">IF($B36="","",N36*(الموظفون!$N36+الموظفون!$J36*cfg_OT_P)/cfg_DAYS_M/cfg_HRS)</f>
        <v/>
      </c>
      <c r="P36" s="86" t="str">
        <f aca="false">IF($B36="","",SUMIFS('الحركات الشهرية'!$G$6:$G$1005,'الحركات الشهرية'!$B$6:$B$1005,$B36,'الحركات الشهرية'!$A$6:$A$1005,$C$3))</f>
        <v/>
      </c>
      <c r="Q36" s="86" t="str">
        <f aca="false">IF($B36="","",SUMIFS('الحركات الشهرية'!$H$6:$H$1005,'الحركات الشهرية'!$B$6:$B$1005,$B36,'الحركات الشهرية'!$A$6:$A$1005,$C$3))</f>
        <v/>
      </c>
      <c r="R36" s="106" t="str">
        <f aca="false">IF($B36="","",SUM(J36:M36)+SUM(O36:Q36))</f>
        <v/>
      </c>
      <c r="S36" s="86" t="str">
        <f aca="false">IF($B36="","",الموظفون!$Q36*IF(E36="سعودي",cfg_G_SE,cfg_G_NE)*F36/cfg_DAYS_M)</f>
        <v/>
      </c>
      <c r="T36" s="86" t="str">
        <f aca="false">IF($B36="","",SUMIFS('الحركات الشهرية'!$I$6:$I$1005,'الحركات الشهرية'!$B$6:$B$1005,$B36,'الحركات الشهرية'!$A$6:$A$1005,$C$3))</f>
        <v/>
      </c>
      <c r="U36" s="86" t="str">
        <f aca="false">IF($B36="","",SUMIFS('الحركات الشهرية'!$J$6:$J$1005,'الحركات الشهرية'!$B$6:$B$1005,$B36,'الحركات الشهرية'!$A$6:$A$1005,$C$3))</f>
        <v/>
      </c>
      <c r="V36" s="86" t="str">
        <f aca="false">IF($B36="","",SUM(S36:U36))</f>
        <v/>
      </c>
      <c r="W36" s="107" t="str">
        <f aca="false">IF($B36="","",R36-V36)</f>
        <v/>
      </c>
      <c r="X36" s="86" t="str">
        <f aca="false">IF($B36="","",الموظفون!$Q36*IF(E36="سعودي",cfg_G_SR,cfg_G_NR)*F36/cfg_DAYS_M)</f>
        <v/>
      </c>
      <c r="Y36" s="86" t="str">
        <f aca="false">IF($B36="","",الموظفون!$O36*(cfg_EOS_R1*(MIN(AC36,cfg_EOS_TH)-MIN(AD36,cfg_EOS_TH))+cfg_EOS_R2*(MAX(AC36-cfg_EOS_TH,0)-MAX(AD36-cfg_EOS_TH,0))))</f>
        <v/>
      </c>
      <c r="Z36" s="86" t="str">
        <f aca="false">IF($B36="","",IF(الموظفون!$R36&lt;&gt;"",الموظفون!$R36,IF(AC36&gt;=cfg_LV_TH,cfg_LV_D2,cfg_LV_D1))/cfg_DAYS_Y*AE36*الموظفون!$P36/cfg_DAYS_M)</f>
        <v/>
      </c>
      <c r="AA36" s="86" t="str">
        <f aca="false">IF($B36="","",IF(AND(الموظفون!$S36="نعم",N(الموظفون!$U36)&gt;0),الموظفون!$T36/الموظفون!$U36*12/cfg_DAYS_Y*AE36,0))</f>
        <v/>
      </c>
      <c r="AB36" s="108" t="str">
        <f aca="false">IF($B36="","",R36+SUM(X36:AA36))</f>
        <v/>
      </c>
      <c r="AC36" s="109" t="str">
        <f aca="false">IF($B36="","",MAX(0,IF(OR(الموظفون!$X36="",الموظفون!$X36&gt;$G$3),$G$3,الموظفون!$X36)-الموظفون!$H36+1)/cfg_DAYS_Y)</f>
        <v/>
      </c>
      <c r="AD36" s="109" t="str">
        <f aca="false">IF($B36="","",MAX(0,IF(OR(الموظفون!$X36="",الموظفون!$X36&gt;($E$3-1)),($E$3-1),الموظفون!$X36)-الموظفون!$H36+1)/cfg_DAYS_Y)</f>
        <v/>
      </c>
      <c r="AE36" s="51" t="str">
        <f aca="false">IF($B36="","",MAX(0,IF(OR(الموظفون!$X36="",الموظفون!$X36&gt;$G$3),$G$3,الموظفون!$X36)-MAX($E$3,الموظفون!$H36)+1))</f>
        <v/>
      </c>
    </row>
    <row r="37" customFormat="false" ht="15" hidden="false" customHeight="false" outlineLevel="0" collapsed="false">
      <c r="A37" s="89" t="str">
        <f aca="false">IF($B37="","",الموظفون!$A37)</f>
        <v/>
      </c>
      <c r="B37" s="91" t="str">
        <f aca="false">IF(الموظفون!$B37="","",الموظفون!$B37)</f>
        <v/>
      </c>
      <c r="C37" s="91" t="str">
        <f aca="false">IF($B37="","",الموظفون!$C37)</f>
        <v/>
      </c>
      <c r="D37" s="91" t="str">
        <f aca="false">IF($B37="","",الموظفون!$F37)</f>
        <v/>
      </c>
      <c r="E37" s="91" t="str">
        <f aca="false">IF($B37="","",الموظفون!$E37)</f>
        <v/>
      </c>
      <c r="F37" s="110" t="str">
        <f aca="false">IF($B37="","",IF(AE37&gt;=DAY($G$3),cfg_DAYS_M,MIN(AE37,cfg_DAYS_M)))</f>
        <v/>
      </c>
      <c r="G37" s="110" t="str">
        <f aca="false">IF($B37="","",SUMIFS('الحركات الشهرية'!$D$6:$D$1005,'الحركات الشهرية'!$B$6:$B$1005,$B37,'الحركات الشهرية'!$A$6:$A$1005,$C$3))</f>
        <v/>
      </c>
      <c r="H37" s="110" t="str">
        <f aca="false">IF($B37="","",SUMIFS('الحركات الشهرية'!$E$6:$E$1005,'الحركات الشهرية'!$B$6:$B$1005,$B37,'الحركات الشهرية'!$A$6:$A$1005,$C$3))</f>
        <v/>
      </c>
      <c r="I37" s="110" t="str">
        <f aca="false">IF($B37="","",MAX(0,F37-G37-H37))</f>
        <v/>
      </c>
      <c r="J37" s="90" t="str">
        <f aca="false">IF($B37="","",الموظفون!$J37*$I37/cfg_DAYS_M)</f>
        <v/>
      </c>
      <c r="K37" s="90" t="str">
        <f aca="false">IF($B37="","",الموظفون!$K37*$I37/cfg_DAYS_M)</f>
        <v/>
      </c>
      <c r="L37" s="90" t="str">
        <f aca="false">IF($B37="","",الموظفون!$L37*$I37/cfg_DAYS_M)</f>
        <v/>
      </c>
      <c r="M37" s="90" t="str">
        <f aca="false">IF($B37="","",الموظفون!$M37*$I37/cfg_DAYS_M)</f>
        <v/>
      </c>
      <c r="N37" s="110" t="str">
        <f aca="false">IF($B37="","",SUMIFS('الحركات الشهرية'!$F$6:$F$1005,'الحركات الشهرية'!$B$6:$B$1005,$B37,'الحركات الشهرية'!$A$6:$A$1005,$C$3))</f>
        <v/>
      </c>
      <c r="O37" s="90" t="str">
        <f aca="false">IF($B37="","",N37*(الموظفون!$N37+الموظفون!$J37*cfg_OT_P)/cfg_DAYS_M/cfg_HRS)</f>
        <v/>
      </c>
      <c r="P37" s="90" t="str">
        <f aca="false">IF($B37="","",SUMIFS('الحركات الشهرية'!$G$6:$G$1005,'الحركات الشهرية'!$B$6:$B$1005,$B37,'الحركات الشهرية'!$A$6:$A$1005,$C$3))</f>
        <v/>
      </c>
      <c r="Q37" s="90" t="str">
        <f aca="false">IF($B37="","",SUMIFS('الحركات الشهرية'!$H$6:$H$1005,'الحركات الشهرية'!$B$6:$B$1005,$B37,'الحركات الشهرية'!$A$6:$A$1005,$C$3))</f>
        <v/>
      </c>
      <c r="R37" s="111" t="str">
        <f aca="false">IF($B37="","",SUM(J37:M37)+SUM(O37:Q37))</f>
        <v/>
      </c>
      <c r="S37" s="90" t="str">
        <f aca="false">IF($B37="","",الموظفون!$Q37*IF(E37="سعودي",cfg_G_SE,cfg_G_NE)*F37/cfg_DAYS_M)</f>
        <v/>
      </c>
      <c r="T37" s="90" t="str">
        <f aca="false">IF($B37="","",SUMIFS('الحركات الشهرية'!$I$6:$I$1005,'الحركات الشهرية'!$B$6:$B$1005,$B37,'الحركات الشهرية'!$A$6:$A$1005,$C$3))</f>
        <v/>
      </c>
      <c r="U37" s="90" t="str">
        <f aca="false">IF($B37="","",SUMIFS('الحركات الشهرية'!$J$6:$J$1005,'الحركات الشهرية'!$B$6:$B$1005,$B37,'الحركات الشهرية'!$A$6:$A$1005,$C$3))</f>
        <v/>
      </c>
      <c r="V37" s="90" t="str">
        <f aca="false">IF($B37="","",SUM(S37:U37))</f>
        <v/>
      </c>
      <c r="W37" s="112" t="str">
        <f aca="false">IF($B37="","",R37-V37)</f>
        <v/>
      </c>
      <c r="X37" s="90" t="str">
        <f aca="false">IF($B37="","",الموظفون!$Q37*IF(E37="سعودي",cfg_G_SR,cfg_G_NR)*F37/cfg_DAYS_M)</f>
        <v/>
      </c>
      <c r="Y37" s="90" t="str">
        <f aca="false">IF($B37="","",الموظفون!$O37*(cfg_EOS_R1*(MIN(AC37,cfg_EOS_TH)-MIN(AD37,cfg_EOS_TH))+cfg_EOS_R2*(MAX(AC37-cfg_EOS_TH,0)-MAX(AD37-cfg_EOS_TH,0))))</f>
        <v/>
      </c>
      <c r="Z37" s="90" t="str">
        <f aca="false">IF($B37="","",IF(الموظفون!$R37&lt;&gt;"",الموظفون!$R37,IF(AC37&gt;=cfg_LV_TH,cfg_LV_D2,cfg_LV_D1))/cfg_DAYS_Y*AE37*الموظفون!$P37/cfg_DAYS_M)</f>
        <v/>
      </c>
      <c r="AA37" s="90" t="str">
        <f aca="false">IF($B37="","",IF(AND(الموظفون!$S37="نعم",N(الموظفون!$U37)&gt;0),الموظفون!$T37/الموظفون!$U37*12/cfg_DAYS_Y*AE37,0))</f>
        <v/>
      </c>
      <c r="AB37" s="113" t="str">
        <f aca="false">IF($B37="","",R37+SUM(X37:AA37))</f>
        <v/>
      </c>
      <c r="AC37" s="114" t="str">
        <f aca="false">IF($B37="","",MAX(0,IF(OR(الموظفون!$X37="",الموظفون!$X37&gt;$G$3),$G$3,الموظفون!$X37)-الموظفون!$H37+1)/cfg_DAYS_Y)</f>
        <v/>
      </c>
      <c r="AD37" s="114" t="str">
        <f aca="false">IF($B37="","",MAX(0,IF(OR(الموظفون!$X37="",الموظفون!$X37&gt;($E$3-1)),($E$3-1),الموظفون!$X37)-الموظفون!$H37+1)/cfg_DAYS_Y)</f>
        <v/>
      </c>
      <c r="AE37" s="115" t="str">
        <f aca="false">IF($B37="","",MAX(0,IF(OR(الموظفون!$X37="",الموظفون!$X37&gt;$G$3),$G$3,الموظفون!$X37)-MAX($E$3,الموظفون!$H37)+1))</f>
        <v/>
      </c>
    </row>
    <row r="38" customFormat="false" ht="15" hidden="false" customHeight="false" outlineLevel="0" collapsed="false">
      <c r="A38" s="83" t="str">
        <f aca="false">IF($B38="","",الموظفون!$A38)</f>
        <v/>
      </c>
      <c r="B38" s="74" t="str">
        <f aca="false">IF(الموظفون!$B38="","",الموظفون!$B38)</f>
        <v/>
      </c>
      <c r="C38" s="74" t="str">
        <f aca="false">IF($B38="","",الموظفون!$C38)</f>
        <v/>
      </c>
      <c r="D38" s="74" t="str">
        <f aca="false">IF($B38="","",الموظفون!$F38)</f>
        <v/>
      </c>
      <c r="E38" s="74" t="str">
        <f aca="false">IF($B38="","",الموظفون!$E38)</f>
        <v/>
      </c>
      <c r="F38" s="105" t="str">
        <f aca="false">IF($B38="","",IF(AE38&gt;=DAY($G$3),cfg_DAYS_M,MIN(AE38,cfg_DAYS_M)))</f>
        <v/>
      </c>
      <c r="G38" s="105" t="str">
        <f aca="false">IF($B38="","",SUMIFS('الحركات الشهرية'!$D$6:$D$1005,'الحركات الشهرية'!$B$6:$B$1005,$B38,'الحركات الشهرية'!$A$6:$A$1005,$C$3))</f>
        <v/>
      </c>
      <c r="H38" s="105" t="str">
        <f aca="false">IF($B38="","",SUMIFS('الحركات الشهرية'!$E$6:$E$1005,'الحركات الشهرية'!$B$6:$B$1005,$B38,'الحركات الشهرية'!$A$6:$A$1005,$C$3))</f>
        <v/>
      </c>
      <c r="I38" s="105" t="str">
        <f aca="false">IF($B38="","",MAX(0,F38-G38-H38))</f>
        <v/>
      </c>
      <c r="J38" s="86" t="str">
        <f aca="false">IF($B38="","",الموظفون!$J38*$I38/cfg_DAYS_M)</f>
        <v/>
      </c>
      <c r="K38" s="86" t="str">
        <f aca="false">IF($B38="","",الموظفون!$K38*$I38/cfg_DAYS_M)</f>
        <v/>
      </c>
      <c r="L38" s="86" t="str">
        <f aca="false">IF($B38="","",الموظفون!$L38*$I38/cfg_DAYS_M)</f>
        <v/>
      </c>
      <c r="M38" s="86" t="str">
        <f aca="false">IF($B38="","",الموظفون!$M38*$I38/cfg_DAYS_M)</f>
        <v/>
      </c>
      <c r="N38" s="105" t="str">
        <f aca="false">IF($B38="","",SUMIFS('الحركات الشهرية'!$F$6:$F$1005,'الحركات الشهرية'!$B$6:$B$1005,$B38,'الحركات الشهرية'!$A$6:$A$1005,$C$3))</f>
        <v/>
      </c>
      <c r="O38" s="86" t="str">
        <f aca="false">IF($B38="","",N38*(الموظفون!$N38+الموظفون!$J38*cfg_OT_P)/cfg_DAYS_M/cfg_HRS)</f>
        <v/>
      </c>
      <c r="P38" s="86" t="str">
        <f aca="false">IF($B38="","",SUMIFS('الحركات الشهرية'!$G$6:$G$1005,'الحركات الشهرية'!$B$6:$B$1005,$B38,'الحركات الشهرية'!$A$6:$A$1005,$C$3))</f>
        <v/>
      </c>
      <c r="Q38" s="86" t="str">
        <f aca="false">IF($B38="","",SUMIFS('الحركات الشهرية'!$H$6:$H$1005,'الحركات الشهرية'!$B$6:$B$1005,$B38,'الحركات الشهرية'!$A$6:$A$1005,$C$3))</f>
        <v/>
      </c>
      <c r="R38" s="106" t="str">
        <f aca="false">IF($B38="","",SUM(J38:M38)+SUM(O38:Q38))</f>
        <v/>
      </c>
      <c r="S38" s="86" t="str">
        <f aca="false">IF($B38="","",الموظفون!$Q38*IF(E38="سعودي",cfg_G_SE,cfg_G_NE)*F38/cfg_DAYS_M)</f>
        <v/>
      </c>
      <c r="T38" s="86" t="str">
        <f aca="false">IF($B38="","",SUMIFS('الحركات الشهرية'!$I$6:$I$1005,'الحركات الشهرية'!$B$6:$B$1005,$B38,'الحركات الشهرية'!$A$6:$A$1005,$C$3))</f>
        <v/>
      </c>
      <c r="U38" s="86" t="str">
        <f aca="false">IF($B38="","",SUMIFS('الحركات الشهرية'!$J$6:$J$1005,'الحركات الشهرية'!$B$6:$B$1005,$B38,'الحركات الشهرية'!$A$6:$A$1005,$C$3))</f>
        <v/>
      </c>
      <c r="V38" s="86" t="str">
        <f aca="false">IF($B38="","",SUM(S38:U38))</f>
        <v/>
      </c>
      <c r="W38" s="107" t="str">
        <f aca="false">IF($B38="","",R38-V38)</f>
        <v/>
      </c>
      <c r="X38" s="86" t="str">
        <f aca="false">IF($B38="","",الموظفون!$Q38*IF(E38="سعودي",cfg_G_SR,cfg_G_NR)*F38/cfg_DAYS_M)</f>
        <v/>
      </c>
      <c r="Y38" s="86" t="str">
        <f aca="false">IF($B38="","",الموظفون!$O38*(cfg_EOS_R1*(MIN(AC38,cfg_EOS_TH)-MIN(AD38,cfg_EOS_TH))+cfg_EOS_R2*(MAX(AC38-cfg_EOS_TH,0)-MAX(AD38-cfg_EOS_TH,0))))</f>
        <v/>
      </c>
      <c r="Z38" s="86" t="str">
        <f aca="false">IF($B38="","",IF(الموظفون!$R38&lt;&gt;"",الموظفون!$R38,IF(AC38&gt;=cfg_LV_TH,cfg_LV_D2,cfg_LV_D1))/cfg_DAYS_Y*AE38*الموظفون!$P38/cfg_DAYS_M)</f>
        <v/>
      </c>
      <c r="AA38" s="86" t="str">
        <f aca="false">IF($B38="","",IF(AND(الموظفون!$S38="نعم",N(الموظفون!$U38)&gt;0),الموظفون!$T38/الموظفون!$U38*12/cfg_DAYS_Y*AE38,0))</f>
        <v/>
      </c>
      <c r="AB38" s="108" t="str">
        <f aca="false">IF($B38="","",R38+SUM(X38:AA38))</f>
        <v/>
      </c>
      <c r="AC38" s="109" t="str">
        <f aca="false">IF($B38="","",MAX(0,IF(OR(الموظفون!$X38="",الموظفون!$X38&gt;$G$3),$G$3,الموظفون!$X38)-الموظفون!$H38+1)/cfg_DAYS_Y)</f>
        <v/>
      </c>
      <c r="AD38" s="109" t="str">
        <f aca="false">IF($B38="","",MAX(0,IF(OR(الموظفون!$X38="",الموظفون!$X38&gt;($E$3-1)),($E$3-1),الموظفون!$X38)-الموظفون!$H38+1)/cfg_DAYS_Y)</f>
        <v/>
      </c>
      <c r="AE38" s="51" t="str">
        <f aca="false">IF($B38="","",MAX(0,IF(OR(الموظفون!$X38="",الموظفون!$X38&gt;$G$3),$G$3,الموظفون!$X38)-MAX($E$3,الموظفون!$H38)+1))</f>
        <v/>
      </c>
    </row>
    <row r="39" customFormat="false" ht="15" hidden="false" customHeight="false" outlineLevel="0" collapsed="false">
      <c r="A39" s="89" t="str">
        <f aca="false">IF($B39="","",الموظفون!$A39)</f>
        <v/>
      </c>
      <c r="B39" s="91" t="str">
        <f aca="false">IF(الموظفون!$B39="","",الموظفون!$B39)</f>
        <v/>
      </c>
      <c r="C39" s="91" t="str">
        <f aca="false">IF($B39="","",الموظفون!$C39)</f>
        <v/>
      </c>
      <c r="D39" s="91" t="str">
        <f aca="false">IF($B39="","",الموظفون!$F39)</f>
        <v/>
      </c>
      <c r="E39" s="91" t="str">
        <f aca="false">IF($B39="","",الموظفون!$E39)</f>
        <v/>
      </c>
      <c r="F39" s="110" t="str">
        <f aca="false">IF($B39="","",IF(AE39&gt;=DAY($G$3),cfg_DAYS_M,MIN(AE39,cfg_DAYS_M)))</f>
        <v/>
      </c>
      <c r="G39" s="110" t="str">
        <f aca="false">IF($B39="","",SUMIFS('الحركات الشهرية'!$D$6:$D$1005,'الحركات الشهرية'!$B$6:$B$1005,$B39,'الحركات الشهرية'!$A$6:$A$1005,$C$3))</f>
        <v/>
      </c>
      <c r="H39" s="110" t="str">
        <f aca="false">IF($B39="","",SUMIFS('الحركات الشهرية'!$E$6:$E$1005,'الحركات الشهرية'!$B$6:$B$1005,$B39,'الحركات الشهرية'!$A$6:$A$1005,$C$3))</f>
        <v/>
      </c>
      <c r="I39" s="110" t="str">
        <f aca="false">IF($B39="","",MAX(0,F39-G39-H39))</f>
        <v/>
      </c>
      <c r="J39" s="90" t="str">
        <f aca="false">IF($B39="","",الموظفون!$J39*$I39/cfg_DAYS_M)</f>
        <v/>
      </c>
      <c r="K39" s="90" t="str">
        <f aca="false">IF($B39="","",الموظفون!$K39*$I39/cfg_DAYS_M)</f>
        <v/>
      </c>
      <c r="L39" s="90" t="str">
        <f aca="false">IF($B39="","",الموظفون!$L39*$I39/cfg_DAYS_M)</f>
        <v/>
      </c>
      <c r="M39" s="90" t="str">
        <f aca="false">IF($B39="","",الموظفون!$M39*$I39/cfg_DAYS_M)</f>
        <v/>
      </c>
      <c r="N39" s="110" t="str">
        <f aca="false">IF($B39="","",SUMIFS('الحركات الشهرية'!$F$6:$F$1005,'الحركات الشهرية'!$B$6:$B$1005,$B39,'الحركات الشهرية'!$A$6:$A$1005,$C$3))</f>
        <v/>
      </c>
      <c r="O39" s="90" t="str">
        <f aca="false">IF($B39="","",N39*(الموظفون!$N39+الموظفون!$J39*cfg_OT_P)/cfg_DAYS_M/cfg_HRS)</f>
        <v/>
      </c>
      <c r="P39" s="90" t="str">
        <f aca="false">IF($B39="","",SUMIFS('الحركات الشهرية'!$G$6:$G$1005,'الحركات الشهرية'!$B$6:$B$1005,$B39,'الحركات الشهرية'!$A$6:$A$1005,$C$3))</f>
        <v/>
      </c>
      <c r="Q39" s="90" t="str">
        <f aca="false">IF($B39="","",SUMIFS('الحركات الشهرية'!$H$6:$H$1005,'الحركات الشهرية'!$B$6:$B$1005,$B39,'الحركات الشهرية'!$A$6:$A$1005,$C$3))</f>
        <v/>
      </c>
      <c r="R39" s="111" t="str">
        <f aca="false">IF($B39="","",SUM(J39:M39)+SUM(O39:Q39))</f>
        <v/>
      </c>
      <c r="S39" s="90" t="str">
        <f aca="false">IF($B39="","",الموظفون!$Q39*IF(E39="سعودي",cfg_G_SE,cfg_G_NE)*F39/cfg_DAYS_M)</f>
        <v/>
      </c>
      <c r="T39" s="90" t="str">
        <f aca="false">IF($B39="","",SUMIFS('الحركات الشهرية'!$I$6:$I$1005,'الحركات الشهرية'!$B$6:$B$1005,$B39,'الحركات الشهرية'!$A$6:$A$1005,$C$3))</f>
        <v/>
      </c>
      <c r="U39" s="90" t="str">
        <f aca="false">IF($B39="","",SUMIFS('الحركات الشهرية'!$J$6:$J$1005,'الحركات الشهرية'!$B$6:$B$1005,$B39,'الحركات الشهرية'!$A$6:$A$1005,$C$3))</f>
        <v/>
      </c>
      <c r="V39" s="90" t="str">
        <f aca="false">IF($B39="","",SUM(S39:U39))</f>
        <v/>
      </c>
      <c r="W39" s="112" t="str">
        <f aca="false">IF($B39="","",R39-V39)</f>
        <v/>
      </c>
      <c r="X39" s="90" t="str">
        <f aca="false">IF($B39="","",الموظفون!$Q39*IF(E39="سعودي",cfg_G_SR,cfg_G_NR)*F39/cfg_DAYS_M)</f>
        <v/>
      </c>
      <c r="Y39" s="90" t="str">
        <f aca="false">IF($B39="","",الموظفون!$O39*(cfg_EOS_R1*(MIN(AC39,cfg_EOS_TH)-MIN(AD39,cfg_EOS_TH))+cfg_EOS_R2*(MAX(AC39-cfg_EOS_TH,0)-MAX(AD39-cfg_EOS_TH,0))))</f>
        <v/>
      </c>
      <c r="Z39" s="90" t="str">
        <f aca="false">IF($B39="","",IF(الموظفون!$R39&lt;&gt;"",الموظفون!$R39,IF(AC39&gt;=cfg_LV_TH,cfg_LV_D2,cfg_LV_D1))/cfg_DAYS_Y*AE39*الموظفون!$P39/cfg_DAYS_M)</f>
        <v/>
      </c>
      <c r="AA39" s="90" t="str">
        <f aca="false">IF($B39="","",IF(AND(الموظفون!$S39="نعم",N(الموظفون!$U39)&gt;0),الموظفون!$T39/الموظفون!$U39*12/cfg_DAYS_Y*AE39,0))</f>
        <v/>
      </c>
      <c r="AB39" s="113" t="str">
        <f aca="false">IF($B39="","",R39+SUM(X39:AA39))</f>
        <v/>
      </c>
      <c r="AC39" s="114" t="str">
        <f aca="false">IF($B39="","",MAX(0,IF(OR(الموظفون!$X39="",الموظفون!$X39&gt;$G$3),$G$3,الموظفون!$X39)-الموظفون!$H39+1)/cfg_DAYS_Y)</f>
        <v/>
      </c>
      <c r="AD39" s="114" t="str">
        <f aca="false">IF($B39="","",MAX(0,IF(OR(الموظفون!$X39="",الموظفون!$X39&gt;($E$3-1)),($E$3-1),الموظفون!$X39)-الموظفون!$H39+1)/cfg_DAYS_Y)</f>
        <v/>
      </c>
      <c r="AE39" s="115" t="str">
        <f aca="false">IF($B39="","",MAX(0,IF(OR(الموظفون!$X39="",الموظفون!$X39&gt;$G$3),$G$3,الموظفون!$X39)-MAX($E$3,الموظفون!$H39)+1))</f>
        <v/>
      </c>
    </row>
    <row r="40" customFormat="false" ht="15" hidden="false" customHeight="false" outlineLevel="0" collapsed="false">
      <c r="A40" s="83" t="str">
        <f aca="false">IF($B40="","",الموظفون!$A40)</f>
        <v/>
      </c>
      <c r="B40" s="74" t="str">
        <f aca="false">IF(الموظفون!$B40="","",الموظفون!$B40)</f>
        <v/>
      </c>
      <c r="C40" s="74" t="str">
        <f aca="false">IF($B40="","",الموظفون!$C40)</f>
        <v/>
      </c>
      <c r="D40" s="74" t="str">
        <f aca="false">IF($B40="","",الموظفون!$F40)</f>
        <v/>
      </c>
      <c r="E40" s="74" t="str">
        <f aca="false">IF($B40="","",الموظفون!$E40)</f>
        <v/>
      </c>
      <c r="F40" s="105" t="str">
        <f aca="false">IF($B40="","",IF(AE40&gt;=DAY($G$3),cfg_DAYS_M,MIN(AE40,cfg_DAYS_M)))</f>
        <v/>
      </c>
      <c r="G40" s="105" t="str">
        <f aca="false">IF($B40="","",SUMIFS('الحركات الشهرية'!$D$6:$D$1005,'الحركات الشهرية'!$B$6:$B$1005,$B40,'الحركات الشهرية'!$A$6:$A$1005,$C$3))</f>
        <v/>
      </c>
      <c r="H40" s="105" t="str">
        <f aca="false">IF($B40="","",SUMIFS('الحركات الشهرية'!$E$6:$E$1005,'الحركات الشهرية'!$B$6:$B$1005,$B40,'الحركات الشهرية'!$A$6:$A$1005,$C$3))</f>
        <v/>
      </c>
      <c r="I40" s="105" t="str">
        <f aca="false">IF($B40="","",MAX(0,F40-G40-H40))</f>
        <v/>
      </c>
      <c r="J40" s="86" t="str">
        <f aca="false">IF($B40="","",الموظفون!$J40*$I40/cfg_DAYS_M)</f>
        <v/>
      </c>
      <c r="K40" s="86" t="str">
        <f aca="false">IF($B40="","",الموظفون!$K40*$I40/cfg_DAYS_M)</f>
        <v/>
      </c>
      <c r="L40" s="86" t="str">
        <f aca="false">IF($B40="","",الموظفون!$L40*$I40/cfg_DAYS_M)</f>
        <v/>
      </c>
      <c r="M40" s="86" t="str">
        <f aca="false">IF($B40="","",الموظفون!$M40*$I40/cfg_DAYS_M)</f>
        <v/>
      </c>
      <c r="N40" s="105" t="str">
        <f aca="false">IF($B40="","",SUMIFS('الحركات الشهرية'!$F$6:$F$1005,'الحركات الشهرية'!$B$6:$B$1005,$B40,'الحركات الشهرية'!$A$6:$A$1005,$C$3))</f>
        <v/>
      </c>
      <c r="O40" s="86" t="str">
        <f aca="false">IF($B40="","",N40*(الموظفون!$N40+الموظفون!$J40*cfg_OT_P)/cfg_DAYS_M/cfg_HRS)</f>
        <v/>
      </c>
      <c r="P40" s="86" t="str">
        <f aca="false">IF($B40="","",SUMIFS('الحركات الشهرية'!$G$6:$G$1005,'الحركات الشهرية'!$B$6:$B$1005,$B40,'الحركات الشهرية'!$A$6:$A$1005,$C$3))</f>
        <v/>
      </c>
      <c r="Q40" s="86" t="str">
        <f aca="false">IF($B40="","",SUMIFS('الحركات الشهرية'!$H$6:$H$1005,'الحركات الشهرية'!$B$6:$B$1005,$B40,'الحركات الشهرية'!$A$6:$A$1005,$C$3))</f>
        <v/>
      </c>
      <c r="R40" s="106" t="str">
        <f aca="false">IF($B40="","",SUM(J40:M40)+SUM(O40:Q40))</f>
        <v/>
      </c>
      <c r="S40" s="86" t="str">
        <f aca="false">IF($B40="","",الموظفون!$Q40*IF(E40="سعودي",cfg_G_SE,cfg_G_NE)*F40/cfg_DAYS_M)</f>
        <v/>
      </c>
      <c r="T40" s="86" t="str">
        <f aca="false">IF($B40="","",SUMIFS('الحركات الشهرية'!$I$6:$I$1005,'الحركات الشهرية'!$B$6:$B$1005,$B40,'الحركات الشهرية'!$A$6:$A$1005,$C$3))</f>
        <v/>
      </c>
      <c r="U40" s="86" t="str">
        <f aca="false">IF($B40="","",SUMIFS('الحركات الشهرية'!$J$6:$J$1005,'الحركات الشهرية'!$B$6:$B$1005,$B40,'الحركات الشهرية'!$A$6:$A$1005,$C$3))</f>
        <v/>
      </c>
      <c r="V40" s="86" t="str">
        <f aca="false">IF($B40="","",SUM(S40:U40))</f>
        <v/>
      </c>
      <c r="W40" s="107" t="str">
        <f aca="false">IF($B40="","",R40-V40)</f>
        <v/>
      </c>
      <c r="X40" s="86" t="str">
        <f aca="false">IF($B40="","",الموظفون!$Q40*IF(E40="سعودي",cfg_G_SR,cfg_G_NR)*F40/cfg_DAYS_M)</f>
        <v/>
      </c>
      <c r="Y40" s="86" t="str">
        <f aca="false">IF($B40="","",الموظفون!$O40*(cfg_EOS_R1*(MIN(AC40,cfg_EOS_TH)-MIN(AD40,cfg_EOS_TH))+cfg_EOS_R2*(MAX(AC40-cfg_EOS_TH,0)-MAX(AD40-cfg_EOS_TH,0))))</f>
        <v/>
      </c>
      <c r="Z40" s="86" t="str">
        <f aca="false">IF($B40="","",IF(الموظفون!$R40&lt;&gt;"",الموظفون!$R40,IF(AC40&gt;=cfg_LV_TH,cfg_LV_D2,cfg_LV_D1))/cfg_DAYS_Y*AE40*الموظفون!$P40/cfg_DAYS_M)</f>
        <v/>
      </c>
      <c r="AA40" s="86" t="str">
        <f aca="false">IF($B40="","",IF(AND(الموظفون!$S40="نعم",N(الموظفون!$U40)&gt;0),الموظفون!$T40/الموظفون!$U40*12/cfg_DAYS_Y*AE40,0))</f>
        <v/>
      </c>
      <c r="AB40" s="108" t="str">
        <f aca="false">IF($B40="","",R40+SUM(X40:AA40))</f>
        <v/>
      </c>
      <c r="AC40" s="109" t="str">
        <f aca="false">IF($B40="","",MAX(0,IF(OR(الموظفون!$X40="",الموظفون!$X40&gt;$G$3),$G$3,الموظفون!$X40)-الموظفون!$H40+1)/cfg_DAYS_Y)</f>
        <v/>
      </c>
      <c r="AD40" s="109" t="str">
        <f aca="false">IF($B40="","",MAX(0,IF(OR(الموظفون!$X40="",الموظفون!$X40&gt;($E$3-1)),($E$3-1),الموظفون!$X40)-الموظفون!$H40+1)/cfg_DAYS_Y)</f>
        <v/>
      </c>
      <c r="AE40" s="51" t="str">
        <f aca="false">IF($B40="","",MAX(0,IF(OR(الموظفون!$X40="",الموظفون!$X40&gt;$G$3),$G$3,الموظفون!$X40)-MAX($E$3,الموظفون!$H40)+1))</f>
        <v/>
      </c>
    </row>
    <row r="41" customFormat="false" ht="15" hidden="false" customHeight="false" outlineLevel="0" collapsed="false">
      <c r="A41" s="89" t="str">
        <f aca="false">IF($B41="","",الموظفون!$A41)</f>
        <v/>
      </c>
      <c r="B41" s="91" t="str">
        <f aca="false">IF(الموظفون!$B41="","",الموظفون!$B41)</f>
        <v/>
      </c>
      <c r="C41" s="91" t="str">
        <f aca="false">IF($B41="","",الموظفون!$C41)</f>
        <v/>
      </c>
      <c r="D41" s="91" t="str">
        <f aca="false">IF($B41="","",الموظفون!$F41)</f>
        <v/>
      </c>
      <c r="E41" s="91" t="str">
        <f aca="false">IF($B41="","",الموظفون!$E41)</f>
        <v/>
      </c>
      <c r="F41" s="110" t="str">
        <f aca="false">IF($B41="","",IF(AE41&gt;=DAY($G$3),cfg_DAYS_M,MIN(AE41,cfg_DAYS_M)))</f>
        <v/>
      </c>
      <c r="G41" s="110" t="str">
        <f aca="false">IF($B41="","",SUMIFS('الحركات الشهرية'!$D$6:$D$1005,'الحركات الشهرية'!$B$6:$B$1005,$B41,'الحركات الشهرية'!$A$6:$A$1005,$C$3))</f>
        <v/>
      </c>
      <c r="H41" s="110" t="str">
        <f aca="false">IF($B41="","",SUMIFS('الحركات الشهرية'!$E$6:$E$1005,'الحركات الشهرية'!$B$6:$B$1005,$B41,'الحركات الشهرية'!$A$6:$A$1005,$C$3))</f>
        <v/>
      </c>
      <c r="I41" s="110" t="str">
        <f aca="false">IF($B41="","",MAX(0,F41-G41-H41))</f>
        <v/>
      </c>
      <c r="J41" s="90" t="str">
        <f aca="false">IF($B41="","",الموظفون!$J41*$I41/cfg_DAYS_M)</f>
        <v/>
      </c>
      <c r="K41" s="90" t="str">
        <f aca="false">IF($B41="","",الموظفون!$K41*$I41/cfg_DAYS_M)</f>
        <v/>
      </c>
      <c r="L41" s="90" t="str">
        <f aca="false">IF($B41="","",الموظفون!$L41*$I41/cfg_DAYS_M)</f>
        <v/>
      </c>
      <c r="M41" s="90" t="str">
        <f aca="false">IF($B41="","",الموظفون!$M41*$I41/cfg_DAYS_M)</f>
        <v/>
      </c>
      <c r="N41" s="110" t="str">
        <f aca="false">IF($B41="","",SUMIFS('الحركات الشهرية'!$F$6:$F$1005,'الحركات الشهرية'!$B$6:$B$1005,$B41,'الحركات الشهرية'!$A$6:$A$1005,$C$3))</f>
        <v/>
      </c>
      <c r="O41" s="90" t="str">
        <f aca="false">IF($B41="","",N41*(الموظفون!$N41+الموظفون!$J41*cfg_OT_P)/cfg_DAYS_M/cfg_HRS)</f>
        <v/>
      </c>
      <c r="P41" s="90" t="str">
        <f aca="false">IF($B41="","",SUMIFS('الحركات الشهرية'!$G$6:$G$1005,'الحركات الشهرية'!$B$6:$B$1005,$B41,'الحركات الشهرية'!$A$6:$A$1005,$C$3))</f>
        <v/>
      </c>
      <c r="Q41" s="90" t="str">
        <f aca="false">IF($B41="","",SUMIFS('الحركات الشهرية'!$H$6:$H$1005,'الحركات الشهرية'!$B$6:$B$1005,$B41,'الحركات الشهرية'!$A$6:$A$1005,$C$3))</f>
        <v/>
      </c>
      <c r="R41" s="111" t="str">
        <f aca="false">IF($B41="","",SUM(J41:M41)+SUM(O41:Q41))</f>
        <v/>
      </c>
      <c r="S41" s="90" t="str">
        <f aca="false">IF($B41="","",الموظفون!$Q41*IF(E41="سعودي",cfg_G_SE,cfg_G_NE)*F41/cfg_DAYS_M)</f>
        <v/>
      </c>
      <c r="T41" s="90" t="str">
        <f aca="false">IF($B41="","",SUMIFS('الحركات الشهرية'!$I$6:$I$1005,'الحركات الشهرية'!$B$6:$B$1005,$B41,'الحركات الشهرية'!$A$6:$A$1005,$C$3))</f>
        <v/>
      </c>
      <c r="U41" s="90" t="str">
        <f aca="false">IF($B41="","",SUMIFS('الحركات الشهرية'!$J$6:$J$1005,'الحركات الشهرية'!$B$6:$B$1005,$B41,'الحركات الشهرية'!$A$6:$A$1005,$C$3))</f>
        <v/>
      </c>
      <c r="V41" s="90" t="str">
        <f aca="false">IF($B41="","",SUM(S41:U41))</f>
        <v/>
      </c>
      <c r="W41" s="112" t="str">
        <f aca="false">IF($B41="","",R41-V41)</f>
        <v/>
      </c>
      <c r="X41" s="90" t="str">
        <f aca="false">IF($B41="","",الموظفون!$Q41*IF(E41="سعودي",cfg_G_SR,cfg_G_NR)*F41/cfg_DAYS_M)</f>
        <v/>
      </c>
      <c r="Y41" s="90" t="str">
        <f aca="false">IF($B41="","",الموظفون!$O41*(cfg_EOS_R1*(MIN(AC41,cfg_EOS_TH)-MIN(AD41,cfg_EOS_TH))+cfg_EOS_R2*(MAX(AC41-cfg_EOS_TH,0)-MAX(AD41-cfg_EOS_TH,0))))</f>
        <v/>
      </c>
      <c r="Z41" s="90" t="str">
        <f aca="false">IF($B41="","",IF(الموظفون!$R41&lt;&gt;"",الموظفون!$R41,IF(AC41&gt;=cfg_LV_TH,cfg_LV_D2,cfg_LV_D1))/cfg_DAYS_Y*AE41*الموظفون!$P41/cfg_DAYS_M)</f>
        <v/>
      </c>
      <c r="AA41" s="90" t="str">
        <f aca="false">IF($B41="","",IF(AND(الموظفون!$S41="نعم",N(الموظفون!$U41)&gt;0),الموظفون!$T41/الموظفون!$U41*12/cfg_DAYS_Y*AE41,0))</f>
        <v/>
      </c>
      <c r="AB41" s="113" t="str">
        <f aca="false">IF($B41="","",R41+SUM(X41:AA41))</f>
        <v/>
      </c>
      <c r="AC41" s="114" t="str">
        <f aca="false">IF($B41="","",MAX(0,IF(OR(الموظفون!$X41="",الموظفون!$X41&gt;$G$3),$G$3,الموظفون!$X41)-الموظفون!$H41+1)/cfg_DAYS_Y)</f>
        <v/>
      </c>
      <c r="AD41" s="114" t="str">
        <f aca="false">IF($B41="","",MAX(0,IF(OR(الموظفون!$X41="",الموظفون!$X41&gt;($E$3-1)),($E$3-1),الموظفون!$X41)-الموظفون!$H41+1)/cfg_DAYS_Y)</f>
        <v/>
      </c>
      <c r="AE41" s="115" t="str">
        <f aca="false">IF($B41="","",MAX(0,IF(OR(الموظفون!$X41="",الموظفون!$X41&gt;$G$3),$G$3,الموظفون!$X41)-MAX($E$3,الموظفون!$H41)+1))</f>
        <v/>
      </c>
    </row>
    <row r="42" customFormat="false" ht="15" hidden="false" customHeight="false" outlineLevel="0" collapsed="false">
      <c r="A42" s="83" t="str">
        <f aca="false">IF($B42="","",الموظفون!$A42)</f>
        <v/>
      </c>
      <c r="B42" s="74" t="str">
        <f aca="false">IF(الموظفون!$B42="","",الموظفون!$B42)</f>
        <v/>
      </c>
      <c r="C42" s="74" t="str">
        <f aca="false">IF($B42="","",الموظفون!$C42)</f>
        <v/>
      </c>
      <c r="D42" s="74" t="str">
        <f aca="false">IF($B42="","",الموظفون!$F42)</f>
        <v/>
      </c>
      <c r="E42" s="74" t="str">
        <f aca="false">IF($B42="","",الموظفون!$E42)</f>
        <v/>
      </c>
      <c r="F42" s="105" t="str">
        <f aca="false">IF($B42="","",IF(AE42&gt;=DAY($G$3),cfg_DAYS_M,MIN(AE42,cfg_DAYS_M)))</f>
        <v/>
      </c>
      <c r="G42" s="105" t="str">
        <f aca="false">IF($B42="","",SUMIFS('الحركات الشهرية'!$D$6:$D$1005,'الحركات الشهرية'!$B$6:$B$1005,$B42,'الحركات الشهرية'!$A$6:$A$1005,$C$3))</f>
        <v/>
      </c>
      <c r="H42" s="105" t="str">
        <f aca="false">IF($B42="","",SUMIFS('الحركات الشهرية'!$E$6:$E$1005,'الحركات الشهرية'!$B$6:$B$1005,$B42,'الحركات الشهرية'!$A$6:$A$1005,$C$3))</f>
        <v/>
      </c>
      <c r="I42" s="105" t="str">
        <f aca="false">IF($B42="","",MAX(0,F42-G42-H42))</f>
        <v/>
      </c>
      <c r="J42" s="86" t="str">
        <f aca="false">IF($B42="","",الموظفون!$J42*$I42/cfg_DAYS_M)</f>
        <v/>
      </c>
      <c r="K42" s="86" t="str">
        <f aca="false">IF($B42="","",الموظفون!$K42*$I42/cfg_DAYS_M)</f>
        <v/>
      </c>
      <c r="L42" s="86" t="str">
        <f aca="false">IF($B42="","",الموظفون!$L42*$I42/cfg_DAYS_M)</f>
        <v/>
      </c>
      <c r="M42" s="86" t="str">
        <f aca="false">IF($B42="","",الموظفون!$M42*$I42/cfg_DAYS_M)</f>
        <v/>
      </c>
      <c r="N42" s="105" t="str">
        <f aca="false">IF($B42="","",SUMIFS('الحركات الشهرية'!$F$6:$F$1005,'الحركات الشهرية'!$B$6:$B$1005,$B42,'الحركات الشهرية'!$A$6:$A$1005,$C$3))</f>
        <v/>
      </c>
      <c r="O42" s="86" t="str">
        <f aca="false">IF($B42="","",N42*(الموظفون!$N42+الموظفون!$J42*cfg_OT_P)/cfg_DAYS_M/cfg_HRS)</f>
        <v/>
      </c>
      <c r="P42" s="86" t="str">
        <f aca="false">IF($B42="","",SUMIFS('الحركات الشهرية'!$G$6:$G$1005,'الحركات الشهرية'!$B$6:$B$1005,$B42,'الحركات الشهرية'!$A$6:$A$1005,$C$3))</f>
        <v/>
      </c>
      <c r="Q42" s="86" t="str">
        <f aca="false">IF($B42="","",SUMIFS('الحركات الشهرية'!$H$6:$H$1005,'الحركات الشهرية'!$B$6:$B$1005,$B42,'الحركات الشهرية'!$A$6:$A$1005,$C$3))</f>
        <v/>
      </c>
      <c r="R42" s="106" t="str">
        <f aca="false">IF($B42="","",SUM(J42:M42)+SUM(O42:Q42))</f>
        <v/>
      </c>
      <c r="S42" s="86" t="str">
        <f aca="false">IF($B42="","",الموظفون!$Q42*IF(E42="سعودي",cfg_G_SE,cfg_G_NE)*F42/cfg_DAYS_M)</f>
        <v/>
      </c>
      <c r="T42" s="86" t="str">
        <f aca="false">IF($B42="","",SUMIFS('الحركات الشهرية'!$I$6:$I$1005,'الحركات الشهرية'!$B$6:$B$1005,$B42,'الحركات الشهرية'!$A$6:$A$1005,$C$3))</f>
        <v/>
      </c>
      <c r="U42" s="86" t="str">
        <f aca="false">IF($B42="","",SUMIFS('الحركات الشهرية'!$J$6:$J$1005,'الحركات الشهرية'!$B$6:$B$1005,$B42,'الحركات الشهرية'!$A$6:$A$1005,$C$3))</f>
        <v/>
      </c>
      <c r="V42" s="86" t="str">
        <f aca="false">IF($B42="","",SUM(S42:U42))</f>
        <v/>
      </c>
      <c r="W42" s="107" t="str">
        <f aca="false">IF($B42="","",R42-V42)</f>
        <v/>
      </c>
      <c r="X42" s="86" t="str">
        <f aca="false">IF($B42="","",الموظفون!$Q42*IF(E42="سعودي",cfg_G_SR,cfg_G_NR)*F42/cfg_DAYS_M)</f>
        <v/>
      </c>
      <c r="Y42" s="86" t="str">
        <f aca="false">IF($B42="","",الموظفون!$O42*(cfg_EOS_R1*(MIN(AC42,cfg_EOS_TH)-MIN(AD42,cfg_EOS_TH))+cfg_EOS_R2*(MAX(AC42-cfg_EOS_TH,0)-MAX(AD42-cfg_EOS_TH,0))))</f>
        <v/>
      </c>
      <c r="Z42" s="86" t="str">
        <f aca="false">IF($B42="","",IF(الموظفون!$R42&lt;&gt;"",الموظفون!$R42,IF(AC42&gt;=cfg_LV_TH,cfg_LV_D2,cfg_LV_D1))/cfg_DAYS_Y*AE42*الموظفون!$P42/cfg_DAYS_M)</f>
        <v/>
      </c>
      <c r="AA42" s="86" t="str">
        <f aca="false">IF($B42="","",IF(AND(الموظفون!$S42="نعم",N(الموظفون!$U42)&gt;0),الموظفون!$T42/الموظفون!$U42*12/cfg_DAYS_Y*AE42,0))</f>
        <v/>
      </c>
      <c r="AB42" s="108" t="str">
        <f aca="false">IF($B42="","",R42+SUM(X42:AA42))</f>
        <v/>
      </c>
      <c r="AC42" s="109" t="str">
        <f aca="false">IF($B42="","",MAX(0,IF(OR(الموظفون!$X42="",الموظفون!$X42&gt;$G$3),$G$3,الموظفون!$X42)-الموظفون!$H42+1)/cfg_DAYS_Y)</f>
        <v/>
      </c>
      <c r="AD42" s="109" t="str">
        <f aca="false">IF($B42="","",MAX(0,IF(OR(الموظفون!$X42="",الموظفون!$X42&gt;($E$3-1)),($E$3-1),الموظفون!$X42)-الموظفون!$H42+1)/cfg_DAYS_Y)</f>
        <v/>
      </c>
      <c r="AE42" s="51" t="str">
        <f aca="false">IF($B42="","",MAX(0,IF(OR(الموظفون!$X42="",الموظفون!$X42&gt;$G$3),$G$3,الموظفون!$X42)-MAX($E$3,الموظفون!$H42)+1))</f>
        <v/>
      </c>
    </row>
    <row r="43" customFormat="false" ht="15" hidden="false" customHeight="false" outlineLevel="0" collapsed="false">
      <c r="A43" s="89" t="str">
        <f aca="false">IF($B43="","",الموظفون!$A43)</f>
        <v/>
      </c>
      <c r="B43" s="91" t="str">
        <f aca="false">IF(الموظفون!$B43="","",الموظفون!$B43)</f>
        <v/>
      </c>
      <c r="C43" s="91" t="str">
        <f aca="false">IF($B43="","",الموظفون!$C43)</f>
        <v/>
      </c>
      <c r="D43" s="91" t="str">
        <f aca="false">IF($B43="","",الموظفون!$F43)</f>
        <v/>
      </c>
      <c r="E43" s="91" t="str">
        <f aca="false">IF($B43="","",الموظفون!$E43)</f>
        <v/>
      </c>
      <c r="F43" s="110" t="str">
        <f aca="false">IF($B43="","",IF(AE43&gt;=DAY($G$3),cfg_DAYS_M,MIN(AE43,cfg_DAYS_M)))</f>
        <v/>
      </c>
      <c r="G43" s="110" t="str">
        <f aca="false">IF($B43="","",SUMIFS('الحركات الشهرية'!$D$6:$D$1005,'الحركات الشهرية'!$B$6:$B$1005,$B43,'الحركات الشهرية'!$A$6:$A$1005,$C$3))</f>
        <v/>
      </c>
      <c r="H43" s="110" t="str">
        <f aca="false">IF($B43="","",SUMIFS('الحركات الشهرية'!$E$6:$E$1005,'الحركات الشهرية'!$B$6:$B$1005,$B43,'الحركات الشهرية'!$A$6:$A$1005,$C$3))</f>
        <v/>
      </c>
      <c r="I43" s="110" t="str">
        <f aca="false">IF($B43="","",MAX(0,F43-G43-H43))</f>
        <v/>
      </c>
      <c r="J43" s="90" t="str">
        <f aca="false">IF($B43="","",الموظفون!$J43*$I43/cfg_DAYS_M)</f>
        <v/>
      </c>
      <c r="K43" s="90" t="str">
        <f aca="false">IF($B43="","",الموظفون!$K43*$I43/cfg_DAYS_M)</f>
        <v/>
      </c>
      <c r="L43" s="90" t="str">
        <f aca="false">IF($B43="","",الموظفون!$L43*$I43/cfg_DAYS_M)</f>
        <v/>
      </c>
      <c r="M43" s="90" t="str">
        <f aca="false">IF($B43="","",الموظفون!$M43*$I43/cfg_DAYS_M)</f>
        <v/>
      </c>
      <c r="N43" s="110" t="str">
        <f aca="false">IF($B43="","",SUMIFS('الحركات الشهرية'!$F$6:$F$1005,'الحركات الشهرية'!$B$6:$B$1005,$B43,'الحركات الشهرية'!$A$6:$A$1005,$C$3))</f>
        <v/>
      </c>
      <c r="O43" s="90" t="str">
        <f aca="false">IF($B43="","",N43*(الموظفون!$N43+الموظفون!$J43*cfg_OT_P)/cfg_DAYS_M/cfg_HRS)</f>
        <v/>
      </c>
      <c r="P43" s="90" t="str">
        <f aca="false">IF($B43="","",SUMIFS('الحركات الشهرية'!$G$6:$G$1005,'الحركات الشهرية'!$B$6:$B$1005,$B43,'الحركات الشهرية'!$A$6:$A$1005,$C$3))</f>
        <v/>
      </c>
      <c r="Q43" s="90" t="str">
        <f aca="false">IF($B43="","",SUMIFS('الحركات الشهرية'!$H$6:$H$1005,'الحركات الشهرية'!$B$6:$B$1005,$B43,'الحركات الشهرية'!$A$6:$A$1005,$C$3))</f>
        <v/>
      </c>
      <c r="R43" s="111" t="str">
        <f aca="false">IF($B43="","",SUM(J43:M43)+SUM(O43:Q43))</f>
        <v/>
      </c>
      <c r="S43" s="90" t="str">
        <f aca="false">IF($B43="","",الموظفون!$Q43*IF(E43="سعودي",cfg_G_SE,cfg_G_NE)*F43/cfg_DAYS_M)</f>
        <v/>
      </c>
      <c r="T43" s="90" t="str">
        <f aca="false">IF($B43="","",SUMIFS('الحركات الشهرية'!$I$6:$I$1005,'الحركات الشهرية'!$B$6:$B$1005,$B43,'الحركات الشهرية'!$A$6:$A$1005,$C$3))</f>
        <v/>
      </c>
      <c r="U43" s="90" t="str">
        <f aca="false">IF($B43="","",SUMIFS('الحركات الشهرية'!$J$6:$J$1005,'الحركات الشهرية'!$B$6:$B$1005,$B43,'الحركات الشهرية'!$A$6:$A$1005,$C$3))</f>
        <v/>
      </c>
      <c r="V43" s="90" t="str">
        <f aca="false">IF($B43="","",SUM(S43:U43))</f>
        <v/>
      </c>
      <c r="W43" s="112" t="str">
        <f aca="false">IF($B43="","",R43-V43)</f>
        <v/>
      </c>
      <c r="X43" s="90" t="str">
        <f aca="false">IF($B43="","",الموظفون!$Q43*IF(E43="سعودي",cfg_G_SR,cfg_G_NR)*F43/cfg_DAYS_M)</f>
        <v/>
      </c>
      <c r="Y43" s="90" t="str">
        <f aca="false">IF($B43="","",الموظفون!$O43*(cfg_EOS_R1*(MIN(AC43,cfg_EOS_TH)-MIN(AD43,cfg_EOS_TH))+cfg_EOS_R2*(MAX(AC43-cfg_EOS_TH,0)-MAX(AD43-cfg_EOS_TH,0))))</f>
        <v/>
      </c>
      <c r="Z43" s="90" t="str">
        <f aca="false">IF($B43="","",IF(الموظفون!$R43&lt;&gt;"",الموظفون!$R43,IF(AC43&gt;=cfg_LV_TH,cfg_LV_D2,cfg_LV_D1))/cfg_DAYS_Y*AE43*الموظفون!$P43/cfg_DAYS_M)</f>
        <v/>
      </c>
      <c r="AA43" s="90" t="str">
        <f aca="false">IF($B43="","",IF(AND(الموظفون!$S43="نعم",N(الموظفون!$U43)&gt;0),الموظفون!$T43/الموظفون!$U43*12/cfg_DAYS_Y*AE43,0))</f>
        <v/>
      </c>
      <c r="AB43" s="113" t="str">
        <f aca="false">IF($B43="","",R43+SUM(X43:AA43))</f>
        <v/>
      </c>
      <c r="AC43" s="114" t="str">
        <f aca="false">IF($B43="","",MAX(0,IF(OR(الموظفون!$X43="",الموظفون!$X43&gt;$G$3),$G$3,الموظفون!$X43)-الموظفون!$H43+1)/cfg_DAYS_Y)</f>
        <v/>
      </c>
      <c r="AD43" s="114" t="str">
        <f aca="false">IF($B43="","",MAX(0,IF(OR(الموظفون!$X43="",الموظفون!$X43&gt;($E$3-1)),($E$3-1),الموظفون!$X43)-الموظفون!$H43+1)/cfg_DAYS_Y)</f>
        <v/>
      </c>
      <c r="AE43" s="115" t="str">
        <f aca="false">IF($B43="","",MAX(0,IF(OR(الموظفون!$X43="",الموظفون!$X43&gt;$G$3),$G$3,الموظفون!$X43)-MAX($E$3,الموظفون!$H43)+1))</f>
        <v/>
      </c>
    </row>
    <row r="44" customFormat="false" ht="15" hidden="false" customHeight="false" outlineLevel="0" collapsed="false">
      <c r="A44" s="83" t="str">
        <f aca="false">IF($B44="","",الموظفون!$A44)</f>
        <v/>
      </c>
      <c r="B44" s="74" t="str">
        <f aca="false">IF(الموظفون!$B44="","",الموظفون!$B44)</f>
        <v/>
      </c>
      <c r="C44" s="74" t="str">
        <f aca="false">IF($B44="","",الموظفون!$C44)</f>
        <v/>
      </c>
      <c r="D44" s="74" t="str">
        <f aca="false">IF($B44="","",الموظفون!$F44)</f>
        <v/>
      </c>
      <c r="E44" s="74" t="str">
        <f aca="false">IF($B44="","",الموظفون!$E44)</f>
        <v/>
      </c>
      <c r="F44" s="105" t="str">
        <f aca="false">IF($B44="","",IF(AE44&gt;=DAY($G$3),cfg_DAYS_M,MIN(AE44,cfg_DAYS_M)))</f>
        <v/>
      </c>
      <c r="G44" s="105" t="str">
        <f aca="false">IF($B44="","",SUMIFS('الحركات الشهرية'!$D$6:$D$1005,'الحركات الشهرية'!$B$6:$B$1005,$B44,'الحركات الشهرية'!$A$6:$A$1005,$C$3))</f>
        <v/>
      </c>
      <c r="H44" s="105" t="str">
        <f aca="false">IF($B44="","",SUMIFS('الحركات الشهرية'!$E$6:$E$1005,'الحركات الشهرية'!$B$6:$B$1005,$B44,'الحركات الشهرية'!$A$6:$A$1005,$C$3))</f>
        <v/>
      </c>
      <c r="I44" s="105" t="str">
        <f aca="false">IF($B44="","",MAX(0,F44-G44-H44))</f>
        <v/>
      </c>
      <c r="J44" s="86" t="str">
        <f aca="false">IF($B44="","",الموظفون!$J44*$I44/cfg_DAYS_M)</f>
        <v/>
      </c>
      <c r="K44" s="86" t="str">
        <f aca="false">IF($B44="","",الموظفون!$K44*$I44/cfg_DAYS_M)</f>
        <v/>
      </c>
      <c r="L44" s="86" t="str">
        <f aca="false">IF($B44="","",الموظفون!$L44*$I44/cfg_DAYS_M)</f>
        <v/>
      </c>
      <c r="M44" s="86" t="str">
        <f aca="false">IF($B44="","",الموظفون!$M44*$I44/cfg_DAYS_M)</f>
        <v/>
      </c>
      <c r="N44" s="105" t="str">
        <f aca="false">IF($B44="","",SUMIFS('الحركات الشهرية'!$F$6:$F$1005,'الحركات الشهرية'!$B$6:$B$1005,$B44,'الحركات الشهرية'!$A$6:$A$1005,$C$3))</f>
        <v/>
      </c>
      <c r="O44" s="86" t="str">
        <f aca="false">IF($B44="","",N44*(الموظفون!$N44+الموظفون!$J44*cfg_OT_P)/cfg_DAYS_M/cfg_HRS)</f>
        <v/>
      </c>
      <c r="P44" s="86" t="str">
        <f aca="false">IF($B44="","",SUMIFS('الحركات الشهرية'!$G$6:$G$1005,'الحركات الشهرية'!$B$6:$B$1005,$B44,'الحركات الشهرية'!$A$6:$A$1005,$C$3))</f>
        <v/>
      </c>
      <c r="Q44" s="86" t="str">
        <f aca="false">IF($B44="","",SUMIFS('الحركات الشهرية'!$H$6:$H$1005,'الحركات الشهرية'!$B$6:$B$1005,$B44,'الحركات الشهرية'!$A$6:$A$1005,$C$3))</f>
        <v/>
      </c>
      <c r="R44" s="106" t="str">
        <f aca="false">IF($B44="","",SUM(J44:M44)+SUM(O44:Q44))</f>
        <v/>
      </c>
      <c r="S44" s="86" t="str">
        <f aca="false">IF($B44="","",الموظفون!$Q44*IF(E44="سعودي",cfg_G_SE,cfg_G_NE)*F44/cfg_DAYS_M)</f>
        <v/>
      </c>
      <c r="T44" s="86" t="str">
        <f aca="false">IF($B44="","",SUMIFS('الحركات الشهرية'!$I$6:$I$1005,'الحركات الشهرية'!$B$6:$B$1005,$B44,'الحركات الشهرية'!$A$6:$A$1005,$C$3))</f>
        <v/>
      </c>
      <c r="U44" s="86" t="str">
        <f aca="false">IF($B44="","",SUMIFS('الحركات الشهرية'!$J$6:$J$1005,'الحركات الشهرية'!$B$6:$B$1005,$B44,'الحركات الشهرية'!$A$6:$A$1005,$C$3))</f>
        <v/>
      </c>
      <c r="V44" s="86" t="str">
        <f aca="false">IF($B44="","",SUM(S44:U44))</f>
        <v/>
      </c>
      <c r="W44" s="107" t="str">
        <f aca="false">IF($B44="","",R44-V44)</f>
        <v/>
      </c>
      <c r="X44" s="86" t="str">
        <f aca="false">IF($B44="","",الموظفون!$Q44*IF(E44="سعودي",cfg_G_SR,cfg_G_NR)*F44/cfg_DAYS_M)</f>
        <v/>
      </c>
      <c r="Y44" s="86" t="str">
        <f aca="false">IF($B44="","",الموظفون!$O44*(cfg_EOS_R1*(MIN(AC44,cfg_EOS_TH)-MIN(AD44,cfg_EOS_TH))+cfg_EOS_R2*(MAX(AC44-cfg_EOS_TH,0)-MAX(AD44-cfg_EOS_TH,0))))</f>
        <v/>
      </c>
      <c r="Z44" s="86" t="str">
        <f aca="false">IF($B44="","",IF(الموظفون!$R44&lt;&gt;"",الموظفون!$R44,IF(AC44&gt;=cfg_LV_TH,cfg_LV_D2,cfg_LV_D1))/cfg_DAYS_Y*AE44*الموظفون!$P44/cfg_DAYS_M)</f>
        <v/>
      </c>
      <c r="AA44" s="86" t="str">
        <f aca="false">IF($B44="","",IF(AND(الموظفون!$S44="نعم",N(الموظفون!$U44)&gt;0),الموظفون!$T44/الموظفون!$U44*12/cfg_DAYS_Y*AE44,0))</f>
        <v/>
      </c>
      <c r="AB44" s="108" t="str">
        <f aca="false">IF($B44="","",R44+SUM(X44:AA44))</f>
        <v/>
      </c>
      <c r="AC44" s="109" t="str">
        <f aca="false">IF($B44="","",MAX(0,IF(OR(الموظفون!$X44="",الموظفون!$X44&gt;$G$3),$G$3,الموظفون!$X44)-الموظفون!$H44+1)/cfg_DAYS_Y)</f>
        <v/>
      </c>
      <c r="AD44" s="109" t="str">
        <f aca="false">IF($B44="","",MAX(0,IF(OR(الموظفون!$X44="",الموظفون!$X44&gt;($E$3-1)),($E$3-1),الموظفون!$X44)-الموظفون!$H44+1)/cfg_DAYS_Y)</f>
        <v/>
      </c>
      <c r="AE44" s="51" t="str">
        <f aca="false">IF($B44="","",MAX(0,IF(OR(الموظفون!$X44="",الموظفون!$X44&gt;$G$3),$G$3,الموظفون!$X44)-MAX($E$3,الموظفون!$H44)+1))</f>
        <v/>
      </c>
    </row>
    <row r="45" customFormat="false" ht="15" hidden="false" customHeight="false" outlineLevel="0" collapsed="false">
      <c r="A45" s="89" t="str">
        <f aca="false">IF($B45="","",الموظفون!$A45)</f>
        <v/>
      </c>
      <c r="B45" s="91" t="str">
        <f aca="false">IF(الموظفون!$B45="","",الموظفون!$B45)</f>
        <v/>
      </c>
      <c r="C45" s="91" t="str">
        <f aca="false">IF($B45="","",الموظفون!$C45)</f>
        <v/>
      </c>
      <c r="D45" s="91" t="str">
        <f aca="false">IF($B45="","",الموظفون!$F45)</f>
        <v/>
      </c>
      <c r="E45" s="91" t="str">
        <f aca="false">IF($B45="","",الموظفون!$E45)</f>
        <v/>
      </c>
      <c r="F45" s="110" t="str">
        <f aca="false">IF($B45="","",IF(AE45&gt;=DAY($G$3),cfg_DAYS_M,MIN(AE45,cfg_DAYS_M)))</f>
        <v/>
      </c>
      <c r="G45" s="110" t="str">
        <f aca="false">IF($B45="","",SUMIFS('الحركات الشهرية'!$D$6:$D$1005,'الحركات الشهرية'!$B$6:$B$1005,$B45,'الحركات الشهرية'!$A$6:$A$1005,$C$3))</f>
        <v/>
      </c>
      <c r="H45" s="110" t="str">
        <f aca="false">IF($B45="","",SUMIFS('الحركات الشهرية'!$E$6:$E$1005,'الحركات الشهرية'!$B$6:$B$1005,$B45,'الحركات الشهرية'!$A$6:$A$1005,$C$3))</f>
        <v/>
      </c>
      <c r="I45" s="110" t="str">
        <f aca="false">IF($B45="","",MAX(0,F45-G45-H45))</f>
        <v/>
      </c>
      <c r="J45" s="90" t="str">
        <f aca="false">IF($B45="","",الموظفون!$J45*$I45/cfg_DAYS_M)</f>
        <v/>
      </c>
      <c r="K45" s="90" t="str">
        <f aca="false">IF($B45="","",الموظفون!$K45*$I45/cfg_DAYS_M)</f>
        <v/>
      </c>
      <c r="L45" s="90" t="str">
        <f aca="false">IF($B45="","",الموظفون!$L45*$I45/cfg_DAYS_M)</f>
        <v/>
      </c>
      <c r="M45" s="90" t="str">
        <f aca="false">IF($B45="","",الموظفون!$M45*$I45/cfg_DAYS_M)</f>
        <v/>
      </c>
      <c r="N45" s="110" t="str">
        <f aca="false">IF($B45="","",SUMIFS('الحركات الشهرية'!$F$6:$F$1005,'الحركات الشهرية'!$B$6:$B$1005,$B45,'الحركات الشهرية'!$A$6:$A$1005,$C$3))</f>
        <v/>
      </c>
      <c r="O45" s="90" t="str">
        <f aca="false">IF($B45="","",N45*(الموظفون!$N45+الموظفون!$J45*cfg_OT_P)/cfg_DAYS_M/cfg_HRS)</f>
        <v/>
      </c>
      <c r="P45" s="90" t="str">
        <f aca="false">IF($B45="","",SUMIFS('الحركات الشهرية'!$G$6:$G$1005,'الحركات الشهرية'!$B$6:$B$1005,$B45,'الحركات الشهرية'!$A$6:$A$1005,$C$3))</f>
        <v/>
      </c>
      <c r="Q45" s="90" t="str">
        <f aca="false">IF($B45="","",SUMIFS('الحركات الشهرية'!$H$6:$H$1005,'الحركات الشهرية'!$B$6:$B$1005,$B45,'الحركات الشهرية'!$A$6:$A$1005,$C$3))</f>
        <v/>
      </c>
      <c r="R45" s="111" t="str">
        <f aca="false">IF($B45="","",SUM(J45:M45)+SUM(O45:Q45))</f>
        <v/>
      </c>
      <c r="S45" s="90" t="str">
        <f aca="false">IF($B45="","",الموظفون!$Q45*IF(E45="سعودي",cfg_G_SE,cfg_G_NE)*F45/cfg_DAYS_M)</f>
        <v/>
      </c>
      <c r="T45" s="90" t="str">
        <f aca="false">IF($B45="","",SUMIFS('الحركات الشهرية'!$I$6:$I$1005,'الحركات الشهرية'!$B$6:$B$1005,$B45,'الحركات الشهرية'!$A$6:$A$1005,$C$3))</f>
        <v/>
      </c>
      <c r="U45" s="90" t="str">
        <f aca="false">IF($B45="","",SUMIFS('الحركات الشهرية'!$J$6:$J$1005,'الحركات الشهرية'!$B$6:$B$1005,$B45,'الحركات الشهرية'!$A$6:$A$1005,$C$3))</f>
        <v/>
      </c>
      <c r="V45" s="90" t="str">
        <f aca="false">IF($B45="","",SUM(S45:U45))</f>
        <v/>
      </c>
      <c r="W45" s="112" t="str">
        <f aca="false">IF($B45="","",R45-V45)</f>
        <v/>
      </c>
      <c r="X45" s="90" t="str">
        <f aca="false">IF($B45="","",الموظفون!$Q45*IF(E45="سعودي",cfg_G_SR,cfg_G_NR)*F45/cfg_DAYS_M)</f>
        <v/>
      </c>
      <c r="Y45" s="90" t="str">
        <f aca="false">IF($B45="","",الموظفون!$O45*(cfg_EOS_R1*(MIN(AC45,cfg_EOS_TH)-MIN(AD45,cfg_EOS_TH))+cfg_EOS_R2*(MAX(AC45-cfg_EOS_TH,0)-MAX(AD45-cfg_EOS_TH,0))))</f>
        <v/>
      </c>
      <c r="Z45" s="90" t="str">
        <f aca="false">IF($B45="","",IF(الموظفون!$R45&lt;&gt;"",الموظفون!$R45,IF(AC45&gt;=cfg_LV_TH,cfg_LV_D2,cfg_LV_D1))/cfg_DAYS_Y*AE45*الموظفون!$P45/cfg_DAYS_M)</f>
        <v/>
      </c>
      <c r="AA45" s="90" t="str">
        <f aca="false">IF($B45="","",IF(AND(الموظفون!$S45="نعم",N(الموظفون!$U45)&gt;0),الموظفون!$T45/الموظفون!$U45*12/cfg_DAYS_Y*AE45,0))</f>
        <v/>
      </c>
      <c r="AB45" s="113" t="str">
        <f aca="false">IF($B45="","",R45+SUM(X45:AA45))</f>
        <v/>
      </c>
      <c r="AC45" s="114" t="str">
        <f aca="false">IF($B45="","",MAX(0,IF(OR(الموظفون!$X45="",الموظفون!$X45&gt;$G$3),$G$3,الموظفون!$X45)-الموظفون!$H45+1)/cfg_DAYS_Y)</f>
        <v/>
      </c>
      <c r="AD45" s="114" t="str">
        <f aca="false">IF($B45="","",MAX(0,IF(OR(الموظفون!$X45="",الموظفون!$X45&gt;($E$3-1)),($E$3-1),الموظفون!$X45)-الموظفون!$H45+1)/cfg_DAYS_Y)</f>
        <v/>
      </c>
      <c r="AE45" s="115" t="str">
        <f aca="false">IF($B45="","",MAX(0,IF(OR(الموظفون!$X45="",الموظفون!$X45&gt;$G$3),$G$3,الموظفون!$X45)-MAX($E$3,الموظفون!$H45)+1))</f>
        <v/>
      </c>
    </row>
    <row r="46" customFormat="false" ht="15" hidden="false" customHeight="false" outlineLevel="0" collapsed="false">
      <c r="A46" s="83" t="str">
        <f aca="false">IF($B46="","",الموظفون!$A46)</f>
        <v/>
      </c>
      <c r="B46" s="74" t="str">
        <f aca="false">IF(الموظفون!$B46="","",الموظفون!$B46)</f>
        <v/>
      </c>
      <c r="C46" s="74" t="str">
        <f aca="false">IF($B46="","",الموظفون!$C46)</f>
        <v/>
      </c>
      <c r="D46" s="74" t="str">
        <f aca="false">IF($B46="","",الموظفون!$F46)</f>
        <v/>
      </c>
      <c r="E46" s="74" t="str">
        <f aca="false">IF($B46="","",الموظفون!$E46)</f>
        <v/>
      </c>
      <c r="F46" s="105" t="str">
        <f aca="false">IF($B46="","",IF(AE46&gt;=DAY($G$3),cfg_DAYS_M,MIN(AE46,cfg_DAYS_M)))</f>
        <v/>
      </c>
      <c r="G46" s="105" t="str">
        <f aca="false">IF($B46="","",SUMIFS('الحركات الشهرية'!$D$6:$D$1005,'الحركات الشهرية'!$B$6:$B$1005,$B46,'الحركات الشهرية'!$A$6:$A$1005,$C$3))</f>
        <v/>
      </c>
      <c r="H46" s="105" t="str">
        <f aca="false">IF($B46="","",SUMIFS('الحركات الشهرية'!$E$6:$E$1005,'الحركات الشهرية'!$B$6:$B$1005,$B46,'الحركات الشهرية'!$A$6:$A$1005,$C$3))</f>
        <v/>
      </c>
      <c r="I46" s="105" t="str">
        <f aca="false">IF($B46="","",MAX(0,F46-G46-H46))</f>
        <v/>
      </c>
      <c r="J46" s="86" t="str">
        <f aca="false">IF($B46="","",الموظفون!$J46*$I46/cfg_DAYS_M)</f>
        <v/>
      </c>
      <c r="K46" s="86" t="str">
        <f aca="false">IF($B46="","",الموظفون!$K46*$I46/cfg_DAYS_M)</f>
        <v/>
      </c>
      <c r="L46" s="86" t="str">
        <f aca="false">IF($B46="","",الموظفون!$L46*$I46/cfg_DAYS_M)</f>
        <v/>
      </c>
      <c r="M46" s="86" t="str">
        <f aca="false">IF($B46="","",الموظفون!$M46*$I46/cfg_DAYS_M)</f>
        <v/>
      </c>
      <c r="N46" s="105" t="str">
        <f aca="false">IF($B46="","",SUMIFS('الحركات الشهرية'!$F$6:$F$1005,'الحركات الشهرية'!$B$6:$B$1005,$B46,'الحركات الشهرية'!$A$6:$A$1005,$C$3))</f>
        <v/>
      </c>
      <c r="O46" s="86" t="str">
        <f aca="false">IF($B46="","",N46*(الموظفون!$N46+الموظفون!$J46*cfg_OT_P)/cfg_DAYS_M/cfg_HRS)</f>
        <v/>
      </c>
      <c r="P46" s="86" t="str">
        <f aca="false">IF($B46="","",SUMIFS('الحركات الشهرية'!$G$6:$G$1005,'الحركات الشهرية'!$B$6:$B$1005,$B46,'الحركات الشهرية'!$A$6:$A$1005,$C$3))</f>
        <v/>
      </c>
      <c r="Q46" s="86" t="str">
        <f aca="false">IF($B46="","",SUMIFS('الحركات الشهرية'!$H$6:$H$1005,'الحركات الشهرية'!$B$6:$B$1005,$B46,'الحركات الشهرية'!$A$6:$A$1005,$C$3))</f>
        <v/>
      </c>
      <c r="R46" s="106" t="str">
        <f aca="false">IF($B46="","",SUM(J46:M46)+SUM(O46:Q46))</f>
        <v/>
      </c>
      <c r="S46" s="86" t="str">
        <f aca="false">IF($B46="","",الموظفون!$Q46*IF(E46="سعودي",cfg_G_SE,cfg_G_NE)*F46/cfg_DAYS_M)</f>
        <v/>
      </c>
      <c r="T46" s="86" t="str">
        <f aca="false">IF($B46="","",SUMIFS('الحركات الشهرية'!$I$6:$I$1005,'الحركات الشهرية'!$B$6:$B$1005,$B46,'الحركات الشهرية'!$A$6:$A$1005,$C$3))</f>
        <v/>
      </c>
      <c r="U46" s="86" t="str">
        <f aca="false">IF($B46="","",SUMIFS('الحركات الشهرية'!$J$6:$J$1005,'الحركات الشهرية'!$B$6:$B$1005,$B46,'الحركات الشهرية'!$A$6:$A$1005,$C$3))</f>
        <v/>
      </c>
      <c r="V46" s="86" t="str">
        <f aca="false">IF($B46="","",SUM(S46:U46))</f>
        <v/>
      </c>
      <c r="W46" s="107" t="str">
        <f aca="false">IF($B46="","",R46-V46)</f>
        <v/>
      </c>
      <c r="X46" s="86" t="str">
        <f aca="false">IF($B46="","",الموظفون!$Q46*IF(E46="سعودي",cfg_G_SR,cfg_G_NR)*F46/cfg_DAYS_M)</f>
        <v/>
      </c>
      <c r="Y46" s="86" t="str">
        <f aca="false">IF($B46="","",الموظفون!$O46*(cfg_EOS_R1*(MIN(AC46,cfg_EOS_TH)-MIN(AD46,cfg_EOS_TH))+cfg_EOS_R2*(MAX(AC46-cfg_EOS_TH,0)-MAX(AD46-cfg_EOS_TH,0))))</f>
        <v/>
      </c>
      <c r="Z46" s="86" t="str">
        <f aca="false">IF($B46="","",IF(الموظفون!$R46&lt;&gt;"",الموظفون!$R46,IF(AC46&gt;=cfg_LV_TH,cfg_LV_D2,cfg_LV_D1))/cfg_DAYS_Y*AE46*الموظفون!$P46/cfg_DAYS_M)</f>
        <v/>
      </c>
      <c r="AA46" s="86" t="str">
        <f aca="false">IF($B46="","",IF(AND(الموظفون!$S46="نعم",N(الموظفون!$U46)&gt;0),الموظفون!$T46/الموظفون!$U46*12/cfg_DAYS_Y*AE46,0))</f>
        <v/>
      </c>
      <c r="AB46" s="108" t="str">
        <f aca="false">IF($B46="","",R46+SUM(X46:AA46))</f>
        <v/>
      </c>
      <c r="AC46" s="109" t="str">
        <f aca="false">IF($B46="","",MAX(0,IF(OR(الموظفون!$X46="",الموظفون!$X46&gt;$G$3),$G$3,الموظفون!$X46)-الموظفون!$H46+1)/cfg_DAYS_Y)</f>
        <v/>
      </c>
      <c r="AD46" s="109" t="str">
        <f aca="false">IF($B46="","",MAX(0,IF(OR(الموظفون!$X46="",الموظفون!$X46&gt;($E$3-1)),($E$3-1),الموظفون!$X46)-الموظفون!$H46+1)/cfg_DAYS_Y)</f>
        <v/>
      </c>
      <c r="AE46" s="51" t="str">
        <f aca="false">IF($B46="","",MAX(0,IF(OR(الموظفون!$X46="",الموظفون!$X46&gt;$G$3),$G$3,الموظفون!$X46)-MAX($E$3,الموظفون!$H46)+1))</f>
        <v/>
      </c>
    </row>
    <row r="47" customFormat="false" ht="15" hidden="false" customHeight="false" outlineLevel="0" collapsed="false">
      <c r="A47" s="89" t="str">
        <f aca="false">IF($B47="","",الموظفون!$A47)</f>
        <v/>
      </c>
      <c r="B47" s="91" t="str">
        <f aca="false">IF(الموظفون!$B47="","",الموظفون!$B47)</f>
        <v/>
      </c>
      <c r="C47" s="91" t="str">
        <f aca="false">IF($B47="","",الموظفون!$C47)</f>
        <v/>
      </c>
      <c r="D47" s="91" t="str">
        <f aca="false">IF($B47="","",الموظفون!$F47)</f>
        <v/>
      </c>
      <c r="E47" s="91" t="str">
        <f aca="false">IF($B47="","",الموظفون!$E47)</f>
        <v/>
      </c>
      <c r="F47" s="110" t="str">
        <f aca="false">IF($B47="","",IF(AE47&gt;=DAY($G$3),cfg_DAYS_M,MIN(AE47,cfg_DAYS_M)))</f>
        <v/>
      </c>
      <c r="G47" s="110" t="str">
        <f aca="false">IF($B47="","",SUMIFS('الحركات الشهرية'!$D$6:$D$1005,'الحركات الشهرية'!$B$6:$B$1005,$B47,'الحركات الشهرية'!$A$6:$A$1005,$C$3))</f>
        <v/>
      </c>
      <c r="H47" s="110" t="str">
        <f aca="false">IF($B47="","",SUMIFS('الحركات الشهرية'!$E$6:$E$1005,'الحركات الشهرية'!$B$6:$B$1005,$B47,'الحركات الشهرية'!$A$6:$A$1005,$C$3))</f>
        <v/>
      </c>
      <c r="I47" s="110" t="str">
        <f aca="false">IF($B47="","",MAX(0,F47-G47-H47))</f>
        <v/>
      </c>
      <c r="J47" s="90" t="str">
        <f aca="false">IF($B47="","",الموظفون!$J47*$I47/cfg_DAYS_M)</f>
        <v/>
      </c>
      <c r="K47" s="90" t="str">
        <f aca="false">IF($B47="","",الموظفون!$K47*$I47/cfg_DAYS_M)</f>
        <v/>
      </c>
      <c r="L47" s="90" t="str">
        <f aca="false">IF($B47="","",الموظفون!$L47*$I47/cfg_DAYS_M)</f>
        <v/>
      </c>
      <c r="M47" s="90" t="str">
        <f aca="false">IF($B47="","",الموظفون!$M47*$I47/cfg_DAYS_M)</f>
        <v/>
      </c>
      <c r="N47" s="110" t="str">
        <f aca="false">IF($B47="","",SUMIFS('الحركات الشهرية'!$F$6:$F$1005,'الحركات الشهرية'!$B$6:$B$1005,$B47,'الحركات الشهرية'!$A$6:$A$1005,$C$3))</f>
        <v/>
      </c>
      <c r="O47" s="90" t="str">
        <f aca="false">IF($B47="","",N47*(الموظفون!$N47+الموظفون!$J47*cfg_OT_P)/cfg_DAYS_M/cfg_HRS)</f>
        <v/>
      </c>
      <c r="P47" s="90" t="str">
        <f aca="false">IF($B47="","",SUMIFS('الحركات الشهرية'!$G$6:$G$1005,'الحركات الشهرية'!$B$6:$B$1005,$B47,'الحركات الشهرية'!$A$6:$A$1005,$C$3))</f>
        <v/>
      </c>
      <c r="Q47" s="90" t="str">
        <f aca="false">IF($B47="","",SUMIFS('الحركات الشهرية'!$H$6:$H$1005,'الحركات الشهرية'!$B$6:$B$1005,$B47,'الحركات الشهرية'!$A$6:$A$1005,$C$3))</f>
        <v/>
      </c>
      <c r="R47" s="111" t="str">
        <f aca="false">IF($B47="","",SUM(J47:M47)+SUM(O47:Q47))</f>
        <v/>
      </c>
      <c r="S47" s="90" t="str">
        <f aca="false">IF($B47="","",الموظفون!$Q47*IF(E47="سعودي",cfg_G_SE,cfg_G_NE)*F47/cfg_DAYS_M)</f>
        <v/>
      </c>
      <c r="T47" s="90" t="str">
        <f aca="false">IF($B47="","",SUMIFS('الحركات الشهرية'!$I$6:$I$1005,'الحركات الشهرية'!$B$6:$B$1005,$B47,'الحركات الشهرية'!$A$6:$A$1005,$C$3))</f>
        <v/>
      </c>
      <c r="U47" s="90" t="str">
        <f aca="false">IF($B47="","",SUMIFS('الحركات الشهرية'!$J$6:$J$1005,'الحركات الشهرية'!$B$6:$B$1005,$B47,'الحركات الشهرية'!$A$6:$A$1005,$C$3))</f>
        <v/>
      </c>
      <c r="V47" s="90" t="str">
        <f aca="false">IF($B47="","",SUM(S47:U47))</f>
        <v/>
      </c>
      <c r="W47" s="112" t="str">
        <f aca="false">IF($B47="","",R47-V47)</f>
        <v/>
      </c>
      <c r="X47" s="90" t="str">
        <f aca="false">IF($B47="","",الموظفون!$Q47*IF(E47="سعودي",cfg_G_SR,cfg_G_NR)*F47/cfg_DAYS_M)</f>
        <v/>
      </c>
      <c r="Y47" s="90" t="str">
        <f aca="false">IF($B47="","",الموظفون!$O47*(cfg_EOS_R1*(MIN(AC47,cfg_EOS_TH)-MIN(AD47,cfg_EOS_TH))+cfg_EOS_R2*(MAX(AC47-cfg_EOS_TH,0)-MAX(AD47-cfg_EOS_TH,0))))</f>
        <v/>
      </c>
      <c r="Z47" s="90" t="str">
        <f aca="false">IF($B47="","",IF(الموظفون!$R47&lt;&gt;"",الموظفون!$R47,IF(AC47&gt;=cfg_LV_TH,cfg_LV_D2,cfg_LV_D1))/cfg_DAYS_Y*AE47*الموظفون!$P47/cfg_DAYS_M)</f>
        <v/>
      </c>
      <c r="AA47" s="90" t="str">
        <f aca="false">IF($B47="","",IF(AND(الموظفون!$S47="نعم",N(الموظفون!$U47)&gt;0),الموظفون!$T47/الموظفون!$U47*12/cfg_DAYS_Y*AE47,0))</f>
        <v/>
      </c>
      <c r="AB47" s="113" t="str">
        <f aca="false">IF($B47="","",R47+SUM(X47:AA47))</f>
        <v/>
      </c>
      <c r="AC47" s="114" t="str">
        <f aca="false">IF($B47="","",MAX(0,IF(OR(الموظفون!$X47="",الموظفون!$X47&gt;$G$3),$G$3,الموظفون!$X47)-الموظفون!$H47+1)/cfg_DAYS_Y)</f>
        <v/>
      </c>
      <c r="AD47" s="114" t="str">
        <f aca="false">IF($B47="","",MAX(0,IF(OR(الموظفون!$X47="",الموظفون!$X47&gt;($E$3-1)),($E$3-1),الموظفون!$X47)-الموظفون!$H47+1)/cfg_DAYS_Y)</f>
        <v/>
      </c>
      <c r="AE47" s="115" t="str">
        <f aca="false">IF($B47="","",MAX(0,IF(OR(الموظفون!$X47="",الموظفون!$X47&gt;$G$3),$G$3,الموظفون!$X47)-MAX($E$3,الموظفون!$H47)+1))</f>
        <v/>
      </c>
    </row>
    <row r="48" customFormat="false" ht="15" hidden="false" customHeight="false" outlineLevel="0" collapsed="false">
      <c r="A48" s="83" t="str">
        <f aca="false">IF($B48="","",الموظفون!$A48)</f>
        <v/>
      </c>
      <c r="B48" s="74" t="str">
        <f aca="false">IF(الموظفون!$B48="","",الموظفون!$B48)</f>
        <v/>
      </c>
      <c r="C48" s="74" t="str">
        <f aca="false">IF($B48="","",الموظفون!$C48)</f>
        <v/>
      </c>
      <c r="D48" s="74" t="str">
        <f aca="false">IF($B48="","",الموظفون!$F48)</f>
        <v/>
      </c>
      <c r="E48" s="74" t="str">
        <f aca="false">IF($B48="","",الموظفون!$E48)</f>
        <v/>
      </c>
      <c r="F48" s="105" t="str">
        <f aca="false">IF($B48="","",IF(AE48&gt;=DAY($G$3),cfg_DAYS_M,MIN(AE48,cfg_DAYS_M)))</f>
        <v/>
      </c>
      <c r="G48" s="105" t="str">
        <f aca="false">IF($B48="","",SUMIFS('الحركات الشهرية'!$D$6:$D$1005,'الحركات الشهرية'!$B$6:$B$1005,$B48,'الحركات الشهرية'!$A$6:$A$1005,$C$3))</f>
        <v/>
      </c>
      <c r="H48" s="105" t="str">
        <f aca="false">IF($B48="","",SUMIFS('الحركات الشهرية'!$E$6:$E$1005,'الحركات الشهرية'!$B$6:$B$1005,$B48,'الحركات الشهرية'!$A$6:$A$1005,$C$3))</f>
        <v/>
      </c>
      <c r="I48" s="105" t="str">
        <f aca="false">IF($B48="","",MAX(0,F48-G48-H48))</f>
        <v/>
      </c>
      <c r="J48" s="86" t="str">
        <f aca="false">IF($B48="","",الموظفون!$J48*$I48/cfg_DAYS_M)</f>
        <v/>
      </c>
      <c r="K48" s="86" t="str">
        <f aca="false">IF($B48="","",الموظفون!$K48*$I48/cfg_DAYS_M)</f>
        <v/>
      </c>
      <c r="L48" s="86" t="str">
        <f aca="false">IF($B48="","",الموظفون!$L48*$I48/cfg_DAYS_M)</f>
        <v/>
      </c>
      <c r="M48" s="86" t="str">
        <f aca="false">IF($B48="","",الموظفون!$M48*$I48/cfg_DAYS_M)</f>
        <v/>
      </c>
      <c r="N48" s="105" t="str">
        <f aca="false">IF($B48="","",SUMIFS('الحركات الشهرية'!$F$6:$F$1005,'الحركات الشهرية'!$B$6:$B$1005,$B48,'الحركات الشهرية'!$A$6:$A$1005,$C$3))</f>
        <v/>
      </c>
      <c r="O48" s="86" t="str">
        <f aca="false">IF($B48="","",N48*(الموظفون!$N48+الموظفون!$J48*cfg_OT_P)/cfg_DAYS_M/cfg_HRS)</f>
        <v/>
      </c>
      <c r="P48" s="86" t="str">
        <f aca="false">IF($B48="","",SUMIFS('الحركات الشهرية'!$G$6:$G$1005,'الحركات الشهرية'!$B$6:$B$1005,$B48,'الحركات الشهرية'!$A$6:$A$1005,$C$3))</f>
        <v/>
      </c>
      <c r="Q48" s="86" t="str">
        <f aca="false">IF($B48="","",SUMIFS('الحركات الشهرية'!$H$6:$H$1005,'الحركات الشهرية'!$B$6:$B$1005,$B48,'الحركات الشهرية'!$A$6:$A$1005,$C$3))</f>
        <v/>
      </c>
      <c r="R48" s="106" t="str">
        <f aca="false">IF($B48="","",SUM(J48:M48)+SUM(O48:Q48))</f>
        <v/>
      </c>
      <c r="S48" s="86" t="str">
        <f aca="false">IF($B48="","",الموظفون!$Q48*IF(E48="سعودي",cfg_G_SE,cfg_G_NE)*F48/cfg_DAYS_M)</f>
        <v/>
      </c>
      <c r="T48" s="86" t="str">
        <f aca="false">IF($B48="","",SUMIFS('الحركات الشهرية'!$I$6:$I$1005,'الحركات الشهرية'!$B$6:$B$1005,$B48,'الحركات الشهرية'!$A$6:$A$1005,$C$3))</f>
        <v/>
      </c>
      <c r="U48" s="86" t="str">
        <f aca="false">IF($B48="","",SUMIFS('الحركات الشهرية'!$J$6:$J$1005,'الحركات الشهرية'!$B$6:$B$1005,$B48,'الحركات الشهرية'!$A$6:$A$1005,$C$3))</f>
        <v/>
      </c>
      <c r="V48" s="86" t="str">
        <f aca="false">IF($B48="","",SUM(S48:U48))</f>
        <v/>
      </c>
      <c r="W48" s="107" t="str">
        <f aca="false">IF($B48="","",R48-V48)</f>
        <v/>
      </c>
      <c r="X48" s="86" t="str">
        <f aca="false">IF($B48="","",الموظفون!$Q48*IF(E48="سعودي",cfg_G_SR,cfg_G_NR)*F48/cfg_DAYS_M)</f>
        <v/>
      </c>
      <c r="Y48" s="86" t="str">
        <f aca="false">IF($B48="","",الموظفون!$O48*(cfg_EOS_R1*(MIN(AC48,cfg_EOS_TH)-MIN(AD48,cfg_EOS_TH))+cfg_EOS_R2*(MAX(AC48-cfg_EOS_TH,0)-MAX(AD48-cfg_EOS_TH,0))))</f>
        <v/>
      </c>
      <c r="Z48" s="86" t="str">
        <f aca="false">IF($B48="","",IF(الموظفون!$R48&lt;&gt;"",الموظفون!$R48,IF(AC48&gt;=cfg_LV_TH,cfg_LV_D2,cfg_LV_D1))/cfg_DAYS_Y*AE48*الموظفون!$P48/cfg_DAYS_M)</f>
        <v/>
      </c>
      <c r="AA48" s="86" t="str">
        <f aca="false">IF($B48="","",IF(AND(الموظفون!$S48="نعم",N(الموظفون!$U48)&gt;0),الموظفون!$T48/الموظفون!$U48*12/cfg_DAYS_Y*AE48,0))</f>
        <v/>
      </c>
      <c r="AB48" s="108" t="str">
        <f aca="false">IF($B48="","",R48+SUM(X48:AA48))</f>
        <v/>
      </c>
      <c r="AC48" s="109" t="str">
        <f aca="false">IF($B48="","",MAX(0,IF(OR(الموظفون!$X48="",الموظفون!$X48&gt;$G$3),$G$3,الموظفون!$X48)-الموظفون!$H48+1)/cfg_DAYS_Y)</f>
        <v/>
      </c>
      <c r="AD48" s="109" t="str">
        <f aca="false">IF($B48="","",MAX(0,IF(OR(الموظفون!$X48="",الموظفون!$X48&gt;($E$3-1)),($E$3-1),الموظفون!$X48)-الموظفون!$H48+1)/cfg_DAYS_Y)</f>
        <v/>
      </c>
      <c r="AE48" s="51" t="str">
        <f aca="false">IF($B48="","",MAX(0,IF(OR(الموظفون!$X48="",الموظفون!$X48&gt;$G$3),$G$3,الموظفون!$X48)-MAX($E$3,الموظفون!$H48)+1))</f>
        <v/>
      </c>
    </row>
    <row r="49" customFormat="false" ht="15" hidden="false" customHeight="false" outlineLevel="0" collapsed="false">
      <c r="A49" s="89" t="str">
        <f aca="false">IF($B49="","",الموظفون!$A49)</f>
        <v/>
      </c>
      <c r="B49" s="91" t="str">
        <f aca="false">IF(الموظفون!$B49="","",الموظفون!$B49)</f>
        <v/>
      </c>
      <c r="C49" s="91" t="str">
        <f aca="false">IF($B49="","",الموظفون!$C49)</f>
        <v/>
      </c>
      <c r="D49" s="91" t="str">
        <f aca="false">IF($B49="","",الموظفون!$F49)</f>
        <v/>
      </c>
      <c r="E49" s="91" t="str">
        <f aca="false">IF($B49="","",الموظفون!$E49)</f>
        <v/>
      </c>
      <c r="F49" s="110" t="str">
        <f aca="false">IF($B49="","",IF(AE49&gt;=DAY($G$3),cfg_DAYS_M,MIN(AE49,cfg_DAYS_M)))</f>
        <v/>
      </c>
      <c r="G49" s="110" t="str">
        <f aca="false">IF($B49="","",SUMIFS('الحركات الشهرية'!$D$6:$D$1005,'الحركات الشهرية'!$B$6:$B$1005,$B49,'الحركات الشهرية'!$A$6:$A$1005,$C$3))</f>
        <v/>
      </c>
      <c r="H49" s="110" t="str">
        <f aca="false">IF($B49="","",SUMIFS('الحركات الشهرية'!$E$6:$E$1005,'الحركات الشهرية'!$B$6:$B$1005,$B49,'الحركات الشهرية'!$A$6:$A$1005,$C$3))</f>
        <v/>
      </c>
      <c r="I49" s="110" t="str">
        <f aca="false">IF($B49="","",MAX(0,F49-G49-H49))</f>
        <v/>
      </c>
      <c r="J49" s="90" t="str">
        <f aca="false">IF($B49="","",الموظفون!$J49*$I49/cfg_DAYS_M)</f>
        <v/>
      </c>
      <c r="K49" s="90" t="str">
        <f aca="false">IF($B49="","",الموظفون!$K49*$I49/cfg_DAYS_M)</f>
        <v/>
      </c>
      <c r="L49" s="90" t="str">
        <f aca="false">IF($B49="","",الموظفون!$L49*$I49/cfg_DAYS_M)</f>
        <v/>
      </c>
      <c r="M49" s="90" t="str">
        <f aca="false">IF($B49="","",الموظفون!$M49*$I49/cfg_DAYS_M)</f>
        <v/>
      </c>
      <c r="N49" s="110" t="str">
        <f aca="false">IF($B49="","",SUMIFS('الحركات الشهرية'!$F$6:$F$1005,'الحركات الشهرية'!$B$6:$B$1005,$B49,'الحركات الشهرية'!$A$6:$A$1005,$C$3))</f>
        <v/>
      </c>
      <c r="O49" s="90" t="str">
        <f aca="false">IF($B49="","",N49*(الموظفون!$N49+الموظفون!$J49*cfg_OT_P)/cfg_DAYS_M/cfg_HRS)</f>
        <v/>
      </c>
      <c r="P49" s="90" t="str">
        <f aca="false">IF($B49="","",SUMIFS('الحركات الشهرية'!$G$6:$G$1005,'الحركات الشهرية'!$B$6:$B$1005,$B49,'الحركات الشهرية'!$A$6:$A$1005,$C$3))</f>
        <v/>
      </c>
      <c r="Q49" s="90" t="str">
        <f aca="false">IF($B49="","",SUMIFS('الحركات الشهرية'!$H$6:$H$1005,'الحركات الشهرية'!$B$6:$B$1005,$B49,'الحركات الشهرية'!$A$6:$A$1005,$C$3))</f>
        <v/>
      </c>
      <c r="R49" s="111" t="str">
        <f aca="false">IF($B49="","",SUM(J49:M49)+SUM(O49:Q49))</f>
        <v/>
      </c>
      <c r="S49" s="90" t="str">
        <f aca="false">IF($B49="","",الموظفون!$Q49*IF(E49="سعودي",cfg_G_SE,cfg_G_NE)*F49/cfg_DAYS_M)</f>
        <v/>
      </c>
      <c r="T49" s="90" t="str">
        <f aca="false">IF($B49="","",SUMIFS('الحركات الشهرية'!$I$6:$I$1005,'الحركات الشهرية'!$B$6:$B$1005,$B49,'الحركات الشهرية'!$A$6:$A$1005,$C$3))</f>
        <v/>
      </c>
      <c r="U49" s="90" t="str">
        <f aca="false">IF($B49="","",SUMIFS('الحركات الشهرية'!$J$6:$J$1005,'الحركات الشهرية'!$B$6:$B$1005,$B49,'الحركات الشهرية'!$A$6:$A$1005,$C$3))</f>
        <v/>
      </c>
      <c r="V49" s="90" t="str">
        <f aca="false">IF($B49="","",SUM(S49:U49))</f>
        <v/>
      </c>
      <c r="W49" s="112" t="str">
        <f aca="false">IF($B49="","",R49-V49)</f>
        <v/>
      </c>
      <c r="X49" s="90" t="str">
        <f aca="false">IF($B49="","",الموظفون!$Q49*IF(E49="سعودي",cfg_G_SR,cfg_G_NR)*F49/cfg_DAYS_M)</f>
        <v/>
      </c>
      <c r="Y49" s="90" t="str">
        <f aca="false">IF($B49="","",الموظفون!$O49*(cfg_EOS_R1*(MIN(AC49,cfg_EOS_TH)-MIN(AD49,cfg_EOS_TH))+cfg_EOS_R2*(MAX(AC49-cfg_EOS_TH,0)-MAX(AD49-cfg_EOS_TH,0))))</f>
        <v/>
      </c>
      <c r="Z49" s="90" t="str">
        <f aca="false">IF($B49="","",IF(الموظفون!$R49&lt;&gt;"",الموظفون!$R49,IF(AC49&gt;=cfg_LV_TH,cfg_LV_D2,cfg_LV_D1))/cfg_DAYS_Y*AE49*الموظفون!$P49/cfg_DAYS_M)</f>
        <v/>
      </c>
      <c r="AA49" s="90" t="str">
        <f aca="false">IF($B49="","",IF(AND(الموظفون!$S49="نعم",N(الموظفون!$U49)&gt;0),الموظفون!$T49/الموظفون!$U49*12/cfg_DAYS_Y*AE49,0))</f>
        <v/>
      </c>
      <c r="AB49" s="113" t="str">
        <f aca="false">IF($B49="","",R49+SUM(X49:AA49))</f>
        <v/>
      </c>
      <c r="AC49" s="114" t="str">
        <f aca="false">IF($B49="","",MAX(0,IF(OR(الموظفون!$X49="",الموظفون!$X49&gt;$G$3),$G$3,الموظفون!$X49)-الموظفون!$H49+1)/cfg_DAYS_Y)</f>
        <v/>
      </c>
      <c r="AD49" s="114" t="str">
        <f aca="false">IF($B49="","",MAX(0,IF(OR(الموظفون!$X49="",الموظفون!$X49&gt;($E$3-1)),($E$3-1),الموظفون!$X49)-الموظفون!$H49+1)/cfg_DAYS_Y)</f>
        <v/>
      </c>
      <c r="AE49" s="115" t="str">
        <f aca="false">IF($B49="","",MAX(0,IF(OR(الموظفون!$X49="",الموظفون!$X49&gt;$G$3),$G$3,الموظفون!$X49)-MAX($E$3,الموظفون!$H49)+1))</f>
        <v/>
      </c>
    </row>
    <row r="50" customFormat="false" ht="15" hidden="false" customHeight="false" outlineLevel="0" collapsed="false">
      <c r="A50" s="83" t="str">
        <f aca="false">IF($B50="","",الموظفون!$A50)</f>
        <v/>
      </c>
      <c r="B50" s="74" t="str">
        <f aca="false">IF(الموظفون!$B50="","",الموظفون!$B50)</f>
        <v/>
      </c>
      <c r="C50" s="74" t="str">
        <f aca="false">IF($B50="","",الموظفون!$C50)</f>
        <v/>
      </c>
      <c r="D50" s="74" t="str">
        <f aca="false">IF($B50="","",الموظفون!$F50)</f>
        <v/>
      </c>
      <c r="E50" s="74" t="str">
        <f aca="false">IF($B50="","",الموظفون!$E50)</f>
        <v/>
      </c>
      <c r="F50" s="105" t="str">
        <f aca="false">IF($B50="","",IF(AE50&gt;=DAY($G$3),cfg_DAYS_M,MIN(AE50,cfg_DAYS_M)))</f>
        <v/>
      </c>
      <c r="G50" s="105" t="str">
        <f aca="false">IF($B50="","",SUMIFS('الحركات الشهرية'!$D$6:$D$1005,'الحركات الشهرية'!$B$6:$B$1005,$B50,'الحركات الشهرية'!$A$6:$A$1005,$C$3))</f>
        <v/>
      </c>
      <c r="H50" s="105" t="str">
        <f aca="false">IF($B50="","",SUMIFS('الحركات الشهرية'!$E$6:$E$1005,'الحركات الشهرية'!$B$6:$B$1005,$B50,'الحركات الشهرية'!$A$6:$A$1005,$C$3))</f>
        <v/>
      </c>
      <c r="I50" s="105" t="str">
        <f aca="false">IF($B50="","",MAX(0,F50-G50-H50))</f>
        <v/>
      </c>
      <c r="J50" s="86" t="str">
        <f aca="false">IF($B50="","",الموظفون!$J50*$I50/cfg_DAYS_M)</f>
        <v/>
      </c>
      <c r="K50" s="86" t="str">
        <f aca="false">IF($B50="","",الموظفون!$K50*$I50/cfg_DAYS_M)</f>
        <v/>
      </c>
      <c r="L50" s="86" t="str">
        <f aca="false">IF($B50="","",الموظفون!$L50*$I50/cfg_DAYS_M)</f>
        <v/>
      </c>
      <c r="M50" s="86" t="str">
        <f aca="false">IF($B50="","",الموظفون!$M50*$I50/cfg_DAYS_M)</f>
        <v/>
      </c>
      <c r="N50" s="105" t="str">
        <f aca="false">IF($B50="","",SUMIFS('الحركات الشهرية'!$F$6:$F$1005,'الحركات الشهرية'!$B$6:$B$1005,$B50,'الحركات الشهرية'!$A$6:$A$1005,$C$3))</f>
        <v/>
      </c>
      <c r="O50" s="86" t="str">
        <f aca="false">IF($B50="","",N50*(الموظفون!$N50+الموظفون!$J50*cfg_OT_P)/cfg_DAYS_M/cfg_HRS)</f>
        <v/>
      </c>
      <c r="P50" s="86" t="str">
        <f aca="false">IF($B50="","",SUMIFS('الحركات الشهرية'!$G$6:$G$1005,'الحركات الشهرية'!$B$6:$B$1005,$B50,'الحركات الشهرية'!$A$6:$A$1005,$C$3))</f>
        <v/>
      </c>
      <c r="Q50" s="86" t="str">
        <f aca="false">IF($B50="","",SUMIFS('الحركات الشهرية'!$H$6:$H$1005,'الحركات الشهرية'!$B$6:$B$1005,$B50,'الحركات الشهرية'!$A$6:$A$1005,$C$3))</f>
        <v/>
      </c>
      <c r="R50" s="106" t="str">
        <f aca="false">IF($B50="","",SUM(J50:M50)+SUM(O50:Q50))</f>
        <v/>
      </c>
      <c r="S50" s="86" t="str">
        <f aca="false">IF($B50="","",الموظفون!$Q50*IF(E50="سعودي",cfg_G_SE,cfg_G_NE)*F50/cfg_DAYS_M)</f>
        <v/>
      </c>
      <c r="T50" s="86" t="str">
        <f aca="false">IF($B50="","",SUMIFS('الحركات الشهرية'!$I$6:$I$1005,'الحركات الشهرية'!$B$6:$B$1005,$B50,'الحركات الشهرية'!$A$6:$A$1005,$C$3))</f>
        <v/>
      </c>
      <c r="U50" s="86" t="str">
        <f aca="false">IF($B50="","",SUMIFS('الحركات الشهرية'!$J$6:$J$1005,'الحركات الشهرية'!$B$6:$B$1005,$B50,'الحركات الشهرية'!$A$6:$A$1005,$C$3))</f>
        <v/>
      </c>
      <c r="V50" s="86" t="str">
        <f aca="false">IF($B50="","",SUM(S50:U50))</f>
        <v/>
      </c>
      <c r="W50" s="107" t="str">
        <f aca="false">IF($B50="","",R50-V50)</f>
        <v/>
      </c>
      <c r="X50" s="86" t="str">
        <f aca="false">IF($B50="","",الموظفون!$Q50*IF(E50="سعودي",cfg_G_SR,cfg_G_NR)*F50/cfg_DAYS_M)</f>
        <v/>
      </c>
      <c r="Y50" s="86" t="str">
        <f aca="false">IF($B50="","",الموظفون!$O50*(cfg_EOS_R1*(MIN(AC50,cfg_EOS_TH)-MIN(AD50,cfg_EOS_TH))+cfg_EOS_R2*(MAX(AC50-cfg_EOS_TH,0)-MAX(AD50-cfg_EOS_TH,0))))</f>
        <v/>
      </c>
      <c r="Z50" s="86" t="str">
        <f aca="false">IF($B50="","",IF(الموظفون!$R50&lt;&gt;"",الموظفون!$R50,IF(AC50&gt;=cfg_LV_TH,cfg_LV_D2,cfg_LV_D1))/cfg_DAYS_Y*AE50*الموظفون!$P50/cfg_DAYS_M)</f>
        <v/>
      </c>
      <c r="AA50" s="86" t="str">
        <f aca="false">IF($B50="","",IF(AND(الموظفون!$S50="نعم",N(الموظفون!$U50)&gt;0),الموظفون!$T50/الموظفون!$U50*12/cfg_DAYS_Y*AE50,0))</f>
        <v/>
      </c>
      <c r="AB50" s="108" t="str">
        <f aca="false">IF($B50="","",R50+SUM(X50:AA50))</f>
        <v/>
      </c>
      <c r="AC50" s="109" t="str">
        <f aca="false">IF($B50="","",MAX(0,IF(OR(الموظفون!$X50="",الموظفون!$X50&gt;$G$3),$G$3,الموظفون!$X50)-الموظفون!$H50+1)/cfg_DAYS_Y)</f>
        <v/>
      </c>
      <c r="AD50" s="109" t="str">
        <f aca="false">IF($B50="","",MAX(0,IF(OR(الموظفون!$X50="",الموظفون!$X50&gt;($E$3-1)),($E$3-1),الموظفون!$X50)-الموظفون!$H50+1)/cfg_DAYS_Y)</f>
        <v/>
      </c>
      <c r="AE50" s="51" t="str">
        <f aca="false">IF($B50="","",MAX(0,IF(OR(الموظفون!$X50="",الموظفون!$X50&gt;$G$3),$G$3,الموظفون!$X50)-MAX($E$3,الموظفون!$H50)+1))</f>
        <v/>
      </c>
    </row>
    <row r="51" customFormat="false" ht="15" hidden="false" customHeight="false" outlineLevel="0" collapsed="false">
      <c r="A51" s="89" t="str">
        <f aca="false">IF($B51="","",الموظفون!$A51)</f>
        <v/>
      </c>
      <c r="B51" s="91" t="str">
        <f aca="false">IF(الموظفون!$B51="","",الموظفون!$B51)</f>
        <v/>
      </c>
      <c r="C51" s="91" t="str">
        <f aca="false">IF($B51="","",الموظفون!$C51)</f>
        <v/>
      </c>
      <c r="D51" s="91" t="str">
        <f aca="false">IF($B51="","",الموظفون!$F51)</f>
        <v/>
      </c>
      <c r="E51" s="91" t="str">
        <f aca="false">IF($B51="","",الموظفون!$E51)</f>
        <v/>
      </c>
      <c r="F51" s="110" t="str">
        <f aca="false">IF($B51="","",IF(AE51&gt;=DAY($G$3),cfg_DAYS_M,MIN(AE51,cfg_DAYS_M)))</f>
        <v/>
      </c>
      <c r="G51" s="110" t="str">
        <f aca="false">IF($B51="","",SUMIFS('الحركات الشهرية'!$D$6:$D$1005,'الحركات الشهرية'!$B$6:$B$1005,$B51,'الحركات الشهرية'!$A$6:$A$1005,$C$3))</f>
        <v/>
      </c>
      <c r="H51" s="110" t="str">
        <f aca="false">IF($B51="","",SUMIFS('الحركات الشهرية'!$E$6:$E$1005,'الحركات الشهرية'!$B$6:$B$1005,$B51,'الحركات الشهرية'!$A$6:$A$1005,$C$3))</f>
        <v/>
      </c>
      <c r="I51" s="110" t="str">
        <f aca="false">IF($B51="","",MAX(0,F51-G51-H51))</f>
        <v/>
      </c>
      <c r="J51" s="90" t="str">
        <f aca="false">IF($B51="","",الموظفون!$J51*$I51/cfg_DAYS_M)</f>
        <v/>
      </c>
      <c r="K51" s="90" t="str">
        <f aca="false">IF($B51="","",الموظفون!$K51*$I51/cfg_DAYS_M)</f>
        <v/>
      </c>
      <c r="L51" s="90" t="str">
        <f aca="false">IF($B51="","",الموظفون!$L51*$I51/cfg_DAYS_M)</f>
        <v/>
      </c>
      <c r="M51" s="90" t="str">
        <f aca="false">IF($B51="","",الموظفون!$M51*$I51/cfg_DAYS_M)</f>
        <v/>
      </c>
      <c r="N51" s="110" t="str">
        <f aca="false">IF($B51="","",SUMIFS('الحركات الشهرية'!$F$6:$F$1005,'الحركات الشهرية'!$B$6:$B$1005,$B51,'الحركات الشهرية'!$A$6:$A$1005,$C$3))</f>
        <v/>
      </c>
      <c r="O51" s="90" t="str">
        <f aca="false">IF($B51="","",N51*(الموظفون!$N51+الموظفون!$J51*cfg_OT_P)/cfg_DAYS_M/cfg_HRS)</f>
        <v/>
      </c>
      <c r="P51" s="90" t="str">
        <f aca="false">IF($B51="","",SUMIFS('الحركات الشهرية'!$G$6:$G$1005,'الحركات الشهرية'!$B$6:$B$1005,$B51,'الحركات الشهرية'!$A$6:$A$1005,$C$3))</f>
        <v/>
      </c>
      <c r="Q51" s="90" t="str">
        <f aca="false">IF($B51="","",SUMIFS('الحركات الشهرية'!$H$6:$H$1005,'الحركات الشهرية'!$B$6:$B$1005,$B51,'الحركات الشهرية'!$A$6:$A$1005,$C$3))</f>
        <v/>
      </c>
      <c r="R51" s="111" t="str">
        <f aca="false">IF($B51="","",SUM(J51:M51)+SUM(O51:Q51))</f>
        <v/>
      </c>
      <c r="S51" s="90" t="str">
        <f aca="false">IF($B51="","",الموظفون!$Q51*IF(E51="سعودي",cfg_G_SE,cfg_G_NE)*F51/cfg_DAYS_M)</f>
        <v/>
      </c>
      <c r="T51" s="90" t="str">
        <f aca="false">IF($B51="","",SUMIFS('الحركات الشهرية'!$I$6:$I$1005,'الحركات الشهرية'!$B$6:$B$1005,$B51,'الحركات الشهرية'!$A$6:$A$1005,$C$3))</f>
        <v/>
      </c>
      <c r="U51" s="90" t="str">
        <f aca="false">IF($B51="","",SUMIFS('الحركات الشهرية'!$J$6:$J$1005,'الحركات الشهرية'!$B$6:$B$1005,$B51,'الحركات الشهرية'!$A$6:$A$1005,$C$3))</f>
        <v/>
      </c>
      <c r="V51" s="90" t="str">
        <f aca="false">IF($B51="","",SUM(S51:U51))</f>
        <v/>
      </c>
      <c r="W51" s="112" t="str">
        <f aca="false">IF($B51="","",R51-V51)</f>
        <v/>
      </c>
      <c r="X51" s="90" t="str">
        <f aca="false">IF($B51="","",الموظفون!$Q51*IF(E51="سعودي",cfg_G_SR,cfg_G_NR)*F51/cfg_DAYS_M)</f>
        <v/>
      </c>
      <c r="Y51" s="90" t="str">
        <f aca="false">IF($B51="","",الموظفون!$O51*(cfg_EOS_R1*(MIN(AC51,cfg_EOS_TH)-MIN(AD51,cfg_EOS_TH))+cfg_EOS_R2*(MAX(AC51-cfg_EOS_TH,0)-MAX(AD51-cfg_EOS_TH,0))))</f>
        <v/>
      </c>
      <c r="Z51" s="90" t="str">
        <f aca="false">IF($B51="","",IF(الموظفون!$R51&lt;&gt;"",الموظفون!$R51,IF(AC51&gt;=cfg_LV_TH,cfg_LV_D2,cfg_LV_D1))/cfg_DAYS_Y*AE51*الموظفون!$P51/cfg_DAYS_M)</f>
        <v/>
      </c>
      <c r="AA51" s="90" t="str">
        <f aca="false">IF($B51="","",IF(AND(الموظفون!$S51="نعم",N(الموظفون!$U51)&gt;0),الموظفون!$T51/الموظفون!$U51*12/cfg_DAYS_Y*AE51,0))</f>
        <v/>
      </c>
      <c r="AB51" s="113" t="str">
        <f aca="false">IF($B51="","",R51+SUM(X51:AA51))</f>
        <v/>
      </c>
      <c r="AC51" s="114" t="str">
        <f aca="false">IF($B51="","",MAX(0,IF(OR(الموظفون!$X51="",الموظفون!$X51&gt;$G$3),$G$3,الموظفون!$X51)-الموظفون!$H51+1)/cfg_DAYS_Y)</f>
        <v/>
      </c>
      <c r="AD51" s="114" t="str">
        <f aca="false">IF($B51="","",MAX(0,IF(OR(الموظفون!$X51="",الموظفون!$X51&gt;($E$3-1)),($E$3-1),الموظفون!$X51)-الموظفون!$H51+1)/cfg_DAYS_Y)</f>
        <v/>
      </c>
      <c r="AE51" s="115" t="str">
        <f aca="false">IF($B51="","",MAX(0,IF(OR(الموظفون!$X51="",الموظفون!$X51&gt;$G$3),$G$3,الموظفون!$X51)-MAX($E$3,الموظفون!$H51)+1))</f>
        <v/>
      </c>
    </row>
    <row r="52" customFormat="false" ht="15" hidden="false" customHeight="false" outlineLevel="0" collapsed="false">
      <c r="A52" s="83" t="str">
        <f aca="false">IF($B52="","",الموظفون!$A52)</f>
        <v/>
      </c>
      <c r="B52" s="74" t="str">
        <f aca="false">IF(الموظفون!$B52="","",الموظفون!$B52)</f>
        <v/>
      </c>
      <c r="C52" s="74" t="str">
        <f aca="false">IF($B52="","",الموظفون!$C52)</f>
        <v/>
      </c>
      <c r="D52" s="74" t="str">
        <f aca="false">IF($B52="","",الموظفون!$F52)</f>
        <v/>
      </c>
      <c r="E52" s="74" t="str">
        <f aca="false">IF($B52="","",الموظفون!$E52)</f>
        <v/>
      </c>
      <c r="F52" s="105" t="str">
        <f aca="false">IF($B52="","",IF(AE52&gt;=DAY($G$3),cfg_DAYS_M,MIN(AE52,cfg_DAYS_M)))</f>
        <v/>
      </c>
      <c r="G52" s="105" t="str">
        <f aca="false">IF($B52="","",SUMIFS('الحركات الشهرية'!$D$6:$D$1005,'الحركات الشهرية'!$B$6:$B$1005,$B52,'الحركات الشهرية'!$A$6:$A$1005,$C$3))</f>
        <v/>
      </c>
      <c r="H52" s="105" t="str">
        <f aca="false">IF($B52="","",SUMIFS('الحركات الشهرية'!$E$6:$E$1005,'الحركات الشهرية'!$B$6:$B$1005,$B52,'الحركات الشهرية'!$A$6:$A$1005,$C$3))</f>
        <v/>
      </c>
      <c r="I52" s="105" t="str">
        <f aca="false">IF($B52="","",MAX(0,F52-G52-H52))</f>
        <v/>
      </c>
      <c r="J52" s="86" t="str">
        <f aca="false">IF($B52="","",الموظفون!$J52*$I52/cfg_DAYS_M)</f>
        <v/>
      </c>
      <c r="K52" s="86" t="str">
        <f aca="false">IF($B52="","",الموظفون!$K52*$I52/cfg_DAYS_M)</f>
        <v/>
      </c>
      <c r="L52" s="86" t="str">
        <f aca="false">IF($B52="","",الموظفون!$L52*$I52/cfg_DAYS_M)</f>
        <v/>
      </c>
      <c r="M52" s="86" t="str">
        <f aca="false">IF($B52="","",الموظفون!$M52*$I52/cfg_DAYS_M)</f>
        <v/>
      </c>
      <c r="N52" s="105" t="str">
        <f aca="false">IF($B52="","",SUMIFS('الحركات الشهرية'!$F$6:$F$1005,'الحركات الشهرية'!$B$6:$B$1005,$B52,'الحركات الشهرية'!$A$6:$A$1005,$C$3))</f>
        <v/>
      </c>
      <c r="O52" s="86" t="str">
        <f aca="false">IF($B52="","",N52*(الموظفون!$N52+الموظفون!$J52*cfg_OT_P)/cfg_DAYS_M/cfg_HRS)</f>
        <v/>
      </c>
      <c r="P52" s="86" t="str">
        <f aca="false">IF($B52="","",SUMIFS('الحركات الشهرية'!$G$6:$G$1005,'الحركات الشهرية'!$B$6:$B$1005,$B52,'الحركات الشهرية'!$A$6:$A$1005,$C$3))</f>
        <v/>
      </c>
      <c r="Q52" s="86" t="str">
        <f aca="false">IF($B52="","",SUMIFS('الحركات الشهرية'!$H$6:$H$1005,'الحركات الشهرية'!$B$6:$B$1005,$B52,'الحركات الشهرية'!$A$6:$A$1005,$C$3))</f>
        <v/>
      </c>
      <c r="R52" s="106" t="str">
        <f aca="false">IF($B52="","",SUM(J52:M52)+SUM(O52:Q52))</f>
        <v/>
      </c>
      <c r="S52" s="86" t="str">
        <f aca="false">IF($B52="","",الموظفون!$Q52*IF(E52="سعودي",cfg_G_SE,cfg_G_NE)*F52/cfg_DAYS_M)</f>
        <v/>
      </c>
      <c r="T52" s="86" t="str">
        <f aca="false">IF($B52="","",SUMIFS('الحركات الشهرية'!$I$6:$I$1005,'الحركات الشهرية'!$B$6:$B$1005,$B52,'الحركات الشهرية'!$A$6:$A$1005,$C$3))</f>
        <v/>
      </c>
      <c r="U52" s="86" t="str">
        <f aca="false">IF($B52="","",SUMIFS('الحركات الشهرية'!$J$6:$J$1005,'الحركات الشهرية'!$B$6:$B$1005,$B52,'الحركات الشهرية'!$A$6:$A$1005,$C$3))</f>
        <v/>
      </c>
      <c r="V52" s="86" t="str">
        <f aca="false">IF($B52="","",SUM(S52:U52))</f>
        <v/>
      </c>
      <c r="W52" s="107" t="str">
        <f aca="false">IF($B52="","",R52-V52)</f>
        <v/>
      </c>
      <c r="X52" s="86" t="str">
        <f aca="false">IF($B52="","",الموظفون!$Q52*IF(E52="سعودي",cfg_G_SR,cfg_G_NR)*F52/cfg_DAYS_M)</f>
        <v/>
      </c>
      <c r="Y52" s="86" t="str">
        <f aca="false">IF($B52="","",الموظفون!$O52*(cfg_EOS_R1*(MIN(AC52,cfg_EOS_TH)-MIN(AD52,cfg_EOS_TH))+cfg_EOS_R2*(MAX(AC52-cfg_EOS_TH,0)-MAX(AD52-cfg_EOS_TH,0))))</f>
        <v/>
      </c>
      <c r="Z52" s="86" t="str">
        <f aca="false">IF($B52="","",IF(الموظفون!$R52&lt;&gt;"",الموظفون!$R52,IF(AC52&gt;=cfg_LV_TH,cfg_LV_D2,cfg_LV_D1))/cfg_DAYS_Y*AE52*الموظفون!$P52/cfg_DAYS_M)</f>
        <v/>
      </c>
      <c r="AA52" s="86" t="str">
        <f aca="false">IF($B52="","",IF(AND(الموظفون!$S52="نعم",N(الموظفون!$U52)&gt;0),الموظفون!$T52/الموظفون!$U52*12/cfg_DAYS_Y*AE52,0))</f>
        <v/>
      </c>
      <c r="AB52" s="108" t="str">
        <f aca="false">IF($B52="","",R52+SUM(X52:AA52))</f>
        <v/>
      </c>
      <c r="AC52" s="109" t="str">
        <f aca="false">IF($B52="","",MAX(0,IF(OR(الموظفون!$X52="",الموظفون!$X52&gt;$G$3),$G$3,الموظفون!$X52)-الموظفون!$H52+1)/cfg_DAYS_Y)</f>
        <v/>
      </c>
      <c r="AD52" s="109" t="str">
        <f aca="false">IF($B52="","",MAX(0,IF(OR(الموظفون!$X52="",الموظفون!$X52&gt;($E$3-1)),($E$3-1),الموظفون!$X52)-الموظفون!$H52+1)/cfg_DAYS_Y)</f>
        <v/>
      </c>
      <c r="AE52" s="51" t="str">
        <f aca="false">IF($B52="","",MAX(0,IF(OR(الموظفون!$X52="",الموظفون!$X52&gt;$G$3),$G$3,الموظفون!$X52)-MAX($E$3,الموظفون!$H52)+1))</f>
        <v/>
      </c>
    </row>
    <row r="53" customFormat="false" ht="15" hidden="false" customHeight="false" outlineLevel="0" collapsed="false">
      <c r="A53" s="89" t="str">
        <f aca="false">IF($B53="","",الموظفون!$A53)</f>
        <v/>
      </c>
      <c r="B53" s="91" t="str">
        <f aca="false">IF(الموظفون!$B53="","",الموظفون!$B53)</f>
        <v/>
      </c>
      <c r="C53" s="91" t="str">
        <f aca="false">IF($B53="","",الموظفون!$C53)</f>
        <v/>
      </c>
      <c r="D53" s="91" t="str">
        <f aca="false">IF($B53="","",الموظفون!$F53)</f>
        <v/>
      </c>
      <c r="E53" s="91" t="str">
        <f aca="false">IF($B53="","",الموظفون!$E53)</f>
        <v/>
      </c>
      <c r="F53" s="110" t="str">
        <f aca="false">IF($B53="","",IF(AE53&gt;=DAY($G$3),cfg_DAYS_M,MIN(AE53,cfg_DAYS_M)))</f>
        <v/>
      </c>
      <c r="G53" s="110" t="str">
        <f aca="false">IF($B53="","",SUMIFS('الحركات الشهرية'!$D$6:$D$1005,'الحركات الشهرية'!$B$6:$B$1005,$B53,'الحركات الشهرية'!$A$6:$A$1005,$C$3))</f>
        <v/>
      </c>
      <c r="H53" s="110" t="str">
        <f aca="false">IF($B53="","",SUMIFS('الحركات الشهرية'!$E$6:$E$1005,'الحركات الشهرية'!$B$6:$B$1005,$B53,'الحركات الشهرية'!$A$6:$A$1005,$C$3))</f>
        <v/>
      </c>
      <c r="I53" s="110" t="str">
        <f aca="false">IF($B53="","",MAX(0,F53-G53-H53))</f>
        <v/>
      </c>
      <c r="J53" s="90" t="str">
        <f aca="false">IF($B53="","",الموظفون!$J53*$I53/cfg_DAYS_M)</f>
        <v/>
      </c>
      <c r="K53" s="90" t="str">
        <f aca="false">IF($B53="","",الموظفون!$K53*$I53/cfg_DAYS_M)</f>
        <v/>
      </c>
      <c r="L53" s="90" t="str">
        <f aca="false">IF($B53="","",الموظفون!$L53*$I53/cfg_DAYS_M)</f>
        <v/>
      </c>
      <c r="M53" s="90" t="str">
        <f aca="false">IF($B53="","",الموظفون!$M53*$I53/cfg_DAYS_M)</f>
        <v/>
      </c>
      <c r="N53" s="110" t="str">
        <f aca="false">IF($B53="","",SUMIFS('الحركات الشهرية'!$F$6:$F$1005,'الحركات الشهرية'!$B$6:$B$1005,$B53,'الحركات الشهرية'!$A$6:$A$1005,$C$3))</f>
        <v/>
      </c>
      <c r="O53" s="90" t="str">
        <f aca="false">IF($B53="","",N53*(الموظفون!$N53+الموظفون!$J53*cfg_OT_P)/cfg_DAYS_M/cfg_HRS)</f>
        <v/>
      </c>
      <c r="P53" s="90" t="str">
        <f aca="false">IF($B53="","",SUMIFS('الحركات الشهرية'!$G$6:$G$1005,'الحركات الشهرية'!$B$6:$B$1005,$B53,'الحركات الشهرية'!$A$6:$A$1005,$C$3))</f>
        <v/>
      </c>
      <c r="Q53" s="90" t="str">
        <f aca="false">IF($B53="","",SUMIFS('الحركات الشهرية'!$H$6:$H$1005,'الحركات الشهرية'!$B$6:$B$1005,$B53,'الحركات الشهرية'!$A$6:$A$1005,$C$3))</f>
        <v/>
      </c>
      <c r="R53" s="111" t="str">
        <f aca="false">IF($B53="","",SUM(J53:M53)+SUM(O53:Q53))</f>
        <v/>
      </c>
      <c r="S53" s="90" t="str">
        <f aca="false">IF($B53="","",الموظفون!$Q53*IF(E53="سعودي",cfg_G_SE,cfg_G_NE)*F53/cfg_DAYS_M)</f>
        <v/>
      </c>
      <c r="T53" s="90" t="str">
        <f aca="false">IF($B53="","",SUMIFS('الحركات الشهرية'!$I$6:$I$1005,'الحركات الشهرية'!$B$6:$B$1005,$B53,'الحركات الشهرية'!$A$6:$A$1005,$C$3))</f>
        <v/>
      </c>
      <c r="U53" s="90" t="str">
        <f aca="false">IF($B53="","",SUMIFS('الحركات الشهرية'!$J$6:$J$1005,'الحركات الشهرية'!$B$6:$B$1005,$B53,'الحركات الشهرية'!$A$6:$A$1005,$C$3))</f>
        <v/>
      </c>
      <c r="V53" s="90" t="str">
        <f aca="false">IF($B53="","",SUM(S53:U53))</f>
        <v/>
      </c>
      <c r="W53" s="112" t="str">
        <f aca="false">IF($B53="","",R53-V53)</f>
        <v/>
      </c>
      <c r="X53" s="90" t="str">
        <f aca="false">IF($B53="","",الموظفون!$Q53*IF(E53="سعودي",cfg_G_SR,cfg_G_NR)*F53/cfg_DAYS_M)</f>
        <v/>
      </c>
      <c r="Y53" s="90" t="str">
        <f aca="false">IF($B53="","",الموظفون!$O53*(cfg_EOS_R1*(MIN(AC53,cfg_EOS_TH)-MIN(AD53,cfg_EOS_TH))+cfg_EOS_R2*(MAX(AC53-cfg_EOS_TH,0)-MAX(AD53-cfg_EOS_TH,0))))</f>
        <v/>
      </c>
      <c r="Z53" s="90" t="str">
        <f aca="false">IF($B53="","",IF(الموظفون!$R53&lt;&gt;"",الموظفون!$R53,IF(AC53&gt;=cfg_LV_TH,cfg_LV_D2,cfg_LV_D1))/cfg_DAYS_Y*AE53*الموظفون!$P53/cfg_DAYS_M)</f>
        <v/>
      </c>
      <c r="AA53" s="90" t="str">
        <f aca="false">IF($B53="","",IF(AND(الموظفون!$S53="نعم",N(الموظفون!$U53)&gt;0),الموظفون!$T53/الموظفون!$U53*12/cfg_DAYS_Y*AE53,0))</f>
        <v/>
      </c>
      <c r="AB53" s="113" t="str">
        <f aca="false">IF($B53="","",R53+SUM(X53:AA53))</f>
        <v/>
      </c>
      <c r="AC53" s="114" t="str">
        <f aca="false">IF($B53="","",MAX(0,IF(OR(الموظفون!$X53="",الموظفون!$X53&gt;$G$3),$G$3,الموظفون!$X53)-الموظفون!$H53+1)/cfg_DAYS_Y)</f>
        <v/>
      </c>
      <c r="AD53" s="114" t="str">
        <f aca="false">IF($B53="","",MAX(0,IF(OR(الموظفون!$X53="",الموظفون!$X53&gt;($E$3-1)),($E$3-1),الموظفون!$X53)-الموظفون!$H53+1)/cfg_DAYS_Y)</f>
        <v/>
      </c>
      <c r="AE53" s="115" t="str">
        <f aca="false">IF($B53="","",MAX(0,IF(OR(الموظفون!$X53="",الموظفون!$X53&gt;$G$3),$G$3,الموظفون!$X53)-MAX($E$3,الموظفون!$H53)+1))</f>
        <v/>
      </c>
    </row>
    <row r="54" customFormat="false" ht="15" hidden="false" customHeight="false" outlineLevel="0" collapsed="false">
      <c r="A54" s="83" t="str">
        <f aca="false">IF($B54="","",الموظفون!$A54)</f>
        <v/>
      </c>
      <c r="B54" s="74" t="str">
        <f aca="false">IF(الموظفون!$B54="","",الموظفون!$B54)</f>
        <v/>
      </c>
      <c r="C54" s="74" t="str">
        <f aca="false">IF($B54="","",الموظفون!$C54)</f>
        <v/>
      </c>
      <c r="D54" s="74" t="str">
        <f aca="false">IF($B54="","",الموظفون!$F54)</f>
        <v/>
      </c>
      <c r="E54" s="74" t="str">
        <f aca="false">IF($B54="","",الموظفون!$E54)</f>
        <v/>
      </c>
      <c r="F54" s="105" t="str">
        <f aca="false">IF($B54="","",IF(AE54&gt;=DAY($G$3),cfg_DAYS_M,MIN(AE54,cfg_DAYS_M)))</f>
        <v/>
      </c>
      <c r="G54" s="105" t="str">
        <f aca="false">IF($B54="","",SUMIFS('الحركات الشهرية'!$D$6:$D$1005,'الحركات الشهرية'!$B$6:$B$1005,$B54,'الحركات الشهرية'!$A$6:$A$1005,$C$3))</f>
        <v/>
      </c>
      <c r="H54" s="105" t="str">
        <f aca="false">IF($B54="","",SUMIFS('الحركات الشهرية'!$E$6:$E$1005,'الحركات الشهرية'!$B$6:$B$1005,$B54,'الحركات الشهرية'!$A$6:$A$1005,$C$3))</f>
        <v/>
      </c>
      <c r="I54" s="105" t="str">
        <f aca="false">IF($B54="","",MAX(0,F54-G54-H54))</f>
        <v/>
      </c>
      <c r="J54" s="86" t="str">
        <f aca="false">IF($B54="","",الموظفون!$J54*$I54/cfg_DAYS_M)</f>
        <v/>
      </c>
      <c r="K54" s="86" t="str">
        <f aca="false">IF($B54="","",الموظفون!$K54*$I54/cfg_DAYS_M)</f>
        <v/>
      </c>
      <c r="L54" s="86" t="str">
        <f aca="false">IF($B54="","",الموظفون!$L54*$I54/cfg_DAYS_M)</f>
        <v/>
      </c>
      <c r="M54" s="86" t="str">
        <f aca="false">IF($B54="","",الموظفون!$M54*$I54/cfg_DAYS_M)</f>
        <v/>
      </c>
      <c r="N54" s="105" t="str">
        <f aca="false">IF($B54="","",SUMIFS('الحركات الشهرية'!$F$6:$F$1005,'الحركات الشهرية'!$B$6:$B$1005,$B54,'الحركات الشهرية'!$A$6:$A$1005,$C$3))</f>
        <v/>
      </c>
      <c r="O54" s="86" t="str">
        <f aca="false">IF($B54="","",N54*(الموظفون!$N54+الموظفون!$J54*cfg_OT_P)/cfg_DAYS_M/cfg_HRS)</f>
        <v/>
      </c>
      <c r="P54" s="86" t="str">
        <f aca="false">IF($B54="","",SUMIFS('الحركات الشهرية'!$G$6:$G$1005,'الحركات الشهرية'!$B$6:$B$1005,$B54,'الحركات الشهرية'!$A$6:$A$1005,$C$3))</f>
        <v/>
      </c>
      <c r="Q54" s="86" t="str">
        <f aca="false">IF($B54="","",SUMIFS('الحركات الشهرية'!$H$6:$H$1005,'الحركات الشهرية'!$B$6:$B$1005,$B54,'الحركات الشهرية'!$A$6:$A$1005,$C$3))</f>
        <v/>
      </c>
      <c r="R54" s="106" t="str">
        <f aca="false">IF($B54="","",SUM(J54:M54)+SUM(O54:Q54))</f>
        <v/>
      </c>
      <c r="S54" s="86" t="str">
        <f aca="false">IF($B54="","",الموظفون!$Q54*IF(E54="سعودي",cfg_G_SE,cfg_G_NE)*F54/cfg_DAYS_M)</f>
        <v/>
      </c>
      <c r="T54" s="86" t="str">
        <f aca="false">IF($B54="","",SUMIFS('الحركات الشهرية'!$I$6:$I$1005,'الحركات الشهرية'!$B$6:$B$1005,$B54,'الحركات الشهرية'!$A$6:$A$1005,$C$3))</f>
        <v/>
      </c>
      <c r="U54" s="86" t="str">
        <f aca="false">IF($B54="","",SUMIFS('الحركات الشهرية'!$J$6:$J$1005,'الحركات الشهرية'!$B$6:$B$1005,$B54,'الحركات الشهرية'!$A$6:$A$1005,$C$3))</f>
        <v/>
      </c>
      <c r="V54" s="86" t="str">
        <f aca="false">IF($B54="","",SUM(S54:U54))</f>
        <v/>
      </c>
      <c r="W54" s="107" t="str">
        <f aca="false">IF($B54="","",R54-V54)</f>
        <v/>
      </c>
      <c r="X54" s="86" t="str">
        <f aca="false">IF($B54="","",الموظفون!$Q54*IF(E54="سعودي",cfg_G_SR,cfg_G_NR)*F54/cfg_DAYS_M)</f>
        <v/>
      </c>
      <c r="Y54" s="86" t="str">
        <f aca="false">IF($B54="","",الموظفون!$O54*(cfg_EOS_R1*(MIN(AC54,cfg_EOS_TH)-MIN(AD54,cfg_EOS_TH))+cfg_EOS_R2*(MAX(AC54-cfg_EOS_TH,0)-MAX(AD54-cfg_EOS_TH,0))))</f>
        <v/>
      </c>
      <c r="Z54" s="86" t="str">
        <f aca="false">IF($B54="","",IF(الموظفون!$R54&lt;&gt;"",الموظفون!$R54,IF(AC54&gt;=cfg_LV_TH,cfg_LV_D2,cfg_LV_D1))/cfg_DAYS_Y*AE54*الموظفون!$P54/cfg_DAYS_M)</f>
        <v/>
      </c>
      <c r="AA54" s="86" t="str">
        <f aca="false">IF($B54="","",IF(AND(الموظفون!$S54="نعم",N(الموظفون!$U54)&gt;0),الموظفون!$T54/الموظفون!$U54*12/cfg_DAYS_Y*AE54,0))</f>
        <v/>
      </c>
      <c r="AB54" s="108" t="str">
        <f aca="false">IF($B54="","",R54+SUM(X54:AA54))</f>
        <v/>
      </c>
      <c r="AC54" s="109" t="str">
        <f aca="false">IF($B54="","",MAX(0,IF(OR(الموظفون!$X54="",الموظفون!$X54&gt;$G$3),$G$3,الموظفون!$X54)-الموظفون!$H54+1)/cfg_DAYS_Y)</f>
        <v/>
      </c>
      <c r="AD54" s="109" t="str">
        <f aca="false">IF($B54="","",MAX(0,IF(OR(الموظفون!$X54="",الموظفون!$X54&gt;($E$3-1)),($E$3-1),الموظفون!$X54)-الموظفون!$H54+1)/cfg_DAYS_Y)</f>
        <v/>
      </c>
      <c r="AE54" s="51" t="str">
        <f aca="false">IF($B54="","",MAX(0,IF(OR(الموظفون!$X54="",الموظفون!$X54&gt;$G$3),$G$3,الموظفون!$X54)-MAX($E$3,الموظفون!$H54)+1))</f>
        <v/>
      </c>
    </row>
    <row r="55" customFormat="false" ht="15" hidden="false" customHeight="false" outlineLevel="0" collapsed="false">
      <c r="A55" s="89" t="str">
        <f aca="false">IF($B55="","",الموظفون!$A55)</f>
        <v/>
      </c>
      <c r="B55" s="91" t="str">
        <f aca="false">IF(الموظفون!$B55="","",الموظفون!$B55)</f>
        <v/>
      </c>
      <c r="C55" s="91" t="str">
        <f aca="false">IF($B55="","",الموظفون!$C55)</f>
        <v/>
      </c>
      <c r="D55" s="91" t="str">
        <f aca="false">IF($B55="","",الموظفون!$F55)</f>
        <v/>
      </c>
      <c r="E55" s="91" t="str">
        <f aca="false">IF($B55="","",الموظفون!$E55)</f>
        <v/>
      </c>
      <c r="F55" s="110" t="str">
        <f aca="false">IF($B55="","",IF(AE55&gt;=DAY($G$3),cfg_DAYS_M,MIN(AE55,cfg_DAYS_M)))</f>
        <v/>
      </c>
      <c r="G55" s="110" t="str">
        <f aca="false">IF($B55="","",SUMIFS('الحركات الشهرية'!$D$6:$D$1005,'الحركات الشهرية'!$B$6:$B$1005,$B55,'الحركات الشهرية'!$A$6:$A$1005,$C$3))</f>
        <v/>
      </c>
      <c r="H55" s="110" t="str">
        <f aca="false">IF($B55="","",SUMIFS('الحركات الشهرية'!$E$6:$E$1005,'الحركات الشهرية'!$B$6:$B$1005,$B55,'الحركات الشهرية'!$A$6:$A$1005,$C$3))</f>
        <v/>
      </c>
      <c r="I55" s="110" t="str">
        <f aca="false">IF($B55="","",MAX(0,F55-G55-H55))</f>
        <v/>
      </c>
      <c r="J55" s="90" t="str">
        <f aca="false">IF($B55="","",الموظفون!$J55*$I55/cfg_DAYS_M)</f>
        <v/>
      </c>
      <c r="K55" s="90" t="str">
        <f aca="false">IF($B55="","",الموظفون!$K55*$I55/cfg_DAYS_M)</f>
        <v/>
      </c>
      <c r="L55" s="90" t="str">
        <f aca="false">IF($B55="","",الموظفون!$L55*$I55/cfg_DAYS_M)</f>
        <v/>
      </c>
      <c r="M55" s="90" t="str">
        <f aca="false">IF($B55="","",الموظفون!$M55*$I55/cfg_DAYS_M)</f>
        <v/>
      </c>
      <c r="N55" s="110" t="str">
        <f aca="false">IF($B55="","",SUMIFS('الحركات الشهرية'!$F$6:$F$1005,'الحركات الشهرية'!$B$6:$B$1005,$B55,'الحركات الشهرية'!$A$6:$A$1005,$C$3))</f>
        <v/>
      </c>
      <c r="O55" s="90" t="str">
        <f aca="false">IF($B55="","",N55*(الموظفون!$N55+الموظفون!$J55*cfg_OT_P)/cfg_DAYS_M/cfg_HRS)</f>
        <v/>
      </c>
      <c r="P55" s="90" t="str">
        <f aca="false">IF($B55="","",SUMIFS('الحركات الشهرية'!$G$6:$G$1005,'الحركات الشهرية'!$B$6:$B$1005,$B55,'الحركات الشهرية'!$A$6:$A$1005,$C$3))</f>
        <v/>
      </c>
      <c r="Q55" s="90" t="str">
        <f aca="false">IF($B55="","",SUMIFS('الحركات الشهرية'!$H$6:$H$1005,'الحركات الشهرية'!$B$6:$B$1005,$B55,'الحركات الشهرية'!$A$6:$A$1005,$C$3))</f>
        <v/>
      </c>
      <c r="R55" s="111" t="str">
        <f aca="false">IF($B55="","",SUM(J55:M55)+SUM(O55:Q55))</f>
        <v/>
      </c>
      <c r="S55" s="90" t="str">
        <f aca="false">IF($B55="","",الموظفون!$Q55*IF(E55="سعودي",cfg_G_SE,cfg_G_NE)*F55/cfg_DAYS_M)</f>
        <v/>
      </c>
      <c r="T55" s="90" t="str">
        <f aca="false">IF($B55="","",SUMIFS('الحركات الشهرية'!$I$6:$I$1005,'الحركات الشهرية'!$B$6:$B$1005,$B55,'الحركات الشهرية'!$A$6:$A$1005,$C$3))</f>
        <v/>
      </c>
      <c r="U55" s="90" t="str">
        <f aca="false">IF($B55="","",SUMIFS('الحركات الشهرية'!$J$6:$J$1005,'الحركات الشهرية'!$B$6:$B$1005,$B55,'الحركات الشهرية'!$A$6:$A$1005,$C$3))</f>
        <v/>
      </c>
      <c r="V55" s="90" t="str">
        <f aca="false">IF($B55="","",SUM(S55:U55))</f>
        <v/>
      </c>
      <c r="W55" s="112" t="str">
        <f aca="false">IF($B55="","",R55-V55)</f>
        <v/>
      </c>
      <c r="X55" s="90" t="str">
        <f aca="false">IF($B55="","",الموظفون!$Q55*IF(E55="سعودي",cfg_G_SR,cfg_G_NR)*F55/cfg_DAYS_M)</f>
        <v/>
      </c>
      <c r="Y55" s="90" t="str">
        <f aca="false">IF($B55="","",الموظفون!$O55*(cfg_EOS_R1*(MIN(AC55,cfg_EOS_TH)-MIN(AD55,cfg_EOS_TH))+cfg_EOS_R2*(MAX(AC55-cfg_EOS_TH,0)-MAX(AD55-cfg_EOS_TH,0))))</f>
        <v/>
      </c>
      <c r="Z55" s="90" t="str">
        <f aca="false">IF($B55="","",IF(الموظفون!$R55&lt;&gt;"",الموظفون!$R55,IF(AC55&gt;=cfg_LV_TH,cfg_LV_D2,cfg_LV_D1))/cfg_DAYS_Y*AE55*الموظفون!$P55/cfg_DAYS_M)</f>
        <v/>
      </c>
      <c r="AA55" s="90" t="str">
        <f aca="false">IF($B55="","",IF(AND(الموظفون!$S55="نعم",N(الموظفون!$U55)&gt;0),الموظفون!$T55/الموظفون!$U55*12/cfg_DAYS_Y*AE55,0))</f>
        <v/>
      </c>
      <c r="AB55" s="113" t="str">
        <f aca="false">IF($B55="","",R55+SUM(X55:AA55))</f>
        <v/>
      </c>
      <c r="AC55" s="114" t="str">
        <f aca="false">IF($B55="","",MAX(0,IF(OR(الموظفون!$X55="",الموظفون!$X55&gt;$G$3),$G$3,الموظفون!$X55)-الموظفون!$H55+1)/cfg_DAYS_Y)</f>
        <v/>
      </c>
      <c r="AD55" s="114" t="str">
        <f aca="false">IF($B55="","",MAX(0,IF(OR(الموظفون!$X55="",الموظفون!$X55&gt;($E$3-1)),($E$3-1),الموظفون!$X55)-الموظفون!$H55+1)/cfg_DAYS_Y)</f>
        <v/>
      </c>
      <c r="AE55" s="115" t="str">
        <f aca="false">IF($B55="","",MAX(0,IF(OR(الموظفون!$X55="",الموظفون!$X55&gt;$G$3),$G$3,الموظفون!$X55)-MAX($E$3,الموظفون!$H55)+1))</f>
        <v/>
      </c>
    </row>
    <row r="56" customFormat="false" ht="15" hidden="false" customHeight="false" outlineLevel="0" collapsed="false">
      <c r="A56" s="83" t="str">
        <f aca="false">IF($B56="","",الموظفون!$A56)</f>
        <v/>
      </c>
      <c r="B56" s="74" t="str">
        <f aca="false">IF(الموظفون!$B56="","",الموظفون!$B56)</f>
        <v/>
      </c>
      <c r="C56" s="74" t="str">
        <f aca="false">IF($B56="","",الموظفون!$C56)</f>
        <v/>
      </c>
      <c r="D56" s="74" t="str">
        <f aca="false">IF($B56="","",الموظفون!$F56)</f>
        <v/>
      </c>
      <c r="E56" s="74" t="str">
        <f aca="false">IF($B56="","",الموظفون!$E56)</f>
        <v/>
      </c>
      <c r="F56" s="105" t="str">
        <f aca="false">IF($B56="","",IF(AE56&gt;=DAY($G$3),cfg_DAYS_M,MIN(AE56,cfg_DAYS_M)))</f>
        <v/>
      </c>
      <c r="G56" s="105" t="str">
        <f aca="false">IF($B56="","",SUMIFS('الحركات الشهرية'!$D$6:$D$1005,'الحركات الشهرية'!$B$6:$B$1005,$B56,'الحركات الشهرية'!$A$6:$A$1005,$C$3))</f>
        <v/>
      </c>
      <c r="H56" s="105" t="str">
        <f aca="false">IF($B56="","",SUMIFS('الحركات الشهرية'!$E$6:$E$1005,'الحركات الشهرية'!$B$6:$B$1005,$B56,'الحركات الشهرية'!$A$6:$A$1005,$C$3))</f>
        <v/>
      </c>
      <c r="I56" s="105" t="str">
        <f aca="false">IF($B56="","",MAX(0,F56-G56-H56))</f>
        <v/>
      </c>
      <c r="J56" s="86" t="str">
        <f aca="false">IF($B56="","",الموظفون!$J56*$I56/cfg_DAYS_M)</f>
        <v/>
      </c>
      <c r="K56" s="86" t="str">
        <f aca="false">IF($B56="","",الموظفون!$K56*$I56/cfg_DAYS_M)</f>
        <v/>
      </c>
      <c r="L56" s="86" t="str">
        <f aca="false">IF($B56="","",الموظفون!$L56*$I56/cfg_DAYS_M)</f>
        <v/>
      </c>
      <c r="M56" s="86" t="str">
        <f aca="false">IF($B56="","",الموظفون!$M56*$I56/cfg_DAYS_M)</f>
        <v/>
      </c>
      <c r="N56" s="105" t="str">
        <f aca="false">IF($B56="","",SUMIFS('الحركات الشهرية'!$F$6:$F$1005,'الحركات الشهرية'!$B$6:$B$1005,$B56,'الحركات الشهرية'!$A$6:$A$1005,$C$3))</f>
        <v/>
      </c>
      <c r="O56" s="86" t="str">
        <f aca="false">IF($B56="","",N56*(الموظفون!$N56+الموظفون!$J56*cfg_OT_P)/cfg_DAYS_M/cfg_HRS)</f>
        <v/>
      </c>
      <c r="P56" s="86" t="str">
        <f aca="false">IF($B56="","",SUMIFS('الحركات الشهرية'!$G$6:$G$1005,'الحركات الشهرية'!$B$6:$B$1005,$B56,'الحركات الشهرية'!$A$6:$A$1005,$C$3))</f>
        <v/>
      </c>
      <c r="Q56" s="86" t="str">
        <f aca="false">IF($B56="","",SUMIFS('الحركات الشهرية'!$H$6:$H$1005,'الحركات الشهرية'!$B$6:$B$1005,$B56,'الحركات الشهرية'!$A$6:$A$1005,$C$3))</f>
        <v/>
      </c>
      <c r="R56" s="106" t="str">
        <f aca="false">IF($B56="","",SUM(J56:M56)+SUM(O56:Q56))</f>
        <v/>
      </c>
      <c r="S56" s="86" t="str">
        <f aca="false">IF($B56="","",الموظفون!$Q56*IF(E56="سعودي",cfg_G_SE,cfg_G_NE)*F56/cfg_DAYS_M)</f>
        <v/>
      </c>
      <c r="T56" s="86" t="str">
        <f aca="false">IF($B56="","",SUMIFS('الحركات الشهرية'!$I$6:$I$1005,'الحركات الشهرية'!$B$6:$B$1005,$B56,'الحركات الشهرية'!$A$6:$A$1005,$C$3))</f>
        <v/>
      </c>
      <c r="U56" s="86" t="str">
        <f aca="false">IF($B56="","",SUMIFS('الحركات الشهرية'!$J$6:$J$1005,'الحركات الشهرية'!$B$6:$B$1005,$B56,'الحركات الشهرية'!$A$6:$A$1005,$C$3))</f>
        <v/>
      </c>
      <c r="V56" s="86" t="str">
        <f aca="false">IF($B56="","",SUM(S56:U56))</f>
        <v/>
      </c>
      <c r="W56" s="107" t="str">
        <f aca="false">IF($B56="","",R56-V56)</f>
        <v/>
      </c>
      <c r="X56" s="86" t="str">
        <f aca="false">IF($B56="","",الموظفون!$Q56*IF(E56="سعودي",cfg_G_SR,cfg_G_NR)*F56/cfg_DAYS_M)</f>
        <v/>
      </c>
      <c r="Y56" s="86" t="str">
        <f aca="false">IF($B56="","",الموظفون!$O56*(cfg_EOS_R1*(MIN(AC56,cfg_EOS_TH)-MIN(AD56,cfg_EOS_TH))+cfg_EOS_R2*(MAX(AC56-cfg_EOS_TH,0)-MAX(AD56-cfg_EOS_TH,0))))</f>
        <v/>
      </c>
      <c r="Z56" s="86" t="str">
        <f aca="false">IF($B56="","",IF(الموظفون!$R56&lt;&gt;"",الموظفون!$R56,IF(AC56&gt;=cfg_LV_TH,cfg_LV_D2,cfg_LV_D1))/cfg_DAYS_Y*AE56*الموظفون!$P56/cfg_DAYS_M)</f>
        <v/>
      </c>
      <c r="AA56" s="86" t="str">
        <f aca="false">IF($B56="","",IF(AND(الموظفون!$S56="نعم",N(الموظفون!$U56)&gt;0),الموظفون!$T56/الموظفون!$U56*12/cfg_DAYS_Y*AE56,0))</f>
        <v/>
      </c>
      <c r="AB56" s="108" t="str">
        <f aca="false">IF($B56="","",R56+SUM(X56:AA56))</f>
        <v/>
      </c>
      <c r="AC56" s="109" t="str">
        <f aca="false">IF($B56="","",MAX(0,IF(OR(الموظفون!$X56="",الموظفون!$X56&gt;$G$3),$G$3,الموظفون!$X56)-الموظفون!$H56+1)/cfg_DAYS_Y)</f>
        <v/>
      </c>
      <c r="AD56" s="109" t="str">
        <f aca="false">IF($B56="","",MAX(0,IF(OR(الموظفون!$X56="",الموظفون!$X56&gt;($E$3-1)),($E$3-1),الموظفون!$X56)-الموظفون!$H56+1)/cfg_DAYS_Y)</f>
        <v/>
      </c>
      <c r="AE56" s="51" t="str">
        <f aca="false">IF($B56="","",MAX(0,IF(OR(الموظفون!$X56="",الموظفون!$X56&gt;$G$3),$G$3,الموظفون!$X56)-MAX($E$3,الموظفون!$H56)+1))</f>
        <v/>
      </c>
    </row>
    <row r="57" customFormat="false" ht="15" hidden="false" customHeight="false" outlineLevel="0" collapsed="false">
      <c r="A57" s="89" t="str">
        <f aca="false">IF($B57="","",الموظفون!$A57)</f>
        <v/>
      </c>
      <c r="B57" s="91" t="str">
        <f aca="false">IF(الموظفون!$B57="","",الموظفون!$B57)</f>
        <v/>
      </c>
      <c r="C57" s="91" t="str">
        <f aca="false">IF($B57="","",الموظفون!$C57)</f>
        <v/>
      </c>
      <c r="D57" s="91" t="str">
        <f aca="false">IF($B57="","",الموظفون!$F57)</f>
        <v/>
      </c>
      <c r="E57" s="91" t="str">
        <f aca="false">IF($B57="","",الموظفون!$E57)</f>
        <v/>
      </c>
      <c r="F57" s="110" t="str">
        <f aca="false">IF($B57="","",IF(AE57&gt;=DAY($G$3),cfg_DAYS_M,MIN(AE57,cfg_DAYS_M)))</f>
        <v/>
      </c>
      <c r="G57" s="110" t="str">
        <f aca="false">IF($B57="","",SUMIFS('الحركات الشهرية'!$D$6:$D$1005,'الحركات الشهرية'!$B$6:$B$1005,$B57,'الحركات الشهرية'!$A$6:$A$1005,$C$3))</f>
        <v/>
      </c>
      <c r="H57" s="110" t="str">
        <f aca="false">IF($B57="","",SUMIFS('الحركات الشهرية'!$E$6:$E$1005,'الحركات الشهرية'!$B$6:$B$1005,$B57,'الحركات الشهرية'!$A$6:$A$1005,$C$3))</f>
        <v/>
      </c>
      <c r="I57" s="110" t="str">
        <f aca="false">IF($B57="","",MAX(0,F57-G57-H57))</f>
        <v/>
      </c>
      <c r="J57" s="90" t="str">
        <f aca="false">IF($B57="","",الموظفون!$J57*$I57/cfg_DAYS_M)</f>
        <v/>
      </c>
      <c r="K57" s="90" t="str">
        <f aca="false">IF($B57="","",الموظفون!$K57*$I57/cfg_DAYS_M)</f>
        <v/>
      </c>
      <c r="L57" s="90" t="str">
        <f aca="false">IF($B57="","",الموظفون!$L57*$I57/cfg_DAYS_M)</f>
        <v/>
      </c>
      <c r="M57" s="90" t="str">
        <f aca="false">IF($B57="","",الموظفون!$M57*$I57/cfg_DAYS_M)</f>
        <v/>
      </c>
      <c r="N57" s="110" t="str">
        <f aca="false">IF($B57="","",SUMIFS('الحركات الشهرية'!$F$6:$F$1005,'الحركات الشهرية'!$B$6:$B$1005,$B57,'الحركات الشهرية'!$A$6:$A$1005,$C$3))</f>
        <v/>
      </c>
      <c r="O57" s="90" t="str">
        <f aca="false">IF($B57="","",N57*(الموظفون!$N57+الموظفون!$J57*cfg_OT_P)/cfg_DAYS_M/cfg_HRS)</f>
        <v/>
      </c>
      <c r="P57" s="90" t="str">
        <f aca="false">IF($B57="","",SUMIFS('الحركات الشهرية'!$G$6:$G$1005,'الحركات الشهرية'!$B$6:$B$1005,$B57,'الحركات الشهرية'!$A$6:$A$1005,$C$3))</f>
        <v/>
      </c>
      <c r="Q57" s="90" t="str">
        <f aca="false">IF($B57="","",SUMIFS('الحركات الشهرية'!$H$6:$H$1005,'الحركات الشهرية'!$B$6:$B$1005,$B57,'الحركات الشهرية'!$A$6:$A$1005,$C$3))</f>
        <v/>
      </c>
      <c r="R57" s="111" t="str">
        <f aca="false">IF($B57="","",SUM(J57:M57)+SUM(O57:Q57))</f>
        <v/>
      </c>
      <c r="S57" s="90" t="str">
        <f aca="false">IF($B57="","",الموظفون!$Q57*IF(E57="سعودي",cfg_G_SE,cfg_G_NE)*F57/cfg_DAYS_M)</f>
        <v/>
      </c>
      <c r="T57" s="90" t="str">
        <f aca="false">IF($B57="","",SUMIFS('الحركات الشهرية'!$I$6:$I$1005,'الحركات الشهرية'!$B$6:$B$1005,$B57,'الحركات الشهرية'!$A$6:$A$1005,$C$3))</f>
        <v/>
      </c>
      <c r="U57" s="90" t="str">
        <f aca="false">IF($B57="","",SUMIFS('الحركات الشهرية'!$J$6:$J$1005,'الحركات الشهرية'!$B$6:$B$1005,$B57,'الحركات الشهرية'!$A$6:$A$1005,$C$3))</f>
        <v/>
      </c>
      <c r="V57" s="90" t="str">
        <f aca="false">IF($B57="","",SUM(S57:U57))</f>
        <v/>
      </c>
      <c r="W57" s="112" t="str">
        <f aca="false">IF($B57="","",R57-V57)</f>
        <v/>
      </c>
      <c r="X57" s="90" t="str">
        <f aca="false">IF($B57="","",الموظفون!$Q57*IF(E57="سعودي",cfg_G_SR,cfg_G_NR)*F57/cfg_DAYS_M)</f>
        <v/>
      </c>
      <c r="Y57" s="90" t="str">
        <f aca="false">IF($B57="","",الموظفون!$O57*(cfg_EOS_R1*(MIN(AC57,cfg_EOS_TH)-MIN(AD57,cfg_EOS_TH))+cfg_EOS_R2*(MAX(AC57-cfg_EOS_TH,0)-MAX(AD57-cfg_EOS_TH,0))))</f>
        <v/>
      </c>
      <c r="Z57" s="90" t="str">
        <f aca="false">IF($B57="","",IF(الموظفون!$R57&lt;&gt;"",الموظفون!$R57,IF(AC57&gt;=cfg_LV_TH,cfg_LV_D2,cfg_LV_D1))/cfg_DAYS_Y*AE57*الموظفون!$P57/cfg_DAYS_M)</f>
        <v/>
      </c>
      <c r="AA57" s="90" t="str">
        <f aca="false">IF($B57="","",IF(AND(الموظفون!$S57="نعم",N(الموظفون!$U57)&gt;0),الموظفون!$T57/الموظفون!$U57*12/cfg_DAYS_Y*AE57,0))</f>
        <v/>
      </c>
      <c r="AB57" s="113" t="str">
        <f aca="false">IF($B57="","",R57+SUM(X57:AA57))</f>
        <v/>
      </c>
      <c r="AC57" s="114" t="str">
        <f aca="false">IF($B57="","",MAX(0,IF(OR(الموظفون!$X57="",الموظفون!$X57&gt;$G$3),$G$3,الموظفون!$X57)-الموظفون!$H57+1)/cfg_DAYS_Y)</f>
        <v/>
      </c>
      <c r="AD57" s="114" t="str">
        <f aca="false">IF($B57="","",MAX(0,IF(OR(الموظفون!$X57="",الموظفون!$X57&gt;($E$3-1)),($E$3-1),الموظفون!$X57)-الموظفون!$H57+1)/cfg_DAYS_Y)</f>
        <v/>
      </c>
      <c r="AE57" s="115" t="str">
        <f aca="false">IF($B57="","",MAX(0,IF(OR(الموظفون!$X57="",الموظفون!$X57&gt;$G$3),$G$3,الموظفون!$X57)-MAX($E$3,الموظفون!$H57)+1))</f>
        <v/>
      </c>
    </row>
    <row r="58" customFormat="false" ht="15" hidden="false" customHeight="false" outlineLevel="0" collapsed="false">
      <c r="A58" s="83" t="str">
        <f aca="false">IF($B58="","",الموظفون!$A58)</f>
        <v/>
      </c>
      <c r="B58" s="74" t="str">
        <f aca="false">IF(الموظفون!$B58="","",الموظفون!$B58)</f>
        <v/>
      </c>
      <c r="C58" s="74" t="str">
        <f aca="false">IF($B58="","",الموظفون!$C58)</f>
        <v/>
      </c>
      <c r="D58" s="74" t="str">
        <f aca="false">IF($B58="","",الموظفون!$F58)</f>
        <v/>
      </c>
      <c r="E58" s="74" t="str">
        <f aca="false">IF($B58="","",الموظفون!$E58)</f>
        <v/>
      </c>
      <c r="F58" s="105" t="str">
        <f aca="false">IF($B58="","",IF(AE58&gt;=DAY($G$3),cfg_DAYS_M,MIN(AE58,cfg_DAYS_M)))</f>
        <v/>
      </c>
      <c r="G58" s="105" t="str">
        <f aca="false">IF($B58="","",SUMIFS('الحركات الشهرية'!$D$6:$D$1005,'الحركات الشهرية'!$B$6:$B$1005,$B58,'الحركات الشهرية'!$A$6:$A$1005,$C$3))</f>
        <v/>
      </c>
      <c r="H58" s="105" t="str">
        <f aca="false">IF($B58="","",SUMIFS('الحركات الشهرية'!$E$6:$E$1005,'الحركات الشهرية'!$B$6:$B$1005,$B58,'الحركات الشهرية'!$A$6:$A$1005,$C$3))</f>
        <v/>
      </c>
      <c r="I58" s="105" t="str">
        <f aca="false">IF($B58="","",MAX(0,F58-G58-H58))</f>
        <v/>
      </c>
      <c r="J58" s="86" t="str">
        <f aca="false">IF($B58="","",الموظفون!$J58*$I58/cfg_DAYS_M)</f>
        <v/>
      </c>
      <c r="K58" s="86" t="str">
        <f aca="false">IF($B58="","",الموظفون!$K58*$I58/cfg_DAYS_M)</f>
        <v/>
      </c>
      <c r="L58" s="86" t="str">
        <f aca="false">IF($B58="","",الموظفون!$L58*$I58/cfg_DAYS_M)</f>
        <v/>
      </c>
      <c r="M58" s="86" t="str">
        <f aca="false">IF($B58="","",الموظفون!$M58*$I58/cfg_DAYS_M)</f>
        <v/>
      </c>
      <c r="N58" s="105" t="str">
        <f aca="false">IF($B58="","",SUMIFS('الحركات الشهرية'!$F$6:$F$1005,'الحركات الشهرية'!$B$6:$B$1005,$B58,'الحركات الشهرية'!$A$6:$A$1005,$C$3))</f>
        <v/>
      </c>
      <c r="O58" s="86" t="str">
        <f aca="false">IF($B58="","",N58*(الموظفون!$N58+الموظفون!$J58*cfg_OT_P)/cfg_DAYS_M/cfg_HRS)</f>
        <v/>
      </c>
      <c r="P58" s="86" t="str">
        <f aca="false">IF($B58="","",SUMIFS('الحركات الشهرية'!$G$6:$G$1005,'الحركات الشهرية'!$B$6:$B$1005,$B58,'الحركات الشهرية'!$A$6:$A$1005,$C$3))</f>
        <v/>
      </c>
      <c r="Q58" s="86" t="str">
        <f aca="false">IF($B58="","",SUMIFS('الحركات الشهرية'!$H$6:$H$1005,'الحركات الشهرية'!$B$6:$B$1005,$B58,'الحركات الشهرية'!$A$6:$A$1005,$C$3))</f>
        <v/>
      </c>
      <c r="R58" s="106" t="str">
        <f aca="false">IF($B58="","",SUM(J58:M58)+SUM(O58:Q58))</f>
        <v/>
      </c>
      <c r="S58" s="86" t="str">
        <f aca="false">IF($B58="","",الموظفون!$Q58*IF(E58="سعودي",cfg_G_SE,cfg_G_NE)*F58/cfg_DAYS_M)</f>
        <v/>
      </c>
      <c r="T58" s="86" t="str">
        <f aca="false">IF($B58="","",SUMIFS('الحركات الشهرية'!$I$6:$I$1005,'الحركات الشهرية'!$B$6:$B$1005,$B58,'الحركات الشهرية'!$A$6:$A$1005,$C$3))</f>
        <v/>
      </c>
      <c r="U58" s="86" t="str">
        <f aca="false">IF($B58="","",SUMIFS('الحركات الشهرية'!$J$6:$J$1005,'الحركات الشهرية'!$B$6:$B$1005,$B58,'الحركات الشهرية'!$A$6:$A$1005,$C$3))</f>
        <v/>
      </c>
      <c r="V58" s="86" t="str">
        <f aca="false">IF($B58="","",SUM(S58:U58))</f>
        <v/>
      </c>
      <c r="W58" s="107" t="str">
        <f aca="false">IF($B58="","",R58-V58)</f>
        <v/>
      </c>
      <c r="X58" s="86" t="str">
        <f aca="false">IF($B58="","",الموظفون!$Q58*IF(E58="سعودي",cfg_G_SR,cfg_G_NR)*F58/cfg_DAYS_M)</f>
        <v/>
      </c>
      <c r="Y58" s="86" t="str">
        <f aca="false">IF($B58="","",الموظفون!$O58*(cfg_EOS_R1*(MIN(AC58,cfg_EOS_TH)-MIN(AD58,cfg_EOS_TH))+cfg_EOS_R2*(MAX(AC58-cfg_EOS_TH,0)-MAX(AD58-cfg_EOS_TH,0))))</f>
        <v/>
      </c>
      <c r="Z58" s="86" t="str">
        <f aca="false">IF($B58="","",IF(الموظفون!$R58&lt;&gt;"",الموظفون!$R58,IF(AC58&gt;=cfg_LV_TH,cfg_LV_D2,cfg_LV_D1))/cfg_DAYS_Y*AE58*الموظفون!$P58/cfg_DAYS_M)</f>
        <v/>
      </c>
      <c r="AA58" s="86" t="str">
        <f aca="false">IF($B58="","",IF(AND(الموظفون!$S58="نعم",N(الموظفون!$U58)&gt;0),الموظفون!$T58/الموظفون!$U58*12/cfg_DAYS_Y*AE58,0))</f>
        <v/>
      </c>
      <c r="AB58" s="108" t="str">
        <f aca="false">IF($B58="","",R58+SUM(X58:AA58))</f>
        <v/>
      </c>
      <c r="AC58" s="109" t="str">
        <f aca="false">IF($B58="","",MAX(0,IF(OR(الموظفون!$X58="",الموظفون!$X58&gt;$G$3),$G$3,الموظفون!$X58)-الموظفون!$H58+1)/cfg_DAYS_Y)</f>
        <v/>
      </c>
      <c r="AD58" s="109" t="str">
        <f aca="false">IF($B58="","",MAX(0,IF(OR(الموظفون!$X58="",الموظفون!$X58&gt;($E$3-1)),($E$3-1),الموظفون!$X58)-الموظفون!$H58+1)/cfg_DAYS_Y)</f>
        <v/>
      </c>
      <c r="AE58" s="51" t="str">
        <f aca="false">IF($B58="","",MAX(0,IF(OR(الموظفون!$X58="",الموظفون!$X58&gt;$G$3),$G$3,الموظفون!$X58)-MAX($E$3,الموظفون!$H58)+1))</f>
        <v/>
      </c>
    </row>
    <row r="59" customFormat="false" ht="15" hidden="false" customHeight="false" outlineLevel="0" collapsed="false">
      <c r="A59" s="89" t="str">
        <f aca="false">IF($B59="","",الموظفون!$A59)</f>
        <v/>
      </c>
      <c r="B59" s="91" t="str">
        <f aca="false">IF(الموظفون!$B59="","",الموظفون!$B59)</f>
        <v/>
      </c>
      <c r="C59" s="91" t="str">
        <f aca="false">IF($B59="","",الموظفون!$C59)</f>
        <v/>
      </c>
      <c r="D59" s="91" t="str">
        <f aca="false">IF($B59="","",الموظفون!$F59)</f>
        <v/>
      </c>
      <c r="E59" s="91" t="str">
        <f aca="false">IF($B59="","",الموظفون!$E59)</f>
        <v/>
      </c>
      <c r="F59" s="110" t="str">
        <f aca="false">IF($B59="","",IF(AE59&gt;=DAY($G$3),cfg_DAYS_M,MIN(AE59,cfg_DAYS_M)))</f>
        <v/>
      </c>
      <c r="G59" s="110" t="str">
        <f aca="false">IF($B59="","",SUMIFS('الحركات الشهرية'!$D$6:$D$1005,'الحركات الشهرية'!$B$6:$B$1005,$B59,'الحركات الشهرية'!$A$6:$A$1005,$C$3))</f>
        <v/>
      </c>
      <c r="H59" s="110" t="str">
        <f aca="false">IF($B59="","",SUMIFS('الحركات الشهرية'!$E$6:$E$1005,'الحركات الشهرية'!$B$6:$B$1005,$B59,'الحركات الشهرية'!$A$6:$A$1005,$C$3))</f>
        <v/>
      </c>
      <c r="I59" s="110" t="str">
        <f aca="false">IF($B59="","",MAX(0,F59-G59-H59))</f>
        <v/>
      </c>
      <c r="J59" s="90" t="str">
        <f aca="false">IF($B59="","",الموظفون!$J59*$I59/cfg_DAYS_M)</f>
        <v/>
      </c>
      <c r="K59" s="90" t="str">
        <f aca="false">IF($B59="","",الموظفون!$K59*$I59/cfg_DAYS_M)</f>
        <v/>
      </c>
      <c r="L59" s="90" t="str">
        <f aca="false">IF($B59="","",الموظفون!$L59*$I59/cfg_DAYS_M)</f>
        <v/>
      </c>
      <c r="M59" s="90" t="str">
        <f aca="false">IF($B59="","",الموظفون!$M59*$I59/cfg_DAYS_M)</f>
        <v/>
      </c>
      <c r="N59" s="110" t="str">
        <f aca="false">IF($B59="","",SUMIFS('الحركات الشهرية'!$F$6:$F$1005,'الحركات الشهرية'!$B$6:$B$1005,$B59,'الحركات الشهرية'!$A$6:$A$1005,$C$3))</f>
        <v/>
      </c>
      <c r="O59" s="90" t="str">
        <f aca="false">IF($B59="","",N59*(الموظفون!$N59+الموظفون!$J59*cfg_OT_P)/cfg_DAYS_M/cfg_HRS)</f>
        <v/>
      </c>
      <c r="P59" s="90" t="str">
        <f aca="false">IF($B59="","",SUMIFS('الحركات الشهرية'!$G$6:$G$1005,'الحركات الشهرية'!$B$6:$B$1005,$B59,'الحركات الشهرية'!$A$6:$A$1005,$C$3))</f>
        <v/>
      </c>
      <c r="Q59" s="90" t="str">
        <f aca="false">IF($B59="","",SUMIFS('الحركات الشهرية'!$H$6:$H$1005,'الحركات الشهرية'!$B$6:$B$1005,$B59,'الحركات الشهرية'!$A$6:$A$1005,$C$3))</f>
        <v/>
      </c>
      <c r="R59" s="111" t="str">
        <f aca="false">IF($B59="","",SUM(J59:M59)+SUM(O59:Q59))</f>
        <v/>
      </c>
      <c r="S59" s="90" t="str">
        <f aca="false">IF($B59="","",الموظفون!$Q59*IF(E59="سعودي",cfg_G_SE,cfg_G_NE)*F59/cfg_DAYS_M)</f>
        <v/>
      </c>
      <c r="T59" s="90" t="str">
        <f aca="false">IF($B59="","",SUMIFS('الحركات الشهرية'!$I$6:$I$1005,'الحركات الشهرية'!$B$6:$B$1005,$B59,'الحركات الشهرية'!$A$6:$A$1005,$C$3))</f>
        <v/>
      </c>
      <c r="U59" s="90" t="str">
        <f aca="false">IF($B59="","",SUMIFS('الحركات الشهرية'!$J$6:$J$1005,'الحركات الشهرية'!$B$6:$B$1005,$B59,'الحركات الشهرية'!$A$6:$A$1005,$C$3))</f>
        <v/>
      </c>
      <c r="V59" s="90" t="str">
        <f aca="false">IF($B59="","",SUM(S59:U59))</f>
        <v/>
      </c>
      <c r="W59" s="112" t="str">
        <f aca="false">IF($B59="","",R59-V59)</f>
        <v/>
      </c>
      <c r="X59" s="90" t="str">
        <f aca="false">IF($B59="","",الموظفون!$Q59*IF(E59="سعودي",cfg_G_SR,cfg_G_NR)*F59/cfg_DAYS_M)</f>
        <v/>
      </c>
      <c r="Y59" s="90" t="str">
        <f aca="false">IF($B59="","",الموظفون!$O59*(cfg_EOS_R1*(MIN(AC59,cfg_EOS_TH)-MIN(AD59,cfg_EOS_TH))+cfg_EOS_R2*(MAX(AC59-cfg_EOS_TH,0)-MAX(AD59-cfg_EOS_TH,0))))</f>
        <v/>
      </c>
      <c r="Z59" s="90" t="str">
        <f aca="false">IF($B59="","",IF(الموظفون!$R59&lt;&gt;"",الموظفون!$R59,IF(AC59&gt;=cfg_LV_TH,cfg_LV_D2,cfg_LV_D1))/cfg_DAYS_Y*AE59*الموظفون!$P59/cfg_DAYS_M)</f>
        <v/>
      </c>
      <c r="AA59" s="90" t="str">
        <f aca="false">IF($B59="","",IF(AND(الموظفون!$S59="نعم",N(الموظفون!$U59)&gt;0),الموظفون!$T59/الموظفون!$U59*12/cfg_DAYS_Y*AE59,0))</f>
        <v/>
      </c>
      <c r="AB59" s="113" t="str">
        <f aca="false">IF($B59="","",R59+SUM(X59:AA59))</f>
        <v/>
      </c>
      <c r="AC59" s="114" t="str">
        <f aca="false">IF($B59="","",MAX(0,IF(OR(الموظفون!$X59="",الموظفون!$X59&gt;$G$3),$G$3,الموظفون!$X59)-الموظفون!$H59+1)/cfg_DAYS_Y)</f>
        <v/>
      </c>
      <c r="AD59" s="114" t="str">
        <f aca="false">IF($B59="","",MAX(0,IF(OR(الموظفون!$X59="",الموظفون!$X59&gt;($E$3-1)),($E$3-1),الموظفون!$X59)-الموظفون!$H59+1)/cfg_DAYS_Y)</f>
        <v/>
      </c>
      <c r="AE59" s="115" t="str">
        <f aca="false">IF($B59="","",MAX(0,IF(OR(الموظفون!$X59="",الموظفون!$X59&gt;$G$3),$G$3,الموظفون!$X59)-MAX($E$3,الموظفون!$H59)+1))</f>
        <v/>
      </c>
    </row>
    <row r="60" customFormat="false" ht="15" hidden="false" customHeight="false" outlineLevel="0" collapsed="false">
      <c r="A60" s="83" t="str">
        <f aca="false">IF($B60="","",الموظفون!$A60)</f>
        <v/>
      </c>
      <c r="B60" s="74" t="str">
        <f aca="false">IF(الموظفون!$B60="","",الموظفون!$B60)</f>
        <v/>
      </c>
      <c r="C60" s="74" t="str">
        <f aca="false">IF($B60="","",الموظفون!$C60)</f>
        <v/>
      </c>
      <c r="D60" s="74" t="str">
        <f aca="false">IF($B60="","",الموظفون!$F60)</f>
        <v/>
      </c>
      <c r="E60" s="74" t="str">
        <f aca="false">IF($B60="","",الموظفون!$E60)</f>
        <v/>
      </c>
      <c r="F60" s="105" t="str">
        <f aca="false">IF($B60="","",IF(AE60&gt;=DAY($G$3),cfg_DAYS_M,MIN(AE60,cfg_DAYS_M)))</f>
        <v/>
      </c>
      <c r="G60" s="105" t="str">
        <f aca="false">IF($B60="","",SUMIFS('الحركات الشهرية'!$D$6:$D$1005,'الحركات الشهرية'!$B$6:$B$1005,$B60,'الحركات الشهرية'!$A$6:$A$1005,$C$3))</f>
        <v/>
      </c>
      <c r="H60" s="105" t="str">
        <f aca="false">IF($B60="","",SUMIFS('الحركات الشهرية'!$E$6:$E$1005,'الحركات الشهرية'!$B$6:$B$1005,$B60,'الحركات الشهرية'!$A$6:$A$1005,$C$3))</f>
        <v/>
      </c>
      <c r="I60" s="105" t="str">
        <f aca="false">IF($B60="","",MAX(0,F60-G60-H60))</f>
        <v/>
      </c>
      <c r="J60" s="86" t="str">
        <f aca="false">IF($B60="","",الموظفون!$J60*$I60/cfg_DAYS_M)</f>
        <v/>
      </c>
      <c r="K60" s="86" t="str">
        <f aca="false">IF($B60="","",الموظفون!$K60*$I60/cfg_DAYS_M)</f>
        <v/>
      </c>
      <c r="L60" s="86" t="str">
        <f aca="false">IF($B60="","",الموظفون!$L60*$I60/cfg_DAYS_M)</f>
        <v/>
      </c>
      <c r="M60" s="86" t="str">
        <f aca="false">IF($B60="","",الموظفون!$M60*$I60/cfg_DAYS_M)</f>
        <v/>
      </c>
      <c r="N60" s="105" t="str">
        <f aca="false">IF($B60="","",SUMIFS('الحركات الشهرية'!$F$6:$F$1005,'الحركات الشهرية'!$B$6:$B$1005,$B60,'الحركات الشهرية'!$A$6:$A$1005,$C$3))</f>
        <v/>
      </c>
      <c r="O60" s="86" t="str">
        <f aca="false">IF($B60="","",N60*(الموظفون!$N60+الموظفون!$J60*cfg_OT_P)/cfg_DAYS_M/cfg_HRS)</f>
        <v/>
      </c>
      <c r="P60" s="86" t="str">
        <f aca="false">IF($B60="","",SUMIFS('الحركات الشهرية'!$G$6:$G$1005,'الحركات الشهرية'!$B$6:$B$1005,$B60,'الحركات الشهرية'!$A$6:$A$1005,$C$3))</f>
        <v/>
      </c>
      <c r="Q60" s="86" t="str">
        <f aca="false">IF($B60="","",SUMIFS('الحركات الشهرية'!$H$6:$H$1005,'الحركات الشهرية'!$B$6:$B$1005,$B60,'الحركات الشهرية'!$A$6:$A$1005,$C$3))</f>
        <v/>
      </c>
      <c r="R60" s="106" t="str">
        <f aca="false">IF($B60="","",SUM(J60:M60)+SUM(O60:Q60))</f>
        <v/>
      </c>
      <c r="S60" s="86" t="str">
        <f aca="false">IF($B60="","",الموظفون!$Q60*IF(E60="سعودي",cfg_G_SE,cfg_G_NE)*F60/cfg_DAYS_M)</f>
        <v/>
      </c>
      <c r="T60" s="86" t="str">
        <f aca="false">IF($B60="","",SUMIFS('الحركات الشهرية'!$I$6:$I$1005,'الحركات الشهرية'!$B$6:$B$1005,$B60,'الحركات الشهرية'!$A$6:$A$1005,$C$3))</f>
        <v/>
      </c>
      <c r="U60" s="86" t="str">
        <f aca="false">IF($B60="","",SUMIFS('الحركات الشهرية'!$J$6:$J$1005,'الحركات الشهرية'!$B$6:$B$1005,$B60,'الحركات الشهرية'!$A$6:$A$1005,$C$3))</f>
        <v/>
      </c>
      <c r="V60" s="86" t="str">
        <f aca="false">IF($B60="","",SUM(S60:U60))</f>
        <v/>
      </c>
      <c r="W60" s="107" t="str">
        <f aca="false">IF($B60="","",R60-V60)</f>
        <v/>
      </c>
      <c r="X60" s="86" t="str">
        <f aca="false">IF($B60="","",الموظفون!$Q60*IF(E60="سعودي",cfg_G_SR,cfg_G_NR)*F60/cfg_DAYS_M)</f>
        <v/>
      </c>
      <c r="Y60" s="86" t="str">
        <f aca="false">IF($B60="","",الموظفون!$O60*(cfg_EOS_R1*(MIN(AC60,cfg_EOS_TH)-MIN(AD60,cfg_EOS_TH))+cfg_EOS_R2*(MAX(AC60-cfg_EOS_TH,0)-MAX(AD60-cfg_EOS_TH,0))))</f>
        <v/>
      </c>
      <c r="Z60" s="86" t="str">
        <f aca="false">IF($B60="","",IF(الموظفون!$R60&lt;&gt;"",الموظفون!$R60,IF(AC60&gt;=cfg_LV_TH,cfg_LV_D2,cfg_LV_D1))/cfg_DAYS_Y*AE60*الموظفون!$P60/cfg_DAYS_M)</f>
        <v/>
      </c>
      <c r="AA60" s="86" t="str">
        <f aca="false">IF($B60="","",IF(AND(الموظفون!$S60="نعم",N(الموظفون!$U60)&gt;0),الموظفون!$T60/الموظفون!$U60*12/cfg_DAYS_Y*AE60,0))</f>
        <v/>
      </c>
      <c r="AB60" s="108" t="str">
        <f aca="false">IF($B60="","",R60+SUM(X60:AA60))</f>
        <v/>
      </c>
      <c r="AC60" s="109" t="str">
        <f aca="false">IF($B60="","",MAX(0,IF(OR(الموظفون!$X60="",الموظفون!$X60&gt;$G$3),$G$3,الموظفون!$X60)-الموظفون!$H60+1)/cfg_DAYS_Y)</f>
        <v/>
      </c>
      <c r="AD60" s="109" t="str">
        <f aca="false">IF($B60="","",MAX(0,IF(OR(الموظفون!$X60="",الموظفون!$X60&gt;($E$3-1)),($E$3-1),الموظفون!$X60)-الموظفون!$H60+1)/cfg_DAYS_Y)</f>
        <v/>
      </c>
      <c r="AE60" s="51" t="str">
        <f aca="false">IF($B60="","",MAX(0,IF(OR(الموظفون!$X60="",الموظفون!$X60&gt;$G$3),$G$3,الموظفون!$X60)-MAX($E$3,الموظفون!$H60)+1))</f>
        <v/>
      </c>
    </row>
    <row r="61" customFormat="false" ht="15" hidden="false" customHeight="false" outlineLevel="0" collapsed="false">
      <c r="A61" s="89" t="str">
        <f aca="false">IF($B61="","",الموظفون!$A61)</f>
        <v/>
      </c>
      <c r="B61" s="91" t="str">
        <f aca="false">IF(الموظفون!$B61="","",الموظفون!$B61)</f>
        <v/>
      </c>
      <c r="C61" s="91" t="str">
        <f aca="false">IF($B61="","",الموظفون!$C61)</f>
        <v/>
      </c>
      <c r="D61" s="91" t="str">
        <f aca="false">IF($B61="","",الموظفون!$F61)</f>
        <v/>
      </c>
      <c r="E61" s="91" t="str">
        <f aca="false">IF($B61="","",الموظفون!$E61)</f>
        <v/>
      </c>
      <c r="F61" s="110" t="str">
        <f aca="false">IF($B61="","",IF(AE61&gt;=DAY($G$3),cfg_DAYS_M,MIN(AE61,cfg_DAYS_M)))</f>
        <v/>
      </c>
      <c r="G61" s="110" t="str">
        <f aca="false">IF($B61="","",SUMIFS('الحركات الشهرية'!$D$6:$D$1005,'الحركات الشهرية'!$B$6:$B$1005,$B61,'الحركات الشهرية'!$A$6:$A$1005,$C$3))</f>
        <v/>
      </c>
      <c r="H61" s="110" t="str">
        <f aca="false">IF($B61="","",SUMIFS('الحركات الشهرية'!$E$6:$E$1005,'الحركات الشهرية'!$B$6:$B$1005,$B61,'الحركات الشهرية'!$A$6:$A$1005,$C$3))</f>
        <v/>
      </c>
      <c r="I61" s="110" t="str">
        <f aca="false">IF($B61="","",MAX(0,F61-G61-H61))</f>
        <v/>
      </c>
      <c r="J61" s="90" t="str">
        <f aca="false">IF($B61="","",الموظفون!$J61*$I61/cfg_DAYS_M)</f>
        <v/>
      </c>
      <c r="K61" s="90" t="str">
        <f aca="false">IF($B61="","",الموظفون!$K61*$I61/cfg_DAYS_M)</f>
        <v/>
      </c>
      <c r="L61" s="90" t="str">
        <f aca="false">IF($B61="","",الموظفون!$L61*$I61/cfg_DAYS_M)</f>
        <v/>
      </c>
      <c r="M61" s="90" t="str">
        <f aca="false">IF($B61="","",الموظفون!$M61*$I61/cfg_DAYS_M)</f>
        <v/>
      </c>
      <c r="N61" s="110" t="str">
        <f aca="false">IF($B61="","",SUMIFS('الحركات الشهرية'!$F$6:$F$1005,'الحركات الشهرية'!$B$6:$B$1005,$B61,'الحركات الشهرية'!$A$6:$A$1005,$C$3))</f>
        <v/>
      </c>
      <c r="O61" s="90" t="str">
        <f aca="false">IF($B61="","",N61*(الموظفون!$N61+الموظفون!$J61*cfg_OT_P)/cfg_DAYS_M/cfg_HRS)</f>
        <v/>
      </c>
      <c r="P61" s="90" t="str">
        <f aca="false">IF($B61="","",SUMIFS('الحركات الشهرية'!$G$6:$G$1005,'الحركات الشهرية'!$B$6:$B$1005,$B61,'الحركات الشهرية'!$A$6:$A$1005,$C$3))</f>
        <v/>
      </c>
      <c r="Q61" s="90" t="str">
        <f aca="false">IF($B61="","",SUMIFS('الحركات الشهرية'!$H$6:$H$1005,'الحركات الشهرية'!$B$6:$B$1005,$B61,'الحركات الشهرية'!$A$6:$A$1005,$C$3))</f>
        <v/>
      </c>
      <c r="R61" s="111" t="str">
        <f aca="false">IF($B61="","",SUM(J61:M61)+SUM(O61:Q61))</f>
        <v/>
      </c>
      <c r="S61" s="90" t="str">
        <f aca="false">IF($B61="","",الموظفون!$Q61*IF(E61="سعودي",cfg_G_SE,cfg_G_NE)*F61/cfg_DAYS_M)</f>
        <v/>
      </c>
      <c r="T61" s="90" t="str">
        <f aca="false">IF($B61="","",SUMIFS('الحركات الشهرية'!$I$6:$I$1005,'الحركات الشهرية'!$B$6:$B$1005,$B61,'الحركات الشهرية'!$A$6:$A$1005,$C$3))</f>
        <v/>
      </c>
      <c r="U61" s="90" t="str">
        <f aca="false">IF($B61="","",SUMIFS('الحركات الشهرية'!$J$6:$J$1005,'الحركات الشهرية'!$B$6:$B$1005,$B61,'الحركات الشهرية'!$A$6:$A$1005,$C$3))</f>
        <v/>
      </c>
      <c r="V61" s="90" t="str">
        <f aca="false">IF($B61="","",SUM(S61:U61))</f>
        <v/>
      </c>
      <c r="W61" s="112" t="str">
        <f aca="false">IF($B61="","",R61-V61)</f>
        <v/>
      </c>
      <c r="X61" s="90" t="str">
        <f aca="false">IF($B61="","",الموظفون!$Q61*IF(E61="سعودي",cfg_G_SR,cfg_G_NR)*F61/cfg_DAYS_M)</f>
        <v/>
      </c>
      <c r="Y61" s="90" t="str">
        <f aca="false">IF($B61="","",الموظفون!$O61*(cfg_EOS_R1*(MIN(AC61,cfg_EOS_TH)-MIN(AD61,cfg_EOS_TH))+cfg_EOS_R2*(MAX(AC61-cfg_EOS_TH,0)-MAX(AD61-cfg_EOS_TH,0))))</f>
        <v/>
      </c>
      <c r="Z61" s="90" t="str">
        <f aca="false">IF($B61="","",IF(الموظفون!$R61&lt;&gt;"",الموظفون!$R61,IF(AC61&gt;=cfg_LV_TH,cfg_LV_D2,cfg_LV_D1))/cfg_DAYS_Y*AE61*الموظفون!$P61/cfg_DAYS_M)</f>
        <v/>
      </c>
      <c r="AA61" s="90" t="str">
        <f aca="false">IF($B61="","",IF(AND(الموظفون!$S61="نعم",N(الموظفون!$U61)&gt;0),الموظفون!$T61/الموظفون!$U61*12/cfg_DAYS_Y*AE61,0))</f>
        <v/>
      </c>
      <c r="AB61" s="113" t="str">
        <f aca="false">IF($B61="","",R61+SUM(X61:AA61))</f>
        <v/>
      </c>
      <c r="AC61" s="114" t="str">
        <f aca="false">IF($B61="","",MAX(0,IF(OR(الموظفون!$X61="",الموظفون!$X61&gt;$G$3),$G$3,الموظفون!$X61)-الموظفون!$H61+1)/cfg_DAYS_Y)</f>
        <v/>
      </c>
      <c r="AD61" s="114" t="str">
        <f aca="false">IF($B61="","",MAX(0,IF(OR(الموظفون!$X61="",الموظفون!$X61&gt;($E$3-1)),($E$3-1),الموظفون!$X61)-الموظفون!$H61+1)/cfg_DAYS_Y)</f>
        <v/>
      </c>
      <c r="AE61" s="115" t="str">
        <f aca="false">IF($B61="","",MAX(0,IF(OR(الموظفون!$X61="",الموظفون!$X61&gt;$G$3),$G$3,الموظفون!$X61)-MAX($E$3,الموظفون!$H61)+1))</f>
        <v/>
      </c>
    </row>
    <row r="62" customFormat="false" ht="15" hidden="false" customHeight="false" outlineLevel="0" collapsed="false">
      <c r="A62" s="83" t="str">
        <f aca="false">IF($B62="","",الموظفون!$A62)</f>
        <v/>
      </c>
      <c r="B62" s="74" t="str">
        <f aca="false">IF(الموظفون!$B62="","",الموظفون!$B62)</f>
        <v/>
      </c>
      <c r="C62" s="74" t="str">
        <f aca="false">IF($B62="","",الموظفون!$C62)</f>
        <v/>
      </c>
      <c r="D62" s="74" t="str">
        <f aca="false">IF($B62="","",الموظفون!$F62)</f>
        <v/>
      </c>
      <c r="E62" s="74" t="str">
        <f aca="false">IF($B62="","",الموظفون!$E62)</f>
        <v/>
      </c>
      <c r="F62" s="105" t="str">
        <f aca="false">IF($B62="","",IF(AE62&gt;=DAY($G$3),cfg_DAYS_M,MIN(AE62,cfg_DAYS_M)))</f>
        <v/>
      </c>
      <c r="G62" s="105" t="str">
        <f aca="false">IF($B62="","",SUMIFS('الحركات الشهرية'!$D$6:$D$1005,'الحركات الشهرية'!$B$6:$B$1005,$B62,'الحركات الشهرية'!$A$6:$A$1005,$C$3))</f>
        <v/>
      </c>
      <c r="H62" s="105" t="str">
        <f aca="false">IF($B62="","",SUMIFS('الحركات الشهرية'!$E$6:$E$1005,'الحركات الشهرية'!$B$6:$B$1005,$B62,'الحركات الشهرية'!$A$6:$A$1005,$C$3))</f>
        <v/>
      </c>
      <c r="I62" s="105" t="str">
        <f aca="false">IF($B62="","",MAX(0,F62-G62-H62))</f>
        <v/>
      </c>
      <c r="J62" s="86" t="str">
        <f aca="false">IF($B62="","",الموظفون!$J62*$I62/cfg_DAYS_M)</f>
        <v/>
      </c>
      <c r="K62" s="86" t="str">
        <f aca="false">IF($B62="","",الموظفون!$K62*$I62/cfg_DAYS_M)</f>
        <v/>
      </c>
      <c r="L62" s="86" t="str">
        <f aca="false">IF($B62="","",الموظفون!$L62*$I62/cfg_DAYS_M)</f>
        <v/>
      </c>
      <c r="M62" s="86" t="str">
        <f aca="false">IF($B62="","",الموظفون!$M62*$I62/cfg_DAYS_M)</f>
        <v/>
      </c>
      <c r="N62" s="105" t="str">
        <f aca="false">IF($B62="","",SUMIFS('الحركات الشهرية'!$F$6:$F$1005,'الحركات الشهرية'!$B$6:$B$1005,$B62,'الحركات الشهرية'!$A$6:$A$1005,$C$3))</f>
        <v/>
      </c>
      <c r="O62" s="86" t="str">
        <f aca="false">IF($B62="","",N62*(الموظفون!$N62+الموظفون!$J62*cfg_OT_P)/cfg_DAYS_M/cfg_HRS)</f>
        <v/>
      </c>
      <c r="P62" s="86" t="str">
        <f aca="false">IF($B62="","",SUMIFS('الحركات الشهرية'!$G$6:$G$1005,'الحركات الشهرية'!$B$6:$B$1005,$B62,'الحركات الشهرية'!$A$6:$A$1005,$C$3))</f>
        <v/>
      </c>
      <c r="Q62" s="86" t="str">
        <f aca="false">IF($B62="","",SUMIFS('الحركات الشهرية'!$H$6:$H$1005,'الحركات الشهرية'!$B$6:$B$1005,$B62,'الحركات الشهرية'!$A$6:$A$1005,$C$3))</f>
        <v/>
      </c>
      <c r="R62" s="106" t="str">
        <f aca="false">IF($B62="","",SUM(J62:M62)+SUM(O62:Q62))</f>
        <v/>
      </c>
      <c r="S62" s="86" t="str">
        <f aca="false">IF($B62="","",الموظفون!$Q62*IF(E62="سعودي",cfg_G_SE,cfg_G_NE)*F62/cfg_DAYS_M)</f>
        <v/>
      </c>
      <c r="T62" s="86" t="str">
        <f aca="false">IF($B62="","",SUMIFS('الحركات الشهرية'!$I$6:$I$1005,'الحركات الشهرية'!$B$6:$B$1005,$B62,'الحركات الشهرية'!$A$6:$A$1005,$C$3))</f>
        <v/>
      </c>
      <c r="U62" s="86" t="str">
        <f aca="false">IF($B62="","",SUMIFS('الحركات الشهرية'!$J$6:$J$1005,'الحركات الشهرية'!$B$6:$B$1005,$B62,'الحركات الشهرية'!$A$6:$A$1005,$C$3))</f>
        <v/>
      </c>
      <c r="V62" s="86" t="str">
        <f aca="false">IF($B62="","",SUM(S62:U62))</f>
        <v/>
      </c>
      <c r="W62" s="107" t="str">
        <f aca="false">IF($B62="","",R62-V62)</f>
        <v/>
      </c>
      <c r="X62" s="86" t="str">
        <f aca="false">IF($B62="","",الموظفون!$Q62*IF(E62="سعودي",cfg_G_SR,cfg_G_NR)*F62/cfg_DAYS_M)</f>
        <v/>
      </c>
      <c r="Y62" s="86" t="str">
        <f aca="false">IF($B62="","",الموظفون!$O62*(cfg_EOS_R1*(MIN(AC62,cfg_EOS_TH)-MIN(AD62,cfg_EOS_TH))+cfg_EOS_R2*(MAX(AC62-cfg_EOS_TH,0)-MAX(AD62-cfg_EOS_TH,0))))</f>
        <v/>
      </c>
      <c r="Z62" s="86" t="str">
        <f aca="false">IF($B62="","",IF(الموظفون!$R62&lt;&gt;"",الموظفون!$R62,IF(AC62&gt;=cfg_LV_TH,cfg_LV_D2,cfg_LV_D1))/cfg_DAYS_Y*AE62*الموظفون!$P62/cfg_DAYS_M)</f>
        <v/>
      </c>
      <c r="AA62" s="86" t="str">
        <f aca="false">IF($B62="","",IF(AND(الموظفون!$S62="نعم",N(الموظفون!$U62)&gt;0),الموظفون!$T62/الموظفون!$U62*12/cfg_DAYS_Y*AE62,0))</f>
        <v/>
      </c>
      <c r="AB62" s="108" t="str">
        <f aca="false">IF($B62="","",R62+SUM(X62:AA62))</f>
        <v/>
      </c>
      <c r="AC62" s="109" t="str">
        <f aca="false">IF($B62="","",MAX(0,IF(OR(الموظفون!$X62="",الموظفون!$X62&gt;$G$3),$G$3,الموظفون!$X62)-الموظفون!$H62+1)/cfg_DAYS_Y)</f>
        <v/>
      </c>
      <c r="AD62" s="109" t="str">
        <f aca="false">IF($B62="","",MAX(0,IF(OR(الموظفون!$X62="",الموظفون!$X62&gt;($E$3-1)),($E$3-1),الموظفون!$X62)-الموظفون!$H62+1)/cfg_DAYS_Y)</f>
        <v/>
      </c>
      <c r="AE62" s="51" t="str">
        <f aca="false">IF($B62="","",MAX(0,IF(OR(الموظفون!$X62="",الموظفون!$X62&gt;$G$3),$G$3,الموظفون!$X62)-MAX($E$3,الموظفون!$H62)+1))</f>
        <v/>
      </c>
    </row>
    <row r="63" customFormat="false" ht="15" hidden="false" customHeight="false" outlineLevel="0" collapsed="false">
      <c r="A63" s="89" t="str">
        <f aca="false">IF($B63="","",الموظفون!$A63)</f>
        <v/>
      </c>
      <c r="B63" s="91" t="str">
        <f aca="false">IF(الموظفون!$B63="","",الموظفون!$B63)</f>
        <v/>
      </c>
      <c r="C63" s="91" t="str">
        <f aca="false">IF($B63="","",الموظفون!$C63)</f>
        <v/>
      </c>
      <c r="D63" s="91" t="str">
        <f aca="false">IF($B63="","",الموظفون!$F63)</f>
        <v/>
      </c>
      <c r="E63" s="91" t="str">
        <f aca="false">IF($B63="","",الموظفون!$E63)</f>
        <v/>
      </c>
      <c r="F63" s="110" t="str">
        <f aca="false">IF($B63="","",IF(AE63&gt;=DAY($G$3),cfg_DAYS_M,MIN(AE63,cfg_DAYS_M)))</f>
        <v/>
      </c>
      <c r="G63" s="110" t="str">
        <f aca="false">IF($B63="","",SUMIFS('الحركات الشهرية'!$D$6:$D$1005,'الحركات الشهرية'!$B$6:$B$1005,$B63,'الحركات الشهرية'!$A$6:$A$1005,$C$3))</f>
        <v/>
      </c>
      <c r="H63" s="110" t="str">
        <f aca="false">IF($B63="","",SUMIFS('الحركات الشهرية'!$E$6:$E$1005,'الحركات الشهرية'!$B$6:$B$1005,$B63,'الحركات الشهرية'!$A$6:$A$1005,$C$3))</f>
        <v/>
      </c>
      <c r="I63" s="110" t="str">
        <f aca="false">IF($B63="","",MAX(0,F63-G63-H63))</f>
        <v/>
      </c>
      <c r="J63" s="90" t="str">
        <f aca="false">IF($B63="","",الموظفون!$J63*$I63/cfg_DAYS_M)</f>
        <v/>
      </c>
      <c r="K63" s="90" t="str">
        <f aca="false">IF($B63="","",الموظفون!$K63*$I63/cfg_DAYS_M)</f>
        <v/>
      </c>
      <c r="L63" s="90" t="str">
        <f aca="false">IF($B63="","",الموظفون!$L63*$I63/cfg_DAYS_M)</f>
        <v/>
      </c>
      <c r="M63" s="90" t="str">
        <f aca="false">IF($B63="","",الموظفون!$M63*$I63/cfg_DAYS_M)</f>
        <v/>
      </c>
      <c r="N63" s="110" t="str">
        <f aca="false">IF($B63="","",SUMIFS('الحركات الشهرية'!$F$6:$F$1005,'الحركات الشهرية'!$B$6:$B$1005,$B63,'الحركات الشهرية'!$A$6:$A$1005,$C$3))</f>
        <v/>
      </c>
      <c r="O63" s="90" t="str">
        <f aca="false">IF($B63="","",N63*(الموظفون!$N63+الموظفون!$J63*cfg_OT_P)/cfg_DAYS_M/cfg_HRS)</f>
        <v/>
      </c>
      <c r="P63" s="90" t="str">
        <f aca="false">IF($B63="","",SUMIFS('الحركات الشهرية'!$G$6:$G$1005,'الحركات الشهرية'!$B$6:$B$1005,$B63,'الحركات الشهرية'!$A$6:$A$1005,$C$3))</f>
        <v/>
      </c>
      <c r="Q63" s="90" t="str">
        <f aca="false">IF($B63="","",SUMIFS('الحركات الشهرية'!$H$6:$H$1005,'الحركات الشهرية'!$B$6:$B$1005,$B63,'الحركات الشهرية'!$A$6:$A$1005,$C$3))</f>
        <v/>
      </c>
      <c r="R63" s="111" t="str">
        <f aca="false">IF($B63="","",SUM(J63:M63)+SUM(O63:Q63))</f>
        <v/>
      </c>
      <c r="S63" s="90" t="str">
        <f aca="false">IF($B63="","",الموظفون!$Q63*IF(E63="سعودي",cfg_G_SE,cfg_G_NE)*F63/cfg_DAYS_M)</f>
        <v/>
      </c>
      <c r="T63" s="90" t="str">
        <f aca="false">IF($B63="","",SUMIFS('الحركات الشهرية'!$I$6:$I$1005,'الحركات الشهرية'!$B$6:$B$1005,$B63,'الحركات الشهرية'!$A$6:$A$1005,$C$3))</f>
        <v/>
      </c>
      <c r="U63" s="90" t="str">
        <f aca="false">IF($B63="","",SUMIFS('الحركات الشهرية'!$J$6:$J$1005,'الحركات الشهرية'!$B$6:$B$1005,$B63,'الحركات الشهرية'!$A$6:$A$1005,$C$3))</f>
        <v/>
      </c>
      <c r="V63" s="90" t="str">
        <f aca="false">IF($B63="","",SUM(S63:U63))</f>
        <v/>
      </c>
      <c r="W63" s="112" t="str">
        <f aca="false">IF($B63="","",R63-V63)</f>
        <v/>
      </c>
      <c r="X63" s="90" t="str">
        <f aca="false">IF($B63="","",الموظفون!$Q63*IF(E63="سعودي",cfg_G_SR,cfg_G_NR)*F63/cfg_DAYS_M)</f>
        <v/>
      </c>
      <c r="Y63" s="90" t="str">
        <f aca="false">IF($B63="","",الموظفون!$O63*(cfg_EOS_R1*(MIN(AC63,cfg_EOS_TH)-MIN(AD63,cfg_EOS_TH))+cfg_EOS_R2*(MAX(AC63-cfg_EOS_TH,0)-MAX(AD63-cfg_EOS_TH,0))))</f>
        <v/>
      </c>
      <c r="Z63" s="90" t="str">
        <f aca="false">IF($B63="","",IF(الموظفون!$R63&lt;&gt;"",الموظفون!$R63,IF(AC63&gt;=cfg_LV_TH,cfg_LV_D2,cfg_LV_D1))/cfg_DAYS_Y*AE63*الموظفون!$P63/cfg_DAYS_M)</f>
        <v/>
      </c>
      <c r="AA63" s="90" t="str">
        <f aca="false">IF($B63="","",IF(AND(الموظفون!$S63="نعم",N(الموظفون!$U63)&gt;0),الموظفون!$T63/الموظفون!$U63*12/cfg_DAYS_Y*AE63,0))</f>
        <v/>
      </c>
      <c r="AB63" s="113" t="str">
        <f aca="false">IF($B63="","",R63+SUM(X63:AA63))</f>
        <v/>
      </c>
      <c r="AC63" s="114" t="str">
        <f aca="false">IF($B63="","",MAX(0,IF(OR(الموظفون!$X63="",الموظفون!$X63&gt;$G$3),$G$3,الموظفون!$X63)-الموظفون!$H63+1)/cfg_DAYS_Y)</f>
        <v/>
      </c>
      <c r="AD63" s="114" t="str">
        <f aca="false">IF($B63="","",MAX(0,IF(OR(الموظفون!$X63="",الموظفون!$X63&gt;($E$3-1)),($E$3-1),الموظفون!$X63)-الموظفون!$H63+1)/cfg_DAYS_Y)</f>
        <v/>
      </c>
      <c r="AE63" s="115" t="str">
        <f aca="false">IF($B63="","",MAX(0,IF(OR(الموظفون!$X63="",الموظفون!$X63&gt;$G$3),$G$3,الموظفون!$X63)-MAX($E$3,الموظفون!$H63)+1))</f>
        <v/>
      </c>
    </row>
    <row r="64" customFormat="false" ht="15" hidden="false" customHeight="false" outlineLevel="0" collapsed="false">
      <c r="A64" s="83" t="str">
        <f aca="false">IF($B64="","",الموظفون!$A64)</f>
        <v/>
      </c>
      <c r="B64" s="74" t="str">
        <f aca="false">IF(الموظفون!$B64="","",الموظفون!$B64)</f>
        <v/>
      </c>
      <c r="C64" s="74" t="str">
        <f aca="false">IF($B64="","",الموظفون!$C64)</f>
        <v/>
      </c>
      <c r="D64" s="74" t="str">
        <f aca="false">IF($B64="","",الموظفون!$F64)</f>
        <v/>
      </c>
      <c r="E64" s="74" t="str">
        <f aca="false">IF($B64="","",الموظفون!$E64)</f>
        <v/>
      </c>
      <c r="F64" s="105" t="str">
        <f aca="false">IF($B64="","",IF(AE64&gt;=DAY($G$3),cfg_DAYS_M,MIN(AE64,cfg_DAYS_M)))</f>
        <v/>
      </c>
      <c r="G64" s="105" t="str">
        <f aca="false">IF($B64="","",SUMIFS('الحركات الشهرية'!$D$6:$D$1005,'الحركات الشهرية'!$B$6:$B$1005,$B64,'الحركات الشهرية'!$A$6:$A$1005,$C$3))</f>
        <v/>
      </c>
      <c r="H64" s="105" t="str">
        <f aca="false">IF($B64="","",SUMIFS('الحركات الشهرية'!$E$6:$E$1005,'الحركات الشهرية'!$B$6:$B$1005,$B64,'الحركات الشهرية'!$A$6:$A$1005,$C$3))</f>
        <v/>
      </c>
      <c r="I64" s="105" t="str">
        <f aca="false">IF($B64="","",MAX(0,F64-G64-H64))</f>
        <v/>
      </c>
      <c r="J64" s="86" t="str">
        <f aca="false">IF($B64="","",الموظفون!$J64*$I64/cfg_DAYS_M)</f>
        <v/>
      </c>
      <c r="K64" s="86" t="str">
        <f aca="false">IF($B64="","",الموظفون!$K64*$I64/cfg_DAYS_M)</f>
        <v/>
      </c>
      <c r="L64" s="86" t="str">
        <f aca="false">IF($B64="","",الموظفون!$L64*$I64/cfg_DAYS_M)</f>
        <v/>
      </c>
      <c r="M64" s="86" t="str">
        <f aca="false">IF($B64="","",الموظفون!$M64*$I64/cfg_DAYS_M)</f>
        <v/>
      </c>
      <c r="N64" s="105" t="str">
        <f aca="false">IF($B64="","",SUMIFS('الحركات الشهرية'!$F$6:$F$1005,'الحركات الشهرية'!$B$6:$B$1005,$B64,'الحركات الشهرية'!$A$6:$A$1005,$C$3))</f>
        <v/>
      </c>
      <c r="O64" s="86" t="str">
        <f aca="false">IF($B64="","",N64*(الموظفون!$N64+الموظفون!$J64*cfg_OT_P)/cfg_DAYS_M/cfg_HRS)</f>
        <v/>
      </c>
      <c r="P64" s="86" t="str">
        <f aca="false">IF($B64="","",SUMIFS('الحركات الشهرية'!$G$6:$G$1005,'الحركات الشهرية'!$B$6:$B$1005,$B64,'الحركات الشهرية'!$A$6:$A$1005,$C$3))</f>
        <v/>
      </c>
      <c r="Q64" s="86" t="str">
        <f aca="false">IF($B64="","",SUMIFS('الحركات الشهرية'!$H$6:$H$1005,'الحركات الشهرية'!$B$6:$B$1005,$B64,'الحركات الشهرية'!$A$6:$A$1005,$C$3))</f>
        <v/>
      </c>
      <c r="R64" s="106" t="str">
        <f aca="false">IF($B64="","",SUM(J64:M64)+SUM(O64:Q64))</f>
        <v/>
      </c>
      <c r="S64" s="86" t="str">
        <f aca="false">IF($B64="","",الموظفون!$Q64*IF(E64="سعودي",cfg_G_SE,cfg_G_NE)*F64/cfg_DAYS_M)</f>
        <v/>
      </c>
      <c r="T64" s="86" t="str">
        <f aca="false">IF($B64="","",SUMIFS('الحركات الشهرية'!$I$6:$I$1005,'الحركات الشهرية'!$B$6:$B$1005,$B64,'الحركات الشهرية'!$A$6:$A$1005,$C$3))</f>
        <v/>
      </c>
      <c r="U64" s="86" t="str">
        <f aca="false">IF($B64="","",SUMIFS('الحركات الشهرية'!$J$6:$J$1005,'الحركات الشهرية'!$B$6:$B$1005,$B64,'الحركات الشهرية'!$A$6:$A$1005,$C$3))</f>
        <v/>
      </c>
      <c r="V64" s="86" t="str">
        <f aca="false">IF($B64="","",SUM(S64:U64))</f>
        <v/>
      </c>
      <c r="W64" s="107" t="str">
        <f aca="false">IF($B64="","",R64-V64)</f>
        <v/>
      </c>
      <c r="X64" s="86" t="str">
        <f aca="false">IF($B64="","",الموظفون!$Q64*IF(E64="سعودي",cfg_G_SR,cfg_G_NR)*F64/cfg_DAYS_M)</f>
        <v/>
      </c>
      <c r="Y64" s="86" t="str">
        <f aca="false">IF($B64="","",الموظفون!$O64*(cfg_EOS_R1*(MIN(AC64,cfg_EOS_TH)-MIN(AD64,cfg_EOS_TH))+cfg_EOS_R2*(MAX(AC64-cfg_EOS_TH,0)-MAX(AD64-cfg_EOS_TH,0))))</f>
        <v/>
      </c>
      <c r="Z64" s="86" t="str">
        <f aca="false">IF($B64="","",IF(الموظفون!$R64&lt;&gt;"",الموظفون!$R64,IF(AC64&gt;=cfg_LV_TH,cfg_LV_D2,cfg_LV_D1))/cfg_DAYS_Y*AE64*الموظفون!$P64/cfg_DAYS_M)</f>
        <v/>
      </c>
      <c r="AA64" s="86" t="str">
        <f aca="false">IF($B64="","",IF(AND(الموظفون!$S64="نعم",N(الموظفون!$U64)&gt;0),الموظفون!$T64/الموظفون!$U64*12/cfg_DAYS_Y*AE64,0))</f>
        <v/>
      </c>
      <c r="AB64" s="108" t="str">
        <f aca="false">IF($B64="","",R64+SUM(X64:AA64))</f>
        <v/>
      </c>
      <c r="AC64" s="109" t="str">
        <f aca="false">IF($B64="","",MAX(0,IF(OR(الموظفون!$X64="",الموظفون!$X64&gt;$G$3),$G$3,الموظفون!$X64)-الموظفون!$H64+1)/cfg_DAYS_Y)</f>
        <v/>
      </c>
      <c r="AD64" s="109" t="str">
        <f aca="false">IF($B64="","",MAX(0,IF(OR(الموظفون!$X64="",الموظفون!$X64&gt;($E$3-1)),($E$3-1),الموظفون!$X64)-الموظفون!$H64+1)/cfg_DAYS_Y)</f>
        <v/>
      </c>
      <c r="AE64" s="51" t="str">
        <f aca="false">IF($B64="","",MAX(0,IF(OR(الموظفون!$X64="",الموظفون!$X64&gt;$G$3),$G$3,الموظفون!$X64)-MAX($E$3,الموظفون!$H64)+1))</f>
        <v/>
      </c>
    </row>
    <row r="65" customFormat="false" ht="15" hidden="false" customHeight="false" outlineLevel="0" collapsed="false">
      <c r="A65" s="89" t="str">
        <f aca="false">IF($B65="","",الموظفون!$A65)</f>
        <v/>
      </c>
      <c r="B65" s="91" t="str">
        <f aca="false">IF(الموظفون!$B65="","",الموظفون!$B65)</f>
        <v/>
      </c>
      <c r="C65" s="91" t="str">
        <f aca="false">IF($B65="","",الموظفون!$C65)</f>
        <v/>
      </c>
      <c r="D65" s="91" t="str">
        <f aca="false">IF($B65="","",الموظفون!$F65)</f>
        <v/>
      </c>
      <c r="E65" s="91" t="str">
        <f aca="false">IF($B65="","",الموظفون!$E65)</f>
        <v/>
      </c>
      <c r="F65" s="110" t="str">
        <f aca="false">IF($B65="","",IF(AE65&gt;=DAY($G$3),cfg_DAYS_M,MIN(AE65,cfg_DAYS_M)))</f>
        <v/>
      </c>
      <c r="G65" s="110" t="str">
        <f aca="false">IF($B65="","",SUMIFS('الحركات الشهرية'!$D$6:$D$1005,'الحركات الشهرية'!$B$6:$B$1005,$B65,'الحركات الشهرية'!$A$6:$A$1005,$C$3))</f>
        <v/>
      </c>
      <c r="H65" s="110" t="str">
        <f aca="false">IF($B65="","",SUMIFS('الحركات الشهرية'!$E$6:$E$1005,'الحركات الشهرية'!$B$6:$B$1005,$B65,'الحركات الشهرية'!$A$6:$A$1005,$C$3))</f>
        <v/>
      </c>
      <c r="I65" s="110" t="str">
        <f aca="false">IF($B65="","",MAX(0,F65-G65-H65))</f>
        <v/>
      </c>
      <c r="J65" s="90" t="str">
        <f aca="false">IF($B65="","",الموظفون!$J65*$I65/cfg_DAYS_M)</f>
        <v/>
      </c>
      <c r="K65" s="90" t="str">
        <f aca="false">IF($B65="","",الموظفون!$K65*$I65/cfg_DAYS_M)</f>
        <v/>
      </c>
      <c r="L65" s="90" t="str">
        <f aca="false">IF($B65="","",الموظفون!$L65*$I65/cfg_DAYS_M)</f>
        <v/>
      </c>
      <c r="M65" s="90" t="str">
        <f aca="false">IF($B65="","",الموظفون!$M65*$I65/cfg_DAYS_M)</f>
        <v/>
      </c>
      <c r="N65" s="110" t="str">
        <f aca="false">IF($B65="","",SUMIFS('الحركات الشهرية'!$F$6:$F$1005,'الحركات الشهرية'!$B$6:$B$1005,$B65,'الحركات الشهرية'!$A$6:$A$1005,$C$3))</f>
        <v/>
      </c>
      <c r="O65" s="90" t="str">
        <f aca="false">IF($B65="","",N65*(الموظفون!$N65+الموظفون!$J65*cfg_OT_P)/cfg_DAYS_M/cfg_HRS)</f>
        <v/>
      </c>
      <c r="P65" s="90" t="str">
        <f aca="false">IF($B65="","",SUMIFS('الحركات الشهرية'!$G$6:$G$1005,'الحركات الشهرية'!$B$6:$B$1005,$B65,'الحركات الشهرية'!$A$6:$A$1005,$C$3))</f>
        <v/>
      </c>
      <c r="Q65" s="90" t="str">
        <f aca="false">IF($B65="","",SUMIFS('الحركات الشهرية'!$H$6:$H$1005,'الحركات الشهرية'!$B$6:$B$1005,$B65,'الحركات الشهرية'!$A$6:$A$1005,$C$3))</f>
        <v/>
      </c>
      <c r="R65" s="111" t="str">
        <f aca="false">IF($B65="","",SUM(J65:M65)+SUM(O65:Q65))</f>
        <v/>
      </c>
      <c r="S65" s="90" t="str">
        <f aca="false">IF($B65="","",الموظفون!$Q65*IF(E65="سعودي",cfg_G_SE,cfg_G_NE)*F65/cfg_DAYS_M)</f>
        <v/>
      </c>
      <c r="T65" s="90" t="str">
        <f aca="false">IF($B65="","",SUMIFS('الحركات الشهرية'!$I$6:$I$1005,'الحركات الشهرية'!$B$6:$B$1005,$B65,'الحركات الشهرية'!$A$6:$A$1005,$C$3))</f>
        <v/>
      </c>
      <c r="U65" s="90" t="str">
        <f aca="false">IF($B65="","",SUMIFS('الحركات الشهرية'!$J$6:$J$1005,'الحركات الشهرية'!$B$6:$B$1005,$B65,'الحركات الشهرية'!$A$6:$A$1005,$C$3))</f>
        <v/>
      </c>
      <c r="V65" s="90" t="str">
        <f aca="false">IF($B65="","",SUM(S65:U65))</f>
        <v/>
      </c>
      <c r="W65" s="112" t="str">
        <f aca="false">IF($B65="","",R65-V65)</f>
        <v/>
      </c>
      <c r="X65" s="90" t="str">
        <f aca="false">IF($B65="","",الموظفون!$Q65*IF(E65="سعودي",cfg_G_SR,cfg_G_NR)*F65/cfg_DAYS_M)</f>
        <v/>
      </c>
      <c r="Y65" s="90" t="str">
        <f aca="false">IF($B65="","",الموظفون!$O65*(cfg_EOS_R1*(MIN(AC65,cfg_EOS_TH)-MIN(AD65,cfg_EOS_TH))+cfg_EOS_R2*(MAX(AC65-cfg_EOS_TH,0)-MAX(AD65-cfg_EOS_TH,0))))</f>
        <v/>
      </c>
      <c r="Z65" s="90" t="str">
        <f aca="false">IF($B65="","",IF(الموظفون!$R65&lt;&gt;"",الموظفون!$R65,IF(AC65&gt;=cfg_LV_TH,cfg_LV_D2,cfg_LV_D1))/cfg_DAYS_Y*AE65*الموظفون!$P65/cfg_DAYS_M)</f>
        <v/>
      </c>
      <c r="AA65" s="90" t="str">
        <f aca="false">IF($B65="","",IF(AND(الموظفون!$S65="نعم",N(الموظفون!$U65)&gt;0),الموظفون!$T65/الموظفون!$U65*12/cfg_DAYS_Y*AE65,0))</f>
        <v/>
      </c>
      <c r="AB65" s="113" t="str">
        <f aca="false">IF($B65="","",R65+SUM(X65:AA65))</f>
        <v/>
      </c>
      <c r="AC65" s="114" t="str">
        <f aca="false">IF($B65="","",MAX(0,IF(OR(الموظفون!$X65="",الموظفون!$X65&gt;$G$3),$G$3,الموظفون!$X65)-الموظفون!$H65+1)/cfg_DAYS_Y)</f>
        <v/>
      </c>
      <c r="AD65" s="114" t="str">
        <f aca="false">IF($B65="","",MAX(0,IF(OR(الموظفون!$X65="",الموظفون!$X65&gt;($E$3-1)),($E$3-1),الموظفون!$X65)-الموظفون!$H65+1)/cfg_DAYS_Y)</f>
        <v/>
      </c>
      <c r="AE65" s="115" t="str">
        <f aca="false">IF($B65="","",MAX(0,IF(OR(الموظفون!$X65="",الموظفون!$X65&gt;$G$3),$G$3,الموظفون!$X65)-MAX($E$3,الموظفون!$H65)+1))</f>
        <v/>
      </c>
    </row>
    <row r="66" customFormat="false" ht="15" hidden="false" customHeight="false" outlineLevel="0" collapsed="false">
      <c r="A66" s="83" t="str">
        <f aca="false">IF($B66="","",الموظفون!$A66)</f>
        <v/>
      </c>
      <c r="B66" s="74" t="str">
        <f aca="false">IF(الموظفون!$B66="","",الموظفون!$B66)</f>
        <v/>
      </c>
      <c r="C66" s="74" t="str">
        <f aca="false">IF($B66="","",الموظفون!$C66)</f>
        <v/>
      </c>
      <c r="D66" s="74" t="str">
        <f aca="false">IF($B66="","",الموظفون!$F66)</f>
        <v/>
      </c>
      <c r="E66" s="74" t="str">
        <f aca="false">IF($B66="","",الموظفون!$E66)</f>
        <v/>
      </c>
      <c r="F66" s="105" t="str">
        <f aca="false">IF($B66="","",IF(AE66&gt;=DAY($G$3),cfg_DAYS_M,MIN(AE66,cfg_DAYS_M)))</f>
        <v/>
      </c>
      <c r="G66" s="105" t="str">
        <f aca="false">IF($B66="","",SUMIFS('الحركات الشهرية'!$D$6:$D$1005,'الحركات الشهرية'!$B$6:$B$1005,$B66,'الحركات الشهرية'!$A$6:$A$1005,$C$3))</f>
        <v/>
      </c>
      <c r="H66" s="105" t="str">
        <f aca="false">IF($B66="","",SUMIFS('الحركات الشهرية'!$E$6:$E$1005,'الحركات الشهرية'!$B$6:$B$1005,$B66,'الحركات الشهرية'!$A$6:$A$1005,$C$3))</f>
        <v/>
      </c>
      <c r="I66" s="105" t="str">
        <f aca="false">IF($B66="","",MAX(0,F66-G66-H66))</f>
        <v/>
      </c>
      <c r="J66" s="86" t="str">
        <f aca="false">IF($B66="","",الموظفون!$J66*$I66/cfg_DAYS_M)</f>
        <v/>
      </c>
      <c r="K66" s="86" t="str">
        <f aca="false">IF($B66="","",الموظفون!$K66*$I66/cfg_DAYS_M)</f>
        <v/>
      </c>
      <c r="L66" s="86" t="str">
        <f aca="false">IF($B66="","",الموظفون!$L66*$I66/cfg_DAYS_M)</f>
        <v/>
      </c>
      <c r="M66" s="86" t="str">
        <f aca="false">IF($B66="","",الموظفون!$M66*$I66/cfg_DAYS_M)</f>
        <v/>
      </c>
      <c r="N66" s="105" t="str">
        <f aca="false">IF($B66="","",SUMIFS('الحركات الشهرية'!$F$6:$F$1005,'الحركات الشهرية'!$B$6:$B$1005,$B66,'الحركات الشهرية'!$A$6:$A$1005,$C$3))</f>
        <v/>
      </c>
      <c r="O66" s="86" t="str">
        <f aca="false">IF($B66="","",N66*(الموظفون!$N66+الموظفون!$J66*cfg_OT_P)/cfg_DAYS_M/cfg_HRS)</f>
        <v/>
      </c>
      <c r="P66" s="86" t="str">
        <f aca="false">IF($B66="","",SUMIFS('الحركات الشهرية'!$G$6:$G$1005,'الحركات الشهرية'!$B$6:$B$1005,$B66,'الحركات الشهرية'!$A$6:$A$1005,$C$3))</f>
        <v/>
      </c>
      <c r="Q66" s="86" t="str">
        <f aca="false">IF($B66="","",SUMIFS('الحركات الشهرية'!$H$6:$H$1005,'الحركات الشهرية'!$B$6:$B$1005,$B66,'الحركات الشهرية'!$A$6:$A$1005,$C$3))</f>
        <v/>
      </c>
      <c r="R66" s="106" t="str">
        <f aca="false">IF($B66="","",SUM(J66:M66)+SUM(O66:Q66))</f>
        <v/>
      </c>
      <c r="S66" s="86" t="str">
        <f aca="false">IF($B66="","",الموظفون!$Q66*IF(E66="سعودي",cfg_G_SE,cfg_G_NE)*F66/cfg_DAYS_M)</f>
        <v/>
      </c>
      <c r="T66" s="86" t="str">
        <f aca="false">IF($B66="","",SUMIFS('الحركات الشهرية'!$I$6:$I$1005,'الحركات الشهرية'!$B$6:$B$1005,$B66,'الحركات الشهرية'!$A$6:$A$1005,$C$3))</f>
        <v/>
      </c>
      <c r="U66" s="86" t="str">
        <f aca="false">IF($B66="","",SUMIFS('الحركات الشهرية'!$J$6:$J$1005,'الحركات الشهرية'!$B$6:$B$1005,$B66,'الحركات الشهرية'!$A$6:$A$1005,$C$3))</f>
        <v/>
      </c>
      <c r="V66" s="86" t="str">
        <f aca="false">IF($B66="","",SUM(S66:U66))</f>
        <v/>
      </c>
      <c r="W66" s="107" t="str">
        <f aca="false">IF($B66="","",R66-V66)</f>
        <v/>
      </c>
      <c r="X66" s="86" t="str">
        <f aca="false">IF($B66="","",الموظفون!$Q66*IF(E66="سعودي",cfg_G_SR,cfg_G_NR)*F66/cfg_DAYS_M)</f>
        <v/>
      </c>
      <c r="Y66" s="86" t="str">
        <f aca="false">IF($B66="","",الموظفون!$O66*(cfg_EOS_R1*(MIN(AC66,cfg_EOS_TH)-MIN(AD66,cfg_EOS_TH))+cfg_EOS_R2*(MAX(AC66-cfg_EOS_TH,0)-MAX(AD66-cfg_EOS_TH,0))))</f>
        <v/>
      </c>
      <c r="Z66" s="86" t="str">
        <f aca="false">IF($B66="","",IF(الموظفون!$R66&lt;&gt;"",الموظفون!$R66,IF(AC66&gt;=cfg_LV_TH,cfg_LV_D2,cfg_LV_D1))/cfg_DAYS_Y*AE66*الموظفون!$P66/cfg_DAYS_M)</f>
        <v/>
      </c>
      <c r="AA66" s="86" t="str">
        <f aca="false">IF($B66="","",IF(AND(الموظفون!$S66="نعم",N(الموظفون!$U66)&gt;0),الموظفون!$T66/الموظفون!$U66*12/cfg_DAYS_Y*AE66,0))</f>
        <v/>
      </c>
      <c r="AB66" s="108" t="str">
        <f aca="false">IF($B66="","",R66+SUM(X66:AA66))</f>
        <v/>
      </c>
      <c r="AC66" s="109" t="str">
        <f aca="false">IF($B66="","",MAX(0,IF(OR(الموظفون!$X66="",الموظفون!$X66&gt;$G$3),$G$3,الموظفون!$X66)-الموظفون!$H66+1)/cfg_DAYS_Y)</f>
        <v/>
      </c>
      <c r="AD66" s="109" t="str">
        <f aca="false">IF($B66="","",MAX(0,IF(OR(الموظفون!$X66="",الموظفون!$X66&gt;($E$3-1)),($E$3-1),الموظفون!$X66)-الموظفون!$H66+1)/cfg_DAYS_Y)</f>
        <v/>
      </c>
      <c r="AE66" s="51" t="str">
        <f aca="false">IF($B66="","",MAX(0,IF(OR(الموظفون!$X66="",الموظفون!$X66&gt;$G$3),$G$3,الموظفون!$X66)-MAX($E$3,الموظفون!$H66)+1))</f>
        <v/>
      </c>
    </row>
    <row r="67" customFormat="false" ht="15" hidden="false" customHeight="false" outlineLevel="0" collapsed="false">
      <c r="A67" s="89" t="str">
        <f aca="false">IF($B67="","",الموظفون!$A67)</f>
        <v/>
      </c>
      <c r="B67" s="91" t="str">
        <f aca="false">IF(الموظفون!$B67="","",الموظفون!$B67)</f>
        <v/>
      </c>
      <c r="C67" s="91" t="str">
        <f aca="false">IF($B67="","",الموظفون!$C67)</f>
        <v/>
      </c>
      <c r="D67" s="91" t="str">
        <f aca="false">IF($B67="","",الموظفون!$F67)</f>
        <v/>
      </c>
      <c r="E67" s="91" t="str">
        <f aca="false">IF($B67="","",الموظفون!$E67)</f>
        <v/>
      </c>
      <c r="F67" s="110" t="str">
        <f aca="false">IF($B67="","",IF(AE67&gt;=DAY($G$3),cfg_DAYS_M,MIN(AE67,cfg_DAYS_M)))</f>
        <v/>
      </c>
      <c r="G67" s="110" t="str">
        <f aca="false">IF($B67="","",SUMIFS('الحركات الشهرية'!$D$6:$D$1005,'الحركات الشهرية'!$B$6:$B$1005,$B67,'الحركات الشهرية'!$A$6:$A$1005,$C$3))</f>
        <v/>
      </c>
      <c r="H67" s="110" t="str">
        <f aca="false">IF($B67="","",SUMIFS('الحركات الشهرية'!$E$6:$E$1005,'الحركات الشهرية'!$B$6:$B$1005,$B67,'الحركات الشهرية'!$A$6:$A$1005,$C$3))</f>
        <v/>
      </c>
      <c r="I67" s="110" t="str">
        <f aca="false">IF($B67="","",MAX(0,F67-G67-H67))</f>
        <v/>
      </c>
      <c r="J67" s="90" t="str">
        <f aca="false">IF($B67="","",الموظفون!$J67*$I67/cfg_DAYS_M)</f>
        <v/>
      </c>
      <c r="K67" s="90" t="str">
        <f aca="false">IF($B67="","",الموظفون!$K67*$I67/cfg_DAYS_M)</f>
        <v/>
      </c>
      <c r="L67" s="90" t="str">
        <f aca="false">IF($B67="","",الموظفون!$L67*$I67/cfg_DAYS_M)</f>
        <v/>
      </c>
      <c r="M67" s="90" t="str">
        <f aca="false">IF($B67="","",الموظفون!$M67*$I67/cfg_DAYS_M)</f>
        <v/>
      </c>
      <c r="N67" s="110" t="str">
        <f aca="false">IF($B67="","",SUMIFS('الحركات الشهرية'!$F$6:$F$1005,'الحركات الشهرية'!$B$6:$B$1005,$B67,'الحركات الشهرية'!$A$6:$A$1005,$C$3))</f>
        <v/>
      </c>
      <c r="O67" s="90" t="str">
        <f aca="false">IF($B67="","",N67*(الموظفون!$N67+الموظفون!$J67*cfg_OT_P)/cfg_DAYS_M/cfg_HRS)</f>
        <v/>
      </c>
      <c r="P67" s="90" t="str">
        <f aca="false">IF($B67="","",SUMIFS('الحركات الشهرية'!$G$6:$G$1005,'الحركات الشهرية'!$B$6:$B$1005,$B67,'الحركات الشهرية'!$A$6:$A$1005,$C$3))</f>
        <v/>
      </c>
      <c r="Q67" s="90" t="str">
        <f aca="false">IF($B67="","",SUMIFS('الحركات الشهرية'!$H$6:$H$1005,'الحركات الشهرية'!$B$6:$B$1005,$B67,'الحركات الشهرية'!$A$6:$A$1005,$C$3))</f>
        <v/>
      </c>
      <c r="R67" s="111" t="str">
        <f aca="false">IF($B67="","",SUM(J67:M67)+SUM(O67:Q67))</f>
        <v/>
      </c>
      <c r="S67" s="90" t="str">
        <f aca="false">IF($B67="","",الموظفون!$Q67*IF(E67="سعودي",cfg_G_SE,cfg_G_NE)*F67/cfg_DAYS_M)</f>
        <v/>
      </c>
      <c r="T67" s="90" t="str">
        <f aca="false">IF($B67="","",SUMIFS('الحركات الشهرية'!$I$6:$I$1005,'الحركات الشهرية'!$B$6:$B$1005,$B67,'الحركات الشهرية'!$A$6:$A$1005,$C$3))</f>
        <v/>
      </c>
      <c r="U67" s="90" t="str">
        <f aca="false">IF($B67="","",SUMIFS('الحركات الشهرية'!$J$6:$J$1005,'الحركات الشهرية'!$B$6:$B$1005,$B67,'الحركات الشهرية'!$A$6:$A$1005,$C$3))</f>
        <v/>
      </c>
      <c r="V67" s="90" t="str">
        <f aca="false">IF($B67="","",SUM(S67:U67))</f>
        <v/>
      </c>
      <c r="W67" s="112" t="str">
        <f aca="false">IF($B67="","",R67-V67)</f>
        <v/>
      </c>
      <c r="X67" s="90" t="str">
        <f aca="false">IF($B67="","",الموظفون!$Q67*IF(E67="سعودي",cfg_G_SR,cfg_G_NR)*F67/cfg_DAYS_M)</f>
        <v/>
      </c>
      <c r="Y67" s="90" t="str">
        <f aca="false">IF($B67="","",الموظفون!$O67*(cfg_EOS_R1*(MIN(AC67,cfg_EOS_TH)-MIN(AD67,cfg_EOS_TH))+cfg_EOS_R2*(MAX(AC67-cfg_EOS_TH,0)-MAX(AD67-cfg_EOS_TH,0))))</f>
        <v/>
      </c>
      <c r="Z67" s="90" t="str">
        <f aca="false">IF($B67="","",IF(الموظفون!$R67&lt;&gt;"",الموظفون!$R67,IF(AC67&gt;=cfg_LV_TH,cfg_LV_D2,cfg_LV_D1))/cfg_DAYS_Y*AE67*الموظفون!$P67/cfg_DAYS_M)</f>
        <v/>
      </c>
      <c r="AA67" s="90" t="str">
        <f aca="false">IF($B67="","",IF(AND(الموظفون!$S67="نعم",N(الموظفون!$U67)&gt;0),الموظفون!$T67/الموظفون!$U67*12/cfg_DAYS_Y*AE67,0))</f>
        <v/>
      </c>
      <c r="AB67" s="113" t="str">
        <f aca="false">IF($B67="","",R67+SUM(X67:AA67))</f>
        <v/>
      </c>
      <c r="AC67" s="114" t="str">
        <f aca="false">IF($B67="","",MAX(0,IF(OR(الموظفون!$X67="",الموظفون!$X67&gt;$G$3),$G$3,الموظفون!$X67)-الموظفون!$H67+1)/cfg_DAYS_Y)</f>
        <v/>
      </c>
      <c r="AD67" s="114" t="str">
        <f aca="false">IF($B67="","",MAX(0,IF(OR(الموظفون!$X67="",الموظفون!$X67&gt;($E$3-1)),($E$3-1),الموظفون!$X67)-الموظفون!$H67+1)/cfg_DAYS_Y)</f>
        <v/>
      </c>
      <c r="AE67" s="115" t="str">
        <f aca="false">IF($B67="","",MAX(0,IF(OR(الموظفون!$X67="",الموظفون!$X67&gt;$G$3),$G$3,الموظفون!$X67)-MAX($E$3,الموظفون!$H67)+1))</f>
        <v/>
      </c>
    </row>
    <row r="68" customFormat="false" ht="15" hidden="false" customHeight="false" outlineLevel="0" collapsed="false">
      <c r="A68" s="83" t="str">
        <f aca="false">IF($B68="","",الموظفون!$A68)</f>
        <v/>
      </c>
      <c r="B68" s="74" t="str">
        <f aca="false">IF(الموظفون!$B68="","",الموظفون!$B68)</f>
        <v/>
      </c>
      <c r="C68" s="74" t="str">
        <f aca="false">IF($B68="","",الموظفون!$C68)</f>
        <v/>
      </c>
      <c r="D68" s="74" t="str">
        <f aca="false">IF($B68="","",الموظفون!$F68)</f>
        <v/>
      </c>
      <c r="E68" s="74" t="str">
        <f aca="false">IF($B68="","",الموظفون!$E68)</f>
        <v/>
      </c>
      <c r="F68" s="105" t="str">
        <f aca="false">IF($B68="","",IF(AE68&gt;=DAY($G$3),cfg_DAYS_M,MIN(AE68,cfg_DAYS_M)))</f>
        <v/>
      </c>
      <c r="G68" s="105" t="str">
        <f aca="false">IF($B68="","",SUMIFS('الحركات الشهرية'!$D$6:$D$1005,'الحركات الشهرية'!$B$6:$B$1005,$B68,'الحركات الشهرية'!$A$6:$A$1005,$C$3))</f>
        <v/>
      </c>
      <c r="H68" s="105" t="str">
        <f aca="false">IF($B68="","",SUMIFS('الحركات الشهرية'!$E$6:$E$1005,'الحركات الشهرية'!$B$6:$B$1005,$B68,'الحركات الشهرية'!$A$6:$A$1005,$C$3))</f>
        <v/>
      </c>
      <c r="I68" s="105" t="str">
        <f aca="false">IF($B68="","",MAX(0,F68-G68-H68))</f>
        <v/>
      </c>
      <c r="J68" s="86" t="str">
        <f aca="false">IF($B68="","",الموظفون!$J68*$I68/cfg_DAYS_M)</f>
        <v/>
      </c>
      <c r="K68" s="86" t="str">
        <f aca="false">IF($B68="","",الموظفون!$K68*$I68/cfg_DAYS_M)</f>
        <v/>
      </c>
      <c r="L68" s="86" t="str">
        <f aca="false">IF($B68="","",الموظفون!$L68*$I68/cfg_DAYS_M)</f>
        <v/>
      </c>
      <c r="M68" s="86" t="str">
        <f aca="false">IF($B68="","",الموظفون!$M68*$I68/cfg_DAYS_M)</f>
        <v/>
      </c>
      <c r="N68" s="105" t="str">
        <f aca="false">IF($B68="","",SUMIFS('الحركات الشهرية'!$F$6:$F$1005,'الحركات الشهرية'!$B$6:$B$1005,$B68,'الحركات الشهرية'!$A$6:$A$1005,$C$3))</f>
        <v/>
      </c>
      <c r="O68" s="86" t="str">
        <f aca="false">IF($B68="","",N68*(الموظفون!$N68+الموظفون!$J68*cfg_OT_P)/cfg_DAYS_M/cfg_HRS)</f>
        <v/>
      </c>
      <c r="P68" s="86" t="str">
        <f aca="false">IF($B68="","",SUMIFS('الحركات الشهرية'!$G$6:$G$1005,'الحركات الشهرية'!$B$6:$B$1005,$B68,'الحركات الشهرية'!$A$6:$A$1005,$C$3))</f>
        <v/>
      </c>
      <c r="Q68" s="86" t="str">
        <f aca="false">IF($B68="","",SUMIFS('الحركات الشهرية'!$H$6:$H$1005,'الحركات الشهرية'!$B$6:$B$1005,$B68,'الحركات الشهرية'!$A$6:$A$1005,$C$3))</f>
        <v/>
      </c>
      <c r="R68" s="106" t="str">
        <f aca="false">IF($B68="","",SUM(J68:M68)+SUM(O68:Q68))</f>
        <v/>
      </c>
      <c r="S68" s="86" t="str">
        <f aca="false">IF($B68="","",الموظفون!$Q68*IF(E68="سعودي",cfg_G_SE,cfg_G_NE)*F68/cfg_DAYS_M)</f>
        <v/>
      </c>
      <c r="T68" s="86" t="str">
        <f aca="false">IF($B68="","",SUMIFS('الحركات الشهرية'!$I$6:$I$1005,'الحركات الشهرية'!$B$6:$B$1005,$B68,'الحركات الشهرية'!$A$6:$A$1005,$C$3))</f>
        <v/>
      </c>
      <c r="U68" s="86" t="str">
        <f aca="false">IF($B68="","",SUMIFS('الحركات الشهرية'!$J$6:$J$1005,'الحركات الشهرية'!$B$6:$B$1005,$B68,'الحركات الشهرية'!$A$6:$A$1005,$C$3))</f>
        <v/>
      </c>
      <c r="V68" s="86" t="str">
        <f aca="false">IF($B68="","",SUM(S68:U68))</f>
        <v/>
      </c>
      <c r="W68" s="107" t="str">
        <f aca="false">IF($B68="","",R68-V68)</f>
        <v/>
      </c>
      <c r="X68" s="86" t="str">
        <f aca="false">IF($B68="","",الموظفون!$Q68*IF(E68="سعودي",cfg_G_SR,cfg_G_NR)*F68/cfg_DAYS_M)</f>
        <v/>
      </c>
      <c r="Y68" s="86" t="str">
        <f aca="false">IF($B68="","",الموظفون!$O68*(cfg_EOS_R1*(MIN(AC68,cfg_EOS_TH)-MIN(AD68,cfg_EOS_TH))+cfg_EOS_R2*(MAX(AC68-cfg_EOS_TH,0)-MAX(AD68-cfg_EOS_TH,0))))</f>
        <v/>
      </c>
      <c r="Z68" s="86" t="str">
        <f aca="false">IF($B68="","",IF(الموظفون!$R68&lt;&gt;"",الموظفون!$R68,IF(AC68&gt;=cfg_LV_TH,cfg_LV_D2,cfg_LV_D1))/cfg_DAYS_Y*AE68*الموظفون!$P68/cfg_DAYS_M)</f>
        <v/>
      </c>
      <c r="AA68" s="86" t="str">
        <f aca="false">IF($B68="","",IF(AND(الموظفون!$S68="نعم",N(الموظفون!$U68)&gt;0),الموظفون!$T68/الموظفون!$U68*12/cfg_DAYS_Y*AE68,0))</f>
        <v/>
      </c>
      <c r="AB68" s="108" t="str">
        <f aca="false">IF($B68="","",R68+SUM(X68:AA68))</f>
        <v/>
      </c>
      <c r="AC68" s="109" t="str">
        <f aca="false">IF($B68="","",MAX(0,IF(OR(الموظفون!$X68="",الموظفون!$X68&gt;$G$3),$G$3,الموظفون!$X68)-الموظفون!$H68+1)/cfg_DAYS_Y)</f>
        <v/>
      </c>
      <c r="AD68" s="109" t="str">
        <f aca="false">IF($B68="","",MAX(0,IF(OR(الموظفون!$X68="",الموظفون!$X68&gt;($E$3-1)),($E$3-1),الموظفون!$X68)-الموظفون!$H68+1)/cfg_DAYS_Y)</f>
        <v/>
      </c>
      <c r="AE68" s="51" t="str">
        <f aca="false">IF($B68="","",MAX(0,IF(OR(الموظفون!$X68="",الموظفون!$X68&gt;$G$3),$G$3,الموظفون!$X68)-MAX($E$3,الموظفون!$H68)+1))</f>
        <v/>
      </c>
    </row>
    <row r="69" customFormat="false" ht="15" hidden="false" customHeight="false" outlineLevel="0" collapsed="false">
      <c r="A69" s="89" t="str">
        <f aca="false">IF($B69="","",الموظفون!$A69)</f>
        <v/>
      </c>
      <c r="B69" s="91" t="str">
        <f aca="false">IF(الموظفون!$B69="","",الموظفون!$B69)</f>
        <v/>
      </c>
      <c r="C69" s="91" t="str">
        <f aca="false">IF($B69="","",الموظفون!$C69)</f>
        <v/>
      </c>
      <c r="D69" s="91" t="str">
        <f aca="false">IF($B69="","",الموظفون!$F69)</f>
        <v/>
      </c>
      <c r="E69" s="91" t="str">
        <f aca="false">IF($B69="","",الموظفون!$E69)</f>
        <v/>
      </c>
      <c r="F69" s="110" t="str">
        <f aca="false">IF($B69="","",IF(AE69&gt;=DAY($G$3),cfg_DAYS_M,MIN(AE69,cfg_DAYS_M)))</f>
        <v/>
      </c>
      <c r="G69" s="110" t="str">
        <f aca="false">IF($B69="","",SUMIFS('الحركات الشهرية'!$D$6:$D$1005,'الحركات الشهرية'!$B$6:$B$1005,$B69,'الحركات الشهرية'!$A$6:$A$1005,$C$3))</f>
        <v/>
      </c>
      <c r="H69" s="110" t="str">
        <f aca="false">IF($B69="","",SUMIFS('الحركات الشهرية'!$E$6:$E$1005,'الحركات الشهرية'!$B$6:$B$1005,$B69,'الحركات الشهرية'!$A$6:$A$1005,$C$3))</f>
        <v/>
      </c>
      <c r="I69" s="110" t="str">
        <f aca="false">IF($B69="","",MAX(0,F69-G69-H69))</f>
        <v/>
      </c>
      <c r="J69" s="90" t="str">
        <f aca="false">IF($B69="","",الموظفون!$J69*$I69/cfg_DAYS_M)</f>
        <v/>
      </c>
      <c r="K69" s="90" t="str">
        <f aca="false">IF($B69="","",الموظفون!$K69*$I69/cfg_DAYS_M)</f>
        <v/>
      </c>
      <c r="L69" s="90" t="str">
        <f aca="false">IF($B69="","",الموظفون!$L69*$I69/cfg_DAYS_M)</f>
        <v/>
      </c>
      <c r="M69" s="90" t="str">
        <f aca="false">IF($B69="","",الموظفون!$M69*$I69/cfg_DAYS_M)</f>
        <v/>
      </c>
      <c r="N69" s="110" t="str">
        <f aca="false">IF($B69="","",SUMIFS('الحركات الشهرية'!$F$6:$F$1005,'الحركات الشهرية'!$B$6:$B$1005,$B69,'الحركات الشهرية'!$A$6:$A$1005,$C$3))</f>
        <v/>
      </c>
      <c r="O69" s="90" t="str">
        <f aca="false">IF($B69="","",N69*(الموظفون!$N69+الموظفون!$J69*cfg_OT_P)/cfg_DAYS_M/cfg_HRS)</f>
        <v/>
      </c>
      <c r="P69" s="90" t="str">
        <f aca="false">IF($B69="","",SUMIFS('الحركات الشهرية'!$G$6:$G$1005,'الحركات الشهرية'!$B$6:$B$1005,$B69,'الحركات الشهرية'!$A$6:$A$1005,$C$3))</f>
        <v/>
      </c>
      <c r="Q69" s="90" t="str">
        <f aca="false">IF($B69="","",SUMIFS('الحركات الشهرية'!$H$6:$H$1005,'الحركات الشهرية'!$B$6:$B$1005,$B69,'الحركات الشهرية'!$A$6:$A$1005,$C$3))</f>
        <v/>
      </c>
      <c r="R69" s="111" t="str">
        <f aca="false">IF($B69="","",SUM(J69:M69)+SUM(O69:Q69))</f>
        <v/>
      </c>
      <c r="S69" s="90" t="str">
        <f aca="false">IF($B69="","",الموظفون!$Q69*IF(E69="سعودي",cfg_G_SE,cfg_G_NE)*F69/cfg_DAYS_M)</f>
        <v/>
      </c>
      <c r="T69" s="90" t="str">
        <f aca="false">IF($B69="","",SUMIFS('الحركات الشهرية'!$I$6:$I$1005,'الحركات الشهرية'!$B$6:$B$1005,$B69,'الحركات الشهرية'!$A$6:$A$1005,$C$3))</f>
        <v/>
      </c>
      <c r="U69" s="90" t="str">
        <f aca="false">IF($B69="","",SUMIFS('الحركات الشهرية'!$J$6:$J$1005,'الحركات الشهرية'!$B$6:$B$1005,$B69,'الحركات الشهرية'!$A$6:$A$1005,$C$3))</f>
        <v/>
      </c>
      <c r="V69" s="90" t="str">
        <f aca="false">IF($B69="","",SUM(S69:U69))</f>
        <v/>
      </c>
      <c r="W69" s="112" t="str">
        <f aca="false">IF($B69="","",R69-V69)</f>
        <v/>
      </c>
      <c r="X69" s="90" t="str">
        <f aca="false">IF($B69="","",الموظفون!$Q69*IF(E69="سعودي",cfg_G_SR,cfg_G_NR)*F69/cfg_DAYS_M)</f>
        <v/>
      </c>
      <c r="Y69" s="90" t="str">
        <f aca="false">IF($B69="","",الموظفون!$O69*(cfg_EOS_R1*(MIN(AC69,cfg_EOS_TH)-MIN(AD69,cfg_EOS_TH))+cfg_EOS_R2*(MAX(AC69-cfg_EOS_TH,0)-MAX(AD69-cfg_EOS_TH,0))))</f>
        <v/>
      </c>
      <c r="Z69" s="90" t="str">
        <f aca="false">IF($B69="","",IF(الموظفون!$R69&lt;&gt;"",الموظفون!$R69,IF(AC69&gt;=cfg_LV_TH,cfg_LV_D2,cfg_LV_D1))/cfg_DAYS_Y*AE69*الموظفون!$P69/cfg_DAYS_M)</f>
        <v/>
      </c>
      <c r="AA69" s="90" t="str">
        <f aca="false">IF($B69="","",IF(AND(الموظفون!$S69="نعم",N(الموظفون!$U69)&gt;0),الموظفون!$T69/الموظفون!$U69*12/cfg_DAYS_Y*AE69,0))</f>
        <v/>
      </c>
      <c r="AB69" s="113" t="str">
        <f aca="false">IF($B69="","",R69+SUM(X69:AA69))</f>
        <v/>
      </c>
      <c r="AC69" s="114" t="str">
        <f aca="false">IF($B69="","",MAX(0,IF(OR(الموظفون!$X69="",الموظفون!$X69&gt;$G$3),$G$3,الموظفون!$X69)-الموظفون!$H69+1)/cfg_DAYS_Y)</f>
        <v/>
      </c>
      <c r="AD69" s="114" t="str">
        <f aca="false">IF($B69="","",MAX(0,IF(OR(الموظفون!$X69="",الموظفون!$X69&gt;($E$3-1)),($E$3-1),الموظفون!$X69)-الموظفون!$H69+1)/cfg_DAYS_Y)</f>
        <v/>
      </c>
      <c r="AE69" s="115" t="str">
        <f aca="false">IF($B69="","",MAX(0,IF(OR(الموظفون!$X69="",الموظفون!$X69&gt;$G$3),$G$3,الموظفون!$X69)-MAX($E$3,الموظفون!$H69)+1))</f>
        <v/>
      </c>
    </row>
    <row r="70" customFormat="false" ht="15" hidden="false" customHeight="false" outlineLevel="0" collapsed="false">
      <c r="A70" s="83" t="str">
        <f aca="false">IF($B70="","",الموظفون!$A70)</f>
        <v/>
      </c>
      <c r="B70" s="74" t="str">
        <f aca="false">IF(الموظفون!$B70="","",الموظفون!$B70)</f>
        <v/>
      </c>
      <c r="C70" s="74" t="str">
        <f aca="false">IF($B70="","",الموظفون!$C70)</f>
        <v/>
      </c>
      <c r="D70" s="74" t="str">
        <f aca="false">IF($B70="","",الموظفون!$F70)</f>
        <v/>
      </c>
      <c r="E70" s="74" t="str">
        <f aca="false">IF($B70="","",الموظفون!$E70)</f>
        <v/>
      </c>
      <c r="F70" s="105" t="str">
        <f aca="false">IF($B70="","",IF(AE70&gt;=DAY($G$3),cfg_DAYS_M,MIN(AE70,cfg_DAYS_M)))</f>
        <v/>
      </c>
      <c r="G70" s="105" t="str">
        <f aca="false">IF($B70="","",SUMIFS('الحركات الشهرية'!$D$6:$D$1005,'الحركات الشهرية'!$B$6:$B$1005,$B70,'الحركات الشهرية'!$A$6:$A$1005,$C$3))</f>
        <v/>
      </c>
      <c r="H70" s="105" t="str">
        <f aca="false">IF($B70="","",SUMIFS('الحركات الشهرية'!$E$6:$E$1005,'الحركات الشهرية'!$B$6:$B$1005,$B70,'الحركات الشهرية'!$A$6:$A$1005,$C$3))</f>
        <v/>
      </c>
      <c r="I70" s="105" t="str">
        <f aca="false">IF($B70="","",MAX(0,F70-G70-H70))</f>
        <v/>
      </c>
      <c r="J70" s="86" t="str">
        <f aca="false">IF($B70="","",الموظفون!$J70*$I70/cfg_DAYS_M)</f>
        <v/>
      </c>
      <c r="K70" s="86" t="str">
        <f aca="false">IF($B70="","",الموظفون!$K70*$I70/cfg_DAYS_M)</f>
        <v/>
      </c>
      <c r="L70" s="86" t="str">
        <f aca="false">IF($B70="","",الموظفون!$L70*$I70/cfg_DAYS_M)</f>
        <v/>
      </c>
      <c r="M70" s="86" t="str">
        <f aca="false">IF($B70="","",الموظفون!$M70*$I70/cfg_DAYS_M)</f>
        <v/>
      </c>
      <c r="N70" s="105" t="str">
        <f aca="false">IF($B70="","",SUMIFS('الحركات الشهرية'!$F$6:$F$1005,'الحركات الشهرية'!$B$6:$B$1005,$B70,'الحركات الشهرية'!$A$6:$A$1005,$C$3))</f>
        <v/>
      </c>
      <c r="O70" s="86" t="str">
        <f aca="false">IF($B70="","",N70*(الموظفون!$N70+الموظفون!$J70*cfg_OT_P)/cfg_DAYS_M/cfg_HRS)</f>
        <v/>
      </c>
      <c r="P70" s="86" t="str">
        <f aca="false">IF($B70="","",SUMIFS('الحركات الشهرية'!$G$6:$G$1005,'الحركات الشهرية'!$B$6:$B$1005,$B70,'الحركات الشهرية'!$A$6:$A$1005,$C$3))</f>
        <v/>
      </c>
      <c r="Q70" s="86" t="str">
        <f aca="false">IF($B70="","",SUMIFS('الحركات الشهرية'!$H$6:$H$1005,'الحركات الشهرية'!$B$6:$B$1005,$B70,'الحركات الشهرية'!$A$6:$A$1005,$C$3))</f>
        <v/>
      </c>
      <c r="R70" s="106" t="str">
        <f aca="false">IF($B70="","",SUM(J70:M70)+SUM(O70:Q70))</f>
        <v/>
      </c>
      <c r="S70" s="86" t="str">
        <f aca="false">IF($B70="","",الموظفون!$Q70*IF(E70="سعودي",cfg_G_SE,cfg_G_NE)*F70/cfg_DAYS_M)</f>
        <v/>
      </c>
      <c r="T70" s="86" t="str">
        <f aca="false">IF($B70="","",SUMIFS('الحركات الشهرية'!$I$6:$I$1005,'الحركات الشهرية'!$B$6:$B$1005,$B70,'الحركات الشهرية'!$A$6:$A$1005,$C$3))</f>
        <v/>
      </c>
      <c r="U70" s="86" t="str">
        <f aca="false">IF($B70="","",SUMIFS('الحركات الشهرية'!$J$6:$J$1005,'الحركات الشهرية'!$B$6:$B$1005,$B70,'الحركات الشهرية'!$A$6:$A$1005,$C$3))</f>
        <v/>
      </c>
      <c r="V70" s="86" t="str">
        <f aca="false">IF($B70="","",SUM(S70:U70))</f>
        <v/>
      </c>
      <c r="W70" s="107" t="str">
        <f aca="false">IF($B70="","",R70-V70)</f>
        <v/>
      </c>
      <c r="X70" s="86" t="str">
        <f aca="false">IF($B70="","",الموظفون!$Q70*IF(E70="سعودي",cfg_G_SR,cfg_G_NR)*F70/cfg_DAYS_M)</f>
        <v/>
      </c>
      <c r="Y70" s="86" t="str">
        <f aca="false">IF($B70="","",الموظفون!$O70*(cfg_EOS_R1*(MIN(AC70,cfg_EOS_TH)-MIN(AD70,cfg_EOS_TH))+cfg_EOS_R2*(MAX(AC70-cfg_EOS_TH,0)-MAX(AD70-cfg_EOS_TH,0))))</f>
        <v/>
      </c>
      <c r="Z70" s="86" t="str">
        <f aca="false">IF($B70="","",IF(الموظفون!$R70&lt;&gt;"",الموظفون!$R70,IF(AC70&gt;=cfg_LV_TH,cfg_LV_D2,cfg_LV_D1))/cfg_DAYS_Y*AE70*الموظفون!$P70/cfg_DAYS_M)</f>
        <v/>
      </c>
      <c r="AA70" s="86" t="str">
        <f aca="false">IF($B70="","",IF(AND(الموظفون!$S70="نعم",N(الموظفون!$U70)&gt;0),الموظفون!$T70/الموظفون!$U70*12/cfg_DAYS_Y*AE70,0))</f>
        <v/>
      </c>
      <c r="AB70" s="108" t="str">
        <f aca="false">IF($B70="","",R70+SUM(X70:AA70))</f>
        <v/>
      </c>
      <c r="AC70" s="109" t="str">
        <f aca="false">IF($B70="","",MAX(0,IF(OR(الموظفون!$X70="",الموظفون!$X70&gt;$G$3),$G$3,الموظفون!$X70)-الموظفون!$H70+1)/cfg_DAYS_Y)</f>
        <v/>
      </c>
      <c r="AD70" s="109" t="str">
        <f aca="false">IF($B70="","",MAX(0,IF(OR(الموظفون!$X70="",الموظفون!$X70&gt;($E$3-1)),($E$3-1),الموظفون!$X70)-الموظفون!$H70+1)/cfg_DAYS_Y)</f>
        <v/>
      </c>
      <c r="AE70" s="51" t="str">
        <f aca="false">IF($B70="","",MAX(0,IF(OR(الموظفون!$X70="",الموظفون!$X70&gt;$G$3),$G$3,الموظفون!$X70)-MAX($E$3,الموظفون!$H70)+1))</f>
        <v/>
      </c>
    </row>
    <row r="71" customFormat="false" ht="15" hidden="false" customHeight="false" outlineLevel="0" collapsed="false">
      <c r="A71" s="89" t="str">
        <f aca="false">IF($B71="","",الموظفون!$A71)</f>
        <v/>
      </c>
      <c r="B71" s="91" t="str">
        <f aca="false">IF(الموظفون!$B71="","",الموظفون!$B71)</f>
        <v/>
      </c>
      <c r="C71" s="91" t="str">
        <f aca="false">IF($B71="","",الموظفون!$C71)</f>
        <v/>
      </c>
      <c r="D71" s="91" t="str">
        <f aca="false">IF($B71="","",الموظفون!$F71)</f>
        <v/>
      </c>
      <c r="E71" s="91" t="str">
        <f aca="false">IF($B71="","",الموظفون!$E71)</f>
        <v/>
      </c>
      <c r="F71" s="110" t="str">
        <f aca="false">IF($B71="","",IF(AE71&gt;=DAY($G$3),cfg_DAYS_M,MIN(AE71,cfg_DAYS_M)))</f>
        <v/>
      </c>
      <c r="G71" s="110" t="str">
        <f aca="false">IF($B71="","",SUMIFS('الحركات الشهرية'!$D$6:$D$1005,'الحركات الشهرية'!$B$6:$B$1005,$B71,'الحركات الشهرية'!$A$6:$A$1005,$C$3))</f>
        <v/>
      </c>
      <c r="H71" s="110" t="str">
        <f aca="false">IF($B71="","",SUMIFS('الحركات الشهرية'!$E$6:$E$1005,'الحركات الشهرية'!$B$6:$B$1005,$B71,'الحركات الشهرية'!$A$6:$A$1005,$C$3))</f>
        <v/>
      </c>
      <c r="I71" s="110" t="str">
        <f aca="false">IF($B71="","",MAX(0,F71-G71-H71))</f>
        <v/>
      </c>
      <c r="J71" s="90" t="str">
        <f aca="false">IF($B71="","",الموظفون!$J71*$I71/cfg_DAYS_M)</f>
        <v/>
      </c>
      <c r="K71" s="90" t="str">
        <f aca="false">IF($B71="","",الموظفون!$K71*$I71/cfg_DAYS_M)</f>
        <v/>
      </c>
      <c r="L71" s="90" t="str">
        <f aca="false">IF($B71="","",الموظفون!$L71*$I71/cfg_DAYS_M)</f>
        <v/>
      </c>
      <c r="M71" s="90" t="str">
        <f aca="false">IF($B71="","",الموظفون!$M71*$I71/cfg_DAYS_M)</f>
        <v/>
      </c>
      <c r="N71" s="110" t="str">
        <f aca="false">IF($B71="","",SUMIFS('الحركات الشهرية'!$F$6:$F$1005,'الحركات الشهرية'!$B$6:$B$1005,$B71,'الحركات الشهرية'!$A$6:$A$1005,$C$3))</f>
        <v/>
      </c>
      <c r="O71" s="90" t="str">
        <f aca="false">IF($B71="","",N71*(الموظفون!$N71+الموظفون!$J71*cfg_OT_P)/cfg_DAYS_M/cfg_HRS)</f>
        <v/>
      </c>
      <c r="P71" s="90" t="str">
        <f aca="false">IF($B71="","",SUMIFS('الحركات الشهرية'!$G$6:$G$1005,'الحركات الشهرية'!$B$6:$B$1005,$B71,'الحركات الشهرية'!$A$6:$A$1005,$C$3))</f>
        <v/>
      </c>
      <c r="Q71" s="90" t="str">
        <f aca="false">IF($B71="","",SUMIFS('الحركات الشهرية'!$H$6:$H$1005,'الحركات الشهرية'!$B$6:$B$1005,$B71,'الحركات الشهرية'!$A$6:$A$1005,$C$3))</f>
        <v/>
      </c>
      <c r="R71" s="111" t="str">
        <f aca="false">IF($B71="","",SUM(J71:M71)+SUM(O71:Q71))</f>
        <v/>
      </c>
      <c r="S71" s="90" t="str">
        <f aca="false">IF($B71="","",الموظفون!$Q71*IF(E71="سعودي",cfg_G_SE,cfg_G_NE)*F71/cfg_DAYS_M)</f>
        <v/>
      </c>
      <c r="T71" s="90" t="str">
        <f aca="false">IF($B71="","",SUMIFS('الحركات الشهرية'!$I$6:$I$1005,'الحركات الشهرية'!$B$6:$B$1005,$B71,'الحركات الشهرية'!$A$6:$A$1005,$C$3))</f>
        <v/>
      </c>
      <c r="U71" s="90" t="str">
        <f aca="false">IF($B71="","",SUMIFS('الحركات الشهرية'!$J$6:$J$1005,'الحركات الشهرية'!$B$6:$B$1005,$B71,'الحركات الشهرية'!$A$6:$A$1005,$C$3))</f>
        <v/>
      </c>
      <c r="V71" s="90" t="str">
        <f aca="false">IF($B71="","",SUM(S71:U71))</f>
        <v/>
      </c>
      <c r="W71" s="112" t="str">
        <f aca="false">IF($B71="","",R71-V71)</f>
        <v/>
      </c>
      <c r="X71" s="90" t="str">
        <f aca="false">IF($B71="","",الموظفون!$Q71*IF(E71="سعودي",cfg_G_SR,cfg_G_NR)*F71/cfg_DAYS_M)</f>
        <v/>
      </c>
      <c r="Y71" s="90" t="str">
        <f aca="false">IF($B71="","",الموظفون!$O71*(cfg_EOS_R1*(MIN(AC71,cfg_EOS_TH)-MIN(AD71,cfg_EOS_TH))+cfg_EOS_R2*(MAX(AC71-cfg_EOS_TH,0)-MAX(AD71-cfg_EOS_TH,0))))</f>
        <v/>
      </c>
      <c r="Z71" s="90" t="str">
        <f aca="false">IF($B71="","",IF(الموظفون!$R71&lt;&gt;"",الموظفون!$R71,IF(AC71&gt;=cfg_LV_TH,cfg_LV_D2,cfg_LV_D1))/cfg_DAYS_Y*AE71*الموظفون!$P71/cfg_DAYS_M)</f>
        <v/>
      </c>
      <c r="AA71" s="90" t="str">
        <f aca="false">IF($B71="","",IF(AND(الموظفون!$S71="نعم",N(الموظفون!$U71)&gt;0),الموظفون!$T71/الموظفون!$U71*12/cfg_DAYS_Y*AE71,0))</f>
        <v/>
      </c>
      <c r="AB71" s="113" t="str">
        <f aca="false">IF($B71="","",R71+SUM(X71:AA71))</f>
        <v/>
      </c>
      <c r="AC71" s="114" t="str">
        <f aca="false">IF($B71="","",MAX(0,IF(OR(الموظفون!$X71="",الموظفون!$X71&gt;$G$3),$G$3,الموظفون!$X71)-الموظفون!$H71+1)/cfg_DAYS_Y)</f>
        <v/>
      </c>
      <c r="AD71" s="114" t="str">
        <f aca="false">IF($B71="","",MAX(0,IF(OR(الموظفون!$X71="",الموظفون!$X71&gt;($E$3-1)),($E$3-1),الموظفون!$X71)-الموظفون!$H71+1)/cfg_DAYS_Y)</f>
        <v/>
      </c>
      <c r="AE71" s="115" t="str">
        <f aca="false">IF($B71="","",MAX(0,IF(OR(الموظفون!$X71="",الموظفون!$X71&gt;$G$3),$G$3,الموظفون!$X71)-MAX($E$3,الموظفون!$H71)+1))</f>
        <v/>
      </c>
    </row>
    <row r="72" customFormat="false" ht="15" hidden="false" customHeight="false" outlineLevel="0" collapsed="false">
      <c r="A72" s="83" t="str">
        <f aca="false">IF($B72="","",الموظفون!$A72)</f>
        <v/>
      </c>
      <c r="B72" s="74" t="str">
        <f aca="false">IF(الموظفون!$B72="","",الموظفون!$B72)</f>
        <v/>
      </c>
      <c r="C72" s="74" t="str">
        <f aca="false">IF($B72="","",الموظفون!$C72)</f>
        <v/>
      </c>
      <c r="D72" s="74" t="str">
        <f aca="false">IF($B72="","",الموظفون!$F72)</f>
        <v/>
      </c>
      <c r="E72" s="74" t="str">
        <f aca="false">IF($B72="","",الموظفون!$E72)</f>
        <v/>
      </c>
      <c r="F72" s="105" t="str">
        <f aca="false">IF($B72="","",IF(AE72&gt;=DAY($G$3),cfg_DAYS_M,MIN(AE72,cfg_DAYS_M)))</f>
        <v/>
      </c>
      <c r="G72" s="105" t="str">
        <f aca="false">IF($B72="","",SUMIFS('الحركات الشهرية'!$D$6:$D$1005,'الحركات الشهرية'!$B$6:$B$1005,$B72,'الحركات الشهرية'!$A$6:$A$1005,$C$3))</f>
        <v/>
      </c>
      <c r="H72" s="105" t="str">
        <f aca="false">IF($B72="","",SUMIFS('الحركات الشهرية'!$E$6:$E$1005,'الحركات الشهرية'!$B$6:$B$1005,$B72,'الحركات الشهرية'!$A$6:$A$1005,$C$3))</f>
        <v/>
      </c>
      <c r="I72" s="105" t="str">
        <f aca="false">IF($B72="","",MAX(0,F72-G72-H72))</f>
        <v/>
      </c>
      <c r="J72" s="86" t="str">
        <f aca="false">IF($B72="","",الموظفون!$J72*$I72/cfg_DAYS_M)</f>
        <v/>
      </c>
      <c r="K72" s="86" t="str">
        <f aca="false">IF($B72="","",الموظفون!$K72*$I72/cfg_DAYS_M)</f>
        <v/>
      </c>
      <c r="L72" s="86" t="str">
        <f aca="false">IF($B72="","",الموظفون!$L72*$I72/cfg_DAYS_M)</f>
        <v/>
      </c>
      <c r="M72" s="86" t="str">
        <f aca="false">IF($B72="","",الموظفون!$M72*$I72/cfg_DAYS_M)</f>
        <v/>
      </c>
      <c r="N72" s="105" t="str">
        <f aca="false">IF($B72="","",SUMIFS('الحركات الشهرية'!$F$6:$F$1005,'الحركات الشهرية'!$B$6:$B$1005,$B72,'الحركات الشهرية'!$A$6:$A$1005,$C$3))</f>
        <v/>
      </c>
      <c r="O72" s="86" t="str">
        <f aca="false">IF($B72="","",N72*(الموظفون!$N72+الموظفون!$J72*cfg_OT_P)/cfg_DAYS_M/cfg_HRS)</f>
        <v/>
      </c>
      <c r="P72" s="86" t="str">
        <f aca="false">IF($B72="","",SUMIFS('الحركات الشهرية'!$G$6:$G$1005,'الحركات الشهرية'!$B$6:$B$1005,$B72,'الحركات الشهرية'!$A$6:$A$1005,$C$3))</f>
        <v/>
      </c>
      <c r="Q72" s="86" t="str">
        <f aca="false">IF($B72="","",SUMIFS('الحركات الشهرية'!$H$6:$H$1005,'الحركات الشهرية'!$B$6:$B$1005,$B72,'الحركات الشهرية'!$A$6:$A$1005,$C$3))</f>
        <v/>
      </c>
      <c r="R72" s="106" t="str">
        <f aca="false">IF($B72="","",SUM(J72:M72)+SUM(O72:Q72))</f>
        <v/>
      </c>
      <c r="S72" s="86" t="str">
        <f aca="false">IF($B72="","",الموظفون!$Q72*IF(E72="سعودي",cfg_G_SE,cfg_G_NE)*F72/cfg_DAYS_M)</f>
        <v/>
      </c>
      <c r="T72" s="86" t="str">
        <f aca="false">IF($B72="","",SUMIFS('الحركات الشهرية'!$I$6:$I$1005,'الحركات الشهرية'!$B$6:$B$1005,$B72,'الحركات الشهرية'!$A$6:$A$1005,$C$3))</f>
        <v/>
      </c>
      <c r="U72" s="86" t="str">
        <f aca="false">IF($B72="","",SUMIFS('الحركات الشهرية'!$J$6:$J$1005,'الحركات الشهرية'!$B$6:$B$1005,$B72,'الحركات الشهرية'!$A$6:$A$1005,$C$3))</f>
        <v/>
      </c>
      <c r="V72" s="86" t="str">
        <f aca="false">IF($B72="","",SUM(S72:U72))</f>
        <v/>
      </c>
      <c r="W72" s="107" t="str">
        <f aca="false">IF($B72="","",R72-V72)</f>
        <v/>
      </c>
      <c r="X72" s="86" t="str">
        <f aca="false">IF($B72="","",الموظفون!$Q72*IF(E72="سعودي",cfg_G_SR,cfg_G_NR)*F72/cfg_DAYS_M)</f>
        <v/>
      </c>
      <c r="Y72" s="86" t="str">
        <f aca="false">IF($B72="","",الموظفون!$O72*(cfg_EOS_R1*(MIN(AC72,cfg_EOS_TH)-MIN(AD72,cfg_EOS_TH))+cfg_EOS_R2*(MAX(AC72-cfg_EOS_TH,0)-MAX(AD72-cfg_EOS_TH,0))))</f>
        <v/>
      </c>
      <c r="Z72" s="86" t="str">
        <f aca="false">IF($B72="","",IF(الموظفون!$R72&lt;&gt;"",الموظفون!$R72,IF(AC72&gt;=cfg_LV_TH,cfg_LV_D2,cfg_LV_D1))/cfg_DAYS_Y*AE72*الموظفون!$P72/cfg_DAYS_M)</f>
        <v/>
      </c>
      <c r="AA72" s="86" t="str">
        <f aca="false">IF($B72="","",IF(AND(الموظفون!$S72="نعم",N(الموظفون!$U72)&gt;0),الموظفون!$T72/الموظفون!$U72*12/cfg_DAYS_Y*AE72,0))</f>
        <v/>
      </c>
      <c r="AB72" s="108" t="str">
        <f aca="false">IF($B72="","",R72+SUM(X72:AA72))</f>
        <v/>
      </c>
      <c r="AC72" s="109" t="str">
        <f aca="false">IF($B72="","",MAX(0,IF(OR(الموظفون!$X72="",الموظفون!$X72&gt;$G$3),$G$3,الموظفون!$X72)-الموظفون!$H72+1)/cfg_DAYS_Y)</f>
        <v/>
      </c>
      <c r="AD72" s="109" t="str">
        <f aca="false">IF($B72="","",MAX(0,IF(OR(الموظفون!$X72="",الموظفون!$X72&gt;($E$3-1)),($E$3-1),الموظفون!$X72)-الموظفون!$H72+1)/cfg_DAYS_Y)</f>
        <v/>
      </c>
      <c r="AE72" s="51" t="str">
        <f aca="false">IF($B72="","",MAX(0,IF(OR(الموظفون!$X72="",الموظفون!$X72&gt;$G$3),$G$3,الموظفون!$X72)-MAX($E$3,الموظفون!$H72)+1))</f>
        <v/>
      </c>
    </row>
    <row r="73" customFormat="false" ht="15" hidden="false" customHeight="false" outlineLevel="0" collapsed="false">
      <c r="A73" s="89" t="str">
        <f aca="false">IF($B73="","",الموظفون!$A73)</f>
        <v/>
      </c>
      <c r="B73" s="91" t="str">
        <f aca="false">IF(الموظفون!$B73="","",الموظفون!$B73)</f>
        <v/>
      </c>
      <c r="C73" s="91" t="str">
        <f aca="false">IF($B73="","",الموظفون!$C73)</f>
        <v/>
      </c>
      <c r="D73" s="91" t="str">
        <f aca="false">IF($B73="","",الموظفون!$F73)</f>
        <v/>
      </c>
      <c r="E73" s="91" t="str">
        <f aca="false">IF($B73="","",الموظفون!$E73)</f>
        <v/>
      </c>
      <c r="F73" s="110" t="str">
        <f aca="false">IF($B73="","",IF(AE73&gt;=DAY($G$3),cfg_DAYS_M,MIN(AE73,cfg_DAYS_M)))</f>
        <v/>
      </c>
      <c r="G73" s="110" t="str">
        <f aca="false">IF($B73="","",SUMIFS('الحركات الشهرية'!$D$6:$D$1005,'الحركات الشهرية'!$B$6:$B$1005,$B73,'الحركات الشهرية'!$A$6:$A$1005,$C$3))</f>
        <v/>
      </c>
      <c r="H73" s="110" t="str">
        <f aca="false">IF($B73="","",SUMIFS('الحركات الشهرية'!$E$6:$E$1005,'الحركات الشهرية'!$B$6:$B$1005,$B73,'الحركات الشهرية'!$A$6:$A$1005,$C$3))</f>
        <v/>
      </c>
      <c r="I73" s="110" t="str">
        <f aca="false">IF($B73="","",MAX(0,F73-G73-H73))</f>
        <v/>
      </c>
      <c r="J73" s="90" t="str">
        <f aca="false">IF($B73="","",الموظفون!$J73*$I73/cfg_DAYS_M)</f>
        <v/>
      </c>
      <c r="K73" s="90" t="str">
        <f aca="false">IF($B73="","",الموظفون!$K73*$I73/cfg_DAYS_M)</f>
        <v/>
      </c>
      <c r="L73" s="90" t="str">
        <f aca="false">IF($B73="","",الموظفون!$L73*$I73/cfg_DAYS_M)</f>
        <v/>
      </c>
      <c r="M73" s="90" t="str">
        <f aca="false">IF($B73="","",الموظفون!$M73*$I73/cfg_DAYS_M)</f>
        <v/>
      </c>
      <c r="N73" s="110" t="str">
        <f aca="false">IF($B73="","",SUMIFS('الحركات الشهرية'!$F$6:$F$1005,'الحركات الشهرية'!$B$6:$B$1005,$B73,'الحركات الشهرية'!$A$6:$A$1005,$C$3))</f>
        <v/>
      </c>
      <c r="O73" s="90" t="str">
        <f aca="false">IF($B73="","",N73*(الموظفون!$N73+الموظفون!$J73*cfg_OT_P)/cfg_DAYS_M/cfg_HRS)</f>
        <v/>
      </c>
      <c r="P73" s="90" t="str">
        <f aca="false">IF($B73="","",SUMIFS('الحركات الشهرية'!$G$6:$G$1005,'الحركات الشهرية'!$B$6:$B$1005,$B73,'الحركات الشهرية'!$A$6:$A$1005,$C$3))</f>
        <v/>
      </c>
      <c r="Q73" s="90" t="str">
        <f aca="false">IF($B73="","",SUMIFS('الحركات الشهرية'!$H$6:$H$1005,'الحركات الشهرية'!$B$6:$B$1005,$B73,'الحركات الشهرية'!$A$6:$A$1005,$C$3))</f>
        <v/>
      </c>
      <c r="R73" s="111" t="str">
        <f aca="false">IF($B73="","",SUM(J73:M73)+SUM(O73:Q73))</f>
        <v/>
      </c>
      <c r="S73" s="90" t="str">
        <f aca="false">IF($B73="","",الموظفون!$Q73*IF(E73="سعودي",cfg_G_SE,cfg_G_NE)*F73/cfg_DAYS_M)</f>
        <v/>
      </c>
      <c r="T73" s="90" t="str">
        <f aca="false">IF($B73="","",SUMIFS('الحركات الشهرية'!$I$6:$I$1005,'الحركات الشهرية'!$B$6:$B$1005,$B73,'الحركات الشهرية'!$A$6:$A$1005,$C$3))</f>
        <v/>
      </c>
      <c r="U73" s="90" t="str">
        <f aca="false">IF($B73="","",SUMIFS('الحركات الشهرية'!$J$6:$J$1005,'الحركات الشهرية'!$B$6:$B$1005,$B73,'الحركات الشهرية'!$A$6:$A$1005,$C$3))</f>
        <v/>
      </c>
      <c r="V73" s="90" t="str">
        <f aca="false">IF($B73="","",SUM(S73:U73))</f>
        <v/>
      </c>
      <c r="W73" s="112" t="str">
        <f aca="false">IF($B73="","",R73-V73)</f>
        <v/>
      </c>
      <c r="X73" s="90" t="str">
        <f aca="false">IF($B73="","",الموظفون!$Q73*IF(E73="سعودي",cfg_G_SR,cfg_G_NR)*F73/cfg_DAYS_M)</f>
        <v/>
      </c>
      <c r="Y73" s="90" t="str">
        <f aca="false">IF($B73="","",الموظفون!$O73*(cfg_EOS_R1*(MIN(AC73,cfg_EOS_TH)-MIN(AD73,cfg_EOS_TH))+cfg_EOS_R2*(MAX(AC73-cfg_EOS_TH,0)-MAX(AD73-cfg_EOS_TH,0))))</f>
        <v/>
      </c>
      <c r="Z73" s="90" t="str">
        <f aca="false">IF($B73="","",IF(الموظفون!$R73&lt;&gt;"",الموظفون!$R73,IF(AC73&gt;=cfg_LV_TH,cfg_LV_D2,cfg_LV_D1))/cfg_DAYS_Y*AE73*الموظفون!$P73/cfg_DAYS_M)</f>
        <v/>
      </c>
      <c r="AA73" s="90" t="str">
        <f aca="false">IF($B73="","",IF(AND(الموظفون!$S73="نعم",N(الموظفون!$U73)&gt;0),الموظفون!$T73/الموظفون!$U73*12/cfg_DAYS_Y*AE73,0))</f>
        <v/>
      </c>
      <c r="AB73" s="113" t="str">
        <f aca="false">IF($B73="","",R73+SUM(X73:AA73))</f>
        <v/>
      </c>
      <c r="AC73" s="114" t="str">
        <f aca="false">IF($B73="","",MAX(0,IF(OR(الموظفون!$X73="",الموظفون!$X73&gt;$G$3),$G$3,الموظفون!$X73)-الموظفون!$H73+1)/cfg_DAYS_Y)</f>
        <v/>
      </c>
      <c r="AD73" s="114" t="str">
        <f aca="false">IF($B73="","",MAX(0,IF(OR(الموظفون!$X73="",الموظفون!$X73&gt;($E$3-1)),($E$3-1),الموظفون!$X73)-الموظفون!$H73+1)/cfg_DAYS_Y)</f>
        <v/>
      </c>
      <c r="AE73" s="115" t="str">
        <f aca="false">IF($B73="","",MAX(0,IF(OR(الموظفون!$X73="",الموظفون!$X73&gt;$G$3),$G$3,الموظفون!$X73)-MAX($E$3,الموظفون!$H73)+1))</f>
        <v/>
      </c>
    </row>
    <row r="74" customFormat="false" ht="15" hidden="false" customHeight="false" outlineLevel="0" collapsed="false">
      <c r="A74" s="83" t="str">
        <f aca="false">IF($B74="","",الموظفون!$A74)</f>
        <v/>
      </c>
      <c r="B74" s="74" t="str">
        <f aca="false">IF(الموظفون!$B74="","",الموظفون!$B74)</f>
        <v/>
      </c>
      <c r="C74" s="74" t="str">
        <f aca="false">IF($B74="","",الموظفون!$C74)</f>
        <v/>
      </c>
      <c r="D74" s="74" t="str">
        <f aca="false">IF($B74="","",الموظفون!$F74)</f>
        <v/>
      </c>
      <c r="E74" s="74" t="str">
        <f aca="false">IF($B74="","",الموظفون!$E74)</f>
        <v/>
      </c>
      <c r="F74" s="105" t="str">
        <f aca="false">IF($B74="","",IF(AE74&gt;=DAY($G$3),cfg_DAYS_M,MIN(AE74,cfg_DAYS_M)))</f>
        <v/>
      </c>
      <c r="G74" s="105" t="str">
        <f aca="false">IF($B74="","",SUMIFS('الحركات الشهرية'!$D$6:$D$1005,'الحركات الشهرية'!$B$6:$B$1005,$B74,'الحركات الشهرية'!$A$6:$A$1005,$C$3))</f>
        <v/>
      </c>
      <c r="H74" s="105" t="str">
        <f aca="false">IF($B74="","",SUMIFS('الحركات الشهرية'!$E$6:$E$1005,'الحركات الشهرية'!$B$6:$B$1005,$B74,'الحركات الشهرية'!$A$6:$A$1005,$C$3))</f>
        <v/>
      </c>
      <c r="I74" s="105" t="str">
        <f aca="false">IF($B74="","",MAX(0,F74-G74-H74))</f>
        <v/>
      </c>
      <c r="J74" s="86" t="str">
        <f aca="false">IF($B74="","",الموظفون!$J74*$I74/cfg_DAYS_M)</f>
        <v/>
      </c>
      <c r="K74" s="86" t="str">
        <f aca="false">IF($B74="","",الموظفون!$K74*$I74/cfg_DAYS_M)</f>
        <v/>
      </c>
      <c r="L74" s="86" t="str">
        <f aca="false">IF($B74="","",الموظفون!$L74*$I74/cfg_DAYS_M)</f>
        <v/>
      </c>
      <c r="M74" s="86" t="str">
        <f aca="false">IF($B74="","",الموظفون!$M74*$I74/cfg_DAYS_M)</f>
        <v/>
      </c>
      <c r="N74" s="105" t="str">
        <f aca="false">IF($B74="","",SUMIFS('الحركات الشهرية'!$F$6:$F$1005,'الحركات الشهرية'!$B$6:$B$1005,$B74,'الحركات الشهرية'!$A$6:$A$1005,$C$3))</f>
        <v/>
      </c>
      <c r="O74" s="86" t="str">
        <f aca="false">IF($B74="","",N74*(الموظفون!$N74+الموظفون!$J74*cfg_OT_P)/cfg_DAYS_M/cfg_HRS)</f>
        <v/>
      </c>
      <c r="P74" s="86" t="str">
        <f aca="false">IF($B74="","",SUMIFS('الحركات الشهرية'!$G$6:$G$1005,'الحركات الشهرية'!$B$6:$B$1005,$B74,'الحركات الشهرية'!$A$6:$A$1005,$C$3))</f>
        <v/>
      </c>
      <c r="Q74" s="86" t="str">
        <f aca="false">IF($B74="","",SUMIFS('الحركات الشهرية'!$H$6:$H$1005,'الحركات الشهرية'!$B$6:$B$1005,$B74,'الحركات الشهرية'!$A$6:$A$1005,$C$3))</f>
        <v/>
      </c>
      <c r="R74" s="106" t="str">
        <f aca="false">IF($B74="","",SUM(J74:M74)+SUM(O74:Q74))</f>
        <v/>
      </c>
      <c r="S74" s="86" t="str">
        <f aca="false">IF($B74="","",الموظفون!$Q74*IF(E74="سعودي",cfg_G_SE,cfg_G_NE)*F74/cfg_DAYS_M)</f>
        <v/>
      </c>
      <c r="T74" s="86" t="str">
        <f aca="false">IF($B74="","",SUMIFS('الحركات الشهرية'!$I$6:$I$1005,'الحركات الشهرية'!$B$6:$B$1005,$B74,'الحركات الشهرية'!$A$6:$A$1005,$C$3))</f>
        <v/>
      </c>
      <c r="U74" s="86" t="str">
        <f aca="false">IF($B74="","",SUMIFS('الحركات الشهرية'!$J$6:$J$1005,'الحركات الشهرية'!$B$6:$B$1005,$B74,'الحركات الشهرية'!$A$6:$A$1005,$C$3))</f>
        <v/>
      </c>
      <c r="V74" s="86" t="str">
        <f aca="false">IF($B74="","",SUM(S74:U74))</f>
        <v/>
      </c>
      <c r="W74" s="107" t="str">
        <f aca="false">IF($B74="","",R74-V74)</f>
        <v/>
      </c>
      <c r="X74" s="86" t="str">
        <f aca="false">IF($B74="","",الموظفون!$Q74*IF(E74="سعودي",cfg_G_SR,cfg_G_NR)*F74/cfg_DAYS_M)</f>
        <v/>
      </c>
      <c r="Y74" s="86" t="str">
        <f aca="false">IF($B74="","",الموظفون!$O74*(cfg_EOS_R1*(MIN(AC74,cfg_EOS_TH)-MIN(AD74,cfg_EOS_TH))+cfg_EOS_R2*(MAX(AC74-cfg_EOS_TH,0)-MAX(AD74-cfg_EOS_TH,0))))</f>
        <v/>
      </c>
      <c r="Z74" s="86" t="str">
        <f aca="false">IF($B74="","",IF(الموظفون!$R74&lt;&gt;"",الموظفون!$R74,IF(AC74&gt;=cfg_LV_TH,cfg_LV_D2,cfg_LV_D1))/cfg_DAYS_Y*AE74*الموظفون!$P74/cfg_DAYS_M)</f>
        <v/>
      </c>
      <c r="AA74" s="86" t="str">
        <f aca="false">IF($B74="","",IF(AND(الموظفون!$S74="نعم",N(الموظفون!$U74)&gt;0),الموظفون!$T74/الموظفون!$U74*12/cfg_DAYS_Y*AE74,0))</f>
        <v/>
      </c>
      <c r="AB74" s="108" t="str">
        <f aca="false">IF($B74="","",R74+SUM(X74:AA74))</f>
        <v/>
      </c>
      <c r="AC74" s="109" t="str">
        <f aca="false">IF($B74="","",MAX(0,IF(OR(الموظفون!$X74="",الموظفون!$X74&gt;$G$3),$G$3,الموظفون!$X74)-الموظفون!$H74+1)/cfg_DAYS_Y)</f>
        <v/>
      </c>
      <c r="AD74" s="109" t="str">
        <f aca="false">IF($B74="","",MAX(0,IF(OR(الموظفون!$X74="",الموظفون!$X74&gt;($E$3-1)),($E$3-1),الموظفون!$X74)-الموظفون!$H74+1)/cfg_DAYS_Y)</f>
        <v/>
      </c>
      <c r="AE74" s="51" t="str">
        <f aca="false">IF($B74="","",MAX(0,IF(OR(الموظفون!$X74="",الموظفون!$X74&gt;$G$3),$G$3,الموظفون!$X74)-MAX($E$3,الموظفون!$H74)+1))</f>
        <v/>
      </c>
    </row>
    <row r="75" customFormat="false" ht="15" hidden="false" customHeight="false" outlineLevel="0" collapsed="false">
      <c r="A75" s="89" t="str">
        <f aca="false">IF($B75="","",الموظفون!$A75)</f>
        <v/>
      </c>
      <c r="B75" s="91" t="str">
        <f aca="false">IF(الموظفون!$B75="","",الموظفون!$B75)</f>
        <v/>
      </c>
      <c r="C75" s="91" t="str">
        <f aca="false">IF($B75="","",الموظفون!$C75)</f>
        <v/>
      </c>
      <c r="D75" s="91" t="str">
        <f aca="false">IF($B75="","",الموظفون!$F75)</f>
        <v/>
      </c>
      <c r="E75" s="91" t="str">
        <f aca="false">IF($B75="","",الموظفون!$E75)</f>
        <v/>
      </c>
      <c r="F75" s="110" t="str">
        <f aca="false">IF($B75="","",IF(AE75&gt;=DAY($G$3),cfg_DAYS_M,MIN(AE75,cfg_DAYS_M)))</f>
        <v/>
      </c>
      <c r="G75" s="110" t="str">
        <f aca="false">IF($B75="","",SUMIFS('الحركات الشهرية'!$D$6:$D$1005,'الحركات الشهرية'!$B$6:$B$1005,$B75,'الحركات الشهرية'!$A$6:$A$1005,$C$3))</f>
        <v/>
      </c>
      <c r="H75" s="110" t="str">
        <f aca="false">IF($B75="","",SUMIFS('الحركات الشهرية'!$E$6:$E$1005,'الحركات الشهرية'!$B$6:$B$1005,$B75,'الحركات الشهرية'!$A$6:$A$1005,$C$3))</f>
        <v/>
      </c>
      <c r="I75" s="110" t="str">
        <f aca="false">IF($B75="","",MAX(0,F75-G75-H75))</f>
        <v/>
      </c>
      <c r="J75" s="90" t="str">
        <f aca="false">IF($B75="","",الموظفون!$J75*$I75/cfg_DAYS_M)</f>
        <v/>
      </c>
      <c r="K75" s="90" t="str">
        <f aca="false">IF($B75="","",الموظفون!$K75*$I75/cfg_DAYS_M)</f>
        <v/>
      </c>
      <c r="L75" s="90" t="str">
        <f aca="false">IF($B75="","",الموظفون!$L75*$I75/cfg_DAYS_M)</f>
        <v/>
      </c>
      <c r="M75" s="90" t="str">
        <f aca="false">IF($B75="","",الموظفون!$M75*$I75/cfg_DAYS_M)</f>
        <v/>
      </c>
      <c r="N75" s="110" t="str">
        <f aca="false">IF($B75="","",SUMIFS('الحركات الشهرية'!$F$6:$F$1005,'الحركات الشهرية'!$B$6:$B$1005,$B75,'الحركات الشهرية'!$A$6:$A$1005,$C$3))</f>
        <v/>
      </c>
      <c r="O75" s="90" t="str">
        <f aca="false">IF($B75="","",N75*(الموظفون!$N75+الموظفون!$J75*cfg_OT_P)/cfg_DAYS_M/cfg_HRS)</f>
        <v/>
      </c>
      <c r="P75" s="90" t="str">
        <f aca="false">IF($B75="","",SUMIFS('الحركات الشهرية'!$G$6:$G$1005,'الحركات الشهرية'!$B$6:$B$1005,$B75,'الحركات الشهرية'!$A$6:$A$1005,$C$3))</f>
        <v/>
      </c>
      <c r="Q75" s="90" t="str">
        <f aca="false">IF($B75="","",SUMIFS('الحركات الشهرية'!$H$6:$H$1005,'الحركات الشهرية'!$B$6:$B$1005,$B75,'الحركات الشهرية'!$A$6:$A$1005,$C$3))</f>
        <v/>
      </c>
      <c r="R75" s="111" t="str">
        <f aca="false">IF($B75="","",SUM(J75:M75)+SUM(O75:Q75))</f>
        <v/>
      </c>
      <c r="S75" s="90" t="str">
        <f aca="false">IF($B75="","",الموظفون!$Q75*IF(E75="سعودي",cfg_G_SE,cfg_G_NE)*F75/cfg_DAYS_M)</f>
        <v/>
      </c>
      <c r="T75" s="90" t="str">
        <f aca="false">IF($B75="","",SUMIFS('الحركات الشهرية'!$I$6:$I$1005,'الحركات الشهرية'!$B$6:$B$1005,$B75,'الحركات الشهرية'!$A$6:$A$1005,$C$3))</f>
        <v/>
      </c>
      <c r="U75" s="90" t="str">
        <f aca="false">IF($B75="","",SUMIFS('الحركات الشهرية'!$J$6:$J$1005,'الحركات الشهرية'!$B$6:$B$1005,$B75,'الحركات الشهرية'!$A$6:$A$1005,$C$3))</f>
        <v/>
      </c>
      <c r="V75" s="90" t="str">
        <f aca="false">IF($B75="","",SUM(S75:U75))</f>
        <v/>
      </c>
      <c r="W75" s="112" t="str">
        <f aca="false">IF($B75="","",R75-V75)</f>
        <v/>
      </c>
      <c r="X75" s="90" t="str">
        <f aca="false">IF($B75="","",الموظفون!$Q75*IF(E75="سعودي",cfg_G_SR,cfg_G_NR)*F75/cfg_DAYS_M)</f>
        <v/>
      </c>
      <c r="Y75" s="90" t="str">
        <f aca="false">IF($B75="","",الموظفون!$O75*(cfg_EOS_R1*(MIN(AC75,cfg_EOS_TH)-MIN(AD75,cfg_EOS_TH))+cfg_EOS_R2*(MAX(AC75-cfg_EOS_TH,0)-MAX(AD75-cfg_EOS_TH,0))))</f>
        <v/>
      </c>
      <c r="Z75" s="90" t="str">
        <f aca="false">IF($B75="","",IF(الموظفون!$R75&lt;&gt;"",الموظفون!$R75,IF(AC75&gt;=cfg_LV_TH,cfg_LV_D2,cfg_LV_D1))/cfg_DAYS_Y*AE75*الموظفون!$P75/cfg_DAYS_M)</f>
        <v/>
      </c>
      <c r="AA75" s="90" t="str">
        <f aca="false">IF($B75="","",IF(AND(الموظفون!$S75="نعم",N(الموظفون!$U75)&gt;0),الموظفون!$T75/الموظفون!$U75*12/cfg_DAYS_Y*AE75,0))</f>
        <v/>
      </c>
      <c r="AB75" s="113" t="str">
        <f aca="false">IF($B75="","",R75+SUM(X75:AA75))</f>
        <v/>
      </c>
      <c r="AC75" s="114" t="str">
        <f aca="false">IF($B75="","",MAX(0,IF(OR(الموظفون!$X75="",الموظفون!$X75&gt;$G$3),$G$3,الموظفون!$X75)-الموظفون!$H75+1)/cfg_DAYS_Y)</f>
        <v/>
      </c>
      <c r="AD75" s="114" t="str">
        <f aca="false">IF($B75="","",MAX(0,IF(OR(الموظفون!$X75="",الموظفون!$X75&gt;($E$3-1)),($E$3-1),الموظفون!$X75)-الموظفون!$H75+1)/cfg_DAYS_Y)</f>
        <v/>
      </c>
      <c r="AE75" s="115" t="str">
        <f aca="false">IF($B75="","",MAX(0,IF(OR(الموظفون!$X75="",الموظفون!$X75&gt;$G$3),$G$3,الموظفون!$X75)-MAX($E$3,الموظفون!$H75)+1))</f>
        <v/>
      </c>
    </row>
    <row r="76" customFormat="false" ht="15" hidden="false" customHeight="false" outlineLevel="0" collapsed="false">
      <c r="A76" s="83" t="str">
        <f aca="false">IF($B76="","",الموظفون!$A76)</f>
        <v/>
      </c>
      <c r="B76" s="74" t="str">
        <f aca="false">IF(الموظفون!$B76="","",الموظفون!$B76)</f>
        <v/>
      </c>
      <c r="C76" s="74" t="str">
        <f aca="false">IF($B76="","",الموظفون!$C76)</f>
        <v/>
      </c>
      <c r="D76" s="74" t="str">
        <f aca="false">IF($B76="","",الموظفون!$F76)</f>
        <v/>
      </c>
      <c r="E76" s="74" t="str">
        <f aca="false">IF($B76="","",الموظفون!$E76)</f>
        <v/>
      </c>
      <c r="F76" s="105" t="str">
        <f aca="false">IF($B76="","",IF(AE76&gt;=DAY($G$3),cfg_DAYS_M,MIN(AE76,cfg_DAYS_M)))</f>
        <v/>
      </c>
      <c r="G76" s="105" t="str">
        <f aca="false">IF($B76="","",SUMIFS('الحركات الشهرية'!$D$6:$D$1005,'الحركات الشهرية'!$B$6:$B$1005,$B76,'الحركات الشهرية'!$A$6:$A$1005,$C$3))</f>
        <v/>
      </c>
      <c r="H76" s="105" t="str">
        <f aca="false">IF($B76="","",SUMIFS('الحركات الشهرية'!$E$6:$E$1005,'الحركات الشهرية'!$B$6:$B$1005,$B76,'الحركات الشهرية'!$A$6:$A$1005,$C$3))</f>
        <v/>
      </c>
      <c r="I76" s="105" t="str">
        <f aca="false">IF($B76="","",MAX(0,F76-G76-H76))</f>
        <v/>
      </c>
      <c r="J76" s="86" t="str">
        <f aca="false">IF($B76="","",الموظفون!$J76*$I76/cfg_DAYS_M)</f>
        <v/>
      </c>
      <c r="K76" s="86" t="str">
        <f aca="false">IF($B76="","",الموظفون!$K76*$I76/cfg_DAYS_M)</f>
        <v/>
      </c>
      <c r="L76" s="86" t="str">
        <f aca="false">IF($B76="","",الموظفون!$L76*$I76/cfg_DAYS_M)</f>
        <v/>
      </c>
      <c r="M76" s="86" t="str">
        <f aca="false">IF($B76="","",الموظفون!$M76*$I76/cfg_DAYS_M)</f>
        <v/>
      </c>
      <c r="N76" s="105" t="str">
        <f aca="false">IF($B76="","",SUMIFS('الحركات الشهرية'!$F$6:$F$1005,'الحركات الشهرية'!$B$6:$B$1005,$B76,'الحركات الشهرية'!$A$6:$A$1005,$C$3))</f>
        <v/>
      </c>
      <c r="O76" s="86" t="str">
        <f aca="false">IF($B76="","",N76*(الموظفون!$N76+الموظفون!$J76*cfg_OT_P)/cfg_DAYS_M/cfg_HRS)</f>
        <v/>
      </c>
      <c r="P76" s="86" t="str">
        <f aca="false">IF($B76="","",SUMIFS('الحركات الشهرية'!$G$6:$G$1005,'الحركات الشهرية'!$B$6:$B$1005,$B76,'الحركات الشهرية'!$A$6:$A$1005,$C$3))</f>
        <v/>
      </c>
      <c r="Q76" s="86" t="str">
        <f aca="false">IF($B76="","",SUMIFS('الحركات الشهرية'!$H$6:$H$1005,'الحركات الشهرية'!$B$6:$B$1005,$B76,'الحركات الشهرية'!$A$6:$A$1005,$C$3))</f>
        <v/>
      </c>
      <c r="R76" s="106" t="str">
        <f aca="false">IF($B76="","",SUM(J76:M76)+SUM(O76:Q76))</f>
        <v/>
      </c>
      <c r="S76" s="86" t="str">
        <f aca="false">IF($B76="","",الموظفون!$Q76*IF(E76="سعودي",cfg_G_SE,cfg_G_NE)*F76/cfg_DAYS_M)</f>
        <v/>
      </c>
      <c r="T76" s="86" t="str">
        <f aca="false">IF($B76="","",SUMIFS('الحركات الشهرية'!$I$6:$I$1005,'الحركات الشهرية'!$B$6:$B$1005,$B76,'الحركات الشهرية'!$A$6:$A$1005,$C$3))</f>
        <v/>
      </c>
      <c r="U76" s="86" t="str">
        <f aca="false">IF($B76="","",SUMIFS('الحركات الشهرية'!$J$6:$J$1005,'الحركات الشهرية'!$B$6:$B$1005,$B76,'الحركات الشهرية'!$A$6:$A$1005,$C$3))</f>
        <v/>
      </c>
      <c r="V76" s="86" t="str">
        <f aca="false">IF($B76="","",SUM(S76:U76))</f>
        <v/>
      </c>
      <c r="W76" s="107" t="str">
        <f aca="false">IF($B76="","",R76-V76)</f>
        <v/>
      </c>
      <c r="X76" s="86" t="str">
        <f aca="false">IF($B76="","",الموظفون!$Q76*IF(E76="سعودي",cfg_G_SR,cfg_G_NR)*F76/cfg_DAYS_M)</f>
        <v/>
      </c>
      <c r="Y76" s="86" t="str">
        <f aca="false">IF($B76="","",الموظفون!$O76*(cfg_EOS_R1*(MIN(AC76,cfg_EOS_TH)-MIN(AD76,cfg_EOS_TH))+cfg_EOS_R2*(MAX(AC76-cfg_EOS_TH,0)-MAX(AD76-cfg_EOS_TH,0))))</f>
        <v/>
      </c>
      <c r="Z76" s="86" t="str">
        <f aca="false">IF($B76="","",IF(الموظفون!$R76&lt;&gt;"",الموظفون!$R76,IF(AC76&gt;=cfg_LV_TH,cfg_LV_D2,cfg_LV_D1))/cfg_DAYS_Y*AE76*الموظفون!$P76/cfg_DAYS_M)</f>
        <v/>
      </c>
      <c r="AA76" s="86" t="str">
        <f aca="false">IF($B76="","",IF(AND(الموظفون!$S76="نعم",N(الموظفون!$U76)&gt;0),الموظفون!$T76/الموظفون!$U76*12/cfg_DAYS_Y*AE76,0))</f>
        <v/>
      </c>
      <c r="AB76" s="108" t="str">
        <f aca="false">IF($B76="","",R76+SUM(X76:AA76))</f>
        <v/>
      </c>
      <c r="AC76" s="109" t="str">
        <f aca="false">IF($B76="","",MAX(0,IF(OR(الموظفون!$X76="",الموظفون!$X76&gt;$G$3),$G$3,الموظفون!$X76)-الموظفون!$H76+1)/cfg_DAYS_Y)</f>
        <v/>
      </c>
      <c r="AD76" s="109" t="str">
        <f aca="false">IF($B76="","",MAX(0,IF(OR(الموظفون!$X76="",الموظفون!$X76&gt;($E$3-1)),($E$3-1),الموظفون!$X76)-الموظفون!$H76+1)/cfg_DAYS_Y)</f>
        <v/>
      </c>
      <c r="AE76" s="51" t="str">
        <f aca="false">IF($B76="","",MAX(0,IF(OR(الموظفون!$X76="",الموظفون!$X76&gt;$G$3),$G$3,الموظفون!$X76)-MAX($E$3,الموظفون!$H76)+1))</f>
        <v/>
      </c>
    </row>
    <row r="77" customFormat="false" ht="15" hidden="false" customHeight="false" outlineLevel="0" collapsed="false">
      <c r="A77" s="89" t="str">
        <f aca="false">IF($B77="","",الموظفون!$A77)</f>
        <v/>
      </c>
      <c r="B77" s="91" t="str">
        <f aca="false">IF(الموظفون!$B77="","",الموظفون!$B77)</f>
        <v/>
      </c>
      <c r="C77" s="91" t="str">
        <f aca="false">IF($B77="","",الموظفون!$C77)</f>
        <v/>
      </c>
      <c r="D77" s="91" t="str">
        <f aca="false">IF($B77="","",الموظفون!$F77)</f>
        <v/>
      </c>
      <c r="E77" s="91" t="str">
        <f aca="false">IF($B77="","",الموظفون!$E77)</f>
        <v/>
      </c>
      <c r="F77" s="110" t="str">
        <f aca="false">IF($B77="","",IF(AE77&gt;=DAY($G$3),cfg_DAYS_M,MIN(AE77,cfg_DAYS_M)))</f>
        <v/>
      </c>
      <c r="G77" s="110" t="str">
        <f aca="false">IF($B77="","",SUMIFS('الحركات الشهرية'!$D$6:$D$1005,'الحركات الشهرية'!$B$6:$B$1005,$B77,'الحركات الشهرية'!$A$6:$A$1005,$C$3))</f>
        <v/>
      </c>
      <c r="H77" s="110" t="str">
        <f aca="false">IF($B77="","",SUMIFS('الحركات الشهرية'!$E$6:$E$1005,'الحركات الشهرية'!$B$6:$B$1005,$B77,'الحركات الشهرية'!$A$6:$A$1005,$C$3))</f>
        <v/>
      </c>
      <c r="I77" s="110" t="str">
        <f aca="false">IF($B77="","",MAX(0,F77-G77-H77))</f>
        <v/>
      </c>
      <c r="J77" s="90" t="str">
        <f aca="false">IF($B77="","",الموظفون!$J77*$I77/cfg_DAYS_M)</f>
        <v/>
      </c>
      <c r="K77" s="90" t="str">
        <f aca="false">IF($B77="","",الموظفون!$K77*$I77/cfg_DAYS_M)</f>
        <v/>
      </c>
      <c r="L77" s="90" t="str">
        <f aca="false">IF($B77="","",الموظفون!$L77*$I77/cfg_DAYS_M)</f>
        <v/>
      </c>
      <c r="M77" s="90" t="str">
        <f aca="false">IF($B77="","",الموظفون!$M77*$I77/cfg_DAYS_M)</f>
        <v/>
      </c>
      <c r="N77" s="110" t="str">
        <f aca="false">IF($B77="","",SUMIFS('الحركات الشهرية'!$F$6:$F$1005,'الحركات الشهرية'!$B$6:$B$1005,$B77,'الحركات الشهرية'!$A$6:$A$1005,$C$3))</f>
        <v/>
      </c>
      <c r="O77" s="90" t="str">
        <f aca="false">IF($B77="","",N77*(الموظفون!$N77+الموظفون!$J77*cfg_OT_P)/cfg_DAYS_M/cfg_HRS)</f>
        <v/>
      </c>
      <c r="P77" s="90" t="str">
        <f aca="false">IF($B77="","",SUMIFS('الحركات الشهرية'!$G$6:$G$1005,'الحركات الشهرية'!$B$6:$B$1005,$B77,'الحركات الشهرية'!$A$6:$A$1005,$C$3))</f>
        <v/>
      </c>
      <c r="Q77" s="90" t="str">
        <f aca="false">IF($B77="","",SUMIFS('الحركات الشهرية'!$H$6:$H$1005,'الحركات الشهرية'!$B$6:$B$1005,$B77,'الحركات الشهرية'!$A$6:$A$1005,$C$3))</f>
        <v/>
      </c>
      <c r="R77" s="111" t="str">
        <f aca="false">IF($B77="","",SUM(J77:M77)+SUM(O77:Q77))</f>
        <v/>
      </c>
      <c r="S77" s="90" t="str">
        <f aca="false">IF($B77="","",الموظفون!$Q77*IF(E77="سعودي",cfg_G_SE,cfg_G_NE)*F77/cfg_DAYS_M)</f>
        <v/>
      </c>
      <c r="T77" s="90" t="str">
        <f aca="false">IF($B77="","",SUMIFS('الحركات الشهرية'!$I$6:$I$1005,'الحركات الشهرية'!$B$6:$B$1005,$B77,'الحركات الشهرية'!$A$6:$A$1005,$C$3))</f>
        <v/>
      </c>
      <c r="U77" s="90" t="str">
        <f aca="false">IF($B77="","",SUMIFS('الحركات الشهرية'!$J$6:$J$1005,'الحركات الشهرية'!$B$6:$B$1005,$B77,'الحركات الشهرية'!$A$6:$A$1005,$C$3))</f>
        <v/>
      </c>
      <c r="V77" s="90" t="str">
        <f aca="false">IF($B77="","",SUM(S77:U77))</f>
        <v/>
      </c>
      <c r="W77" s="112" t="str">
        <f aca="false">IF($B77="","",R77-V77)</f>
        <v/>
      </c>
      <c r="X77" s="90" t="str">
        <f aca="false">IF($B77="","",الموظفون!$Q77*IF(E77="سعودي",cfg_G_SR,cfg_G_NR)*F77/cfg_DAYS_M)</f>
        <v/>
      </c>
      <c r="Y77" s="90" t="str">
        <f aca="false">IF($B77="","",الموظفون!$O77*(cfg_EOS_R1*(MIN(AC77,cfg_EOS_TH)-MIN(AD77,cfg_EOS_TH))+cfg_EOS_R2*(MAX(AC77-cfg_EOS_TH,0)-MAX(AD77-cfg_EOS_TH,0))))</f>
        <v/>
      </c>
      <c r="Z77" s="90" t="str">
        <f aca="false">IF($B77="","",IF(الموظفون!$R77&lt;&gt;"",الموظفون!$R77,IF(AC77&gt;=cfg_LV_TH,cfg_LV_D2,cfg_LV_D1))/cfg_DAYS_Y*AE77*الموظفون!$P77/cfg_DAYS_M)</f>
        <v/>
      </c>
      <c r="AA77" s="90" t="str">
        <f aca="false">IF($B77="","",IF(AND(الموظفون!$S77="نعم",N(الموظفون!$U77)&gt;0),الموظفون!$T77/الموظفون!$U77*12/cfg_DAYS_Y*AE77,0))</f>
        <v/>
      </c>
      <c r="AB77" s="113" t="str">
        <f aca="false">IF($B77="","",R77+SUM(X77:AA77))</f>
        <v/>
      </c>
      <c r="AC77" s="114" t="str">
        <f aca="false">IF($B77="","",MAX(0,IF(OR(الموظفون!$X77="",الموظفون!$X77&gt;$G$3),$G$3,الموظفون!$X77)-الموظفون!$H77+1)/cfg_DAYS_Y)</f>
        <v/>
      </c>
      <c r="AD77" s="114" t="str">
        <f aca="false">IF($B77="","",MAX(0,IF(OR(الموظفون!$X77="",الموظفون!$X77&gt;($E$3-1)),($E$3-1),الموظفون!$X77)-الموظفون!$H77+1)/cfg_DAYS_Y)</f>
        <v/>
      </c>
      <c r="AE77" s="115" t="str">
        <f aca="false">IF($B77="","",MAX(0,IF(OR(الموظفون!$X77="",الموظفون!$X77&gt;$G$3),$G$3,الموظفون!$X77)-MAX($E$3,الموظفون!$H77)+1))</f>
        <v/>
      </c>
    </row>
    <row r="78" customFormat="false" ht="15" hidden="false" customHeight="false" outlineLevel="0" collapsed="false">
      <c r="A78" s="83" t="str">
        <f aca="false">IF($B78="","",الموظفون!$A78)</f>
        <v/>
      </c>
      <c r="B78" s="74" t="str">
        <f aca="false">IF(الموظفون!$B78="","",الموظفون!$B78)</f>
        <v/>
      </c>
      <c r="C78" s="74" t="str">
        <f aca="false">IF($B78="","",الموظفون!$C78)</f>
        <v/>
      </c>
      <c r="D78" s="74" t="str">
        <f aca="false">IF($B78="","",الموظفون!$F78)</f>
        <v/>
      </c>
      <c r="E78" s="74" t="str">
        <f aca="false">IF($B78="","",الموظفون!$E78)</f>
        <v/>
      </c>
      <c r="F78" s="105" t="str">
        <f aca="false">IF($B78="","",IF(AE78&gt;=DAY($G$3),cfg_DAYS_M,MIN(AE78,cfg_DAYS_M)))</f>
        <v/>
      </c>
      <c r="G78" s="105" t="str">
        <f aca="false">IF($B78="","",SUMIFS('الحركات الشهرية'!$D$6:$D$1005,'الحركات الشهرية'!$B$6:$B$1005,$B78,'الحركات الشهرية'!$A$6:$A$1005,$C$3))</f>
        <v/>
      </c>
      <c r="H78" s="105" t="str">
        <f aca="false">IF($B78="","",SUMIFS('الحركات الشهرية'!$E$6:$E$1005,'الحركات الشهرية'!$B$6:$B$1005,$B78,'الحركات الشهرية'!$A$6:$A$1005,$C$3))</f>
        <v/>
      </c>
      <c r="I78" s="105" t="str">
        <f aca="false">IF($B78="","",MAX(0,F78-G78-H78))</f>
        <v/>
      </c>
      <c r="J78" s="86" t="str">
        <f aca="false">IF($B78="","",الموظفون!$J78*$I78/cfg_DAYS_M)</f>
        <v/>
      </c>
      <c r="K78" s="86" t="str">
        <f aca="false">IF($B78="","",الموظفون!$K78*$I78/cfg_DAYS_M)</f>
        <v/>
      </c>
      <c r="L78" s="86" t="str">
        <f aca="false">IF($B78="","",الموظفون!$L78*$I78/cfg_DAYS_M)</f>
        <v/>
      </c>
      <c r="M78" s="86" t="str">
        <f aca="false">IF($B78="","",الموظفون!$M78*$I78/cfg_DAYS_M)</f>
        <v/>
      </c>
      <c r="N78" s="105" t="str">
        <f aca="false">IF($B78="","",SUMIFS('الحركات الشهرية'!$F$6:$F$1005,'الحركات الشهرية'!$B$6:$B$1005,$B78,'الحركات الشهرية'!$A$6:$A$1005,$C$3))</f>
        <v/>
      </c>
      <c r="O78" s="86" t="str">
        <f aca="false">IF($B78="","",N78*(الموظفون!$N78+الموظفون!$J78*cfg_OT_P)/cfg_DAYS_M/cfg_HRS)</f>
        <v/>
      </c>
      <c r="P78" s="86" t="str">
        <f aca="false">IF($B78="","",SUMIFS('الحركات الشهرية'!$G$6:$G$1005,'الحركات الشهرية'!$B$6:$B$1005,$B78,'الحركات الشهرية'!$A$6:$A$1005,$C$3))</f>
        <v/>
      </c>
      <c r="Q78" s="86" t="str">
        <f aca="false">IF($B78="","",SUMIFS('الحركات الشهرية'!$H$6:$H$1005,'الحركات الشهرية'!$B$6:$B$1005,$B78,'الحركات الشهرية'!$A$6:$A$1005,$C$3))</f>
        <v/>
      </c>
      <c r="R78" s="106" t="str">
        <f aca="false">IF($B78="","",SUM(J78:M78)+SUM(O78:Q78))</f>
        <v/>
      </c>
      <c r="S78" s="86" t="str">
        <f aca="false">IF($B78="","",الموظفون!$Q78*IF(E78="سعودي",cfg_G_SE,cfg_G_NE)*F78/cfg_DAYS_M)</f>
        <v/>
      </c>
      <c r="T78" s="86" t="str">
        <f aca="false">IF($B78="","",SUMIFS('الحركات الشهرية'!$I$6:$I$1005,'الحركات الشهرية'!$B$6:$B$1005,$B78,'الحركات الشهرية'!$A$6:$A$1005,$C$3))</f>
        <v/>
      </c>
      <c r="U78" s="86" t="str">
        <f aca="false">IF($B78="","",SUMIFS('الحركات الشهرية'!$J$6:$J$1005,'الحركات الشهرية'!$B$6:$B$1005,$B78,'الحركات الشهرية'!$A$6:$A$1005,$C$3))</f>
        <v/>
      </c>
      <c r="V78" s="86" t="str">
        <f aca="false">IF($B78="","",SUM(S78:U78))</f>
        <v/>
      </c>
      <c r="W78" s="107" t="str">
        <f aca="false">IF($B78="","",R78-V78)</f>
        <v/>
      </c>
      <c r="X78" s="86" t="str">
        <f aca="false">IF($B78="","",الموظفون!$Q78*IF(E78="سعودي",cfg_G_SR,cfg_G_NR)*F78/cfg_DAYS_M)</f>
        <v/>
      </c>
      <c r="Y78" s="86" t="str">
        <f aca="false">IF($B78="","",الموظفون!$O78*(cfg_EOS_R1*(MIN(AC78,cfg_EOS_TH)-MIN(AD78,cfg_EOS_TH))+cfg_EOS_R2*(MAX(AC78-cfg_EOS_TH,0)-MAX(AD78-cfg_EOS_TH,0))))</f>
        <v/>
      </c>
      <c r="Z78" s="86" t="str">
        <f aca="false">IF($B78="","",IF(الموظفون!$R78&lt;&gt;"",الموظفون!$R78,IF(AC78&gt;=cfg_LV_TH,cfg_LV_D2,cfg_LV_D1))/cfg_DAYS_Y*AE78*الموظفون!$P78/cfg_DAYS_M)</f>
        <v/>
      </c>
      <c r="AA78" s="86" t="str">
        <f aca="false">IF($B78="","",IF(AND(الموظفون!$S78="نعم",N(الموظفون!$U78)&gt;0),الموظفون!$T78/الموظفون!$U78*12/cfg_DAYS_Y*AE78,0))</f>
        <v/>
      </c>
      <c r="AB78" s="108" t="str">
        <f aca="false">IF($B78="","",R78+SUM(X78:AA78))</f>
        <v/>
      </c>
      <c r="AC78" s="109" t="str">
        <f aca="false">IF($B78="","",MAX(0,IF(OR(الموظفون!$X78="",الموظفون!$X78&gt;$G$3),$G$3,الموظفون!$X78)-الموظفون!$H78+1)/cfg_DAYS_Y)</f>
        <v/>
      </c>
      <c r="AD78" s="109" t="str">
        <f aca="false">IF($B78="","",MAX(0,IF(OR(الموظفون!$X78="",الموظفون!$X78&gt;($E$3-1)),($E$3-1),الموظفون!$X78)-الموظفون!$H78+1)/cfg_DAYS_Y)</f>
        <v/>
      </c>
      <c r="AE78" s="51" t="str">
        <f aca="false">IF($B78="","",MAX(0,IF(OR(الموظفون!$X78="",الموظفون!$X78&gt;$G$3),$G$3,الموظفون!$X78)-MAX($E$3,الموظفون!$H78)+1))</f>
        <v/>
      </c>
    </row>
    <row r="79" customFormat="false" ht="15" hidden="false" customHeight="false" outlineLevel="0" collapsed="false">
      <c r="A79" s="89" t="str">
        <f aca="false">IF($B79="","",الموظفون!$A79)</f>
        <v/>
      </c>
      <c r="B79" s="91" t="str">
        <f aca="false">IF(الموظفون!$B79="","",الموظفون!$B79)</f>
        <v/>
      </c>
      <c r="C79" s="91" t="str">
        <f aca="false">IF($B79="","",الموظفون!$C79)</f>
        <v/>
      </c>
      <c r="D79" s="91" t="str">
        <f aca="false">IF($B79="","",الموظفون!$F79)</f>
        <v/>
      </c>
      <c r="E79" s="91" t="str">
        <f aca="false">IF($B79="","",الموظفون!$E79)</f>
        <v/>
      </c>
      <c r="F79" s="110" t="str">
        <f aca="false">IF($B79="","",IF(AE79&gt;=DAY($G$3),cfg_DAYS_M,MIN(AE79,cfg_DAYS_M)))</f>
        <v/>
      </c>
      <c r="G79" s="110" t="str">
        <f aca="false">IF($B79="","",SUMIFS('الحركات الشهرية'!$D$6:$D$1005,'الحركات الشهرية'!$B$6:$B$1005,$B79,'الحركات الشهرية'!$A$6:$A$1005,$C$3))</f>
        <v/>
      </c>
      <c r="H79" s="110" t="str">
        <f aca="false">IF($B79="","",SUMIFS('الحركات الشهرية'!$E$6:$E$1005,'الحركات الشهرية'!$B$6:$B$1005,$B79,'الحركات الشهرية'!$A$6:$A$1005,$C$3))</f>
        <v/>
      </c>
      <c r="I79" s="110" t="str">
        <f aca="false">IF($B79="","",MAX(0,F79-G79-H79))</f>
        <v/>
      </c>
      <c r="J79" s="90" t="str">
        <f aca="false">IF($B79="","",الموظفون!$J79*$I79/cfg_DAYS_M)</f>
        <v/>
      </c>
      <c r="K79" s="90" t="str">
        <f aca="false">IF($B79="","",الموظفون!$K79*$I79/cfg_DAYS_M)</f>
        <v/>
      </c>
      <c r="L79" s="90" t="str">
        <f aca="false">IF($B79="","",الموظفون!$L79*$I79/cfg_DAYS_M)</f>
        <v/>
      </c>
      <c r="M79" s="90" t="str">
        <f aca="false">IF($B79="","",الموظفون!$M79*$I79/cfg_DAYS_M)</f>
        <v/>
      </c>
      <c r="N79" s="110" t="str">
        <f aca="false">IF($B79="","",SUMIFS('الحركات الشهرية'!$F$6:$F$1005,'الحركات الشهرية'!$B$6:$B$1005,$B79,'الحركات الشهرية'!$A$6:$A$1005,$C$3))</f>
        <v/>
      </c>
      <c r="O79" s="90" t="str">
        <f aca="false">IF($B79="","",N79*(الموظفون!$N79+الموظفون!$J79*cfg_OT_P)/cfg_DAYS_M/cfg_HRS)</f>
        <v/>
      </c>
      <c r="P79" s="90" t="str">
        <f aca="false">IF($B79="","",SUMIFS('الحركات الشهرية'!$G$6:$G$1005,'الحركات الشهرية'!$B$6:$B$1005,$B79,'الحركات الشهرية'!$A$6:$A$1005,$C$3))</f>
        <v/>
      </c>
      <c r="Q79" s="90" t="str">
        <f aca="false">IF($B79="","",SUMIFS('الحركات الشهرية'!$H$6:$H$1005,'الحركات الشهرية'!$B$6:$B$1005,$B79,'الحركات الشهرية'!$A$6:$A$1005,$C$3))</f>
        <v/>
      </c>
      <c r="R79" s="111" t="str">
        <f aca="false">IF($B79="","",SUM(J79:M79)+SUM(O79:Q79))</f>
        <v/>
      </c>
      <c r="S79" s="90" t="str">
        <f aca="false">IF($B79="","",الموظفون!$Q79*IF(E79="سعودي",cfg_G_SE,cfg_G_NE)*F79/cfg_DAYS_M)</f>
        <v/>
      </c>
      <c r="T79" s="90" t="str">
        <f aca="false">IF($B79="","",SUMIFS('الحركات الشهرية'!$I$6:$I$1005,'الحركات الشهرية'!$B$6:$B$1005,$B79,'الحركات الشهرية'!$A$6:$A$1005,$C$3))</f>
        <v/>
      </c>
      <c r="U79" s="90" t="str">
        <f aca="false">IF($B79="","",SUMIFS('الحركات الشهرية'!$J$6:$J$1005,'الحركات الشهرية'!$B$6:$B$1005,$B79,'الحركات الشهرية'!$A$6:$A$1005,$C$3))</f>
        <v/>
      </c>
      <c r="V79" s="90" t="str">
        <f aca="false">IF($B79="","",SUM(S79:U79))</f>
        <v/>
      </c>
      <c r="W79" s="112" t="str">
        <f aca="false">IF($B79="","",R79-V79)</f>
        <v/>
      </c>
      <c r="X79" s="90" t="str">
        <f aca="false">IF($B79="","",الموظفون!$Q79*IF(E79="سعودي",cfg_G_SR,cfg_G_NR)*F79/cfg_DAYS_M)</f>
        <v/>
      </c>
      <c r="Y79" s="90" t="str">
        <f aca="false">IF($B79="","",الموظفون!$O79*(cfg_EOS_R1*(MIN(AC79,cfg_EOS_TH)-MIN(AD79,cfg_EOS_TH))+cfg_EOS_R2*(MAX(AC79-cfg_EOS_TH,0)-MAX(AD79-cfg_EOS_TH,0))))</f>
        <v/>
      </c>
      <c r="Z79" s="90" t="str">
        <f aca="false">IF($B79="","",IF(الموظفون!$R79&lt;&gt;"",الموظفون!$R79,IF(AC79&gt;=cfg_LV_TH,cfg_LV_D2,cfg_LV_D1))/cfg_DAYS_Y*AE79*الموظفون!$P79/cfg_DAYS_M)</f>
        <v/>
      </c>
      <c r="AA79" s="90" t="str">
        <f aca="false">IF($B79="","",IF(AND(الموظفون!$S79="نعم",N(الموظفون!$U79)&gt;0),الموظفون!$T79/الموظفون!$U79*12/cfg_DAYS_Y*AE79,0))</f>
        <v/>
      </c>
      <c r="AB79" s="113" t="str">
        <f aca="false">IF($B79="","",R79+SUM(X79:AA79))</f>
        <v/>
      </c>
      <c r="AC79" s="114" t="str">
        <f aca="false">IF($B79="","",MAX(0,IF(OR(الموظفون!$X79="",الموظفون!$X79&gt;$G$3),$G$3,الموظفون!$X79)-الموظفون!$H79+1)/cfg_DAYS_Y)</f>
        <v/>
      </c>
      <c r="AD79" s="114" t="str">
        <f aca="false">IF($B79="","",MAX(0,IF(OR(الموظفون!$X79="",الموظفون!$X79&gt;($E$3-1)),($E$3-1),الموظفون!$X79)-الموظفون!$H79+1)/cfg_DAYS_Y)</f>
        <v/>
      </c>
      <c r="AE79" s="115" t="str">
        <f aca="false">IF($B79="","",MAX(0,IF(OR(الموظفون!$X79="",الموظفون!$X79&gt;$G$3),$G$3,الموظفون!$X79)-MAX($E$3,الموظفون!$H79)+1))</f>
        <v/>
      </c>
    </row>
    <row r="80" customFormat="false" ht="15" hidden="false" customHeight="false" outlineLevel="0" collapsed="false">
      <c r="A80" s="83" t="str">
        <f aca="false">IF($B80="","",الموظفون!$A80)</f>
        <v/>
      </c>
      <c r="B80" s="74" t="str">
        <f aca="false">IF(الموظفون!$B80="","",الموظفون!$B80)</f>
        <v/>
      </c>
      <c r="C80" s="74" t="str">
        <f aca="false">IF($B80="","",الموظفون!$C80)</f>
        <v/>
      </c>
      <c r="D80" s="74" t="str">
        <f aca="false">IF($B80="","",الموظفون!$F80)</f>
        <v/>
      </c>
      <c r="E80" s="74" t="str">
        <f aca="false">IF($B80="","",الموظفون!$E80)</f>
        <v/>
      </c>
      <c r="F80" s="105" t="str">
        <f aca="false">IF($B80="","",IF(AE80&gt;=DAY($G$3),cfg_DAYS_M,MIN(AE80,cfg_DAYS_M)))</f>
        <v/>
      </c>
      <c r="G80" s="105" t="str">
        <f aca="false">IF($B80="","",SUMIFS('الحركات الشهرية'!$D$6:$D$1005,'الحركات الشهرية'!$B$6:$B$1005,$B80,'الحركات الشهرية'!$A$6:$A$1005,$C$3))</f>
        <v/>
      </c>
      <c r="H80" s="105" t="str">
        <f aca="false">IF($B80="","",SUMIFS('الحركات الشهرية'!$E$6:$E$1005,'الحركات الشهرية'!$B$6:$B$1005,$B80,'الحركات الشهرية'!$A$6:$A$1005,$C$3))</f>
        <v/>
      </c>
      <c r="I80" s="105" t="str">
        <f aca="false">IF($B80="","",MAX(0,F80-G80-H80))</f>
        <v/>
      </c>
      <c r="J80" s="86" t="str">
        <f aca="false">IF($B80="","",الموظفون!$J80*$I80/cfg_DAYS_M)</f>
        <v/>
      </c>
      <c r="K80" s="86" t="str">
        <f aca="false">IF($B80="","",الموظفون!$K80*$I80/cfg_DAYS_M)</f>
        <v/>
      </c>
      <c r="L80" s="86" t="str">
        <f aca="false">IF($B80="","",الموظفون!$L80*$I80/cfg_DAYS_M)</f>
        <v/>
      </c>
      <c r="M80" s="86" t="str">
        <f aca="false">IF($B80="","",الموظفون!$M80*$I80/cfg_DAYS_M)</f>
        <v/>
      </c>
      <c r="N80" s="105" t="str">
        <f aca="false">IF($B80="","",SUMIFS('الحركات الشهرية'!$F$6:$F$1005,'الحركات الشهرية'!$B$6:$B$1005,$B80,'الحركات الشهرية'!$A$6:$A$1005,$C$3))</f>
        <v/>
      </c>
      <c r="O80" s="86" t="str">
        <f aca="false">IF($B80="","",N80*(الموظفون!$N80+الموظفون!$J80*cfg_OT_P)/cfg_DAYS_M/cfg_HRS)</f>
        <v/>
      </c>
      <c r="P80" s="86" t="str">
        <f aca="false">IF($B80="","",SUMIFS('الحركات الشهرية'!$G$6:$G$1005,'الحركات الشهرية'!$B$6:$B$1005,$B80,'الحركات الشهرية'!$A$6:$A$1005,$C$3))</f>
        <v/>
      </c>
      <c r="Q80" s="86" t="str">
        <f aca="false">IF($B80="","",SUMIFS('الحركات الشهرية'!$H$6:$H$1005,'الحركات الشهرية'!$B$6:$B$1005,$B80,'الحركات الشهرية'!$A$6:$A$1005,$C$3))</f>
        <v/>
      </c>
      <c r="R80" s="106" t="str">
        <f aca="false">IF($B80="","",SUM(J80:M80)+SUM(O80:Q80))</f>
        <v/>
      </c>
      <c r="S80" s="86" t="str">
        <f aca="false">IF($B80="","",الموظفون!$Q80*IF(E80="سعودي",cfg_G_SE,cfg_G_NE)*F80/cfg_DAYS_M)</f>
        <v/>
      </c>
      <c r="T80" s="86" t="str">
        <f aca="false">IF($B80="","",SUMIFS('الحركات الشهرية'!$I$6:$I$1005,'الحركات الشهرية'!$B$6:$B$1005,$B80,'الحركات الشهرية'!$A$6:$A$1005,$C$3))</f>
        <v/>
      </c>
      <c r="U80" s="86" t="str">
        <f aca="false">IF($B80="","",SUMIFS('الحركات الشهرية'!$J$6:$J$1005,'الحركات الشهرية'!$B$6:$B$1005,$B80,'الحركات الشهرية'!$A$6:$A$1005,$C$3))</f>
        <v/>
      </c>
      <c r="V80" s="86" t="str">
        <f aca="false">IF($B80="","",SUM(S80:U80))</f>
        <v/>
      </c>
      <c r="W80" s="107" t="str">
        <f aca="false">IF($B80="","",R80-V80)</f>
        <v/>
      </c>
      <c r="X80" s="86" t="str">
        <f aca="false">IF($B80="","",الموظفون!$Q80*IF(E80="سعودي",cfg_G_SR,cfg_G_NR)*F80/cfg_DAYS_M)</f>
        <v/>
      </c>
      <c r="Y80" s="86" t="str">
        <f aca="false">IF($B80="","",الموظفون!$O80*(cfg_EOS_R1*(MIN(AC80,cfg_EOS_TH)-MIN(AD80,cfg_EOS_TH))+cfg_EOS_R2*(MAX(AC80-cfg_EOS_TH,0)-MAX(AD80-cfg_EOS_TH,0))))</f>
        <v/>
      </c>
      <c r="Z80" s="86" t="str">
        <f aca="false">IF($B80="","",IF(الموظفون!$R80&lt;&gt;"",الموظفون!$R80,IF(AC80&gt;=cfg_LV_TH,cfg_LV_D2,cfg_LV_D1))/cfg_DAYS_Y*AE80*الموظفون!$P80/cfg_DAYS_M)</f>
        <v/>
      </c>
      <c r="AA80" s="86" t="str">
        <f aca="false">IF($B80="","",IF(AND(الموظفون!$S80="نعم",N(الموظفون!$U80)&gt;0),الموظفون!$T80/الموظفون!$U80*12/cfg_DAYS_Y*AE80,0))</f>
        <v/>
      </c>
      <c r="AB80" s="108" t="str">
        <f aca="false">IF($B80="","",R80+SUM(X80:AA80))</f>
        <v/>
      </c>
      <c r="AC80" s="109" t="str">
        <f aca="false">IF($B80="","",MAX(0,IF(OR(الموظفون!$X80="",الموظفون!$X80&gt;$G$3),$G$3,الموظفون!$X80)-الموظفون!$H80+1)/cfg_DAYS_Y)</f>
        <v/>
      </c>
      <c r="AD80" s="109" t="str">
        <f aca="false">IF($B80="","",MAX(0,IF(OR(الموظفون!$X80="",الموظفون!$X80&gt;($E$3-1)),($E$3-1),الموظفون!$X80)-الموظفون!$H80+1)/cfg_DAYS_Y)</f>
        <v/>
      </c>
      <c r="AE80" s="51" t="str">
        <f aca="false">IF($B80="","",MAX(0,IF(OR(الموظفون!$X80="",الموظفون!$X80&gt;$G$3),$G$3,الموظفون!$X80)-MAX($E$3,الموظفون!$H80)+1))</f>
        <v/>
      </c>
    </row>
    <row r="81" customFormat="false" ht="15" hidden="false" customHeight="false" outlineLevel="0" collapsed="false">
      <c r="A81" s="89" t="str">
        <f aca="false">IF($B81="","",الموظفون!$A81)</f>
        <v/>
      </c>
      <c r="B81" s="91" t="str">
        <f aca="false">IF(الموظفون!$B81="","",الموظفون!$B81)</f>
        <v/>
      </c>
      <c r="C81" s="91" t="str">
        <f aca="false">IF($B81="","",الموظفون!$C81)</f>
        <v/>
      </c>
      <c r="D81" s="91" t="str">
        <f aca="false">IF($B81="","",الموظفون!$F81)</f>
        <v/>
      </c>
      <c r="E81" s="91" t="str">
        <f aca="false">IF($B81="","",الموظفون!$E81)</f>
        <v/>
      </c>
      <c r="F81" s="110" t="str">
        <f aca="false">IF($B81="","",IF(AE81&gt;=DAY($G$3),cfg_DAYS_M,MIN(AE81,cfg_DAYS_M)))</f>
        <v/>
      </c>
      <c r="G81" s="110" t="str">
        <f aca="false">IF($B81="","",SUMIFS('الحركات الشهرية'!$D$6:$D$1005,'الحركات الشهرية'!$B$6:$B$1005,$B81,'الحركات الشهرية'!$A$6:$A$1005,$C$3))</f>
        <v/>
      </c>
      <c r="H81" s="110" t="str">
        <f aca="false">IF($B81="","",SUMIFS('الحركات الشهرية'!$E$6:$E$1005,'الحركات الشهرية'!$B$6:$B$1005,$B81,'الحركات الشهرية'!$A$6:$A$1005,$C$3))</f>
        <v/>
      </c>
      <c r="I81" s="110" t="str">
        <f aca="false">IF($B81="","",MAX(0,F81-G81-H81))</f>
        <v/>
      </c>
      <c r="J81" s="90" t="str">
        <f aca="false">IF($B81="","",الموظفون!$J81*$I81/cfg_DAYS_M)</f>
        <v/>
      </c>
      <c r="K81" s="90" t="str">
        <f aca="false">IF($B81="","",الموظفون!$K81*$I81/cfg_DAYS_M)</f>
        <v/>
      </c>
      <c r="L81" s="90" t="str">
        <f aca="false">IF($B81="","",الموظفون!$L81*$I81/cfg_DAYS_M)</f>
        <v/>
      </c>
      <c r="M81" s="90" t="str">
        <f aca="false">IF($B81="","",الموظفون!$M81*$I81/cfg_DAYS_M)</f>
        <v/>
      </c>
      <c r="N81" s="110" t="str">
        <f aca="false">IF($B81="","",SUMIFS('الحركات الشهرية'!$F$6:$F$1005,'الحركات الشهرية'!$B$6:$B$1005,$B81,'الحركات الشهرية'!$A$6:$A$1005,$C$3))</f>
        <v/>
      </c>
      <c r="O81" s="90" t="str">
        <f aca="false">IF($B81="","",N81*(الموظفون!$N81+الموظفون!$J81*cfg_OT_P)/cfg_DAYS_M/cfg_HRS)</f>
        <v/>
      </c>
      <c r="P81" s="90" t="str">
        <f aca="false">IF($B81="","",SUMIFS('الحركات الشهرية'!$G$6:$G$1005,'الحركات الشهرية'!$B$6:$B$1005,$B81,'الحركات الشهرية'!$A$6:$A$1005,$C$3))</f>
        <v/>
      </c>
      <c r="Q81" s="90" t="str">
        <f aca="false">IF($B81="","",SUMIFS('الحركات الشهرية'!$H$6:$H$1005,'الحركات الشهرية'!$B$6:$B$1005,$B81,'الحركات الشهرية'!$A$6:$A$1005,$C$3))</f>
        <v/>
      </c>
      <c r="R81" s="111" t="str">
        <f aca="false">IF($B81="","",SUM(J81:M81)+SUM(O81:Q81))</f>
        <v/>
      </c>
      <c r="S81" s="90" t="str">
        <f aca="false">IF($B81="","",الموظفون!$Q81*IF(E81="سعودي",cfg_G_SE,cfg_G_NE)*F81/cfg_DAYS_M)</f>
        <v/>
      </c>
      <c r="T81" s="90" t="str">
        <f aca="false">IF($B81="","",SUMIFS('الحركات الشهرية'!$I$6:$I$1005,'الحركات الشهرية'!$B$6:$B$1005,$B81,'الحركات الشهرية'!$A$6:$A$1005,$C$3))</f>
        <v/>
      </c>
      <c r="U81" s="90" t="str">
        <f aca="false">IF($B81="","",SUMIFS('الحركات الشهرية'!$J$6:$J$1005,'الحركات الشهرية'!$B$6:$B$1005,$B81,'الحركات الشهرية'!$A$6:$A$1005,$C$3))</f>
        <v/>
      </c>
      <c r="V81" s="90" t="str">
        <f aca="false">IF($B81="","",SUM(S81:U81))</f>
        <v/>
      </c>
      <c r="W81" s="112" t="str">
        <f aca="false">IF($B81="","",R81-V81)</f>
        <v/>
      </c>
      <c r="X81" s="90" t="str">
        <f aca="false">IF($B81="","",الموظفون!$Q81*IF(E81="سعودي",cfg_G_SR,cfg_G_NR)*F81/cfg_DAYS_M)</f>
        <v/>
      </c>
      <c r="Y81" s="90" t="str">
        <f aca="false">IF($B81="","",الموظفون!$O81*(cfg_EOS_R1*(MIN(AC81,cfg_EOS_TH)-MIN(AD81,cfg_EOS_TH))+cfg_EOS_R2*(MAX(AC81-cfg_EOS_TH,0)-MAX(AD81-cfg_EOS_TH,0))))</f>
        <v/>
      </c>
      <c r="Z81" s="90" t="str">
        <f aca="false">IF($B81="","",IF(الموظفون!$R81&lt;&gt;"",الموظفون!$R81,IF(AC81&gt;=cfg_LV_TH,cfg_LV_D2,cfg_LV_D1))/cfg_DAYS_Y*AE81*الموظفون!$P81/cfg_DAYS_M)</f>
        <v/>
      </c>
      <c r="AA81" s="90" t="str">
        <f aca="false">IF($B81="","",IF(AND(الموظفون!$S81="نعم",N(الموظفون!$U81)&gt;0),الموظفون!$T81/الموظفون!$U81*12/cfg_DAYS_Y*AE81,0))</f>
        <v/>
      </c>
      <c r="AB81" s="113" t="str">
        <f aca="false">IF($B81="","",R81+SUM(X81:AA81))</f>
        <v/>
      </c>
      <c r="AC81" s="114" t="str">
        <f aca="false">IF($B81="","",MAX(0,IF(OR(الموظفون!$X81="",الموظفون!$X81&gt;$G$3),$G$3,الموظفون!$X81)-الموظفون!$H81+1)/cfg_DAYS_Y)</f>
        <v/>
      </c>
      <c r="AD81" s="114" t="str">
        <f aca="false">IF($B81="","",MAX(0,IF(OR(الموظفون!$X81="",الموظفون!$X81&gt;($E$3-1)),($E$3-1),الموظفون!$X81)-الموظفون!$H81+1)/cfg_DAYS_Y)</f>
        <v/>
      </c>
      <c r="AE81" s="115" t="str">
        <f aca="false">IF($B81="","",MAX(0,IF(OR(الموظفون!$X81="",الموظفون!$X81&gt;$G$3),$G$3,الموظفون!$X81)-MAX($E$3,الموظفون!$H81)+1))</f>
        <v/>
      </c>
    </row>
    <row r="82" customFormat="false" ht="15" hidden="false" customHeight="false" outlineLevel="0" collapsed="false">
      <c r="A82" s="83" t="str">
        <f aca="false">IF($B82="","",الموظفون!$A82)</f>
        <v/>
      </c>
      <c r="B82" s="74" t="str">
        <f aca="false">IF(الموظفون!$B82="","",الموظفون!$B82)</f>
        <v/>
      </c>
      <c r="C82" s="74" t="str">
        <f aca="false">IF($B82="","",الموظفون!$C82)</f>
        <v/>
      </c>
      <c r="D82" s="74" t="str">
        <f aca="false">IF($B82="","",الموظفون!$F82)</f>
        <v/>
      </c>
      <c r="E82" s="74" t="str">
        <f aca="false">IF($B82="","",الموظفون!$E82)</f>
        <v/>
      </c>
      <c r="F82" s="105" t="str">
        <f aca="false">IF($B82="","",IF(AE82&gt;=DAY($G$3),cfg_DAYS_M,MIN(AE82,cfg_DAYS_M)))</f>
        <v/>
      </c>
      <c r="G82" s="105" t="str">
        <f aca="false">IF($B82="","",SUMIFS('الحركات الشهرية'!$D$6:$D$1005,'الحركات الشهرية'!$B$6:$B$1005,$B82,'الحركات الشهرية'!$A$6:$A$1005,$C$3))</f>
        <v/>
      </c>
      <c r="H82" s="105" t="str">
        <f aca="false">IF($B82="","",SUMIFS('الحركات الشهرية'!$E$6:$E$1005,'الحركات الشهرية'!$B$6:$B$1005,$B82,'الحركات الشهرية'!$A$6:$A$1005,$C$3))</f>
        <v/>
      </c>
      <c r="I82" s="105" t="str">
        <f aca="false">IF($B82="","",MAX(0,F82-G82-H82))</f>
        <v/>
      </c>
      <c r="J82" s="86" t="str">
        <f aca="false">IF($B82="","",الموظفون!$J82*$I82/cfg_DAYS_M)</f>
        <v/>
      </c>
      <c r="K82" s="86" t="str">
        <f aca="false">IF($B82="","",الموظفون!$K82*$I82/cfg_DAYS_M)</f>
        <v/>
      </c>
      <c r="L82" s="86" t="str">
        <f aca="false">IF($B82="","",الموظفون!$L82*$I82/cfg_DAYS_M)</f>
        <v/>
      </c>
      <c r="M82" s="86" t="str">
        <f aca="false">IF($B82="","",الموظفون!$M82*$I82/cfg_DAYS_M)</f>
        <v/>
      </c>
      <c r="N82" s="105" t="str">
        <f aca="false">IF($B82="","",SUMIFS('الحركات الشهرية'!$F$6:$F$1005,'الحركات الشهرية'!$B$6:$B$1005,$B82,'الحركات الشهرية'!$A$6:$A$1005,$C$3))</f>
        <v/>
      </c>
      <c r="O82" s="86" t="str">
        <f aca="false">IF($B82="","",N82*(الموظفون!$N82+الموظفون!$J82*cfg_OT_P)/cfg_DAYS_M/cfg_HRS)</f>
        <v/>
      </c>
      <c r="P82" s="86" t="str">
        <f aca="false">IF($B82="","",SUMIFS('الحركات الشهرية'!$G$6:$G$1005,'الحركات الشهرية'!$B$6:$B$1005,$B82,'الحركات الشهرية'!$A$6:$A$1005,$C$3))</f>
        <v/>
      </c>
      <c r="Q82" s="86" t="str">
        <f aca="false">IF($B82="","",SUMIFS('الحركات الشهرية'!$H$6:$H$1005,'الحركات الشهرية'!$B$6:$B$1005,$B82,'الحركات الشهرية'!$A$6:$A$1005,$C$3))</f>
        <v/>
      </c>
      <c r="R82" s="106" t="str">
        <f aca="false">IF($B82="","",SUM(J82:M82)+SUM(O82:Q82))</f>
        <v/>
      </c>
      <c r="S82" s="86" t="str">
        <f aca="false">IF($B82="","",الموظفون!$Q82*IF(E82="سعودي",cfg_G_SE,cfg_G_NE)*F82/cfg_DAYS_M)</f>
        <v/>
      </c>
      <c r="T82" s="86" t="str">
        <f aca="false">IF($B82="","",SUMIFS('الحركات الشهرية'!$I$6:$I$1005,'الحركات الشهرية'!$B$6:$B$1005,$B82,'الحركات الشهرية'!$A$6:$A$1005,$C$3))</f>
        <v/>
      </c>
      <c r="U82" s="86" t="str">
        <f aca="false">IF($B82="","",SUMIFS('الحركات الشهرية'!$J$6:$J$1005,'الحركات الشهرية'!$B$6:$B$1005,$B82,'الحركات الشهرية'!$A$6:$A$1005,$C$3))</f>
        <v/>
      </c>
      <c r="V82" s="86" t="str">
        <f aca="false">IF($B82="","",SUM(S82:U82))</f>
        <v/>
      </c>
      <c r="W82" s="107" t="str">
        <f aca="false">IF($B82="","",R82-V82)</f>
        <v/>
      </c>
      <c r="X82" s="86" t="str">
        <f aca="false">IF($B82="","",الموظفون!$Q82*IF(E82="سعودي",cfg_G_SR,cfg_G_NR)*F82/cfg_DAYS_M)</f>
        <v/>
      </c>
      <c r="Y82" s="86" t="str">
        <f aca="false">IF($B82="","",الموظفون!$O82*(cfg_EOS_R1*(MIN(AC82,cfg_EOS_TH)-MIN(AD82,cfg_EOS_TH))+cfg_EOS_R2*(MAX(AC82-cfg_EOS_TH,0)-MAX(AD82-cfg_EOS_TH,0))))</f>
        <v/>
      </c>
      <c r="Z82" s="86" t="str">
        <f aca="false">IF($B82="","",IF(الموظفون!$R82&lt;&gt;"",الموظفون!$R82,IF(AC82&gt;=cfg_LV_TH,cfg_LV_D2,cfg_LV_D1))/cfg_DAYS_Y*AE82*الموظفون!$P82/cfg_DAYS_M)</f>
        <v/>
      </c>
      <c r="AA82" s="86" t="str">
        <f aca="false">IF($B82="","",IF(AND(الموظفون!$S82="نعم",N(الموظفون!$U82)&gt;0),الموظفون!$T82/الموظفون!$U82*12/cfg_DAYS_Y*AE82,0))</f>
        <v/>
      </c>
      <c r="AB82" s="108" t="str">
        <f aca="false">IF($B82="","",R82+SUM(X82:AA82))</f>
        <v/>
      </c>
      <c r="AC82" s="109" t="str">
        <f aca="false">IF($B82="","",MAX(0,IF(OR(الموظفون!$X82="",الموظفون!$X82&gt;$G$3),$G$3,الموظفون!$X82)-الموظفون!$H82+1)/cfg_DAYS_Y)</f>
        <v/>
      </c>
      <c r="AD82" s="109" t="str">
        <f aca="false">IF($B82="","",MAX(0,IF(OR(الموظفون!$X82="",الموظفون!$X82&gt;($E$3-1)),($E$3-1),الموظفون!$X82)-الموظفون!$H82+1)/cfg_DAYS_Y)</f>
        <v/>
      </c>
      <c r="AE82" s="51" t="str">
        <f aca="false">IF($B82="","",MAX(0,IF(OR(الموظفون!$X82="",الموظفون!$X82&gt;$G$3),$G$3,الموظفون!$X82)-MAX($E$3,الموظفون!$H82)+1))</f>
        <v/>
      </c>
    </row>
    <row r="83" customFormat="false" ht="15" hidden="false" customHeight="false" outlineLevel="0" collapsed="false">
      <c r="A83" s="89" t="str">
        <f aca="false">IF($B83="","",الموظفون!$A83)</f>
        <v/>
      </c>
      <c r="B83" s="91" t="str">
        <f aca="false">IF(الموظفون!$B83="","",الموظفون!$B83)</f>
        <v/>
      </c>
      <c r="C83" s="91" t="str">
        <f aca="false">IF($B83="","",الموظفون!$C83)</f>
        <v/>
      </c>
      <c r="D83" s="91" t="str">
        <f aca="false">IF($B83="","",الموظفون!$F83)</f>
        <v/>
      </c>
      <c r="E83" s="91" t="str">
        <f aca="false">IF($B83="","",الموظفون!$E83)</f>
        <v/>
      </c>
      <c r="F83" s="110" t="str">
        <f aca="false">IF($B83="","",IF(AE83&gt;=DAY($G$3),cfg_DAYS_M,MIN(AE83,cfg_DAYS_M)))</f>
        <v/>
      </c>
      <c r="G83" s="110" t="str">
        <f aca="false">IF($B83="","",SUMIFS('الحركات الشهرية'!$D$6:$D$1005,'الحركات الشهرية'!$B$6:$B$1005,$B83,'الحركات الشهرية'!$A$6:$A$1005,$C$3))</f>
        <v/>
      </c>
      <c r="H83" s="110" t="str">
        <f aca="false">IF($B83="","",SUMIFS('الحركات الشهرية'!$E$6:$E$1005,'الحركات الشهرية'!$B$6:$B$1005,$B83,'الحركات الشهرية'!$A$6:$A$1005,$C$3))</f>
        <v/>
      </c>
      <c r="I83" s="110" t="str">
        <f aca="false">IF($B83="","",MAX(0,F83-G83-H83))</f>
        <v/>
      </c>
      <c r="J83" s="90" t="str">
        <f aca="false">IF($B83="","",الموظفون!$J83*$I83/cfg_DAYS_M)</f>
        <v/>
      </c>
      <c r="K83" s="90" t="str">
        <f aca="false">IF($B83="","",الموظفون!$K83*$I83/cfg_DAYS_M)</f>
        <v/>
      </c>
      <c r="L83" s="90" t="str">
        <f aca="false">IF($B83="","",الموظفون!$L83*$I83/cfg_DAYS_M)</f>
        <v/>
      </c>
      <c r="M83" s="90" t="str">
        <f aca="false">IF($B83="","",الموظفون!$M83*$I83/cfg_DAYS_M)</f>
        <v/>
      </c>
      <c r="N83" s="110" t="str">
        <f aca="false">IF($B83="","",SUMIFS('الحركات الشهرية'!$F$6:$F$1005,'الحركات الشهرية'!$B$6:$B$1005,$B83,'الحركات الشهرية'!$A$6:$A$1005,$C$3))</f>
        <v/>
      </c>
      <c r="O83" s="90" t="str">
        <f aca="false">IF($B83="","",N83*(الموظفون!$N83+الموظفون!$J83*cfg_OT_P)/cfg_DAYS_M/cfg_HRS)</f>
        <v/>
      </c>
      <c r="P83" s="90" t="str">
        <f aca="false">IF($B83="","",SUMIFS('الحركات الشهرية'!$G$6:$G$1005,'الحركات الشهرية'!$B$6:$B$1005,$B83,'الحركات الشهرية'!$A$6:$A$1005,$C$3))</f>
        <v/>
      </c>
      <c r="Q83" s="90" t="str">
        <f aca="false">IF($B83="","",SUMIFS('الحركات الشهرية'!$H$6:$H$1005,'الحركات الشهرية'!$B$6:$B$1005,$B83,'الحركات الشهرية'!$A$6:$A$1005,$C$3))</f>
        <v/>
      </c>
      <c r="R83" s="111" t="str">
        <f aca="false">IF($B83="","",SUM(J83:M83)+SUM(O83:Q83))</f>
        <v/>
      </c>
      <c r="S83" s="90" t="str">
        <f aca="false">IF($B83="","",الموظفون!$Q83*IF(E83="سعودي",cfg_G_SE,cfg_G_NE)*F83/cfg_DAYS_M)</f>
        <v/>
      </c>
      <c r="T83" s="90" t="str">
        <f aca="false">IF($B83="","",SUMIFS('الحركات الشهرية'!$I$6:$I$1005,'الحركات الشهرية'!$B$6:$B$1005,$B83,'الحركات الشهرية'!$A$6:$A$1005,$C$3))</f>
        <v/>
      </c>
      <c r="U83" s="90" t="str">
        <f aca="false">IF($B83="","",SUMIFS('الحركات الشهرية'!$J$6:$J$1005,'الحركات الشهرية'!$B$6:$B$1005,$B83,'الحركات الشهرية'!$A$6:$A$1005,$C$3))</f>
        <v/>
      </c>
      <c r="V83" s="90" t="str">
        <f aca="false">IF($B83="","",SUM(S83:U83))</f>
        <v/>
      </c>
      <c r="W83" s="112" t="str">
        <f aca="false">IF($B83="","",R83-V83)</f>
        <v/>
      </c>
      <c r="X83" s="90" t="str">
        <f aca="false">IF($B83="","",الموظفون!$Q83*IF(E83="سعودي",cfg_G_SR,cfg_G_NR)*F83/cfg_DAYS_M)</f>
        <v/>
      </c>
      <c r="Y83" s="90" t="str">
        <f aca="false">IF($B83="","",الموظفون!$O83*(cfg_EOS_R1*(MIN(AC83,cfg_EOS_TH)-MIN(AD83,cfg_EOS_TH))+cfg_EOS_R2*(MAX(AC83-cfg_EOS_TH,0)-MAX(AD83-cfg_EOS_TH,0))))</f>
        <v/>
      </c>
      <c r="Z83" s="90" t="str">
        <f aca="false">IF($B83="","",IF(الموظفون!$R83&lt;&gt;"",الموظفون!$R83,IF(AC83&gt;=cfg_LV_TH,cfg_LV_D2,cfg_LV_D1))/cfg_DAYS_Y*AE83*الموظفون!$P83/cfg_DAYS_M)</f>
        <v/>
      </c>
      <c r="AA83" s="90" t="str">
        <f aca="false">IF($B83="","",IF(AND(الموظفون!$S83="نعم",N(الموظفون!$U83)&gt;0),الموظفون!$T83/الموظفون!$U83*12/cfg_DAYS_Y*AE83,0))</f>
        <v/>
      </c>
      <c r="AB83" s="113" t="str">
        <f aca="false">IF($B83="","",R83+SUM(X83:AA83))</f>
        <v/>
      </c>
      <c r="AC83" s="114" t="str">
        <f aca="false">IF($B83="","",MAX(0,IF(OR(الموظفون!$X83="",الموظفون!$X83&gt;$G$3),$G$3,الموظفون!$X83)-الموظفون!$H83+1)/cfg_DAYS_Y)</f>
        <v/>
      </c>
      <c r="AD83" s="114" t="str">
        <f aca="false">IF($B83="","",MAX(0,IF(OR(الموظفون!$X83="",الموظفون!$X83&gt;($E$3-1)),($E$3-1),الموظفون!$X83)-الموظفون!$H83+1)/cfg_DAYS_Y)</f>
        <v/>
      </c>
      <c r="AE83" s="115" t="str">
        <f aca="false">IF($B83="","",MAX(0,IF(OR(الموظفون!$X83="",الموظفون!$X83&gt;$G$3),$G$3,الموظفون!$X83)-MAX($E$3,الموظفون!$H83)+1))</f>
        <v/>
      </c>
    </row>
    <row r="84" customFormat="false" ht="15" hidden="false" customHeight="false" outlineLevel="0" collapsed="false">
      <c r="A84" s="83" t="str">
        <f aca="false">IF($B84="","",الموظفون!$A84)</f>
        <v/>
      </c>
      <c r="B84" s="74" t="str">
        <f aca="false">IF(الموظفون!$B84="","",الموظفون!$B84)</f>
        <v/>
      </c>
      <c r="C84" s="74" t="str">
        <f aca="false">IF($B84="","",الموظفون!$C84)</f>
        <v/>
      </c>
      <c r="D84" s="74" t="str">
        <f aca="false">IF($B84="","",الموظفون!$F84)</f>
        <v/>
      </c>
      <c r="E84" s="74" t="str">
        <f aca="false">IF($B84="","",الموظفون!$E84)</f>
        <v/>
      </c>
      <c r="F84" s="105" t="str">
        <f aca="false">IF($B84="","",IF(AE84&gt;=DAY($G$3),cfg_DAYS_M,MIN(AE84,cfg_DAYS_M)))</f>
        <v/>
      </c>
      <c r="G84" s="105" t="str">
        <f aca="false">IF($B84="","",SUMIFS('الحركات الشهرية'!$D$6:$D$1005,'الحركات الشهرية'!$B$6:$B$1005,$B84,'الحركات الشهرية'!$A$6:$A$1005,$C$3))</f>
        <v/>
      </c>
      <c r="H84" s="105" t="str">
        <f aca="false">IF($B84="","",SUMIFS('الحركات الشهرية'!$E$6:$E$1005,'الحركات الشهرية'!$B$6:$B$1005,$B84,'الحركات الشهرية'!$A$6:$A$1005,$C$3))</f>
        <v/>
      </c>
      <c r="I84" s="105" t="str">
        <f aca="false">IF($B84="","",MAX(0,F84-G84-H84))</f>
        <v/>
      </c>
      <c r="J84" s="86" t="str">
        <f aca="false">IF($B84="","",الموظفون!$J84*$I84/cfg_DAYS_M)</f>
        <v/>
      </c>
      <c r="K84" s="86" t="str">
        <f aca="false">IF($B84="","",الموظفون!$K84*$I84/cfg_DAYS_M)</f>
        <v/>
      </c>
      <c r="L84" s="86" t="str">
        <f aca="false">IF($B84="","",الموظفون!$L84*$I84/cfg_DAYS_M)</f>
        <v/>
      </c>
      <c r="M84" s="86" t="str">
        <f aca="false">IF($B84="","",الموظفون!$M84*$I84/cfg_DAYS_M)</f>
        <v/>
      </c>
      <c r="N84" s="105" t="str">
        <f aca="false">IF($B84="","",SUMIFS('الحركات الشهرية'!$F$6:$F$1005,'الحركات الشهرية'!$B$6:$B$1005,$B84,'الحركات الشهرية'!$A$6:$A$1005,$C$3))</f>
        <v/>
      </c>
      <c r="O84" s="86" t="str">
        <f aca="false">IF($B84="","",N84*(الموظفون!$N84+الموظفون!$J84*cfg_OT_P)/cfg_DAYS_M/cfg_HRS)</f>
        <v/>
      </c>
      <c r="P84" s="86" t="str">
        <f aca="false">IF($B84="","",SUMIFS('الحركات الشهرية'!$G$6:$G$1005,'الحركات الشهرية'!$B$6:$B$1005,$B84,'الحركات الشهرية'!$A$6:$A$1005,$C$3))</f>
        <v/>
      </c>
      <c r="Q84" s="86" t="str">
        <f aca="false">IF($B84="","",SUMIFS('الحركات الشهرية'!$H$6:$H$1005,'الحركات الشهرية'!$B$6:$B$1005,$B84,'الحركات الشهرية'!$A$6:$A$1005,$C$3))</f>
        <v/>
      </c>
      <c r="R84" s="106" t="str">
        <f aca="false">IF($B84="","",SUM(J84:M84)+SUM(O84:Q84))</f>
        <v/>
      </c>
      <c r="S84" s="86" t="str">
        <f aca="false">IF($B84="","",الموظفون!$Q84*IF(E84="سعودي",cfg_G_SE,cfg_G_NE)*F84/cfg_DAYS_M)</f>
        <v/>
      </c>
      <c r="T84" s="86" t="str">
        <f aca="false">IF($B84="","",SUMIFS('الحركات الشهرية'!$I$6:$I$1005,'الحركات الشهرية'!$B$6:$B$1005,$B84,'الحركات الشهرية'!$A$6:$A$1005,$C$3))</f>
        <v/>
      </c>
      <c r="U84" s="86" t="str">
        <f aca="false">IF($B84="","",SUMIFS('الحركات الشهرية'!$J$6:$J$1005,'الحركات الشهرية'!$B$6:$B$1005,$B84,'الحركات الشهرية'!$A$6:$A$1005,$C$3))</f>
        <v/>
      </c>
      <c r="V84" s="86" t="str">
        <f aca="false">IF($B84="","",SUM(S84:U84))</f>
        <v/>
      </c>
      <c r="W84" s="107" t="str">
        <f aca="false">IF($B84="","",R84-V84)</f>
        <v/>
      </c>
      <c r="X84" s="86" t="str">
        <f aca="false">IF($B84="","",الموظفون!$Q84*IF(E84="سعودي",cfg_G_SR,cfg_G_NR)*F84/cfg_DAYS_M)</f>
        <v/>
      </c>
      <c r="Y84" s="86" t="str">
        <f aca="false">IF($B84="","",الموظفون!$O84*(cfg_EOS_R1*(MIN(AC84,cfg_EOS_TH)-MIN(AD84,cfg_EOS_TH))+cfg_EOS_R2*(MAX(AC84-cfg_EOS_TH,0)-MAX(AD84-cfg_EOS_TH,0))))</f>
        <v/>
      </c>
      <c r="Z84" s="86" t="str">
        <f aca="false">IF($B84="","",IF(الموظفون!$R84&lt;&gt;"",الموظفون!$R84,IF(AC84&gt;=cfg_LV_TH,cfg_LV_D2,cfg_LV_D1))/cfg_DAYS_Y*AE84*الموظفون!$P84/cfg_DAYS_M)</f>
        <v/>
      </c>
      <c r="AA84" s="86" t="str">
        <f aca="false">IF($B84="","",IF(AND(الموظفون!$S84="نعم",N(الموظفون!$U84)&gt;0),الموظفون!$T84/الموظفون!$U84*12/cfg_DAYS_Y*AE84,0))</f>
        <v/>
      </c>
      <c r="AB84" s="108" t="str">
        <f aca="false">IF($B84="","",R84+SUM(X84:AA84))</f>
        <v/>
      </c>
      <c r="AC84" s="109" t="str">
        <f aca="false">IF($B84="","",MAX(0,IF(OR(الموظفون!$X84="",الموظفون!$X84&gt;$G$3),$G$3,الموظفون!$X84)-الموظفون!$H84+1)/cfg_DAYS_Y)</f>
        <v/>
      </c>
      <c r="AD84" s="109" t="str">
        <f aca="false">IF($B84="","",MAX(0,IF(OR(الموظفون!$X84="",الموظفون!$X84&gt;($E$3-1)),($E$3-1),الموظفون!$X84)-الموظفون!$H84+1)/cfg_DAYS_Y)</f>
        <v/>
      </c>
      <c r="AE84" s="51" t="str">
        <f aca="false">IF($B84="","",MAX(0,IF(OR(الموظفون!$X84="",الموظفون!$X84&gt;$G$3),$G$3,الموظفون!$X84)-MAX($E$3,الموظفون!$H84)+1))</f>
        <v/>
      </c>
    </row>
    <row r="85" customFormat="false" ht="15" hidden="false" customHeight="false" outlineLevel="0" collapsed="false">
      <c r="A85" s="89" t="str">
        <f aca="false">IF($B85="","",الموظفون!$A85)</f>
        <v/>
      </c>
      <c r="B85" s="91" t="str">
        <f aca="false">IF(الموظفون!$B85="","",الموظفون!$B85)</f>
        <v/>
      </c>
      <c r="C85" s="91" t="str">
        <f aca="false">IF($B85="","",الموظفون!$C85)</f>
        <v/>
      </c>
      <c r="D85" s="91" t="str">
        <f aca="false">IF($B85="","",الموظفون!$F85)</f>
        <v/>
      </c>
      <c r="E85" s="91" t="str">
        <f aca="false">IF($B85="","",الموظفون!$E85)</f>
        <v/>
      </c>
      <c r="F85" s="110" t="str">
        <f aca="false">IF($B85="","",IF(AE85&gt;=DAY($G$3),cfg_DAYS_M,MIN(AE85,cfg_DAYS_M)))</f>
        <v/>
      </c>
      <c r="G85" s="110" t="str">
        <f aca="false">IF($B85="","",SUMIFS('الحركات الشهرية'!$D$6:$D$1005,'الحركات الشهرية'!$B$6:$B$1005,$B85,'الحركات الشهرية'!$A$6:$A$1005,$C$3))</f>
        <v/>
      </c>
      <c r="H85" s="110" t="str">
        <f aca="false">IF($B85="","",SUMIFS('الحركات الشهرية'!$E$6:$E$1005,'الحركات الشهرية'!$B$6:$B$1005,$B85,'الحركات الشهرية'!$A$6:$A$1005,$C$3))</f>
        <v/>
      </c>
      <c r="I85" s="110" t="str">
        <f aca="false">IF($B85="","",MAX(0,F85-G85-H85))</f>
        <v/>
      </c>
      <c r="J85" s="90" t="str">
        <f aca="false">IF($B85="","",الموظفون!$J85*$I85/cfg_DAYS_M)</f>
        <v/>
      </c>
      <c r="K85" s="90" t="str">
        <f aca="false">IF($B85="","",الموظفون!$K85*$I85/cfg_DAYS_M)</f>
        <v/>
      </c>
      <c r="L85" s="90" t="str">
        <f aca="false">IF($B85="","",الموظفون!$L85*$I85/cfg_DAYS_M)</f>
        <v/>
      </c>
      <c r="M85" s="90" t="str">
        <f aca="false">IF($B85="","",الموظفون!$M85*$I85/cfg_DAYS_M)</f>
        <v/>
      </c>
      <c r="N85" s="110" t="str">
        <f aca="false">IF($B85="","",SUMIFS('الحركات الشهرية'!$F$6:$F$1005,'الحركات الشهرية'!$B$6:$B$1005,$B85,'الحركات الشهرية'!$A$6:$A$1005,$C$3))</f>
        <v/>
      </c>
      <c r="O85" s="90" t="str">
        <f aca="false">IF($B85="","",N85*(الموظفون!$N85+الموظفون!$J85*cfg_OT_P)/cfg_DAYS_M/cfg_HRS)</f>
        <v/>
      </c>
      <c r="P85" s="90" t="str">
        <f aca="false">IF($B85="","",SUMIFS('الحركات الشهرية'!$G$6:$G$1005,'الحركات الشهرية'!$B$6:$B$1005,$B85,'الحركات الشهرية'!$A$6:$A$1005,$C$3))</f>
        <v/>
      </c>
      <c r="Q85" s="90" t="str">
        <f aca="false">IF($B85="","",SUMIFS('الحركات الشهرية'!$H$6:$H$1005,'الحركات الشهرية'!$B$6:$B$1005,$B85,'الحركات الشهرية'!$A$6:$A$1005,$C$3))</f>
        <v/>
      </c>
      <c r="R85" s="111" t="str">
        <f aca="false">IF($B85="","",SUM(J85:M85)+SUM(O85:Q85))</f>
        <v/>
      </c>
      <c r="S85" s="90" t="str">
        <f aca="false">IF($B85="","",الموظفون!$Q85*IF(E85="سعودي",cfg_G_SE,cfg_G_NE)*F85/cfg_DAYS_M)</f>
        <v/>
      </c>
      <c r="T85" s="90" t="str">
        <f aca="false">IF($B85="","",SUMIFS('الحركات الشهرية'!$I$6:$I$1005,'الحركات الشهرية'!$B$6:$B$1005,$B85,'الحركات الشهرية'!$A$6:$A$1005,$C$3))</f>
        <v/>
      </c>
      <c r="U85" s="90" t="str">
        <f aca="false">IF($B85="","",SUMIFS('الحركات الشهرية'!$J$6:$J$1005,'الحركات الشهرية'!$B$6:$B$1005,$B85,'الحركات الشهرية'!$A$6:$A$1005,$C$3))</f>
        <v/>
      </c>
      <c r="V85" s="90" t="str">
        <f aca="false">IF($B85="","",SUM(S85:U85))</f>
        <v/>
      </c>
      <c r="W85" s="112" t="str">
        <f aca="false">IF($B85="","",R85-V85)</f>
        <v/>
      </c>
      <c r="X85" s="90" t="str">
        <f aca="false">IF($B85="","",الموظفون!$Q85*IF(E85="سعودي",cfg_G_SR,cfg_G_NR)*F85/cfg_DAYS_M)</f>
        <v/>
      </c>
      <c r="Y85" s="90" t="str">
        <f aca="false">IF($B85="","",الموظفون!$O85*(cfg_EOS_R1*(MIN(AC85,cfg_EOS_TH)-MIN(AD85,cfg_EOS_TH))+cfg_EOS_R2*(MAX(AC85-cfg_EOS_TH,0)-MAX(AD85-cfg_EOS_TH,0))))</f>
        <v/>
      </c>
      <c r="Z85" s="90" t="str">
        <f aca="false">IF($B85="","",IF(الموظفون!$R85&lt;&gt;"",الموظفون!$R85,IF(AC85&gt;=cfg_LV_TH,cfg_LV_D2,cfg_LV_D1))/cfg_DAYS_Y*AE85*الموظفون!$P85/cfg_DAYS_M)</f>
        <v/>
      </c>
      <c r="AA85" s="90" t="str">
        <f aca="false">IF($B85="","",IF(AND(الموظفون!$S85="نعم",N(الموظفون!$U85)&gt;0),الموظفون!$T85/الموظفون!$U85*12/cfg_DAYS_Y*AE85,0))</f>
        <v/>
      </c>
      <c r="AB85" s="113" t="str">
        <f aca="false">IF($B85="","",R85+SUM(X85:AA85))</f>
        <v/>
      </c>
      <c r="AC85" s="114" t="str">
        <f aca="false">IF($B85="","",MAX(0,IF(OR(الموظفون!$X85="",الموظفون!$X85&gt;$G$3),$G$3,الموظفون!$X85)-الموظفون!$H85+1)/cfg_DAYS_Y)</f>
        <v/>
      </c>
      <c r="AD85" s="114" t="str">
        <f aca="false">IF($B85="","",MAX(0,IF(OR(الموظفون!$X85="",الموظفون!$X85&gt;($E$3-1)),($E$3-1),الموظفون!$X85)-الموظفون!$H85+1)/cfg_DAYS_Y)</f>
        <v/>
      </c>
      <c r="AE85" s="115" t="str">
        <f aca="false">IF($B85="","",MAX(0,IF(OR(الموظفون!$X85="",الموظفون!$X85&gt;$G$3),$G$3,الموظفون!$X85)-MAX($E$3,الموظفون!$H85)+1))</f>
        <v/>
      </c>
    </row>
    <row r="86" customFormat="false" ht="15" hidden="false" customHeight="false" outlineLevel="0" collapsed="false">
      <c r="A86" s="83" t="str">
        <f aca="false">IF($B86="","",الموظفون!$A86)</f>
        <v/>
      </c>
      <c r="B86" s="74" t="str">
        <f aca="false">IF(الموظفون!$B86="","",الموظفون!$B86)</f>
        <v/>
      </c>
      <c r="C86" s="74" t="str">
        <f aca="false">IF($B86="","",الموظفون!$C86)</f>
        <v/>
      </c>
      <c r="D86" s="74" t="str">
        <f aca="false">IF($B86="","",الموظفون!$F86)</f>
        <v/>
      </c>
      <c r="E86" s="74" t="str">
        <f aca="false">IF($B86="","",الموظفون!$E86)</f>
        <v/>
      </c>
      <c r="F86" s="105" t="str">
        <f aca="false">IF($B86="","",IF(AE86&gt;=DAY($G$3),cfg_DAYS_M,MIN(AE86,cfg_DAYS_M)))</f>
        <v/>
      </c>
      <c r="G86" s="105" t="str">
        <f aca="false">IF($B86="","",SUMIFS('الحركات الشهرية'!$D$6:$D$1005,'الحركات الشهرية'!$B$6:$B$1005,$B86,'الحركات الشهرية'!$A$6:$A$1005,$C$3))</f>
        <v/>
      </c>
      <c r="H86" s="105" t="str">
        <f aca="false">IF($B86="","",SUMIFS('الحركات الشهرية'!$E$6:$E$1005,'الحركات الشهرية'!$B$6:$B$1005,$B86,'الحركات الشهرية'!$A$6:$A$1005,$C$3))</f>
        <v/>
      </c>
      <c r="I86" s="105" t="str">
        <f aca="false">IF($B86="","",MAX(0,F86-G86-H86))</f>
        <v/>
      </c>
      <c r="J86" s="86" t="str">
        <f aca="false">IF($B86="","",الموظفون!$J86*$I86/cfg_DAYS_M)</f>
        <v/>
      </c>
      <c r="K86" s="86" t="str">
        <f aca="false">IF($B86="","",الموظفون!$K86*$I86/cfg_DAYS_M)</f>
        <v/>
      </c>
      <c r="L86" s="86" t="str">
        <f aca="false">IF($B86="","",الموظفون!$L86*$I86/cfg_DAYS_M)</f>
        <v/>
      </c>
      <c r="M86" s="86" t="str">
        <f aca="false">IF($B86="","",الموظفون!$M86*$I86/cfg_DAYS_M)</f>
        <v/>
      </c>
      <c r="N86" s="105" t="str">
        <f aca="false">IF($B86="","",SUMIFS('الحركات الشهرية'!$F$6:$F$1005,'الحركات الشهرية'!$B$6:$B$1005,$B86,'الحركات الشهرية'!$A$6:$A$1005,$C$3))</f>
        <v/>
      </c>
      <c r="O86" s="86" t="str">
        <f aca="false">IF($B86="","",N86*(الموظفون!$N86+الموظفون!$J86*cfg_OT_P)/cfg_DAYS_M/cfg_HRS)</f>
        <v/>
      </c>
      <c r="P86" s="86" t="str">
        <f aca="false">IF($B86="","",SUMIFS('الحركات الشهرية'!$G$6:$G$1005,'الحركات الشهرية'!$B$6:$B$1005,$B86,'الحركات الشهرية'!$A$6:$A$1005,$C$3))</f>
        <v/>
      </c>
      <c r="Q86" s="86" t="str">
        <f aca="false">IF($B86="","",SUMIFS('الحركات الشهرية'!$H$6:$H$1005,'الحركات الشهرية'!$B$6:$B$1005,$B86,'الحركات الشهرية'!$A$6:$A$1005,$C$3))</f>
        <v/>
      </c>
      <c r="R86" s="106" t="str">
        <f aca="false">IF($B86="","",SUM(J86:M86)+SUM(O86:Q86))</f>
        <v/>
      </c>
      <c r="S86" s="86" t="str">
        <f aca="false">IF($B86="","",الموظفون!$Q86*IF(E86="سعودي",cfg_G_SE,cfg_G_NE)*F86/cfg_DAYS_M)</f>
        <v/>
      </c>
      <c r="T86" s="86" t="str">
        <f aca="false">IF($B86="","",SUMIFS('الحركات الشهرية'!$I$6:$I$1005,'الحركات الشهرية'!$B$6:$B$1005,$B86,'الحركات الشهرية'!$A$6:$A$1005,$C$3))</f>
        <v/>
      </c>
      <c r="U86" s="86" t="str">
        <f aca="false">IF($B86="","",SUMIFS('الحركات الشهرية'!$J$6:$J$1005,'الحركات الشهرية'!$B$6:$B$1005,$B86,'الحركات الشهرية'!$A$6:$A$1005,$C$3))</f>
        <v/>
      </c>
      <c r="V86" s="86" t="str">
        <f aca="false">IF($B86="","",SUM(S86:U86))</f>
        <v/>
      </c>
      <c r="W86" s="107" t="str">
        <f aca="false">IF($B86="","",R86-V86)</f>
        <v/>
      </c>
      <c r="X86" s="86" t="str">
        <f aca="false">IF($B86="","",الموظفون!$Q86*IF(E86="سعودي",cfg_G_SR,cfg_G_NR)*F86/cfg_DAYS_M)</f>
        <v/>
      </c>
      <c r="Y86" s="86" t="str">
        <f aca="false">IF($B86="","",الموظفون!$O86*(cfg_EOS_R1*(MIN(AC86,cfg_EOS_TH)-MIN(AD86,cfg_EOS_TH))+cfg_EOS_R2*(MAX(AC86-cfg_EOS_TH,0)-MAX(AD86-cfg_EOS_TH,0))))</f>
        <v/>
      </c>
      <c r="Z86" s="86" t="str">
        <f aca="false">IF($B86="","",IF(الموظفون!$R86&lt;&gt;"",الموظفون!$R86,IF(AC86&gt;=cfg_LV_TH,cfg_LV_D2,cfg_LV_D1))/cfg_DAYS_Y*AE86*الموظفون!$P86/cfg_DAYS_M)</f>
        <v/>
      </c>
      <c r="AA86" s="86" t="str">
        <f aca="false">IF($B86="","",IF(AND(الموظفون!$S86="نعم",N(الموظفون!$U86)&gt;0),الموظفون!$T86/الموظفون!$U86*12/cfg_DAYS_Y*AE86,0))</f>
        <v/>
      </c>
      <c r="AB86" s="108" t="str">
        <f aca="false">IF($B86="","",R86+SUM(X86:AA86))</f>
        <v/>
      </c>
      <c r="AC86" s="109" t="str">
        <f aca="false">IF($B86="","",MAX(0,IF(OR(الموظفون!$X86="",الموظفون!$X86&gt;$G$3),$G$3,الموظفون!$X86)-الموظفون!$H86+1)/cfg_DAYS_Y)</f>
        <v/>
      </c>
      <c r="AD86" s="109" t="str">
        <f aca="false">IF($B86="","",MAX(0,IF(OR(الموظفون!$X86="",الموظفون!$X86&gt;($E$3-1)),($E$3-1),الموظفون!$X86)-الموظفون!$H86+1)/cfg_DAYS_Y)</f>
        <v/>
      </c>
      <c r="AE86" s="51" t="str">
        <f aca="false">IF($B86="","",MAX(0,IF(OR(الموظفون!$X86="",الموظفون!$X86&gt;$G$3),$G$3,الموظفون!$X86)-MAX($E$3,الموظفون!$H86)+1))</f>
        <v/>
      </c>
    </row>
    <row r="87" customFormat="false" ht="15" hidden="false" customHeight="false" outlineLevel="0" collapsed="false">
      <c r="A87" s="89" t="str">
        <f aca="false">IF($B87="","",الموظفون!$A87)</f>
        <v/>
      </c>
      <c r="B87" s="91" t="str">
        <f aca="false">IF(الموظفون!$B87="","",الموظفون!$B87)</f>
        <v/>
      </c>
      <c r="C87" s="91" t="str">
        <f aca="false">IF($B87="","",الموظفون!$C87)</f>
        <v/>
      </c>
      <c r="D87" s="91" t="str">
        <f aca="false">IF($B87="","",الموظفون!$F87)</f>
        <v/>
      </c>
      <c r="E87" s="91" t="str">
        <f aca="false">IF($B87="","",الموظفون!$E87)</f>
        <v/>
      </c>
      <c r="F87" s="110" t="str">
        <f aca="false">IF($B87="","",IF(AE87&gt;=DAY($G$3),cfg_DAYS_M,MIN(AE87,cfg_DAYS_M)))</f>
        <v/>
      </c>
      <c r="G87" s="110" t="str">
        <f aca="false">IF($B87="","",SUMIFS('الحركات الشهرية'!$D$6:$D$1005,'الحركات الشهرية'!$B$6:$B$1005,$B87,'الحركات الشهرية'!$A$6:$A$1005,$C$3))</f>
        <v/>
      </c>
      <c r="H87" s="110" t="str">
        <f aca="false">IF($B87="","",SUMIFS('الحركات الشهرية'!$E$6:$E$1005,'الحركات الشهرية'!$B$6:$B$1005,$B87,'الحركات الشهرية'!$A$6:$A$1005,$C$3))</f>
        <v/>
      </c>
      <c r="I87" s="110" t="str">
        <f aca="false">IF($B87="","",MAX(0,F87-G87-H87))</f>
        <v/>
      </c>
      <c r="J87" s="90" t="str">
        <f aca="false">IF($B87="","",الموظفون!$J87*$I87/cfg_DAYS_M)</f>
        <v/>
      </c>
      <c r="K87" s="90" t="str">
        <f aca="false">IF($B87="","",الموظفون!$K87*$I87/cfg_DAYS_M)</f>
        <v/>
      </c>
      <c r="L87" s="90" t="str">
        <f aca="false">IF($B87="","",الموظفون!$L87*$I87/cfg_DAYS_M)</f>
        <v/>
      </c>
      <c r="M87" s="90" t="str">
        <f aca="false">IF($B87="","",الموظفون!$M87*$I87/cfg_DAYS_M)</f>
        <v/>
      </c>
      <c r="N87" s="110" t="str">
        <f aca="false">IF($B87="","",SUMIFS('الحركات الشهرية'!$F$6:$F$1005,'الحركات الشهرية'!$B$6:$B$1005,$B87,'الحركات الشهرية'!$A$6:$A$1005,$C$3))</f>
        <v/>
      </c>
      <c r="O87" s="90" t="str">
        <f aca="false">IF($B87="","",N87*(الموظفون!$N87+الموظفون!$J87*cfg_OT_P)/cfg_DAYS_M/cfg_HRS)</f>
        <v/>
      </c>
      <c r="P87" s="90" t="str">
        <f aca="false">IF($B87="","",SUMIFS('الحركات الشهرية'!$G$6:$G$1005,'الحركات الشهرية'!$B$6:$B$1005,$B87,'الحركات الشهرية'!$A$6:$A$1005,$C$3))</f>
        <v/>
      </c>
      <c r="Q87" s="90" t="str">
        <f aca="false">IF($B87="","",SUMIFS('الحركات الشهرية'!$H$6:$H$1005,'الحركات الشهرية'!$B$6:$B$1005,$B87,'الحركات الشهرية'!$A$6:$A$1005,$C$3))</f>
        <v/>
      </c>
      <c r="R87" s="111" t="str">
        <f aca="false">IF($B87="","",SUM(J87:M87)+SUM(O87:Q87))</f>
        <v/>
      </c>
      <c r="S87" s="90" t="str">
        <f aca="false">IF($B87="","",الموظفون!$Q87*IF(E87="سعودي",cfg_G_SE,cfg_G_NE)*F87/cfg_DAYS_M)</f>
        <v/>
      </c>
      <c r="T87" s="90" t="str">
        <f aca="false">IF($B87="","",SUMIFS('الحركات الشهرية'!$I$6:$I$1005,'الحركات الشهرية'!$B$6:$B$1005,$B87,'الحركات الشهرية'!$A$6:$A$1005,$C$3))</f>
        <v/>
      </c>
      <c r="U87" s="90" t="str">
        <f aca="false">IF($B87="","",SUMIFS('الحركات الشهرية'!$J$6:$J$1005,'الحركات الشهرية'!$B$6:$B$1005,$B87,'الحركات الشهرية'!$A$6:$A$1005,$C$3))</f>
        <v/>
      </c>
      <c r="V87" s="90" t="str">
        <f aca="false">IF($B87="","",SUM(S87:U87))</f>
        <v/>
      </c>
      <c r="W87" s="112" t="str">
        <f aca="false">IF($B87="","",R87-V87)</f>
        <v/>
      </c>
      <c r="X87" s="90" t="str">
        <f aca="false">IF($B87="","",الموظفون!$Q87*IF(E87="سعودي",cfg_G_SR,cfg_G_NR)*F87/cfg_DAYS_M)</f>
        <v/>
      </c>
      <c r="Y87" s="90" t="str">
        <f aca="false">IF($B87="","",الموظفون!$O87*(cfg_EOS_R1*(MIN(AC87,cfg_EOS_TH)-MIN(AD87,cfg_EOS_TH))+cfg_EOS_R2*(MAX(AC87-cfg_EOS_TH,0)-MAX(AD87-cfg_EOS_TH,0))))</f>
        <v/>
      </c>
      <c r="Z87" s="90" t="str">
        <f aca="false">IF($B87="","",IF(الموظفون!$R87&lt;&gt;"",الموظفون!$R87,IF(AC87&gt;=cfg_LV_TH,cfg_LV_D2,cfg_LV_D1))/cfg_DAYS_Y*AE87*الموظفون!$P87/cfg_DAYS_M)</f>
        <v/>
      </c>
      <c r="AA87" s="90" t="str">
        <f aca="false">IF($B87="","",IF(AND(الموظفون!$S87="نعم",N(الموظفون!$U87)&gt;0),الموظفون!$T87/الموظفون!$U87*12/cfg_DAYS_Y*AE87,0))</f>
        <v/>
      </c>
      <c r="AB87" s="113" t="str">
        <f aca="false">IF($B87="","",R87+SUM(X87:AA87))</f>
        <v/>
      </c>
      <c r="AC87" s="114" t="str">
        <f aca="false">IF($B87="","",MAX(0,IF(OR(الموظفون!$X87="",الموظفون!$X87&gt;$G$3),$G$3,الموظفون!$X87)-الموظفون!$H87+1)/cfg_DAYS_Y)</f>
        <v/>
      </c>
      <c r="AD87" s="114" t="str">
        <f aca="false">IF($B87="","",MAX(0,IF(OR(الموظفون!$X87="",الموظفون!$X87&gt;($E$3-1)),($E$3-1),الموظفون!$X87)-الموظفون!$H87+1)/cfg_DAYS_Y)</f>
        <v/>
      </c>
      <c r="AE87" s="115" t="str">
        <f aca="false">IF($B87="","",MAX(0,IF(OR(الموظفون!$X87="",الموظفون!$X87&gt;$G$3),$G$3,الموظفون!$X87)-MAX($E$3,الموظفون!$H87)+1))</f>
        <v/>
      </c>
    </row>
    <row r="88" customFormat="false" ht="15" hidden="false" customHeight="false" outlineLevel="0" collapsed="false">
      <c r="A88" s="83" t="str">
        <f aca="false">IF($B88="","",الموظفون!$A88)</f>
        <v/>
      </c>
      <c r="B88" s="74" t="str">
        <f aca="false">IF(الموظفون!$B88="","",الموظفون!$B88)</f>
        <v/>
      </c>
      <c r="C88" s="74" t="str">
        <f aca="false">IF($B88="","",الموظفون!$C88)</f>
        <v/>
      </c>
      <c r="D88" s="74" t="str">
        <f aca="false">IF($B88="","",الموظفون!$F88)</f>
        <v/>
      </c>
      <c r="E88" s="74" t="str">
        <f aca="false">IF($B88="","",الموظفون!$E88)</f>
        <v/>
      </c>
      <c r="F88" s="105" t="str">
        <f aca="false">IF($B88="","",IF(AE88&gt;=DAY($G$3),cfg_DAYS_M,MIN(AE88,cfg_DAYS_M)))</f>
        <v/>
      </c>
      <c r="G88" s="105" t="str">
        <f aca="false">IF($B88="","",SUMIFS('الحركات الشهرية'!$D$6:$D$1005,'الحركات الشهرية'!$B$6:$B$1005,$B88,'الحركات الشهرية'!$A$6:$A$1005,$C$3))</f>
        <v/>
      </c>
      <c r="H88" s="105" t="str">
        <f aca="false">IF($B88="","",SUMIFS('الحركات الشهرية'!$E$6:$E$1005,'الحركات الشهرية'!$B$6:$B$1005,$B88,'الحركات الشهرية'!$A$6:$A$1005,$C$3))</f>
        <v/>
      </c>
      <c r="I88" s="105" t="str">
        <f aca="false">IF($B88="","",MAX(0,F88-G88-H88))</f>
        <v/>
      </c>
      <c r="J88" s="86" t="str">
        <f aca="false">IF($B88="","",الموظفون!$J88*$I88/cfg_DAYS_M)</f>
        <v/>
      </c>
      <c r="K88" s="86" t="str">
        <f aca="false">IF($B88="","",الموظفون!$K88*$I88/cfg_DAYS_M)</f>
        <v/>
      </c>
      <c r="L88" s="86" t="str">
        <f aca="false">IF($B88="","",الموظفون!$L88*$I88/cfg_DAYS_M)</f>
        <v/>
      </c>
      <c r="M88" s="86" t="str">
        <f aca="false">IF($B88="","",الموظفون!$M88*$I88/cfg_DAYS_M)</f>
        <v/>
      </c>
      <c r="N88" s="105" t="str">
        <f aca="false">IF($B88="","",SUMIFS('الحركات الشهرية'!$F$6:$F$1005,'الحركات الشهرية'!$B$6:$B$1005,$B88,'الحركات الشهرية'!$A$6:$A$1005,$C$3))</f>
        <v/>
      </c>
      <c r="O88" s="86" t="str">
        <f aca="false">IF($B88="","",N88*(الموظفون!$N88+الموظفون!$J88*cfg_OT_P)/cfg_DAYS_M/cfg_HRS)</f>
        <v/>
      </c>
      <c r="P88" s="86" t="str">
        <f aca="false">IF($B88="","",SUMIFS('الحركات الشهرية'!$G$6:$G$1005,'الحركات الشهرية'!$B$6:$B$1005,$B88,'الحركات الشهرية'!$A$6:$A$1005,$C$3))</f>
        <v/>
      </c>
      <c r="Q88" s="86" t="str">
        <f aca="false">IF($B88="","",SUMIFS('الحركات الشهرية'!$H$6:$H$1005,'الحركات الشهرية'!$B$6:$B$1005,$B88,'الحركات الشهرية'!$A$6:$A$1005,$C$3))</f>
        <v/>
      </c>
      <c r="R88" s="106" t="str">
        <f aca="false">IF($B88="","",SUM(J88:M88)+SUM(O88:Q88))</f>
        <v/>
      </c>
      <c r="S88" s="86" t="str">
        <f aca="false">IF($B88="","",الموظفون!$Q88*IF(E88="سعودي",cfg_G_SE,cfg_G_NE)*F88/cfg_DAYS_M)</f>
        <v/>
      </c>
      <c r="T88" s="86" t="str">
        <f aca="false">IF($B88="","",SUMIFS('الحركات الشهرية'!$I$6:$I$1005,'الحركات الشهرية'!$B$6:$B$1005,$B88,'الحركات الشهرية'!$A$6:$A$1005,$C$3))</f>
        <v/>
      </c>
      <c r="U88" s="86" t="str">
        <f aca="false">IF($B88="","",SUMIFS('الحركات الشهرية'!$J$6:$J$1005,'الحركات الشهرية'!$B$6:$B$1005,$B88,'الحركات الشهرية'!$A$6:$A$1005,$C$3))</f>
        <v/>
      </c>
      <c r="V88" s="86" t="str">
        <f aca="false">IF($B88="","",SUM(S88:U88))</f>
        <v/>
      </c>
      <c r="W88" s="107" t="str">
        <f aca="false">IF($B88="","",R88-V88)</f>
        <v/>
      </c>
      <c r="X88" s="86" t="str">
        <f aca="false">IF($B88="","",الموظفون!$Q88*IF(E88="سعودي",cfg_G_SR,cfg_G_NR)*F88/cfg_DAYS_M)</f>
        <v/>
      </c>
      <c r="Y88" s="86" t="str">
        <f aca="false">IF($B88="","",الموظفون!$O88*(cfg_EOS_R1*(MIN(AC88,cfg_EOS_TH)-MIN(AD88,cfg_EOS_TH))+cfg_EOS_R2*(MAX(AC88-cfg_EOS_TH,0)-MAX(AD88-cfg_EOS_TH,0))))</f>
        <v/>
      </c>
      <c r="Z88" s="86" t="str">
        <f aca="false">IF($B88="","",IF(الموظفون!$R88&lt;&gt;"",الموظفون!$R88,IF(AC88&gt;=cfg_LV_TH,cfg_LV_D2,cfg_LV_D1))/cfg_DAYS_Y*AE88*الموظفون!$P88/cfg_DAYS_M)</f>
        <v/>
      </c>
      <c r="AA88" s="86" t="str">
        <f aca="false">IF($B88="","",IF(AND(الموظفون!$S88="نعم",N(الموظفون!$U88)&gt;0),الموظفون!$T88/الموظفون!$U88*12/cfg_DAYS_Y*AE88,0))</f>
        <v/>
      </c>
      <c r="AB88" s="108" t="str">
        <f aca="false">IF($B88="","",R88+SUM(X88:AA88))</f>
        <v/>
      </c>
      <c r="AC88" s="109" t="str">
        <f aca="false">IF($B88="","",MAX(0,IF(OR(الموظفون!$X88="",الموظفون!$X88&gt;$G$3),$G$3,الموظفون!$X88)-الموظفون!$H88+1)/cfg_DAYS_Y)</f>
        <v/>
      </c>
      <c r="AD88" s="109" t="str">
        <f aca="false">IF($B88="","",MAX(0,IF(OR(الموظفون!$X88="",الموظفون!$X88&gt;($E$3-1)),($E$3-1),الموظفون!$X88)-الموظفون!$H88+1)/cfg_DAYS_Y)</f>
        <v/>
      </c>
      <c r="AE88" s="51" t="str">
        <f aca="false">IF($B88="","",MAX(0,IF(OR(الموظفون!$X88="",الموظفون!$X88&gt;$G$3),$G$3,الموظفون!$X88)-MAX($E$3,الموظفون!$H88)+1))</f>
        <v/>
      </c>
    </row>
    <row r="89" customFormat="false" ht="15" hidden="false" customHeight="false" outlineLevel="0" collapsed="false">
      <c r="A89" s="89" t="str">
        <f aca="false">IF($B89="","",الموظفون!$A89)</f>
        <v/>
      </c>
      <c r="B89" s="91" t="str">
        <f aca="false">IF(الموظفون!$B89="","",الموظفون!$B89)</f>
        <v/>
      </c>
      <c r="C89" s="91" t="str">
        <f aca="false">IF($B89="","",الموظفون!$C89)</f>
        <v/>
      </c>
      <c r="D89" s="91" t="str">
        <f aca="false">IF($B89="","",الموظفون!$F89)</f>
        <v/>
      </c>
      <c r="E89" s="91" t="str">
        <f aca="false">IF($B89="","",الموظفون!$E89)</f>
        <v/>
      </c>
      <c r="F89" s="110" t="str">
        <f aca="false">IF($B89="","",IF(AE89&gt;=DAY($G$3),cfg_DAYS_M,MIN(AE89,cfg_DAYS_M)))</f>
        <v/>
      </c>
      <c r="G89" s="110" t="str">
        <f aca="false">IF($B89="","",SUMIFS('الحركات الشهرية'!$D$6:$D$1005,'الحركات الشهرية'!$B$6:$B$1005,$B89,'الحركات الشهرية'!$A$6:$A$1005,$C$3))</f>
        <v/>
      </c>
      <c r="H89" s="110" t="str">
        <f aca="false">IF($B89="","",SUMIFS('الحركات الشهرية'!$E$6:$E$1005,'الحركات الشهرية'!$B$6:$B$1005,$B89,'الحركات الشهرية'!$A$6:$A$1005,$C$3))</f>
        <v/>
      </c>
      <c r="I89" s="110" t="str">
        <f aca="false">IF($B89="","",MAX(0,F89-G89-H89))</f>
        <v/>
      </c>
      <c r="J89" s="90" t="str">
        <f aca="false">IF($B89="","",الموظفون!$J89*$I89/cfg_DAYS_M)</f>
        <v/>
      </c>
      <c r="K89" s="90" t="str">
        <f aca="false">IF($B89="","",الموظفون!$K89*$I89/cfg_DAYS_M)</f>
        <v/>
      </c>
      <c r="L89" s="90" t="str">
        <f aca="false">IF($B89="","",الموظفون!$L89*$I89/cfg_DAYS_M)</f>
        <v/>
      </c>
      <c r="M89" s="90" t="str">
        <f aca="false">IF($B89="","",الموظفون!$M89*$I89/cfg_DAYS_M)</f>
        <v/>
      </c>
      <c r="N89" s="110" t="str">
        <f aca="false">IF($B89="","",SUMIFS('الحركات الشهرية'!$F$6:$F$1005,'الحركات الشهرية'!$B$6:$B$1005,$B89,'الحركات الشهرية'!$A$6:$A$1005,$C$3))</f>
        <v/>
      </c>
      <c r="O89" s="90" t="str">
        <f aca="false">IF($B89="","",N89*(الموظفون!$N89+الموظفون!$J89*cfg_OT_P)/cfg_DAYS_M/cfg_HRS)</f>
        <v/>
      </c>
      <c r="P89" s="90" t="str">
        <f aca="false">IF($B89="","",SUMIFS('الحركات الشهرية'!$G$6:$G$1005,'الحركات الشهرية'!$B$6:$B$1005,$B89,'الحركات الشهرية'!$A$6:$A$1005,$C$3))</f>
        <v/>
      </c>
      <c r="Q89" s="90" t="str">
        <f aca="false">IF($B89="","",SUMIFS('الحركات الشهرية'!$H$6:$H$1005,'الحركات الشهرية'!$B$6:$B$1005,$B89,'الحركات الشهرية'!$A$6:$A$1005,$C$3))</f>
        <v/>
      </c>
      <c r="R89" s="111" t="str">
        <f aca="false">IF($B89="","",SUM(J89:M89)+SUM(O89:Q89))</f>
        <v/>
      </c>
      <c r="S89" s="90" t="str">
        <f aca="false">IF($B89="","",الموظفون!$Q89*IF(E89="سعودي",cfg_G_SE,cfg_G_NE)*F89/cfg_DAYS_M)</f>
        <v/>
      </c>
      <c r="T89" s="90" t="str">
        <f aca="false">IF($B89="","",SUMIFS('الحركات الشهرية'!$I$6:$I$1005,'الحركات الشهرية'!$B$6:$B$1005,$B89,'الحركات الشهرية'!$A$6:$A$1005,$C$3))</f>
        <v/>
      </c>
      <c r="U89" s="90" t="str">
        <f aca="false">IF($B89="","",SUMIFS('الحركات الشهرية'!$J$6:$J$1005,'الحركات الشهرية'!$B$6:$B$1005,$B89,'الحركات الشهرية'!$A$6:$A$1005,$C$3))</f>
        <v/>
      </c>
      <c r="V89" s="90" t="str">
        <f aca="false">IF($B89="","",SUM(S89:U89))</f>
        <v/>
      </c>
      <c r="W89" s="112" t="str">
        <f aca="false">IF($B89="","",R89-V89)</f>
        <v/>
      </c>
      <c r="X89" s="90" t="str">
        <f aca="false">IF($B89="","",الموظفون!$Q89*IF(E89="سعودي",cfg_G_SR,cfg_G_NR)*F89/cfg_DAYS_M)</f>
        <v/>
      </c>
      <c r="Y89" s="90" t="str">
        <f aca="false">IF($B89="","",الموظفون!$O89*(cfg_EOS_R1*(MIN(AC89,cfg_EOS_TH)-MIN(AD89,cfg_EOS_TH))+cfg_EOS_R2*(MAX(AC89-cfg_EOS_TH,0)-MAX(AD89-cfg_EOS_TH,0))))</f>
        <v/>
      </c>
      <c r="Z89" s="90" t="str">
        <f aca="false">IF($B89="","",IF(الموظفون!$R89&lt;&gt;"",الموظفون!$R89,IF(AC89&gt;=cfg_LV_TH,cfg_LV_D2,cfg_LV_D1))/cfg_DAYS_Y*AE89*الموظفون!$P89/cfg_DAYS_M)</f>
        <v/>
      </c>
      <c r="AA89" s="90" t="str">
        <f aca="false">IF($B89="","",IF(AND(الموظفون!$S89="نعم",N(الموظفون!$U89)&gt;0),الموظفون!$T89/الموظفون!$U89*12/cfg_DAYS_Y*AE89,0))</f>
        <v/>
      </c>
      <c r="AB89" s="113" t="str">
        <f aca="false">IF($B89="","",R89+SUM(X89:AA89))</f>
        <v/>
      </c>
      <c r="AC89" s="114" t="str">
        <f aca="false">IF($B89="","",MAX(0,IF(OR(الموظفون!$X89="",الموظفون!$X89&gt;$G$3),$G$3,الموظفون!$X89)-الموظفون!$H89+1)/cfg_DAYS_Y)</f>
        <v/>
      </c>
      <c r="AD89" s="114" t="str">
        <f aca="false">IF($B89="","",MAX(0,IF(OR(الموظفون!$X89="",الموظفون!$X89&gt;($E$3-1)),($E$3-1),الموظفون!$X89)-الموظفون!$H89+1)/cfg_DAYS_Y)</f>
        <v/>
      </c>
      <c r="AE89" s="115" t="str">
        <f aca="false">IF($B89="","",MAX(0,IF(OR(الموظفون!$X89="",الموظفون!$X89&gt;$G$3),$G$3,الموظفون!$X89)-MAX($E$3,الموظفون!$H89)+1))</f>
        <v/>
      </c>
    </row>
    <row r="90" customFormat="false" ht="15" hidden="false" customHeight="false" outlineLevel="0" collapsed="false">
      <c r="A90" s="83" t="str">
        <f aca="false">IF($B90="","",الموظفون!$A90)</f>
        <v/>
      </c>
      <c r="B90" s="74" t="str">
        <f aca="false">IF(الموظفون!$B90="","",الموظفون!$B90)</f>
        <v/>
      </c>
      <c r="C90" s="74" t="str">
        <f aca="false">IF($B90="","",الموظفون!$C90)</f>
        <v/>
      </c>
      <c r="D90" s="74" t="str">
        <f aca="false">IF($B90="","",الموظفون!$F90)</f>
        <v/>
      </c>
      <c r="E90" s="74" t="str">
        <f aca="false">IF($B90="","",الموظفون!$E90)</f>
        <v/>
      </c>
      <c r="F90" s="105" t="str">
        <f aca="false">IF($B90="","",IF(AE90&gt;=DAY($G$3),cfg_DAYS_M,MIN(AE90,cfg_DAYS_M)))</f>
        <v/>
      </c>
      <c r="G90" s="105" t="str">
        <f aca="false">IF($B90="","",SUMIFS('الحركات الشهرية'!$D$6:$D$1005,'الحركات الشهرية'!$B$6:$B$1005,$B90,'الحركات الشهرية'!$A$6:$A$1005,$C$3))</f>
        <v/>
      </c>
      <c r="H90" s="105" t="str">
        <f aca="false">IF($B90="","",SUMIFS('الحركات الشهرية'!$E$6:$E$1005,'الحركات الشهرية'!$B$6:$B$1005,$B90,'الحركات الشهرية'!$A$6:$A$1005,$C$3))</f>
        <v/>
      </c>
      <c r="I90" s="105" t="str">
        <f aca="false">IF($B90="","",MAX(0,F90-G90-H90))</f>
        <v/>
      </c>
      <c r="J90" s="86" t="str">
        <f aca="false">IF($B90="","",الموظفون!$J90*$I90/cfg_DAYS_M)</f>
        <v/>
      </c>
      <c r="K90" s="86" t="str">
        <f aca="false">IF($B90="","",الموظفون!$K90*$I90/cfg_DAYS_M)</f>
        <v/>
      </c>
      <c r="L90" s="86" t="str">
        <f aca="false">IF($B90="","",الموظفون!$L90*$I90/cfg_DAYS_M)</f>
        <v/>
      </c>
      <c r="M90" s="86" t="str">
        <f aca="false">IF($B90="","",الموظفون!$M90*$I90/cfg_DAYS_M)</f>
        <v/>
      </c>
      <c r="N90" s="105" t="str">
        <f aca="false">IF($B90="","",SUMIFS('الحركات الشهرية'!$F$6:$F$1005,'الحركات الشهرية'!$B$6:$B$1005,$B90,'الحركات الشهرية'!$A$6:$A$1005,$C$3))</f>
        <v/>
      </c>
      <c r="O90" s="86" t="str">
        <f aca="false">IF($B90="","",N90*(الموظفون!$N90+الموظفون!$J90*cfg_OT_P)/cfg_DAYS_M/cfg_HRS)</f>
        <v/>
      </c>
      <c r="P90" s="86" t="str">
        <f aca="false">IF($B90="","",SUMIFS('الحركات الشهرية'!$G$6:$G$1005,'الحركات الشهرية'!$B$6:$B$1005,$B90,'الحركات الشهرية'!$A$6:$A$1005,$C$3))</f>
        <v/>
      </c>
      <c r="Q90" s="86" t="str">
        <f aca="false">IF($B90="","",SUMIFS('الحركات الشهرية'!$H$6:$H$1005,'الحركات الشهرية'!$B$6:$B$1005,$B90,'الحركات الشهرية'!$A$6:$A$1005,$C$3))</f>
        <v/>
      </c>
      <c r="R90" s="106" t="str">
        <f aca="false">IF($B90="","",SUM(J90:M90)+SUM(O90:Q90))</f>
        <v/>
      </c>
      <c r="S90" s="86" t="str">
        <f aca="false">IF($B90="","",الموظفون!$Q90*IF(E90="سعودي",cfg_G_SE,cfg_G_NE)*F90/cfg_DAYS_M)</f>
        <v/>
      </c>
      <c r="T90" s="86" t="str">
        <f aca="false">IF($B90="","",SUMIFS('الحركات الشهرية'!$I$6:$I$1005,'الحركات الشهرية'!$B$6:$B$1005,$B90,'الحركات الشهرية'!$A$6:$A$1005,$C$3))</f>
        <v/>
      </c>
      <c r="U90" s="86" t="str">
        <f aca="false">IF($B90="","",SUMIFS('الحركات الشهرية'!$J$6:$J$1005,'الحركات الشهرية'!$B$6:$B$1005,$B90,'الحركات الشهرية'!$A$6:$A$1005,$C$3))</f>
        <v/>
      </c>
      <c r="V90" s="86" t="str">
        <f aca="false">IF($B90="","",SUM(S90:U90))</f>
        <v/>
      </c>
      <c r="W90" s="107" t="str">
        <f aca="false">IF($B90="","",R90-V90)</f>
        <v/>
      </c>
      <c r="X90" s="86" t="str">
        <f aca="false">IF($B90="","",الموظفون!$Q90*IF(E90="سعودي",cfg_G_SR,cfg_G_NR)*F90/cfg_DAYS_M)</f>
        <v/>
      </c>
      <c r="Y90" s="86" t="str">
        <f aca="false">IF($B90="","",الموظفون!$O90*(cfg_EOS_R1*(MIN(AC90,cfg_EOS_TH)-MIN(AD90,cfg_EOS_TH))+cfg_EOS_R2*(MAX(AC90-cfg_EOS_TH,0)-MAX(AD90-cfg_EOS_TH,0))))</f>
        <v/>
      </c>
      <c r="Z90" s="86" t="str">
        <f aca="false">IF($B90="","",IF(الموظفون!$R90&lt;&gt;"",الموظفون!$R90,IF(AC90&gt;=cfg_LV_TH,cfg_LV_D2,cfg_LV_D1))/cfg_DAYS_Y*AE90*الموظفون!$P90/cfg_DAYS_M)</f>
        <v/>
      </c>
      <c r="AA90" s="86" t="str">
        <f aca="false">IF($B90="","",IF(AND(الموظفون!$S90="نعم",N(الموظفون!$U90)&gt;0),الموظفون!$T90/الموظفون!$U90*12/cfg_DAYS_Y*AE90,0))</f>
        <v/>
      </c>
      <c r="AB90" s="108" t="str">
        <f aca="false">IF($B90="","",R90+SUM(X90:AA90))</f>
        <v/>
      </c>
      <c r="AC90" s="109" t="str">
        <f aca="false">IF($B90="","",MAX(0,IF(OR(الموظفون!$X90="",الموظفون!$X90&gt;$G$3),$G$3,الموظفون!$X90)-الموظفون!$H90+1)/cfg_DAYS_Y)</f>
        <v/>
      </c>
      <c r="AD90" s="109" t="str">
        <f aca="false">IF($B90="","",MAX(0,IF(OR(الموظفون!$X90="",الموظفون!$X90&gt;($E$3-1)),($E$3-1),الموظفون!$X90)-الموظفون!$H90+1)/cfg_DAYS_Y)</f>
        <v/>
      </c>
      <c r="AE90" s="51" t="str">
        <f aca="false">IF($B90="","",MAX(0,IF(OR(الموظفون!$X90="",الموظفون!$X90&gt;$G$3),$G$3,الموظفون!$X90)-MAX($E$3,الموظفون!$H90)+1))</f>
        <v/>
      </c>
    </row>
    <row r="91" customFormat="false" ht="15" hidden="false" customHeight="false" outlineLevel="0" collapsed="false">
      <c r="A91" s="89" t="str">
        <f aca="false">IF($B91="","",الموظفون!$A91)</f>
        <v/>
      </c>
      <c r="B91" s="91" t="str">
        <f aca="false">IF(الموظفون!$B91="","",الموظفون!$B91)</f>
        <v/>
      </c>
      <c r="C91" s="91" t="str">
        <f aca="false">IF($B91="","",الموظفون!$C91)</f>
        <v/>
      </c>
      <c r="D91" s="91" t="str">
        <f aca="false">IF($B91="","",الموظفون!$F91)</f>
        <v/>
      </c>
      <c r="E91" s="91" t="str">
        <f aca="false">IF($B91="","",الموظفون!$E91)</f>
        <v/>
      </c>
      <c r="F91" s="110" t="str">
        <f aca="false">IF($B91="","",IF(AE91&gt;=DAY($G$3),cfg_DAYS_M,MIN(AE91,cfg_DAYS_M)))</f>
        <v/>
      </c>
      <c r="G91" s="110" t="str">
        <f aca="false">IF($B91="","",SUMIFS('الحركات الشهرية'!$D$6:$D$1005,'الحركات الشهرية'!$B$6:$B$1005,$B91,'الحركات الشهرية'!$A$6:$A$1005,$C$3))</f>
        <v/>
      </c>
      <c r="H91" s="110" t="str">
        <f aca="false">IF($B91="","",SUMIFS('الحركات الشهرية'!$E$6:$E$1005,'الحركات الشهرية'!$B$6:$B$1005,$B91,'الحركات الشهرية'!$A$6:$A$1005,$C$3))</f>
        <v/>
      </c>
      <c r="I91" s="110" t="str">
        <f aca="false">IF($B91="","",MAX(0,F91-G91-H91))</f>
        <v/>
      </c>
      <c r="J91" s="90" t="str">
        <f aca="false">IF($B91="","",الموظفون!$J91*$I91/cfg_DAYS_M)</f>
        <v/>
      </c>
      <c r="K91" s="90" t="str">
        <f aca="false">IF($B91="","",الموظفون!$K91*$I91/cfg_DAYS_M)</f>
        <v/>
      </c>
      <c r="L91" s="90" t="str">
        <f aca="false">IF($B91="","",الموظفون!$L91*$I91/cfg_DAYS_M)</f>
        <v/>
      </c>
      <c r="M91" s="90" t="str">
        <f aca="false">IF($B91="","",الموظفون!$M91*$I91/cfg_DAYS_M)</f>
        <v/>
      </c>
      <c r="N91" s="110" t="str">
        <f aca="false">IF($B91="","",SUMIFS('الحركات الشهرية'!$F$6:$F$1005,'الحركات الشهرية'!$B$6:$B$1005,$B91,'الحركات الشهرية'!$A$6:$A$1005,$C$3))</f>
        <v/>
      </c>
      <c r="O91" s="90" t="str">
        <f aca="false">IF($B91="","",N91*(الموظفون!$N91+الموظفون!$J91*cfg_OT_P)/cfg_DAYS_M/cfg_HRS)</f>
        <v/>
      </c>
      <c r="P91" s="90" t="str">
        <f aca="false">IF($B91="","",SUMIFS('الحركات الشهرية'!$G$6:$G$1005,'الحركات الشهرية'!$B$6:$B$1005,$B91,'الحركات الشهرية'!$A$6:$A$1005,$C$3))</f>
        <v/>
      </c>
      <c r="Q91" s="90" t="str">
        <f aca="false">IF($B91="","",SUMIFS('الحركات الشهرية'!$H$6:$H$1005,'الحركات الشهرية'!$B$6:$B$1005,$B91,'الحركات الشهرية'!$A$6:$A$1005,$C$3))</f>
        <v/>
      </c>
      <c r="R91" s="111" t="str">
        <f aca="false">IF($B91="","",SUM(J91:M91)+SUM(O91:Q91))</f>
        <v/>
      </c>
      <c r="S91" s="90" t="str">
        <f aca="false">IF($B91="","",الموظفون!$Q91*IF(E91="سعودي",cfg_G_SE,cfg_G_NE)*F91/cfg_DAYS_M)</f>
        <v/>
      </c>
      <c r="T91" s="90" t="str">
        <f aca="false">IF($B91="","",SUMIFS('الحركات الشهرية'!$I$6:$I$1005,'الحركات الشهرية'!$B$6:$B$1005,$B91,'الحركات الشهرية'!$A$6:$A$1005,$C$3))</f>
        <v/>
      </c>
      <c r="U91" s="90" t="str">
        <f aca="false">IF($B91="","",SUMIFS('الحركات الشهرية'!$J$6:$J$1005,'الحركات الشهرية'!$B$6:$B$1005,$B91,'الحركات الشهرية'!$A$6:$A$1005,$C$3))</f>
        <v/>
      </c>
      <c r="V91" s="90" t="str">
        <f aca="false">IF($B91="","",SUM(S91:U91))</f>
        <v/>
      </c>
      <c r="W91" s="112" t="str">
        <f aca="false">IF($B91="","",R91-V91)</f>
        <v/>
      </c>
      <c r="X91" s="90" t="str">
        <f aca="false">IF($B91="","",الموظفون!$Q91*IF(E91="سعودي",cfg_G_SR,cfg_G_NR)*F91/cfg_DAYS_M)</f>
        <v/>
      </c>
      <c r="Y91" s="90" t="str">
        <f aca="false">IF($B91="","",الموظفون!$O91*(cfg_EOS_R1*(MIN(AC91,cfg_EOS_TH)-MIN(AD91,cfg_EOS_TH))+cfg_EOS_R2*(MAX(AC91-cfg_EOS_TH,0)-MAX(AD91-cfg_EOS_TH,0))))</f>
        <v/>
      </c>
      <c r="Z91" s="90" t="str">
        <f aca="false">IF($B91="","",IF(الموظفون!$R91&lt;&gt;"",الموظفون!$R91,IF(AC91&gt;=cfg_LV_TH,cfg_LV_D2,cfg_LV_D1))/cfg_DAYS_Y*AE91*الموظفون!$P91/cfg_DAYS_M)</f>
        <v/>
      </c>
      <c r="AA91" s="90" t="str">
        <f aca="false">IF($B91="","",IF(AND(الموظفون!$S91="نعم",N(الموظفون!$U91)&gt;0),الموظفون!$T91/الموظفون!$U91*12/cfg_DAYS_Y*AE91,0))</f>
        <v/>
      </c>
      <c r="AB91" s="113" t="str">
        <f aca="false">IF($B91="","",R91+SUM(X91:AA91))</f>
        <v/>
      </c>
      <c r="AC91" s="114" t="str">
        <f aca="false">IF($B91="","",MAX(0,IF(OR(الموظفون!$X91="",الموظفون!$X91&gt;$G$3),$G$3,الموظفون!$X91)-الموظفون!$H91+1)/cfg_DAYS_Y)</f>
        <v/>
      </c>
      <c r="AD91" s="114" t="str">
        <f aca="false">IF($B91="","",MAX(0,IF(OR(الموظفون!$X91="",الموظفون!$X91&gt;($E$3-1)),($E$3-1),الموظفون!$X91)-الموظفون!$H91+1)/cfg_DAYS_Y)</f>
        <v/>
      </c>
      <c r="AE91" s="115" t="str">
        <f aca="false">IF($B91="","",MAX(0,IF(OR(الموظفون!$X91="",الموظفون!$X91&gt;$G$3),$G$3,الموظفون!$X91)-MAX($E$3,الموظفون!$H91)+1))</f>
        <v/>
      </c>
    </row>
    <row r="92" customFormat="false" ht="15" hidden="false" customHeight="false" outlineLevel="0" collapsed="false">
      <c r="A92" s="83" t="str">
        <f aca="false">IF($B92="","",الموظفون!$A92)</f>
        <v/>
      </c>
      <c r="B92" s="74" t="str">
        <f aca="false">IF(الموظفون!$B92="","",الموظفون!$B92)</f>
        <v/>
      </c>
      <c r="C92" s="74" t="str">
        <f aca="false">IF($B92="","",الموظفون!$C92)</f>
        <v/>
      </c>
      <c r="D92" s="74" t="str">
        <f aca="false">IF($B92="","",الموظفون!$F92)</f>
        <v/>
      </c>
      <c r="E92" s="74" t="str">
        <f aca="false">IF($B92="","",الموظفون!$E92)</f>
        <v/>
      </c>
      <c r="F92" s="105" t="str">
        <f aca="false">IF($B92="","",IF(AE92&gt;=DAY($G$3),cfg_DAYS_M,MIN(AE92,cfg_DAYS_M)))</f>
        <v/>
      </c>
      <c r="G92" s="105" t="str">
        <f aca="false">IF($B92="","",SUMIFS('الحركات الشهرية'!$D$6:$D$1005,'الحركات الشهرية'!$B$6:$B$1005,$B92,'الحركات الشهرية'!$A$6:$A$1005,$C$3))</f>
        <v/>
      </c>
      <c r="H92" s="105" t="str">
        <f aca="false">IF($B92="","",SUMIFS('الحركات الشهرية'!$E$6:$E$1005,'الحركات الشهرية'!$B$6:$B$1005,$B92,'الحركات الشهرية'!$A$6:$A$1005,$C$3))</f>
        <v/>
      </c>
      <c r="I92" s="105" t="str">
        <f aca="false">IF($B92="","",MAX(0,F92-G92-H92))</f>
        <v/>
      </c>
      <c r="J92" s="86" t="str">
        <f aca="false">IF($B92="","",الموظفون!$J92*$I92/cfg_DAYS_M)</f>
        <v/>
      </c>
      <c r="K92" s="86" t="str">
        <f aca="false">IF($B92="","",الموظفون!$K92*$I92/cfg_DAYS_M)</f>
        <v/>
      </c>
      <c r="L92" s="86" t="str">
        <f aca="false">IF($B92="","",الموظفون!$L92*$I92/cfg_DAYS_M)</f>
        <v/>
      </c>
      <c r="M92" s="86" t="str">
        <f aca="false">IF($B92="","",الموظفون!$M92*$I92/cfg_DAYS_M)</f>
        <v/>
      </c>
      <c r="N92" s="105" t="str">
        <f aca="false">IF($B92="","",SUMIFS('الحركات الشهرية'!$F$6:$F$1005,'الحركات الشهرية'!$B$6:$B$1005,$B92,'الحركات الشهرية'!$A$6:$A$1005,$C$3))</f>
        <v/>
      </c>
      <c r="O92" s="86" t="str">
        <f aca="false">IF($B92="","",N92*(الموظفون!$N92+الموظفون!$J92*cfg_OT_P)/cfg_DAYS_M/cfg_HRS)</f>
        <v/>
      </c>
      <c r="P92" s="86" t="str">
        <f aca="false">IF($B92="","",SUMIFS('الحركات الشهرية'!$G$6:$G$1005,'الحركات الشهرية'!$B$6:$B$1005,$B92,'الحركات الشهرية'!$A$6:$A$1005,$C$3))</f>
        <v/>
      </c>
      <c r="Q92" s="86" t="str">
        <f aca="false">IF($B92="","",SUMIFS('الحركات الشهرية'!$H$6:$H$1005,'الحركات الشهرية'!$B$6:$B$1005,$B92,'الحركات الشهرية'!$A$6:$A$1005,$C$3))</f>
        <v/>
      </c>
      <c r="R92" s="106" t="str">
        <f aca="false">IF($B92="","",SUM(J92:M92)+SUM(O92:Q92))</f>
        <v/>
      </c>
      <c r="S92" s="86" t="str">
        <f aca="false">IF($B92="","",الموظفون!$Q92*IF(E92="سعودي",cfg_G_SE,cfg_G_NE)*F92/cfg_DAYS_M)</f>
        <v/>
      </c>
      <c r="T92" s="86" t="str">
        <f aca="false">IF($B92="","",SUMIFS('الحركات الشهرية'!$I$6:$I$1005,'الحركات الشهرية'!$B$6:$B$1005,$B92,'الحركات الشهرية'!$A$6:$A$1005,$C$3))</f>
        <v/>
      </c>
      <c r="U92" s="86" t="str">
        <f aca="false">IF($B92="","",SUMIFS('الحركات الشهرية'!$J$6:$J$1005,'الحركات الشهرية'!$B$6:$B$1005,$B92,'الحركات الشهرية'!$A$6:$A$1005,$C$3))</f>
        <v/>
      </c>
      <c r="V92" s="86" t="str">
        <f aca="false">IF($B92="","",SUM(S92:U92))</f>
        <v/>
      </c>
      <c r="W92" s="107" t="str">
        <f aca="false">IF($B92="","",R92-V92)</f>
        <v/>
      </c>
      <c r="X92" s="86" t="str">
        <f aca="false">IF($B92="","",الموظفون!$Q92*IF(E92="سعودي",cfg_G_SR,cfg_G_NR)*F92/cfg_DAYS_M)</f>
        <v/>
      </c>
      <c r="Y92" s="86" t="str">
        <f aca="false">IF($B92="","",الموظفون!$O92*(cfg_EOS_R1*(MIN(AC92,cfg_EOS_TH)-MIN(AD92,cfg_EOS_TH))+cfg_EOS_R2*(MAX(AC92-cfg_EOS_TH,0)-MAX(AD92-cfg_EOS_TH,0))))</f>
        <v/>
      </c>
      <c r="Z92" s="86" t="str">
        <f aca="false">IF($B92="","",IF(الموظفون!$R92&lt;&gt;"",الموظفون!$R92,IF(AC92&gt;=cfg_LV_TH,cfg_LV_D2,cfg_LV_D1))/cfg_DAYS_Y*AE92*الموظفون!$P92/cfg_DAYS_M)</f>
        <v/>
      </c>
      <c r="AA92" s="86" t="str">
        <f aca="false">IF($B92="","",IF(AND(الموظفون!$S92="نعم",N(الموظفون!$U92)&gt;0),الموظفون!$T92/الموظفون!$U92*12/cfg_DAYS_Y*AE92,0))</f>
        <v/>
      </c>
      <c r="AB92" s="108" t="str">
        <f aca="false">IF($B92="","",R92+SUM(X92:AA92))</f>
        <v/>
      </c>
      <c r="AC92" s="109" t="str">
        <f aca="false">IF($B92="","",MAX(0,IF(OR(الموظفون!$X92="",الموظفون!$X92&gt;$G$3),$G$3,الموظفون!$X92)-الموظفون!$H92+1)/cfg_DAYS_Y)</f>
        <v/>
      </c>
      <c r="AD92" s="109" t="str">
        <f aca="false">IF($B92="","",MAX(0,IF(OR(الموظفون!$X92="",الموظفون!$X92&gt;($E$3-1)),($E$3-1),الموظفون!$X92)-الموظفون!$H92+1)/cfg_DAYS_Y)</f>
        <v/>
      </c>
      <c r="AE92" s="51" t="str">
        <f aca="false">IF($B92="","",MAX(0,IF(OR(الموظفون!$X92="",الموظفون!$X92&gt;$G$3),$G$3,الموظفون!$X92)-MAX($E$3,الموظفون!$H92)+1))</f>
        <v/>
      </c>
    </row>
    <row r="93" customFormat="false" ht="15" hidden="false" customHeight="false" outlineLevel="0" collapsed="false">
      <c r="A93" s="89" t="str">
        <f aca="false">IF($B93="","",الموظفون!$A93)</f>
        <v/>
      </c>
      <c r="B93" s="91" t="str">
        <f aca="false">IF(الموظفون!$B93="","",الموظفون!$B93)</f>
        <v/>
      </c>
      <c r="C93" s="91" t="str">
        <f aca="false">IF($B93="","",الموظفون!$C93)</f>
        <v/>
      </c>
      <c r="D93" s="91" t="str">
        <f aca="false">IF($B93="","",الموظفون!$F93)</f>
        <v/>
      </c>
      <c r="E93" s="91" t="str">
        <f aca="false">IF($B93="","",الموظفون!$E93)</f>
        <v/>
      </c>
      <c r="F93" s="110" t="str">
        <f aca="false">IF($B93="","",IF(AE93&gt;=DAY($G$3),cfg_DAYS_M,MIN(AE93,cfg_DAYS_M)))</f>
        <v/>
      </c>
      <c r="G93" s="110" t="str">
        <f aca="false">IF($B93="","",SUMIFS('الحركات الشهرية'!$D$6:$D$1005,'الحركات الشهرية'!$B$6:$B$1005,$B93,'الحركات الشهرية'!$A$6:$A$1005,$C$3))</f>
        <v/>
      </c>
      <c r="H93" s="110" t="str">
        <f aca="false">IF($B93="","",SUMIFS('الحركات الشهرية'!$E$6:$E$1005,'الحركات الشهرية'!$B$6:$B$1005,$B93,'الحركات الشهرية'!$A$6:$A$1005,$C$3))</f>
        <v/>
      </c>
      <c r="I93" s="110" t="str">
        <f aca="false">IF($B93="","",MAX(0,F93-G93-H93))</f>
        <v/>
      </c>
      <c r="J93" s="90" t="str">
        <f aca="false">IF($B93="","",الموظفون!$J93*$I93/cfg_DAYS_M)</f>
        <v/>
      </c>
      <c r="K93" s="90" t="str">
        <f aca="false">IF($B93="","",الموظفون!$K93*$I93/cfg_DAYS_M)</f>
        <v/>
      </c>
      <c r="L93" s="90" t="str">
        <f aca="false">IF($B93="","",الموظفون!$L93*$I93/cfg_DAYS_M)</f>
        <v/>
      </c>
      <c r="M93" s="90" t="str">
        <f aca="false">IF($B93="","",الموظفون!$M93*$I93/cfg_DAYS_M)</f>
        <v/>
      </c>
      <c r="N93" s="110" t="str">
        <f aca="false">IF($B93="","",SUMIFS('الحركات الشهرية'!$F$6:$F$1005,'الحركات الشهرية'!$B$6:$B$1005,$B93,'الحركات الشهرية'!$A$6:$A$1005,$C$3))</f>
        <v/>
      </c>
      <c r="O93" s="90" t="str">
        <f aca="false">IF($B93="","",N93*(الموظفون!$N93+الموظفون!$J93*cfg_OT_P)/cfg_DAYS_M/cfg_HRS)</f>
        <v/>
      </c>
      <c r="P93" s="90" t="str">
        <f aca="false">IF($B93="","",SUMIFS('الحركات الشهرية'!$G$6:$G$1005,'الحركات الشهرية'!$B$6:$B$1005,$B93,'الحركات الشهرية'!$A$6:$A$1005,$C$3))</f>
        <v/>
      </c>
      <c r="Q93" s="90" t="str">
        <f aca="false">IF($B93="","",SUMIFS('الحركات الشهرية'!$H$6:$H$1005,'الحركات الشهرية'!$B$6:$B$1005,$B93,'الحركات الشهرية'!$A$6:$A$1005,$C$3))</f>
        <v/>
      </c>
      <c r="R93" s="111" t="str">
        <f aca="false">IF($B93="","",SUM(J93:M93)+SUM(O93:Q93))</f>
        <v/>
      </c>
      <c r="S93" s="90" t="str">
        <f aca="false">IF($B93="","",الموظفون!$Q93*IF(E93="سعودي",cfg_G_SE,cfg_G_NE)*F93/cfg_DAYS_M)</f>
        <v/>
      </c>
      <c r="T93" s="90" t="str">
        <f aca="false">IF($B93="","",SUMIFS('الحركات الشهرية'!$I$6:$I$1005,'الحركات الشهرية'!$B$6:$B$1005,$B93,'الحركات الشهرية'!$A$6:$A$1005,$C$3))</f>
        <v/>
      </c>
      <c r="U93" s="90" t="str">
        <f aca="false">IF($B93="","",SUMIFS('الحركات الشهرية'!$J$6:$J$1005,'الحركات الشهرية'!$B$6:$B$1005,$B93,'الحركات الشهرية'!$A$6:$A$1005,$C$3))</f>
        <v/>
      </c>
      <c r="V93" s="90" t="str">
        <f aca="false">IF($B93="","",SUM(S93:U93))</f>
        <v/>
      </c>
      <c r="W93" s="112" t="str">
        <f aca="false">IF($B93="","",R93-V93)</f>
        <v/>
      </c>
      <c r="X93" s="90" t="str">
        <f aca="false">IF($B93="","",الموظفون!$Q93*IF(E93="سعودي",cfg_G_SR,cfg_G_NR)*F93/cfg_DAYS_M)</f>
        <v/>
      </c>
      <c r="Y93" s="90" t="str">
        <f aca="false">IF($B93="","",الموظفون!$O93*(cfg_EOS_R1*(MIN(AC93,cfg_EOS_TH)-MIN(AD93,cfg_EOS_TH))+cfg_EOS_R2*(MAX(AC93-cfg_EOS_TH,0)-MAX(AD93-cfg_EOS_TH,0))))</f>
        <v/>
      </c>
      <c r="Z93" s="90" t="str">
        <f aca="false">IF($B93="","",IF(الموظفون!$R93&lt;&gt;"",الموظفون!$R93,IF(AC93&gt;=cfg_LV_TH,cfg_LV_D2,cfg_LV_D1))/cfg_DAYS_Y*AE93*الموظفون!$P93/cfg_DAYS_M)</f>
        <v/>
      </c>
      <c r="AA93" s="90" t="str">
        <f aca="false">IF($B93="","",IF(AND(الموظفون!$S93="نعم",N(الموظفون!$U93)&gt;0),الموظفون!$T93/الموظفون!$U93*12/cfg_DAYS_Y*AE93,0))</f>
        <v/>
      </c>
      <c r="AB93" s="113" t="str">
        <f aca="false">IF($B93="","",R93+SUM(X93:AA93))</f>
        <v/>
      </c>
      <c r="AC93" s="114" t="str">
        <f aca="false">IF($B93="","",MAX(0,IF(OR(الموظفون!$X93="",الموظفون!$X93&gt;$G$3),$G$3,الموظفون!$X93)-الموظفون!$H93+1)/cfg_DAYS_Y)</f>
        <v/>
      </c>
      <c r="AD93" s="114" t="str">
        <f aca="false">IF($B93="","",MAX(0,IF(OR(الموظفون!$X93="",الموظفون!$X93&gt;($E$3-1)),($E$3-1),الموظفون!$X93)-الموظفون!$H93+1)/cfg_DAYS_Y)</f>
        <v/>
      </c>
      <c r="AE93" s="115" t="str">
        <f aca="false">IF($B93="","",MAX(0,IF(OR(الموظفون!$X93="",الموظفون!$X93&gt;$G$3),$G$3,الموظفون!$X93)-MAX($E$3,الموظفون!$H93)+1))</f>
        <v/>
      </c>
    </row>
    <row r="94" customFormat="false" ht="15" hidden="false" customHeight="false" outlineLevel="0" collapsed="false">
      <c r="A94" s="83" t="str">
        <f aca="false">IF($B94="","",الموظفون!$A94)</f>
        <v/>
      </c>
      <c r="B94" s="74" t="str">
        <f aca="false">IF(الموظفون!$B94="","",الموظفون!$B94)</f>
        <v/>
      </c>
      <c r="C94" s="74" t="str">
        <f aca="false">IF($B94="","",الموظفون!$C94)</f>
        <v/>
      </c>
      <c r="D94" s="74" t="str">
        <f aca="false">IF($B94="","",الموظفون!$F94)</f>
        <v/>
      </c>
      <c r="E94" s="74" t="str">
        <f aca="false">IF($B94="","",الموظفون!$E94)</f>
        <v/>
      </c>
      <c r="F94" s="105" t="str">
        <f aca="false">IF($B94="","",IF(AE94&gt;=DAY($G$3),cfg_DAYS_M,MIN(AE94,cfg_DAYS_M)))</f>
        <v/>
      </c>
      <c r="G94" s="105" t="str">
        <f aca="false">IF($B94="","",SUMIFS('الحركات الشهرية'!$D$6:$D$1005,'الحركات الشهرية'!$B$6:$B$1005,$B94,'الحركات الشهرية'!$A$6:$A$1005,$C$3))</f>
        <v/>
      </c>
      <c r="H94" s="105" t="str">
        <f aca="false">IF($B94="","",SUMIFS('الحركات الشهرية'!$E$6:$E$1005,'الحركات الشهرية'!$B$6:$B$1005,$B94,'الحركات الشهرية'!$A$6:$A$1005,$C$3))</f>
        <v/>
      </c>
      <c r="I94" s="105" t="str">
        <f aca="false">IF($B94="","",MAX(0,F94-G94-H94))</f>
        <v/>
      </c>
      <c r="J94" s="86" t="str">
        <f aca="false">IF($B94="","",الموظفون!$J94*$I94/cfg_DAYS_M)</f>
        <v/>
      </c>
      <c r="K94" s="86" t="str">
        <f aca="false">IF($B94="","",الموظفون!$K94*$I94/cfg_DAYS_M)</f>
        <v/>
      </c>
      <c r="L94" s="86" t="str">
        <f aca="false">IF($B94="","",الموظفون!$L94*$I94/cfg_DAYS_M)</f>
        <v/>
      </c>
      <c r="M94" s="86" t="str">
        <f aca="false">IF($B94="","",الموظفون!$M94*$I94/cfg_DAYS_M)</f>
        <v/>
      </c>
      <c r="N94" s="105" t="str">
        <f aca="false">IF($B94="","",SUMIFS('الحركات الشهرية'!$F$6:$F$1005,'الحركات الشهرية'!$B$6:$B$1005,$B94,'الحركات الشهرية'!$A$6:$A$1005,$C$3))</f>
        <v/>
      </c>
      <c r="O94" s="86" t="str">
        <f aca="false">IF($B94="","",N94*(الموظفون!$N94+الموظفون!$J94*cfg_OT_P)/cfg_DAYS_M/cfg_HRS)</f>
        <v/>
      </c>
      <c r="P94" s="86" t="str">
        <f aca="false">IF($B94="","",SUMIFS('الحركات الشهرية'!$G$6:$G$1005,'الحركات الشهرية'!$B$6:$B$1005,$B94,'الحركات الشهرية'!$A$6:$A$1005,$C$3))</f>
        <v/>
      </c>
      <c r="Q94" s="86" t="str">
        <f aca="false">IF($B94="","",SUMIFS('الحركات الشهرية'!$H$6:$H$1005,'الحركات الشهرية'!$B$6:$B$1005,$B94,'الحركات الشهرية'!$A$6:$A$1005,$C$3))</f>
        <v/>
      </c>
      <c r="R94" s="106" t="str">
        <f aca="false">IF($B94="","",SUM(J94:M94)+SUM(O94:Q94))</f>
        <v/>
      </c>
      <c r="S94" s="86" t="str">
        <f aca="false">IF($B94="","",الموظفون!$Q94*IF(E94="سعودي",cfg_G_SE,cfg_G_NE)*F94/cfg_DAYS_M)</f>
        <v/>
      </c>
      <c r="T94" s="86" t="str">
        <f aca="false">IF($B94="","",SUMIFS('الحركات الشهرية'!$I$6:$I$1005,'الحركات الشهرية'!$B$6:$B$1005,$B94,'الحركات الشهرية'!$A$6:$A$1005,$C$3))</f>
        <v/>
      </c>
      <c r="U94" s="86" t="str">
        <f aca="false">IF($B94="","",SUMIFS('الحركات الشهرية'!$J$6:$J$1005,'الحركات الشهرية'!$B$6:$B$1005,$B94,'الحركات الشهرية'!$A$6:$A$1005,$C$3))</f>
        <v/>
      </c>
      <c r="V94" s="86" t="str">
        <f aca="false">IF($B94="","",SUM(S94:U94))</f>
        <v/>
      </c>
      <c r="W94" s="107" t="str">
        <f aca="false">IF($B94="","",R94-V94)</f>
        <v/>
      </c>
      <c r="X94" s="86" t="str">
        <f aca="false">IF($B94="","",الموظفون!$Q94*IF(E94="سعودي",cfg_G_SR,cfg_G_NR)*F94/cfg_DAYS_M)</f>
        <v/>
      </c>
      <c r="Y94" s="86" t="str">
        <f aca="false">IF($B94="","",الموظفون!$O94*(cfg_EOS_R1*(MIN(AC94,cfg_EOS_TH)-MIN(AD94,cfg_EOS_TH))+cfg_EOS_R2*(MAX(AC94-cfg_EOS_TH,0)-MAX(AD94-cfg_EOS_TH,0))))</f>
        <v/>
      </c>
      <c r="Z94" s="86" t="str">
        <f aca="false">IF($B94="","",IF(الموظفون!$R94&lt;&gt;"",الموظفون!$R94,IF(AC94&gt;=cfg_LV_TH,cfg_LV_D2,cfg_LV_D1))/cfg_DAYS_Y*AE94*الموظفون!$P94/cfg_DAYS_M)</f>
        <v/>
      </c>
      <c r="AA94" s="86" t="str">
        <f aca="false">IF($B94="","",IF(AND(الموظفون!$S94="نعم",N(الموظفون!$U94)&gt;0),الموظفون!$T94/الموظفون!$U94*12/cfg_DAYS_Y*AE94,0))</f>
        <v/>
      </c>
      <c r="AB94" s="108" t="str">
        <f aca="false">IF($B94="","",R94+SUM(X94:AA94))</f>
        <v/>
      </c>
      <c r="AC94" s="109" t="str">
        <f aca="false">IF($B94="","",MAX(0,IF(OR(الموظفون!$X94="",الموظفون!$X94&gt;$G$3),$G$3,الموظفون!$X94)-الموظفون!$H94+1)/cfg_DAYS_Y)</f>
        <v/>
      </c>
      <c r="AD94" s="109" t="str">
        <f aca="false">IF($B94="","",MAX(0,IF(OR(الموظفون!$X94="",الموظفون!$X94&gt;($E$3-1)),($E$3-1),الموظفون!$X94)-الموظفون!$H94+1)/cfg_DAYS_Y)</f>
        <v/>
      </c>
      <c r="AE94" s="51" t="str">
        <f aca="false">IF($B94="","",MAX(0,IF(OR(الموظفون!$X94="",الموظفون!$X94&gt;$G$3),$G$3,الموظفون!$X94)-MAX($E$3,الموظفون!$H94)+1))</f>
        <v/>
      </c>
    </row>
    <row r="95" customFormat="false" ht="15" hidden="false" customHeight="false" outlineLevel="0" collapsed="false">
      <c r="A95" s="89" t="str">
        <f aca="false">IF($B95="","",الموظفون!$A95)</f>
        <v/>
      </c>
      <c r="B95" s="91" t="str">
        <f aca="false">IF(الموظفون!$B95="","",الموظفون!$B95)</f>
        <v/>
      </c>
      <c r="C95" s="91" t="str">
        <f aca="false">IF($B95="","",الموظفون!$C95)</f>
        <v/>
      </c>
      <c r="D95" s="91" t="str">
        <f aca="false">IF($B95="","",الموظفون!$F95)</f>
        <v/>
      </c>
      <c r="E95" s="91" t="str">
        <f aca="false">IF($B95="","",الموظفون!$E95)</f>
        <v/>
      </c>
      <c r="F95" s="110" t="str">
        <f aca="false">IF($B95="","",IF(AE95&gt;=DAY($G$3),cfg_DAYS_M,MIN(AE95,cfg_DAYS_M)))</f>
        <v/>
      </c>
      <c r="G95" s="110" t="str">
        <f aca="false">IF($B95="","",SUMIFS('الحركات الشهرية'!$D$6:$D$1005,'الحركات الشهرية'!$B$6:$B$1005,$B95,'الحركات الشهرية'!$A$6:$A$1005,$C$3))</f>
        <v/>
      </c>
      <c r="H95" s="110" t="str">
        <f aca="false">IF($B95="","",SUMIFS('الحركات الشهرية'!$E$6:$E$1005,'الحركات الشهرية'!$B$6:$B$1005,$B95,'الحركات الشهرية'!$A$6:$A$1005,$C$3))</f>
        <v/>
      </c>
      <c r="I95" s="110" t="str">
        <f aca="false">IF($B95="","",MAX(0,F95-G95-H95))</f>
        <v/>
      </c>
      <c r="J95" s="90" t="str">
        <f aca="false">IF($B95="","",الموظفون!$J95*$I95/cfg_DAYS_M)</f>
        <v/>
      </c>
      <c r="K95" s="90" t="str">
        <f aca="false">IF($B95="","",الموظفون!$K95*$I95/cfg_DAYS_M)</f>
        <v/>
      </c>
      <c r="L95" s="90" t="str">
        <f aca="false">IF($B95="","",الموظفون!$L95*$I95/cfg_DAYS_M)</f>
        <v/>
      </c>
      <c r="M95" s="90" t="str">
        <f aca="false">IF($B95="","",الموظفون!$M95*$I95/cfg_DAYS_M)</f>
        <v/>
      </c>
      <c r="N95" s="110" t="str">
        <f aca="false">IF($B95="","",SUMIFS('الحركات الشهرية'!$F$6:$F$1005,'الحركات الشهرية'!$B$6:$B$1005,$B95,'الحركات الشهرية'!$A$6:$A$1005,$C$3))</f>
        <v/>
      </c>
      <c r="O95" s="90" t="str">
        <f aca="false">IF($B95="","",N95*(الموظفون!$N95+الموظفون!$J95*cfg_OT_P)/cfg_DAYS_M/cfg_HRS)</f>
        <v/>
      </c>
      <c r="P95" s="90" t="str">
        <f aca="false">IF($B95="","",SUMIFS('الحركات الشهرية'!$G$6:$G$1005,'الحركات الشهرية'!$B$6:$B$1005,$B95,'الحركات الشهرية'!$A$6:$A$1005,$C$3))</f>
        <v/>
      </c>
      <c r="Q95" s="90" t="str">
        <f aca="false">IF($B95="","",SUMIFS('الحركات الشهرية'!$H$6:$H$1005,'الحركات الشهرية'!$B$6:$B$1005,$B95,'الحركات الشهرية'!$A$6:$A$1005,$C$3))</f>
        <v/>
      </c>
      <c r="R95" s="111" t="str">
        <f aca="false">IF($B95="","",SUM(J95:M95)+SUM(O95:Q95))</f>
        <v/>
      </c>
      <c r="S95" s="90" t="str">
        <f aca="false">IF($B95="","",الموظفون!$Q95*IF(E95="سعودي",cfg_G_SE,cfg_G_NE)*F95/cfg_DAYS_M)</f>
        <v/>
      </c>
      <c r="T95" s="90" t="str">
        <f aca="false">IF($B95="","",SUMIFS('الحركات الشهرية'!$I$6:$I$1005,'الحركات الشهرية'!$B$6:$B$1005,$B95,'الحركات الشهرية'!$A$6:$A$1005,$C$3))</f>
        <v/>
      </c>
      <c r="U95" s="90" t="str">
        <f aca="false">IF($B95="","",SUMIFS('الحركات الشهرية'!$J$6:$J$1005,'الحركات الشهرية'!$B$6:$B$1005,$B95,'الحركات الشهرية'!$A$6:$A$1005,$C$3))</f>
        <v/>
      </c>
      <c r="V95" s="90" t="str">
        <f aca="false">IF($B95="","",SUM(S95:U95))</f>
        <v/>
      </c>
      <c r="W95" s="112" t="str">
        <f aca="false">IF($B95="","",R95-V95)</f>
        <v/>
      </c>
      <c r="X95" s="90" t="str">
        <f aca="false">IF($B95="","",الموظفون!$Q95*IF(E95="سعودي",cfg_G_SR,cfg_G_NR)*F95/cfg_DAYS_M)</f>
        <v/>
      </c>
      <c r="Y95" s="90" t="str">
        <f aca="false">IF($B95="","",الموظفون!$O95*(cfg_EOS_R1*(MIN(AC95,cfg_EOS_TH)-MIN(AD95,cfg_EOS_TH))+cfg_EOS_R2*(MAX(AC95-cfg_EOS_TH,0)-MAX(AD95-cfg_EOS_TH,0))))</f>
        <v/>
      </c>
      <c r="Z95" s="90" t="str">
        <f aca="false">IF($B95="","",IF(الموظفون!$R95&lt;&gt;"",الموظفون!$R95,IF(AC95&gt;=cfg_LV_TH,cfg_LV_D2,cfg_LV_D1))/cfg_DAYS_Y*AE95*الموظفون!$P95/cfg_DAYS_M)</f>
        <v/>
      </c>
      <c r="AA95" s="90" t="str">
        <f aca="false">IF($B95="","",IF(AND(الموظفون!$S95="نعم",N(الموظفون!$U95)&gt;0),الموظفون!$T95/الموظفون!$U95*12/cfg_DAYS_Y*AE95,0))</f>
        <v/>
      </c>
      <c r="AB95" s="113" t="str">
        <f aca="false">IF($B95="","",R95+SUM(X95:AA95))</f>
        <v/>
      </c>
      <c r="AC95" s="114" t="str">
        <f aca="false">IF($B95="","",MAX(0,IF(OR(الموظفون!$X95="",الموظفون!$X95&gt;$G$3),$G$3,الموظفون!$X95)-الموظفون!$H95+1)/cfg_DAYS_Y)</f>
        <v/>
      </c>
      <c r="AD95" s="114" t="str">
        <f aca="false">IF($B95="","",MAX(0,IF(OR(الموظفون!$X95="",الموظفون!$X95&gt;($E$3-1)),($E$3-1),الموظفون!$X95)-الموظفون!$H95+1)/cfg_DAYS_Y)</f>
        <v/>
      </c>
      <c r="AE95" s="115" t="str">
        <f aca="false">IF($B95="","",MAX(0,IF(OR(الموظفون!$X95="",الموظفون!$X95&gt;$G$3),$G$3,الموظفون!$X95)-MAX($E$3,الموظفون!$H95)+1))</f>
        <v/>
      </c>
    </row>
    <row r="96" customFormat="false" ht="15" hidden="false" customHeight="false" outlineLevel="0" collapsed="false">
      <c r="A96" s="83" t="str">
        <f aca="false">IF($B96="","",الموظفون!$A96)</f>
        <v/>
      </c>
      <c r="B96" s="74" t="str">
        <f aca="false">IF(الموظفون!$B96="","",الموظفون!$B96)</f>
        <v/>
      </c>
      <c r="C96" s="74" t="str">
        <f aca="false">IF($B96="","",الموظفون!$C96)</f>
        <v/>
      </c>
      <c r="D96" s="74" t="str">
        <f aca="false">IF($B96="","",الموظفون!$F96)</f>
        <v/>
      </c>
      <c r="E96" s="74" t="str">
        <f aca="false">IF($B96="","",الموظفون!$E96)</f>
        <v/>
      </c>
      <c r="F96" s="105" t="str">
        <f aca="false">IF($B96="","",IF(AE96&gt;=DAY($G$3),cfg_DAYS_M,MIN(AE96,cfg_DAYS_M)))</f>
        <v/>
      </c>
      <c r="G96" s="105" t="str">
        <f aca="false">IF($B96="","",SUMIFS('الحركات الشهرية'!$D$6:$D$1005,'الحركات الشهرية'!$B$6:$B$1005,$B96,'الحركات الشهرية'!$A$6:$A$1005,$C$3))</f>
        <v/>
      </c>
      <c r="H96" s="105" t="str">
        <f aca="false">IF($B96="","",SUMIFS('الحركات الشهرية'!$E$6:$E$1005,'الحركات الشهرية'!$B$6:$B$1005,$B96,'الحركات الشهرية'!$A$6:$A$1005,$C$3))</f>
        <v/>
      </c>
      <c r="I96" s="105" t="str">
        <f aca="false">IF($B96="","",MAX(0,F96-G96-H96))</f>
        <v/>
      </c>
      <c r="J96" s="86" t="str">
        <f aca="false">IF($B96="","",الموظفون!$J96*$I96/cfg_DAYS_M)</f>
        <v/>
      </c>
      <c r="K96" s="86" t="str">
        <f aca="false">IF($B96="","",الموظفون!$K96*$I96/cfg_DAYS_M)</f>
        <v/>
      </c>
      <c r="L96" s="86" t="str">
        <f aca="false">IF($B96="","",الموظفون!$L96*$I96/cfg_DAYS_M)</f>
        <v/>
      </c>
      <c r="M96" s="86" t="str">
        <f aca="false">IF($B96="","",الموظفون!$M96*$I96/cfg_DAYS_M)</f>
        <v/>
      </c>
      <c r="N96" s="105" t="str">
        <f aca="false">IF($B96="","",SUMIFS('الحركات الشهرية'!$F$6:$F$1005,'الحركات الشهرية'!$B$6:$B$1005,$B96,'الحركات الشهرية'!$A$6:$A$1005,$C$3))</f>
        <v/>
      </c>
      <c r="O96" s="86" t="str">
        <f aca="false">IF($B96="","",N96*(الموظفون!$N96+الموظفون!$J96*cfg_OT_P)/cfg_DAYS_M/cfg_HRS)</f>
        <v/>
      </c>
      <c r="P96" s="86" t="str">
        <f aca="false">IF($B96="","",SUMIFS('الحركات الشهرية'!$G$6:$G$1005,'الحركات الشهرية'!$B$6:$B$1005,$B96,'الحركات الشهرية'!$A$6:$A$1005,$C$3))</f>
        <v/>
      </c>
      <c r="Q96" s="86" t="str">
        <f aca="false">IF($B96="","",SUMIFS('الحركات الشهرية'!$H$6:$H$1005,'الحركات الشهرية'!$B$6:$B$1005,$B96,'الحركات الشهرية'!$A$6:$A$1005,$C$3))</f>
        <v/>
      </c>
      <c r="R96" s="106" t="str">
        <f aca="false">IF($B96="","",SUM(J96:M96)+SUM(O96:Q96))</f>
        <v/>
      </c>
      <c r="S96" s="86" t="str">
        <f aca="false">IF($B96="","",الموظفون!$Q96*IF(E96="سعودي",cfg_G_SE,cfg_G_NE)*F96/cfg_DAYS_M)</f>
        <v/>
      </c>
      <c r="T96" s="86" t="str">
        <f aca="false">IF($B96="","",SUMIFS('الحركات الشهرية'!$I$6:$I$1005,'الحركات الشهرية'!$B$6:$B$1005,$B96,'الحركات الشهرية'!$A$6:$A$1005,$C$3))</f>
        <v/>
      </c>
      <c r="U96" s="86" t="str">
        <f aca="false">IF($B96="","",SUMIFS('الحركات الشهرية'!$J$6:$J$1005,'الحركات الشهرية'!$B$6:$B$1005,$B96,'الحركات الشهرية'!$A$6:$A$1005,$C$3))</f>
        <v/>
      </c>
      <c r="V96" s="86" t="str">
        <f aca="false">IF($B96="","",SUM(S96:U96))</f>
        <v/>
      </c>
      <c r="W96" s="107" t="str">
        <f aca="false">IF($B96="","",R96-V96)</f>
        <v/>
      </c>
      <c r="X96" s="86" t="str">
        <f aca="false">IF($B96="","",الموظفون!$Q96*IF(E96="سعودي",cfg_G_SR,cfg_G_NR)*F96/cfg_DAYS_M)</f>
        <v/>
      </c>
      <c r="Y96" s="86" t="str">
        <f aca="false">IF($B96="","",الموظفون!$O96*(cfg_EOS_R1*(MIN(AC96,cfg_EOS_TH)-MIN(AD96,cfg_EOS_TH))+cfg_EOS_R2*(MAX(AC96-cfg_EOS_TH,0)-MAX(AD96-cfg_EOS_TH,0))))</f>
        <v/>
      </c>
      <c r="Z96" s="86" t="str">
        <f aca="false">IF($B96="","",IF(الموظفون!$R96&lt;&gt;"",الموظفون!$R96,IF(AC96&gt;=cfg_LV_TH,cfg_LV_D2,cfg_LV_D1))/cfg_DAYS_Y*AE96*الموظفون!$P96/cfg_DAYS_M)</f>
        <v/>
      </c>
      <c r="AA96" s="86" t="str">
        <f aca="false">IF($B96="","",IF(AND(الموظفون!$S96="نعم",N(الموظفون!$U96)&gt;0),الموظفون!$T96/الموظفون!$U96*12/cfg_DAYS_Y*AE96,0))</f>
        <v/>
      </c>
      <c r="AB96" s="108" t="str">
        <f aca="false">IF($B96="","",R96+SUM(X96:AA96))</f>
        <v/>
      </c>
      <c r="AC96" s="109" t="str">
        <f aca="false">IF($B96="","",MAX(0,IF(OR(الموظفون!$X96="",الموظفون!$X96&gt;$G$3),$G$3,الموظفون!$X96)-الموظفون!$H96+1)/cfg_DAYS_Y)</f>
        <v/>
      </c>
      <c r="AD96" s="109" t="str">
        <f aca="false">IF($B96="","",MAX(0,IF(OR(الموظفون!$X96="",الموظفون!$X96&gt;($E$3-1)),($E$3-1),الموظفون!$X96)-الموظفون!$H96+1)/cfg_DAYS_Y)</f>
        <v/>
      </c>
      <c r="AE96" s="51" t="str">
        <f aca="false">IF($B96="","",MAX(0,IF(OR(الموظفون!$X96="",الموظفون!$X96&gt;$G$3),$G$3,الموظفون!$X96)-MAX($E$3,الموظفون!$H96)+1))</f>
        <v/>
      </c>
    </row>
    <row r="97" customFormat="false" ht="15" hidden="false" customHeight="false" outlineLevel="0" collapsed="false">
      <c r="A97" s="89" t="str">
        <f aca="false">IF($B97="","",الموظفون!$A97)</f>
        <v/>
      </c>
      <c r="B97" s="91" t="str">
        <f aca="false">IF(الموظفون!$B97="","",الموظفون!$B97)</f>
        <v/>
      </c>
      <c r="C97" s="91" t="str">
        <f aca="false">IF($B97="","",الموظفون!$C97)</f>
        <v/>
      </c>
      <c r="D97" s="91" t="str">
        <f aca="false">IF($B97="","",الموظفون!$F97)</f>
        <v/>
      </c>
      <c r="E97" s="91" t="str">
        <f aca="false">IF($B97="","",الموظفون!$E97)</f>
        <v/>
      </c>
      <c r="F97" s="110" t="str">
        <f aca="false">IF($B97="","",IF(AE97&gt;=DAY($G$3),cfg_DAYS_M,MIN(AE97,cfg_DAYS_M)))</f>
        <v/>
      </c>
      <c r="G97" s="110" t="str">
        <f aca="false">IF($B97="","",SUMIFS('الحركات الشهرية'!$D$6:$D$1005,'الحركات الشهرية'!$B$6:$B$1005,$B97,'الحركات الشهرية'!$A$6:$A$1005,$C$3))</f>
        <v/>
      </c>
      <c r="H97" s="110" t="str">
        <f aca="false">IF($B97="","",SUMIFS('الحركات الشهرية'!$E$6:$E$1005,'الحركات الشهرية'!$B$6:$B$1005,$B97,'الحركات الشهرية'!$A$6:$A$1005,$C$3))</f>
        <v/>
      </c>
      <c r="I97" s="110" t="str">
        <f aca="false">IF($B97="","",MAX(0,F97-G97-H97))</f>
        <v/>
      </c>
      <c r="J97" s="90" t="str">
        <f aca="false">IF($B97="","",الموظفون!$J97*$I97/cfg_DAYS_M)</f>
        <v/>
      </c>
      <c r="K97" s="90" t="str">
        <f aca="false">IF($B97="","",الموظفون!$K97*$I97/cfg_DAYS_M)</f>
        <v/>
      </c>
      <c r="L97" s="90" t="str">
        <f aca="false">IF($B97="","",الموظفون!$L97*$I97/cfg_DAYS_M)</f>
        <v/>
      </c>
      <c r="M97" s="90" t="str">
        <f aca="false">IF($B97="","",الموظفون!$M97*$I97/cfg_DAYS_M)</f>
        <v/>
      </c>
      <c r="N97" s="110" t="str">
        <f aca="false">IF($B97="","",SUMIFS('الحركات الشهرية'!$F$6:$F$1005,'الحركات الشهرية'!$B$6:$B$1005,$B97,'الحركات الشهرية'!$A$6:$A$1005,$C$3))</f>
        <v/>
      </c>
      <c r="O97" s="90" t="str">
        <f aca="false">IF($B97="","",N97*(الموظفون!$N97+الموظفون!$J97*cfg_OT_P)/cfg_DAYS_M/cfg_HRS)</f>
        <v/>
      </c>
      <c r="P97" s="90" t="str">
        <f aca="false">IF($B97="","",SUMIFS('الحركات الشهرية'!$G$6:$G$1005,'الحركات الشهرية'!$B$6:$B$1005,$B97,'الحركات الشهرية'!$A$6:$A$1005,$C$3))</f>
        <v/>
      </c>
      <c r="Q97" s="90" t="str">
        <f aca="false">IF($B97="","",SUMIFS('الحركات الشهرية'!$H$6:$H$1005,'الحركات الشهرية'!$B$6:$B$1005,$B97,'الحركات الشهرية'!$A$6:$A$1005,$C$3))</f>
        <v/>
      </c>
      <c r="R97" s="111" t="str">
        <f aca="false">IF($B97="","",SUM(J97:M97)+SUM(O97:Q97))</f>
        <v/>
      </c>
      <c r="S97" s="90" t="str">
        <f aca="false">IF($B97="","",الموظفون!$Q97*IF(E97="سعودي",cfg_G_SE,cfg_G_NE)*F97/cfg_DAYS_M)</f>
        <v/>
      </c>
      <c r="T97" s="90" t="str">
        <f aca="false">IF($B97="","",SUMIFS('الحركات الشهرية'!$I$6:$I$1005,'الحركات الشهرية'!$B$6:$B$1005,$B97,'الحركات الشهرية'!$A$6:$A$1005,$C$3))</f>
        <v/>
      </c>
      <c r="U97" s="90" t="str">
        <f aca="false">IF($B97="","",SUMIFS('الحركات الشهرية'!$J$6:$J$1005,'الحركات الشهرية'!$B$6:$B$1005,$B97,'الحركات الشهرية'!$A$6:$A$1005,$C$3))</f>
        <v/>
      </c>
      <c r="V97" s="90" t="str">
        <f aca="false">IF($B97="","",SUM(S97:U97))</f>
        <v/>
      </c>
      <c r="W97" s="112" t="str">
        <f aca="false">IF($B97="","",R97-V97)</f>
        <v/>
      </c>
      <c r="X97" s="90" t="str">
        <f aca="false">IF($B97="","",الموظفون!$Q97*IF(E97="سعودي",cfg_G_SR,cfg_G_NR)*F97/cfg_DAYS_M)</f>
        <v/>
      </c>
      <c r="Y97" s="90" t="str">
        <f aca="false">IF($B97="","",الموظفون!$O97*(cfg_EOS_R1*(MIN(AC97,cfg_EOS_TH)-MIN(AD97,cfg_EOS_TH))+cfg_EOS_R2*(MAX(AC97-cfg_EOS_TH,0)-MAX(AD97-cfg_EOS_TH,0))))</f>
        <v/>
      </c>
      <c r="Z97" s="90" t="str">
        <f aca="false">IF($B97="","",IF(الموظفون!$R97&lt;&gt;"",الموظفون!$R97,IF(AC97&gt;=cfg_LV_TH,cfg_LV_D2,cfg_LV_D1))/cfg_DAYS_Y*AE97*الموظفون!$P97/cfg_DAYS_M)</f>
        <v/>
      </c>
      <c r="AA97" s="90" t="str">
        <f aca="false">IF($B97="","",IF(AND(الموظفون!$S97="نعم",N(الموظفون!$U97)&gt;0),الموظفون!$T97/الموظفون!$U97*12/cfg_DAYS_Y*AE97,0))</f>
        <v/>
      </c>
      <c r="AB97" s="113" t="str">
        <f aca="false">IF($B97="","",R97+SUM(X97:AA97))</f>
        <v/>
      </c>
      <c r="AC97" s="114" t="str">
        <f aca="false">IF($B97="","",MAX(0,IF(OR(الموظفون!$X97="",الموظفون!$X97&gt;$G$3),$G$3,الموظفون!$X97)-الموظفون!$H97+1)/cfg_DAYS_Y)</f>
        <v/>
      </c>
      <c r="AD97" s="114" t="str">
        <f aca="false">IF($B97="","",MAX(0,IF(OR(الموظفون!$X97="",الموظفون!$X97&gt;($E$3-1)),($E$3-1),الموظفون!$X97)-الموظفون!$H97+1)/cfg_DAYS_Y)</f>
        <v/>
      </c>
      <c r="AE97" s="115" t="str">
        <f aca="false">IF($B97="","",MAX(0,IF(OR(الموظفون!$X97="",الموظفون!$X97&gt;$G$3),$G$3,الموظفون!$X97)-MAX($E$3,الموظفون!$H97)+1))</f>
        <v/>
      </c>
    </row>
    <row r="98" customFormat="false" ht="15" hidden="false" customHeight="false" outlineLevel="0" collapsed="false">
      <c r="A98" s="83" t="str">
        <f aca="false">IF($B98="","",الموظفون!$A98)</f>
        <v/>
      </c>
      <c r="B98" s="74" t="str">
        <f aca="false">IF(الموظفون!$B98="","",الموظفون!$B98)</f>
        <v/>
      </c>
      <c r="C98" s="74" t="str">
        <f aca="false">IF($B98="","",الموظفون!$C98)</f>
        <v/>
      </c>
      <c r="D98" s="74" t="str">
        <f aca="false">IF($B98="","",الموظفون!$F98)</f>
        <v/>
      </c>
      <c r="E98" s="74" t="str">
        <f aca="false">IF($B98="","",الموظفون!$E98)</f>
        <v/>
      </c>
      <c r="F98" s="105" t="str">
        <f aca="false">IF($B98="","",IF(AE98&gt;=DAY($G$3),cfg_DAYS_M,MIN(AE98,cfg_DAYS_M)))</f>
        <v/>
      </c>
      <c r="G98" s="105" t="str">
        <f aca="false">IF($B98="","",SUMIFS('الحركات الشهرية'!$D$6:$D$1005,'الحركات الشهرية'!$B$6:$B$1005,$B98,'الحركات الشهرية'!$A$6:$A$1005,$C$3))</f>
        <v/>
      </c>
      <c r="H98" s="105" t="str">
        <f aca="false">IF($B98="","",SUMIFS('الحركات الشهرية'!$E$6:$E$1005,'الحركات الشهرية'!$B$6:$B$1005,$B98,'الحركات الشهرية'!$A$6:$A$1005,$C$3))</f>
        <v/>
      </c>
      <c r="I98" s="105" t="str">
        <f aca="false">IF($B98="","",MAX(0,F98-G98-H98))</f>
        <v/>
      </c>
      <c r="J98" s="86" t="str">
        <f aca="false">IF($B98="","",الموظفون!$J98*$I98/cfg_DAYS_M)</f>
        <v/>
      </c>
      <c r="K98" s="86" t="str">
        <f aca="false">IF($B98="","",الموظفون!$K98*$I98/cfg_DAYS_M)</f>
        <v/>
      </c>
      <c r="L98" s="86" t="str">
        <f aca="false">IF($B98="","",الموظفون!$L98*$I98/cfg_DAYS_M)</f>
        <v/>
      </c>
      <c r="M98" s="86" t="str">
        <f aca="false">IF($B98="","",الموظفون!$M98*$I98/cfg_DAYS_M)</f>
        <v/>
      </c>
      <c r="N98" s="105" t="str">
        <f aca="false">IF($B98="","",SUMIFS('الحركات الشهرية'!$F$6:$F$1005,'الحركات الشهرية'!$B$6:$B$1005,$B98,'الحركات الشهرية'!$A$6:$A$1005,$C$3))</f>
        <v/>
      </c>
      <c r="O98" s="86" t="str">
        <f aca="false">IF($B98="","",N98*(الموظفون!$N98+الموظفون!$J98*cfg_OT_P)/cfg_DAYS_M/cfg_HRS)</f>
        <v/>
      </c>
      <c r="P98" s="86" t="str">
        <f aca="false">IF($B98="","",SUMIFS('الحركات الشهرية'!$G$6:$G$1005,'الحركات الشهرية'!$B$6:$B$1005,$B98,'الحركات الشهرية'!$A$6:$A$1005,$C$3))</f>
        <v/>
      </c>
      <c r="Q98" s="86" t="str">
        <f aca="false">IF($B98="","",SUMIFS('الحركات الشهرية'!$H$6:$H$1005,'الحركات الشهرية'!$B$6:$B$1005,$B98,'الحركات الشهرية'!$A$6:$A$1005,$C$3))</f>
        <v/>
      </c>
      <c r="R98" s="106" t="str">
        <f aca="false">IF($B98="","",SUM(J98:M98)+SUM(O98:Q98))</f>
        <v/>
      </c>
      <c r="S98" s="86" t="str">
        <f aca="false">IF($B98="","",الموظفون!$Q98*IF(E98="سعودي",cfg_G_SE,cfg_G_NE)*F98/cfg_DAYS_M)</f>
        <v/>
      </c>
      <c r="T98" s="86" t="str">
        <f aca="false">IF($B98="","",SUMIFS('الحركات الشهرية'!$I$6:$I$1005,'الحركات الشهرية'!$B$6:$B$1005,$B98,'الحركات الشهرية'!$A$6:$A$1005,$C$3))</f>
        <v/>
      </c>
      <c r="U98" s="86" t="str">
        <f aca="false">IF($B98="","",SUMIFS('الحركات الشهرية'!$J$6:$J$1005,'الحركات الشهرية'!$B$6:$B$1005,$B98,'الحركات الشهرية'!$A$6:$A$1005,$C$3))</f>
        <v/>
      </c>
      <c r="V98" s="86" t="str">
        <f aca="false">IF($B98="","",SUM(S98:U98))</f>
        <v/>
      </c>
      <c r="W98" s="107" t="str">
        <f aca="false">IF($B98="","",R98-V98)</f>
        <v/>
      </c>
      <c r="X98" s="86" t="str">
        <f aca="false">IF($B98="","",الموظفون!$Q98*IF(E98="سعودي",cfg_G_SR,cfg_G_NR)*F98/cfg_DAYS_M)</f>
        <v/>
      </c>
      <c r="Y98" s="86" t="str">
        <f aca="false">IF($B98="","",الموظفون!$O98*(cfg_EOS_R1*(MIN(AC98,cfg_EOS_TH)-MIN(AD98,cfg_EOS_TH))+cfg_EOS_R2*(MAX(AC98-cfg_EOS_TH,0)-MAX(AD98-cfg_EOS_TH,0))))</f>
        <v/>
      </c>
      <c r="Z98" s="86" t="str">
        <f aca="false">IF($B98="","",IF(الموظفون!$R98&lt;&gt;"",الموظفون!$R98,IF(AC98&gt;=cfg_LV_TH,cfg_LV_D2,cfg_LV_D1))/cfg_DAYS_Y*AE98*الموظفون!$P98/cfg_DAYS_M)</f>
        <v/>
      </c>
      <c r="AA98" s="86" t="str">
        <f aca="false">IF($B98="","",IF(AND(الموظفون!$S98="نعم",N(الموظفون!$U98)&gt;0),الموظفون!$T98/الموظفون!$U98*12/cfg_DAYS_Y*AE98,0))</f>
        <v/>
      </c>
      <c r="AB98" s="108" t="str">
        <f aca="false">IF($B98="","",R98+SUM(X98:AA98))</f>
        <v/>
      </c>
      <c r="AC98" s="109" t="str">
        <f aca="false">IF($B98="","",MAX(0,IF(OR(الموظفون!$X98="",الموظفون!$X98&gt;$G$3),$G$3,الموظفون!$X98)-الموظفون!$H98+1)/cfg_DAYS_Y)</f>
        <v/>
      </c>
      <c r="AD98" s="109" t="str">
        <f aca="false">IF($B98="","",MAX(0,IF(OR(الموظفون!$X98="",الموظفون!$X98&gt;($E$3-1)),($E$3-1),الموظفون!$X98)-الموظفون!$H98+1)/cfg_DAYS_Y)</f>
        <v/>
      </c>
      <c r="AE98" s="51" t="str">
        <f aca="false">IF($B98="","",MAX(0,IF(OR(الموظفون!$X98="",الموظفون!$X98&gt;$G$3),$G$3,الموظفون!$X98)-MAX($E$3,الموظفون!$H98)+1))</f>
        <v/>
      </c>
    </row>
    <row r="99" customFormat="false" ht="15" hidden="false" customHeight="false" outlineLevel="0" collapsed="false">
      <c r="A99" s="89" t="str">
        <f aca="false">IF($B99="","",الموظفون!$A99)</f>
        <v/>
      </c>
      <c r="B99" s="91" t="str">
        <f aca="false">IF(الموظفون!$B99="","",الموظفون!$B99)</f>
        <v/>
      </c>
      <c r="C99" s="91" t="str">
        <f aca="false">IF($B99="","",الموظفون!$C99)</f>
        <v/>
      </c>
      <c r="D99" s="91" t="str">
        <f aca="false">IF($B99="","",الموظفون!$F99)</f>
        <v/>
      </c>
      <c r="E99" s="91" t="str">
        <f aca="false">IF($B99="","",الموظفون!$E99)</f>
        <v/>
      </c>
      <c r="F99" s="110" t="str">
        <f aca="false">IF($B99="","",IF(AE99&gt;=DAY($G$3),cfg_DAYS_M,MIN(AE99,cfg_DAYS_M)))</f>
        <v/>
      </c>
      <c r="G99" s="110" t="str">
        <f aca="false">IF($B99="","",SUMIFS('الحركات الشهرية'!$D$6:$D$1005,'الحركات الشهرية'!$B$6:$B$1005,$B99,'الحركات الشهرية'!$A$6:$A$1005,$C$3))</f>
        <v/>
      </c>
      <c r="H99" s="110" t="str">
        <f aca="false">IF($B99="","",SUMIFS('الحركات الشهرية'!$E$6:$E$1005,'الحركات الشهرية'!$B$6:$B$1005,$B99,'الحركات الشهرية'!$A$6:$A$1005,$C$3))</f>
        <v/>
      </c>
      <c r="I99" s="110" t="str">
        <f aca="false">IF($B99="","",MAX(0,F99-G99-H99))</f>
        <v/>
      </c>
      <c r="J99" s="90" t="str">
        <f aca="false">IF($B99="","",الموظفون!$J99*$I99/cfg_DAYS_M)</f>
        <v/>
      </c>
      <c r="K99" s="90" t="str">
        <f aca="false">IF($B99="","",الموظفون!$K99*$I99/cfg_DAYS_M)</f>
        <v/>
      </c>
      <c r="L99" s="90" t="str">
        <f aca="false">IF($B99="","",الموظفون!$L99*$I99/cfg_DAYS_M)</f>
        <v/>
      </c>
      <c r="M99" s="90" t="str">
        <f aca="false">IF($B99="","",الموظفون!$M99*$I99/cfg_DAYS_M)</f>
        <v/>
      </c>
      <c r="N99" s="110" t="str">
        <f aca="false">IF($B99="","",SUMIFS('الحركات الشهرية'!$F$6:$F$1005,'الحركات الشهرية'!$B$6:$B$1005,$B99,'الحركات الشهرية'!$A$6:$A$1005,$C$3))</f>
        <v/>
      </c>
      <c r="O99" s="90" t="str">
        <f aca="false">IF($B99="","",N99*(الموظفون!$N99+الموظفون!$J99*cfg_OT_P)/cfg_DAYS_M/cfg_HRS)</f>
        <v/>
      </c>
      <c r="P99" s="90" t="str">
        <f aca="false">IF($B99="","",SUMIFS('الحركات الشهرية'!$G$6:$G$1005,'الحركات الشهرية'!$B$6:$B$1005,$B99,'الحركات الشهرية'!$A$6:$A$1005,$C$3))</f>
        <v/>
      </c>
      <c r="Q99" s="90" t="str">
        <f aca="false">IF($B99="","",SUMIFS('الحركات الشهرية'!$H$6:$H$1005,'الحركات الشهرية'!$B$6:$B$1005,$B99,'الحركات الشهرية'!$A$6:$A$1005,$C$3))</f>
        <v/>
      </c>
      <c r="R99" s="111" t="str">
        <f aca="false">IF($B99="","",SUM(J99:M99)+SUM(O99:Q99))</f>
        <v/>
      </c>
      <c r="S99" s="90" t="str">
        <f aca="false">IF($B99="","",الموظفون!$Q99*IF(E99="سعودي",cfg_G_SE,cfg_G_NE)*F99/cfg_DAYS_M)</f>
        <v/>
      </c>
      <c r="T99" s="90" t="str">
        <f aca="false">IF($B99="","",SUMIFS('الحركات الشهرية'!$I$6:$I$1005,'الحركات الشهرية'!$B$6:$B$1005,$B99,'الحركات الشهرية'!$A$6:$A$1005,$C$3))</f>
        <v/>
      </c>
      <c r="U99" s="90" t="str">
        <f aca="false">IF($B99="","",SUMIFS('الحركات الشهرية'!$J$6:$J$1005,'الحركات الشهرية'!$B$6:$B$1005,$B99,'الحركات الشهرية'!$A$6:$A$1005,$C$3))</f>
        <v/>
      </c>
      <c r="V99" s="90" t="str">
        <f aca="false">IF($B99="","",SUM(S99:U99))</f>
        <v/>
      </c>
      <c r="W99" s="112" t="str">
        <f aca="false">IF($B99="","",R99-V99)</f>
        <v/>
      </c>
      <c r="X99" s="90" t="str">
        <f aca="false">IF($B99="","",الموظفون!$Q99*IF(E99="سعودي",cfg_G_SR,cfg_G_NR)*F99/cfg_DAYS_M)</f>
        <v/>
      </c>
      <c r="Y99" s="90" t="str">
        <f aca="false">IF($B99="","",الموظفون!$O99*(cfg_EOS_R1*(MIN(AC99,cfg_EOS_TH)-MIN(AD99,cfg_EOS_TH))+cfg_EOS_R2*(MAX(AC99-cfg_EOS_TH,0)-MAX(AD99-cfg_EOS_TH,0))))</f>
        <v/>
      </c>
      <c r="Z99" s="90" t="str">
        <f aca="false">IF($B99="","",IF(الموظفون!$R99&lt;&gt;"",الموظفون!$R99,IF(AC99&gt;=cfg_LV_TH,cfg_LV_D2,cfg_LV_D1))/cfg_DAYS_Y*AE99*الموظفون!$P99/cfg_DAYS_M)</f>
        <v/>
      </c>
      <c r="AA99" s="90" t="str">
        <f aca="false">IF($B99="","",IF(AND(الموظفون!$S99="نعم",N(الموظفون!$U99)&gt;0),الموظفون!$T99/الموظفون!$U99*12/cfg_DAYS_Y*AE99,0))</f>
        <v/>
      </c>
      <c r="AB99" s="113" t="str">
        <f aca="false">IF($B99="","",R99+SUM(X99:AA99))</f>
        <v/>
      </c>
      <c r="AC99" s="114" t="str">
        <f aca="false">IF($B99="","",MAX(0,IF(OR(الموظفون!$X99="",الموظفون!$X99&gt;$G$3),$G$3,الموظفون!$X99)-الموظفون!$H99+1)/cfg_DAYS_Y)</f>
        <v/>
      </c>
      <c r="AD99" s="114" t="str">
        <f aca="false">IF($B99="","",MAX(0,IF(OR(الموظفون!$X99="",الموظفون!$X99&gt;($E$3-1)),($E$3-1),الموظفون!$X99)-الموظفون!$H99+1)/cfg_DAYS_Y)</f>
        <v/>
      </c>
      <c r="AE99" s="115" t="str">
        <f aca="false">IF($B99="","",MAX(0,IF(OR(الموظفون!$X99="",الموظفون!$X99&gt;$G$3),$G$3,الموظفون!$X99)-MAX($E$3,الموظفون!$H99)+1))</f>
        <v/>
      </c>
    </row>
    <row r="100" customFormat="false" ht="15" hidden="false" customHeight="false" outlineLevel="0" collapsed="false">
      <c r="A100" s="83" t="str">
        <f aca="false">IF($B100="","",الموظفون!$A100)</f>
        <v/>
      </c>
      <c r="B100" s="74" t="str">
        <f aca="false">IF(الموظفون!$B100="","",الموظفون!$B100)</f>
        <v/>
      </c>
      <c r="C100" s="74" t="str">
        <f aca="false">IF($B100="","",الموظفون!$C100)</f>
        <v/>
      </c>
      <c r="D100" s="74" t="str">
        <f aca="false">IF($B100="","",الموظفون!$F100)</f>
        <v/>
      </c>
      <c r="E100" s="74" t="str">
        <f aca="false">IF($B100="","",الموظفون!$E100)</f>
        <v/>
      </c>
      <c r="F100" s="105" t="str">
        <f aca="false">IF($B100="","",IF(AE100&gt;=DAY($G$3),cfg_DAYS_M,MIN(AE100,cfg_DAYS_M)))</f>
        <v/>
      </c>
      <c r="G100" s="105" t="str">
        <f aca="false">IF($B100="","",SUMIFS('الحركات الشهرية'!$D$6:$D$1005,'الحركات الشهرية'!$B$6:$B$1005,$B100,'الحركات الشهرية'!$A$6:$A$1005,$C$3))</f>
        <v/>
      </c>
      <c r="H100" s="105" t="str">
        <f aca="false">IF($B100="","",SUMIFS('الحركات الشهرية'!$E$6:$E$1005,'الحركات الشهرية'!$B$6:$B$1005,$B100,'الحركات الشهرية'!$A$6:$A$1005,$C$3))</f>
        <v/>
      </c>
      <c r="I100" s="105" t="str">
        <f aca="false">IF($B100="","",MAX(0,F100-G100-H100))</f>
        <v/>
      </c>
      <c r="J100" s="86" t="str">
        <f aca="false">IF($B100="","",الموظفون!$J100*$I100/cfg_DAYS_M)</f>
        <v/>
      </c>
      <c r="K100" s="86" t="str">
        <f aca="false">IF($B100="","",الموظفون!$K100*$I100/cfg_DAYS_M)</f>
        <v/>
      </c>
      <c r="L100" s="86" t="str">
        <f aca="false">IF($B100="","",الموظفون!$L100*$I100/cfg_DAYS_M)</f>
        <v/>
      </c>
      <c r="M100" s="86" t="str">
        <f aca="false">IF($B100="","",الموظفون!$M100*$I100/cfg_DAYS_M)</f>
        <v/>
      </c>
      <c r="N100" s="105" t="str">
        <f aca="false">IF($B100="","",SUMIFS('الحركات الشهرية'!$F$6:$F$1005,'الحركات الشهرية'!$B$6:$B$1005,$B100,'الحركات الشهرية'!$A$6:$A$1005,$C$3))</f>
        <v/>
      </c>
      <c r="O100" s="86" t="str">
        <f aca="false">IF($B100="","",N100*(الموظفون!$N100+الموظفون!$J100*cfg_OT_P)/cfg_DAYS_M/cfg_HRS)</f>
        <v/>
      </c>
      <c r="P100" s="86" t="str">
        <f aca="false">IF($B100="","",SUMIFS('الحركات الشهرية'!$G$6:$G$1005,'الحركات الشهرية'!$B$6:$B$1005,$B100,'الحركات الشهرية'!$A$6:$A$1005,$C$3))</f>
        <v/>
      </c>
      <c r="Q100" s="86" t="str">
        <f aca="false">IF($B100="","",SUMIFS('الحركات الشهرية'!$H$6:$H$1005,'الحركات الشهرية'!$B$6:$B$1005,$B100,'الحركات الشهرية'!$A$6:$A$1005,$C$3))</f>
        <v/>
      </c>
      <c r="R100" s="106" t="str">
        <f aca="false">IF($B100="","",SUM(J100:M100)+SUM(O100:Q100))</f>
        <v/>
      </c>
      <c r="S100" s="86" t="str">
        <f aca="false">IF($B100="","",الموظفون!$Q100*IF(E100="سعودي",cfg_G_SE,cfg_G_NE)*F100/cfg_DAYS_M)</f>
        <v/>
      </c>
      <c r="T100" s="86" t="str">
        <f aca="false">IF($B100="","",SUMIFS('الحركات الشهرية'!$I$6:$I$1005,'الحركات الشهرية'!$B$6:$B$1005,$B100,'الحركات الشهرية'!$A$6:$A$1005,$C$3))</f>
        <v/>
      </c>
      <c r="U100" s="86" t="str">
        <f aca="false">IF($B100="","",SUMIFS('الحركات الشهرية'!$J$6:$J$1005,'الحركات الشهرية'!$B$6:$B$1005,$B100,'الحركات الشهرية'!$A$6:$A$1005,$C$3))</f>
        <v/>
      </c>
      <c r="V100" s="86" t="str">
        <f aca="false">IF($B100="","",SUM(S100:U100))</f>
        <v/>
      </c>
      <c r="W100" s="107" t="str">
        <f aca="false">IF($B100="","",R100-V100)</f>
        <v/>
      </c>
      <c r="X100" s="86" t="str">
        <f aca="false">IF($B100="","",الموظفون!$Q100*IF(E100="سعودي",cfg_G_SR,cfg_G_NR)*F100/cfg_DAYS_M)</f>
        <v/>
      </c>
      <c r="Y100" s="86" t="str">
        <f aca="false">IF($B100="","",الموظفون!$O100*(cfg_EOS_R1*(MIN(AC100,cfg_EOS_TH)-MIN(AD100,cfg_EOS_TH))+cfg_EOS_R2*(MAX(AC100-cfg_EOS_TH,0)-MAX(AD100-cfg_EOS_TH,0))))</f>
        <v/>
      </c>
      <c r="Z100" s="86" t="str">
        <f aca="false">IF($B100="","",IF(الموظفون!$R100&lt;&gt;"",الموظفون!$R100,IF(AC100&gt;=cfg_LV_TH,cfg_LV_D2,cfg_LV_D1))/cfg_DAYS_Y*AE100*الموظفون!$P100/cfg_DAYS_M)</f>
        <v/>
      </c>
      <c r="AA100" s="86" t="str">
        <f aca="false">IF($B100="","",IF(AND(الموظفون!$S100="نعم",N(الموظفون!$U100)&gt;0),الموظفون!$T100/الموظفون!$U100*12/cfg_DAYS_Y*AE100,0))</f>
        <v/>
      </c>
      <c r="AB100" s="108" t="str">
        <f aca="false">IF($B100="","",R100+SUM(X100:AA100))</f>
        <v/>
      </c>
      <c r="AC100" s="109" t="str">
        <f aca="false">IF($B100="","",MAX(0,IF(OR(الموظفون!$X100="",الموظفون!$X100&gt;$G$3),$G$3,الموظفون!$X100)-الموظفون!$H100+1)/cfg_DAYS_Y)</f>
        <v/>
      </c>
      <c r="AD100" s="109" t="str">
        <f aca="false">IF($B100="","",MAX(0,IF(OR(الموظفون!$X100="",الموظفون!$X100&gt;($E$3-1)),($E$3-1),الموظفون!$X100)-الموظفون!$H100+1)/cfg_DAYS_Y)</f>
        <v/>
      </c>
      <c r="AE100" s="51" t="str">
        <f aca="false">IF($B100="","",MAX(0,IF(OR(الموظفون!$X100="",الموظفون!$X100&gt;$G$3),$G$3,الموظفون!$X100)-MAX($E$3,الموظفون!$H100)+1))</f>
        <v/>
      </c>
    </row>
    <row r="101" customFormat="false" ht="15" hidden="false" customHeight="false" outlineLevel="0" collapsed="false">
      <c r="A101" s="89" t="str">
        <f aca="false">IF($B101="","",الموظفون!$A101)</f>
        <v/>
      </c>
      <c r="B101" s="91" t="str">
        <f aca="false">IF(الموظفون!$B101="","",الموظفون!$B101)</f>
        <v/>
      </c>
      <c r="C101" s="91" t="str">
        <f aca="false">IF($B101="","",الموظفون!$C101)</f>
        <v/>
      </c>
      <c r="D101" s="91" t="str">
        <f aca="false">IF($B101="","",الموظفون!$F101)</f>
        <v/>
      </c>
      <c r="E101" s="91" t="str">
        <f aca="false">IF($B101="","",الموظفون!$E101)</f>
        <v/>
      </c>
      <c r="F101" s="110" t="str">
        <f aca="false">IF($B101="","",IF(AE101&gt;=DAY($G$3),cfg_DAYS_M,MIN(AE101,cfg_DAYS_M)))</f>
        <v/>
      </c>
      <c r="G101" s="110" t="str">
        <f aca="false">IF($B101="","",SUMIFS('الحركات الشهرية'!$D$6:$D$1005,'الحركات الشهرية'!$B$6:$B$1005,$B101,'الحركات الشهرية'!$A$6:$A$1005,$C$3))</f>
        <v/>
      </c>
      <c r="H101" s="110" t="str">
        <f aca="false">IF($B101="","",SUMIFS('الحركات الشهرية'!$E$6:$E$1005,'الحركات الشهرية'!$B$6:$B$1005,$B101,'الحركات الشهرية'!$A$6:$A$1005,$C$3))</f>
        <v/>
      </c>
      <c r="I101" s="110" t="str">
        <f aca="false">IF($B101="","",MAX(0,F101-G101-H101))</f>
        <v/>
      </c>
      <c r="J101" s="90" t="str">
        <f aca="false">IF($B101="","",الموظفون!$J101*$I101/cfg_DAYS_M)</f>
        <v/>
      </c>
      <c r="K101" s="90" t="str">
        <f aca="false">IF($B101="","",الموظفون!$K101*$I101/cfg_DAYS_M)</f>
        <v/>
      </c>
      <c r="L101" s="90" t="str">
        <f aca="false">IF($B101="","",الموظفون!$L101*$I101/cfg_DAYS_M)</f>
        <v/>
      </c>
      <c r="M101" s="90" t="str">
        <f aca="false">IF($B101="","",الموظفون!$M101*$I101/cfg_DAYS_M)</f>
        <v/>
      </c>
      <c r="N101" s="110" t="str">
        <f aca="false">IF($B101="","",SUMIFS('الحركات الشهرية'!$F$6:$F$1005,'الحركات الشهرية'!$B$6:$B$1005,$B101,'الحركات الشهرية'!$A$6:$A$1005,$C$3))</f>
        <v/>
      </c>
      <c r="O101" s="90" t="str">
        <f aca="false">IF($B101="","",N101*(الموظفون!$N101+الموظفون!$J101*cfg_OT_P)/cfg_DAYS_M/cfg_HRS)</f>
        <v/>
      </c>
      <c r="P101" s="90" t="str">
        <f aca="false">IF($B101="","",SUMIFS('الحركات الشهرية'!$G$6:$G$1005,'الحركات الشهرية'!$B$6:$B$1005,$B101,'الحركات الشهرية'!$A$6:$A$1005,$C$3))</f>
        <v/>
      </c>
      <c r="Q101" s="90" t="str">
        <f aca="false">IF($B101="","",SUMIFS('الحركات الشهرية'!$H$6:$H$1005,'الحركات الشهرية'!$B$6:$B$1005,$B101,'الحركات الشهرية'!$A$6:$A$1005,$C$3))</f>
        <v/>
      </c>
      <c r="R101" s="111" t="str">
        <f aca="false">IF($B101="","",SUM(J101:M101)+SUM(O101:Q101))</f>
        <v/>
      </c>
      <c r="S101" s="90" t="str">
        <f aca="false">IF($B101="","",الموظفون!$Q101*IF(E101="سعودي",cfg_G_SE,cfg_G_NE)*F101/cfg_DAYS_M)</f>
        <v/>
      </c>
      <c r="T101" s="90" t="str">
        <f aca="false">IF($B101="","",SUMIFS('الحركات الشهرية'!$I$6:$I$1005,'الحركات الشهرية'!$B$6:$B$1005,$B101,'الحركات الشهرية'!$A$6:$A$1005,$C$3))</f>
        <v/>
      </c>
      <c r="U101" s="90" t="str">
        <f aca="false">IF($B101="","",SUMIFS('الحركات الشهرية'!$J$6:$J$1005,'الحركات الشهرية'!$B$6:$B$1005,$B101,'الحركات الشهرية'!$A$6:$A$1005,$C$3))</f>
        <v/>
      </c>
      <c r="V101" s="90" t="str">
        <f aca="false">IF($B101="","",SUM(S101:U101))</f>
        <v/>
      </c>
      <c r="W101" s="112" t="str">
        <f aca="false">IF($B101="","",R101-V101)</f>
        <v/>
      </c>
      <c r="X101" s="90" t="str">
        <f aca="false">IF($B101="","",الموظفون!$Q101*IF(E101="سعودي",cfg_G_SR,cfg_G_NR)*F101/cfg_DAYS_M)</f>
        <v/>
      </c>
      <c r="Y101" s="90" t="str">
        <f aca="false">IF($B101="","",الموظفون!$O101*(cfg_EOS_R1*(MIN(AC101,cfg_EOS_TH)-MIN(AD101,cfg_EOS_TH))+cfg_EOS_R2*(MAX(AC101-cfg_EOS_TH,0)-MAX(AD101-cfg_EOS_TH,0))))</f>
        <v/>
      </c>
      <c r="Z101" s="90" t="str">
        <f aca="false">IF($B101="","",IF(الموظفون!$R101&lt;&gt;"",الموظفون!$R101,IF(AC101&gt;=cfg_LV_TH,cfg_LV_D2,cfg_LV_D1))/cfg_DAYS_Y*AE101*الموظفون!$P101/cfg_DAYS_M)</f>
        <v/>
      </c>
      <c r="AA101" s="90" t="str">
        <f aca="false">IF($B101="","",IF(AND(الموظفون!$S101="نعم",N(الموظفون!$U101)&gt;0),الموظفون!$T101/الموظفون!$U101*12/cfg_DAYS_Y*AE101,0))</f>
        <v/>
      </c>
      <c r="AB101" s="113" t="str">
        <f aca="false">IF($B101="","",R101+SUM(X101:AA101))</f>
        <v/>
      </c>
      <c r="AC101" s="114" t="str">
        <f aca="false">IF($B101="","",MAX(0,IF(OR(الموظفون!$X101="",الموظفون!$X101&gt;$G$3),$G$3,الموظفون!$X101)-الموظفون!$H101+1)/cfg_DAYS_Y)</f>
        <v/>
      </c>
      <c r="AD101" s="114" t="str">
        <f aca="false">IF($B101="","",MAX(0,IF(OR(الموظفون!$X101="",الموظفون!$X101&gt;($E$3-1)),($E$3-1),الموظفون!$X101)-الموظفون!$H101+1)/cfg_DAYS_Y)</f>
        <v/>
      </c>
      <c r="AE101" s="115" t="str">
        <f aca="false">IF($B101="","",MAX(0,IF(OR(الموظفون!$X101="",الموظفون!$X101&gt;$G$3),$G$3,الموظفون!$X101)-MAX($E$3,الموظفون!$H101)+1))</f>
        <v/>
      </c>
    </row>
    <row r="102" customFormat="false" ht="15" hidden="false" customHeight="false" outlineLevel="0" collapsed="false">
      <c r="A102" s="83" t="str">
        <f aca="false">IF($B102="","",الموظفون!$A102)</f>
        <v/>
      </c>
      <c r="B102" s="74" t="str">
        <f aca="false">IF(الموظفون!$B102="","",الموظفون!$B102)</f>
        <v/>
      </c>
      <c r="C102" s="74" t="str">
        <f aca="false">IF($B102="","",الموظفون!$C102)</f>
        <v/>
      </c>
      <c r="D102" s="74" t="str">
        <f aca="false">IF($B102="","",الموظفون!$F102)</f>
        <v/>
      </c>
      <c r="E102" s="74" t="str">
        <f aca="false">IF($B102="","",الموظفون!$E102)</f>
        <v/>
      </c>
      <c r="F102" s="105" t="str">
        <f aca="false">IF($B102="","",IF(AE102&gt;=DAY($G$3),cfg_DAYS_M,MIN(AE102,cfg_DAYS_M)))</f>
        <v/>
      </c>
      <c r="G102" s="105" t="str">
        <f aca="false">IF($B102="","",SUMIFS('الحركات الشهرية'!$D$6:$D$1005,'الحركات الشهرية'!$B$6:$B$1005,$B102,'الحركات الشهرية'!$A$6:$A$1005,$C$3))</f>
        <v/>
      </c>
      <c r="H102" s="105" t="str">
        <f aca="false">IF($B102="","",SUMIFS('الحركات الشهرية'!$E$6:$E$1005,'الحركات الشهرية'!$B$6:$B$1005,$B102,'الحركات الشهرية'!$A$6:$A$1005,$C$3))</f>
        <v/>
      </c>
      <c r="I102" s="105" t="str">
        <f aca="false">IF($B102="","",MAX(0,F102-G102-H102))</f>
        <v/>
      </c>
      <c r="J102" s="86" t="str">
        <f aca="false">IF($B102="","",الموظفون!$J102*$I102/cfg_DAYS_M)</f>
        <v/>
      </c>
      <c r="K102" s="86" t="str">
        <f aca="false">IF($B102="","",الموظفون!$K102*$I102/cfg_DAYS_M)</f>
        <v/>
      </c>
      <c r="L102" s="86" t="str">
        <f aca="false">IF($B102="","",الموظفون!$L102*$I102/cfg_DAYS_M)</f>
        <v/>
      </c>
      <c r="M102" s="86" t="str">
        <f aca="false">IF($B102="","",الموظفون!$M102*$I102/cfg_DAYS_M)</f>
        <v/>
      </c>
      <c r="N102" s="105" t="str">
        <f aca="false">IF($B102="","",SUMIFS('الحركات الشهرية'!$F$6:$F$1005,'الحركات الشهرية'!$B$6:$B$1005,$B102,'الحركات الشهرية'!$A$6:$A$1005,$C$3))</f>
        <v/>
      </c>
      <c r="O102" s="86" t="str">
        <f aca="false">IF($B102="","",N102*(الموظفون!$N102+الموظفون!$J102*cfg_OT_P)/cfg_DAYS_M/cfg_HRS)</f>
        <v/>
      </c>
      <c r="P102" s="86" t="str">
        <f aca="false">IF($B102="","",SUMIFS('الحركات الشهرية'!$G$6:$G$1005,'الحركات الشهرية'!$B$6:$B$1005,$B102,'الحركات الشهرية'!$A$6:$A$1005,$C$3))</f>
        <v/>
      </c>
      <c r="Q102" s="86" t="str">
        <f aca="false">IF($B102="","",SUMIFS('الحركات الشهرية'!$H$6:$H$1005,'الحركات الشهرية'!$B$6:$B$1005,$B102,'الحركات الشهرية'!$A$6:$A$1005,$C$3))</f>
        <v/>
      </c>
      <c r="R102" s="106" t="str">
        <f aca="false">IF($B102="","",SUM(J102:M102)+SUM(O102:Q102))</f>
        <v/>
      </c>
      <c r="S102" s="86" t="str">
        <f aca="false">IF($B102="","",الموظفون!$Q102*IF(E102="سعودي",cfg_G_SE,cfg_G_NE)*F102/cfg_DAYS_M)</f>
        <v/>
      </c>
      <c r="T102" s="86" t="str">
        <f aca="false">IF($B102="","",SUMIFS('الحركات الشهرية'!$I$6:$I$1005,'الحركات الشهرية'!$B$6:$B$1005,$B102,'الحركات الشهرية'!$A$6:$A$1005,$C$3))</f>
        <v/>
      </c>
      <c r="U102" s="86" t="str">
        <f aca="false">IF($B102="","",SUMIFS('الحركات الشهرية'!$J$6:$J$1005,'الحركات الشهرية'!$B$6:$B$1005,$B102,'الحركات الشهرية'!$A$6:$A$1005,$C$3))</f>
        <v/>
      </c>
      <c r="V102" s="86" t="str">
        <f aca="false">IF($B102="","",SUM(S102:U102))</f>
        <v/>
      </c>
      <c r="W102" s="107" t="str">
        <f aca="false">IF($B102="","",R102-V102)</f>
        <v/>
      </c>
      <c r="X102" s="86" t="str">
        <f aca="false">IF($B102="","",الموظفون!$Q102*IF(E102="سعودي",cfg_G_SR,cfg_G_NR)*F102/cfg_DAYS_M)</f>
        <v/>
      </c>
      <c r="Y102" s="86" t="str">
        <f aca="false">IF($B102="","",الموظفون!$O102*(cfg_EOS_R1*(MIN(AC102,cfg_EOS_TH)-MIN(AD102,cfg_EOS_TH))+cfg_EOS_R2*(MAX(AC102-cfg_EOS_TH,0)-MAX(AD102-cfg_EOS_TH,0))))</f>
        <v/>
      </c>
      <c r="Z102" s="86" t="str">
        <f aca="false">IF($B102="","",IF(الموظفون!$R102&lt;&gt;"",الموظفون!$R102,IF(AC102&gt;=cfg_LV_TH,cfg_LV_D2,cfg_LV_D1))/cfg_DAYS_Y*AE102*الموظفون!$P102/cfg_DAYS_M)</f>
        <v/>
      </c>
      <c r="AA102" s="86" t="str">
        <f aca="false">IF($B102="","",IF(AND(الموظفون!$S102="نعم",N(الموظفون!$U102)&gt;0),الموظفون!$T102/الموظفون!$U102*12/cfg_DAYS_Y*AE102,0))</f>
        <v/>
      </c>
      <c r="AB102" s="108" t="str">
        <f aca="false">IF($B102="","",R102+SUM(X102:AA102))</f>
        <v/>
      </c>
      <c r="AC102" s="109" t="str">
        <f aca="false">IF($B102="","",MAX(0,IF(OR(الموظفون!$X102="",الموظفون!$X102&gt;$G$3),$G$3,الموظفون!$X102)-الموظفون!$H102+1)/cfg_DAYS_Y)</f>
        <v/>
      </c>
      <c r="AD102" s="109" t="str">
        <f aca="false">IF($B102="","",MAX(0,IF(OR(الموظفون!$X102="",الموظفون!$X102&gt;($E$3-1)),($E$3-1),الموظفون!$X102)-الموظفون!$H102+1)/cfg_DAYS_Y)</f>
        <v/>
      </c>
      <c r="AE102" s="51" t="str">
        <f aca="false">IF($B102="","",MAX(0,IF(OR(الموظفون!$X102="",الموظفون!$X102&gt;$G$3),$G$3,الموظفون!$X102)-MAX($E$3,الموظفون!$H102)+1))</f>
        <v/>
      </c>
    </row>
    <row r="103" customFormat="false" ht="15" hidden="false" customHeight="false" outlineLevel="0" collapsed="false">
      <c r="A103" s="89" t="str">
        <f aca="false">IF($B103="","",الموظفون!$A103)</f>
        <v/>
      </c>
      <c r="B103" s="91" t="str">
        <f aca="false">IF(الموظفون!$B103="","",الموظفون!$B103)</f>
        <v/>
      </c>
      <c r="C103" s="91" t="str">
        <f aca="false">IF($B103="","",الموظفون!$C103)</f>
        <v/>
      </c>
      <c r="D103" s="91" t="str">
        <f aca="false">IF($B103="","",الموظفون!$F103)</f>
        <v/>
      </c>
      <c r="E103" s="91" t="str">
        <f aca="false">IF($B103="","",الموظفون!$E103)</f>
        <v/>
      </c>
      <c r="F103" s="110" t="str">
        <f aca="false">IF($B103="","",IF(AE103&gt;=DAY($G$3),cfg_DAYS_M,MIN(AE103,cfg_DAYS_M)))</f>
        <v/>
      </c>
      <c r="G103" s="110" t="str">
        <f aca="false">IF($B103="","",SUMIFS('الحركات الشهرية'!$D$6:$D$1005,'الحركات الشهرية'!$B$6:$B$1005,$B103,'الحركات الشهرية'!$A$6:$A$1005,$C$3))</f>
        <v/>
      </c>
      <c r="H103" s="110" t="str">
        <f aca="false">IF($B103="","",SUMIFS('الحركات الشهرية'!$E$6:$E$1005,'الحركات الشهرية'!$B$6:$B$1005,$B103,'الحركات الشهرية'!$A$6:$A$1005,$C$3))</f>
        <v/>
      </c>
      <c r="I103" s="110" t="str">
        <f aca="false">IF($B103="","",MAX(0,F103-G103-H103))</f>
        <v/>
      </c>
      <c r="J103" s="90" t="str">
        <f aca="false">IF($B103="","",الموظفون!$J103*$I103/cfg_DAYS_M)</f>
        <v/>
      </c>
      <c r="K103" s="90" t="str">
        <f aca="false">IF($B103="","",الموظفون!$K103*$I103/cfg_DAYS_M)</f>
        <v/>
      </c>
      <c r="L103" s="90" t="str">
        <f aca="false">IF($B103="","",الموظفون!$L103*$I103/cfg_DAYS_M)</f>
        <v/>
      </c>
      <c r="M103" s="90" t="str">
        <f aca="false">IF($B103="","",الموظفون!$M103*$I103/cfg_DAYS_M)</f>
        <v/>
      </c>
      <c r="N103" s="110" t="str">
        <f aca="false">IF($B103="","",SUMIFS('الحركات الشهرية'!$F$6:$F$1005,'الحركات الشهرية'!$B$6:$B$1005,$B103,'الحركات الشهرية'!$A$6:$A$1005,$C$3))</f>
        <v/>
      </c>
      <c r="O103" s="90" t="str">
        <f aca="false">IF($B103="","",N103*(الموظفون!$N103+الموظفون!$J103*cfg_OT_P)/cfg_DAYS_M/cfg_HRS)</f>
        <v/>
      </c>
      <c r="P103" s="90" t="str">
        <f aca="false">IF($B103="","",SUMIFS('الحركات الشهرية'!$G$6:$G$1005,'الحركات الشهرية'!$B$6:$B$1005,$B103,'الحركات الشهرية'!$A$6:$A$1005,$C$3))</f>
        <v/>
      </c>
      <c r="Q103" s="90" t="str">
        <f aca="false">IF($B103="","",SUMIFS('الحركات الشهرية'!$H$6:$H$1005,'الحركات الشهرية'!$B$6:$B$1005,$B103,'الحركات الشهرية'!$A$6:$A$1005,$C$3))</f>
        <v/>
      </c>
      <c r="R103" s="111" t="str">
        <f aca="false">IF($B103="","",SUM(J103:M103)+SUM(O103:Q103))</f>
        <v/>
      </c>
      <c r="S103" s="90" t="str">
        <f aca="false">IF($B103="","",الموظفون!$Q103*IF(E103="سعودي",cfg_G_SE,cfg_G_NE)*F103/cfg_DAYS_M)</f>
        <v/>
      </c>
      <c r="T103" s="90" t="str">
        <f aca="false">IF($B103="","",SUMIFS('الحركات الشهرية'!$I$6:$I$1005,'الحركات الشهرية'!$B$6:$B$1005,$B103,'الحركات الشهرية'!$A$6:$A$1005,$C$3))</f>
        <v/>
      </c>
      <c r="U103" s="90" t="str">
        <f aca="false">IF($B103="","",SUMIFS('الحركات الشهرية'!$J$6:$J$1005,'الحركات الشهرية'!$B$6:$B$1005,$B103,'الحركات الشهرية'!$A$6:$A$1005,$C$3))</f>
        <v/>
      </c>
      <c r="V103" s="90" t="str">
        <f aca="false">IF($B103="","",SUM(S103:U103))</f>
        <v/>
      </c>
      <c r="W103" s="112" t="str">
        <f aca="false">IF($B103="","",R103-V103)</f>
        <v/>
      </c>
      <c r="X103" s="90" t="str">
        <f aca="false">IF($B103="","",الموظفون!$Q103*IF(E103="سعودي",cfg_G_SR,cfg_G_NR)*F103/cfg_DAYS_M)</f>
        <v/>
      </c>
      <c r="Y103" s="90" t="str">
        <f aca="false">IF($B103="","",الموظفون!$O103*(cfg_EOS_R1*(MIN(AC103,cfg_EOS_TH)-MIN(AD103,cfg_EOS_TH))+cfg_EOS_R2*(MAX(AC103-cfg_EOS_TH,0)-MAX(AD103-cfg_EOS_TH,0))))</f>
        <v/>
      </c>
      <c r="Z103" s="90" t="str">
        <f aca="false">IF($B103="","",IF(الموظفون!$R103&lt;&gt;"",الموظفون!$R103,IF(AC103&gt;=cfg_LV_TH,cfg_LV_D2,cfg_LV_D1))/cfg_DAYS_Y*AE103*الموظفون!$P103/cfg_DAYS_M)</f>
        <v/>
      </c>
      <c r="AA103" s="90" t="str">
        <f aca="false">IF($B103="","",IF(AND(الموظفون!$S103="نعم",N(الموظفون!$U103)&gt;0),الموظفون!$T103/الموظفون!$U103*12/cfg_DAYS_Y*AE103,0))</f>
        <v/>
      </c>
      <c r="AB103" s="113" t="str">
        <f aca="false">IF($B103="","",R103+SUM(X103:AA103))</f>
        <v/>
      </c>
      <c r="AC103" s="114" t="str">
        <f aca="false">IF($B103="","",MAX(0,IF(OR(الموظفون!$X103="",الموظفون!$X103&gt;$G$3),$G$3,الموظفون!$X103)-الموظفون!$H103+1)/cfg_DAYS_Y)</f>
        <v/>
      </c>
      <c r="AD103" s="114" t="str">
        <f aca="false">IF($B103="","",MAX(0,IF(OR(الموظفون!$X103="",الموظفون!$X103&gt;($E$3-1)),($E$3-1),الموظفون!$X103)-الموظفون!$H103+1)/cfg_DAYS_Y)</f>
        <v/>
      </c>
      <c r="AE103" s="115" t="str">
        <f aca="false">IF($B103="","",MAX(0,IF(OR(الموظفون!$X103="",الموظفون!$X103&gt;$G$3),$G$3,الموظفون!$X103)-MAX($E$3,الموظفون!$H103)+1))</f>
        <v/>
      </c>
    </row>
    <row r="104" customFormat="false" ht="15" hidden="false" customHeight="false" outlineLevel="0" collapsed="false">
      <c r="A104" s="83" t="str">
        <f aca="false">IF($B104="","",الموظفون!$A104)</f>
        <v/>
      </c>
      <c r="B104" s="74" t="str">
        <f aca="false">IF(الموظفون!$B104="","",الموظفون!$B104)</f>
        <v/>
      </c>
      <c r="C104" s="74" t="str">
        <f aca="false">IF($B104="","",الموظفون!$C104)</f>
        <v/>
      </c>
      <c r="D104" s="74" t="str">
        <f aca="false">IF($B104="","",الموظفون!$F104)</f>
        <v/>
      </c>
      <c r="E104" s="74" t="str">
        <f aca="false">IF($B104="","",الموظفون!$E104)</f>
        <v/>
      </c>
      <c r="F104" s="105" t="str">
        <f aca="false">IF($B104="","",IF(AE104&gt;=DAY($G$3),cfg_DAYS_M,MIN(AE104,cfg_DAYS_M)))</f>
        <v/>
      </c>
      <c r="G104" s="105" t="str">
        <f aca="false">IF($B104="","",SUMIFS('الحركات الشهرية'!$D$6:$D$1005,'الحركات الشهرية'!$B$6:$B$1005,$B104,'الحركات الشهرية'!$A$6:$A$1005,$C$3))</f>
        <v/>
      </c>
      <c r="H104" s="105" t="str">
        <f aca="false">IF($B104="","",SUMIFS('الحركات الشهرية'!$E$6:$E$1005,'الحركات الشهرية'!$B$6:$B$1005,$B104,'الحركات الشهرية'!$A$6:$A$1005,$C$3))</f>
        <v/>
      </c>
      <c r="I104" s="105" t="str">
        <f aca="false">IF($B104="","",MAX(0,F104-G104-H104))</f>
        <v/>
      </c>
      <c r="J104" s="86" t="str">
        <f aca="false">IF($B104="","",الموظفون!$J104*$I104/cfg_DAYS_M)</f>
        <v/>
      </c>
      <c r="K104" s="86" t="str">
        <f aca="false">IF($B104="","",الموظفون!$K104*$I104/cfg_DAYS_M)</f>
        <v/>
      </c>
      <c r="L104" s="86" t="str">
        <f aca="false">IF($B104="","",الموظفون!$L104*$I104/cfg_DAYS_M)</f>
        <v/>
      </c>
      <c r="M104" s="86" t="str">
        <f aca="false">IF($B104="","",الموظفون!$M104*$I104/cfg_DAYS_M)</f>
        <v/>
      </c>
      <c r="N104" s="105" t="str">
        <f aca="false">IF($B104="","",SUMIFS('الحركات الشهرية'!$F$6:$F$1005,'الحركات الشهرية'!$B$6:$B$1005,$B104,'الحركات الشهرية'!$A$6:$A$1005,$C$3))</f>
        <v/>
      </c>
      <c r="O104" s="86" t="str">
        <f aca="false">IF($B104="","",N104*(الموظفون!$N104+الموظفون!$J104*cfg_OT_P)/cfg_DAYS_M/cfg_HRS)</f>
        <v/>
      </c>
      <c r="P104" s="86" t="str">
        <f aca="false">IF($B104="","",SUMIFS('الحركات الشهرية'!$G$6:$G$1005,'الحركات الشهرية'!$B$6:$B$1005,$B104,'الحركات الشهرية'!$A$6:$A$1005,$C$3))</f>
        <v/>
      </c>
      <c r="Q104" s="86" t="str">
        <f aca="false">IF($B104="","",SUMIFS('الحركات الشهرية'!$H$6:$H$1005,'الحركات الشهرية'!$B$6:$B$1005,$B104,'الحركات الشهرية'!$A$6:$A$1005,$C$3))</f>
        <v/>
      </c>
      <c r="R104" s="106" t="str">
        <f aca="false">IF($B104="","",SUM(J104:M104)+SUM(O104:Q104))</f>
        <v/>
      </c>
      <c r="S104" s="86" t="str">
        <f aca="false">IF($B104="","",الموظفون!$Q104*IF(E104="سعودي",cfg_G_SE,cfg_G_NE)*F104/cfg_DAYS_M)</f>
        <v/>
      </c>
      <c r="T104" s="86" t="str">
        <f aca="false">IF($B104="","",SUMIFS('الحركات الشهرية'!$I$6:$I$1005,'الحركات الشهرية'!$B$6:$B$1005,$B104,'الحركات الشهرية'!$A$6:$A$1005,$C$3))</f>
        <v/>
      </c>
      <c r="U104" s="86" t="str">
        <f aca="false">IF($B104="","",SUMIFS('الحركات الشهرية'!$J$6:$J$1005,'الحركات الشهرية'!$B$6:$B$1005,$B104,'الحركات الشهرية'!$A$6:$A$1005,$C$3))</f>
        <v/>
      </c>
      <c r="V104" s="86" t="str">
        <f aca="false">IF($B104="","",SUM(S104:U104))</f>
        <v/>
      </c>
      <c r="W104" s="107" t="str">
        <f aca="false">IF($B104="","",R104-V104)</f>
        <v/>
      </c>
      <c r="X104" s="86" t="str">
        <f aca="false">IF($B104="","",الموظفون!$Q104*IF(E104="سعودي",cfg_G_SR,cfg_G_NR)*F104/cfg_DAYS_M)</f>
        <v/>
      </c>
      <c r="Y104" s="86" t="str">
        <f aca="false">IF($B104="","",الموظفون!$O104*(cfg_EOS_R1*(MIN(AC104,cfg_EOS_TH)-MIN(AD104,cfg_EOS_TH))+cfg_EOS_R2*(MAX(AC104-cfg_EOS_TH,0)-MAX(AD104-cfg_EOS_TH,0))))</f>
        <v/>
      </c>
      <c r="Z104" s="86" t="str">
        <f aca="false">IF($B104="","",IF(الموظفون!$R104&lt;&gt;"",الموظفون!$R104,IF(AC104&gt;=cfg_LV_TH,cfg_LV_D2,cfg_LV_D1))/cfg_DAYS_Y*AE104*الموظفون!$P104/cfg_DAYS_M)</f>
        <v/>
      </c>
      <c r="AA104" s="86" t="str">
        <f aca="false">IF($B104="","",IF(AND(الموظفون!$S104="نعم",N(الموظفون!$U104)&gt;0),الموظفون!$T104/الموظفون!$U104*12/cfg_DAYS_Y*AE104,0))</f>
        <v/>
      </c>
      <c r="AB104" s="108" t="str">
        <f aca="false">IF($B104="","",R104+SUM(X104:AA104))</f>
        <v/>
      </c>
      <c r="AC104" s="109" t="str">
        <f aca="false">IF($B104="","",MAX(0,IF(OR(الموظفون!$X104="",الموظفون!$X104&gt;$G$3),$G$3,الموظفون!$X104)-الموظفون!$H104+1)/cfg_DAYS_Y)</f>
        <v/>
      </c>
      <c r="AD104" s="109" t="str">
        <f aca="false">IF($B104="","",MAX(0,IF(OR(الموظفون!$X104="",الموظفون!$X104&gt;($E$3-1)),($E$3-1),الموظفون!$X104)-الموظفون!$H104+1)/cfg_DAYS_Y)</f>
        <v/>
      </c>
      <c r="AE104" s="51" t="str">
        <f aca="false">IF($B104="","",MAX(0,IF(OR(الموظفون!$X104="",الموظفون!$X104&gt;$G$3),$G$3,الموظفون!$X104)-MAX($E$3,الموظفون!$H104)+1))</f>
        <v/>
      </c>
    </row>
    <row r="105" customFormat="false" ht="15" hidden="false" customHeight="false" outlineLevel="0" collapsed="false">
      <c r="A105" s="89" t="str">
        <f aca="false">IF($B105="","",الموظفون!$A105)</f>
        <v/>
      </c>
      <c r="B105" s="91" t="str">
        <f aca="false">IF(الموظفون!$B105="","",الموظفون!$B105)</f>
        <v/>
      </c>
      <c r="C105" s="91" t="str">
        <f aca="false">IF($B105="","",الموظفون!$C105)</f>
        <v/>
      </c>
      <c r="D105" s="91" t="str">
        <f aca="false">IF($B105="","",الموظفون!$F105)</f>
        <v/>
      </c>
      <c r="E105" s="91" t="str">
        <f aca="false">IF($B105="","",الموظفون!$E105)</f>
        <v/>
      </c>
      <c r="F105" s="110" t="str">
        <f aca="false">IF($B105="","",IF(AE105&gt;=DAY($G$3),cfg_DAYS_M,MIN(AE105,cfg_DAYS_M)))</f>
        <v/>
      </c>
      <c r="G105" s="110" t="str">
        <f aca="false">IF($B105="","",SUMIFS('الحركات الشهرية'!$D$6:$D$1005,'الحركات الشهرية'!$B$6:$B$1005,$B105,'الحركات الشهرية'!$A$6:$A$1005,$C$3))</f>
        <v/>
      </c>
      <c r="H105" s="110" t="str">
        <f aca="false">IF($B105="","",SUMIFS('الحركات الشهرية'!$E$6:$E$1005,'الحركات الشهرية'!$B$6:$B$1005,$B105,'الحركات الشهرية'!$A$6:$A$1005,$C$3))</f>
        <v/>
      </c>
      <c r="I105" s="110" t="str">
        <f aca="false">IF($B105="","",MAX(0,F105-G105-H105))</f>
        <v/>
      </c>
      <c r="J105" s="90" t="str">
        <f aca="false">IF($B105="","",الموظفون!$J105*$I105/cfg_DAYS_M)</f>
        <v/>
      </c>
      <c r="K105" s="90" t="str">
        <f aca="false">IF($B105="","",الموظفون!$K105*$I105/cfg_DAYS_M)</f>
        <v/>
      </c>
      <c r="L105" s="90" t="str">
        <f aca="false">IF($B105="","",الموظفون!$L105*$I105/cfg_DAYS_M)</f>
        <v/>
      </c>
      <c r="M105" s="90" t="str">
        <f aca="false">IF($B105="","",الموظفون!$M105*$I105/cfg_DAYS_M)</f>
        <v/>
      </c>
      <c r="N105" s="110" t="str">
        <f aca="false">IF($B105="","",SUMIFS('الحركات الشهرية'!$F$6:$F$1005,'الحركات الشهرية'!$B$6:$B$1005,$B105,'الحركات الشهرية'!$A$6:$A$1005,$C$3))</f>
        <v/>
      </c>
      <c r="O105" s="90" t="str">
        <f aca="false">IF($B105="","",N105*(الموظفون!$N105+الموظفون!$J105*cfg_OT_P)/cfg_DAYS_M/cfg_HRS)</f>
        <v/>
      </c>
      <c r="P105" s="90" t="str">
        <f aca="false">IF($B105="","",SUMIFS('الحركات الشهرية'!$G$6:$G$1005,'الحركات الشهرية'!$B$6:$B$1005,$B105,'الحركات الشهرية'!$A$6:$A$1005,$C$3))</f>
        <v/>
      </c>
      <c r="Q105" s="90" t="str">
        <f aca="false">IF($B105="","",SUMIFS('الحركات الشهرية'!$H$6:$H$1005,'الحركات الشهرية'!$B$6:$B$1005,$B105,'الحركات الشهرية'!$A$6:$A$1005,$C$3))</f>
        <v/>
      </c>
      <c r="R105" s="111" t="str">
        <f aca="false">IF($B105="","",SUM(J105:M105)+SUM(O105:Q105))</f>
        <v/>
      </c>
      <c r="S105" s="90" t="str">
        <f aca="false">IF($B105="","",الموظفون!$Q105*IF(E105="سعودي",cfg_G_SE,cfg_G_NE)*F105/cfg_DAYS_M)</f>
        <v/>
      </c>
      <c r="T105" s="90" t="str">
        <f aca="false">IF($B105="","",SUMIFS('الحركات الشهرية'!$I$6:$I$1005,'الحركات الشهرية'!$B$6:$B$1005,$B105,'الحركات الشهرية'!$A$6:$A$1005,$C$3))</f>
        <v/>
      </c>
      <c r="U105" s="90" t="str">
        <f aca="false">IF($B105="","",SUMIFS('الحركات الشهرية'!$J$6:$J$1005,'الحركات الشهرية'!$B$6:$B$1005,$B105,'الحركات الشهرية'!$A$6:$A$1005,$C$3))</f>
        <v/>
      </c>
      <c r="V105" s="90" t="str">
        <f aca="false">IF($B105="","",SUM(S105:U105))</f>
        <v/>
      </c>
      <c r="W105" s="112" t="str">
        <f aca="false">IF($B105="","",R105-V105)</f>
        <v/>
      </c>
      <c r="X105" s="90" t="str">
        <f aca="false">IF($B105="","",الموظفون!$Q105*IF(E105="سعودي",cfg_G_SR,cfg_G_NR)*F105/cfg_DAYS_M)</f>
        <v/>
      </c>
      <c r="Y105" s="90" t="str">
        <f aca="false">IF($B105="","",الموظفون!$O105*(cfg_EOS_R1*(MIN(AC105,cfg_EOS_TH)-MIN(AD105,cfg_EOS_TH))+cfg_EOS_R2*(MAX(AC105-cfg_EOS_TH,0)-MAX(AD105-cfg_EOS_TH,0))))</f>
        <v/>
      </c>
      <c r="Z105" s="90" t="str">
        <f aca="false">IF($B105="","",IF(الموظفون!$R105&lt;&gt;"",الموظفون!$R105,IF(AC105&gt;=cfg_LV_TH,cfg_LV_D2,cfg_LV_D1))/cfg_DAYS_Y*AE105*الموظفون!$P105/cfg_DAYS_M)</f>
        <v/>
      </c>
      <c r="AA105" s="90" t="str">
        <f aca="false">IF($B105="","",IF(AND(الموظفون!$S105="نعم",N(الموظفون!$U105)&gt;0),الموظفون!$T105/الموظفون!$U105*12/cfg_DAYS_Y*AE105,0))</f>
        <v/>
      </c>
      <c r="AB105" s="113" t="str">
        <f aca="false">IF($B105="","",R105+SUM(X105:AA105))</f>
        <v/>
      </c>
      <c r="AC105" s="114" t="str">
        <f aca="false">IF($B105="","",MAX(0,IF(OR(الموظفون!$X105="",الموظفون!$X105&gt;$G$3),$G$3,الموظفون!$X105)-الموظفون!$H105+1)/cfg_DAYS_Y)</f>
        <v/>
      </c>
      <c r="AD105" s="114" t="str">
        <f aca="false">IF($B105="","",MAX(0,IF(OR(الموظفون!$X105="",الموظفون!$X105&gt;($E$3-1)),($E$3-1),الموظفون!$X105)-الموظفون!$H105+1)/cfg_DAYS_Y)</f>
        <v/>
      </c>
      <c r="AE105" s="115" t="str">
        <f aca="false">IF($B105="","",MAX(0,IF(OR(الموظفون!$X105="",الموظفون!$X105&gt;$G$3),$G$3,الموظفون!$X105)-MAX($E$3,الموظفون!$H105)+1))</f>
        <v/>
      </c>
    </row>
    <row r="106" customFormat="false" ht="24" hidden="false" customHeight="true" outlineLevel="0" collapsed="false">
      <c r="A106" s="92"/>
      <c r="B106" s="92" t="str">
        <f aca="false">COUNTIF(F6:F105,"&gt;0")&amp;" موظف"</f>
        <v>11 موظف</v>
      </c>
      <c r="C106" s="92" t="s">
        <v>101</v>
      </c>
      <c r="D106" s="92"/>
      <c r="E106" s="92"/>
      <c r="F106" s="92"/>
      <c r="G106" s="116" t="n">
        <f aca="false">SUM(G6:G105)</f>
        <v>0</v>
      </c>
      <c r="H106" s="116" t="n">
        <f aca="false">SUM(H6:H105)</f>
        <v>3</v>
      </c>
      <c r="I106" s="116" t="n">
        <f aca="false">SUM(I6:I105)</f>
        <v>327</v>
      </c>
      <c r="J106" s="92" t="n">
        <f aca="false">SUM(J6:J105)</f>
        <v>135750</v>
      </c>
      <c r="K106" s="92" t="n">
        <f aca="false">SUM(K6:K105)</f>
        <v>33937.5</v>
      </c>
      <c r="L106" s="92" t="n">
        <f aca="false">SUM(L6:L105)</f>
        <v>13575</v>
      </c>
      <c r="M106" s="92" t="n">
        <f aca="false">SUM(M6:M105)</f>
        <v>10300</v>
      </c>
      <c r="N106" s="116" t="n">
        <f aca="false">SUM(N6:N105)</f>
        <v>0</v>
      </c>
      <c r="O106" s="92" t="n">
        <f aca="false">SUM(O6:O105)</f>
        <v>0</v>
      </c>
      <c r="P106" s="92" t="n">
        <f aca="false">SUM(P6:P105)</f>
        <v>0</v>
      </c>
      <c r="Q106" s="92" t="n">
        <f aca="false">SUM(Q6:Q105)</f>
        <v>0</v>
      </c>
      <c r="R106" s="92" t="n">
        <f aca="false">SUM(R6:R105)</f>
        <v>193562.5</v>
      </c>
      <c r="S106" s="92" t="n">
        <f aca="false">SUM(S6:S105)</f>
        <v>12370.3125</v>
      </c>
      <c r="T106" s="92" t="n">
        <f aca="false">SUM(T6:T105)</f>
        <v>0</v>
      </c>
      <c r="U106" s="92" t="n">
        <f aca="false">SUM(U6:U105)</f>
        <v>0</v>
      </c>
      <c r="V106" s="92" t="n">
        <f aca="false">SUM(V6:V105)</f>
        <v>12370.3125</v>
      </c>
      <c r="W106" s="92" t="n">
        <f aca="false">SUM(W6:W105)</f>
        <v>181192.1875</v>
      </c>
      <c r="X106" s="92" t="n">
        <f aca="false">SUM(X6:X105)</f>
        <v>15782.8125</v>
      </c>
      <c r="Y106" s="92" t="n">
        <f aca="false">SUM(Y6:Y105)</f>
        <v>14016.8835616438</v>
      </c>
      <c r="Z106" s="92" t="n">
        <f aca="false">SUM(Z6:Z105)</f>
        <v>14670.4315068493</v>
      </c>
      <c r="AA106" s="92" t="n">
        <f aca="false">SUM(AA6:AA105)</f>
        <v>849.315068493151</v>
      </c>
      <c r="AB106" s="92" t="n">
        <f aca="false">SUM(AB6:AB105)</f>
        <v>238881.942636986</v>
      </c>
      <c r="AC106" s="92"/>
      <c r="AD106" s="92"/>
      <c r="AE106" s="92"/>
    </row>
    <row r="107" customFormat="false" ht="43.5" hidden="false" customHeight="true" outlineLevel="0" collapsed="false">
      <c r="A107" s="21" t="s">
        <v>347</v>
      </c>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row>
  </sheetData>
  <autoFilter ref="A5:AE105"/>
  <mergeCells count="5">
    <mergeCell ref="A1:AB1"/>
    <mergeCell ref="A2:AB2"/>
    <mergeCell ref="J3:K3"/>
    <mergeCell ref="L3:M3"/>
    <mergeCell ref="A107:AE107"/>
  </mergeCells>
  <conditionalFormatting sqref="H3">
    <cfRule type="expression" priority="2" aboveAverage="0" equalAverage="0" bottom="0" percent="0" rank="0" text="" dxfId="0">
      <formula>ISNUMBER(SEARCH("✔",H3))</formula>
    </cfRule>
    <cfRule type="expression" priority="3" aboveAverage="0" equalAverage="0" bottom="0" percent="0" rank="0" text="" dxfId="1">
      <formula>ISNUMBER(SEARCH("✖",H3))</formula>
    </cfRule>
    <cfRule type="expression" priority="4" aboveAverage="0" equalAverage="0" bottom="0" percent="0" rank="0" text="" dxfId="2">
      <formula>ISNUMBER(SEARCH("⚠",H3))</formula>
    </cfRule>
  </conditionalFormatting>
  <conditionalFormatting sqref="A6:AE105">
    <cfRule type="expression" priority="5" aboveAverage="0" equalAverage="0" bottom="0" percent="0" rank="0" text="" dxfId="20">
      <formula>AND($B6&lt;&gt;"",$F6=0)</formula>
    </cfRule>
  </conditionalFormatting>
  <conditionalFormatting sqref="W6:W105">
    <cfRule type="expression" priority="6" aboveAverage="0" equalAverage="0" bottom="0" percent="0" rank="0" text="" dxfId="1">
      <formula>AND(ISNUMBER(W6),W6&lt;0)</formula>
    </cfRule>
  </conditionalFormatting>
  <hyperlinks>
    <hyperlink ref="J3" location="'مسير يوليو'!A1" display="◀ الشهر السابق"/>
    <hyperlink ref="L3" location="'مسير سبتمبر'!A1" display="الشهر التالي ▶"/>
    <hyperlink ref="O3" location="'الرئيسية'!A1" display="🏠 الرئيسية"/>
    <hyperlink ref="P3" location="'لوحة التحكم'!A1" display="📊 لوحة التحكم"/>
    <hyperlink ref="R3" location="'الموظفون'!A1" display="👥 الموظفون"/>
    <hyperlink ref="S3" location="'الحركات الشهرية'!A1" display="✍ الحركات"/>
    <hyperlink ref="U3" location="'الملخص الشهري'!A1" display="📅 الملخص الشهري"/>
    <hyperlink ref="W3" location="'قيود الرواتب'!A1" display="🧾 القيود"/>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791F"/>
    <pageSetUpPr fitToPage="true"/>
  </sheetPr>
  <dimension ref="A1:AE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9"/>
    <col collapsed="false" customWidth="true" hidden="false" outlineLevel="0" max="8" min="7" style="0" width="8"/>
    <col collapsed="false" customWidth="true" hidden="false" outlineLevel="0" max="9" min="9" style="0" width="9"/>
    <col collapsed="false" customWidth="true" hidden="false" outlineLevel="0" max="10" min="10" style="0" width="12"/>
    <col collapsed="false" customWidth="true" hidden="false" outlineLevel="0" max="11" min="11" style="0" width="11"/>
    <col collapsed="false" customWidth="true" hidden="false" outlineLevel="0" max="13" min="12" style="0" width="10"/>
    <col collapsed="false" customWidth="true" hidden="false" outlineLevel="0" max="14" min="14" style="0" width="8"/>
    <col collapsed="false" customWidth="true" hidden="false" outlineLevel="0" max="17" min="15" style="0" width="11"/>
    <col collapsed="false" customWidth="true" hidden="false" outlineLevel="0" max="18" min="18" style="0" width="13"/>
    <col collapsed="false" customWidth="true" hidden="false" outlineLevel="0" max="19" min="19" style="0" width="11"/>
    <col collapsed="false" customWidth="true" hidden="false" outlineLevel="0" max="21" min="20" style="0" width="10"/>
    <col collapsed="false" customWidth="true" hidden="false" outlineLevel="0" max="22" min="22" style="0" width="12"/>
    <col collapsed="false" customWidth="true" hidden="false" outlineLevel="0" max="23" min="23" style="0" width="13"/>
    <col collapsed="false" customWidth="true" hidden="false" outlineLevel="0" max="24" min="24" style="0" width="11"/>
    <col collapsed="false" customWidth="true" hidden="false" outlineLevel="0" max="25" min="25" style="0" width="12"/>
    <col collapsed="false" customWidth="true" hidden="false" outlineLevel="0" max="27" min="26" style="0" width="11"/>
    <col collapsed="false" customWidth="true" hidden="false" outlineLevel="0" max="28" min="28" style="0" width="13"/>
    <col collapsed="false" customWidth="true" hidden="false" outlineLevel="0" max="31" min="29" style="0" width="9"/>
  </cols>
  <sheetData>
    <row r="1" customFormat="false" ht="37.5" hidden="false" customHeight="true" outlineLevel="0" collapsed="false">
      <c r="A1" s="1" t="str">
        <f aca="false">"💵 مسير رواتب شهر سبتمبر "&amp;cfg_FY</f>
        <v>💵 مسير رواتب شهر سبتمبر 2026</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9.5" hidden="false" customHeight="true" outlineLevel="0" collapsed="false">
      <c r="A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row>
    <row r="3" customFormat="false" ht="25.5" hidden="false" customHeight="true" outlineLevel="0" collapsed="false">
      <c r="B3" s="93" t="s">
        <v>103</v>
      </c>
      <c r="C3" s="94" t="n">
        <v>9</v>
      </c>
      <c r="D3" s="93" t="s">
        <v>322</v>
      </c>
      <c r="E3" s="95" t="n">
        <f aca="false">DATE(cfg_FY,C3,1)</f>
        <v>46266</v>
      </c>
      <c r="F3" s="93" t="s">
        <v>323</v>
      </c>
      <c r="G3" s="95" t="n">
        <f aca="false">EOMONTH(E3,0)</f>
        <v>46295</v>
      </c>
      <c r="H3" s="96" t="str">
        <f aca="false">IF(C3&lt;=cfg_VAL_M,"✔ فعلي","⚠ متوقع")</f>
        <v>✔ فعلي</v>
      </c>
      <c r="J3" s="97" t="s">
        <v>348</v>
      </c>
      <c r="K3" s="97"/>
      <c r="L3" s="97" t="s">
        <v>324</v>
      </c>
      <c r="M3" s="97"/>
      <c r="O3" s="22" t="s">
        <v>61</v>
      </c>
      <c r="P3" s="12" t="s">
        <v>111</v>
      </c>
      <c r="R3" s="23" t="s">
        <v>63</v>
      </c>
      <c r="S3" s="23" t="s">
        <v>64</v>
      </c>
      <c r="U3" s="23" t="s">
        <v>39</v>
      </c>
      <c r="W3" s="23" t="s">
        <v>65</v>
      </c>
    </row>
    <row r="4" customFormat="false" ht="7.5" hidden="false" customHeight="true" outlineLevel="0" collapsed="false"/>
    <row r="5" customFormat="false" ht="48" hidden="false" customHeight="true" outlineLevel="0" collapsed="false">
      <c r="A5" s="98" t="s">
        <v>207</v>
      </c>
      <c r="B5" s="98" t="s">
        <v>208</v>
      </c>
      <c r="C5" s="98" t="s">
        <v>209</v>
      </c>
      <c r="D5" s="98" t="s">
        <v>96</v>
      </c>
      <c r="E5" s="98" t="s">
        <v>84</v>
      </c>
      <c r="F5" s="99" t="s">
        <v>325</v>
      </c>
      <c r="G5" s="99" t="s">
        <v>326</v>
      </c>
      <c r="H5" s="99" t="s">
        <v>327</v>
      </c>
      <c r="I5" s="99" t="s">
        <v>328</v>
      </c>
      <c r="J5" s="100" t="s">
        <v>329</v>
      </c>
      <c r="K5" s="100" t="s">
        <v>330</v>
      </c>
      <c r="L5" s="100" t="s">
        <v>331</v>
      </c>
      <c r="M5" s="100" t="s">
        <v>332</v>
      </c>
      <c r="N5" s="100" t="s">
        <v>333</v>
      </c>
      <c r="O5" s="100" t="s">
        <v>334</v>
      </c>
      <c r="P5" s="100" t="s">
        <v>298</v>
      </c>
      <c r="Q5" s="100" t="s">
        <v>335</v>
      </c>
      <c r="R5" s="100" t="s">
        <v>74</v>
      </c>
      <c r="S5" s="101" t="s">
        <v>336</v>
      </c>
      <c r="T5" s="101" t="s">
        <v>300</v>
      </c>
      <c r="U5" s="101" t="s">
        <v>301</v>
      </c>
      <c r="V5" s="101" t="s">
        <v>337</v>
      </c>
      <c r="W5" s="102" t="s">
        <v>338</v>
      </c>
      <c r="X5" s="103" t="s">
        <v>339</v>
      </c>
      <c r="Y5" s="103" t="s">
        <v>340</v>
      </c>
      <c r="Z5" s="103" t="s">
        <v>341</v>
      </c>
      <c r="AA5" s="103" t="s">
        <v>342</v>
      </c>
      <c r="AB5" s="103" t="s">
        <v>343</v>
      </c>
      <c r="AC5" s="104" t="s">
        <v>344</v>
      </c>
      <c r="AD5" s="104" t="s">
        <v>345</v>
      </c>
      <c r="AE5" s="104" t="s">
        <v>346</v>
      </c>
    </row>
    <row r="6" customFormat="false" ht="15" hidden="false" customHeight="false" outlineLevel="0" collapsed="false">
      <c r="A6" s="83" t="n">
        <f aca="false">IF($B6="","",الموظفون!$A6)</f>
        <v>1</v>
      </c>
      <c r="B6" s="74" t="str">
        <f aca="false">IF(الموظفون!$B6="","",الموظفون!$B6)</f>
        <v>E001</v>
      </c>
      <c r="C6" s="74" t="str">
        <f aca="false">IF($B6="","",الموظفون!$C6)</f>
        <v>عبدالله محمد العتيبي</v>
      </c>
      <c r="D6" s="74" t="str">
        <f aca="false">IF($B6="","",الموظفون!$F6)</f>
        <v>الإدارة العليا</v>
      </c>
      <c r="E6" s="74" t="str">
        <f aca="false">IF($B6="","",الموظفون!$E6)</f>
        <v>سعودي</v>
      </c>
      <c r="F6" s="105" t="n">
        <f aca="false">IF($B6="","",IF(AE6&gt;=DAY($G$3),cfg_DAYS_M,MIN(AE6,cfg_DAYS_M)))</f>
        <v>30</v>
      </c>
      <c r="G6" s="105" t="n">
        <f aca="false">IF($B6="","",SUMIFS('الحركات الشهرية'!$D$6:$D$1005,'الحركات الشهرية'!$B$6:$B$1005,$B6,'الحركات الشهرية'!$A$6:$A$1005,$C$3))</f>
        <v>0</v>
      </c>
      <c r="H6" s="105" t="n">
        <f aca="false">IF($B6="","",SUMIFS('الحركات الشهرية'!$E$6:$E$1005,'الحركات الشهرية'!$B$6:$B$1005,$B6,'الحركات الشهرية'!$A$6:$A$1005,$C$3))</f>
        <v>0</v>
      </c>
      <c r="I6" s="105" t="n">
        <f aca="false">IF($B6="","",MAX(0,F6-G6-H6))</f>
        <v>30</v>
      </c>
      <c r="J6" s="86" t="n">
        <f aca="false">IF($B6="","",الموظفون!$J6*$I6/cfg_DAYS_M)</f>
        <v>28000</v>
      </c>
      <c r="K6" s="86" t="n">
        <f aca="false">IF($B6="","",الموظفون!$K6*$I6/cfg_DAYS_M)</f>
        <v>7000</v>
      </c>
      <c r="L6" s="86" t="n">
        <f aca="false">IF($B6="","",الموظفون!$L6*$I6/cfg_DAYS_M)</f>
        <v>2800</v>
      </c>
      <c r="M6" s="86" t="n">
        <f aca="false">IF($B6="","",الموظفون!$M6*$I6/cfg_DAYS_M)</f>
        <v>3000</v>
      </c>
      <c r="N6" s="105" t="n">
        <f aca="false">IF($B6="","",SUMIFS('الحركات الشهرية'!$F$6:$F$1005,'الحركات الشهرية'!$B$6:$B$1005,$B6,'الحركات الشهرية'!$A$6:$A$1005,$C$3))</f>
        <v>0</v>
      </c>
      <c r="O6" s="86" t="n">
        <f aca="false">IF($B6="","",N6*(الموظفون!$N6+الموظفون!$J6*cfg_OT_P)/cfg_DAYS_M/cfg_HRS)</f>
        <v>0</v>
      </c>
      <c r="P6" s="86" t="n">
        <f aca="false">IF($B6="","",SUMIFS('الحركات الشهرية'!$G$6:$G$1005,'الحركات الشهرية'!$B$6:$B$1005,$B6,'الحركات الشهرية'!$A$6:$A$1005,$C$3))</f>
        <v>0</v>
      </c>
      <c r="Q6" s="86" t="n">
        <f aca="false">IF($B6="","",SUMIFS('الحركات الشهرية'!$H$6:$H$1005,'الحركات الشهرية'!$B$6:$B$1005,$B6,'الحركات الشهرية'!$A$6:$A$1005,$C$3))</f>
        <v>0</v>
      </c>
      <c r="R6" s="106" t="n">
        <f aca="false">IF($B6="","",SUM(J6:M6)+SUM(O6:Q6))</f>
        <v>40800</v>
      </c>
      <c r="S6" s="86" t="n">
        <f aca="false">IF($B6="","",الموظفون!$Q6*IF(E6="سعودي",cfg_G_SE,cfg_G_NE)*F6/cfg_DAYS_M)</f>
        <v>3412.5</v>
      </c>
      <c r="T6" s="86" t="n">
        <f aca="false">IF($B6="","",SUMIFS('الحركات الشهرية'!$I$6:$I$1005,'الحركات الشهرية'!$B$6:$B$1005,$B6,'الحركات الشهرية'!$A$6:$A$1005,$C$3))</f>
        <v>0</v>
      </c>
      <c r="U6" s="86" t="n">
        <f aca="false">IF($B6="","",SUMIFS('الحركات الشهرية'!$J$6:$J$1005,'الحركات الشهرية'!$B$6:$B$1005,$B6,'الحركات الشهرية'!$A$6:$A$1005,$C$3))</f>
        <v>0</v>
      </c>
      <c r="V6" s="86" t="n">
        <f aca="false">IF($B6="","",SUM(S6:U6))</f>
        <v>3412.5</v>
      </c>
      <c r="W6" s="107" t="n">
        <f aca="false">IF($B6="","",R6-V6)</f>
        <v>37387.5</v>
      </c>
      <c r="X6" s="86" t="n">
        <f aca="false">IF($B6="","",الموظفون!$Q6*IF(E6="سعودي",cfg_G_SR,cfg_G_NR)*F6/cfg_DAYS_M)</f>
        <v>4112.5</v>
      </c>
      <c r="Y6" s="86" t="n">
        <f aca="false">IF($B6="","",الموظفون!$O6*(cfg_EOS_R1*(MIN(AC6,cfg_EOS_TH)-MIN(AD6,cfg_EOS_TH))+cfg_EOS_R2*(MAX(AC6-cfg_EOS_TH,0)-MAX(AD6-cfg_EOS_TH,0))))</f>
        <v>3106.84931506854</v>
      </c>
      <c r="Z6" s="86" t="n">
        <f aca="false">IF($B6="","",IF(الموظفون!$R6&lt;&gt;"",الموظفون!$R6,IF(AC6&gt;=cfg_LV_TH,cfg_LV_D2,cfg_LV_D1))/cfg_DAYS_Y*AE6*الموظفون!$P6/cfg_DAYS_M)</f>
        <v>3106.84931506849</v>
      </c>
      <c r="AA6" s="86" t="n">
        <f aca="false">IF($B6="","",IF(AND(الموظفون!$S6="نعم",N(الموظفون!$U6)&gt;0),الموظفون!$T6/الموظفون!$U6*12/cfg_DAYS_Y*AE6,0))</f>
        <v>0</v>
      </c>
      <c r="AB6" s="108" t="n">
        <f aca="false">IF($B6="","",R6+SUM(X6:AA6))</f>
        <v>51126.198630137</v>
      </c>
      <c r="AC6" s="109" t="n">
        <f aca="false">IF($B6="","",MAX(0,IF(OR(الموظفون!$X6="",الموظفون!$X6&gt;$G$3),$G$3,الموظفون!$X6)-الموظفون!$H6+1)/cfg_DAYS_Y)</f>
        <v>14.7205479452055</v>
      </c>
      <c r="AD6" s="109" t="n">
        <f aca="false">IF($B6="","",MAX(0,IF(OR(الموظفون!$X6="",الموظفون!$X6&gt;($E$3-1)),($E$3-1),الموظفون!$X6)-الموظفون!$H6+1)/cfg_DAYS_Y)</f>
        <v>14.6383561643836</v>
      </c>
      <c r="AE6" s="51" t="n">
        <f aca="false">IF($B6="","",MAX(0,IF(OR(الموظفون!$X6="",الموظفون!$X6&gt;$G$3),$G$3,الموظفون!$X6)-MAX($E$3,الموظفون!$H6)+1))</f>
        <v>30</v>
      </c>
    </row>
    <row r="7" customFormat="false" ht="15" hidden="false" customHeight="false" outlineLevel="0" collapsed="false">
      <c r="A7" s="89" t="n">
        <f aca="false">IF($B7="","",الموظفون!$A7)</f>
        <v>2</v>
      </c>
      <c r="B7" s="91" t="str">
        <f aca="false">IF(الموظفون!$B7="","",الموظفون!$B7)</f>
        <v>E002</v>
      </c>
      <c r="C7" s="91" t="str">
        <f aca="false">IF($B7="","",الموظفون!$C7)</f>
        <v>أحمد سعيد القحطاني</v>
      </c>
      <c r="D7" s="91" t="str">
        <f aca="false">IF($B7="","",الموظفون!$F7)</f>
        <v>المالية</v>
      </c>
      <c r="E7" s="91" t="str">
        <f aca="false">IF($B7="","",الموظفون!$E7)</f>
        <v>سعودي</v>
      </c>
      <c r="F7" s="110" t="n">
        <f aca="false">IF($B7="","",IF(AE7&gt;=DAY($G$3),cfg_DAYS_M,MIN(AE7,cfg_DAYS_M)))</f>
        <v>30</v>
      </c>
      <c r="G7" s="110" t="n">
        <f aca="false">IF($B7="","",SUMIFS('الحركات الشهرية'!$D$6:$D$1005,'الحركات الشهرية'!$B$6:$B$1005,$B7,'الحركات الشهرية'!$A$6:$A$1005,$C$3))</f>
        <v>0</v>
      </c>
      <c r="H7" s="110" t="n">
        <f aca="false">IF($B7="","",SUMIFS('الحركات الشهرية'!$E$6:$E$1005,'الحركات الشهرية'!$B$6:$B$1005,$B7,'الحركات الشهرية'!$A$6:$A$1005,$C$3))</f>
        <v>0</v>
      </c>
      <c r="I7" s="110" t="n">
        <f aca="false">IF($B7="","",MAX(0,F7-G7-H7))</f>
        <v>30</v>
      </c>
      <c r="J7" s="90" t="n">
        <f aca="false">IF($B7="","",الموظفون!$J7*$I7/cfg_DAYS_M)</f>
        <v>18000</v>
      </c>
      <c r="K7" s="90" t="n">
        <f aca="false">IF($B7="","",الموظفون!$K7*$I7/cfg_DAYS_M)</f>
        <v>4500</v>
      </c>
      <c r="L7" s="90" t="n">
        <f aca="false">IF($B7="","",الموظفون!$L7*$I7/cfg_DAYS_M)</f>
        <v>1800</v>
      </c>
      <c r="M7" s="90" t="n">
        <f aca="false">IF($B7="","",الموظفون!$M7*$I7/cfg_DAYS_M)</f>
        <v>1000</v>
      </c>
      <c r="N7" s="110" t="n">
        <f aca="false">IF($B7="","",SUMIFS('الحركات الشهرية'!$F$6:$F$1005,'الحركات الشهرية'!$B$6:$B$1005,$B7,'الحركات الشهرية'!$A$6:$A$1005,$C$3))</f>
        <v>0</v>
      </c>
      <c r="O7" s="90" t="n">
        <f aca="false">IF($B7="","",N7*(الموظفون!$N7+الموظفون!$J7*cfg_OT_P)/cfg_DAYS_M/cfg_HRS)</f>
        <v>0</v>
      </c>
      <c r="P7" s="90" t="n">
        <f aca="false">IF($B7="","",SUMIFS('الحركات الشهرية'!$G$6:$G$1005,'الحركات الشهرية'!$B$6:$B$1005,$B7,'الحركات الشهرية'!$A$6:$A$1005,$C$3))</f>
        <v>0</v>
      </c>
      <c r="Q7" s="90" t="n">
        <f aca="false">IF($B7="","",SUMIFS('الحركات الشهرية'!$H$6:$H$1005,'الحركات الشهرية'!$B$6:$B$1005,$B7,'الحركات الشهرية'!$A$6:$A$1005,$C$3))</f>
        <v>0</v>
      </c>
      <c r="R7" s="111" t="n">
        <f aca="false">IF($B7="","",SUM(J7:M7)+SUM(O7:Q7))</f>
        <v>25300</v>
      </c>
      <c r="S7" s="90" t="n">
        <f aca="false">IF($B7="","",الموظفون!$Q7*IF(E7="سعودي",cfg_G_SE,cfg_G_NE)*F7/cfg_DAYS_M)</f>
        <v>2193.75</v>
      </c>
      <c r="T7" s="90" t="n">
        <f aca="false">IF($B7="","",SUMIFS('الحركات الشهرية'!$I$6:$I$1005,'الحركات الشهرية'!$B$6:$B$1005,$B7,'الحركات الشهرية'!$A$6:$A$1005,$C$3))</f>
        <v>0</v>
      </c>
      <c r="U7" s="90" t="n">
        <f aca="false">IF($B7="","",SUMIFS('الحركات الشهرية'!$J$6:$J$1005,'الحركات الشهرية'!$B$6:$B$1005,$B7,'الحركات الشهرية'!$A$6:$A$1005,$C$3))</f>
        <v>0</v>
      </c>
      <c r="V7" s="90" t="n">
        <f aca="false">IF($B7="","",SUM(S7:U7))</f>
        <v>2193.75</v>
      </c>
      <c r="W7" s="112" t="n">
        <f aca="false">IF($B7="","",R7-V7)</f>
        <v>23106.25</v>
      </c>
      <c r="X7" s="90" t="n">
        <f aca="false">IF($B7="","",الموظفون!$Q7*IF(E7="سعودي",cfg_G_SR,cfg_G_NR)*F7/cfg_DAYS_M)</f>
        <v>2643.75</v>
      </c>
      <c r="Y7" s="90" t="n">
        <f aca="false">IF($B7="","",الموظفون!$O7*(cfg_EOS_R1*(MIN(AC7,cfg_EOS_TH)-MIN(AD7,cfg_EOS_TH))+cfg_EOS_R2*(MAX(AC7-cfg_EOS_TH,0)-MAX(AD7-cfg_EOS_TH,0))))</f>
        <v>1997.26027397259</v>
      </c>
      <c r="Z7" s="90" t="n">
        <f aca="false">IF($B7="","",IF(الموظفون!$R7&lt;&gt;"",الموظفون!$R7,IF(AC7&gt;=cfg_LV_TH,cfg_LV_D2,cfg_LV_D1))/cfg_DAYS_Y*AE7*الموظفون!$P7/cfg_DAYS_M)</f>
        <v>1997.2602739726</v>
      </c>
      <c r="AA7" s="90" t="n">
        <f aca="false">IF($B7="","",IF(AND(الموظفون!$S7="نعم",N(الموظفون!$U7)&gt;0),الموظفون!$T7/الموظفون!$U7*12/cfg_DAYS_Y*AE7,0))</f>
        <v>0</v>
      </c>
      <c r="AB7" s="113" t="n">
        <f aca="false">IF($B7="","",R7+SUM(X7:AA7))</f>
        <v>31938.2705479452</v>
      </c>
      <c r="AC7" s="114" t="n">
        <f aca="false">IF($B7="","",MAX(0,IF(OR(الموظفون!$X7="",الموظفون!$X7&gt;$G$3),$G$3,الموظفون!$X7)-الموظفون!$H7+1)/cfg_DAYS_Y)</f>
        <v>10.3397260273973</v>
      </c>
      <c r="AD7" s="114" t="n">
        <f aca="false">IF($B7="","",MAX(0,IF(OR(الموظفون!$X7="",الموظفون!$X7&gt;($E$3-1)),($E$3-1),الموظفون!$X7)-الموظفون!$H7+1)/cfg_DAYS_Y)</f>
        <v>10.2575342465753</v>
      </c>
      <c r="AE7" s="115" t="n">
        <f aca="false">IF($B7="","",MAX(0,IF(OR(الموظفون!$X7="",الموظفون!$X7&gt;$G$3),$G$3,الموظفون!$X7)-MAX($E$3,الموظفون!$H7)+1))</f>
        <v>30</v>
      </c>
    </row>
    <row r="8" customFormat="false" ht="15" hidden="false" customHeight="false" outlineLevel="0" collapsed="false">
      <c r="A8" s="83" t="n">
        <f aca="false">IF($B8="","",الموظفون!$A8)</f>
        <v>3</v>
      </c>
      <c r="B8" s="74" t="str">
        <f aca="false">IF(الموظفون!$B8="","",الموظفون!$B8)</f>
        <v>E003</v>
      </c>
      <c r="C8" s="74" t="str">
        <f aca="false">IF($B8="","",الموظفون!$C8)</f>
        <v>محمد علي حسن</v>
      </c>
      <c r="D8" s="74" t="str">
        <f aca="false">IF($B8="","",الموظفون!$F8)</f>
        <v>المالية</v>
      </c>
      <c r="E8" s="74" t="str">
        <f aca="false">IF($B8="","",الموظفون!$E8)</f>
        <v>غير سعودي</v>
      </c>
      <c r="F8" s="105" t="n">
        <f aca="false">IF($B8="","",IF(AE8&gt;=DAY($G$3),cfg_DAYS_M,MIN(AE8,cfg_DAYS_M)))</f>
        <v>30</v>
      </c>
      <c r="G8" s="105" t="n">
        <f aca="false">IF($B8="","",SUMIFS('الحركات الشهرية'!$D$6:$D$1005,'الحركات الشهرية'!$B$6:$B$1005,$B8,'الحركات الشهرية'!$A$6:$A$1005,$C$3))</f>
        <v>0</v>
      </c>
      <c r="H8" s="105" t="n">
        <f aca="false">IF($B8="","",SUMIFS('الحركات الشهرية'!$E$6:$E$1005,'الحركات الشهرية'!$B$6:$B$1005,$B8,'الحركات الشهرية'!$A$6:$A$1005,$C$3))</f>
        <v>0</v>
      </c>
      <c r="I8" s="105" t="n">
        <f aca="false">IF($B8="","",MAX(0,F8-G8-H8))</f>
        <v>30</v>
      </c>
      <c r="J8" s="86" t="n">
        <f aca="false">IF($B8="","",الموظفون!$J8*$I8/cfg_DAYS_M)</f>
        <v>8500</v>
      </c>
      <c r="K8" s="86" t="n">
        <f aca="false">IF($B8="","",الموظفون!$K8*$I8/cfg_DAYS_M)</f>
        <v>2125</v>
      </c>
      <c r="L8" s="86" t="n">
        <f aca="false">IF($B8="","",الموظفون!$L8*$I8/cfg_DAYS_M)</f>
        <v>850</v>
      </c>
      <c r="M8" s="86" t="n">
        <f aca="false">IF($B8="","",الموظفون!$M8*$I8/cfg_DAYS_M)</f>
        <v>500</v>
      </c>
      <c r="N8" s="105" t="n">
        <f aca="false">IF($B8="","",SUMIFS('الحركات الشهرية'!$F$6:$F$1005,'الحركات الشهرية'!$B$6:$B$1005,$B8,'الحركات الشهرية'!$A$6:$A$1005,$C$3))</f>
        <v>0</v>
      </c>
      <c r="O8" s="86" t="n">
        <f aca="false">IF($B8="","",N8*(الموظفون!$N8+الموظفون!$J8*cfg_OT_P)/cfg_DAYS_M/cfg_HRS)</f>
        <v>0</v>
      </c>
      <c r="P8" s="86" t="n">
        <f aca="false">IF($B8="","",SUMIFS('الحركات الشهرية'!$G$6:$G$1005,'الحركات الشهرية'!$B$6:$B$1005,$B8,'الحركات الشهرية'!$A$6:$A$1005,$C$3))</f>
        <v>0</v>
      </c>
      <c r="Q8" s="86" t="n">
        <f aca="false">IF($B8="","",SUMIFS('الحركات الشهرية'!$H$6:$H$1005,'الحركات الشهرية'!$B$6:$B$1005,$B8,'الحركات الشهرية'!$A$6:$A$1005,$C$3))</f>
        <v>0</v>
      </c>
      <c r="R8" s="106" t="n">
        <f aca="false">IF($B8="","",SUM(J8:M8)+SUM(O8:Q8))</f>
        <v>11975</v>
      </c>
      <c r="S8" s="86" t="n">
        <f aca="false">IF($B8="","",الموظفون!$Q8*IF(E8="سعودي",cfg_G_SE,cfg_G_NE)*F8/cfg_DAYS_M)</f>
        <v>0</v>
      </c>
      <c r="T8" s="86" t="n">
        <f aca="false">IF($B8="","",SUMIFS('الحركات الشهرية'!$I$6:$I$1005,'الحركات الشهرية'!$B$6:$B$1005,$B8,'الحركات الشهرية'!$A$6:$A$1005,$C$3))</f>
        <v>0</v>
      </c>
      <c r="U8" s="86" t="n">
        <f aca="false">IF($B8="","",SUMIFS('الحركات الشهرية'!$J$6:$J$1005,'الحركات الشهرية'!$B$6:$B$1005,$B8,'الحركات الشهرية'!$A$6:$A$1005,$C$3))</f>
        <v>0</v>
      </c>
      <c r="V8" s="86" t="n">
        <f aca="false">IF($B8="","",SUM(S8:U8))</f>
        <v>0</v>
      </c>
      <c r="W8" s="107" t="n">
        <f aca="false">IF($B8="","",R8-V8)</f>
        <v>11975</v>
      </c>
      <c r="X8" s="86" t="n">
        <f aca="false">IF($B8="","",الموظفون!$Q8*IF(E8="سعودي",cfg_G_SR,cfg_G_NR)*F8/cfg_DAYS_M)</f>
        <v>212.5</v>
      </c>
      <c r="Y8" s="86" t="n">
        <f aca="false">IF($B8="","",الموظفون!$O8*(cfg_EOS_R1*(MIN(AC8,cfg_EOS_TH)-MIN(AD8,cfg_EOS_TH))+cfg_EOS_R2*(MAX(AC8-cfg_EOS_TH,0)-MAX(AD8-cfg_EOS_TH,0))))</f>
        <v>943.150684931501</v>
      </c>
      <c r="Z8" s="86" t="n">
        <f aca="false">IF($B8="","",IF(الموظفون!$R8&lt;&gt;"",الموظفون!$R8,IF(AC8&gt;=cfg_LV_TH,cfg_LV_D2,cfg_LV_D1))/cfg_DAYS_Y*AE8*الموظفون!$P8/cfg_DAYS_M)</f>
        <v>943.150684931507</v>
      </c>
      <c r="AA8" s="86" t="n">
        <f aca="false">IF($B8="","",IF(AND(الموظفون!$S8="نعم",N(الموظفون!$U8)&gt;0),الموظفون!$T8/الموظفون!$U8*12/cfg_DAYS_Y*AE8,0))</f>
        <v>131.506849315068</v>
      </c>
      <c r="AB8" s="108" t="n">
        <f aca="false">IF($B8="","",R8+SUM(X8:AA8))</f>
        <v>14205.3082191781</v>
      </c>
      <c r="AC8" s="109" t="n">
        <f aca="false">IF($B8="","",MAX(0,IF(OR(الموظفون!$X8="",الموظفون!$X8&gt;$G$3),$G$3,الموظفون!$X8)-الموظفون!$H8+1)/cfg_DAYS_Y)</f>
        <v>8.06301369863014</v>
      </c>
      <c r="AD8" s="109" t="n">
        <f aca="false">IF($B8="","",MAX(0,IF(OR(الموظفون!$X8="",الموظفون!$X8&gt;($E$3-1)),($E$3-1),الموظفون!$X8)-الموظفون!$H8+1)/cfg_DAYS_Y)</f>
        <v>7.98082191780822</v>
      </c>
      <c r="AE8" s="51" t="n">
        <f aca="false">IF($B8="","",MAX(0,IF(OR(الموظفون!$X8="",الموظفون!$X8&gt;$G$3),$G$3,الموظفون!$X8)-MAX($E$3,الموظفون!$H8)+1))</f>
        <v>30</v>
      </c>
    </row>
    <row r="9" customFormat="false" ht="15" hidden="false" customHeight="false" outlineLevel="0" collapsed="false">
      <c r="A9" s="89" t="n">
        <f aca="false">IF($B9="","",الموظفون!$A9)</f>
        <v>4</v>
      </c>
      <c r="B9" s="91" t="str">
        <f aca="false">IF(الموظفون!$B9="","",الموظفون!$B9)</f>
        <v>E004</v>
      </c>
      <c r="C9" s="91" t="str">
        <f aca="false">IF($B9="","",الموظفون!$C9)</f>
        <v>نورة خالد الدوسري</v>
      </c>
      <c r="D9" s="91" t="str">
        <f aca="false">IF($B9="","",الموظفون!$F9)</f>
        <v>الموارد البشرية</v>
      </c>
      <c r="E9" s="91" t="str">
        <f aca="false">IF($B9="","",الموظفون!$E9)</f>
        <v>سعودي</v>
      </c>
      <c r="F9" s="110" t="n">
        <f aca="false">IF($B9="","",IF(AE9&gt;=DAY($G$3),cfg_DAYS_M,MIN(AE9,cfg_DAYS_M)))</f>
        <v>30</v>
      </c>
      <c r="G9" s="110" t="n">
        <f aca="false">IF($B9="","",SUMIFS('الحركات الشهرية'!$D$6:$D$1005,'الحركات الشهرية'!$B$6:$B$1005,$B9,'الحركات الشهرية'!$A$6:$A$1005,$C$3))</f>
        <v>0</v>
      </c>
      <c r="H9" s="110" t="n">
        <f aca="false">IF($B9="","",SUMIFS('الحركات الشهرية'!$E$6:$E$1005,'الحركات الشهرية'!$B$6:$B$1005,$B9,'الحركات الشهرية'!$A$6:$A$1005,$C$3))</f>
        <v>0</v>
      </c>
      <c r="I9" s="110" t="n">
        <f aca="false">IF($B9="","",MAX(0,F9-G9-H9))</f>
        <v>30</v>
      </c>
      <c r="J9" s="90" t="n">
        <f aca="false">IF($B9="","",الموظفون!$J9*$I9/cfg_DAYS_M)</f>
        <v>14000</v>
      </c>
      <c r="K9" s="90" t="n">
        <f aca="false">IF($B9="","",الموظفون!$K9*$I9/cfg_DAYS_M)</f>
        <v>3500</v>
      </c>
      <c r="L9" s="90" t="n">
        <f aca="false">IF($B9="","",الموظفون!$L9*$I9/cfg_DAYS_M)</f>
        <v>1400</v>
      </c>
      <c r="M9" s="90" t="n">
        <f aca="false">IF($B9="","",الموظفون!$M9*$I9/cfg_DAYS_M)</f>
        <v>0</v>
      </c>
      <c r="N9" s="110" t="n">
        <f aca="false">IF($B9="","",SUMIFS('الحركات الشهرية'!$F$6:$F$1005,'الحركات الشهرية'!$B$6:$B$1005,$B9,'الحركات الشهرية'!$A$6:$A$1005,$C$3))</f>
        <v>0</v>
      </c>
      <c r="O9" s="90" t="n">
        <f aca="false">IF($B9="","",N9*(الموظفون!$N9+الموظفون!$J9*cfg_OT_P)/cfg_DAYS_M/cfg_HRS)</f>
        <v>0</v>
      </c>
      <c r="P9" s="90" t="n">
        <f aca="false">IF($B9="","",SUMIFS('الحركات الشهرية'!$G$6:$G$1005,'الحركات الشهرية'!$B$6:$B$1005,$B9,'الحركات الشهرية'!$A$6:$A$1005,$C$3))</f>
        <v>0</v>
      </c>
      <c r="Q9" s="90" t="n">
        <f aca="false">IF($B9="","",SUMIFS('الحركات الشهرية'!$H$6:$H$1005,'الحركات الشهرية'!$B$6:$B$1005,$B9,'الحركات الشهرية'!$A$6:$A$1005,$C$3))</f>
        <v>0</v>
      </c>
      <c r="R9" s="111" t="n">
        <f aca="false">IF($B9="","",SUM(J9:M9)+SUM(O9:Q9))</f>
        <v>18900</v>
      </c>
      <c r="S9" s="90" t="n">
        <f aca="false">IF($B9="","",الموظفون!$Q9*IF(E9="سعودي",cfg_G_SE,cfg_G_NE)*F9/cfg_DAYS_M)</f>
        <v>1706.25</v>
      </c>
      <c r="T9" s="90" t="n">
        <f aca="false">IF($B9="","",SUMIFS('الحركات الشهرية'!$I$6:$I$1005,'الحركات الشهرية'!$B$6:$B$1005,$B9,'الحركات الشهرية'!$A$6:$A$1005,$C$3))</f>
        <v>0</v>
      </c>
      <c r="U9" s="90" t="n">
        <f aca="false">IF($B9="","",SUMIFS('الحركات الشهرية'!$J$6:$J$1005,'الحركات الشهرية'!$B$6:$B$1005,$B9,'الحركات الشهرية'!$A$6:$A$1005,$C$3))</f>
        <v>0</v>
      </c>
      <c r="V9" s="90" t="n">
        <f aca="false">IF($B9="","",SUM(S9:U9))</f>
        <v>1706.25</v>
      </c>
      <c r="W9" s="112" t="n">
        <f aca="false">IF($B9="","",R9-V9)</f>
        <v>17193.75</v>
      </c>
      <c r="X9" s="90" t="n">
        <f aca="false">IF($B9="","",الموظفون!$Q9*IF(E9="سعودي",cfg_G_SR,cfg_G_NR)*F9/cfg_DAYS_M)</f>
        <v>2056.25</v>
      </c>
      <c r="Y9" s="90" t="n">
        <f aca="false">IF($B9="","",الموظفون!$O9*(cfg_EOS_R1*(MIN(AC9,cfg_EOS_TH)-MIN(AD9,cfg_EOS_TH))+cfg_EOS_R2*(MAX(AC9-cfg_EOS_TH,0)-MAX(AD9-cfg_EOS_TH,0))))</f>
        <v>1553.42465753425</v>
      </c>
      <c r="Z9" s="90" t="n">
        <f aca="false">IF($B9="","",IF(الموظفون!$R9&lt;&gt;"",الموظفون!$R9,IF(AC9&gt;=cfg_LV_TH,cfg_LV_D2,cfg_LV_D1))/cfg_DAYS_Y*AE9*الموظفون!$P9/cfg_DAYS_M)</f>
        <v>1553.42465753425</v>
      </c>
      <c r="AA9" s="90" t="n">
        <f aca="false">IF($B9="","",IF(AND(الموظفون!$S9="نعم",N(الموظفون!$U9)&gt;0),الموظفون!$T9/الموظفون!$U9*12/cfg_DAYS_Y*AE9,0))</f>
        <v>0</v>
      </c>
      <c r="AB9" s="113" t="n">
        <f aca="false">IF($B9="","",R9+SUM(X9:AA9))</f>
        <v>24063.0993150685</v>
      </c>
      <c r="AC9" s="114" t="n">
        <f aca="false">IF($B9="","",MAX(0,IF(OR(الموظفون!$X9="",الموظفون!$X9&gt;$G$3),$G$3,الموظفون!$X9)-الموظفون!$H9+1)/cfg_DAYS_Y)</f>
        <v>7.66849315068493</v>
      </c>
      <c r="AD9" s="114" t="n">
        <f aca="false">IF($B9="","",MAX(0,IF(OR(الموظفون!$X9="",الموظفون!$X9&gt;($E$3-1)),($E$3-1),الموظفون!$X9)-الموظفون!$H9+1)/cfg_DAYS_Y)</f>
        <v>7.58630136986301</v>
      </c>
      <c r="AE9" s="115" t="n">
        <f aca="false">IF($B9="","",MAX(0,IF(OR(الموظفون!$X9="",الموظفون!$X9&gt;$G$3),$G$3,الموظفون!$X9)-MAX($E$3,الموظفون!$H9)+1))</f>
        <v>30</v>
      </c>
    </row>
    <row r="10" customFormat="false" ht="15" hidden="false" customHeight="false" outlineLevel="0" collapsed="false">
      <c r="A10" s="83" t="n">
        <f aca="false">IF($B10="","",الموظفون!$A10)</f>
        <v>5</v>
      </c>
      <c r="B10" s="74" t="str">
        <f aca="false">IF(الموظفون!$B10="","",الموظفون!$B10)</f>
        <v>E005</v>
      </c>
      <c r="C10" s="74" t="str">
        <f aca="false">IF($B10="","",الموظفون!$C10)</f>
        <v>راجيش كومار</v>
      </c>
      <c r="D10" s="74" t="str">
        <f aca="false">IF($B10="","",الموظفون!$F10)</f>
        <v>تقنية المعلومات</v>
      </c>
      <c r="E10" s="74" t="str">
        <f aca="false">IF($B10="","",الموظفون!$E10)</f>
        <v>غير سعودي</v>
      </c>
      <c r="F10" s="105" t="n">
        <f aca="false">IF($B10="","",IF(AE10&gt;=DAY($G$3),cfg_DAYS_M,MIN(AE10,cfg_DAYS_M)))</f>
        <v>30</v>
      </c>
      <c r="G10" s="105" t="n">
        <f aca="false">IF($B10="","",SUMIFS('الحركات الشهرية'!$D$6:$D$1005,'الحركات الشهرية'!$B$6:$B$1005,$B10,'الحركات الشهرية'!$A$6:$A$1005,$C$3))</f>
        <v>0</v>
      </c>
      <c r="H10" s="105" t="n">
        <f aca="false">IF($B10="","",SUMIFS('الحركات الشهرية'!$E$6:$E$1005,'الحركات الشهرية'!$B$6:$B$1005,$B10,'الحركات الشهرية'!$A$6:$A$1005,$C$3))</f>
        <v>0</v>
      </c>
      <c r="I10" s="105" t="n">
        <f aca="false">IF($B10="","",MAX(0,F10-G10-H10))</f>
        <v>30</v>
      </c>
      <c r="J10" s="86" t="n">
        <f aca="false">IF($B10="","",الموظفون!$J10*$I10/cfg_DAYS_M)</f>
        <v>9000</v>
      </c>
      <c r="K10" s="86" t="n">
        <f aca="false">IF($B10="","",الموظفون!$K10*$I10/cfg_DAYS_M)</f>
        <v>2250</v>
      </c>
      <c r="L10" s="86" t="n">
        <f aca="false">IF($B10="","",الموظفون!$L10*$I10/cfg_DAYS_M)</f>
        <v>900</v>
      </c>
      <c r="M10" s="86" t="n">
        <f aca="false">IF($B10="","",الموظفون!$M10*$I10/cfg_DAYS_M)</f>
        <v>700</v>
      </c>
      <c r="N10" s="105" t="n">
        <f aca="false">IF($B10="","",SUMIFS('الحركات الشهرية'!$F$6:$F$1005,'الحركات الشهرية'!$B$6:$B$1005,$B10,'الحركات الشهرية'!$A$6:$A$1005,$C$3))</f>
        <v>0</v>
      </c>
      <c r="O10" s="86" t="n">
        <f aca="false">IF($B10="","",N10*(الموظفون!$N10+الموظفون!$J10*cfg_OT_P)/cfg_DAYS_M/cfg_HRS)</f>
        <v>0</v>
      </c>
      <c r="P10" s="86" t="n">
        <f aca="false">IF($B10="","",SUMIFS('الحركات الشهرية'!$G$6:$G$1005,'الحركات الشهرية'!$B$6:$B$1005,$B10,'الحركات الشهرية'!$A$6:$A$1005,$C$3))</f>
        <v>0</v>
      </c>
      <c r="Q10" s="86" t="n">
        <f aca="false">IF($B10="","",SUMIFS('الحركات الشهرية'!$H$6:$H$1005,'الحركات الشهرية'!$B$6:$B$1005,$B10,'الحركات الشهرية'!$A$6:$A$1005,$C$3))</f>
        <v>0</v>
      </c>
      <c r="R10" s="106" t="n">
        <f aca="false">IF($B10="","",SUM(J10:M10)+SUM(O10:Q10))</f>
        <v>12850</v>
      </c>
      <c r="S10" s="86" t="n">
        <f aca="false">IF($B10="","",الموظفون!$Q10*IF(E10="سعودي",cfg_G_SE,cfg_G_NE)*F10/cfg_DAYS_M)</f>
        <v>0</v>
      </c>
      <c r="T10" s="86" t="n">
        <f aca="false">IF($B10="","",SUMIFS('الحركات الشهرية'!$I$6:$I$1005,'الحركات الشهرية'!$B$6:$B$1005,$B10,'الحركات الشهرية'!$A$6:$A$1005,$C$3))</f>
        <v>0</v>
      </c>
      <c r="U10" s="86" t="n">
        <f aca="false">IF($B10="","",SUMIFS('الحركات الشهرية'!$J$6:$J$1005,'الحركات الشهرية'!$B$6:$B$1005,$B10,'الحركات الشهرية'!$A$6:$A$1005,$C$3))</f>
        <v>0</v>
      </c>
      <c r="V10" s="86" t="n">
        <f aca="false">IF($B10="","",SUM(S10:U10))</f>
        <v>0</v>
      </c>
      <c r="W10" s="107" t="n">
        <f aca="false">IF($B10="","",R10-V10)</f>
        <v>12850</v>
      </c>
      <c r="X10" s="86" t="n">
        <f aca="false">IF($B10="","",الموظفون!$Q10*IF(E10="سعودي",cfg_G_SR,cfg_G_NR)*F10/cfg_DAYS_M)</f>
        <v>225</v>
      </c>
      <c r="Y10" s="86" t="n">
        <f aca="false">IF($B10="","",الموظفون!$O10*(cfg_EOS_R1*(MIN(AC10,cfg_EOS_TH)-MIN(AD10,cfg_EOS_TH))+cfg_EOS_R2*(MAX(AC10-cfg_EOS_TH,0)-MAX(AD10-cfg_EOS_TH,0))))</f>
        <v>998.630136986305</v>
      </c>
      <c r="Z10" s="86" t="n">
        <f aca="false">IF($B10="","",IF(الموظفون!$R10&lt;&gt;"",الموظفون!$R10,IF(AC10&gt;=cfg_LV_TH,cfg_LV_D2,cfg_LV_D1))/cfg_DAYS_Y*AE10*الموظفون!$P10/cfg_DAYS_M)</f>
        <v>998.630136986301</v>
      </c>
      <c r="AA10" s="86" t="n">
        <f aca="false">IF($B10="","",IF(AND(الموظفون!$S10="نعم",N(الموظفون!$U10)&gt;0),الموظفون!$T10/الموظفون!$U10*12/cfg_DAYS_Y*AE10,0))</f>
        <v>230.13698630137</v>
      </c>
      <c r="AB10" s="108" t="n">
        <f aca="false">IF($B10="","",R10+SUM(X10:AA10))</f>
        <v>15302.397260274</v>
      </c>
      <c r="AC10" s="109" t="n">
        <f aca="false">IF($B10="","",MAX(0,IF(OR(الموظفون!$X10="",الموظفون!$X10&gt;$G$3),$G$3,الموظفون!$X10)-الموظفون!$H10+1)/cfg_DAYS_Y)</f>
        <v>6.47397260273973</v>
      </c>
      <c r="AD10" s="109" t="n">
        <f aca="false">IF($B10="","",MAX(0,IF(OR(الموظفون!$X10="",الموظفون!$X10&gt;($E$3-1)),($E$3-1),الموظفون!$X10)-الموظفون!$H10+1)/cfg_DAYS_Y)</f>
        <v>6.39178082191781</v>
      </c>
      <c r="AE10" s="51" t="n">
        <f aca="false">IF($B10="","",MAX(0,IF(OR(الموظفون!$X10="",الموظفون!$X10&gt;$G$3),$G$3,الموظفون!$X10)-MAX($E$3,الموظفون!$H10)+1))</f>
        <v>30</v>
      </c>
    </row>
    <row r="11" customFormat="false" ht="15" hidden="false" customHeight="false" outlineLevel="0" collapsed="false">
      <c r="A11" s="89" t="n">
        <f aca="false">IF($B11="","",الموظفون!$A11)</f>
        <v>6</v>
      </c>
      <c r="B11" s="91" t="str">
        <f aca="false">IF(الموظفون!$B11="","",الموظفون!$B11)</f>
        <v>E006</v>
      </c>
      <c r="C11" s="91" t="str">
        <f aca="false">IF($B11="","",الموظفون!$C11)</f>
        <v>فهد ناصر الشمري</v>
      </c>
      <c r="D11" s="91" t="str">
        <f aca="false">IF($B11="","",الموظفون!$F11)</f>
        <v>المبيعات</v>
      </c>
      <c r="E11" s="91" t="str">
        <f aca="false">IF($B11="","",الموظفون!$E11)</f>
        <v>سعودي</v>
      </c>
      <c r="F11" s="110" t="n">
        <f aca="false">IF($B11="","",IF(AE11&gt;=DAY($G$3),cfg_DAYS_M,MIN(AE11,cfg_DAYS_M)))</f>
        <v>30</v>
      </c>
      <c r="G11" s="110" t="n">
        <f aca="false">IF($B11="","",SUMIFS('الحركات الشهرية'!$D$6:$D$1005,'الحركات الشهرية'!$B$6:$B$1005,$B11,'الحركات الشهرية'!$A$6:$A$1005,$C$3))</f>
        <v>0</v>
      </c>
      <c r="H11" s="110" t="n">
        <f aca="false">IF($B11="","",SUMIFS('الحركات الشهرية'!$E$6:$E$1005,'الحركات الشهرية'!$B$6:$B$1005,$B11,'الحركات الشهرية'!$A$6:$A$1005,$C$3))</f>
        <v>0</v>
      </c>
      <c r="I11" s="110" t="n">
        <f aca="false">IF($B11="","",MAX(0,F11-G11-H11))</f>
        <v>30</v>
      </c>
      <c r="J11" s="90" t="n">
        <f aca="false">IF($B11="","",الموظفون!$J11*$I11/cfg_DAYS_M)</f>
        <v>13000</v>
      </c>
      <c r="K11" s="90" t="n">
        <f aca="false">IF($B11="","",الموظفون!$K11*$I11/cfg_DAYS_M)</f>
        <v>3250</v>
      </c>
      <c r="L11" s="90" t="n">
        <f aca="false">IF($B11="","",الموظفون!$L11*$I11/cfg_DAYS_M)</f>
        <v>1300</v>
      </c>
      <c r="M11" s="90" t="n">
        <f aca="false">IF($B11="","",الموظفون!$M11*$I11/cfg_DAYS_M)</f>
        <v>2500</v>
      </c>
      <c r="N11" s="110" t="n">
        <f aca="false">IF($B11="","",SUMIFS('الحركات الشهرية'!$F$6:$F$1005,'الحركات الشهرية'!$B$6:$B$1005,$B11,'الحركات الشهرية'!$A$6:$A$1005,$C$3))</f>
        <v>0</v>
      </c>
      <c r="O11" s="90" t="n">
        <f aca="false">IF($B11="","",N11*(الموظفون!$N11+الموظفون!$J11*cfg_OT_P)/cfg_DAYS_M/cfg_HRS)</f>
        <v>0</v>
      </c>
      <c r="P11" s="90" t="n">
        <f aca="false">IF($B11="","",SUMIFS('الحركات الشهرية'!$G$6:$G$1005,'الحركات الشهرية'!$B$6:$B$1005,$B11,'الحركات الشهرية'!$A$6:$A$1005,$C$3))</f>
        <v>0</v>
      </c>
      <c r="Q11" s="90" t="n">
        <f aca="false">IF($B11="","",SUMIFS('الحركات الشهرية'!$H$6:$H$1005,'الحركات الشهرية'!$B$6:$B$1005,$B11,'الحركات الشهرية'!$A$6:$A$1005,$C$3))</f>
        <v>0</v>
      </c>
      <c r="R11" s="111" t="n">
        <f aca="false">IF($B11="","",SUM(J11:M11)+SUM(O11:Q11))</f>
        <v>20050</v>
      </c>
      <c r="S11" s="90" t="n">
        <f aca="false">IF($B11="","",الموظفون!$Q11*IF(E11="سعودي",cfg_G_SE,cfg_G_NE)*F11/cfg_DAYS_M)</f>
        <v>1584.375</v>
      </c>
      <c r="T11" s="90" t="n">
        <f aca="false">IF($B11="","",SUMIFS('الحركات الشهرية'!$I$6:$I$1005,'الحركات الشهرية'!$B$6:$B$1005,$B11,'الحركات الشهرية'!$A$6:$A$1005,$C$3))</f>
        <v>0</v>
      </c>
      <c r="U11" s="90" t="n">
        <f aca="false">IF($B11="","",SUMIFS('الحركات الشهرية'!$J$6:$J$1005,'الحركات الشهرية'!$B$6:$B$1005,$B11,'الحركات الشهرية'!$A$6:$A$1005,$C$3))</f>
        <v>250</v>
      </c>
      <c r="V11" s="90" t="n">
        <f aca="false">IF($B11="","",SUM(S11:U11))</f>
        <v>1834.375</v>
      </c>
      <c r="W11" s="112" t="n">
        <f aca="false">IF($B11="","",R11-V11)</f>
        <v>18215.625</v>
      </c>
      <c r="X11" s="90" t="n">
        <f aca="false">IF($B11="","",الموظفون!$Q11*IF(E11="سعودي",cfg_G_SR,cfg_G_NR)*F11/cfg_DAYS_M)</f>
        <v>1909.375</v>
      </c>
      <c r="Y11" s="90" t="n">
        <f aca="false">IF($B11="","",الموظفون!$O11*(cfg_EOS_R1*(MIN(AC11,cfg_EOS_TH)-MIN(AD11,cfg_EOS_TH))+cfg_EOS_R2*(MAX(AC11-cfg_EOS_TH,0)-MAX(AD11-cfg_EOS_TH,0))))</f>
        <v>1442.46575342465</v>
      </c>
      <c r="Z11" s="90" t="n">
        <f aca="false">IF($B11="","",IF(الموظفون!$R11&lt;&gt;"",الموظفون!$R11,IF(AC11&gt;=cfg_LV_TH,cfg_LV_D2,cfg_LV_D1))/cfg_DAYS_Y*AE11*الموظفون!$P11/cfg_DAYS_M)</f>
        <v>1442.46575342466</v>
      </c>
      <c r="AA11" s="90" t="n">
        <f aca="false">IF($B11="","",IF(AND(الموظفون!$S11="نعم",N(الموظفون!$U11)&gt;0),الموظفون!$T11/الموظفون!$U11*12/cfg_DAYS_Y*AE11,0))</f>
        <v>0</v>
      </c>
      <c r="AB11" s="113" t="n">
        <f aca="false">IF($B11="","",R11+SUM(X11:AA11))</f>
        <v>24844.3065068493</v>
      </c>
      <c r="AC11" s="114" t="n">
        <f aca="false">IF($B11="","",MAX(0,IF(OR(الموظفون!$X11="",الموظفون!$X11&gt;$G$3),$G$3,الموظفون!$X11)-الموظفون!$H11+1)/cfg_DAYS_Y)</f>
        <v>8.90958904109589</v>
      </c>
      <c r="AD11" s="114" t="n">
        <f aca="false">IF($B11="","",MAX(0,IF(OR(الموظفون!$X11="",الموظفون!$X11&gt;($E$3-1)),($E$3-1),الموظفون!$X11)-الموظفون!$H11+1)/cfg_DAYS_Y)</f>
        <v>8.82739726027397</v>
      </c>
      <c r="AE11" s="115" t="n">
        <f aca="false">IF($B11="","",MAX(0,IF(OR(الموظفون!$X11="",الموظفون!$X11&gt;$G$3),$G$3,الموظفون!$X11)-MAX($E$3,الموظفون!$H11)+1))</f>
        <v>30</v>
      </c>
    </row>
    <row r="12" customFormat="false" ht="15" hidden="false" customHeight="false" outlineLevel="0" collapsed="false">
      <c r="A12" s="83" t="n">
        <f aca="false">IF($B12="","",الموظفون!$A12)</f>
        <v>7</v>
      </c>
      <c r="B12" s="74" t="str">
        <f aca="false">IF(الموظفون!$B12="","",الموظفون!$B12)</f>
        <v>E007</v>
      </c>
      <c r="C12" s="74" t="str">
        <f aca="false">IF($B12="","",الموظفون!$C12)</f>
        <v>خالد يوسف الأحمد</v>
      </c>
      <c r="D12" s="74" t="str">
        <f aca="false">IF($B12="","",الموظفون!$F12)</f>
        <v>المشاريع</v>
      </c>
      <c r="E12" s="74" t="str">
        <f aca="false">IF($B12="","",الموظفون!$E12)</f>
        <v>غير سعودي</v>
      </c>
      <c r="F12" s="105" t="n">
        <f aca="false">IF($B12="","",IF(AE12&gt;=DAY($G$3),cfg_DAYS_M,MIN(AE12,cfg_DAYS_M)))</f>
        <v>30</v>
      </c>
      <c r="G12" s="105" t="n">
        <f aca="false">IF($B12="","",SUMIFS('الحركات الشهرية'!$D$6:$D$1005,'الحركات الشهرية'!$B$6:$B$1005,$B12,'الحركات الشهرية'!$A$6:$A$1005,$C$3))</f>
        <v>0</v>
      </c>
      <c r="H12" s="105" t="n">
        <f aca="false">IF($B12="","",SUMIFS('الحركات الشهرية'!$E$6:$E$1005,'الحركات الشهرية'!$B$6:$B$1005,$B12,'الحركات الشهرية'!$A$6:$A$1005,$C$3))</f>
        <v>0</v>
      </c>
      <c r="I12" s="105" t="n">
        <f aca="false">IF($B12="","",MAX(0,F12-G12-H12))</f>
        <v>30</v>
      </c>
      <c r="J12" s="86" t="n">
        <f aca="false">IF($B12="","",الموظفون!$J12*$I12/cfg_DAYS_M)</f>
        <v>11000</v>
      </c>
      <c r="K12" s="86" t="n">
        <f aca="false">IF($B12="","",الموظفون!$K12*$I12/cfg_DAYS_M)</f>
        <v>2750</v>
      </c>
      <c r="L12" s="86" t="n">
        <f aca="false">IF($B12="","",الموظفون!$L12*$I12/cfg_DAYS_M)</f>
        <v>1100</v>
      </c>
      <c r="M12" s="86" t="n">
        <f aca="false">IF($B12="","",الموظفون!$M12*$I12/cfg_DAYS_M)</f>
        <v>800</v>
      </c>
      <c r="N12" s="105" t="n">
        <f aca="false">IF($B12="","",SUMIFS('الحركات الشهرية'!$F$6:$F$1005,'الحركات الشهرية'!$B$6:$B$1005,$B12,'الحركات الشهرية'!$A$6:$A$1005,$C$3))</f>
        <v>0</v>
      </c>
      <c r="O12" s="86" t="n">
        <f aca="false">IF($B12="","",N12*(الموظفون!$N12+الموظفون!$J12*cfg_OT_P)/cfg_DAYS_M/cfg_HRS)</f>
        <v>0</v>
      </c>
      <c r="P12" s="86" t="n">
        <f aca="false">IF($B12="","",SUMIFS('الحركات الشهرية'!$G$6:$G$1005,'الحركات الشهرية'!$B$6:$B$1005,$B12,'الحركات الشهرية'!$A$6:$A$1005,$C$3))</f>
        <v>0</v>
      </c>
      <c r="Q12" s="86" t="n">
        <f aca="false">IF($B12="","",SUMIFS('الحركات الشهرية'!$H$6:$H$1005,'الحركات الشهرية'!$B$6:$B$1005,$B12,'الحركات الشهرية'!$A$6:$A$1005,$C$3))</f>
        <v>0</v>
      </c>
      <c r="R12" s="106" t="n">
        <f aca="false">IF($B12="","",SUM(J12:M12)+SUM(O12:Q12))</f>
        <v>15650</v>
      </c>
      <c r="S12" s="86" t="n">
        <f aca="false">IF($B12="","",الموظفون!$Q12*IF(E12="سعودي",cfg_G_SE,cfg_G_NE)*F12/cfg_DAYS_M)</f>
        <v>0</v>
      </c>
      <c r="T12" s="86" t="n">
        <f aca="false">IF($B12="","",SUMIFS('الحركات الشهرية'!$I$6:$I$1005,'الحركات الشهرية'!$B$6:$B$1005,$B12,'الحركات الشهرية'!$A$6:$A$1005,$C$3))</f>
        <v>0</v>
      </c>
      <c r="U12" s="86" t="n">
        <f aca="false">IF($B12="","",SUMIFS('الحركات الشهرية'!$J$6:$J$1005,'الحركات الشهرية'!$B$6:$B$1005,$B12,'الحركات الشهرية'!$A$6:$A$1005,$C$3))</f>
        <v>0</v>
      </c>
      <c r="V12" s="86" t="n">
        <f aca="false">IF($B12="","",SUM(S12:U12))</f>
        <v>0</v>
      </c>
      <c r="W12" s="107" t="n">
        <f aca="false">IF($B12="","",R12-V12)</f>
        <v>15650</v>
      </c>
      <c r="X12" s="86" t="n">
        <f aca="false">IF($B12="","",الموظفون!$Q12*IF(E12="سعودي",cfg_G_SR,cfg_G_NR)*F12/cfg_DAYS_M)</f>
        <v>275</v>
      </c>
      <c r="Y12" s="86" t="n">
        <f aca="false">IF($B12="","",الموظفون!$O12*(cfg_EOS_R1*(MIN(AC12,cfg_EOS_TH)-MIN(AD12,cfg_EOS_TH))+cfg_EOS_R2*(MAX(AC12-cfg_EOS_TH,0)-MAX(AD12-cfg_EOS_TH,0))))</f>
        <v>1220.54794520547</v>
      </c>
      <c r="Z12" s="86" t="n">
        <f aca="false">IF($B12="","",IF(الموظفون!$R12&lt;&gt;"",الموظفون!$R12,IF(AC12&gt;=cfg_LV_TH,cfg_LV_D2,cfg_LV_D1))/cfg_DAYS_Y*AE12*الموظفون!$P12/cfg_DAYS_M)</f>
        <v>1220.54794520548</v>
      </c>
      <c r="AA12" s="86" t="n">
        <f aca="false">IF($B12="","",IF(AND(الموظفون!$S12="نعم",N(الموظفون!$U12)&gt;0),الموظفون!$T12/الموظفون!$U12*12/cfg_DAYS_Y*AE12,0))</f>
        <v>369.86301369863</v>
      </c>
      <c r="AB12" s="108" t="n">
        <f aca="false">IF($B12="","",R12+SUM(X12:AA12))</f>
        <v>18735.9589041096</v>
      </c>
      <c r="AC12" s="109" t="n">
        <f aca="false">IF($B12="","",MAX(0,IF(OR(الموظفون!$X12="",الموظفون!$X12&gt;$G$3),$G$3,الموظفون!$X12)-الموظفون!$H12+1)/cfg_DAYS_Y)</f>
        <v>5.6986301369863</v>
      </c>
      <c r="AD12" s="109" t="n">
        <f aca="false">IF($B12="","",MAX(0,IF(OR(الموظفون!$X12="",الموظفون!$X12&gt;($E$3-1)),($E$3-1),الموظفون!$X12)-الموظفون!$H12+1)/cfg_DAYS_Y)</f>
        <v>5.61643835616438</v>
      </c>
      <c r="AE12" s="51" t="n">
        <f aca="false">IF($B12="","",MAX(0,IF(OR(الموظفون!$X12="",الموظفون!$X12&gt;$G$3),$G$3,الموظفون!$X12)-MAX($E$3,الموظفون!$H12)+1))</f>
        <v>30</v>
      </c>
    </row>
    <row r="13" customFormat="false" ht="15" hidden="false" customHeight="false" outlineLevel="0" collapsed="false">
      <c r="A13" s="89" t="n">
        <f aca="false">IF($B13="","",الموظفون!$A13)</f>
        <v>8</v>
      </c>
      <c r="B13" s="91" t="str">
        <f aca="false">IF(الموظفون!$B13="","",الموظفون!$B13)</f>
        <v>E008</v>
      </c>
      <c r="C13" s="91" t="str">
        <f aca="false">IF($B13="","",الموظفون!$C13)</f>
        <v>سارة عبدالرحمن الزهراني</v>
      </c>
      <c r="D13" s="91" t="str">
        <f aca="false">IF($B13="","",الموظفون!$F13)</f>
        <v>المالية</v>
      </c>
      <c r="E13" s="91" t="str">
        <f aca="false">IF($B13="","",الموظفون!$E13)</f>
        <v>سعودي</v>
      </c>
      <c r="F13" s="110" t="n">
        <f aca="false">IF($B13="","",IF(AE13&gt;=DAY($G$3),cfg_DAYS_M,MIN(AE13,cfg_DAYS_M)))</f>
        <v>30</v>
      </c>
      <c r="G13" s="110" t="n">
        <f aca="false">IF($B13="","",SUMIFS('الحركات الشهرية'!$D$6:$D$1005,'الحركات الشهرية'!$B$6:$B$1005,$B13,'الحركات الشهرية'!$A$6:$A$1005,$C$3))</f>
        <v>0</v>
      </c>
      <c r="H13" s="110" t="n">
        <f aca="false">IF($B13="","",SUMIFS('الحركات الشهرية'!$E$6:$E$1005,'الحركات الشهرية'!$B$6:$B$1005,$B13,'الحركات الشهرية'!$A$6:$A$1005,$C$3))</f>
        <v>0</v>
      </c>
      <c r="I13" s="110" t="n">
        <f aca="false">IF($B13="","",MAX(0,F13-G13-H13))</f>
        <v>30</v>
      </c>
      <c r="J13" s="90" t="n">
        <f aca="false">IF($B13="","",الموظفون!$J13*$I13/cfg_DAYS_M)</f>
        <v>7500</v>
      </c>
      <c r="K13" s="90" t="n">
        <f aca="false">IF($B13="","",الموظفون!$K13*$I13/cfg_DAYS_M)</f>
        <v>1875</v>
      </c>
      <c r="L13" s="90" t="n">
        <f aca="false">IF($B13="","",الموظفون!$L13*$I13/cfg_DAYS_M)</f>
        <v>750</v>
      </c>
      <c r="M13" s="90" t="n">
        <f aca="false">IF($B13="","",الموظفون!$M13*$I13/cfg_DAYS_M)</f>
        <v>0</v>
      </c>
      <c r="N13" s="110" t="n">
        <f aca="false">IF($B13="","",SUMIFS('الحركات الشهرية'!$F$6:$F$1005,'الحركات الشهرية'!$B$6:$B$1005,$B13,'الحركات الشهرية'!$A$6:$A$1005,$C$3))</f>
        <v>0</v>
      </c>
      <c r="O13" s="90" t="n">
        <f aca="false">IF($B13="","",N13*(الموظفون!$N13+الموظفون!$J13*cfg_OT_P)/cfg_DAYS_M/cfg_HRS)</f>
        <v>0</v>
      </c>
      <c r="P13" s="90" t="n">
        <f aca="false">IF($B13="","",SUMIFS('الحركات الشهرية'!$G$6:$G$1005,'الحركات الشهرية'!$B$6:$B$1005,$B13,'الحركات الشهرية'!$A$6:$A$1005,$C$3))</f>
        <v>0</v>
      </c>
      <c r="Q13" s="90" t="n">
        <f aca="false">IF($B13="","",SUMIFS('الحركات الشهرية'!$H$6:$H$1005,'الحركات الشهرية'!$B$6:$B$1005,$B13,'الحركات الشهرية'!$A$6:$A$1005,$C$3))</f>
        <v>0</v>
      </c>
      <c r="R13" s="111" t="n">
        <f aca="false">IF($B13="","",SUM(J13:M13)+SUM(O13:Q13))</f>
        <v>10125</v>
      </c>
      <c r="S13" s="90" t="n">
        <f aca="false">IF($B13="","",الموظفون!$Q13*IF(E13="سعودي",cfg_G_SE,cfg_G_NE)*F13/cfg_DAYS_M)</f>
        <v>914.0625</v>
      </c>
      <c r="T13" s="90" t="n">
        <f aca="false">IF($B13="","",SUMIFS('الحركات الشهرية'!$I$6:$I$1005,'الحركات الشهرية'!$B$6:$B$1005,$B13,'الحركات الشهرية'!$A$6:$A$1005,$C$3))</f>
        <v>0</v>
      </c>
      <c r="U13" s="90" t="n">
        <f aca="false">IF($B13="","",SUMIFS('الحركات الشهرية'!$J$6:$J$1005,'الحركات الشهرية'!$B$6:$B$1005,$B13,'الحركات الشهرية'!$A$6:$A$1005,$C$3))</f>
        <v>0</v>
      </c>
      <c r="V13" s="90" t="n">
        <f aca="false">IF($B13="","",SUM(S13:U13))</f>
        <v>914.0625</v>
      </c>
      <c r="W13" s="112" t="n">
        <f aca="false">IF($B13="","",R13-V13)</f>
        <v>9210.9375</v>
      </c>
      <c r="X13" s="90" t="n">
        <f aca="false">IF($B13="","",الموظفون!$Q13*IF(E13="سعودي",cfg_G_SR,cfg_G_NR)*F13/cfg_DAYS_M)</f>
        <v>1101.5625</v>
      </c>
      <c r="Y13" s="90" t="n">
        <f aca="false">IF($B13="","",الموظفون!$O13*(cfg_EOS_R1*(MIN(AC13,cfg_EOS_TH)-MIN(AD13,cfg_EOS_TH))+cfg_EOS_R2*(MAX(AC13-cfg_EOS_TH,0)-MAX(AD13-cfg_EOS_TH,0))))</f>
        <v>416.095890410961</v>
      </c>
      <c r="Z13" s="90" t="n">
        <f aca="false">IF($B13="","",IF(الموظفون!$R13&lt;&gt;"",الموظفون!$R13,IF(AC13&gt;=cfg_LV_TH,cfg_LV_D2,cfg_LV_D1))/cfg_DAYS_Y*AE13*الموظفون!$P13/cfg_DAYS_M)</f>
        <v>582.534246575342</v>
      </c>
      <c r="AA13" s="90" t="n">
        <f aca="false">IF($B13="","",IF(AND(الموظفون!$S13="نعم",N(الموظفون!$U13)&gt;0),الموظفون!$T13/الموظفون!$U13*12/cfg_DAYS_Y*AE13,0))</f>
        <v>0</v>
      </c>
      <c r="AB13" s="113" t="n">
        <f aca="false">IF($B13="","",R13+SUM(X13:AA13))</f>
        <v>12225.1926369863</v>
      </c>
      <c r="AC13" s="114" t="n">
        <f aca="false">IF($B13="","",MAX(0,IF(OR(الموظفون!$X13="",الموظفون!$X13&gt;$G$3),$G$3,الموظفون!$X13)-الموظفون!$H13+1)/cfg_DAYS_Y)</f>
        <v>3.58904109589041</v>
      </c>
      <c r="AD13" s="114" t="n">
        <f aca="false">IF($B13="","",MAX(0,IF(OR(الموظفون!$X13="",الموظفون!$X13&gt;($E$3-1)),($E$3-1),الموظفون!$X13)-الموظفون!$H13+1)/cfg_DAYS_Y)</f>
        <v>3.50684931506849</v>
      </c>
      <c r="AE13" s="115" t="n">
        <f aca="false">IF($B13="","",MAX(0,IF(OR(الموظفون!$X13="",الموظفون!$X13&gt;$G$3),$G$3,الموظفون!$X13)-MAX($E$3,الموظفون!$H13)+1))</f>
        <v>30</v>
      </c>
    </row>
    <row r="14" customFormat="false" ht="15" hidden="false" customHeight="false" outlineLevel="0" collapsed="false">
      <c r="A14" s="83" t="n">
        <f aca="false">IF($B14="","",الموظفون!$A14)</f>
        <v>9</v>
      </c>
      <c r="B14" s="74" t="str">
        <f aca="false">IF(الموظفون!$B14="","",الموظفون!$B14)</f>
        <v>E009</v>
      </c>
      <c r="C14" s="74" t="str">
        <f aca="false">IF($B14="","",الموظفون!$C14)</f>
        <v>محمد رفيق</v>
      </c>
      <c r="D14" s="74" t="str">
        <f aca="false">IF($B14="","",الموظفون!$F14)</f>
        <v>العمليات</v>
      </c>
      <c r="E14" s="74" t="str">
        <f aca="false">IF($B14="","",الموظفون!$E14)</f>
        <v>غير سعودي</v>
      </c>
      <c r="F14" s="105" t="n">
        <f aca="false">IF($B14="","",IF(AE14&gt;=DAY($G$3),cfg_DAYS_M,MIN(AE14,cfg_DAYS_M)))</f>
        <v>30</v>
      </c>
      <c r="G14" s="105" t="n">
        <f aca="false">IF($B14="","",SUMIFS('الحركات الشهرية'!$D$6:$D$1005,'الحركات الشهرية'!$B$6:$B$1005,$B14,'الحركات الشهرية'!$A$6:$A$1005,$C$3))</f>
        <v>0</v>
      </c>
      <c r="H14" s="105" t="n">
        <f aca="false">IF($B14="","",SUMIFS('الحركات الشهرية'!$E$6:$E$1005,'الحركات الشهرية'!$B$6:$B$1005,$B14,'الحركات الشهرية'!$A$6:$A$1005,$C$3))</f>
        <v>0</v>
      </c>
      <c r="I14" s="105" t="n">
        <f aca="false">IF($B14="","",MAX(0,F14-G14-H14))</f>
        <v>30</v>
      </c>
      <c r="J14" s="86" t="n">
        <f aca="false">IF($B14="","",الموظفون!$J14*$I14/cfg_DAYS_M)</f>
        <v>6500</v>
      </c>
      <c r="K14" s="86" t="n">
        <f aca="false">IF($B14="","",الموظفون!$K14*$I14/cfg_DAYS_M)</f>
        <v>1625</v>
      </c>
      <c r="L14" s="86" t="n">
        <f aca="false">IF($B14="","",الموظفون!$L14*$I14/cfg_DAYS_M)</f>
        <v>650</v>
      </c>
      <c r="M14" s="86" t="n">
        <f aca="false">IF($B14="","",الموظفون!$M14*$I14/cfg_DAYS_M)</f>
        <v>300</v>
      </c>
      <c r="N14" s="105" t="n">
        <f aca="false">IF($B14="","",SUMIFS('الحركات الشهرية'!$F$6:$F$1005,'الحركات الشهرية'!$B$6:$B$1005,$B14,'الحركات الشهرية'!$A$6:$A$1005,$C$3))</f>
        <v>0</v>
      </c>
      <c r="O14" s="86" t="n">
        <f aca="false">IF($B14="","",N14*(الموظفون!$N14+الموظفون!$J14*cfg_OT_P)/cfg_DAYS_M/cfg_HRS)</f>
        <v>0</v>
      </c>
      <c r="P14" s="86" t="n">
        <f aca="false">IF($B14="","",SUMIFS('الحركات الشهرية'!$G$6:$G$1005,'الحركات الشهرية'!$B$6:$B$1005,$B14,'الحركات الشهرية'!$A$6:$A$1005,$C$3))</f>
        <v>0</v>
      </c>
      <c r="Q14" s="86" t="n">
        <f aca="false">IF($B14="","",SUMIFS('الحركات الشهرية'!$H$6:$H$1005,'الحركات الشهرية'!$B$6:$B$1005,$B14,'الحركات الشهرية'!$A$6:$A$1005,$C$3))</f>
        <v>0</v>
      </c>
      <c r="R14" s="106" t="n">
        <f aca="false">IF($B14="","",SUM(J14:M14)+SUM(O14:Q14))</f>
        <v>9075</v>
      </c>
      <c r="S14" s="86" t="n">
        <f aca="false">IF($B14="","",الموظفون!$Q14*IF(E14="سعودي",cfg_G_SE,cfg_G_NE)*F14/cfg_DAYS_M)</f>
        <v>0</v>
      </c>
      <c r="T14" s="86" t="n">
        <f aca="false">IF($B14="","",SUMIFS('الحركات الشهرية'!$I$6:$I$1005,'الحركات الشهرية'!$B$6:$B$1005,$B14,'الحركات الشهرية'!$A$6:$A$1005,$C$3))</f>
        <v>0</v>
      </c>
      <c r="U14" s="86" t="n">
        <f aca="false">IF($B14="","",SUMIFS('الحركات الشهرية'!$J$6:$J$1005,'الحركات الشهرية'!$B$6:$B$1005,$B14,'الحركات الشهرية'!$A$6:$A$1005,$C$3))</f>
        <v>0</v>
      </c>
      <c r="V14" s="86" t="n">
        <f aca="false">IF($B14="","",SUM(S14:U14))</f>
        <v>0</v>
      </c>
      <c r="W14" s="107" t="n">
        <f aca="false">IF($B14="","",R14-V14)</f>
        <v>9075</v>
      </c>
      <c r="X14" s="86" t="n">
        <f aca="false">IF($B14="","",الموظفون!$Q14*IF(E14="سعودي",cfg_G_SR,cfg_G_NR)*F14/cfg_DAYS_M)</f>
        <v>162.5</v>
      </c>
      <c r="Y14" s="86" t="n">
        <f aca="false">IF($B14="","",الموظفون!$O14*(cfg_EOS_R1*(MIN(AC14,cfg_EOS_TH)-MIN(AD14,cfg_EOS_TH))+cfg_EOS_R2*(MAX(AC14-cfg_EOS_TH,0)-MAX(AD14-cfg_EOS_TH,0))))</f>
        <v>721.232876712324</v>
      </c>
      <c r="Z14" s="86" t="n">
        <f aca="false">IF($B14="","",IF(الموظفون!$R14&lt;&gt;"",الموظفون!$R14,IF(AC14&gt;=cfg_LV_TH,cfg_LV_D2,cfg_LV_D1))/cfg_DAYS_Y*AE14*الموظفون!$P14/cfg_DAYS_M)</f>
        <v>721.232876712329</v>
      </c>
      <c r="AA14" s="86" t="n">
        <f aca="false">IF($B14="","",IF(AND(الموظفون!$S14="نعم",N(الموظفون!$U14)&gt;0),الموظفون!$T14/الموظفون!$U14*12/cfg_DAYS_Y*AE14,0))</f>
        <v>90.4109589041096</v>
      </c>
      <c r="AB14" s="108" t="n">
        <f aca="false">IF($B14="","",R14+SUM(X14:AA14))</f>
        <v>10770.3767123288</v>
      </c>
      <c r="AC14" s="109" t="n">
        <f aca="false">IF($B14="","",MAX(0,IF(OR(الموظفون!$X14="",الموظفون!$X14&gt;$G$3),$G$3,الموظفون!$X14)-الموظفون!$H14+1)/cfg_DAYS_Y)</f>
        <v>12.1287671232877</v>
      </c>
      <c r="AD14" s="109" t="n">
        <f aca="false">IF($B14="","",MAX(0,IF(OR(الموظفون!$X14="",الموظفون!$X14&gt;($E$3-1)),($E$3-1),الموظفون!$X14)-الموظفون!$H14+1)/cfg_DAYS_Y)</f>
        <v>12.0465753424658</v>
      </c>
      <c r="AE14" s="51" t="n">
        <f aca="false">IF($B14="","",MAX(0,IF(OR(الموظفون!$X14="",الموظفون!$X14&gt;$G$3),$G$3,الموظفون!$X14)-MAX($E$3,الموظفون!$H14)+1))</f>
        <v>30</v>
      </c>
    </row>
    <row r="15" customFormat="false" ht="15" hidden="false" customHeight="false" outlineLevel="0" collapsed="false">
      <c r="A15" s="89" t="n">
        <f aca="false">IF($B15="","",الموظفون!$A15)</f>
        <v>10</v>
      </c>
      <c r="B15" s="91" t="str">
        <f aca="false">IF(الموظفون!$B15="","",الموظفون!$B15)</f>
        <v>E010</v>
      </c>
      <c r="C15" s="91" t="str">
        <f aca="false">IF($B15="","",الموظفون!$C15)</f>
        <v>ريم سلطان المطيري</v>
      </c>
      <c r="D15" s="91" t="str">
        <f aca="false">IF($B15="","",الموظفون!$F15)</f>
        <v>المبيعات</v>
      </c>
      <c r="E15" s="91" t="str">
        <f aca="false">IF($B15="","",الموظفون!$E15)</f>
        <v>سعودي</v>
      </c>
      <c r="F15" s="110" t="n">
        <f aca="false">IF($B15="","",IF(AE15&gt;=DAY($G$3),cfg_DAYS_M,MIN(AE15,cfg_DAYS_M)))</f>
        <v>30</v>
      </c>
      <c r="G15" s="110" t="n">
        <f aca="false">IF($B15="","",SUMIFS('الحركات الشهرية'!$D$6:$D$1005,'الحركات الشهرية'!$B$6:$B$1005,$B15,'الحركات الشهرية'!$A$6:$A$1005,$C$3))</f>
        <v>0</v>
      </c>
      <c r="H15" s="110" t="n">
        <f aca="false">IF($B15="","",SUMIFS('الحركات الشهرية'!$E$6:$E$1005,'الحركات الشهرية'!$B$6:$B$1005,$B15,'الحركات الشهرية'!$A$6:$A$1005,$C$3))</f>
        <v>0</v>
      </c>
      <c r="I15" s="110" t="n">
        <f aca="false">IF($B15="","",MAX(0,F15-G15-H15))</f>
        <v>30</v>
      </c>
      <c r="J15" s="90" t="n">
        <f aca="false">IF($B15="","",الموظفون!$J15*$I15/cfg_DAYS_M)</f>
        <v>9000</v>
      </c>
      <c r="K15" s="90" t="n">
        <f aca="false">IF($B15="","",الموظفون!$K15*$I15/cfg_DAYS_M)</f>
        <v>2250</v>
      </c>
      <c r="L15" s="90" t="n">
        <f aca="false">IF($B15="","",الموظفون!$L15*$I15/cfg_DAYS_M)</f>
        <v>900</v>
      </c>
      <c r="M15" s="90" t="n">
        <f aca="false">IF($B15="","",الموظفون!$M15*$I15/cfg_DAYS_M)</f>
        <v>0</v>
      </c>
      <c r="N15" s="110" t="n">
        <f aca="false">IF($B15="","",SUMIFS('الحركات الشهرية'!$F$6:$F$1005,'الحركات الشهرية'!$B$6:$B$1005,$B15,'الحركات الشهرية'!$A$6:$A$1005,$C$3))</f>
        <v>6</v>
      </c>
      <c r="O15" s="90" t="n">
        <f aca="false">IF($B15="","",N15*(الموظفون!$N15+الموظفون!$J15*cfg_OT_P)/cfg_DAYS_M/cfg_HRS)</f>
        <v>416.25</v>
      </c>
      <c r="P15" s="90" t="n">
        <f aca="false">IF($B15="","",SUMIFS('الحركات الشهرية'!$G$6:$G$1005,'الحركات الشهرية'!$B$6:$B$1005,$B15,'الحركات الشهرية'!$A$6:$A$1005,$C$3))</f>
        <v>0</v>
      </c>
      <c r="Q15" s="90" t="n">
        <f aca="false">IF($B15="","",SUMIFS('الحركات الشهرية'!$H$6:$H$1005,'الحركات الشهرية'!$B$6:$B$1005,$B15,'الحركات الشهرية'!$A$6:$A$1005,$C$3))</f>
        <v>1500</v>
      </c>
      <c r="R15" s="111" t="n">
        <f aca="false">IF($B15="","",SUM(J15:M15)+SUM(O15:Q15))</f>
        <v>14066.25</v>
      </c>
      <c r="S15" s="90" t="n">
        <f aca="false">IF($B15="","",الموظفون!$Q15*IF(E15="سعودي",cfg_G_SE,cfg_G_NE)*F15/cfg_DAYS_M)</f>
        <v>1096.875</v>
      </c>
      <c r="T15" s="90" t="n">
        <f aca="false">IF($B15="","",SUMIFS('الحركات الشهرية'!$I$6:$I$1005,'الحركات الشهرية'!$B$6:$B$1005,$B15,'الحركات الشهرية'!$A$6:$A$1005,$C$3))</f>
        <v>0</v>
      </c>
      <c r="U15" s="90" t="n">
        <f aca="false">IF($B15="","",SUMIFS('الحركات الشهرية'!$J$6:$J$1005,'الحركات الشهرية'!$B$6:$B$1005,$B15,'الحركات الشهرية'!$A$6:$A$1005,$C$3))</f>
        <v>0</v>
      </c>
      <c r="V15" s="90" t="n">
        <f aca="false">IF($B15="","",SUM(S15:U15))</f>
        <v>1096.875</v>
      </c>
      <c r="W15" s="112" t="n">
        <f aca="false">IF($B15="","",R15-V15)</f>
        <v>12969.375</v>
      </c>
      <c r="X15" s="90" t="n">
        <f aca="false">IF($B15="","",الموظفون!$Q15*IF(E15="سعودي",cfg_G_SR,cfg_G_NR)*F15/cfg_DAYS_M)</f>
        <v>1321.875</v>
      </c>
      <c r="Y15" s="90" t="n">
        <f aca="false">IF($B15="","",الموظفون!$O15*(cfg_EOS_R1*(MIN(AC15,cfg_EOS_TH)-MIN(AD15,cfg_EOS_TH))+cfg_EOS_R2*(MAX(AC15-cfg_EOS_TH,0)-MAX(AD15-cfg_EOS_TH,0))))</f>
        <v>499.315068493151</v>
      </c>
      <c r="Z15" s="90" t="n">
        <f aca="false">IF($B15="","",IF(الموظفون!$R15&lt;&gt;"",الموظفون!$R15,IF(AC15&gt;=cfg_LV_TH,cfg_LV_D2,cfg_LV_D1))/cfg_DAYS_Y*AE15*الموظفون!$P15/cfg_DAYS_M)</f>
        <v>699.041095890411</v>
      </c>
      <c r="AA15" s="90" t="n">
        <f aca="false">IF($B15="","",IF(AND(الموظفون!$S15="نعم",N(الموظفون!$U15)&gt;0),الموظفون!$T15/الموظفون!$U15*12/cfg_DAYS_Y*AE15,0))</f>
        <v>0</v>
      </c>
      <c r="AB15" s="113" t="n">
        <f aca="false">IF($B15="","",R15+SUM(X15:AA15))</f>
        <v>16586.4811643836</v>
      </c>
      <c r="AC15" s="114" t="n">
        <f aca="false">IF($B15="","",MAX(0,IF(OR(الموظفون!$X15="",الموظفون!$X15&gt;$G$3),$G$3,الموظفون!$X15)-الموظفون!$H15+1)/cfg_DAYS_Y)</f>
        <v>0.463013698630137</v>
      </c>
      <c r="AD15" s="114" t="n">
        <f aca="false">IF($B15="","",MAX(0,IF(OR(الموظفون!$X15="",الموظفون!$X15&gt;($E$3-1)),($E$3-1),الموظفون!$X15)-الموظفون!$H15+1)/cfg_DAYS_Y)</f>
        <v>0.380821917808219</v>
      </c>
      <c r="AE15" s="115" t="n">
        <f aca="false">IF($B15="","",MAX(0,IF(OR(الموظفون!$X15="",الموظفون!$X15&gt;$G$3),$G$3,الموظفون!$X15)-MAX($E$3,الموظفون!$H15)+1))</f>
        <v>30</v>
      </c>
    </row>
    <row r="16" customFormat="false" ht="15" hidden="false" customHeight="false" outlineLevel="0" collapsed="false">
      <c r="A16" s="83" t="n">
        <f aca="false">IF($B16="","",الموظفون!$A16)</f>
        <v>11</v>
      </c>
      <c r="B16" s="74" t="str">
        <f aca="false">IF(الموظفون!$B16="","",الموظفون!$B16)</f>
        <v>E011</v>
      </c>
      <c r="C16" s="74" t="str">
        <f aca="false">IF($B16="","",الموظفون!$C16)</f>
        <v>جون ماتيو</v>
      </c>
      <c r="D16" s="74" t="str">
        <f aca="false">IF($B16="","",الموظفون!$F16)</f>
        <v>العمليات</v>
      </c>
      <c r="E16" s="74" t="str">
        <f aca="false">IF($B16="","",الموظفون!$E16)</f>
        <v>غير سعودي</v>
      </c>
      <c r="F16" s="105" t="n">
        <f aca="false">IF($B16="","",IF(AE16&gt;=DAY($G$3),cfg_DAYS_M,MIN(AE16,cfg_DAYS_M)))</f>
        <v>0</v>
      </c>
      <c r="G16" s="105" t="n">
        <f aca="false">IF($B16="","",SUMIFS('الحركات الشهرية'!$D$6:$D$1005,'الحركات الشهرية'!$B$6:$B$1005,$B16,'الحركات الشهرية'!$A$6:$A$1005,$C$3))</f>
        <v>0</v>
      </c>
      <c r="H16" s="105" t="n">
        <f aca="false">IF($B16="","",SUMIFS('الحركات الشهرية'!$E$6:$E$1005,'الحركات الشهرية'!$B$6:$B$1005,$B16,'الحركات الشهرية'!$A$6:$A$1005,$C$3))</f>
        <v>0</v>
      </c>
      <c r="I16" s="105" t="n">
        <f aca="false">IF($B16="","",MAX(0,F16-G16-H16))</f>
        <v>0</v>
      </c>
      <c r="J16" s="86" t="n">
        <f aca="false">IF($B16="","",الموظفون!$J16*$I16/cfg_DAYS_M)</f>
        <v>0</v>
      </c>
      <c r="K16" s="86" t="n">
        <f aca="false">IF($B16="","",الموظفون!$K16*$I16/cfg_DAYS_M)</f>
        <v>0</v>
      </c>
      <c r="L16" s="86" t="n">
        <f aca="false">IF($B16="","",الموظفون!$L16*$I16/cfg_DAYS_M)</f>
        <v>0</v>
      </c>
      <c r="M16" s="86" t="n">
        <f aca="false">IF($B16="","",الموظفون!$M16*$I16/cfg_DAYS_M)</f>
        <v>0</v>
      </c>
      <c r="N16" s="105" t="n">
        <f aca="false">IF($B16="","",SUMIFS('الحركات الشهرية'!$F$6:$F$1005,'الحركات الشهرية'!$B$6:$B$1005,$B16,'الحركات الشهرية'!$A$6:$A$1005,$C$3))</f>
        <v>0</v>
      </c>
      <c r="O16" s="86" t="n">
        <f aca="false">IF($B16="","",N16*(الموظفون!$N16+الموظفون!$J16*cfg_OT_P)/cfg_DAYS_M/cfg_HRS)</f>
        <v>0</v>
      </c>
      <c r="P16" s="86" t="n">
        <f aca="false">IF($B16="","",SUMIFS('الحركات الشهرية'!$G$6:$G$1005,'الحركات الشهرية'!$B$6:$B$1005,$B16,'الحركات الشهرية'!$A$6:$A$1005,$C$3))</f>
        <v>0</v>
      </c>
      <c r="Q16" s="86" t="n">
        <f aca="false">IF($B16="","",SUMIFS('الحركات الشهرية'!$H$6:$H$1005,'الحركات الشهرية'!$B$6:$B$1005,$B16,'الحركات الشهرية'!$A$6:$A$1005,$C$3))</f>
        <v>0</v>
      </c>
      <c r="R16" s="106" t="n">
        <f aca="false">IF($B16="","",SUM(J16:M16)+SUM(O16:Q16))</f>
        <v>0</v>
      </c>
      <c r="S16" s="86" t="n">
        <f aca="false">IF($B16="","",الموظفون!$Q16*IF(E16="سعودي",cfg_G_SE,cfg_G_NE)*F16/cfg_DAYS_M)</f>
        <v>0</v>
      </c>
      <c r="T16" s="86" t="n">
        <f aca="false">IF($B16="","",SUMIFS('الحركات الشهرية'!$I$6:$I$1005,'الحركات الشهرية'!$B$6:$B$1005,$B16,'الحركات الشهرية'!$A$6:$A$1005,$C$3))</f>
        <v>0</v>
      </c>
      <c r="U16" s="86" t="n">
        <f aca="false">IF($B16="","",SUMIFS('الحركات الشهرية'!$J$6:$J$1005,'الحركات الشهرية'!$B$6:$B$1005,$B16,'الحركات الشهرية'!$A$6:$A$1005,$C$3))</f>
        <v>0</v>
      </c>
      <c r="V16" s="86" t="n">
        <f aca="false">IF($B16="","",SUM(S16:U16))</f>
        <v>0</v>
      </c>
      <c r="W16" s="107" t="n">
        <f aca="false">IF($B16="","",R16-V16)</f>
        <v>0</v>
      </c>
      <c r="X16" s="86" t="n">
        <f aca="false">IF($B16="","",الموظفون!$Q16*IF(E16="سعودي",cfg_G_SR,cfg_G_NR)*F16/cfg_DAYS_M)</f>
        <v>0</v>
      </c>
      <c r="Y16" s="86" t="n">
        <f aca="false">IF($B16="","",الموظفون!$O16*(cfg_EOS_R1*(MIN(AC16,cfg_EOS_TH)-MIN(AD16,cfg_EOS_TH))+cfg_EOS_R2*(MAX(AC16-cfg_EOS_TH,0)-MAX(AD16-cfg_EOS_TH,0))))</f>
        <v>0</v>
      </c>
      <c r="Z16" s="86" t="n">
        <f aca="false">IF($B16="","",IF(الموظفون!$R16&lt;&gt;"",الموظفون!$R16,IF(AC16&gt;=cfg_LV_TH,cfg_LV_D2,cfg_LV_D1))/cfg_DAYS_Y*AE16*الموظفون!$P16/cfg_DAYS_M)</f>
        <v>0</v>
      </c>
      <c r="AA16" s="86" t="n">
        <f aca="false">IF($B16="","",IF(AND(الموظفون!$S16="نعم",N(الموظفون!$U16)&gt;0),الموظفون!$T16/الموظفون!$U16*12/cfg_DAYS_Y*AE16,0))</f>
        <v>0</v>
      </c>
      <c r="AB16" s="108" t="n">
        <f aca="false">IF($B16="","",R16+SUM(X16:AA16))</f>
        <v>0</v>
      </c>
      <c r="AC16" s="109" t="n">
        <f aca="false">IF($B16="","",MAX(0,IF(OR(الموظفون!$X16="",الموظفون!$X16&gt;$G$3),$G$3,الموظفون!$X16)-الموظفون!$H16+1)/cfg_DAYS_Y)</f>
        <v>7.33972602739726</v>
      </c>
      <c r="AD16" s="109" t="n">
        <f aca="false">IF($B16="","",MAX(0,IF(OR(الموظفون!$X16="",الموظفون!$X16&gt;($E$3-1)),($E$3-1),الموظفون!$X16)-الموظفون!$H16+1)/cfg_DAYS_Y)</f>
        <v>7.33972602739726</v>
      </c>
      <c r="AE16" s="51" t="n">
        <f aca="false">IF($B16="","",MAX(0,IF(OR(الموظفون!$X16="",الموظفون!$X16&gt;$G$3),$G$3,الموظفون!$X16)-MAX($E$3,الموظفون!$H16)+1))</f>
        <v>0</v>
      </c>
    </row>
    <row r="17" customFormat="false" ht="15" hidden="false" customHeight="false" outlineLevel="0" collapsed="false">
      <c r="A17" s="89" t="n">
        <f aca="false">IF($B17="","",الموظفون!$A17)</f>
        <v>12</v>
      </c>
      <c r="B17" s="91" t="str">
        <f aca="false">IF(الموظفون!$B17="","",الموظفون!$B17)</f>
        <v>E012</v>
      </c>
      <c r="C17" s="91" t="str">
        <f aca="false">IF($B17="","",الموظفون!$C17)</f>
        <v>عمر حسين البيشي</v>
      </c>
      <c r="D17" s="91" t="str">
        <f aca="false">IF($B17="","",الموظفون!$F17)</f>
        <v>تقنية المعلومات</v>
      </c>
      <c r="E17" s="91" t="str">
        <f aca="false">IF($B17="","",الموظفون!$E17)</f>
        <v>سعودي</v>
      </c>
      <c r="F17" s="110" t="n">
        <f aca="false">IF($B17="","",IF(AE17&gt;=DAY($G$3),cfg_DAYS_M,MIN(AE17,cfg_DAYS_M)))</f>
        <v>30</v>
      </c>
      <c r="G17" s="110" t="n">
        <f aca="false">IF($B17="","",SUMIFS('الحركات الشهرية'!$D$6:$D$1005,'الحركات الشهرية'!$B$6:$B$1005,$B17,'الحركات الشهرية'!$A$6:$A$1005,$C$3))</f>
        <v>0</v>
      </c>
      <c r="H17" s="110" t="n">
        <f aca="false">IF($B17="","",SUMIFS('الحركات الشهرية'!$E$6:$E$1005,'الحركات الشهرية'!$B$6:$B$1005,$B17,'الحركات الشهرية'!$A$6:$A$1005,$C$3))</f>
        <v>0</v>
      </c>
      <c r="I17" s="110" t="n">
        <f aca="false">IF($B17="","",MAX(0,F17-G17-H17))</f>
        <v>30</v>
      </c>
      <c r="J17" s="90" t="n">
        <f aca="false">IF($B17="","",الموظفون!$J17*$I17/cfg_DAYS_M)</f>
        <v>12000</v>
      </c>
      <c r="K17" s="90" t="n">
        <f aca="false">IF($B17="","",الموظفون!$K17*$I17/cfg_DAYS_M)</f>
        <v>3000</v>
      </c>
      <c r="L17" s="90" t="n">
        <f aca="false">IF($B17="","",الموظفون!$L17*$I17/cfg_DAYS_M)</f>
        <v>1200</v>
      </c>
      <c r="M17" s="90" t="n">
        <f aca="false">IF($B17="","",الموظفون!$M17*$I17/cfg_DAYS_M)</f>
        <v>1500</v>
      </c>
      <c r="N17" s="110" t="n">
        <f aca="false">IF($B17="","",SUMIFS('الحركات الشهرية'!$F$6:$F$1005,'الحركات الشهرية'!$B$6:$B$1005,$B17,'الحركات الشهرية'!$A$6:$A$1005,$C$3))</f>
        <v>0</v>
      </c>
      <c r="O17" s="90" t="n">
        <f aca="false">IF($B17="","",N17*(الموظفون!$N17+الموظفون!$J17*cfg_OT_P)/cfg_DAYS_M/cfg_HRS)</f>
        <v>0</v>
      </c>
      <c r="P17" s="90" t="n">
        <f aca="false">IF($B17="","",SUMIFS('الحركات الشهرية'!$G$6:$G$1005,'الحركات الشهرية'!$B$6:$B$1005,$B17,'الحركات الشهرية'!$A$6:$A$1005,$C$3))</f>
        <v>0</v>
      </c>
      <c r="Q17" s="90" t="n">
        <f aca="false">IF($B17="","",SUMIFS('الحركات الشهرية'!$H$6:$H$1005,'الحركات الشهرية'!$B$6:$B$1005,$B17,'الحركات الشهرية'!$A$6:$A$1005,$C$3))</f>
        <v>0</v>
      </c>
      <c r="R17" s="111" t="n">
        <f aca="false">IF($B17="","",SUM(J17:M17)+SUM(O17:Q17))</f>
        <v>17700</v>
      </c>
      <c r="S17" s="90" t="n">
        <f aca="false">IF($B17="","",الموظفون!$Q17*IF(E17="سعودي",cfg_G_SE,cfg_G_NE)*F17/cfg_DAYS_M)</f>
        <v>1462.5</v>
      </c>
      <c r="T17" s="90" t="n">
        <f aca="false">IF($B17="","",SUMIFS('الحركات الشهرية'!$I$6:$I$1005,'الحركات الشهرية'!$B$6:$B$1005,$B17,'الحركات الشهرية'!$A$6:$A$1005,$C$3))</f>
        <v>0</v>
      </c>
      <c r="U17" s="90" t="n">
        <f aca="false">IF($B17="","",SUMIFS('الحركات الشهرية'!$J$6:$J$1005,'الحركات الشهرية'!$B$6:$B$1005,$B17,'الحركات الشهرية'!$A$6:$A$1005,$C$3))</f>
        <v>0</v>
      </c>
      <c r="V17" s="90" t="n">
        <f aca="false">IF($B17="","",SUM(S17:U17))</f>
        <v>1462.5</v>
      </c>
      <c r="W17" s="112" t="n">
        <f aca="false">IF($B17="","",R17-V17)</f>
        <v>16237.5</v>
      </c>
      <c r="X17" s="90" t="n">
        <f aca="false">IF($B17="","",الموظفون!$Q17*IF(E17="سعودي",cfg_G_SR,cfg_G_NR)*F17/cfg_DAYS_M)</f>
        <v>1762.5</v>
      </c>
      <c r="Y17" s="90" t="n">
        <f aca="false">IF($B17="","",الموظفون!$O17*(cfg_EOS_R1*(MIN(AC17,cfg_EOS_TH)-MIN(AD17,cfg_EOS_TH))+cfg_EOS_R2*(MAX(AC17-cfg_EOS_TH,0)-MAX(AD17-cfg_EOS_TH,0))))</f>
        <v>665.753424657537</v>
      </c>
      <c r="Z17" s="90" t="n">
        <f aca="false">IF($B17="","",IF(الموظفون!$R17&lt;&gt;"",الموظفون!$R17,IF(AC17&gt;=cfg_LV_TH,cfg_LV_D2,cfg_LV_D1))/cfg_DAYS_Y*AE17*الموظفون!$P17/cfg_DAYS_M)</f>
        <v>932.054794520548</v>
      </c>
      <c r="AA17" s="90" t="n">
        <f aca="false">IF($B17="","",IF(AND(الموظفون!$S17="نعم",N(الموظفون!$U17)&gt;0),الموظفون!$T17/الموظفون!$U17*12/cfg_DAYS_Y*AE17,0))</f>
        <v>0</v>
      </c>
      <c r="AB17" s="113" t="n">
        <f aca="false">IF($B17="","",R17+SUM(X17:AA17))</f>
        <v>21060.3082191781</v>
      </c>
      <c r="AC17" s="114" t="n">
        <f aca="false">IF($B17="","",MAX(0,IF(OR(الموظفون!$X17="",الموظفون!$X17&gt;$G$3),$G$3,الموظفون!$X17)-الموظفون!$H17+1)/cfg_DAYS_Y)</f>
        <v>4.23013698630137</v>
      </c>
      <c r="AD17" s="114" t="n">
        <f aca="false">IF($B17="","",MAX(0,IF(OR(الموظفون!$X17="",الموظفون!$X17&gt;($E$3-1)),($E$3-1),الموظفون!$X17)-الموظفون!$H17+1)/cfg_DAYS_Y)</f>
        <v>4.14794520547945</v>
      </c>
      <c r="AE17" s="115" t="n">
        <f aca="false">IF($B17="","",MAX(0,IF(OR(الموظفون!$X17="",الموظفون!$X17&gt;$G$3),$G$3,الموظفون!$X17)-MAX($E$3,الموظفون!$H17)+1))</f>
        <v>30</v>
      </c>
    </row>
    <row r="18" customFormat="false" ht="15" hidden="false" customHeight="false" outlineLevel="0" collapsed="false">
      <c r="A18" s="83" t="str">
        <f aca="false">IF($B18="","",الموظفون!$A18)</f>
        <v/>
      </c>
      <c r="B18" s="74" t="str">
        <f aca="false">IF(الموظفون!$B18="","",الموظفون!$B18)</f>
        <v/>
      </c>
      <c r="C18" s="74" t="str">
        <f aca="false">IF($B18="","",الموظفون!$C18)</f>
        <v/>
      </c>
      <c r="D18" s="74" t="str">
        <f aca="false">IF($B18="","",الموظفون!$F18)</f>
        <v/>
      </c>
      <c r="E18" s="74" t="str">
        <f aca="false">IF($B18="","",الموظفون!$E18)</f>
        <v/>
      </c>
      <c r="F18" s="105" t="str">
        <f aca="false">IF($B18="","",IF(AE18&gt;=DAY($G$3),cfg_DAYS_M,MIN(AE18,cfg_DAYS_M)))</f>
        <v/>
      </c>
      <c r="G18" s="105" t="str">
        <f aca="false">IF($B18="","",SUMIFS('الحركات الشهرية'!$D$6:$D$1005,'الحركات الشهرية'!$B$6:$B$1005,$B18,'الحركات الشهرية'!$A$6:$A$1005,$C$3))</f>
        <v/>
      </c>
      <c r="H18" s="105" t="str">
        <f aca="false">IF($B18="","",SUMIFS('الحركات الشهرية'!$E$6:$E$1005,'الحركات الشهرية'!$B$6:$B$1005,$B18,'الحركات الشهرية'!$A$6:$A$1005,$C$3))</f>
        <v/>
      </c>
      <c r="I18" s="105" t="str">
        <f aca="false">IF($B18="","",MAX(0,F18-G18-H18))</f>
        <v/>
      </c>
      <c r="J18" s="86" t="str">
        <f aca="false">IF($B18="","",الموظفون!$J18*$I18/cfg_DAYS_M)</f>
        <v/>
      </c>
      <c r="K18" s="86" t="str">
        <f aca="false">IF($B18="","",الموظفون!$K18*$I18/cfg_DAYS_M)</f>
        <v/>
      </c>
      <c r="L18" s="86" t="str">
        <f aca="false">IF($B18="","",الموظفون!$L18*$I18/cfg_DAYS_M)</f>
        <v/>
      </c>
      <c r="M18" s="86" t="str">
        <f aca="false">IF($B18="","",الموظفون!$M18*$I18/cfg_DAYS_M)</f>
        <v/>
      </c>
      <c r="N18" s="105" t="str">
        <f aca="false">IF($B18="","",SUMIFS('الحركات الشهرية'!$F$6:$F$1005,'الحركات الشهرية'!$B$6:$B$1005,$B18,'الحركات الشهرية'!$A$6:$A$1005,$C$3))</f>
        <v/>
      </c>
      <c r="O18" s="86" t="str">
        <f aca="false">IF($B18="","",N18*(الموظفون!$N18+الموظفون!$J18*cfg_OT_P)/cfg_DAYS_M/cfg_HRS)</f>
        <v/>
      </c>
      <c r="P18" s="86" t="str">
        <f aca="false">IF($B18="","",SUMIFS('الحركات الشهرية'!$G$6:$G$1005,'الحركات الشهرية'!$B$6:$B$1005,$B18,'الحركات الشهرية'!$A$6:$A$1005,$C$3))</f>
        <v/>
      </c>
      <c r="Q18" s="86" t="str">
        <f aca="false">IF($B18="","",SUMIFS('الحركات الشهرية'!$H$6:$H$1005,'الحركات الشهرية'!$B$6:$B$1005,$B18,'الحركات الشهرية'!$A$6:$A$1005,$C$3))</f>
        <v/>
      </c>
      <c r="R18" s="106" t="str">
        <f aca="false">IF($B18="","",SUM(J18:M18)+SUM(O18:Q18))</f>
        <v/>
      </c>
      <c r="S18" s="86" t="str">
        <f aca="false">IF($B18="","",الموظفون!$Q18*IF(E18="سعودي",cfg_G_SE,cfg_G_NE)*F18/cfg_DAYS_M)</f>
        <v/>
      </c>
      <c r="T18" s="86" t="str">
        <f aca="false">IF($B18="","",SUMIFS('الحركات الشهرية'!$I$6:$I$1005,'الحركات الشهرية'!$B$6:$B$1005,$B18,'الحركات الشهرية'!$A$6:$A$1005,$C$3))</f>
        <v/>
      </c>
      <c r="U18" s="86" t="str">
        <f aca="false">IF($B18="","",SUMIFS('الحركات الشهرية'!$J$6:$J$1005,'الحركات الشهرية'!$B$6:$B$1005,$B18,'الحركات الشهرية'!$A$6:$A$1005,$C$3))</f>
        <v/>
      </c>
      <c r="V18" s="86" t="str">
        <f aca="false">IF($B18="","",SUM(S18:U18))</f>
        <v/>
      </c>
      <c r="W18" s="107" t="str">
        <f aca="false">IF($B18="","",R18-V18)</f>
        <v/>
      </c>
      <c r="X18" s="86" t="str">
        <f aca="false">IF($B18="","",الموظفون!$Q18*IF(E18="سعودي",cfg_G_SR,cfg_G_NR)*F18/cfg_DAYS_M)</f>
        <v/>
      </c>
      <c r="Y18" s="86" t="str">
        <f aca="false">IF($B18="","",الموظفون!$O18*(cfg_EOS_R1*(MIN(AC18,cfg_EOS_TH)-MIN(AD18,cfg_EOS_TH))+cfg_EOS_R2*(MAX(AC18-cfg_EOS_TH,0)-MAX(AD18-cfg_EOS_TH,0))))</f>
        <v/>
      </c>
      <c r="Z18" s="86" t="str">
        <f aca="false">IF($B18="","",IF(الموظفون!$R18&lt;&gt;"",الموظفون!$R18,IF(AC18&gt;=cfg_LV_TH,cfg_LV_D2,cfg_LV_D1))/cfg_DAYS_Y*AE18*الموظفون!$P18/cfg_DAYS_M)</f>
        <v/>
      </c>
      <c r="AA18" s="86" t="str">
        <f aca="false">IF($B18="","",IF(AND(الموظفون!$S18="نعم",N(الموظفون!$U18)&gt;0),الموظفون!$T18/الموظفون!$U18*12/cfg_DAYS_Y*AE18,0))</f>
        <v/>
      </c>
      <c r="AB18" s="108" t="str">
        <f aca="false">IF($B18="","",R18+SUM(X18:AA18))</f>
        <v/>
      </c>
      <c r="AC18" s="109" t="str">
        <f aca="false">IF($B18="","",MAX(0,IF(OR(الموظفون!$X18="",الموظفون!$X18&gt;$G$3),$G$3,الموظفون!$X18)-الموظفون!$H18+1)/cfg_DAYS_Y)</f>
        <v/>
      </c>
      <c r="AD18" s="109" t="str">
        <f aca="false">IF($B18="","",MAX(0,IF(OR(الموظفون!$X18="",الموظفون!$X18&gt;($E$3-1)),($E$3-1),الموظفون!$X18)-الموظفون!$H18+1)/cfg_DAYS_Y)</f>
        <v/>
      </c>
      <c r="AE18" s="51" t="str">
        <f aca="false">IF($B18="","",MAX(0,IF(OR(الموظفون!$X18="",الموظفون!$X18&gt;$G$3),$G$3,الموظفون!$X18)-MAX($E$3,الموظفون!$H18)+1))</f>
        <v/>
      </c>
    </row>
    <row r="19" customFormat="false" ht="15" hidden="false" customHeight="false" outlineLevel="0" collapsed="false">
      <c r="A19" s="89" t="str">
        <f aca="false">IF($B19="","",الموظفون!$A19)</f>
        <v/>
      </c>
      <c r="B19" s="91" t="str">
        <f aca="false">IF(الموظفون!$B19="","",الموظفون!$B19)</f>
        <v/>
      </c>
      <c r="C19" s="91" t="str">
        <f aca="false">IF($B19="","",الموظفون!$C19)</f>
        <v/>
      </c>
      <c r="D19" s="91" t="str">
        <f aca="false">IF($B19="","",الموظفون!$F19)</f>
        <v/>
      </c>
      <c r="E19" s="91" t="str">
        <f aca="false">IF($B19="","",الموظفون!$E19)</f>
        <v/>
      </c>
      <c r="F19" s="110" t="str">
        <f aca="false">IF($B19="","",IF(AE19&gt;=DAY($G$3),cfg_DAYS_M,MIN(AE19,cfg_DAYS_M)))</f>
        <v/>
      </c>
      <c r="G19" s="110" t="str">
        <f aca="false">IF($B19="","",SUMIFS('الحركات الشهرية'!$D$6:$D$1005,'الحركات الشهرية'!$B$6:$B$1005,$B19,'الحركات الشهرية'!$A$6:$A$1005,$C$3))</f>
        <v/>
      </c>
      <c r="H19" s="110" t="str">
        <f aca="false">IF($B19="","",SUMIFS('الحركات الشهرية'!$E$6:$E$1005,'الحركات الشهرية'!$B$6:$B$1005,$B19,'الحركات الشهرية'!$A$6:$A$1005,$C$3))</f>
        <v/>
      </c>
      <c r="I19" s="110" t="str">
        <f aca="false">IF($B19="","",MAX(0,F19-G19-H19))</f>
        <v/>
      </c>
      <c r="J19" s="90" t="str">
        <f aca="false">IF($B19="","",الموظفون!$J19*$I19/cfg_DAYS_M)</f>
        <v/>
      </c>
      <c r="K19" s="90" t="str">
        <f aca="false">IF($B19="","",الموظفون!$K19*$I19/cfg_DAYS_M)</f>
        <v/>
      </c>
      <c r="L19" s="90" t="str">
        <f aca="false">IF($B19="","",الموظفون!$L19*$I19/cfg_DAYS_M)</f>
        <v/>
      </c>
      <c r="M19" s="90" t="str">
        <f aca="false">IF($B19="","",الموظفون!$M19*$I19/cfg_DAYS_M)</f>
        <v/>
      </c>
      <c r="N19" s="110" t="str">
        <f aca="false">IF($B19="","",SUMIFS('الحركات الشهرية'!$F$6:$F$1005,'الحركات الشهرية'!$B$6:$B$1005,$B19,'الحركات الشهرية'!$A$6:$A$1005,$C$3))</f>
        <v/>
      </c>
      <c r="O19" s="90" t="str">
        <f aca="false">IF($B19="","",N19*(الموظفون!$N19+الموظفون!$J19*cfg_OT_P)/cfg_DAYS_M/cfg_HRS)</f>
        <v/>
      </c>
      <c r="P19" s="90" t="str">
        <f aca="false">IF($B19="","",SUMIFS('الحركات الشهرية'!$G$6:$G$1005,'الحركات الشهرية'!$B$6:$B$1005,$B19,'الحركات الشهرية'!$A$6:$A$1005,$C$3))</f>
        <v/>
      </c>
      <c r="Q19" s="90" t="str">
        <f aca="false">IF($B19="","",SUMIFS('الحركات الشهرية'!$H$6:$H$1005,'الحركات الشهرية'!$B$6:$B$1005,$B19,'الحركات الشهرية'!$A$6:$A$1005,$C$3))</f>
        <v/>
      </c>
      <c r="R19" s="111" t="str">
        <f aca="false">IF($B19="","",SUM(J19:M19)+SUM(O19:Q19))</f>
        <v/>
      </c>
      <c r="S19" s="90" t="str">
        <f aca="false">IF($B19="","",الموظفون!$Q19*IF(E19="سعودي",cfg_G_SE,cfg_G_NE)*F19/cfg_DAYS_M)</f>
        <v/>
      </c>
      <c r="T19" s="90" t="str">
        <f aca="false">IF($B19="","",SUMIFS('الحركات الشهرية'!$I$6:$I$1005,'الحركات الشهرية'!$B$6:$B$1005,$B19,'الحركات الشهرية'!$A$6:$A$1005,$C$3))</f>
        <v/>
      </c>
      <c r="U19" s="90" t="str">
        <f aca="false">IF($B19="","",SUMIFS('الحركات الشهرية'!$J$6:$J$1005,'الحركات الشهرية'!$B$6:$B$1005,$B19,'الحركات الشهرية'!$A$6:$A$1005,$C$3))</f>
        <v/>
      </c>
      <c r="V19" s="90" t="str">
        <f aca="false">IF($B19="","",SUM(S19:U19))</f>
        <v/>
      </c>
      <c r="W19" s="112" t="str">
        <f aca="false">IF($B19="","",R19-V19)</f>
        <v/>
      </c>
      <c r="X19" s="90" t="str">
        <f aca="false">IF($B19="","",الموظفون!$Q19*IF(E19="سعودي",cfg_G_SR,cfg_G_NR)*F19/cfg_DAYS_M)</f>
        <v/>
      </c>
      <c r="Y19" s="90" t="str">
        <f aca="false">IF($B19="","",الموظفون!$O19*(cfg_EOS_R1*(MIN(AC19,cfg_EOS_TH)-MIN(AD19,cfg_EOS_TH))+cfg_EOS_R2*(MAX(AC19-cfg_EOS_TH,0)-MAX(AD19-cfg_EOS_TH,0))))</f>
        <v/>
      </c>
      <c r="Z19" s="90" t="str">
        <f aca="false">IF($B19="","",IF(الموظفون!$R19&lt;&gt;"",الموظفون!$R19,IF(AC19&gt;=cfg_LV_TH,cfg_LV_D2,cfg_LV_D1))/cfg_DAYS_Y*AE19*الموظفون!$P19/cfg_DAYS_M)</f>
        <v/>
      </c>
      <c r="AA19" s="90" t="str">
        <f aca="false">IF($B19="","",IF(AND(الموظفون!$S19="نعم",N(الموظفون!$U19)&gt;0),الموظفون!$T19/الموظفون!$U19*12/cfg_DAYS_Y*AE19,0))</f>
        <v/>
      </c>
      <c r="AB19" s="113" t="str">
        <f aca="false">IF($B19="","",R19+SUM(X19:AA19))</f>
        <v/>
      </c>
      <c r="AC19" s="114" t="str">
        <f aca="false">IF($B19="","",MAX(0,IF(OR(الموظفون!$X19="",الموظفون!$X19&gt;$G$3),$G$3,الموظفون!$X19)-الموظفون!$H19+1)/cfg_DAYS_Y)</f>
        <v/>
      </c>
      <c r="AD19" s="114" t="str">
        <f aca="false">IF($B19="","",MAX(0,IF(OR(الموظفون!$X19="",الموظفون!$X19&gt;($E$3-1)),($E$3-1),الموظفون!$X19)-الموظفون!$H19+1)/cfg_DAYS_Y)</f>
        <v/>
      </c>
      <c r="AE19" s="115" t="str">
        <f aca="false">IF($B19="","",MAX(0,IF(OR(الموظفون!$X19="",الموظفون!$X19&gt;$G$3),$G$3,الموظفون!$X19)-MAX($E$3,الموظفون!$H19)+1))</f>
        <v/>
      </c>
    </row>
    <row r="20" customFormat="false" ht="15" hidden="false" customHeight="false" outlineLevel="0" collapsed="false">
      <c r="A20" s="83" t="str">
        <f aca="false">IF($B20="","",الموظفون!$A20)</f>
        <v/>
      </c>
      <c r="B20" s="74" t="str">
        <f aca="false">IF(الموظفون!$B20="","",الموظفون!$B20)</f>
        <v/>
      </c>
      <c r="C20" s="74" t="str">
        <f aca="false">IF($B20="","",الموظفون!$C20)</f>
        <v/>
      </c>
      <c r="D20" s="74" t="str">
        <f aca="false">IF($B20="","",الموظفون!$F20)</f>
        <v/>
      </c>
      <c r="E20" s="74" t="str">
        <f aca="false">IF($B20="","",الموظفون!$E20)</f>
        <v/>
      </c>
      <c r="F20" s="105" t="str">
        <f aca="false">IF($B20="","",IF(AE20&gt;=DAY($G$3),cfg_DAYS_M,MIN(AE20,cfg_DAYS_M)))</f>
        <v/>
      </c>
      <c r="G20" s="105" t="str">
        <f aca="false">IF($B20="","",SUMIFS('الحركات الشهرية'!$D$6:$D$1005,'الحركات الشهرية'!$B$6:$B$1005,$B20,'الحركات الشهرية'!$A$6:$A$1005,$C$3))</f>
        <v/>
      </c>
      <c r="H20" s="105" t="str">
        <f aca="false">IF($B20="","",SUMIFS('الحركات الشهرية'!$E$6:$E$1005,'الحركات الشهرية'!$B$6:$B$1005,$B20,'الحركات الشهرية'!$A$6:$A$1005,$C$3))</f>
        <v/>
      </c>
      <c r="I20" s="105" t="str">
        <f aca="false">IF($B20="","",MAX(0,F20-G20-H20))</f>
        <v/>
      </c>
      <c r="J20" s="86" t="str">
        <f aca="false">IF($B20="","",الموظفون!$J20*$I20/cfg_DAYS_M)</f>
        <v/>
      </c>
      <c r="K20" s="86" t="str">
        <f aca="false">IF($B20="","",الموظفون!$K20*$I20/cfg_DAYS_M)</f>
        <v/>
      </c>
      <c r="L20" s="86" t="str">
        <f aca="false">IF($B20="","",الموظفون!$L20*$I20/cfg_DAYS_M)</f>
        <v/>
      </c>
      <c r="M20" s="86" t="str">
        <f aca="false">IF($B20="","",الموظفون!$M20*$I20/cfg_DAYS_M)</f>
        <v/>
      </c>
      <c r="N20" s="105" t="str">
        <f aca="false">IF($B20="","",SUMIFS('الحركات الشهرية'!$F$6:$F$1005,'الحركات الشهرية'!$B$6:$B$1005,$B20,'الحركات الشهرية'!$A$6:$A$1005,$C$3))</f>
        <v/>
      </c>
      <c r="O20" s="86" t="str">
        <f aca="false">IF($B20="","",N20*(الموظفون!$N20+الموظفون!$J20*cfg_OT_P)/cfg_DAYS_M/cfg_HRS)</f>
        <v/>
      </c>
      <c r="P20" s="86" t="str">
        <f aca="false">IF($B20="","",SUMIFS('الحركات الشهرية'!$G$6:$G$1005,'الحركات الشهرية'!$B$6:$B$1005,$B20,'الحركات الشهرية'!$A$6:$A$1005,$C$3))</f>
        <v/>
      </c>
      <c r="Q20" s="86" t="str">
        <f aca="false">IF($B20="","",SUMIFS('الحركات الشهرية'!$H$6:$H$1005,'الحركات الشهرية'!$B$6:$B$1005,$B20,'الحركات الشهرية'!$A$6:$A$1005,$C$3))</f>
        <v/>
      </c>
      <c r="R20" s="106" t="str">
        <f aca="false">IF($B20="","",SUM(J20:M20)+SUM(O20:Q20))</f>
        <v/>
      </c>
      <c r="S20" s="86" t="str">
        <f aca="false">IF($B20="","",الموظفون!$Q20*IF(E20="سعودي",cfg_G_SE,cfg_G_NE)*F20/cfg_DAYS_M)</f>
        <v/>
      </c>
      <c r="T20" s="86" t="str">
        <f aca="false">IF($B20="","",SUMIFS('الحركات الشهرية'!$I$6:$I$1005,'الحركات الشهرية'!$B$6:$B$1005,$B20,'الحركات الشهرية'!$A$6:$A$1005,$C$3))</f>
        <v/>
      </c>
      <c r="U20" s="86" t="str">
        <f aca="false">IF($B20="","",SUMIFS('الحركات الشهرية'!$J$6:$J$1005,'الحركات الشهرية'!$B$6:$B$1005,$B20,'الحركات الشهرية'!$A$6:$A$1005,$C$3))</f>
        <v/>
      </c>
      <c r="V20" s="86" t="str">
        <f aca="false">IF($B20="","",SUM(S20:U20))</f>
        <v/>
      </c>
      <c r="W20" s="107" t="str">
        <f aca="false">IF($B20="","",R20-V20)</f>
        <v/>
      </c>
      <c r="X20" s="86" t="str">
        <f aca="false">IF($B20="","",الموظفون!$Q20*IF(E20="سعودي",cfg_G_SR,cfg_G_NR)*F20/cfg_DAYS_M)</f>
        <v/>
      </c>
      <c r="Y20" s="86" t="str">
        <f aca="false">IF($B20="","",الموظفون!$O20*(cfg_EOS_R1*(MIN(AC20,cfg_EOS_TH)-MIN(AD20,cfg_EOS_TH))+cfg_EOS_R2*(MAX(AC20-cfg_EOS_TH,0)-MAX(AD20-cfg_EOS_TH,0))))</f>
        <v/>
      </c>
      <c r="Z20" s="86" t="str">
        <f aca="false">IF($B20="","",IF(الموظفون!$R20&lt;&gt;"",الموظفون!$R20,IF(AC20&gt;=cfg_LV_TH,cfg_LV_D2,cfg_LV_D1))/cfg_DAYS_Y*AE20*الموظفون!$P20/cfg_DAYS_M)</f>
        <v/>
      </c>
      <c r="AA20" s="86" t="str">
        <f aca="false">IF($B20="","",IF(AND(الموظفون!$S20="نعم",N(الموظفون!$U20)&gt;0),الموظفون!$T20/الموظفون!$U20*12/cfg_DAYS_Y*AE20,0))</f>
        <v/>
      </c>
      <c r="AB20" s="108" t="str">
        <f aca="false">IF($B20="","",R20+SUM(X20:AA20))</f>
        <v/>
      </c>
      <c r="AC20" s="109" t="str">
        <f aca="false">IF($B20="","",MAX(0,IF(OR(الموظفون!$X20="",الموظفون!$X20&gt;$G$3),$G$3,الموظفون!$X20)-الموظفون!$H20+1)/cfg_DAYS_Y)</f>
        <v/>
      </c>
      <c r="AD20" s="109" t="str">
        <f aca="false">IF($B20="","",MAX(0,IF(OR(الموظفون!$X20="",الموظفون!$X20&gt;($E$3-1)),($E$3-1),الموظفون!$X20)-الموظفون!$H20+1)/cfg_DAYS_Y)</f>
        <v/>
      </c>
      <c r="AE20" s="51" t="str">
        <f aca="false">IF($B20="","",MAX(0,IF(OR(الموظفون!$X20="",الموظفون!$X20&gt;$G$3),$G$3,الموظفون!$X20)-MAX($E$3,الموظفون!$H20)+1))</f>
        <v/>
      </c>
    </row>
    <row r="21" customFormat="false" ht="15" hidden="false" customHeight="false" outlineLevel="0" collapsed="false">
      <c r="A21" s="89" t="str">
        <f aca="false">IF($B21="","",الموظفون!$A21)</f>
        <v/>
      </c>
      <c r="B21" s="91" t="str">
        <f aca="false">IF(الموظفون!$B21="","",الموظفون!$B21)</f>
        <v/>
      </c>
      <c r="C21" s="91" t="str">
        <f aca="false">IF($B21="","",الموظفون!$C21)</f>
        <v/>
      </c>
      <c r="D21" s="91" t="str">
        <f aca="false">IF($B21="","",الموظفون!$F21)</f>
        <v/>
      </c>
      <c r="E21" s="91" t="str">
        <f aca="false">IF($B21="","",الموظفون!$E21)</f>
        <v/>
      </c>
      <c r="F21" s="110" t="str">
        <f aca="false">IF($B21="","",IF(AE21&gt;=DAY($G$3),cfg_DAYS_M,MIN(AE21,cfg_DAYS_M)))</f>
        <v/>
      </c>
      <c r="G21" s="110" t="str">
        <f aca="false">IF($B21="","",SUMIFS('الحركات الشهرية'!$D$6:$D$1005,'الحركات الشهرية'!$B$6:$B$1005,$B21,'الحركات الشهرية'!$A$6:$A$1005,$C$3))</f>
        <v/>
      </c>
      <c r="H21" s="110" t="str">
        <f aca="false">IF($B21="","",SUMIFS('الحركات الشهرية'!$E$6:$E$1005,'الحركات الشهرية'!$B$6:$B$1005,$B21,'الحركات الشهرية'!$A$6:$A$1005,$C$3))</f>
        <v/>
      </c>
      <c r="I21" s="110" t="str">
        <f aca="false">IF($B21="","",MAX(0,F21-G21-H21))</f>
        <v/>
      </c>
      <c r="J21" s="90" t="str">
        <f aca="false">IF($B21="","",الموظفون!$J21*$I21/cfg_DAYS_M)</f>
        <v/>
      </c>
      <c r="K21" s="90" t="str">
        <f aca="false">IF($B21="","",الموظفون!$K21*$I21/cfg_DAYS_M)</f>
        <v/>
      </c>
      <c r="L21" s="90" t="str">
        <f aca="false">IF($B21="","",الموظفون!$L21*$I21/cfg_DAYS_M)</f>
        <v/>
      </c>
      <c r="M21" s="90" t="str">
        <f aca="false">IF($B21="","",الموظفون!$M21*$I21/cfg_DAYS_M)</f>
        <v/>
      </c>
      <c r="N21" s="110" t="str">
        <f aca="false">IF($B21="","",SUMIFS('الحركات الشهرية'!$F$6:$F$1005,'الحركات الشهرية'!$B$6:$B$1005,$B21,'الحركات الشهرية'!$A$6:$A$1005,$C$3))</f>
        <v/>
      </c>
      <c r="O21" s="90" t="str">
        <f aca="false">IF($B21="","",N21*(الموظفون!$N21+الموظفون!$J21*cfg_OT_P)/cfg_DAYS_M/cfg_HRS)</f>
        <v/>
      </c>
      <c r="P21" s="90" t="str">
        <f aca="false">IF($B21="","",SUMIFS('الحركات الشهرية'!$G$6:$G$1005,'الحركات الشهرية'!$B$6:$B$1005,$B21,'الحركات الشهرية'!$A$6:$A$1005,$C$3))</f>
        <v/>
      </c>
      <c r="Q21" s="90" t="str">
        <f aca="false">IF($B21="","",SUMIFS('الحركات الشهرية'!$H$6:$H$1005,'الحركات الشهرية'!$B$6:$B$1005,$B21,'الحركات الشهرية'!$A$6:$A$1005,$C$3))</f>
        <v/>
      </c>
      <c r="R21" s="111" t="str">
        <f aca="false">IF($B21="","",SUM(J21:M21)+SUM(O21:Q21))</f>
        <v/>
      </c>
      <c r="S21" s="90" t="str">
        <f aca="false">IF($B21="","",الموظفون!$Q21*IF(E21="سعودي",cfg_G_SE,cfg_G_NE)*F21/cfg_DAYS_M)</f>
        <v/>
      </c>
      <c r="T21" s="90" t="str">
        <f aca="false">IF($B21="","",SUMIFS('الحركات الشهرية'!$I$6:$I$1005,'الحركات الشهرية'!$B$6:$B$1005,$B21,'الحركات الشهرية'!$A$6:$A$1005,$C$3))</f>
        <v/>
      </c>
      <c r="U21" s="90" t="str">
        <f aca="false">IF($B21="","",SUMIFS('الحركات الشهرية'!$J$6:$J$1005,'الحركات الشهرية'!$B$6:$B$1005,$B21,'الحركات الشهرية'!$A$6:$A$1005,$C$3))</f>
        <v/>
      </c>
      <c r="V21" s="90" t="str">
        <f aca="false">IF($B21="","",SUM(S21:U21))</f>
        <v/>
      </c>
      <c r="W21" s="112" t="str">
        <f aca="false">IF($B21="","",R21-V21)</f>
        <v/>
      </c>
      <c r="X21" s="90" t="str">
        <f aca="false">IF($B21="","",الموظفون!$Q21*IF(E21="سعودي",cfg_G_SR,cfg_G_NR)*F21/cfg_DAYS_M)</f>
        <v/>
      </c>
      <c r="Y21" s="90" t="str">
        <f aca="false">IF($B21="","",الموظفون!$O21*(cfg_EOS_R1*(MIN(AC21,cfg_EOS_TH)-MIN(AD21,cfg_EOS_TH))+cfg_EOS_R2*(MAX(AC21-cfg_EOS_TH,0)-MAX(AD21-cfg_EOS_TH,0))))</f>
        <v/>
      </c>
      <c r="Z21" s="90" t="str">
        <f aca="false">IF($B21="","",IF(الموظفون!$R21&lt;&gt;"",الموظفون!$R21,IF(AC21&gt;=cfg_LV_TH,cfg_LV_D2,cfg_LV_D1))/cfg_DAYS_Y*AE21*الموظفون!$P21/cfg_DAYS_M)</f>
        <v/>
      </c>
      <c r="AA21" s="90" t="str">
        <f aca="false">IF($B21="","",IF(AND(الموظفون!$S21="نعم",N(الموظفون!$U21)&gt;0),الموظفون!$T21/الموظفون!$U21*12/cfg_DAYS_Y*AE21,0))</f>
        <v/>
      </c>
      <c r="AB21" s="113" t="str">
        <f aca="false">IF($B21="","",R21+SUM(X21:AA21))</f>
        <v/>
      </c>
      <c r="AC21" s="114" t="str">
        <f aca="false">IF($B21="","",MAX(0,IF(OR(الموظفون!$X21="",الموظفون!$X21&gt;$G$3),$G$3,الموظفون!$X21)-الموظفون!$H21+1)/cfg_DAYS_Y)</f>
        <v/>
      </c>
      <c r="AD21" s="114" t="str">
        <f aca="false">IF($B21="","",MAX(0,IF(OR(الموظفون!$X21="",الموظفون!$X21&gt;($E$3-1)),($E$3-1),الموظفون!$X21)-الموظفون!$H21+1)/cfg_DAYS_Y)</f>
        <v/>
      </c>
      <c r="AE21" s="115" t="str">
        <f aca="false">IF($B21="","",MAX(0,IF(OR(الموظفون!$X21="",الموظفون!$X21&gt;$G$3),$G$3,الموظفون!$X21)-MAX($E$3,الموظفون!$H21)+1))</f>
        <v/>
      </c>
    </row>
    <row r="22" customFormat="false" ht="15" hidden="false" customHeight="false" outlineLevel="0" collapsed="false">
      <c r="A22" s="83" t="str">
        <f aca="false">IF($B22="","",الموظفون!$A22)</f>
        <v/>
      </c>
      <c r="B22" s="74" t="str">
        <f aca="false">IF(الموظفون!$B22="","",الموظفون!$B22)</f>
        <v/>
      </c>
      <c r="C22" s="74" t="str">
        <f aca="false">IF($B22="","",الموظفون!$C22)</f>
        <v/>
      </c>
      <c r="D22" s="74" t="str">
        <f aca="false">IF($B22="","",الموظفون!$F22)</f>
        <v/>
      </c>
      <c r="E22" s="74" t="str">
        <f aca="false">IF($B22="","",الموظفون!$E22)</f>
        <v/>
      </c>
      <c r="F22" s="105" t="str">
        <f aca="false">IF($B22="","",IF(AE22&gt;=DAY($G$3),cfg_DAYS_M,MIN(AE22,cfg_DAYS_M)))</f>
        <v/>
      </c>
      <c r="G22" s="105" t="str">
        <f aca="false">IF($B22="","",SUMIFS('الحركات الشهرية'!$D$6:$D$1005,'الحركات الشهرية'!$B$6:$B$1005,$B22,'الحركات الشهرية'!$A$6:$A$1005,$C$3))</f>
        <v/>
      </c>
      <c r="H22" s="105" t="str">
        <f aca="false">IF($B22="","",SUMIFS('الحركات الشهرية'!$E$6:$E$1005,'الحركات الشهرية'!$B$6:$B$1005,$B22,'الحركات الشهرية'!$A$6:$A$1005,$C$3))</f>
        <v/>
      </c>
      <c r="I22" s="105" t="str">
        <f aca="false">IF($B22="","",MAX(0,F22-G22-H22))</f>
        <v/>
      </c>
      <c r="J22" s="86" t="str">
        <f aca="false">IF($B22="","",الموظفون!$J22*$I22/cfg_DAYS_M)</f>
        <v/>
      </c>
      <c r="K22" s="86" t="str">
        <f aca="false">IF($B22="","",الموظفون!$K22*$I22/cfg_DAYS_M)</f>
        <v/>
      </c>
      <c r="L22" s="86" t="str">
        <f aca="false">IF($B22="","",الموظفون!$L22*$I22/cfg_DAYS_M)</f>
        <v/>
      </c>
      <c r="M22" s="86" t="str">
        <f aca="false">IF($B22="","",الموظفون!$M22*$I22/cfg_DAYS_M)</f>
        <v/>
      </c>
      <c r="N22" s="105" t="str">
        <f aca="false">IF($B22="","",SUMIFS('الحركات الشهرية'!$F$6:$F$1005,'الحركات الشهرية'!$B$6:$B$1005,$B22,'الحركات الشهرية'!$A$6:$A$1005,$C$3))</f>
        <v/>
      </c>
      <c r="O22" s="86" t="str">
        <f aca="false">IF($B22="","",N22*(الموظفون!$N22+الموظفون!$J22*cfg_OT_P)/cfg_DAYS_M/cfg_HRS)</f>
        <v/>
      </c>
      <c r="P22" s="86" t="str">
        <f aca="false">IF($B22="","",SUMIFS('الحركات الشهرية'!$G$6:$G$1005,'الحركات الشهرية'!$B$6:$B$1005,$B22,'الحركات الشهرية'!$A$6:$A$1005,$C$3))</f>
        <v/>
      </c>
      <c r="Q22" s="86" t="str">
        <f aca="false">IF($B22="","",SUMIFS('الحركات الشهرية'!$H$6:$H$1005,'الحركات الشهرية'!$B$6:$B$1005,$B22,'الحركات الشهرية'!$A$6:$A$1005,$C$3))</f>
        <v/>
      </c>
      <c r="R22" s="106" t="str">
        <f aca="false">IF($B22="","",SUM(J22:M22)+SUM(O22:Q22))</f>
        <v/>
      </c>
      <c r="S22" s="86" t="str">
        <f aca="false">IF($B22="","",الموظفون!$Q22*IF(E22="سعودي",cfg_G_SE,cfg_G_NE)*F22/cfg_DAYS_M)</f>
        <v/>
      </c>
      <c r="T22" s="86" t="str">
        <f aca="false">IF($B22="","",SUMIFS('الحركات الشهرية'!$I$6:$I$1005,'الحركات الشهرية'!$B$6:$B$1005,$B22,'الحركات الشهرية'!$A$6:$A$1005,$C$3))</f>
        <v/>
      </c>
      <c r="U22" s="86" t="str">
        <f aca="false">IF($B22="","",SUMIFS('الحركات الشهرية'!$J$6:$J$1005,'الحركات الشهرية'!$B$6:$B$1005,$B22,'الحركات الشهرية'!$A$6:$A$1005,$C$3))</f>
        <v/>
      </c>
      <c r="V22" s="86" t="str">
        <f aca="false">IF($B22="","",SUM(S22:U22))</f>
        <v/>
      </c>
      <c r="W22" s="107" t="str">
        <f aca="false">IF($B22="","",R22-V22)</f>
        <v/>
      </c>
      <c r="X22" s="86" t="str">
        <f aca="false">IF($B22="","",الموظفون!$Q22*IF(E22="سعودي",cfg_G_SR,cfg_G_NR)*F22/cfg_DAYS_M)</f>
        <v/>
      </c>
      <c r="Y22" s="86" t="str">
        <f aca="false">IF($B22="","",الموظفون!$O22*(cfg_EOS_R1*(MIN(AC22,cfg_EOS_TH)-MIN(AD22,cfg_EOS_TH))+cfg_EOS_R2*(MAX(AC22-cfg_EOS_TH,0)-MAX(AD22-cfg_EOS_TH,0))))</f>
        <v/>
      </c>
      <c r="Z22" s="86" t="str">
        <f aca="false">IF($B22="","",IF(الموظفون!$R22&lt;&gt;"",الموظفون!$R22,IF(AC22&gt;=cfg_LV_TH,cfg_LV_D2,cfg_LV_D1))/cfg_DAYS_Y*AE22*الموظفون!$P22/cfg_DAYS_M)</f>
        <v/>
      </c>
      <c r="AA22" s="86" t="str">
        <f aca="false">IF($B22="","",IF(AND(الموظفون!$S22="نعم",N(الموظفون!$U22)&gt;0),الموظفون!$T22/الموظفون!$U22*12/cfg_DAYS_Y*AE22,0))</f>
        <v/>
      </c>
      <c r="AB22" s="108" t="str">
        <f aca="false">IF($B22="","",R22+SUM(X22:AA22))</f>
        <v/>
      </c>
      <c r="AC22" s="109" t="str">
        <f aca="false">IF($B22="","",MAX(0,IF(OR(الموظفون!$X22="",الموظفون!$X22&gt;$G$3),$G$3,الموظفون!$X22)-الموظفون!$H22+1)/cfg_DAYS_Y)</f>
        <v/>
      </c>
      <c r="AD22" s="109" t="str">
        <f aca="false">IF($B22="","",MAX(0,IF(OR(الموظفون!$X22="",الموظفون!$X22&gt;($E$3-1)),($E$3-1),الموظفون!$X22)-الموظفون!$H22+1)/cfg_DAYS_Y)</f>
        <v/>
      </c>
      <c r="AE22" s="51" t="str">
        <f aca="false">IF($B22="","",MAX(0,IF(OR(الموظفون!$X22="",الموظفون!$X22&gt;$G$3),$G$3,الموظفون!$X22)-MAX($E$3,الموظفون!$H22)+1))</f>
        <v/>
      </c>
    </row>
    <row r="23" customFormat="false" ht="15" hidden="false" customHeight="false" outlineLevel="0" collapsed="false">
      <c r="A23" s="89" t="str">
        <f aca="false">IF($B23="","",الموظفون!$A23)</f>
        <v/>
      </c>
      <c r="B23" s="91" t="str">
        <f aca="false">IF(الموظفون!$B23="","",الموظفون!$B23)</f>
        <v/>
      </c>
      <c r="C23" s="91" t="str">
        <f aca="false">IF($B23="","",الموظفون!$C23)</f>
        <v/>
      </c>
      <c r="D23" s="91" t="str">
        <f aca="false">IF($B23="","",الموظفون!$F23)</f>
        <v/>
      </c>
      <c r="E23" s="91" t="str">
        <f aca="false">IF($B23="","",الموظفون!$E23)</f>
        <v/>
      </c>
      <c r="F23" s="110" t="str">
        <f aca="false">IF($B23="","",IF(AE23&gt;=DAY($G$3),cfg_DAYS_M,MIN(AE23,cfg_DAYS_M)))</f>
        <v/>
      </c>
      <c r="G23" s="110" t="str">
        <f aca="false">IF($B23="","",SUMIFS('الحركات الشهرية'!$D$6:$D$1005,'الحركات الشهرية'!$B$6:$B$1005,$B23,'الحركات الشهرية'!$A$6:$A$1005,$C$3))</f>
        <v/>
      </c>
      <c r="H23" s="110" t="str">
        <f aca="false">IF($B23="","",SUMIFS('الحركات الشهرية'!$E$6:$E$1005,'الحركات الشهرية'!$B$6:$B$1005,$B23,'الحركات الشهرية'!$A$6:$A$1005,$C$3))</f>
        <v/>
      </c>
      <c r="I23" s="110" t="str">
        <f aca="false">IF($B23="","",MAX(0,F23-G23-H23))</f>
        <v/>
      </c>
      <c r="J23" s="90" t="str">
        <f aca="false">IF($B23="","",الموظفون!$J23*$I23/cfg_DAYS_M)</f>
        <v/>
      </c>
      <c r="K23" s="90" t="str">
        <f aca="false">IF($B23="","",الموظفون!$K23*$I23/cfg_DAYS_M)</f>
        <v/>
      </c>
      <c r="L23" s="90" t="str">
        <f aca="false">IF($B23="","",الموظفون!$L23*$I23/cfg_DAYS_M)</f>
        <v/>
      </c>
      <c r="M23" s="90" t="str">
        <f aca="false">IF($B23="","",الموظفون!$M23*$I23/cfg_DAYS_M)</f>
        <v/>
      </c>
      <c r="N23" s="110" t="str">
        <f aca="false">IF($B23="","",SUMIFS('الحركات الشهرية'!$F$6:$F$1005,'الحركات الشهرية'!$B$6:$B$1005,$B23,'الحركات الشهرية'!$A$6:$A$1005,$C$3))</f>
        <v/>
      </c>
      <c r="O23" s="90" t="str">
        <f aca="false">IF($B23="","",N23*(الموظفون!$N23+الموظفون!$J23*cfg_OT_P)/cfg_DAYS_M/cfg_HRS)</f>
        <v/>
      </c>
      <c r="P23" s="90" t="str">
        <f aca="false">IF($B23="","",SUMIFS('الحركات الشهرية'!$G$6:$G$1005,'الحركات الشهرية'!$B$6:$B$1005,$B23,'الحركات الشهرية'!$A$6:$A$1005,$C$3))</f>
        <v/>
      </c>
      <c r="Q23" s="90" t="str">
        <f aca="false">IF($B23="","",SUMIFS('الحركات الشهرية'!$H$6:$H$1005,'الحركات الشهرية'!$B$6:$B$1005,$B23,'الحركات الشهرية'!$A$6:$A$1005,$C$3))</f>
        <v/>
      </c>
      <c r="R23" s="111" t="str">
        <f aca="false">IF($B23="","",SUM(J23:M23)+SUM(O23:Q23))</f>
        <v/>
      </c>
      <c r="S23" s="90" t="str">
        <f aca="false">IF($B23="","",الموظفون!$Q23*IF(E23="سعودي",cfg_G_SE,cfg_G_NE)*F23/cfg_DAYS_M)</f>
        <v/>
      </c>
      <c r="T23" s="90" t="str">
        <f aca="false">IF($B23="","",SUMIFS('الحركات الشهرية'!$I$6:$I$1005,'الحركات الشهرية'!$B$6:$B$1005,$B23,'الحركات الشهرية'!$A$6:$A$1005,$C$3))</f>
        <v/>
      </c>
      <c r="U23" s="90" t="str">
        <f aca="false">IF($B23="","",SUMIFS('الحركات الشهرية'!$J$6:$J$1005,'الحركات الشهرية'!$B$6:$B$1005,$B23,'الحركات الشهرية'!$A$6:$A$1005,$C$3))</f>
        <v/>
      </c>
      <c r="V23" s="90" t="str">
        <f aca="false">IF($B23="","",SUM(S23:U23))</f>
        <v/>
      </c>
      <c r="W23" s="112" t="str">
        <f aca="false">IF($B23="","",R23-V23)</f>
        <v/>
      </c>
      <c r="X23" s="90" t="str">
        <f aca="false">IF($B23="","",الموظفون!$Q23*IF(E23="سعودي",cfg_G_SR,cfg_G_NR)*F23/cfg_DAYS_M)</f>
        <v/>
      </c>
      <c r="Y23" s="90" t="str">
        <f aca="false">IF($B23="","",الموظفون!$O23*(cfg_EOS_R1*(MIN(AC23,cfg_EOS_TH)-MIN(AD23,cfg_EOS_TH))+cfg_EOS_R2*(MAX(AC23-cfg_EOS_TH,0)-MAX(AD23-cfg_EOS_TH,0))))</f>
        <v/>
      </c>
      <c r="Z23" s="90" t="str">
        <f aca="false">IF($B23="","",IF(الموظفون!$R23&lt;&gt;"",الموظفون!$R23,IF(AC23&gt;=cfg_LV_TH,cfg_LV_D2,cfg_LV_D1))/cfg_DAYS_Y*AE23*الموظفون!$P23/cfg_DAYS_M)</f>
        <v/>
      </c>
      <c r="AA23" s="90" t="str">
        <f aca="false">IF($B23="","",IF(AND(الموظفون!$S23="نعم",N(الموظفون!$U23)&gt;0),الموظفون!$T23/الموظفون!$U23*12/cfg_DAYS_Y*AE23,0))</f>
        <v/>
      </c>
      <c r="AB23" s="113" t="str">
        <f aca="false">IF($B23="","",R23+SUM(X23:AA23))</f>
        <v/>
      </c>
      <c r="AC23" s="114" t="str">
        <f aca="false">IF($B23="","",MAX(0,IF(OR(الموظفون!$X23="",الموظفون!$X23&gt;$G$3),$G$3,الموظفون!$X23)-الموظفون!$H23+1)/cfg_DAYS_Y)</f>
        <v/>
      </c>
      <c r="AD23" s="114" t="str">
        <f aca="false">IF($B23="","",MAX(0,IF(OR(الموظفون!$X23="",الموظفون!$X23&gt;($E$3-1)),($E$3-1),الموظفون!$X23)-الموظفون!$H23+1)/cfg_DAYS_Y)</f>
        <v/>
      </c>
      <c r="AE23" s="115" t="str">
        <f aca="false">IF($B23="","",MAX(0,IF(OR(الموظفون!$X23="",الموظفون!$X23&gt;$G$3),$G$3,الموظفون!$X23)-MAX($E$3,الموظفون!$H23)+1))</f>
        <v/>
      </c>
    </row>
    <row r="24" customFormat="false" ht="15" hidden="false" customHeight="false" outlineLevel="0" collapsed="false">
      <c r="A24" s="83" t="str">
        <f aca="false">IF($B24="","",الموظفون!$A24)</f>
        <v/>
      </c>
      <c r="B24" s="74" t="str">
        <f aca="false">IF(الموظفون!$B24="","",الموظفون!$B24)</f>
        <v/>
      </c>
      <c r="C24" s="74" t="str">
        <f aca="false">IF($B24="","",الموظفون!$C24)</f>
        <v/>
      </c>
      <c r="D24" s="74" t="str">
        <f aca="false">IF($B24="","",الموظفون!$F24)</f>
        <v/>
      </c>
      <c r="E24" s="74" t="str">
        <f aca="false">IF($B24="","",الموظفون!$E24)</f>
        <v/>
      </c>
      <c r="F24" s="105" t="str">
        <f aca="false">IF($B24="","",IF(AE24&gt;=DAY($G$3),cfg_DAYS_M,MIN(AE24,cfg_DAYS_M)))</f>
        <v/>
      </c>
      <c r="G24" s="105" t="str">
        <f aca="false">IF($B24="","",SUMIFS('الحركات الشهرية'!$D$6:$D$1005,'الحركات الشهرية'!$B$6:$B$1005,$B24,'الحركات الشهرية'!$A$6:$A$1005,$C$3))</f>
        <v/>
      </c>
      <c r="H24" s="105" t="str">
        <f aca="false">IF($B24="","",SUMIFS('الحركات الشهرية'!$E$6:$E$1005,'الحركات الشهرية'!$B$6:$B$1005,$B24,'الحركات الشهرية'!$A$6:$A$1005,$C$3))</f>
        <v/>
      </c>
      <c r="I24" s="105" t="str">
        <f aca="false">IF($B24="","",MAX(0,F24-G24-H24))</f>
        <v/>
      </c>
      <c r="J24" s="86" t="str">
        <f aca="false">IF($B24="","",الموظفون!$J24*$I24/cfg_DAYS_M)</f>
        <v/>
      </c>
      <c r="K24" s="86" t="str">
        <f aca="false">IF($B24="","",الموظفون!$K24*$I24/cfg_DAYS_M)</f>
        <v/>
      </c>
      <c r="L24" s="86" t="str">
        <f aca="false">IF($B24="","",الموظفون!$L24*$I24/cfg_DAYS_M)</f>
        <v/>
      </c>
      <c r="M24" s="86" t="str">
        <f aca="false">IF($B24="","",الموظفون!$M24*$I24/cfg_DAYS_M)</f>
        <v/>
      </c>
      <c r="N24" s="105" t="str">
        <f aca="false">IF($B24="","",SUMIFS('الحركات الشهرية'!$F$6:$F$1005,'الحركات الشهرية'!$B$6:$B$1005,$B24,'الحركات الشهرية'!$A$6:$A$1005,$C$3))</f>
        <v/>
      </c>
      <c r="O24" s="86" t="str">
        <f aca="false">IF($B24="","",N24*(الموظفون!$N24+الموظفون!$J24*cfg_OT_P)/cfg_DAYS_M/cfg_HRS)</f>
        <v/>
      </c>
      <c r="P24" s="86" t="str">
        <f aca="false">IF($B24="","",SUMIFS('الحركات الشهرية'!$G$6:$G$1005,'الحركات الشهرية'!$B$6:$B$1005,$B24,'الحركات الشهرية'!$A$6:$A$1005,$C$3))</f>
        <v/>
      </c>
      <c r="Q24" s="86" t="str">
        <f aca="false">IF($B24="","",SUMIFS('الحركات الشهرية'!$H$6:$H$1005,'الحركات الشهرية'!$B$6:$B$1005,$B24,'الحركات الشهرية'!$A$6:$A$1005,$C$3))</f>
        <v/>
      </c>
      <c r="R24" s="106" t="str">
        <f aca="false">IF($B24="","",SUM(J24:M24)+SUM(O24:Q24))</f>
        <v/>
      </c>
      <c r="S24" s="86" t="str">
        <f aca="false">IF($B24="","",الموظفون!$Q24*IF(E24="سعودي",cfg_G_SE,cfg_G_NE)*F24/cfg_DAYS_M)</f>
        <v/>
      </c>
      <c r="T24" s="86" t="str">
        <f aca="false">IF($B24="","",SUMIFS('الحركات الشهرية'!$I$6:$I$1005,'الحركات الشهرية'!$B$6:$B$1005,$B24,'الحركات الشهرية'!$A$6:$A$1005,$C$3))</f>
        <v/>
      </c>
      <c r="U24" s="86" t="str">
        <f aca="false">IF($B24="","",SUMIFS('الحركات الشهرية'!$J$6:$J$1005,'الحركات الشهرية'!$B$6:$B$1005,$B24,'الحركات الشهرية'!$A$6:$A$1005,$C$3))</f>
        <v/>
      </c>
      <c r="V24" s="86" t="str">
        <f aca="false">IF($B24="","",SUM(S24:U24))</f>
        <v/>
      </c>
      <c r="W24" s="107" t="str">
        <f aca="false">IF($B24="","",R24-V24)</f>
        <v/>
      </c>
      <c r="X24" s="86" t="str">
        <f aca="false">IF($B24="","",الموظفون!$Q24*IF(E24="سعودي",cfg_G_SR,cfg_G_NR)*F24/cfg_DAYS_M)</f>
        <v/>
      </c>
      <c r="Y24" s="86" t="str">
        <f aca="false">IF($B24="","",الموظفون!$O24*(cfg_EOS_R1*(MIN(AC24,cfg_EOS_TH)-MIN(AD24,cfg_EOS_TH))+cfg_EOS_R2*(MAX(AC24-cfg_EOS_TH,0)-MAX(AD24-cfg_EOS_TH,0))))</f>
        <v/>
      </c>
      <c r="Z24" s="86" t="str">
        <f aca="false">IF($B24="","",IF(الموظفون!$R24&lt;&gt;"",الموظفون!$R24,IF(AC24&gt;=cfg_LV_TH,cfg_LV_D2,cfg_LV_D1))/cfg_DAYS_Y*AE24*الموظفون!$P24/cfg_DAYS_M)</f>
        <v/>
      </c>
      <c r="AA24" s="86" t="str">
        <f aca="false">IF($B24="","",IF(AND(الموظفون!$S24="نعم",N(الموظفون!$U24)&gt;0),الموظفون!$T24/الموظفون!$U24*12/cfg_DAYS_Y*AE24,0))</f>
        <v/>
      </c>
      <c r="AB24" s="108" t="str">
        <f aca="false">IF($B24="","",R24+SUM(X24:AA24))</f>
        <v/>
      </c>
      <c r="AC24" s="109" t="str">
        <f aca="false">IF($B24="","",MAX(0,IF(OR(الموظفون!$X24="",الموظفون!$X24&gt;$G$3),$G$3,الموظفون!$X24)-الموظفون!$H24+1)/cfg_DAYS_Y)</f>
        <v/>
      </c>
      <c r="AD24" s="109" t="str">
        <f aca="false">IF($B24="","",MAX(0,IF(OR(الموظفون!$X24="",الموظفون!$X24&gt;($E$3-1)),($E$3-1),الموظفون!$X24)-الموظفون!$H24+1)/cfg_DAYS_Y)</f>
        <v/>
      </c>
      <c r="AE24" s="51" t="str">
        <f aca="false">IF($B24="","",MAX(0,IF(OR(الموظفون!$X24="",الموظفون!$X24&gt;$G$3),$G$3,الموظفون!$X24)-MAX($E$3,الموظفون!$H24)+1))</f>
        <v/>
      </c>
    </row>
    <row r="25" customFormat="false" ht="15" hidden="false" customHeight="false" outlineLevel="0" collapsed="false">
      <c r="A25" s="89" t="str">
        <f aca="false">IF($B25="","",الموظفون!$A25)</f>
        <v/>
      </c>
      <c r="B25" s="91" t="str">
        <f aca="false">IF(الموظفون!$B25="","",الموظفون!$B25)</f>
        <v/>
      </c>
      <c r="C25" s="91" t="str">
        <f aca="false">IF($B25="","",الموظفون!$C25)</f>
        <v/>
      </c>
      <c r="D25" s="91" t="str">
        <f aca="false">IF($B25="","",الموظفون!$F25)</f>
        <v/>
      </c>
      <c r="E25" s="91" t="str">
        <f aca="false">IF($B25="","",الموظفون!$E25)</f>
        <v/>
      </c>
      <c r="F25" s="110" t="str">
        <f aca="false">IF($B25="","",IF(AE25&gt;=DAY($G$3),cfg_DAYS_M,MIN(AE25,cfg_DAYS_M)))</f>
        <v/>
      </c>
      <c r="G25" s="110" t="str">
        <f aca="false">IF($B25="","",SUMIFS('الحركات الشهرية'!$D$6:$D$1005,'الحركات الشهرية'!$B$6:$B$1005,$B25,'الحركات الشهرية'!$A$6:$A$1005,$C$3))</f>
        <v/>
      </c>
      <c r="H25" s="110" t="str">
        <f aca="false">IF($B25="","",SUMIFS('الحركات الشهرية'!$E$6:$E$1005,'الحركات الشهرية'!$B$6:$B$1005,$B25,'الحركات الشهرية'!$A$6:$A$1005,$C$3))</f>
        <v/>
      </c>
      <c r="I25" s="110" t="str">
        <f aca="false">IF($B25="","",MAX(0,F25-G25-H25))</f>
        <v/>
      </c>
      <c r="J25" s="90" t="str">
        <f aca="false">IF($B25="","",الموظفون!$J25*$I25/cfg_DAYS_M)</f>
        <v/>
      </c>
      <c r="K25" s="90" t="str">
        <f aca="false">IF($B25="","",الموظفون!$K25*$I25/cfg_DAYS_M)</f>
        <v/>
      </c>
      <c r="L25" s="90" t="str">
        <f aca="false">IF($B25="","",الموظفون!$L25*$I25/cfg_DAYS_M)</f>
        <v/>
      </c>
      <c r="M25" s="90" t="str">
        <f aca="false">IF($B25="","",الموظفون!$M25*$I25/cfg_DAYS_M)</f>
        <v/>
      </c>
      <c r="N25" s="110" t="str">
        <f aca="false">IF($B25="","",SUMIFS('الحركات الشهرية'!$F$6:$F$1005,'الحركات الشهرية'!$B$6:$B$1005,$B25,'الحركات الشهرية'!$A$6:$A$1005,$C$3))</f>
        <v/>
      </c>
      <c r="O25" s="90" t="str">
        <f aca="false">IF($B25="","",N25*(الموظفون!$N25+الموظفون!$J25*cfg_OT_P)/cfg_DAYS_M/cfg_HRS)</f>
        <v/>
      </c>
      <c r="P25" s="90" t="str">
        <f aca="false">IF($B25="","",SUMIFS('الحركات الشهرية'!$G$6:$G$1005,'الحركات الشهرية'!$B$6:$B$1005,$B25,'الحركات الشهرية'!$A$6:$A$1005,$C$3))</f>
        <v/>
      </c>
      <c r="Q25" s="90" t="str">
        <f aca="false">IF($B25="","",SUMIFS('الحركات الشهرية'!$H$6:$H$1005,'الحركات الشهرية'!$B$6:$B$1005,$B25,'الحركات الشهرية'!$A$6:$A$1005,$C$3))</f>
        <v/>
      </c>
      <c r="R25" s="111" t="str">
        <f aca="false">IF($B25="","",SUM(J25:M25)+SUM(O25:Q25))</f>
        <v/>
      </c>
      <c r="S25" s="90" t="str">
        <f aca="false">IF($B25="","",الموظفون!$Q25*IF(E25="سعودي",cfg_G_SE,cfg_G_NE)*F25/cfg_DAYS_M)</f>
        <v/>
      </c>
      <c r="T25" s="90" t="str">
        <f aca="false">IF($B25="","",SUMIFS('الحركات الشهرية'!$I$6:$I$1005,'الحركات الشهرية'!$B$6:$B$1005,$B25,'الحركات الشهرية'!$A$6:$A$1005,$C$3))</f>
        <v/>
      </c>
      <c r="U25" s="90" t="str">
        <f aca="false">IF($B25="","",SUMIFS('الحركات الشهرية'!$J$6:$J$1005,'الحركات الشهرية'!$B$6:$B$1005,$B25,'الحركات الشهرية'!$A$6:$A$1005,$C$3))</f>
        <v/>
      </c>
      <c r="V25" s="90" t="str">
        <f aca="false">IF($B25="","",SUM(S25:U25))</f>
        <v/>
      </c>
      <c r="W25" s="112" t="str">
        <f aca="false">IF($B25="","",R25-V25)</f>
        <v/>
      </c>
      <c r="X25" s="90" t="str">
        <f aca="false">IF($B25="","",الموظفون!$Q25*IF(E25="سعودي",cfg_G_SR,cfg_G_NR)*F25/cfg_DAYS_M)</f>
        <v/>
      </c>
      <c r="Y25" s="90" t="str">
        <f aca="false">IF($B25="","",الموظفون!$O25*(cfg_EOS_R1*(MIN(AC25,cfg_EOS_TH)-MIN(AD25,cfg_EOS_TH))+cfg_EOS_R2*(MAX(AC25-cfg_EOS_TH,0)-MAX(AD25-cfg_EOS_TH,0))))</f>
        <v/>
      </c>
      <c r="Z25" s="90" t="str">
        <f aca="false">IF($B25="","",IF(الموظفون!$R25&lt;&gt;"",الموظفون!$R25,IF(AC25&gt;=cfg_LV_TH,cfg_LV_D2,cfg_LV_D1))/cfg_DAYS_Y*AE25*الموظفون!$P25/cfg_DAYS_M)</f>
        <v/>
      </c>
      <c r="AA25" s="90" t="str">
        <f aca="false">IF($B25="","",IF(AND(الموظفون!$S25="نعم",N(الموظفون!$U25)&gt;0),الموظفون!$T25/الموظفون!$U25*12/cfg_DAYS_Y*AE25,0))</f>
        <v/>
      </c>
      <c r="AB25" s="113" t="str">
        <f aca="false">IF($B25="","",R25+SUM(X25:AA25))</f>
        <v/>
      </c>
      <c r="AC25" s="114" t="str">
        <f aca="false">IF($B25="","",MAX(0,IF(OR(الموظفون!$X25="",الموظفون!$X25&gt;$G$3),$G$3,الموظفون!$X25)-الموظفون!$H25+1)/cfg_DAYS_Y)</f>
        <v/>
      </c>
      <c r="AD25" s="114" t="str">
        <f aca="false">IF($B25="","",MAX(0,IF(OR(الموظفون!$X25="",الموظفون!$X25&gt;($E$3-1)),($E$3-1),الموظفون!$X25)-الموظفون!$H25+1)/cfg_DAYS_Y)</f>
        <v/>
      </c>
      <c r="AE25" s="115" t="str">
        <f aca="false">IF($B25="","",MAX(0,IF(OR(الموظفون!$X25="",الموظفون!$X25&gt;$G$3),$G$3,الموظفون!$X25)-MAX($E$3,الموظفون!$H25)+1))</f>
        <v/>
      </c>
    </row>
    <row r="26" customFormat="false" ht="15" hidden="false" customHeight="false" outlineLevel="0" collapsed="false">
      <c r="A26" s="83" t="str">
        <f aca="false">IF($B26="","",الموظفون!$A26)</f>
        <v/>
      </c>
      <c r="B26" s="74" t="str">
        <f aca="false">IF(الموظفون!$B26="","",الموظفون!$B26)</f>
        <v/>
      </c>
      <c r="C26" s="74" t="str">
        <f aca="false">IF($B26="","",الموظفون!$C26)</f>
        <v/>
      </c>
      <c r="D26" s="74" t="str">
        <f aca="false">IF($B26="","",الموظفون!$F26)</f>
        <v/>
      </c>
      <c r="E26" s="74" t="str">
        <f aca="false">IF($B26="","",الموظفون!$E26)</f>
        <v/>
      </c>
      <c r="F26" s="105" t="str">
        <f aca="false">IF($B26="","",IF(AE26&gt;=DAY($G$3),cfg_DAYS_M,MIN(AE26,cfg_DAYS_M)))</f>
        <v/>
      </c>
      <c r="G26" s="105" t="str">
        <f aca="false">IF($B26="","",SUMIFS('الحركات الشهرية'!$D$6:$D$1005,'الحركات الشهرية'!$B$6:$B$1005,$B26,'الحركات الشهرية'!$A$6:$A$1005,$C$3))</f>
        <v/>
      </c>
      <c r="H26" s="105" t="str">
        <f aca="false">IF($B26="","",SUMIFS('الحركات الشهرية'!$E$6:$E$1005,'الحركات الشهرية'!$B$6:$B$1005,$B26,'الحركات الشهرية'!$A$6:$A$1005,$C$3))</f>
        <v/>
      </c>
      <c r="I26" s="105" t="str">
        <f aca="false">IF($B26="","",MAX(0,F26-G26-H26))</f>
        <v/>
      </c>
      <c r="J26" s="86" t="str">
        <f aca="false">IF($B26="","",الموظفون!$J26*$I26/cfg_DAYS_M)</f>
        <v/>
      </c>
      <c r="K26" s="86" t="str">
        <f aca="false">IF($B26="","",الموظفون!$K26*$I26/cfg_DAYS_M)</f>
        <v/>
      </c>
      <c r="L26" s="86" t="str">
        <f aca="false">IF($B26="","",الموظفون!$L26*$I26/cfg_DAYS_M)</f>
        <v/>
      </c>
      <c r="M26" s="86" t="str">
        <f aca="false">IF($B26="","",الموظفون!$M26*$I26/cfg_DAYS_M)</f>
        <v/>
      </c>
      <c r="N26" s="105" t="str">
        <f aca="false">IF($B26="","",SUMIFS('الحركات الشهرية'!$F$6:$F$1005,'الحركات الشهرية'!$B$6:$B$1005,$B26,'الحركات الشهرية'!$A$6:$A$1005,$C$3))</f>
        <v/>
      </c>
      <c r="O26" s="86" t="str">
        <f aca="false">IF($B26="","",N26*(الموظفون!$N26+الموظفون!$J26*cfg_OT_P)/cfg_DAYS_M/cfg_HRS)</f>
        <v/>
      </c>
      <c r="P26" s="86" t="str">
        <f aca="false">IF($B26="","",SUMIFS('الحركات الشهرية'!$G$6:$G$1005,'الحركات الشهرية'!$B$6:$B$1005,$B26,'الحركات الشهرية'!$A$6:$A$1005,$C$3))</f>
        <v/>
      </c>
      <c r="Q26" s="86" t="str">
        <f aca="false">IF($B26="","",SUMIFS('الحركات الشهرية'!$H$6:$H$1005,'الحركات الشهرية'!$B$6:$B$1005,$B26,'الحركات الشهرية'!$A$6:$A$1005,$C$3))</f>
        <v/>
      </c>
      <c r="R26" s="106" t="str">
        <f aca="false">IF($B26="","",SUM(J26:M26)+SUM(O26:Q26))</f>
        <v/>
      </c>
      <c r="S26" s="86" t="str">
        <f aca="false">IF($B26="","",الموظفون!$Q26*IF(E26="سعودي",cfg_G_SE,cfg_G_NE)*F26/cfg_DAYS_M)</f>
        <v/>
      </c>
      <c r="T26" s="86" t="str">
        <f aca="false">IF($B26="","",SUMIFS('الحركات الشهرية'!$I$6:$I$1005,'الحركات الشهرية'!$B$6:$B$1005,$B26,'الحركات الشهرية'!$A$6:$A$1005,$C$3))</f>
        <v/>
      </c>
      <c r="U26" s="86" t="str">
        <f aca="false">IF($B26="","",SUMIFS('الحركات الشهرية'!$J$6:$J$1005,'الحركات الشهرية'!$B$6:$B$1005,$B26,'الحركات الشهرية'!$A$6:$A$1005,$C$3))</f>
        <v/>
      </c>
      <c r="V26" s="86" t="str">
        <f aca="false">IF($B26="","",SUM(S26:U26))</f>
        <v/>
      </c>
      <c r="W26" s="107" t="str">
        <f aca="false">IF($B26="","",R26-V26)</f>
        <v/>
      </c>
      <c r="X26" s="86" t="str">
        <f aca="false">IF($B26="","",الموظفون!$Q26*IF(E26="سعودي",cfg_G_SR,cfg_G_NR)*F26/cfg_DAYS_M)</f>
        <v/>
      </c>
      <c r="Y26" s="86" t="str">
        <f aca="false">IF($B26="","",الموظفون!$O26*(cfg_EOS_R1*(MIN(AC26,cfg_EOS_TH)-MIN(AD26,cfg_EOS_TH))+cfg_EOS_R2*(MAX(AC26-cfg_EOS_TH,0)-MAX(AD26-cfg_EOS_TH,0))))</f>
        <v/>
      </c>
      <c r="Z26" s="86" t="str">
        <f aca="false">IF($B26="","",IF(الموظفون!$R26&lt;&gt;"",الموظفون!$R26,IF(AC26&gt;=cfg_LV_TH,cfg_LV_D2,cfg_LV_D1))/cfg_DAYS_Y*AE26*الموظفون!$P26/cfg_DAYS_M)</f>
        <v/>
      </c>
      <c r="AA26" s="86" t="str">
        <f aca="false">IF($B26="","",IF(AND(الموظفون!$S26="نعم",N(الموظفون!$U26)&gt;0),الموظفون!$T26/الموظفون!$U26*12/cfg_DAYS_Y*AE26,0))</f>
        <v/>
      </c>
      <c r="AB26" s="108" t="str">
        <f aca="false">IF($B26="","",R26+SUM(X26:AA26))</f>
        <v/>
      </c>
      <c r="AC26" s="109" t="str">
        <f aca="false">IF($B26="","",MAX(0,IF(OR(الموظفون!$X26="",الموظفون!$X26&gt;$G$3),$G$3,الموظفون!$X26)-الموظفون!$H26+1)/cfg_DAYS_Y)</f>
        <v/>
      </c>
      <c r="AD26" s="109" t="str">
        <f aca="false">IF($B26="","",MAX(0,IF(OR(الموظفون!$X26="",الموظفون!$X26&gt;($E$3-1)),($E$3-1),الموظفون!$X26)-الموظفون!$H26+1)/cfg_DAYS_Y)</f>
        <v/>
      </c>
      <c r="AE26" s="51" t="str">
        <f aca="false">IF($B26="","",MAX(0,IF(OR(الموظفون!$X26="",الموظفون!$X26&gt;$G$3),$G$3,الموظفون!$X26)-MAX($E$3,الموظفون!$H26)+1))</f>
        <v/>
      </c>
    </row>
    <row r="27" customFormat="false" ht="15" hidden="false" customHeight="false" outlineLevel="0" collapsed="false">
      <c r="A27" s="89" t="str">
        <f aca="false">IF($B27="","",الموظفون!$A27)</f>
        <v/>
      </c>
      <c r="B27" s="91" t="str">
        <f aca="false">IF(الموظفون!$B27="","",الموظفون!$B27)</f>
        <v/>
      </c>
      <c r="C27" s="91" t="str">
        <f aca="false">IF($B27="","",الموظفون!$C27)</f>
        <v/>
      </c>
      <c r="D27" s="91" t="str">
        <f aca="false">IF($B27="","",الموظفون!$F27)</f>
        <v/>
      </c>
      <c r="E27" s="91" t="str">
        <f aca="false">IF($B27="","",الموظفون!$E27)</f>
        <v/>
      </c>
      <c r="F27" s="110" t="str">
        <f aca="false">IF($B27="","",IF(AE27&gt;=DAY($G$3),cfg_DAYS_M,MIN(AE27,cfg_DAYS_M)))</f>
        <v/>
      </c>
      <c r="G27" s="110" t="str">
        <f aca="false">IF($B27="","",SUMIFS('الحركات الشهرية'!$D$6:$D$1005,'الحركات الشهرية'!$B$6:$B$1005,$B27,'الحركات الشهرية'!$A$6:$A$1005,$C$3))</f>
        <v/>
      </c>
      <c r="H27" s="110" t="str">
        <f aca="false">IF($B27="","",SUMIFS('الحركات الشهرية'!$E$6:$E$1005,'الحركات الشهرية'!$B$6:$B$1005,$B27,'الحركات الشهرية'!$A$6:$A$1005,$C$3))</f>
        <v/>
      </c>
      <c r="I27" s="110" t="str">
        <f aca="false">IF($B27="","",MAX(0,F27-G27-H27))</f>
        <v/>
      </c>
      <c r="J27" s="90" t="str">
        <f aca="false">IF($B27="","",الموظفون!$J27*$I27/cfg_DAYS_M)</f>
        <v/>
      </c>
      <c r="K27" s="90" t="str">
        <f aca="false">IF($B27="","",الموظفون!$K27*$I27/cfg_DAYS_M)</f>
        <v/>
      </c>
      <c r="L27" s="90" t="str">
        <f aca="false">IF($B27="","",الموظفون!$L27*$I27/cfg_DAYS_M)</f>
        <v/>
      </c>
      <c r="M27" s="90" t="str">
        <f aca="false">IF($B27="","",الموظفون!$M27*$I27/cfg_DAYS_M)</f>
        <v/>
      </c>
      <c r="N27" s="110" t="str">
        <f aca="false">IF($B27="","",SUMIFS('الحركات الشهرية'!$F$6:$F$1005,'الحركات الشهرية'!$B$6:$B$1005,$B27,'الحركات الشهرية'!$A$6:$A$1005,$C$3))</f>
        <v/>
      </c>
      <c r="O27" s="90" t="str">
        <f aca="false">IF($B27="","",N27*(الموظفون!$N27+الموظفون!$J27*cfg_OT_P)/cfg_DAYS_M/cfg_HRS)</f>
        <v/>
      </c>
      <c r="P27" s="90" t="str">
        <f aca="false">IF($B27="","",SUMIFS('الحركات الشهرية'!$G$6:$G$1005,'الحركات الشهرية'!$B$6:$B$1005,$B27,'الحركات الشهرية'!$A$6:$A$1005,$C$3))</f>
        <v/>
      </c>
      <c r="Q27" s="90" t="str">
        <f aca="false">IF($B27="","",SUMIFS('الحركات الشهرية'!$H$6:$H$1005,'الحركات الشهرية'!$B$6:$B$1005,$B27,'الحركات الشهرية'!$A$6:$A$1005,$C$3))</f>
        <v/>
      </c>
      <c r="R27" s="111" t="str">
        <f aca="false">IF($B27="","",SUM(J27:M27)+SUM(O27:Q27))</f>
        <v/>
      </c>
      <c r="S27" s="90" t="str">
        <f aca="false">IF($B27="","",الموظفون!$Q27*IF(E27="سعودي",cfg_G_SE,cfg_G_NE)*F27/cfg_DAYS_M)</f>
        <v/>
      </c>
      <c r="T27" s="90" t="str">
        <f aca="false">IF($B27="","",SUMIFS('الحركات الشهرية'!$I$6:$I$1005,'الحركات الشهرية'!$B$6:$B$1005,$B27,'الحركات الشهرية'!$A$6:$A$1005,$C$3))</f>
        <v/>
      </c>
      <c r="U27" s="90" t="str">
        <f aca="false">IF($B27="","",SUMIFS('الحركات الشهرية'!$J$6:$J$1005,'الحركات الشهرية'!$B$6:$B$1005,$B27,'الحركات الشهرية'!$A$6:$A$1005,$C$3))</f>
        <v/>
      </c>
      <c r="V27" s="90" t="str">
        <f aca="false">IF($B27="","",SUM(S27:U27))</f>
        <v/>
      </c>
      <c r="W27" s="112" t="str">
        <f aca="false">IF($B27="","",R27-V27)</f>
        <v/>
      </c>
      <c r="X27" s="90" t="str">
        <f aca="false">IF($B27="","",الموظفون!$Q27*IF(E27="سعودي",cfg_G_SR,cfg_G_NR)*F27/cfg_DAYS_M)</f>
        <v/>
      </c>
      <c r="Y27" s="90" t="str">
        <f aca="false">IF($B27="","",الموظفون!$O27*(cfg_EOS_R1*(MIN(AC27,cfg_EOS_TH)-MIN(AD27,cfg_EOS_TH))+cfg_EOS_R2*(MAX(AC27-cfg_EOS_TH,0)-MAX(AD27-cfg_EOS_TH,0))))</f>
        <v/>
      </c>
      <c r="Z27" s="90" t="str">
        <f aca="false">IF($B27="","",IF(الموظفون!$R27&lt;&gt;"",الموظفون!$R27,IF(AC27&gt;=cfg_LV_TH,cfg_LV_D2,cfg_LV_D1))/cfg_DAYS_Y*AE27*الموظفون!$P27/cfg_DAYS_M)</f>
        <v/>
      </c>
      <c r="AA27" s="90" t="str">
        <f aca="false">IF($B27="","",IF(AND(الموظفون!$S27="نعم",N(الموظفون!$U27)&gt;0),الموظفون!$T27/الموظفون!$U27*12/cfg_DAYS_Y*AE27,0))</f>
        <v/>
      </c>
      <c r="AB27" s="113" t="str">
        <f aca="false">IF($B27="","",R27+SUM(X27:AA27))</f>
        <v/>
      </c>
      <c r="AC27" s="114" t="str">
        <f aca="false">IF($B27="","",MAX(0,IF(OR(الموظفون!$X27="",الموظفون!$X27&gt;$G$3),$G$3,الموظفون!$X27)-الموظفون!$H27+1)/cfg_DAYS_Y)</f>
        <v/>
      </c>
      <c r="AD27" s="114" t="str">
        <f aca="false">IF($B27="","",MAX(0,IF(OR(الموظفون!$X27="",الموظفون!$X27&gt;($E$3-1)),($E$3-1),الموظفون!$X27)-الموظفون!$H27+1)/cfg_DAYS_Y)</f>
        <v/>
      </c>
      <c r="AE27" s="115" t="str">
        <f aca="false">IF($B27="","",MAX(0,IF(OR(الموظفون!$X27="",الموظفون!$X27&gt;$G$3),$G$3,الموظفون!$X27)-MAX($E$3,الموظفون!$H27)+1))</f>
        <v/>
      </c>
    </row>
    <row r="28" customFormat="false" ht="15" hidden="false" customHeight="false" outlineLevel="0" collapsed="false">
      <c r="A28" s="83" t="str">
        <f aca="false">IF($B28="","",الموظفون!$A28)</f>
        <v/>
      </c>
      <c r="B28" s="74" t="str">
        <f aca="false">IF(الموظفون!$B28="","",الموظفون!$B28)</f>
        <v/>
      </c>
      <c r="C28" s="74" t="str">
        <f aca="false">IF($B28="","",الموظفون!$C28)</f>
        <v/>
      </c>
      <c r="D28" s="74" t="str">
        <f aca="false">IF($B28="","",الموظفون!$F28)</f>
        <v/>
      </c>
      <c r="E28" s="74" t="str">
        <f aca="false">IF($B28="","",الموظفون!$E28)</f>
        <v/>
      </c>
      <c r="F28" s="105" t="str">
        <f aca="false">IF($B28="","",IF(AE28&gt;=DAY($G$3),cfg_DAYS_M,MIN(AE28,cfg_DAYS_M)))</f>
        <v/>
      </c>
      <c r="G28" s="105" t="str">
        <f aca="false">IF($B28="","",SUMIFS('الحركات الشهرية'!$D$6:$D$1005,'الحركات الشهرية'!$B$6:$B$1005,$B28,'الحركات الشهرية'!$A$6:$A$1005,$C$3))</f>
        <v/>
      </c>
      <c r="H28" s="105" t="str">
        <f aca="false">IF($B28="","",SUMIFS('الحركات الشهرية'!$E$6:$E$1005,'الحركات الشهرية'!$B$6:$B$1005,$B28,'الحركات الشهرية'!$A$6:$A$1005,$C$3))</f>
        <v/>
      </c>
      <c r="I28" s="105" t="str">
        <f aca="false">IF($B28="","",MAX(0,F28-G28-H28))</f>
        <v/>
      </c>
      <c r="J28" s="86" t="str">
        <f aca="false">IF($B28="","",الموظفون!$J28*$I28/cfg_DAYS_M)</f>
        <v/>
      </c>
      <c r="K28" s="86" t="str">
        <f aca="false">IF($B28="","",الموظفون!$K28*$I28/cfg_DAYS_M)</f>
        <v/>
      </c>
      <c r="L28" s="86" t="str">
        <f aca="false">IF($B28="","",الموظفون!$L28*$I28/cfg_DAYS_M)</f>
        <v/>
      </c>
      <c r="M28" s="86" t="str">
        <f aca="false">IF($B28="","",الموظفون!$M28*$I28/cfg_DAYS_M)</f>
        <v/>
      </c>
      <c r="N28" s="105" t="str">
        <f aca="false">IF($B28="","",SUMIFS('الحركات الشهرية'!$F$6:$F$1005,'الحركات الشهرية'!$B$6:$B$1005,$B28,'الحركات الشهرية'!$A$6:$A$1005,$C$3))</f>
        <v/>
      </c>
      <c r="O28" s="86" t="str">
        <f aca="false">IF($B28="","",N28*(الموظفون!$N28+الموظفون!$J28*cfg_OT_P)/cfg_DAYS_M/cfg_HRS)</f>
        <v/>
      </c>
      <c r="P28" s="86" t="str">
        <f aca="false">IF($B28="","",SUMIFS('الحركات الشهرية'!$G$6:$G$1005,'الحركات الشهرية'!$B$6:$B$1005,$B28,'الحركات الشهرية'!$A$6:$A$1005,$C$3))</f>
        <v/>
      </c>
      <c r="Q28" s="86" t="str">
        <f aca="false">IF($B28="","",SUMIFS('الحركات الشهرية'!$H$6:$H$1005,'الحركات الشهرية'!$B$6:$B$1005,$B28,'الحركات الشهرية'!$A$6:$A$1005,$C$3))</f>
        <v/>
      </c>
      <c r="R28" s="106" t="str">
        <f aca="false">IF($B28="","",SUM(J28:M28)+SUM(O28:Q28))</f>
        <v/>
      </c>
      <c r="S28" s="86" t="str">
        <f aca="false">IF($B28="","",الموظفون!$Q28*IF(E28="سعودي",cfg_G_SE,cfg_G_NE)*F28/cfg_DAYS_M)</f>
        <v/>
      </c>
      <c r="T28" s="86" t="str">
        <f aca="false">IF($B28="","",SUMIFS('الحركات الشهرية'!$I$6:$I$1005,'الحركات الشهرية'!$B$6:$B$1005,$B28,'الحركات الشهرية'!$A$6:$A$1005,$C$3))</f>
        <v/>
      </c>
      <c r="U28" s="86" t="str">
        <f aca="false">IF($B28="","",SUMIFS('الحركات الشهرية'!$J$6:$J$1005,'الحركات الشهرية'!$B$6:$B$1005,$B28,'الحركات الشهرية'!$A$6:$A$1005,$C$3))</f>
        <v/>
      </c>
      <c r="V28" s="86" t="str">
        <f aca="false">IF($B28="","",SUM(S28:U28))</f>
        <v/>
      </c>
      <c r="W28" s="107" t="str">
        <f aca="false">IF($B28="","",R28-V28)</f>
        <v/>
      </c>
      <c r="X28" s="86" t="str">
        <f aca="false">IF($B28="","",الموظفون!$Q28*IF(E28="سعودي",cfg_G_SR,cfg_G_NR)*F28/cfg_DAYS_M)</f>
        <v/>
      </c>
      <c r="Y28" s="86" t="str">
        <f aca="false">IF($B28="","",الموظفون!$O28*(cfg_EOS_R1*(MIN(AC28,cfg_EOS_TH)-MIN(AD28,cfg_EOS_TH))+cfg_EOS_R2*(MAX(AC28-cfg_EOS_TH,0)-MAX(AD28-cfg_EOS_TH,0))))</f>
        <v/>
      </c>
      <c r="Z28" s="86" t="str">
        <f aca="false">IF($B28="","",IF(الموظفون!$R28&lt;&gt;"",الموظفون!$R28,IF(AC28&gt;=cfg_LV_TH,cfg_LV_D2,cfg_LV_D1))/cfg_DAYS_Y*AE28*الموظفون!$P28/cfg_DAYS_M)</f>
        <v/>
      </c>
      <c r="AA28" s="86" t="str">
        <f aca="false">IF($B28="","",IF(AND(الموظفون!$S28="نعم",N(الموظفون!$U28)&gt;0),الموظفون!$T28/الموظفون!$U28*12/cfg_DAYS_Y*AE28,0))</f>
        <v/>
      </c>
      <c r="AB28" s="108" t="str">
        <f aca="false">IF($B28="","",R28+SUM(X28:AA28))</f>
        <v/>
      </c>
      <c r="AC28" s="109" t="str">
        <f aca="false">IF($B28="","",MAX(0,IF(OR(الموظفون!$X28="",الموظفون!$X28&gt;$G$3),$G$3,الموظفون!$X28)-الموظفون!$H28+1)/cfg_DAYS_Y)</f>
        <v/>
      </c>
      <c r="AD28" s="109" t="str">
        <f aca="false">IF($B28="","",MAX(0,IF(OR(الموظفون!$X28="",الموظفون!$X28&gt;($E$3-1)),($E$3-1),الموظفون!$X28)-الموظفون!$H28+1)/cfg_DAYS_Y)</f>
        <v/>
      </c>
      <c r="AE28" s="51" t="str">
        <f aca="false">IF($B28="","",MAX(0,IF(OR(الموظفون!$X28="",الموظفون!$X28&gt;$G$3),$G$3,الموظفون!$X28)-MAX($E$3,الموظفون!$H28)+1))</f>
        <v/>
      </c>
    </row>
    <row r="29" customFormat="false" ht="15" hidden="false" customHeight="false" outlineLevel="0" collapsed="false">
      <c r="A29" s="89" t="str">
        <f aca="false">IF($B29="","",الموظفون!$A29)</f>
        <v/>
      </c>
      <c r="B29" s="91" t="str">
        <f aca="false">IF(الموظفون!$B29="","",الموظفون!$B29)</f>
        <v/>
      </c>
      <c r="C29" s="91" t="str">
        <f aca="false">IF($B29="","",الموظفون!$C29)</f>
        <v/>
      </c>
      <c r="D29" s="91" t="str">
        <f aca="false">IF($B29="","",الموظفون!$F29)</f>
        <v/>
      </c>
      <c r="E29" s="91" t="str">
        <f aca="false">IF($B29="","",الموظفون!$E29)</f>
        <v/>
      </c>
      <c r="F29" s="110" t="str">
        <f aca="false">IF($B29="","",IF(AE29&gt;=DAY($G$3),cfg_DAYS_M,MIN(AE29,cfg_DAYS_M)))</f>
        <v/>
      </c>
      <c r="G29" s="110" t="str">
        <f aca="false">IF($B29="","",SUMIFS('الحركات الشهرية'!$D$6:$D$1005,'الحركات الشهرية'!$B$6:$B$1005,$B29,'الحركات الشهرية'!$A$6:$A$1005,$C$3))</f>
        <v/>
      </c>
      <c r="H29" s="110" t="str">
        <f aca="false">IF($B29="","",SUMIFS('الحركات الشهرية'!$E$6:$E$1005,'الحركات الشهرية'!$B$6:$B$1005,$B29,'الحركات الشهرية'!$A$6:$A$1005,$C$3))</f>
        <v/>
      </c>
      <c r="I29" s="110" t="str">
        <f aca="false">IF($B29="","",MAX(0,F29-G29-H29))</f>
        <v/>
      </c>
      <c r="J29" s="90" t="str">
        <f aca="false">IF($B29="","",الموظفون!$J29*$I29/cfg_DAYS_M)</f>
        <v/>
      </c>
      <c r="K29" s="90" t="str">
        <f aca="false">IF($B29="","",الموظفون!$K29*$I29/cfg_DAYS_M)</f>
        <v/>
      </c>
      <c r="L29" s="90" t="str">
        <f aca="false">IF($B29="","",الموظفون!$L29*$I29/cfg_DAYS_M)</f>
        <v/>
      </c>
      <c r="M29" s="90" t="str">
        <f aca="false">IF($B29="","",الموظفون!$M29*$I29/cfg_DAYS_M)</f>
        <v/>
      </c>
      <c r="N29" s="110" t="str">
        <f aca="false">IF($B29="","",SUMIFS('الحركات الشهرية'!$F$6:$F$1005,'الحركات الشهرية'!$B$6:$B$1005,$B29,'الحركات الشهرية'!$A$6:$A$1005,$C$3))</f>
        <v/>
      </c>
      <c r="O29" s="90" t="str">
        <f aca="false">IF($B29="","",N29*(الموظفون!$N29+الموظفون!$J29*cfg_OT_P)/cfg_DAYS_M/cfg_HRS)</f>
        <v/>
      </c>
      <c r="P29" s="90" t="str">
        <f aca="false">IF($B29="","",SUMIFS('الحركات الشهرية'!$G$6:$G$1005,'الحركات الشهرية'!$B$6:$B$1005,$B29,'الحركات الشهرية'!$A$6:$A$1005,$C$3))</f>
        <v/>
      </c>
      <c r="Q29" s="90" t="str">
        <f aca="false">IF($B29="","",SUMIFS('الحركات الشهرية'!$H$6:$H$1005,'الحركات الشهرية'!$B$6:$B$1005,$B29,'الحركات الشهرية'!$A$6:$A$1005,$C$3))</f>
        <v/>
      </c>
      <c r="R29" s="111" t="str">
        <f aca="false">IF($B29="","",SUM(J29:M29)+SUM(O29:Q29))</f>
        <v/>
      </c>
      <c r="S29" s="90" t="str">
        <f aca="false">IF($B29="","",الموظفون!$Q29*IF(E29="سعودي",cfg_G_SE,cfg_G_NE)*F29/cfg_DAYS_M)</f>
        <v/>
      </c>
      <c r="T29" s="90" t="str">
        <f aca="false">IF($B29="","",SUMIFS('الحركات الشهرية'!$I$6:$I$1005,'الحركات الشهرية'!$B$6:$B$1005,$B29,'الحركات الشهرية'!$A$6:$A$1005,$C$3))</f>
        <v/>
      </c>
      <c r="U29" s="90" t="str">
        <f aca="false">IF($B29="","",SUMIFS('الحركات الشهرية'!$J$6:$J$1005,'الحركات الشهرية'!$B$6:$B$1005,$B29,'الحركات الشهرية'!$A$6:$A$1005,$C$3))</f>
        <v/>
      </c>
      <c r="V29" s="90" t="str">
        <f aca="false">IF($B29="","",SUM(S29:U29))</f>
        <v/>
      </c>
      <c r="W29" s="112" t="str">
        <f aca="false">IF($B29="","",R29-V29)</f>
        <v/>
      </c>
      <c r="X29" s="90" t="str">
        <f aca="false">IF($B29="","",الموظفون!$Q29*IF(E29="سعودي",cfg_G_SR,cfg_G_NR)*F29/cfg_DAYS_M)</f>
        <v/>
      </c>
      <c r="Y29" s="90" t="str">
        <f aca="false">IF($B29="","",الموظفون!$O29*(cfg_EOS_R1*(MIN(AC29,cfg_EOS_TH)-MIN(AD29,cfg_EOS_TH))+cfg_EOS_R2*(MAX(AC29-cfg_EOS_TH,0)-MAX(AD29-cfg_EOS_TH,0))))</f>
        <v/>
      </c>
      <c r="Z29" s="90" t="str">
        <f aca="false">IF($B29="","",IF(الموظفون!$R29&lt;&gt;"",الموظفون!$R29,IF(AC29&gt;=cfg_LV_TH,cfg_LV_D2,cfg_LV_D1))/cfg_DAYS_Y*AE29*الموظفون!$P29/cfg_DAYS_M)</f>
        <v/>
      </c>
      <c r="AA29" s="90" t="str">
        <f aca="false">IF($B29="","",IF(AND(الموظفون!$S29="نعم",N(الموظفون!$U29)&gt;0),الموظفون!$T29/الموظفون!$U29*12/cfg_DAYS_Y*AE29,0))</f>
        <v/>
      </c>
      <c r="AB29" s="113" t="str">
        <f aca="false">IF($B29="","",R29+SUM(X29:AA29))</f>
        <v/>
      </c>
      <c r="AC29" s="114" t="str">
        <f aca="false">IF($B29="","",MAX(0,IF(OR(الموظفون!$X29="",الموظفون!$X29&gt;$G$3),$G$3,الموظفون!$X29)-الموظفون!$H29+1)/cfg_DAYS_Y)</f>
        <v/>
      </c>
      <c r="AD29" s="114" t="str">
        <f aca="false">IF($B29="","",MAX(0,IF(OR(الموظفون!$X29="",الموظفون!$X29&gt;($E$3-1)),($E$3-1),الموظفون!$X29)-الموظفون!$H29+1)/cfg_DAYS_Y)</f>
        <v/>
      </c>
      <c r="AE29" s="115" t="str">
        <f aca="false">IF($B29="","",MAX(0,IF(OR(الموظفون!$X29="",الموظفون!$X29&gt;$G$3),$G$3,الموظفون!$X29)-MAX($E$3,الموظفون!$H29)+1))</f>
        <v/>
      </c>
    </row>
    <row r="30" customFormat="false" ht="15" hidden="false" customHeight="false" outlineLevel="0" collapsed="false">
      <c r="A30" s="83" t="str">
        <f aca="false">IF($B30="","",الموظفون!$A30)</f>
        <v/>
      </c>
      <c r="B30" s="74" t="str">
        <f aca="false">IF(الموظفون!$B30="","",الموظفون!$B30)</f>
        <v/>
      </c>
      <c r="C30" s="74" t="str">
        <f aca="false">IF($B30="","",الموظفون!$C30)</f>
        <v/>
      </c>
      <c r="D30" s="74" t="str">
        <f aca="false">IF($B30="","",الموظفون!$F30)</f>
        <v/>
      </c>
      <c r="E30" s="74" t="str">
        <f aca="false">IF($B30="","",الموظفون!$E30)</f>
        <v/>
      </c>
      <c r="F30" s="105" t="str">
        <f aca="false">IF($B30="","",IF(AE30&gt;=DAY($G$3),cfg_DAYS_M,MIN(AE30,cfg_DAYS_M)))</f>
        <v/>
      </c>
      <c r="G30" s="105" t="str">
        <f aca="false">IF($B30="","",SUMIFS('الحركات الشهرية'!$D$6:$D$1005,'الحركات الشهرية'!$B$6:$B$1005,$B30,'الحركات الشهرية'!$A$6:$A$1005,$C$3))</f>
        <v/>
      </c>
      <c r="H30" s="105" t="str">
        <f aca="false">IF($B30="","",SUMIFS('الحركات الشهرية'!$E$6:$E$1005,'الحركات الشهرية'!$B$6:$B$1005,$B30,'الحركات الشهرية'!$A$6:$A$1005,$C$3))</f>
        <v/>
      </c>
      <c r="I30" s="105" t="str">
        <f aca="false">IF($B30="","",MAX(0,F30-G30-H30))</f>
        <v/>
      </c>
      <c r="J30" s="86" t="str">
        <f aca="false">IF($B30="","",الموظفون!$J30*$I30/cfg_DAYS_M)</f>
        <v/>
      </c>
      <c r="K30" s="86" t="str">
        <f aca="false">IF($B30="","",الموظفون!$K30*$I30/cfg_DAYS_M)</f>
        <v/>
      </c>
      <c r="L30" s="86" t="str">
        <f aca="false">IF($B30="","",الموظفون!$L30*$I30/cfg_DAYS_M)</f>
        <v/>
      </c>
      <c r="M30" s="86" t="str">
        <f aca="false">IF($B30="","",الموظفون!$M30*$I30/cfg_DAYS_M)</f>
        <v/>
      </c>
      <c r="N30" s="105" t="str">
        <f aca="false">IF($B30="","",SUMIFS('الحركات الشهرية'!$F$6:$F$1005,'الحركات الشهرية'!$B$6:$B$1005,$B30,'الحركات الشهرية'!$A$6:$A$1005,$C$3))</f>
        <v/>
      </c>
      <c r="O30" s="86" t="str">
        <f aca="false">IF($B30="","",N30*(الموظفون!$N30+الموظفون!$J30*cfg_OT_P)/cfg_DAYS_M/cfg_HRS)</f>
        <v/>
      </c>
      <c r="P30" s="86" t="str">
        <f aca="false">IF($B30="","",SUMIFS('الحركات الشهرية'!$G$6:$G$1005,'الحركات الشهرية'!$B$6:$B$1005,$B30,'الحركات الشهرية'!$A$6:$A$1005,$C$3))</f>
        <v/>
      </c>
      <c r="Q30" s="86" t="str">
        <f aca="false">IF($B30="","",SUMIFS('الحركات الشهرية'!$H$6:$H$1005,'الحركات الشهرية'!$B$6:$B$1005,$B30,'الحركات الشهرية'!$A$6:$A$1005,$C$3))</f>
        <v/>
      </c>
      <c r="R30" s="106" t="str">
        <f aca="false">IF($B30="","",SUM(J30:M30)+SUM(O30:Q30))</f>
        <v/>
      </c>
      <c r="S30" s="86" t="str">
        <f aca="false">IF($B30="","",الموظفون!$Q30*IF(E30="سعودي",cfg_G_SE,cfg_G_NE)*F30/cfg_DAYS_M)</f>
        <v/>
      </c>
      <c r="T30" s="86" t="str">
        <f aca="false">IF($B30="","",SUMIFS('الحركات الشهرية'!$I$6:$I$1005,'الحركات الشهرية'!$B$6:$B$1005,$B30,'الحركات الشهرية'!$A$6:$A$1005,$C$3))</f>
        <v/>
      </c>
      <c r="U30" s="86" t="str">
        <f aca="false">IF($B30="","",SUMIFS('الحركات الشهرية'!$J$6:$J$1005,'الحركات الشهرية'!$B$6:$B$1005,$B30,'الحركات الشهرية'!$A$6:$A$1005,$C$3))</f>
        <v/>
      </c>
      <c r="V30" s="86" t="str">
        <f aca="false">IF($B30="","",SUM(S30:U30))</f>
        <v/>
      </c>
      <c r="W30" s="107" t="str">
        <f aca="false">IF($B30="","",R30-V30)</f>
        <v/>
      </c>
      <c r="X30" s="86" t="str">
        <f aca="false">IF($B30="","",الموظفون!$Q30*IF(E30="سعودي",cfg_G_SR,cfg_G_NR)*F30/cfg_DAYS_M)</f>
        <v/>
      </c>
      <c r="Y30" s="86" t="str">
        <f aca="false">IF($B30="","",الموظفون!$O30*(cfg_EOS_R1*(MIN(AC30,cfg_EOS_TH)-MIN(AD30,cfg_EOS_TH))+cfg_EOS_R2*(MAX(AC30-cfg_EOS_TH,0)-MAX(AD30-cfg_EOS_TH,0))))</f>
        <v/>
      </c>
      <c r="Z30" s="86" t="str">
        <f aca="false">IF($B30="","",IF(الموظفون!$R30&lt;&gt;"",الموظفون!$R30,IF(AC30&gt;=cfg_LV_TH,cfg_LV_D2,cfg_LV_D1))/cfg_DAYS_Y*AE30*الموظفون!$P30/cfg_DAYS_M)</f>
        <v/>
      </c>
      <c r="AA30" s="86" t="str">
        <f aca="false">IF($B30="","",IF(AND(الموظفون!$S30="نعم",N(الموظفون!$U30)&gt;0),الموظفون!$T30/الموظفون!$U30*12/cfg_DAYS_Y*AE30,0))</f>
        <v/>
      </c>
      <c r="AB30" s="108" t="str">
        <f aca="false">IF($B30="","",R30+SUM(X30:AA30))</f>
        <v/>
      </c>
      <c r="AC30" s="109" t="str">
        <f aca="false">IF($B30="","",MAX(0,IF(OR(الموظفون!$X30="",الموظفون!$X30&gt;$G$3),$G$3,الموظفون!$X30)-الموظفون!$H30+1)/cfg_DAYS_Y)</f>
        <v/>
      </c>
      <c r="AD30" s="109" t="str">
        <f aca="false">IF($B30="","",MAX(0,IF(OR(الموظفون!$X30="",الموظفون!$X30&gt;($E$3-1)),($E$3-1),الموظفون!$X30)-الموظفون!$H30+1)/cfg_DAYS_Y)</f>
        <v/>
      </c>
      <c r="AE30" s="51" t="str">
        <f aca="false">IF($B30="","",MAX(0,IF(OR(الموظفون!$X30="",الموظفون!$X30&gt;$G$3),$G$3,الموظفون!$X30)-MAX($E$3,الموظفون!$H30)+1))</f>
        <v/>
      </c>
    </row>
    <row r="31" customFormat="false" ht="15" hidden="false" customHeight="false" outlineLevel="0" collapsed="false">
      <c r="A31" s="89" t="str">
        <f aca="false">IF($B31="","",الموظفون!$A31)</f>
        <v/>
      </c>
      <c r="B31" s="91" t="str">
        <f aca="false">IF(الموظفون!$B31="","",الموظفون!$B31)</f>
        <v/>
      </c>
      <c r="C31" s="91" t="str">
        <f aca="false">IF($B31="","",الموظفون!$C31)</f>
        <v/>
      </c>
      <c r="D31" s="91" t="str">
        <f aca="false">IF($B31="","",الموظفون!$F31)</f>
        <v/>
      </c>
      <c r="E31" s="91" t="str">
        <f aca="false">IF($B31="","",الموظفون!$E31)</f>
        <v/>
      </c>
      <c r="F31" s="110" t="str">
        <f aca="false">IF($B31="","",IF(AE31&gt;=DAY($G$3),cfg_DAYS_M,MIN(AE31,cfg_DAYS_M)))</f>
        <v/>
      </c>
      <c r="G31" s="110" t="str">
        <f aca="false">IF($B31="","",SUMIFS('الحركات الشهرية'!$D$6:$D$1005,'الحركات الشهرية'!$B$6:$B$1005,$B31,'الحركات الشهرية'!$A$6:$A$1005,$C$3))</f>
        <v/>
      </c>
      <c r="H31" s="110" t="str">
        <f aca="false">IF($B31="","",SUMIFS('الحركات الشهرية'!$E$6:$E$1005,'الحركات الشهرية'!$B$6:$B$1005,$B31,'الحركات الشهرية'!$A$6:$A$1005,$C$3))</f>
        <v/>
      </c>
      <c r="I31" s="110" t="str">
        <f aca="false">IF($B31="","",MAX(0,F31-G31-H31))</f>
        <v/>
      </c>
      <c r="J31" s="90" t="str">
        <f aca="false">IF($B31="","",الموظفون!$J31*$I31/cfg_DAYS_M)</f>
        <v/>
      </c>
      <c r="K31" s="90" t="str">
        <f aca="false">IF($B31="","",الموظفون!$K31*$I31/cfg_DAYS_M)</f>
        <v/>
      </c>
      <c r="L31" s="90" t="str">
        <f aca="false">IF($B31="","",الموظفون!$L31*$I31/cfg_DAYS_M)</f>
        <v/>
      </c>
      <c r="M31" s="90" t="str">
        <f aca="false">IF($B31="","",الموظفون!$M31*$I31/cfg_DAYS_M)</f>
        <v/>
      </c>
      <c r="N31" s="110" t="str">
        <f aca="false">IF($B31="","",SUMIFS('الحركات الشهرية'!$F$6:$F$1005,'الحركات الشهرية'!$B$6:$B$1005,$B31,'الحركات الشهرية'!$A$6:$A$1005,$C$3))</f>
        <v/>
      </c>
      <c r="O31" s="90" t="str">
        <f aca="false">IF($B31="","",N31*(الموظفون!$N31+الموظفون!$J31*cfg_OT_P)/cfg_DAYS_M/cfg_HRS)</f>
        <v/>
      </c>
      <c r="P31" s="90" t="str">
        <f aca="false">IF($B31="","",SUMIFS('الحركات الشهرية'!$G$6:$G$1005,'الحركات الشهرية'!$B$6:$B$1005,$B31,'الحركات الشهرية'!$A$6:$A$1005,$C$3))</f>
        <v/>
      </c>
      <c r="Q31" s="90" t="str">
        <f aca="false">IF($B31="","",SUMIFS('الحركات الشهرية'!$H$6:$H$1005,'الحركات الشهرية'!$B$6:$B$1005,$B31,'الحركات الشهرية'!$A$6:$A$1005,$C$3))</f>
        <v/>
      </c>
      <c r="R31" s="111" t="str">
        <f aca="false">IF($B31="","",SUM(J31:M31)+SUM(O31:Q31))</f>
        <v/>
      </c>
      <c r="S31" s="90" t="str">
        <f aca="false">IF($B31="","",الموظفون!$Q31*IF(E31="سعودي",cfg_G_SE,cfg_G_NE)*F31/cfg_DAYS_M)</f>
        <v/>
      </c>
      <c r="T31" s="90" t="str">
        <f aca="false">IF($B31="","",SUMIFS('الحركات الشهرية'!$I$6:$I$1005,'الحركات الشهرية'!$B$6:$B$1005,$B31,'الحركات الشهرية'!$A$6:$A$1005,$C$3))</f>
        <v/>
      </c>
      <c r="U31" s="90" t="str">
        <f aca="false">IF($B31="","",SUMIFS('الحركات الشهرية'!$J$6:$J$1005,'الحركات الشهرية'!$B$6:$B$1005,$B31,'الحركات الشهرية'!$A$6:$A$1005,$C$3))</f>
        <v/>
      </c>
      <c r="V31" s="90" t="str">
        <f aca="false">IF($B31="","",SUM(S31:U31))</f>
        <v/>
      </c>
      <c r="W31" s="112" t="str">
        <f aca="false">IF($B31="","",R31-V31)</f>
        <v/>
      </c>
      <c r="X31" s="90" t="str">
        <f aca="false">IF($B31="","",الموظفون!$Q31*IF(E31="سعودي",cfg_G_SR,cfg_G_NR)*F31/cfg_DAYS_M)</f>
        <v/>
      </c>
      <c r="Y31" s="90" t="str">
        <f aca="false">IF($B31="","",الموظفون!$O31*(cfg_EOS_R1*(MIN(AC31,cfg_EOS_TH)-MIN(AD31,cfg_EOS_TH))+cfg_EOS_R2*(MAX(AC31-cfg_EOS_TH,0)-MAX(AD31-cfg_EOS_TH,0))))</f>
        <v/>
      </c>
      <c r="Z31" s="90" t="str">
        <f aca="false">IF($B31="","",IF(الموظفون!$R31&lt;&gt;"",الموظفون!$R31,IF(AC31&gt;=cfg_LV_TH,cfg_LV_D2,cfg_LV_D1))/cfg_DAYS_Y*AE31*الموظفون!$P31/cfg_DAYS_M)</f>
        <v/>
      </c>
      <c r="AA31" s="90" t="str">
        <f aca="false">IF($B31="","",IF(AND(الموظفون!$S31="نعم",N(الموظفون!$U31)&gt;0),الموظفون!$T31/الموظفون!$U31*12/cfg_DAYS_Y*AE31,0))</f>
        <v/>
      </c>
      <c r="AB31" s="113" t="str">
        <f aca="false">IF($B31="","",R31+SUM(X31:AA31))</f>
        <v/>
      </c>
      <c r="AC31" s="114" t="str">
        <f aca="false">IF($B31="","",MAX(0,IF(OR(الموظفون!$X31="",الموظفون!$X31&gt;$G$3),$G$3,الموظفون!$X31)-الموظفون!$H31+1)/cfg_DAYS_Y)</f>
        <v/>
      </c>
      <c r="AD31" s="114" t="str">
        <f aca="false">IF($B31="","",MAX(0,IF(OR(الموظفون!$X31="",الموظفون!$X31&gt;($E$3-1)),($E$3-1),الموظفون!$X31)-الموظفون!$H31+1)/cfg_DAYS_Y)</f>
        <v/>
      </c>
      <c r="AE31" s="115" t="str">
        <f aca="false">IF($B31="","",MAX(0,IF(OR(الموظفون!$X31="",الموظفون!$X31&gt;$G$3),$G$3,الموظفون!$X31)-MAX($E$3,الموظفون!$H31)+1))</f>
        <v/>
      </c>
    </row>
    <row r="32" customFormat="false" ht="15" hidden="false" customHeight="false" outlineLevel="0" collapsed="false">
      <c r="A32" s="83" t="str">
        <f aca="false">IF($B32="","",الموظفون!$A32)</f>
        <v/>
      </c>
      <c r="B32" s="74" t="str">
        <f aca="false">IF(الموظفون!$B32="","",الموظفون!$B32)</f>
        <v/>
      </c>
      <c r="C32" s="74" t="str">
        <f aca="false">IF($B32="","",الموظفون!$C32)</f>
        <v/>
      </c>
      <c r="D32" s="74" t="str">
        <f aca="false">IF($B32="","",الموظفون!$F32)</f>
        <v/>
      </c>
      <c r="E32" s="74" t="str">
        <f aca="false">IF($B32="","",الموظفون!$E32)</f>
        <v/>
      </c>
      <c r="F32" s="105" t="str">
        <f aca="false">IF($B32="","",IF(AE32&gt;=DAY($G$3),cfg_DAYS_M,MIN(AE32,cfg_DAYS_M)))</f>
        <v/>
      </c>
      <c r="G32" s="105" t="str">
        <f aca="false">IF($B32="","",SUMIFS('الحركات الشهرية'!$D$6:$D$1005,'الحركات الشهرية'!$B$6:$B$1005,$B32,'الحركات الشهرية'!$A$6:$A$1005,$C$3))</f>
        <v/>
      </c>
      <c r="H32" s="105" t="str">
        <f aca="false">IF($B32="","",SUMIFS('الحركات الشهرية'!$E$6:$E$1005,'الحركات الشهرية'!$B$6:$B$1005,$B32,'الحركات الشهرية'!$A$6:$A$1005,$C$3))</f>
        <v/>
      </c>
      <c r="I32" s="105" t="str">
        <f aca="false">IF($B32="","",MAX(0,F32-G32-H32))</f>
        <v/>
      </c>
      <c r="J32" s="86" t="str">
        <f aca="false">IF($B32="","",الموظفون!$J32*$I32/cfg_DAYS_M)</f>
        <v/>
      </c>
      <c r="K32" s="86" t="str">
        <f aca="false">IF($B32="","",الموظفون!$K32*$I32/cfg_DAYS_M)</f>
        <v/>
      </c>
      <c r="L32" s="86" t="str">
        <f aca="false">IF($B32="","",الموظفون!$L32*$I32/cfg_DAYS_M)</f>
        <v/>
      </c>
      <c r="M32" s="86" t="str">
        <f aca="false">IF($B32="","",الموظفون!$M32*$I32/cfg_DAYS_M)</f>
        <v/>
      </c>
      <c r="N32" s="105" t="str">
        <f aca="false">IF($B32="","",SUMIFS('الحركات الشهرية'!$F$6:$F$1005,'الحركات الشهرية'!$B$6:$B$1005,$B32,'الحركات الشهرية'!$A$6:$A$1005,$C$3))</f>
        <v/>
      </c>
      <c r="O32" s="86" t="str">
        <f aca="false">IF($B32="","",N32*(الموظفون!$N32+الموظفون!$J32*cfg_OT_P)/cfg_DAYS_M/cfg_HRS)</f>
        <v/>
      </c>
      <c r="P32" s="86" t="str">
        <f aca="false">IF($B32="","",SUMIFS('الحركات الشهرية'!$G$6:$G$1005,'الحركات الشهرية'!$B$6:$B$1005,$B32,'الحركات الشهرية'!$A$6:$A$1005,$C$3))</f>
        <v/>
      </c>
      <c r="Q32" s="86" t="str">
        <f aca="false">IF($B32="","",SUMIFS('الحركات الشهرية'!$H$6:$H$1005,'الحركات الشهرية'!$B$6:$B$1005,$B32,'الحركات الشهرية'!$A$6:$A$1005,$C$3))</f>
        <v/>
      </c>
      <c r="R32" s="106" t="str">
        <f aca="false">IF($B32="","",SUM(J32:M32)+SUM(O32:Q32))</f>
        <v/>
      </c>
      <c r="S32" s="86" t="str">
        <f aca="false">IF($B32="","",الموظفون!$Q32*IF(E32="سعودي",cfg_G_SE,cfg_G_NE)*F32/cfg_DAYS_M)</f>
        <v/>
      </c>
      <c r="T32" s="86" t="str">
        <f aca="false">IF($B32="","",SUMIFS('الحركات الشهرية'!$I$6:$I$1005,'الحركات الشهرية'!$B$6:$B$1005,$B32,'الحركات الشهرية'!$A$6:$A$1005,$C$3))</f>
        <v/>
      </c>
      <c r="U32" s="86" t="str">
        <f aca="false">IF($B32="","",SUMIFS('الحركات الشهرية'!$J$6:$J$1005,'الحركات الشهرية'!$B$6:$B$1005,$B32,'الحركات الشهرية'!$A$6:$A$1005,$C$3))</f>
        <v/>
      </c>
      <c r="V32" s="86" t="str">
        <f aca="false">IF($B32="","",SUM(S32:U32))</f>
        <v/>
      </c>
      <c r="W32" s="107" t="str">
        <f aca="false">IF($B32="","",R32-V32)</f>
        <v/>
      </c>
      <c r="X32" s="86" t="str">
        <f aca="false">IF($B32="","",الموظفون!$Q32*IF(E32="سعودي",cfg_G_SR,cfg_G_NR)*F32/cfg_DAYS_M)</f>
        <v/>
      </c>
      <c r="Y32" s="86" t="str">
        <f aca="false">IF($B32="","",الموظفون!$O32*(cfg_EOS_R1*(MIN(AC32,cfg_EOS_TH)-MIN(AD32,cfg_EOS_TH))+cfg_EOS_R2*(MAX(AC32-cfg_EOS_TH,0)-MAX(AD32-cfg_EOS_TH,0))))</f>
        <v/>
      </c>
      <c r="Z32" s="86" t="str">
        <f aca="false">IF($B32="","",IF(الموظفون!$R32&lt;&gt;"",الموظفون!$R32,IF(AC32&gt;=cfg_LV_TH,cfg_LV_D2,cfg_LV_D1))/cfg_DAYS_Y*AE32*الموظفون!$P32/cfg_DAYS_M)</f>
        <v/>
      </c>
      <c r="AA32" s="86" t="str">
        <f aca="false">IF($B32="","",IF(AND(الموظفون!$S32="نعم",N(الموظفون!$U32)&gt;0),الموظفون!$T32/الموظفون!$U32*12/cfg_DAYS_Y*AE32,0))</f>
        <v/>
      </c>
      <c r="AB32" s="108" t="str">
        <f aca="false">IF($B32="","",R32+SUM(X32:AA32))</f>
        <v/>
      </c>
      <c r="AC32" s="109" t="str">
        <f aca="false">IF($B32="","",MAX(0,IF(OR(الموظفون!$X32="",الموظفون!$X32&gt;$G$3),$G$3,الموظفون!$X32)-الموظفون!$H32+1)/cfg_DAYS_Y)</f>
        <v/>
      </c>
      <c r="AD32" s="109" t="str">
        <f aca="false">IF($B32="","",MAX(0,IF(OR(الموظفون!$X32="",الموظفون!$X32&gt;($E$3-1)),($E$3-1),الموظفون!$X32)-الموظفون!$H32+1)/cfg_DAYS_Y)</f>
        <v/>
      </c>
      <c r="AE32" s="51" t="str">
        <f aca="false">IF($B32="","",MAX(0,IF(OR(الموظفون!$X32="",الموظفون!$X32&gt;$G$3),$G$3,الموظفون!$X32)-MAX($E$3,الموظفون!$H32)+1))</f>
        <v/>
      </c>
    </row>
    <row r="33" customFormat="false" ht="15" hidden="false" customHeight="false" outlineLevel="0" collapsed="false">
      <c r="A33" s="89" t="str">
        <f aca="false">IF($B33="","",الموظفون!$A33)</f>
        <v/>
      </c>
      <c r="B33" s="91" t="str">
        <f aca="false">IF(الموظفون!$B33="","",الموظفون!$B33)</f>
        <v/>
      </c>
      <c r="C33" s="91" t="str">
        <f aca="false">IF($B33="","",الموظفون!$C33)</f>
        <v/>
      </c>
      <c r="D33" s="91" t="str">
        <f aca="false">IF($B33="","",الموظفون!$F33)</f>
        <v/>
      </c>
      <c r="E33" s="91" t="str">
        <f aca="false">IF($B33="","",الموظفون!$E33)</f>
        <v/>
      </c>
      <c r="F33" s="110" t="str">
        <f aca="false">IF($B33="","",IF(AE33&gt;=DAY($G$3),cfg_DAYS_M,MIN(AE33,cfg_DAYS_M)))</f>
        <v/>
      </c>
      <c r="G33" s="110" t="str">
        <f aca="false">IF($B33="","",SUMIFS('الحركات الشهرية'!$D$6:$D$1005,'الحركات الشهرية'!$B$6:$B$1005,$B33,'الحركات الشهرية'!$A$6:$A$1005,$C$3))</f>
        <v/>
      </c>
      <c r="H33" s="110" t="str">
        <f aca="false">IF($B33="","",SUMIFS('الحركات الشهرية'!$E$6:$E$1005,'الحركات الشهرية'!$B$6:$B$1005,$B33,'الحركات الشهرية'!$A$6:$A$1005,$C$3))</f>
        <v/>
      </c>
      <c r="I33" s="110" t="str">
        <f aca="false">IF($B33="","",MAX(0,F33-G33-H33))</f>
        <v/>
      </c>
      <c r="J33" s="90" t="str">
        <f aca="false">IF($B33="","",الموظفون!$J33*$I33/cfg_DAYS_M)</f>
        <v/>
      </c>
      <c r="K33" s="90" t="str">
        <f aca="false">IF($B33="","",الموظفون!$K33*$I33/cfg_DAYS_M)</f>
        <v/>
      </c>
      <c r="L33" s="90" t="str">
        <f aca="false">IF($B33="","",الموظفون!$L33*$I33/cfg_DAYS_M)</f>
        <v/>
      </c>
      <c r="M33" s="90" t="str">
        <f aca="false">IF($B33="","",الموظفون!$M33*$I33/cfg_DAYS_M)</f>
        <v/>
      </c>
      <c r="N33" s="110" t="str">
        <f aca="false">IF($B33="","",SUMIFS('الحركات الشهرية'!$F$6:$F$1005,'الحركات الشهرية'!$B$6:$B$1005,$B33,'الحركات الشهرية'!$A$6:$A$1005,$C$3))</f>
        <v/>
      </c>
      <c r="O33" s="90" t="str">
        <f aca="false">IF($B33="","",N33*(الموظفون!$N33+الموظفون!$J33*cfg_OT_P)/cfg_DAYS_M/cfg_HRS)</f>
        <v/>
      </c>
      <c r="P33" s="90" t="str">
        <f aca="false">IF($B33="","",SUMIFS('الحركات الشهرية'!$G$6:$G$1005,'الحركات الشهرية'!$B$6:$B$1005,$B33,'الحركات الشهرية'!$A$6:$A$1005,$C$3))</f>
        <v/>
      </c>
      <c r="Q33" s="90" t="str">
        <f aca="false">IF($B33="","",SUMIFS('الحركات الشهرية'!$H$6:$H$1005,'الحركات الشهرية'!$B$6:$B$1005,$B33,'الحركات الشهرية'!$A$6:$A$1005,$C$3))</f>
        <v/>
      </c>
      <c r="R33" s="111" t="str">
        <f aca="false">IF($B33="","",SUM(J33:M33)+SUM(O33:Q33))</f>
        <v/>
      </c>
      <c r="S33" s="90" t="str">
        <f aca="false">IF($B33="","",الموظفون!$Q33*IF(E33="سعودي",cfg_G_SE,cfg_G_NE)*F33/cfg_DAYS_M)</f>
        <v/>
      </c>
      <c r="T33" s="90" t="str">
        <f aca="false">IF($B33="","",SUMIFS('الحركات الشهرية'!$I$6:$I$1005,'الحركات الشهرية'!$B$6:$B$1005,$B33,'الحركات الشهرية'!$A$6:$A$1005,$C$3))</f>
        <v/>
      </c>
      <c r="U33" s="90" t="str">
        <f aca="false">IF($B33="","",SUMIFS('الحركات الشهرية'!$J$6:$J$1005,'الحركات الشهرية'!$B$6:$B$1005,$B33,'الحركات الشهرية'!$A$6:$A$1005,$C$3))</f>
        <v/>
      </c>
      <c r="V33" s="90" t="str">
        <f aca="false">IF($B33="","",SUM(S33:U33))</f>
        <v/>
      </c>
      <c r="W33" s="112" t="str">
        <f aca="false">IF($B33="","",R33-V33)</f>
        <v/>
      </c>
      <c r="X33" s="90" t="str">
        <f aca="false">IF($B33="","",الموظفون!$Q33*IF(E33="سعودي",cfg_G_SR,cfg_G_NR)*F33/cfg_DAYS_M)</f>
        <v/>
      </c>
      <c r="Y33" s="90" t="str">
        <f aca="false">IF($B33="","",الموظفون!$O33*(cfg_EOS_R1*(MIN(AC33,cfg_EOS_TH)-MIN(AD33,cfg_EOS_TH))+cfg_EOS_R2*(MAX(AC33-cfg_EOS_TH,0)-MAX(AD33-cfg_EOS_TH,0))))</f>
        <v/>
      </c>
      <c r="Z33" s="90" t="str">
        <f aca="false">IF($B33="","",IF(الموظفون!$R33&lt;&gt;"",الموظفون!$R33,IF(AC33&gt;=cfg_LV_TH,cfg_LV_D2,cfg_LV_D1))/cfg_DAYS_Y*AE33*الموظفون!$P33/cfg_DAYS_M)</f>
        <v/>
      </c>
      <c r="AA33" s="90" t="str">
        <f aca="false">IF($B33="","",IF(AND(الموظفون!$S33="نعم",N(الموظفون!$U33)&gt;0),الموظفون!$T33/الموظفون!$U33*12/cfg_DAYS_Y*AE33,0))</f>
        <v/>
      </c>
      <c r="AB33" s="113" t="str">
        <f aca="false">IF($B33="","",R33+SUM(X33:AA33))</f>
        <v/>
      </c>
      <c r="AC33" s="114" t="str">
        <f aca="false">IF($B33="","",MAX(0,IF(OR(الموظفون!$X33="",الموظفون!$X33&gt;$G$3),$G$3,الموظفون!$X33)-الموظفون!$H33+1)/cfg_DAYS_Y)</f>
        <v/>
      </c>
      <c r="AD33" s="114" t="str">
        <f aca="false">IF($B33="","",MAX(0,IF(OR(الموظفون!$X33="",الموظفون!$X33&gt;($E$3-1)),($E$3-1),الموظفون!$X33)-الموظفون!$H33+1)/cfg_DAYS_Y)</f>
        <v/>
      </c>
      <c r="AE33" s="115" t="str">
        <f aca="false">IF($B33="","",MAX(0,IF(OR(الموظفون!$X33="",الموظفون!$X33&gt;$G$3),$G$3,الموظفون!$X33)-MAX($E$3,الموظفون!$H33)+1))</f>
        <v/>
      </c>
    </row>
    <row r="34" customFormat="false" ht="15" hidden="false" customHeight="false" outlineLevel="0" collapsed="false">
      <c r="A34" s="83" t="str">
        <f aca="false">IF($B34="","",الموظفون!$A34)</f>
        <v/>
      </c>
      <c r="B34" s="74" t="str">
        <f aca="false">IF(الموظفون!$B34="","",الموظفون!$B34)</f>
        <v/>
      </c>
      <c r="C34" s="74" t="str">
        <f aca="false">IF($B34="","",الموظفون!$C34)</f>
        <v/>
      </c>
      <c r="D34" s="74" t="str">
        <f aca="false">IF($B34="","",الموظفون!$F34)</f>
        <v/>
      </c>
      <c r="E34" s="74" t="str">
        <f aca="false">IF($B34="","",الموظفون!$E34)</f>
        <v/>
      </c>
      <c r="F34" s="105" t="str">
        <f aca="false">IF($B34="","",IF(AE34&gt;=DAY($G$3),cfg_DAYS_M,MIN(AE34,cfg_DAYS_M)))</f>
        <v/>
      </c>
      <c r="G34" s="105" t="str">
        <f aca="false">IF($B34="","",SUMIFS('الحركات الشهرية'!$D$6:$D$1005,'الحركات الشهرية'!$B$6:$B$1005,$B34,'الحركات الشهرية'!$A$6:$A$1005,$C$3))</f>
        <v/>
      </c>
      <c r="H34" s="105" t="str">
        <f aca="false">IF($B34="","",SUMIFS('الحركات الشهرية'!$E$6:$E$1005,'الحركات الشهرية'!$B$6:$B$1005,$B34,'الحركات الشهرية'!$A$6:$A$1005,$C$3))</f>
        <v/>
      </c>
      <c r="I34" s="105" t="str">
        <f aca="false">IF($B34="","",MAX(0,F34-G34-H34))</f>
        <v/>
      </c>
      <c r="J34" s="86" t="str">
        <f aca="false">IF($B34="","",الموظفون!$J34*$I34/cfg_DAYS_M)</f>
        <v/>
      </c>
      <c r="K34" s="86" t="str">
        <f aca="false">IF($B34="","",الموظفون!$K34*$I34/cfg_DAYS_M)</f>
        <v/>
      </c>
      <c r="L34" s="86" t="str">
        <f aca="false">IF($B34="","",الموظفون!$L34*$I34/cfg_DAYS_M)</f>
        <v/>
      </c>
      <c r="M34" s="86" t="str">
        <f aca="false">IF($B34="","",الموظفون!$M34*$I34/cfg_DAYS_M)</f>
        <v/>
      </c>
      <c r="N34" s="105" t="str">
        <f aca="false">IF($B34="","",SUMIFS('الحركات الشهرية'!$F$6:$F$1005,'الحركات الشهرية'!$B$6:$B$1005,$B34,'الحركات الشهرية'!$A$6:$A$1005,$C$3))</f>
        <v/>
      </c>
      <c r="O34" s="86" t="str">
        <f aca="false">IF($B34="","",N34*(الموظفون!$N34+الموظفون!$J34*cfg_OT_P)/cfg_DAYS_M/cfg_HRS)</f>
        <v/>
      </c>
      <c r="P34" s="86" t="str">
        <f aca="false">IF($B34="","",SUMIFS('الحركات الشهرية'!$G$6:$G$1005,'الحركات الشهرية'!$B$6:$B$1005,$B34,'الحركات الشهرية'!$A$6:$A$1005,$C$3))</f>
        <v/>
      </c>
      <c r="Q34" s="86" t="str">
        <f aca="false">IF($B34="","",SUMIFS('الحركات الشهرية'!$H$6:$H$1005,'الحركات الشهرية'!$B$6:$B$1005,$B34,'الحركات الشهرية'!$A$6:$A$1005,$C$3))</f>
        <v/>
      </c>
      <c r="R34" s="106" t="str">
        <f aca="false">IF($B34="","",SUM(J34:M34)+SUM(O34:Q34))</f>
        <v/>
      </c>
      <c r="S34" s="86" t="str">
        <f aca="false">IF($B34="","",الموظفون!$Q34*IF(E34="سعودي",cfg_G_SE,cfg_G_NE)*F34/cfg_DAYS_M)</f>
        <v/>
      </c>
      <c r="T34" s="86" t="str">
        <f aca="false">IF($B34="","",SUMIFS('الحركات الشهرية'!$I$6:$I$1005,'الحركات الشهرية'!$B$6:$B$1005,$B34,'الحركات الشهرية'!$A$6:$A$1005,$C$3))</f>
        <v/>
      </c>
      <c r="U34" s="86" t="str">
        <f aca="false">IF($B34="","",SUMIFS('الحركات الشهرية'!$J$6:$J$1005,'الحركات الشهرية'!$B$6:$B$1005,$B34,'الحركات الشهرية'!$A$6:$A$1005,$C$3))</f>
        <v/>
      </c>
      <c r="V34" s="86" t="str">
        <f aca="false">IF($B34="","",SUM(S34:U34))</f>
        <v/>
      </c>
      <c r="W34" s="107" t="str">
        <f aca="false">IF($B34="","",R34-V34)</f>
        <v/>
      </c>
      <c r="X34" s="86" t="str">
        <f aca="false">IF($B34="","",الموظفون!$Q34*IF(E34="سعودي",cfg_G_SR,cfg_G_NR)*F34/cfg_DAYS_M)</f>
        <v/>
      </c>
      <c r="Y34" s="86" t="str">
        <f aca="false">IF($B34="","",الموظفون!$O34*(cfg_EOS_R1*(MIN(AC34,cfg_EOS_TH)-MIN(AD34,cfg_EOS_TH))+cfg_EOS_R2*(MAX(AC34-cfg_EOS_TH,0)-MAX(AD34-cfg_EOS_TH,0))))</f>
        <v/>
      </c>
      <c r="Z34" s="86" t="str">
        <f aca="false">IF($B34="","",IF(الموظفون!$R34&lt;&gt;"",الموظفون!$R34,IF(AC34&gt;=cfg_LV_TH,cfg_LV_D2,cfg_LV_D1))/cfg_DAYS_Y*AE34*الموظفون!$P34/cfg_DAYS_M)</f>
        <v/>
      </c>
      <c r="AA34" s="86" t="str">
        <f aca="false">IF($B34="","",IF(AND(الموظفون!$S34="نعم",N(الموظفون!$U34)&gt;0),الموظفون!$T34/الموظفون!$U34*12/cfg_DAYS_Y*AE34,0))</f>
        <v/>
      </c>
      <c r="AB34" s="108" t="str">
        <f aca="false">IF($B34="","",R34+SUM(X34:AA34))</f>
        <v/>
      </c>
      <c r="AC34" s="109" t="str">
        <f aca="false">IF($B34="","",MAX(0,IF(OR(الموظفون!$X34="",الموظفون!$X34&gt;$G$3),$G$3,الموظفون!$X34)-الموظفون!$H34+1)/cfg_DAYS_Y)</f>
        <v/>
      </c>
      <c r="AD34" s="109" t="str">
        <f aca="false">IF($B34="","",MAX(0,IF(OR(الموظفون!$X34="",الموظفون!$X34&gt;($E$3-1)),($E$3-1),الموظفون!$X34)-الموظفون!$H34+1)/cfg_DAYS_Y)</f>
        <v/>
      </c>
      <c r="AE34" s="51" t="str">
        <f aca="false">IF($B34="","",MAX(0,IF(OR(الموظفون!$X34="",الموظفون!$X34&gt;$G$3),$G$3,الموظفون!$X34)-MAX($E$3,الموظفون!$H34)+1))</f>
        <v/>
      </c>
    </row>
    <row r="35" customFormat="false" ht="15" hidden="false" customHeight="false" outlineLevel="0" collapsed="false">
      <c r="A35" s="89" t="str">
        <f aca="false">IF($B35="","",الموظفون!$A35)</f>
        <v/>
      </c>
      <c r="B35" s="91" t="str">
        <f aca="false">IF(الموظفون!$B35="","",الموظفون!$B35)</f>
        <v/>
      </c>
      <c r="C35" s="91" t="str">
        <f aca="false">IF($B35="","",الموظفون!$C35)</f>
        <v/>
      </c>
      <c r="D35" s="91" t="str">
        <f aca="false">IF($B35="","",الموظفون!$F35)</f>
        <v/>
      </c>
      <c r="E35" s="91" t="str">
        <f aca="false">IF($B35="","",الموظفون!$E35)</f>
        <v/>
      </c>
      <c r="F35" s="110" t="str">
        <f aca="false">IF($B35="","",IF(AE35&gt;=DAY($G$3),cfg_DAYS_M,MIN(AE35,cfg_DAYS_M)))</f>
        <v/>
      </c>
      <c r="G35" s="110" t="str">
        <f aca="false">IF($B35="","",SUMIFS('الحركات الشهرية'!$D$6:$D$1005,'الحركات الشهرية'!$B$6:$B$1005,$B35,'الحركات الشهرية'!$A$6:$A$1005,$C$3))</f>
        <v/>
      </c>
      <c r="H35" s="110" t="str">
        <f aca="false">IF($B35="","",SUMIFS('الحركات الشهرية'!$E$6:$E$1005,'الحركات الشهرية'!$B$6:$B$1005,$B35,'الحركات الشهرية'!$A$6:$A$1005,$C$3))</f>
        <v/>
      </c>
      <c r="I35" s="110" t="str">
        <f aca="false">IF($B35="","",MAX(0,F35-G35-H35))</f>
        <v/>
      </c>
      <c r="J35" s="90" t="str">
        <f aca="false">IF($B35="","",الموظفون!$J35*$I35/cfg_DAYS_M)</f>
        <v/>
      </c>
      <c r="K35" s="90" t="str">
        <f aca="false">IF($B35="","",الموظفون!$K35*$I35/cfg_DAYS_M)</f>
        <v/>
      </c>
      <c r="L35" s="90" t="str">
        <f aca="false">IF($B35="","",الموظفون!$L35*$I35/cfg_DAYS_M)</f>
        <v/>
      </c>
      <c r="M35" s="90" t="str">
        <f aca="false">IF($B35="","",الموظفون!$M35*$I35/cfg_DAYS_M)</f>
        <v/>
      </c>
      <c r="N35" s="110" t="str">
        <f aca="false">IF($B35="","",SUMIFS('الحركات الشهرية'!$F$6:$F$1005,'الحركات الشهرية'!$B$6:$B$1005,$B35,'الحركات الشهرية'!$A$6:$A$1005,$C$3))</f>
        <v/>
      </c>
      <c r="O35" s="90" t="str">
        <f aca="false">IF($B35="","",N35*(الموظفون!$N35+الموظفون!$J35*cfg_OT_P)/cfg_DAYS_M/cfg_HRS)</f>
        <v/>
      </c>
      <c r="P35" s="90" t="str">
        <f aca="false">IF($B35="","",SUMIFS('الحركات الشهرية'!$G$6:$G$1005,'الحركات الشهرية'!$B$6:$B$1005,$B35,'الحركات الشهرية'!$A$6:$A$1005,$C$3))</f>
        <v/>
      </c>
      <c r="Q35" s="90" t="str">
        <f aca="false">IF($B35="","",SUMIFS('الحركات الشهرية'!$H$6:$H$1005,'الحركات الشهرية'!$B$6:$B$1005,$B35,'الحركات الشهرية'!$A$6:$A$1005,$C$3))</f>
        <v/>
      </c>
      <c r="R35" s="111" t="str">
        <f aca="false">IF($B35="","",SUM(J35:M35)+SUM(O35:Q35))</f>
        <v/>
      </c>
      <c r="S35" s="90" t="str">
        <f aca="false">IF($B35="","",الموظفون!$Q35*IF(E35="سعودي",cfg_G_SE,cfg_G_NE)*F35/cfg_DAYS_M)</f>
        <v/>
      </c>
      <c r="T35" s="90" t="str">
        <f aca="false">IF($B35="","",SUMIFS('الحركات الشهرية'!$I$6:$I$1005,'الحركات الشهرية'!$B$6:$B$1005,$B35,'الحركات الشهرية'!$A$6:$A$1005,$C$3))</f>
        <v/>
      </c>
      <c r="U35" s="90" t="str">
        <f aca="false">IF($B35="","",SUMIFS('الحركات الشهرية'!$J$6:$J$1005,'الحركات الشهرية'!$B$6:$B$1005,$B35,'الحركات الشهرية'!$A$6:$A$1005,$C$3))</f>
        <v/>
      </c>
      <c r="V35" s="90" t="str">
        <f aca="false">IF($B35="","",SUM(S35:U35))</f>
        <v/>
      </c>
      <c r="W35" s="112" t="str">
        <f aca="false">IF($B35="","",R35-V35)</f>
        <v/>
      </c>
      <c r="X35" s="90" t="str">
        <f aca="false">IF($B35="","",الموظفون!$Q35*IF(E35="سعودي",cfg_G_SR,cfg_G_NR)*F35/cfg_DAYS_M)</f>
        <v/>
      </c>
      <c r="Y35" s="90" t="str">
        <f aca="false">IF($B35="","",الموظفون!$O35*(cfg_EOS_R1*(MIN(AC35,cfg_EOS_TH)-MIN(AD35,cfg_EOS_TH))+cfg_EOS_R2*(MAX(AC35-cfg_EOS_TH,0)-MAX(AD35-cfg_EOS_TH,0))))</f>
        <v/>
      </c>
      <c r="Z35" s="90" t="str">
        <f aca="false">IF($B35="","",IF(الموظفون!$R35&lt;&gt;"",الموظفون!$R35,IF(AC35&gt;=cfg_LV_TH,cfg_LV_D2,cfg_LV_D1))/cfg_DAYS_Y*AE35*الموظفون!$P35/cfg_DAYS_M)</f>
        <v/>
      </c>
      <c r="AA35" s="90" t="str">
        <f aca="false">IF($B35="","",IF(AND(الموظفون!$S35="نعم",N(الموظفون!$U35)&gt;0),الموظفون!$T35/الموظفون!$U35*12/cfg_DAYS_Y*AE35,0))</f>
        <v/>
      </c>
      <c r="AB35" s="113" t="str">
        <f aca="false">IF($B35="","",R35+SUM(X35:AA35))</f>
        <v/>
      </c>
      <c r="AC35" s="114" t="str">
        <f aca="false">IF($B35="","",MAX(0,IF(OR(الموظفون!$X35="",الموظفون!$X35&gt;$G$3),$G$3,الموظفون!$X35)-الموظفون!$H35+1)/cfg_DAYS_Y)</f>
        <v/>
      </c>
      <c r="AD35" s="114" t="str">
        <f aca="false">IF($B35="","",MAX(0,IF(OR(الموظفون!$X35="",الموظفون!$X35&gt;($E$3-1)),($E$3-1),الموظفون!$X35)-الموظفون!$H35+1)/cfg_DAYS_Y)</f>
        <v/>
      </c>
      <c r="AE35" s="115" t="str">
        <f aca="false">IF($B35="","",MAX(0,IF(OR(الموظفون!$X35="",الموظفون!$X35&gt;$G$3),$G$3,الموظفون!$X35)-MAX($E$3,الموظفون!$H35)+1))</f>
        <v/>
      </c>
    </row>
    <row r="36" customFormat="false" ht="15" hidden="false" customHeight="false" outlineLevel="0" collapsed="false">
      <c r="A36" s="83" t="str">
        <f aca="false">IF($B36="","",الموظفون!$A36)</f>
        <v/>
      </c>
      <c r="B36" s="74" t="str">
        <f aca="false">IF(الموظفون!$B36="","",الموظفون!$B36)</f>
        <v/>
      </c>
      <c r="C36" s="74" t="str">
        <f aca="false">IF($B36="","",الموظفون!$C36)</f>
        <v/>
      </c>
      <c r="D36" s="74" t="str">
        <f aca="false">IF($B36="","",الموظفون!$F36)</f>
        <v/>
      </c>
      <c r="E36" s="74" t="str">
        <f aca="false">IF($B36="","",الموظفون!$E36)</f>
        <v/>
      </c>
      <c r="F36" s="105" t="str">
        <f aca="false">IF($B36="","",IF(AE36&gt;=DAY($G$3),cfg_DAYS_M,MIN(AE36,cfg_DAYS_M)))</f>
        <v/>
      </c>
      <c r="G36" s="105" t="str">
        <f aca="false">IF($B36="","",SUMIFS('الحركات الشهرية'!$D$6:$D$1005,'الحركات الشهرية'!$B$6:$B$1005,$B36,'الحركات الشهرية'!$A$6:$A$1005,$C$3))</f>
        <v/>
      </c>
      <c r="H36" s="105" t="str">
        <f aca="false">IF($B36="","",SUMIFS('الحركات الشهرية'!$E$6:$E$1005,'الحركات الشهرية'!$B$6:$B$1005,$B36,'الحركات الشهرية'!$A$6:$A$1005,$C$3))</f>
        <v/>
      </c>
      <c r="I36" s="105" t="str">
        <f aca="false">IF($B36="","",MAX(0,F36-G36-H36))</f>
        <v/>
      </c>
      <c r="J36" s="86" t="str">
        <f aca="false">IF($B36="","",الموظفون!$J36*$I36/cfg_DAYS_M)</f>
        <v/>
      </c>
      <c r="K36" s="86" t="str">
        <f aca="false">IF($B36="","",الموظفون!$K36*$I36/cfg_DAYS_M)</f>
        <v/>
      </c>
      <c r="L36" s="86" t="str">
        <f aca="false">IF($B36="","",الموظفون!$L36*$I36/cfg_DAYS_M)</f>
        <v/>
      </c>
      <c r="M36" s="86" t="str">
        <f aca="false">IF($B36="","",الموظفون!$M36*$I36/cfg_DAYS_M)</f>
        <v/>
      </c>
      <c r="N36" s="105" t="str">
        <f aca="false">IF($B36="","",SUMIFS('الحركات الشهرية'!$F$6:$F$1005,'الحركات الشهرية'!$B$6:$B$1005,$B36,'الحركات الشهرية'!$A$6:$A$1005,$C$3))</f>
        <v/>
      </c>
      <c r="O36" s="86" t="str">
        <f aca="false">IF($B36="","",N36*(الموظفون!$N36+الموظفون!$J36*cfg_OT_P)/cfg_DAYS_M/cfg_HRS)</f>
        <v/>
      </c>
      <c r="P36" s="86" t="str">
        <f aca="false">IF($B36="","",SUMIFS('الحركات الشهرية'!$G$6:$G$1005,'الحركات الشهرية'!$B$6:$B$1005,$B36,'الحركات الشهرية'!$A$6:$A$1005,$C$3))</f>
        <v/>
      </c>
      <c r="Q36" s="86" t="str">
        <f aca="false">IF($B36="","",SUMIFS('الحركات الشهرية'!$H$6:$H$1005,'الحركات الشهرية'!$B$6:$B$1005,$B36,'الحركات الشهرية'!$A$6:$A$1005,$C$3))</f>
        <v/>
      </c>
      <c r="R36" s="106" t="str">
        <f aca="false">IF($B36="","",SUM(J36:M36)+SUM(O36:Q36))</f>
        <v/>
      </c>
      <c r="S36" s="86" t="str">
        <f aca="false">IF($B36="","",الموظفون!$Q36*IF(E36="سعودي",cfg_G_SE,cfg_G_NE)*F36/cfg_DAYS_M)</f>
        <v/>
      </c>
      <c r="T36" s="86" t="str">
        <f aca="false">IF($B36="","",SUMIFS('الحركات الشهرية'!$I$6:$I$1005,'الحركات الشهرية'!$B$6:$B$1005,$B36,'الحركات الشهرية'!$A$6:$A$1005,$C$3))</f>
        <v/>
      </c>
      <c r="U36" s="86" t="str">
        <f aca="false">IF($B36="","",SUMIFS('الحركات الشهرية'!$J$6:$J$1005,'الحركات الشهرية'!$B$6:$B$1005,$B36,'الحركات الشهرية'!$A$6:$A$1005,$C$3))</f>
        <v/>
      </c>
      <c r="V36" s="86" t="str">
        <f aca="false">IF($B36="","",SUM(S36:U36))</f>
        <v/>
      </c>
      <c r="W36" s="107" t="str">
        <f aca="false">IF($B36="","",R36-V36)</f>
        <v/>
      </c>
      <c r="X36" s="86" t="str">
        <f aca="false">IF($B36="","",الموظفون!$Q36*IF(E36="سعودي",cfg_G_SR,cfg_G_NR)*F36/cfg_DAYS_M)</f>
        <v/>
      </c>
      <c r="Y36" s="86" t="str">
        <f aca="false">IF($B36="","",الموظفون!$O36*(cfg_EOS_R1*(MIN(AC36,cfg_EOS_TH)-MIN(AD36,cfg_EOS_TH))+cfg_EOS_R2*(MAX(AC36-cfg_EOS_TH,0)-MAX(AD36-cfg_EOS_TH,0))))</f>
        <v/>
      </c>
      <c r="Z36" s="86" t="str">
        <f aca="false">IF($B36="","",IF(الموظفون!$R36&lt;&gt;"",الموظفون!$R36,IF(AC36&gt;=cfg_LV_TH,cfg_LV_D2,cfg_LV_D1))/cfg_DAYS_Y*AE36*الموظفون!$P36/cfg_DAYS_M)</f>
        <v/>
      </c>
      <c r="AA36" s="86" t="str">
        <f aca="false">IF($B36="","",IF(AND(الموظفون!$S36="نعم",N(الموظفون!$U36)&gt;0),الموظفون!$T36/الموظفون!$U36*12/cfg_DAYS_Y*AE36,0))</f>
        <v/>
      </c>
      <c r="AB36" s="108" t="str">
        <f aca="false">IF($B36="","",R36+SUM(X36:AA36))</f>
        <v/>
      </c>
      <c r="AC36" s="109" t="str">
        <f aca="false">IF($B36="","",MAX(0,IF(OR(الموظفون!$X36="",الموظفون!$X36&gt;$G$3),$G$3,الموظفون!$X36)-الموظفون!$H36+1)/cfg_DAYS_Y)</f>
        <v/>
      </c>
      <c r="AD36" s="109" t="str">
        <f aca="false">IF($B36="","",MAX(0,IF(OR(الموظفون!$X36="",الموظفون!$X36&gt;($E$3-1)),($E$3-1),الموظفون!$X36)-الموظفون!$H36+1)/cfg_DAYS_Y)</f>
        <v/>
      </c>
      <c r="AE36" s="51" t="str">
        <f aca="false">IF($B36="","",MAX(0,IF(OR(الموظفون!$X36="",الموظفون!$X36&gt;$G$3),$G$3,الموظفون!$X36)-MAX($E$3,الموظفون!$H36)+1))</f>
        <v/>
      </c>
    </row>
    <row r="37" customFormat="false" ht="15" hidden="false" customHeight="false" outlineLevel="0" collapsed="false">
      <c r="A37" s="89" t="str">
        <f aca="false">IF($B37="","",الموظفون!$A37)</f>
        <v/>
      </c>
      <c r="B37" s="91" t="str">
        <f aca="false">IF(الموظفون!$B37="","",الموظفون!$B37)</f>
        <v/>
      </c>
      <c r="C37" s="91" t="str">
        <f aca="false">IF($B37="","",الموظفون!$C37)</f>
        <v/>
      </c>
      <c r="D37" s="91" t="str">
        <f aca="false">IF($B37="","",الموظفون!$F37)</f>
        <v/>
      </c>
      <c r="E37" s="91" t="str">
        <f aca="false">IF($B37="","",الموظفون!$E37)</f>
        <v/>
      </c>
      <c r="F37" s="110" t="str">
        <f aca="false">IF($B37="","",IF(AE37&gt;=DAY($G$3),cfg_DAYS_M,MIN(AE37,cfg_DAYS_M)))</f>
        <v/>
      </c>
      <c r="G37" s="110" t="str">
        <f aca="false">IF($B37="","",SUMIFS('الحركات الشهرية'!$D$6:$D$1005,'الحركات الشهرية'!$B$6:$B$1005,$B37,'الحركات الشهرية'!$A$6:$A$1005,$C$3))</f>
        <v/>
      </c>
      <c r="H37" s="110" t="str">
        <f aca="false">IF($B37="","",SUMIFS('الحركات الشهرية'!$E$6:$E$1005,'الحركات الشهرية'!$B$6:$B$1005,$B37,'الحركات الشهرية'!$A$6:$A$1005,$C$3))</f>
        <v/>
      </c>
      <c r="I37" s="110" t="str">
        <f aca="false">IF($B37="","",MAX(0,F37-G37-H37))</f>
        <v/>
      </c>
      <c r="J37" s="90" t="str">
        <f aca="false">IF($B37="","",الموظفون!$J37*$I37/cfg_DAYS_M)</f>
        <v/>
      </c>
      <c r="K37" s="90" t="str">
        <f aca="false">IF($B37="","",الموظفون!$K37*$I37/cfg_DAYS_M)</f>
        <v/>
      </c>
      <c r="L37" s="90" t="str">
        <f aca="false">IF($B37="","",الموظفون!$L37*$I37/cfg_DAYS_M)</f>
        <v/>
      </c>
      <c r="M37" s="90" t="str">
        <f aca="false">IF($B37="","",الموظفون!$M37*$I37/cfg_DAYS_M)</f>
        <v/>
      </c>
      <c r="N37" s="110" t="str">
        <f aca="false">IF($B37="","",SUMIFS('الحركات الشهرية'!$F$6:$F$1005,'الحركات الشهرية'!$B$6:$B$1005,$B37,'الحركات الشهرية'!$A$6:$A$1005,$C$3))</f>
        <v/>
      </c>
      <c r="O37" s="90" t="str">
        <f aca="false">IF($B37="","",N37*(الموظفون!$N37+الموظفون!$J37*cfg_OT_P)/cfg_DAYS_M/cfg_HRS)</f>
        <v/>
      </c>
      <c r="P37" s="90" t="str">
        <f aca="false">IF($B37="","",SUMIFS('الحركات الشهرية'!$G$6:$G$1005,'الحركات الشهرية'!$B$6:$B$1005,$B37,'الحركات الشهرية'!$A$6:$A$1005,$C$3))</f>
        <v/>
      </c>
      <c r="Q37" s="90" t="str">
        <f aca="false">IF($B37="","",SUMIFS('الحركات الشهرية'!$H$6:$H$1005,'الحركات الشهرية'!$B$6:$B$1005,$B37,'الحركات الشهرية'!$A$6:$A$1005,$C$3))</f>
        <v/>
      </c>
      <c r="R37" s="111" t="str">
        <f aca="false">IF($B37="","",SUM(J37:M37)+SUM(O37:Q37))</f>
        <v/>
      </c>
      <c r="S37" s="90" t="str">
        <f aca="false">IF($B37="","",الموظفون!$Q37*IF(E37="سعودي",cfg_G_SE,cfg_G_NE)*F37/cfg_DAYS_M)</f>
        <v/>
      </c>
      <c r="T37" s="90" t="str">
        <f aca="false">IF($B37="","",SUMIFS('الحركات الشهرية'!$I$6:$I$1005,'الحركات الشهرية'!$B$6:$B$1005,$B37,'الحركات الشهرية'!$A$6:$A$1005,$C$3))</f>
        <v/>
      </c>
      <c r="U37" s="90" t="str">
        <f aca="false">IF($B37="","",SUMIFS('الحركات الشهرية'!$J$6:$J$1005,'الحركات الشهرية'!$B$6:$B$1005,$B37,'الحركات الشهرية'!$A$6:$A$1005,$C$3))</f>
        <v/>
      </c>
      <c r="V37" s="90" t="str">
        <f aca="false">IF($B37="","",SUM(S37:U37))</f>
        <v/>
      </c>
      <c r="W37" s="112" t="str">
        <f aca="false">IF($B37="","",R37-V37)</f>
        <v/>
      </c>
      <c r="X37" s="90" t="str">
        <f aca="false">IF($B37="","",الموظفون!$Q37*IF(E37="سعودي",cfg_G_SR,cfg_G_NR)*F37/cfg_DAYS_M)</f>
        <v/>
      </c>
      <c r="Y37" s="90" t="str">
        <f aca="false">IF($B37="","",الموظفون!$O37*(cfg_EOS_R1*(MIN(AC37,cfg_EOS_TH)-MIN(AD37,cfg_EOS_TH))+cfg_EOS_R2*(MAX(AC37-cfg_EOS_TH,0)-MAX(AD37-cfg_EOS_TH,0))))</f>
        <v/>
      </c>
      <c r="Z37" s="90" t="str">
        <f aca="false">IF($B37="","",IF(الموظفون!$R37&lt;&gt;"",الموظفون!$R37,IF(AC37&gt;=cfg_LV_TH,cfg_LV_D2,cfg_LV_D1))/cfg_DAYS_Y*AE37*الموظفون!$P37/cfg_DAYS_M)</f>
        <v/>
      </c>
      <c r="AA37" s="90" t="str">
        <f aca="false">IF($B37="","",IF(AND(الموظفون!$S37="نعم",N(الموظفون!$U37)&gt;0),الموظفون!$T37/الموظفون!$U37*12/cfg_DAYS_Y*AE37,0))</f>
        <v/>
      </c>
      <c r="AB37" s="113" t="str">
        <f aca="false">IF($B37="","",R37+SUM(X37:AA37))</f>
        <v/>
      </c>
      <c r="AC37" s="114" t="str">
        <f aca="false">IF($B37="","",MAX(0,IF(OR(الموظفون!$X37="",الموظفون!$X37&gt;$G$3),$G$3,الموظفون!$X37)-الموظفون!$H37+1)/cfg_DAYS_Y)</f>
        <v/>
      </c>
      <c r="AD37" s="114" t="str">
        <f aca="false">IF($B37="","",MAX(0,IF(OR(الموظفون!$X37="",الموظفون!$X37&gt;($E$3-1)),($E$3-1),الموظفون!$X37)-الموظفون!$H37+1)/cfg_DAYS_Y)</f>
        <v/>
      </c>
      <c r="AE37" s="115" t="str">
        <f aca="false">IF($B37="","",MAX(0,IF(OR(الموظفون!$X37="",الموظفون!$X37&gt;$G$3),$G$3,الموظفون!$X37)-MAX($E$3,الموظفون!$H37)+1))</f>
        <v/>
      </c>
    </row>
    <row r="38" customFormat="false" ht="15" hidden="false" customHeight="false" outlineLevel="0" collapsed="false">
      <c r="A38" s="83" t="str">
        <f aca="false">IF($B38="","",الموظفون!$A38)</f>
        <v/>
      </c>
      <c r="B38" s="74" t="str">
        <f aca="false">IF(الموظفون!$B38="","",الموظفون!$B38)</f>
        <v/>
      </c>
      <c r="C38" s="74" t="str">
        <f aca="false">IF($B38="","",الموظفون!$C38)</f>
        <v/>
      </c>
      <c r="D38" s="74" t="str">
        <f aca="false">IF($B38="","",الموظفون!$F38)</f>
        <v/>
      </c>
      <c r="E38" s="74" t="str">
        <f aca="false">IF($B38="","",الموظفون!$E38)</f>
        <v/>
      </c>
      <c r="F38" s="105" t="str">
        <f aca="false">IF($B38="","",IF(AE38&gt;=DAY($G$3),cfg_DAYS_M,MIN(AE38,cfg_DAYS_M)))</f>
        <v/>
      </c>
      <c r="G38" s="105" t="str">
        <f aca="false">IF($B38="","",SUMIFS('الحركات الشهرية'!$D$6:$D$1005,'الحركات الشهرية'!$B$6:$B$1005,$B38,'الحركات الشهرية'!$A$6:$A$1005,$C$3))</f>
        <v/>
      </c>
      <c r="H38" s="105" t="str">
        <f aca="false">IF($B38="","",SUMIFS('الحركات الشهرية'!$E$6:$E$1005,'الحركات الشهرية'!$B$6:$B$1005,$B38,'الحركات الشهرية'!$A$6:$A$1005,$C$3))</f>
        <v/>
      </c>
      <c r="I38" s="105" t="str">
        <f aca="false">IF($B38="","",MAX(0,F38-G38-H38))</f>
        <v/>
      </c>
      <c r="J38" s="86" t="str">
        <f aca="false">IF($B38="","",الموظفون!$J38*$I38/cfg_DAYS_M)</f>
        <v/>
      </c>
      <c r="K38" s="86" t="str">
        <f aca="false">IF($B38="","",الموظفون!$K38*$I38/cfg_DAYS_M)</f>
        <v/>
      </c>
      <c r="L38" s="86" t="str">
        <f aca="false">IF($B38="","",الموظفون!$L38*$I38/cfg_DAYS_M)</f>
        <v/>
      </c>
      <c r="M38" s="86" t="str">
        <f aca="false">IF($B38="","",الموظفون!$M38*$I38/cfg_DAYS_M)</f>
        <v/>
      </c>
      <c r="N38" s="105" t="str">
        <f aca="false">IF($B38="","",SUMIFS('الحركات الشهرية'!$F$6:$F$1005,'الحركات الشهرية'!$B$6:$B$1005,$B38,'الحركات الشهرية'!$A$6:$A$1005,$C$3))</f>
        <v/>
      </c>
      <c r="O38" s="86" t="str">
        <f aca="false">IF($B38="","",N38*(الموظفون!$N38+الموظفون!$J38*cfg_OT_P)/cfg_DAYS_M/cfg_HRS)</f>
        <v/>
      </c>
      <c r="P38" s="86" t="str">
        <f aca="false">IF($B38="","",SUMIFS('الحركات الشهرية'!$G$6:$G$1005,'الحركات الشهرية'!$B$6:$B$1005,$B38,'الحركات الشهرية'!$A$6:$A$1005,$C$3))</f>
        <v/>
      </c>
      <c r="Q38" s="86" t="str">
        <f aca="false">IF($B38="","",SUMIFS('الحركات الشهرية'!$H$6:$H$1005,'الحركات الشهرية'!$B$6:$B$1005,$B38,'الحركات الشهرية'!$A$6:$A$1005,$C$3))</f>
        <v/>
      </c>
      <c r="R38" s="106" t="str">
        <f aca="false">IF($B38="","",SUM(J38:M38)+SUM(O38:Q38))</f>
        <v/>
      </c>
      <c r="S38" s="86" t="str">
        <f aca="false">IF($B38="","",الموظفون!$Q38*IF(E38="سعودي",cfg_G_SE,cfg_G_NE)*F38/cfg_DAYS_M)</f>
        <v/>
      </c>
      <c r="T38" s="86" t="str">
        <f aca="false">IF($B38="","",SUMIFS('الحركات الشهرية'!$I$6:$I$1005,'الحركات الشهرية'!$B$6:$B$1005,$B38,'الحركات الشهرية'!$A$6:$A$1005,$C$3))</f>
        <v/>
      </c>
      <c r="U38" s="86" t="str">
        <f aca="false">IF($B38="","",SUMIFS('الحركات الشهرية'!$J$6:$J$1005,'الحركات الشهرية'!$B$6:$B$1005,$B38,'الحركات الشهرية'!$A$6:$A$1005,$C$3))</f>
        <v/>
      </c>
      <c r="V38" s="86" t="str">
        <f aca="false">IF($B38="","",SUM(S38:U38))</f>
        <v/>
      </c>
      <c r="W38" s="107" t="str">
        <f aca="false">IF($B38="","",R38-V38)</f>
        <v/>
      </c>
      <c r="X38" s="86" t="str">
        <f aca="false">IF($B38="","",الموظفون!$Q38*IF(E38="سعودي",cfg_G_SR,cfg_G_NR)*F38/cfg_DAYS_M)</f>
        <v/>
      </c>
      <c r="Y38" s="86" t="str">
        <f aca="false">IF($B38="","",الموظفون!$O38*(cfg_EOS_R1*(MIN(AC38,cfg_EOS_TH)-MIN(AD38,cfg_EOS_TH))+cfg_EOS_R2*(MAX(AC38-cfg_EOS_TH,0)-MAX(AD38-cfg_EOS_TH,0))))</f>
        <v/>
      </c>
      <c r="Z38" s="86" t="str">
        <f aca="false">IF($B38="","",IF(الموظفون!$R38&lt;&gt;"",الموظفون!$R38,IF(AC38&gt;=cfg_LV_TH,cfg_LV_D2,cfg_LV_D1))/cfg_DAYS_Y*AE38*الموظفون!$P38/cfg_DAYS_M)</f>
        <v/>
      </c>
      <c r="AA38" s="86" t="str">
        <f aca="false">IF($B38="","",IF(AND(الموظفون!$S38="نعم",N(الموظفون!$U38)&gt;0),الموظفون!$T38/الموظفون!$U38*12/cfg_DAYS_Y*AE38,0))</f>
        <v/>
      </c>
      <c r="AB38" s="108" t="str">
        <f aca="false">IF($B38="","",R38+SUM(X38:AA38))</f>
        <v/>
      </c>
      <c r="AC38" s="109" t="str">
        <f aca="false">IF($B38="","",MAX(0,IF(OR(الموظفون!$X38="",الموظفون!$X38&gt;$G$3),$G$3,الموظفون!$X38)-الموظفون!$H38+1)/cfg_DAYS_Y)</f>
        <v/>
      </c>
      <c r="AD38" s="109" t="str">
        <f aca="false">IF($B38="","",MAX(0,IF(OR(الموظفون!$X38="",الموظفون!$X38&gt;($E$3-1)),($E$3-1),الموظفون!$X38)-الموظفون!$H38+1)/cfg_DAYS_Y)</f>
        <v/>
      </c>
      <c r="AE38" s="51" t="str">
        <f aca="false">IF($B38="","",MAX(0,IF(OR(الموظفون!$X38="",الموظفون!$X38&gt;$G$3),$G$3,الموظفون!$X38)-MAX($E$3,الموظفون!$H38)+1))</f>
        <v/>
      </c>
    </row>
    <row r="39" customFormat="false" ht="15" hidden="false" customHeight="false" outlineLevel="0" collapsed="false">
      <c r="A39" s="89" t="str">
        <f aca="false">IF($B39="","",الموظفون!$A39)</f>
        <v/>
      </c>
      <c r="B39" s="91" t="str">
        <f aca="false">IF(الموظفون!$B39="","",الموظفون!$B39)</f>
        <v/>
      </c>
      <c r="C39" s="91" t="str">
        <f aca="false">IF($B39="","",الموظفون!$C39)</f>
        <v/>
      </c>
      <c r="D39" s="91" t="str">
        <f aca="false">IF($B39="","",الموظفون!$F39)</f>
        <v/>
      </c>
      <c r="E39" s="91" t="str">
        <f aca="false">IF($B39="","",الموظفون!$E39)</f>
        <v/>
      </c>
      <c r="F39" s="110" t="str">
        <f aca="false">IF($B39="","",IF(AE39&gt;=DAY($G$3),cfg_DAYS_M,MIN(AE39,cfg_DAYS_M)))</f>
        <v/>
      </c>
      <c r="G39" s="110" t="str">
        <f aca="false">IF($B39="","",SUMIFS('الحركات الشهرية'!$D$6:$D$1005,'الحركات الشهرية'!$B$6:$B$1005,$B39,'الحركات الشهرية'!$A$6:$A$1005,$C$3))</f>
        <v/>
      </c>
      <c r="H39" s="110" t="str">
        <f aca="false">IF($B39="","",SUMIFS('الحركات الشهرية'!$E$6:$E$1005,'الحركات الشهرية'!$B$6:$B$1005,$B39,'الحركات الشهرية'!$A$6:$A$1005,$C$3))</f>
        <v/>
      </c>
      <c r="I39" s="110" t="str">
        <f aca="false">IF($B39="","",MAX(0,F39-G39-H39))</f>
        <v/>
      </c>
      <c r="J39" s="90" t="str">
        <f aca="false">IF($B39="","",الموظفون!$J39*$I39/cfg_DAYS_M)</f>
        <v/>
      </c>
      <c r="K39" s="90" t="str">
        <f aca="false">IF($B39="","",الموظفون!$K39*$I39/cfg_DAYS_M)</f>
        <v/>
      </c>
      <c r="L39" s="90" t="str">
        <f aca="false">IF($B39="","",الموظفون!$L39*$I39/cfg_DAYS_M)</f>
        <v/>
      </c>
      <c r="M39" s="90" t="str">
        <f aca="false">IF($B39="","",الموظفون!$M39*$I39/cfg_DAYS_M)</f>
        <v/>
      </c>
      <c r="N39" s="110" t="str">
        <f aca="false">IF($B39="","",SUMIFS('الحركات الشهرية'!$F$6:$F$1005,'الحركات الشهرية'!$B$6:$B$1005,$B39,'الحركات الشهرية'!$A$6:$A$1005,$C$3))</f>
        <v/>
      </c>
      <c r="O39" s="90" t="str">
        <f aca="false">IF($B39="","",N39*(الموظفون!$N39+الموظفون!$J39*cfg_OT_P)/cfg_DAYS_M/cfg_HRS)</f>
        <v/>
      </c>
      <c r="P39" s="90" t="str">
        <f aca="false">IF($B39="","",SUMIFS('الحركات الشهرية'!$G$6:$G$1005,'الحركات الشهرية'!$B$6:$B$1005,$B39,'الحركات الشهرية'!$A$6:$A$1005,$C$3))</f>
        <v/>
      </c>
      <c r="Q39" s="90" t="str">
        <f aca="false">IF($B39="","",SUMIFS('الحركات الشهرية'!$H$6:$H$1005,'الحركات الشهرية'!$B$6:$B$1005,$B39,'الحركات الشهرية'!$A$6:$A$1005,$C$3))</f>
        <v/>
      </c>
      <c r="R39" s="111" t="str">
        <f aca="false">IF($B39="","",SUM(J39:M39)+SUM(O39:Q39))</f>
        <v/>
      </c>
      <c r="S39" s="90" t="str">
        <f aca="false">IF($B39="","",الموظفون!$Q39*IF(E39="سعودي",cfg_G_SE,cfg_G_NE)*F39/cfg_DAYS_M)</f>
        <v/>
      </c>
      <c r="T39" s="90" t="str">
        <f aca="false">IF($B39="","",SUMIFS('الحركات الشهرية'!$I$6:$I$1005,'الحركات الشهرية'!$B$6:$B$1005,$B39,'الحركات الشهرية'!$A$6:$A$1005,$C$3))</f>
        <v/>
      </c>
      <c r="U39" s="90" t="str">
        <f aca="false">IF($B39="","",SUMIFS('الحركات الشهرية'!$J$6:$J$1005,'الحركات الشهرية'!$B$6:$B$1005,$B39,'الحركات الشهرية'!$A$6:$A$1005,$C$3))</f>
        <v/>
      </c>
      <c r="V39" s="90" t="str">
        <f aca="false">IF($B39="","",SUM(S39:U39))</f>
        <v/>
      </c>
      <c r="W39" s="112" t="str">
        <f aca="false">IF($B39="","",R39-V39)</f>
        <v/>
      </c>
      <c r="X39" s="90" t="str">
        <f aca="false">IF($B39="","",الموظفون!$Q39*IF(E39="سعودي",cfg_G_SR,cfg_G_NR)*F39/cfg_DAYS_M)</f>
        <v/>
      </c>
      <c r="Y39" s="90" t="str">
        <f aca="false">IF($B39="","",الموظفون!$O39*(cfg_EOS_R1*(MIN(AC39,cfg_EOS_TH)-MIN(AD39,cfg_EOS_TH))+cfg_EOS_R2*(MAX(AC39-cfg_EOS_TH,0)-MAX(AD39-cfg_EOS_TH,0))))</f>
        <v/>
      </c>
      <c r="Z39" s="90" t="str">
        <f aca="false">IF($B39="","",IF(الموظفون!$R39&lt;&gt;"",الموظفون!$R39,IF(AC39&gt;=cfg_LV_TH,cfg_LV_D2,cfg_LV_D1))/cfg_DAYS_Y*AE39*الموظفون!$P39/cfg_DAYS_M)</f>
        <v/>
      </c>
      <c r="AA39" s="90" t="str">
        <f aca="false">IF($B39="","",IF(AND(الموظفون!$S39="نعم",N(الموظفون!$U39)&gt;0),الموظفون!$T39/الموظفون!$U39*12/cfg_DAYS_Y*AE39,0))</f>
        <v/>
      </c>
      <c r="AB39" s="113" t="str">
        <f aca="false">IF($B39="","",R39+SUM(X39:AA39))</f>
        <v/>
      </c>
      <c r="AC39" s="114" t="str">
        <f aca="false">IF($B39="","",MAX(0,IF(OR(الموظفون!$X39="",الموظفون!$X39&gt;$G$3),$G$3,الموظفون!$X39)-الموظفون!$H39+1)/cfg_DAYS_Y)</f>
        <v/>
      </c>
      <c r="AD39" s="114" t="str">
        <f aca="false">IF($B39="","",MAX(0,IF(OR(الموظفون!$X39="",الموظفون!$X39&gt;($E$3-1)),($E$3-1),الموظفون!$X39)-الموظفون!$H39+1)/cfg_DAYS_Y)</f>
        <v/>
      </c>
      <c r="AE39" s="115" t="str">
        <f aca="false">IF($B39="","",MAX(0,IF(OR(الموظفون!$X39="",الموظفون!$X39&gt;$G$3),$G$3,الموظفون!$X39)-MAX($E$3,الموظفون!$H39)+1))</f>
        <v/>
      </c>
    </row>
    <row r="40" customFormat="false" ht="15" hidden="false" customHeight="false" outlineLevel="0" collapsed="false">
      <c r="A40" s="83" t="str">
        <f aca="false">IF($B40="","",الموظفون!$A40)</f>
        <v/>
      </c>
      <c r="B40" s="74" t="str">
        <f aca="false">IF(الموظفون!$B40="","",الموظفون!$B40)</f>
        <v/>
      </c>
      <c r="C40" s="74" t="str">
        <f aca="false">IF($B40="","",الموظفون!$C40)</f>
        <v/>
      </c>
      <c r="D40" s="74" t="str">
        <f aca="false">IF($B40="","",الموظفون!$F40)</f>
        <v/>
      </c>
      <c r="E40" s="74" t="str">
        <f aca="false">IF($B40="","",الموظفون!$E40)</f>
        <v/>
      </c>
      <c r="F40" s="105" t="str">
        <f aca="false">IF($B40="","",IF(AE40&gt;=DAY($G$3),cfg_DAYS_M,MIN(AE40,cfg_DAYS_M)))</f>
        <v/>
      </c>
      <c r="G40" s="105" t="str">
        <f aca="false">IF($B40="","",SUMIFS('الحركات الشهرية'!$D$6:$D$1005,'الحركات الشهرية'!$B$6:$B$1005,$B40,'الحركات الشهرية'!$A$6:$A$1005,$C$3))</f>
        <v/>
      </c>
      <c r="H40" s="105" t="str">
        <f aca="false">IF($B40="","",SUMIFS('الحركات الشهرية'!$E$6:$E$1005,'الحركات الشهرية'!$B$6:$B$1005,$B40,'الحركات الشهرية'!$A$6:$A$1005,$C$3))</f>
        <v/>
      </c>
      <c r="I40" s="105" t="str">
        <f aca="false">IF($B40="","",MAX(0,F40-G40-H40))</f>
        <v/>
      </c>
      <c r="J40" s="86" t="str">
        <f aca="false">IF($B40="","",الموظفون!$J40*$I40/cfg_DAYS_M)</f>
        <v/>
      </c>
      <c r="K40" s="86" t="str">
        <f aca="false">IF($B40="","",الموظفون!$K40*$I40/cfg_DAYS_M)</f>
        <v/>
      </c>
      <c r="L40" s="86" t="str">
        <f aca="false">IF($B40="","",الموظفون!$L40*$I40/cfg_DAYS_M)</f>
        <v/>
      </c>
      <c r="M40" s="86" t="str">
        <f aca="false">IF($B40="","",الموظفون!$M40*$I40/cfg_DAYS_M)</f>
        <v/>
      </c>
      <c r="N40" s="105" t="str">
        <f aca="false">IF($B40="","",SUMIFS('الحركات الشهرية'!$F$6:$F$1005,'الحركات الشهرية'!$B$6:$B$1005,$B40,'الحركات الشهرية'!$A$6:$A$1005,$C$3))</f>
        <v/>
      </c>
      <c r="O40" s="86" t="str">
        <f aca="false">IF($B40="","",N40*(الموظفون!$N40+الموظفون!$J40*cfg_OT_P)/cfg_DAYS_M/cfg_HRS)</f>
        <v/>
      </c>
      <c r="P40" s="86" t="str">
        <f aca="false">IF($B40="","",SUMIFS('الحركات الشهرية'!$G$6:$G$1005,'الحركات الشهرية'!$B$6:$B$1005,$B40,'الحركات الشهرية'!$A$6:$A$1005,$C$3))</f>
        <v/>
      </c>
      <c r="Q40" s="86" t="str">
        <f aca="false">IF($B40="","",SUMIFS('الحركات الشهرية'!$H$6:$H$1005,'الحركات الشهرية'!$B$6:$B$1005,$B40,'الحركات الشهرية'!$A$6:$A$1005,$C$3))</f>
        <v/>
      </c>
      <c r="R40" s="106" t="str">
        <f aca="false">IF($B40="","",SUM(J40:M40)+SUM(O40:Q40))</f>
        <v/>
      </c>
      <c r="S40" s="86" t="str">
        <f aca="false">IF($B40="","",الموظفون!$Q40*IF(E40="سعودي",cfg_G_SE,cfg_G_NE)*F40/cfg_DAYS_M)</f>
        <v/>
      </c>
      <c r="T40" s="86" t="str">
        <f aca="false">IF($B40="","",SUMIFS('الحركات الشهرية'!$I$6:$I$1005,'الحركات الشهرية'!$B$6:$B$1005,$B40,'الحركات الشهرية'!$A$6:$A$1005,$C$3))</f>
        <v/>
      </c>
      <c r="U40" s="86" t="str">
        <f aca="false">IF($B40="","",SUMIFS('الحركات الشهرية'!$J$6:$J$1005,'الحركات الشهرية'!$B$6:$B$1005,$B40,'الحركات الشهرية'!$A$6:$A$1005,$C$3))</f>
        <v/>
      </c>
      <c r="V40" s="86" t="str">
        <f aca="false">IF($B40="","",SUM(S40:U40))</f>
        <v/>
      </c>
      <c r="W40" s="107" t="str">
        <f aca="false">IF($B40="","",R40-V40)</f>
        <v/>
      </c>
      <c r="X40" s="86" t="str">
        <f aca="false">IF($B40="","",الموظفون!$Q40*IF(E40="سعودي",cfg_G_SR,cfg_G_NR)*F40/cfg_DAYS_M)</f>
        <v/>
      </c>
      <c r="Y40" s="86" t="str">
        <f aca="false">IF($B40="","",الموظفون!$O40*(cfg_EOS_R1*(MIN(AC40,cfg_EOS_TH)-MIN(AD40,cfg_EOS_TH))+cfg_EOS_R2*(MAX(AC40-cfg_EOS_TH,0)-MAX(AD40-cfg_EOS_TH,0))))</f>
        <v/>
      </c>
      <c r="Z40" s="86" t="str">
        <f aca="false">IF($B40="","",IF(الموظفون!$R40&lt;&gt;"",الموظفون!$R40,IF(AC40&gt;=cfg_LV_TH,cfg_LV_D2,cfg_LV_D1))/cfg_DAYS_Y*AE40*الموظفون!$P40/cfg_DAYS_M)</f>
        <v/>
      </c>
      <c r="AA40" s="86" t="str">
        <f aca="false">IF($B40="","",IF(AND(الموظفون!$S40="نعم",N(الموظفون!$U40)&gt;0),الموظفون!$T40/الموظفون!$U40*12/cfg_DAYS_Y*AE40,0))</f>
        <v/>
      </c>
      <c r="AB40" s="108" t="str">
        <f aca="false">IF($B40="","",R40+SUM(X40:AA40))</f>
        <v/>
      </c>
      <c r="AC40" s="109" t="str">
        <f aca="false">IF($B40="","",MAX(0,IF(OR(الموظفون!$X40="",الموظفون!$X40&gt;$G$3),$G$3,الموظفون!$X40)-الموظفون!$H40+1)/cfg_DAYS_Y)</f>
        <v/>
      </c>
      <c r="AD40" s="109" t="str">
        <f aca="false">IF($B40="","",MAX(0,IF(OR(الموظفون!$X40="",الموظفون!$X40&gt;($E$3-1)),($E$3-1),الموظفون!$X40)-الموظفون!$H40+1)/cfg_DAYS_Y)</f>
        <v/>
      </c>
      <c r="AE40" s="51" t="str">
        <f aca="false">IF($B40="","",MAX(0,IF(OR(الموظفون!$X40="",الموظفون!$X40&gt;$G$3),$G$3,الموظفون!$X40)-MAX($E$3,الموظفون!$H40)+1))</f>
        <v/>
      </c>
    </row>
    <row r="41" customFormat="false" ht="15" hidden="false" customHeight="false" outlineLevel="0" collapsed="false">
      <c r="A41" s="89" t="str">
        <f aca="false">IF($B41="","",الموظفون!$A41)</f>
        <v/>
      </c>
      <c r="B41" s="91" t="str">
        <f aca="false">IF(الموظفون!$B41="","",الموظفون!$B41)</f>
        <v/>
      </c>
      <c r="C41" s="91" t="str">
        <f aca="false">IF($B41="","",الموظفون!$C41)</f>
        <v/>
      </c>
      <c r="D41" s="91" t="str">
        <f aca="false">IF($B41="","",الموظفون!$F41)</f>
        <v/>
      </c>
      <c r="E41" s="91" t="str">
        <f aca="false">IF($B41="","",الموظفون!$E41)</f>
        <v/>
      </c>
      <c r="F41" s="110" t="str">
        <f aca="false">IF($B41="","",IF(AE41&gt;=DAY($G$3),cfg_DAYS_M,MIN(AE41,cfg_DAYS_M)))</f>
        <v/>
      </c>
      <c r="G41" s="110" t="str">
        <f aca="false">IF($B41="","",SUMIFS('الحركات الشهرية'!$D$6:$D$1005,'الحركات الشهرية'!$B$6:$B$1005,$B41,'الحركات الشهرية'!$A$6:$A$1005,$C$3))</f>
        <v/>
      </c>
      <c r="H41" s="110" t="str">
        <f aca="false">IF($B41="","",SUMIFS('الحركات الشهرية'!$E$6:$E$1005,'الحركات الشهرية'!$B$6:$B$1005,$B41,'الحركات الشهرية'!$A$6:$A$1005,$C$3))</f>
        <v/>
      </c>
      <c r="I41" s="110" t="str">
        <f aca="false">IF($B41="","",MAX(0,F41-G41-H41))</f>
        <v/>
      </c>
      <c r="J41" s="90" t="str">
        <f aca="false">IF($B41="","",الموظفون!$J41*$I41/cfg_DAYS_M)</f>
        <v/>
      </c>
      <c r="K41" s="90" t="str">
        <f aca="false">IF($B41="","",الموظفون!$K41*$I41/cfg_DAYS_M)</f>
        <v/>
      </c>
      <c r="L41" s="90" t="str">
        <f aca="false">IF($B41="","",الموظفون!$L41*$I41/cfg_DAYS_M)</f>
        <v/>
      </c>
      <c r="M41" s="90" t="str">
        <f aca="false">IF($B41="","",الموظفون!$M41*$I41/cfg_DAYS_M)</f>
        <v/>
      </c>
      <c r="N41" s="110" t="str">
        <f aca="false">IF($B41="","",SUMIFS('الحركات الشهرية'!$F$6:$F$1005,'الحركات الشهرية'!$B$6:$B$1005,$B41,'الحركات الشهرية'!$A$6:$A$1005,$C$3))</f>
        <v/>
      </c>
      <c r="O41" s="90" t="str">
        <f aca="false">IF($B41="","",N41*(الموظفون!$N41+الموظفون!$J41*cfg_OT_P)/cfg_DAYS_M/cfg_HRS)</f>
        <v/>
      </c>
      <c r="P41" s="90" t="str">
        <f aca="false">IF($B41="","",SUMIFS('الحركات الشهرية'!$G$6:$G$1005,'الحركات الشهرية'!$B$6:$B$1005,$B41,'الحركات الشهرية'!$A$6:$A$1005,$C$3))</f>
        <v/>
      </c>
      <c r="Q41" s="90" t="str">
        <f aca="false">IF($B41="","",SUMIFS('الحركات الشهرية'!$H$6:$H$1005,'الحركات الشهرية'!$B$6:$B$1005,$B41,'الحركات الشهرية'!$A$6:$A$1005,$C$3))</f>
        <v/>
      </c>
      <c r="R41" s="111" t="str">
        <f aca="false">IF($B41="","",SUM(J41:M41)+SUM(O41:Q41))</f>
        <v/>
      </c>
      <c r="S41" s="90" t="str">
        <f aca="false">IF($B41="","",الموظفون!$Q41*IF(E41="سعودي",cfg_G_SE,cfg_G_NE)*F41/cfg_DAYS_M)</f>
        <v/>
      </c>
      <c r="T41" s="90" t="str">
        <f aca="false">IF($B41="","",SUMIFS('الحركات الشهرية'!$I$6:$I$1005,'الحركات الشهرية'!$B$6:$B$1005,$B41,'الحركات الشهرية'!$A$6:$A$1005,$C$3))</f>
        <v/>
      </c>
      <c r="U41" s="90" t="str">
        <f aca="false">IF($B41="","",SUMIFS('الحركات الشهرية'!$J$6:$J$1005,'الحركات الشهرية'!$B$6:$B$1005,$B41,'الحركات الشهرية'!$A$6:$A$1005,$C$3))</f>
        <v/>
      </c>
      <c r="V41" s="90" t="str">
        <f aca="false">IF($B41="","",SUM(S41:U41))</f>
        <v/>
      </c>
      <c r="W41" s="112" t="str">
        <f aca="false">IF($B41="","",R41-V41)</f>
        <v/>
      </c>
      <c r="X41" s="90" t="str">
        <f aca="false">IF($B41="","",الموظفون!$Q41*IF(E41="سعودي",cfg_G_SR,cfg_G_NR)*F41/cfg_DAYS_M)</f>
        <v/>
      </c>
      <c r="Y41" s="90" t="str">
        <f aca="false">IF($B41="","",الموظفون!$O41*(cfg_EOS_R1*(MIN(AC41,cfg_EOS_TH)-MIN(AD41,cfg_EOS_TH))+cfg_EOS_R2*(MAX(AC41-cfg_EOS_TH,0)-MAX(AD41-cfg_EOS_TH,0))))</f>
        <v/>
      </c>
      <c r="Z41" s="90" t="str">
        <f aca="false">IF($B41="","",IF(الموظفون!$R41&lt;&gt;"",الموظفون!$R41,IF(AC41&gt;=cfg_LV_TH,cfg_LV_D2,cfg_LV_D1))/cfg_DAYS_Y*AE41*الموظفون!$P41/cfg_DAYS_M)</f>
        <v/>
      </c>
      <c r="AA41" s="90" t="str">
        <f aca="false">IF($B41="","",IF(AND(الموظفون!$S41="نعم",N(الموظفون!$U41)&gt;0),الموظفون!$T41/الموظفون!$U41*12/cfg_DAYS_Y*AE41,0))</f>
        <v/>
      </c>
      <c r="AB41" s="113" t="str">
        <f aca="false">IF($B41="","",R41+SUM(X41:AA41))</f>
        <v/>
      </c>
      <c r="AC41" s="114" t="str">
        <f aca="false">IF($B41="","",MAX(0,IF(OR(الموظفون!$X41="",الموظفون!$X41&gt;$G$3),$G$3,الموظفون!$X41)-الموظفون!$H41+1)/cfg_DAYS_Y)</f>
        <v/>
      </c>
      <c r="AD41" s="114" t="str">
        <f aca="false">IF($B41="","",MAX(0,IF(OR(الموظفون!$X41="",الموظفون!$X41&gt;($E$3-1)),($E$3-1),الموظفون!$X41)-الموظفون!$H41+1)/cfg_DAYS_Y)</f>
        <v/>
      </c>
      <c r="AE41" s="115" t="str">
        <f aca="false">IF($B41="","",MAX(0,IF(OR(الموظفون!$X41="",الموظفون!$X41&gt;$G$3),$G$3,الموظفون!$X41)-MAX($E$3,الموظفون!$H41)+1))</f>
        <v/>
      </c>
    </row>
    <row r="42" customFormat="false" ht="15" hidden="false" customHeight="false" outlineLevel="0" collapsed="false">
      <c r="A42" s="83" t="str">
        <f aca="false">IF($B42="","",الموظفون!$A42)</f>
        <v/>
      </c>
      <c r="B42" s="74" t="str">
        <f aca="false">IF(الموظفون!$B42="","",الموظفون!$B42)</f>
        <v/>
      </c>
      <c r="C42" s="74" t="str">
        <f aca="false">IF($B42="","",الموظفون!$C42)</f>
        <v/>
      </c>
      <c r="D42" s="74" t="str">
        <f aca="false">IF($B42="","",الموظفون!$F42)</f>
        <v/>
      </c>
      <c r="E42" s="74" t="str">
        <f aca="false">IF($B42="","",الموظفون!$E42)</f>
        <v/>
      </c>
      <c r="F42" s="105" t="str">
        <f aca="false">IF($B42="","",IF(AE42&gt;=DAY($G$3),cfg_DAYS_M,MIN(AE42,cfg_DAYS_M)))</f>
        <v/>
      </c>
      <c r="G42" s="105" t="str">
        <f aca="false">IF($B42="","",SUMIFS('الحركات الشهرية'!$D$6:$D$1005,'الحركات الشهرية'!$B$6:$B$1005,$B42,'الحركات الشهرية'!$A$6:$A$1005,$C$3))</f>
        <v/>
      </c>
      <c r="H42" s="105" t="str">
        <f aca="false">IF($B42="","",SUMIFS('الحركات الشهرية'!$E$6:$E$1005,'الحركات الشهرية'!$B$6:$B$1005,$B42,'الحركات الشهرية'!$A$6:$A$1005,$C$3))</f>
        <v/>
      </c>
      <c r="I42" s="105" t="str">
        <f aca="false">IF($B42="","",MAX(0,F42-G42-H42))</f>
        <v/>
      </c>
      <c r="J42" s="86" t="str">
        <f aca="false">IF($B42="","",الموظفون!$J42*$I42/cfg_DAYS_M)</f>
        <v/>
      </c>
      <c r="K42" s="86" t="str">
        <f aca="false">IF($B42="","",الموظفون!$K42*$I42/cfg_DAYS_M)</f>
        <v/>
      </c>
      <c r="L42" s="86" t="str">
        <f aca="false">IF($B42="","",الموظفون!$L42*$I42/cfg_DAYS_M)</f>
        <v/>
      </c>
      <c r="M42" s="86" t="str">
        <f aca="false">IF($B42="","",الموظفون!$M42*$I42/cfg_DAYS_M)</f>
        <v/>
      </c>
      <c r="N42" s="105" t="str">
        <f aca="false">IF($B42="","",SUMIFS('الحركات الشهرية'!$F$6:$F$1005,'الحركات الشهرية'!$B$6:$B$1005,$B42,'الحركات الشهرية'!$A$6:$A$1005,$C$3))</f>
        <v/>
      </c>
      <c r="O42" s="86" t="str">
        <f aca="false">IF($B42="","",N42*(الموظفون!$N42+الموظفون!$J42*cfg_OT_P)/cfg_DAYS_M/cfg_HRS)</f>
        <v/>
      </c>
      <c r="P42" s="86" t="str">
        <f aca="false">IF($B42="","",SUMIFS('الحركات الشهرية'!$G$6:$G$1005,'الحركات الشهرية'!$B$6:$B$1005,$B42,'الحركات الشهرية'!$A$6:$A$1005,$C$3))</f>
        <v/>
      </c>
      <c r="Q42" s="86" t="str">
        <f aca="false">IF($B42="","",SUMIFS('الحركات الشهرية'!$H$6:$H$1005,'الحركات الشهرية'!$B$6:$B$1005,$B42,'الحركات الشهرية'!$A$6:$A$1005,$C$3))</f>
        <v/>
      </c>
      <c r="R42" s="106" t="str">
        <f aca="false">IF($B42="","",SUM(J42:M42)+SUM(O42:Q42))</f>
        <v/>
      </c>
      <c r="S42" s="86" t="str">
        <f aca="false">IF($B42="","",الموظفون!$Q42*IF(E42="سعودي",cfg_G_SE,cfg_G_NE)*F42/cfg_DAYS_M)</f>
        <v/>
      </c>
      <c r="T42" s="86" t="str">
        <f aca="false">IF($B42="","",SUMIFS('الحركات الشهرية'!$I$6:$I$1005,'الحركات الشهرية'!$B$6:$B$1005,$B42,'الحركات الشهرية'!$A$6:$A$1005,$C$3))</f>
        <v/>
      </c>
      <c r="U42" s="86" t="str">
        <f aca="false">IF($B42="","",SUMIFS('الحركات الشهرية'!$J$6:$J$1005,'الحركات الشهرية'!$B$6:$B$1005,$B42,'الحركات الشهرية'!$A$6:$A$1005,$C$3))</f>
        <v/>
      </c>
      <c r="V42" s="86" t="str">
        <f aca="false">IF($B42="","",SUM(S42:U42))</f>
        <v/>
      </c>
      <c r="W42" s="107" t="str">
        <f aca="false">IF($B42="","",R42-V42)</f>
        <v/>
      </c>
      <c r="X42" s="86" t="str">
        <f aca="false">IF($B42="","",الموظفون!$Q42*IF(E42="سعودي",cfg_G_SR,cfg_G_NR)*F42/cfg_DAYS_M)</f>
        <v/>
      </c>
      <c r="Y42" s="86" t="str">
        <f aca="false">IF($B42="","",الموظفون!$O42*(cfg_EOS_R1*(MIN(AC42,cfg_EOS_TH)-MIN(AD42,cfg_EOS_TH))+cfg_EOS_R2*(MAX(AC42-cfg_EOS_TH,0)-MAX(AD42-cfg_EOS_TH,0))))</f>
        <v/>
      </c>
      <c r="Z42" s="86" t="str">
        <f aca="false">IF($B42="","",IF(الموظفون!$R42&lt;&gt;"",الموظفون!$R42,IF(AC42&gt;=cfg_LV_TH,cfg_LV_D2,cfg_LV_D1))/cfg_DAYS_Y*AE42*الموظفون!$P42/cfg_DAYS_M)</f>
        <v/>
      </c>
      <c r="AA42" s="86" t="str">
        <f aca="false">IF($B42="","",IF(AND(الموظفون!$S42="نعم",N(الموظفون!$U42)&gt;0),الموظفون!$T42/الموظفون!$U42*12/cfg_DAYS_Y*AE42,0))</f>
        <v/>
      </c>
      <c r="AB42" s="108" t="str">
        <f aca="false">IF($B42="","",R42+SUM(X42:AA42))</f>
        <v/>
      </c>
      <c r="AC42" s="109" t="str">
        <f aca="false">IF($B42="","",MAX(0,IF(OR(الموظفون!$X42="",الموظفون!$X42&gt;$G$3),$G$3,الموظفون!$X42)-الموظفون!$H42+1)/cfg_DAYS_Y)</f>
        <v/>
      </c>
      <c r="AD42" s="109" t="str">
        <f aca="false">IF($B42="","",MAX(0,IF(OR(الموظفون!$X42="",الموظفون!$X42&gt;($E$3-1)),($E$3-1),الموظفون!$X42)-الموظفون!$H42+1)/cfg_DAYS_Y)</f>
        <v/>
      </c>
      <c r="AE42" s="51" t="str">
        <f aca="false">IF($B42="","",MAX(0,IF(OR(الموظفون!$X42="",الموظفون!$X42&gt;$G$3),$G$3,الموظفون!$X42)-MAX($E$3,الموظفون!$H42)+1))</f>
        <v/>
      </c>
    </row>
    <row r="43" customFormat="false" ht="15" hidden="false" customHeight="false" outlineLevel="0" collapsed="false">
      <c r="A43" s="89" t="str">
        <f aca="false">IF($B43="","",الموظفون!$A43)</f>
        <v/>
      </c>
      <c r="B43" s="91" t="str">
        <f aca="false">IF(الموظفون!$B43="","",الموظفون!$B43)</f>
        <v/>
      </c>
      <c r="C43" s="91" t="str">
        <f aca="false">IF($B43="","",الموظفون!$C43)</f>
        <v/>
      </c>
      <c r="D43" s="91" t="str">
        <f aca="false">IF($B43="","",الموظفون!$F43)</f>
        <v/>
      </c>
      <c r="E43" s="91" t="str">
        <f aca="false">IF($B43="","",الموظفون!$E43)</f>
        <v/>
      </c>
      <c r="F43" s="110" t="str">
        <f aca="false">IF($B43="","",IF(AE43&gt;=DAY($G$3),cfg_DAYS_M,MIN(AE43,cfg_DAYS_M)))</f>
        <v/>
      </c>
      <c r="G43" s="110" t="str">
        <f aca="false">IF($B43="","",SUMIFS('الحركات الشهرية'!$D$6:$D$1005,'الحركات الشهرية'!$B$6:$B$1005,$B43,'الحركات الشهرية'!$A$6:$A$1005,$C$3))</f>
        <v/>
      </c>
      <c r="H43" s="110" t="str">
        <f aca="false">IF($B43="","",SUMIFS('الحركات الشهرية'!$E$6:$E$1005,'الحركات الشهرية'!$B$6:$B$1005,$B43,'الحركات الشهرية'!$A$6:$A$1005,$C$3))</f>
        <v/>
      </c>
      <c r="I43" s="110" t="str">
        <f aca="false">IF($B43="","",MAX(0,F43-G43-H43))</f>
        <v/>
      </c>
      <c r="J43" s="90" t="str">
        <f aca="false">IF($B43="","",الموظفون!$J43*$I43/cfg_DAYS_M)</f>
        <v/>
      </c>
      <c r="K43" s="90" t="str">
        <f aca="false">IF($B43="","",الموظفون!$K43*$I43/cfg_DAYS_M)</f>
        <v/>
      </c>
      <c r="L43" s="90" t="str">
        <f aca="false">IF($B43="","",الموظفون!$L43*$I43/cfg_DAYS_M)</f>
        <v/>
      </c>
      <c r="M43" s="90" t="str">
        <f aca="false">IF($B43="","",الموظفون!$M43*$I43/cfg_DAYS_M)</f>
        <v/>
      </c>
      <c r="N43" s="110" t="str">
        <f aca="false">IF($B43="","",SUMIFS('الحركات الشهرية'!$F$6:$F$1005,'الحركات الشهرية'!$B$6:$B$1005,$B43,'الحركات الشهرية'!$A$6:$A$1005,$C$3))</f>
        <v/>
      </c>
      <c r="O43" s="90" t="str">
        <f aca="false">IF($B43="","",N43*(الموظفون!$N43+الموظفون!$J43*cfg_OT_P)/cfg_DAYS_M/cfg_HRS)</f>
        <v/>
      </c>
      <c r="P43" s="90" t="str">
        <f aca="false">IF($B43="","",SUMIFS('الحركات الشهرية'!$G$6:$G$1005,'الحركات الشهرية'!$B$6:$B$1005,$B43,'الحركات الشهرية'!$A$6:$A$1005,$C$3))</f>
        <v/>
      </c>
      <c r="Q43" s="90" t="str">
        <f aca="false">IF($B43="","",SUMIFS('الحركات الشهرية'!$H$6:$H$1005,'الحركات الشهرية'!$B$6:$B$1005,$B43,'الحركات الشهرية'!$A$6:$A$1005,$C$3))</f>
        <v/>
      </c>
      <c r="R43" s="111" t="str">
        <f aca="false">IF($B43="","",SUM(J43:M43)+SUM(O43:Q43))</f>
        <v/>
      </c>
      <c r="S43" s="90" t="str">
        <f aca="false">IF($B43="","",الموظفون!$Q43*IF(E43="سعودي",cfg_G_SE,cfg_G_NE)*F43/cfg_DAYS_M)</f>
        <v/>
      </c>
      <c r="T43" s="90" t="str">
        <f aca="false">IF($B43="","",SUMIFS('الحركات الشهرية'!$I$6:$I$1005,'الحركات الشهرية'!$B$6:$B$1005,$B43,'الحركات الشهرية'!$A$6:$A$1005,$C$3))</f>
        <v/>
      </c>
      <c r="U43" s="90" t="str">
        <f aca="false">IF($B43="","",SUMIFS('الحركات الشهرية'!$J$6:$J$1005,'الحركات الشهرية'!$B$6:$B$1005,$B43,'الحركات الشهرية'!$A$6:$A$1005,$C$3))</f>
        <v/>
      </c>
      <c r="V43" s="90" t="str">
        <f aca="false">IF($B43="","",SUM(S43:U43))</f>
        <v/>
      </c>
      <c r="W43" s="112" t="str">
        <f aca="false">IF($B43="","",R43-V43)</f>
        <v/>
      </c>
      <c r="X43" s="90" t="str">
        <f aca="false">IF($B43="","",الموظفون!$Q43*IF(E43="سعودي",cfg_G_SR,cfg_G_NR)*F43/cfg_DAYS_M)</f>
        <v/>
      </c>
      <c r="Y43" s="90" t="str">
        <f aca="false">IF($B43="","",الموظفون!$O43*(cfg_EOS_R1*(MIN(AC43,cfg_EOS_TH)-MIN(AD43,cfg_EOS_TH))+cfg_EOS_R2*(MAX(AC43-cfg_EOS_TH,0)-MAX(AD43-cfg_EOS_TH,0))))</f>
        <v/>
      </c>
      <c r="Z43" s="90" t="str">
        <f aca="false">IF($B43="","",IF(الموظفون!$R43&lt;&gt;"",الموظفون!$R43,IF(AC43&gt;=cfg_LV_TH,cfg_LV_D2,cfg_LV_D1))/cfg_DAYS_Y*AE43*الموظفون!$P43/cfg_DAYS_M)</f>
        <v/>
      </c>
      <c r="AA43" s="90" t="str">
        <f aca="false">IF($B43="","",IF(AND(الموظفون!$S43="نعم",N(الموظفون!$U43)&gt;0),الموظفون!$T43/الموظفون!$U43*12/cfg_DAYS_Y*AE43,0))</f>
        <v/>
      </c>
      <c r="AB43" s="113" t="str">
        <f aca="false">IF($B43="","",R43+SUM(X43:AA43))</f>
        <v/>
      </c>
      <c r="AC43" s="114" t="str">
        <f aca="false">IF($B43="","",MAX(0,IF(OR(الموظفون!$X43="",الموظفون!$X43&gt;$G$3),$G$3,الموظفون!$X43)-الموظفون!$H43+1)/cfg_DAYS_Y)</f>
        <v/>
      </c>
      <c r="AD43" s="114" t="str">
        <f aca="false">IF($B43="","",MAX(0,IF(OR(الموظفون!$X43="",الموظفون!$X43&gt;($E$3-1)),($E$3-1),الموظفون!$X43)-الموظفون!$H43+1)/cfg_DAYS_Y)</f>
        <v/>
      </c>
      <c r="AE43" s="115" t="str">
        <f aca="false">IF($B43="","",MAX(0,IF(OR(الموظفون!$X43="",الموظفون!$X43&gt;$G$3),$G$3,الموظفون!$X43)-MAX($E$3,الموظفون!$H43)+1))</f>
        <v/>
      </c>
    </row>
    <row r="44" customFormat="false" ht="15" hidden="false" customHeight="false" outlineLevel="0" collapsed="false">
      <c r="A44" s="83" t="str">
        <f aca="false">IF($B44="","",الموظفون!$A44)</f>
        <v/>
      </c>
      <c r="B44" s="74" t="str">
        <f aca="false">IF(الموظفون!$B44="","",الموظفون!$B44)</f>
        <v/>
      </c>
      <c r="C44" s="74" t="str">
        <f aca="false">IF($B44="","",الموظفون!$C44)</f>
        <v/>
      </c>
      <c r="D44" s="74" t="str">
        <f aca="false">IF($B44="","",الموظفون!$F44)</f>
        <v/>
      </c>
      <c r="E44" s="74" t="str">
        <f aca="false">IF($B44="","",الموظفون!$E44)</f>
        <v/>
      </c>
      <c r="F44" s="105" t="str">
        <f aca="false">IF($B44="","",IF(AE44&gt;=DAY($G$3),cfg_DAYS_M,MIN(AE44,cfg_DAYS_M)))</f>
        <v/>
      </c>
      <c r="G44" s="105" t="str">
        <f aca="false">IF($B44="","",SUMIFS('الحركات الشهرية'!$D$6:$D$1005,'الحركات الشهرية'!$B$6:$B$1005,$B44,'الحركات الشهرية'!$A$6:$A$1005,$C$3))</f>
        <v/>
      </c>
      <c r="H44" s="105" t="str">
        <f aca="false">IF($B44="","",SUMIFS('الحركات الشهرية'!$E$6:$E$1005,'الحركات الشهرية'!$B$6:$B$1005,$B44,'الحركات الشهرية'!$A$6:$A$1005,$C$3))</f>
        <v/>
      </c>
      <c r="I44" s="105" t="str">
        <f aca="false">IF($B44="","",MAX(0,F44-G44-H44))</f>
        <v/>
      </c>
      <c r="J44" s="86" t="str">
        <f aca="false">IF($B44="","",الموظفون!$J44*$I44/cfg_DAYS_M)</f>
        <v/>
      </c>
      <c r="K44" s="86" t="str">
        <f aca="false">IF($B44="","",الموظفون!$K44*$I44/cfg_DAYS_M)</f>
        <v/>
      </c>
      <c r="L44" s="86" t="str">
        <f aca="false">IF($B44="","",الموظفون!$L44*$I44/cfg_DAYS_M)</f>
        <v/>
      </c>
      <c r="M44" s="86" t="str">
        <f aca="false">IF($B44="","",الموظفون!$M44*$I44/cfg_DAYS_M)</f>
        <v/>
      </c>
      <c r="N44" s="105" t="str">
        <f aca="false">IF($B44="","",SUMIFS('الحركات الشهرية'!$F$6:$F$1005,'الحركات الشهرية'!$B$6:$B$1005,$B44,'الحركات الشهرية'!$A$6:$A$1005,$C$3))</f>
        <v/>
      </c>
      <c r="O44" s="86" t="str">
        <f aca="false">IF($B44="","",N44*(الموظفون!$N44+الموظفون!$J44*cfg_OT_P)/cfg_DAYS_M/cfg_HRS)</f>
        <v/>
      </c>
      <c r="P44" s="86" t="str">
        <f aca="false">IF($B44="","",SUMIFS('الحركات الشهرية'!$G$6:$G$1005,'الحركات الشهرية'!$B$6:$B$1005,$B44,'الحركات الشهرية'!$A$6:$A$1005,$C$3))</f>
        <v/>
      </c>
      <c r="Q44" s="86" t="str">
        <f aca="false">IF($B44="","",SUMIFS('الحركات الشهرية'!$H$6:$H$1005,'الحركات الشهرية'!$B$6:$B$1005,$B44,'الحركات الشهرية'!$A$6:$A$1005,$C$3))</f>
        <v/>
      </c>
      <c r="R44" s="106" t="str">
        <f aca="false">IF($B44="","",SUM(J44:M44)+SUM(O44:Q44))</f>
        <v/>
      </c>
      <c r="S44" s="86" t="str">
        <f aca="false">IF($B44="","",الموظفون!$Q44*IF(E44="سعودي",cfg_G_SE,cfg_G_NE)*F44/cfg_DAYS_M)</f>
        <v/>
      </c>
      <c r="T44" s="86" t="str">
        <f aca="false">IF($B44="","",SUMIFS('الحركات الشهرية'!$I$6:$I$1005,'الحركات الشهرية'!$B$6:$B$1005,$B44,'الحركات الشهرية'!$A$6:$A$1005,$C$3))</f>
        <v/>
      </c>
      <c r="U44" s="86" t="str">
        <f aca="false">IF($B44="","",SUMIFS('الحركات الشهرية'!$J$6:$J$1005,'الحركات الشهرية'!$B$6:$B$1005,$B44,'الحركات الشهرية'!$A$6:$A$1005,$C$3))</f>
        <v/>
      </c>
      <c r="V44" s="86" t="str">
        <f aca="false">IF($B44="","",SUM(S44:U44))</f>
        <v/>
      </c>
      <c r="W44" s="107" t="str">
        <f aca="false">IF($B44="","",R44-V44)</f>
        <v/>
      </c>
      <c r="X44" s="86" t="str">
        <f aca="false">IF($B44="","",الموظفون!$Q44*IF(E44="سعودي",cfg_G_SR,cfg_G_NR)*F44/cfg_DAYS_M)</f>
        <v/>
      </c>
      <c r="Y44" s="86" t="str">
        <f aca="false">IF($B44="","",الموظفون!$O44*(cfg_EOS_R1*(MIN(AC44,cfg_EOS_TH)-MIN(AD44,cfg_EOS_TH))+cfg_EOS_R2*(MAX(AC44-cfg_EOS_TH,0)-MAX(AD44-cfg_EOS_TH,0))))</f>
        <v/>
      </c>
      <c r="Z44" s="86" t="str">
        <f aca="false">IF($B44="","",IF(الموظفون!$R44&lt;&gt;"",الموظفون!$R44,IF(AC44&gt;=cfg_LV_TH,cfg_LV_D2,cfg_LV_D1))/cfg_DAYS_Y*AE44*الموظفون!$P44/cfg_DAYS_M)</f>
        <v/>
      </c>
      <c r="AA44" s="86" t="str">
        <f aca="false">IF($B44="","",IF(AND(الموظفون!$S44="نعم",N(الموظفون!$U44)&gt;0),الموظفون!$T44/الموظفون!$U44*12/cfg_DAYS_Y*AE44,0))</f>
        <v/>
      </c>
      <c r="AB44" s="108" t="str">
        <f aca="false">IF($B44="","",R44+SUM(X44:AA44))</f>
        <v/>
      </c>
      <c r="AC44" s="109" t="str">
        <f aca="false">IF($B44="","",MAX(0,IF(OR(الموظفون!$X44="",الموظفون!$X44&gt;$G$3),$G$3,الموظفون!$X44)-الموظفون!$H44+1)/cfg_DAYS_Y)</f>
        <v/>
      </c>
      <c r="AD44" s="109" t="str">
        <f aca="false">IF($B44="","",MAX(0,IF(OR(الموظفون!$X44="",الموظفون!$X44&gt;($E$3-1)),($E$3-1),الموظفون!$X44)-الموظفون!$H44+1)/cfg_DAYS_Y)</f>
        <v/>
      </c>
      <c r="AE44" s="51" t="str">
        <f aca="false">IF($B44="","",MAX(0,IF(OR(الموظفون!$X44="",الموظفون!$X44&gt;$G$3),$G$3,الموظفون!$X44)-MAX($E$3,الموظفون!$H44)+1))</f>
        <v/>
      </c>
    </row>
    <row r="45" customFormat="false" ht="15" hidden="false" customHeight="false" outlineLevel="0" collapsed="false">
      <c r="A45" s="89" t="str">
        <f aca="false">IF($B45="","",الموظفون!$A45)</f>
        <v/>
      </c>
      <c r="B45" s="91" t="str">
        <f aca="false">IF(الموظفون!$B45="","",الموظفون!$B45)</f>
        <v/>
      </c>
      <c r="C45" s="91" t="str">
        <f aca="false">IF($B45="","",الموظفون!$C45)</f>
        <v/>
      </c>
      <c r="D45" s="91" t="str">
        <f aca="false">IF($B45="","",الموظفون!$F45)</f>
        <v/>
      </c>
      <c r="E45" s="91" t="str">
        <f aca="false">IF($B45="","",الموظفون!$E45)</f>
        <v/>
      </c>
      <c r="F45" s="110" t="str">
        <f aca="false">IF($B45="","",IF(AE45&gt;=DAY($G$3),cfg_DAYS_M,MIN(AE45,cfg_DAYS_M)))</f>
        <v/>
      </c>
      <c r="G45" s="110" t="str">
        <f aca="false">IF($B45="","",SUMIFS('الحركات الشهرية'!$D$6:$D$1005,'الحركات الشهرية'!$B$6:$B$1005,$B45,'الحركات الشهرية'!$A$6:$A$1005,$C$3))</f>
        <v/>
      </c>
      <c r="H45" s="110" t="str">
        <f aca="false">IF($B45="","",SUMIFS('الحركات الشهرية'!$E$6:$E$1005,'الحركات الشهرية'!$B$6:$B$1005,$B45,'الحركات الشهرية'!$A$6:$A$1005,$C$3))</f>
        <v/>
      </c>
      <c r="I45" s="110" t="str">
        <f aca="false">IF($B45="","",MAX(0,F45-G45-H45))</f>
        <v/>
      </c>
      <c r="J45" s="90" t="str">
        <f aca="false">IF($B45="","",الموظفون!$J45*$I45/cfg_DAYS_M)</f>
        <v/>
      </c>
      <c r="K45" s="90" t="str">
        <f aca="false">IF($B45="","",الموظفون!$K45*$I45/cfg_DAYS_M)</f>
        <v/>
      </c>
      <c r="L45" s="90" t="str">
        <f aca="false">IF($B45="","",الموظفون!$L45*$I45/cfg_DAYS_M)</f>
        <v/>
      </c>
      <c r="M45" s="90" t="str">
        <f aca="false">IF($B45="","",الموظفون!$M45*$I45/cfg_DAYS_M)</f>
        <v/>
      </c>
      <c r="N45" s="110" t="str">
        <f aca="false">IF($B45="","",SUMIFS('الحركات الشهرية'!$F$6:$F$1005,'الحركات الشهرية'!$B$6:$B$1005,$B45,'الحركات الشهرية'!$A$6:$A$1005,$C$3))</f>
        <v/>
      </c>
      <c r="O45" s="90" t="str">
        <f aca="false">IF($B45="","",N45*(الموظفون!$N45+الموظفون!$J45*cfg_OT_P)/cfg_DAYS_M/cfg_HRS)</f>
        <v/>
      </c>
      <c r="P45" s="90" t="str">
        <f aca="false">IF($B45="","",SUMIFS('الحركات الشهرية'!$G$6:$G$1005,'الحركات الشهرية'!$B$6:$B$1005,$B45,'الحركات الشهرية'!$A$6:$A$1005,$C$3))</f>
        <v/>
      </c>
      <c r="Q45" s="90" t="str">
        <f aca="false">IF($B45="","",SUMIFS('الحركات الشهرية'!$H$6:$H$1005,'الحركات الشهرية'!$B$6:$B$1005,$B45,'الحركات الشهرية'!$A$6:$A$1005,$C$3))</f>
        <v/>
      </c>
      <c r="R45" s="111" t="str">
        <f aca="false">IF($B45="","",SUM(J45:M45)+SUM(O45:Q45))</f>
        <v/>
      </c>
      <c r="S45" s="90" t="str">
        <f aca="false">IF($B45="","",الموظفون!$Q45*IF(E45="سعودي",cfg_G_SE,cfg_G_NE)*F45/cfg_DAYS_M)</f>
        <v/>
      </c>
      <c r="T45" s="90" t="str">
        <f aca="false">IF($B45="","",SUMIFS('الحركات الشهرية'!$I$6:$I$1005,'الحركات الشهرية'!$B$6:$B$1005,$B45,'الحركات الشهرية'!$A$6:$A$1005,$C$3))</f>
        <v/>
      </c>
      <c r="U45" s="90" t="str">
        <f aca="false">IF($B45="","",SUMIFS('الحركات الشهرية'!$J$6:$J$1005,'الحركات الشهرية'!$B$6:$B$1005,$B45,'الحركات الشهرية'!$A$6:$A$1005,$C$3))</f>
        <v/>
      </c>
      <c r="V45" s="90" t="str">
        <f aca="false">IF($B45="","",SUM(S45:U45))</f>
        <v/>
      </c>
      <c r="W45" s="112" t="str">
        <f aca="false">IF($B45="","",R45-V45)</f>
        <v/>
      </c>
      <c r="X45" s="90" t="str">
        <f aca="false">IF($B45="","",الموظفون!$Q45*IF(E45="سعودي",cfg_G_SR,cfg_G_NR)*F45/cfg_DAYS_M)</f>
        <v/>
      </c>
      <c r="Y45" s="90" t="str">
        <f aca="false">IF($B45="","",الموظفون!$O45*(cfg_EOS_R1*(MIN(AC45,cfg_EOS_TH)-MIN(AD45,cfg_EOS_TH))+cfg_EOS_R2*(MAX(AC45-cfg_EOS_TH,0)-MAX(AD45-cfg_EOS_TH,0))))</f>
        <v/>
      </c>
      <c r="Z45" s="90" t="str">
        <f aca="false">IF($B45="","",IF(الموظفون!$R45&lt;&gt;"",الموظفون!$R45,IF(AC45&gt;=cfg_LV_TH,cfg_LV_D2,cfg_LV_D1))/cfg_DAYS_Y*AE45*الموظفون!$P45/cfg_DAYS_M)</f>
        <v/>
      </c>
      <c r="AA45" s="90" t="str">
        <f aca="false">IF($B45="","",IF(AND(الموظفون!$S45="نعم",N(الموظفون!$U45)&gt;0),الموظفون!$T45/الموظفون!$U45*12/cfg_DAYS_Y*AE45,0))</f>
        <v/>
      </c>
      <c r="AB45" s="113" t="str">
        <f aca="false">IF($B45="","",R45+SUM(X45:AA45))</f>
        <v/>
      </c>
      <c r="AC45" s="114" t="str">
        <f aca="false">IF($B45="","",MAX(0,IF(OR(الموظفون!$X45="",الموظفون!$X45&gt;$G$3),$G$3,الموظفون!$X45)-الموظفون!$H45+1)/cfg_DAYS_Y)</f>
        <v/>
      </c>
      <c r="AD45" s="114" t="str">
        <f aca="false">IF($B45="","",MAX(0,IF(OR(الموظفون!$X45="",الموظفون!$X45&gt;($E$3-1)),($E$3-1),الموظفون!$X45)-الموظفون!$H45+1)/cfg_DAYS_Y)</f>
        <v/>
      </c>
      <c r="AE45" s="115" t="str">
        <f aca="false">IF($B45="","",MAX(0,IF(OR(الموظفون!$X45="",الموظفون!$X45&gt;$G$3),$G$3,الموظفون!$X45)-MAX($E$3,الموظفون!$H45)+1))</f>
        <v/>
      </c>
    </row>
    <row r="46" customFormat="false" ht="15" hidden="false" customHeight="false" outlineLevel="0" collapsed="false">
      <c r="A46" s="83" t="str">
        <f aca="false">IF($B46="","",الموظفون!$A46)</f>
        <v/>
      </c>
      <c r="B46" s="74" t="str">
        <f aca="false">IF(الموظفون!$B46="","",الموظفون!$B46)</f>
        <v/>
      </c>
      <c r="C46" s="74" t="str">
        <f aca="false">IF($B46="","",الموظفون!$C46)</f>
        <v/>
      </c>
      <c r="D46" s="74" t="str">
        <f aca="false">IF($B46="","",الموظفون!$F46)</f>
        <v/>
      </c>
      <c r="E46" s="74" t="str">
        <f aca="false">IF($B46="","",الموظفون!$E46)</f>
        <v/>
      </c>
      <c r="F46" s="105" t="str">
        <f aca="false">IF($B46="","",IF(AE46&gt;=DAY($G$3),cfg_DAYS_M,MIN(AE46,cfg_DAYS_M)))</f>
        <v/>
      </c>
      <c r="G46" s="105" t="str">
        <f aca="false">IF($B46="","",SUMIFS('الحركات الشهرية'!$D$6:$D$1005,'الحركات الشهرية'!$B$6:$B$1005,$B46,'الحركات الشهرية'!$A$6:$A$1005,$C$3))</f>
        <v/>
      </c>
      <c r="H46" s="105" t="str">
        <f aca="false">IF($B46="","",SUMIFS('الحركات الشهرية'!$E$6:$E$1005,'الحركات الشهرية'!$B$6:$B$1005,$B46,'الحركات الشهرية'!$A$6:$A$1005,$C$3))</f>
        <v/>
      </c>
      <c r="I46" s="105" t="str">
        <f aca="false">IF($B46="","",MAX(0,F46-G46-H46))</f>
        <v/>
      </c>
      <c r="J46" s="86" t="str">
        <f aca="false">IF($B46="","",الموظفون!$J46*$I46/cfg_DAYS_M)</f>
        <v/>
      </c>
      <c r="K46" s="86" t="str">
        <f aca="false">IF($B46="","",الموظفون!$K46*$I46/cfg_DAYS_M)</f>
        <v/>
      </c>
      <c r="L46" s="86" t="str">
        <f aca="false">IF($B46="","",الموظفون!$L46*$I46/cfg_DAYS_M)</f>
        <v/>
      </c>
      <c r="M46" s="86" t="str">
        <f aca="false">IF($B46="","",الموظفون!$M46*$I46/cfg_DAYS_M)</f>
        <v/>
      </c>
      <c r="N46" s="105" t="str">
        <f aca="false">IF($B46="","",SUMIFS('الحركات الشهرية'!$F$6:$F$1005,'الحركات الشهرية'!$B$6:$B$1005,$B46,'الحركات الشهرية'!$A$6:$A$1005,$C$3))</f>
        <v/>
      </c>
      <c r="O46" s="86" t="str">
        <f aca="false">IF($B46="","",N46*(الموظفون!$N46+الموظفون!$J46*cfg_OT_P)/cfg_DAYS_M/cfg_HRS)</f>
        <v/>
      </c>
      <c r="P46" s="86" t="str">
        <f aca="false">IF($B46="","",SUMIFS('الحركات الشهرية'!$G$6:$G$1005,'الحركات الشهرية'!$B$6:$B$1005,$B46,'الحركات الشهرية'!$A$6:$A$1005,$C$3))</f>
        <v/>
      </c>
      <c r="Q46" s="86" t="str">
        <f aca="false">IF($B46="","",SUMIFS('الحركات الشهرية'!$H$6:$H$1005,'الحركات الشهرية'!$B$6:$B$1005,$B46,'الحركات الشهرية'!$A$6:$A$1005,$C$3))</f>
        <v/>
      </c>
      <c r="R46" s="106" t="str">
        <f aca="false">IF($B46="","",SUM(J46:M46)+SUM(O46:Q46))</f>
        <v/>
      </c>
      <c r="S46" s="86" t="str">
        <f aca="false">IF($B46="","",الموظفون!$Q46*IF(E46="سعودي",cfg_G_SE,cfg_G_NE)*F46/cfg_DAYS_M)</f>
        <v/>
      </c>
      <c r="T46" s="86" t="str">
        <f aca="false">IF($B46="","",SUMIFS('الحركات الشهرية'!$I$6:$I$1005,'الحركات الشهرية'!$B$6:$B$1005,$B46,'الحركات الشهرية'!$A$6:$A$1005,$C$3))</f>
        <v/>
      </c>
      <c r="U46" s="86" t="str">
        <f aca="false">IF($B46="","",SUMIFS('الحركات الشهرية'!$J$6:$J$1005,'الحركات الشهرية'!$B$6:$B$1005,$B46,'الحركات الشهرية'!$A$6:$A$1005,$C$3))</f>
        <v/>
      </c>
      <c r="V46" s="86" t="str">
        <f aca="false">IF($B46="","",SUM(S46:U46))</f>
        <v/>
      </c>
      <c r="W46" s="107" t="str">
        <f aca="false">IF($B46="","",R46-V46)</f>
        <v/>
      </c>
      <c r="X46" s="86" t="str">
        <f aca="false">IF($B46="","",الموظفون!$Q46*IF(E46="سعودي",cfg_G_SR,cfg_G_NR)*F46/cfg_DAYS_M)</f>
        <v/>
      </c>
      <c r="Y46" s="86" t="str">
        <f aca="false">IF($B46="","",الموظفون!$O46*(cfg_EOS_R1*(MIN(AC46,cfg_EOS_TH)-MIN(AD46,cfg_EOS_TH))+cfg_EOS_R2*(MAX(AC46-cfg_EOS_TH,0)-MAX(AD46-cfg_EOS_TH,0))))</f>
        <v/>
      </c>
      <c r="Z46" s="86" t="str">
        <f aca="false">IF($B46="","",IF(الموظفون!$R46&lt;&gt;"",الموظفون!$R46,IF(AC46&gt;=cfg_LV_TH,cfg_LV_D2,cfg_LV_D1))/cfg_DAYS_Y*AE46*الموظفون!$P46/cfg_DAYS_M)</f>
        <v/>
      </c>
      <c r="AA46" s="86" t="str">
        <f aca="false">IF($B46="","",IF(AND(الموظفون!$S46="نعم",N(الموظفون!$U46)&gt;0),الموظفون!$T46/الموظفون!$U46*12/cfg_DAYS_Y*AE46,0))</f>
        <v/>
      </c>
      <c r="AB46" s="108" t="str">
        <f aca="false">IF($B46="","",R46+SUM(X46:AA46))</f>
        <v/>
      </c>
      <c r="AC46" s="109" t="str">
        <f aca="false">IF($B46="","",MAX(0,IF(OR(الموظفون!$X46="",الموظفون!$X46&gt;$G$3),$G$3,الموظفون!$X46)-الموظفون!$H46+1)/cfg_DAYS_Y)</f>
        <v/>
      </c>
      <c r="AD46" s="109" t="str">
        <f aca="false">IF($B46="","",MAX(0,IF(OR(الموظفون!$X46="",الموظفون!$X46&gt;($E$3-1)),($E$3-1),الموظفون!$X46)-الموظفون!$H46+1)/cfg_DAYS_Y)</f>
        <v/>
      </c>
      <c r="AE46" s="51" t="str">
        <f aca="false">IF($B46="","",MAX(0,IF(OR(الموظفون!$X46="",الموظفون!$X46&gt;$G$3),$G$3,الموظفون!$X46)-MAX($E$3,الموظفون!$H46)+1))</f>
        <v/>
      </c>
    </row>
    <row r="47" customFormat="false" ht="15" hidden="false" customHeight="false" outlineLevel="0" collapsed="false">
      <c r="A47" s="89" t="str">
        <f aca="false">IF($B47="","",الموظفون!$A47)</f>
        <v/>
      </c>
      <c r="B47" s="91" t="str">
        <f aca="false">IF(الموظفون!$B47="","",الموظفون!$B47)</f>
        <v/>
      </c>
      <c r="C47" s="91" t="str">
        <f aca="false">IF($B47="","",الموظفون!$C47)</f>
        <v/>
      </c>
      <c r="D47" s="91" t="str">
        <f aca="false">IF($B47="","",الموظفون!$F47)</f>
        <v/>
      </c>
      <c r="E47" s="91" t="str">
        <f aca="false">IF($B47="","",الموظفون!$E47)</f>
        <v/>
      </c>
      <c r="F47" s="110" t="str">
        <f aca="false">IF($B47="","",IF(AE47&gt;=DAY($G$3),cfg_DAYS_M,MIN(AE47,cfg_DAYS_M)))</f>
        <v/>
      </c>
      <c r="G47" s="110" t="str">
        <f aca="false">IF($B47="","",SUMIFS('الحركات الشهرية'!$D$6:$D$1005,'الحركات الشهرية'!$B$6:$B$1005,$B47,'الحركات الشهرية'!$A$6:$A$1005,$C$3))</f>
        <v/>
      </c>
      <c r="H47" s="110" t="str">
        <f aca="false">IF($B47="","",SUMIFS('الحركات الشهرية'!$E$6:$E$1005,'الحركات الشهرية'!$B$6:$B$1005,$B47,'الحركات الشهرية'!$A$6:$A$1005,$C$3))</f>
        <v/>
      </c>
      <c r="I47" s="110" t="str">
        <f aca="false">IF($B47="","",MAX(0,F47-G47-H47))</f>
        <v/>
      </c>
      <c r="J47" s="90" t="str">
        <f aca="false">IF($B47="","",الموظفون!$J47*$I47/cfg_DAYS_M)</f>
        <v/>
      </c>
      <c r="K47" s="90" t="str">
        <f aca="false">IF($B47="","",الموظفون!$K47*$I47/cfg_DAYS_M)</f>
        <v/>
      </c>
      <c r="L47" s="90" t="str">
        <f aca="false">IF($B47="","",الموظفون!$L47*$I47/cfg_DAYS_M)</f>
        <v/>
      </c>
      <c r="M47" s="90" t="str">
        <f aca="false">IF($B47="","",الموظفون!$M47*$I47/cfg_DAYS_M)</f>
        <v/>
      </c>
      <c r="N47" s="110" t="str">
        <f aca="false">IF($B47="","",SUMIFS('الحركات الشهرية'!$F$6:$F$1005,'الحركات الشهرية'!$B$6:$B$1005,$B47,'الحركات الشهرية'!$A$6:$A$1005,$C$3))</f>
        <v/>
      </c>
      <c r="O47" s="90" t="str">
        <f aca="false">IF($B47="","",N47*(الموظفون!$N47+الموظفون!$J47*cfg_OT_P)/cfg_DAYS_M/cfg_HRS)</f>
        <v/>
      </c>
      <c r="P47" s="90" t="str">
        <f aca="false">IF($B47="","",SUMIFS('الحركات الشهرية'!$G$6:$G$1005,'الحركات الشهرية'!$B$6:$B$1005,$B47,'الحركات الشهرية'!$A$6:$A$1005,$C$3))</f>
        <v/>
      </c>
      <c r="Q47" s="90" t="str">
        <f aca="false">IF($B47="","",SUMIFS('الحركات الشهرية'!$H$6:$H$1005,'الحركات الشهرية'!$B$6:$B$1005,$B47,'الحركات الشهرية'!$A$6:$A$1005,$C$3))</f>
        <v/>
      </c>
      <c r="R47" s="111" t="str">
        <f aca="false">IF($B47="","",SUM(J47:M47)+SUM(O47:Q47))</f>
        <v/>
      </c>
      <c r="S47" s="90" t="str">
        <f aca="false">IF($B47="","",الموظفون!$Q47*IF(E47="سعودي",cfg_G_SE,cfg_G_NE)*F47/cfg_DAYS_M)</f>
        <v/>
      </c>
      <c r="T47" s="90" t="str">
        <f aca="false">IF($B47="","",SUMIFS('الحركات الشهرية'!$I$6:$I$1005,'الحركات الشهرية'!$B$6:$B$1005,$B47,'الحركات الشهرية'!$A$6:$A$1005,$C$3))</f>
        <v/>
      </c>
      <c r="U47" s="90" t="str">
        <f aca="false">IF($B47="","",SUMIFS('الحركات الشهرية'!$J$6:$J$1005,'الحركات الشهرية'!$B$6:$B$1005,$B47,'الحركات الشهرية'!$A$6:$A$1005,$C$3))</f>
        <v/>
      </c>
      <c r="V47" s="90" t="str">
        <f aca="false">IF($B47="","",SUM(S47:U47))</f>
        <v/>
      </c>
      <c r="W47" s="112" t="str">
        <f aca="false">IF($B47="","",R47-V47)</f>
        <v/>
      </c>
      <c r="X47" s="90" t="str">
        <f aca="false">IF($B47="","",الموظفون!$Q47*IF(E47="سعودي",cfg_G_SR,cfg_G_NR)*F47/cfg_DAYS_M)</f>
        <v/>
      </c>
      <c r="Y47" s="90" t="str">
        <f aca="false">IF($B47="","",الموظفون!$O47*(cfg_EOS_R1*(MIN(AC47,cfg_EOS_TH)-MIN(AD47,cfg_EOS_TH))+cfg_EOS_R2*(MAX(AC47-cfg_EOS_TH,0)-MAX(AD47-cfg_EOS_TH,0))))</f>
        <v/>
      </c>
      <c r="Z47" s="90" t="str">
        <f aca="false">IF($B47="","",IF(الموظفون!$R47&lt;&gt;"",الموظفون!$R47,IF(AC47&gt;=cfg_LV_TH,cfg_LV_D2,cfg_LV_D1))/cfg_DAYS_Y*AE47*الموظفون!$P47/cfg_DAYS_M)</f>
        <v/>
      </c>
      <c r="AA47" s="90" t="str">
        <f aca="false">IF($B47="","",IF(AND(الموظفون!$S47="نعم",N(الموظفون!$U47)&gt;0),الموظفون!$T47/الموظفون!$U47*12/cfg_DAYS_Y*AE47,0))</f>
        <v/>
      </c>
      <c r="AB47" s="113" t="str">
        <f aca="false">IF($B47="","",R47+SUM(X47:AA47))</f>
        <v/>
      </c>
      <c r="AC47" s="114" t="str">
        <f aca="false">IF($B47="","",MAX(0,IF(OR(الموظفون!$X47="",الموظفون!$X47&gt;$G$3),$G$3,الموظفون!$X47)-الموظفون!$H47+1)/cfg_DAYS_Y)</f>
        <v/>
      </c>
      <c r="AD47" s="114" t="str">
        <f aca="false">IF($B47="","",MAX(0,IF(OR(الموظفون!$X47="",الموظفون!$X47&gt;($E$3-1)),($E$3-1),الموظفون!$X47)-الموظفون!$H47+1)/cfg_DAYS_Y)</f>
        <v/>
      </c>
      <c r="AE47" s="115" t="str">
        <f aca="false">IF($B47="","",MAX(0,IF(OR(الموظفون!$X47="",الموظفون!$X47&gt;$G$3),$G$3,الموظفون!$X47)-MAX($E$3,الموظفون!$H47)+1))</f>
        <v/>
      </c>
    </row>
    <row r="48" customFormat="false" ht="15" hidden="false" customHeight="false" outlineLevel="0" collapsed="false">
      <c r="A48" s="83" t="str">
        <f aca="false">IF($B48="","",الموظفون!$A48)</f>
        <v/>
      </c>
      <c r="B48" s="74" t="str">
        <f aca="false">IF(الموظفون!$B48="","",الموظفون!$B48)</f>
        <v/>
      </c>
      <c r="C48" s="74" t="str">
        <f aca="false">IF($B48="","",الموظفون!$C48)</f>
        <v/>
      </c>
      <c r="D48" s="74" t="str">
        <f aca="false">IF($B48="","",الموظفون!$F48)</f>
        <v/>
      </c>
      <c r="E48" s="74" t="str">
        <f aca="false">IF($B48="","",الموظفون!$E48)</f>
        <v/>
      </c>
      <c r="F48" s="105" t="str">
        <f aca="false">IF($B48="","",IF(AE48&gt;=DAY($G$3),cfg_DAYS_M,MIN(AE48,cfg_DAYS_M)))</f>
        <v/>
      </c>
      <c r="G48" s="105" t="str">
        <f aca="false">IF($B48="","",SUMIFS('الحركات الشهرية'!$D$6:$D$1005,'الحركات الشهرية'!$B$6:$B$1005,$B48,'الحركات الشهرية'!$A$6:$A$1005,$C$3))</f>
        <v/>
      </c>
      <c r="H48" s="105" t="str">
        <f aca="false">IF($B48="","",SUMIFS('الحركات الشهرية'!$E$6:$E$1005,'الحركات الشهرية'!$B$6:$B$1005,$B48,'الحركات الشهرية'!$A$6:$A$1005,$C$3))</f>
        <v/>
      </c>
      <c r="I48" s="105" t="str">
        <f aca="false">IF($B48="","",MAX(0,F48-G48-H48))</f>
        <v/>
      </c>
      <c r="J48" s="86" t="str">
        <f aca="false">IF($B48="","",الموظفون!$J48*$I48/cfg_DAYS_M)</f>
        <v/>
      </c>
      <c r="K48" s="86" t="str">
        <f aca="false">IF($B48="","",الموظفون!$K48*$I48/cfg_DAYS_M)</f>
        <v/>
      </c>
      <c r="L48" s="86" t="str">
        <f aca="false">IF($B48="","",الموظفون!$L48*$I48/cfg_DAYS_M)</f>
        <v/>
      </c>
      <c r="M48" s="86" t="str">
        <f aca="false">IF($B48="","",الموظفون!$M48*$I48/cfg_DAYS_M)</f>
        <v/>
      </c>
      <c r="N48" s="105" t="str">
        <f aca="false">IF($B48="","",SUMIFS('الحركات الشهرية'!$F$6:$F$1005,'الحركات الشهرية'!$B$6:$B$1005,$B48,'الحركات الشهرية'!$A$6:$A$1005,$C$3))</f>
        <v/>
      </c>
      <c r="O48" s="86" t="str">
        <f aca="false">IF($B48="","",N48*(الموظفون!$N48+الموظفون!$J48*cfg_OT_P)/cfg_DAYS_M/cfg_HRS)</f>
        <v/>
      </c>
      <c r="P48" s="86" t="str">
        <f aca="false">IF($B48="","",SUMIFS('الحركات الشهرية'!$G$6:$G$1005,'الحركات الشهرية'!$B$6:$B$1005,$B48,'الحركات الشهرية'!$A$6:$A$1005,$C$3))</f>
        <v/>
      </c>
      <c r="Q48" s="86" t="str">
        <f aca="false">IF($B48="","",SUMIFS('الحركات الشهرية'!$H$6:$H$1005,'الحركات الشهرية'!$B$6:$B$1005,$B48,'الحركات الشهرية'!$A$6:$A$1005,$C$3))</f>
        <v/>
      </c>
      <c r="R48" s="106" t="str">
        <f aca="false">IF($B48="","",SUM(J48:M48)+SUM(O48:Q48))</f>
        <v/>
      </c>
      <c r="S48" s="86" t="str">
        <f aca="false">IF($B48="","",الموظفون!$Q48*IF(E48="سعودي",cfg_G_SE,cfg_G_NE)*F48/cfg_DAYS_M)</f>
        <v/>
      </c>
      <c r="T48" s="86" t="str">
        <f aca="false">IF($B48="","",SUMIFS('الحركات الشهرية'!$I$6:$I$1005,'الحركات الشهرية'!$B$6:$B$1005,$B48,'الحركات الشهرية'!$A$6:$A$1005,$C$3))</f>
        <v/>
      </c>
      <c r="U48" s="86" t="str">
        <f aca="false">IF($B48="","",SUMIFS('الحركات الشهرية'!$J$6:$J$1005,'الحركات الشهرية'!$B$6:$B$1005,$B48,'الحركات الشهرية'!$A$6:$A$1005,$C$3))</f>
        <v/>
      </c>
      <c r="V48" s="86" t="str">
        <f aca="false">IF($B48="","",SUM(S48:U48))</f>
        <v/>
      </c>
      <c r="W48" s="107" t="str">
        <f aca="false">IF($B48="","",R48-V48)</f>
        <v/>
      </c>
      <c r="X48" s="86" t="str">
        <f aca="false">IF($B48="","",الموظفون!$Q48*IF(E48="سعودي",cfg_G_SR,cfg_G_NR)*F48/cfg_DAYS_M)</f>
        <v/>
      </c>
      <c r="Y48" s="86" t="str">
        <f aca="false">IF($B48="","",الموظفون!$O48*(cfg_EOS_R1*(MIN(AC48,cfg_EOS_TH)-MIN(AD48,cfg_EOS_TH))+cfg_EOS_R2*(MAX(AC48-cfg_EOS_TH,0)-MAX(AD48-cfg_EOS_TH,0))))</f>
        <v/>
      </c>
      <c r="Z48" s="86" t="str">
        <f aca="false">IF($B48="","",IF(الموظفون!$R48&lt;&gt;"",الموظفون!$R48,IF(AC48&gt;=cfg_LV_TH,cfg_LV_D2,cfg_LV_D1))/cfg_DAYS_Y*AE48*الموظفون!$P48/cfg_DAYS_M)</f>
        <v/>
      </c>
      <c r="AA48" s="86" t="str">
        <f aca="false">IF($B48="","",IF(AND(الموظفون!$S48="نعم",N(الموظفون!$U48)&gt;0),الموظفون!$T48/الموظفون!$U48*12/cfg_DAYS_Y*AE48,0))</f>
        <v/>
      </c>
      <c r="AB48" s="108" t="str">
        <f aca="false">IF($B48="","",R48+SUM(X48:AA48))</f>
        <v/>
      </c>
      <c r="AC48" s="109" t="str">
        <f aca="false">IF($B48="","",MAX(0,IF(OR(الموظفون!$X48="",الموظفون!$X48&gt;$G$3),$G$3,الموظفون!$X48)-الموظفون!$H48+1)/cfg_DAYS_Y)</f>
        <v/>
      </c>
      <c r="AD48" s="109" t="str">
        <f aca="false">IF($B48="","",MAX(0,IF(OR(الموظفون!$X48="",الموظفون!$X48&gt;($E$3-1)),($E$3-1),الموظفون!$X48)-الموظفون!$H48+1)/cfg_DAYS_Y)</f>
        <v/>
      </c>
      <c r="AE48" s="51" t="str">
        <f aca="false">IF($B48="","",MAX(0,IF(OR(الموظفون!$X48="",الموظفون!$X48&gt;$G$3),$G$3,الموظفون!$X48)-MAX($E$3,الموظفون!$H48)+1))</f>
        <v/>
      </c>
    </row>
    <row r="49" customFormat="false" ht="15" hidden="false" customHeight="false" outlineLevel="0" collapsed="false">
      <c r="A49" s="89" t="str">
        <f aca="false">IF($B49="","",الموظفون!$A49)</f>
        <v/>
      </c>
      <c r="B49" s="91" t="str">
        <f aca="false">IF(الموظفون!$B49="","",الموظفون!$B49)</f>
        <v/>
      </c>
      <c r="C49" s="91" t="str">
        <f aca="false">IF($B49="","",الموظفون!$C49)</f>
        <v/>
      </c>
      <c r="D49" s="91" t="str">
        <f aca="false">IF($B49="","",الموظفون!$F49)</f>
        <v/>
      </c>
      <c r="E49" s="91" t="str">
        <f aca="false">IF($B49="","",الموظفون!$E49)</f>
        <v/>
      </c>
      <c r="F49" s="110" t="str">
        <f aca="false">IF($B49="","",IF(AE49&gt;=DAY($G$3),cfg_DAYS_M,MIN(AE49,cfg_DAYS_M)))</f>
        <v/>
      </c>
      <c r="G49" s="110" t="str">
        <f aca="false">IF($B49="","",SUMIFS('الحركات الشهرية'!$D$6:$D$1005,'الحركات الشهرية'!$B$6:$B$1005,$B49,'الحركات الشهرية'!$A$6:$A$1005,$C$3))</f>
        <v/>
      </c>
      <c r="H49" s="110" t="str">
        <f aca="false">IF($B49="","",SUMIFS('الحركات الشهرية'!$E$6:$E$1005,'الحركات الشهرية'!$B$6:$B$1005,$B49,'الحركات الشهرية'!$A$6:$A$1005,$C$3))</f>
        <v/>
      </c>
      <c r="I49" s="110" t="str">
        <f aca="false">IF($B49="","",MAX(0,F49-G49-H49))</f>
        <v/>
      </c>
      <c r="J49" s="90" t="str">
        <f aca="false">IF($B49="","",الموظفون!$J49*$I49/cfg_DAYS_M)</f>
        <v/>
      </c>
      <c r="K49" s="90" t="str">
        <f aca="false">IF($B49="","",الموظفون!$K49*$I49/cfg_DAYS_M)</f>
        <v/>
      </c>
      <c r="L49" s="90" t="str">
        <f aca="false">IF($B49="","",الموظفون!$L49*$I49/cfg_DAYS_M)</f>
        <v/>
      </c>
      <c r="M49" s="90" t="str">
        <f aca="false">IF($B49="","",الموظفون!$M49*$I49/cfg_DAYS_M)</f>
        <v/>
      </c>
      <c r="N49" s="110" t="str">
        <f aca="false">IF($B49="","",SUMIFS('الحركات الشهرية'!$F$6:$F$1005,'الحركات الشهرية'!$B$6:$B$1005,$B49,'الحركات الشهرية'!$A$6:$A$1005,$C$3))</f>
        <v/>
      </c>
      <c r="O49" s="90" t="str">
        <f aca="false">IF($B49="","",N49*(الموظفون!$N49+الموظفون!$J49*cfg_OT_P)/cfg_DAYS_M/cfg_HRS)</f>
        <v/>
      </c>
      <c r="P49" s="90" t="str">
        <f aca="false">IF($B49="","",SUMIFS('الحركات الشهرية'!$G$6:$G$1005,'الحركات الشهرية'!$B$6:$B$1005,$B49,'الحركات الشهرية'!$A$6:$A$1005,$C$3))</f>
        <v/>
      </c>
      <c r="Q49" s="90" t="str">
        <f aca="false">IF($B49="","",SUMIFS('الحركات الشهرية'!$H$6:$H$1005,'الحركات الشهرية'!$B$6:$B$1005,$B49,'الحركات الشهرية'!$A$6:$A$1005,$C$3))</f>
        <v/>
      </c>
      <c r="R49" s="111" t="str">
        <f aca="false">IF($B49="","",SUM(J49:M49)+SUM(O49:Q49))</f>
        <v/>
      </c>
      <c r="S49" s="90" t="str">
        <f aca="false">IF($B49="","",الموظفون!$Q49*IF(E49="سعودي",cfg_G_SE,cfg_G_NE)*F49/cfg_DAYS_M)</f>
        <v/>
      </c>
      <c r="T49" s="90" t="str">
        <f aca="false">IF($B49="","",SUMIFS('الحركات الشهرية'!$I$6:$I$1005,'الحركات الشهرية'!$B$6:$B$1005,$B49,'الحركات الشهرية'!$A$6:$A$1005,$C$3))</f>
        <v/>
      </c>
      <c r="U49" s="90" t="str">
        <f aca="false">IF($B49="","",SUMIFS('الحركات الشهرية'!$J$6:$J$1005,'الحركات الشهرية'!$B$6:$B$1005,$B49,'الحركات الشهرية'!$A$6:$A$1005,$C$3))</f>
        <v/>
      </c>
      <c r="V49" s="90" t="str">
        <f aca="false">IF($B49="","",SUM(S49:U49))</f>
        <v/>
      </c>
      <c r="W49" s="112" t="str">
        <f aca="false">IF($B49="","",R49-V49)</f>
        <v/>
      </c>
      <c r="X49" s="90" t="str">
        <f aca="false">IF($B49="","",الموظفون!$Q49*IF(E49="سعودي",cfg_G_SR,cfg_G_NR)*F49/cfg_DAYS_M)</f>
        <v/>
      </c>
      <c r="Y49" s="90" t="str">
        <f aca="false">IF($B49="","",الموظفون!$O49*(cfg_EOS_R1*(MIN(AC49,cfg_EOS_TH)-MIN(AD49,cfg_EOS_TH))+cfg_EOS_R2*(MAX(AC49-cfg_EOS_TH,0)-MAX(AD49-cfg_EOS_TH,0))))</f>
        <v/>
      </c>
      <c r="Z49" s="90" t="str">
        <f aca="false">IF($B49="","",IF(الموظفون!$R49&lt;&gt;"",الموظفون!$R49,IF(AC49&gt;=cfg_LV_TH,cfg_LV_D2,cfg_LV_D1))/cfg_DAYS_Y*AE49*الموظفون!$P49/cfg_DAYS_M)</f>
        <v/>
      </c>
      <c r="AA49" s="90" t="str">
        <f aca="false">IF($B49="","",IF(AND(الموظفون!$S49="نعم",N(الموظفون!$U49)&gt;0),الموظفون!$T49/الموظفون!$U49*12/cfg_DAYS_Y*AE49,0))</f>
        <v/>
      </c>
      <c r="AB49" s="113" t="str">
        <f aca="false">IF($B49="","",R49+SUM(X49:AA49))</f>
        <v/>
      </c>
      <c r="AC49" s="114" t="str">
        <f aca="false">IF($B49="","",MAX(0,IF(OR(الموظفون!$X49="",الموظفون!$X49&gt;$G$3),$G$3,الموظفون!$X49)-الموظفون!$H49+1)/cfg_DAYS_Y)</f>
        <v/>
      </c>
      <c r="AD49" s="114" t="str">
        <f aca="false">IF($B49="","",MAX(0,IF(OR(الموظفون!$X49="",الموظفون!$X49&gt;($E$3-1)),($E$3-1),الموظفون!$X49)-الموظفون!$H49+1)/cfg_DAYS_Y)</f>
        <v/>
      </c>
      <c r="AE49" s="115" t="str">
        <f aca="false">IF($B49="","",MAX(0,IF(OR(الموظفون!$X49="",الموظفون!$X49&gt;$G$3),$G$3,الموظفون!$X49)-MAX($E$3,الموظفون!$H49)+1))</f>
        <v/>
      </c>
    </row>
    <row r="50" customFormat="false" ht="15" hidden="false" customHeight="false" outlineLevel="0" collapsed="false">
      <c r="A50" s="83" t="str">
        <f aca="false">IF($B50="","",الموظفون!$A50)</f>
        <v/>
      </c>
      <c r="B50" s="74" t="str">
        <f aca="false">IF(الموظفون!$B50="","",الموظفون!$B50)</f>
        <v/>
      </c>
      <c r="C50" s="74" t="str">
        <f aca="false">IF($B50="","",الموظفون!$C50)</f>
        <v/>
      </c>
      <c r="D50" s="74" t="str">
        <f aca="false">IF($B50="","",الموظفون!$F50)</f>
        <v/>
      </c>
      <c r="E50" s="74" t="str">
        <f aca="false">IF($B50="","",الموظفون!$E50)</f>
        <v/>
      </c>
      <c r="F50" s="105" t="str">
        <f aca="false">IF($B50="","",IF(AE50&gt;=DAY($G$3),cfg_DAYS_M,MIN(AE50,cfg_DAYS_M)))</f>
        <v/>
      </c>
      <c r="G50" s="105" t="str">
        <f aca="false">IF($B50="","",SUMIFS('الحركات الشهرية'!$D$6:$D$1005,'الحركات الشهرية'!$B$6:$B$1005,$B50,'الحركات الشهرية'!$A$6:$A$1005,$C$3))</f>
        <v/>
      </c>
      <c r="H50" s="105" t="str">
        <f aca="false">IF($B50="","",SUMIFS('الحركات الشهرية'!$E$6:$E$1005,'الحركات الشهرية'!$B$6:$B$1005,$B50,'الحركات الشهرية'!$A$6:$A$1005,$C$3))</f>
        <v/>
      </c>
      <c r="I50" s="105" t="str">
        <f aca="false">IF($B50="","",MAX(0,F50-G50-H50))</f>
        <v/>
      </c>
      <c r="J50" s="86" t="str">
        <f aca="false">IF($B50="","",الموظفون!$J50*$I50/cfg_DAYS_M)</f>
        <v/>
      </c>
      <c r="K50" s="86" t="str">
        <f aca="false">IF($B50="","",الموظفون!$K50*$I50/cfg_DAYS_M)</f>
        <v/>
      </c>
      <c r="L50" s="86" t="str">
        <f aca="false">IF($B50="","",الموظفون!$L50*$I50/cfg_DAYS_M)</f>
        <v/>
      </c>
      <c r="M50" s="86" t="str">
        <f aca="false">IF($B50="","",الموظفون!$M50*$I50/cfg_DAYS_M)</f>
        <v/>
      </c>
      <c r="N50" s="105" t="str">
        <f aca="false">IF($B50="","",SUMIFS('الحركات الشهرية'!$F$6:$F$1005,'الحركات الشهرية'!$B$6:$B$1005,$B50,'الحركات الشهرية'!$A$6:$A$1005,$C$3))</f>
        <v/>
      </c>
      <c r="O50" s="86" t="str">
        <f aca="false">IF($B50="","",N50*(الموظفون!$N50+الموظفون!$J50*cfg_OT_P)/cfg_DAYS_M/cfg_HRS)</f>
        <v/>
      </c>
      <c r="P50" s="86" t="str">
        <f aca="false">IF($B50="","",SUMIFS('الحركات الشهرية'!$G$6:$G$1005,'الحركات الشهرية'!$B$6:$B$1005,$B50,'الحركات الشهرية'!$A$6:$A$1005,$C$3))</f>
        <v/>
      </c>
      <c r="Q50" s="86" t="str">
        <f aca="false">IF($B50="","",SUMIFS('الحركات الشهرية'!$H$6:$H$1005,'الحركات الشهرية'!$B$6:$B$1005,$B50,'الحركات الشهرية'!$A$6:$A$1005,$C$3))</f>
        <v/>
      </c>
      <c r="R50" s="106" t="str">
        <f aca="false">IF($B50="","",SUM(J50:M50)+SUM(O50:Q50))</f>
        <v/>
      </c>
      <c r="S50" s="86" t="str">
        <f aca="false">IF($B50="","",الموظفون!$Q50*IF(E50="سعودي",cfg_G_SE,cfg_G_NE)*F50/cfg_DAYS_M)</f>
        <v/>
      </c>
      <c r="T50" s="86" t="str">
        <f aca="false">IF($B50="","",SUMIFS('الحركات الشهرية'!$I$6:$I$1005,'الحركات الشهرية'!$B$6:$B$1005,$B50,'الحركات الشهرية'!$A$6:$A$1005,$C$3))</f>
        <v/>
      </c>
      <c r="U50" s="86" t="str">
        <f aca="false">IF($B50="","",SUMIFS('الحركات الشهرية'!$J$6:$J$1005,'الحركات الشهرية'!$B$6:$B$1005,$B50,'الحركات الشهرية'!$A$6:$A$1005,$C$3))</f>
        <v/>
      </c>
      <c r="V50" s="86" t="str">
        <f aca="false">IF($B50="","",SUM(S50:U50))</f>
        <v/>
      </c>
      <c r="W50" s="107" t="str">
        <f aca="false">IF($B50="","",R50-V50)</f>
        <v/>
      </c>
      <c r="X50" s="86" t="str">
        <f aca="false">IF($B50="","",الموظفون!$Q50*IF(E50="سعودي",cfg_G_SR,cfg_G_NR)*F50/cfg_DAYS_M)</f>
        <v/>
      </c>
      <c r="Y50" s="86" t="str">
        <f aca="false">IF($B50="","",الموظفون!$O50*(cfg_EOS_R1*(MIN(AC50,cfg_EOS_TH)-MIN(AD50,cfg_EOS_TH))+cfg_EOS_R2*(MAX(AC50-cfg_EOS_TH,0)-MAX(AD50-cfg_EOS_TH,0))))</f>
        <v/>
      </c>
      <c r="Z50" s="86" t="str">
        <f aca="false">IF($B50="","",IF(الموظفون!$R50&lt;&gt;"",الموظفون!$R50,IF(AC50&gt;=cfg_LV_TH,cfg_LV_D2,cfg_LV_D1))/cfg_DAYS_Y*AE50*الموظفون!$P50/cfg_DAYS_M)</f>
        <v/>
      </c>
      <c r="AA50" s="86" t="str">
        <f aca="false">IF($B50="","",IF(AND(الموظفون!$S50="نعم",N(الموظفون!$U50)&gt;0),الموظفون!$T50/الموظفون!$U50*12/cfg_DAYS_Y*AE50,0))</f>
        <v/>
      </c>
      <c r="AB50" s="108" t="str">
        <f aca="false">IF($B50="","",R50+SUM(X50:AA50))</f>
        <v/>
      </c>
      <c r="AC50" s="109" t="str">
        <f aca="false">IF($B50="","",MAX(0,IF(OR(الموظفون!$X50="",الموظفون!$X50&gt;$G$3),$G$3,الموظفون!$X50)-الموظفون!$H50+1)/cfg_DAYS_Y)</f>
        <v/>
      </c>
      <c r="AD50" s="109" t="str">
        <f aca="false">IF($B50="","",MAX(0,IF(OR(الموظفون!$X50="",الموظفون!$X50&gt;($E$3-1)),($E$3-1),الموظفون!$X50)-الموظفون!$H50+1)/cfg_DAYS_Y)</f>
        <v/>
      </c>
      <c r="AE50" s="51" t="str">
        <f aca="false">IF($B50="","",MAX(0,IF(OR(الموظفون!$X50="",الموظفون!$X50&gt;$G$3),$G$3,الموظفون!$X50)-MAX($E$3,الموظفون!$H50)+1))</f>
        <v/>
      </c>
    </row>
    <row r="51" customFormat="false" ht="15" hidden="false" customHeight="false" outlineLevel="0" collapsed="false">
      <c r="A51" s="89" t="str">
        <f aca="false">IF($B51="","",الموظفون!$A51)</f>
        <v/>
      </c>
      <c r="B51" s="91" t="str">
        <f aca="false">IF(الموظفون!$B51="","",الموظفون!$B51)</f>
        <v/>
      </c>
      <c r="C51" s="91" t="str">
        <f aca="false">IF($B51="","",الموظفون!$C51)</f>
        <v/>
      </c>
      <c r="D51" s="91" t="str">
        <f aca="false">IF($B51="","",الموظفون!$F51)</f>
        <v/>
      </c>
      <c r="E51" s="91" t="str">
        <f aca="false">IF($B51="","",الموظفون!$E51)</f>
        <v/>
      </c>
      <c r="F51" s="110" t="str">
        <f aca="false">IF($B51="","",IF(AE51&gt;=DAY($G$3),cfg_DAYS_M,MIN(AE51,cfg_DAYS_M)))</f>
        <v/>
      </c>
      <c r="G51" s="110" t="str">
        <f aca="false">IF($B51="","",SUMIFS('الحركات الشهرية'!$D$6:$D$1005,'الحركات الشهرية'!$B$6:$B$1005,$B51,'الحركات الشهرية'!$A$6:$A$1005,$C$3))</f>
        <v/>
      </c>
      <c r="H51" s="110" t="str">
        <f aca="false">IF($B51="","",SUMIFS('الحركات الشهرية'!$E$6:$E$1005,'الحركات الشهرية'!$B$6:$B$1005,$B51,'الحركات الشهرية'!$A$6:$A$1005,$C$3))</f>
        <v/>
      </c>
      <c r="I51" s="110" t="str">
        <f aca="false">IF($B51="","",MAX(0,F51-G51-H51))</f>
        <v/>
      </c>
      <c r="J51" s="90" t="str">
        <f aca="false">IF($B51="","",الموظفون!$J51*$I51/cfg_DAYS_M)</f>
        <v/>
      </c>
      <c r="K51" s="90" t="str">
        <f aca="false">IF($B51="","",الموظفون!$K51*$I51/cfg_DAYS_M)</f>
        <v/>
      </c>
      <c r="L51" s="90" t="str">
        <f aca="false">IF($B51="","",الموظفون!$L51*$I51/cfg_DAYS_M)</f>
        <v/>
      </c>
      <c r="M51" s="90" t="str">
        <f aca="false">IF($B51="","",الموظفون!$M51*$I51/cfg_DAYS_M)</f>
        <v/>
      </c>
      <c r="N51" s="110" t="str">
        <f aca="false">IF($B51="","",SUMIFS('الحركات الشهرية'!$F$6:$F$1005,'الحركات الشهرية'!$B$6:$B$1005,$B51,'الحركات الشهرية'!$A$6:$A$1005,$C$3))</f>
        <v/>
      </c>
      <c r="O51" s="90" t="str">
        <f aca="false">IF($B51="","",N51*(الموظفون!$N51+الموظفون!$J51*cfg_OT_P)/cfg_DAYS_M/cfg_HRS)</f>
        <v/>
      </c>
      <c r="P51" s="90" t="str">
        <f aca="false">IF($B51="","",SUMIFS('الحركات الشهرية'!$G$6:$G$1005,'الحركات الشهرية'!$B$6:$B$1005,$B51,'الحركات الشهرية'!$A$6:$A$1005,$C$3))</f>
        <v/>
      </c>
      <c r="Q51" s="90" t="str">
        <f aca="false">IF($B51="","",SUMIFS('الحركات الشهرية'!$H$6:$H$1005,'الحركات الشهرية'!$B$6:$B$1005,$B51,'الحركات الشهرية'!$A$6:$A$1005,$C$3))</f>
        <v/>
      </c>
      <c r="R51" s="111" t="str">
        <f aca="false">IF($B51="","",SUM(J51:M51)+SUM(O51:Q51))</f>
        <v/>
      </c>
      <c r="S51" s="90" t="str">
        <f aca="false">IF($B51="","",الموظفون!$Q51*IF(E51="سعودي",cfg_G_SE,cfg_G_NE)*F51/cfg_DAYS_M)</f>
        <v/>
      </c>
      <c r="T51" s="90" t="str">
        <f aca="false">IF($B51="","",SUMIFS('الحركات الشهرية'!$I$6:$I$1005,'الحركات الشهرية'!$B$6:$B$1005,$B51,'الحركات الشهرية'!$A$6:$A$1005,$C$3))</f>
        <v/>
      </c>
      <c r="U51" s="90" t="str">
        <f aca="false">IF($B51="","",SUMIFS('الحركات الشهرية'!$J$6:$J$1005,'الحركات الشهرية'!$B$6:$B$1005,$B51,'الحركات الشهرية'!$A$6:$A$1005,$C$3))</f>
        <v/>
      </c>
      <c r="V51" s="90" t="str">
        <f aca="false">IF($B51="","",SUM(S51:U51))</f>
        <v/>
      </c>
      <c r="W51" s="112" t="str">
        <f aca="false">IF($B51="","",R51-V51)</f>
        <v/>
      </c>
      <c r="X51" s="90" t="str">
        <f aca="false">IF($B51="","",الموظفون!$Q51*IF(E51="سعودي",cfg_G_SR,cfg_G_NR)*F51/cfg_DAYS_M)</f>
        <v/>
      </c>
      <c r="Y51" s="90" t="str">
        <f aca="false">IF($B51="","",الموظفون!$O51*(cfg_EOS_R1*(MIN(AC51,cfg_EOS_TH)-MIN(AD51,cfg_EOS_TH))+cfg_EOS_R2*(MAX(AC51-cfg_EOS_TH,0)-MAX(AD51-cfg_EOS_TH,0))))</f>
        <v/>
      </c>
      <c r="Z51" s="90" t="str">
        <f aca="false">IF($B51="","",IF(الموظفون!$R51&lt;&gt;"",الموظفون!$R51,IF(AC51&gt;=cfg_LV_TH,cfg_LV_D2,cfg_LV_D1))/cfg_DAYS_Y*AE51*الموظفون!$P51/cfg_DAYS_M)</f>
        <v/>
      </c>
      <c r="AA51" s="90" t="str">
        <f aca="false">IF($B51="","",IF(AND(الموظفون!$S51="نعم",N(الموظفون!$U51)&gt;0),الموظفون!$T51/الموظفون!$U51*12/cfg_DAYS_Y*AE51,0))</f>
        <v/>
      </c>
      <c r="AB51" s="113" t="str">
        <f aca="false">IF($B51="","",R51+SUM(X51:AA51))</f>
        <v/>
      </c>
      <c r="AC51" s="114" t="str">
        <f aca="false">IF($B51="","",MAX(0,IF(OR(الموظفون!$X51="",الموظفون!$X51&gt;$G$3),$G$3,الموظفون!$X51)-الموظفون!$H51+1)/cfg_DAYS_Y)</f>
        <v/>
      </c>
      <c r="AD51" s="114" t="str">
        <f aca="false">IF($B51="","",MAX(0,IF(OR(الموظفون!$X51="",الموظفون!$X51&gt;($E$3-1)),($E$3-1),الموظفون!$X51)-الموظفون!$H51+1)/cfg_DAYS_Y)</f>
        <v/>
      </c>
      <c r="AE51" s="115" t="str">
        <f aca="false">IF($B51="","",MAX(0,IF(OR(الموظفون!$X51="",الموظفون!$X51&gt;$G$3),$G$3,الموظفون!$X51)-MAX($E$3,الموظفون!$H51)+1))</f>
        <v/>
      </c>
    </row>
    <row r="52" customFormat="false" ht="15" hidden="false" customHeight="false" outlineLevel="0" collapsed="false">
      <c r="A52" s="83" t="str">
        <f aca="false">IF($B52="","",الموظفون!$A52)</f>
        <v/>
      </c>
      <c r="B52" s="74" t="str">
        <f aca="false">IF(الموظفون!$B52="","",الموظفون!$B52)</f>
        <v/>
      </c>
      <c r="C52" s="74" t="str">
        <f aca="false">IF($B52="","",الموظفون!$C52)</f>
        <v/>
      </c>
      <c r="D52" s="74" t="str">
        <f aca="false">IF($B52="","",الموظفون!$F52)</f>
        <v/>
      </c>
      <c r="E52" s="74" t="str">
        <f aca="false">IF($B52="","",الموظفون!$E52)</f>
        <v/>
      </c>
      <c r="F52" s="105" t="str">
        <f aca="false">IF($B52="","",IF(AE52&gt;=DAY($G$3),cfg_DAYS_M,MIN(AE52,cfg_DAYS_M)))</f>
        <v/>
      </c>
      <c r="G52" s="105" t="str">
        <f aca="false">IF($B52="","",SUMIFS('الحركات الشهرية'!$D$6:$D$1005,'الحركات الشهرية'!$B$6:$B$1005,$B52,'الحركات الشهرية'!$A$6:$A$1005,$C$3))</f>
        <v/>
      </c>
      <c r="H52" s="105" t="str">
        <f aca="false">IF($B52="","",SUMIFS('الحركات الشهرية'!$E$6:$E$1005,'الحركات الشهرية'!$B$6:$B$1005,$B52,'الحركات الشهرية'!$A$6:$A$1005,$C$3))</f>
        <v/>
      </c>
      <c r="I52" s="105" t="str">
        <f aca="false">IF($B52="","",MAX(0,F52-G52-H52))</f>
        <v/>
      </c>
      <c r="J52" s="86" t="str">
        <f aca="false">IF($B52="","",الموظفون!$J52*$I52/cfg_DAYS_M)</f>
        <v/>
      </c>
      <c r="K52" s="86" t="str">
        <f aca="false">IF($B52="","",الموظفون!$K52*$I52/cfg_DAYS_M)</f>
        <v/>
      </c>
      <c r="L52" s="86" t="str">
        <f aca="false">IF($B52="","",الموظفون!$L52*$I52/cfg_DAYS_M)</f>
        <v/>
      </c>
      <c r="M52" s="86" t="str">
        <f aca="false">IF($B52="","",الموظفون!$M52*$I52/cfg_DAYS_M)</f>
        <v/>
      </c>
      <c r="N52" s="105" t="str">
        <f aca="false">IF($B52="","",SUMIFS('الحركات الشهرية'!$F$6:$F$1005,'الحركات الشهرية'!$B$6:$B$1005,$B52,'الحركات الشهرية'!$A$6:$A$1005,$C$3))</f>
        <v/>
      </c>
      <c r="O52" s="86" t="str">
        <f aca="false">IF($B52="","",N52*(الموظفون!$N52+الموظفون!$J52*cfg_OT_P)/cfg_DAYS_M/cfg_HRS)</f>
        <v/>
      </c>
      <c r="P52" s="86" t="str">
        <f aca="false">IF($B52="","",SUMIFS('الحركات الشهرية'!$G$6:$G$1005,'الحركات الشهرية'!$B$6:$B$1005,$B52,'الحركات الشهرية'!$A$6:$A$1005,$C$3))</f>
        <v/>
      </c>
      <c r="Q52" s="86" t="str">
        <f aca="false">IF($B52="","",SUMIFS('الحركات الشهرية'!$H$6:$H$1005,'الحركات الشهرية'!$B$6:$B$1005,$B52,'الحركات الشهرية'!$A$6:$A$1005,$C$3))</f>
        <v/>
      </c>
      <c r="R52" s="106" t="str">
        <f aca="false">IF($B52="","",SUM(J52:M52)+SUM(O52:Q52))</f>
        <v/>
      </c>
      <c r="S52" s="86" t="str">
        <f aca="false">IF($B52="","",الموظفون!$Q52*IF(E52="سعودي",cfg_G_SE,cfg_G_NE)*F52/cfg_DAYS_M)</f>
        <v/>
      </c>
      <c r="T52" s="86" t="str">
        <f aca="false">IF($B52="","",SUMIFS('الحركات الشهرية'!$I$6:$I$1005,'الحركات الشهرية'!$B$6:$B$1005,$B52,'الحركات الشهرية'!$A$6:$A$1005,$C$3))</f>
        <v/>
      </c>
      <c r="U52" s="86" t="str">
        <f aca="false">IF($B52="","",SUMIFS('الحركات الشهرية'!$J$6:$J$1005,'الحركات الشهرية'!$B$6:$B$1005,$B52,'الحركات الشهرية'!$A$6:$A$1005,$C$3))</f>
        <v/>
      </c>
      <c r="V52" s="86" t="str">
        <f aca="false">IF($B52="","",SUM(S52:U52))</f>
        <v/>
      </c>
      <c r="W52" s="107" t="str">
        <f aca="false">IF($B52="","",R52-V52)</f>
        <v/>
      </c>
      <c r="X52" s="86" t="str">
        <f aca="false">IF($B52="","",الموظفون!$Q52*IF(E52="سعودي",cfg_G_SR,cfg_G_NR)*F52/cfg_DAYS_M)</f>
        <v/>
      </c>
      <c r="Y52" s="86" t="str">
        <f aca="false">IF($B52="","",الموظفون!$O52*(cfg_EOS_R1*(MIN(AC52,cfg_EOS_TH)-MIN(AD52,cfg_EOS_TH))+cfg_EOS_R2*(MAX(AC52-cfg_EOS_TH,0)-MAX(AD52-cfg_EOS_TH,0))))</f>
        <v/>
      </c>
      <c r="Z52" s="86" t="str">
        <f aca="false">IF($B52="","",IF(الموظفون!$R52&lt;&gt;"",الموظفون!$R52,IF(AC52&gt;=cfg_LV_TH,cfg_LV_D2,cfg_LV_D1))/cfg_DAYS_Y*AE52*الموظفون!$P52/cfg_DAYS_M)</f>
        <v/>
      </c>
      <c r="AA52" s="86" t="str">
        <f aca="false">IF($B52="","",IF(AND(الموظفون!$S52="نعم",N(الموظفون!$U52)&gt;0),الموظفون!$T52/الموظفون!$U52*12/cfg_DAYS_Y*AE52,0))</f>
        <v/>
      </c>
      <c r="AB52" s="108" t="str">
        <f aca="false">IF($B52="","",R52+SUM(X52:AA52))</f>
        <v/>
      </c>
      <c r="AC52" s="109" t="str">
        <f aca="false">IF($B52="","",MAX(0,IF(OR(الموظفون!$X52="",الموظفون!$X52&gt;$G$3),$G$3,الموظفون!$X52)-الموظفون!$H52+1)/cfg_DAYS_Y)</f>
        <v/>
      </c>
      <c r="AD52" s="109" t="str">
        <f aca="false">IF($B52="","",MAX(0,IF(OR(الموظفون!$X52="",الموظفون!$X52&gt;($E$3-1)),($E$3-1),الموظفون!$X52)-الموظفون!$H52+1)/cfg_DAYS_Y)</f>
        <v/>
      </c>
      <c r="AE52" s="51" t="str">
        <f aca="false">IF($B52="","",MAX(0,IF(OR(الموظفون!$X52="",الموظفون!$X52&gt;$G$3),$G$3,الموظفون!$X52)-MAX($E$3,الموظفون!$H52)+1))</f>
        <v/>
      </c>
    </row>
    <row r="53" customFormat="false" ht="15" hidden="false" customHeight="false" outlineLevel="0" collapsed="false">
      <c r="A53" s="89" t="str">
        <f aca="false">IF($B53="","",الموظفون!$A53)</f>
        <v/>
      </c>
      <c r="B53" s="91" t="str">
        <f aca="false">IF(الموظفون!$B53="","",الموظفون!$B53)</f>
        <v/>
      </c>
      <c r="C53" s="91" t="str">
        <f aca="false">IF($B53="","",الموظفون!$C53)</f>
        <v/>
      </c>
      <c r="D53" s="91" t="str">
        <f aca="false">IF($B53="","",الموظفون!$F53)</f>
        <v/>
      </c>
      <c r="E53" s="91" t="str">
        <f aca="false">IF($B53="","",الموظفون!$E53)</f>
        <v/>
      </c>
      <c r="F53" s="110" t="str">
        <f aca="false">IF($B53="","",IF(AE53&gt;=DAY($G$3),cfg_DAYS_M,MIN(AE53,cfg_DAYS_M)))</f>
        <v/>
      </c>
      <c r="G53" s="110" t="str">
        <f aca="false">IF($B53="","",SUMIFS('الحركات الشهرية'!$D$6:$D$1005,'الحركات الشهرية'!$B$6:$B$1005,$B53,'الحركات الشهرية'!$A$6:$A$1005,$C$3))</f>
        <v/>
      </c>
      <c r="H53" s="110" t="str">
        <f aca="false">IF($B53="","",SUMIFS('الحركات الشهرية'!$E$6:$E$1005,'الحركات الشهرية'!$B$6:$B$1005,$B53,'الحركات الشهرية'!$A$6:$A$1005,$C$3))</f>
        <v/>
      </c>
      <c r="I53" s="110" t="str">
        <f aca="false">IF($B53="","",MAX(0,F53-G53-H53))</f>
        <v/>
      </c>
      <c r="J53" s="90" t="str">
        <f aca="false">IF($B53="","",الموظفون!$J53*$I53/cfg_DAYS_M)</f>
        <v/>
      </c>
      <c r="K53" s="90" t="str">
        <f aca="false">IF($B53="","",الموظفون!$K53*$I53/cfg_DAYS_M)</f>
        <v/>
      </c>
      <c r="L53" s="90" t="str">
        <f aca="false">IF($B53="","",الموظفون!$L53*$I53/cfg_DAYS_M)</f>
        <v/>
      </c>
      <c r="M53" s="90" t="str">
        <f aca="false">IF($B53="","",الموظفون!$M53*$I53/cfg_DAYS_M)</f>
        <v/>
      </c>
      <c r="N53" s="110" t="str">
        <f aca="false">IF($B53="","",SUMIFS('الحركات الشهرية'!$F$6:$F$1005,'الحركات الشهرية'!$B$6:$B$1005,$B53,'الحركات الشهرية'!$A$6:$A$1005,$C$3))</f>
        <v/>
      </c>
      <c r="O53" s="90" t="str">
        <f aca="false">IF($B53="","",N53*(الموظفون!$N53+الموظفون!$J53*cfg_OT_P)/cfg_DAYS_M/cfg_HRS)</f>
        <v/>
      </c>
      <c r="P53" s="90" t="str">
        <f aca="false">IF($B53="","",SUMIFS('الحركات الشهرية'!$G$6:$G$1005,'الحركات الشهرية'!$B$6:$B$1005,$B53,'الحركات الشهرية'!$A$6:$A$1005,$C$3))</f>
        <v/>
      </c>
      <c r="Q53" s="90" t="str">
        <f aca="false">IF($B53="","",SUMIFS('الحركات الشهرية'!$H$6:$H$1005,'الحركات الشهرية'!$B$6:$B$1005,$B53,'الحركات الشهرية'!$A$6:$A$1005,$C$3))</f>
        <v/>
      </c>
      <c r="R53" s="111" t="str">
        <f aca="false">IF($B53="","",SUM(J53:M53)+SUM(O53:Q53))</f>
        <v/>
      </c>
      <c r="S53" s="90" t="str">
        <f aca="false">IF($B53="","",الموظفون!$Q53*IF(E53="سعودي",cfg_G_SE,cfg_G_NE)*F53/cfg_DAYS_M)</f>
        <v/>
      </c>
      <c r="T53" s="90" t="str">
        <f aca="false">IF($B53="","",SUMIFS('الحركات الشهرية'!$I$6:$I$1005,'الحركات الشهرية'!$B$6:$B$1005,$B53,'الحركات الشهرية'!$A$6:$A$1005,$C$3))</f>
        <v/>
      </c>
      <c r="U53" s="90" t="str">
        <f aca="false">IF($B53="","",SUMIFS('الحركات الشهرية'!$J$6:$J$1005,'الحركات الشهرية'!$B$6:$B$1005,$B53,'الحركات الشهرية'!$A$6:$A$1005,$C$3))</f>
        <v/>
      </c>
      <c r="V53" s="90" t="str">
        <f aca="false">IF($B53="","",SUM(S53:U53))</f>
        <v/>
      </c>
      <c r="W53" s="112" t="str">
        <f aca="false">IF($B53="","",R53-V53)</f>
        <v/>
      </c>
      <c r="X53" s="90" t="str">
        <f aca="false">IF($B53="","",الموظفون!$Q53*IF(E53="سعودي",cfg_G_SR,cfg_G_NR)*F53/cfg_DAYS_M)</f>
        <v/>
      </c>
      <c r="Y53" s="90" t="str">
        <f aca="false">IF($B53="","",الموظفون!$O53*(cfg_EOS_R1*(MIN(AC53,cfg_EOS_TH)-MIN(AD53,cfg_EOS_TH))+cfg_EOS_R2*(MAX(AC53-cfg_EOS_TH,0)-MAX(AD53-cfg_EOS_TH,0))))</f>
        <v/>
      </c>
      <c r="Z53" s="90" t="str">
        <f aca="false">IF($B53="","",IF(الموظفون!$R53&lt;&gt;"",الموظفون!$R53,IF(AC53&gt;=cfg_LV_TH,cfg_LV_D2,cfg_LV_D1))/cfg_DAYS_Y*AE53*الموظفون!$P53/cfg_DAYS_M)</f>
        <v/>
      </c>
      <c r="AA53" s="90" t="str">
        <f aca="false">IF($B53="","",IF(AND(الموظفون!$S53="نعم",N(الموظفون!$U53)&gt;0),الموظفون!$T53/الموظفون!$U53*12/cfg_DAYS_Y*AE53,0))</f>
        <v/>
      </c>
      <c r="AB53" s="113" t="str">
        <f aca="false">IF($B53="","",R53+SUM(X53:AA53))</f>
        <v/>
      </c>
      <c r="AC53" s="114" t="str">
        <f aca="false">IF($B53="","",MAX(0,IF(OR(الموظفون!$X53="",الموظفون!$X53&gt;$G$3),$G$3,الموظفون!$X53)-الموظفون!$H53+1)/cfg_DAYS_Y)</f>
        <v/>
      </c>
      <c r="AD53" s="114" t="str">
        <f aca="false">IF($B53="","",MAX(0,IF(OR(الموظفون!$X53="",الموظفون!$X53&gt;($E$3-1)),($E$3-1),الموظفون!$X53)-الموظفون!$H53+1)/cfg_DAYS_Y)</f>
        <v/>
      </c>
      <c r="AE53" s="115" t="str">
        <f aca="false">IF($B53="","",MAX(0,IF(OR(الموظفون!$X53="",الموظفون!$X53&gt;$G$3),$G$3,الموظفون!$X53)-MAX($E$3,الموظفون!$H53)+1))</f>
        <v/>
      </c>
    </row>
    <row r="54" customFormat="false" ht="15" hidden="false" customHeight="false" outlineLevel="0" collapsed="false">
      <c r="A54" s="83" t="str">
        <f aca="false">IF($B54="","",الموظفون!$A54)</f>
        <v/>
      </c>
      <c r="B54" s="74" t="str">
        <f aca="false">IF(الموظفون!$B54="","",الموظفون!$B54)</f>
        <v/>
      </c>
      <c r="C54" s="74" t="str">
        <f aca="false">IF($B54="","",الموظفون!$C54)</f>
        <v/>
      </c>
      <c r="D54" s="74" t="str">
        <f aca="false">IF($B54="","",الموظفون!$F54)</f>
        <v/>
      </c>
      <c r="E54" s="74" t="str">
        <f aca="false">IF($B54="","",الموظفون!$E54)</f>
        <v/>
      </c>
      <c r="F54" s="105" t="str">
        <f aca="false">IF($B54="","",IF(AE54&gt;=DAY($G$3),cfg_DAYS_M,MIN(AE54,cfg_DAYS_M)))</f>
        <v/>
      </c>
      <c r="G54" s="105" t="str">
        <f aca="false">IF($B54="","",SUMIFS('الحركات الشهرية'!$D$6:$D$1005,'الحركات الشهرية'!$B$6:$B$1005,$B54,'الحركات الشهرية'!$A$6:$A$1005,$C$3))</f>
        <v/>
      </c>
      <c r="H54" s="105" t="str">
        <f aca="false">IF($B54="","",SUMIFS('الحركات الشهرية'!$E$6:$E$1005,'الحركات الشهرية'!$B$6:$B$1005,$B54,'الحركات الشهرية'!$A$6:$A$1005,$C$3))</f>
        <v/>
      </c>
      <c r="I54" s="105" t="str">
        <f aca="false">IF($B54="","",MAX(0,F54-G54-H54))</f>
        <v/>
      </c>
      <c r="J54" s="86" t="str">
        <f aca="false">IF($B54="","",الموظفون!$J54*$I54/cfg_DAYS_M)</f>
        <v/>
      </c>
      <c r="K54" s="86" t="str">
        <f aca="false">IF($B54="","",الموظفون!$K54*$I54/cfg_DAYS_M)</f>
        <v/>
      </c>
      <c r="L54" s="86" t="str">
        <f aca="false">IF($B54="","",الموظفون!$L54*$I54/cfg_DAYS_M)</f>
        <v/>
      </c>
      <c r="M54" s="86" t="str">
        <f aca="false">IF($B54="","",الموظفون!$M54*$I54/cfg_DAYS_M)</f>
        <v/>
      </c>
      <c r="N54" s="105" t="str">
        <f aca="false">IF($B54="","",SUMIFS('الحركات الشهرية'!$F$6:$F$1005,'الحركات الشهرية'!$B$6:$B$1005,$B54,'الحركات الشهرية'!$A$6:$A$1005,$C$3))</f>
        <v/>
      </c>
      <c r="O54" s="86" t="str">
        <f aca="false">IF($B54="","",N54*(الموظفون!$N54+الموظفون!$J54*cfg_OT_P)/cfg_DAYS_M/cfg_HRS)</f>
        <v/>
      </c>
      <c r="P54" s="86" t="str">
        <f aca="false">IF($B54="","",SUMIFS('الحركات الشهرية'!$G$6:$G$1005,'الحركات الشهرية'!$B$6:$B$1005,$B54,'الحركات الشهرية'!$A$6:$A$1005,$C$3))</f>
        <v/>
      </c>
      <c r="Q54" s="86" t="str">
        <f aca="false">IF($B54="","",SUMIFS('الحركات الشهرية'!$H$6:$H$1005,'الحركات الشهرية'!$B$6:$B$1005,$B54,'الحركات الشهرية'!$A$6:$A$1005,$C$3))</f>
        <v/>
      </c>
      <c r="R54" s="106" t="str">
        <f aca="false">IF($B54="","",SUM(J54:M54)+SUM(O54:Q54))</f>
        <v/>
      </c>
      <c r="S54" s="86" t="str">
        <f aca="false">IF($B54="","",الموظفون!$Q54*IF(E54="سعودي",cfg_G_SE,cfg_G_NE)*F54/cfg_DAYS_M)</f>
        <v/>
      </c>
      <c r="T54" s="86" t="str">
        <f aca="false">IF($B54="","",SUMIFS('الحركات الشهرية'!$I$6:$I$1005,'الحركات الشهرية'!$B$6:$B$1005,$B54,'الحركات الشهرية'!$A$6:$A$1005,$C$3))</f>
        <v/>
      </c>
      <c r="U54" s="86" t="str">
        <f aca="false">IF($B54="","",SUMIFS('الحركات الشهرية'!$J$6:$J$1005,'الحركات الشهرية'!$B$6:$B$1005,$B54,'الحركات الشهرية'!$A$6:$A$1005,$C$3))</f>
        <v/>
      </c>
      <c r="V54" s="86" t="str">
        <f aca="false">IF($B54="","",SUM(S54:U54))</f>
        <v/>
      </c>
      <c r="W54" s="107" t="str">
        <f aca="false">IF($B54="","",R54-V54)</f>
        <v/>
      </c>
      <c r="X54" s="86" t="str">
        <f aca="false">IF($B54="","",الموظفون!$Q54*IF(E54="سعودي",cfg_G_SR,cfg_G_NR)*F54/cfg_DAYS_M)</f>
        <v/>
      </c>
      <c r="Y54" s="86" t="str">
        <f aca="false">IF($B54="","",الموظفون!$O54*(cfg_EOS_R1*(MIN(AC54,cfg_EOS_TH)-MIN(AD54,cfg_EOS_TH))+cfg_EOS_R2*(MAX(AC54-cfg_EOS_TH,0)-MAX(AD54-cfg_EOS_TH,0))))</f>
        <v/>
      </c>
      <c r="Z54" s="86" t="str">
        <f aca="false">IF($B54="","",IF(الموظفون!$R54&lt;&gt;"",الموظفون!$R54,IF(AC54&gt;=cfg_LV_TH,cfg_LV_D2,cfg_LV_D1))/cfg_DAYS_Y*AE54*الموظفون!$P54/cfg_DAYS_M)</f>
        <v/>
      </c>
      <c r="AA54" s="86" t="str">
        <f aca="false">IF($B54="","",IF(AND(الموظفون!$S54="نعم",N(الموظفون!$U54)&gt;0),الموظفون!$T54/الموظفون!$U54*12/cfg_DAYS_Y*AE54,0))</f>
        <v/>
      </c>
      <c r="AB54" s="108" t="str">
        <f aca="false">IF($B54="","",R54+SUM(X54:AA54))</f>
        <v/>
      </c>
      <c r="AC54" s="109" t="str">
        <f aca="false">IF($B54="","",MAX(0,IF(OR(الموظفون!$X54="",الموظفون!$X54&gt;$G$3),$G$3,الموظفون!$X54)-الموظفون!$H54+1)/cfg_DAYS_Y)</f>
        <v/>
      </c>
      <c r="AD54" s="109" t="str">
        <f aca="false">IF($B54="","",MAX(0,IF(OR(الموظفون!$X54="",الموظفون!$X54&gt;($E$3-1)),($E$3-1),الموظفون!$X54)-الموظفون!$H54+1)/cfg_DAYS_Y)</f>
        <v/>
      </c>
      <c r="AE54" s="51" t="str">
        <f aca="false">IF($B54="","",MAX(0,IF(OR(الموظفون!$X54="",الموظفون!$X54&gt;$G$3),$G$3,الموظفون!$X54)-MAX($E$3,الموظفون!$H54)+1))</f>
        <v/>
      </c>
    </row>
    <row r="55" customFormat="false" ht="15" hidden="false" customHeight="false" outlineLevel="0" collapsed="false">
      <c r="A55" s="89" t="str">
        <f aca="false">IF($B55="","",الموظفون!$A55)</f>
        <v/>
      </c>
      <c r="B55" s="91" t="str">
        <f aca="false">IF(الموظفون!$B55="","",الموظفون!$B55)</f>
        <v/>
      </c>
      <c r="C55" s="91" t="str">
        <f aca="false">IF($B55="","",الموظفون!$C55)</f>
        <v/>
      </c>
      <c r="D55" s="91" t="str">
        <f aca="false">IF($B55="","",الموظفون!$F55)</f>
        <v/>
      </c>
      <c r="E55" s="91" t="str">
        <f aca="false">IF($B55="","",الموظفون!$E55)</f>
        <v/>
      </c>
      <c r="F55" s="110" t="str">
        <f aca="false">IF($B55="","",IF(AE55&gt;=DAY($G$3),cfg_DAYS_M,MIN(AE55,cfg_DAYS_M)))</f>
        <v/>
      </c>
      <c r="G55" s="110" t="str">
        <f aca="false">IF($B55="","",SUMIFS('الحركات الشهرية'!$D$6:$D$1005,'الحركات الشهرية'!$B$6:$B$1005,$B55,'الحركات الشهرية'!$A$6:$A$1005,$C$3))</f>
        <v/>
      </c>
      <c r="H55" s="110" t="str">
        <f aca="false">IF($B55="","",SUMIFS('الحركات الشهرية'!$E$6:$E$1005,'الحركات الشهرية'!$B$6:$B$1005,$B55,'الحركات الشهرية'!$A$6:$A$1005,$C$3))</f>
        <v/>
      </c>
      <c r="I55" s="110" t="str">
        <f aca="false">IF($B55="","",MAX(0,F55-G55-H55))</f>
        <v/>
      </c>
      <c r="J55" s="90" t="str">
        <f aca="false">IF($B55="","",الموظفون!$J55*$I55/cfg_DAYS_M)</f>
        <v/>
      </c>
      <c r="K55" s="90" t="str">
        <f aca="false">IF($B55="","",الموظفون!$K55*$I55/cfg_DAYS_M)</f>
        <v/>
      </c>
      <c r="L55" s="90" t="str">
        <f aca="false">IF($B55="","",الموظفون!$L55*$I55/cfg_DAYS_M)</f>
        <v/>
      </c>
      <c r="M55" s="90" t="str">
        <f aca="false">IF($B55="","",الموظفون!$M55*$I55/cfg_DAYS_M)</f>
        <v/>
      </c>
      <c r="N55" s="110" t="str">
        <f aca="false">IF($B55="","",SUMIFS('الحركات الشهرية'!$F$6:$F$1005,'الحركات الشهرية'!$B$6:$B$1005,$B55,'الحركات الشهرية'!$A$6:$A$1005,$C$3))</f>
        <v/>
      </c>
      <c r="O55" s="90" t="str">
        <f aca="false">IF($B55="","",N55*(الموظفون!$N55+الموظفون!$J55*cfg_OT_P)/cfg_DAYS_M/cfg_HRS)</f>
        <v/>
      </c>
      <c r="P55" s="90" t="str">
        <f aca="false">IF($B55="","",SUMIFS('الحركات الشهرية'!$G$6:$G$1005,'الحركات الشهرية'!$B$6:$B$1005,$B55,'الحركات الشهرية'!$A$6:$A$1005,$C$3))</f>
        <v/>
      </c>
      <c r="Q55" s="90" t="str">
        <f aca="false">IF($B55="","",SUMIFS('الحركات الشهرية'!$H$6:$H$1005,'الحركات الشهرية'!$B$6:$B$1005,$B55,'الحركات الشهرية'!$A$6:$A$1005,$C$3))</f>
        <v/>
      </c>
      <c r="R55" s="111" t="str">
        <f aca="false">IF($B55="","",SUM(J55:M55)+SUM(O55:Q55))</f>
        <v/>
      </c>
      <c r="S55" s="90" t="str">
        <f aca="false">IF($B55="","",الموظفون!$Q55*IF(E55="سعودي",cfg_G_SE,cfg_G_NE)*F55/cfg_DAYS_M)</f>
        <v/>
      </c>
      <c r="T55" s="90" t="str">
        <f aca="false">IF($B55="","",SUMIFS('الحركات الشهرية'!$I$6:$I$1005,'الحركات الشهرية'!$B$6:$B$1005,$B55,'الحركات الشهرية'!$A$6:$A$1005,$C$3))</f>
        <v/>
      </c>
      <c r="U55" s="90" t="str">
        <f aca="false">IF($B55="","",SUMIFS('الحركات الشهرية'!$J$6:$J$1005,'الحركات الشهرية'!$B$6:$B$1005,$B55,'الحركات الشهرية'!$A$6:$A$1005,$C$3))</f>
        <v/>
      </c>
      <c r="V55" s="90" t="str">
        <f aca="false">IF($B55="","",SUM(S55:U55))</f>
        <v/>
      </c>
      <c r="W55" s="112" t="str">
        <f aca="false">IF($B55="","",R55-V55)</f>
        <v/>
      </c>
      <c r="X55" s="90" t="str">
        <f aca="false">IF($B55="","",الموظفون!$Q55*IF(E55="سعودي",cfg_G_SR,cfg_G_NR)*F55/cfg_DAYS_M)</f>
        <v/>
      </c>
      <c r="Y55" s="90" t="str">
        <f aca="false">IF($B55="","",الموظفون!$O55*(cfg_EOS_R1*(MIN(AC55,cfg_EOS_TH)-MIN(AD55,cfg_EOS_TH))+cfg_EOS_R2*(MAX(AC55-cfg_EOS_TH,0)-MAX(AD55-cfg_EOS_TH,0))))</f>
        <v/>
      </c>
      <c r="Z55" s="90" t="str">
        <f aca="false">IF($B55="","",IF(الموظفون!$R55&lt;&gt;"",الموظفون!$R55,IF(AC55&gt;=cfg_LV_TH,cfg_LV_D2,cfg_LV_D1))/cfg_DAYS_Y*AE55*الموظفون!$P55/cfg_DAYS_M)</f>
        <v/>
      </c>
      <c r="AA55" s="90" t="str">
        <f aca="false">IF($B55="","",IF(AND(الموظفون!$S55="نعم",N(الموظفون!$U55)&gt;0),الموظفون!$T55/الموظفون!$U55*12/cfg_DAYS_Y*AE55,0))</f>
        <v/>
      </c>
      <c r="AB55" s="113" t="str">
        <f aca="false">IF($B55="","",R55+SUM(X55:AA55))</f>
        <v/>
      </c>
      <c r="AC55" s="114" t="str">
        <f aca="false">IF($B55="","",MAX(0,IF(OR(الموظفون!$X55="",الموظفون!$X55&gt;$G$3),$G$3,الموظفون!$X55)-الموظفون!$H55+1)/cfg_DAYS_Y)</f>
        <v/>
      </c>
      <c r="AD55" s="114" t="str">
        <f aca="false">IF($B55="","",MAX(0,IF(OR(الموظفون!$X55="",الموظفون!$X55&gt;($E$3-1)),($E$3-1),الموظفون!$X55)-الموظفون!$H55+1)/cfg_DAYS_Y)</f>
        <v/>
      </c>
      <c r="AE55" s="115" t="str">
        <f aca="false">IF($B55="","",MAX(0,IF(OR(الموظفون!$X55="",الموظفون!$X55&gt;$G$3),$G$3,الموظفون!$X55)-MAX($E$3,الموظفون!$H55)+1))</f>
        <v/>
      </c>
    </row>
    <row r="56" customFormat="false" ht="15" hidden="false" customHeight="false" outlineLevel="0" collapsed="false">
      <c r="A56" s="83" t="str">
        <f aca="false">IF($B56="","",الموظفون!$A56)</f>
        <v/>
      </c>
      <c r="B56" s="74" t="str">
        <f aca="false">IF(الموظفون!$B56="","",الموظفون!$B56)</f>
        <v/>
      </c>
      <c r="C56" s="74" t="str">
        <f aca="false">IF($B56="","",الموظفون!$C56)</f>
        <v/>
      </c>
      <c r="D56" s="74" t="str">
        <f aca="false">IF($B56="","",الموظفون!$F56)</f>
        <v/>
      </c>
      <c r="E56" s="74" t="str">
        <f aca="false">IF($B56="","",الموظفون!$E56)</f>
        <v/>
      </c>
      <c r="F56" s="105" t="str">
        <f aca="false">IF($B56="","",IF(AE56&gt;=DAY($G$3),cfg_DAYS_M,MIN(AE56,cfg_DAYS_M)))</f>
        <v/>
      </c>
      <c r="G56" s="105" t="str">
        <f aca="false">IF($B56="","",SUMIFS('الحركات الشهرية'!$D$6:$D$1005,'الحركات الشهرية'!$B$6:$B$1005,$B56,'الحركات الشهرية'!$A$6:$A$1005,$C$3))</f>
        <v/>
      </c>
      <c r="H56" s="105" t="str">
        <f aca="false">IF($B56="","",SUMIFS('الحركات الشهرية'!$E$6:$E$1005,'الحركات الشهرية'!$B$6:$B$1005,$B56,'الحركات الشهرية'!$A$6:$A$1005,$C$3))</f>
        <v/>
      </c>
      <c r="I56" s="105" t="str">
        <f aca="false">IF($B56="","",MAX(0,F56-G56-H56))</f>
        <v/>
      </c>
      <c r="J56" s="86" t="str">
        <f aca="false">IF($B56="","",الموظفون!$J56*$I56/cfg_DAYS_M)</f>
        <v/>
      </c>
      <c r="K56" s="86" t="str">
        <f aca="false">IF($B56="","",الموظفون!$K56*$I56/cfg_DAYS_M)</f>
        <v/>
      </c>
      <c r="L56" s="86" t="str">
        <f aca="false">IF($B56="","",الموظفون!$L56*$I56/cfg_DAYS_M)</f>
        <v/>
      </c>
      <c r="M56" s="86" t="str">
        <f aca="false">IF($B56="","",الموظفون!$M56*$I56/cfg_DAYS_M)</f>
        <v/>
      </c>
      <c r="N56" s="105" t="str">
        <f aca="false">IF($B56="","",SUMIFS('الحركات الشهرية'!$F$6:$F$1005,'الحركات الشهرية'!$B$6:$B$1005,$B56,'الحركات الشهرية'!$A$6:$A$1005,$C$3))</f>
        <v/>
      </c>
      <c r="O56" s="86" t="str">
        <f aca="false">IF($B56="","",N56*(الموظفون!$N56+الموظفون!$J56*cfg_OT_P)/cfg_DAYS_M/cfg_HRS)</f>
        <v/>
      </c>
      <c r="P56" s="86" t="str">
        <f aca="false">IF($B56="","",SUMIFS('الحركات الشهرية'!$G$6:$G$1005,'الحركات الشهرية'!$B$6:$B$1005,$B56,'الحركات الشهرية'!$A$6:$A$1005,$C$3))</f>
        <v/>
      </c>
      <c r="Q56" s="86" t="str">
        <f aca="false">IF($B56="","",SUMIFS('الحركات الشهرية'!$H$6:$H$1005,'الحركات الشهرية'!$B$6:$B$1005,$B56,'الحركات الشهرية'!$A$6:$A$1005,$C$3))</f>
        <v/>
      </c>
      <c r="R56" s="106" t="str">
        <f aca="false">IF($B56="","",SUM(J56:M56)+SUM(O56:Q56))</f>
        <v/>
      </c>
      <c r="S56" s="86" t="str">
        <f aca="false">IF($B56="","",الموظفون!$Q56*IF(E56="سعودي",cfg_G_SE,cfg_G_NE)*F56/cfg_DAYS_M)</f>
        <v/>
      </c>
      <c r="T56" s="86" t="str">
        <f aca="false">IF($B56="","",SUMIFS('الحركات الشهرية'!$I$6:$I$1005,'الحركات الشهرية'!$B$6:$B$1005,$B56,'الحركات الشهرية'!$A$6:$A$1005,$C$3))</f>
        <v/>
      </c>
      <c r="U56" s="86" t="str">
        <f aca="false">IF($B56="","",SUMIFS('الحركات الشهرية'!$J$6:$J$1005,'الحركات الشهرية'!$B$6:$B$1005,$B56,'الحركات الشهرية'!$A$6:$A$1005,$C$3))</f>
        <v/>
      </c>
      <c r="V56" s="86" t="str">
        <f aca="false">IF($B56="","",SUM(S56:U56))</f>
        <v/>
      </c>
      <c r="W56" s="107" t="str">
        <f aca="false">IF($B56="","",R56-V56)</f>
        <v/>
      </c>
      <c r="X56" s="86" t="str">
        <f aca="false">IF($B56="","",الموظفون!$Q56*IF(E56="سعودي",cfg_G_SR,cfg_G_NR)*F56/cfg_DAYS_M)</f>
        <v/>
      </c>
      <c r="Y56" s="86" t="str">
        <f aca="false">IF($B56="","",الموظفون!$O56*(cfg_EOS_R1*(MIN(AC56,cfg_EOS_TH)-MIN(AD56,cfg_EOS_TH))+cfg_EOS_R2*(MAX(AC56-cfg_EOS_TH,0)-MAX(AD56-cfg_EOS_TH,0))))</f>
        <v/>
      </c>
      <c r="Z56" s="86" t="str">
        <f aca="false">IF($B56="","",IF(الموظفون!$R56&lt;&gt;"",الموظفون!$R56,IF(AC56&gt;=cfg_LV_TH,cfg_LV_D2,cfg_LV_D1))/cfg_DAYS_Y*AE56*الموظفون!$P56/cfg_DAYS_M)</f>
        <v/>
      </c>
      <c r="AA56" s="86" t="str">
        <f aca="false">IF($B56="","",IF(AND(الموظفون!$S56="نعم",N(الموظفون!$U56)&gt;0),الموظفون!$T56/الموظفون!$U56*12/cfg_DAYS_Y*AE56,0))</f>
        <v/>
      </c>
      <c r="AB56" s="108" t="str">
        <f aca="false">IF($B56="","",R56+SUM(X56:AA56))</f>
        <v/>
      </c>
      <c r="AC56" s="109" t="str">
        <f aca="false">IF($B56="","",MAX(0,IF(OR(الموظفون!$X56="",الموظفون!$X56&gt;$G$3),$G$3,الموظفون!$X56)-الموظفون!$H56+1)/cfg_DAYS_Y)</f>
        <v/>
      </c>
      <c r="AD56" s="109" t="str">
        <f aca="false">IF($B56="","",MAX(0,IF(OR(الموظفون!$X56="",الموظفون!$X56&gt;($E$3-1)),($E$3-1),الموظفون!$X56)-الموظفون!$H56+1)/cfg_DAYS_Y)</f>
        <v/>
      </c>
      <c r="AE56" s="51" t="str">
        <f aca="false">IF($B56="","",MAX(0,IF(OR(الموظفون!$X56="",الموظفون!$X56&gt;$G$3),$G$3,الموظفون!$X56)-MAX($E$3,الموظفون!$H56)+1))</f>
        <v/>
      </c>
    </row>
    <row r="57" customFormat="false" ht="15" hidden="false" customHeight="false" outlineLevel="0" collapsed="false">
      <c r="A57" s="89" t="str">
        <f aca="false">IF($B57="","",الموظفون!$A57)</f>
        <v/>
      </c>
      <c r="B57" s="91" t="str">
        <f aca="false">IF(الموظفون!$B57="","",الموظفون!$B57)</f>
        <v/>
      </c>
      <c r="C57" s="91" t="str">
        <f aca="false">IF($B57="","",الموظفون!$C57)</f>
        <v/>
      </c>
      <c r="D57" s="91" t="str">
        <f aca="false">IF($B57="","",الموظفون!$F57)</f>
        <v/>
      </c>
      <c r="E57" s="91" t="str">
        <f aca="false">IF($B57="","",الموظفون!$E57)</f>
        <v/>
      </c>
      <c r="F57" s="110" t="str">
        <f aca="false">IF($B57="","",IF(AE57&gt;=DAY($G$3),cfg_DAYS_M,MIN(AE57,cfg_DAYS_M)))</f>
        <v/>
      </c>
      <c r="G57" s="110" t="str">
        <f aca="false">IF($B57="","",SUMIFS('الحركات الشهرية'!$D$6:$D$1005,'الحركات الشهرية'!$B$6:$B$1005,$B57,'الحركات الشهرية'!$A$6:$A$1005,$C$3))</f>
        <v/>
      </c>
      <c r="H57" s="110" t="str">
        <f aca="false">IF($B57="","",SUMIFS('الحركات الشهرية'!$E$6:$E$1005,'الحركات الشهرية'!$B$6:$B$1005,$B57,'الحركات الشهرية'!$A$6:$A$1005,$C$3))</f>
        <v/>
      </c>
      <c r="I57" s="110" t="str">
        <f aca="false">IF($B57="","",MAX(0,F57-G57-H57))</f>
        <v/>
      </c>
      <c r="J57" s="90" t="str">
        <f aca="false">IF($B57="","",الموظفون!$J57*$I57/cfg_DAYS_M)</f>
        <v/>
      </c>
      <c r="K57" s="90" t="str">
        <f aca="false">IF($B57="","",الموظفون!$K57*$I57/cfg_DAYS_M)</f>
        <v/>
      </c>
      <c r="L57" s="90" t="str">
        <f aca="false">IF($B57="","",الموظفون!$L57*$I57/cfg_DAYS_M)</f>
        <v/>
      </c>
      <c r="M57" s="90" t="str">
        <f aca="false">IF($B57="","",الموظفون!$M57*$I57/cfg_DAYS_M)</f>
        <v/>
      </c>
      <c r="N57" s="110" t="str">
        <f aca="false">IF($B57="","",SUMIFS('الحركات الشهرية'!$F$6:$F$1005,'الحركات الشهرية'!$B$6:$B$1005,$B57,'الحركات الشهرية'!$A$6:$A$1005,$C$3))</f>
        <v/>
      </c>
      <c r="O57" s="90" t="str">
        <f aca="false">IF($B57="","",N57*(الموظفون!$N57+الموظفون!$J57*cfg_OT_P)/cfg_DAYS_M/cfg_HRS)</f>
        <v/>
      </c>
      <c r="P57" s="90" t="str">
        <f aca="false">IF($B57="","",SUMIFS('الحركات الشهرية'!$G$6:$G$1005,'الحركات الشهرية'!$B$6:$B$1005,$B57,'الحركات الشهرية'!$A$6:$A$1005,$C$3))</f>
        <v/>
      </c>
      <c r="Q57" s="90" t="str">
        <f aca="false">IF($B57="","",SUMIFS('الحركات الشهرية'!$H$6:$H$1005,'الحركات الشهرية'!$B$6:$B$1005,$B57,'الحركات الشهرية'!$A$6:$A$1005,$C$3))</f>
        <v/>
      </c>
      <c r="R57" s="111" t="str">
        <f aca="false">IF($B57="","",SUM(J57:M57)+SUM(O57:Q57))</f>
        <v/>
      </c>
      <c r="S57" s="90" t="str">
        <f aca="false">IF($B57="","",الموظفون!$Q57*IF(E57="سعودي",cfg_G_SE,cfg_G_NE)*F57/cfg_DAYS_M)</f>
        <v/>
      </c>
      <c r="T57" s="90" t="str">
        <f aca="false">IF($B57="","",SUMIFS('الحركات الشهرية'!$I$6:$I$1005,'الحركات الشهرية'!$B$6:$B$1005,$B57,'الحركات الشهرية'!$A$6:$A$1005,$C$3))</f>
        <v/>
      </c>
      <c r="U57" s="90" t="str">
        <f aca="false">IF($B57="","",SUMIFS('الحركات الشهرية'!$J$6:$J$1005,'الحركات الشهرية'!$B$6:$B$1005,$B57,'الحركات الشهرية'!$A$6:$A$1005,$C$3))</f>
        <v/>
      </c>
      <c r="V57" s="90" t="str">
        <f aca="false">IF($B57="","",SUM(S57:U57))</f>
        <v/>
      </c>
      <c r="W57" s="112" t="str">
        <f aca="false">IF($B57="","",R57-V57)</f>
        <v/>
      </c>
      <c r="X57" s="90" t="str">
        <f aca="false">IF($B57="","",الموظفون!$Q57*IF(E57="سعودي",cfg_G_SR,cfg_G_NR)*F57/cfg_DAYS_M)</f>
        <v/>
      </c>
      <c r="Y57" s="90" t="str">
        <f aca="false">IF($B57="","",الموظفون!$O57*(cfg_EOS_R1*(MIN(AC57,cfg_EOS_TH)-MIN(AD57,cfg_EOS_TH))+cfg_EOS_R2*(MAX(AC57-cfg_EOS_TH,0)-MAX(AD57-cfg_EOS_TH,0))))</f>
        <v/>
      </c>
      <c r="Z57" s="90" t="str">
        <f aca="false">IF($B57="","",IF(الموظفون!$R57&lt;&gt;"",الموظفون!$R57,IF(AC57&gt;=cfg_LV_TH,cfg_LV_D2,cfg_LV_D1))/cfg_DAYS_Y*AE57*الموظفون!$P57/cfg_DAYS_M)</f>
        <v/>
      </c>
      <c r="AA57" s="90" t="str">
        <f aca="false">IF($B57="","",IF(AND(الموظفون!$S57="نعم",N(الموظفون!$U57)&gt;0),الموظفون!$T57/الموظفون!$U57*12/cfg_DAYS_Y*AE57,0))</f>
        <v/>
      </c>
      <c r="AB57" s="113" t="str">
        <f aca="false">IF($B57="","",R57+SUM(X57:AA57))</f>
        <v/>
      </c>
      <c r="AC57" s="114" t="str">
        <f aca="false">IF($B57="","",MAX(0,IF(OR(الموظفون!$X57="",الموظفون!$X57&gt;$G$3),$G$3,الموظفون!$X57)-الموظفون!$H57+1)/cfg_DAYS_Y)</f>
        <v/>
      </c>
      <c r="AD57" s="114" t="str">
        <f aca="false">IF($B57="","",MAX(0,IF(OR(الموظفون!$X57="",الموظفون!$X57&gt;($E$3-1)),($E$3-1),الموظفون!$X57)-الموظفون!$H57+1)/cfg_DAYS_Y)</f>
        <v/>
      </c>
      <c r="AE57" s="115" t="str">
        <f aca="false">IF($B57="","",MAX(0,IF(OR(الموظفون!$X57="",الموظفون!$X57&gt;$G$3),$G$3,الموظفون!$X57)-MAX($E$3,الموظفون!$H57)+1))</f>
        <v/>
      </c>
    </row>
    <row r="58" customFormat="false" ht="15" hidden="false" customHeight="false" outlineLevel="0" collapsed="false">
      <c r="A58" s="83" t="str">
        <f aca="false">IF($B58="","",الموظفون!$A58)</f>
        <v/>
      </c>
      <c r="B58" s="74" t="str">
        <f aca="false">IF(الموظفون!$B58="","",الموظفون!$B58)</f>
        <v/>
      </c>
      <c r="C58" s="74" t="str">
        <f aca="false">IF($B58="","",الموظفون!$C58)</f>
        <v/>
      </c>
      <c r="D58" s="74" t="str">
        <f aca="false">IF($B58="","",الموظفون!$F58)</f>
        <v/>
      </c>
      <c r="E58" s="74" t="str">
        <f aca="false">IF($B58="","",الموظفون!$E58)</f>
        <v/>
      </c>
      <c r="F58" s="105" t="str">
        <f aca="false">IF($B58="","",IF(AE58&gt;=DAY($G$3),cfg_DAYS_M,MIN(AE58,cfg_DAYS_M)))</f>
        <v/>
      </c>
      <c r="G58" s="105" t="str">
        <f aca="false">IF($B58="","",SUMIFS('الحركات الشهرية'!$D$6:$D$1005,'الحركات الشهرية'!$B$6:$B$1005,$B58,'الحركات الشهرية'!$A$6:$A$1005,$C$3))</f>
        <v/>
      </c>
      <c r="H58" s="105" t="str">
        <f aca="false">IF($B58="","",SUMIFS('الحركات الشهرية'!$E$6:$E$1005,'الحركات الشهرية'!$B$6:$B$1005,$B58,'الحركات الشهرية'!$A$6:$A$1005,$C$3))</f>
        <v/>
      </c>
      <c r="I58" s="105" t="str">
        <f aca="false">IF($B58="","",MAX(0,F58-G58-H58))</f>
        <v/>
      </c>
      <c r="J58" s="86" t="str">
        <f aca="false">IF($B58="","",الموظفون!$J58*$I58/cfg_DAYS_M)</f>
        <v/>
      </c>
      <c r="K58" s="86" t="str">
        <f aca="false">IF($B58="","",الموظفون!$K58*$I58/cfg_DAYS_M)</f>
        <v/>
      </c>
      <c r="L58" s="86" t="str">
        <f aca="false">IF($B58="","",الموظفون!$L58*$I58/cfg_DAYS_M)</f>
        <v/>
      </c>
      <c r="M58" s="86" t="str">
        <f aca="false">IF($B58="","",الموظفون!$M58*$I58/cfg_DAYS_M)</f>
        <v/>
      </c>
      <c r="N58" s="105" t="str">
        <f aca="false">IF($B58="","",SUMIFS('الحركات الشهرية'!$F$6:$F$1005,'الحركات الشهرية'!$B$6:$B$1005,$B58,'الحركات الشهرية'!$A$6:$A$1005,$C$3))</f>
        <v/>
      </c>
      <c r="O58" s="86" t="str">
        <f aca="false">IF($B58="","",N58*(الموظفون!$N58+الموظفون!$J58*cfg_OT_P)/cfg_DAYS_M/cfg_HRS)</f>
        <v/>
      </c>
      <c r="P58" s="86" t="str">
        <f aca="false">IF($B58="","",SUMIFS('الحركات الشهرية'!$G$6:$G$1005,'الحركات الشهرية'!$B$6:$B$1005,$B58,'الحركات الشهرية'!$A$6:$A$1005,$C$3))</f>
        <v/>
      </c>
      <c r="Q58" s="86" t="str">
        <f aca="false">IF($B58="","",SUMIFS('الحركات الشهرية'!$H$6:$H$1005,'الحركات الشهرية'!$B$6:$B$1005,$B58,'الحركات الشهرية'!$A$6:$A$1005,$C$3))</f>
        <v/>
      </c>
      <c r="R58" s="106" t="str">
        <f aca="false">IF($B58="","",SUM(J58:M58)+SUM(O58:Q58))</f>
        <v/>
      </c>
      <c r="S58" s="86" t="str">
        <f aca="false">IF($B58="","",الموظفون!$Q58*IF(E58="سعودي",cfg_G_SE,cfg_G_NE)*F58/cfg_DAYS_M)</f>
        <v/>
      </c>
      <c r="T58" s="86" t="str">
        <f aca="false">IF($B58="","",SUMIFS('الحركات الشهرية'!$I$6:$I$1005,'الحركات الشهرية'!$B$6:$B$1005,$B58,'الحركات الشهرية'!$A$6:$A$1005,$C$3))</f>
        <v/>
      </c>
      <c r="U58" s="86" t="str">
        <f aca="false">IF($B58="","",SUMIFS('الحركات الشهرية'!$J$6:$J$1005,'الحركات الشهرية'!$B$6:$B$1005,$B58,'الحركات الشهرية'!$A$6:$A$1005,$C$3))</f>
        <v/>
      </c>
      <c r="V58" s="86" t="str">
        <f aca="false">IF($B58="","",SUM(S58:U58))</f>
        <v/>
      </c>
      <c r="W58" s="107" t="str">
        <f aca="false">IF($B58="","",R58-V58)</f>
        <v/>
      </c>
      <c r="X58" s="86" t="str">
        <f aca="false">IF($B58="","",الموظفون!$Q58*IF(E58="سعودي",cfg_G_SR,cfg_G_NR)*F58/cfg_DAYS_M)</f>
        <v/>
      </c>
      <c r="Y58" s="86" t="str">
        <f aca="false">IF($B58="","",الموظفون!$O58*(cfg_EOS_R1*(MIN(AC58,cfg_EOS_TH)-MIN(AD58,cfg_EOS_TH))+cfg_EOS_R2*(MAX(AC58-cfg_EOS_TH,0)-MAX(AD58-cfg_EOS_TH,0))))</f>
        <v/>
      </c>
      <c r="Z58" s="86" t="str">
        <f aca="false">IF($B58="","",IF(الموظفون!$R58&lt;&gt;"",الموظفون!$R58,IF(AC58&gt;=cfg_LV_TH,cfg_LV_D2,cfg_LV_D1))/cfg_DAYS_Y*AE58*الموظفون!$P58/cfg_DAYS_M)</f>
        <v/>
      </c>
      <c r="AA58" s="86" t="str">
        <f aca="false">IF($B58="","",IF(AND(الموظفون!$S58="نعم",N(الموظفون!$U58)&gt;0),الموظفون!$T58/الموظفون!$U58*12/cfg_DAYS_Y*AE58,0))</f>
        <v/>
      </c>
      <c r="AB58" s="108" t="str">
        <f aca="false">IF($B58="","",R58+SUM(X58:AA58))</f>
        <v/>
      </c>
      <c r="AC58" s="109" t="str">
        <f aca="false">IF($B58="","",MAX(0,IF(OR(الموظفون!$X58="",الموظفون!$X58&gt;$G$3),$G$3,الموظفون!$X58)-الموظفون!$H58+1)/cfg_DAYS_Y)</f>
        <v/>
      </c>
      <c r="AD58" s="109" t="str">
        <f aca="false">IF($B58="","",MAX(0,IF(OR(الموظفون!$X58="",الموظفون!$X58&gt;($E$3-1)),($E$3-1),الموظفون!$X58)-الموظفون!$H58+1)/cfg_DAYS_Y)</f>
        <v/>
      </c>
      <c r="AE58" s="51" t="str">
        <f aca="false">IF($B58="","",MAX(0,IF(OR(الموظفون!$X58="",الموظفون!$X58&gt;$G$3),$G$3,الموظفون!$X58)-MAX($E$3,الموظفون!$H58)+1))</f>
        <v/>
      </c>
    </row>
    <row r="59" customFormat="false" ht="15" hidden="false" customHeight="false" outlineLevel="0" collapsed="false">
      <c r="A59" s="89" t="str">
        <f aca="false">IF($B59="","",الموظفون!$A59)</f>
        <v/>
      </c>
      <c r="B59" s="91" t="str">
        <f aca="false">IF(الموظفون!$B59="","",الموظفون!$B59)</f>
        <v/>
      </c>
      <c r="C59" s="91" t="str">
        <f aca="false">IF($B59="","",الموظفون!$C59)</f>
        <v/>
      </c>
      <c r="D59" s="91" t="str">
        <f aca="false">IF($B59="","",الموظفون!$F59)</f>
        <v/>
      </c>
      <c r="E59" s="91" t="str">
        <f aca="false">IF($B59="","",الموظفون!$E59)</f>
        <v/>
      </c>
      <c r="F59" s="110" t="str">
        <f aca="false">IF($B59="","",IF(AE59&gt;=DAY($G$3),cfg_DAYS_M,MIN(AE59,cfg_DAYS_M)))</f>
        <v/>
      </c>
      <c r="G59" s="110" t="str">
        <f aca="false">IF($B59="","",SUMIFS('الحركات الشهرية'!$D$6:$D$1005,'الحركات الشهرية'!$B$6:$B$1005,$B59,'الحركات الشهرية'!$A$6:$A$1005,$C$3))</f>
        <v/>
      </c>
      <c r="H59" s="110" t="str">
        <f aca="false">IF($B59="","",SUMIFS('الحركات الشهرية'!$E$6:$E$1005,'الحركات الشهرية'!$B$6:$B$1005,$B59,'الحركات الشهرية'!$A$6:$A$1005,$C$3))</f>
        <v/>
      </c>
      <c r="I59" s="110" t="str">
        <f aca="false">IF($B59="","",MAX(0,F59-G59-H59))</f>
        <v/>
      </c>
      <c r="J59" s="90" t="str">
        <f aca="false">IF($B59="","",الموظفون!$J59*$I59/cfg_DAYS_M)</f>
        <v/>
      </c>
      <c r="K59" s="90" t="str">
        <f aca="false">IF($B59="","",الموظفون!$K59*$I59/cfg_DAYS_M)</f>
        <v/>
      </c>
      <c r="L59" s="90" t="str">
        <f aca="false">IF($B59="","",الموظفون!$L59*$I59/cfg_DAYS_M)</f>
        <v/>
      </c>
      <c r="M59" s="90" t="str">
        <f aca="false">IF($B59="","",الموظفون!$M59*$I59/cfg_DAYS_M)</f>
        <v/>
      </c>
      <c r="N59" s="110" t="str">
        <f aca="false">IF($B59="","",SUMIFS('الحركات الشهرية'!$F$6:$F$1005,'الحركات الشهرية'!$B$6:$B$1005,$B59,'الحركات الشهرية'!$A$6:$A$1005,$C$3))</f>
        <v/>
      </c>
      <c r="O59" s="90" t="str">
        <f aca="false">IF($B59="","",N59*(الموظفون!$N59+الموظفون!$J59*cfg_OT_P)/cfg_DAYS_M/cfg_HRS)</f>
        <v/>
      </c>
      <c r="P59" s="90" t="str">
        <f aca="false">IF($B59="","",SUMIFS('الحركات الشهرية'!$G$6:$G$1005,'الحركات الشهرية'!$B$6:$B$1005,$B59,'الحركات الشهرية'!$A$6:$A$1005,$C$3))</f>
        <v/>
      </c>
      <c r="Q59" s="90" t="str">
        <f aca="false">IF($B59="","",SUMIFS('الحركات الشهرية'!$H$6:$H$1005,'الحركات الشهرية'!$B$6:$B$1005,$B59,'الحركات الشهرية'!$A$6:$A$1005,$C$3))</f>
        <v/>
      </c>
      <c r="R59" s="111" t="str">
        <f aca="false">IF($B59="","",SUM(J59:M59)+SUM(O59:Q59))</f>
        <v/>
      </c>
      <c r="S59" s="90" t="str">
        <f aca="false">IF($B59="","",الموظفون!$Q59*IF(E59="سعودي",cfg_G_SE,cfg_G_NE)*F59/cfg_DAYS_M)</f>
        <v/>
      </c>
      <c r="T59" s="90" t="str">
        <f aca="false">IF($B59="","",SUMIFS('الحركات الشهرية'!$I$6:$I$1005,'الحركات الشهرية'!$B$6:$B$1005,$B59,'الحركات الشهرية'!$A$6:$A$1005,$C$3))</f>
        <v/>
      </c>
      <c r="U59" s="90" t="str">
        <f aca="false">IF($B59="","",SUMIFS('الحركات الشهرية'!$J$6:$J$1005,'الحركات الشهرية'!$B$6:$B$1005,$B59,'الحركات الشهرية'!$A$6:$A$1005,$C$3))</f>
        <v/>
      </c>
      <c r="V59" s="90" t="str">
        <f aca="false">IF($B59="","",SUM(S59:U59))</f>
        <v/>
      </c>
      <c r="W59" s="112" t="str">
        <f aca="false">IF($B59="","",R59-V59)</f>
        <v/>
      </c>
      <c r="X59" s="90" t="str">
        <f aca="false">IF($B59="","",الموظفون!$Q59*IF(E59="سعودي",cfg_G_SR,cfg_G_NR)*F59/cfg_DAYS_M)</f>
        <v/>
      </c>
      <c r="Y59" s="90" t="str">
        <f aca="false">IF($B59="","",الموظفون!$O59*(cfg_EOS_R1*(MIN(AC59,cfg_EOS_TH)-MIN(AD59,cfg_EOS_TH))+cfg_EOS_R2*(MAX(AC59-cfg_EOS_TH,0)-MAX(AD59-cfg_EOS_TH,0))))</f>
        <v/>
      </c>
      <c r="Z59" s="90" t="str">
        <f aca="false">IF($B59="","",IF(الموظفون!$R59&lt;&gt;"",الموظفون!$R59,IF(AC59&gt;=cfg_LV_TH,cfg_LV_D2,cfg_LV_D1))/cfg_DAYS_Y*AE59*الموظفون!$P59/cfg_DAYS_M)</f>
        <v/>
      </c>
      <c r="AA59" s="90" t="str">
        <f aca="false">IF($B59="","",IF(AND(الموظفون!$S59="نعم",N(الموظفون!$U59)&gt;0),الموظفون!$T59/الموظفون!$U59*12/cfg_DAYS_Y*AE59,0))</f>
        <v/>
      </c>
      <c r="AB59" s="113" t="str">
        <f aca="false">IF($B59="","",R59+SUM(X59:AA59))</f>
        <v/>
      </c>
      <c r="AC59" s="114" t="str">
        <f aca="false">IF($B59="","",MAX(0,IF(OR(الموظفون!$X59="",الموظفون!$X59&gt;$G$3),$G$3,الموظفون!$X59)-الموظفون!$H59+1)/cfg_DAYS_Y)</f>
        <v/>
      </c>
      <c r="AD59" s="114" t="str">
        <f aca="false">IF($B59="","",MAX(0,IF(OR(الموظفون!$X59="",الموظفون!$X59&gt;($E$3-1)),($E$3-1),الموظفون!$X59)-الموظفون!$H59+1)/cfg_DAYS_Y)</f>
        <v/>
      </c>
      <c r="AE59" s="115" t="str">
        <f aca="false">IF($B59="","",MAX(0,IF(OR(الموظفون!$X59="",الموظفون!$X59&gt;$G$3),$G$3,الموظفون!$X59)-MAX($E$3,الموظفون!$H59)+1))</f>
        <v/>
      </c>
    </row>
    <row r="60" customFormat="false" ht="15" hidden="false" customHeight="false" outlineLevel="0" collapsed="false">
      <c r="A60" s="83" t="str">
        <f aca="false">IF($B60="","",الموظفون!$A60)</f>
        <v/>
      </c>
      <c r="B60" s="74" t="str">
        <f aca="false">IF(الموظفون!$B60="","",الموظفون!$B60)</f>
        <v/>
      </c>
      <c r="C60" s="74" t="str">
        <f aca="false">IF($B60="","",الموظفون!$C60)</f>
        <v/>
      </c>
      <c r="D60" s="74" t="str">
        <f aca="false">IF($B60="","",الموظفون!$F60)</f>
        <v/>
      </c>
      <c r="E60" s="74" t="str">
        <f aca="false">IF($B60="","",الموظفون!$E60)</f>
        <v/>
      </c>
      <c r="F60" s="105" t="str">
        <f aca="false">IF($B60="","",IF(AE60&gt;=DAY($G$3),cfg_DAYS_M,MIN(AE60,cfg_DAYS_M)))</f>
        <v/>
      </c>
      <c r="G60" s="105" t="str">
        <f aca="false">IF($B60="","",SUMIFS('الحركات الشهرية'!$D$6:$D$1005,'الحركات الشهرية'!$B$6:$B$1005,$B60,'الحركات الشهرية'!$A$6:$A$1005,$C$3))</f>
        <v/>
      </c>
      <c r="H60" s="105" t="str">
        <f aca="false">IF($B60="","",SUMIFS('الحركات الشهرية'!$E$6:$E$1005,'الحركات الشهرية'!$B$6:$B$1005,$B60,'الحركات الشهرية'!$A$6:$A$1005,$C$3))</f>
        <v/>
      </c>
      <c r="I60" s="105" t="str">
        <f aca="false">IF($B60="","",MAX(0,F60-G60-H60))</f>
        <v/>
      </c>
      <c r="J60" s="86" t="str">
        <f aca="false">IF($B60="","",الموظفون!$J60*$I60/cfg_DAYS_M)</f>
        <v/>
      </c>
      <c r="K60" s="86" t="str">
        <f aca="false">IF($B60="","",الموظفون!$K60*$I60/cfg_DAYS_M)</f>
        <v/>
      </c>
      <c r="L60" s="86" t="str">
        <f aca="false">IF($B60="","",الموظفون!$L60*$I60/cfg_DAYS_M)</f>
        <v/>
      </c>
      <c r="M60" s="86" t="str">
        <f aca="false">IF($B60="","",الموظفون!$M60*$I60/cfg_DAYS_M)</f>
        <v/>
      </c>
      <c r="N60" s="105" t="str">
        <f aca="false">IF($B60="","",SUMIFS('الحركات الشهرية'!$F$6:$F$1005,'الحركات الشهرية'!$B$6:$B$1005,$B60,'الحركات الشهرية'!$A$6:$A$1005,$C$3))</f>
        <v/>
      </c>
      <c r="O60" s="86" t="str">
        <f aca="false">IF($B60="","",N60*(الموظفون!$N60+الموظفون!$J60*cfg_OT_P)/cfg_DAYS_M/cfg_HRS)</f>
        <v/>
      </c>
      <c r="P60" s="86" t="str">
        <f aca="false">IF($B60="","",SUMIFS('الحركات الشهرية'!$G$6:$G$1005,'الحركات الشهرية'!$B$6:$B$1005,$B60,'الحركات الشهرية'!$A$6:$A$1005,$C$3))</f>
        <v/>
      </c>
      <c r="Q60" s="86" t="str">
        <f aca="false">IF($B60="","",SUMIFS('الحركات الشهرية'!$H$6:$H$1005,'الحركات الشهرية'!$B$6:$B$1005,$B60,'الحركات الشهرية'!$A$6:$A$1005,$C$3))</f>
        <v/>
      </c>
      <c r="R60" s="106" t="str">
        <f aca="false">IF($B60="","",SUM(J60:M60)+SUM(O60:Q60))</f>
        <v/>
      </c>
      <c r="S60" s="86" t="str">
        <f aca="false">IF($B60="","",الموظفون!$Q60*IF(E60="سعودي",cfg_G_SE,cfg_G_NE)*F60/cfg_DAYS_M)</f>
        <v/>
      </c>
      <c r="T60" s="86" t="str">
        <f aca="false">IF($B60="","",SUMIFS('الحركات الشهرية'!$I$6:$I$1005,'الحركات الشهرية'!$B$6:$B$1005,$B60,'الحركات الشهرية'!$A$6:$A$1005,$C$3))</f>
        <v/>
      </c>
      <c r="U60" s="86" t="str">
        <f aca="false">IF($B60="","",SUMIFS('الحركات الشهرية'!$J$6:$J$1005,'الحركات الشهرية'!$B$6:$B$1005,$B60,'الحركات الشهرية'!$A$6:$A$1005,$C$3))</f>
        <v/>
      </c>
      <c r="V60" s="86" t="str">
        <f aca="false">IF($B60="","",SUM(S60:U60))</f>
        <v/>
      </c>
      <c r="W60" s="107" t="str">
        <f aca="false">IF($B60="","",R60-V60)</f>
        <v/>
      </c>
      <c r="X60" s="86" t="str">
        <f aca="false">IF($B60="","",الموظفون!$Q60*IF(E60="سعودي",cfg_G_SR,cfg_G_NR)*F60/cfg_DAYS_M)</f>
        <v/>
      </c>
      <c r="Y60" s="86" t="str">
        <f aca="false">IF($B60="","",الموظفون!$O60*(cfg_EOS_R1*(MIN(AC60,cfg_EOS_TH)-MIN(AD60,cfg_EOS_TH))+cfg_EOS_R2*(MAX(AC60-cfg_EOS_TH,0)-MAX(AD60-cfg_EOS_TH,0))))</f>
        <v/>
      </c>
      <c r="Z60" s="86" t="str">
        <f aca="false">IF($B60="","",IF(الموظفون!$R60&lt;&gt;"",الموظفون!$R60,IF(AC60&gt;=cfg_LV_TH,cfg_LV_D2,cfg_LV_D1))/cfg_DAYS_Y*AE60*الموظفون!$P60/cfg_DAYS_M)</f>
        <v/>
      </c>
      <c r="AA60" s="86" t="str">
        <f aca="false">IF($B60="","",IF(AND(الموظفون!$S60="نعم",N(الموظفون!$U60)&gt;0),الموظفون!$T60/الموظفون!$U60*12/cfg_DAYS_Y*AE60,0))</f>
        <v/>
      </c>
      <c r="AB60" s="108" t="str">
        <f aca="false">IF($B60="","",R60+SUM(X60:AA60))</f>
        <v/>
      </c>
      <c r="AC60" s="109" t="str">
        <f aca="false">IF($B60="","",MAX(0,IF(OR(الموظفون!$X60="",الموظفون!$X60&gt;$G$3),$G$3,الموظفون!$X60)-الموظفون!$H60+1)/cfg_DAYS_Y)</f>
        <v/>
      </c>
      <c r="AD60" s="109" t="str">
        <f aca="false">IF($B60="","",MAX(0,IF(OR(الموظفون!$X60="",الموظفون!$X60&gt;($E$3-1)),($E$3-1),الموظفون!$X60)-الموظفون!$H60+1)/cfg_DAYS_Y)</f>
        <v/>
      </c>
      <c r="AE60" s="51" t="str">
        <f aca="false">IF($B60="","",MAX(0,IF(OR(الموظفون!$X60="",الموظفون!$X60&gt;$G$3),$G$3,الموظفون!$X60)-MAX($E$3,الموظفون!$H60)+1))</f>
        <v/>
      </c>
    </row>
    <row r="61" customFormat="false" ht="15" hidden="false" customHeight="false" outlineLevel="0" collapsed="false">
      <c r="A61" s="89" t="str">
        <f aca="false">IF($B61="","",الموظفون!$A61)</f>
        <v/>
      </c>
      <c r="B61" s="91" t="str">
        <f aca="false">IF(الموظفون!$B61="","",الموظفون!$B61)</f>
        <v/>
      </c>
      <c r="C61" s="91" t="str">
        <f aca="false">IF($B61="","",الموظفون!$C61)</f>
        <v/>
      </c>
      <c r="D61" s="91" t="str">
        <f aca="false">IF($B61="","",الموظفون!$F61)</f>
        <v/>
      </c>
      <c r="E61" s="91" t="str">
        <f aca="false">IF($B61="","",الموظفون!$E61)</f>
        <v/>
      </c>
      <c r="F61" s="110" t="str">
        <f aca="false">IF($B61="","",IF(AE61&gt;=DAY($G$3),cfg_DAYS_M,MIN(AE61,cfg_DAYS_M)))</f>
        <v/>
      </c>
      <c r="G61" s="110" t="str">
        <f aca="false">IF($B61="","",SUMIFS('الحركات الشهرية'!$D$6:$D$1005,'الحركات الشهرية'!$B$6:$B$1005,$B61,'الحركات الشهرية'!$A$6:$A$1005,$C$3))</f>
        <v/>
      </c>
      <c r="H61" s="110" t="str">
        <f aca="false">IF($B61="","",SUMIFS('الحركات الشهرية'!$E$6:$E$1005,'الحركات الشهرية'!$B$6:$B$1005,$B61,'الحركات الشهرية'!$A$6:$A$1005,$C$3))</f>
        <v/>
      </c>
      <c r="I61" s="110" t="str">
        <f aca="false">IF($B61="","",MAX(0,F61-G61-H61))</f>
        <v/>
      </c>
      <c r="J61" s="90" t="str">
        <f aca="false">IF($B61="","",الموظفون!$J61*$I61/cfg_DAYS_M)</f>
        <v/>
      </c>
      <c r="K61" s="90" t="str">
        <f aca="false">IF($B61="","",الموظفون!$K61*$I61/cfg_DAYS_M)</f>
        <v/>
      </c>
      <c r="L61" s="90" t="str">
        <f aca="false">IF($B61="","",الموظفون!$L61*$I61/cfg_DAYS_M)</f>
        <v/>
      </c>
      <c r="M61" s="90" t="str">
        <f aca="false">IF($B61="","",الموظفون!$M61*$I61/cfg_DAYS_M)</f>
        <v/>
      </c>
      <c r="N61" s="110" t="str">
        <f aca="false">IF($B61="","",SUMIFS('الحركات الشهرية'!$F$6:$F$1005,'الحركات الشهرية'!$B$6:$B$1005,$B61,'الحركات الشهرية'!$A$6:$A$1005,$C$3))</f>
        <v/>
      </c>
      <c r="O61" s="90" t="str">
        <f aca="false">IF($B61="","",N61*(الموظفون!$N61+الموظفون!$J61*cfg_OT_P)/cfg_DAYS_M/cfg_HRS)</f>
        <v/>
      </c>
      <c r="P61" s="90" t="str">
        <f aca="false">IF($B61="","",SUMIFS('الحركات الشهرية'!$G$6:$G$1005,'الحركات الشهرية'!$B$6:$B$1005,$B61,'الحركات الشهرية'!$A$6:$A$1005,$C$3))</f>
        <v/>
      </c>
      <c r="Q61" s="90" t="str">
        <f aca="false">IF($B61="","",SUMIFS('الحركات الشهرية'!$H$6:$H$1005,'الحركات الشهرية'!$B$6:$B$1005,$B61,'الحركات الشهرية'!$A$6:$A$1005,$C$3))</f>
        <v/>
      </c>
      <c r="R61" s="111" t="str">
        <f aca="false">IF($B61="","",SUM(J61:M61)+SUM(O61:Q61))</f>
        <v/>
      </c>
      <c r="S61" s="90" t="str">
        <f aca="false">IF($B61="","",الموظفون!$Q61*IF(E61="سعودي",cfg_G_SE,cfg_G_NE)*F61/cfg_DAYS_M)</f>
        <v/>
      </c>
      <c r="T61" s="90" t="str">
        <f aca="false">IF($B61="","",SUMIFS('الحركات الشهرية'!$I$6:$I$1005,'الحركات الشهرية'!$B$6:$B$1005,$B61,'الحركات الشهرية'!$A$6:$A$1005,$C$3))</f>
        <v/>
      </c>
      <c r="U61" s="90" t="str">
        <f aca="false">IF($B61="","",SUMIFS('الحركات الشهرية'!$J$6:$J$1005,'الحركات الشهرية'!$B$6:$B$1005,$B61,'الحركات الشهرية'!$A$6:$A$1005,$C$3))</f>
        <v/>
      </c>
      <c r="V61" s="90" t="str">
        <f aca="false">IF($B61="","",SUM(S61:U61))</f>
        <v/>
      </c>
      <c r="W61" s="112" t="str">
        <f aca="false">IF($B61="","",R61-V61)</f>
        <v/>
      </c>
      <c r="X61" s="90" t="str">
        <f aca="false">IF($B61="","",الموظفون!$Q61*IF(E61="سعودي",cfg_G_SR,cfg_G_NR)*F61/cfg_DAYS_M)</f>
        <v/>
      </c>
      <c r="Y61" s="90" t="str">
        <f aca="false">IF($B61="","",الموظفون!$O61*(cfg_EOS_R1*(MIN(AC61,cfg_EOS_TH)-MIN(AD61,cfg_EOS_TH))+cfg_EOS_R2*(MAX(AC61-cfg_EOS_TH,0)-MAX(AD61-cfg_EOS_TH,0))))</f>
        <v/>
      </c>
      <c r="Z61" s="90" t="str">
        <f aca="false">IF($B61="","",IF(الموظفون!$R61&lt;&gt;"",الموظفون!$R61,IF(AC61&gt;=cfg_LV_TH,cfg_LV_D2,cfg_LV_D1))/cfg_DAYS_Y*AE61*الموظفون!$P61/cfg_DAYS_M)</f>
        <v/>
      </c>
      <c r="AA61" s="90" t="str">
        <f aca="false">IF($B61="","",IF(AND(الموظفون!$S61="نعم",N(الموظفون!$U61)&gt;0),الموظفون!$T61/الموظفون!$U61*12/cfg_DAYS_Y*AE61,0))</f>
        <v/>
      </c>
      <c r="AB61" s="113" t="str">
        <f aca="false">IF($B61="","",R61+SUM(X61:AA61))</f>
        <v/>
      </c>
      <c r="AC61" s="114" t="str">
        <f aca="false">IF($B61="","",MAX(0,IF(OR(الموظفون!$X61="",الموظفون!$X61&gt;$G$3),$G$3,الموظفون!$X61)-الموظفون!$H61+1)/cfg_DAYS_Y)</f>
        <v/>
      </c>
      <c r="AD61" s="114" t="str">
        <f aca="false">IF($B61="","",MAX(0,IF(OR(الموظفون!$X61="",الموظفون!$X61&gt;($E$3-1)),($E$3-1),الموظفون!$X61)-الموظفون!$H61+1)/cfg_DAYS_Y)</f>
        <v/>
      </c>
      <c r="AE61" s="115" t="str">
        <f aca="false">IF($B61="","",MAX(0,IF(OR(الموظفون!$X61="",الموظفون!$X61&gt;$G$3),$G$3,الموظفون!$X61)-MAX($E$3,الموظفون!$H61)+1))</f>
        <v/>
      </c>
    </row>
    <row r="62" customFormat="false" ht="15" hidden="false" customHeight="false" outlineLevel="0" collapsed="false">
      <c r="A62" s="83" t="str">
        <f aca="false">IF($B62="","",الموظفون!$A62)</f>
        <v/>
      </c>
      <c r="B62" s="74" t="str">
        <f aca="false">IF(الموظفون!$B62="","",الموظفون!$B62)</f>
        <v/>
      </c>
      <c r="C62" s="74" t="str">
        <f aca="false">IF($B62="","",الموظفون!$C62)</f>
        <v/>
      </c>
      <c r="D62" s="74" t="str">
        <f aca="false">IF($B62="","",الموظفون!$F62)</f>
        <v/>
      </c>
      <c r="E62" s="74" t="str">
        <f aca="false">IF($B62="","",الموظفون!$E62)</f>
        <v/>
      </c>
      <c r="F62" s="105" t="str">
        <f aca="false">IF($B62="","",IF(AE62&gt;=DAY($G$3),cfg_DAYS_M,MIN(AE62,cfg_DAYS_M)))</f>
        <v/>
      </c>
      <c r="G62" s="105" t="str">
        <f aca="false">IF($B62="","",SUMIFS('الحركات الشهرية'!$D$6:$D$1005,'الحركات الشهرية'!$B$6:$B$1005,$B62,'الحركات الشهرية'!$A$6:$A$1005,$C$3))</f>
        <v/>
      </c>
      <c r="H62" s="105" t="str">
        <f aca="false">IF($B62="","",SUMIFS('الحركات الشهرية'!$E$6:$E$1005,'الحركات الشهرية'!$B$6:$B$1005,$B62,'الحركات الشهرية'!$A$6:$A$1005,$C$3))</f>
        <v/>
      </c>
      <c r="I62" s="105" t="str">
        <f aca="false">IF($B62="","",MAX(0,F62-G62-H62))</f>
        <v/>
      </c>
      <c r="J62" s="86" t="str">
        <f aca="false">IF($B62="","",الموظفون!$J62*$I62/cfg_DAYS_M)</f>
        <v/>
      </c>
      <c r="K62" s="86" t="str">
        <f aca="false">IF($B62="","",الموظفون!$K62*$I62/cfg_DAYS_M)</f>
        <v/>
      </c>
      <c r="L62" s="86" t="str">
        <f aca="false">IF($B62="","",الموظفون!$L62*$I62/cfg_DAYS_M)</f>
        <v/>
      </c>
      <c r="M62" s="86" t="str">
        <f aca="false">IF($B62="","",الموظفون!$M62*$I62/cfg_DAYS_M)</f>
        <v/>
      </c>
      <c r="N62" s="105" t="str">
        <f aca="false">IF($B62="","",SUMIFS('الحركات الشهرية'!$F$6:$F$1005,'الحركات الشهرية'!$B$6:$B$1005,$B62,'الحركات الشهرية'!$A$6:$A$1005,$C$3))</f>
        <v/>
      </c>
      <c r="O62" s="86" t="str">
        <f aca="false">IF($B62="","",N62*(الموظفون!$N62+الموظفون!$J62*cfg_OT_P)/cfg_DAYS_M/cfg_HRS)</f>
        <v/>
      </c>
      <c r="P62" s="86" t="str">
        <f aca="false">IF($B62="","",SUMIFS('الحركات الشهرية'!$G$6:$G$1005,'الحركات الشهرية'!$B$6:$B$1005,$B62,'الحركات الشهرية'!$A$6:$A$1005,$C$3))</f>
        <v/>
      </c>
      <c r="Q62" s="86" t="str">
        <f aca="false">IF($B62="","",SUMIFS('الحركات الشهرية'!$H$6:$H$1005,'الحركات الشهرية'!$B$6:$B$1005,$B62,'الحركات الشهرية'!$A$6:$A$1005,$C$3))</f>
        <v/>
      </c>
      <c r="R62" s="106" t="str">
        <f aca="false">IF($B62="","",SUM(J62:M62)+SUM(O62:Q62))</f>
        <v/>
      </c>
      <c r="S62" s="86" t="str">
        <f aca="false">IF($B62="","",الموظفون!$Q62*IF(E62="سعودي",cfg_G_SE,cfg_G_NE)*F62/cfg_DAYS_M)</f>
        <v/>
      </c>
      <c r="T62" s="86" t="str">
        <f aca="false">IF($B62="","",SUMIFS('الحركات الشهرية'!$I$6:$I$1005,'الحركات الشهرية'!$B$6:$B$1005,$B62,'الحركات الشهرية'!$A$6:$A$1005,$C$3))</f>
        <v/>
      </c>
      <c r="U62" s="86" t="str">
        <f aca="false">IF($B62="","",SUMIFS('الحركات الشهرية'!$J$6:$J$1005,'الحركات الشهرية'!$B$6:$B$1005,$B62,'الحركات الشهرية'!$A$6:$A$1005,$C$3))</f>
        <v/>
      </c>
      <c r="V62" s="86" t="str">
        <f aca="false">IF($B62="","",SUM(S62:U62))</f>
        <v/>
      </c>
      <c r="W62" s="107" t="str">
        <f aca="false">IF($B62="","",R62-V62)</f>
        <v/>
      </c>
      <c r="X62" s="86" t="str">
        <f aca="false">IF($B62="","",الموظفون!$Q62*IF(E62="سعودي",cfg_G_SR,cfg_G_NR)*F62/cfg_DAYS_M)</f>
        <v/>
      </c>
      <c r="Y62" s="86" t="str">
        <f aca="false">IF($B62="","",الموظفون!$O62*(cfg_EOS_R1*(MIN(AC62,cfg_EOS_TH)-MIN(AD62,cfg_EOS_TH))+cfg_EOS_R2*(MAX(AC62-cfg_EOS_TH,0)-MAX(AD62-cfg_EOS_TH,0))))</f>
        <v/>
      </c>
      <c r="Z62" s="86" t="str">
        <f aca="false">IF($B62="","",IF(الموظفون!$R62&lt;&gt;"",الموظفون!$R62,IF(AC62&gt;=cfg_LV_TH,cfg_LV_D2,cfg_LV_D1))/cfg_DAYS_Y*AE62*الموظفون!$P62/cfg_DAYS_M)</f>
        <v/>
      </c>
      <c r="AA62" s="86" t="str">
        <f aca="false">IF($B62="","",IF(AND(الموظفون!$S62="نعم",N(الموظفون!$U62)&gt;0),الموظفون!$T62/الموظفون!$U62*12/cfg_DAYS_Y*AE62,0))</f>
        <v/>
      </c>
      <c r="AB62" s="108" t="str">
        <f aca="false">IF($B62="","",R62+SUM(X62:AA62))</f>
        <v/>
      </c>
      <c r="AC62" s="109" t="str">
        <f aca="false">IF($B62="","",MAX(0,IF(OR(الموظفون!$X62="",الموظفون!$X62&gt;$G$3),$G$3,الموظفون!$X62)-الموظفون!$H62+1)/cfg_DAYS_Y)</f>
        <v/>
      </c>
      <c r="AD62" s="109" t="str">
        <f aca="false">IF($B62="","",MAX(0,IF(OR(الموظفون!$X62="",الموظفون!$X62&gt;($E$3-1)),($E$3-1),الموظفون!$X62)-الموظفون!$H62+1)/cfg_DAYS_Y)</f>
        <v/>
      </c>
      <c r="AE62" s="51" t="str">
        <f aca="false">IF($B62="","",MAX(0,IF(OR(الموظفون!$X62="",الموظفون!$X62&gt;$G$3),$G$3,الموظفون!$X62)-MAX($E$3,الموظفون!$H62)+1))</f>
        <v/>
      </c>
    </row>
    <row r="63" customFormat="false" ht="15" hidden="false" customHeight="false" outlineLevel="0" collapsed="false">
      <c r="A63" s="89" t="str">
        <f aca="false">IF($B63="","",الموظفون!$A63)</f>
        <v/>
      </c>
      <c r="B63" s="91" t="str">
        <f aca="false">IF(الموظفون!$B63="","",الموظفون!$B63)</f>
        <v/>
      </c>
      <c r="C63" s="91" t="str">
        <f aca="false">IF($B63="","",الموظفون!$C63)</f>
        <v/>
      </c>
      <c r="D63" s="91" t="str">
        <f aca="false">IF($B63="","",الموظفون!$F63)</f>
        <v/>
      </c>
      <c r="E63" s="91" t="str">
        <f aca="false">IF($B63="","",الموظفون!$E63)</f>
        <v/>
      </c>
      <c r="F63" s="110" t="str">
        <f aca="false">IF($B63="","",IF(AE63&gt;=DAY($G$3),cfg_DAYS_M,MIN(AE63,cfg_DAYS_M)))</f>
        <v/>
      </c>
      <c r="G63" s="110" t="str">
        <f aca="false">IF($B63="","",SUMIFS('الحركات الشهرية'!$D$6:$D$1005,'الحركات الشهرية'!$B$6:$B$1005,$B63,'الحركات الشهرية'!$A$6:$A$1005,$C$3))</f>
        <v/>
      </c>
      <c r="H63" s="110" t="str">
        <f aca="false">IF($B63="","",SUMIFS('الحركات الشهرية'!$E$6:$E$1005,'الحركات الشهرية'!$B$6:$B$1005,$B63,'الحركات الشهرية'!$A$6:$A$1005,$C$3))</f>
        <v/>
      </c>
      <c r="I63" s="110" t="str">
        <f aca="false">IF($B63="","",MAX(0,F63-G63-H63))</f>
        <v/>
      </c>
      <c r="J63" s="90" t="str">
        <f aca="false">IF($B63="","",الموظفون!$J63*$I63/cfg_DAYS_M)</f>
        <v/>
      </c>
      <c r="K63" s="90" t="str">
        <f aca="false">IF($B63="","",الموظفون!$K63*$I63/cfg_DAYS_M)</f>
        <v/>
      </c>
      <c r="L63" s="90" t="str">
        <f aca="false">IF($B63="","",الموظفون!$L63*$I63/cfg_DAYS_M)</f>
        <v/>
      </c>
      <c r="M63" s="90" t="str">
        <f aca="false">IF($B63="","",الموظفون!$M63*$I63/cfg_DAYS_M)</f>
        <v/>
      </c>
      <c r="N63" s="110" t="str">
        <f aca="false">IF($B63="","",SUMIFS('الحركات الشهرية'!$F$6:$F$1005,'الحركات الشهرية'!$B$6:$B$1005,$B63,'الحركات الشهرية'!$A$6:$A$1005,$C$3))</f>
        <v/>
      </c>
      <c r="O63" s="90" t="str">
        <f aca="false">IF($B63="","",N63*(الموظفون!$N63+الموظفون!$J63*cfg_OT_P)/cfg_DAYS_M/cfg_HRS)</f>
        <v/>
      </c>
      <c r="P63" s="90" t="str">
        <f aca="false">IF($B63="","",SUMIFS('الحركات الشهرية'!$G$6:$G$1005,'الحركات الشهرية'!$B$6:$B$1005,$B63,'الحركات الشهرية'!$A$6:$A$1005,$C$3))</f>
        <v/>
      </c>
      <c r="Q63" s="90" t="str">
        <f aca="false">IF($B63="","",SUMIFS('الحركات الشهرية'!$H$6:$H$1005,'الحركات الشهرية'!$B$6:$B$1005,$B63,'الحركات الشهرية'!$A$6:$A$1005,$C$3))</f>
        <v/>
      </c>
      <c r="R63" s="111" t="str">
        <f aca="false">IF($B63="","",SUM(J63:M63)+SUM(O63:Q63))</f>
        <v/>
      </c>
      <c r="S63" s="90" t="str">
        <f aca="false">IF($B63="","",الموظفون!$Q63*IF(E63="سعودي",cfg_G_SE,cfg_G_NE)*F63/cfg_DAYS_M)</f>
        <v/>
      </c>
      <c r="T63" s="90" t="str">
        <f aca="false">IF($B63="","",SUMIFS('الحركات الشهرية'!$I$6:$I$1005,'الحركات الشهرية'!$B$6:$B$1005,$B63,'الحركات الشهرية'!$A$6:$A$1005,$C$3))</f>
        <v/>
      </c>
      <c r="U63" s="90" t="str">
        <f aca="false">IF($B63="","",SUMIFS('الحركات الشهرية'!$J$6:$J$1005,'الحركات الشهرية'!$B$6:$B$1005,$B63,'الحركات الشهرية'!$A$6:$A$1005,$C$3))</f>
        <v/>
      </c>
      <c r="V63" s="90" t="str">
        <f aca="false">IF($B63="","",SUM(S63:U63))</f>
        <v/>
      </c>
      <c r="W63" s="112" t="str">
        <f aca="false">IF($B63="","",R63-V63)</f>
        <v/>
      </c>
      <c r="X63" s="90" t="str">
        <f aca="false">IF($B63="","",الموظفون!$Q63*IF(E63="سعودي",cfg_G_SR,cfg_G_NR)*F63/cfg_DAYS_M)</f>
        <v/>
      </c>
      <c r="Y63" s="90" t="str">
        <f aca="false">IF($B63="","",الموظفون!$O63*(cfg_EOS_R1*(MIN(AC63,cfg_EOS_TH)-MIN(AD63,cfg_EOS_TH))+cfg_EOS_R2*(MAX(AC63-cfg_EOS_TH,0)-MAX(AD63-cfg_EOS_TH,0))))</f>
        <v/>
      </c>
      <c r="Z63" s="90" t="str">
        <f aca="false">IF($B63="","",IF(الموظفون!$R63&lt;&gt;"",الموظفون!$R63,IF(AC63&gt;=cfg_LV_TH,cfg_LV_D2,cfg_LV_D1))/cfg_DAYS_Y*AE63*الموظفون!$P63/cfg_DAYS_M)</f>
        <v/>
      </c>
      <c r="AA63" s="90" t="str">
        <f aca="false">IF($B63="","",IF(AND(الموظفون!$S63="نعم",N(الموظفون!$U63)&gt;0),الموظفون!$T63/الموظفون!$U63*12/cfg_DAYS_Y*AE63,0))</f>
        <v/>
      </c>
      <c r="AB63" s="113" t="str">
        <f aca="false">IF($B63="","",R63+SUM(X63:AA63))</f>
        <v/>
      </c>
      <c r="AC63" s="114" t="str">
        <f aca="false">IF($B63="","",MAX(0,IF(OR(الموظفون!$X63="",الموظفون!$X63&gt;$G$3),$G$3,الموظفون!$X63)-الموظفون!$H63+1)/cfg_DAYS_Y)</f>
        <v/>
      </c>
      <c r="AD63" s="114" t="str">
        <f aca="false">IF($B63="","",MAX(0,IF(OR(الموظفون!$X63="",الموظفون!$X63&gt;($E$3-1)),($E$3-1),الموظفون!$X63)-الموظفون!$H63+1)/cfg_DAYS_Y)</f>
        <v/>
      </c>
      <c r="AE63" s="115" t="str">
        <f aca="false">IF($B63="","",MAX(0,IF(OR(الموظفون!$X63="",الموظفون!$X63&gt;$G$3),$G$3,الموظفون!$X63)-MAX($E$3,الموظفون!$H63)+1))</f>
        <v/>
      </c>
    </row>
    <row r="64" customFormat="false" ht="15" hidden="false" customHeight="false" outlineLevel="0" collapsed="false">
      <c r="A64" s="83" t="str">
        <f aca="false">IF($B64="","",الموظفون!$A64)</f>
        <v/>
      </c>
      <c r="B64" s="74" t="str">
        <f aca="false">IF(الموظفون!$B64="","",الموظفون!$B64)</f>
        <v/>
      </c>
      <c r="C64" s="74" t="str">
        <f aca="false">IF($B64="","",الموظفون!$C64)</f>
        <v/>
      </c>
      <c r="D64" s="74" t="str">
        <f aca="false">IF($B64="","",الموظفون!$F64)</f>
        <v/>
      </c>
      <c r="E64" s="74" t="str">
        <f aca="false">IF($B64="","",الموظفون!$E64)</f>
        <v/>
      </c>
      <c r="F64" s="105" t="str">
        <f aca="false">IF($B64="","",IF(AE64&gt;=DAY($G$3),cfg_DAYS_M,MIN(AE64,cfg_DAYS_M)))</f>
        <v/>
      </c>
      <c r="G64" s="105" t="str">
        <f aca="false">IF($B64="","",SUMIFS('الحركات الشهرية'!$D$6:$D$1005,'الحركات الشهرية'!$B$6:$B$1005,$B64,'الحركات الشهرية'!$A$6:$A$1005,$C$3))</f>
        <v/>
      </c>
      <c r="H64" s="105" t="str">
        <f aca="false">IF($B64="","",SUMIFS('الحركات الشهرية'!$E$6:$E$1005,'الحركات الشهرية'!$B$6:$B$1005,$B64,'الحركات الشهرية'!$A$6:$A$1005,$C$3))</f>
        <v/>
      </c>
      <c r="I64" s="105" t="str">
        <f aca="false">IF($B64="","",MAX(0,F64-G64-H64))</f>
        <v/>
      </c>
      <c r="J64" s="86" t="str">
        <f aca="false">IF($B64="","",الموظفون!$J64*$I64/cfg_DAYS_M)</f>
        <v/>
      </c>
      <c r="K64" s="86" t="str">
        <f aca="false">IF($B64="","",الموظفون!$K64*$I64/cfg_DAYS_M)</f>
        <v/>
      </c>
      <c r="L64" s="86" t="str">
        <f aca="false">IF($B64="","",الموظفون!$L64*$I64/cfg_DAYS_M)</f>
        <v/>
      </c>
      <c r="M64" s="86" t="str">
        <f aca="false">IF($B64="","",الموظفون!$M64*$I64/cfg_DAYS_M)</f>
        <v/>
      </c>
      <c r="N64" s="105" t="str">
        <f aca="false">IF($B64="","",SUMIFS('الحركات الشهرية'!$F$6:$F$1005,'الحركات الشهرية'!$B$6:$B$1005,$B64,'الحركات الشهرية'!$A$6:$A$1005,$C$3))</f>
        <v/>
      </c>
      <c r="O64" s="86" t="str">
        <f aca="false">IF($B64="","",N64*(الموظفون!$N64+الموظفون!$J64*cfg_OT_P)/cfg_DAYS_M/cfg_HRS)</f>
        <v/>
      </c>
      <c r="P64" s="86" t="str">
        <f aca="false">IF($B64="","",SUMIFS('الحركات الشهرية'!$G$6:$G$1005,'الحركات الشهرية'!$B$6:$B$1005,$B64,'الحركات الشهرية'!$A$6:$A$1005,$C$3))</f>
        <v/>
      </c>
      <c r="Q64" s="86" t="str">
        <f aca="false">IF($B64="","",SUMIFS('الحركات الشهرية'!$H$6:$H$1005,'الحركات الشهرية'!$B$6:$B$1005,$B64,'الحركات الشهرية'!$A$6:$A$1005,$C$3))</f>
        <v/>
      </c>
      <c r="R64" s="106" t="str">
        <f aca="false">IF($B64="","",SUM(J64:M64)+SUM(O64:Q64))</f>
        <v/>
      </c>
      <c r="S64" s="86" t="str">
        <f aca="false">IF($B64="","",الموظفون!$Q64*IF(E64="سعودي",cfg_G_SE,cfg_G_NE)*F64/cfg_DAYS_M)</f>
        <v/>
      </c>
      <c r="T64" s="86" t="str">
        <f aca="false">IF($B64="","",SUMIFS('الحركات الشهرية'!$I$6:$I$1005,'الحركات الشهرية'!$B$6:$B$1005,$B64,'الحركات الشهرية'!$A$6:$A$1005,$C$3))</f>
        <v/>
      </c>
      <c r="U64" s="86" t="str">
        <f aca="false">IF($B64="","",SUMIFS('الحركات الشهرية'!$J$6:$J$1005,'الحركات الشهرية'!$B$6:$B$1005,$B64,'الحركات الشهرية'!$A$6:$A$1005,$C$3))</f>
        <v/>
      </c>
      <c r="V64" s="86" t="str">
        <f aca="false">IF($B64="","",SUM(S64:U64))</f>
        <v/>
      </c>
      <c r="W64" s="107" t="str">
        <f aca="false">IF($B64="","",R64-V64)</f>
        <v/>
      </c>
      <c r="X64" s="86" t="str">
        <f aca="false">IF($B64="","",الموظفون!$Q64*IF(E64="سعودي",cfg_G_SR,cfg_G_NR)*F64/cfg_DAYS_M)</f>
        <v/>
      </c>
      <c r="Y64" s="86" t="str">
        <f aca="false">IF($B64="","",الموظفون!$O64*(cfg_EOS_R1*(MIN(AC64,cfg_EOS_TH)-MIN(AD64,cfg_EOS_TH))+cfg_EOS_R2*(MAX(AC64-cfg_EOS_TH,0)-MAX(AD64-cfg_EOS_TH,0))))</f>
        <v/>
      </c>
      <c r="Z64" s="86" t="str">
        <f aca="false">IF($B64="","",IF(الموظفون!$R64&lt;&gt;"",الموظفون!$R64,IF(AC64&gt;=cfg_LV_TH,cfg_LV_D2,cfg_LV_D1))/cfg_DAYS_Y*AE64*الموظفون!$P64/cfg_DAYS_M)</f>
        <v/>
      </c>
      <c r="AA64" s="86" t="str">
        <f aca="false">IF($B64="","",IF(AND(الموظفون!$S64="نعم",N(الموظفون!$U64)&gt;0),الموظفون!$T64/الموظفون!$U64*12/cfg_DAYS_Y*AE64,0))</f>
        <v/>
      </c>
      <c r="AB64" s="108" t="str">
        <f aca="false">IF($B64="","",R64+SUM(X64:AA64))</f>
        <v/>
      </c>
      <c r="AC64" s="109" t="str">
        <f aca="false">IF($B64="","",MAX(0,IF(OR(الموظفون!$X64="",الموظفون!$X64&gt;$G$3),$G$3,الموظفون!$X64)-الموظفون!$H64+1)/cfg_DAYS_Y)</f>
        <v/>
      </c>
      <c r="AD64" s="109" t="str">
        <f aca="false">IF($B64="","",MAX(0,IF(OR(الموظفون!$X64="",الموظفون!$X64&gt;($E$3-1)),($E$3-1),الموظفون!$X64)-الموظفون!$H64+1)/cfg_DAYS_Y)</f>
        <v/>
      </c>
      <c r="AE64" s="51" t="str">
        <f aca="false">IF($B64="","",MAX(0,IF(OR(الموظفون!$X64="",الموظفون!$X64&gt;$G$3),$G$3,الموظفون!$X64)-MAX($E$3,الموظفون!$H64)+1))</f>
        <v/>
      </c>
    </row>
    <row r="65" customFormat="false" ht="15" hidden="false" customHeight="false" outlineLevel="0" collapsed="false">
      <c r="A65" s="89" t="str">
        <f aca="false">IF($B65="","",الموظفون!$A65)</f>
        <v/>
      </c>
      <c r="B65" s="91" t="str">
        <f aca="false">IF(الموظفون!$B65="","",الموظفون!$B65)</f>
        <v/>
      </c>
      <c r="C65" s="91" t="str">
        <f aca="false">IF($B65="","",الموظفون!$C65)</f>
        <v/>
      </c>
      <c r="D65" s="91" t="str">
        <f aca="false">IF($B65="","",الموظفون!$F65)</f>
        <v/>
      </c>
      <c r="E65" s="91" t="str">
        <f aca="false">IF($B65="","",الموظفون!$E65)</f>
        <v/>
      </c>
      <c r="F65" s="110" t="str">
        <f aca="false">IF($B65="","",IF(AE65&gt;=DAY($G$3),cfg_DAYS_M,MIN(AE65,cfg_DAYS_M)))</f>
        <v/>
      </c>
      <c r="G65" s="110" t="str">
        <f aca="false">IF($B65="","",SUMIFS('الحركات الشهرية'!$D$6:$D$1005,'الحركات الشهرية'!$B$6:$B$1005,$B65,'الحركات الشهرية'!$A$6:$A$1005,$C$3))</f>
        <v/>
      </c>
      <c r="H65" s="110" t="str">
        <f aca="false">IF($B65="","",SUMIFS('الحركات الشهرية'!$E$6:$E$1005,'الحركات الشهرية'!$B$6:$B$1005,$B65,'الحركات الشهرية'!$A$6:$A$1005,$C$3))</f>
        <v/>
      </c>
      <c r="I65" s="110" t="str">
        <f aca="false">IF($B65="","",MAX(0,F65-G65-H65))</f>
        <v/>
      </c>
      <c r="J65" s="90" t="str">
        <f aca="false">IF($B65="","",الموظفون!$J65*$I65/cfg_DAYS_M)</f>
        <v/>
      </c>
      <c r="K65" s="90" t="str">
        <f aca="false">IF($B65="","",الموظفون!$K65*$I65/cfg_DAYS_M)</f>
        <v/>
      </c>
      <c r="L65" s="90" t="str">
        <f aca="false">IF($B65="","",الموظفون!$L65*$I65/cfg_DAYS_M)</f>
        <v/>
      </c>
      <c r="M65" s="90" t="str">
        <f aca="false">IF($B65="","",الموظفون!$M65*$I65/cfg_DAYS_M)</f>
        <v/>
      </c>
      <c r="N65" s="110" t="str">
        <f aca="false">IF($B65="","",SUMIFS('الحركات الشهرية'!$F$6:$F$1005,'الحركات الشهرية'!$B$6:$B$1005,$B65,'الحركات الشهرية'!$A$6:$A$1005,$C$3))</f>
        <v/>
      </c>
      <c r="O65" s="90" t="str">
        <f aca="false">IF($B65="","",N65*(الموظفون!$N65+الموظفون!$J65*cfg_OT_P)/cfg_DAYS_M/cfg_HRS)</f>
        <v/>
      </c>
      <c r="P65" s="90" t="str">
        <f aca="false">IF($B65="","",SUMIFS('الحركات الشهرية'!$G$6:$G$1005,'الحركات الشهرية'!$B$6:$B$1005,$B65,'الحركات الشهرية'!$A$6:$A$1005,$C$3))</f>
        <v/>
      </c>
      <c r="Q65" s="90" t="str">
        <f aca="false">IF($B65="","",SUMIFS('الحركات الشهرية'!$H$6:$H$1005,'الحركات الشهرية'!$B$6:$B$1005,$B65,'الحركات الشهرية'!$A$6:$A$1005,$C$3))</f>
        <v/>
      </c>
      <c r="R65" s="111" t="str">
        <f aca="false">IF($B65="","",SUM(J65:M65)+SUM(O65:Q65))</f>
        <v/>
      </c>
      <c r="S65" s="90" t="str">
        <f aca="false">IF($B65="","",الموظفون!$Q65*IF(E65="سعودي",cfg_G_SE,cfg_G_NE)*F65/cfg_DAYS_M)</f>
        <v/>
      </c>
      <c r="T65" s="90" t="str">
        <f aca="false">IF($B65="","",SUMIFS('الحركات الشهرية'!$I$6:$I$1005,'الحركات الشهرية'!$B$6:$B$1005,$B65,'الحركات الشهرية'!$A$6:$A$1005,$C$3))</f>
        <v/>
      </c>
      <c r="U65" s="90" t="str">
        <f aca="false">IF($B65="","",SUMIFS('الحركات الشهرية'!$J$6:$J$1005,'الحركات الشهرية'!$B$6:$B$1005,$B65,'الحركات الشهرية'!$A$6:$A$1005,$C$3))</f>
        <v/>
      </c>
      <c r="V65" s="90" t="str">
        <f aca="false">IF($B65="","",SUM(S65:U65))</f>
        <v/>
      </c>
      <c r="W65" s="112" t="str">
        <f aca="false">IF($B65="","",R65-V65)</f>
        <v/>
      </c>
      <c r="X65" s="90" t="str">
        <f aca="false">IF($B65="","",الموظفون!$Q65*IF(E65="سعودي",cfg_G_SR,cfg_G_NR)*F65/cfg_DAYS_M)</f>
        <v/>
      </c>
      <c r="Y65" s="90" t="str">
        <f aca="false">IF($B65="","",الموظفون!$O65*(cfg_EOS_R1*(MIN(AC65,cfg_EOS_TH)-MIN(AD65,cfg_EOS_TH))+cfg_EOS_R2*(MAX(AC65-cfg_EOS_TH,0)-MAX(AD65-cfg_EOS_TH,0))))</f>
        <v/>
      </c>
      <c r="Z65" s="90" t="str">
        <f aca="false">IF($B65="","",IF(الموظفون!$R65&lt;&gt;"",الموظفون!$R65,IF(AC65&gt;=cfg_LV_TH,cfg_LV_D2,cfg_LV_D1))/cfg_DAYS_Y*AE65*الموظفون!$P65/cfg_DAYS_M)</f>
        <v/>
      </c>
      <c r="AA65" s="90" t="str">
        <f aca="false">IF($B65="","",IF(AND(الموظفون!$S65="نعم",N(الموظفون!$U65)&gt;0),الموظفون!$T65/الموظفون!$U65*12/cfg_DAYS_Y*AE65,0))</f>
        <v/>
      </c>
      <c r="AB65" s="113" t="str">
        <f aca="false">IF($B65="","",R65+SUM(X65:AA65))</f>
        <v/>
      </c>
      <c r="AC65" s="114" t="str">
        <f aca="false">IF($B65="","",MAX(0,IF(OR(الموظفون!$X65="",الموظفون!$X65&gt;$G$3),$G$3,الموظفون!$X65)-الموظفون!$H65+1)/cfg_DAYS_Y)</f>
        <v/>
      </c>
      <c r="AD65" s="114" t="str">
        <f aca="false">IF($B65="","",MAX(0,IF(OR(الموظفون!$X65="",الموظفون!$X65&gt;($E$3-1)),($E$3-1),الموظفون!$X65)-الموظفون!$H65+1)/cfg_DAYS_Y)</f>
        <v/>
      </c>
      <c r="AE65" s="115" t="str">
        <f aca="false">IF($B65="","",MAX(0,IF(OR(الموظفون!$X65="",الموظفون!$X65&gt;$G$3),$G$3,الموظفون!$X65)-MAX($E$3,الموظفون!$H65)+1))</f>
        <v/>
      </c>
    </row>
    <row r="66" customFormat="false" ht="15" hidden="false" customHeight="false" outlineLevel="0" collapsed="false">
      <c r="A66" s="83" t="str">
        <f aca="false">IF($B66="","",الموظفون!$A66)</f>
        <v/>
      </c>
      <c r="B66" s="74" t="str">
        <f aca="false">IF(الموظفون!$B66="","",الموظفون!$B66)</f>
        <v/>
      </c>
      <c r="C66" s="74" t="str">
        <f aca="false">IF($B66="","",الموظفون!$C66)</f>
        <v/>
      </c>
      <c r="D66" s="74" t="str">
        <f aca="false">IF($B66="","",الموظفون!$F66)</f>
        <v/>
      </c>
      <c r="E66" s="74" t="str">
        <f aca="false">IF($B66="","",الموظفون!$E66)</f>
        <v/>
      </c>
      <c r="F66" s="105" t="str">
        <f aca="false">IF($B66="","",IF(AE66&gt;=DAY($G$3),cfg_DAYS_M,MIN(AE66,cfg_DAYS_M)))</f>
        <v/>
      </c>
      <c r="G66" s="105" t="str">
        <f aca="false">IF($B66="","",SUMIFS('الحركات الشهرية'!$D$6:$D$1005,'الحركات الشهرية'!$B$6:$B$1005,$B66,'الحركات الشهرية'!$A$6:$A$1005,$C$3))</f>
        <v/>
      </c>
      <c r="H66" s="105" t="str">
        <f aca="false">IF($B66="","",SUMIFS('الحركات الشهرية'!$E$6:$E$1005,'الحركات الشهرية'!$B$6:$B$1005,$B66,'الحركات الشهرية'!$A$6:$A$1005,$C$3))</f>
        <v/>
      </c>
      <c r="I66" s="105" t="str">
        <f aca="false">IF($B66="","",MAX(0,F66-G66-H66))</f>
        <v/>
      </c>
      <c r="J66" s="86" t="str">
        <f aca="false">IF($B66="","",الموظفون!$J66*$I66/cfg_DAYS_M)</f>
        <v/>
      </c>
      <c r="K66" s="86" t="str">
        <f aca="false">IF($B66="","",الموظفون!$K66*$I66/cfg_DAYS_M)</f>
        <v/>
      </c>
      <c r="L66" s="86" t="str">
        <f aca="false">IF($B66="","",الموظفون!$L66*$I66/cfg_DAYS_M)</f>
        <v/>
      </c>
      <c r="M66" s="86" t="str">
        <f aca="false">IF($B66="","",الموظفون!$M66*$I66/cfg_DAYS_M)</f>
        <v/>
      </c>
      <c r="N66" s="105" t="str">
        <f aca="false">IF($B66="","",SUMIFS('الحركات الشهرية'!$F$6:$F$1005,'الحركات الشهرية'!$B$6:$B$1005,$B66,'الحركات الشهرية'!$A$6:$A$1005,$C$3))</f>
        <v/>
      </c>
      <c r="O66" s="86" t="str">
        <f aca="false">IF($B66="","",N66*(الموظفون!$N66+الموظفون!$J66*cfg_OT_P)/cfg_DAYS_M/cfg_HRS)</f>
        <v/>
      </c>
      <c r="P66" s="86" t="str">
        <f aca="false">IF($B66="","",SUMIFS('الحركات الشهرية'!$G$6:$G$1005,'الحركات الشهرية'!$B$6:$B$1005,$B66,'الحركات الشهرية'!$A$6:$A$1005,$C$3))</f>
        <v/>
      </c>
      <c r="Q66" s="86" t="str">
        <f aca="false">IF($B66="","",SUMIFS('الحركات الشهرية'!$H$6:$H$1005,'الحركات الشهرية'!$B$6:$B$1005,$B66,'الحركات الشهرية'!$A$6:$A$1005,$C$3))</f>
        <v/>
      </c>
      <c r="R66" s="106" t="str">
        <f aca="false">IF($B66="","",SUM(J66:M66)+SUM(O66:Q66))</f>
        <v/>
      </c>
      <c r="S66" s="86" t="str">
        <f aca="false">IF($B66="","",الموظفون!$Q66*IF(E66="سعودي",cfg_G_SE,cfg_G_NE)*F66/cfg_DAYS_M)</f>
        <v/>
      </c>
      <c r="T66" s="86" t="str">
        <f aca="false">IF($B66="","",SUMIFS('الحركات الشهرية'!$I$6:$I$1005,'الحركات الشهرية'!$B$6:$B$1005,$B66,'الحركات الشهرية'!$A$6:$A$1005,$C$3))</f>
        <v/>
      </c>
      <c r="U66" s="86" t="str">
        <f aca="false">IF($B66="","",SUMIFS('الحركات الشهرية'!$J$6:$J$1005,'الحركات الشهرية'!$B$6:$B$1005,$B66,'الحركات الشهرية'!$A$6:$A$1005,$C$3))</f>
        <v/>
      </c>
      <c r="V66" s="86" t="str">
        <f aca="false">IF($B66="","",SUM(S66:U66))</f>
        <v/>
      </c>
      <c r="W66" s="107" t="str">
        <f aca="false">IF($B66="","",R66-V66)</f>
        <v/>
      </c>
      <c r="X66" s="86" t="str">
        <f aca="false">IF($B66="","",الموظفون!$Q66*IF(E66="سعودي",cfg_G_SR,cfg_G_NR)*F66/cfg_DAYS_M)</f>
        <v/>
      </c>
      <c r="Y66" s="86" t="str">
        <f aca="false">IF($B66="","",الموظفون!$O66*(cfg_EOS_R1*(MIN(AC66,cfg_EOS_TH)-MIN(AD66,cfg_EOS_TH))+cfg_EOS_R2*(MAX(AC66-cfg_EOS_TH,0)-MAX(AD66-cfg_EOS_TH,0))))</f>
        <v/>
      </c>
      <c r="Z66" s="86" t="str">
        <f aca="false">IF($B66="","",IF(الموظفون!$R66&lt;&gt;"",الموظفون!$R66,IF(AC66&gt;=cfg_LV_TH,cfg_LV_D2,cfg_LV_D1))/cfg_DAYS_Y*AE66*الموظفون!$P66/cfg_DAYS_M)</f>
        <v/>
      </c>
      <c r="AA66" s="86" t="str">
        <f aca="false">IF($B66="","",IF(AND(الموظفون!$S66="نعم",N(الموظفون!$U66)&gt;0),الموظفون!$T66/الموظفون!$U66*12/cfg_DAYS_Y*AE66,0))</f>
        <v/>
      </c>
      <c r="AB66" s="108" t="str">
        <f aca="false">IF($B66="","",R66+SUM(X66:AA66))</f>
        <v/>
      </c>
      <c r="AC66" s="109" t="str">
        <f aca="false">IF($B66="","",MAX(0,IF(OR(الموظفون!$X66="",الموظفون!$X66&gt;$G$3),$G$3,الموظفون!$X66)-الموظفون!$H66+1)/cfg_DAYS_Y)</f>
        <v/>
      </c>
      <c r="AD66" s="109" t="str">
        <f aca="false">IF($B66="","",MAX(0,IF(OR(الموظفون!$X66="",الموظفون!$X66&gt;($E$3-1)),($E$3-1),الموظفون!$X66)-الموظفون!$H66+1)/cfg_DAYS_Y)</f>
        <v/>
      </c>
      <c r="AE66" s="51" t="str">
        <f aca="false">IF($B66="","",MAX(0,IF(OR(الموظفون!$X66="",الموظفون!$X66&gt;$G$3),$G$3,الموظفون!$X66)-MAX($E$3,الموظفون!$H66)+1))</f>
        <v/>
      </c>
    </row>
    <row r="67" customFormat="false" ht="15" hidden="false" customHeight="false" outlineLevel="0" collapsed="false">
      <c r="A67" s="89" t="str">
        <f aca="false">IF($B67="","",الموظفون!$A67)</f>
        <v/>
      </c>
      <c r="B67" s="91" t="str">
        <f aca="false">IF(الموظفون!$B67="","",الموظفون!$B67)</f>
        <v/>
      </c>
      <c r="C67" s="91" t="str">
        <f aca="false">IF($B67="","",الموظفون!$C67)</f>
        <v/>
      </c>
      <c r="D67" s="91" t="str">
        <f aca="false">IF($B67="","",الموظفون!$F67)</f>
        <v/>
      </c>
      <c r="E67" s="91" t="str">
        <f aca="false">IF($B67="","",الموظفون!$E67)</f>
        <v/>
      </c>
      <c r="F67" s="110" t="str">
        <f aca="false">IF($B67="","",IF(AE67&gt;=DAY($G$3),cfg_DAYS_M,MIN(AE67,cfg_DAYS_M)))</f>
        <v/>
      </c>
      <c r="G67" s="110" t="str">
        <f aca="false">IF($B67="","",SUMIFS('الحركات الشهرية'!$D$6:$D$1005,'الحركات الشهرية'!$B$6:$B$1005,$B67,'الحركات الشهرية'!$A$6:$A$1005,$C$3))</f>
        <v/>
      </c>
      <c r="H67" s="110" t="str">
        <f aca="false">IF($B67="","",SUMIFS('الحركات الشهرية'!$E$6:$E$1005,'الحركات الشهرية'!$B$6:$B$1005,$B67,'الحركات الشهرية'!$A$6:$A$1005,$C$3))</f>
        <v/>
      </c>
      <c r="I67" s="110" t="str">
        <f aca="false">IF($B67="","",MAX(0,F67-G67-H67))</f>
        <v/>
      </c>
      <c r="J67" s="90" t="str">
        <f aca="false">IF($B67="","",الموظفون!$J67*$I67/cfg_DAYS_M)</f>
        <v/>
      </c>
      <c r="K67" s="90" t="str">
        <f aca="false">IF($B67="","",الموظفون!$K67*$I67/cfg_DAYS_M)</f>
        <v/>
      </c>
      <c r="L67" s="90" t="str">
        <f aca="false">IF($B67="","",الموظفون!$L67*$I67/cfg_DAYS_M)</f>
        <v/>
      </c>
      <c r="M67" s="90" t="str">
        <f aca="false">IF($B67="","",الموظفون!$M67*$I67/cfg_DAYS_M)</f>
        <v/>
      </c>
      <c r="N67" s="110" t="str">
        <f aca="false">IF($B67="","",SUMIFS('الحركات الشهرية'!$F$6:$F$1005,'الحركات الشهرية'!$B$6:$B$1005,$B67,'الحركات الشهرية'!$A$6:$A$1005,$C$3))</f>
        <v/>
      </c>
      <c r="O67" s="90" t="str">
        <f aca="false">IF($B67="","",N67*(الموظفون!$N67+الموظفون!$J67*cfg_OT_P)/cfg_DAYS_M/cfg_HRS)</f>
        <v/>
      </c>
      <c r="P67" s="90" t="str">
        <f aca="false">IF($B67="","",SUMIFS('الحركات الشهرية'!$G$6:$G$1005,'الحركات الشهرية'!$B$6:$B$1005,$B67,'الحركات الشهرية'!$A$6:$A$1005,$C$3))</f>
        <v/>
      </c>
      <c r="Q67" s="90" t="str">
        <f aca="false">IF($B67="","",SUMIFS('الحركات الشهرية'!$H$6:$H$1005,'الحركات الشهرية'!$B$6:$B$1005,$B67,'الحركات الشهرية'!$A$6:$A$1005,$C$3))</f>
        <v/>
      </c>
      <c r="R67" s="111" t="str">
        <f aca="false">IF($B67="","",SUM(J67:M67)+SUM(O67:Q67))</f>
        <v/>
      </c>
      <c r="S67" s="90" t="str">
        <f aca="false">IF($B67="","",الموظفون!$Q67*IF(E67="سعودي",cfg_G_SE,cfg_G_NE)*F67/cfg_DAYS_M)</f>
        <v/>
      </c>
      <c r="T67" s="90" t="str">
        <f aca="false">IF($B67="","",SUMIFS('الحركات الشهرية'!$I$6:$I$1005,'الحركات الشهرية'!$B$6:$B$1005,$B67,'الحركات الشهرية'!$A$6:$A$1005,$C$3))</f>
        <v/>
      </c>
      <c r="U67" s="90" t="str">
        <f aca="false">IF($B67="","",SUMIFS('الحركات الشهرية'!$J$6:$J$1005,'الحركات الشهرية'!$B$6:$B$1005,$B67,'الحركات الشهرية'!$A$6:$A$1005,$C$3))</f>
        <v/>
      </c>
      <c r="V67" s="90" t="str">
        <f aca="false">IF($B67="","",SUM(S67:U67))</f>
        <v/>
      </c>
      <c r="W67" s="112" t="str">
        <f aca="false">IF($B67="","",R67-V67)</f>
        <v/>
      </c>
      <c r="X67" s="90" t="str">
        <f aca="false">IF($B67="","",الموظفون!$Q67*IF(E67="سعودي",cfg_G_SR,cfg_G_NR)*F67/cfg_DAYS_M)</f>
        <v/>
      </c>
      <c r="Y67" s="90" t="str">
        <f aca="false">IF($B67="","",الموظفون!$O67*(cfg_EOS_R1*(MIN(AC67,cfg_EOS_TH)-MIN(AD67,cfg_EOS_TH))+cfg_EOS_R2*(MAX(AC67-cfg_EOS_TH,0)-MAX(AD67-cfg_EOS_TH,0))))</f>
        <v/>
      </c>
      <c r="Z67" s="90" t="str">
        <f aca="false">IF($B67="","",IF(الموظفون!$R67&lt;&gt;"",الموظفون!$R67,IF(AC67&gt;=cfg_LV_TH,cfg_LV_D2,cfg_LV_D1))/cfg_DAYS_Y*AE67*الموظفون!$P67/cfg_DAYS_M)</f>
        <v/>
      </c>
      <c r="AA67" s="90" t="str">
        <f aca="false">IF($B67="","",IF(AND(الموظفون!$S67="نعم",N(الموظفون!$U67)&gt;0),الموظفون!$T67/الموظفون!$U67*12/cfg_DAYS_Y*AE67,0))</f>
        <v/>
      </c>
      <c r="AB67" s="113" t="str">
        <f aca="false">IF($B67="","",R67+SUM(X67:AA67))</f>
        <v/>
      </c>
      <c r="AC67" s="114" t="str">
        <f aca="false">IF($B67="","",MAX(0,IF(OR(الموظفون!$X67="",الموظفون!$X67&gt;$G$3),$G$3,الموظفون!$X67)-الموظفون!$H67+1)/cfg_DAYS_Y)</f>
        <v/>
      </c>
      <c r="AD67" s="114" t="str">
        <f aca="false">IF($B67="","",MAX(0,IF(OR(الموظفون!$X67="",الموظفون!$X67&gt;($E$3-1)),($E$3-1),الموظفون!$X67)-الموظفون!$H67+1)/cfg_DAYS_Y)</f>
        <v/>
      </c>
      <c r="AE67" s="115" t="str">
        <f aca="false">IF($B67="","",MAX(0,IF(OR(الموظفون!$X67="",الموظفون!$X67&gt;$G$3),$G$3,الموظفون!$X67)-MAX($E$3,الموظفون!$H67)+1))</f>
        <v/>
      </c>
    </row>
    <row r="68" customFormat="false" ht="15" hidden="false" customHeight="false" outlineLevel="0" collapsed="false">
      <c r="A68" s="83" t="str">
        <f aca="false">IF($B68="","",الموظفون!$A68)</f>
        <v/>
      </c>
      <c r="B68" s="74" t="str">
        <f aca="false">IF(الموظفون!$B68="","",الموظفون!$B68)</f>
        <v/>
      </c>
      <c r="C68" s="74" t="str">
        <f aca="false">IF($B68="","",الموظفون!$C68)</f>
        <v/>
      </c>
      <c r="D68" s="74" t="str">
        <f aca="false">IF($B68="","",الموظفون!$F68)</f>
        <v/>
      </c>
      <c r="E68" s="74" t="str">
        <f aca="false">IF($B68="","",الموظفون!$E68)</f>
        <v/>
      </c>
      <c r="F68" s="105" t="str">
        <f aca="false">IF($B68="","",IF(AE68&gt;=DAY($G$3),cfg_DAYS_M,MIN(AE68,cfg_DAYS_M)))</f>
        <v/>
      </c>
      <c r="G68" s="105" t="str">
        <f aca="false">IF($B68="","",SUMIFS('الحركات الشهرية'!$D$6:$D$1005,'الحركات الشهرية'!$B$6:$B$1005,$B68,'الحركات الشهرية'!$A$6:$A$1005,$C$3))</f>
        <v/>
      </c>
      <c r="H68" s="105" t="str">
        <f aca="false">IF($B68="","",SUMIFS('الحركات الشهرية'!$E$6:$E$1005,'الحركات الشهرية'!$B$6:$B$1005,$B68,'الحركات الشهرية'!$A$6:$A$1005,$C$3))</f>
        <v/>
      </c>
      <c r="I68" s="105" t="str">
        <f aca="false">IF($B68="","",MAX(0,F68-G68-H68))</f>
        <v/>
      </c>
      <c r="J68" s="86" t="str">
        <f aca="false">IF($B68="","",الموظفون!$J68*$I68/cfg_DAYS_M)</f>
        <v/>
      </c>
      <c r="K68" s="86" t="str">
        <f aca="false">IF($B68="","",الموظفون!$K68*$I68/cfg_DAYS_M)</f>
        <v/>
      </c>
      <c r="L68" s="86" t="str">
        <f aca="false">IF($B68="","",الموظفون!$L68*$I68/cfg_DAYS_M)</f>
        <v/>
      </c>
      <c r="M68" s="86" t="str">
        <f aca="false">IF($B68="","",الموظفون!$M68*$I68/cfg_DAYS_M)</f>
        <v/>
      </c>
      <c r="N68" s="105" t="str">
        <f aca="false">IF($B68="","",SUMIFS('الحركات الشهرية'!$F$6:$F$1005,'الحركات الشهرية'!$B$6:$B$1005,$B68,'الحركات الشهرية'!$A$6:$A$1005,$C$3))</f>
        <v/>
      </c>
      <c r="O68" s="86" t="str">
        <f aca="false">IF($B68="","",N68*(الموظفون!$N68+الموظفون!$J68*cfg_OT_P)/cfg_DAYS_M/cfg_HRS)</f>
        <v/>
      </c>
      <c r="P68" s="86" t="str">
        <f aca="false">IF($B68="","",SUMIFS('الحركات الشهرية'!$G$6:$G$1005,'الحركات الشهرية'!$B$6:$B$1005,$B68,'الحركات الشهرية'!$A$6:$A$1005,$C$3))</f>
        <v/>
      </c>
      <c r="Q68" s="86" t="str">
        <f aca="false">IF($B68="","",SUMIFS('الحركات الشهرية'!$H$6:$H$1005,'الحركات الشهرية'!$B$6:$B$1005,$B68,'الحركات الشهرية'!$A$6:$A$1005,$C$3))</f>
        <v/>
      </c>
      <c r="R68" s="106" t="str">
        <f aca="false">IF($B68="","",SUM(J68:M68)+SUM(O68:Q68))</f>
        <v/>
      </c>
      <c r="S68" s="86" t="str">
        <f aca="false">IF($B68="","",الموظفون!$Q68*IF(E68="سعودي",cfg_G_SE,cfg_G_NE)*F68/cfg_DAYS_M)</f>
        <v/>
      </c>
      <c r="T68" s="86" t="str">
        <f aca="false">IF($B68="","",SUMIFS('الحركات الشهرية'!$I$6:$I$1005,'الحركات الشهرية'!$B$6:$B$1005,$B68,'الحركات الشهرية'!$A$6:$A$1005,$C$3))</f>
        <v/>
      </c>
      <c r="U68" s="86" t="str">
        <f aca="false">IF($B68="","",SUMIFS('الحركات الشهرية'!$J$6:$J$1005,'الحركات الشهرية'!$B$6:$B$1005,$B68,'الحركات الشهرية'!$A$6:$A$1005,$C$3))</f>
        <v/>
      </c>
      <c r="V68" s="86" t="str">
        <f aca="false">IF($B68="","",SUM(S68:U68))</f>
        <v/>
      </c>
      <c r="W68" s="107" t="str">
        <f aca="false">IF($B68="","",R68-V68)</f>
        <v/>
      </c>
      <c r="X68" s="86" t="str">
        <f aca="false">IF($B68="","",الموظفون!$Q68*IF(E68="سعودي",cfg_G_SR,cfg_G_NR)*F68/cfg_DAYS_M)</f>
        <v/>
      </c>
      <c r="Y68" s="86" t="str">
        <f aca="false">IF($B68="","",الموظفون!$O68*(cfg_EOS_R1*(MIN(AC68,cfg_EOS_TH)-MIN(AD68,cfg_EOS_TH))+cfg_EOS_R2*(MAX(AC68-cfg_EOS_TH,0)-MAX(AD68-cfg_EOS_TH,0))))</f>
        <v/>
      </c>
      <c r="Z68" s="86" t="str">
        <f aca="false">IF($B68="","",IF(الموظفون!$R68&lt;&gt;"",الموظفون!$R68,IF(AC68&gt;=cfg_LV_TH,cfg_LV_D2,cfg_LV_D1))/cfg_DAYS_Y*AE68*الموظفون!$P68/cfg_DAYS_M)</f>
        <v/>
      </c>
      <c r="AA68" s="86" t="str">
        <f aca="false">IF($B68="","",IF(AND(الموظفون!$S68="نعم",N(الموظفون!$U68)&gt;0),الموظفون!$T68/الموظفون!$U68*12/cfg_DAYS_Y*AE68,0))</f>
        <v/>
      </c>
      <c r="AB68" s="108" t="str">
        <f aca="false">IF($B68="","",R68+SUM(X68:AA68))</f>
        <v/>
      </c>
      <c r="AC68" s="109" t="str">
        <f aca="false">IF($B68="","",MAX(0,IF(OR(الموظفون!$X68="",الموظفون!$X68&gt;$G$3),$G$3,الموظفون!$X68)-الموظفون!$H68+1)/cfg_DAYS_Y)</f>
        <v/>
      </c>
      <c r="AD68" s="109" t="str">
        <f aca="false">IF($B68="","",MAX(0,IF(OR(الموظفون!$X68="",الموظفون!$X68&gt;($E$3-1)),($E$3-1),الموظفون!$X68)-الموظفون!$H68+1)/cfg_DAYS_Y)</f>
        <v/>
      </c>
      <c r="AE68" s="51" t="str">
        <f aca="false">IF($B68="","",MAX(0,IF(OR(الموظفون!$X68="",الموظفون!$X68&gt;$G$3),$G$3,الموظفون!$X68)-MAX($E$3,الموظفون!$H68)+1))</f>
        <v/>
      </c>
    </row>
    <row r="69" customFormat="false" ht="15" hidden="false" customHeight="false" outlineLevel="0" collapsed="false">
      <c r="A69" s="89" t="str">
        <f aca="false">IF($B69="","",الموظفون!$A69)</f>
        <v/>
      </c>
      <c r="B69" s="91" t="str">
        <f aca="false">IF(الموظفون!$B69="","",الموظفون!$B69)</f>
        <v/>
      </c>
      <c r="C69" s="91" t="str">
        <f aca="false">IF($B69="","",الموظفون!$C69)</f>
        <v/>
      </c>
      <c r="D69" s="91" t="str">
        <f aca="false">IF($B69="","",الموظفون!$F69)</f>
        <v/>
      </c>
      <c r="E69" s="91" t="str">
        <f aca="false">IF($B69="","",الموظفون!$E69)</f>
        <v/>
      </c>
      <c r="F69" s="110" t="str">
        <f aca="false">IF($B69="","",IF(AE69&gt;=DAY($G$3),cfg_DAYS_M,MIN(AE69,cfg_DAYS_M)))</f>
        <v/>
      </c>
      <c r="G69" s="110" t="str">
        <f aca="false">IF($B69="","",SUMIFS('الحركات الشهرية'!$D$6:$D$1005,'الحركات الشهرية'!$B$6:$B$1005,$B69,'الحركات الشهرية'!$A$6:$A$1005,$C$3))</f>
        <v/>
      </c>
      <c r="H69" s="110" t="str">
        <f aca="false">IF($B69="","",SUMIFS('الحركات الشهرية'!$E$6:$E$1005,'الحركات الشهرية'!$B$6:$B$1005,$B69,'الحركات الشهرية'!$A$6:$A$1005,$C$3))</f>
        <v/>
      </c>
      <c r="I69" s="110" t="str">
        <f aca="false">IF($B69="","",MAX(0,F69-G69-H69))</f>
        <v/>
      </c>
      <c r="J69" s="90" t="str">
        <f aca="false">IF($B69="","",الموظفون!$J69*$I69/cfg_DAYS_M)</f>
        <v/>
      </c>
      <c r="K69" s="90" t="str">
        <f aca="false">IF($B69="","",الموظفون!$K69*$I69/cfg_DAYS_M)</f>
        <v/>
      </c>
      <c r="L69" s="90" t="str">
        <f aca="false">IF($B69="","",الموظفون!$L69*$I69/cfg_DAYS_M)</f>
        <v/>
      </c>
      <c r="M69" s="90" t="str">
        <f aca="false">IF($B69="","",الموظفون!$M69*$I69/cfg_DAYS_M)</f>
        <v/>
      </c>
      <c r="N69" s="110" t="str">
        <f aca="false">IF($B69="","",SUMIFS('الحركات الشهرية'!$F$6:$F$1005,'الحركات الشهرية'!$B$6:$B$1005,$B69,'الحركات الشهرية'!$A$6:$A$1005,$C$3))</f>
        <v/>
      </c>
      <c r="O69" s="90" t="str">
        <f aca="false">IF($B69="","",N69*(الموظفون!$N69+الموظفون!$J69*cfg_OT_P)/cfg_DAYS_M/cfg_HRS)</f>
        <v/>
      </c>
      <c r="P69" s="90" t="str">
        <f aca="false">IF($B69="","",SUMIFS('الحركات الشهرية'!$G$6:$G$1005,'الحركات الشهرية'!$B$6:$B$1005,$B69,'الحركات الشهرية'!$A$6:$A$1005,$C$3))</f>
        <v/>
      </c>
      <c r="Q69" s="90" t="str">
        <f aca="false">IF($B69="","",SUMIFS('الحركات الشهرية'!$H$6:$H$1005,'الحركات الشهرية'!$B$6:$B$1005,$B69,'الحركات الشهرية'!$A$6:$A$1005,$C$3))</f>
        <v/>
      </c>
      <c r="R69" s="111" t="str">
        <f aca="false">IF($B69="","",SUM(J69:M69)+SUM(O69:Q69))</f>
        <v/>
      </c>
      <c r="S69" s="90" t="str">
        <f aca="false">IF($B69="","",الموظفون!$Q69*IF(E69="سعودي",cfg_G_SE,cfg_G_NE)*F69/cfg_DAYS_M)</f>
        <v/>
      </c>
      <c r="T69" s="90" t="str">
        <f aca="false">IF($B69="","",SUMIFS('الحركات الشهرية'!$I$6:$I$1005,'الحركات الشهرية'!$B$6:$B$1005,$B69,'الحركات الشهرية'!$A$6:$A$1005,$C$3))</f>
        <v/>
      </c>
      <c r="U69" s="90" t="str">
        <f aca="false">IF($B69="","",SUMIFS('الحركات الشهرية'!$J$6:$J$1005,'الحركات الشهرية'!$B$6:$B$1005,$B69,'الحركات الشهرية'!$A$6:$A$1005,$C$3))</f>
        <v/>
      </c>
      <c r="V69" s="90" t="str">
        <f aca="false">IF($B69="","",SUM(S69:U69))</f>
        <v/>
      </c>
      <c r="W69" s="112" t="str">
        <f aca="false">IF($B69="","",R69-V69)</f>
        <v/>
      </c>
      <c r="X69" s="90" t="str">
        <f aca="false">IF($B69="","",الموظفون!$Q69*IF(E69="سعودي",cfg_G_SR,cfg_G_NR)*F69/cfg_DAYS_M)</f>
        <v/>
      </c>
      <c r="Y69" s="90" t="str">
        <f aca="false">IF($B69="","",الموظفون!$O69*(cfg_EOS_R1*(MIN(AC69,cfg_EOS_TH)-MIN(AD69,cfg_EOS_TH))+cfg_EOS_R2*(MAX(AC69-cfg_EOS_TH,0)-MAX(AD69-cfg_EOS_TH,0))))</f>
        <v/>
      </c>
      <c r="Z69" s="90" t="str">
        <f aca="false">IF($B69="","",IF(الموظفون!$R69&lt;&gt;"",الموظفون!$R69,IF(AC69&gt;=cfg_LV_TH,cfg_LV_D2,cfg_LV_D1))/cfg_DAYS_Y*AE69*الموظفون!$P69/cfg_DAYS_M)</f>
        <v/>
      </c>
      <c r="AA69" s="90" t="str">
        <f aca="false">IF($B69="","",IF(AND(الموظفون!$S69="نعم",N(الموظفون!$U69)&gt;0),الموظفون!$T69/الموظفون!$U69*12/cfg_DAYS_Y*AE69,0))</f>
        <v/>
      </c>
      <c r="AB69" s="113" t="str">
        <f aca="false">IF($B69="","",R69+SUM(X69:AA69))</f>
        <v/>
      </c>
      <c r="AC69" s="114" t="str">
        <f aca="false">IF($B69="","",MAX(0,IF(OR(الموظفون!$X69="",الموظفون!$X69&gt;$G$3),$G$3,الموظفون!$X69)-الموظفون!$H69+1)/cfg_DAYS_Y)</f>
        <v/>
      </c>
      <c r="AD69" s="114" t="str">
        <f aca="false">IF($B69="","",MAX(0,IF(OR(الموظفون!$X69="",الموظفون!$X69&gt;($E$3-1)),($E$3-1),الموظفون!$X69)-الموظفون!$H69+1)/cfg_DAYS_Y)</f>
        <v/>
      </c>
      <c r="AE69" s="115" t="str">
        <f aca="false">IF($B69="","",MAX(0,IF(OR(الموظفون!$X69="",الموظفون!$X69&gt;$G$3),$G$3,الموظفون!$X69)-MAX($E$3,الموظفون!$H69)+1))</f>
        <v/>
      </c>
    </row>
    <row r="70" customFormat="false" ht="15" hidden="false" customHeight="false" outlineLevel="0" collapsed="false">
      <c r="A70" s="83" t="str">
        <f aca="false">IF($B70="","",الموظفون!$A70)</f>
        <v/>
      </c>
      <c r="B70" s="74" t="str">
        <f aca="false">IF(الموظفون!$B70="","",الموظفون!$B70)</f>
        <v/>
      </c>
      <c r="C70" s="74" t="str">
        <f aca="false">IF($B70="","",الموظفون!$C70)</f>
        <v/>
      </c>
      <c r="D70" s="74" t="str">
        <f aca="false">IF($B70="","",الموظفون!$F70)</f>
        <v/>
      </c>
      <c r="E70" s="74" t="str">
        <f aca="false">IF($B70="","",الموظفون!$E70)</f>
        <v/>
      </c>
      <c r="F70" s="105" t="str">
        <f aca="false">IF($B70="","",IF(AE70&gt;=DAY($G$3),cfg_DAYS_M,MIN(AE70,cfg_DAYS_M)))</f>
        <v/>
      </c>
      <c r="G70" s="105" t="str">
        <f aca="false">IF($B70="","",SUMIFS('الحركات الشهرية'!$D$6:$D$1005,'الحركات الشهرية'!$B$6:$B$1005,$B70,'الحركات الشهرية'!$A$6:$A$1005,$C$3))</f>
        <v/>
      </c>
      <c r="H70" s="105" t="str">
        <f aca="false">IF($B70="","",SUMIFS('الحركات الشهرية'!$E$6:$E$1005,'الحركات الشهرية'!$B$6:$B$1005,$B70,'الحركات الشهرية'!$A$6:$A$1005,$C$3))</f>
        <v/>
      </c>
      <c r="I70" s="105" t="str">
        <f aca="false">IF($B70="","",MAX(0,F70-G70-H70))</f>
        <v/>
      </c>
      <c r="J70" s="86" t="str">
        <f aca="false">IF($B70="","",الموظفون!$J70*$I70/cfg_DAYS_M)</f>
        <v/>
      </c>
      <c r="K70" s="86" t="str">
        <f aca="false">IF($B70="","",الموظفون!$K70*$I70/cfg_DAYS_M)</f>
        <v/>
      </c>
      <c r="L70" s="86" t="str">
        <f aca="false">IF($B70="","",الموظفون!$L70*$I70/cfg_DAYS_M)</f>
        <v/>
      </c>
      <c r="M70" s="86" t="str">
        <f aca="false">IF($B70="","",الموظفون!$M70*$I70/cfg_DAYS_M)</f>
        <v/>
      </c>
      <c r="N70" s="105" t="str">
        <f aca="false">IF($B70="","",SUMIFS('الحركات الشهرية'!$F$6:$F$1005,'الحركات الشهرية'!$B$6:$B$1005,$B70,'الحركات الشهرية'!$A$6:$A$1005,$C$3))</f>
        <v/>
      </c>
      <c r="O70" s="86" t="str">
        <f aca="false">IF($B70="","",N70*(الموظفون!$N70+الموظفون!$J70*cfg_OT_P)/cfg_DAYS_M/cfg_HRS)</f>
        <v/>
      </c>
      <c r="P70" s="86" t="str">
        <f aca="false">IF($B70="","",SUMIFS('الحركات الشهرية'!$G$6:$G$1005,'الحركات الشهرية'!$B$6:$B$1005,$B70,'الحركات الشهرية'!$A$6:$A$1005,$C$3))</f>
        <v/>
      </c>
      <c r="Q70" s="86" t="str">
        <f aca="false">IF($B70="","",SUMIFS('الحركات الشهرية'!$H$6:$H$1005,'الحركات الشهرية'!$B$6:$B$1005,$B70,'الحركات الشهرية'!$A$6:$A$1005,$C$3))</f>
        <v/>
      </c>
      <c r="R70" s="106" t="str">
        <f aca="false">IF($B70="","",SUM(J70:M70)+SUM(O70:Q70))</f>
        <v/>
      </c>
      <c r="S70" s="86" t="str">
        <f aca="false">IF($B70="","",الموظفون!$Q70*IF(E70="سعودي",cfg_G_SE,cfg_G_NE)*F70/cfg_DAYS_M)</f>
        <v/>
      </c>
      <c r="T70" s="86" t="str">
        <f aca="false">IF($B70="","",SUMIFS('الحركات الشهرية'!$I$6:$I$1005,'الحركات الشهرية'!$B$6:$B$1005,$B70,'الحركات الشهرية'!$A$6:$A$1005,$C$3))</f>
        <v/>
      </c>
      <c r="U70" s="86" t="str">
        <f aca="false">IF($B70="","",SUMIFS('الحركات الشهرية'!$J$6:$J$1005,'الحركات الشهرية'!$B$6:$B$1005,$B70,'الحركات الشهرية'!$A$6:$A$1005,$C$3))</f>
        <v/>
      </c>
      <c r="V70" s="86" t="str">
        <f aca="false">IF($B70="","",SUM(S70:U70))</f>
        <v/>
      </c>
      <c r="W70" s="107" t="str">
        <f aca="false">IF($B70="","",R70-V70)</f>
        <v/>
      </c>
      <c r="X70" s="86" t="str">
        <f aca="false">IF($B70="","",الموظفون!$Q70*IF(E70="سعودي",cfg_G_SR,cfg_G_NR)*F70/cfg_DAYS_M)</f>
        <v/>
      </c>
      <c r="Y70" s="86" t="str">
        <f aca="false">IF($B70="","",الموظفون!$O70*(cfg_EOS_R1*(MIN(AC70,cfg_EOS_TH)-MIN(AD70,cfg_EOS_TH))+cfg_EOS_R2*(MAX(AC70-cfg_EOS_TH,0)-MAX(AD70-cfg_EOS_TH,0))))</f>
        <v/>
      </c>
      <c r="Z70" s="86" t="str">
        <f aca="false">IF($B70="","",IF(الموظفون!$R70&lt;&gt;"",الموظفون!$R70,IF(AC70&gt;=cfg_LV_TH,cfg_LV_D2,cfg_LV_D1))/cfg_DAYS_Y*AE70*الموظفون!$P70/cfg_DAYS_M)</f>
        <v/>
      </c>
      <c r="AA70" s="86" t="str">
        <f aca="false">IF($B70="","",IF(AND(الموظفون!$S70="نعم",N(الموظفون!$U70)&gt;0),الموظفون!$T70/الموظفون!$U70*12/cfg_DAYS_Y*AE70,0))</f>
        <v/>
      </c>
      <c r="AB70" s="108" t="str">
        <f aca="false">IF($B70="","",R70+SUM(X70:AA70))</f>
        <v/>
      </c>
      <c r="AC70" s="109" t="str">
        <f aca="false">IF($B70="","",MAX(0,IF(OR(الموظفون!$X70="",الموظفون!$X70&gt;$G$3),$G$3,الموظفون!$X70)-الموظفون!$H70+1)/cfg_DAYS_Y)</f>
        <v/>
      </c>
      <c r="AD70" s="109" t="str">
        <f aca="false">IF($B70="","",MAX(0,IF(OR(الموظفون!$X70="",الموظفون!$X70&gt;($E$3-1)),($E$3-1),الموظفون!$X70)-الموظفون!$H70+1)/cfg_DAYS_Y)</f>
        <v/>
      </c>
      <c r="AE70" s="51" t="str">
        <f aca="false">IF($B70="","",MAX(0,IF(OR(الموظفون!$X70="",الموظفون!$X70&gt;$G$3),$G$3,الموظفون!$X70)-MAX($E$3,الموظفون!$H70)+1))</f>
        <v/>
      </c>
    </row>
    <row r="71" customFormat="false" ht="15" hidden="false" customHeight="false" outlineLevel="0" collapsed="false">
      <c r="A71" s="89" t="str">
        <f aca="false">IF($B71="","",الموظفون!$A71)</f>
        <v/>
      </c>
      <c r="B71" s="91" t="str">
        <f aca="false">IF(الموظفون!$B71="","",الموظفون!$B71)</f>
        <v/>
      </c>
      <c r="C71" s="91" t="str">
        <f aca="false">IF($B71="","",الموظفون!$C71)</f>
        <v/>
      </c>
      <c r="D71" s="91" t="str">
        <f aca="false">IF($B71="","",الموظفون!$F71)</f>
        <v/>
      </c>
      <c r="E71" s="91" t="str">
        <f aca="false">IF($B71="","",الموظفون!$E71)</f>
        <v/>
      </c>
      <c r="F71" s="110" t="str">
        <f aca="false">IF($B71="","",IF(AE71&gt;=DAY($G$3),cfg_DAYS_M,MIN(AE71,cfg_DAYS_M)))</f>
        <v/>
      </c>
      <c r="G71" s="110" t="str">
        <f aca="false">IF($B71="","",SUMIFS('الحركات الشهرية'!$D$6:$D$1005,'الحركات الشهرية'!$B$6:$B$1005,$B71,'الحركات الشهرية'!$A$6:$A$1005,$C$3))</f>
        <v/>
      </c>
      <c r="H71" s="110" t="str">
        <f aca="false">IF($B71="","",SUMIFS('الحركات الشهرية'!$E$6:$E$1005,'الحركات الشهرية'!$B$6:$B$1005,$B71,'الحركات الشهرية'!$A$6:$A$1005,$C$3))</f>
        <v/>
      </c>
      <c r="I71" s="110" t="str">
        <f aca="false">IF($B71="","",MAX(0,F71-G71-H71))</f>
        <v/>
      </c>
      <c r="J71" s="90" t="str">
        <f aca="false">IF($B71="","",الموظفون!$J71*$I71/cfg_DAYS_M)</f>
        <v/>
      </c>
      <c r="K71" s="90" t="str">
        <f aca="false">IF($B71="","",الموظفون!$K71*$I71/cfg_DAYS_M)</f>
        <v/>
      </c>
      <c r="L71" s="90" t="str">
        <f aca="false">IF($B71="","",الموظفون!$L71*$I71/cfg_DAYS_M)</f>
        <v/>
      </c>
      <c r="M71" s="90" t="str">
        <f aca="false">IF($B71="","",الموظفون!$M71*$I71/cfg_DAYS_M)</f>
        <v/>
      </c>
      <c r="N71" s="110" t="str">
        <f aca="false">IF($B71="","",SUMIFS('الحركات الشهرية'!$F$6:$F$1005,'الحركات الشهرية'!$B$6:$B$1005,$B71,'الحركات الشهرية'!$A$6:$A$1005,$C$3))</f>
        <v/>
      </c>
      <c r="O71" s="90" t="str">
        <f aca="false">IF($B71="","",N71*(الموظفون!$N71+الموظفون!$J71*cfg_OT_P)/cfg_DAYS_M/cfg_HRS)</f>
        <v/>
      </c>
      <c r="P71" s="90" t="str">
        <f aca="false">IF($B71="","",SUMIFS('الحركات الشهرية'!$G$6:$G$1005,'الحركات الشهرية'!$B$6:$B$1005,$B71,'الحركات الشهرية'!$A$6:$A$1005,$C$3))</f>
        <v/>
      </c>
      <c r="Q71" s="90" t="str">
        <f aca="false">IF($B71="","",SUMIFS('الحركات الشهرية'!$H$6:$H$1005,'الحركات الشهرية'!$B$6:$B$1005,$B71,'الحركات الشهرية'!$A$6:$A$1005,$C$3))</f>
        <v/>
      </c>
      <c r="R71" s="111" t="str">
        <f aca="false">IF($B71="","",SUM(J71:M71)+SUM(O71:Q71))</f>
        <v/>
      </c>
      <c r="S71" s="90" t="str">
        <f aca="false">IF($B71="","",الموظفون!$Q71*IF(E71="سعودي",cfg_G_SE,cfg_G_NE)*F71/cfg_DAYS_M)</f>
        <v/>
      </c>
      <c r="T71" s="90" t="str">
        <f aca="false">IF($B71="","",SUMIFS('الحركات الشهرية'!$I$6:$I$1005,'الحركات الشهرية'!$B$6:$B$1005,$B71,'الحركات الشهرية'!$A$6:$A$1005,$C$3))</f>
        <v/>
      </c>
      <c r="U71" s="90" t="str">
        <f aca="false">IF($B71="","",SUMIFS('الحركات الشهرية'!$J$6:$J$1005,'الحركات الشهرية'!$B$6:$B$1005,$B71,'الحركات الشهرية'!$A$6:$A$1005,$C$3))</f>
        <v/>
      </c>
      <c r="V71" s="90" t="str">
        <f aca="false">IF($B71="","",SUM(S71:U71))</f>
        <v/>
      </c>
      <c r="W71" s="112" t="str">
        <f aca="false">IF($B71="","",R71-V71)</f>
        <v/>
      </c>
      <c r="X71" s="90" t="str">
        <f aca="false">IF($B71="","",الموظفون!$Q71*IF(E71="سعودي",cfg_G_SR,cfg_G_NR)*F71/cfg_DAYS_M)</f>
        <v/>
      </c>
      <c r="Y71" s="90" t="str">
        <f aca="false">IF($B71="","",الموظفون!$O71*(cfg_EOS_R1*(MIN(AC71,cfg_EOS_TH)-MIN(AD71,cfg_EOS_TH))+cfg_EOS_R2*(MAX(AC71-cfg_EOS_TH,0)-MAX(AD71-cfg_EOS_TH,0))))</f>
        <v/>
      </c>
      <c r="Z71" s="90" t="str">
        <f aca="false">IF($B71="","",IF(الموظفون!$R71&lt;&gt;"",الموظفون!$R71,IF(AC71&gt;=cfg_LV_TH,cfg_LV_D2,cfg_LV_D1))/cfg_DAYS_Y*AE71*الموظفون!$P71/cfg_DAYS_M)</f>
        <v/>
      </c>
      <c r="AA71" s="90" t="str">
        <f aca="false">IF($B71="","",IF(AND(الموظفون!$S71="نعم",N(الموظفون!$U71)&gt;0),الموظفون!$T71/الموظفون!$U71*12/cfg_DAYS_Y*AE71,0))</f>
        <v/>
      </c>
      <c r="AB71" s="113" t="str">
        <f aca="false">IF($B71="","",R71+SUM(X71:AA71))</f>
        <v/>
      </c>
      <c r="AC71" s="114" t="str">
        <f aca="false">IF($B71="","",MAX(0,IF(OR(الموظفون!$X71="",الموظفون!$X71&gt;$G$3),$G$3,الموظفون!$X71)-الموظفون!$H71+1)/cfg_DAYS_Y)</f>
        <v/>
      </c>
      <c r="AD71" s="114" t="str">
        <f aca="false">IF($B71="","",MAX(0,IF(OR(الموظفون!$X71="",الموظفون!$X71&gt;($E$3-1)),($E$3-1),الموظفون!$X71)-الموظفون!$H71+1)/cfg_DAYS_Y)</f>
        <v/>
      </c>
      <c r="AE71" s="115" t="str">
        <f aca="false">IF($B71="","",MAX(0,IF(OR(الموظفون!$X71="",الموظفون!$X71&gt;$G$3),$G$3,الموظفون!$X71)-MAX($E$3,الموظفون!$H71)+1))</f>
        <v/>
      </c>
    </row>
    <row r="72" customFormat="false" ht="15" hidden="false" customHeight="false" outlineLevel="0" collapsed="false">
      <c r="A72" s="83" t="str">
        <f aca="false">IF($B72="","",الموظفون!$A72)</f>
        <v/>
      </c>
      <c r="B72" s="74" t="str">
        <f aca="false">IF(الموظفون!$B72="","",الموظفون!$B72)</f>
        <v/>
      </c>
      <c r="C72" s="74" t="str">
        <f aca="false">IF($B72="","",الموظفون!$C72)</f>
        <v/>
      </c>
      <c r="D72" s="74" t="str">
        <f aca="false">IF($B72="","",الموظفون!$F72)</f>
        <v/>
      </c>
      <c r="E72" s="74" t="str">
        <f aca="false">IF($B72="","",الموظفون!$E72)</f>
        <v/>
      </c>
      <c r="F72" s="105" t="str">
        <f aca="false">IF($B72="","",IF(AE72&gt;=DAY($G$3),cfg_DAYS_M,MIN(AE72,cfg_DAYS_M)))</f>
        <v/>
      </c>
      <c r="G72" s="105" t="str">
        <f aca="false">IF($B72="","",SUMIFS('الحركات الشهرية'!$D$6:$D$1005,'الحركات الشهرية'!$B$6:$B$1005,$B72,'الحركات الشهرية'!$A$6:$A$1005,$C$3))</f>
        <v/>
      </c>
      <c r="H72" s="105" t="str">
        <f aca="false">IF($B72="","",SUMIFS('الحركات الشهرية'!$E$6:$E$1005,'الحركات الشهرية'!$B$6:$B$1005,$B72,'الحركات الشهرية'!$A$6:$A$1005,$C$3))</f>
        <v/>
      </c>
      <c r="I72" s="105" t="str">
        <f aca="false">IF($B72="","",MAX(0,F72-G72-H72))</f>
        <v/>
      </c>
      <c r="J72" s="86" t="str">
        <f aca="false">IF($B72="","",الموظفون!$J72*$I72/cfg_DAYS_M)</f>
        <v/>
      </c>
      <c r="K72" s="86" t="str">
        <f aca="false">IF($B72="","",الموظفون!$K72*$I72/cfg_DAYS_M)</f>
        <v/>
      </c>
      <c r="L72" s="86" t="str">
        <f aca="false">IF($B72="","",الموظفون!$L72*$I72/cfg_DAYS_M)</f>
        <v/>
      </c>
      <c r="M72" s="86" t="str">
        <f aca="false">IF($B72="","",الموظفون!$M72*$I72/cfg_DAYS_M)</f>
        <v/>
      </c>
      <c r="N72" s="105" t="str">
        <f aca="false">IF($B72="","",SUMIFS('الحركات الشهرية'!$F$6:$F$1005,'الحركات الشهرية'!$B$6:$B$1005,$B72,'الحركات الشهرية'!$A$6:$A$1005,$C$3))</f>
        <v/>
      </c>
      <c r="O72" s="86" t="str">
        <f aca="false">IF($B72="","",N72*(الموظفون!$N72+الموظفون!$J72*cfg_OT_P)/cfg_DAYS_M/cfg_HRS)</f>
        <v/>
      </c>
      <c r="P72" s="86" t="str">
        <f aca="false">IF($B72="","",SUMIFS('الحركات الشهرية'!$G$6:$G$1005,'الحركات الشهرية'!$B$6:$B$1005,$B72,'الحركات الشهرية'!$A$6:$A$1005,$C$3))</f>
        <v/>
      </c>
      <c r="Q72" s="86" t="str">
        <f aca="false">IF($B72="","",SUMIFS('الحركات الشهرية'!$H$6:$H$1005,'الحركات الشهرية'!$B$6:$B$1005,$B72,'الحركات الشهرية'!$A$6:$A$1005,$C$3))</f>
        <v/>
      </c>
      <c r="R72" s="106" t="str">
        <f aca="false">IF($B72="","",SUM(J72:M72)+SUM(O72:Q72))</f>
        <v/>
      </c>
      <c r="S72" s="86" t="str">
        <f aca="false">IF($B72="","",الموظفون!$Q72*IF(E72="سعودي",cfg_G_SE,cfg_G_NE)*F72/cfg_DAYS_M)</f>
        <v/>
      </c>
      <c r="T72" s="86" t="str">
        <f aca="false">IF($B72="","",SUMIFS('الحركات الشهرية'!$I$6:$I$1005,'الحركات الشهرية'!$B$6:$B$1005,$B72,'الحركات الشهرية'!$A$6:$A$1005,$C$3))</f>
        <v/>
      </c>
      <c r="U72" s="86" t="str">
        <f aca="false">IF($B72="","",SUMIFS('الحركات الشهرية'!$J$6:$J$1005,'الحركات الشهرية'!$B$6:$B$1005,$B72,'الحركات الشهرية'!$A$6:$A$1005,$C$3))</f>
        <v/>
      </c>
      <c r="V72" s="86" t="str">
        <f aca="false">IF($B72="","",SUM(S72:U72))</f>
        <v/>
      </c>
      <c r="W72" s="107" t="str">
        <f aca="false">IF($B72="","",R72-V72)</f>
        <v/>
      </c>
      <c r="X72" s="86" t="str">
        <f aca="false">IF($B72="","",الموظفون!$Q72*IF(E72="سعودي",cfg_G_SR,cfg_G_NR)*F72/cfg_DAYS_M)</f>
        <v/>
      </c>
      <c r="Y72" s="86" t="str">
        <f aca="false">IF($B72="","",الموظفون!$O72*(cfg_EOS_R1*(MIN(AC72,cfg_EOS_TH)-MIN(AD72,cfg_EOS_TH))+cfg_EOS_R2*(MAX(AC72-cfg_EOS_TH,0)-MAX(AD72-cfg_EOS_TH,0))))</f>
        <v/>
      </c>
      <c r="Z72" s="86" t="str">
        <f aca="false">IF($B72="","",IF(الموظفون!$R72&lt;&gt;"",الموظفون!$R72,IF(AC72&gt;=cfg_LV_TH,cfg_LV_D2,cfg_LV_D1))/cfg_DAYS_Y*AE72*الموظفون!$P72/cfg_DAYS_M)</f>
        <v/>
      </c>
      <c r="AA72" s="86" t="str">
        <f aca="false">IF($B72="","",IF(AND(الموظفون!$S72="نعم",N(الموظفون!$U72)&gt;0),الموظفون!$T72/الموظفون!$U72*12/cfg_DAYS_Y*AE72,0))</f>
        <v/>
      </c>
      <c r="AB72" s="108" t="str">
        <f aca="false">IF($B72="","",R72+SUM(X72:AA72))</f>
        <v/>
      </c>
      <c r="AC72" s="109" t="str">
        <f aca="false">IF($B72="","",MAX(0,IF(OR(الموظفون!$X72="",الموظفون!$X72&gt;$G$3),$G$3,الموظفون!$X72)-الموظفون!$H72+1)/cfg_DAYS_Y)</f>
        <v/>
      </c>
      <c r="AD72" s="109" t="str">
        <f aca="false">IF($B72="","",MAX(0,IF(OR(الموظفون!$X72="",الموظفون!$X72&gt;($E$3-1)),($E$3-1),الموظفون!$X72)-الموظفون!$H72+1)/cfg_DAYS_Y)</f>
        <v/>
      </c>
      <c r="AE72" s="51" t="str">
        <f aca="false">IF($B72="","",MAX(0,IF(OR(الموظفون!$X72="",الموظفون!$X72&gt;$G$3),$G$3,الموظفون!$X72)-MAX($E$3,الموظفون!$H72)+1))</f>
        <v/>
      </c>
    </row>
    <row r="73" customFormat="false" ht="15" hidden="false" customHeight="false" outlineLevel="0" collapsed="false">
      <c r="A73" s="89" t="str">
        <f aca="false">IF($B73="","",الموظفون!$A73)</f>
        <v/>
      </c>
      <c r="B73" s="91" t="str">
        <f aca="false">IF(الموظفون!$B73="","",الموظفون!$B73)</f>
        <v/>
      </c>
      <c r="C73" s="91" t="str">
        <f aca="false">IF($B73="","",الموظفون!$C73)</f>
        <v/>
      </c>
      <c r="D73" s="91" t="str">
        <f aca="false">IF($B73="","",الموظفون!$F73)</f>
        <v/>
      </c>
      <c r="E73" s="91" t="str">
        <f aca="false">IF($B73="","",الموظفون!$E73)</f>
        <v/>
      </c>
      <c r="F73" s="110" t="str">
        <f aca="false">IF($B73="","",IF(AE73&gt;=DAY($G$3),cfg_DAYS_M,MIN(AE73,cfg_DAYS_M)))</f>
        <v/>
      </c>
      <c r="G73" s="110" t="str">
        <f aca="false">IF($B73="","",SUMIFS('الحركات الشهرية'!$D$6:$D$1005,'الحركات الشهرية'!$B$6:$B$1005,$B73,'الحركات الشهرية'!$A$6:$A$1005,$C$3))</f>
        <v/>
      </c>
      <c r="H73" s="110" t="str">
        <f aca="false">IF($B73="","",SUMIFS('الحركات الشهرية'!$E$6:$E$1005,'الحركات الشهرية'!$B$6:$B$1005,$B73,'الحركات الشهرية'!$A$6:$A$1005,$C$3))</f>
        <v/>
      </c>
      <c r="I73" s="110" t="str">
        <f aca="false">IF($B73="","",MAX(0,F73-G73-H73))</f>
        <v/>
      </c>
      <c r="J73" s="90" t="str">
        <f aca="false">IF($B73="","",الموظفون!$J73*$I73/cfg_DAYS_M)</f>
        <v/>
      </c>
      <c r="K73" s="90" t="str">
        <f aca="false">IF($B73="","",الموظفون!$K73*$I73/cfg_DAYS_M)</f>
        <v/>
      </c>
      <c r="L73" s="90" t="str">
        <f aca="false">IF($B73="","",الموظفون!$L73*$I73/cfg_DAYS_M)</f>
        <v/>
      </c>
      <c r="M73" s="90" t="str">
        <f aca="false">IF($B73="","",الموظفون!$M73*$I73/cfg_DAYS_M)</f>
        <v/>
      </c>
      <c r="N73" s="110" t="str">
        <f aca="false">IF($B73="","",SUMIFS('الحركات الشهرية'!$F$6:$F$1005,'الحركات الشهرية'!$B$6:$B$1005,$B73,'الحركات الشهرية'!$A$6:$A$1005,$C$3))</f>
        <v/>
      </c>
      <c r="O73" s="90" t="str">
        <f aca="false">IF($B73="","",N73*(الموظفون!$N73+الموظفون!$J73*cfg_OT_P)/cfg_DAYS_M/cfg_HRS)</f>
        <v/>
      </c>
      <c r="P73" s="90" t="str">
        <f aca="false">IF($B73="","",SUMIFS('الحركات الشهرية'!$G$6:$G$1005,'الحركات الشهرية'!$B$6:$B$1005,$B73,'الحركات الشهرية'!$A$6:$A$1005,$C$3))</f>
        <v/>
      </c>
      <c r="Q73" s="90" t="str">
        <f aca="false">IF($B73="","",SUMIFS('الحركات الشهرية'!$H$6:$H$1005,'الحركات الشهرية'!$B$6:$B$1005,$B73,'الحركات الشهرية'!$A$6:$A$1005,$C$3))</f>
        <v/>
      </c>
      <c r="R73" s="111" t="str">
        <f aca="false">IF($B73="","",SUM(J73:M73)+SUM(O73:Q73))</f>
        <v/>
      </c>
      <c r="S73" s="90" t="str">
        <f aca="false">IF($B73="","",الموظفون!$Q73*IF(E73="سعودي",cfg_G_SE,cfg_G_NE)*F73/cfg_DAYS_M)</f>
        <v/>
      </c>
      <c r="T73" s="90" t="str">
        <f aca="false">IF($B73="","",SUMIFS('الحركات الشهرية'!$I$6:$I$1005,'الحركات الشهرية'!$B$6:$B$1005,$B73,'الحركات الشهرية'!$A$6:$A$1005,$C$3))</f>
        <v/>
      </c>
      <c r="U73" s="90" t="str">
        <f aca="false">IF($B73="","",SUMIFS('الحركات الشهرية'!$J$6:$J$1005,'الحركات الشهرية'!$B$6:$B$1005,$B73,'الحركات الشهرية'!$A$6:$A$1005,$C$3))</f>
        <v/>
      </c>
      <c r="V73" s="90" t="str">
        <f aca="false">IF($B73="","",SUM(S73:U73))</f>
        <v/>
      </c>
      <c r="W73" s="112" t="str">
        <f aca="false">IF($B73="","",R73-V73)</f>
        <v/>
      </c>
      <c r="X73" s="90" t="str">
        <f aca="false">IF($B73="","",الموظفون!$Q73*IF(E73="سعودي",cfg_G_SR,cfg_G_NR)*F73/cfg_DAYS_M)</f>
        <v/>
      </c>
      <c r="Y73" s="90" t="str">
        <f aca="false">IF($B73="","",الموظفون!$O73*(cfg_EOS_R1*(MIN(AC73,cfg_EOS_TH)-MIN(AD73,cfg_EOS_TH))+cfg_EOS_R2*(MAX(AC73-cfg_EOS_TH,0)-MAX(AD73-cfg_EOS_TH,0))))</f>
        <v/>
      </c>
      <c r="Z73" s="90" t="str">
        <f aca="false">IF($B73="","",IF(الموظفون!$R73&lt;&gt;"",الموظفون!$R73,IF(AC73&gt;=cfg_LV_TH,cfg_LV_D2,cfg_LV_D1))/cfg_DAYS_Y*AE73*الموظفون!$P73/cfg_DAYS_M)</f>
        <v/>
      </c>
      <c r="AA73" s="90" t="str">
        <f aca="false">IF($B73="","",IF(AND(الموظفون!$S73="نعم",N(الموظفون!$U73)&gt;0),الموظفون!$T73/الموظفون!$U73*12/cfg_DAYS_Y*AE73,0))</f>
        <v/>
      </c>
      <c r="AB73" s="113" t="str">
        <f aca="false">IF($B73="","",R73+SUM(X73:AA73))</f>
        <v/>
      </c>
      <c r="AC73" s="114" t="str">
        <f aca="false">IF($B73="","",MAX(0,IF(OR(الموظفون!$X73="",الموظفون!$X73&gt;$G$3),$G$3,الموظفون!$X73)-الموظفون!$H73+1)/cfg_DAYS_Y)</f>
        <v/>
      </c>
      <c r="AD73" s="114" t="str">
        <f aca="false">IF($B73="","",MAX(0,IF(OR(الموظفون!$X73="",الموظفون!$X73&gt;($E$3-1)),($E$3-1),الموظفون!$X73)-الموظفون!$H73+1)/cfg_DAYS_Y)</f>
        <v/>
      </c>
      <c r="AE73" s="115" t="str">
        <f aca="false">IF($B73="","",MAX(0,IF(OR(الموظفون!$X73="",الموظفون!$X73&gt;$G$3),$G$3,الموظفون!$X73)-MAX($E$3,الموظفون!$H73)+1))</f>
        <v/>
      </c>
    </row>
    <row r="74" customFormat="false" ht="15" hidden="false" customHeight="false" outlineLevel="0" collapsed="false">
      <c r="A74" s="83" t="str">
        <f aca="false">IF($B74="","",الموظفون!$A74)</f>
        <v/>
      </c>
      <c r="B74" s="74" t="str">
        <f aca="false">IF(الموظفون!$B74="","",الموظفون!$B74)</f>
        <v/>
      </c>
      <c r="C74" s="74" t="str">
        <f aca="false">IF($B74="","",الموظفون!$C74)</f>
        <v/>
      </c>
      <c r="D74" s="74" t="str">
        <f aca="false">IF($B74="","",الموظفون!$F74)</f>
        <v/>
      </c>
      <c r="E74" s="74" t="str">
        <f aca="false">IF($B74="","",الموظفون!$E74)</f>
        <v/>
      </c>
      <c r="F74" s="105" t="str">
        <f aca="false">IF($B74="","",IF(AE74&gt;=DAY($G$3),cfg_DAYS_M,MIN(AE74,cfg_DAYS_M)))</f>
        <v/>
      </c>
      <c r="G74" s="105" t="str">
        <f aca="false">IF($B74="","",SUMIFS('الحركات الشهرية'!$D$6:$D$1005,'الحركات الشهرية'!$B$6:$B$1005,$B74,'الحركات الشهرية'!$A$6:$A$1005,$C$3))</f>
        <v/>
      </c>
      <c r="H74" s="105" t="str">
        <f aca="false">IF($B74="","",SUMIFS('الحركات الشهرية'!$E$6:$E$1005,'الحركات الشهرية'!$B$6:$B$1005,$B74,'الحركات الشهرية'!$A$6:$A$1005,$C$3))</f>
        <v/>
      </c>
      <c r="I74" s="105" t="str">
        <f aca="false">IF($B74="","",MAX(0,F74-G74-H74))</f>
        <v/>
      </c>
      <c r="J74" s="86" t="str">
        <f aca="false">IF($B74="","",الموظفون!$J74*$I74/cfg_DAYS_M)</f>
        <v/>
      </c>
      <c r="K74" s="86" t="str">
        <f aca="false">IF($B74="","",الموظفون!$K74*$I74/cfg_DAYS_M)</f>
        <v/>
      </c>
      <c r="L74" s="86" t="str">
        <f aca="false">IF($B74="","",الموظفون!$L74*$I74/cfg_DAYS_M)</f>
        <v/>
      </c>
      <c r="M74" s="86" t="str">
        <f aca="false">IF($B74="","",الموظفون!$M74*$I74/cfg_DAYS_M)</f>
        <v/>
      </c>
      <c r="N74" s="105" t="str">
        <f aca="false">IF($B74="","",SUMIFS('الحركات الشهرية'!$F$6:$F$1005,'الحركات الشهرية'!$B$6:$B$1005,$B74,'الحركات الشهرية'!$A$6:$A$1005,$C$3))</f>
        <v/>
      </c>
      <c r="O74" s="86" t="str">
        <f aca="false">IF($B74="","",N74*(الموظفون!$N74+الموظفون!$J74*cfg_OT_P)/cfg_DAYS_M/cfg_HRS)</f>
        <v/>
      </c>
      <c r="P74" s="86" t="str">
        <f aca="false">IF($B74="","",SUMIFS('الحركات الشهرية'!$G$6:$G$1005,'الحركات الشهرية'!$B$6:$B$1005,$B74,'الحركات الشهرية'!$A$6:$A$1005,$C$3))</f>
        <v/>
      </c>
      <c r="Q74" s="86" t="str">
        <f aca="false">IF($B74="","",SUMIFS('الحركات الشهرية'!$H$6:$H$1005,'الحركات الشهرية'!$B$6:$B$1005,$B74,'الحركات الشهرية'!$A$6:$A$1005,$C$3))</f>
        <v/>
      </c>
      <c r="R74" s="106" t="str">
        <f aca="false">IF($B74="","",SUM(J74:M74)+SUM(O74:Q74))</f>
        <v/>
      </c>
      <c r="S74" s="86" t="str">
        <f aca="false">IF($B74="","",الموظفون!$Q74*IF(E74="سعودي",cfg_G_SE,cfg_G_NE)*F74/cfg_DAYS_M)</f>
        <v/>
      </c>
      <c r="T74" s="86" t="str">
        <f aca="false">IF($B74="","",SUMIFS('الحركات الشهرية'!$I$6:$I$1005,'الحركات الشهرية'!$B$6:$B$1005,$B74,'الحركات الشهرية'!$A$6:$A$1005,$C$3))</f>
        <v/>
      </c>
      <c r="U74" s="86" t="str">
        <f aca="false">IF($B74="","",SUMIFS('الحركات الشهرية'!$J$6:$J$1005,'الحركات الشهرية'!$B$6:$B$1005,$B74,'الحركات الشهرية'!$A$6:$A$1005,$C$3))</f>
        <v/>
      </c>
      <c r="V74" s="86" t="str">
        <f aca="false">IF($B74="","",SUM(S74:U74))</f>
        <v/>
      </c>
      <c r="W74" s="107" t="str">
        <f aca="false">IF($B74="","",R74-V74)</f>
        <v/>
      </c>
      <c r="X74" s="86" t="str">
        <f aca="false">IF($B74="","",الموظفون!$Q74*IF(E74="سعودي",cfg_G_SR,cfg_G_NR)*F74/cfg_DAYS_M)</f>
        <v/>
      </c>
      <c r="Y74" s="86" t="str">
        <f aca="false">IF($B74="","",الموظفون!$O74*(cfg_EOS_R1*(MIN(AC74,cfg_EOS_TH)-MIN(AD74,cfg_EOS_TH))+cfg_EOS_R2*(MAX(AC74-cfg_EOS_TH,0)-MAX(AD74-cfg_EOS_TH,0))))</f>
        <v/>
      </c>
      <c r="Z74" s="86" t="str">
        <f aca="false">IF($B74="","",IF(الموظفون!$R74&lt;&gt;"",الموظفون!$R74,IF(AC74&gt;=cfg_LV_TH,cfg_LV_D2,cfg_LV_D1))/cfg_DAYS_Y*AE74*الموظفون!$P74/cfg_DAYS_M)</f>
        <v/>
      </c>
      <c r="AA74" s="86" t="str">
        <f aca="false">IF($B74="","",IF(AND(الموظفون!$S74="نعم",N(الموظفون!$U74)&gt;0),الموظفون!$T74/الموظفون!$U74*12/cfg_DAYS_Y*AE74,0))</f>
        <v/>
      </c>
      <c r="AB74" s="108" t="str">
        <f aca="false">IF($B74="","",R74+SUM(X74:AA74))</f>
        <v/>
      </c>
      <c r="AC74" s="109" t="str">
        <f aca="false">IF($B74="","",MAX(0,IF(OR(الموظفون!$X74="",الموظفون!$X74&gt;$G$3),$G$3,الموظفون!$X74)-الموظفون!$H74+1)/cfg_DAYS_Y)</f>
        <v/>
      </c>
      <c r="AD74" s="109" t="str">
        <f aca="false">IF($B74="","",MAX(0,IF(OR(الموظفون!$X74="",الموظفون!$X74&gt;($E$3-1)),($E$3-1),الموظفون!$X74)-الموظفون!$H74+1)/cfg_DAYS_Y)</f>
        <v/>
      </c>
      <c r="AE74" s="51" t="str">
        <f aca="false">IF($B74="","",MAX(0,IF(OR(الموظفون!$X74="",الموظفون!$X74&gt;$G$3),$G$3,الموظفون!$X74)-MAX($E$3,الموظفون!$H74)+1))</f>
        <v/>
      </c>
    </row>
    <row r="75" customFormat="false" ht="15" hidden="false" customHeight="false" outlineLevel="0" collapsed="false">
      <c r="A75" s="89" t="str">
        <f aca="false">IF($B75="","",الموظفون!$A75)</f>
        <v/>
      </c>
      <c r="B75" s="91" t="str">
        <f aca="false">IF(الموظفون!$B75="","",الموظفون!$B75)</f>
        <v/>
      </c>
      <c r="C75" s="91" t="str">
        <f aca="false">IF($B75="","",الموظفون!$C75)</f>
        <v/>
      </c>
      <c r="D75" s="91" t="str">
        <f aca="false">IF($B75="","",الموظفون!$F75)</f>
        <v/>
      </c>
      <c r="E75" s="91" t="str">
        <f aca="false">IF($B75="","",الموظفون!$E75)</f>
        <v/>
      </c>
      <c r="F75" s="110" t="str">
        <f aca="false">IF($B75="","",IF(AE75&gt;=DAY($G$3),cfg_DAYS_M,MIN(AE75,cfg_DAYS_M)))</f>
        <v/>
      </c>
      <c r="G75" s="110" t="str">
        <f aca="false">IF($B75="","",SUMIFS('الحركات الشهرية'!$D$6:$D$1005,'الحركات الشهرية'!$B$6:$B$1005,$B75,'الحركات الشهرية'!$A$6:$A$1005,$C$3))</f>
        <v/>
      </c>
      <c r="H75" s="110" t="str">
        <f aca="false">IF($B75="","",SUMIFS('الحركات الشهرية'!$E$6:$E$1005,'الحركات الشهرية'!$B$6:$B$1005,$B75,'الحركات الشهرية'!$A$6:$A$1005,$C$3))</f>
        <v/>
      </c>
      <c r="I75" s="110" t="str">
        <f aca="false">IF($B75="","",MAX(0,F75-G75-H75))</f>
        <v/>
      </c>
      <c r="J75" s="90" t="str">
        <f aca="false">IF($B75="","",الموظفون!$J75*$I75/cfg_DAYS_M)</f>
        <v/>
      </c>
      <c r="K75" s="90" t="str">
        <f aca="false">IF($B75="","",الموظفون!$K75*$I75/cfg_DAYS_M)</f>
        <v/>
      </c>
      <c r="L75" s="90" t="str">
        <f aca="false">IF($B75="","",الموظفون!$L75*$I75/cfg_DAYS_M)</f>
        <v/>
      </c>
      <c r="M75" s="90" t="str">
        <f aca="false">IF($B75="","",الموظفون!$M75*$I75/cfg_DAYS_M)</f>
        <v/>
      </c>
      <c r="N75" s="110" t="str">
        <f aca="false">IF($B75="","",SUMIFS('الحركات الشهرية'!$F$6:$F$1005,'الحركات الشهرية'!$B$6:$B$1005,$B75,'الحركات الشهرية'!$A$6:$A$1005,$C$3))</f>
        <v/>
      </c>
      <c r="O75" s="90" t="str">
        <f aca="false">IF($B75="","",N75*(الموظفون!$N75+الموظفون!$J75*cfg_OT_P)/cfg_DAYS_M/cfg_HRS)</f>
        <v/>
      </c>
      <c r="P75" s="90" t="str">
        <f aca="false">IF($B75="","",SUMIFS('الحركات الشهرية'!$G$6:$G$1005,'الحركات الشهرية'!$B$6:$B$1005,$B75,'الحركات الشهرية'!$A$6:$A$1005,$C$3))</f>
        <v/>
      </c>
      <c r="Q75" s="90" t="str">
        <f aca="false">IF($B75="","",SUMIFS('الحركات الشهرية'!$H$6:$H$1005,'الحركات الشهرية'!$B$6:$B$1005,$B75,'الحركات الشهرية'!$A$6:$A$1005,$C$3))</f>
        <v/>
      </c>
      <c r="R75" s="111" t="str">
        <f aca="false">IF($B75="","",SUM(J75:M75)+SUM(O75:Q75))</f>
        <v/>
      </c>
      <c r="S75" s="90" t="str">
        <f aca="false">IF($B75="","",الموظفون!$Q75*IF(E75="سعودي",cfg_G_SE,cfg_G_NE)*F75/cfg_DAYS_M)</f>
        <v/>
      </c>
      <c r="T75" s="90" t="str">
        <f aca="false">IF($B75="","",SUMIFS('الحركات الشهرية'!$I$6:$I$1005,'الحركات الشهرية'!$B$6:$B$1005,$B75,'الحركات الشهرية'!$A$6:$A$1005,$C$3))</f>
        <v/>
      </c>
      <c r="U75" s="90" t="str">
        <f aca="false">IF($B75="","",SUMIFS('الحركات الشهرية'!$J$6:$J$1005,'الحركات الشهرية'!$B$6:$B$1005,$B75,'الحركات الشهرية'!$A$6:$A$1005,$C$3))</f>
        <v/>
      </c>
      <c r="V75" s="90" t="str">
        <f aca="false">IF($B75="","",SUM(S75:U75))</f>
        <v/>
      </c>
      <c r="W75" s="112" t="str">
        <f aca="false">IF($B75="","",R75-V75)</f>
        <v/>
      </c>
      <c r="X75" s="90" t="str">
        <f aca="false">IF($B75="","",الموظفون!$Q75*IF(E75="سعودي",cfg_G_SR,cfg_G_NR)*F75/cfg_DAYS_M)</f>
        <v/>
      </c>
      <c r="Y75" s="90" t="str">
        <f aca="false">IF($B75="","",الموظفون!$O75*(cfg_EOS_R1*(MIN(AC75,cfg_EOS_TH)-MIN(AD75,cfg_EOS_TH))+cfg_EOS_R2*(MAX(AC75-cfg_EOS_TH,0)-MAX(AD75-cfg_EOS_TH,0))))</f>
        <v/>
      </c>
      <c r="Z75" s="90" t="str">
        <f aca="false">IF($B75="","",IF(الموظفون!$R75&lt;&gt;"",الموظفون!$R75,IF(AC75&gt;=cfg_LV_TH,cfg_LV_D2,cfg_LV_D1))/cfg_DAYS_Y*AE75*الموظفون!$P75/cfg_DAYS_M)</f>
        <v/>
      </c>
      <c r="AA75" s="90" t="str">
        <f aca="false">IF($B75="","",IF(AND(الموظفون!$S75="نعم",N(الموظفون!$U75)&gt;0),الموظفون!$T75/الموظفون!$U75*12/cfg_DAYS_Y*AE75,0))</f>
        <v/>
      </c>
      <c r="AB75" s="113" t="str">
        <f aca="false">IF($B75="","",R75+SUM(X75:AA75))</f>
        <v/>
      </c>
      <c r="AC75" s="114" t="str">
        <f aca="false">IF($B75="","",MAX(0,IF(OR(الموظفون!$X75="",الموظفون!$X75&gt;$G$3),$G$3,الموظفون!$X75)-الموظفون!$H75+1)/cfg_DAYS_Y)</f>
        <v/>
      </c>
      <c r="AD75" s="114" t="str">
        <f aca="false">IF($B75="","",MAX(0,IF(OR(الموظفون!$X75="",الموظفون!$X75&gt;($E$3-1)),($E$3-1),الموظفون!$X75)-الموظفون!$H75+1)/cfg_DAYS_Y)</f>
        <v/>
      </c>
      <c r="AE75" s="115" t="str">
        <f aca="false">IF($B75="","",MAX(0,IF(OR(الموظفون!$X75="",الموظفون!$X75&gt;$G$3),$G$3,الموظفون!$X75)-MAX($E$3,الموظفون!$H75)+1))</f>
        <v/>
      </c>
    </row>
    <row r="76" customFormat="false" ht="15" hidden="false" customHeight="false" outlineLevel="0" collapsed="false">
      <c r="A76" s="83" t="str">
        <f aca="false">IF($B76="","",الموظفون!$A76)</f>
        <v/>
      </c>
      <c r="B76" s="74" t="str">
        <f aca="false">IF(الموظفون!$B76="","",الموظفون!$B76)</f>
        <v/>
      </c>
      <c r="C76" s="74" t="str">
        <f aca="false">IF($B76="","",الموظفون!$C76)</f>
        <v/>
      </c>
      <c r="D76" s="74" t="str">
        <f aca="false">IF($B76="","",الموظفون!$F76)</f>
        <v/>
      </c>
      <c r="E76" s="74" t="str">
        <f aca="false">IF($B76="","",الموظفون!$E76)</f>
        <v/>
      </c>
      <c r="F76" s="105" t="str">
        <f aca="false">IF($B76="","",IF(AE76&gt;=DAY($G$3),cfg_DAYS_M,MIN(AE76,cfg_DAYS_M)))</f>
        <v/>
      </c>
      <c r="G76" s="105" t="str">
        <f aca="false">IF($B76="","",SUMIFS('الحركات الشهرية'!$D$6:$D$1005,'الحركات الشهرية'!$B$6:$B$1005,$B76,'الحركات الشهرية'!$A$6:$A$1005,$C$3))</f>
        <v/>
      </c>
      <c r="H76" s="105" t="str">
        <f aca="false">IF($B76="","",SUMIFS('الحركات الشهرية'!$E$6:$E$1005,'الحركات الشهرية'!$B$6:$B$1005,$B76,'الحركات الشهرية'!$A$6:$A$1005,$C$3))</f>
        <v/>
      </c>
      <c r="I76" s="105" t="str">
        <f aca="false">IF($B76="","",MAX(0,F76-G76-H76))</f>
        <v/>
      </c>
      <c r="J76" s="86" t="str">
        <f aca="false">IF($B76="","",الموظفون!$J76*$I76/cfg_DAYS_M)</f>
        <v/>
      </c>
      <c r="K76" s="86" t="str">
        <f aca="false">IF($B76="","",الموظفون!$K76*$I76/cfg_DAYS_M)</f>
        <v/>
      </c>
      <c r="L76" s="86" t="str">
        <f aca="false">IF($B76="","",الموظفون!$L76*$I76/cfg_DAYS_M)</f>
        <v/>
      </c>
      <c r="M76" s="86" t="str">
        <f aca="false">IF($B76="","",الموظفون!$M76*$I76/cfg_DAYS_M)</f>
        <v/>
      </c>
      <c r="N76" s="105" t="str">
        <f aca="false">IF($B76="","",SUMIFS('الحركات الشهرية'!$F$6:$F$1005,'الحركات الشهرية'!$B$6:$B$1005,$B76,'الحركات الشهرية'!$A$6:$A$1005,$C$3))</f>
        <v/>
      </c>
      <c r="O76" s="86" t="str">
        <f aca="false">IF($B76="","",N76*(الموظفون!$N76+الموظفون!$J76*cfg_OT_P)/cfg_DAYS_M/cfg_HRS)</f>
        <v/>
      </c>
      <c r="P76" s="86" t="str">
        <f aca="false">IF($B76="","",SUMIFS('الحركات الشهرية'!$G$6:$G$1005,'الحركات الشهرية'!$B$6:$B$1005,$B76,'الحركات الشهرية'!$A$6:$A$1005,$C$3))</f>
        <v/>
      </c>
      <c r="Q76" s="86" t="str">
        <f aca="false">IF($B76="","",SUMIFS('الحركات الشهرية'!$H$6:$H$1005,'الحركات الشهرية'!$B$6:$B$1005,$B76,'الحركات الشهرية'!$A$6:$A$1005,$C$3))</f>
        <v/>
      </c>
      <c r="R76" s="106" t="str">
        <f aca="false">IF($B76="","",SUM(J76:M76)+SUM(O76:Q76))</f>
        <v/>
      </c>
      <c r="S76" s="86" t="str">
        <f aca="false">IF($B76="","",الموظفون!$Q76*IF(E76="سعودي",cfg_G_SE,cfg_G_NE)*F76/cfg_DAYS_M)</f>
        <v/>
      </c>
      <c r="T76" s="86" t="str">
        <f aca="false">IF($B76="","",SUMIFS('الحركات الشهرية'!$I$6:$I$1005,'الحركات الشهرية'!$B$6:$B$1005,$B76,'الحركات الشهرية'!$A$6:$A$1005,$C$3))</f>
        <v/>
      </c>
      <c r="U76" s="86" t="str">
        <f aca="false">IF($B76="","",SUMIFS('الحركات الشهرية'!$J$6:$J$1005,'الحركات الشهرية'!$B$6:$B$1005,$B76,'الحركات الشهرية'!$A$6:$A$1005,$C$3))</f>
        <v/>
      </c>
      <c r="V76" s="86" t="str">
        <f aca="false">IF($B76="","",SUM(S76:U76))</f>
        <v/>
      </c>
      <c r="W76" s="107" t="str">
        <f aca="false">IF($B76="","",R76-V76)</f>
        <v/>
      </c>
      <c r="X76" s="86" t="str">
        <f aca="false">IF($B76="","",الموظفون!$Q76*IF(E76="سعودي",cfg_G_SR,cfg_G_NR)*F76/cfg_DAYS_M)</f>
        <v/>
      </c>
      <c r="Y76" s="86" t="str">
        <f aca="false">IF($B76="","",الموظفون!$O76*(cfg_EOS_R1*(MIN(AC76,cfg_EOS_TH)-MIN(AD76,cfg_EOS_TH))+cfg_EOS_R2*(MAX(AC76-cfg_EOS_TH,0)-MAX(AD76-cfg_EOS_TH,0))))</f>
        <v/>
      </c>
      <c r="Z76" s="86" t="str">
        <f aca="false">IF($B76="","",IF(الموظفون!$R76&lt;&gt;"",الموظفون!$R76,IF(AC76&gt;=cfg_LV_TH,cfg_LV_D2,cfg_LV_D1))/cfg_DAYS_Y*AE76*الموظفون!$P76/cfg_DAYS_M)</f>
        <v/>
      </c>
      <c r="AA76" s="86" t="str">
        <f aca="false">IF($B76="","",IF(AND(الموظفون!$S76="نعم",N(الموظفون!$U76)&gt;0),الموظفون!$T76/الموظفون!$U76*12/cfg_DAYS_Y*AE76,0))</f>
        <v/>
      </c>
      <c r="AB76" s="108" t="str">
        <f aca="false">IF($B76="","",R76+SUM(X76:AA76))</f>
        <v/>
      </c>
      <c r="AC76" s="109" t="str">
        <f aca="false">IF($B76="","",MAX(0,IF(OR(الموظفون!$X76="",الموظفون!$X76&gt;$G$3),$G$3,الموظفون!$X76)-الموظفون!$H76+1)/cfg_DAYS_Y)</f>
        <v/>
      </c>
      <c r="AD76" s="109" t="str">
        <f aca="false">IF($B76="","",MAX(0,IF(OR(الموظفون!$X76="",الموظفون!$X76&gt;($E$3-1)),($E$3-1),الموظفون!$X76)-الموظفون!$H76+1)/cfg_DAYS_Y)</f>
        <v/>
      </c>
      <c r="AE76" s="51" t="str">
        <f aca="false">IF($B76="","",MAX(0,IF(OR(الموظفون!$X76="",الموظفون!$X76&gt;$G$3),$G$3,الموظفون!$X76)-MAX($E$3,الموظفون!$H76)+1))</f>
        <v/>
      </c>
    </row>
    <row r="77" customFormat="false" ht="15" hidden="false" customHeight="false" outlineLevel="0" collapsed="false">
      <c r="A77" s="89" t="str">
        <f aca="false">IF($B77="","",الموظفون!$A77)</f>
        <v/>
      </c>
      <c r="B77" s="91" t="str">
        <f aca="false">IF(الموظفون!$B77="","",الموظفون!$B77)</f>
        <v/>
      </c>
      <c r="C77" s="91" t="str">
        <f aca="false">IF($B77="","",الموظفون!$C77)</f>
        <v/>
      </c>
      <c r="D77" s="91" t="str">
        <f aca="false">IF($B77="","",الموظفون!$F77)</f>
        <v/>
      </c>
      <c r="E77" s="91" t="str">
        <f aca="false">IF($B77="","",الموظفون!$E77)</f>
        <v/>
      </c>
      <c r="F77" s="110" t="str">
        <f aca="false">IF($B77="","",IF(AE77&gt;=DAY($G$3),cfg_DAYS_M,MIN(AE77,cfg_DAYS_M)))</f>
        <v/>
      </c>
      <c r="G77" s="110" t="str">
        <f aca="false">IF($B77="","",SUMIFS('الحركات الشهرية'!$D$6:$D$1005,'الحركات الشهرية'!$B$6:$B$1005,$B77,'الحركات الشهرية'!$A$6:$A$1005,$C$3))</f>
        <v/>
      </c>
      <c r="H77" s="110" t="str">
        <f aca="false">IF($B77="","",SUMIFS('الحركات الشهرية'!$E$6:$E$1005,'الحركات الشهرية'!$B$6:$B$1005,$B77,'الحركات الشهرية'!$A$6:$A$1005,$C$3))</f>
        <v/>
      </c>
      <c r="I77" s="110" t="str">
        <f aca="false">IF($B77="","",MAX(0,F77-G77-H77))</f>
        <v/>
      </c>
      <c r="J77" s="90" t="str">
        <f aca="false">IF($B77="","",الموظفون!$J77*$I77/cfg_DAYS_M)</f>
        <v/>
      </c>
      <c r="K77" s="90" t="str">
        <f aca="false">IF($B77="","",الموظفون!$K77*$I77/cfg_DAYS_M)</f>
        <v/>
      </c>
      <c r="L77" s="90" t="str">
        <f aca="false">IF($B77="","",الموظفون!$L77*$I77/cfg_DAYS_M)</f>
        <v/>
      </c>
      <c r="M77" s="90" t="str">
        <f aca="false">IF($B77="","",الموظفون!$M77*$I77/cfg_DAYS_M)</f>
        <v/>
      </c>
      <c r="N77" s="110" t="str">
        <f aca="false">IF($B77="","",SUMIFS('الحركات الشهرية'!$F$6:$F$1005,'الحركات الشهرية'!$B$6:$B$1005,$B77,'الحركات الشهرية'!$A$6:$A$1005,$C$3))</f>
        <v/>
      </c>
      <c r="O77" s="90" t="str">
        <f aca="false">IF($B77="","",N77*(الموظفون!$N77+الموظفون!$J77*cfg_OT_P)/cfg_DAYS_M/cfg_HRS)</f>
        <v/>
      </c>
      <c r="P77" s="90" t="str">
        <f aca="false">IF($B77="","",SUMIFS('الحركات الشهرية'!$G$6:$G$1005,'الحركات الشهرية'!$B$6:$B$1005,$B77,'الحركات الشهرية'!$A$6:$A$1005,$C$3))</f>
        <v/>
      </c>
      <c r="Q77" s="90" t="str">
        <f aca="false">IF($B77="","",SUMIFS('الحركات الشهرية'!$H$6:$H$1005,'الحركات الشهرية'!$B$6:$B$1005,$B77,'الحركات الشهرية'!$A$6:$A$1005,$C$3))</f>
        <v/>
      </c>
      <c r="R77" s="111" t="str">
        <f aca="false">IF($B77="","",SUM(J77:M77)+SUM(O77:Q77))</f>
        <v/>
      </c>
      <c r="S77" s="90" t="str">
        <f aca="false">IF($B77="","",الموظفون!$Q77*IF(E77="سعودي",cfg_G_SE,cfg_G_NE)*F77/cfg_DAYS_M)</f>
        <v/>
      </c>
      <c r="T77" s="90" t="str">
        <f aca="false">IF($B77="","",SUMIFS('الحركات الشهرية'!$I$6:$I$1005,'الحركات الشهرية'!$B$6:$B$1005,$B77,'الحركات الشهرية'!$A$6:$A$1005,$C$3))</f>
        <v/>
      </c>
      <c r="U77" s="90" t="str">
        <f aca="false">IF($B77="","",SUMIFS('الحركات الشهرية'!$J$6:$J$1005,'الحركات الشهرية'!$B$6:$B$1005,$B77,'الحركات الشهرية'!$A$6:$A$1005,$C$3))</f>
        <v/>
      </c>
      <c r="V77" s="90" t="str">
        <f aca="false">IF($B77="","",SUM(S77:U77))</f>
        <v/>
      </c>
      <c r="W77" s="112" t="str">
        <f aca="false">IF($B77="","",R77-V77)</f>
        <v/>
      </c>
      <c r="X77" s="90" t="str">
        <f aca="false">IF($B77="","",الموظفون!$Q77*IF(E77="سعودي",cfg_G_SR,cfg_G_NR)*F77/cfg_DAYS_M)</f>
        <v/>
      </c>
      <c r="Y77" s="90" t="str">
        <f aca="false">IF($B77="","",الموظفون!$O77*(cfg_EOS_R1*(MIN(AC77,cfg_EOS_TH)-MIN(AD77,cfg_EOS_TH))+cfg_EOS_R2*(MAX(AC77-cfg_EOS_TH,0)-MAX(AD77-cfg_EOS_TH,0))))</f>
        <v/>
      </c>
      <c r="Z77" s="90" t="str">
        <f aca="false">IF($B77="","",IF(الموظفون!$R77&lt;&gt;"",الموظفون!$R77,IF(AC77&gt;=cfg_LV_TH,cfg_LV_D2,cfg_LV_D1))/cfg_DAYS_Y*AE77*الموظفون!$P77/cfg_DAYS_M)</f>
        <v/>
      </c>
      <c r="AA77" s="90" t="str">
        <f aca="false">IF($B77="","",IF(AND(الموظفون!$S77="نعم",N(الموظفون!$U77)&gt;0),الموظفون!$T77/الموظفون!$U77*12/cfg_DAYS_Y*AE77,0))</f>
        <v/>
      </c>
      <c r="AB77" s="113" t="str">
        <f aca="false">IF($B77="","",R77+SUM(X77:AA77))</f>
        <v/>
      </c>
      <c r="AC77" s="114" t="str">
        <f aca="false">IF($B77="","",MAX(0,IF(OR(الموظفون!$X77="",الموظفون!$X77&gt;$G$3),$G$3,الموظفون!$X77)-الموظفون!$H77+1)/cfg_DAYS_Y)</f>
        <v/>
      </c>
      <c r="AD77" s="114" t="str">
        <f aca="false">IF($B77="","",MAX(0,IF(OR(الموظفون!$X77="",الموظفون!$X77&gt;($E$3-1)),($E$3-1),الموظفون!$X77)-الموظفون!$H77+1)/cfg_DAYS_Y)</f>
        <v/>
      </c>
      <c r="AE77" s="115" t="str">
        <f aca="false">IF($B77="","",MAX(0,IF(OR(الموظفون!$X77="",الموظفون!$X77&gt;$G$3),$G$3,الموظفون!$X77)-MAX($E$3,الموظفون!$H77)+1))</f>
        <v/>
      </c>
    </row>
    <row r="78" customFormat="false" ht="15" hidden="false" customHeight="false" outlineLevel="0" collapsed="false">
      <c r="A78" s="83" t="str">
        <f aca="false">IF($B78="","",الموظفون!$A78)</f>
        <v/>
      </c>
      <c r="B78" s="74" t="str">
        <f aca="false">IF(الموظفون!$B78="","",الموظفون!$B78)</f>
        <v/>
      </c>
      <c r="C78" s="74" t="str">
        <f aca="false">IF($B78="","",الموظفون!$C78)</f>
        <v/>
      </c>
      <c r="D78" s="74" t="str">
        <f aca="false">IF($B78="","",الموظفون!$F78)</f>
        <v/>
      </c>
      <c r="E78" s="74" t="str">
        <f aca="false">IF($B78="","",الموظفون!$E78)</f>
        <v/>
      </c>
      <c r="F78" s="105" t="str">
        <f aca="false">IF($B78="","",IF(AE78&gt;=DAY($G$3),cfg_DAYS_M,MIN(AE78,cfg_DAYS_M)))</f>
        <v/>
      </c>
      <c r="G78" s="105" t="str">
        <f aca="false">IF($B78="","",SUMIFS('الحركات الشهرية'!$D$6:$D$1005,'الحركات الشهرية'!$B$6:$B$1005,$B78,'الحركات الشهرية'!$A$6:$A$1005,$C$3))</f>
        <v/>
      </c>
      <c r="H78" s="105" t="str">
        <f aca="false">IF($B78="","",SUMIFS('الحركات الشهرية'!$E$6:$E$1005,'الحركات الشهرية'!$B$6:$B$1005,$B78,'الحركات الشهرية'!$A$6:$A$1005,$C$3))</f>
        <v/>
      </c>
      <c r="I78" s="105" t="str">
        <f aca="false">IF($B78="","",MAX(0,F78-G78-H78))</f>
        <v/>
      </c>
      <c r="J78" s="86" t="str">
        <f aca="false">IF($B78="","",الموظفون!$J78*$I78/cfg_DAYS_M)</f>
        <v/>
      </c>
      <c r="K78" s="86" t="str">
        <f aca="false">IF($B78="","",الموظفون!$K78*$I78/cfg_DAYS_M)</f>
        <v/>
      </c>
      <c r="L78" s="86" t="str">
        <f aca="false">IF($B78="","",الموظفون!$L78*$I78/cfg_DAYS_M)</f>
        <v/>
      </c>
      <c r="M78" s="86" t="str">
        <f aca="false">IF($B78="","",الموظفون!$M78*$I78/cfg_DAYS_M)</f>
        <v/>
      </c>
      <c r="N78" s="105" t="str">
        <f aca="false">IF($B78="","",SUMIFS('الحركات الشهرية'!$F$6:$F$1005,'الحركات الشهرية'!$B$6:$B$1005,$B78,'الحركات الشهرية'!$A$6:$A$1005,$C$3))</f>
        <v/>
      </c>
      <c r="O78" s="86" t="str">
        <f aca="false">IF($B78="","",N78*(الموظفون!$N78+الموظفون!$J78*cfg_OT_P)/cfg_DAYS_M/cfg_HRS)</f>
        <v/>
      </c>
      <c r="P78" s="86" t="str">
        <f aca="false">IF($B78="","",SUMIFS('الحركات الشهرية'!$G$6:$G$1005,'الحركات الشهرية'!$B$6:$B$1005,$B78,'الحركات الشهرية'!$A$6:$A$1005,$C$3))</f>
        <v/>
      </c>
      <c r="Q78" s="86" t="str">
        <f aca="false">IF($B78="","",SUMIFS('الحركات الشهرية'!$H$6:$H$1005,'الحركات الشهرية'!$B$6:$B$1005,$B78,'الحركات الشهرية'!$A$6:$A$1005,$C$3))</f>
        <v/>
      </c>
      <c r="R78" s="106" t="str">
        <f aca="false">IF($B78="","",SUM(J78:M78)+SUM(O78:Q78))</f>
        <v/>
      </c>
      <c r="S78" s="86" t="str">
        <f aca="false">IF($B78="","",الموظفون!$Q78*IF(E78="سعودي",cfg_G_SE,cfg_G_NE)*F78/cfg_DAYS_M)</f>
        <v/>
      </c>
      <c r="T78" s="86" t="str">
        <f aca="false">IF($B78="","",SUMIFS('الحركات الشهرية'!$I$6:$I$1005,'الحركات الشهرية'!$B$6:$B$1005,$B78,'الحركات الشهرية'!$A$6:$A$1005,$C$3))</f>
        <v/>
      </c>
      <c r="U78" s="86" t="str">
        <f aca="false">IF($B78="","",SUMIFS('الحركات الشهرية'!$J$6:$J$1005,'الحركات الشهرية'!$B$6:$B$1005,$B78,'الحركات الشهرية'!$A$6:$A$1005,$C$3))</f>
        <v/>
      </c>
      <c r="V78" s="86" t="str">
        <f aca="false">IF($B78="","",SUM(S78:U78))</f>
        <v/>
      </c>
      <c r="W78" s="107" t="str">
        <f aca="false">IF($B78="","",R78-V78)</f>
        <v/>
      </c>
      <c r="X78" s="86" t="str">
        <f aca="false">IF($B78="","",الموظفون!$Q78*IF(E78="سعودي",cfg_G_SR,cfg_G_NR)*F78/cfg_DAYS_M)</f>
        <v/>
      </c>
      <c r="Y78" s="86" t="str">
        <f aca="false">IF($B78="","",الموظفون!$O78*(cfg_EOS_R1*(MIN(AC78,cfg_EOS_TH)-MIN(AD78,cfg_EOS_TH))+cfg_EOS_R2*(MAX(AC78-cfg_EOS_TH,0)-MAX(AD78-cfg_EOS_TH,0))))</f>
        <v/>
      </c>
      <c r="Z78" s="86" t="str">
        <f aca="false">IF($B78="","",IF(الموظفون!$R78&lt;&gt;"",الموظفون!$R78,IF(AC78&gt;=cfg_LV_TH,cfg_LV_D2,cfg_LV_D1))/cfg_DAYS_Y*AE78*الموظفون!$P78/cfg_DAYS_M)</f>
        <v/>
      </c>
      <c r="AA78" s="86" t="str">
        <f aca="false">IF($B78="","",IF(AND(الموظفون!$S78="نعم",N(الموظفون!$U78)&gt;0),الموظفون!$T78/الموظفون!$U78*12/cfg_DAYS_Y*AE78,0))</f>
        <v/>
      </c>
      <c r="AB78" s="108" t="str">
        <f aca="false">IF($B78="","",R78+SUM(X78:AA78))</f>
        <v/>
      </c>
      <c r="AC78" s="109" t="str">
        <f aca="false">IF($B78="","",MAX(0,IF(OR(الموظفون!$X78="",الموظفون!$X78&gt;$G$3),$G$3,الموظفون!$X78)-الموظفون!$H78+1)/cfg_DAYS_Y)</f>
        <v/>
      </c>
      <c r="AD78" s="109" t="str">
        <f aca="false">IF($B78="","",MAX(0,IF(OR(الموظفون!$X78="",الموظفون!$X78&gt;($E$3-1)),($E$3-1),الموظفون!$X78)-الموظفون!$H78+1)/cfg_DAYS_Y)</f>
        <v/>
      </c>
      <c r="AE78" s="51" t="str">
        <f aca="false">IF($B78="","",MAX(0,IF(OR(الموظفون!$X78="",الموظفون!$X78&gt;$G$3),$G$3,الموظفون!$X78)-MAX($E$3,الموظفون!$H78)+1))</f>
        <v/>
      </c>
    </row>
    <row r="79" customFormat="false" ht="15" hidden="false" customHeight="false" outlineLevel="0" collapsed="false">
      <c r="A79" s="89" t="str">
        <f aca="false">IF($B79="","",الموظفون!$A79)</f>
        <v/>
      </c>
      <c r="B79" s="91" t="str">
        <f aca="false">IF(الموظفون!$B79="","",الموظفون!$B79)</f>
        <v/>
      </c>
      <c r="C79" s="91" t="str">
        <f aca="false">IF($B79="","",الموظفون!$C79)</f>
        <v/>
      </c>
      <c r="D79" s="91" t="str">
        <f aca="false">IF($B79="","",الموظفون!$F79)</f>
        <v/>
      </c>
      <c r="E79" s="91" t="str">
        <f aca="false">IF($B79="","",الموظفون!$E79)</f>
        <v/>
      </c>
      <c r="F79" s="110" t="str">
        <f aca="false">IF($B79="","",IF(AE79&gt;=DAY($G$3),cfg_DAYS_M,MIN(AE79,cfg_DAYS_M)))</f>
        <v/>
      </c>
      <c r="G79" s="110" t="str">
        <f aca="false">IF($B79="","",SUMIFS('الحركات الشهرية'!$D$6:$D$1005,'الحركات الشهرية'!$B$6:$B$1005,$B79,'الحركات الشهرية'!$A$6:$A$1005,$C$3))</f>
        <v/>
      </c>
      <c r="H79" s="110" t="str">
        <f aca="false">IF($B79="","",SUMIFS('الحركات الشهرية'!$E$6:$E$1005,'الحركات الشهرية'!$B$6:$B$1005,$B79,'الحركات الشهرية'!$A$6:$A$1005,$C$3))</f>
        <v/>
      </c>
      <c r="I79" s="110" t="str">
        <f aca="false">IF($B79="","",MAX(0,F79-G79-H79))</f>
        <v/>
      </c>
      <c r="J79" s="90" t="str">
        <f aca="false">IF($B79="","",الموظفون!$J79*$I79/cfg_DAYS_M)</f>
        <v/>
      </c>
      <c r="K79" s="90" t="str">
        <f aca="false">IF($B79="","",الموظفون!$K79*$I79/cfg_DAYS_M)</f>
        <v/>
      </c>
      <c r="L79" s="90" t="str">
        <f aca="false">IF($B79="","",الموظفون!$L79*$I79/cfg_DAYS_M)</f>
        <v/>
      </c>
      <c r="M79" s="90" t="str">
        <f aca="false">IF($B79="","",الموظفون!$M79*$I79/cfg_DAYS_M)</f>
        <v/>
      </c>
      <c r="N79" s="110" t="str">
        <f aca="false">IF($B79="","",SUMIFS('الحركات الشهرية'!$F$6:$F$1005,'الحركات الشهرية'!$B$6:$B$1005,$B79,'الحركات الشهرية'!$A$6:$A$1005,$C$3))</f>
        <v/>
      </c>
      <c r="O79" s="90" t="str">
        <f aca="false">IF($B79="","",N79*(الموظفون!$N79+الموظفون!$J79*cfg_OT_P)/cfg_DAYS_M/cfg_HRS)</f>
        <v/>
      </c>
      <c r="P79" s="90" t="str">
        <f aca="false">IF($B79="","",SUMIFS('الحركات الشهرية'!$G$6:$G$1005,'الحركات الشهرية'!$B$6:$B$1005,$B79,'الحركات الشهرية'!$A$6:$A$1005,$C$3))</f>
        <v/>
      </c>
      <c r="Q79" s="90" t="str">
        <f aca="false">IF($B79="","",SUMIFS('الحركات الشهرية'!$H$6:$H$1005,'الحركات الشهرية'!$B$6:$B$1005,$B79,'الحركات الشهرية'!$A$6:$A$1005,$C$3))</f>
        <v/>
      </c>
      <c r="R79" s="111" t="str">
        <f aca="false">IF($B79="","",SUM(J79:M79)+SUM(O79:Q79))</f>
        <v/>
      </c>
      <c r="S79" s="90" t="str">
        <f aca="false">IF($B79="","",الموظفون!$Q79*IF(E79="سعودي",cfg_G_SE,cfg_G_NE)*F79/cfg_DAYS_M)</f>
        <v/>
      </c>
      <c r="T79" s="90" t="str">
        <f aca="false">IF($B79="","",SUMIFS('الحركات الشهرية'!$I$6:$I$1005,'الحركات الشهرية'!$B$6:$B$1005,$B79,'الحركات الشهرية'!$A$6:$A$1005,$C$3))</f>
        <v/>
      </c>
      <c r="U79" s="90" t="str">
        <f aca="false">IF($B79="","",SUMIFS('الحركات الشهرية'!$J$6:$J$1005,'الحركات الشهرية'!$B$6:$B$1005,$B79,'الحركات الشهرية'!$A$6:$A$1005,$C$3))</f>
        <v/>
      </c>
      <c r="V79" s="90" t="str">
        <f aca="false">IF($B79="","",SUM(S79:U79))</f>
        <v/>
      </c>
      <c r="W79" s="112" t="str">
        <f aca="false">IF($B79="","",R79-V79)</f>
        <v/>
      </c>
      <c r="X79" s="90" t="str">
        <f aca="false">IF($B79="","",الموظفون!$Q79*IF(E79="سعودي",cfg_G_SR,cfg_G_NR)*F79/cfg_DAYS_M)</f>
        <v/>
      </c>
      <c r="Y79" s="90" t="str">
        <f aca="false">IF($B79="","",الموظفون!$O79*(cfg_EOS_R1*(MIN(AC79,cfg_EOS_TH)-MIN(AD79,cfg_EOS_TH))+cfg_EOS_R2*(MAX(AC79-cfg_EOS_TH,0)-MAX(AD79-cfg_EOS_TH,0))))</f>
        <v/>
      </c>
      <c r="Z79" s="90" t="str">
        <f aca="false">IF($B79="","",IF(الموظفون!$R79&lt;&gt;"",الموظفون!$R79,IF(AC79&gt;=cfg_LV_TH,cfg_LV_D2,cfg_LV_D1))/cfg_DAYS_Y*AE79*الموظفون!$P79/cfg_DAYS_M)</f>
        <v/>
      </c>
      <c r="AA79" s="90" t="str">
        <f aca="false">IF($B79="","",IF(AND(الموظفون!$S79="نعم",N(الموظفون!$U79)&gt;0),الموظفون!$T79/الموظفون!$U79*12/cfg_DAYS_Y*AE79,0))</f>
        <v/>
      </c>
      <c r="AB79" s="113" t="str">
        <f aca="false">IF($B79="","",R79+SUM(X79:AA79))</f>
        <v/>
      </c>
      <c r="AC79" s="114" t="str">
        <f aca="false">IF($B79="","",MAX(0,IF(OR(الموظفون!$X79="",الموظفون!$X79&gt;$G$3),$G$3,الموظفون!$X79)-الموظفون!$H79+1)/cfg_DAYS_Y)</f>
        <v/>
      </c>
      <c r="AD79" s="114" t="str">
        <f aca="false">IF($B79="","",MAX(0,IF(OR(الموظفون!$X79="",الموظفون!$X79&gt;($E$3-1)),($E$3-1),الموظفون!$X79)-الموظفون!$H79+1)/cfg_DAYS_Y)</f>
        <v/>
      </c>
      <c r="AE79" s="115" t="str">
        <f aca="false">IF($B79="","",MAX(0,IF(OR(الموظفون!$X79="",الموظفون!$X79&gt;$G$3),$G$3,الموظفون!$X79)-MAX($E$3,الموظفون!$H79)+1))</f>
        <v/>
      </c>
    </row>
    <row r="80" customFormat="false" ht="15" hidden="false" customHeight="false" outlineLevel="0" collapsed="false">
      <c r="A80" s="83" t="str">
        <f aca="false">IF($B80="","",الموظفون!$A80)</f>
        <v/>
      </c>
      <c r="B80" s="74" t="str">
        <f aca="false">IF(الموظفون!$B80="","",الموظفون!$B80)</f>
        <v/>
      </c>
      <c r="C80" s="74" t="str">
        <f aca="false">IF($B80="","",الموظفون!$C80)</f>
        <v/>
      </c>
      <c r="D80" s="74" t="str">
        <f aca="false">IF($B80="","",الموظفون!$F80)</f>
        <v/>
      </c>
      <c r="E80" s="74" t="str">
        <f aca="false">IF($B80="","",الموظفون!$E80)</f>
        <v/>
      </c>
      <c r="F80" s="105" t="str">
        <f aca="false">IF($B80="","",IF(AE80&gt;=DAY($G$3),cfg_DAYS_M,MIN(AE80,cfg_DAYS_M)))</f>
        <v/>
      </c>
      <c r="G80" s="105" t="str">
        <f aca="false">IF($B80="","",SUMIFS('الحركات الشهرية'!$D$6:$D$1005,'الحركات الشهرية'!$B$6:$B$1005,$B80,'الحركات الشهرية'!$A$6:$A$1005,$C$3))</f>
        <v/>
      </c>
      <c r="H80" s="105" t="str">
        <f aca="false">IF($B80="","",SUMIFS('الحركات الشهرية'!$E$6:$E$1005,'الحركات الشهرية'!$B$6:$B$1005,$B80,'الحركات الشهرية'!$A$6:$A$1005,$C$3))</f>
        <v/>
      </c>
      <c r="I80" s="105" t="str">
        <f aca="false">IF($B80="","",MAX(0,F80-G80-H80))</f>
        <v/>
      </c>
      <c r="J80" s="86" t="str">
        <f aca="false">IF($B80="","",الموظفون!$J80*$I80/cfg_DAYS_M)</f>
        <v/>
      </c>
      <c r="K80" s="86" t="str">
        <f aca="false">IF($B80="","",الموظفون!$K80*$I80/cfg_DAYS_M)</f>
        <v/>
      </c>
      <c r="L80" s="86" t="str">
        <f aca="false">IF($B80="","",الموظفون!$L80*$I80/cfg_DAYS_M)</f>
        <v/>
      </c>
      <c r="M80" s="86" t="str">
        <f aca="false">IF($B80="","",الموظفون!$M80*$I80/cfg_DAYS_M)</f>
        <v/>
      </c>
      <c r="N80" s="105" t="str">
        <f aca="false">IF($B80="","",SUMIFS('الحركات الشهرية'!$F$6:$F$1005,'الحركات الشهرية'!$B$6:$B$1005,$B80,'الحركات الشهرية'!$A$6:$A$1005,$C$3))</f>
        <v/>
      </c>
      <c r="O80" s="86" t="str">
        <f aca="false">IF($B80="","",N80*(الموظفون!$N80+الموظفون!$J80*cfg_OT_P)/cfg_DAYS_M/cfg_HRS)</f>
        <v/>
      </c>
      <c r="P80" s="86" t="str">
        <f aca="false">IF($B80="","",SUMIFS('الحركات الشهرية'!$G$6:$G$1005,'الحركات الشهرية'!$B$6:$B$1005,$B80,'الحركات الشهرية'!$A$6:$A$1005,$C$3))</f>
        <v/>
      </c>
      <c r="Q80" s="86" t="str">
        <f aca="false">IF($B80="","",SUMIFS('الحركات الشهرية'!$H$6:$H$1005,'الحركات الشهرية'!$B$6:$B$1005,$B80,'الحركات الشهرية'!$A$6:$A$1005,$C$3))</f>
        <v/>
      </c>
      <c r="R80" s="106" t="str">
        <f aca="false">IF($B80="","",SUM(J80:M80)+SUM(O80:Q80))</f>
        <v/>
      </c>
      <c r="S80" s="86" t="str">
        <f aca="false">IF($B80="","",الموظفون!$Q80*IF(E80="سعودي",cfg_G_SE,cfg_G_NE)*F80/cfg_DAYS_M)</f>
        <v/>
      </c>
      <c r="T80" s="86" t="str">
        <f aca="false">IF($B80="","",SUMIFS('الحركات الشهرية'!$I$6:$I$1005,'الحركات الشهرية'!$B$6:$B$1005,$B80,'الحركات الشهرية'!$A$6:$A$1005,$C$3))</f>
        <v/>
      </c>
      <c r="U80" s="86" t="str">
        <f aca="false">IF($B80="","",SUMIFS('الحركات الشهرية'!$J$6:$J$1005,'الحركات الشهرية'!$B$6:$B$1005,$B80,'الحركات الشهرية'!$A$6:$A$1005,$C$3))</f>
        <v/>
      </c>
      <c r="V80" s="86" t="str">
        <f aca="false">IF($B80="","",SUM(S80:U80))</f>
        <v/>
      </c>
      <c r="W80" s="107" t="str">
        <f aca="false">IF($B80="","",R80-V80)</f>
        <v/>
      </c>
      <c r="X80" s="86" t="str">
        <f aca="false">IF($B80="","",الموظفون!$Q80*IF(E80="سعودي",cfg_G_SR,cfg_G_NR)*F80/cfg_DAYS_M)</f>
        <v/>
      </c>
      <c r="Y80" s="86" t="str">
        <f aca="false">IF($B80="","",الموظفون!$O80*(cfg_EOS_R1*(MIN(AC80,cfg_EOS_TH)-MIN(AD80,cfg_EOS_TH))+cfg_EOS_R2*(MAX(AC80-cfg_EOS_TH,0)-MAX(AD80-cfg_EOS_TH,0))))</f>
        <v/>
      </c>
      <c r="Z80" s="86" t="str">
        <f aca="false">IF($B80="","",IF(الموظفون!$R80&lt;&gt;"",الموظفون!$R80,IF(AC80&gt;=cfg_LV_TH,cfg_LV_D2,cfg_LV_D1))/cfg_DAYS_Y*AE80*الموظفون!$P80/cfg_DAYS_M)</f>
        <v/>
      </c>
      <c r="AA80" s="86" t="str">
        <f aca="false">IF($B80="","",IF(AND(الموظفون!$S80="نعم",N(الموظفون!$U80)&gt;0),الموظفون!$T80/الموظفون!$U80*12/cfg_DAYS_Y*AE80,0))</f>
        <v/>
      </c>
      <c r="AB80" s="108" t="str">
        <f aca="false">IF($B80="","",R80+SUM(X80:AA80))</f>
        <v/>
      </c>
      <c r="AC80" s="109" t="str">
        <f aca="false">IF($B80="","",MAX(0,IF(OR(الموظفون!$X80="",الموظفون!$X80&gt;$G$3),$G$3,الموظفون!$X80)-الموظفون!$H80+1)/cfg_DAYS_Y)</f>
        <v/>
      </c>
      <c r="AD80" s="109" t="str">
        <f aca="false">IF($B80="","",MAX(0,IF(OR(الموظفون!$X80="",الموظفون!$X80&gt;($E$3-1)),($E$3-1),الموظفون!$X80)-الموظفون!$H80+1)/cfg_DAYS_Y)</f>
        <v/>
      </c>
      <c r="AE80" s="51" t="str">
        <f aca="false">IF($B80="","",MAX(0,IF(OR(الموظفون!$X80="",الموظفون!$X80&gt;$G$3),$G$3,الموظفون!$X80)-MAX($E$3,الموظفون!$H80)+1))</f>
        <v/>
      </c>
    </row>
    <row r="81" customFormat="false" ht="15" hidden="false" customHeight="false" outlineLevel="0" collapsed="false">
      <c r="A81" s="89" t="str">
        <f aca="false">IF($B81="","",الموظفون!$A81)</f>
        <v/>
      </c>
      <c r="B81" s="91" t="str">
        <f aca="false">IF(الموظفون!$B81="","",الموظفون!$B81)</f>
        <v/>
      </c>
      <c r="C81" s="91" t="str">
        <f aca="false">IF($B81="","",الموظفون!$C81)</f>
        <v/>
      </c>
      <c r="D81" s="91" t="str">
        <f aca="false">IF($B81="","",الموظفون!$F81)</f>
        <v/>
      </c>
      <c r="E81" s="91" t="str">
        <f aca="false">IF($B81="","",الموظفون!$E81)</f>
        <v/>
      </c>
      <c r="F81" s="110" t="str">
        <f aca="false">IF($B81="","",IF(AE81&gt;=DAY($G$3),cfg_DAYS_M,MIN(AE81,cfg_DAYS_M)))</f>
        <v/>
      </c>
      <c r="G81" s="110" t="str">
        <f aca="false">IF($B81="","",SUMIFS('الحركات الشهرية'!$D$6:$D$1005,'الحركات الشهرية'!$B$6:$B$1005,$B81,'الحركات الشهرية'!$A$6:$A$1005,$C$3))</f>
        <v/>
      </c>
      <c r="H81" s="110" t="str">
        <f aca="false">IF($B81="","",SUMIFS('الحركات الشهرية'!$E$6:$E$1005,'الحركات الشهرية'!$B$6:$B$1005,$B81,'الحركات الشهرية'!$A$6:$A$1005,$C$3))</f>
        <v/>
      </c>
      <c r="I81" s="110" t="str">
        <f aca="false">IF($B81="","",MAX(0,F81-G81-H81))</f>
        <v/>
      </c>
      <c r="J81" s="90" t="str">
        <f aca="false">IF($B81="","",الموظفون!$J81*$I81/cfg_DAYS_M)</f>
        <v/>
      </c>
      <c r="K81" s="90" t="str">
        <f aca="false">IF($B81="","",الموظفون!$K81*$I81/cfg_DAYS_M)</f>
        <v/>
      </c>
      <c r="L81" s="90" t="str">
        <f aca="false">IF($B81="","",الموظفون!$L81*$I81/cfg_DAYS_M)</f>
        <v/>
      </c>
      <c r="M81" s="90" t="str">
        <f aca="false">IF($B81="","",الموظفون!$M81*$I81/cfg_DAYS_M)</f>
        <v/>
      </c>
      <c r="N81" s="110" t="str">
        <f aca="false">IF($B81="","",SUMIFS('الحركات الشهرية'!$F$6:$F$1005,'الحركات الشهرية'!$B$6:$B$1005,$B81,'الحركات الشهرية'!$A$6:$A$1005,$C$3))</f>
        <v/>
      </c>
      <c r="O81" s="90" t="str">
        <f aca="false">IF($B81="","",N81*(الموظفون!$N81+الموظفون!$J81*cfg_OT_P)/cfg_DAYS_M/cfg_HRS)</f>
        <v/>
      </c>
      <c r="P81" s="90" t="str">
        <f aca="false">IF($B81="","",SUMIFS('الحركات الشهرية'!$G$6:$G$1005,'الحركات الشهرية'!$B$6:$B$1005,$B81,'الحركات الشهرية'!$A$6:$A$1005,$C$3))</f>
        <v/>
      </c>
      <c r="Q81" s="90" t="str">
        <f aca="false">IF($B81="","",SUMIFS('الحركات الشهرية'!$H$6:$H$1005,'الحركات الشهرية'!$B$6:$B$1005,$B81,'الحركات الشهرية'!$A$6:$A$1005,$C$3))</f>
        <v/>
      </c>
      <c r="R81" s="111" t="str">
        <f aca="false">IF($B81="","",SUM(J81:M81)+SUM(O81:Q81))</f>
        <v/>
      </c>
      <c r="S81" s="90" t="str">
        <f aca="false">IF($B81="","",الموظفون!$Q81*IF(E81="سعودي",cfg_G_SE,cfg_G_NE)*F81/cfg_DAYS_M)</f>
        <v/>
      </c>
      <c r="T81" s="90" t="str">
        <f aca="false">IF($B81="","",SUMIFS('الحركات الشهرية'!$I$6:$I$1005,'الحركات الشهرية'!$B$6:$B$1005,$B81,'الحركات الشهرية'!$A$6:$A$1005,$C$3))</f>
        <v/>
      </c>
      <c r="U81" s="90" t="str">
        <f aca="false">IF($B81="","",SUMIFS('الحركات الشهرية'!$J$6:$J$1005,'الحركات الشهرية'!$B$6:$B$1005,$B81,'الحركات الشهرية'!$A$6:$A$1005,$C$3))</f>
        <v/>
      </c>
      <c r="V81" s="90" t="str">
        <f aca="false">IF($B81="","",SUM(S81:U81))</f>
        <v/>
      </c>
      <c r="W81" s="112" t="str">
        <f aca="false">IF($B81="","",R81-V81)</f>
        <v/>
      </c>
      <c r="X81" s="90" t="str">
        <f aca="false">IF($B81="","",الموظفون!$Q81*IF(E81="سعودي",cfg_G_SR,cfg_G_NR)*F81/cfg_DAYS_M)</f>
        <v/>
      </c>
      <c r="Y81" s="90" t="str">
        <f aca="false">IF($B81="","",الموظفون!$O81*(cfg_EOS_R1*(MIN(AC81,cfg_EOS_TH)-MIN(AD81,cfg_EOS_TH))+cfg_EOS_R2*(MAX(AC81-cfg_EOS_TH,0)-MAX(AD81-cfg_EOS_TH,0))))</f>
        <v/>
      </c>
      <c r="Z81" s="90" t="str">
        <f aca="false">IF($B81="","",IF(الموظفون!$R81&lt;&gt;"",الموظفون!$R81,IF(AC81&gt;=cfg_LV_TH,cfg_LV_D2,cfg_LV_D1))/cfg_DAYS_Y*AE81*الموظفون!$P81/cfg_DAYS_M)</f>
        <v/>
      </c>
      <c r="AA81" s="90" t="str">
        <f aca="false">IF($B81="","",IF(AND(الموظفون!$S81="نعم",N(الموظفون!$U81)&gt;0),الموظفون!$T81/الموظفون!$U81*12/cfg_DAYS_Y*AE81,0))</f>
        <v/>
      </c>
      <c r="AB81" s="113" t="str">
        <f aca="false">IF($B81="","",R81+SUM(X81:AA81))</f>
        <v/>
      </c>
      <c r="AC81" s="114" t="str">
        <f aca="false">IF($B81="","",MAX(0,IF(OR(الموظفون!$X81="",الموظفون!$X81&gt;$G$3),$G$3,الموظفون!$X81)-الموظفون!$H81+1)/cfg_DAYS_Y)</f>
        <v/>
      </c>
      <c r="AD81" s="114" t="str">
        <f aca="false">IF($B81="","",MAX(0,IF(OR(الموظفون!$X81="",الموظفون!$X81&gt;($E$3-1)),($E$3-1),الموظفون!$X81)-الموظفون!$H81+1)/cfg_DAYS_Y)</f>
        <v/>
      </c>
      <c r="AE81" s="115" t="str">
        <f aca="false">IF($B81="","",MAX(0,IF(OR(الموظفون!$X81="",الموظفون!$X81&gt;$G$3),$G$3,الموظفون!$X81)-MAX($E$3,الموظفون!$H81)+1))</f>
        <v/>
      </c>
    </row>
    <row r="82" customFormat="false" ht="15" hidden="false" customHeight="false" outlineLevel="0" collapsed="false">
      <c r="A82" s="83" t="str">
        <f aca="false">IF($B82="","",الموظفون!$A82)</f>
        <v/>
      </c>
      <c r="B82" s="74" t="str">
        <f aca="false">IF(الموظفون!$B82="","",الموظفون!$B82)</f>
        <v/>
      </c>
      <c r="C82" s="74" t="str">
        <f aca="false">IF($B82="","",الموظفون!$C82)</f>
        <v/>
      </c>
      <c r="D82" s="74" t="str">
        <f aca="false">IF($B82="","",الموظفون!$F82)</f>
        <v/>
      </c>
      <c r="E82" s="74" t="str">
        <f aca="false">IF($B82="","",الموظفون!$E82)</f>
        <v/>
      </c>
      <c r="F82" s="105" t="str">
        <f aca="false">IF($B82="","",IF(AE82&gt;=DAY($G$3),cfg_DAYS_M,MIN(AE82,cfg_DAYS_M)))</f>
        <v/>
      </c>
      <c r="G82" s="105" t="str">
        <f aca="false">IF($B82="","",SUMIFS('الحركات الشهرية'!$D$6:$D$1005,'الحركات الشهرية'!$B$6:$B$1005,$B82,'الحركات الشهرية'!$A$6:$A$1005,$C$3))</f>
        <v/>
      </c>
      <c r="H82" s="105" t="str">
        <f aca="false">IF($B82="","",SUMIFS('الحركات الشهرية'!$E$6:$E$1005,'الحركات الشهرية'!$B$6:$B$1005,$B82,'الحركات الشهرية'!$A$6:$A$1005,$C$3))</f>
        <v/>
      </c>
      <c r="I82" s="105" t="str">
        <f aca="false">IF($B82="","",MAX(0,F82-G82-H82))</f>
        <v/>
      </c>
      <c r="J82" s="86" t="str">
        <f aca="false">IF($B82="","",الموظفون!$J82*$I82/cfg_DAYS_M)</f>
        <v/>
      </c>
      <c r="K82" s="86" t="str">
        <f aca="false">IF($B82="","",الموظفون!$K82*$I82/cfg_DAYS_M)</f>
        <v/>
      </c>
      <c r="L82" s="86" t="str">
        <f aca="false">IF($B82="","",الموظفون!$L82*$I82/cfg_DAYS_M)</f>
        <v/>
      </c>
      <c r="M82" s="86" t="str">
        <f aca="false">IF($B82="","",الموظفون!$M82*$I82/cfg_DAYS_M)</f>
        <v/>
      </c>
      <c r="N82" s="105" t="str">
        <f aca="false">IF($B82="","",SUMIFS('الحركات الشهرية'!$F$6:$F$1005,'الحركات الشهرية'!$B$6:$B$1005,$B82,'الحركات الشهرية'!$A$6:$A$1005,$C$3))</f>
        <v/>
      </c>
      <c r="O82" s="86" t="str">
        <f aca="false">IF($B82="","",N82*(الموظفون!$N82+الموظفون!$J82*cfg_OT_P)/cfg_DAYS_M/cfg_HRS)</f>
        <v/>
      </c>
      <c r="P82" s="86" t="str">
        <f aca="false">IF($B82="","",SUMIFS('الحركات الشهرية'!$G$6:$G$1005,'الحركات الشهرية'!$B$6:$B$1005,$B82,'الحركات الشهرية'!$A$6:$A$1005,$C$3))</f>
        <v/>
      </c>
      <c r="Q82" s="86" t="str">
        <f aca="false">IF($B82="","",SUMIFS('الحركات الشهرية'!$H$6:$H$1005,'الحركات الشهرية'!$B$6:$B$1005,$B82,'الحركات الشهرية'!$A$6:$A$1005,$C$3))</f>
        <v/>
      </c>
      <c r="R82" s="106" t="str">
        <f aca="false">IF($B82="","",SUM(J82:M82)+SUM(O82:Q82))</f>
        <v/>
      </c>
      <c r="S82" s="86" t="str">
        <f aca="false">IF($B82="","",الموظفون!$Q82*IF(E82="سعودي",cfg_G_SE,cfg_G_NE)*F82/cfg_DAYS_M)</f>
        <v/>
      </c>
      <c r="T82" s="86" t="str">
        <f aca="false">IF($B82="","",SUMIFS('الحركات الشهرية'!$I$6:$I$1005,'الحركات الشهرية'!$B$6:$B$1005,$B82,'الحركات الشهرية'!$A$6:$A$1005,$C$3))</f>
        <v/>
      </c>
      <c r="U82" s="86" t="str">
        <f aca="false">IF($B82="","",SUMIFS('الحركات الشهرية'!$J$6:$J$1005,'الحركات الشهرية'!$B$6:$B$1005,$B82,'الحركات الشهرية'!$A$6:$A$1005,$C$3))</f>
        <v/>
      </c>
      <c r="V82" s="86" t="str">
        <f aca="false">IF($B82="","",SUM(S82:U82))</f>
        <v/>
      </c>
      <c r="W82" s="107" t="str">
        <f aca="false">IF($B82="","",R82-V82)</f>
        <v/>
      </c>
      <c r="X82" s="86" t="str">
        <f aca="false">IF($B82="","",الموظفون!$Q82*IF(E82="سعودي",cfg_G_SR,cfg_G_NR)*F82/cfg_DAYS_M)</f>
        <v/>
      </c>
      <c r="Y82" s="86" t="str">
        <f aca="false">IF($B82="","",الموظفون!$O82*(cfg_EOS_R1*(MIN(AC82,cfg_EOS_TH)-MIN(AD82,cfg_EOS_TH))+cfg_EOS_R2*(MAX(AC82-cfg_EOS_TH,0)-MAX(AD82-cfg_EOS_TH,0))))</f>
        <v/>
      </c>
      <c r="Z82" s="86" t="str">
        <f aca="false">IF($B82="","",IF(الموظفون!$R82&lt;&gt;"",الموظفون!$R82,IF(AC82&gt;=cfg_LV_TH,cfg_LV_D2,cfg_LV_D1))/cfg_DAYS_Y*AE82*الموظفون!$P82/cfg_DAYS_M)</f>
        <v/>
      </c>
      <c r="AA82" s="86" t="str">
        <f aca="false">IF($B82="","",IF(AND(الموظفون!$S82="نعم",N(الموظفون!$U82)&gt;0),الموظفون!$T82/الموظفون!$U82*12/cfg_DAYS_Y*AE82,0))</f>
        <v/>
      </c>
      <c r="AB82" s="108" t="str">
        <f aca="false">IF($B82="","",R82+SUM(X82:AA82))</f>
        <v/>
      </c>
      <c r="AC82" s="109" t="str">
        <f aca="false">IF($B82="","",MAX(0,IF(OR(الموظفون!$X82="",الموظفون!$X82&gt;$G$3),$G$3,الموظفون!$X82)-الموظفون!$H82+1)/cfg_DAYS_Y)</f>
        <v/>
      </c>
      <c r="AD82" s="109" t="str">
        <f aca="false">IF($B82="","",MAX(0,IF(OR(الموظفون!$X82="",الموظفون!$X82&gt;($E$3-1)),($E$3-1),الموظفون!$X82)-الموظفون!$H82+1)/cfg_DAYS_Y)</f>
        <v/>
      </c>
      <c r="AE82" s="51" t="str">
        <f aca="false">IF($B82="","",MAX(0,IF(OR(الموظفون!$X82="",الموظفون!$X82&gt;$G$3),$G$3,الموظفون!$X82)-MAX($E$3,الموظفون!$H82)+1))</f>
        <v/>
      </c>
    </row>
    <row r="83" customFormat="false" ht="15" hidden="false" customHeight="false" outlineLevel="0" collapsed="false">
      <c r="A83" s="89" t="str">
        <f aca="false">IF($B83="","",الموظفون!$A83)</f>
        <v/>
      </c>
      <c r="B83" s="91" t="str">
        <f aca="false">IF(الموظفون!$B83="","",الموظفون!$B83)</f>
        <v/>
      </c>
      <c r="C83" s="91" t="str">
        <f aca="false">IF($B83="","",الموظفون!$C83)</f>
        <v/>
      </c>
      <c r="D83" s="91" t="str">
        <f aca="false">IF($B83="","",الموظفون!$F83)</f>
        <v/>
      </c>
      <c r="E83" s="91" t="str">
        <f aca="false">IF($B83="","",الموظفون!$E83)</f>
        <v/>
      </c>
      <c r="F83" s="110" t="str">
        <f aca="false">IF($B83="","",IF(AE83&gt;=DAY($G$3),cfg_DAYS_M,MIN(AE83,cfg_DAYS_M)))</f>
        <v/>
      </c>
      <c r="G83" s="110" t="str">
        <f aca="false">IF($B83="","",SUMIFS('الحركات الشهرية'!$D$6:$D$1005,'الحركات الشهرية'!$B$6:$B$1005,$B83,'الحركات الشهرية'!$A$6:$A$1005,$C$3))</f>
        <v/>
      </c>
      <c r="H83" s="110" t="str">
        <f aca="false">IF($B83="","",SUMIFS('الحركات الشهرية'!$E$6:$E$1005,'الحركات الشهرية'!$B$6:$B$1005,$B83,'الحركات الشهرية'!$A$6:$A$1005,$C$3))</f>
        <v/>
      </c>
      <c r="I83" s="110" t="str">
        <f aca="false">IF($B83="","",MAX(0,F83-G83-H83))</f>
        <v/>
      </c>
      <c r="J83" s="90" t="str">
        <f aca="false">IF($B83="","",الموظفون!$J83*$I83/cfg_DAYS_M)</f>
        <v/>
      </c>
      <c r="K83" s="90" t="str">
        <f aca="false">IF($B83="","",الموظفون!$K83*$I83/cfg_DAYS_M)</f>
        <v/>
      </c>
      <c r="L83" s="90" t="str">
        <f aca="false">IF($B83="","",الموظفون!$L83*$I83/cfg_DAYS_M)</f>
        <v/>
      </c>
      <c r="M83" s="90" t="str">
        <f aca="false">IF($B83="","",الموظفون!$M83*$I83/cfg_DAYS_M)</f>
        <v/>
      </c>
      <c r="N83" s="110" t="str">
        <f aca="false">IF($B83="","",SUMIFS('الحركات الشهرية'!$F$6:$F$1005,'الحركات الشهرية'!$B$6:$B$1005,$B83,'الحركات الشهرية'!$A$6:$A$1005,$C$3))</f>
        <v/>
      </c>
      <c r="O83" s="90" t="str">
        <f aca="false">IF($B83="","",N83*(الموظفون!$N83+الموظفون!$J83*cfg_OT_P)/cfg_DAYS_M/cfg_HRS)</f>
        <v/>
      </c>
      <c r="P83" s="90" t="str">
        <f aca="false">IF($B83="","",SUMIFS('الحركات الشهرية'!$G$6:$G$1005,'الحركات الشهرية'!$B$6:$B$1005,$B83,'الحركات الشهرية'!$A$6:$A$1005,$C$3))</f>
        <v/>
      </c>
      <c r="Q83" s="90" t="str">
        <f aca="false">IF($B83="","",SUMIFS('الحركات الشهرية'!$H$6:$H$1005,'الحركات الشهرية'!$B$6:$B$1005,$B83,'الحركات الشهرية'!$A$6:$A$1005,$C$3))</f>
        <v/>
      </c>
      <c r="R83" s="111" t="str">
        <f aca="false">IF($B83="","",SUM(J83:M83)+SUM(O83:Q83))</f>
        <v/>
      </c>
      <c r="S83" s="90" t="str">
        <f aca="false">IF($B83="","",الموظفون!$Q83*IF(E83="سعودي",cfg_G_SE,cfg_G_NE)*F83/cfg_DAYS_M)</f>
        <v/>
      </c>
      <c r="T83" s="90" t="str">
        <f aca="false">IF($B83="","",SUMIFS('الحركات الشهرية'!$I$6:$I$1005,'الحركات الشهرية'!$B$6:$B$1005,$B83,'الحركات الشهرية'!$A$6:$A$1005,$C$3))</f>
        <v/>
      </c>
      <c r="U83" s="90" t="str">
        <f aca="false">IF($B83="","",SUMIFS('الحركات الشهرية'!$J$6:$J$1005,'الحركات الشهرية'!$B$6:$B$1005,$B83,'الحركات الشهرية'!$A$6:$A$1005,$C$3))</f>
        <v/>
      </c>
      <c r="V83" s="90" t="str">
        <f aca="false">IF($B83="","",SUM(S83:U83))</f>
        <v/>
      </c>
      <c r="W83" s="112" t="str">
        <f aca="false">IF($B83="","",R83-V83)</f>
        <v/>
      </c>
      <c r="X83" s="90" t="str">
        <f aca="false">IF($B83="","",الموظفون!$Q83*IF(E83="سعودي",cfg_G_SR,cfg_G_NR)*F83/cfg_DAYS_M)</f>
        <v/>
      </c>
      <c r="Y83" s="90" t="str">
        <f aca="false">IF($B83="","",الموظفون!$O83*(cfg_EOS_R1*(MIN(AC83,cfg_EOS_TH)-MIN(AD83,cfg_EOS_TH))+cfg_EOS_R2*(MAX(AC83-cfg_EOS_TH,0)-MAX(AD83-cfg_EOS_TH,0))))</f>
        <v/>
      </c>
      <c r="Z83" s="90" t="str">
        <f aca="false">IF($B83="","",IF(الموظفون!$R83&lt;&gt;"",الموظفون!$R83,IF(AC83&gt;=cfg_LV_TH,cfg_LV_D2,cfg_LV_D1))/cfg_DAYS_Y*AE83*الموظفون!$P83/cfg_DAYS_M)</f>
        <v/>
      </c>
      <c r="AA83" s="90" t="str">
        <f aca="false">IF($B83="","",IF(AND(الموظفون!$S83="نعم",N(الموظفون!$U83)&gt;0),الموظفون!$T83/الموظفون!$U83*12/cfg_DAYS_Y*AE83,0))</f>
        <v/>
      </c>
      <c r="AB83" s="113" t="str">
        <f aca="false">IF($B83="","",R83+SUM(X83:AA83))</f>
        <v/>
      </c>
      <c r="AC83" s="114" t="str">
        <f aca="false">IF($B83="","",MAX(0,IF(OR(الموظفون!$X83="",الموظفون!$X83&gt;$G$3),$G$3,الموظفون!$X83)-الموظفون!$H83+1)/cfg_DAYS_Y)</f>
        <v/>
      </c>
      <c r="AD83" s="114" t="str">
        <f aca="false">IF($B83="","",MAX(0,IF(OR(الموظفون!$X83="",الموظفون!$X83&gt;($E$3-1)),($E$3-1),الموظفون!$X83)-الموظفون!$H83+1)/cfg_DAYS_Y)</f>
        <v/>
      </c>
      <c r="AE83" s="115" t="str">
        <f aca="false">IF($B83="","",MAX(0,IF(OR(الموظفون!$X83="",الموظفون!$X83&gt;$G$3),$G$3,الموظفون!$X83)-MAX($E$3,الموظفون!$H83)+1))</f>
        <v/>
      </c>
    </row>
    <row r="84" customFormat="false" ht="15" hidden="false" customHeight="false" outlineLevel="0" collapsed="false">
      <c r="A84" s="83" t="str">
        <f aca="false">IF($B84="","",الموظفون!$A84)</f>
        <v/>
      </c>
      <c r="B84" s="74" t="str">
        <f aca="false">IF(الموظفون!$B84="","",الموظفون!$B84)</f>
        <v/>
      </c>
      <c r="C84" s="74" t="str">
        <f aca="false">IF($B84="","",الموظفون!$C84)</f>
        <v/>
      </c>
      <c r="D84" s="74" t="str">
        <f aca="false">IF($B84="","",الموظفون!$F84)</f>
        <v/>
      </c>
      <c r="E84" s="74" t="str">
        <f aca="false">IF($B84="","",الموظفون!$E84)</f>
        <v/>
      </c>
      <c r="F84" s="105" t="str">
        <f aca="false">IF($B84="","",IF(AE84&gt;=DAY($G$3),cfg_DAYS_M,MIN(AE84,cfg_DAYS_M)))</f>
        <v/>
      </c>
      <c r="G84" s="105" t="str">
        <f aca="false">IF($B84="","",SUMIFS('الحركات الشهرية'!$D$6:$D$1005,'الحركات الشهرية'!$B$6:$B$1005,$B84,'الحركات الشهرية'!$A$6:$A$1005,$C$3))</f>
        <v/>
      </c>
      <c r="H84" s="105" t="str">
        <f aca="false">IF($B84="","",SUMIFS('الحركات الشهرية'!$E$6:$E$1005,'الحركات الشهرية'!$B$6:$B$1005,$B84,'الحركات الشهرية'!$A$6:$A$1005,$C$3))</f>
        <v/>
      </c>
      <c r="I84" s="105" t="str">
        <f aca="false">IF($B84="","",MAX(0,F84-G84-H84))</f>
        <v/>
      </c>
      <c r="J84" s="86" t="str">
        <f aca="false">IF($B84="","",الموظفون!$J84*$I84/cfg_DAYS_M)</f>
        <v/>
      </c>
      <c r="K84" s="86" t="str">
        <f aca="false">IF($B84="","",الموظفون!$K84*$I84/cfg_DAYS_M)</f>
        <v/>
      </c>
      <c r="L84" s="86" t="str">
        <f aca="false">IF($B84="","",الموظفون!$L84*$I84/cfg_DAYS_M)</f>
        <v/>
      </c>
      <c r="M84" s="86" t="str">
        <f aca="false">IF($B84="","",الموظفون!$M84*$I84/cfg_DAYS_M)</f>
        <v/>
      </c>
      <c r="N84" s="105" t="str">
        <f aca="false">IF($B84="","",SUMIFS('الحركات الشهرية'!$F$6:$F$1005,'الحركات الشهرية'!$B$6:$B$1005,$B84,'الحركات الشهرية'!$A$6:$A$1005,$C$3))</f>
        <v/>
      </c>
      <c r="O84" s="86" t="str">
        <f aca="false">IF($B84="","",N84*(الموظفون!$N84+الموظفون!$J84*cfg_OT_P)/cfg_DAYS_M/cfg_HRS)</f>
        <v/>
      </c>
      <c r="P84" s="86" t="str">
        <f aca="false">IF($B84="","",SUMIFS('الحركات الشهرية'!$G$6:$G$1005,'الحركات الشهرية'!$B$6:$B$1005,$B84,'الحركات الشهرية'!$A$6:$A$1005,$C$3))</f>
        <v/>
      </c>
      <c r="Q84" s="86" t="str">
        <f aca="false">IF($B84="","",SUMIFS('الحركات الشهرية'!$H$6:$H$1005,'الحركات الشهرية'!$B$6:$B$1005,$B84,'الحركات الشهرية'!$A$6:$A$1005,$C$3))</f>
        <v/>
      </c>
      <c r="R84" s="106" t="str">
        <f aca="false">IF($B84="","",SUM(J84:M84)+SUM(O84:Q84))</f>
        <v/>
      </c>
      <c r="S84" s="86" t="str">
        <f aca="false">IF($B84="","",الموظفون!$Q84*IF(E84="سعودي",cfg_G_SE,cfg_G_NE)*F84/cfg_DAYS_M)</f>
        <v/>
      </c>
      <c r="T84" s="86" t="str">
        <f aca="false">IF($B84="","",SUMIFS('الحركات الشهرية'!$I$6:$I$1005,'الحركات الشهرية'!$B$6:$B$1005,$B84,'الحركات الشهرية'!$A$6:$A$1005,$C$3))</f>
        <v/>
      </c>
      <c r="U84" s="86" t="str">
        <f aca="false">IF($B84="","",SUMIFS('الحركات الشهرية'!$J$6:$J$1005,'الحركات الشهرية'!$B$6:$B$1005,$B84,'الحركات الشهرية'!$A$6:$A$1005,$C$3))</f>
        <v/>
      </c>
      <c r="V84" s="86" t="str">
        <f aca="false">IF($B84="","",SUM(S84:U84))</f>
        <v/>
      </c>
      <c r="W84" s="107" t="str">
        <f aca="false">IF($B84="","",R84-V84)</f>
        <v/>
      </c>
      <c r="X84" s="86" t="str">
        <f aca="false">IF($B84="","",الموظفون!$Q84*IF(E84="سعودي",cfg_G_SR,cfg_G_NR)*F84/cfg_DAYS_M)</f>
        <v/>
      </c>
      <c r="Y84" s="86" t="str">
        <f aca="false">IF($B84="","",الموظفون!$O84*(cfg_EOS_R1*(MIN(AC84,cfg_EOS_TH)-MIN(AD84,cfg_EOS_TH))+cfg_EOS_R2*(MAX(AC84-cfg_EOS_TH,0)-MAX(AD84-cfg_EOS_TH,0))))</f>
        <v/>
      </c>
      <c r="Z84" s="86" t="str">
        <f aca="false">IF($B84="","",IF(الموظفون!$R84&lt;&gt;"",الموظفون!$R84,IF(AC84&gt;=cfg_LV_TH,cfg_LV_D2,cfg_LV_D1))/cfg_DAYS_Y*AE84*الموظفون!$P84/cfg_DAYS_M)</f>
        <v/>
      </c>
      <c r="AA84" s="86" t="str">
        <f aca="false">IF($B84="","",IF(AND(الموظفون!$S84="نعم",N(الموظفون!$U84)&gt;0),الموظفون!$T84/الموظفون!$U84*12/cfg_DAYS_Y*AE84,0))</f>
        <v/>
      </c>
      <c r="AB84" s="108" t="str">
        <f aca="false">IF($B84="","",R84+SUM(X84:AA84))</f>
        <v/>
      </c>
      <c r="AC84" s="109" t="str">
        <f aca="false">IF($B84="","",MAX(0,IF(OR(الموظفون!$X84="",الموظفون!$X84&gt;$G$3),$G$3,الموظفون!$X84)-الموظفون!$H84+1)/cfg_DAYS_Y)</f>
        <v/>
      </c>
      <c r="AD84" s="109" t="str">
        <f aca="false">IF($B84="","",MAX(0,IF(OR(الموظفون!$X84="",الموظفون!$X84&gt;($E$3-1)),($E$3-1),الموظفون!$X84)-الموظفون!$H84+1)/cfg_DAYS_Y)</f>
        <v/>
      </c>
      <c r="AE84" s="51" t="str">
        <f aca="false">IF($B84="","",MAX(0,IF(OR(الموظفون!$X84="",الموظفون!$X84&gt;$G$3),$G$3,الموظفون!$X84)-MAX($E$3,الموظفون!$H84)+1))</f>
        <v/>
      </c>
    </row>
    <row r="85" customFormat="false" ht="15" hidden="false" customHeight="false" outlineLevel="0" collapsed="false">
      <c r="A85" s="89" t="str">
        <f aca="false">IF($B85="","",الموظفون!$A85)</f>
        <v/>
      </c>
      <c r="B85" s="91" t="str">
        <f aca="false">IF(الموظفون!$B85="","",الموظفون!$B85)</f>
        <v/>
      </c>
      <c r="C85" s="91" t="str">
        <f aca="false">IF($B85="","",الموظفون!$C85)</f>
        <v/>
      </c>
      <c r="D85" s="91" t="str">
        <f aca="false">IF($B85="","",الموظفون!$F85)</f>
        <v/>
      </c>
      <c r="E85" s="91" t="str">
        <f aca="false">IF($B85="","",الموظفون!$E85)</f>
        <v/>
      </c>
      <c r="F85" s="110" t="str">
        <f aca="false">IF($B85="","",IF(AE85&gt;=DAY($G$3),cfg_DAYS_M,MIN(AE85,cfg_DAYS_M)))</f>
        <v/>
      </c>
      <c r="G85" s="110" t="str">
        <f aca="false">IF($B85="","",SUMIFS('الحركات الشهرية'!$D$6:$D$1005,'الحركات الشهرية'!$B$6:$B$1005,$B85,'الحركات الشهرية'!$A$6:$A$1005,$C$3))</f>
        <v/>
      </c>
      <c r="H85" s="110" t="str">
        <f aca="false">IF($B85="","",SUMIFS('الحركات الشهرية'!$E$6:$E$1005,'الحركات الشهرية'!$B$6:$B$1005,$B85,'الحركات الشهرية'!$A$6:$A$1005,$C$3))</f>
        <v/>
      </c>
      <c r="I85" s="110" t="str">
        <f aca="false">IF($B85="","",MAX(0,F85-G85-H85))</f>
        <v/>
      </c>
      <c r="J85" s="90" t="str">
        <f aca="false">IF($B85="","",الموظفون!$J85*$I85/cfg_DAYS_M)</f>
        <v/>
      </c>
      <c r="K85" s="90" t="str">
        <f aca="false">IF($B85="","",الموظفون!$K85*$I85/cfg_DAYS_M)</f>
        <v/>
      </c>
      <c r="L85" s="90" t="str">
        <f aca="false">IF($B85="","",الموظفون!$L85*$I85/cfg_DAYS_M)</f>
        <v/>
      </c>
      <c r="M85" s="90" t="str">
        <f aca="false">IF($B85="","",الموظفون!$M85*$I85/cfg_DAYS_M)</f>
        <v/>
      </c>
      <c r="N85" s="110" t="str">
        <f aca="false">IF($B85="","",SUMIFS('الحركات الشهرية'!$F$6:$F$1005,'الحركات الشهرية'!$B$6:$B$1005,$B85,'الحركات الشهرية'!$A$6:$A$1005,$C$3))</f>
        <v/>
      </c>
      <c r="O85" s="90" t="str">
        <f aca="false">IF($B85="","",N85*(الموظفون!$N85+الموظفون!$J85*cfg_OT_P)/cfg_DAYS_M/cfg_HRS)</f>
        <v/>
      </c>
      <c r="P85" s="90" t="str">
        <f aca="false">IF($B85="","",SUMIFS('الحركات الشهرية'!$G$6:$G$1005,'الحركات الشهرية'!$B$6:$B$1005,$B85,'الحركات الشهرية'!$A$6:$A$1005,$C$3))</f>
        <v/>
      </c>
      <c r="Q85" s="90" t="str">
        <f aca="false">IF($B85="","",SUMIFS('الحركات الشهرية'!$H$6:$H$1005,'الحركات الشهرية'!$B$6:$B$1005,$B85,'الحركات الشهرية'!$A$6:$A$1005,$C$3))</f>
        <v/>
      </c>
      <c r="R85" s="111" t="str">
        <f aca="false">IF($B85="","",SUM(J85:M85)+SUM(O85:Q85))</f>
        <v/>
      </c>
      <c r="S85" s="90" t="str">
        <f aca="false">IF($B85="","",الموظفون!$Q85*IF(E85="سعودي",cfg_G_SE,cfg_G_NE)*F85/cfg_DAYS_M)</f>
        <v/>
      </c>
      <c r="T85" s="90" t="str">
        <f aca="false">IF($B85="","",SUMIFS('الحركات الشهرية'!$I$6:$I$1005,'الحركات الشهرية'!$B$6:$B$1005,$B85,'الحركات الشهرية'!$A$6:$A$1005,$C$3))</f>
        <v/>
      </c>
      <c r="U85" s="90" t="str">
        <f aca="false">IF($B85="","",SUMIFS('الحركات الشهرية'!$J$6:$J$1005,'الحركات الشهرية'!$B$6:$B$1005,$B85,'الحركات الشهرية'!$A$6:$A$1005,$C$3))</f>
        <v/>
      </c>
      <c r="V85" s="90" t="str">
        <f aca="false">IF($B85="","",SUM(S85:U85))</f>
        <v/>
      </c>
      <c r="W85" s="112" t="str">
        <f aca="false">IF($B85="","",R85-V85)</f>
        <v/>
      </c>
      <c r="X85" s="90" t="str">
        <f aca="false">IF($B85="","",الموظفون!$Q85*IF(E85="سعودي",cfg_G_SR,cfg_G_NR)*F85/cfg_DAYS_M)</f>
        <v/>
      </c>
      <c r="Y85" s="90" t="str">
        <f aca="false">IF($B85="","",الموظفون!$O85*(cfg_EOS_R1*(MIN(AC85,cfg_EOS_TH)-MIN(AD85,cfg_EOS_TH))+cfg_EOS_R2*(MAX(AC85-cfg_EOS_TH,0)-MAX(AD85-cfg_EOS_TH,0))))</f>
        <v/>
      </c>
      <c r="Z85" s="90" t="str">
        <f aca="false">IF($B85="","",IF(الموظفون!$R85&lt;&gt;"",الموظفون!$R85,IF(AC85&gt;=cfg_LV_TH,cfg_LV_D2,cfg_LV_D1))/cfg_DAYS_Y*AE85*الموظفون!$P85/cfg_DAYS_M)</f>
        <v/>
      </c>
      <c r="AA85" s="90" t="str">
        <f aca="false">IF($B85="","",IF(AND(الموظفون!$S85="نعم",N(الموظفون!$U85)&gt;0),الموظفون!$T85/الموظفون!$U85*12/cfg_DAYS_Y*AE85,0))</f>
        <v/>
      </c>
      <c r="AB85" s="113" t="str">
        <f aca="false">IF($B85="","",R85+SUM(X85:AA85))</f>
        <v/>
      </c>
      <c r="AC85" s="114" t="str">
        <f aca="false">IF($B85="","",MAX(0,IF(OR(الموظفون!$X85="",الموظفون!$X85&gt;$G$3),$G$3,الموظفون!$X85)-الموظفون!$H85+1)/cfg_DAYS_Y)</f>
        <v/>
      </c>
      <c r="AD85" s="114" t="str">
        <f aca="false">IF($B85="","",MAX(0,IF(OR(الموظفون!$X85="",الموظفون!$X85&gt;($E$3-1)),($E$3-1),الموظفون!$X85)-الموظفون!$H85+1)/cfg_DAYS_Y)</f>
        <v/>
      </c>
      <c r="AE85" s="115" t="str">
        <f aca="false">IF($B85="","",MAX(0,IF(OR(الموظفون!$X85="",الموظفون!$X85&gt;$G$3),$G$3,الموظفون!$X85)-MAX($E$3,الموظفون!$H85)+1))</f>
        <v/>
      </c>
    </row>
    <row r="86" customFormat="false" ht="15" hidden="false" customHeight="false" outlineLevel="0" collapsed="false">
      <c r="A86" s="83" t="str">
        <f aca="false">IF($B86="","",الموظفون!$A86)</f>
        <v/>
      </c>
      <c r="B86" s="74" t="str">
        <f aca="false">IF(الموظفون!$B86="","",الموظفون!$B86)</f>
        <v/>
      </c>
      <c r="C86" s="74" t="str">
        <f aca="false">IF($B86="","",الموظفون!$C86)</f>
        <v/>
      </c>
      <c r="D86" s="74" t="str">
        <f aca="false">IF($B86="","",الموظفون!$F86)</f>
        <v/>
      </c>
      <c r="E86" s="74" t="str">
        <f aca="false">IF($B86="","",الموظفون!$E86)</f>
        <v/>
      </c>
      <c r="F86" s="105" t="str">
        <f aca="false">IF($B86="","",IF(AE86&gt;=DAY($G$3),cfg_DAYS_M,MIN(AE86,cfg_DAYS_M)))</f>
        <v/>
      </c>
      <c r="G86" s="105" t="str">
        <f aca="false">IF($B86="","",SUMIFS('الحركات الشهرية'!$D$6:$D$1005,'الحركات الشهرية'!$B$6:$B$1005,$B86,'الحركات الشهرية'!$A$6:$A$1005,$C$3))</f>
        <v/>
      </c>
      <c r="H86" s="105" t="str">
        <f aca="false">IF($B86="","",SUMIFS('الحركات الشهرية'!$E$6:$E$1005,'الحركات الشهرية'!$B$6:$B$1005,$B86,'الحركات الشهرية'!$A$6:$A$1005,$C$3))</f>
        <v/>
      </c>
      <c r="I86" s="105" t="str">
        <f aca="false">IF($B86="","",MAX(0,F86-G86-H86))</f>
        <v/>
      </c>
      <c r="J86" s="86" t="str">
        <f aca="false">IF($B86="","",الموظفون!$J86*$I86/cfg_DAYS_M)</f>
        <v/>
      </c>
      <c r="K86" s="86" t="str">
        <f aca="false">IF($B86="","",الموظفون!$K86*$I86/cfg_DAYS_M)</f>
        <v/>
      </c>
      <c r="L86" s="86" t="str">
        <f aca="false">IF($B86="","",الموظفون!$L86*$I86/cfg_DAYS_M)</f>
        <v/>
      </c>
      <c r="M86" s="86" t="str">
        <f aca="false">IF($B86="","",الموظفون!$M86*$I86/cfg_DAYS_M)</f>
        <v/>
      </c>
      <c r="N86" s="105" t="str">
        <f aca="false">IF($B86="","",SUMIFS('الحركات الشهرية'!$F$6:$F$1005,'الحركات الشهرية'!$B$6:$B$1005,$B86,'الحركات الشهرية'!$A$6:$A$1005,$C$3))</f>
        <v/>
      </c>
      <c r="O86" s="86" t="str">
        <f aca="false">IF($B86="","",N86*(الموظفون!$N86+الموظفون!$J86*cfg_OT_P)/cfg_DAYS_M/cfg_HRS)</f>
        <v/>
      </c>
      <c r="P86" s="86" t="str">
        <f aca="false">IF($B86="","",SUMIFS('الحركات الشهرية'!$G$6:$G$1005,'الحركات الشهرية'!$B$6:$B$1005,$B86,'الحركات الشهرية'!$A$6:$A$1005,$C$3))</f>
        <v/>
      </c>
      <c r="Q86" s="86" t="str">
        <f aca="false">IF($B86="","",SUMIFS('الحركات الشهرية'!$H$6:$H$1005,'الحركات الشهرية'!$B$6:$B$1005,$B86,'الحركات الشهرية'!$A$6:$A$1005,$C$3))</f>
        <v/>
      </c>
      <c r="R86" s="106" t="str">
        <f aca="false">IF($B86="","",SUM(J86:M86)+SUM(O86:Q86))</f>
        <v/>
      </c>
      <c r="S86" s="86" t="str">
        <f aca="false">IF($B86="","",الموظفون!$Q86*IF(E86="سعودي",cfg_G_SE,cfg_G_NE)*F86/cfg_DAYS_M)</f>
        <v/>
      </c>
      <c r="T86" s="86" t="str">
        <f aca="false">IF($B86="","",SUMIFS('الحركات الشهرية'!$I$6:$I$1005,'الحركات الشهرية'!$B$6:$B$1005,$B86,'الحركات الشهرية'!$A$6:$A$1005,$C$3))</f>
        <v/>
      </c>
      <c r="U86" s="86" t="str">
        <f aca="false">IF($B86="","",SUMIFS('الحركات الشهرية'!$J$6:$J$1005,'الحركات الشهرية'!$B$6:$B$1005,$B86,'الحركات الشهرية'!$A$6:$A$1005,$C$3))</f>
        <v/>
      </c>
      <c r="V86" s="86" t="str">
        <f aca="false">IF($B86="","",SUM(S86:U86))</f>
        <v/>
      </c>
      <c r="W86" s="107" t="str">
        <f aca="false">IF($B86="","",R86-V86)</f>
        <v/>
      </c>
      <c r="X86" s="86" t="str">
        <f aca="false">IF($B86="","",الموظفون!$Q86*IF(E86="سعودي",cfg_G_SR,cfg_G_NR)*F86/cfg_DAYS_M)</f>
        <v/>
      </c>
      <c r="Y86" s="86" t="str">
        <f aca="false">IF($B86="","",الموظفون!$O86*(cfg_EOS_R1*(MIN(AC86,cfg_EOS_TH)-MIN(AD86,cfg_EOS_TH))+cfg_EOS_R2*(MAX(AC86-cfg_EOS_TH,0)-MAX(AD86-cfg_EOS_TH,0))))</f>
        <v/>
      </c>
      <c r="Z86" s="86" t="str">
        <f aca="false">IF($B86="","",IF(الموظفون!$R86&lt;&gt;"",الموظفون!$R86,IF(AC86&gt;=cfg_LV_TH,cfg_LV_D2,cfg_LV_D1))/cfg_DAYS_Y*AE86*الموظفون!$P86/cfg_DAYS_M)</f>
        <v/>
      </c>
      <c r="AA86" s="86" t="str">
        <f aca="false">IF($B86="","",IF(AND(الموظفون!$S86="نعم",N(الموظفون!$U86)&gt;0),الموظفون!$T86/الموظفون!$U86*12/cfg_DAYS_Y*AE86,0))</f>
        <v/>
      </c>
      <c r="AB86" s="108" t="str">
        <f aca="false">IF($B86="","",R86+SUM(X86:AA86))</f>
        <v/>
      </c>
      <c r="AC86" s="109" t="str">
        <f aca="false">IF($B86="","",MAX(0,IF(OR(الموظفون!$X86="",الموظفون!$X86&gt;$G$3),$G$3,الموظفون!$X86)-الموظفون!$H86+1)/cfg_DAYS_Y)</f>
        <v/>
      </c>
      <c r="AD86" s="109" t="str">
        <f aca="false">IF($B86="","",MAX(0,IF(OR(الموظفون!$X86="",الموظفون!$X86&gt;($E$3-1)),($E$3-1),الموظفون!$X86)-الموظفون!$H86+1)/cfg_DAYS_Y)</f>
        <v/>
      </c>
      <c r="AE86" s="51" t="str">
        <f aca="false">IF($B86="","",MAX(0,IF(OR(الموظفون!$X86="",الموظفون!$X86&gt;$G$3),$G$3,الموظفون!$X86)-MAX($E$3,الموظفون!$H86)+1))</f>
        <v/>
      </c>
    </row>
    <row r="87" customFormat="false" ht="15" hidden="false" customHeight="false" outlineLevel="0" collapsed="false">
      <c r="A87" s="89" t="str">
        <f aca="false">IF($B87="","",الموظفون!$A87)</f>
        <v/>
      </c>
      <c r="B87" s="91" t="str">
        <f aca="false">IF(الموظفون!$B87="","",الموظفون!$B87)</f>
        <v/>
      </c>
      <c r="C87" s="91" t="str">
        <f aca="false">IF($B87="","",الموظفون!$C87)</f>
        <v/>
      </c>
      <c r="D87" s="91" t="str">
        <f aca="false">IF($B87="","",الموظفون!$F87)</f>
        <v/>
      </c>
      <c r="E87" s="91" t="str">
        <f aca="false">IF($B87="","",الموظفون!$E87)</f>
        <v/>
      </c>
      <c r="F87" s="110" t="str">
        <f aca="false">IF($B87="","",IF(AE87&gt;=DAY($G$3),cfg_DAYS_M,MIN(AE87,cfg_DAYS_M)))</f>
        <v/>
      </c>
      <c r="G87" s="110" t="str">
        <f aca="false">IF($B87="","",SUMIFS('الحركات الشهرية'!$D$6:$D$1005,'الحركات الشهرية'!$B$6:$B$1005,$B87,'الحركات الشهرية'!$A$6:$A$1005,$C$3))</f>
        <v/>
      </c>
      <c r="H87" s="110" t="str">
        <f aca="false">IF($B87="","",SUMIFS('الحركات الشهرية'!$E$6:$E$1005,'الحركات الشهرية'!$B$6:$B$1005,$B87,'الحركات الشهرية'!$A$6:$A$1005,$C$3))</f>
        <v/>
      </c>
      <c r="I87" s="110" t="str">
        <f aca="false">IF($B87="","",MAX(0,F87-G87-H87))</f>
        <v/>
      </c>
      <c r="J87" s="90" t="str">
        <f aca="false">IF($B87="","",الموظفون!$J87*$I87/cfg_DAYS_M)</f>
        <v/>
      </c>
      <c r="K87" s="90" t="str">
        <f aca="false">IF($B87="","",الموظفون!$K87*$I87/cfg_DAYS_M)</f>
        <v/>
      </c>
      <c r="L87" s="90" t="str">
        <f aca="false">IF($B87="","",الموظفون!$L87*$I87/cfg_DAYS_M)</f>
        <v/>
      </c>
      <c r="M87" s="90" t="str">
        <f aca="false">IF($B87="","",الموظفون!$M87*$I87/cfg_DAYS_M)</f>
        <v/>
      </c>
      <c r="N87" s="110" t="str">
        <f aca="false">IF($B87="","",SUMIFS('الحركات الشهرية'!$F$6:$F$1005,'الحركات الشهرية'!$B$6:$B$1005,$B87,'الحركات الشهرية'!$A$6:$A$1005,$C$3))</f>
        <v/>
      </c>
      <c r="O87" s="90" t="str">
        <f aca="false">IF($B87="","",N87*(الموظفون!$N87+الموظفون!$J87*cfg_OT_P)/cfg_DAYS_M/cfg_HRS)</f>
        <v/>
      </c>
      <c r="P87" s="90" t="str">
        <f aca="false">IF($B87="","",SUMIFS('الحركات الشهرية'!$G$6:$G$1005,'الحركات الشهرية'!$B$6:$B$1005,$B87,'الحركات الشهرية'!$A$6:$A$1005,$C$3))</f>
        <v/>
      </c>
      <c r="Q87" s="90" t="str">
        <f aca="false">IF($B87="","",SUMIFS('الحركات الشهرية'!$H$6:$H$1005,'الحركات الشهرية'!$B$6:$B$1005,$B87,'الحركات الشهرية'!$A$6:$A$1005,$C$3))</f>
        <v/>
      </c>
      <c r="R87" s="111" t="str">
        <f aca="false">IF($B87="","",SUM(J87:M87)+SUM(O87:Q87))</f>
        <v/>
      </c>
      <c r="S87" s="90" t="str">
        <f aca="false">IF($B87="","",الموظفون!$Q87*IF(E87="سعودي",cfg_G_SE,cfg_G_NE)*F87/cfg_DAYS_M)</f>
        <v/>
      </c>
      <c r="T87" s="90" t="str">
        <f aca="false">IF($B87="","",SUMIFS('الحركات الشهرية'!$I$6:$I$1005,'الحركات الشهرية'!$B$6:$B$1005,$B87,'الحركات الشهرية'!$A$6:$A$1005,$C$3))</f>
        <v/>
      </c>
      <c r="U87" s="90" t="str">
        <f aca="false">IF($B87="","",SUMIFS('الحركات الشهرية'!$J$6:$J$1005,'الحركات الشهرية'!$B$6:$B$1005,$B87,'الحركات الشهرية'!$A$6:$A$1005,$C$3))</f>
        <v/>
      </c>
      <c r="V87" s="90" t="str">
        <f aca="false">IF($B87="","",SUM(S87:U87))</f>
        <v/>
      </c>
      <c r="W87" s="112" t="str">
        <f aca="false">IF($B87="","",R87-V87)</f>
        <v/>
      </c>
      <c r="X87" s="90" t="str">
        <f aca="false">IF($B87="","",الموظفون!$Q87*IF(E87="سعودي",cfg_G_SR,cfg_G_NR)*F87/cfg_DAYS_M)</f>
        <v/>
      </c>
      <c r="Y87" s="90" t="str">
        <f aca="false">IF($B87="","",الموظفون!$O87*(cfg_EOS_R1*(MIN(AC87,cfg_EOS_TH)-MIN(AD87,cfg_EOS_TH))+cfg_EOS_R2*(MAX(AC87-cfg_EOS_TH,0)-MAX(AD87-cfg_EOS_TH,0))))</f>
        <v/>
      </c>
      <c r="Z87" s="90" t="str">
        <f aca="false">IF($B87="","",IF(الموظفون!$R87&lt;&gt;"",الموظفون!$R87,IF(AC87&gt;=cfg_LV_TH,cfg_LV_D2,cfg_LV_D1))/cfg_DAYS_Y*AE87*الموظفون!$P87/cfg_DAYS_M)</f>
        <v/>
      </c>
      <c r="AA87" s="90" t="str">
        <f aca="false">IF($B87="","",IF(AND(الموظفون!$S87="نعم",N(الموظفون!$U87)&gt;0),الموظفون!$T87/الموظفون!$U87*12/cfg_DAYS_Y*AE87,0))</f>
        <v/>
      </c>
      <c r="AB87" s="113" t="str">
        <f aca="false">IF($B87="","",R87+SUM(X87:AA87))</f>
        <v/>
      </c>
      <c r="AC87" s="114" t="str">
        <f aca="false">IF($B87="","",MAX(0,IF(OR(الموظفون!$X87="",الموظفون!$X87&gt;$G$3),$G$3,الموظفون!$X87)-الموظفون!$H87+1)/cfg_DAYS_Y)</f>
        <v/>
      </c>
      <c r="AD87" s="114" t="str">
        <f aca="false">IF($B87="","",MAX(0,IF(OR(الموظفون!$X87="",الموظفون!$X87&gt;($E$3-1)),($E$3-1),الموظفون!$X87)-الموظفون!$H87+1)/cfg_DAYS_Y)</f>
        <v/>
      </c>
      <c r="AE87" s="115" t="str">
        <f aca="false">IF($B87="","",MAX(0,IF(OR(الموظفون!$X87="",الموظفون!$X87&gt;$G$3),$G$3,الموظفون!$X87)-MAX($E$3,الموظفون!$H87)+1))</f>
        <v/>
      </c>
    </row>
    <row r="88" customFormat="false" ht="15" hidden="false" customHeight="false" outlineLevel="0" collapsed="false">
      <c r="A88" s="83" t="str">
        <f aca="false">IF($B88="","",الموظفون!$A88)</f>
        <v/>
      </c>
      <c r="B88" s="74" t="str">
        <f aca="false">IF(الموظفون!$B88="","",الموظفون!$B88)</f>
        <v/>
      </c>
      <c r="C88" s="74" t="str">
        <f aca="false">IF($B88="","",الموظفون!$C88)</f>
        <v/>
      </c>
      <c r="D88" s="74" t="str">
        <f aca="false">IF($B88="","",الموظفون!$F88)</f>
        <v/>
      </c>
      <c r="E88" s="74" t="str">
        <f aca="false">IF($B88="","",الموظفون!$E88)</f>
        <v/>
      </c>
      <c r="F88" s="105" t="str">
        <f aca="false">IF($B88="","",IF(AE88&gt;=DAY($G$3),cfg_DAYS_M,MIN(AE88,cfg_DAYS_M)))</f>
        <v/>
      </c>
      <c r="G88" s="105" t="str">
        <f aca="false">IF($B88="","",SUMIFS('الحركات الشهرية'!$D$6:$D$1005,'الحركات الشهرية'!$B$6:$B$1005,$B88,'الحركات الشهرية'!$A$6:$A$1005,$C$3))</f>
        <v/>
      </c>
      <c r="H88" s="105" t="str">
        <f aca="false">IF($B88="","",SUMIFS('الحركات الشهرية'!$E$6:$E$1005,'الحركات الشهرية'!$B$6:$B$1005,$B88,'الحركات الشهرية'!$A$6:$A$1005,$C$3))</f>
        <v/>
      </c>
      <c r="I88" s="105" t="str">
        <f aca="false">IF($B88="","",MAX(0,F88-G88-H88))</f>
        <v/>
      </c>
      <c r="J88" s="86" t="str">
        <f aca="false">IF($B88="","",الموظفون!$J88*$I88/cfg_DAYS_M)</f>
        <v/>
      </c>
      <c r="K88" s="86" t="str">
        <f aca="false">IF($B88="","",الموظفون!$K88*$I88/cfg_DAYS_M)</f>
        <v/>
      </c>
      <c r="L88" s="86" t="str">
        <f aca="false">IF($B88="","",الموظفون!$L88*$I88/cfg_DAYS_M)</f>
        <v/>
      </c>
      <c r="M88" s="86" t="str">
        <f aca="false">IF($B88="","",الموظفون!$M88*$I88/cfg_DAYS_M)</f>
        <v/>
      </c>
      <c r="N88" s="105" t="str">
        <f aca="false">IF($B88="","",SUMIFS('الحركات الشهرية'!$F$6:$F$1005,'الحركات الشهرية'!$B$6:$B$1005,$B88,'الحركات الشهرية'!$A$6:$A$1005,$C$3))</f>
        <v/>
      </c>
      <c r="O88" s="86" t="str">
        <f aca="false">IF($B88="","",N88*(الموظفون!$N88+الموظفون!$J88*cfg_OT_P)/cfg_DAYS_M/cfg_HRS)</f>
        <v/>
      </c>
      <c r="P88" s="86" t="str">
        <f aca="false">IF($B88="","",SUMIFS('الحركات الشهرية'!$G$6:$G$1005,'الحركات الشهرية'!$B$6:$B$1005,$B88,'الحركات الشهرية'!$A$6:$A$1005,$C$3))</f>
        <v/>
      </c>
      <c r="Q88" s="86" t="str">
        <f aca="false">IF($B88="","",SUMIFS('الحركات الشهرية'!$H$6:$H$1005,'الحركات الشهرية'!$B$6:$B$1005,$B88,'الحركات الشهرية'!$A$6:$A$1005,$C$3))</f>
        <v/>
      </c>
      <c r="R88" s="106" t="str">
        <f aca="false">IF($B88="","",SUM(J88:M88)+SUM(O88:Q88))</f>
        <v/>
      </c>
      <c r="S88" s="86" t="str">
        <f aca="false">IF($B88="","",الموظفون!$Q88*IF(E88="سعودي",cfg_G_SE,cfg_G_NE)*F88/cfg_DAYS_M)</f>
        <v/>
      </c>
      <c r="T88" s="86" t="str">
        <f aca="false">IF($B88="","",SUMIFS('الحركات الشهرية'!$I$6:$I$1005,'الحركات الشهرية'!$B$6:$B$1005,$B88,'الحركات الشهرية'!$A$6:$A$1005,$C$3))</f>
        <v/>
      </c>
      <c r="U88" s="86" t="str">
        <f aca="false">IF($B88="","",SUMIFS('الحركات الشهرية'!$J$6:$J$1005,'الحركات الشهرية'!$B$6:$B$1005,$B88,'الحركات الشهرية'!$A$6:$A$1005,$C$3))</f>
        <v/>
      </c>
      <c r="V88" s="86" t="str">
        <f aca="false">IF($B88="","",SUM(S88:U88))</f>
        <v/>
      </c>
      <c r="W88" s="107" t="str">
        <f aca="false">IF($B88="","",R88-V88)</f>
        <v/>
      </c>
      <c r="X88" s="86" t="str">
        <f aca="false">IF($B88="","",الموظفون!$Q88*IF(E88="سعودي",cfg_G_SR,cfg_G_NR)*F88/cfg_DAYS_M)</f>
        <v/>
      </c>
      <c r="Y88" s="86" t="str">
        <f aca="false">IF($B88="","",الموظفون!$O88*(cfg_EOS_R1*(MIN(AC88,cfg_EOS_TH)-MIN(AD88,cfg_EOS_TH))+cfg_EOS_R2*(MAX(AC88-cfg_EOS_TH,0)-MAX(AD88-cfg_EOS_TH,0))))</f>
        <v/>
      </c>
      <c r="Z88" s="86" t="str">
        <f aca="false">IF($B88="","",IF(الموظفون!$R88&lt;&gt;"",الموظفون!$R88,IF(AC88&gt;=cfg_LV_TH,cfg_LV_D2,cfg_LV_D1))/cfg_DAYS_Y*AE88*الموظفون!$P88/cfg_DAYS_M)</f>
        <v/>
      </c>
      <c r="AA88" s="86" t="str">
        <f aca="false">IF($B88="","",IF(AND(الموظفون!$S88="نعم",N(الموظفون!$U88)&gt;0),الموظفون!$T88/الموظفون!$U88*12/cfg_DAYS_Y*AE88,0))</f>
        <v/>
      </c>
      <c r="AB88" s="108" t="str">
        <f aca="false">IF($B88="","",R88+SUM(X88:AA88))</f>
        <v/>
      </c>
      <c r="AC88" s="109" t="str">
        <f aca="false">IF($B88="","",MAX(0,IF(OR(الموظفون!$X88="",الموظفون!$X88&gt;$G$3),$G$3,الموظفون!$X88)-الموظفون!$H88+1)/cfg_DAYS_Y)</f>
        <v/>
      </c>
      <c r="AD88" s="109" t="str">
        <f aca="false">IF($B88="","",MAX(0,IF(OR(الموظفون!$X88="",الموظفون!$X88&gt;($E$3-1)),($E$3-1),الموظفون!$X88)-الموظفون!$H88+1)/cfg_DAYS_Y)</f>
        <v/>
      </c>
      <c r="AE88" s="51" t="str">
        <f aca="false">IF($B88="","",MAX(0,IF(OR(الموظفون!$X88="",الموظفون!$X88&gt;$G$3),$G$3,الموظفون!$X88)-MAX($E$3,الموظفون!$H88)+1))</f>
        <v/>
      </c>
    </row>
    <row r="89" customFormat="false" ht="15" hidden="false" customHeight="false" outlineLevel="0" collapsed="false">
      <c r="A89" s="89" t="str">
        <f aca="false">IF($B89="","",الموظفون!$A89)</f>
        <v/>
      </c>
      <c r="B89" s="91" t="str">
        <f aca="false">IF(الموظفون!$B89="","",الموظفون!$B89)</f>
        <v/>
      </c>
      <c r="C89" s="91" t="str">
        <f aca="false">IF($B89="","",الموظفون!$C89)</f>
        <v/>
      </c>
      <c r="D89" s="91" t="str">
        <f aca="false">IF($B89="","",الموظفون!$F89)</f>
        <v/>
      </c>
      <c r="E89" s="91" t="str">
        <f aca="false">IF($B89="","",الموظفون!$E89)</f>
        <v/>
      </c>
      <c r="F89" s="110" t="str">
        <f aca="false">IF($B89="","",IF(AE89&gt;=DAY($G$3),cfg_DAYS_M,MIN(AE89,cfg_DAYS_M)))</f>
        <v/>
      </c>
      <c r="G89" s="110" t="str">
        <f aca="false">IF($B89="","",SUMIFS('الحركات الشهرية'!$D$6:$D$1005,'الحركات الشهرية'!$B$6:$B$1005,$B89,'الحركات الشهرية'!$A$6:$A$1005,$C$3))</f>
        <v/>
      </c>
      <c r="H89" s="110" t="str">
        <f aca="false">IF($B89="","",SUMIFS('الحركات الشهرية'!$E$6:$E$1005,'الحركات الشهرية'!$B$6:$B$1005,$B89,'الحركات الشهرية'!$A$6:$A$1005,$C$3))</f>
        <v/>
      </c>
      <c r="I89" s="110" t="str">
        <f aca="false">IF($B89="","",MAX(0,F89-G89-H89))</f>
        <v/>
      </c>
      <c r="J89" s="90" t="str">
        <f aca="false">IF($B89="","",الموظفون!$J89*$I89/cfg_DAYS_M)</f>
        <v/>
      </c>
      <c r="K89" s="90" t="str">
        <f aca="false">IF($B89="","",الموظفون!$K89*$I89/cfg_DAYS_M)</f>
        <v/>
      </c>
      <c r="L89" s="90" t="str">
        <f aca="false">IF($B89="","",الموظفون!$L89*$I89/cfg_DAYS_M)</f>
        <v/>
      </c>
      <c r="M89" s="90" t="str">
        <f aca="false">IF($B89="","",الموظفون!$M89*$I89/cfg_DAYS_M)</f>
        <v/>
      </c>
      <c r="N89" s="110" t="str">
        <f aca="false">IF($B89="","",SUMIFS('الحركات الشهرية'!$F$6:$F$1005,'الحركات الشهرية'!$B$6:$B$1005,$B89,'الحركات الشهرية'!$A$6:$A$1005,$C$3))</f>
        <v/>
      </c>
      <c r="O89" s="90" t="str">
        <f aca="false">IF($B89="","",N89*(الموظفون!$N89+الموظفون!$J89*cfg_OT_P)/cfg_DAYS_M/cfg_HRS)</f>
        <v/>
      </c>
      <c r="P89" s="90" t="str">
        <f aca="false">IF($B89="","",SUMIFS('الحركات الشهرية'!$G$6:$G$1005,'الحركات الشهرية'!$B$6:$B$1005,$B89,'الحركات الشهرية'!$A$6:$A$1005,$C$3))</f>
        <v/>
      </c>
      <c r="Q89" s="90" t="str">
        <f aca="false">IF($B89="","",SUMIFS('الحركات الشهرية'!$H$6:$H$1005,'الحركات الشهرية'!$B$6:$B$1005,$B89,'الحركات الشهرية'!$A$6:$A$1005,$C$3))</f>
        <v/>
      </c>
      <c r="R89" s="111" t="str">
        <f aca="false">IF($B89="","",SUM(J89:M89)+SUM(O89:Q89))</f>
        <v/>
      </c>
      <c r="S89" s="90" t="str">
        <f aca="false">IF($B89="","",الموظفون!$Q89*IF(E89="سعودي",cfg_G_SE,cfg_G_NE)*F89/cfg_DAYS_M)</f>
        <v/>
      </c>
      <c r="T89" s="90" t="str">
        <f aca="false">IF($B89="","",SUMIFS('الحركات الشهرية'!$I$6:$I$1005,'الحركات الشهرية'!$B$6:$B$1005,$B89,'الحركات الشهرية'!$A$6:$A$1005,$C$3))</f>
        <v/>
      </c>
      <c r="U89" s="90" t="str">
        <f aca="false">IF($B89="","",SUMIFS('الحركات الشهرية'!$J$6:$J$1005,'الحركات الشهرية'!$B$6:$B$1005,$B89,'الحركات الشهرية'!$A$6:$A$1005,$C$3))</f>
        <v/>
      </c>
      <c r="V89" s="90" t="str">
        <f aca="false">IF($B89="","",SUM(S89:U89))</f>
        <v/>
      </c>
      <c r="W89" s="112" t="str">
        <f aca="false">IF($B89="","",R89-V89)</f>
        <v/>
      </c>
      <c r="X89" s="90" t="str">
        <f aca="false">IF($B89="","",الموظفون!$Q89*IF(E89="سعودي",cfg_G_SR,cfg_G_NR)*F89/cfg_DAYS_M)</f>
        <v/>
      </c>
      <c r="Y89" s="90" t="str">
        <f aca="false">IF($B89="","",الموظفون!$O89*(cfg_EOS_R1*(MIN(AC89,cfg_EOS_TH)-MIN(AD89,cfg_EOS_TH))+cfg_EOS_R2*(MAX(AC89-cfg_EOS_TH,0)-MAX(AD89-cfg_EOS_TH,0))))</f>
        <v/>
      </c>
      <c r="Z89" s="90" t="str">
        <f aca="false">IF($B89="","",IF(الموظفون!$R89&lt;&gt;"",الموظفون!$R89,IF(AC89&gt;=cfg_LV_TH,cfg_LV_D2,cfg_LV_D1))/cfg_DAYS_Y*AE89*الموظفون!$P89/cfg_DAYS_M)</f>
        <v/>
      </c>
      <c r="AA89" s="90" t="str">
        <f aca="false">IF($B89="","",IF(AND(الموظفون!$S89="نعم",N(الموظفون!$U89)&gt;0),الموظفون!$T89/الموظفون!$U89*12/cfg_DAYS_Y*AE89,0))</f>
        <v/>
      </c>
      <c r="AB89" s="113" t="str">
        <f aca="false">IF($B89="","",R89+SUM(X89:AA89))</f>
        <v/>
      </c>
      <c r="AC89" s="114" t="str">
        <f aca="false">IF($B89="","",MAX(0,IF(OR(الموظفون!$X89="",الموظفون!$X89&gt;$G$3),$G$3,الموظفون!$X89)-الموظفون!$H89+1)/cfg_DAYS_Y)</f>
        <v/>
      </c>
      <c r="AD89" s="114" t="str">
        <f aca="false">IF($B89="","",MAX(0,IF(OR(الموظفون!$X89="",الموظفون!$X89&gt;($E$3-1)),($E$3-1),الموظفون!$X89)-الموظفون!$H89+1)/cfg_DAYS_Y)</f>
        <v/>
      </c>
      <c r="AE89" s="115" t="str">
        <f aca="false">IF($B89="","",MAX(0,IF(OR(الموظفون!$X89="",الموظفون!$X89&gt;$G$3),$G$3,الموظفون!$X89)-MAX($E$3,الموظفون!$H89)+1))</f>
        <v/>
      </c>
    </row>
    <row r="90" customFormat="false" ht="15" hidden="false" customHeight="false" outlineLevel="0" collapsed="false">
      <c r="A90" s="83" t="str">
        <f aca="false">IF($B90="","",الموظفون!$A90)</f>
        <v/>
      </c>
      <c r="B90" s="74" t="str">
        <f aca="false">IF(الموظفون!$B90="","",الموظفون!$B90)</f>
        <v/>
      </c>
      <c r="C90" s="74" t="str">
        <f aca="false">IF($B90="","",الموظفون!$C90)</f>
        <v/>
      </c>
      <c r="D90" s="74" t="str">
        <f aca="false">IF($B90="","",الموظفون!$F90)</f>
        <v/>
      </c>
      <c r="E90" s="74" t="str">
        <f aca="false">IF($B90="","",الموظفون!$E90)</f>
        <v/>
      </c>
      <c r="F90" s="105" t="str">
        <f aca="false">IF($B90="","",IF(AE90&gt;=DAY($G$3),cfg_DAYS_M,MIN(AE90,cfg_DAYS_M)))</f>
        <v/>
      </c>
      <c r="G90" s="105" t="str">
        <f aca="false">IF($B90="","",SUMIFS('الحركات الشهرية'!$D$6:$D$1005,'الحركات الشهرية'!$B$6:$B$1005,$B90,'الحركات الشهرية'!$A$6:$A$1005,$C$3))</f>
        <v/>
      </c>
      <c r="H90" s="105" t="str">
        <f aca="false">IF($B90="","",SUMIFS('الحركات الشهرية'!$E$6:$E$1005,'الحركات الشهرية'!$B$6:$B$1005,$B90,'الحركات الشهرية'!$A$6:$A$1005,$C$3))</f>
        <v/>
      </c>
      <c r="I90" s="105" t="str">
        <f aca="false">IF($B90="","",MAX(0,F90-G90-H90))</f>
        <v/>
      </c>
      <c r="J90" s="86" t="str">
        <f aca="false">IF($B90="","",الموظفون!$J90*$I90/cfg_DAYS_M)</f>
        <v/>
      </c>
      <c r="K90" s="86" t="str">
        <f aca="false">IF($B90="","",الموظفون!$K90*$I90/cfg_DAYS_M)</f>
        <v/>
      </c>
      <c r="L90" s="86" t="str">
        <f aca="false">IF($B90="","",الموظفون!$L90*$I90/cfg_DAYS_M)</f>
        <v/>
      </c>
      <c r="M90" s="86" t="str">
        <f aca="false">IF($B90="","",الموظفون!$M90*$I90/cfg_DAYS_M)</f>
        <v/>
      </c>
      <c r="N90" s="105" t="str">
        <f aca="false">IF($B90="","",SUMIFS('الحركات الشهرية'!$F$6:$F$1005,'الحركات الشهرية'!$B$6:$B$1005,$B90,'الحركات الشهرية'!$A$6:$A$1005,$C$3))</f>
        <v/>
      </c>
      <c r="O90" s="86" t="str">
        <f aca="false">IF($B90="","",N90*(الموظفون!$N90+الموظفون!$J90*cfg_OT_P)/cfg_DAYS_M/cfg_HRS)</f>
        <v/>
      </c>
      <c r="P90" s="86" t="str">
        <f aca="false">IF($B90="","",SUMIFS('الحركات الشهرية'!$G$6:$G$1005,'الحركات الشهرية'!$B$6:$B$1005,$B90,'الحركات الشهرية'!$A$6:$A$1005,$C$3))</f>
        <v/>
      </c>
      <c r="Q90" s="86" t="str">
        <f aca="false">IF($B90="","",SUMIFS('الحركات الشهرية'!$H$6:$H$1005,'الحركات الشهرية'!$B$6:$B$1005,$B90,'الحركات الشهرية'!$A$6:$A$1005,$C$3))</f>
        <v/>
      </c>
      <c r="R90" s="106" t="str">
        <f aca="false">IF($B90="","",SUM(J90:M90)+SUM(O90:Q90))</f>
        <v/>
      </c>
      <c r="S90" s="86" t="str">
        <f aca="false">IF($B90="","",الموظفون!$Q90*IF(E90="سعودي",cfg_G_SE,cfg_G_NE)*F90/cfg_DAYS_M)</f>
        <v/>
      </c>
      <c r="T90" s="86" t="str">
        <f aca="false">IF($B90="","",SUMIFS('الحركات الشهرية'!$I$6:$I$1005,'الحركات الشهرية'!$B$6:$B$1005,$B90,'الحركات الشهرية'!$A$6:$A$1005,$C$3))</f>
        <v/>
      </c>
      <c r="U90" s="86" t="str">
        <f aca="false">IF($B90="","",SUMIFS('الحركات الشهرية'!$J$6:$J$1005,'الحركات الشهرية'!$B$6:$B$1005,$B90,'الحركات الشهرية'!$A$6:$A$1005,$C$3))</f>
        <v/>
      </c>
      <c r="V90" s="86" t="str">
        <f aca="false">IF($B90="","",SUM(S90:U90))</f>
        <v/>
      </c>
      <c r="W90" s="107" t="str">
        <f aca="false">IF($B90="","",R90-V90)</f>
        <v/>
      </c>
      <c r="X90" s="86" t="str">
        <f aca="false">IF($B90="","",الموظفون!$Q90*IF(E90="سعودي",cfg_G_SR,cfg_G_NR)*F90/cfg_DAYS_M)</f>
        <v/>
      </c>
      <c r="Y90" s="86" t="str">
        <f aca="false">IF($B90="","",الموظفون!$O90*(cfg_EOS_R1*(MIN(AC90,cfg_EOS_TH)-MIN(AD90,cfg_EOS_TH))+cfg_EOS_R2*(MAX(AC90-cfg_EOS_TH,0)-MAX(AD90-cfg_EOS_TH,0))))</f>
        <v/>
      </c>
      <c r="Z90" s="86" t="str">
        <f aca="false">IF($B90="","",IF(الموظفون!$R90&lt;&gt;"",الموظفون!$R90,IF(AC90&gt;=cfg_LV_TH,cfg_LV_D2,cfg_LV_D1))/cfg_DAYS_Y*AE90*الموظفون!$P90/cfg_DAYS_M)</f>
        <v/>
      </c>
      <c r="AA90" s="86" t="str">
        <f aca="false">IF($B90="","",IF(AND(الموظفون!$S90="نعم",N(الموظفون!$U90)&gt;0),الموظفون!$T90/الموظفون!$U90*12/cfg_DAYS_Y*AE90,0))</f>
        <v/>
      </c>
      <c r="AB90" s="108" t="str">
        <f aca="false">IF($B90="","",R90+SUM(X90:AA90))</f>
        <v/>
      </c>
      <c r="AC90" s="109" t="str">
        <f aca="false">IF($B90="","",MAX(0,IF(OR(الموظفون!$X90="",الموظفون!$X90&gt;$G$3),$G$3,الموظفون!$X90)-الموظفون!$H90+1)/cfg_DAYS_Y)</f>
        <v/>
      </c>
      <c r="AD90" s="109" t="str">
        <f aca="false">IF($B90="","",MAX(0,IF(OR(الموظفون!$X90="",الموظفون!$X90&gt;($E$3-1)),($E$3-1),الموظفون!$X90)-الموظفون!$H90+1)/cfg_DAYS_Y)</f>
        <v/>
      </c>
      <c r="AE90" s="51" t="str">
        <f aca="false">IF($B90="","",MAX(0,IF(OR(الموظفون!$X90="",الموظفون!$X90&gt;$G$3),$G$3,الموظفون!$X90)-MAX($E$3,الموظفون!$H90)+1))</f>
        <v/>
      </c>
    </row>
    <row r="91" customFormat="false" ht="15" hidden="false" customHeight="false" outlineLevel="0" collapsed="false">
      <c r="A91" s="89" t="str">
        <f aca="false">IF($B91="","",الموظفون!$A91)</f>
        <v/>
      </c>
      <c r="B91" s="91" t="str">
        <f aca="false">IF(الموظفون!$B91="","",الموظفون!$B91)</f>
        <v/>
      </c>
      <c r="C91" s="91" t="str">
        <f aca="false">IF($B91="","",الموظفون!$C91)</f>
        <v/>
      </c>
      <c r="D91" s="91" t="str">
        <f aca="false">IF($B91="","",الموظفون!$F91)</f>
        <v/>
      </c>
      <c r="E91" s="91" t="str">
        <f aca="false">IF($B91="","",الموظفون!$E91)</f>
        <v/>
      </c>
      <c r="F91" s="110" t="str">
        <f aca="false">IF($B91="","",IF(AE91&gt;=DAY($G$3),cfg_DAYS_M,MIN(AE91,cfg_DAYS_M)))</f>
        <v/>
      </c>
      <c r="G91" s="110" t="str">
        <f aca="false">IF($B91="","",SUMIFS('الحركات الشهرية'!$D$6:$D$1005,'الحركات الشهرية'!$B$6:$B$1005,$B91,'الحركات الشهرية'!$A$6:$A$1005,$C$3))</f>
        <v/>
      </c>
      <c r="H91" s="110" t="str">
        <f aca="false">IF($B91="","",SUMIFS('الحركات الشهرية'!$E$6:$E$1005,'الحركات الشهرية'!$B$6:$B$1005,$B91,'الحركات الشهرية'!$A$6:$A$1005,$C$3))</f>
        <v/>
      </c>
      <c r="I91" s="110" t="str">
        <f aca="false">IF($B91="","",MAX(0,F91-G91-H91))</f>
        <v/>
      </c>
      <c r="J91" s="90" t="str">
        <f aca="false">IF($B91="","",الموظفون!$J91*$I91/cfg_DAYS_M)</f>
        <v/>
      </c>
      <c r="K91" s="90" t="str">
        <f aca="false">IF($B91="","",الموظفون!$K91*$I91/cfg_DAYS_M)</f>
        <v/>
      </c>
      <c r="L91" s="90" t="str">
        <f aca="false">IF($B91="","",الموظفون!$L91*$I91/cfg_DAYS_M)</f>
        <v/>
      </c>
      <c r="M91" s="90" t="str">
        <f aca="false">IF($B91="","",الموظفون!$M91*$I91/cfg_DAYS_M)</f>
        <v/>
      </c>
      <c r="N91" s="110" t="str">
        <f aca="false">IF($B91="","",SUMIFS('الحركات الشهرية'!$F$6:$F$1005,'الحركات الشهرية'!$B$6:$B$1005,$B91,'الحركات الشهرية'!$A$6:$A$1005,$C$3))</f>
        <v/>
      </c>
      <c r="O91" s="90" t="str">
        <f aca="false">IF($B91="","",N91*(الموظفون!$N91+الموظفون!$J91*cfg_OT_P)/cfg_DAYS_M/cfg_HRS)</f>
        <v/>
      </c>
      <c r="P91" s="90" t="str">
        <f aca="false">IF($B91="","",SUMIFS('الحركات الشهرية'!$G$6:$G$1005,'الحركات الشهرية'!$B$6:$B$1005,$B91,'الحركات الشهرية'!$A$6:$A$1005,$C$3))</f>
        <v/>
      </c>
      <c r="Q91" s="90" t="str">
        <f aca="false">IF($B91="","",SUMIFS('الحركات الشهرية'!$H$6:$H$1005,'الحركات الشهرية'!$B$6:$B$1005,$B91,'الحركات الشهرية'!$A$6:$A$1005,$C$3))</f>
        <v/>
      </c>
      <c r="R91" s="111" t="str">
        <f aca="false">IF($B91="","",SUM(J91:M91)+SUM(O91:Q91))</f>
        <v/>
      </c>
      <c r="S91" s="90" t="str">
        <f aca="false">IF($B91="","",الموظفون!$Q91*IF(E91="سعودي",cfg_G_SE,cfg_G_NE)*F91/cfg_DAYS_M)</f>
        <v/>
      </c>
      <c r="T91" s="90" t="str">
        <f aca="false">IF($B91="","",SUMIFS('الحركات الشهرية'!$I$6:$I$1005,'الحركات الشهرية'!$B$6:$B$1005,$B91,'الحركات الشهرية'!$A$6:$A$1005,$C$3))</f>
        <v/>
      </c>
      <c r="U91" s="90" t="str">
        <f aca="false">IF($B91="","",SUMIFS('الحركات الشهرية'!$J$6:$J$1005,'الحركات الشهرية'!$B$6:$B$1005,$B91,'الحركات الشهرية'!$A$6:$A$1005,$C$3))</f>
        <v/>
      </c>
      <c r="V91" s="90" t="str">
        <f aca="false">IF($B91="","",SUM(S91:U91))</f>
        <v/>
      </c>
      <c r="W91" s="112" t="str">
        <f aca="false">IF($B91="","",R91-V91)</f>
        <v/>
      </c>
      <c r="X91" s="90" t="str">
        <f aca="false">IF($B91="","",الموظفون!$Q91*IF(E91="سعودي",cfg_G_SR,cfg_G_NR)*F91/cfg_DAYS_M)</f>
        <v/>
      </c>
      <c r="Y91" s="90" t="str">
        <f aca="false">IF($B91="","",الموظفون!$O91*(cfg_EOS_R1*(MIN(AC91,cfg_EOS_TH)-MIN(AD91,cfg_EOS_TH))+cfg_EOS_R2*(MAX(AC91-cfg_EOS_TH,0)-MAX(AD91-cfg_EOS_TH,0))))</f>
        <v/>
      </c>
      <c r="Z91" s="90" t="str">
        <f aca="false">IF($B91="","",IF(الموظفون!$R91&lt;&gt;"",الموظفون!$R91,IF(AC91&gt;=cfg_LV_TH,cfg_LV_D2,cfg_LV_D1))/cfg_DAYS_Y*AE91*الموظفون!$P91/cfg_DAYS_M)</f>
        <v/>
      </c>
      <c r="AA91" s="90" t="str">
        <f aca="false">IF($B91="","",IF(AND(الموظفون!$S91="نعم",N(الموظفون!$U91)&gt;0),الموظفون!$T91/الموظفون!$U91*12/cfg_DAYS_Y*AE91,0))</f>
        <v/>
      </c>
      <c r="AB91" s="113" t="str">
        <f aca="false">IF($B91="","",R91+SUM(X91:AA91))</f>
        <v/>
      </c>
      <c r="AC91" s="114" t="str">
        <f aca="false">IF($B91="","",MAX(0,IF(OR(الموظفون!$X91="",الموظفون!$X91&gt;$G$3),$G$3,الموظفون!$X91)-الموظفون!$H91+1)/cfg_DAYS_Y)</f>
        <v/>
      </c>
      <c r="AD91" s="114" t="str">
        <f aca="false">IF($B91="","",MAX(0,IF(OR(الموظفون!$X91="",الموظفون!$X91&gt;($E$3-1)),($E$3-1),الموظفون!$X91)-الموظفون!$H91+1)/cfg_DAYS_Y)</f>
        <v/>
      </c>
      <c r="AE91" s="115" t="str">
        <f aca="false">IF($B91="","",MAX(0,IF(OR(الموظفون!$X91="",الموظفون!$X91&gt;$G$3),$G$3,الموظفون!$X91)-MAX($E$3,الموظفون!$H91)+1))</f>
        <v/>
      </c>
    </row>
    <row r="92" customFormat="false" ht="15" hidden="false" customHeight="false" outlineLevel="0" collapsed="false">
      <c r="A92" s="83" t="str">
        <f aca="false">IF($B92="","",الموظفون!$A92)</f>
        <v/>
      </c>
      <c r="B92" s="74" t="str">
        <f aca="false">IF(الموظفون!$B92="","",الموظفون!$B92)</f>
        <v/>
      </c>
      <c r="C92" s="74" t="str">
        <f aca="false">IF($B92="","",الموظفون!$C92)</f>
        <v/>
      </c>
      <c r="D92" s="74" t="str">
        <f aca="false">IF($B92="","",الموظفون!$F92)</f>
        <v/>
      </c>
      <c r="E92" s="74" t="str">
        <f aca="false">IF($B92="","",الموظفون!$E92)</f>
        <v/>
      </c>
      <c r="F92" s="105" t="str">
        <f aca="false">IF($B92="","",IF(AE92&gt;=DAY($G$3),cfg_DAYS_M,MIN(AE92,cfg_DAYS_M)))</f>
        <v/>
      </c>
      <c r="G92" s="105" t="str">
        <f aca="false">IF($B92="","",SUMIFS('الحركات الشهرية'!$D$6:$D$1005,'الحركات الشهرية'!$B$6:$B$1005,$B92,'الحركات الشهرية'!$A$6:$A$1005,$C$3))</f>
        <v/>
      </c>
      <c r="H92" s="105" t="str">
        <f aca="false">IF($B92="","",SUMIFS('الحركات الشهرية'!$E$6:$E$1005,'الحركات الشهرية'!$B$6:$B$1005,$B92,'الحركات الشهرية'!$A$6:$A$1005,$C$3))</f>
        <v/>
      </c>
      <c r="I92" s="105" t="str">
        <f aca="false">IF($B92="","",MAX(0,F92-G92-H92))</f>
        <v/>
      </c>
      <c r="J92" s="86" t="str">
        <f aca="false">IF($B92="","",الموظفون!$J92*$I92/cfg_DAYS_M)</f>
        <v/>
      </c>
      <c r="K92" s="86" t="str">
        <f aca="false">IF($B92="","",الموظفون!$K92*$I92/cfg_DAYS_M)</f>
        <v/>
      </c>
      <c r="L92" s="86" t="str">
        <f aca="false">IF($B92="","",الموظفون!$L92*$I92/cfg_DAYS_M)</f>
        <v/>
      </c>
      <c r="M92" s="86" t="str">
        <f aca="false">IF($B92="","",الموظفون!$M92*$I92/cfg_DAYS_M)</f>
        <v/>
      </c>
      <c r="N92" s="105" t="str">
        <f aca="false">IF($B92="","",SUMIFS('الحركات الشهرية'!$F$6:$F$1005,'الحركات الشهرية'!$B$6:$B$1005,$B92,'الحركات الشهرية'!$A$6:$A$1005,$C$3))</f>
        <v/>
      </c>
      <c r="O92" s="86" t="str">
        <f aca="false">IF($B92="","",N92*(الموظفون!$N92+الموظفون!$J92*cfg_OT_P)/cfg_DAYS_M/cfg_HRS)</f>
        <v/>
      </c>
      <c r="P92" s="86" t="str">
        <f aca="false">IF($B92="","",SUMIFS('الحركات الشهرية'!$G$6:$G$1005,'الحركات الشهرية'!$B$6:$B$1005,$B92,'الحركات الشهرية'!$A$6:$A$1005,$C$3))</f>
        <v/>
      </c>
      <c r="Q92" s="86" t="str">
        <f aca="false">IF($B92="","",SUMIFS('الحركات الشهرية'!$H$6:$H$1005,'الحركات الشهرية'!$B$6:$B$1005,$B92,'الحركات الشهرية'!$A$6:$A$1005,$C$3))</f>
        <v/>
      </c>
      <c r="R92" s="106" t="str">
        <f aca="false">IF($B92="","",SUM(J92:M92)+SUM(O92:Q92))</f>
        <v/>
      </c>
      <c r="S92" s="86" t="str">
        <f aca="false">IF($B92="","",الموظفون!$Q92*IF(E92="سعودي",cfg_G_SE,cfg_G_NE)*F92/cfg_DAYS_M)</f>
        <v/>
      </c>
      <c r="T92" s="86" t="str">
        <f aca="false">IF($B92="","",SUMIFS('الحركات الشهرية'!$I$6:$I$1005,'الحركات الشهرية'!$B$6:$B$1005,$B92,'الحركات الشهرية'!$A$6:$A$1005,$C$3))</f>
        <v/>
      </c>
      <c r="U92" s="86" t="str">
        <f aca="false">IF($B92="","",SUMIFS('الحركات الشهرية'!$J$6:$J$1005,'الحركات الشهرية'!$B$6:$B$1005,$B92,'الحركات الشهرية'!$A$6:$A$1005,$C$3))</f>
        <v/>
      </c>
      <c r="V92" s="86" t="str">
        <f aca="false">IF($B92="","",SUM(S92:U92))</f>
        <v/>
      </c>
      <c r="W92" s="107" t="str">
        <f aca="false">IF($B92="","",R92-V92)</f>
        <v/>
      </c>
      <c r="X92" s="86" t="str">
        <f aca="false">IF($B92="","",الموظفون!$Q92*IF(E92="سعودي",cfg_G_SR,cfg_G_NR)*F92/cfg_DAYS_M)</f>
        <v/>
      </c>
      <c r="Y92" s="86" t="str">
        <f aca="false">IF($B92="","",الموظفون!$O92*(cfg_EOS_R1*(MIN(AC92,cfg_EOS_TH)-MIN(AD92,cfg_EOS_TH))+cfg_EOS_R2*(MAX(AC92-cfg_EOS_TH,0)-MAX(AD92-cfg_EOS_TH,0))))</f>
        <v/>
      </c>
      <c r="Z92" s="86" t="str">
        <f aca="false">IF($B92="","",IF(الموظفون!$R92&lt;&gt;"",الموظفون!$R92,IF(AC92&gt;=cfg_LV_TH,cfg_LV_D2,cfg_LV_D1))/cfg_DAYS_Y*AE92*الموظفون!$P92/cfg_DAYS_M)</f>
        <v/>
      </c>
      <c r="AA92" s="86" t="str">
        <f aca="false">IF($B92="","",IF(AND(الموظفون!$S92="نعم",N(الموظفون!$U92)&gt;0),الموظفون!$T92/الموظفون!$U92*12/cfg_DAYS_Y*AE92,0))</f>
        <v/>
      </c>
      <c r="AB92" s="108" t="str">
        <f aca="false">IF($B92="","",R92+SUM(X92:AA92))</f>
        <v/>
      </c>
      <c r="AC92" s="109" t="str">
        <f aca="false">IF($B92="","",MAX(0,IF(OR(الموظفون!$X92="",الموظفون!$X92&gt;$G$3),$G$3,الموظفون!$X92)-الموظفون!$H92+1)/cfg_DAYS_Y)</f>
        <v/>
      </c>
      <c r="AD92" s="109" t="str">
        <f aca="false">IF($B92="","",MAX(0,IF(OR(الموظفون!$X92="",الموظفون!$X92&gt;($E$3-1)),($E$3-1),الموظفون!$X92)-الموظفون!$H92+1)/cfg_DAYS_Y)</f>
        <v/>
      </c>
      <c r="AE92" s="51" t="str">
        <f aca="false">IF($B92="","",MAX(0,IF(OR(الموظفون!$X92="",الموظفون!$X92&gt;$G$3),$G$3,الموظفون!$X92)-MAX($E$3,الموظفون!$H92)+1))</f>
        <v/>
      </c>
    </row>
    <row r="93" customFormat="false" ht="15" hidden="false" customHeight="false" outlineLevel="0" collapsed="false">
      <c r="A93" s="89" t="str">
        <f aca="false">IF($B93="","",الموظفون!$A93)</f>
        <v/>
      </c>
      <c r="B93" s="91" t="str">
        <f aca="false">IF(الموظفون!$B93="","",الموظفون!$B93)</f>
        <v/>
      </c>
      <c r="C93" s="91" t="str">
        <f aca="false">IF($B93="","",الموظفون!$C93)</f>
        <v/>
      </c>
      <c r="D93" s="91" t="str">
        <f aca="false">IF($B93="","",الموظفون!$F93)</f>
        <v/>
      </c>
      <c r="E93" s="91" t="str">
        <f aca="false">IF($B93="","",الموظفون!$E93)</f>
        <v/>
      </c>
      <c r="F93" s="110" t="str">
        <f aca="false">IF($B93="","",IF(AE93&gt;=DAY($G$3),cfg_DAYS_M,MIN(AE93,cfg_DAYS_M)))</f>
        <v/>
      </c>
      <c r="G93" s="110" t="str">
        <f aca="false">IF($B93="","",SUMIFS('الحركات الشهرية'!$D$6:$D$1005,'الحركات الشهرية'!$B$6:$B$1005,$B93,'الحركات الشهرية'!$A$6:$A$1005,$C$3))</f>
        <v/>
      </c>
      <c r="H93" s="110" t="str">
        <f aca="false">IF($B93="","",SUMIFS('الحركات الشهرية'!$E$6:$E$1005,'الحركات الشهرية'!$B$6:$B$1005,$B93,'الحركات الشهرية'!$A$6:$A$1005,$C$3))</f>
        <v/>
      </c>
      <c r="I93" s="110" t="str">
        <f aca="false">IF($B93="","",MAX(0,F93-G93-H93))</f>
        <v/>
      </c>
      <c r="J93" s="90" t="str">
        <f aca="false">IF($B93="","",الموظفون!$J93*$I93/cfg_DAYS_M)</f>
        <v/>
      </c>
      <c r="K93" s="90" t="str">
        <f aca="false">IF($B93="","",الموظفون!$K93*$I93/cfg_DAYS_M)</f>
        <v/>
      </c>
      <c r="L93" s="90" t="str">
        <f aca="false">IF($B93="","",الموظفون!$L93*$I93/cfg_DAYS_M)</f>
        <v/>
      </c>
      <c r="M93" s="90" t="str">
        <f aca="false">IF($B93="","",الموظفون!$M93*$I93/cfg_DAYS_M)</f>
        <v/>
      </c>
      <c r="N93" s="110" t="str">
        <f aca="false">IF($B93="","",SUMIFS('الحركات الشهرية'!$F$6:$F$1005,'الحركات الشهرية'!$B$6:$B$1005,$B93,'الحركات الشهرية'!$A$6:$A$1005,$C$3))</f>
        <v/>
      </c>
      <c r="O93" s="90" t="str">
        <f aca="false">IF($B93="","",N93*(الموظفون!$N93+الموظفون!$J93*cfg_OT_P)/cfg_DAYS_M/cfg_HRS)</f>
        <v/>
      </c>
      <c r="P93" s="90" t="str">
        <f aca="false">IF($B93="","",SUMIFS('الحركات الشهرية'!$G$6:$G$1005,'الحركات الشهرية'!$B$6:$B$1005,$B93,'الحركات الشهرية'!$A$6:$A$1005,$C$3))</f>
        <v/>
      </c>
      <c r="Q93" s="90" t="str">
        <f aca="false">IF($B93="","",SUMIFS('الحركات الشهرية'!$H$6:$H$1005,'الحركات الشهرية'!$B$6:$B$1005,$B93,'الحركات الشهرية'!$A$6:$A$1005,$C$3))</f>
        <v/>
      </c>
      <c r="R93" s="111" t="str">
        <f aca="false">IF($B93="","",SUM(J93:M93)+SUM(O93:Q93))</f>
        <v/>
      </c>
      <c r="S93" s="90" t="str">
        <f aca="false">IF($B93="","",الموظفون!$Q93*IF(E93="سعودي",cfg_G_SE,cfg_G_NE)*F93/cfg_DAYS_M)</f>
        <v/>
      </c>
      <c r="T93" s="90" t="str">
        <f aca="false">IF($B93="","",SUMIFS('الحركات الشهرية'!$I$6:$I$1005,'الحركات الشهرية'!$B$6:$B$1005,$B93,'الحركات الشهرية'!$A$6:$A$1005,$C$3))</f>
        <v/>
      </c>
      <c r="U93" s="90" t="str">
        <f aca="false">IF($B93="","",SUMIFS('الحركات الشهرية'!$J$6:$J$1005,'الحركات الشهرية'!$B$6:$B$1005,$B93,'الحركات الشهرية'!$A$6:$A$1005,$C$3))</f>
        <v/>
      </c>
      <c r="V93" s="90" t="str">
        <f aca="false">IF($B93="","",SUM(S93:U93))</f>
        <v/>
      </c>
      <c r="W93" s="112" t="str">
        <f aca="false">IF($B93="","",R93-V93)</f>
        <v/>
      </c>
      <c r="X93" s="90" t="str">
        <f aca="false">IF($B93="","",الموظفون!$Q93*IF(E93="سعودي",cfg_G_SR,cfg_G_NR)*F93/cfg_DAYS_M)</f>
        <v/>
      </c>
      <c r="Y93" s="90" t="str">
        <f aca="false">IF($B93="","",الموظفون!$O93*(cfg_EOS_R1*(MIN(AC93,cfg_EOS_TH)-MIN(AD93,cfg_EOS_TH))+cfg_EOS_R2*(MAX(AC93-cfg_EOS_TH,0)-MAX(AD93-cfg_EOS_TH,0))))</f>
        <v/>
      </c>
      <c r="Z93" s="90" t="str">
        <f aca="false">IF($B93="","",IF(الموظفون!$R93&lt;&gt;"",الموظفون!$R93,IF(AC93&gt;=cfg_LV_TH,cfg_LV_D2,cfg_LV_D1))/cfg_DAYS_Y*AE93*الموظفون!$P93/cfg_DAYS_M)</f>
        <v/>
      </c>
      <c r="AA93" s="90" t="str">
        <f aca="false">IF($B93="","",IF(AND(الموظفون!$S93="نعم",N(الموظفون!$U93)&gt;0),الموظفون!$T93/الموظفون!$U93*12/cfg_DAYS_Y*AE93,0))</f>
        <v/>
      </c>
      <c r="AB93" s="113" t="str">
        <f aca="false">IF($B93="","",R93+SUM(X93:AA93))</f>
        <v/>
      </c>
      <c r="AC93" s="114" t="str">
        <f aca="false">IF($B93="","",MAX(0,IF(OR(الموظفون!$X93="",الموظفون!$X93&gt;$G$3),$G$3,الموظفون!$X93)-الموظفون!$H93+1)/cfg_DAYS_Y)</f>
        <v/>
      </c>
      <c r="AD93" s="114" t="str">
        <f aca="false">IF($B93="","",MAX(0,IF(OR(الموظفون!$X93="",الموظفون!$X93&gt;($E$3-1)),($E$3-1),الموظفون!$X93)-الموظفون!$H93+1)/cfg_DAYS_Y)</f>
        <v/>
      </c>
      <c r="AE93" s="115" t="str">
        <f aca="false">IF($B93="","",MAX(0,IF(OR(الموظفون!$X93="",الموظفون!$X93&gt;$G$3),$G$3,الموظفون!$X93)-MAX($E$3,الموظفون!$H93)+1))</f>
        <v/>
      </c>
    </row>
    <row r="94" customFormat="false" ht="15" hidden="false" customHeight="false" outlineLevel="0" collapsed="false">
      <c r="A94" s="83" t="str">
        <f aca="false">IF($B94="","",الموظفون!$A94)</f>
        <v/>
      </c>
      <c r="B94" s="74" t="str">
        <f aca="false">IF(الموظفون!$B94="","",الموظفون!$B94)</f>
        <v/>
      </c>
      <c r="C94" s="74" t="str">
        <f aca="false">IF($B94="","",الموظفون!$C94)</f>
        <v/>
      </c>
      <c r="D94" s="74" t="str">
        <f aca="false">IF($B94="","",الموظفون!$F94)</f>
        <v/>
      </c>
      <c r="E94" s="74" t="str">
        <f aca="false">IF($B94="","",الموظفون!$E94)</f>
        <v/>
      </c>
      <c r="F94" s="105" t="str">
        <f aca="false">IF($B94="","",IF(AE94&gt;=DAY($G$3),cfg_DAYS_M,MIN(AE94,cfg_DAYS_M)))</f>
        <v/>
      </c>
      <c r="G94" s="105" t="str">
        <f aca="false">IF($B94="","",SUMIFS('الحركات الشهرية'!$D$6:$D$1005,'الحركات الشهرية'!$B$6:$B$1005,$B94,'الحركات الشهرية'!$A$6:$A$1005,$C$3))</f>
        <v/>
      </c>
      <c r="H94" s="105" t="str">
        <f aca="false">IF($B94="","",SUMIFS('الحركات الشهرية'!$E$6:$E$1005,'الحركات الشهرية'!$B$6:$B$1005,$B94,'الحركات الشهرية'!$A$6:$A$1005,$C$3))</f>
        <v/>
      </c>
      <c r="I94" s="105" t="str">
        <f aca="false">IF($B94="","",MAX(0,F94-G94-H94))</f>
        <v/>
      </c>
      <c r="J94" s="86" t="str">
        <f aca="false">IF($B94="","",الموظفون!$J94*$I94/cfg_DAYS_M)</f>
        <v/>
      </c>
      <c r="K94" s="86" t="str">
        <f aca="false">IF($B94="","",الموظفون!$K94*$I94/cfg_DAYS_M)</f>
        <v/>
      </c>
      <c r="L94" s="86" t="str">
        <f aca="false">IF($B94="","",الموظفون!$L94*$I94/cfg_DAYS_M)</f>
        <v/>
      </c>
      <c r="M94" s="86" t="str">
        <f aca="false">IF($B94="","",الموظفون!$M94*$I94/cfg_DAYS_M)</f>
        <v/>
      </c>
      <c r="N94" s="105" t="str">
        <f aca="false">IF($B94="","",SUMIFS('الحركات الشهرية'!$F$6:$F$1005,'الحركات الشهرية'!$B$6:$B$1005,$B94,'الحركات الشهرية'!$A$6:$A$1005,$C$3))</f>
        <v/>
      </c>
      <c r="O94" s="86" t="str">
        <f aca="false">IF($B94="","",N94*(الموظفون!$N94+الموظفون!$J94*cfg_OT_P)/cfg_DAYS_M/cfg_HRS)</f>
        <v/>
      </c>
      <c r="P94" s="86" t="str">
        <f aca="false">IF($B94="","",SUMIFS('الحركات الشهرية'!$G$6:$G$1005,'الحركات الشهرية'!$B$6:$B$1005,$B94,'الحركات الشهرية'!$A$6:$A$1005,$C$3))</f>
        <v/>
      </c>
      <c r="Q94" s="86" t="str">
        <f aca="false">IF($B94="","",SUMIFS('الحركات الشهرية'!$H$6:$H$1005,'الحركات الشهرية'!$B$6:$B$1005,$B94,'الحركات الشهرية'!$A$6:$A$1005,$C$3))</f>
        <v/>
      </c>
      <c r="R94" s="106" t="str">
        <f aca="false">IF($B94="","",SUM(J94:M94)+SUM(O94:Q94))</f>
        <v/>
      </c>
      <c r="S94" s="86" t="str">
        <f aca="false">IF($B94="","",الموظفون!$Q94*IF(E94="سعودي",cfg_G_SE,cfg_G_NE)*F94/cfg_DAYS_M)</f>
        <v/>
      </c>
      <c r="T94" s="86" t="str">
        <f aca="false">IF($B94="","",SUMIFS('الحركات الشهرية'!$I$6:$I$1005,'الحركات الشهرية'!$B$6:$B$1005,$B94,'الحركات الشهرية'!$A$6:$A$1005,$C$3))</f>
        <v/>
      </c>
      <c r="U94" s="86" t="str">
        <f aca="false">IF($B94="","",SUMIFS('الحركات الشهرية'!$J$6:$J$1005,'الحركات الشهرية'!$B$6:$B$1005,$B94,'الحركات الشهرية'!$A$6:$A$1005,$C$3))</f>
        <v/>
      </c>
      <c r="V94" s="86" t="str">
        <f aca="false">IF($B94="","",SUM(S94:U94))</f>
        <v/>
      </c>
      <c r="W94" s="107" t="str">
        <f aca="false">IF($B94="","",R94-V94)</f>
        <v/>
      </c>
      <c r="X94" s="86" t="str">
        <f aca="false">IF($B94="","",الموظفون!$Q94*IF(E94="سعودي",cfg_G_SR,cfg_G_NR)*F94/cfg_DAYS_M)</f>
        <v/>
      </c>
      <c r="Y94" s="86" t="str">
        <f aca="false">IF($B94="","",الموظفون!$O94*(cfg_EOS_R1*(MIN(AC94,cfg_EOS_TH)-MIN(AD94,cfg_EOS_TH))+cfg_EOS_R2*(MAX(AC94-cfg_EOS_TH,0)-MAX(AD94-cfg_EOS_TH,0))))</f>
        <v/>
      </c>
      <c r="Z94" s="86" t="str">
        <f aca="false">IF($B94="","",IF(الموظفون!$R94&lt;&gt;"",الموظفون!$R94,IF(AC94&gt;=cfg_LV_TH,cfg_LV_D2,cfg_LV_D1))/cfg_DAYS_Y*AE94*الموظفون!$P94/cfg_DAYS_M)</f>
        <v/>
      </c>
      <c r="AA94" s="86" t="str">
        <f aca="false">IF($B94="","",IF(AND(الموظفون!$S94="نعم",N(الموظفون!$U94)&gt;0),الموظفون!$T94/الموظفون!$U94*12/cfg_DAYS_Y*AE94,0))</f>
        <v/>
      </c>
      <c r="AB94" s="108" t="str">
        <f aca="false">IF($B94="","",R94+SUM(X94:AA94))</f>
        <v/>
      </c>
      <c r="AC94" s="109" t="str">
        <f aca="false">IF($B94="","",MAX(0,IF(OR(الموظفون!$X94="",الموظفون!$X94&gt;$G$3),$G$3,الموظفون!$X94)-الموظفون!$H94+1)/cfg_DAYS_Y)</f>
        <v/>
      </c>
      <c r="AD94" s="109" t="str">
        <f aca="false">IF($B94="","",MAX(0,IF(OR(الموظفون!$X94="",الموظفون!$X94&gt;($E$3-1)),($E$3-1),الموظفون!$X94)-الموظفون!$H94+1)/cfg_DAYS_Y)</f>
        <v/>
      </c>
      <c r="AE94" s="51" t="str">
        <f aca="false">IF($B94="","",MAX(0,IF(OR(الموظفون!$X94="",الموظفون!$X94&gt;$G$3),$G$3,الموظفون!$X94)-MAX($E$3,الموظفون!$H94)+1))</f>
        <v/>
      </c>
    </row>
    <row r="95" customFormat="false" ht="15" hidden="false" customHeight="false" outlineLevel="0" collapsed="false">
      <c r="A95" s="89" t="str">
        <f aca="false">IF($B95="","",الموظفون!$A95)</f>
        <v/>
      </c>
      <c r="B95" s="91" t="str">
        <f aca="false">IF(الموظفون!$B95="","",الموظفون!$B95)</f>
        <v/>
      </c>
      <c r="C95" s="91" t="str">
        <f aca="false">IF($B95="","",الموظفون!$C95)</f>
        <v/>
      </c>
      <c r="D95" s="91" t="str">
        <f aca="false">IF($B95="","",الموظفون!$F95)</f>
        <v/>
      </c>
      <c r="E95" s="91" t="str">
        <f aca="false">IF($B95="","",الموظفون!$E95)</f>
        <v/>
      </c>
      <c r="F95" s="110" t="str">
        <f aca="false">IF($B95="","",IF(AE95&gt;=DAY($G$3),cfg_DAYS_M,MIN(AE95,cfg_DAYS_M)))</f>
        <v/>
      </c>
      <c r="G95" s="110" t="str">
        <f aca="false">IF($B95="","",SUMIFS('الحركات الشهرية'!$D$6:$D$1005,'الحركات الشهرية'!$B$6:$B$1005,$B95,'الحركات الشهرية'!$A$6:$A$1005,$C$3))</f>
        <v/>
      </c>
      <c r="H95" s="110" t="str">
        <f aca="false">IF($B95="","",SUMIFS('الحركات الشهرية'!$E$6:$E$1005,'الحركات الشهرية'!$B$6:$B$1005,$B95,'الحركات الشهرية'!$A$6:$A$1005,$C$3))</f>
        <v/>
      </c>
      <c r="I95" s="110" t="str">
        <f aca="false">IF($B95="","",MAX(0,F95-G95-H95))</f>
        <v/>
      </c>
      <c r="J95" s="90" t="str">
        <f aca="false">IF($B95="","",الموظفون!$J95*$I95/cfg_DAYS_M)</f>
        <v/>
      </c>
      <c r="K95" s="90" t="str">
        <f aca="false">IF($B95="","",الموظفون!$K95*$I95/cfg_DAYS_M)</f>
        <v/>
      </c>
      <c r="L95" s="90" t="str">
        <f aca="false">IF($B95="","",الموظفون!$L95*$I95/cfg_DAYS_M)</f>
        <v/>
      </c>
      <c r="M95" s="90" t="str">
        <f aca="false">IF($B95="","",الموظفون!$M95*$I95/cfg_DAYS_M)</f>
        <v/>
      </c>
      <c r="N95" s="110" t="str">
        <f aca="false">IF($B95="","",SUMIFS('الحركات الشهرية'!$F$6:$F$1005,'الحركات الشهرية'!$B$6:$B$1005,$B95,'الحركات الشهرية'!$A$6:$A$1005,$C$3))</f>
        <v/>
      </c>
      <c r="O95" s="90" t="str">
        <f aca="false">IF($B95="","",N95*(الموظفون!$N95+الموظفون!$J95*cfg_OT_P)/cfg_DAYS_M/cfg_HRS)</f>
        <v/>
      </c>
      <c r="P95" s="90" t="str">
        <f aca="false">IF($B95="","",SUMIFS('الحركات الشهرية'!$G$6:$G$1005,'الحركات الشهرية'!$B$6:$B$1005,$B95,'الحركات الشهرية'!$A$6:$A$1005,$C$3))</f>
        <v/>
      </c>
      <c r="Q95" s="90" t="str">
        <f aca="false">IF($B95="","",SUMIFS('الحركات الشهرية'!$H$6:$H$1005,'الحركات الشهرية'!$B$6:$B$1005,$B95,'الحركات الشهرية'!$A$6:$A$1005,$C$3))</f>
        <v/>
      </c>
      <c r="R95" s="111" t="str">
        <f aca="false">IF($B95="","",SUM(J95:M95)+SUM(O95:Q95))</f>
        <v/>
      </c>
      <c r="S95" s="90" t="str">
        <f aca="false">IF($B95="","",الموظفون!$Q95*IF(E95="سعودي",cfg_G_SE,cfg_G_NE)*F95/cfg_DAYS_M)</f>
        <v/>
      </c>
      <c r="T95" s="90" t="str">
        <f aca="false">IF($B95="","",SUMIFS('الحركات الشهرية'!$I$6:$I$1005,'الحركات الشهرية'!$B$6:$B$1005,$B95,'الحركات الشهرية'!$A$6:$A$1005,$C$3))</f>
        <v/>
      </c>
      <c r="U95" s="90" t="str">
        <f aca="false">IF($B95="","",SUMIFS('الحركات الشهرية'!$J$6:$J$1005,'الحركات الشهرية'!$B$6:$B$1005,$B95,'الحركات الشهرية'!$A$6:$A$1005,$C$3))</f>
        <v/>
      </c>
      <c r="V95" s="90" t="str">
        <f aca="false">IF($B95="","",SUM(S95:U95))</f>
        <v/>
      </c>
      <c r="W95" s="112" t="str">
        <f aca="false">IF($B95="","",R95-V95)</f>
        <v/>
      </c>
      <c r="X95" s="90" t="str">
        <f aca="false">IF($B95="","",الموظفون!$Q95*IF(E95="سعودي",cfg_G_SR,cfg_G_NR)*F95/cfg_DAYS_M)</f>
        <v/>
      </c>
      <c r="Y95" s="90" t="str">
        <f aca="false">IF($B95="","",الموظفون!$O95*(cfg_EOS_R1*(MIN(AC95,cfg_EOS_TH)-MIN(AD95,cfg_EOS_TH))+cfg_EOS_R2*(MAX(AC95-cfg_EOS_TH,0)-MAX(AD95-cfg_EOS_TH,0))))</f>
        <v/>
      </c>
      <c r="Z95" s="90" t="str">
        <f aca="false">IF($B95="","",IF(الموظفون!$R95&lt;&gt;"",الموظفون!$R95,IF(AC95&gt;=cfg_LV_TH,cfg_LV_D2,cfg_LV_D1))/cfg_DAYS_Y*AE95*الموظفون!$P95/cfg_DAYS_M)</f>
        <v/>
      </c>
      <c r="AA95" s="90" t="str">
        <f aca="false">IF($B95="","",IF(AND(الموظفون!$S95="نعم",N(الموظفون!$U95)&gt;0),الموظفون!$T95/الموظفون!$U95*12/cfg_DAYS_Y*AE95,0))</f>
        <v/>
      </c>
      <c r="AB95" s="113" t="str">
        <f aca="false">IF($B95="","",R95+SUM(X95:AA95))</f>
        <v/>
      </c>
      <c r="AC95" s="114" t="str">
        <f aca="false">IF($B95="","",MAX(0,IF(OR(الموظفون!$X95="",الموظفون!$X95&gt;$G$3),$G$3,الموظفون!$X95)-الموظفون!$H95+1)/cfg_DAYS_Y)</f>
        <v/>
      </c>
      <c r="AD95" s="114" t="str">
        <f aca="false">IF($B95="","",MAX(0,IF(OR(الموظفون!$X95="",الموظفون!$X95&gt;($E$3-1)),($E$3-1),الموظفون!$X95)-الموظفون!$H95+1)/cfg_DAYS_Y)</f>
        <v/>
      </c>
      <c r="AE95" s="115" t="str">
        <f aca="false">IF($B95="","",MAX(0,IF(OR(الموظفون!$X95="",الموظفون!$X95&gt;$G$3),$G$3,الموظفون!$X95)-MAX($E$3,الموظفون!$H95)+1))</f>
        <v/>
      </c>
    </row>
    <row r="96" customFormat="false" ht="15" hidden="false" customHeight="false" outlineLevel="0" collapsed="false">
      <c r="A96" s="83" t="str">
        <f aca="false">IF($B96="","",الموظفون!$A96)</f>
        <v/>
      </c>
      <c r="B96" s="74" t="str">
        <f aca="false">IF(الموظفون!$B96="","",الموظفون!$B96)</f>
        <v/>
      </c>
      <c r="C96" s="74" t="str">
        <f aca="false">IF($B96="","",الموظفون!$C96)</f>
        <v/>
      </c>
      <c r="D96" s="74" t="str">
        <f aca="false">IF($B96="","",الموظفون!$F96)</f>
        <v/>
      </c>
      <c r="E96" s="74" t="str">
        <f aca="false">IF($B96="","",الموظفون!$E96)</f>
        <v/>
      </c>
      <c r="F96" s="105" t="str">
        <f aca="false">IF($B96="","",IF(AE96&gt;=DAY($G$3),cfg_DAYS_M,MIN(AE96,cfg_DAYS_M)))</f>
        <v/>
      </c>
      <c r="G96" s="105" t="str">
        <f aca="false">IF($B96="","",SUMIFS('الحركات الشهرية'!$D$6:$D$1005,'الحركات الشهرية'!$B$6:$B$1005,$B96,'الحركات الشهرية'!$A$6:$A$1005,$C$3))</f>
        <v/>
      </c>
      <c r="H96" s="105" t="str">
        <f aca="false">IF($B96="","",SUMIFS('الحركات الشهرية'!$E$6:$E$1005,'الحركات الشهرية'!$B$6:$B$1005,$B96,'الحركات الشهرية'!$A$6:$A$1005,$C$3))</f>
        <v/>
      </c>
      <c r="I96" s="105" t="str">
        <f aca="false">IF($B96="","",MAX(0,F96-G96-H96))</f>
        <v/>
      </c>
      <c r="J96" s="86" t="str">
        <f aca="false">IF($B96="","",الموظفون!$J96*$I96/cfg_DAYS_M)</f>
        <v/>
      </c>
      <c r="K96" s="86" t="str">
        <f aca="false">IF($B96="","",الموظفون!$K96*$I96/cfg_DAYS_M)</f>
        <v/>
      </c>
      <c r="L96" s="86" t="str">
        <f aca="false">IF($B96="","",الموظفون!$L96*$I96/cfg_DAYS_M)</f>
        <v/>
      </c>
      <c r="M96" s="86" t="str">
        <f aca="false">IF($B96="","",الموظفون!$M96*$I96/cfg_DAYS_M)</f>
        <v/>
      </c>
      <c r="N96" s="105" t="str">
        <f aca="false">IF($B96="","",SUMIFS('الحركات الشهرية'!$F$6:$F$1005,'الحركات الشهرية'!$B$6:$B$1005,$B96,'الحركات الشهرية'!$A$6:$A$1005,$C$3))</f>
        <v/>
      </c>
      <c r="O96" s="86" t="str">
        <f aca="false">IF($B96="","",N96*(الموظفون!$N96+الموظفون!$J96*cfg_OT_P)/cfg_DAYS_M/cfg_HRS)</f>
        <v/>
      </c>
      <c r="P96" s="86" t="str">
        <f aca="false">IF($B96="","",SUMIFS('الحركات الشهرية'!$G$6:$G$1005,'الحركات الشهرية'!$B$6:$B$1005,$B96,'الحركات الشهرية'!$A$6:$A$1005,$C$3))</f>
        <v/>
      </c>
      <c r="Q96" s="86" t="str">
        <f aca="false">IF($B96="","",SUMIFS('الحركات الشهرية'!$H$6:$H$1005,'الحركات الشهرية'!$B$6:$B$1005,$B96,'الحركات الشهرية'!$A$6:$A$1005,$C$3))</f>
        <v/>
      </c>
      <c r="R96" s="106" t="str">
        <f aca="false">IF($B96="","",SUM(J96:M96)+SUM(O96:Q96))</f>
        <v/>
      </c>
      <c r="S96" s="86" t="str">
        <f aca="false">IF($B96="","",الموظفون!$Q96*IF(E96="سعودي",cfg_G_SE,cfg_G_NE)*F96/cfg_DAYS_M)</f>
        <v/>
      </c>
      <c r="T96" s="86" t="str">
        <f aca="false">IF($B96="","",SUMIFS('الحركات الشهرية'!$I$6:$I$1005,'الحركات الشهرية'!$B$6:$B$1005,$B96,'الحركات الشهرية'!$A$6:$A$1005,$C$3))</f>
        <v/>
      </c>
      <c r="U96" s="86" t="str">
        <f aca="false">IF($B96="","",SUMIFS('الحركات الشهرية'!$J$6:$J$1005,'الحركات الشهرية'!$B$6:$B$1005,$B96,'الحركات الشهرية'!$A$6:$A$1005,$C$3))</f>
        <v/>
      </c>
      <c r="V96" s="86" t="str">
        <f aca="false">IF($B96="","",SUM(S96:U96))</f>
        <v/>
      </c>
      <c r="W96" s="107" t="str">
        <f aca="false">IF($B96="","",R96-V96)</f>
        <v/>
      </c>
      <c r="X96" s="86" t="str">
        <f aca="false">IF($B96="","",الموظفون!$Q96*IF(E96="سعودي",cfg_G_SR,cfg_G_NR)*F96/cfg_DAYS_M)</f>
        <v/>
      </c>
      <c r="Y96" s="86" t="str">
        <f aca="false">IF($B96="","",الموظفون!$O96*(cfg_EOS_R1*(MIN(AC96,cfg_EOS_TH)-MIN(AD96,cfg_EOS_TH))+cfg_EOS_R2*(MAX(AC96-cfg_EOS_TH,0)-MAX(AD96-cfg_EOS_TH,0))))</f>
        <v/>
      </c>
      <c r="Z96" s="86" t="str">
        <f aca="false">IF($B96="","",IF(الموظفون!$R96&lt;&gt;"",الموظفون!$R96,IF(AC96&gt;=cfg_LV_TH,cfg_LV_D2,cfg_LV_D1))/cfg_DAYS_Y*AE96*الموظفون!$P96/cfg_DAYS_M)</f>
        <v/>
      </c>
      <c r="AA96" s="86" t="str">
        <f aca="false">IF($B96="","",IF(AND(الموظفون!$S96="نعم",N(الموظفون!$U96)&gt;0),الموظفون!$T96/الموظفون!$U96*12/cfg_DAYS_Y*AE96,0))</f>
        <v/>
      </c>
      <c r="AB96" s="108" t="str">
        <f aca="false">IF($B96="","",R96+SUM(X96:AA96))</f>
        <v/>
      </c>
      <c r="AC96" s="109" t="str">
        <f aca="false">IF($B96="","",MAX(0,IF(OR(الموظفون!$X96="",الموظفون!$X96&gt;$G$3),$G$3,الموظفون!$X96)-الموظفون!$H96+1)/cfg_DAYS_Y)</f>
        <v/>
      </c>
      <c r="AD96" s="109" t="str">
        <f aca="false">IF($B96="","",MAX(0,IF(OR(الموظفون!$X96="",الموظفون!$X96&gt;($E$3-1)),($E$3-1),الموظفون!$X96)-الموظفون!$H96+1)/cfg_DAYS_Y)</f>
        <v/>
      </c>
      <c r="AE96" s="51" t="str">
        <f aca="false">IF($B96="","",MAX(0,IF(OR(الموظفون!$X96="",الموظفون!$X96&gt;$G$3),$G$3,الموظفون!$X96)-MAX($E$3,الموظفون!$H96)+1))</f>
        <v/>
      </c>
    </row>
    <row r="97" customFormat="false" ht="15" hidden="false" customHeight="false" outlineLevel="0" collapsed="false">
      <c r="A97" s="89" t="str">
        <f aca="false">IF($B97="","",الموظفون!$A97)</f>
        <v/>
      </c>
      <c r="B97" s="91" t="str">
        <f aca="false">IF(الموظفون!$B97="","",الموظفون!$B97)</f>
        <v/>
      </c>
      <c r="C97" s="91" t="str">
        <f aca="false">IF($B97="","",الموظفون!$C97)</f>
        <v/>
      </c>
      <c r="D97" s="91" t="str">
        <f aca="false">IF($B97="","",الموظفون!$F97)</f>
        <v/>
      </c>
      <c r="E97" s="91" t="str">
        <f aca="false">IF($B97="","",الموظفون!$E97)</f>
        <v/>
      </c>
      <c r="F97" s="110" t="str">
        <f aca="false">IF($B97="","",IF(AE97&gt;=DAY($G$3),cfg_DAYS_M,MIN(AE97,cfg_DAYS_M)))</f>
        <v/>
      </c>
      <c r="G97" s="110" t="str">
        <f aca="false">IF($B97="","",SUMIFS('الحركات الشهرية'!$D$6:$D$1005,'الحركات الشهرية'!$B$6:$B$1005,$B97,'الحركات الشهرية'!$A$6:$A$1005,$C$3))</f>
        <v/>
      </c>
      <c r="H97" s="110" t="str">
        <f aca="false">IF($B97="","",SUMIFS('الحركات الشهرية'!$E$6:$E$1005,'الحركات الشهرية'!$B$6:$B$1005,$B97,'الحركات الشهرية'!$A$6:$A$1005,$C$3))</f>
        <v/>
      </c>
      <c r="I97" s="110" t="str">
        <f aca="false">IF($B97="","",MAX(0,F97-G97-H97))</f>
        <v/>
      </c>
      <c r="J97" s="90" t="str">
        <f aca="false">IF($B97="","",الموظفون!$J97*$I97/cfg_DAYS_M)</f>
        <v/>
      </c>
      <c r="K97" s="90" t="str">
        <f aca="false">IF($B97="","",الموظفون!$K97*$I97/cfg_DAYS_M)</f>
        <v/>
      </c>
      <c r="L97" s="90" t="str">
        <f aca="false">IF($B97="","",الموظفون!$L97*$I97/cfg_DAYS_M)</f>
        <v/>
      </c>
      <c r="M97" s="90" t="str">
        <f aca="false">IF($B97="","",الموظفون!$M97*$I97/cfg_DAYS_M)</f>
        <v/>
      </c>
      <c r="N97" s="110" t="str">
        <f aca="false">IF($B97="","",SUMIFS('الحركات الشهرية'!$F$6:$F$1005,'الحركات الشهرية'!$B$6:$B$1005,$B97,'الحركات الشهرية'!$A$6:$A$1005,$C$3))</f>
        <v/>
      </c>
      <c r="O97" s="90" t="str">
        <f aca="false">IF($B97="","",N97*(الموظفون!$N97+الموظفون!$J97*cfg_OT_P)/cfg_DAYS_M/cfg_HRS)</f>
        <v/>
      </c>
      <c r="P97" s="90" t="str">
        <f aca="false">IF($B97="","",SUMIFS('الحركات الشهرية'!$G$6:$G$1005,'الحركات الشهرية'!$B$6:$B$1005,$B97,'الحركات الشهرية'!$A$6:$A$1005,$C$3))</f>
        <v/>
      </c>
      <c r="Q97" s="90" t="str">
        <f aca="false">IF($B97="","",SUMIFS('الحركات الشهرية'!$H$6:$H$1005,'الحركات الشهرية'!$B$6:$B$1005,$B97,'الحركات الشهرية'!$A$6:$A$1005,$C$3))</f>
        <v/>
      </c>
      <c r="R97" s="111" t="str">
        <f aca="false">IF($B97="","",SUM(J97:M97)+SUM(O97:Q97))</f>
        <v/>
      </c>
      <c r="S97" s="90" t="str">
        <f aca="false">IF($B97="","",الموظفون!$Q97*IF(E97="سعودي",cfg_G_SE,cfg_G_NE)*F97/cfg_DAYS_M)</f>
        <v/>
      </c>
      <c r="T97" s="90" t="str">
        <f aca="false">IF($B97="","",SUMIFS('الحركات الشهرية'!$I$6:$I$1005,'الحركات الشهرية'!$B$6:$B$1005,$B97,'الحركات الشهرية'!$A$6:$A$1005,$C$3))</f>
        <v/>
      </c>
      <c r="U97" s="90" t="str">
        <f aca="false">IF($B97="","",SUMIFS('الحركات الشهرية'!$J$6:$J$1005,'الحركات الشهرية'!$B$6:$B$1005,$B97,'الحركات الشهرية'!$A$6:$A$1005,$C$3))</f>
        <v/>
      </c>
      <c r="V97" s="90" t="str">
        <f aca="false">IF($B97="","",SUM(S97:U97))</f>
        <v/>
      </c>
      <c r="W97" s="112" t="str">
        <f aca="false">IF($B97="","",R97-V97)</f>
        <v/>
      </c>
      <c r="X97" s="90" t="str">
        <f aca="false">IF($B97="","",الموظفون!$Q97*IF(E97="سعودي",cfg_G_SR,cfg_G_NR)*F97/cfg_DAYS_M)</f>
        <v/>
      </c>
      <c r="Y97" s="90" t="str">
        <f aca="false">IF($B97="","",الموظفون!$O97*(cfg_EOS_R1*(MIN(AC97,cfg_EOS_TH)-MIN(AD97,cfg_EOS_TH))+cfg_EOS_R2*(MAX(AC97-cfg_EOS_TH,0)-MAX(AD97-cfg_EOS_TH,0))))</f>
        <v/>
      </c>
      <c r="Z97" s="90" t="str">
        <f aca="false">IF($B97="","",IF(الموظفون!$R97&lt;&gt;"",الموظفون!$R97,IF(AC97&gt;=cfg_LV_TH,cfg_LV_D2,cfg_LV_D1))/cfg_DAYS_Y*AE97*الموظفون!$P97/cfg_DAYS_M)</f>
        <v/>
      </c>
      <c r="AA97" s="90" t="str">
        <f aca="false">IF($B97="","",IF(AND(الموظفون!$S97="نعم",N(الموظفون!$U97)&gt;0),الموظفون!$T97/الموظفون!$U97*12/cfg_DAYS_Y*AE97,0))</f>
        <v/>
      </c>
      <c r="AB97" s="113" t="str">
        <f aca="false">IF($B97="","",R97+SUM(X97:AA97))</f>
        <v/>
      </c>
      <c r="AC97" s="114" t="str">
        <f aca="false">IF($B97="","",MAX(0,IF(OR(الموظفون!$X97="",الموظفون!$X97&gt;$G$3),$G$3,الموظفون!$X97)-الموظفون!$H97+1)/cfg_DAYS_Y)</f>
        <v/>
      </c>
      <c r="AD97" s="114" t="str">
        <f aca="false">IF($B97="","",MAX(0,IF(OR(الموظفون!$X97="",الموظفون!$X97&gt;($E$3-1)),($E$3-1),الموظفون!$X97)-الموظفون!$H97+1)/cfg_DAYS_Y)</f>
        <v/>
      </c>
      <c r="AE97" s="115" t="str">
        <f aca="false">IF($B97="","",MAX(0,IF(OR(الموظفون!$X97="",الموظفون!$X97&gt;$G$3),$G$3,الموظفون!$X97)-MAX($E$3,الموظفون!$H97)+1))</f>
        <v/>
      </c>
    </row>
    <row r="98" customFormat="false" ht="15" hidden="false" customHeight="false" outlineLevel="0" collapsed="false">
      <c r="A98" s="83" t="str">
        <f aca="false">IF($B98="","",الموظفون!$A98)</f>
        <v/>
      </c>
      <c r="B98" s="74" t="str">
        <f aca="false">IF(الموظفون!$B98="","",الموظفون!$B98)</f>
        <v/>
      </c>
      <c r="C98" s="74" t="str">
        <f aca="false">IF($B98="","",الموظفون!$C98)</f>
        <v/>
      </c>
      <c r="D98" s="74" t="str">
        <f aca="false">IF($B98="","",الموظفون!$F98)</f>
        <v/>
      </c>
      <c r="E98" s="74" t="str">
        <f aca="false">IF($B98="","",الموظفون!$E98)</f>
        <v/>
      </c>
      <c r="F98" s="105" t="str">
        <f aca="false">IF($B98="","",IF(AE98&gt;=DAY($G$3),cfg_DAYS_M,MIN(AE98,cfg_DAYS_M)))</f>
        <v/>
      </c>
      <c r="G98" s="105" t="str">
        <f aca="false">IF($B98="","",SUMIFS('الحركات الشهرية'!$D$6:$D$1005,'الحركات الشهرية'!$B$6:$B$1005,$B98,'الحركات الشهرية'!$A$6:$A$1005,$C$3))</f>
        <v/>
      </c>
      <c r="H98" s="105" t="str">
        <f aca="false">IF($B98="","",SUMIFS('الحركات الشهرية'!$E$6:$E$1005,'الحركات الشهرية'!$B$6:$B$1005,$B98,'الحركات الشهرية'!$A$6:$A$1005,$C$3))</f>
        <v/>
      </c>
      <c r="I98" s="105" t="str">
        <f aca="false">IF($B98="","",MAX(0,F98-G98-H98))</f>
        <v/>
      </c>
      <c r="J98" s="86" t="str">
        <f aca="false">IF($B98="","",الموظفون!$J98*$I98/cfg_DAYS_M)</f>
        <v/>
      </c>
      <c r="K98" s="86" t="str">
        <f aca="false">IF($B98="","",الموظفون!$K98*$I98/cfg_DAYS_M)</f>
        <v/>
      </c>
      <c r="L98" s="86" t="str">
        <f aca="false">IF($B98="","",الموظفون!$L98*$I98/cfg_DAYS_M)</f>
        <v/>
      </c>
      <c r="M98" s="86" t="str">
        <f aca="false">IF($B98="","",الموظفون!$M98*$I98/cfg_DAYS_M)</f>
        <v/>
      </c>
      <c r="N98" s="105" t="str">
        <f aca="false">IF($B98="","",SUMIFS('الحركات الشهرية'!$F$6:$F$1005,'الحركات الشهرية'!$B$6:$B$1005,$B98,'الحركات الشهرية'!$A$6:$A$1005,$C$3))</f>
        <v/>
      </c>
      <c r="O98" s="86" t="str">
        <f aca="false">IF($B98="","",N98*(الموظفون!$N98+الموظفون!$J98*cfg_OT_P)/cfg_DAYS_M/cfg_HRS)</f>
        <v/>
      </c>
      <c r="P98" s="86" t="str">
        <f aca="false">IF($B98="","",SUMIFS('الحركات الشهرية'!$G$6:$G$1005,'الحركات الشهرية'!$B$6:$B$1005,$B98,'الحركات الشهرية'!$A$6:$A$1005,$C$3))</f>
        <v/>
      </c>
      <c r="Q98" s="86" t="str">
        <f aca="false">IF($B98="","",SUMIFS('الحركات الشهرية'!$H$6:$H$1005,'الحركات الشهرية'!$B$6:$B$1005,$B98,'الحركات الشهرية'!$A$6:$A$1005,$C$3))</f>
        <v/>
      </c>
      <c r="R98" s="106" t="str">
        <f aca="false">IF($B98="","",SUM(J98:M98)+SUM(O98:Q98))</f>
        <v/>
      </c>
      <c r="S98" s="86" t="str">
        <f aca="false">IF($B98="","",الموظفون!$Q98*IF(E98="سعودي",cfg_G_SE,cfg_G_NE)*F98/cfg_DAYS_M)</f>
        <v/>
      </c>
      <c r="T98" s="86" t="str">
        <f aca="false">IF($B98="","",SUMIFS('الحركات الشهرية'!$I$6:$I$1005,'الحركات الشهرية'!$B$6:$B$1005,$B98,'الحركات الشهرية'!$A$6:$A$1005,$C$3))</f>
        <v/>
      </c>
      <c r="U98" s="86" t="str">
        <f aca="false">IF($B98="","",SUMIFS('الحركات الشهرية'!$J$6:$J$1005,'الحركات الشهرية'!$B$6:$B$1005,$B98,'الحركات الشهرية'!$A$6:$A$1005,$C$3))</f>
        <v/>
      </c>
      <c r="V98" s="86" t="str">
        <f aca="false">IF($B98="","",SUM(S98:U98))</f>
        <v/>
      </c>
      <c r="W98" s="107" t="str">
        <f aca="false">IF($B98="","",R98-V98)</f>
        <v/>
      </c>
      <c r="X98" s="86" t="str">
        <f aca="false">IF($B98="","",الموظفون!$Q98*IF(E98="سعودي",cfg_G_SR,cfg_G_NR)*F98/cfg_DAYS_M)</f>
        <v/>
      </c>
      <c r="Y98" s="86" t="str">
        <f aca="false">IF($B98="","",الموظفون!$O98*(cfg_EOS_R1*(MIN(AC98,cfg_EOS_TH)-MIN(AD98,cfg_EOS_TH))+cfg_EOS_R2*(MAX(AC98-cfg_EOS_TH,0)-MAX(AD98-cfg_EOS_TH,0))))</f>
        <v/>
      </c>
      <c r="Z98" s="86" t="str">
        <f aca="false">IF($B98="","",IF(الموظفون!$R98&lt;&gt;"",الموظفون!$R98,IF(AC98&gt;=cfg_LV_TH,cfg_LV_D2,cfg_LV_D1))/cfg_DAYS_Y*AE98*الموظفون!$P98/cfg_DAYS_M)</f>
        <v/>
      </c>
      <c r="AA98" s="86" t="str">
        <f aca="false">IF($B98="","",IF(AND(الموظفون!$S98="نعم",N(الموظفون!$U98)&gt;0),الموظفون!$T98/الموظفون!$U98*12/cfg_DAYS_Y*AE98,0))</f>
        <v/>
      </c>
      <c r="AB98" s="108" t="str">
        <f aca="false">IF($B98="","",R98+SUM(X98:AA98))</f>
        <v/>
      </c>
      <c r="AC98" s="109" t="str">
        <f aca="false">IF($B98="","",MAX(0,IF(OR(الموظفون!$X98="",الموظفون!$X98&gt;$G$3),$G$3,الموظفون!$X98)-الموظفون!$H98+1)/cfg_DAYS_Y)</f>
        <v/>
      </c>
      <c r="AD98" s="109" t="str">
        <f aca="false">IF($B98="","",MAX(0,IF(OR(الموظفون!$X98="",الموظفون!$X98&gt;($E$3-1)),($E$3-1),الموظفون!$X98)-الموظفون!$H98+1)/cfg_DAYS_Y)</f>
        <v/>
      </c>
      <c r="AE98" s="51" t="str">
        <f aca="false">IF($B98="","",MAX(0,IF(OR(الموظفون!$X98="",الموظفون!$X98&gt;$G$3),$G$3,الموظفون!$X98)-MAX($E$3,الموظفون!$H98)+1))</f>
        <v/>
      </c>
    </row>
    <row r="99" customFormat="false" ht="15" hidden="false" customHeight="false" outlineLevel="0" collapsed="false">
      <c r="A99" s="89" t="str">
        <f aca="false">IF($B99="","",الموظفون!$A99)</f>
        <v/>
      </c>
      <c r="B99" s="91" t="str">
        <f aca="false">IF(الموظفون!$B99="","",الموظفون!$B99)</f>
        <v/>
      </c>
      <c r="C99" s="91" t="str">
        <f aca="false">IF($B99="","",الموظفون!$C99)</f>
        <v/>
      </c>
      <c r="D99" s="91" t="str">
        <f aca="false">IF($B99="","",الموظفون!$F99)</f>
        <v/>
      </c>
      <c r="E99" s="91" t="str">
        <f aca="false">IF($B99="","",الموظفون!$E99)</f>
        <v/>
      </c>
      <c r="F99" s="110" t="str">
        <f aca="false">IF($B99="","",IF(AE99&gt;=DAY($G$3),cfg_DAYS_M,MIN(AE99,cfg_DAYS_M)))</f>
        <v/>
      </c>
      <c r="G99" s="110" t="str">
        <f aca="false">IF($B99="","",SUMIFS('الحركات الشهرية'!$D$6:$D$1005,'الحركات الشهرية'!$B$6:$B$1005,$B99,'الحركات الشهرية'!$A$6:$A$1005,$C$3))</f>
        <v/>
      </c>
      <c r="H99" s="110" t="str">
        <f aca="false">IF($B99="","",SUMIFS('الحركات الشهرية'!$E$6:$E$1005,'الحركات الشهرية'!$B$6:$B$1005,$B99,'الحركات الشهرية'!$A$6:$A$1005,$C$3))</f>
        <v/>
      </c>
      <c r="I99" s="110" t="str">
        <f aca="false">IF($B99="","",MAX(0,F99-G99-H99))</f>
        <v/>
      </c>
      <c r="J99" s="90" t="str">
        <f aca="false">IF($B99="","",الموظفون!$J99*$I99/cfg_DAYS_M)</f>
        <v/>
      </c>
      <c r="K99" s="90" t="str">
        <f aca="false">IF($B99="","",الموظفون!$K99*$I99/cfg_DAYS_M)</f>
        <v/>
      </c>
      <c r="L99" s="90" t="str">
        <f aca="false">IF($B99="","",الموظفون!$L99*$I99/cfg_DAYS_M)</f>
        <v/>
      </c>
      <c r="M99" s="90" t="str">
        <f aca="false">IF($B99="","",الموظفون!$M99*$I99/cfg_DAYS_M)</f>
        <v/>
      </c>
      <c r="N99" s="110" t="str">
        <f aca="false">IF($B99="","",SUMIFS('الحركات الشهرية'!$F$6:$F$1005,'الحركات الشهرية'!$B$6:$B$1005,$B99,'الحركات الشهرية'!$A$6:$A$1005,$C$3))</f>
        <v/>
      </c>
      <c r="O99" s="90" t="str">
        <f aca="false">IF($B99="","",N99*(الموظفون!$N99+الموظفون!$J99*cfg_OT_P)/cfg_DAYS_M/cfg_HRS)</f>
        <v/>
      </c>
      <c r="P99" s="90" t="str">
        <f aca="false">IF($B99="","",SUMIFS('الحركات الشهرية'!$G$6:$G$1005,'الحركات الشهرية'!$B$6:$B$1005,$B99,'الحركات الشهرية'!$A$6:$A$1005,$C$3))</f>
        <v/>
      </c>
      <c r="Q99" s="90" t="str">
        <f aca="false">IF($B99="","",SUMIFS('الحركات الشهرية'!$H$6:$H$1005,'الحركات الشهرية'!$B$6:$B$1005,$B99,'الحركات الشهرية'!$A$6:$A$1005,$C$3))</f>
        <v/>
      </c>
      <c r="R99" s="111" t="str">
        <f aca="false">IF($B99="","",SUM(J99:M99)+SUM(O99:Q99))</f>
        <v/>
      </c>
      <c r="S99" s="90" t="str">
        <f aca="false">IF($B99="","",الموظفون!$Q99*IF(E99="سعودي",cfg_G_SE,cfg_G_NE)*F99/cfg_DAYS_M)</f>
        <v/>
      </c>
      <c r="T99" s="90" t="str">
        <f aca="false">IF($B99="","",SUMIFS('الحركات الشهرية'!$I$6:$I$1005,'الحركات الشهرية'!$B$6:$B$1005,$B99,'الحركات الشهرية'!$A$6:$A$1005,$C$3))</f>
        <v/>
      </c>
      <c r="U99" s="90" t="str">
        <f aca="false">IF($B99="","",SUMIFS('الحركات الشهرية'!$J$6:$J$1005,'الحركات الشهرية'!$B$6:$B$1005,$B99,'الحركات الشهرية'!$A$6:$A$1005,$C$3))</f>
        <v/>
      </c>
      <c r="V99" s="90" t="str">
        <f aca="false">IF($B99="","",SUM(S99:U99))</f>
        <v/>
      </c>
      <c r="W99" s="112" t="str">
        <f aca="false">IF($B99="","",R99-V99)</f>
        <v/>
      </c>
      <c r="X99" s="90" t="str">
        <f aca="false">IF($B99="","",الموظفون!$Q99*IF(E99="سعودي",cfg_G_SR,cfg_G_NR)*F99/cfg_DAYS_M)</f>
        <v/>
      </c>
      <c r="Y99" s="90" t="str">
        <f aca="false">IF($B99="","",الموظفون!$O99*(cfg_EOS_R1*(MIN(AC99,cfg_EOS_TH)-MIN(AD99,cfg_EOS_TH))+cfg_EOS_R2*(MAX(AC99-cfg_EOS_TH,0)-MAX(AD99-cfg_EOS_TH,0))))</f>
        <v/>
      </c>
      <c r="Z99" s="90" t="str">
        <f aca="false">IF($B99="","",IF(الموظفون!$R99&lt;&gt;"",الموظفون!$R99,IF(AC99&gt;=cfg_LV_TH,cfg_LV_D2,cfg_LV_D1))/cfg_DAYS_Y*AE99*الموظفون!$P99/cfg_DAYS_M)</f>
        <v/>
      </c>
      <c r="AA99" s="90" t="str">
        <f aca="false">IF($B99="","",IF(AND(الموظفون!$S99="نعم",N(الموظفون!$U99)&gt;0),الموظفون!$T99/الموظفون!$U99*12/cfg_DAYS_Y*AE99,0))</f>
        <v/>
      </c>
      <c r="AB99" s="113" t="str">
        <f aca="false">IF($B99="","",R99+SUM(X99:AA99))</f>
        <v/>
      </c>
      <c r="AC99" s="114" t="str">
        <f aca="false">IF($B99="","",MAX(0,IF(OR(الموظفون!$X99="",الموظفون!$X99&gt;$G$3),$G$3,الموظفون!$X99)-الموظفون!$H99+1)/cfg_DAYS_Y)</f>
        <v/>
      </c>
      <c r="AD99" s="114" t="str">
        <f aca="false">IF($B99="","",MAX(0,IF(OR(الموظفون!$X99="",الموظفون!$X99&gt;($E$3-1)),($E$3-1),الموظفون!$X99)-الموظفون!$H99+1)/cfg_DAYS_Y)</f>
        <v/>
      </c>
      <c r="AE99" s="115" t="str">
        <f aca="false">IF($B99="","",MAX(0,IF(OR(الموظفون!$X99="",الموظفون!$X99&gt;$G$3),$G$3,الموظفون!$X99)-MAX($E$3,الموظفون!$H99)+1))</f>
        <v/>
      </c>
    </row>
    <row r="100" customFormat="false" ht="15" hidden="false" customHeight="false" outlineLevel="0" collapsed="false">
      <c r="A100" s="83" t="str">
        <f aca="false">IF($B100="","",الموظفون!$A100)</f>
        <v/>
      </c>
      <c r="B100" s="74" t="str">
        <f aca="false">IF(الموظفون!$B100="","",الموظفون!$B100)</f>
        <v/>
      </c>
      <c r="C100" s="74" t="str">
        <f aca="false">IF($B100="","",الموظفون!$C100)</f>
        <v/>
      </c>
      <c r="D100" s="74" t="str">
        <f aca="false">IF($B100="","",الموظفون!$F100)</f>
        <v/>
      </c>
      <c r="E100" s="74" t="str">
        <f aca="false">IF($B100="","",الموظفون!$E100)</f>
        <v/>
      </c>
      <c r="F100" s="105" t="str">
        <f aca="false">IF($B100="","",IF(AE100&gt;=DAY($G$3),cfg_DAYS_M,MIN(AE100,cfg_DAYS_M)))</f>
        <v/>
      </c>
      <c r="G100" s="105" t="str">
        <f aca="false">IF($B100="","",SUMIFS('الحركات الشهرية'!$D$6:$D$1005,'الحركات الشهرية'!$B$6:$B$1005,$B100,'الحركات الشهرية'!$A$6:$A$1005,$C$3))</f>
        <v/>
      </c>
      <c r="H100" s="105" t="str">
        <f aca="false">IF($B100="","",SUMIFS('الحركات الشهرية'!$E$6:$E$1005,'الحركات الشهرية'!$B$6:$B$1005,$B100,'الحركات الشهرية'!$A$6:$A$1005,$C$3))</f>
        <v/>
      </c>
      <c r="I100" s="105" t="str">
        <f aca="false">IF($B100="","",MAX(0,F100-G100-H100))</f>
        <v/>
      </c>
      <c r="J100" s="86" t="str">
        <f aca="false">IF($B100="","",الموظفون!$J100*$I100/cfg_DAYS_M)</f>
        <v/>
      </c>
      <c r="K100" s="86" t="str">
        <f aca="false">IF($B100="","",الموظفون!$K100*$I100/cfg_DAYS_M)</f>
        <v/>
      </c>
      <c r="L100" s="86" t="str">
        <f aca="false">IF($B100="","",الموظفون!$L100*$I100/cfg_DAYS_M)</f>
        <v/>
      </c>
      <c r="M100" s="86" t="str">
        <f aca="false">IF($B100="","",الموظفون!$M100*$I100/cfg_DAYS_M)</f>
        <v/>
      </c>
      <c r="N100" s="105" t="str">
        <f aca="false">IF($B100="","",SUMIFS('الحركات الشهرية'!$F$6:$F$1005,'الحركات الشهرية'!$B$6:$B$1005,$B100,'الحركات الشهرية'!$A$6:$A$1005,$C$3))</f>
        <v/>
      </c>
      <c r="O100" s="86" t="str">
        <f aca="false">IF($B100="","",N100*(الموظفون!$N100+الموظفون!$J100*cfg_OT_P)/cfg_DAYS_M/cfg_HRS)</f>
        <v/>
      </c>
      <c r="P100" s="86" t="str">
        <f aca="false">IF($B100="","",SUMIFS('الحركات الشهرية'!$G$6:$G$1005,'الحركات الشهرية'!$B$6:$B$1005,$B100,'الحركات الشهرية'!$A$6:$A$1005,$C$3))</f>
        <v/>
      </c>
      <c r="Q100" s="86" t="str">
        <f aca="false">IF($B100="","",SUMIFS('الحركات الشهرية'!$H$6:$H$1005,'الحركات الشهرية'!$B$6:$B$1005,$B100,'الحركات الشهرية'!$A$6:$A$1005,$C$3))</f>
        <v/>
      </c>
      <c r="R100" s="106" t="str">
        <f aca="false">IF($B100="","",SUM(J100:M100)+SUM(O100:Q100))</f>
        <v/>
      </c>
      <c r="S100" s="86" t="str">
        <f aca="false">IF($B100="","",الموظفون!$Q100*IF(E100="سعودي",cfg_G_SE,cfg_G_NE)*F100/cfg_DAYS_M)</f>
        <v/>
      </c>
      <c r="T100" s="86" t="str">
        <f aca="false">IF($B100="","",SUMIFS('الحركات الشهرية'!$I$6:$I$1005,'الحركات الشهرية'!$B$6:$B$1005,$B100,'الحركات الشهرية'!$A$6:$A$1005,$C$3))</f>
        <v/>
      </c>
      <c r="U100" s="86" t="str">
        <f aca="false">IF($B100="","",SUMIFS('الحركات الشهرية'!$J$6:$J$1005,'الحركات الشهرية'!$B$6:$B$1005,$B100,'الحركات الشهرية'!$A$6:$A$1005,$C$3))</f>
        <v/>
      </c>
      <c r="V100" s="86" t="str">
        <f aca="false">IF($B100="","",SUM(S100:U100))</f>
        <v/>
      </c>
      <c r="W100" s="107" t="str">
        <f aca="false">IF($B100="","",R100-V100)</f>
        <v/>
      </c>
      <c r="X100" s="86" t="str">
        <f aca="false">IF($B100="","",الموظفون!$Q100*IF(E100="سعودي",cfg_G_SR,cfg_G_NR)*F100/cfg_DAYS_M)</f>
        <v/>
      </c>
      <c r="Y100" s="86" t="str">
        <f aca="false">IF($B100="","",الموظفون!$O100*(cfg_EOS_R1*(MIN(AC100,cfg_EOS_TH)-MIN(AD100,cfg_EOS_TH))+cfg_EOS_R2*(MAX(AC100-cfg_EOS_TH,0)-MAX(AD100-cfg_EOS_TH,0))))</f>
        <v/>
      </c>
      <c r="Z100" s="86" t="str">
        <f aca="false">IF($B100="","",IF(الموظفون!$R100&lt;&gt;"",الموظفون!$R100,IF(AC100&gt;=cfg_LV_TH,cfg_LV_D2,cfg_LV_D1))/cfg_DAYS_Y*AE100*الموظفون!$P100/cfg_DAYS_M)</f>
        <v/>
      </c>
      <c r="AA100" s="86" t="str">
        <f aca="false">IF($B100="","",IF(AND(الموظفون!$S100="نعم",N(الموظفون!$U100)&gt;0),الموظفون!$T100/الموظفون!$U100*12/cfg_DAYS_Y*AE100,0))</f>
        <v/>
      </c>
      <c r="AB100" s="108" t="str">
        <f aca="false">IF($B100="","",R100+SUM(X100:AA100))</f>
        <v/>
      </c>
      <c r="AC100" s="109" t="str">
        <f aca="false">IF($B100="","",MAX(0,IF(OR(الموظفون!$X100="",الموظفون!$X100&gt;$G$3),$G$3,الموظفون!$X100)-الموظفون!$H100+1)/cfg_DAYS_Y)</f>
        <v/>
      </c>
      <c r="AD100" s="109" t="str">
        <f aca="false">IF($B100="","",MAX(0,IF(OR(الموظفون!$X100="",الموظفون!$X100&gt;($E$3-1)),($E$3-1),الموظفون!$X100)-الموظفون!$H100+1)/cfg_DAYS_Y)</f>
        <v/>
      </c>
      <c r="AE100" s="51" t="str">
        <f aca="false">IF($B100="","",MAX(0,IF(OR(الموظفون!$X100="",الموظفون!$X100&gt;$G$3),$G$3,الموظفون!$X100)-MAX($E$3,الموظفون!$H100)+1))</f>
        <v/>
      </c>
    </row>
    <row r="101" customFormat="false" ht="15" hidden="false" customHeight="false" outlineLevel="0" collapsed="false">
      <c r="A101" s="89" t="str">
        <f aca="false">IF($B101="","",الموظفون!$A101)</f>
        <v/>
      </c>
      <c r="B101" s="91" t="str">
        <f aca="false">IF(الموظفون!$B101="","",الموظفون!$B101)</f>
        <v/>
      </c>
      <c r="C101" s="91" t="str">
        <f aca="false">IF($B101="","",الموظفون!$C101)</f>
        <v/>
      </c>
      <c r="D101" s="91" t="str">
        <f aca="false">IF($B101="","",الموظفون!$F101)</f>
        <v/>
      </c>
      <c r="E101" s="91" t="str">
        <f aca="false">IF($B101="","",الموظفون!$E101)</f>
        <v/>
      </c>
      <c r="F101" s="110" t="str">
        <f aca="false">IF($B101="","",IF(AE101&gt;=DAY($G$3),cfg_DAYS_M,MIN(AE101,cfg_DAYS_M)))</f>
        <v/>
      </c>
      <c r="G101" s="110" t="str">
        <f aca="false">IF($B101="","",SUMIFS('الحركات الشهرية'!$D$6:$D$1005,'الحركات الشهرية'!$B$6:$B$1005,$B101,'الحركات الشهرية'!$A$6:$A$1005,$C$3))</f>
        <v/>
      </c>
      <c r="H101" s="110" t="str">
        <f aca="false">IF($B101="","",SUMIFS('الحركات الشهرية'!$E$6:$E$1005,'الحركات الشهرية'!$B$6:$B$1005,$B101,'الحركات الشهرية'!$A$6:$A$1005,$C$3))</f>
        <v/>
      </c>
      <c r="I101" s="110" t="str">
        <f aca="false">IF($B101="","",MAX(0,F101-G101-H101))</f>
        <v/>
      </c>
      <c r="J101" s="90" t="str">
        <f aca="false">IF($B101="","",الموظفون!$J101*$I101/cfg_DAYS_M)</f>
        <v/>
      </c>
      <c r="K101" s="90" t="str">
        <f aca="false">IF($B101="","",الموظفون!$K101*$I101/cfg_DAYS_M)</f>
        <v/>
      </c>
      <c r="L101" s="90" t="str">
        <f aca="false">IF($B101="","",الموظفون!$L101*$I101/cfg_DAYS_M)</f>
        <v/>
      </c>
      <c r="M101" s="90" t="str">
        <f aca="false">IF($B101="","",الموظفون!$M101*$I101/cfg_DAYS_M)</f>
        <v/>
      </c>
      <c r="N101" s="110" t="str">
        <f aca="false">IF($B101="","",SUMIFS('الحركات الشهرية'!$F$6:$F$1005,'الحركات الشهرية'!$B$6:$B$1005,$B101,'الحركات الشهرية'!$A$6:$A$1005,$C$3))</f>
        <v/>
      </c>
      <c r="O101" s="90" t="str">
        <f aca="false">IF($B101="","",N101*(الموظفون!$N101+الموظفون!$J101*cfg_OT_P)/cfg_DAYS_M/cfg_HRS)</f>
        <v/>
      </c>
      <c r="P101" s="90" t="str">
        <f aca="false">IF($B101="","",SUMIFS('الحركات الشهرية'!$G$6:$G$1005,'الحركات الشهرية'!$B$6:$B$1005,$B101,'الحركات الشهرية'!$A$6:$A$1005,$C$3))</f>
        <v/>
      </c>
      <c r="Q101" s="90" t="str">
        <f aca="false">IF($B101="","",SUMIFS('الحركات الشهرية'!$H$6:$H$1005,'الحركات الشهرية'!$B$6:$B$1005,$B101,'الحركات الشهرية'!$A$6:$A$1005,$C$3))</f>
        <v/>
      </c>
      <c r="R101" s="111" t="str">
        <f aca="false">IF($B101="","",SUM(J101:M101)+SUM(O101:Q101))</f>
        <v/>
      </c>
      <c r="S101" s="90" t="str">
        <f aca="false">IF($B101="","",الموظفون!$Q101*IF(E101="سعودي",cfg_G_SE,cfg_G_NE)*F101/cfg_DAYS_M)</f>
        <v/>
      </c>
      <c r="T101" s="90" t="str">
        <f aca="false">IF($B101="","",SUMIFS('الحركات الشهرية'!$I$6:$I$1005,'الحركات الشهرية'!$B$6:$B$1005,$B101,'الحركات الشهرية'!$A$6:$A$1005,$C$3))</f>
        <v/>
      </c>
      <c r="U101" s="90" t="str">
        <f aca="false">IF($B101="","",SUMIFS('الحركات الشهرية'!$J$6:$J$1005,'الحركات الشهرية'!$B$6:$B$1005,$B101,'الحركات الشهرية'!$A$6:$A$1005,$C$3))</f>
        <v/>
      </c>
      <c r="V101" s="90" t="str">
        <f aca="false">IF($B101="","",SUM(S101:U101))</f>
        <v/>
      </c>
      <c r="W101" s="112" t="str">
        <f aca="false">IF($B101="","",R101-V101)</f>
        <v/>
      </c>
      <c r="X101" s="90" t="str">
        <f aca="false">IF($B101="","",الموظفون!$Q101*IF(E101="سعودي",cfg_G_SR,cfg_G_NR)*F101/cfg_DAYS_M)</f>
        <v/>
      </c>
      <c r="Y101" s="90" t="str">
        <f aca="false">IF($B101="","",الموظفون!$O101*(cfg_EOS_R1*(MIN(AC101,cfg_EOS_TH)-MIN(AD101,cfg_EOS_TH))+cfg_EOS_R2*(MAX(AC101-cfg_EOS_TH,0)-MAX(AD101-cfg_EOS_TH,0))))</f>
        <v/>
      </c>
      <c r="Z101" s="90" t="str">
        <f aca="false">IF($B101="","",IF(الموظفون!$R101&lt;&gt;"",الموظفون!$R101,IF(AC101&gt;=cfg_LV_TH,cfg_LV_D2,cfg_LV_D1))/cfg_DAYS_Y*AE101*الموظفون!$P101/cfg_DAYS_M)</f>
        <v/>
      </c>
      <c r="AA101" s="90" t="str">
        <f aca="false">IF($B101="","",IF(AND(الموظفون!$S101="نعم",N(الموظفون!$U101)&gt;0),الموظفون!$T101/الموظفون!$U101*12/cfg_DAYS_Y*AE101,0))</f>
        <v/>
      </c>
      <c r="AB101" s="113" t="str">
        <f aca="false">IF($B101="","",R101+SUM(X101:AA101))</f>
        <v/>
      </c>
      <c r="AC101" s="114" t="str">
        <f aca="false">IF($B101="","",MAX(0,IF(OR(الموظفون!$X101="",الموظفون!$X101&gt;$G$3),$G$3,الموظفون!$X101)-الموظفون!$H101+1)/cfg_DAYS_Y)</f>
        <v/>
      </c>
      <c r="AD101" s="114" t="str">
        <f aca="false">IF($B101="","",MAX(0,IF(OR(الموظفون!$X101="",الموظفون!$X101&gt;($E$3-1)),($E$3-1),الموظفون!$X101)-الموظفون!$H101+1)/cfg_DAYS_Y)</f>
        <v/>
      </c>
      <c r="AE101" s="115" t="str">
        <f aca="false">IF($B101="","",MAX(0,IF(OR(الموظفون!$X101="",الموظفون!$X101&gt;$G$3),$G$3,الموظفون!$X101)-MAX($E$3,الموظفون!$H101)+1))</f>
        <v/>
      </c>
    </row>
    <row r="102" customFormat="false" ht="15" hidden="false" customHeight="false" outlineLevel="0" collapsed="false">
      <c r="A102" s="83" t="str">
        <f aca="false">IF($B102="","",الموظفون!$A102)</f>
        <v/>
      </c>
      <c r="B102" s="74" t="str">
        <f aca="false">IF(الموظفون!$B102="","",الموظفون!$B102)</f>
        <v/>
      </c>
      <c r="C102" s="74" t="str">
        <f aca="false">IF($B102="","",الموظفون!$C102)</f>
        <v/>
      </c>
      <c r="D102" s="74" t="str">
        <f aca="false">IF($B102="","",الموظفون!$F102)</f>
        <v/>
      </c>
      <c r="E102" s="74" t="str">
        <f aca="false">IF($B102="","",الموظفون!$E102)</f>
        <v/>
      </c>
      <c r="F102" s="105" t="str">
        <f aca="false">IF($B102="","",IF(AE102&gt;=DAY($G$3),cfg_DAYS_M,MIN(AE102,cfg_DAYS_M)))</f>
        <v/>
      </c>
      <c r="G102" s="105" t="str">
        <f aca="false">IF($B102="","",SUMIFS('الحركات الشهرية'!$D$6:$D$1005,'الحركات الشهرية'!$B$6:$B$1005,$B102,'الحركات الشهرية'!$A$6:$A$1005,$C$3))</f>
        <v/>
      </c>
      <c r="H102" s="105" t="str">
        <f aca="false">IF($B102="","",SUMIFS('الحركات الشهرية'!$E$6:$E$1005,'الحركات الشهرية'!$B$6:$B$1005,$B102,'الحركات الشهرية'!$A$6:$A$1005,$C$3))</f>
        <v/>
      </c>
      <c r="I102" s="105" t="str">
        <f aca="false">IF($B102="","",MAX(0,F102-G102-H102))</f>
        <v/>
      </c>
      <c r="J102" s="86" t="str">
        <f aca="false">IF($B102="","",الموظفون!$J102*$I102/cfg_DAYS_M)</f>
        <v/>
      </c>
      <c r="K102" s="86" t="str">
        <f aca="false">IF($B102="","",الموظفون!$K102*$I102/cfg_DAYS_M)</f>
        <v/>
      </c>
      <c r="L102" s="86" t="str">
        <f aca="false">IF($B102="","",الموظفون!$L102*$I102/cfg_DAYS_M)</f>
        <v/>
      </c>
      <c r="M102" s="86" t="str">
        <f aca="false">IF($B102="","",الموظفون!$M102*$I102/cfg_DAYS_M)</f>
        <v/>
      </c>
      <c r="N102" s="105" t="str">
        <f aca="false">IF($B102="","",SUMIFS('الحركات الشهرية'!$F$6:$F$1005,'الحركات الشهرية'!$B$6:$B$1005,$B102,'الحركات الشهرية'!$A$6:$A$1005,$C$3))</f>
        <v/>
      </c>
      <c r="O102" s="86" t="str">
        <f aca="false">IF($B102="","",N102*(الموظفون!$N102+الموظفون!$J102*cfg_OT_P)/cfg_DAYS_M/cfg_HRS)</f>
        <v/>
      </c>
      <c r="P102" s="86" t="str">
        <f aca="false">IF($B102="","",SUMIFS('الحركات الشهرية'!$G$6:$G$1005,'الحركات الشهرية'!$B$6:$B$1005,$B102,'الحركات الشهرية'!$A$6:$A$1005,$C$3))</f>
        <v/>
      </c>
      <c r="Q102" s="86" t="str">
        <f aca="false">IF($B102="","",SUMIFS('الحركات الشهرية'!$H$6:$H$1005,'الحركات الشهرية'!$B$6:$B$1005,$B102,'الحركات الشهرية'!$A$6:$A$1005,$C$3))</f>
        <v/>
      </c>
      <c r="R102" s="106" t="str">
        <f aca="false">IF($B102="","",SUM(J102:M102)+SUM(O102:Q102))</f>
        <v/>
      </c>
      <c r="S102" s="86" t="str">
        <f aca="false">IF($B102="","",الموظفون!$Q102*IF(E102="سعودي",cfg_G_SE,cfg_G_NE)*F102/cfg_DAYS_M)</f>
        <v/>
      </c>
      <c r="T102" s="86" t="str">
        <f aca="false">IF($B102="","",SUMIFS('الحركات الشهرية'!$I$6:$I$1005,'الحركات الشهرية'!$B$6:$B$1005,$B102,'الحركات الشهرية'!$A$6:$A$1005,$C$3))</f>
        <v/>
      </c>
      <c r="U102" s="86" t="str">
        <f aca="false">IF($B102="","",SUMIFS('الحركات الشهرية'!$J$6:$J$1005,'الحركات الشهرية'!$B$6:$B$1005,$B102,'الحركات الشهرية'!$A$6:$A$1005,$C$3))</f>
        <v/>
      </c>
      <c r="V102" s="86" t="str">
        <f aca="false">IF($B102="","",SUM(S102:U102))</f>
        <v/>
      </c>
      <c r="W102" s="107" t="str">
        <f aca="false">IF($B102="","",R102-V102)</f>
        <v/>
      </c>
      <c r="X102" s="86" t="str">
        <f aca="false">IF($B102="","",الموظفون!$Q102*IF(E102="سعودي",cfg_G_SR,cfg_G_NR)*F102/cfg_DAYS_M)</f>
        <v/>
      </c>
      <c r="Y102" s="86" t="str">
        <f aca="false">IF($B102="","",الموظفون!$O102*(cfg_EOS_R1*(MIN(AC102,cfg_EOS_TH)-MIN(AD102,cfg_EOS_TH))+cfg_EOS_R2*(MAX(AC102-cfg_EOS_TH,0)-MAX(AD102-cfg_EOS_TH,0))))</f>
        <v/>
      </c>
      <c r="Z102" s="86" t="str">
        <f aca="false">IF($B102="","",IF(الموظفون!$R102&lt;&gt;"",الموظفون!$R102,IF(AC102&gt;=cfg_LV_TH,cfg_LV_D2,cfg_LV_D1))/cfg_DAYS_Y*AE102*الموظفون!$P102/cfg_DAYS_M)</f>
        <v/>
      </c>
      <c r="AA102" s="86" t="str">
        <f aca="false">IF($B102="","",IF(AND(الموظفون!$S102="نعم",N(الموظفون!$U102)&gt;0),الموظفون!$T102/الموظفون!$U102*12/cfg_DAYS_Y*AE102,0))</f>
        <v/>
      </c>
      <c r="AB102" s="108" t="str">
        <f aca="false">IF($B102="","",R102+SUM(X102:AA102))</f>
        <v/>
      </c>
      <c r="AC102" s="109" t="str">
        <f aca="false">IF($B102="","",MAX(0,IF(OR(الموظفون!$X102="",الموظفون!$X102&gt;$G$3),$G$3,الموظفون!$X102)-الموظفون!$H102+1)/cfg_DAYS_Y)</f>
        <v/>
      </c>
      <c r="AD102" s="109" t="str">
        <f aca="false">IF($B102="","",MAX(0,IF(OR(الموظفون!$X102="",الموظفون!$X102&gt;($E$3-1)),($E$3-1),الموظفون!$X102)-الموظفون!$H102+1)/cfg_DAYS_Y)</f>
        <v/>
      </c>
      <c r="AE102" s="51" t="str">
        <f aca="false">IF($B102="","",MAX(0,IF(OR(الموظفون!$X102="",الموظفون!$X102&gt;$G$3),$G$3,الموظفون!$X102)-MAX($E$3,الموظفون!$H102)+1))</f>
        <v/>
      </c>
    </row>
    <row r="103" customFormat="false" ht="15" hidden="false" customHeight="false" outlineLevel="0" collapsed="false">
      <c r="A103" s="89" t="str">
        <f aca="false">IF($B103="","",الموظفون!$A103)</f>
        <v/>
      </c>
      <c r="B103" s="91" t="str">
        <f aca="false">IF(الموظفون!$B103="","",الموظفون!$B103)</f>
        <v/>
      </c>
      <c r="C103" s="91" t="str">
        <f aca="false">IF($B103="","",الموظفون!$C103)</f>
        <v/>
      </c>
      <c r="D103" s="91" t="str">
        <f aca="false">IF($B103="","",الموظفون!$F103)</f>
        <v/>
      </c>
      <c r="E103" s="91" t="str">
        <f aca="false">IF($B103="","",الموظفون!$E103)</f>
        <v/>
      </c>
      <c r="F103" s="110" t="str">
        <f aca="false">IF($B103="","",IF(AE103&gt;=DAY($G$3),cfg_DAYS_M,MIN(AE103,cfg_DAYS_M)))</f>
        <v/>
      </c>
      <c r="G103" s="110" t="str">
        <f aca="false">IF($B103="","",SUMIFS('الحركات الشهرية'!$D$6:$D$1005,'الحركات الشهرية'!$B$6:$B$1005,$B103,'الحركات الشهرية'!$A$6:$A$1005,$C$3))</f>
        <v/>
      </c>
      <c r="H103" s="110" t="str">
        <f aca="false">IF($B103="","",SUMIFS('الحركات الشهرية'!$E$6:$E$1005,'الحركات الشهرية'!$B$6:$B$1005,$B103,'الحركات الشهرية'!$A$6:$A$1005,$C$3))</f>
        <v/>
      </c>
      <c r="I103" s="110" t="str">
        <f aca="false">IF($B103="","",MAX(0,F103-G103-H103))</f>
        <v/>
      </c>
      <c r="J103" s="90" t="str">
        <f aca="false">IF($B103="","",الموظفون!$J103*$I103/cfg_DAYS_M)</f>
        <v/>
      </c>
      <c r="K103" s="90" t="str">
        <f aca="false">IF($B103="","",الموظفون!$K103*$I103/cfg_DAYS_M)</f>
        <v/>
      </c>
      <c r="L103" s="90" t="str">
        <f aca="false">IF($B103="","",الموظفون!$L103*$I103/cfg_DAYS_M)</f>
        <v/>
      </c>
      <c r="M103" s="90" t="str">
        <f aca="false">IF($B103="","",الموظفون!$M103*$I103/cfg_DAYS_M)</f>
        <v/>
      </c>
      <c r="N103" s="110" t="str">
        <f aca="false">IF($B103="","",SUMIFS('الحركات الشهرية'!$F$6:$F$1005,'الحركات الشهرية'!$B$6:$B$1005,$B103,'الحركات الشهرية'!$A$6:$A$1005,$C$3))</f>
        <v/>
      </c>
      <c r="O103" s="90" t="str">
        <f aca="false">IF($B103="","",N103*(الموظفون!$N103+الموظفون!$J103*cfg_OT_P)/cfg_DAYS_M/cfg_HRS)</f>
        <v/>
      </c>
      <c r="P103" s="90" t="str">
        <f aca="false">IF($B103="","",SUMIFS('الحركات الشهرية'!$G$6:$G$1005,'الحركات الشهرية'!$B$6:$B$1005,$B103,'الحركات الشهرية'!$A$6:$A$1005,$C$3))</f>
        <v/>
      </c>
      <c r="Q103" s="90" t="str">
        <f aca="false">IF($B103="","",SUMIFS('الحركات الشهرية'!$H$6:$H$1005,'الحركات الشهرية'!$B$6:$B$1005,$B103,'الحركات الشهرية'!$A$6:$A$1005,$C$3))</f>
        <v/>
      </c>
      <c r="R103" s="111" t="str">
        <f aca="false">IF($B103="","",SUM(J103:M103)+SUM(O103:Q103))</f>
        <v/>
      </c>
      <c r="S103" s="90" t="str">
        <f aca="false">IF($B103="","",الموظفون!$Q103*IF(E103="سعودي",cfg_G_SE,cfg_G_NE)*F103/cfg_DAYS_M)</f>
        <v/>
      </c>
      <c r="T103" s="90" t="str">
        <f aca="false">IF($B103="","",SUMIFS('الحركات الشهرية'!$I$6:$I$1005,'الحركات الشهرية'!$B$6:$B$1005,$B103,'الحركات الشهرية'!$A$6:$A$1005,$C$3))</f>
        <v/>
      </c>
      <c r="U103" s="90" t="str">
        <f aca="false">IF($B103="","",SUMIFS('الحركات الشهرية'!$J$6:$J$1005,'الحركات الشهرية'!$B$6:$B$1005,$B103,'الحركات الشهرية'!$A$6:$A$1005,$C$3))</f>
        <v/>
      </c>
      <c r="V103" s="90" t="str">
        <f aca="false">IF($B103="","",SUM(S103:U103))</f>
        <v/>
      </c>
      <c r="W103" s="112" t="str">
        <f aca="false">IF($B103="","",R103-V103)</f>
        <v/>
      </c>
      <c r="X103" s="90" t="str">
        <f aca="false">IF($B103="","",الموظفون!$Q103*IF(E103="سعودي",cfg_G_SR,cfg_G_NR)*F103/cfg_DAYS_M)</f>
        <v/>
      </c>
      <c r="Y103" s="90" t="str">
        <f aca="false">IF($B103="","",الموظفون!$O103*(cfg_EOS_R1*(MIN(AC103,cfg_EOS_TH)-MIN(AD103,cfg_EOS_TH))+cfg_EOS_R2*(MAX(AC103-cfg_EOS_TH,0)-MAX(AD103-cfg_EOS_TH,0))))</f>
        <v/>
      </c>
      <c r="Z103" s="90" t="str">
        <f aca="false">IF($B103="","",IF(الموظفون!$R103&lt;&gt;"",الموظفون!$R103,IF(AC103&gt;=cfg_LV_TH,cfg_LV_D2,cfg_LV_D1))/cfg_DAYS_Y*AE103*الموظفون!$P103/cfg_DAYS_M)</f>
        <v/>
      </c>
      <c r="AA103" s="90" t="str">
        <f aca="false">IF($B103="","",IF(AND(الموظفون!$S103="نعم",N(الموظفون!$U103)&gt;0),الموظفون!$T103/الموظفون!$U103*12/cfg_DAYS_Y*AE103,0))</f>
        <v/>
      </c>
      <c r="AB103" s="113" t="str">
        <f aca="false">IF($B103="","",R103+SUM(X103:AA103))</f>
        <v/>
      </c>
      <c r="AC103" s="114" t="str">
        <f aca="false">IF($B103="","",MAX(0,IF(OR(الموظفون!$X103="",الموظفون!$X103&gt;$G$3),$G$3,الموظفون!$X103)-الموظفون!$H103+1)/cfg_DAYS_Y)</f>
        <v/>
      </c>
      <c r="AD103" s="114" t="str">
        <f aca="false">IF($B103="","",MAX(0,IF(OR(الموظفون!$X103="",الموظفون!$X103&gt;($E$3-1)),($E$3-1),الموظفون!$X103)-الموظفون!$H103+1)/cfg_DAYS_Y)</f>
        <v/>
      </c>
      <c r="AE103" s="115" t="str">
        <f aca="false">IF($B103="","",MAX(0,IF(OR(الموظفون!$X103="",الموظفون!$X103&gt;$G$3),$G$3,الموظفون!$X103)-MAX($E$3,الموظفون!$H103)+1))</f>
        <v/>
      </c>
    </row>
    <row r="104" customFormat="false" ht="15" hidden="false" customHeight="false" outlineLevel="0" collapsed="false">
      <c r="A104" s="83" t="str">
        <f aca="false">IF($B104="","",الموظفون!$A104)</f>
        <v/>
      </c>
      <c r="B104" s="74" t="str">
        <f aca="false">IF(الموظفون!$B104="","",الموظفون!$B104)</f>
        <v/>
      </c>
      <c r="C104" s="74" t="str">
        <f aca="false">IF($B104="","",الموظفون!$C104)</f>
        <v/>
      </c>
      <c r="D104" s="74" t="str">
        <f aca="false">IF($B104="","",الموظفون!$F104)</f>
        <v/>
      </c>
      <c r="E104" s="74" t="str">
        <f aca="false">IF($B104="","",الموظفون!$E104)</f>
        <v/>
      </c>
      <c r="F104" s="105" t="str">
        <f aca="false">IF($B104="","",IF(AE104&gt;=DAY($G$3),cfg_DAYS_M,MIN(AE104,cfg_DAYS_M)))</f>
        <v/>
      </c>
      <c r="G104" s="105" t="str">
        <f aca="false">IF($B104="","",SUMIFS('الحركات الشهرية'!$D$6:$D$1005,'الحركات الشهرية'!$B$6:$B$1005,$B104,'الحركات الشهرية'!$A$6:$A$1005,$C$3))</f>
        <v/>
      </c>
      <c r="H104" s="105" t="str">
        <f aca="false">IF($B104="","",SUMIFS('الحركات الشهرية'!$E$6:$E$1005,'الحركات الشهرية'!$B$6:$B$1005,$B104,'الحركات الشهرية'!$A$6:$A$1005,$C$3))</f>
        <v/>
      </c>
      <c r="I104" s="105" t="str">
        <f aca="false">IF($B104="","",MAX(0,F104-G104-H104))</f>
        <v/>
      </c>
      <c r="J104" s="86" t="str">
        <f aca="false">IF($B104="","",الموظفون!$J104*$I104/cfg_DAYS_M)</f>
        <v/>
      </c>
      <c r="K104" s="86" t="str">
        <f aca="false">IF($B104="","",الموظفون!$K104*$I104/cfg_DAYS_M)</f>
        <v/>
      </c>
      <c r="L104" s="86" t="str">
        <f aca="false">IF($B104="","",الموظفون!$L104*$I104/cfg_DAYS_M)</f>
        <v/>
      </c>
      <c r="M104" s="86" t="str">
        <f aca="false">IF($B104="","",الموظفون!$M104*$I104/cfg_DAYS_M)</f>
        <v/>
      </c>
      <c r="N104" s="105" t="str">
        <f aca="false">IF($B104="","",SUMIFS('الحركات الشهرية'!$F$6:$F$1005,'الحركات الشهرية'!$B$6:$B$1005,$B104,'الحركات الشهرية'!$A$6:$A$1005,$C$3))</f>
        <v/>
      </c>
      <c r="O104" s="86" t="str">
        <f aca="false">IF($B104="","",N104*(الموظفون!$N104+الموظفون!$J104*cfg_OT_P)/cfg_DAYS_M/cfg_HRS)</f>
        <v/>
      </c>
      <c r="P104" s="86" t="str">
        <f aca="false">IF($B104="","",SUMIFS('الحركات الشهرية'!$G$6:$G$1005,'الحركات الشهرية'!$B$6:$B$1005,$B104,'الحركات الشهرية'!$A$6:$A$1005,$C$3))</f>
        <v/>
      </c>
      <c r="Q104" s="86" t="str">
        <f aca="false">IF($B104="","",SUMIFS('الحركات الشهرية'!$H$6:$H$1005,'الحركات الشهرية'!$B$6:$B$1005,$B104,'الحركات الشهرية'!$A$6:$A$1005,$C$3))</f>
        <v/>
      </c>
      <c r="R104" s="106" t="str">
        <f aca="false">IF($B104="","",SUM(J104:M104)+SUM(O104:Q104))</f>
        <v/>
      </c>
      <c r="S104" s="86" t="str">
        <f aca="false">IF($B104="","",الموظفون!$Q104*IF(E104="سعودي",cfg_G_SE,cfg_G_NE)*F104/cfg_DAYS_M)</f>
        <v/>
      </c>
      <c r="T104" s="86" t="str">
        <f aca="false">IF($B104="","",SUMIFS('الحركات الشهرية'!$I$6:$I$1005,'الحركات الشهرية'!$B$6:$B$1005,$B104,'الحركات الشهرية'!$A$6:$A$1005,$C$3))</f>
        <v/>
      </c>
      <c r="U104" s="86" t="str">
        <f aca="false">IF($B104="","",SUMIFS('الحركات الشهرية'!$J$6:$J$1005,'الحركات الشهرية'!$B$6:$B$1005,$B104,'الحركات الشهرية'!$A$6:$A$1005,$C$3))</f>
        <v/>
      </c>
      <c r="V104" s="86" t="str">
        <f aca="false">IF($B104="","",SUM(S104:U104))</f>
        <v/>
      </c>
      <c r="W104" s="107" t="str">
        <f aca="false">IF($B104="","",R104-V104)</f>
        <v/>
      </c>
      <c r="X104" s="86" t="str">
        <f aca="false">IF($B104="","",الموظفون!$Q104*IF(E104="سعودي",cfg_G_SR,cfg_G_NR)*F104/cfg_DAYS_M)</f>
        <v/>
      </c>
      <c r="Y104" s="86" t="str">
        <f aca="false">IF($B104="","",الموظفون!$O104*(cfg_EOS_R1*(MIN(AC104,cfg_EOS_TH)-MIN(AD104,cfg_EOS_TH))+cfg_EOS_R2*(MAX(AC104-cfg_EOS_TH,0)-MAX(AD104-cfg_EOS_TH,0))))</f>
        <v/>
      </c>
      <c r="Z104" s="86" t="str">
        <f aca="false">IF($B104="","",IF(الموظفون!$R104&lt;&gt;"",الموظفون!$R104,IF(AC104&gt;=cfg_LV_TH,cfg_LV_D2,cfg_LV_D1))/cfg_DAYS_Y*AE104*الموظفون!$P104/cfg_DAYS_M)</f>
        <v/>
      </c>
      <c r="AA104" s="86" t="str">
        <f aca="false">IF($B104="","",IF(AND(الموظفون!$S104="نعم",N(الموظفون!$U104)&gt;0),الموظفون!$T104/الموظفون!$U104*12/cfg_DAYS_Y*AE104,0))</f>
        <v/>
      </c>
      <c r="AB104" s="108" t="str">
        <f aca="false">IF($B104="","",R104+SUM(X104:AA104))</f>
        <v/>
      </c>
      <c r="AC104" s="109" t="str">
        <f aca="false">IF($B104="","",MAX(0,IF(OR(الموظفون!$X104="",الموظفون!$X104&gt;$G$3),$G$3,الموظفون!$X104)-الموظفون!$H104+1)/cfg_DAYS_Y)</f>
        <v/>
      </c>
      <c r="AD104" s="109" t="str">
        <f aca="false">IF($B104="","",MAX(0,IF(OR(الموظفون!$X104="",الموظفون!$X104&gt;($E$3-1)),($E$3-1),الموظفون!$X104)-الموظفون!$H104+1)/cfg_DAYS_Y)</f>
        <v/>
      </c>
      <c r="AE104" s="51" t="str">
        <f aca="false">IF($B104="","",MAX(0,IF(OR(الموظفون!$X104="",الموظفون!$X104&gt;$G$3),$G$3,الموظفون!$X104)-MAX($E$3,الموظفون!$H104)+1))</f>
        <v/>
      </c>
    </row>
    <row r="105" customFormat="false" ht="15" hidden="false" customHeight="false" outlineLevel="0" collapsed="false">
      <c r="A105" s="89" t="str">
        <f aca="false">IF($B105="","",الموظفون!$A105)</f>
        <v/>
      </c>
      <c r="B105" s="91" t="str">
        <f aca="false">IF(الموظفون!$B105="","",الموظفون!$B105)</f>
        <v/>
      </c>
      <c r="C105" s="91" t="str">
        <f aca="false">IF($B105="","",الموظفون!$C105)</f>
        <v/>
      </c>
      <c r="D105" s="91" t="str">
        <f aca="false">IF($B105="","",الموظفون!$F105)</f>
        <v/>
      </c>
      <c r="E105" s="91" t="str">
        <f aca="false">IF($B105="","",الموظفون!$E105)</f>
        <v/>
      </c>
      <c r="F105" s="110" t="str">
        <f aca="false">IF($B105="","",IF(AE105&gt;=DAY($G$3),cfg_DAYS_M,MIN(AE105,cfg_DAYS_M)))</f>
        <v/>
      </c>
      <c r="G105" s="110" t="str">
        <f aca="false">IF($B105="","",SUMIFS('الحركات الشهرية'!$D$6:$D$1005,'الحركات الشهرية'!$B$6:$B$1005,$B105,'الحركات الشهرية'!$A$6:$A$1005,$C$3))</f>
        <v/>
      </c>
      <c r="H105" s="110" t="str">
        <f aca="false">IF($B105="","",SUMIFS('الحركات الشهرية'!$E$6:$E$1005,'الحركات الشهرية'!$B$6:$B$1005,$B105,'الحركات الشهرية'!$A$6:$A$1005,$C$3))</f>
        <v/>
      </c>
      <c r="I105" s="110" t="str">
        <f aca="false">IF($B105="","",MAX(0,F105-G105-H105))</f>
        <v/>
      </c>
      <c r="J105" s="90" t="str">
        <f aca="false">IF($B105="","",الموظفون!$J105*$I105/cfg_DAYS_M)</f>
        <v/>
      </c>
      <c r="K105" s="90" t="str">
        <f aca="false">IF($B105="","",الموظفون!$K105*$I105/cfg_DAYS_M)</f>
        <v/>
      </c>
      <c r="L105" s="90" t="str">
        <f aca="false">IF($B105="","",الموظفون!$L105*$I105/cfg_DAYS_M)</f>
        <v/>
      </c>
      <c r="M105" s="90" t="str">
        <f aca="false">IF($B105="","",الموظفون!$M105*$I105/cfg_DAYS_M)</f>
        <v/>
      </c>
      <c r="N105" s="110" t="str">
        <f aca="false">IF($B105="","",SUMIFS('الحركات الشهرية'!$F$6:$F$1005,'الحركات الشهرية'!$B$6:$B$1005,$B105,'الحركات الشهرية'!$A$6:$A$1005,$C$3))</f>
        <v/>
      </c>
      <c r="O105" s="90" t="str">
        <f aca="false">IF($B105="","",N105*(الموظفون!$N105+الموظفون!$J105*cfg_OT_P)/cfg_DAYS_M/cfg_HRS)</f>
        <v/>
      </c>
      <c r="P105" s="90" t="str">
        <f aca="false">IF($B105="","",SUMIFS('الحركات الشهرية'!$G$6:$G$1005,'الحركات الشهرية'!$B$6:$B$1005,$B105,'الحركات الشهرية'!$A$6:$A$1005,$C$3))</f>
        <v/>
      </c>
      <c r="Q105" s="90" t="str">
        <f aca="false">IF($B105="","",SUMIFS('الحركات الشهرية'!$H$6:$H$1005,'الحركات الشهرية'!$B$6:$B$1005,$B105,'الحركات الشهرية'!$A$6:$A$1005,$C$3))</f>
        <v/>
      </c>
      <c r="R105" s="111" t="str">
        <f aca="false">IF($B105="","",SUM(J105:M105)+SUM(O105:Q105))</f>
        <v/>
      </c>
      <c r="S105" s="90" t="str">
        <f aca="false">IF($B105="","",الموظفون!$Q105*IF(E105="سعودي",cfg_G_SE,cfg_G_NE)*F105/cfg_DAYS_M)</f>
        <v/>
      </c>
      <c r="T105" s="90" t="str">
        <f aca="false">IF($B105="","",SUMIFS('الحركات الشهرية'!$I$6:$I$1005,'الحركات الشهرية'!$B$6:$B$1005,$B105,'الحركات الشهرية'!$A$6:$A$1005,$C$3))</f>
        <v/>
      </c>
      <c r="U105" s="90" t="str">
        <f aca="false">IF($B105="","",SUMIFS('الحركات الشهرية'!$J$6:$J$1005,'الحركات الشهرية'!$B$6:$B$1005,$B105,'الحركات الشهرية'!$A$6:$A$1005,$C$3))</f>
        <v/>
      </c>
      <c r="V105" s="90" t="str">
        <f aca="false">IF($B105="","",SUM(S105:U105))</f>
        <v/>
      </c>
      <c r="W105" s="112" t="str">
        <f aca="false">IF($B105="","",R105-V105)</f>
        <v/>
      </c>
      <c r="X105" s="90" t="str">
        <f aca="false">IF($B105="","",الموظفون!$Q105*IF(E105="سعودي",cfg_G_SR,cfg_G_NR)*F105/cfg_DAYS_M)</f>
        <v/>
      </c>
      <c r="Y105" s="90" t="str">
        <f aca="false">IF($B105="","",الموظفون!$O105*(cfg_EOS_R1*(MIN(AC105,cfg_EOS_TH)-MIN(AD105,cfg_EOS_TH))+cfg_EOS_R2*(MAX(AC105-cfg_EOS_TH,0)-MAX(AD105-cfg_EOS_TH,0))))</f>
        <v/>
      </c>
      <c r="Z105" s="90" t="str">
        <f aca="false">IF($B105="","",IF(الموظفون!$R105&lt;&gt;"",الموظفون!$R105,IF(AC105&gt;=cfg_LV_TH,cfg_LV_D2,cfg_LV_D1))/cfg_DAYS_Y*AE105*الموظفون!$P105/cfg_DAYS_M)</f>
        <v/>
      </c>
      <c r="AA105" s="90" t="str">
        <f aca="false">IF($B105="","",IF(AND(الموظفون!$S105="نعم",N(الموظفون!$U105)&gt;0),الموظفون!$T105/الموظفون!$U105*12/cfg_DAYS_Y*AE105,0))</f>
        <v/>
      </c>
      <c r="AB105" s="113" t="str">
        <f aca="false">IF($B105="","",R105+SUM(X105:AA105))</f>
        <v/>
      </c>
      <c r="AC105" s="114" t="str">
        <f aca="false">IF($B105="","",MAX(0,IF(OR(الموظفون!$X105="",الموظفون!$X105&gt;$G$3),$G$3,الموظفون!$X105)-الموظفون!$H105+1)/cfg_DAYS_Y)</f>
        <v/>
      </c>
      <c r="AD105" s="114" t="str">
        <f aca="false">IF($B105="","",MAX(0,IF(OR(الموظفون!$X105="",الموظفون!$X105&gt;($E$3-1)),($E$3-1),الموظفون!$X105)-الموظفون!$H105+1)/cfg_DAYS_Y)</f>
        <v/>
      </c>
      <c r="AE105" s="115" t="str">
        <f aca="false">IF($B105="","",MAX(0,IF(OR(الموظفون!$X105="",الموظفون!$X105&gt;$G$3),$G$3,الموظفون!$X105)-MAX($E$3,الموظفون!$H105)+1))</f>
        <v/>
      </c>
    </row>
    <row r="106" customFormat="false" ht="24" hidden="false" customHeight="true" outlineLevel="0" collapsed="false">
      <c r="A106" s="92"/>
      <c r="B106" s="92" t="str">
        <f aca="false">COUNTIF(F6:F105,"&gt;0")&amp;" موظف"</f>
        <v>11 موظف</v>
      </c>
      <c r="C106" s="92" t="s">
        <v>101</v>
      </c>
      <c r="D106" s="92"/>
      <c r="E106" s="92"/>
      <c r="F106" s="92"/>
      <c r="G106" s="116" t="n">
        <f aca="false">SUM(G6:G105)</f>
        <v>0</v>
      </c>
      <c r="H106" s="116" t="n">
        <f aca="false">SUM(H6:H105)</f>
        <v>0</v>
      </c>
      <c r="I106" s="116" t="n">
        <f aca="false">SUM(I6:I105)</f>
        <v>330</v>
      </c>
      <c r="J106" s="92" t="n">
        <f aca="false">SUM(J6:J105)</f>
        <v>136500</v>
      </c>
      <c r="K106" s="92" t="n">
        <f aca="false">SUM(K6:K105)</f>
        <v>34125</v>
      </c>
      <c r="L106" s="92" t="n">
        <f aca="false">SUM(L6:L105)</f>
        <v>13650</v>
      </c>
      <c r="M106" s="92" t="n">
        <f aca="false">SUM(M6:M105)</f>
        <v>10300</v>
      </c>
      <c r="N106" s="116" t="n">
        <f aca="false">SUM(N6:N105)</f>
        <v>6</v>
      </c>
      <c r="O106" s="92" t="n">
        <f aca="false">SUM(O6:O105)</f>
        <v>416.25</v>
      </c>
      <c r="P106" s="92" t="n">
        <f aca="false">SUM(P6:P105)</f>
        <v>0</v>
      </c>
      <c r="Q106" s="92" t="n">
        <f aca="false">SUM(Q6:Q105)</f>
        <v>1500</v>
      </c>
      <c r="R106" s="92" t="n">
        <f aca="false">SUM(R6:R105)</f>
        <v>196491.25</v>
      </c>
      <c r="S106" s="92" t="n">
        <f aca="false">SUM(S6:S105)</f>
        <v>12370.3125</v>
      </c>
      <c r="T106" s="92" t="n">
        <f aca="false">SUM(T6:T105)</f>
        <v>0</v>
      </c>
      <c r="U106" s="92" t="n">
        <f aca="false">SUM(U6:U105)</f>
        <v>250</v>
      </c>
      <c r="V106" s="92" t="n">
        <f aca="false">SUM(V6:V105)</f>
        <v>12620.3125</v>
      </c>
      <c r="W106" s="92" t="n">
        <f aca="false">SUM(W6:W105)</f>
        <v>183870.9375</v>
      </c>
      <c r="X106" s="92" t="n">
        <f aca="false">SUM(X6:X105)</f>
        <v>15782.8125</v>
      </c>
      <c r="Y106" s="92" t="n">
        <f aca="false">SUM(Y6:Y105)</f>
        <v>13564.7260273973</v>
      </c>
      <c r="Z106" s="92" t="n">
        <f aca="false">SUM(Z6:Z105)</f>
        <v>14197.1917808219</v>
      </c>
      <c r="AA106" s="92" t="n">
        <f aca="false">SUM(AA6:AA105)</f>
        <v>821.917808219178</v>
      </c>
      <c r="AB106" s="92" t="n">
        <f aca="false">SUM(AB6:AB105)</f>
        <v>240857.898116438</v>
      </c>
      <c r="AC106" s="92"/>
      <c r="AD106" s="92"/>
      <c r="AE106" s="92"/>
    </row>
    <row r="107" customFormat="false" ht="43.5" hidden="false" customHeight="true" outlineLevel="0" collapsed="false">
      <c r="A107" s="21" t="s">
        <v>347</v>
      </c>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row>
  </sheetData>
  <autoFilter ref="A5:AE105"/>
  <mergeCells count="5">
    <mergeCell ref="A1:AB1"/>
    <mergeCell ref="A2:AB2"/>
    <mergeCell ref="J3:K3"/>
    <mergeCell ref="L3:M3"/>
    <mergeCell ref="A107:AE107"/>
  </mergeCells>
  <conditionalFormatting sqref="H3">
    <cfRule type="expression" priority="2" aboveAverage="0" equalAverage="0" bottom="0" percent="0" rank="0" text="" dxfId="0">
      <formula>ISNUMBER(SEARCH("✔",H3))</formula>
    </cfRule>
    <cfRule type="expression" priority="3" aboveAverage="0" equalAverage="0" bottom="0" percent="0" rank="0" text="" dxfId="1">
      <formula>ISNUMBER(SEARCH("✖",H3))</formula>
    </cfRule>
    <cfRule type="expression" priority="4" aboveAverage="0" equalAverage="0" bottom="0" percent="0" rank="0" text="" dxfId="2">
      <formula>ISNUMBER(SEARCH("⚠",H3))</formula>
    </cfRule>
  </conditionalFormatting>
  <conditionalFormatting sqref="A6:AE105">
    <cfRule type="expression" priority="5" aboveAverage="0" equalAverage="0" bottom="0" percent="0" rank="0" text="" dxfId="20">
      <formula>AND($B6&lt;&gt;"",$F6=0)</formula>
    </cfRule>
  </conditionalFormatting>
  <conditionalFormatting sqref="W6:W105">
    <cfRule type="expression" priority="6" aboveAverage="0" equalAverage="0" bottom="0" percent="0" rank="0" text="" dxfId="1">
      <formula>AND(ISNUMBER(W6),W6&lt;0)</formula>
    </cfRule>
  </conditionalFormatting>
  <hyperlinks>
    <hyperlink ref="J3" location="'مسير أغسطس'!A1" display="◀ الشهر السابق"/>
    <hyperlink ref="L3" location="'مسير أكتوبر'!A1" display="الشهر التالي ▶"/>
    <hyperlink ref="O3" location="'الرئيسية'!A1" display="🏠 الرئيسية"/>
    <hyperlink ref="P3" location="'لوحة التحكم'!A1" display="📊 لوحة التحكم"/>
    <hyperlink ref="R3" location="'الموظفون'!A1" display="👥 الموظفون"/>
    <hyperlink ref="S3" location="'الحركات الشهرية'!A1" display="✍ الحركات"/>
    <hyperlink ref="U3" location="'الملخص الشهري'!A1" display="📅 الملخص الشهري"/>
    <hyperlink ref="W3" location="'قيود الرواتب'!A1" display="🧾 القيود"/>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5621"/>
    <pageSetUpPr fitToPage="true"/>
  </sheetPr>
  <dimension ref="A1:AE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9"/>
    <col collapsed="false" customWidth="true" hidden="false" outlineLevel="0" max="8" min="7" style="0" width="8"/>
    <col collapsed="false" customWidth="true" hidden="false" outlineLevel="0" max="9" min="9" style="0" width="9"/>
    <col collapsed="false" customWidth="true" hidden="false" outlineLevel="0" max="10" min="10" style="0" width="12"/>
    <col collapsed="false" customWidth="true" hidden="false" outlineLevel="0" max="11" min="11" style="0" width="11"/>
    <col collapsed="false" customWidth="true" hidden="false" outlineLevel="0" max="13" min="12" style="0" width="10"/>
    <col collapsed="false" customWidth="true" hidden="false" outlineLevel="0" max="14" min="14" style="0" width="8"/>
    <col collapsed="false" customWidth="true" hidden="false" outlineLevel="0" max="17" min="15" style="0" width="11"/>
    <col collapsed="false" customWidth="true" hidden="false" outlineLevel="0" max="18" min="18" style="0" width="13"/>
    <col collapsed="false" customWidth="true" hidden="false" outlineLevel="0" max="19" min="19" style="0" width="11"/>
    <col collapsed="false" customWidth="true" hidden="false" outlineLevel="0" max="21" min="20" style="0" width="10"/>
    <col collapsed="false" customWidth="true" hidden="false" outlineLevel="0" max="22" min="22" style="0" width="12"/>
    <col collapsed="false" customWidth="true" hidden="false" outlineLevel="0" max="23" min="23" style="0" width="13"/>
    <col collapsed="false" customWidth="true" hidden="false" outlineLevel="0" max="24" min="24" style="0" width="11"/>
    <col collapsed="false" customWidth="true" hidden="false" outlineLevel="0" max="25" min="25" style="0" width="12"/>
    <col collapsed="false" customWidth="true" hidden="false" outlineLevel="0" max="27" min="26" style="0" width="11"/>
    <col collapsed="false" customWidth="true" hidden="false" outlineLevel="0" max="28" min="28" style="0" width="13"/>
    <col collapsed="false" customWidth="true" hidden="false" outlineLevel="0" max="31" min="29" style="0" width="9"/>
  </cols>
  <sheetData>
    <row r="1" customFormat="false" ht="37.5" hidden="false" customHeight="true" outlineLevel="0" collapsed="false">
      <c r="A1" s="1" t="str">
        <f aca="false">"💵 مسير رواتب شهر أكتوبر "&amp;cfg_FY</f>
        <v>💵 مسير رواتب شهر أكتوبر 2026</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9.5" hidden="false" customHeight="true" outlineLevel="0" collapsed="false">
      <c r="A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row>
    <row r="3" customFormat="false" ht="25.5" hidden="false" customHeight="true" outlineLevel="0" collapsed="false">
      <c r="B3" s="93" t="s">
        <v>103</v>
      </c>
      <c r="C3" s="94" t="n">
        <v>10</v>
      </c>
      <c r="D3" s="93" t="s">
        <v>322</v>
      </c>
      <c r="E3" s="95" t="n">
        <f aca="false">DATE(cfg_FY,C3,1)</f>
        <v>46296</v>
      </c>
      <c r="F3" s="93" t="s">
        <v>323</v>
      </c>
      <c r="G3" s="95" t="n">
        <f aca="false">EOMONTH(E3,0)</f>
        <v>46326</v>
      </c>
      <c r="H3" s="96" t="str">
        <f aca="false">IF(C3&lt;=cfg_VAL_M,"✔ فعلي","⚠ متوقع")</f>
        <v>⚠ متوقع</v>
      </c>
      <c r="J3" s="97" t="s">
        <v>348</v>
      </c>
      <c r="K3" s="97"/>
      <c r="L3" s="97" t="s">
        <v>324</v>
      </c>
      <c r="M3" s="97"/>
      <c r="O3" s="22" t="s">
        <v>61</v>
      </c>
      <c r="P3" s="12" t="s">
        <v>111</v>
      </c>
      <c r="R3" s="23" t="s">
        <v>63</v>
      </c>
      <c r="S3" s="23" t="s">
        <v>64</v>
      </c>
      <c r="U3" s="23" t="s">
        <v>39</v>
      </c>
      <c r="W3" s="23" t="s">
        <v>65</v>
      </c>
    </row>
    <row r="4" customFormat="false" ht="7.5" hidden="false" customHeight="true" outlineLevel="0" collapsed="false"/>
    <row r="5" customFormat="false" ht="48" hidden="false" customHeight="true" outlineLevel="0" collapsed="false">
      <c r="A5" s="98" t="s">
        <v>207</v>
      </c>
      <c r="B5" s="98" t="s">
        <v>208</v>
      </c>
      <c r="C5" s="98" t="s">
        <v>209</v>
      </c>
      <c r="D5" s="98" t="s">
        <v>96</v>
      </c>
      <c r="E5" s="98" t="s">
        <v>84</v>
      </c>
      <c r="F5" s="99" t="s">
        <v>325</v>
      </c>
      <c r="G5" s="99" t="s">
        <v>326</v>
      </c>
      <c r="H5" s="99" t="s">
        <v>327</v>
      </c>
      <c r="I5" s="99" t="s">
        <v>328</v>
      </c>
      <c r="J5" s="100" t="s">
        <v>329</v>
      </c>
      <c r="K5" s="100" t="s">
        <v>330</v>
      </c>
      <c r="L5" s="100" t="s">
        <v>331</v>
      </c>
      <c r="M5" s="100" t="s">
        <v>332</v>
      </c>
      <c r="N5" s="100" t="s">
        <v>333</v>
      </c>
      <c r="O5" s="100" t="s">
        <v>334</v>
      </c>
      <c r="P5" s="100" t="s">
        <v>298</v>
      </c>
      <c r="Q5" s="100" t="s">
        <v>335</v>
      </c>
      <c r="R5" s="100" t="s">
        <v>74</v>
      </c>
      <c r="S5" s="101" t="s">
        <v>336</v>
      </c>
      <c r="T5" s="101" t="s">
        <v>300</v>
      </c>
      <c r="U5" s="101" t="s">
        <v>301</v>
      </c>
      <c r="V5" s="101" t="s">
        <v>337</v>
      </c>
      <c r="W5" s="102" t="s">
        <v>338</v>
      </c>
      <c r="X5" s="103" t="s">
        <v>339</v>
      </c>
      <c r="Y5" s="103" t="s">
        <v>340</v>
      </c>
      <c r="Z5" s="103" t="s">
        <v>341</v>
      </c>
      <c r="AA5" s="103" t="s">
        <v>342</v>
      </c>
      <c r="AB5" s="103" t="s">
        <v>343</v>
      </c>
      <c r="AC5" s="104" t="s">
        <v>344</v>
      </c>
      <c r="AD5" s="104" t="s">
        <v>345</v>
      </c>
      <c r="AE5" s="104" t="s">
        <v>346</v>
      </c>
    </row>
    <row r="6" customFormat="false" ht="15" hidden="false" customHeight="false" outlineLevel="0" collapsed="false">
      <c r="A6" s="83" t="n">
        <f aca="false">IF($B6="","",الموظفون!$A6)</f>
        <v>1</v>
      </c>
      <c r="B6" s="74" t="str">
        <f aca="false">IF(الموظفون!$B6="","",الموظفون!$B6)</f>
        <v>E001</v>
      </c>
      <c r="C6" s="74" t="str">
        <f aca="false">IF($B6="","",الموظفون!$C6)</f>
        <v>عبدالله محمد العتيبي</v>
      </c>
      <c r="D6" s="74" t="str">
        <f aca="false">IF($B6="","",الموظفون!$F6)</f>
        <v>الإدارة العليا</v>
      </c>
      <c r="E6" s="74" t="str">
        <f aca="false">IF($B6="","",الموظفون!$E6)</f>
        <v>سعودي</v>
      </c>
      <c r="F6" s="105" t="n">
        <f aca="false">IF($B6="","",IF(AE6&gt;=DAY($G$3),cfg_DAYS_M,MIN(AE6,cfg_DAYS_M)))</f>
        <v>30</v>
      </c>
      <c r="G6" s="105" t="n">
        <f aca="false">IF($B6="","",SUMIFS('الحركات الشهرية'!$D$6:$D$1005,'الحركات الشهرية'!$B$6:$B$1005,$B6,'الحركات الشهرية'!$A$6:$A$1005,$C$3))</f>
        <v>0</v>
      </c>
      <c r="H6" s="105" t="n">
        <f aca="false">IF($B6="","",SUMIFS('الحركات الشهرية'!$E$6:$E$1005,'الحركات الشهرية'!$B$6:$B$1005,$B6,'الحركات الشهرية'!$A$6:$A$1005,$C$3))</f>
        <v>0</v>
      </c>
      <c r="I6" s="105" t="n">
        <f aca="false">IF($B6="","",MAX(0,F6-G6-H6))</f>
        <v>30</v>
      </c>
      <c r="J6" s="86" t="n">
        <f aca="false">IF($B6="","",الموظفون!$J6*$I6/cfg_DAYS_M)</f>
        <v>28000</v>
      </c>
      <c r="K6" s="86" t="n">
        <f aca="false">IF($B6="","",الموظفون!$K6*$I6/cfg_DAYS_M)</f>
        <v>7000</v>
      </c>
      <c r="L6" s="86" t="n">
        <f aca="false">IF($B6="","",الموظفون!$L6*$I6/cfg_DAYS_M)</f>
        <v>2800</v>
      </c>
      <c r="M6" s="86" t="n">
        <f aca="false">IF($B6="","",الموظفون!$M6*$I6/cfg_DAYS_M)</f>
        <v>3000</v>
      </c>
      <c r="N6" s="105" t="n">
        <f aca="false">IF($B6="","",SUMIFS('الحركات الشهرية'!$F$6:$F$1005,'الحركات الشهرية'!$B$6:$B$1005,$B6,'الحركات الشهرية'!$A$6:$A$1005,$C$3))</f>
        <v>0</v>
      </c>
      <c r="O6" s="86" t="n">
        <f aca="false">IF($B6="","",N6*(الموظفون!$N6+الموظفون!$J6*cfg_OT_P)/cfg_DAYS_M/cfg_HRS)</f>
        <v>0</v>
      </c>
      <c r="P6" s="86" t="n">
        <f aca="false">IF($B6="","",SUMIFS('الحركات الشهرية'!$G$6:$G$1005,'الحركات الشهرية'!$B$6:$B$1005,$B6,'الحركات الشهرية'!$A$6:$A$1005,$C$3))</f>
        <v>0</v>
      </c>
      <c r="Q6" s="86" t="n">
        <f aca="false">IF($B6="","",SUMIFS('الحركات الشهرية'!$H$6:$H$1005,'الحركات الشهرية'!$B$6:$B$1005,$B6,'الحركات الشهرية'!$A$6:$A$1005,$C$3))</f>
        <v>0</v>
      </c>
      <c r="R6" s="106" t="n">
        <f aca="false">IF($B6="","",SUM(J6:M6)+SUM(O6:Q6))</f>
        <v>40800</v>
      </c>
      <c r="S6" s="86" t="n">
        <f aca="false">IF($B6="","",الموظفون!$Q6*IF(E6="سعودي",cfg_G_SE,cfg_G_NE)*F6/cfg_DAYS_M)</f>
        <v>3412.5</v>
      </c>
      <c r="T6" s="86" t="n">
        <f aca="false">IF($B6="","",SUMIFS('الحركات الشهرية'!$I$6:$I$1005,'الحركات الشهرية'!$B$6:$B$1005,$B6,'الحركات الشهرية'!$A$6:$A$1005,$C$3))</f>
        <v>0</v>
      </c>
      <c r="U6" s="86" t="n">
        <f aca="false">IF($B6="","",SUMIFS('الحركات الشهرية'!$J$6:$J$1005,'الحركات الشهرية'!$B$6:$B$1005,$B6,'الحركات الشهرية'!$A$6:$A$1005,$C$3))</f>
        <v>0</v>
      </c>
      <c r="V6" s="86" t="n">
        <f aca="false">IF($B6="","",SUM(S6:U6))</f>
        <v>3412.5</v>
      </c>
      <c r="W6" s="107" t="n">
        <f aca="false">IF($B6="","",R6-V6)</f>
        <v>37387.5</v>
      </c>
      <c r="X6" s="86" t="n">
        <f aca="false">IF($B6="","",الموظفون!$Q6*IF(E6="سعودي",cfg_G_SR,cfg_G_NR)*F6/cfg_DAYS_M)</f>
        <v>4112.5</v>
      </c>
      <c r="Y6" s="86" t="n">
        <f aca="false">IF($B6="","",الموظفون!$O6*(cfg_EOS_R1*(MIN(AC6,cfg_EOS_TH)-MIN(AD6,cfg_EOS_TH))+cfg_EOS_R2*(MAX(AC6-cfg_EOS_TH,0)-MAX(AD6-cfg_EOS_TH,0))))</f>
        <v>3210.41095890406</v>
      </c>
      <c r="Z6" s="86" t="n">
        <f aca="false">IF($B6="","",IF(الموظفون!$R6&lt;&gt;"",الموظفون!$R6,IF(AC6&gt;=cfg_LV_TH,cfg_LV_D2,cfg_LV_D1))/cfg_DAYS_Y*AE6*الموظفون!$P6/cfg_DAYS_M)</f>
        <v>3210.41095890411</v>
      </c>
      <c r="AA6" s="86" t="n">
        <f aca="false">IF($B6="","",IF(AND(الموظفون!$S6="نعم",N(الموظفون!$U6)&gt;0),الموظفون!$T6/الموظفون!$U6*12/cfg_DAYS_Y*AE6,0))</f>
        <v>0</v>
      </c>
      <c r="AB6" s="108" t="n">
        <f aca="false">IF($B6="","",R6+SUM(X6:AA6))</f>
        <v>51333.3219178082</v>
      </c>
      <c r="AC6" s="109" t="n">
        <f aca="false">IF($B6="","",MAX(0,IF(OR(الموظفون!$X6="",الموظفون!$X6&gt;$G$3),$G$3,الموظفون!$X6)-الموظفون!$H6+1)/cfg_DAYS_Y)</f>
        <v>14.8054794520548</v>
      </c>
      <c r="AD6" s="109" t="n">
        <f aca="false">IF($B6="","",MAX(0,IF(OR(الموظفون!$X6="",الموظفون!$X6&gt;($E$3-1)),($E$3-1),الموظفون!$X6)-الموظفون!$H6+1)/cfg_DAYS_Y)</f>
        <v>14.7205479452055</v>
      </c>
      <c r="AE6" s="51" t="n">
        <f aca="false">IF($B6="","",MAX(0,IF(OR(الموظفون!$X6="",الموظفون!$X6&gt;$G$3),$G$3,الموظفون!$X6)-MAX($E$3,الموظفون!$H6)+1))</f>
        <v>31</v>
      </c>
    </row>
    <row r="7" customFormat="false" ht="15" hidden="false" customHeight="false" outlineLevel="0" collapsed="false">
      <c r="A7" s="89" t="n">
        <f aca="false">IF($B7="","",الموظفون!$A7)</f>
        <v>2</v>
      </c>
      <c r="B7" s="91" t="str">
        <f aca="false">IF(الموظفون!$B7="","",الموظفون!$B7)</f>
        <v>E002</v>
      </c>
      <c r="C7" s="91" t="str">
        <f aca="false">IF($B7="","",الموظفون!$C7)</f>
        <v>أحمد سعيد القحطاني</v>
      </c>
      <c r="D7" s="91" t="str">
        <f aca="false">IF($B7="","",الموظفون!$F7)</f>
        <v>المالية</v>
      </c>
      <c r="E7" s="91" t="str">
        <f aca="false">IF($B7="","",الموظفون!$E7)</f>
        <v>سعودي</v>
      </c>
      <c r="F7" s="110" t="n">
        <f aca="false">IF($B7="","",IF(AE7&gt;=DAY($G$3),cfg_DAYS_M,MIN(AE7,cfg_DAYS_M)))</f>
        <v>30</v>
      </c>
      <c r="G7" s="110" t="n">
        <f aca="false">IF($B7="","",SUMIFS('الحركات الشهرية'!$D$6:$D$1005,'الحركات الشهرية'!$B$6:$B$1005,$B7,'الحركات الشهرية'!$A$6:$A$1005,$C$3))</f>
        <v>0</v>
      </c>
      <c r="H7" s="110" t="n">
        <f aca="false">IF($B7="","",SUMIFS('الحركات الشهرية'!$E$6:$E$1005,'الحركات الشهرية'!$B$6:$B$1005,$B7,'الحركات الشهرية'!$A$6:$A$1005,$C$3))</f>
        <v>0</v>
      </c>
      <c r="I7" s="110" t="n">
        <f aca="false">IF($B7="","",MAX(0,F7-G7-H7))</f>
        <v>30</v>
      </c>
      <c r="J7" s="90" t="n">
        <f aca="false">IF($B7="","",الموظفون!$J7*$I7/cfg_DAYS_M)</f>
        <v>18000</v>
      </c>
      <c r="K7" s="90" t="n">
        <f aca="false">IF($B7="","",الموظفون!$K7*$I7/cfg_DAYS_M)</f>
        <v>4500</v>
      </c>
      <c r="L7" s="90" t="n">
        <f aca="false">IF($B7="","",الموظفون!$L7*$I7/cfg_DAYS_M)</f>
        <v>1800</v>
      </c>
      <c r="M7" s="90" t="n">
        <f aca="false">IF($B7="","",الموظفون!$M7*$I7/cfg_DAYS_M)</f>
        <v>1000</v>
      </c>
      <c r="N7" s="110" t="n">
        <f aca="false">IF($B7="","",SUMIFS('الحركات الشهرية'!$F$6:$F$1005,'الحركات الشهرية'!$B$6:$B$1005,$B7,'الحركات الشهرية'!$A$6:$A$1005,$C$3))</f>
        <v>0</v>
      </c>
      <c r="O7" s="90" t="n">
        <f aca="false">IF($B7="","",N7*(الموظفون!$N7+الموظفون!$J7*cfg_OT_P)/cfg_DAYS_M/cfg_HRS)</f>
        <v>0</v>
      </c>
      <c r="P7" s="90" t="n">
        <f aca="false">IF($B7="","",SUMIFS('الحركات الشهرية'!$G$6:$G$1005,'الحركات الشهرية'!$B$6:$B$1005,$B7,'الحركات الشهرية'!$A$6:$A$1005,$C$3))</f>
        <v>0</v>
      </c>
      <c r="Q7" s="90" t="n">
        <f aca="false">IF($B7="","",SUMIFS('الحركات الشهرية'!$H$6:$H$1005,'الحركات الشهرية'!$B$6:$B$1005,$B7,'الحركات الشهرية'!$A$6:$A$1005,$C$3))</f>
        <v>0</v>
      </c>
      <c r="R7" s="111" t="n">
        <f aca="false">IF($B7="","",SUM(J7:M7)+SUM(O7:Q7))</f>
        <v>25300</v>
      </c>
      <c r="S7" s="90" t="n">
        <f aca="false">IF($B7="","",الموظفون!$Q7*IF(E7="سعودي",cfg_G_SE,cfg_G_NE)*F7/cfg_DAYS_M)</f>
        <v>2193.75</v>
      </c>
      <c r="T7" s="90" t="n">
        <f aca="false">IF($B7="","",SUMIFS('الحركات الشهرية'!$I$6:$I$1005,'الحركات الشهرية'!$B$6:$B$1005,$B7,'الحركات الشهرية'!$A$6:$A$1005,$C$3))</f>
        <v>0</v>
      </c>
      <c r="U7" s="90" t="n">
        <f aca="false">IF($B7="","",SUMIFS('الحركات الشهرية'!$J$6:$J$1005,'الحركات الشهرية'!$B$6:$B$1005,$B7,'الحركات الشهرية'!$A$6:$A$1005,$C$3))</f>
        <v>0</v>
      </c>
      <c r="V7" s="90" t="n">
        <f aca="false">IF($B7="","",SUM(S7:U7))</f>
        <v>2193.75</v>
      </c>
      <c r="W7" s="112" t="n">
        <f aca="false">IF($B7="","",R7-V7)</f>
        <v>23106.25</v>
      </c>
      <c r="X7" s="90" t="n">
        <f aca="false">IF($B7="","",الموظفون!$Q7*IF(E7="سعودي",cfg_G_SR,cfg_G_NR)*F7/cfg_DAYS_M)</f>
        <v>2643.75</v>
      </c>
      <c r="Y7" s="90" t="n">
        <f aca="false">IF($B7="","",الموظفون!$O7*(cfg_EOS_R1*(MIN(AC7,cfg_EOS_TH)-MIN(AD7,cfg_EOS_TH))+cfg_EOS_R2*(MAX(AC7-cfg_EOS_TH,0)-MAX(AD7-cfg_EOS_TH,0))))</f>
        <v>2063.83561643837</v>
      </c>
      <c r="Z7" s="90" t="n">
        <f aca="false">IF($B7="","",IF(الموظفون!$R7&lt;&gt;"",الموظفون!$R7,IF(AC7&gt;=cfg_LV_TH,cfg_LV_D2,cfg_LV_D1))/cfg_DAYS_Y*AE7*الموظفون!$P7/cfg_DAYS_M)</f>
        <v>2063.83561643836</v>
      </c>
      <c r="AA7" s="90" t="n">
        <f aca="false">IF($B7="","",IF(AND(الموظفون!$S7="نعم",N(الموظفون!$U7)&gt;0),الموظفون!$T7/الموظفون!$U7*12/cfg_DAYS_Y*AE7,0))</f>
        <v>0</v>
      </c>
      <c r="AB7" s="113" t="n">
        <f aca="false">IF($B7="","",R7+SUM(X7:AA7))</f>
        <v>32071.4212328767</v>
      </c>
      <c r="AC7" s="114" t="n">
        <f aca="false">IF($B7="","",MAX(0,IF(OR(الموظفون!$X7="",الموظفون!$X7&gt;$G$3),$G$3,الموظفون!$X7)-الموظفون!$H7+1)/cfg_DAYS_Y)</f>
        <v>10.4246575342466</v>
      </c>
      <c r="AD7" s="114" t="n">
        <f aca="false">IF($B7="","",MAX(0,IF(OR(الموظفون!$X7="",الموظفون!$X7&gt;($E$3-1)),($E$3-1),الموظفون!$X7)-الموظفون!$H7+1)/cfg_DAYS_Y)</f>
        <v>10.3397260273973</v>
      </c>
      <c r="AE7" s="115" t="n">
        <f aca="false">IF($B7="","",MAX(0,IF(OR(الموظفون!$X7="",الموظفون!$X7&gt;$G$3),$G$3,الموظفون!$X7)-MAX($E$3,الموظفون!$H7)+1))</f>
        <v>31</v>
      </c>
    </row>
    <row r="8" customFormat="false" ht="15" hidden="false" customHeight="false" outlineLevel="0" collapsed="false">
      <c r="A8" s="83" t="n">
        <f aca="false">IF($B8="","",الموظفون!$A8)</f>
        <v>3</v>
      </c>
      <c r="B8" s="74" t="str">
        <f aca="false">IF(الموظفون!$B8="","",الموظفون!$B8)</f>
        <v>E003</v>
      </c>
      <c r="C8" s="74" t="str">
        <f aca="false">IF($B8="","",الموظفون!$C8)</f>
        <v>محمد علي حسن</v>
      </c>
      <c r="D8" s="74" t="str">
        <f aca="false">IF($B8="","",الموظفون!$F8)</f>
        <v>المالية</v>
      </c>
      <c r="E8" s="74" t="str">
        <f aca="false">IF($B8="","",الموظفون!$E8)</f>
        <v>غير سعودي</v>
      </c>
      <c r="F8" s="105" t="n">
        <f aca="false">IF($B8="","",IF(AE8&gt;=DAY($G$3),cfg_DAYS_M,MIN(AE8,cfg_DAYS_M)))</f>
        <v>30</v>
      </c>
      <c r="G8" s="105" t="n">
        <f aca="false">IF($B8="","",SUMIFS('الحركات الشهرية'!$D$6:$D$1005,'الحركات الشهرية'!$B$6:$B$1005,$B8,'الحركات الشهرية'!$A$6:$A$1005,$C$3))</f>
        <v>0</v>
      </c>
      <c r="H8" s="105" t="n">
        <f aca="false">IF($B8="","",SUMIFS('الحركات الشهرية'!$E$6:$E$1005,'الحركات الشهرية'!$B$6:$B$1005,$B8,'الحركات الشهرية'!$A$6:$A$1005,$C$3))</f>
        <v>0</v>
      </c>
      <c r="I8" s="105" t="n">
        <f aca="false">IF($B8="","",MAX(0,F8-G8-H8))</f>
        <v>30</v>
      </c>
      <c r="J8" s="86" t="n">
        <f aca="false">IF($B8="","",الموظفون!$J8*$I8/cfg_DAYS_M)</f>
        <v>8500</v>
      </c>
      <c r="K8" s="86" t="n">
        <f aca="false">IF($B8="","",الموظفون!$K8*$I8/cfg_DAYS_M)</f>
        <v>2125</v>
      </c>
      <c r="L8" s="86" t="n">
        <f aca="false">IF($B8="","",الموظفون!$L8*$I8/cfg_DAYS_M)</f>
        <v>850</v>
      </c>
      <c r="M8" s="86" t="n">
        <f aca="false">IF($B8="","",الموظفون!$M8*$I8/cfg_DAYS_M)</f>
        <v>500</v>
      </c>
      <c r="N8" s="105" t="n">
        <f aca="false">IF($B8="","",SUMIFS('الحركات الشهرية'!$F$6:$F$1005,'الحركات الشهرية'!$B$6:$B$1005,$B8,'الحركات الشهرية'!$A$6:$A$1005,$C$3))</f>
        <v>0</v>
      </c>
      <c r="O8" s="86" t="n">
        <f aca="false">IF($B8="","",N8*(الموظفون!$N8+الموظفون!$J8*cfg_OT_P)/cfg_DAYS_M/cfg_HRS)</f>
        <v>0</v>
      </c>
      <c r="P8" s="86" t="n">
        <f aca="false">IF($B8="","",SUMIFS('الحركات الشهرية'!$G$6:$G$1005,'الحركات الشهرية'!$B$6:$B$1005,$B8,'الحركات الشهرية'!$A$6:$A$1005,$C$3))</f>
        <v>0</v>
      </c>
      <c r="Q8" s="86" t="n">
        <f aca="false">IF($B8="","",SUMIFS('الحركات الشهرية'!$H$6:$H$1005,'الحركات الشهرية'!$B$6:$B$1005,$B8,'الحركات الشهرية'!$A$6:$A$1005,$C$3))</f>
        <v>0</v>
      </c>
      <c r="R8" s="106" t="n">
        <f aca="false">IF($B8="","",SUM(J8:M8)+SUM(O8:Q8))</f>
        <v>11975</v>
      </c>
      <c r="S8" s="86" t="n">
        <f aca="false">IF($B8="","",الموظفون!$Q8*IF(E8="سعودي",cfg_G_SE,cfg_G_NE)*F8/cfg_DAYS_M)</f>
        <v>0</v>
      </c>
      <c r="T8" s="86" t="n">
        <f aca="false">IF($B8="","",SUMIFS('الحركات الشهرية'!$I$6:$I$1005,'الحركات الشهرية'!$B$6:$B$1005,$B8,'الحركات الشهرية'!$A$6:$A$1005,$C$3))</f>
        <v>0</v>
      </c>
      <c r="U8" s="86" t="n">
        <f aca="false">IF($B8="","",SUMIFS('الحركات الشهرية'!$J$6:$J$1005,'الحركات الشهرية'!$B$6:$B$1005,$B8,'الحركات الشهرية'!$A$6:$A$1005,$C$3))</f>
        <v>0</v>
      </c>
      <c r="V8" s="86" t="n">
        <f aca="false">IF($B8="","",SUM(S8:U8))</f>
        <v>0</v>
      </c>
      <c r="W8" s="107" t="n">
        <f aca="false">IF($B8="","",R8-V8)</f>
        <v>11975</v>
      </c>
      <c r="X8" s="86" t="n">
        <f aca="false">IF($B8="","",الموظفون!$Q8*IF(E8="سعودي",cfg_G_SR,cfg_G_NR)*F8/cfg_DAYS_M)</f>
        <v>212.5</v>
      </c>
      <c r="Y8" s="86" t="n">
        <f aca="false">IF($B8="","",الموظفون!$O8*(cfg_EOS_R1*(MIN(AC8,cfg_EOS_TH)-MIN(AD8,cfg_EOS_TH))+cfg_EOS_R2*(MAX(AC8-cfg_EOS_TH,0)-MAX(AD8-cfg_EOS_TH,0))))</f>
        <v>974.589041095895</v>
      </c>
      <c r="Z8" s="86" t="n">
        <f aca="false">IF($B8="","",IF(الموظفون!$R8&lt;&gt;"",الموظفون!$R8,IF(AC8&gt;=cfg_LV_TH,cfg_LV_D2,cfg_LV_D1))/cfg_DAYS_Y*AE8*الموظفون!$P8/cfg_DAYS_M)</f>
        <v>974.589041095891</v>
      </c>
      <c r="AA8" s="86" t="n">
        <f aca="false">IF($B8="","",IF(AND(الموظفون!$S8="نعم",N(الموظفون!$U8)&gt;0),الموظفون!$T8/الموظفون!$U8*12/cfg_DAYS_Y*AE8,0))</f>
        <v>135.890410958904</v>
      </c>
      <c r="AB8" s="108" t="n">
        <f aca="false">IF($B8="","",R8+SUM(X8:AA8))</f>
        <v>14272.5684931507</v>
      </c>
      <c r="AC8" s="109" t="n">
        <f aca="false">IF($B8="","",MAX(0,IF(OR(الموظفون!$X8="",الموظفون!$X8&gt;$G$3),$G$3,الموظفون!$X8)-الموظفون!$H8+1)/cfg_DAYS_Y)</f>
        <v>8.14794520547945</v>
      </c>
      <c r="AD8" s="109" t="n">
        <f aca="false">IF($B8="","",MAX(0,IF(OR(الموظفون!$X8="",الموظفون!$X8&gt;($E$3-1)),($E$3-1),الموظفون!$X8)-الموظفون!$H8+1)/cfg_DAYS_Y)</f>
        <v>8.06301369863014</v>
      </c>
      <c r="AE8" s="51" t="n">
        <f aca="false">IF($B8="","",MAX(0,IF(OR(الموظفون!$X8="",الموظفون!$X8&gt;$G$3),$G$3,الموظفون!$X8)-MAX($E$3,الموظفون!$H8)+1))</f>
        <v>31</v>
      </c>
    </row>
    <row r="9" customFormat="false" ht="15" hidden="false" customHeight="false" outlineLevel="0" collapsed="false">
      <c r="A9" s="89" t="n">
        <f aca="false">IF($B9="","",الموظفون!$A9)</f>
        <v>4</v>
      </c>
      <c r="B9" s="91" t="str">
        <f aca="false">IF(الموظفون!$B9="","",الموظفون!$B9)</f>
        <v>E004</v>
      </c>
      <c r="C9" s="91" t="str">
        <f aca="false">IF($B9="","",الموظفون!$C9)</f>
        <v>نورة خالد الدوسري</v>
      </c>
      <c r="D9" s="91" t="str">
        <f aca="false">IF($B9="","",الموظفون!$F9)</f>
        <v>الموارد البشرية</v>
      </c>
      <c r="E9" s="91" t="str">
        <f aca="false">IF($B9="","",الموظفون!$E9)</f>
        <v>سعودي</v>
      </c>
      <c r="F9" s="110" t="n">
        <f aca="false">IF($B9="","",IF(AE9&gt;=DAY($G$3),cfg_DAYS_M,MIN(AE9,cfg_DAYS_M)))</f>
        <v>30</v>
      </c>
      <c r="G9" s="110" t="n">
        <f aca="false">IF($B9="","",SUMIFS('الحركات الشهرية'!$D$6:$D$1005,'الحركات الشهرية'!$B$6:$B$1005,$B9,'الحركات الشهرية'!$A$6:$A$1005,$C$3))</f>
        <v>0</v>
      </c>
      <c r="H9" s="110" t="n">
        <f aca="false">IF($B9="","",SUMIFS('الحركات الشهرية'!$E$6:$E$1005,'الحركات الشهرية'!$B$6:$B$1005,$B9,'الحركات الشهرية'!$A$6:$A$1005,$C$3))</f>
        <v>0</v>
      </c>
      <c r="I9" s="110" t="n">
        <f aca="false">IF($B9="","",MAX(0,F9-G9-H9))</f>
        <v>30</v>
      </c>
      <c r="J9" s="90" t="n">
        <f aca="false">IF($B9="","",الموظفون!$J9*$I9/cfg_DAYS_M)</f>
        <v>14000</v>
      </c>
      <c r="K9" s="90" t="n">
        <f aca="false">IF($B9="","",الموظفون!$K9*$I9/cfg_DAYS_M)</f>
        <v>3500</v>
      </c>
      <c r="L9" s="90" t="n">
        <f aca="false">IF($B9="","",الموظفون!$L9*$I9/cfg_DAYS_M)</f>
        <v>1400</v>
      </c>
      <c r="M9" s="90" t="n">
        <f aca="false">IF($B9="","",الموظفون!$M9*$I9/cfg_DAYS_M)</f>
        <v>0</v>
      </c>
      <c r="N9" s="110" t="n">
        <f aca="false">IF($B9="","",SUMIFS('الحركات الشهرية'!$F$6:$F$1005,'الحركات الشهرية'!$B$6:$B$1005,$B9,'الحركات الشهرية'!$A$6:$A$1005,$C$3))</f>
        <v>0</v>
      </c>
      <c r="O9" s="90" t="n">
        <f aca="false">IF($B9="","",N9*(الموظفون!$N9+الموظفون!$J9*cfg_OT_P)/cfg_DAYS_M/cfg_HRS)</f>
        <v>0</v>
      </c>
      <c r="P9" s="90" t="n">
        <f aca="false">IF($B9="","",SUMIFS('الحركات الشهرية'!$G$6:$G$1005,'الحركات الشهرية'!$B$6:$B$1005,$B9,'الحركات الشهرية'!$A$6:$A$1005,$C$3))</f>
        <v>0</v>
      </c>
      <c r="Q9" s="90" t="n">
        <f aca="false">IF($B9="","",SUMIFS('الحركات الشهرية'!$H$6:$H$1005,'الحركات الشهرية'!$B$6:$B$1005,$B9,'الحركات الشهرية'!$A$6:$A$1005,$C$3))</f>
        <v>0</v>
      </c>
      <c r="R9" s="111" t="n">
        <f aca="false">IF($B9="","",SUM(J9:M9)+SUM(O9:Q9))</f>
        <v>18900</v>
      </c>
      <c r="S9" s="90" t="n">
        <f aca="false">IF($B9="","",الموظفون!$Q9*IF(E9="سعودي",cfg_G_SE,cfg_G_NE)*F9/cfg_DAYS_M)</f>
        <v>1706.25</v>
      </c>
      <c r="T9" s="90" t="n">
        <f aca="false">IF($B9="","",SUMIFS('الحركات الشهرية'!$I$6:$I$1005,'الحركات الشهرية'!$B$6:$B$1005,$B9,'الحركات الشهرية'!$A$6:$A$1005,$C$3))</f>
        <v>0</v>
      </c>
      <c r="U9" s="90" t="n">
        <f aca="false">IF($B9="","",SUMIFS('الحركات الشهرية'!$J$6:$J$1005,'الحركات الشهرية'!$B$6:$B$1005,$B9,'الحركات الشهرية'!$A$6:$A$1005,$C$3))</f>
        <v>0</v>
      </c>
      <c r="V9" s="90" t="n">
        <f aca="false">IF($B9="","",SUM(S9:U9))</f>
        <v>1706.25</v>
      </c>
      <c r="W9" s="112" t="n">
        <f aca="false">IF($B9="","",R9-V9)</f>
        <v>17193.75</v>
      </c>
      <c r="X9" s="90" t="n">
        <f aca="false">IF($B9="","",الموظفون!$Q9*IF(E9="سعودي",cfg_G_SR,cfg_G_NR)*F9/cfg_DAYS_M)</f>
        <v>2056.25</v>
      </c>
      <c r="Y9" s="90" t="n">
        <f aca="false">IF($B9="","",الموظفون!$O9*(cfg_EOS_R1*(MIN(AC9,cfg_EOS_TH)-MIN(AD9,cfg_EOS_TH))+cfg_EOS_R2*(MAX(AC9-cfg_EOS_TH,0)-MAX(AD9-cfg_EOS_TH,0))))</f>
        <v>1605.20547945205</v>
      </c>
      <c r="Z9" s="90" t="n">
        <f aca="false">IF($B9="","",IF(الموظفون!$R9&lt;&gt;"",الموظفون!$R9,IF(AC9&gt;=cfg_LV_TH,cfg_LV_D2,cfg_LV_D1))/cfg_DAYS_Y*AE9*الموظفون!$P9/cfg_DAYS_M)</f>
        <v>1605.20547945205</v>
      </c>
      <c r="AA9" s="90" t="n">
        <f aca="false">IF($B9="","",IF(AND(الموظفون!$S9="نعم",N(الموظفون!$U9)&gt;0),الموظفون!$T9/الموظفون!$U9*12/cfg_DAYS_Y*AE9,0))</f>
        <v>0</v>
      </c>
      <c r="AB9" s="113" t="n">
        <f aca="false">IF($B9="","",R9+SUM(X9:AA9))</f>
        <v>24166.6609589041</v>
      </c>
      <c r="AC9" s="114" t="n">
        <f aca="false">IF($B9="","",MAX(0,IF(OR(الموظفون!$X9="",الموظفون!$X9&gt;$G$3),$G$3,الموظفون!$X9)-الموظفون!$H9+1)/cfg_DAYS_Y)</f>
        <v>7.75342465753425</v>
      </c>
      <c r="AD9" s="114" t="n">
        <f aca="false">IF($B9="","",MAX(0,IF(OR(الموظفون!$X9="",الموظفون!$X9&gt;($E$3-1)),($E$3-1),الموظفون!$X9)-الموظفون!$H9+1)/cfg_DAYS_Y)</f>
        <v>7.66849315068493</v>
      </c>
      <c r="AE9" s="115" t="n">
        <f aca="false">IF($B9="","",MAX(0,IF(OR(الموظفون!$X9="",الموظفون!$X9&gt;$G$3),$G$3,الموظفون!$X9)-MAX($E$3,الموظفون!$H9)+1))</f>
        <v>31</v>
      </c>
    </row>
    <row r="10" customFormat="false" ht="15" hidden="false" customHeight="false" outlineLevel="0" collapsed="false">
      <c r="A10" s="83" t="n">
        <f aca="false">IF($B10="","",الموظفون!$A10)</f>
        <v>5</v>
      </c>
      <c r="B10" s="74" t="str">
        <f aca="false">IF(الموظفون!$B10="","",الموظفون!$B10)</f>
        <v>E005</v>
      </c>
      <c r="C10" s="74" t="str">
        <f aca="false">IF($B10="","",الموظفون!$C10)</f>
        <v>راجيش كومار</v>
      </c>
      <c r="D10" s="74" t="str">
        <f aca="false">IF($B10="","",الموظفون!$F10)</f>
        <v>تقنية المعلومات</v>
      </c>
      <c r="E10" s="74" t="str">
        <f aca="false">IF($B10="","",الموظفون!$E10)</f>
        <v>غير سعودي</v>
      </c>
      <c r="F10" s="105" t="n">
        <f aca="false">IF($B10="","",IF(AE10&gt;=DAY($G$3),cfg_DAYS_M,MIN(AE10,cfg_DAYS_M)))</f>
        <v>30</v>
      </c>
      <c r="G10" s="105" t="n">
        <f aca="false">IF($B10="","",SUMIFS('الحركات الشهرية'!$D$6:$D$1005,'الحركات الشهرية'!$B$6:$B$1005,$B10,'الحركات الشهرية'!$A$6:$A$1005,$C$3))</f>
        <v>0</v>
      </c>
      <c r="H10" s="105" t="n">
        <f aca="false">IF($B10="","",SUMIFS('الحركات الشهرية'!$E$6:$E$1005,'الحركات الشهرية'!$B$6:$B$1005,$B10,'الحركات الشهرية'!$A$6:$A$1005,$C$3))</f>
        <v>0</v>
      </c>
      <c r="I10" s="105" t="n">
        <f aca="false">IF($B10="","",MAX(0,F10-G10-H10))</f>
        <v>30</v>
      </c>
      <c r="J10" s="86" t="n">
        <f aca="false">IF($B10="","",الموظفون!$J10*$I10/cfg_DAYS_M)</f>
        <v>9000</v>
      </c>
      <c r="K10" s="86" t="n">
        <f aca="false">IF($B10="","",الموظفون!$K10*$I10/cfg_DAYS_M)</f>
        <v>2250</v>
      </c>
      <c r="L10" s="86" t="n">
        <f aca="false">IF($B10="","",الموظفون!$L10*$I10/cfg_DAYS_M)</f>
        <v>900</v>
      </c>
      <c r="M10" s="86" t="n">
        <f aca="false">IF($B10="","",الموظفون!$M10*$I10/cfg_DAYS_M)</f>
        <v>700</v>
      </c>
      <c r="N10" s="105" t="n">
        <f aca="false">IF($B10="","",SUMIFS('الحركات الشهرية'!$F$6:$F$1005,'الحركات الشهرية'!$B$6:$B$1005,$B10,'الحركات الشهرية'!$A$6:$A$1005,$C$3))</f>
        <v>0</v>
      </c>
      <c r="O10" s="86" t="n">
        <f aca="false">IF($B10="","",N10*(الموظفون!$N10+الموظفون!$J10*cfg_OT_P)/cfg_DAYS_M/cfg_HRS)</f>
        <v>0</v>
      </c>
      <c r="P10" s="86" t="n">
        <f aca="false">IF($B10="","",SUMIFS('الحركات الشهرية'!$G$6:$G$1005,'الحركات الشهرية'!$B$6:$B$1005,$B10,'الحركات الشهرية'!$A$6:$A$1005,$C$3))</f>
        <v>0</v>
      </c>
      <c r="Q10" s="86" t="n">
        <f aca="false">IF($B10="","",SUMIFS('الحركات الشهرية'!$H$6:$H$1005,'الحركات الشهرية'!$B$6:$B$1005,$B10,'الحركات الشهرية'!$A$6:$A$1005,$C$3))</f>
        <v>0</v>
      </c>
      <c r="R10" s="106" t="n">
        <f aca="false">IF($B10="","",SUM(J10:M10)+SUM(O10:Q10))</f>
        <v>12850</v>
      </c>
      <c r="S10" s="86" t="n">
        <f aca="false">IF($B10="","",الموظفون!$Q10*IF(E10="سعودي",cfg_G_SE,cfg_G_NE)*F10/cfg_DAYS_M)</f>
        <v>0</v>
      </c>
      <c r="T10" s="86" t="n">
        <f aca="false">IF($B10="","",SUMIFS('الحركات الشهرية'!$I$6:$I$1005,'الحركات الشهرية'!$B$6:$B$1005,$B10,'الحركات الشهرية'!$A$6:$A$1005,$C$3))</f>
        <v>0</v>
      </c>
      <c r="U10" s="86" t="n">
        <f aca="false">IF($B10="","",SUMIFS('الحركات الشهرية'!$J$6:$J$1005,'الحركات الشهرية'!$B$6:$B$1005,$B10,'الحركات الشهرية'!$A$6:$A$1005,$C$3))</f>
        <v>0</v>
      </c>
      <c r="V10" s="86" t="n">
        <f aca="false">IF($B10="","",SUM(S10:U10))</f>
        <v>0</v>
      </c>
      <c r="W10" s="107" t="n">
        <f aca="false">IF($B10="","",R10-V10)</f>
        <v>12850</v>
      </c>
      <c r="X10" s="86" t="n">
        <f aca="false">IF($B10="","",الموظفون!$Q10*IF(E10="سعودي",cfg_G_SR,cfg_G_NR)*F10/cfg_DAYS_M)</f>
        <v>225</v>
      </c>
      <c r="Y10" s="86" t="n">
        <f aca="false">IF($B10="","",الموظفون!$O10*(cfg_EOS_R1*(MIN(AC10,cfg_EOS_TH)-MIN(AD10,cfg_EOS_TH))+cfg_EOS_R2*(MAX(AC10-cfg_EOS_TH,0)-MAX(AD10-cfg_EOS_TH,0))))</f>
        <v>1031.91780821917</v>
      </c>
      <c r="Z10" s="86" t="n">
        <f aca="false">IF($B10="","",IF(الموظفون!$R10&lt;&gt;"",الموظفون!$R10,IF(AC10&gt;=cfg_LV_TH,cfg_LV_D2,cfg_LV_D1))/cfg_DAYS_Y*AE10*الموظفون!$P10/cfg_DAYS_M)</f>
        <v>1031.91780821918</v>
      </c>
      <c r="AA10" s="86" t="n">
        <f aca="false">IF($B10="","",IF(AND(الموظفون!$S10="نعم",N(الموظفون!$U10)&gt;0),الموظفون!$T10/الموظفون!$U10*12/cfg_DAYS_Y*AE10,0))</f>
        <v>237.808219178082</v>
      </c>
      <c r="AB10" s="108" t="n">
        <f aca="false">IF($B10="","",R10+SUM(X10:AA10))</f>
        <v>15376.6438356164</v>
      </c>
      <c r="AC10" s="109" t="n">
        <f aca="false">IF($B10="","",MAX(0,IF(OR(الموظفون!$X10="",الموظفون!$X10&gt;$G$3),$G$3,الموظفون!$X10)-الموظفون!$H10+1)/cfg_DAYS_Y)</f>
        <v>6.55890410958904</v>
      </c>
      <c r="AD10" s="109" t="n">
        <f aca="false">IF($B10="","",MAX(0,IF(OR(الموظفون!$X10="",الموظفون!$X10&gt;($E$3-1)),($E$3-1),الموظفون!$X10)-الموظفون!$H10+1)/cfg_DAYS_Y)</f>
        <v>6.47397260273973</v>
      </c>
      <c r="AE10" s="51" t="n">
        <f aca="false">IF($B10="","",MAX(0,IF(OR(الموظفون!$X10="",الموظفون!$X10&gt;$G$3),$G$3,الموظفون!$X10)-MAX($E$3,الموظفون!$H10)+1))</f>
        <v>31</v>
      </c>
    </row>
    <row r="11" customFormat="false" ht="15" hidden="false" customHeight="false" outlineLevel="0" collapsed="false">
      <c r="A11" s="89" t="n">
        <f aca="false">IF($B11="","",الموظفون!$A11)</f>
        <v>6</v>
      </c>
      <c r="B11" s="91" t="str">
        <f aca="false">IF(الموظفون!$B11="","",الموظفون!$B11)</f>
        <v>E006</v>
      </c>
      <c r="C11" s="91" t="str">
        <f aca="false">IF($B11="","",الموظفون!$C11)</f>
        <v>فهد ناصر الشمري</v>
      </c>
      <c r="D11" s="91" t="str">
        <f aca="false">IF($B11="","",الموظفون!$F11)</f>
        <v>المبيعات</v>
      </c>
      <c r="E11" s="91" t="str">
        <f aca="false">IF($B11="","",الموظفون!$E11)</f>
        <v>سعودي</v>
      </c>
      <c r="F11" s="110" t="n">
        <f aca="false">IF($B11="","",IF(AE11&gt;=DAY($G$3),cfg_DAYS_M,MIN(AE11,cfg_DAYS_M)))</f>
        <v>30</v>
      </c>
      <c r="G11" s="110" t="n">
        <f aca="false">IF($B11="","",SUMIFS('الحركات الشهرية'!$D$6:$D$1005,'الحركات الشهرية'!$B$6:$B$1005,$B11,'الحركات الشهرية'!$A$6:$A$1005,$C$3))</f>
        <v>0</v>
      </c>
      <c r="H11" s="110" t="n">
        <f aca="false">IF($B11="","",SUMIFS('الحركات الشهرية'!$E$6:$E$1005,'الحركات الشهرية'!$B$6:$B$1005,$B11,'الحركات الشهرية'!$A$6:$A$1005,$C$3))</f>
        <v>0</v>
      </c>
      <c r="I11" s="110" t="n">
        <f aca="false">IF($B11="","",MAX(0,F11-G11-H11))</f>
        <v>30</v>
      </c>
      <c r="J11" s="90" t="n">
        <f aca="false">IF($B11="","",الموظفون!$J11*$I11/cfg_DAYS_M)</f>
        <v>13000</v>
      </c>
      <c r="K11" s="90" t="n">
        <f aca="false">IF($B11="","",الموظفون!$K11*$I11/cfg_DAYS_M)</f>
        <v>3250</v>
      </c>
      <c r="L11" s="90" t="n">
        <f aca="false">IF($B11="","",الموظفون!$L11*$I11/cfg_DAYS_M)</f>
        <v>1300</v>
      </c>
      <c r="M11" s="90" t="n">
        <f aca="false">IF($B11="","",الموظفون!$M11*$I11/cfg_DAYS_M)</f>
        <v>2500</v>
      </c>
      <c r="N11" s="110" t="n">
        <f aca="false">IF($B11="","",SUMIFS('الحركات الشهرية'!$F$6:$F$1005,'الحركات الشهرية'!$B$6:$B$1005,$B11,'الحركات الشهرية'!$A$6:$A$1005,$C$3))</f>
        <v>0</v>
      </c>
      <c r="O11" s="90" t="n">
        <f aca="false">IF($B11="","",N11*(الموظفون!$N11+الموظفون!$J11*cfg_OT_P)/cfg_DAYS_M/cfg_HRS)</f>
        <v>0</v>
      </c>
      <c r="P11" s="90" t="n">
        <f aca="false">IF($B11="","",SUMIFS('الحركات الشهرية'!$G$6:$G$1005,'الحركات الشهرية'!$B$6:$B$1005,$B11,'الحركات الشهرية'!$A$6:$A$1005,$C$3))</f>
        <v>0</v>
      </c>
      <c r="Q11" s="90" t="n">
        <f aca="false">IF($B11="","",SUMIFS('الحركات الشهرية'!$H$6:$H$1005,'الحركات الشهرية'!$B$6:$B$1005,$B11,'الحركات الشهرية'!$A$6:$A$1005,$C$3))</f>
        <v>0</v>
      </c>
      <c r="R11" s="111" t="n">
        <f aca="false">IF($B11="","",SUM(J11:M11)+SUM(O11:Q11))</f>
        <v>20050</v>
      </c>
      <c r="S11" s="90" t="n">
        <f aca="false">IF($B11="","",الموظفون!$Q11*IF(E11="سعودي",cfg_G_SE,cfg_G_NE)*F11/cfg_DAYS_M)</f>
        <v>1584.375</v>
      </c>
      <c r="T11" s="90" t="n">
        <f aca="false">IF($B11="","",SUMIFS('الحركات الشهرية'!$I$6:$I$1005,'الحركات الشهرية'!$B$6:$B$1005,$B11,'الحركات الشهرية'!$A$6:$A$1005,$C$3))</f>
        <v>0</v>
      </c>
      <c r="U11" s="90" t="n">
        <f aca="false">IF($B11="","",SUMIFS('الحركات الشهرية'!$J$6:$J$1005,'الحركات الشهرية'!$B$6:$B$1005,$B11,'الحركات الشهرية'!$A$6:$A$1005,$C$3))</f>
        <v>0</v>
      </c>
      <c r="V11" s="90" t="n">
        <f aca="false">IF($B11="","",SUM(S11:U11))</f>
        <v>1584.375</v>
      </c>
      <c r="W11" s="112" t="n">
        <f aca="false">IF($B11="","",R11-V11)</f>
        <v>18465.625</v>
      </c>
      <c r="X11" s="90" t="n">
        <f aca="false">IF($B11="","",الموظفون!$Q11*IF(E11="سعودي",cfg_G_SR,cfg_G_NR)*F11/cfg_DAYS_M)</f>
        <v>1909.375</v>
      </c>
      <c r="Y11" s="90" t="n">
        <f aca="false">IF($B11="","",الموظفون!$O11*(cfg_EOS_R1*(MIN(AC11,cfg_EOS_TH)-MIN(AD11,cfg_EOS_TH))+cfg_EOS_R2*(MAX(AC11-cfg_EOS_TH,0)-MAX(AD11-cfg_EOS_TH,0))))</f>
        <v>1490.54794520549</v>
      </c>
      <c r="Z11" s="90" t="n">
        <f aca="false">IF($B11="","",IF(الموظفون!$R11&lt;&gt;"",الموظفون!$R11,IF(AC11&gt;=cfg_LV_TH,cfg_LV_D2,cfg_LV_D1))/cfg_DAYS_Y*AE11*الموظفون!$P11/cfg_DAYS_M)</f>
        <v>1490.54794520548</v>
      </c>
      <c r="AA11" s="90" t="n">
        <f aca="false">IF($B11="","",IF(AND(الموظفون!$S11="نعم",N(الموظفون!$U11)&gt;0),الموظفون!$T11/الموظفون!$U11*12/cfg_DAYS_Y*AE11,0))</f>
        <v>0</v>
      </c>
      <c r="AB11" s="113" t="n">
        <f aca="false">IF($B11="","",R11+SUM(X11:AA11))</f>
        <v>24940.470890411</v>
      </c>
      <c r="AC11" s="114" t="n">
        <f aca="false">IF($B11="","",MAX(0,IF(OR(الموظفون!$X11="",الموظفون!$X11&gt;$G$3),$G$3,الموظفون!$X11)-الموظفون!$H11+1)/cfg_DAYS_Y)</f>
        <v>8.99452054794521</v>
      </c>
      <c r="AD11" s="114" t="n">
        <f aca="false">IF($B11="","",MAX(0,IF(OR(الموظفون!$X11="",الموظفون!$X11&gt;($E$3-1)),($E$3-1),الموظفون!$X11)-الموظفون!$H11+1)/cfg_DAYS_Y)</f>
        <v>8.90958904109589</v>
      </c>
      <c r="AE11" s="115" t="n">
        <f aca="false">IF($B11="","",MAX(0,IF(OR(الموظفون!$X11="",الموظفون!$X11&gt;$G$3),$G$3,الموظفون!$X11)-MAX($E$3,الموظفون!$H11)+1))</f>
        <v>31</v>
      </c>
    </row>
    <row r="12" customFormat="false" ht="15" hidden="false" customHeight="false" outlineLevel="0" collapsed="false">
      <c r="A12" s="83" t="n">
        <f aca="false">IF($B12="","",الموظفون!$A12)</f>
        <v>7</v>
      </c>
      <c r="B12" s="74" t="str">
        <f aca="false">IF(الموظفون!$B12="","",الموظفون!$B12)</f>
        <v>E007</v>
      </c>
      <c r="C12" s="74" t="str">
        <f aca="false">IF($B12="","",الموظفون!$C12)</f>
        <v>خالد يوسف الأحمد</v>
      </c>
      <c r="D12" s="74" t="str">
        <f aca="false">IF($B12="","",الموظفون!$F12)</f>
        <v>المشاريع</v>
      </c>
      <c r="E12" s="74" t="str">
        <f aca="false">IF($B12="","",الموظفون!$E12)</f>
        <v>غير سعودي</v>
      </c>
      <c r="F12" s="105" t="n">
        <f aca="false">IF($B12="","",IF(AE12&gt;=DAY($G$3),cfg_DAYS_M,MIN(AE12,cfg_DAYS_M)))</f>
        <v>30</v>
      </c>
      <c r="G12" s="105" t="n">
        <f aca="false">IF($B12="","",SUMIFS('الحركات الشهرية'!$D$6:$D$1005,'الحركات الشهرية'!$B$6:$B$1005,$B12,'الحركات الشهرية'!$A$6:$A$1005,$C$3))</f>
        <v>0</v>
      </c>
      <c r="H12" s="105" t="n">
        <f aca="false">IF($B12="","",SUMIFS('الحركات الشهرية'!$E$6:$E$1005,'الحركات الشهرية'!$B$6:$B$1005,$B12,'الحركات الشهرية'!$A$6:$A$1005,$C$3))</f>
        <v>0</v>
      </c>
      <c r="I12" s="105" t="n">
        <f aca="false">IF($B12="","",MAX(0,F12-G12-H12))</f>
        <v>30</v>
      </c>
      <c r="J12" s="86" t="n">
        <f aca="false">IF($B12="","",الموظفون!$J12*$I12/cfg_DAYS_M)</f>
        <v>11000</v>
      </c>
      <c r="K12" s="86" t="n">
        <f aca="false">IF($B12="","",الموظفون!$K12*$I12/cfg_DAYS_M)</f>
        <v>2750</v>
      </c>
      <c r="L12" s="86" t="n">
        <f aca="false">IF($B12="","",الموظفون!$L12*$I12/cfg_DAYS_M)</f>
        <v>1100</v>
      </c>
      <c r="M12" s="86" t="n">
        <f aca="false">IF($B12="","",الموظفون!$M12*$I12/cfg_DAYS_M)</f>
        <v>800</v>
      </c>
      <c r="N12" s="105" t="n">
        <f aca="false">IF($B12="","",SUMIFS('الحركات الشهرية'!$F$6:$F$1005,'الحركات الشهرية'!$B$6:$B$1005,$B12,'الحركات الشهرية'!$A$6:$A$1005,$C$3))</f>
        <v>0</v>
      </c>
      <c r="O12" s="86" t="n">
        <f aca="false">IF($B12="","",N12*(الموظفون!$N12+الموظفون!$J12*cfg_OT_P)/cfg_DAYS_M/cfg_HRS)</f>
        <v>0</v>
      </c>
      <c r="P12" s="86" t="n">
        <f aca="false">IF($B12="","",SUMIFS('الحركات الشهرية'!$G$6:$G$1005,'الحركات الشهرية'!$B$6:$B$1005,$B12,'الحركات الشهرية'!$A$6:$A$1005,$C$3))</f>
        <v>0</v>
      </c>
      <c r="Q12" s="86" t="n">
        <f aca="false">IF($B12="","",SUMIFS('الحركات الشهرية'!$H$6:$H$1005,'الحركات الشهرية'!$B$6:$B$1005,$B12,'الحركات الشهرية'!$A$6:$A$1005,$C$3))</f>
        <v>0</v>
      </c>
      <c r="R12" s="106" t="n">
        <f aca="false">IF($B12="","",SUM(J12:M12)+SUM(O12:Q12))</f>
        <v>15650</v>
      </c>
      <c r="S12" s="86" t="n">
        <f aca="false">IF($B12="","",الموظفون!$Q12*IF(E12="سعودي",cfg_G_SE,cfg_G_NE)*F12/cfg_DAYS_M)</f>
        <v>0</v>
      </c>
      <c r="T12" s="86" t="n">
        <f aca="false">IF($B12="","",SUMIFS('الحركات الشهرية'!$I$6:$I$1005,'الحركات الشهرية'!$B$6:$B$1005,$B12,'الحركات الشهرية'!$A$6:$A$1005,$C$3))</f>
        <v>0</v>
      </c>
      <c r="U12" s="86" t="n">
        <f aca="false">IF($B12="","",SUMIFS('الحركات الشهرية'!$J$6:$J$1005,'الحركات الشهرية'!$B$6:$B$1005,$B12,'الحركات الشهرية'!$A$6:$A$1005,$C$3))</f>
        <v>0</v>
      </c>
      <c r="V12" s="86" t="n">
        <f aca="false">IF($B12="","",SUM(S12:U12))</f>
        <v>0</v>
      </c>
      <c r="W12" s="107" t="n">
        <f aca="false">IF($B12="","",R12-V12)</f>
        <v>15650</v>
      </c>
      <c r="X12" s="86" t="n">
        <f aca="false">IF($B12="","",الموظفون!$Q12*IF(E12="سعودي",cfg_G_SR,cfg_G_NR)*F12/cfg_DAYS_M)</f>
        <v>275</v>
      </c>
      <c r="Y12" s="86" t="n">
        <f aca="false">IF($B12="","",الموظفون!$O12*(cfg_EOS_R1*(MIN(AC12,cfg_EOS_TH)-MIN(AD12,cfg_EOS_TH))+cfg_EOS_R2*(MAX(AC12-cfg_EOS_TH,0)-MAX(AD12-cfg_EOS_TH,0))))</f>
        <v>1261.23287671234</v>
      </c>
      <c r="Z12" s="86" t="n">
        <f aca="false">IF($B12="","",IF(الموظفون!$R12&lt;&gt;"",الموظفون!$R12,IF(AC12&gt;=cfg_LV_TH,cfg_LV_D2,cfg_LV_D1))/cfg_DAYS_Y*AE12*الموظفون!$P12/cfg_DAYS_M)</f>
        <v>1261.23287671233</v>
      </c>
      <c r="AA12" s="86" t="n">
        <f aca="false">IF($B12="","",IF(AND(الموظفون!$S12="نعم",N(الموظفون!$U12)&gt;0),الموظفون!$T12/الموظفون!$U12*12/cfg_DAYS_Y*AE12,0))</f>
        <v>382.191780821918</v>
      </c>
      <c r="AB12" s="108" t="n">
        <f aca="false">IF($B12="","",R12+SUM(X12:AA12))</f>
        <v>18829.6575342466</v>
      </c>
      <c r="AC12" s="109" t="n">
        <f aca="false">IF($B12="","",MAX(0,IF(OR(الموظفون!$X12="",الموظفون!$X12&gt;$G$3),$G$3,الموظفون!$X12)-الموظفون!$H12+1)/cfg_DAYS_Y)</f>
        <v>5.78356164383562</v>
      </c>
      <c r="AD12" s="109" t="n">
        <f aca="false">IF($B12="","",MAX(0,IF(OR(الموظفون!$X12="",الموظفون!$X12&gt;($E$3-1)),($E$3-1),الموظفون!$X12)-الموظفون!$H12+1)/cfg_DAYS_Y)</f>
        <v>5.6986301369863</v>
      </c>
      <c r="AE12" s="51" t="n">
        <f aca="false">IF($B12="","",MAX(0,IF(OR(الموظفون!$X12="",الموظفون!$X12&gt;$G$3),$G$3,الموظفون!$X12)-MAX($E$3,الموظفون!$H12)+1))</f>
        <v>31</v>
      </c>
    </row>
    <row r="13" customFormat="false" ht="15" hidden="false" customHeight="false" outlineLevel="0" collapsed="false">
      <c r="A13" s="89" t="n">
        <f aca="false">IF($B13="","",الموظفون!$A13)</f>
        <v>8</v>
      </c>
      <c r="B13" s="91" t="str">
        <f aca="false">IF(الموظفون!$B13="","",الموظفون!$B13)</f>
        <v>E008</v>
      </c>
      <c r="C13" s="91" t="str">
        <f aca="false">IF($B13="","",الموظفون!$C13)</f>
        <v>سارة عبدالرحمن الزهراني</v>
      </c>
      <c r="D13" s="91" t="str">
        <f aca="false">IF($B13="","",الموظفون!$F13)</f>
        <v>المالية</v>
      </c>
      <c r="E13" s="91" t="str">
        <f aca="false">IF($B13="","",الموظفون!$E13)</f>
        <v>سعودي</v>
      </c>
      <c r="F13" s="110" t="n">
        <f aca="false">IF($B13="","",IF(AE13&gt;=DAY($G$3),cfg_DAYS_M,MIN(AE13,cfg_DAYS_M)))</f>
        <v>30</v>
      </c>
      <c r="G13" s="110" t="n">
        <f aca="false">IF($B13="","",SUMIFS('الحركات الشهرية'!$D$6:$D$1005,'الحركات الشهرية'!$B$6:$B$1005,$B13,'الحركات الشهرية'!$A$6:$A$1005,$C$3))</f>
        <v>0</v>
      </c>
      <c r="H13" s="110" t="n">
        <f aca="false">IF($B13="","",SUMIFS('الحركات الشهرية'!$E$6:$E$1005,'الحركات الشهرية'!$B$6:$B$1005,$B13,'الحركات الشهرية'!$A$6:$A$1005,$C$3))</f>
        <v>0</v>
      </c>
      <c r="I13" s="110" t="n">
        <f aca="false">IF($B13="","",MAX(0,F13-G13-H13))</f>
        <v>30</v>
      </c>
      <c r="J13" s="90" t="n">
        <f aca="false">IF($B13="","",الموظفون!$J13*$I13/cfg_DAYS_M)</f>
        <v>7500</v>
      </c>
      <c r="K13" s="90" t="n">
        <f aca="false">IF($B13="","",الموظفون!$K13*$I13/cfg_DAYS_M)</f>
        <v>1875</v>
      </c>
      <c r="L13" s="90" t="n">
        <f aca="false">IF($B13="","",الموظفون!$L13*$I13/cfg_DAYS_M)</f>
        <v>750</v>
      </c>
      <c r="M13" s="90" t="n">
        <f aca="false">IF($B13="","",الموظفون!$M13*$I13/cfg_DAYS_M)</f>
        <v>0</v>
      </c>
      <c r="N13" s="110" t="n">
        <f aca="false">IF($B13="","",SUMIFS('الحركات الشهرية'!$F$6:$F$1005,'الحركات الشهرية'!$B$6:$B$1005,$B13,'الحركات الشهرية'!$A$6:$A$1005,$C$3))</f>
        <v>0</v>
      </c>
      <c r="O13" s="90" t="n">
        <f aca="false">IF($B13="","",N13*(الموظفون!$N13+الموظفون!$J13*cfg_OT_P)/cfg_DAYS_M/cfg_HRS)</f>
        <v>0</v>
      </c>
      <c r="P13" s="90" t="n">
        <f aca="false">IF($B13="","",SUMIFS('الحركات الشهرية'!$G$6:$G$1005,'الحركات الشهرية'!$B$6:$B$1005,$B13,'الحركات الشهرية'!$A$6:$A$1005,$C$3))</f>
        <v>0</v>
      </c>
      <c r="Q13" s="90" t="n">
        <f aca="false">IF($B13="","",SUMIFS('الحركات الشهرية'!$H$6:$H$1005,'الحركات الشهرية'!$B$6:$B$1005,$B13,'الحركات الشهرية'!$A$6:$A$1005,$C$3))</f>
        <v>0</v>
      </c>
      <c r="R13" s="111" t="n">
        <f aca="false">IF($B13="","",SUM(J13:M13)+SUM(O13:Q13))</f>
        <v>10125</v>
      </c>
      <c r="S13" s="90" t="n">
        <f aca="false">IF($B13="","",الموظفون!$Q13*IF(E13="سعودي",cfg_G_SE,cfg_G_NE)*F13/cfg_DAYS_M)</f>
        <v>914.0625</v>
      </c>
      <c r="T13" s="90" t="n">
        <f aca="false">IF($B13="","",SUMIFS('الحركات الشهرية'!$I$6:$I$1005,'الحركات الشهرية'!$B$6:$B$1005,$B13,'الحركات الشهرية'!$A$6:$A$1005,$C$3))</f>
        <v>0</v>
      </c>
      <c r="U13" s="90" t="n">
        <f aca="false">IF($B13="","",SUMIFS('الحركات الشهرية'!$J$6:$J$1005,'الحركات الشهرية'!$B$6:$B$1005,$B13,'الحركات الشهرية'!$A$6:$A$1005,$C$3))</f>
        <v>0</v>
      </c>
      <c r="V13" s="90" t="n">
        <f aca="false">IF($B13="","",SUM(S13:U13))</f>
        <v>914.0625</v>
      </c>
      <c r="W13" s="112" t="n">
        <f aca="false">IF($B13="","",R13-V13)</f>
        <v>9210.9375</v>
      </c>
      <c r="X13" s="90" t="n">
        <f aca="false">IF($B13="","",الموظفون!$Q13*IF(E13="سعودي",cfg_G_SR,cfg_G_NR)*F13/cfg_DAYS_M)</f>
        <v>1101.5625</v>
      </c>
      <c r="Y13" s="90" t="n">
        <f aca="false">IF($B13="","",الموظفون!$O13*(cfg_EOS_R1*(MIN(AC13,cfg_EOS_TH)-MIN(AD13,cfg_EOS_TH))+cfg_EOS_R2*(MAX(AC13-cfg_EOS_TH,0)-MAX(AD13-cfg_EOS_TH,0))))</f>
        <v>429.965753424657</v>
      </c>
      <c r="Z13" s="90" t="n">
        <f aca="false">IF($B13="","",IF(الموظفون!$R13&lt;&gt;"",الموظفون!$R13,IF(AC13&gt;=cfg_LV_TH,cfg_LV_D2,cfg_LV_D1))/cfg_DAYS_Y*AE13*الموظفون!$P13/cfg_DAYS_M)</f>
        <v>601.952054794521</v>
      </c>
      <c r="AA13" s="90" t="n">
        <f aca="false">IF($B13="","",IF(AND(الموظفون!$S13="نعم",N(الموظفون!$U13)&gt;0),الموظفون!$T13/الموظفون!$U13*12/cfg_DAYS_Y*AE13,0))</f>
        <v>0</v>
      </c>
      <c r="AB13" s="113" t="n">
        <f aca="false">IF($B13="","",R13+SUM(X13:AA13))</f>
        <v>12258.4803082192</v>
      </c>
      <c r="AC13" s="114" t="n">
        <f aca="false">IF($B13="","",MAX(0,IF(OR(الموظفون!$X13="",الموظفون!$X13&gt;$G$3),$G$3,الموظفون!$X13)-الموظفون!$H13+1)/cfg_DAYS_Y)</f>
        <v>3.67397260273973</v>
      </c>
      <c r="AD13" s="114" t="n">
        <f aca="false">IF($B13="","",MAX(0,IF(OR(الموظفون!$X13="",الموظفون!$X13&gt;($E$3-1)),($E$3-1),الموظفون!$X13)-الموظفون!$H13+1)/cfg_DAYS_Y)</f>
        <v>3.58904109589041</v>
      </c>
      <c r="AE13" s="115" t="n">
        <f aca="false">IF($B13="","",MAX(0,IF(OR(الموظفون!$X13="",الموظفون!$X13&gt;$G$3),$G$3,الموظفون!$X13)-MAX($E$3,الموظفون!$H13)+1))</f>
        <v>31</v>
      </c>
    </row>
    <row r="14" customFormat="false" ht="15" hidden="false" customHeight="false" outlineLevel="0" collapsed="false">
      <c r="A14" s="83" t="n">
        <f aca="false">IF($B14="","",الموظفون!$A14)</f>
        <v>9</v>
      </c>
      <c r="B14" s="74" t="str">
        <f aca="false">IF(الموظفون!$B14="","",الموظفون!$B14)</f>
        <v>E009</v>
      </c>
      <c r="C14" s="74" t="str">
        <f aca="false">IF($B14="","",الموظفون!$C14)</f>
        <v>محمد رفيق</v>
      </c>
      <c r="D14" s="74" t="str">
        <f aca="false">IF($B14="","",الموظفون!$F14)</f>
        <v>العمليات</v>
      </c>
      <c r="E14" s="74" t="str">
        <f aca="false">IF($B14="","",الموظفون!$E14)</f>
        <v>غير سعودي</v>
      </c>
      <c r="F14" s="105" t="n">
        <f aca="false">IF($B14="","",IF(AE14&gt;=DAY($G$3),cfg_DAYS_M,MIN(AE14,cfg_DAYS_M)))</f>
        <v>30</v>
      </c>
      <c r="G14" s="105" t="n">
        <f aca="false">IF($B14="","",SUMIFS('الحركات الشهرية'!$D$6:$D$1005,'الحركات الشهرية'!$B$6:$B$1005,$B14,'الحركات الشهرية'!$A$6:$A$1005,$C$3))</f>
        <v>0</v>
      </c>
      <c r="H14" s="105" t="n">
        <f aca="false">IF($B14="","",SUMIFS('الحركات الشهرية'!$E$6:$E$1005,'الحركات الشهرية'!$B$6:$B$1005,$B14,'الحركات الشهرية'!$A$6:$A$1005,$C$3))</f>
        <v>0</v>
      </c>
      <c r="I14" s="105" t="n">
        <f aca="false">IF($B14="","",MAX(0,F14-G14-H14))</f>
        <v>30</v>
      </c>
      <c r="J14" s="86" t="n">
        <f aca="false">IF($B14="","",الموظفون!$J14*$I14/cfg_DAYS_M)</f>
        <v>6500</v>
      </c>
      <c r="K14" s="86" t="n">
        <f aca="false">IF($B14="","",الموظفون!$K14*$I14/cfg_DAYS_M)</f>
        <v>1625</v>
      </c>
      <c r="L14" s="86" t="n">
        <f aca="false">IF($B14="","",الموظفون!$L14*$I14/cfg_DAYS_M)</f>
        <v>650</v>
      </c>
      <c r="M14" s="86" t="n">
        <f aca="false">IF($B14="","",الموظفون!$M14*$I14/cfg_DAYS_M)</f>
        <v>300</v>
      </c>
      <c r="N14" s="105" t="n">
        <f aca="false">IF($B14="","",SUMIFS('الحركات الشهرية'!$F$6:$F$1005,'الحركات الشهرية'!$B$6:$B$1005,$B14,'الحركات الشهرية'!$A$6:$A$1005,$C$3))</f>
        <v>0</v>
      </c>
      <c r="O14" s="86" t="n">
        <f aca="false">IF($B14="","",N14*(الموظفون!$N14+الموظفون!$J14*cfg_OT_P)/cfg_DAYS_M/cfg_HRS)</f>
        <v>0</v>
      </c>
      <c r="P14" s="86" t="n">
        <f aca="false">IF($B14="","",SUMIFS('الحركات الشهرية'!$G$6:$G$1005,'الحركات الشهرية'!$B$6:$B$1005,$B14,'الحركات الشهرية'!$A$6:$A$1005,$C$3))</f>
        <v>0</v>
      </c>
      <c r="Q14" s="86" t="n">
        <f aca="false">IF($B14="","",SUMIFS('الحركات الشهرية'!$H$6:$H$1005,'الحركات الشهرية'!$B$6:$B$1005,$B14,'الحركات الشهرية'!$A$6:$A$1005,$C$3))</f>
        <v>0</v>
      </c>
      <c r="R14" s="106" t="n">
        <f aca="false">IF($B14="","",SUM(J14:M14)+SUM(O14:Q14))</f>
        <v>9075</v>
      </c>
      <c r="S14" s="86" t="n">
        <f aca="false">IF($B14="","",الموظفون!$Q14*IF(E14="سعودي",cfg_G_SE,cfg_G_NE)*F14/cfg_DAYS_M)</f>
        <v>0</v>
      </c>
      <c r="T14" s="86" t="n">
        <f aca="false">IF($B14="","",SUMIFS('الحركات الشهرية'!$I$6:$I$1005,'الحركات الشهرية'!$B$6:$B$1005,$B14,'الحركات الشهرية'!$A$6:$A$1005,$C$3))</f>
        <v>0</v>
      </c>
      <c r="U14" s="86" t="n">
        <f aca="false">IF($B14="","",SUMIFS('الحركات الشهرية'!$J$6:$J$1005,'الحركات الشهرية'!$B$6:$B$1005,$B14,'الحركات الشهرية'!$A$6:$A$1005,$C$3))</f>
        <v>0</v>
      </c>
      <c r="V14" s="86" t="n">
        <f aca="false">IF($B14="","",SUM(S14:U14))</f>
        <v>0</v>
      </c>
      <c r="W14" s="107" t="n">
        <f aca="false">IF($B14="","",R14-V14)</f>
        <v>9075</v>
      </c>
      <c r="X14" s="86" t="n">
        <f aca="false">IF($B14="","",الموظفون!$Q14*IF(E14="سعودي",cfg_G_SR,cfg_G_NR)*F14/cfg_DAYS_M)</f>
        <v>162.5</v>
      </c>
      <c r="Y14" s="86" t="n">
        <f aca="false">IF($B14="","",الموظفون!$O14*(cfg_EOS_R1*(MIN(AC14,cfg_EOS_TH)-MIN(AD14,cfg_EOS_TH))+cfg_EOS_R2*(MAX(AC14-cfg_EOS_TH,0)-MAX(AD14-cfg_EOS_TH,0))))</f>
        <v>745.273972602744</v>
      </c>
      <c r="Z14" s="86" t="n">
        <f aca="false">IF($B14="","",IF(الموظفون!$R14&lt;&gt;"",الموظفون!$R14,IF(AC14&gt;=cfg_LV_TH,cfg_LV_D2,cfg_LV_D1))/cfg_DAYS_Y*AE14*الموظفون!$P14/cfg_DAYS_M)</f>
        <v>745.27397260274</v>
      </c>
      <c r="AA14" s="86" t="n">
        <f aca="false">IF($B14="","",IF(AND(الموظفون!$S14="نعم",N(الموظفون!$U14)&gt;0),الموظفون!$T14/الموظفون!$U14*12/cfg_DAYS_Y*AE14,0))</f>
        <v>93.4246575342466</v>
      </c>
      <c r="AB14" s="108" t="n">
        <f aca="false">IF($B14="","",R14+SUM(X14:AA14))</f>
        <v>10821.4726027397</v>
      </c>
      <c r="AC14" s="109" t="n">
        <f aca="false">IF($B14="","",MAX(0,IF(OR(الموظفون!$X14="",الموظفون!$X14&gt;$G$3),$G$3,الموظفون!$X14)-الموظفون!$H14+1)/cfg_DAYS_Y)</f>
        <v>12.213698630137</v>
      </c>
      <c r="AD14" s="109" t="n">
        <f aca="false">IF($B14="","",MAX(0,IF(OR(الموظفون!$X14="",الموظفون!$X14&gt;($E$3-1)),($E$3-1),الموظفون!$X14)-الموظفون!$H14+1)/cfg_DAYS_Y)</f>
        <v>12.1287671232877</v>
      </c>
      <c r="AE14" s="51" t="n">
        <f aca="false">IF($B14="","",MAX(0,IF(OR(الموظفون!$X14="",الموظفون!$X14&gt;$G$3),$G$3,الموظفون!$X14)-MAX($E$3,الموظفون!$H14)+1))</f>
        <v>31</v>
      </c>
    </row>
    <row r="15" customFormat="false" ht="15" hidden="false" customHeight="false" outlineLevel="0" collapsed="false">
      <c r="A15" s="89" t="n">
        <f aca="false">IF($B15="","",الموظفون!$A15)</f>
        <v>10</v>
      </c>
      <c r="B15" s="91" t="str">
        <f aca="false">IF(الموظفون!$B15="","",الموظفون!$B15)</f>
        <v>E010</v>
      </c>
      <c r="C15" s="91" t="str">
        <f aca="false">IF($B15="","",الموظفون!$C15)</f>
        <v>ريم سلطان المطيري</v>
      </c>
      <c r="D15" s="91" t="str">
        <f aca="false">IF($B15="","",الموظفون!$F15)</f>
        <v>المبيعات</v>
      </c>
      <c r="E15" s="91" t="str">
        <f aca="false">IF($B15="","",الموظفون!$E15)</f>
        <v>سعودي</v>
      </c>
      <c r="F15" s="110" t="n">
        <f aca="false">IF($B15="","",IF(AE15&gt;=DAY($G$3),cfg_DAYS_M,MIN(AE15,cfg_DAYS_M)))</f>
        <v>30</v>
      </c>
      <c r="G15" s="110" t="n">
        <f aca="false">IF($B15="","",SUMIFS('الحركات الشهرية'!$D$6:$D$1005,'الحركات الشهرية'!$B$6:$B$1005,$B15,'الحركات الشهرية'!$A$6:$A$1005,$C$3))</f>
        <v>0</v>
      </c>
      <c r="H15" s="110" t="n">
        <f aca="false">IF($B15="","",SUMIFS('الحركات الشهرية'!$E$6:$E$1005,'الحركات الشهرية'!$B$6:$B$1005,$B15,'الحركات الشهرية'!$A$6:$A$1005,$C$3))</f>
        <v>0</v>
      </c>
      <c r="I15" s="110" t="n">
        <f aca="false">IF($B15="","",MAX(0,F15-G15-H15))</f>
        <v>30</v>
      </c>
      <c r="J15" s="90" t="n">
        <f aca="false">IF($B15="","",الموظفون!$J15*$I15/cfg_DAYS_M)</f>
        <v>9000</v>
      </c>
      <c r="K15" s="90" t="n">
        <f aca="false">IF($B15="","",الموظفون!$K15*$I15/cfg_DAYS_M)</f>
        <v>2250</v>
      </c>
      <c r="L15" s="90" t="n">
        <f aca="false">IF($B15="","",الموظفون!$L15*$I15/cfg_DAYS_M)</f>
        <v>900</v>
      </c>
      <c r="M15" s="90" t="n">
        <f aca="false">IF($B15="","",الموظفون!$M15*$I15/cfg_DAYS_M)</f>
        <v>0</v>
      </c>
      <c r="N15" s="110" t="n">
        <f aca="false">IF($B15="","",SUMIFS('الحركات الشهرية'!$F$6:$F$1005,'الحركات الشهرية'!$B$6:$B$1005,$B15,'الحركات الشهرية'!$A$6:$A$1005,$C$3))</f>
        <v>0</v>
      </c>
      <c r="O15" s="90" t="n">
        <f aca="false">IF($B15="","",N15*(الموظفون!$N15+الموظفون!$J15*cfg_OT_P)/cfg_DAYS_M/cfg_HRS)</f>
        <v>0</v>
      </c>
      <c r="P15" s="90" t="n">
        <f aca="false">IF($B15="","",SUMIFS('الحركات الشهرية'!$G$6:$G$1005,'الحركات الشهرية'!$B$6:$B$1005,$B15,'الحركات الشهرية'!$A$6:$A$1005,$C$3))</f>
        <v>0</v>
      </c>
      <c r="Q15" s="90" t="n">
        <f aca="false">IF($B15="","",SUMIFS('الحركات الشهرية'!$H$6:$H$1005,'الحركات الشهرية'!$B$6:$B$1005,$B15,'الحركات الشهرية'!$A$6:$A$1005,$C$3))</f>
        <v>0</v>
      </c>
      <c r="R15" s="111" t="n">
        <f aca="false">IF($B15="","",SUM(J15:M15)+SUM(O15:Q15))</f>
        <v>12150</v>
      </c>
      <c r="S15" s="90" t="n">
        <f aca="false">IF($B15="","",الموظفون!$Q15*IF(E15="سعودي",cfg_G_SE,cfg_G_NE)*F15/cfg_DAYS_M)</f>
        <v>1096.875</v>
      </c>
      <c r="T15" s="90" t="n">
        <f aca="false">IF($B15="","",SUMIFS('الحركات الشهرية'!$I$6:$I$1005,'الحركات الشهرية'!$B$6:$B$1005,$B15,'الحركات الشهرية'!$A$6:$A$1005,$C$3))</f>
        <v>0</v>
      </c>
      <c r="U15" s="90" t="n">
        <f aca="false">IF($B15="","",SUMIFS('الحركات الشهرية'!$J$6:$J$1005,'الحركات الشهرية'!$B$6:$B$1005,$B15,'الحركات الشهرية'!$A$6:$A$1005,$C$3))</f>
        <v>0</v>
      </c>
      <c r="V15" s="90" t="n">
        <f aca="false">IF($B15="","",SUM(S15:U15))</f>
        <v>1096.875</v>
      </c>
      <c r="W15" s="112" t="n">
        <f aca="false">IF($B15="","",R15-V15)</f>
        <v>11053.125</v>
      </c>
      <c r="X15" s="90" t="n">
        <f aca="false">IF($B15="","",الموظفون!$Q15*IF(E15="سعودي",cfg_G_SR,cfg_G_NR)*F15/cfg_DAYS_M)</f>
        <v>1321.875</v>
      </c>
      <c r="Y15" s="90" t="n">
        <f aca="false">IF($B15="","",الموظفون!$O15*(cfg_EOS_R1*(MIN(AC15,cfg_EOS_TH)-MIN(AD15,cfg_EOS_TH))+cfg_EOS_R2*(MAX(AC15-cfg_EOS_TH,0)-MAX(AD15-cfg_EOS_TH,0))))</f>
        <v>515.958904109589</v>
      </c>
      <c r="Z15" s="90" t="n">
        <f aca="false">IF($B15="","",IF(الموظفون!$R15&lt;&gt;"",الموظفون!$R15,IF(AC15&gt;=cfg_LV_TH,cfg_LV_D2,cfg_LV_D1))/cfg_DAYS_Y*AE15*الموظفون!$P15/cfg_DAYS_M)</f>
        <v>722.342465753425</v>
      </c>
      <c r="AA15" s="90" t="n">
        <f aca="false">IF($B15="","",IF(AND(الموظفون!$S15="نعم",N(الموظفون!$U15)&gt;0),الموظفون!$T15/الموظفون!$U15*12/cfg_DAYS_Y*AE15,0))</f>
        <v>0</v>
      </c>
      <c r="AB15" s="113" t="n">
        <f aca="false">IF($B15="","",R15+SUM(X15:AA15))</f>
        <v>14710.176369863</v>
      </c>
      <c r="AC15" s="114" t="n">
        <f aca="false">IF($B15="","",MAX(0,IF(OR(الموظفون!$X15="",الموظفون!$X15&gt;$G$3),$G$3,الموظفون!$X15)-الموظفون!$H15+1)/cfg_DAYS_Y)</f>
        <v>0.547945205479452</v>
      </c>
      <c r="AD15" s="114" t="n">
        <f aca="false">IF($B15="","",MAX(0,IF(OR(الموظفون!$X15="",الموظفون!$X15&gt;($E$3-1)),($E$3-1),الموظفون!$X15)-الموظفون!$H15+1)/cfg_DAYS_Y)</f>
        <v>0.463013698630137</v>
      </c>
      <c r="AE15" s="115" t="n">
        <f aca="false">IF($B15="","",MAX(0,IF(OR(الموظفون!$X15="",الموظفون!$X15&gt;$G$3),$G$3,الموظفون!$X15)-MAX($E$3,الموظفون!$H15)+1))</f>
        <v>31</v>
      </c>
    </row>
    <row r="16" customFormat="false" ht="15" hidden="false" customHeight="false" outlineLevel="0" collapsed="false">
      <c r="A16" s="83" t="n">
        <f aca="false">IF($B16="","",الموظفون!$A16)</f>
        <v>11</v>
      </c>
      <c r="B16" s="74" t="str">
        <f aca="false">IF(الموظفون!$B16="","",الموظفون!$B16)</f>
        <v>E011</v>
      </c>
      <c r="C16" s="74" t="str">
        <f aca="false">IF($B16="","",الموظفون!$C16)</f>
        <v>جون ماتيو</v>
      </c>
      <c r="D16" s="74" t="str">
        <f aca="false">IF($B16="","",الموظفون!$F16)</f>
        <v>العمليات</v>
      </c>
      <c r="E16" s="74" t="str">
        <f aca="false">IF($B16="","",الموظفون!$E16)</f>
        <v>غير سعودي</v>
      </c>
      <c r="F16" s="105" t="n">
        <f aca="false">IF($B16="","",IF(AE16&gt;=DAY($G$3),cfg_DAYS_M,MIN(AE16,cfg_DAYS_M)))</f>
        <v>0</v>
      </c>
      <c r="G16" s="105" t="n">
        <f aca="false">IF($B16="","",SUMIFS('الحركات الشهرية'!$D$6:$D$1005,'الحركات الشهرية'!$B$6:$B$1005,$B16,'الحركات الشهرية'!$A$6:$A$1005,$C$3))</f>
        <v>0</v>
      </c>
      <c r="H16" s="105" t="n">
        <f aca="false">IF($B16="","",SUMIFS('الحركات الشهرية'!$E$6:$E$1005,'الحركات الشهرية'!$B$6:$B$1005,$B16,'الحركات الشهرية'!$A$6:$A$1005,$C$3))</f>
        <v>0</v>
      </c>
      <c r="I16" s="105" t="n">
        <f aca="false">IF($B16="","",MAX(0,F16-G16-H16))</f>
        <v>0</v>
      </c>
      <c r="J16" s="86" t="n">
        <f aca="false">IF($B16="","",الموظفون!$J16*$I16/cfg_DAYS_M)</f>
        <v>0</v>
      </c>
      <c r="K16" s="86" t="n">
        <f aca="false">IF($B16="","",الموظفون!$K16*$I16/cfg_DAYS_M)</f>
        <v>0</v>
      </c>
      <c r="L16" s="86" t="n">
        <f aca="false">IF($B16="","",الموظفون!$L16*$I16/cfg_DAYS_M)</f>
        <v>0</v>
      </c>
      <c r="M16" s="86" t="n">
        <f aca="false">IF($B16="","",الموظفون!$M16*$I16/cfg_DAYS_M)</f>
        <v>0</v>
      </c>
      <c r="N16" s="105" t="n">
        <f aca="false">IF($B16="","",SUMIFS('الحركات الشهرية'!$F$6:$F$1005,'الحركات الشهرية'!$B$6:$B$1005,$B16,'الحركات الشهرية'!$A$6:$A$1005,$C$3))</f>
        <v>0</v>
      </c>
      <c r="O16" s="86" t="n">
        <f aca="false">IF($B16="","",N16*(الموظفون!$N16+الموظفون!$J16*cfg_OT_P)/cfg_DAYS_M/cfg_HRS)</f>
        <v>0</v>
      </c>
      <c r="P16" s="86" t="n">
        <f aca="false">IF($B16="","",SUMIFS('الحركات الشهرية'!$G$6:$G$1005,'الحركات الشهرية'!$B$6:$B$1005,$B16,'الحركات الشهرية'!$A$6:$A$1005,$C$3))</f>
        <v>0</v>
      </c>
      <c r="Q16" s="86" t="n">
        <f aca="false">IF($B16="","",SUMIFS('الحركات الشهرية'!$H$6:$H$1005,'الحركات الشهرية'!$B$6:$B$1005,$B16,'الحركات الشهرية'!$A$6:$A$1005,$C$3))</f>
        <v>0</v>
      </c>
      <c r="R16" s="106" t="n">
        <f aca="false">IF($B16="","",SUM(J16:M16)+SUM(O16:Q16))</f>
        <v>0</v>
      </c>
      <c r="S16" s="86" t="n">
        <f aca="false">IF($B16="","",الموظفون!$Q16*IF(E16="سعودي",cfg_G_SE,cfg_G_NE)*F16/cfg_DAYS_M)</f>
        <v>0</v>
      </c>
      <c r="T16" s="86" t="n">
        <f aca="false">IF($B16="","",SUMIFS('الحركات الشهرية'!$I$6:$I$1005,'الحركات الشهرية'!$B$6:$B$1005,$B16,'الحركات الشهرية'!$A$6:$A$1005,$C$3))</f>
        <v>0</v>
      </c>
      <c r="U16" s="86" t="n">
        <f aca="false">IF($B16="","",SUMIFS('الحركات الشهرية'!$J$6:$J$1005,'الحركات الشهرية'!$B$6:$B$1005,$B16,'الحركات الشهرية'!$A$6:$A$1005,$C$3))</f>
        <v>0</v>
      </c>
      <c r="V16" s="86" t="n">
        <f aca="false">IF($B16="","",SUM(S16:U16))</f>
        <v>0</v>
      </c>
      <c r="W16" s="107" t="n">
        <f aca="false">IF($B16="","",R16-V16)</f>
        <v>0</v>
      </c>
      <c r="X16" s="86" t="n">
        <f aca="false">IF($B16="","",الموظفون!$Q16*IF(E16="سعودي",cfg_G_SR,cfg_G_NR)*F16/cfg_DAYS_M)</f>
        <v>0</v>
      </c>
      <c r="Y16" s="86" t="n">
        <f aca="false">IF($B16="","",الموظفون!$O16*(cfg_EOS_R1*(MIN(AC16,cfg_EOS_TH)-MIN(AD16,cfg_EOS_TH))+cfg_EOS_R2*(MAX(AC16-cfg_EOS_TH,0)-MAX(AD16-cfg_EOS_TH,0))))</f>
        <v>0</v>
      </c>
      <c r="Z16" s="86" t="n">
        <f aca="false">IF($B16="","",IF(الموظفون!$R16&lt;&gt;"",الموظفون!$R16,IF(AC16&gt;=cfg_LV_TH,cfg_LV_D2,cfg_LV_D1))/cfg_DAYS_Y*AE16*الموظفون!$P16/cfg_DAYS_M)</f>
        <v>0</v>
      </c>
      <c r="AA16" s="86" t="n">
        <f aca="false">IF($B16="","",IF(AND(الموظفون!$S16="نعم",N(الموظفون!$U16)&gt;0),الموظفون!$T16/الموظفون!$U16*12/cfg_DAYS_Y*AE16,0))</f>
        <v>0</v>
      </c>
      <c r="AB16" s="108" t="n">
        <f aca="false">IF($B16="","",R16+SUM(X16:AA16))</f>
        <v>0</v>
      </c>
      <c r="AC16" s="109" t="n">
        <f aca="false">IF($B16="","",MAX(0,IF(OR(الموظفون!$X16="",الموظفون!$X16&gt;$G$3),$G$3,الموظفون!$X16)-الموظفون!$H16+1)/cfg_DAYS_Y)</f>
        <v>7.33972602739726</v>
      </c>
      <c r="AD16" s="109" t="n">
        <f aca="false">IF($B16="","",MAX(0,IF(OR(الموظفون!$X16="",الموظفون!$X16&gt;($E$3-1)),($E$3-1),الموظفون!$X16)-الموظفون!$H16+1)/cfg_DAYS_Y)</f>
        <v>7.33972602739726</v>
      </c>
      <c r="AE16" s="51" t="n">
        <f aca="false">IF($B16="","",MAX(0,IF(OR(الموظفون!$X16="",الموظفون!$X16&gt;$G$3),$G$3,الموظفون!$X16)-MAX($E$3,الموظفون!$H16)+1))</f>
        <v>0</v>
      </c>
    </row>
    <row r="17" customFormat="false" ht="15" hidden="false" customHeight="false" outlineLevel="0" collapsed="false">
      <c r="A17" s="89" t="n">
        <f aca="false">IF($B17="","",الموظفون!$A17)</f>
        <v>12</v>
      </c>
      <c r="B17" s="91" t="str">
        <f aca="false">IF(الموظفون!$B17="","",الموظفون!$B17)</f>
        <v>E012</v>
      </c>
      <c r="C17" s="91" t="str">
        <f aca="false">IF($B17="","",الموظفون!$C17)</f>
        <v>عمر حسين البيشي</v>
      </c>
      <c r="D17" s="91" t="str">
        <f aca="false">IF($B17="","",الموظفون!$F17)</f>
        <v>تقنية المعلومات</v>
      </c>
      <c r="E17" s="91" t="str">
        <f aca="false">IF($B17="","",الموظفون!$E17)</f>
        <v>سعودي</v>
      </c>
      <c r="F17" s="110" t="n">
        <f aca="false">IF($B17="","",IF(AE17&gt;=DAY($G$3),cfg_DAYS_M,MIN(AE17,cfg_DAYS_M)))</f>
        <v>30</v>
      </c>
      <c r="G17" s="110" t="n">
        <f aca="false">IF($B17="","",SUMIFS('الحركات الشهرية'!$D$6:$D$1005,'الحركات الشهرية'!$B$6:$B$1005,$B17,'الحركات الشهرية'!$A$6:$A$1005,$C$3))</f>
        <v>0</v>
      </c>
      <c r="H17" s="110" t="n">
        <f aca="false">IF($B17="","",SUMIFS('الحركات الشهرية'!$E$6:$E$1005,'الحركات الشهرية'!$B$6:$B$1005,$B17,'الحركات الشهرية'!$A$6:$A$1005,$C$3))</f>
        <v>0</v>
      </c>
      <c r="I17" s="110" t="n">
        <f aca="false">IF($B17="","",MAX(0,F17-G17-H17))</f>
        <v>30</v>
      </c>
      <c r="J17" s="90" t="n">
        <f aca="false">IF($B17="","",الموظفون!$J17*$I17/cfg_DAYS_M)</f>
        <v>12000</v>
      </c>
      <c r="K17" s="90" t="n">
        <f aca="false">IF($B17="","",الموظفون!$K17*$I17/cfg_DAYS_M)</f>
        <v>3000</v>
      </c>
      <c r="L17" s="90" t="n">
        <f aca="false">IF($B17="","",الموظفون!$L17*$I17/cfg_DAYS_M)</f>
        <v>1200</v>
      </c>
      <c r="M17" s="90" t="n">
        <f aca="false">IF($B17="","",الموظفون!$M17*$I17/cfg_DAYS_M)</f>
        <v>1500</v>
      </c>
      <c r="N17" s="110" t="n">
        <f aca="false">IF($B17="","",SUMIFS('الحركات الشهرية'!$F$6:$F$1005,'الحركات الشهرية'!$B$6:$B$1005,$B17,'الحركات الشهرية'!$A$6:$A$1005,$C$3))</f>
        <v>0</v>
      </c>
      <c r="O17" s="90" t="n">
        <f aca="false">IF($B17="","",N17*(الموظفون!$N17+الموظفون!$J17*cfg_OT_P)/cfg_DAYS_M/cfg_HRS)</f>
        <v>0</v>
      </c>
      <c r="P17" s="90" t="n">
        <f aca="false">IF($B17="","",SUMIFS('الحركات الشهرية'!$G$6:$G$1005,'الحركات الشهرية'!$B$6:$B$1005,$B17,'الحركات الشهرية'!$A$6:$A$1005,$C$3))</f>
        <v>0</v>
      </c>
      <c r="Q17" s="90" t="n">
        <f aca="false">IF($B17="","",SUMIFS('الحركات الشهرية'!$H$6:$H$1005,'الحركات الشهرية'!$B$6:$B$1005,$B17,'الحركات الشهرية'!$A$6:$A$1005,$C$3))</f>
        <v>0</v>
      </c>
      <c r="R17" s="111" t="n">
        <f aca="false">IF($B17="","",SUM(J17:M17)+SUM(O17:Q17))</f>
        <v>17700</v>
      </c>
      <c r="S17" s="90" t="n">
        <f aca="false">IF($B17="","",الموظفون!$Q17*IF(E17="سعودي",cfg_G_SE,cfg_G_NE)*F17/cfg_DAYS_M)</f>
        <v>1462.5</v>
      </c>
      <c r="T17" s="90" t="n">
        <f aca="false">IF($B17="","",SUMIFS('الحركات الشهرية'!$I$6:$I$1005,'الحركات الشهرية'!$B$6:$B$1005,$B17,'الحركات الشهرية'!$A$6:$A$1005,$C$3))</f>
        <v>0</v>
      </c>
      <c r="U17" s="90" t="n">
        <f aca="false">IF($B17="","",SUMIFS('الحركات الشهرية'!$J$6:$J$1005,'الحركات الشهرية'!$B$6:$B$1005,$B17,'الحركات الشهرية'!$A$6:$A$1005,$C$3))</f>
        <v>0</v>
      </c>
      <c r="V17" s="90" t="n">
        <f aca="false">IF($B17="","",SUM(S17:U17))</f>
        <v>1462.5</v>
      </c>
      <c r="W17" s="112" t="n">
        <f aca="false">IF($B17="","",R17-V17)</f>
        <v>16237.5</v>
      </c>
      <c r="X17" s="90" t="n">
        <f aca="false">IF($B17="","",الموظفون!$Q17*IF(E17="سعودي",cfg_G_SR,cfg_G_NR)*F17/cfg_DAYS_M)</f>
        <v>1762.5</v>
      </c>
      <c r="Y17" s="90" t="n">
        <f aca="false">IF($B17="","",الموظفون!$O17*(cfg_EOS_R1*(MIN(AC17,cfg_EOS_TH)-MIN(AD17,cfg_EOS_TH))+cfg_EOS_R2*(MAX(AC17-cfg_EOS_TH,0)-MAX(AD17-cfg_EOS_TH,0))))</f>
        <v>687.945205479448</v>
      </c>
      <c r="Z17" s="90" t="n">
        <f aca="false">IF($B17="","",IF(الموظفون!$R17&lt;&gt;"",الموظفون!$R17,IF(AC17&gt;=cfg_LV_TH,cfg_LV_D2,cfg_LV_D1))/cfg_DAYS_Y*AE17*الموظفون!$P17/cfg_DAYS_M)</f>
        <v>963.123287671233</v>
      </c>
      <c r="AA17" s="90" t="n">
        <f aca="false">IF($B17="","",IF(AND(الموظفون!$S17="نعم",N(الموظفون!$U17)&gt;0),الموظفون!$T17/الموظفون!$U17*12/cfg_DAYS_Y*AE17,0))</f>
        <v>0</v>
      </c>
      <c r="AB17" s="113" t="n">
        <f aca="false">IF($B17="","",R17+SUM(X17:AA17))</f>
        <v>21113.5684931507</v>
      </c>
      <c r="AC17" s="114" t="n">
        <f aca="false">IF($B17="","",MAX(0,IF(OR(الموظفون!$X17="",الموظفون!$X17&gt;$G$3),$G$3,الموظفون!$X17)-الموظفون!$H17+1)/cfg_DAYS_Y)</f>
        <v>4.31506849315069</v>
      </c>
      <c r="AD17" s="114" t="n">
        <f aca="false">IF($B17="","",MAX(0,IF(OR(الموظفون!$X17="",الموظفون!$X17&gt;($E$3-1)),($E$3-1),الموظفون!$X17)-الموظفون!$H17+1)/cfg_DAYS_Y)</f>
        <v>4.23013698630137</v>
      </c>
      <c r="AE17" s="115" t="n">
        <f aca="false">IF($B17="","",MAX(0,IF(OR(الموظفون!$X17="",الموظفون!$X17&gt;$G$3),$G$3,الموظفون!$X17)-MAX($E$3,الموظفون!$H17)+1))</f>
        <v>31</v>
      </c>
    </row>
    <row r="18" customFormat="false" ht="15" hidden="false" customHeight="false" outlineLevel="0" collapsed="false">
      <c r="A18" s="83" t="str">
        <f aca="false">IF($B18="","",الموظفون!$A18)</f>
        <v/>
      </c>
      <c r="B18" s="74" t="str">
        <f aca="false">IF(الموظفون!$B18="","",الموظفون!$B18)</f>
        <v/>
      </c>
      <c r="C18" s="74" t="str">
        <f aca="false">IF($B18="","",الموظفون!$C18)</f>
        <v/>
      </c>
      <c r="D18" s="74" t="str">
        <f aca="false">IF($B18="","",الموظفون!$F18)</f>
        <v/>
      </c>
      <c r="E18" s="74" t="str">
        <f aca="false">IF($B18="","",الموظفون!$E18)</f>
        <v/>
      </c>
      <c r="F18" s="105" t="str">
        <f aca="false">IF($B18="","",IF(AE18&gt;=DAY($G$3),cfg_DAYS_M,MIN(AE18,cfg_DAYS_M)))</f>
        <v/>
      </c>
      <c r="G18" s="105" t="str">
        <f aca="false">IF($B18="","",SUMIFS('الحركات الشهرية'!$D$6:$D$1005,'الحركات الشهرية'!$B$6:$B$1005,$B18,'الحركات الشهرية'!$A$6:$A$1005,$C$3))</f>
        <v/>
      </c>
      <c r="H18" s="105" t="str">
        <f aca="false">IF($B18="","",SUMIFS('الحركات الشهرية'!$E$6:$E$1005,'الحركات الشهرية'!$B$6:$B$1005,$B18,'الحركات الشهرية'!$A$6:$A$1005,$C$3))</f>
        <v/>
      </c>
      <c r="I18" s="105" t="str">
        <f aca="false">IF($B18="","",MAX(0,F18-G18-H18))</f>
        <v/>
      </c>
      <c r="J18" s="86" t="str">
        <f aca="false">IF($B18="","",الموظفون!$J18*$I18/cfg_DAYS_M)</f>
        <v/>
      </c>
      <c r="K18" s="86" t="str">
        <f aca="false">IF($B18="","",الموظفون!$K18*$I18/cfg_DAYS_M)</f>
        <v/>
      </c>
      <c r="L18" s="86" t="str">
        <f aca="false">IF($B18="","",الموظفون!$L18*$I18/cfg_DAYS_M)</f>
        <v/>
      </c>
      <c r="M18" s="86" t="str">
        <f aca="false">IF($B18="","",الموظفون!$M18*$I18/cfg_DAYS_M)</f>
        <v/>
      </c>
      <c r="N18" s="105" t="str">
        <f aca="false">IF($B18="","",SUMIFS('الحركات الشهرية'!$F$6:$F$1005,'الحركات الشهرية'!$B$6:$B$1005,$B18,'الحركات الشهرية'!$A$6:$A$1005,$C$3))</f>
        <v/>
      </c>
      <c r="O18" s="86" t="str">
        <f aca="false">IF($B18="","",N18*(الموظفون!$N18+الموظفون!$J18*cfg_OT_P)/cfg_DAYS_M/cfg_HRS)</f>
        <v/>
      </c>
      <c r="P18" s="86" t="str">
        <f aca="false">IF($B18="","",SUMIFS('الحركات الشهرية'!$G$6:$G$1005,'الحركات الشهرية'!$B$6:$B$1005,$B18,'الحركات الشهرية'!$A$6:$A$1005,$C$3))</f>
        <v/>
      </c>
      <c r="Q18" s="86" t="str">
        <f aca="false">IF($B18="","",SUMIFS('الحركات الشهرية'!$H$6:$H$1005,'الحركات الشهرية'!$B$6:$B$1005,$B18,'الحركات الشهرية'!$A$6:$A$1005,$C$3))</f>
        <v/>
      </c>
      <c r="R18" s="106" t="str">
        <f aca="false">IF($B18="","",SUM(J18:M18)+SUM(O18:Q18))</f>
        <v/>
      </c>
      <c r="S18" s="86" t="str">
        <f aca="false">IF($B18="","",الموظفون!$Q18*IF(E18="سعودي",cfg_G_SE,cfg_G_NE)*F18/cfg_DAYS_M)</f>
        <v/>
      </c>
      <c r="T18" s="86" t="str">
        <f aca="false">IF($B18="","",SUMIFS('الحركات الشهرية'!$I$6:$I$1005,'الحركات الشهرية'!$B$6:$B$1005,$B18,'الحركات الشهرية'!$A$6:$A$1005,$C$3))</f>
        <v/>
      </c>
      <c r="U18" s="86" t="str">
        <f aca="false">IF($B18="","",SUMIFS('الحركات الشهرية'!$J$6:$J$1005,'الحركات الشهرية'!$B$6:$B$1005,$B18,'الحركات الشهرية'!$A$6:$A$1005,$C$3))</f>
        <v/>
      </c>
      <c r="V18" s="86" t="str">
        <f aca="false">IF($B18="","",SUM(S18:U18))</f>
        <v/>
      </c>
      <c r="W18" s="107" t="str">
        <f aca="false">IF($B18="","",R18-V18)</f>
        <v/>
      </c>
      <c r="X18" s="86" t="str">
        <f aca="false">IF($B18="","",الموظفون!$Q18*IF(E18="سعودي",cfg_G_SR,cfg_G_NR)*F18/cfg_DAYS_M)</f>
        <v/>
      </c>
      <c r="Y18" s="86" t="str">
        <f aca="false">IF($B18="","",الموظفون!$O18*(cfg_EOS_R1*(MIN(AC18,cfg_EOS_TH)-MIN(AD18,cfg_EOS_TH))+cfg_EOS_R2*(MAX(AC18-cfg_EOS_TH,0)-MAX(AD18-cfg_EOS_TH,0))))</f>
        <v/>
      </c>
      <c r="Z18" s="86" t="str">
        <f aca="false">IF($B18="","",IF(الموظفون!$R18&lt;&gt;"",الموظفون!$R18,IF(AC18&gt;=cfg_LV_TH,cfg_LV_D2,cfg_LV_D1))/cfg_DAYS_Y*AE18*الموظفون!$P18/cfg_DAYS_M)</f>
        <v/>
      </c>
      <c r="AA18" s="86" t="str">
        <f aca="false">IF($B18="","",IF(AND(الموظفون!$S18="نعم",N(الموظفون!$U18)&gt;0),الموظفون!$T18/الموظفون!$U18*12/cfg_DAYS_Y*AE18,0))</f>
        <v/>
      </c>
      <c r="AB18" s="108" t="str">
        <f aca="false">IF($B18="","",R18+SUM(X18:AA18))</f>
        <v/>
      </c>
      <c r="AC18" s="109" t="str">
        <f aca="false">IF($B18="","",MAX(0,IF(OR(الموظفون!$X18="",الموظفون!$X18&gt;$G$3),$G$3,الموظفون!$X18)-الموظفون!$H18+1)/cfg_DAYS_Y)</f>
        <v/>
      </c>
      <c r="AD18" s="109" t="str">
        <f aca="false">IF($B18="","",MAX(0,IF(OR(الموظفون!$X18="",الموظفون!$X18&gt;($E$3-1)),($E$3-1),الموظفون!$X18)-الموظفون!$H18+1)/cfg_DAYS_Y)</f>
        <v/>
      </c>
      <c r="AE18" s="51" t="str">
        <f aca="false">IF($B18="","",MAX(0,IF(OR(الموظفون!$X18="",الموظفون!$X18&gt;$G$3),$G$3,الموظفون!$X18)-MAX($E$3,الموظفون!$H18)+1))</f>
        <v/>
      </c>
    </row>
    <row r="19" customFormat="false" ht="15" hidden="false" customHeight="false" outlineLevel="0" collapsed="false">
      <c r="A19" s="89" t="str">
        <f aca="false">IF($B19="","",الموظفون!$A19)</f>
        <v/>
      </c>
      <c r="B19" s="91" t="str">
        <f aca="false">IF(الموظفون!$B19="","",الموظفون!$B19)</f>
        <v/>
      </c>
      <c r="C19" s="91" t="str">
        <f aca="false">IF($B19="","",الموظفون!$C19)</f>
        <v/>
      </c>
      <c r="D19" s="91" t="str">
        <f aca="false">IF($B19="","",الموظفون!$F19)</f>
        <v/>
      </c>
      <c r="E19" s="91" t="str">
        <f aca="false">IF($B19="","",الموظفون!$E19)</f>
        <v/>
      </c>
      <c r="F19" s="110" t="str">
        <f aca="false">IF($B19="","",IF(AE19&gt;=DAY($G$3),cfg_DAYS_M,MIN(AE19,cfg_DAYS_M)))</f>
        <v/>
      </c>
      <c r="G19" s="110" t="str">
        <f aca="false">IF($B19="","",SUMIFS('الحركات الشهرية'!$D$6:$D$1005,'الحركات الشهرية'!$B$6:$B$1005,$B19,'الحركات الشهرية'!$A$6:$A$1005,$C$3))</f>
        <v/>
      </c>
      <c r="H19" s="110" t="str">
        <f aca="false">IF($B19="","",SUMIFS('الحركات الشهرية'!$E$6:$E$1005,'الحركات الشهرية'!$B$6:$B$1005,$B19,'الحركات الشهرية'!$A$6:$A$1005,$C$3))</f>
        <v/>
      </c>
      <c r="I19" s="110" t="str">
        <f aca="false">IF($B19="","",MAX(0,F19-G19-H19))</f>
        <v/>
      </c>
      <c r="J19" s="90" t="str">
        <f aca="false">IF($B19="","",الموظفون!$J19*$I19/cfg_DAYS_M)</f>
        <v/>
      </c>
      <c r="K19" s="90" t="str">
        <f aca="false">IF($B19="","",الموظفون!$K19*$I19/cfg_DAYS_M)</f>
        <v/>
      </c>
      <c r="L19" s="90" t="str">
        <f aca="false">IF($B19="","",الموظفون!$L19*$I19/cfg_DAYS_M)</f>
        <v/>
      </c>
      <c r="M19" s="90" t="str">
        <f aca="false">IF($B19="","",الموظفون!$M19*$I19/cfg_DAYS_M)</f>
        <v/>
      </c>
      <c r="N19" s="110" t="str">
        <f aca="false">IF($B19="","",SUMIFS('الحركات الشهرية'!$F$6:$F$1005,'الحركات الشهرية'!$B$6:$B$1005,$B19,'الحركات الشهرية'!$A$6:$A$1005,$C$3))</f>
        <v/>
      </c>
      <c r="O19" s="90" t="str">
        <f aca="false">IF($B19="","",N19*(الموظفون!$N19+الموظفون!$J19*cfg_OT_P)/cfg_DAYS_M/cfg_HRS)</f>
        <v/>
      </c>
      <c r="P19" s="90" t="str">
        <f aca="false">IF($B19="","",SUMIFS('الحركات الشهرية'!$G$6:$G$1005,'الحركات الشهرية'!$B$6:$B$1005,$B19,'الحركات الشهرية'!$A$6:$A$1005,$C$3))</f>
        <v/>
      </c>
      <c r="Q19" s="90" t="str">
        <f aca="false">IF($B19="","",SUMIFS('الحركات الشهرية'!$H$6:$H$1005,'الحركات الشهرية'!$B$6:$B$1005,$B19,'الحركات الشهرية'!$A$6:$A$1005,$C$3))</f>
        <v/>
      </c>
      <c r="R19" s="111" t="str">
        <f aca="false">IF($B19="","",SUM(J19:M19)+SUM(O19:Q19))</f>
        <v/>
      </c>
      <c r="S19" s="90" t="str">
        <f aca="false">IF($B19="","",الموظفون!$Q19*IF(E19="سعودي",cfg_G_SE,cfg_G_NE)*F19/cfg_DAYS_M)</f>
        <v/>
      </c>
      <c r="T19" s="90" t="str">
        <f aca="false">IF($B19="","",SUMIFS('الحركات الشهرية'!$I$6:$I$1005,'الحركات الشهرية'!$B$6:$B$1005,$B19,'الحركات الشهرية'!$A$6:$A$1005,$C$3))</f>
        <v/>
      </c>
      <c r="U19" s="90" t="str">
        <f aca="false">IF($B19="","",SUMIFS('الحركات الشهرية'!$J$6:$J$1005,'الحركات الشهرية'!$B$6:$B$1005,$B19,'الحركات الشهرية'!$A$6:$A$1005,$C$3))</f>
        <v/>
      </c>
      <c r="V19" s="90" t="str">
        <f aca="false">IF($B19="","",SUM(S19:U19))</f>
        <v/>
      </c>
      <c r="W19" s="112" t="str">
        <f aca="false">IF($B19="","",R19-V19)</f>
        <v/>
      </c>
      <c r="X19" s="90" t="str">
        <f aca="false">IF($B19="","",الموظفون!$Q19*IF(E19="سعودي",cfg_G_SR,cfg_G_NR)*F19/cfg_DAYS_M)</f>
        <v/>
      </c>
      <c r="Y19" s="90" t="str">
        <f aca="false">IF($B19="","",الموظفون!$O19*(cfg_EOS_R1*(MIN(AC19,cfg_EOS_TH)-MIN(AD19,cfg_EOS_TH))+cfg_EOS_R2*(MAX(AC19-cfg_EOS_TH,0)-MAX(AD19-cfg_EOS_TH,0))))</f>
        <v/>
      </c>
      <c r="Z19" s="90" t="str">
        <f aca="false">IF($B19="","",IF(الموظفون!$R19&lt;&gt;"",الموظفون!$R19,IF(AC19&gt;=cfg_LV_TH,cfg_LV_D2,cfg_LV_D1))/cfg_DAYS_Y*AE19*الموظفون!$P19/cfg_DAYS_M)</f>
        <v/>
      </c>
      <c r="AA19" s="90" t="str">
        <f aca="false">IF($B19="","",IF(AND(الموظفون!$S19="نعم",N(الموظفون!$U19)&gt;0),الموظفون!$T19/الموظفون!$U19*12/cfg_DAYS_Y*AE19,0))</f>
        <v/>
      </c>
      <c r="AB19" s="113" t="str">
        <f aca="false">IF($B19="","",R19+SUM(X19:AA19))</f>
        <v/>
      </c>
      <c r="AC19" s="114" t="str">
        <f aca="false">IF($B19="","",MAX(0,IF(OR(الموظفون!$X19="",الموظفون!$X19&gt;$G$3),$G$3,الموظفون!$X19)-الموظفون!$H19+1)/cfg_DAYS_Y)</f>
        <v/>
      </c>
      <c r="AD19" s="114" t="str">
        <f aca="false">IF($B19="","",MAX(0,IF(OR(الموظفون!$X19="",الموظفون!$X19&gt;($E$3-1)),($E$3-1),الموظفون!$X19)-الموظفون!$H19+1)/cfg_DAYS_Y)</f>
        <v/>
      </c>
      <c r="AE19" s="115" t="str">
        <f aca="false">IF($B19="","",MAX(0,IF(OR(الموظفون!$X19="",الموظفون!$X19&gt;$G$3),$G$3,الموظفون!$X19)-MAX($E$3,الموظفون!$H19)+1))</f>
        <v/>
      </c>
    </row>
    <row r="20" customFormat="false" ht="15" hidden="false" customHeight="false" outlineLevel="0" collapsed="false">
      <c r="A20" s="83" t="str">
        <f aca="false">IF($B20="","",الموظفون!$A20)</f>
        <v/>
      </c>
      <c r="B20" s="74" t="str">
        <f aca="false">IF(الموظفون!$B20="","",الموظفون!$B20)</f>
        <v/>
      </c>
      <c r="C20" s="74" t="str">
        <f aca="false">IF($B20="","",الموظفون!$C20)</f>
        <v/>
      </c>
      <c r="D20" s="74" t="str">
        <f aca="false">IF($B20="","",الموظفون!$F20)</f>
        <v/>
      </c>
      <c r="E20" s="74" t="str">
        <f aca="false">IF($B20="","",الموظفون!$E20)</f>
        <v/>
      </c>
      <c r="F20" s="105" t="str">
        <f aca="false">IF($B20="","",IF(AE20&gt;=DAY($G$3),cfg_DAYS_M,MIN(AE20,cfg_DAYS_M)))</f>
        <v/>
      </c>
      <c r="G20" s="105" t="str">
        <f aca="false">IF($B20="","",SUMIFS('الحركات الشهرية'!$D$6:$D$1005,'الحركات الشهرية'!$B$6:$B$1005,$B20,'الحركات الشهرية'!$A$6:$A$1005,$C$3))</f>
        <v/>
      </c>
      <c r="H20" s="105" t="str">
        <f aca="false">IF($B20="","",SUMIFS('الحركات الشهرية'!$E$6:$E$1005,'الحركات الشهرية'!$B$6:$B$1005,$B20,'الحركات الشهرية'!$A$6:$A$1005,$C$3))</f>
        <v/>
      </c>
      <c r="I20" s="105" t="str">
        <f aca="false">IF($B20="","",MAX(0,F20-G20-H20))</f>
        <v/>
      </c>
      <c r="J20" s="86" t="str">
        <f aca="false">IF($B20="","",الموظفون!$J20*$I20/cfg_DAYS_M)</f>
        <v/>
      </c>
      <c r="K20" s="86" t="str">
        <f aca="false">IF($B20="","",الموظفون!$K20*$I20/cfg_DAYS_M)</f>
        <v/>
      </c>
      <c r="L20" s="86" t="str">
        <f aca="false">IF($B20="","",الموظفون!$L20*$I20/cfg_DAYS_M)</f>
        <v/>
      </c>
      <c r="M20" s="86" t="str">
        <f aca="false">IF($B20="","",الموظفون!$M20*$I20/cfg_DAYS_M)</f>
        <v/>
      </c>
      <c r="N20" s="105" t="str">
        <f aca="false">IF($B20="","",SUMIFS('الحركات الشهرية'!$F$6:$F$1005,'الحركات الشهرية'!$B$6:$B$1005,$B20,'الحركات الشهرية'!$A$6:$A$1005,$C$3))</f>
        <v/>
      </c>
      <c r="O20" s="86" t="str">
        <f aca="false">IF($B20="","",N20*(الموظفون!$N20+الموظفون!$J20*cfg_OT_P)/cfg_DAYS_M/cfg_HRS)</f>
        <v/>
      </c>
      <c r="P20" s="86" t="str">
        <f aca="false">IF($B20="","",SUMIFS('الحركات الشهرية'!$G$6:$G$1005,'الحركات الشهرية'!$B$6:$B$1005,$B20,'الحركات الشهرية'!$A$6:$A$1005,$C$3))</f>
        <v/>
      </c>
      <c r="Q20" s="86" t="str">
        <f aca="false">IF($B20="","",SUMIFS('الحركات الشهرية'!$H$6:$H$1005,'الحركات الشهرية'!$B$6:$B$1005,$B20,'الحركات الشهرية'!$A$6:$A$1005,$C$3))</f>
        <v/>
      </c>
      <c r="R20" s="106" t="str">
        <f aca="false">IF($B20="","",SUM(J20:M20)+SUM(O20:Q20))</f>
        <v/>
      </c>
      <c r="S20" s="86" t="str">
        <f aca="false">IF($B20="","",الموظفون!$Q20*IF(E20="سعودي",cfg_G_SE,cfg_G_NE)*F20/cfg_DAYS_M)</f>
        <v/>
      </c>
      <c r="T20" s="86" t="str">
        <f aca="false">IF($B20="","",SUMIFS('الحركات الشهرية'!$I$6:$I$1005,'الحركات الشهرية'!$B$6:$B$1005,$B20,'الحركات الشهرية'!$A$6:$A$1005,$C$3))</f>
        <v/>
      </c>
      <c r="U20" s="86" t="str">
        <f aca="false">IF($B20="","",SUMIFS('الحركات الشهرية'!$J$6:$J$1005,'الحركات الشهرية'!$B$6:$B$1005,$B20,'الحركات الشهرية'!$A$6:$A$1005,$C$3))</f>
        <v/>
      </c>
      <c r="V20" s="86" t="str">
        <f aca="false">IF($B20="","",SUM(S20:U20))</f>
        <v/>
      </c>
      <c r="W20" s="107" t="str">
        <f aca="false">IF($B20="","",R20-V20)</f>
        <v/>
      </c>
      <c r="X20" s="86" t="str">
        <f aca="false">IF($B20="","",الموظفون!$Q20*IF(E20="سعودي",cfg_G_SR,cfg_G_NR)*F20/cfg_DAYS_M)</f>
        <v/>
      </c>
      <c r="Y20" s="86" t="str">
        <f aca="false">IF($B20="","",الموظفون!$O20*(cfg_EOS_R1*(MIN(AC20,cfg_EOS_TH)-MIN(AD20,cfg_EOS_TH))+cfg_EOS_R2*(MAX(AC20-cfg_EOS_TH,0)-MAX(AD20-cfg_EOS_TH,0))))</f>
        <v/>
      </c>
      <c r="Z20" s="86" t="str">
        <f aca="false">IF($B20="","",IF(الموظفون!$R20&lt;&gt;"",الموظفون!$R20,IF(AC20&gt;=cfg_LV_TH,cfg_LV_D2,cfg_LV_D1))/cfg_DAYS_Y*AE20*الموظفون!$P20/cfg_DAYS_M)</f>
        <v/>
      </c>
      <c r="AA20" s="86" t="str">
        <f aca="false">IF($B20="","",IF(AND(الموظفون!$S20="نعم",N(الموظفون!$U20)&gt;0),الموظفون!$T20/الموظفون!$U20*12/cfg_DAYS_Y*AE20,0))</f>
        <v/>
      </c>
      <c r="AB20" s="108" t="str">
        <f aca="false">IF($B20="","",R20+SUM(X20:AA20))</f>
        <v/>
      </c>
      <c r="AC20" s="109" t="str">
        <f aca="false">IF($B20="","",MAX(0,IF(OR(الموظفون!$X20="",الموظفون!$X20&gt;$G$3),$G$3,الموظفون!$X20)-الموظفون!$H20+1)/cfg_DAYS_Y)</f>
        <v/>
      </c>
      <c r="AD20" s="109" t="str">
        <f aca="false">IF($B20="","",MAX(0,IF(OR(الموظفون!$X20="",الموظفون!$X20&gt;($E$3-1)),($E$3-1),الموظفون!$X20)-الموظفون!$H20+1)/cfg_DAYS_Y)</f>
        <v/>
      </c>
      <c r="AE20" s="51" t="str">
        <f aca="false">IF($B20="","",MAX(0,IF(OR(الموظفون!$X20="",الموظفون!$X20&gt;$G$3),$G$3,الموظفون!$X20)-MAX($E$3,الموظفون!$H20)+1))</f>
        <v/>
      </c>
    </row>
    <row r="21" customFormat="false" ht="15" hidden="false" customHeight="false" outlineLevel="0" collapsed="false">
      <c r="A21" s="89" t="str">
        <f aca="false">IF($B21="","",الموظفون!$A21)</f>
        <v/>
      </c>
      <c r="B21" s="91" t="str">
        <f aca="false">IF(الموظفون!$B21="","",الموظفون!$B21)</f>
        <v/>
      </c>
      <c r="C21" s="91" t="str">
        <f aca="false">IF($B21="","",الموظفون!$C21)</f>
        <v/>
      </c>
      <c r="D21" s="91" t="str">
        <f aca="false">IF($B21="","",الموظفون!$F21)</f>
        <v/>
      </c>
      <c r="E21" s="91" t="str">
        <f aca="false">IF($B21="","",الموظفون!$E21)</f>
        <v/>
      </c>
      <c r="F21" s="110" t="str">
        <f aca="false">IF($B21="","",IF(AE21&gt;=DAY($G$3),cfg_DAYS_M,MIN(AE21,cfg_DAYS_M)))</f>
        <v/>
      </c>
      <c r="G21" s="110" t="str">
        <f aca="false">IF($B21="","",SUMIFS('الحركات الشهرية'!$D$6:$D$1005,'الحركات الشهرية'!$B$6:$B$1005,$B21,'الحركات الشهرية'!$A$6:$A$1005,$C$3))</f>
        <v/>
      </c>
      <c r="H21" s="110" t="str">
        <f aca="false">IF($B21="","",SUMIFS('الحركات الشهرية'!$E$6:$E$1005,'الحركات الشهرية'!$B$6:$B$1005,$B21,'الحركات الشهرية'!$A$6:$A$1005,$C$3))</f>
        <v/>
      </c>
      <c r="I21" s="110" t="str">
        <f aca="false">IF($B21="","",MAX(0,F21-G21-H21))</f>
        <v/>
      </c>
      <c r="J21" s="90" t="str">
        <f aca="false">IF($B21="","",الموظفون!$J21*$I21/cfg_DAYS_M)</f>
        <v/>
      </c>
      <c r="K21" s="90" t="str">
        <f aca="false">IF($B21="","",الموظفون!$K21*$I21/cfg_DAYS_M)</f>
        <v/>
      </c>
      <c r="L21" s="90" t="str">
        <f aca="false">IF($B21="","",الموظفون!$L21*$I21/cfg_DAYS_M)</f>
        <v/>
      </c>
      <c r="M21" s="90" t="str">
        <f aca="false">IF($B21="","",الموظفون!$M21*$I21/cfg_DAYS_M)</f>
        <v/>
      </c>
      <c r="N21" s="110" t="str">
        <f aca="false">IF($B21="","",SUMIFS('الحركات الشهرية'!$F$6:$F$1005,'الحركات الشهرية'!$B$6:$B$1005,$B21,'الحركات الشهرية'!$A$6:$A$1005,$C$3))</f>
        <v/>
      </c>
      <c r="O21" s="90" t="str">
        <f aca="false">IF($B21="","",N21*(الموظفون!$N21+الموظفون!$J21*cfg_OT_P)/cfg_DAYS_M/cfg_HRS)</f>
        <v/>
      </c>
      <c r="P21" s="90" t="str">
        <f aca="false">IF($B21="","",SUMIFS('الحركات الشهرية'!$G$6:$G$1005,'الحركات الشهرية'!$B$6:$B$1005,$B21,'الحركات الشهرية'!$A$6:$A$1005,$C$3))</f>
        <v/>
      </c>
      <c r="Q21" s="90" t="str">
        <f aca="false">IF($B21="","",SUMIFS('الحركات الشهرية'!$H$6:$H$1005,'الحركات الشهرية'!$B$6:$B$1005,$B21,'الحركات الشهرية'!$A$6:$A$1005,$C$3))</f>
        <v/>
      </c>
      <c r="R21" s="111" t="str">
        <f aca="false">IF($B21="","",SUM(J21:M21)+SUM(O21:Q21))</f>
        <v/>
      </c>
      <c r="S21" s="90" t="str">
        <f aca="false">IF($B21="","",الموظفون!$Q21*IF(E21="سعودي",cfg_G_SE,cfg_G_NE)*F21/cfg_DAYS_M)</f>
        <v/>
      </c>
      <c r="T21" s="90" t="str">
        <f aca="false">IF($B21="","",SUMIFS('الحركات الشهرية'!$I$6:$I$1005,'الحركات الشهرية'!$B$6:$B$1005,$B21,'الحركات الشهرية'!$A$6:$A$1005,$C$3))</f>
        <v/>
      </c>
      <c r="U21" s="90" t="str">
        <f aca="false">IF($B21="","",SUMIFS('الحركات الشهرية'!$J$6:$J$1005,'الحركات الشهرية'!$B$6:$B$1005,$B21,'الحركات الشهرية'!$A$6:$A$1005,$C$3))</f>
        <v/>
      </c>
      <c r="V21" s="90" t="str">
        <f aca="false">IF($B21="","",SUM(S21:U21))</f>
        <v/>
      </c>
      <c r="W21" s="112" t="str">
        <f aca="false">IF($B21="","",R21-V21)</f>
        <v/>
      </c>
      <c r="X21" s="90" t="str">
        <f aca="false">IF($B21="","",الموظفون!$Q21*IF(E21="سعودي",cfg_G_SR,cfg_G_NR)*F21/cfg_DAYS_M)</f>
        <v/>
      </c>
      <c r="Y21" s="90" t="str">
        <f aca="false">IF($B21="","",الموظفون!$O21*(cfg_EOS_R1*(MIN(AC21,cfg_EOS_TH)-MIN(AD21,cfg_EOS_TH))+cfg_EOS_R2*(MAX(AC21-cfg_EOS_TH,0)-MAX(AD21-cfg_EOS_TH,0))))</f>
        <v/>
      </c>
      <c r="Z21" s="90" t="str">
        <f aca="false">IF($B21="","",IF(الموظفون!$R21&lt;&gt;"",الموظفون!$R21,IF(AC21&gt;=cfg_LV_TH,cfg_LV_D2,cfg_LV_D1))/cfg_DAYS_Y*AE21*الموظفون!$P21/cfg_DAYS_M)</f>
        <v/>
      </c>
      <c r="AA21" s="90" t="str">
        <f aca="false">IF($B21="","",IF(AND(الموظفون!$S21="نعم",N(الموظفون!$U21)&gt;0),الموظفون!$T21/الموظفون!$U21*12/cfg_DAYS_Y*AE21,0))</f>
        <v/>
      </c>
      <c r="AB21" s="113" t="str">
        <f aca="false">IF($B21="","",R21+SUM(X21:AA21))</f>
        <v/>
      </c>
      <c r="AC21" s="114" t="str">
        <f aca="false">IF($B21="","",MAX(0,IF(OR(الموظفون!$X21="",الموظفون!$X21&gt;$G$3),$G$3,الموظفون!$X21)-الموظفون!$H21+1)/cfg_DAYS_Y)</f>
        <v/>
      </c>
      <c r="AD21" s="114" t="str">
        <f aca="false">IF($B21="","",MAX(0,IF(OR(الموظفون!$X21="",الموظفون!$X21&gt;($E$3-1)),($E$3-1),الموظفون!$X21)-الموظفون!$H21+1)/cfg_DAYS_Y)</f>
        <v/>
      </c>
      <c r="AE21" s="115" t="str">
        <f aca="false">IF($B21="","",MAX(0,IF(OR(الموظفون!$X21="",الموظفون!$X21&gt;$G$3),$G$3,الموظفون!$X21)-MAX($E$3,الموظفون!$H21)+1))</f>
        <v/>
      </c>
    </row>
    <row r="22" customFormat="false" ht="15" hidden="false" customHeight="false" outlineLevel="0" collapsed="false">
      <c r="A22" s="83" t="str">
        <f aca="false">IF($B22="","",الموظفون!$A22)</f>
        <v/>
      </c>
      <c r="B22" s="74" t="str">
        <f aca="false">IF(الموظفون!$B22="","",الموظفون!$B22)</f>
        <v/>
      </c>
      <c r="C22" s="74" t="str">
        <f aca="false">IF($B22="","",الموظفون!$C22)</f>
        <v/>
      </c>
      <c r="D22" s="74" t="str">
        <f aca="false">IF($B22="","",الموظفون!$F22)</f>
        <v/>
      </c>
      <c r="E22" s="74" t="str">
        <f aca="false">IF($B22="","",الموظفون!$E22)</f>
        <v/>
      </c>
      <c r="F22" s="105" t="str">
        <f aca="false">IF($B22="","",IF(AE22&gt;=DAY($G$3),cfg_DAYS_M,MIN(AE22,cfg_DAYS_M)))</f>
        <v/>
      </c>
      <c r="G22" s="105" t="str">
        <f aca="false">IF($B22="","",SUMIFS('الحركات الشهرية'!$D$6:$D$1005,'الحركات الشهرية'!$B$6:$B$1005,$B22,'الحركات الشهرية'!$A$6:$A$1005,$C$3))</f>
        <v/>
      </c>
      <c r="H22" s="105" t="str">
        <f aca="false">IF($B22="","",SUMIFS('الحركات الشهرية'!$E$6:$E$1005,'الحركات الشهرية'!$B$6:$B$1005,$B22,'الحركات الشهرية'!$A$6:$A$1005,$C$3))</f>
        <v/>
      </c>
      <c r="I22" s="105" t="str">
        <f aca="false">IF($B22="","",MAX(0,F22-G22-H22))</f>
        <v/>
      </c>
      <c r="J22" s="86" t="str">
        <f aca="false">IF($B22="","",الموظفون!$J22*$I22/cfg_DAYS_M)</f>
        <v/>
      </c>
      <c r="K22" s="86" t="str">
        <f aca="false">IF($B22="","",الموظفون!$K22*$I22/cfg_DAYS_M)</f>
        <v/>
      </c>
      <c r="L22" s="86" t="str">
        <f aca="false">IF($B22="","",الموظفون!$L22*$I22/cfg_DAYS_M)</f>
        <v/>
      </c>
      <c r="M22" s="86" t="str">
        <f aca="false">IF($B22="","",الموظفون!$M22*$I22/cfg_DAYS_M)</f>
        <v/>
      </c>
      <c r="N22" s="105" t="str">
        <f aca="false">IF($B22="","",SUMIFS('الحركات الشهرية'!$F$6:$F$1005,'الحركات الشهرية'!$B$6:$B$1005,$B22,'الحركات الشهرية'!$A$6:$A$1005,$C$3))</f>
        <v/>
      </c>
      <c r="O22" s="86" t="str">
        <f aca="false">IF($B22="","",N22*(الموظفون!$N22+الموظفون!$J22*cfg_OT_P)/cfg_DAYS_M/cfg_HRS)</f>
        <v/>
      </c>
      <c r="P22" s="86" t="str">
        <f aca="false">IF($B22="","",SUMIFS('الحركات الشهرية'!$G$6:$G$1005,'الحركات الشهرية'!$B$6:$B$1005,$B22,'الحركات الشهرية'!$A$6:$A$1005,$C$3))</f>
        <v/>
      </c>
      <c r="Q22" s="86" t="str">
        <f aca="false">IF($B22="","",SUMIFS('الحركات الشهرية'!$H$6:$H$1005,'الحركات الشهرية'!$B$6:$B$1005,$B22,'الحركات الشهرية'!$A$6:$A$1005,$C$3))</f>
        <v/>
      </c>
      <c r="R22" s="106" t="str">
        <f aca="false">IF($B22="","",SUM(J22:M22)+SUM(O22:Q22))</f>
        <v/>
      </c>
      <c r="S22" s="86" t="str">
        <f aca="false">IF($B22="","",الموظفون!$Q22*IF(E22="سعودي",cfg_G_SE,cfg_G_NE)*F22/cfg_DAYS_M)</f>
        <v/>
      </c>
      <c r="T22" s="86" t="str">
        <f aca="false">IF($B22="","",SUMIFS('الحركات الشهرية'!$I$6:$I$1005,'الحركات الشهرية'!$B$6:$B$1005,$B22,'الحركات الشهرية'!$A$6:$A$1005,$C$3))</f>
        <v/>
      </c>
      <c r="U22" s="86" t="str">
        <f aca="false">IF($B22="","",SUMIFS('الحركات الشهرية'!$J$6:$J$1005,'الحركات الشهرية'!$B$6:$B$1005,$B22,'الحركات الشهرية'!$A$6:$A$1005,$C$3))</f>
        <v/>
      </c>
      <c r="V22" s="86" t="str">
        <f aca="false">IF($B22="","",SUM(S22:U22))</f>
        <v/>
      </c>
      <c r="W22" s="107" t="str">
        <f aca="false">IF($B22="","",R22-V22)</f>
        <v/>
      </c>
      <c r="X22" s="86" t="str">
        <f aca="false">IF($B22="","",الموظفون!$Q22*IF(E22="سعودي",cfg_G_SR,cfg_G_NR)*F22/cfg_DAYS_M)</f>
        <v/>
      </c>
      <c r="Y22" s="86" t="str">
        <f aca="false">IF($B22="","",الموظفون!$O22*(cfg_EOS_R1*(MIN(AC22,cfg_EOS_TH)-MIN(AD22,cfg_EOS_TH))+cfg_EOS_R2*(MAX(AC22-cfg_EOS_TH,0)-MAX(AD22-cfg_EOS_TH,0))))</f>
        <v/>
      </c>
      <c r="Z22" s="86" t="str">
        <f aca="false">IF($B22="","",IF(الموظفون!$R22&lt;&gt;"",الموظفون!$R22,IF(AC22&gt;=cfg_LV_TH,cfg_LV_D2,cfg_LV_D1))/cfg_DAYS_Y*AE22*الموظفون!$P22/cfg_DAYS_M)</f>
        <v/>
      </c>
      <c r="AA22" s="86" t="str">
        <f aca="false">IF($B22="","",IF(AND(الموظفون!$S22="نعم",N(الموظفون!$U22)&gt;0),الموظفون!$T22/الموظفون!$U22*12/cfg_DAYS_Y*AE22,0))</f>
        <v/>
      </c>
      <c r="AB22" s="108" t="str">
        <f aca="false">IF($B22="","",R22+SUM(X22:AA22))</f>
        <v/>
      </c>
      <c r="AC22" s="109" t="str">
        <f aca="false">IF($B22="","",MAX(0,IF(OR(الموظفون!$X22="",الموظفون!$X22&gt;$G$3),$G$3,الموظفون!$X22)-الموظفون!$H22+1)/cfg_DAYS_Y)</f>
        <v/>
      </c>
      <c r="AD22" s="109" t="str">
        <f aca="false">IF($B22="","",MAX(0,IF(OR(الموظفون!$X22="",الموظفون!$X22&gt;($E$3-1)),($E$3-1),الموظفون!$X22)-الموظفون!$H22+1)/cfg_DAYS_Y)</f>
        <v/>
      </c>
      <c r="AE22" s="51" t="str">
        <f aca="false">IF($B22="","",MAX(0,IF(OR(الموظفون!$X22="",الموظفون!$X22&gt;$G$3),$G$3,الموظفون!$X22)-MAX($E$3,الموظفون!$H22)+1))</f>
        <v/>
      </c>
    </row>
    <row r="23" customFormat="false" ht="15" hidden="false" customHeight="false" outlineLevel="0" collapsed="false">
      <c r="A23" s="89" t="str">
        <f aca="false">IF($B23="","",الموظفون!$A23)</f>
        <v/>
      </c>
      <c r="B23" s="91" t="str">
        <f aca="false">IF(الموظفون!$B23="","",الموظفون!$B23)</f>
        <v/>
      </c>
      <c r="C23" s="91" t="str">
        <f aca="false">IF($B23="","",الموظفون!$C23)</f>
        <v/>
      </c>
      <c r="D23" s="91" t="str">
        <f aca="false">IF($B23="","",الموظفون!$F23)</f>
        <v/>
      </c>
      <c r="E23" s="91" t="str">
        <f aca="false">IF($B23="","",الموظفون!$E23)</f>
        <v/>
      </c>
      <c r="F23" s="110" t="str">
        <f aca="false">IF($B23="","",IF(AE23&gt;=DAY($G$3),cfg_DAYS_M,MIN(AE23,cfg_DAYS_M)))</f>
        <v/>
      </c>
      <c r="G23" s="110" t="str">
        <f aca="false">IF($B23="","",SUMIFS('الحركات الشهرية'!$D$6:$D$1005,'الحركات الشهرية'!$B$6:$B$1005,$B23,'الحركات الشهرية'!$A$6:$A$1005,$C$3))</f>
        <v/>
      </c>
      <c r="H23" s="110" t="str">
        <f aca="false">IF($B23="","",SUMIFS('الحركات الشهرية'!$E$6:$E$1005,'الحركات الشهرية'!$B$6:$B$1005,$B23,'الحركات الشهرية'!$A$6:$A$1005,$C$3))</f>
        <v/>
      </c>
      <c r="I23" s="110" t="str">
        <f aca="false">IF($B23="","",MAX(0,F23-G23-H23))</f>
        <v/>
      </c>
      <c r="J23" s="90" t="str">
        <f aca="false">IF($B23="","",الموظفون!$J23*$I23/cfg_DAYS_M)</f>
        <v/>
      </c>
      <c r="K23" s="90" t="str">
        <f aca="false">IF($B23="","",الموظفون!$K23*$I23/cfg_DAYS_M)</f>
        <v/>
      </c>
      <c r="L23" s="90" t="str">
        <f aca="false">IF($B23="","",الموظفون!$L23*$I23/cfg_DAYS_M)</f>
        <v/>
      </c>
      <c r="M23" s="90" t="str">
        <f aca="false">IF($B23="","",الموظفون!$M23*$I23/cfg_DAYS_M)</f>
        <v/>
      </c>
      <c r="N23" s="110" t="str">
        <f aca="false">IF($B23="","",SUMIFS('الحركات الشهرية'!$F$6:$F$1005,'الحركات الشهرية'!$B$6:$B$1005,$B23,'الحركات الشهرية'!$A$6:$A$1005,$C$3))</f>
        <v/>
      </c>
      <c r="O23" s="90" t="str">
        <f aca="false">IF($B23="","",N23*(الموظفون!$N23+الموظفون!$J23*cfg_OT_P)/cfg_DAYS_M/cfg_HRS)</f>
        <v/>
      </c>
      <c r="P23" s="90" t="str">
        <f aca="false">IF($B23="","",SUMIFS('الحركات الشهرية'!$G$6:$G$1005,'الحركات الشهرية'!$B$6:$B$1005,$B23,'الحركات الشهرية'!$A$6:$A$1005,$C$3))</f>
        <v/>
      </c>
      <c r="Q23" s="90" t="str">
        <f aca="false">IF($B23="","",SUMIFS('الحركات الشهرية'!$H$6:$H$1005,'الحركات الشهرية'!$B$6:$B$1005,$B23,'الحركات الشهرية'!$A$6:$A$1005,$C$3))</f>
        <v/>
      </c>
      <c r="R23" s="111" t="str">
        <f aca="false">IF($B23="","",SUM(J23:M23)+SUM(O23:Q23))</f>
        <v/>
      </c>
      <c r="S23" s="90" t="str">
        <f aca="false">IF($B23="","",الموظفون!$Q23*IF(E23="سعودي",cfg_G_SE,cfg_G_NE)*F23/cfg_DAYS_M)</f>
        <v/>
      </c>
      <c r="T23" s="90" t="str">
        <f aca="false">IF($B23="","",SUMIFS('الحركات الشهرية'!$I$6:$I$1005,'الحركات الشهرية'!$B$6:$B$1005,$B23,'الحركات الشهرية'!$A$6:$A$1005,$C$3))</f>
        <v/>
      </c>
      <c r="U23" s="90" t="str">
        <f aca="false">IF($B23="","",SUMIFS('الحركات الشهرية'!$J$6:$J$1005,'الحركات الشهرية'!$B$6:$B$1005,$B23,'الحركات الشهرية'!$A$6:$A$1005,$C$3))</f>
        <v/>
      </c>
      <c r="V23" s="90" t="str">
        <f aca="false">IF($B23="","",SUM(S23:U23))</f>
        <v/>
      </c>
      <c r="W23" s="112" t="str">
        <f aca="false">IF($B23="","",R23-V23)</f>
        <v/>
      </c>
      <c r="X23" s="90" t="str">
        <f aca="false">IF($B23="","",الموظفون!$Q23*IF(E23="سعودي",cfg_G_SR,cfg_G_NR)*F23/cfg_DAYS_M)</f>
        <v/>
      </c>
      <c r="Y23" s="90" t="str">
        <f aca="false">IF($B23="","",الموظفون!$O23*(cfg_EOS_R1*(MIN(AC23,cfg_EOS_TH)-MIN(AD23,cfg_EOS_TH))+cfg_EOS_R2*(MAX(AC23-cfg_EOS_TH,0)-MAX(AD23-cfg_EOS_TH,0))))</f>
        <v/>
      </c>
      <c r="Z23" s="90" t="str">
        <f aca="false">IF($B23="","",IF(الموظفون!$R23&lt;&gt;"",الموظفون!$R23,IF(AC23&gt;=cfg_LV_TH,cfg_LV_D2,cfg_LV_D1))/cfg_DAYS_Y*AE23*الموظفون!$P23/cfg_DAYS_M)</f>
        <v/>
      </c>
      <c r="AA23" s="90" t="str">
        <f aca="false">IF($B23="","",IF(AND(الموظفون!$S23="نعم",N(الموظفون!$U23)&gt;0),الموظفون!$T23/الموظفون!$U23*12/cfg_DAYS_Y*AE23,0))</f>
        <v/>
      </c>
      <c r="AB23" s="113" t="str">
        <f aca="false">IF($B23="","",R23+SUM(X23:AA23))</f>
        <v/>
      </c>
      <c r="AC23" s="114" t="str">
        <f aca="false">IF($B23="","",MAX(0,IF(OR(الموظفون!$X23="",الموظفون!$X23&gt;$G$3),$G$3,الموظفون!$X23)-الموظفون!$H23+1)/cfg_DAYS_Y)</f>
        <v/>
      </c>
      <c r="AD23" s="114" t="str">
        <f aca="false">IF($B23="","",MAX(0,IF(OR(الموظفون!$X23="",الموظفون!$X23&gt;($E$3-1)),($E$3-1),الموظفون!$X23)-الموظفون!$H23+1)/cfg_DAYS_Y)</f>
        <v/>
      </c>
      <c r="AE23" s="115" t="str">
        <f aca="false">IF($B23="","",MAX(0,IF(OR(الموظفون!$X23="",الموظفون!$X23&gt;$G$3),$G$3,الموظفون!$X23)-MAX($E$3,الموظفون!$H23)+1))</f>
        <v/>
      </c>
    </row>
    <row r="24" customFormat="false" ht="15" hidden="false" customHeight="false" outlineLevel="0" collapsed="false">
      <c r="A24" s="83" t="str">
        <f aca="false">IF($B24="","",الموظفون!$A24)</f>
        <v/>
      </c>
      <c r="B24" s="74" t="str">
        <f aca="false">IF(الموظفون!$B24="","",الموظفون!$B24)</f>
        <v/>
      </c>
      <c r="C24" s="74" t="str">
        <f aca="false">IF($B24="","",الموظفون!$C24)</f>
        <v/>
      </c>
      <c r="D24" s="74" t="str">
        <f aca="false">IF($B24="","",الموظفون!$F24)</f>
        <v/>
      </c>
      <c r="E24" s="74" t="str">
        <f aca="false">IF($B24="","",الموظفون!$E24)</f>
        <v/>
      </c>
      <c r="F24" s="105" t="str">
        <f aca="false">IF($B24="","",IF(AE24&gt;=DAY($G$3),cfg_DAYS_M,MIN(AE24,cfg_DAYS_M)))</f>
        <v/>
      </c>
      <c r="G24" s="105" t="str">
        <f aca="false">IF($B24="","",SUMIFS('الحركات الشهرية'!$D$6:$D$1005,'الحركات الشهرية'!$B$6:$B$1005,$B24,'الحركات الشهرية'!$A$6:$A$1005,$C$3))</f>
        <v/>
      </c>
      <c r="H24" s="105" t="str">
        <f aca="false">IF($B24="","",SUMIFS('الحركات الشهرية'!$E$6:$E$1005,'الحركات الشهرية'!$B$6:$B$1005,$B24,'الحركات الشهرية'!$A$6:$A$1005,$C$3))</f>
        <v/>
      </c>
      <c r="I24" s="105" t="str">
        <f aca="false">IF($B24="","",MAX(0,F24-G24-H24))</f>
        <v/>
      </c>
      <c r="J24" s="86" t="str">
        <f aca="false">IF($B24="","",الموظفون!$J24*$I24/cfg_DAYS_M)</f>
        <v/>
      </c>
      <c r="K24" s="86" t="str">
        <f aca="false">IF($B24="","",الموظفون!$K24*$I24/cfg_DAYS_M)</f>
        <v/>
      </c>
      <c r="L24" s="86" t="str">
        <f aca="false">IF($B24="","",الموظفون!$L24*$I24/cfg_DAYS_M)</f>
        <v/>
      </c>
      <c r="M24" s="86" t="str">
        <f aca="false">IF($B24="","",الموظفون!$M24*$I24/cfg_DAYS_M)</f>
        <v/>
      </c>
      <c r="N24" s="105" t="str">
        <f aca="false">IF($B24="","",SUMIFS('الحركات الشهرية'!$F$6:$F$1005,'الحركات الشهرية'!$B$6:$B$1005,$B24,'الحركات الشهرية'!$A$6:$A$1005,$C$3))</f>
        <v/>
      </c>
      <c r="O24" s="86" t="str">
        <f aca="false">IF($B24="","",N24*(الموظفون!$N24+الموظفون!$J24*cfg_OT_P)/cfg_DAYS_M/cfg_HRS)</f>
        <v/>
      </c>
      <c r="P24" s="86" t="str">
        <f aca="false">IF($B24="","",SUMIFS('الحركات الشهرية'!$G$6:$G$1005,'الحركات الشهرية'!$B$6:$B$1005,$B24,'الحركات الشهرية'!$A$6:$A$1005,$C$3))</f>
        <v/>
      </c>
      <c r="Q24" s="86" t="str">
        <f aca="false">IF($B24="","",SUMIFS('الحركات الشهرية'!$H$6:$H$1005,'الحركات الشهرية'!$B$6:$B$1005,$B24,'الحركات الشهرية'!$A$6:$A$1005,$C$3))</f>
        <v/>
      </c>
      <c r="R24" s="106" t="str">
        <f aca="false">IF($B24="","",SUM(J24:M24)+SUM(O24:Q24))</f>
        <v/>
      </c>
      <c r="S24" s="86" t="str">
        <f aca="false">IF($B24="","",الموظفون!$Q24*IF(E24="سعودي",cfg_G_SE,cfg_G_NE)*F24/cfg_DAYS_M)</f>
        <v/>
      </c>
      <c r="T24" s="86" t="str">
        <f aca="false">IF($B24="","",SUMIFS('الحركات الشهرية'!$I$6:$I$1005,'الحركات الشهرية'!$B$6:$B$1005,$B24,'الحركات الشهرية'!$A$6:$A$1005,$C$3))</f>
        <v/>
      </c>
      <c r="U24" s="86" t="str">
        <f aca="false">IF($B24="","",SUMIFS('الحركات الشهرية'!$J$6:$J$1005,'الحركات الشهرية'!$B$6:$B$1005,$B24,'الحركات الشهرية'!$A$6:$A$1005,$C$3))</f>
        <v/>
      </c>
      <c r="V24" s="86" t="str">
        <f aca="false">IF($B24="","",SUM(S24:U24))</f>
        <v/>
      </c>
      <c r="W24" s="107" t="str">
        <f aca="false">IF($B24="","",R24-V24)</f>
        <v/>
      </c>
      <c r="X24" s="86" t="str">
        <f aca="false">IF($B24="","",الموظفون!$Q24*IF(E24="سعودي",cfg_G_SR,cfg_G_NR)*F24/cfg_DAYS_M)</f>
        <v/>
      </c>
      <c r="Y24" s="86" t="str">
        <f aca="false">IF($B24="","",الموظفون!$O24*(cfg_EOS_R1*(MIN(AC24,cfg_EOS_TH)-MIN(AD24,cfg_EOS_TH))+cfg_EOS_R2*(MAX(AC24-cfg_EOS_TH,0)-MAX(AD24-cfg_EOS_TH,0))))</f>
        <v/>
      </c>
      <c r="Z24" s="86" t="str">
        <f aca="false">IF($B24="","",IF(الموظفون!$R24&lt;&gt;"",الموظفون!$R24,IF(AC24&gt;=cfg_LV_TH,cfg_LV_D2,cfg_LV_D1))/cfg_DAYS_Y*AE24*الموظفون!$P24/cfg_DAYS_M)</f>
        <v/>
      </c>
      <c r="AA24" s="86" t="str">
        <f aca="false">IF($B24="","",IF(AND(الموظفون!$S24="نعم",N(الموظفون!$U24)&gt;0),الموظفون!$T24/الموظفون!$U24*12/cfg_DAYS_Y*AE24,0))</f>
        <v/>
      </c>
      <c r="AB24" s="108" t="str">
        <f aca="false">IF($B24="","",R24+SUM(X24:AA24))</f>
        <v/>
      </c>
      <c r="AC24" s="109" t="str">
        <f aca="false">IF($B24="","",MAX(0,IF(OR(الموظفون!$X24="",الموظفون!$X24&gt;$G$3),$G$3,الموظفون!$X24)-الموظفون!$H24+1)/cfg_DAYS_Y)</f>
        <v/>
      </c>
      <c r="AD24" s="109" t="str">
        <f aca="false">IF($B24="","",MAX(0,IF(OR(الموظفون!$X24="",الموظفون!$X24&gt;($E$3-1)),($E$3-1),الموظفون!$X24)-الموظفون!$H24+1)/cfg_DAYS_Y)</f>
        <v/>
      </c>
      <c r="AE24" s="51" t="str">
        <f aca="false">IF($B24="","",MAX(0,IF(OR(الموظفون!$X24="",الموظفون!$X24&gt;$G$3),$G$3,الموظفون!$X24)-MAX($E$3,الموظفون!$H24)+1))</f>
        <v/>
      </c>
    </row>
    <row r="25" customFormat="false" ht="15" hidden="false" customHeight="false" outlineLevel="0" collapsed="false">
      <c r="A25" s="89" t="str">
        <f aca="false">IF($B25="","",الموظفون!$A25)</f>
        <v/>
      </c>
      <c r="B25" s="91" t="str">
        <f aca="false">IF(الموظفون!$B25="","",الموظفون!$B25)</f>
        <v/>
      </c>
      <c r="C25" s="91" t="str">
        <f aca="false">IF($B25="","",الموظفون!$C25)</f>
        <v/>
      </c>
      <c r="D25" s="91" t="str">
        <f aca="false">IF($B25="","",الموظفون!$F25)</f>
        <v/>
      </c>
      <c r="E25" s="91" t="str">
        <f aca="false">IF($B25="","",الموظفون!$E25)</f>
        <v/>
      </c>
      <c r="F25" s="110" t="str">
        <f aca="false">IF($B25="","",IF(AE25&gt;=DAY($G$3),cfg_DAYS_M,MIN(AE25,cfg_DAYS_M)))</f>
        <v/>
      </c>
      <c r="G25" s="110" t="str">
        <f aca="false">IF($B25="","",SUMIFS('الحركات الشهرية'!$D$6:$D$1005,'الحركات الشهرية'!$B$6:$B$1005,$B25,'الحركات الشهرية'!$A$6:$A$1005,$C$3))</f>
        <v/>
      </c>
      <c r="H25" s="110" t="str">
        <f aca="false">IF($B25="","",SUMIFS('الحركات الشهرية'!$E$6:$E$1005,'الحركات الشهرية'!$B$6:$B$1005,$B25,'الحركات الشهرية'!$A$6:$A$1005,$C$3))</f>
        <v/>
      </c>
      <c r="I25" s="110" t="str">
        <f aca="false">IF($B25="","",MAX(0,F25-G25-H25))</f>
        <v/>
      </c>
      <c r="J25" s="90" t="str">
        <f aca="false">IF($B25="","",الموظفون!$J25*$I25/cfg_DAYS_M)</f>
        <v/>
      </c>
      <c r="K25" s="90" t="str">
        <f aca="false">IF($B25="","",الموظفون!$K25*$I25/cfg_DAYS_M)</f>
        <v/>
      </c>
      <c r="L25" s="90" t="str">
        <f aca="false">IF($B25="","",الموظفون!$L25*$I25/cfg_DAYS_M)</f>
        <v/>
      </c>
      <c r="M25" s="90" t="str">
        <f aca="false">IF($B25="","",الموظفون!$M25*$I25/cfg_DAYS_M)</f>
        <v/>
      </c>
      <c r="N25" s="110" t="str">
        <f aca="false">IF($B25="","",SUMIFS('الحركات الشهرية'!$F$6:$F$1005,'الحركات الشهرية'!$B$6:$B$1005,$B25,'الحركات الشهرية'!$A$6:$A$1005,$C$3))</f>
        <v/>
      </c>
      <c r="O25" s="90" t="str">
        <f aca="false">IF($B25="","",N25*(الموظفون!$N25+الموظفون!$J25*cfg_OT_P)/cfg_DAYS_M/cfg_HRS)</f>
        <v/>
      </c>
      <c r="P25" s="90" t="str">
        <f aca="false">IF($B25="","",SUMIFS('الحركات الشهرية'!$G$6:$G$1005,'الحركات الشهرية'!$B$6:$B$1005,$B25,'الحركات الشهرية'!$A$6:$A$1005,$C$3))</f>
        <v/>
      </c>
      <c r="Q25" s="90" t="str">
        <f aca="false">IF($B25="","",SUMIFS('الحركات الشهرية'!$H$6:$H$1005,'الحركات الشهرية'!$B$6:$B$1005,$B25,'الحركات الشهرية'!$A$6:$A$1005,$C$3))</f>
        <v/>
      </c>
      <c r="R25" s="111" t="str">
        <f aca="false">IF($B25="","",SUM(J25:M25)+SUM(O25:Q25))</f>
        <v/>
      </c>
      <c r="S25" s="90" t="str">
        <f aca="false">IF($B25="","",الموظفون!$Q25*IF(E25="سعودي",cfg_G_SE,cfg_G_NE)*F25/cfg_DAYS_M)</f>
        <v/>
      </c>
      <c r="T25" s="90" t="str">
        <f aca="false">IF($B25="","",SUMIFS('الحركات الشهرية'!$I$6:$I$1005,'الحركات الشهرية'!$B$6:$B$1005,$B25,'الحركات الشهرية'!$A$6:$A$1005,$C$3))</f>
        <v/>
      </c>
      <c r="U25" s="90" t="str">
        <f aca="false">IF($B25="","",SUMIFS('الحركات الشهرية'!$J$6:$J$1005,'الحركات الشهرية'!$B$6:$B$1005,$B25,'الحركات الشهرية'!$A$6:$A$1005,$C$3))</f>
        <v/>
      </c>
      <c r="V25" s="90" t="str">
        <f aca="false">IF($B25="","",SUM(S25:U25))</f>
        <v/>
      </c>
      <c r="W25" s="112" t="str">
        <f aca="false">IF($B25="","",R25-V25)</f>
        <v/>
      </c>
      <c r="X25" s="90" t="str">
        <f aca="false">IF($B25="","",الموظفون!$Q25*IF(E25="سعودي",cfg_G_SR,cfg_G_NR)*F25/cfg_DAYS_M)</f>
        <v/>
      </c>
      <c r="Y25" s="90" t="str">
        <f aca="false">IF($B25="","",الموظفون!$O25*(cfg_EOS_R1*(MIN(AC25,cfg_EOS_TH)-MIN(AD25,cfg_EOS_TH))+cfg_EOS_R2*(MAX(AC25-cfg_EOS_TH,0)-MAX(AD25-cfg_EOS_TH,0))))</f>
        <v/>
      </c>
      <c r="Z25" s="90" t="str">
        <f aca="false">IF($B25="","",IF(الموظفون!$R25&lt;&gt;"",الموظفون!$R25,IF(AC25&gt;=cfg_LV_TH,cfg_LV_D2,cfg_LV_D1))/cfg_DAYS_Y*AE25*الموظفون!$P25/cfg_DAYS_M)</f>
        <v/>
      </c>
      <c r="AA25" s="90" t="str">
        <f aca="false">IF($B25="","",IF(AND(الموظفون!$S25="نعم",N(الموظفون!$U25)&gt;0),الموظفون!$T25/الموظفون!$U25*12/cfg_DAYS_Y*AE25,0))</f>
        <v/>
      </c>
      <c r="AB25" s="113" t="str">
        <f aca="false">IF($B25="","",R25+SUM(X25:AA25))</f>
        <v/>
      </c>
      <c r="AC25" s="114" t="str">
        <f aca="false">IF($B25="","",MAX(0,IF(OR(الموظفون!$X25="",الموظفون!$X25&gt;$G$3),$G$3,الموظفون!$X25)-الموظفون!$H25+1)/cfg_DAYS_Y)</f>
        <v/>
      </c>
      <c r="AD25" s="114" t="str">
        <f aca="false">IF($B25="","",MAX(0,IF(OR(الموظفون!$X25="",الموظفون!$X25&gt;($E$3-1)),($E$3-1),الموظفون!$X25)-الموظفون!$H25+1)/cfg_DAYS_Y)</f>
        <v/>
      </c>
      <c r="AE25" s="115" t="str">
        <f aca="false">IF($B25="","",MAX(0,IF(OR(الموظفون!$X25="",الموظفون!$X25&gt;$G$3),$G$3,الموظفون!$X25)-MAX($E$3,الموظفون!$H25)+1))</f>
        <v/>
      </c>
    </row>
    <row r="26" customFormat="false" ht="15" hidden="false" customHeight="false" outlineLevel="0" collapsed="false">
      <c r="A26" s="83" t="str">
        <f aca="false">IF($B26="","",الموظفون!$A26)</f>
        <v/>
      </c>
      <c r="B26" s="74" t="str">
        <f aca="false">IF(الموظفون!$B26="","",الموظفون!$B26)</f>
        <v/>
      </c>
      <c r="C26" s="74" t="str">
        <f aca="false">IF($B26="","",الموظفون!$C26)</f>
        <v/>
      </c>
      <c r="D26" s="74" t="str">
        <f aca="false">IF($B26="","",الموظفون!$F26)</f>
        <v/>
      </c>
      <c r="E26" s="74" t="str">
        <f aca="false">IF($B26="","",الموظفون!$E26)</f>
        <v/>
      </c>
      <c r="F26" s="105" t="str">
        <f aca="false">IF($B26="","",IF(AE26&gt;=DAY($G$3),cfg_DAYS_M,MIN(AE26,cfg_DAYS_M)))</f>
        <v/>
      </c>
      <c r="G26" s="105" t="str">
        <f aca="false">IF($B26="","",SUMIFS('الحركات الشهرية'!$D$6:$D$1005,'الحركات الشهرية'!$B$6:$B$1005,$B26,'الحركات الشهرية'!$A$6:$A$1005,$C$3))</f>
        <v/>
      </c>
      <c r="H26" s="105" t="str">
        <f aca="false">IF($B26="","",SUMIFS('الحركات الشهرية'!$E$6:$E$1005,'الحركات الشهرية'!$B$6:$B$1005,$B26,'الحركات الشهرية'!$A$6:$A$1005,$C$3))</f>
        <v/>
      </c>
      <c r="I26" s="105" t="str">
        <f aca="false">IF($B26="","",MAX(0,F26-G26-H26))</f>
        <v/>
      </c>
      <c r="J26" s="86" t="str">
        <f aca="false">IF($B26="","",الموظفون!$J26*$I26/cfg_DAYS_M)</f>
        <v/>
      </c>
      <c r="K26" s="86" t="str">
        <f aca="false">IF($B26="","",الموظفون!$K26*$I26/cfg_DAYS_M)</f>
        <v/>
      </c>
      <c r="L26" s="86" t="str">
        <f aca="false">IF($B26="","",الموظفون!$L26*$I26/cfg_DAYS_M)</f>
        <v/>
      </c>
      <c r="M26" s="86" t="str">
        <f aca="false">IF($B26="","",الموظفون!$M26*$I26/cfg_DAYS_M)</f>
        <v/>
      </c>
      <c r="N26" s="105" t="str">
        <f aca="false">IF($B26="","",SUMIFS('الحركات الشهرية'!$F$6:$F$1005,'الحركات الشهرية'!$B$6:$B$1005,$B26,'الحركات الشهرية'!$A$6:$A$1005,$C$3))</f>
        <v/>
      </c>
      <c r="O26" s="86" t="str">
        <f aca="false">IF($B26="","",N26*(الموظفون!$N26+الموظفون!$J26*cfg_OT_P)/cfg_DAYS_M/cfg_HRS)</f>
        <v/>
      </c>
      <c r="P26" s="86" t="str">
        <f aca="false">IF($B26="","",SUMIFS('الحركات الشهرية'!$G$6:$G$1005,'الحركات الشهرية'!$B$6:$B$1005,$B26,'الحركات الشهرية'!$A$6:$A$1005,$C$3))</f>
        <v/>
      </c>
      <c r="Q26" s="86" t="str">
        <f aca="false">IF($B26="","",SUMIFS('الحركات الشهرية'!$H$6:$H$1005,'الحركات الشهرية'!$B$6:$B$1005,$B26,'الحركات الشهرية'!$A$6:$A$1005,$C$3))</f>
        <v/>
      </c>
      <c r="R26" s="106" t="str">
        <f aca="false">IF($B26="","",SUM(J26:M26)+SUM(O26:Q26))</f>
        <v/>
      </c>
      <c r="S26" s="86" t="str">
        <f aca="false">IF($B26="","",الموظفون!$Q26*IF(E26="سعودي",cfg_G_SE,cfg_G_NE)*F26/cfg_DAYS_M)</f>
        <v/>
      </c>
      <c r="T26" s="86" t="str">
        <f aca="false">IF($B26="","",SUMIFS('الحركات الشهرية'!$I$6:$I$1005,'الحركات الشهرية'!$B$6:$B$1005,$B26,'الحركات الشهرية'!$A$6:$A$1005,$C$3))</f>
        <v/>
      </c>
      <c r="U26" s="86" t="str">
        <f aca="false">IF($B26="","",SUMIFS('الحركات الشهرية'!$J$6:$J$1005,'الحركات الشهرية'!$B$6:$B$1005,$B26,'الحركات الشهرية'!$A$6:$A$1005,$C$3))</f>
        <v/>
      </c>
      <c r="V26" s="86" t="str">
        <f aca="false">IF($B26="","",SUM(S26:U26))</f>
        <v/>
      </c>
      <c r="W26" s="107" t="str">
        <f aca="false">IF($B26="","",R26-V26)</f>
        <v/>
      </c>
      <c r="X26" s="86" t="str">
        <f aca="false">IF($B26="","",الموظفون!$Q26*IF(E26="سعودي",cfg_G_SR,cfg_G_NR)*F26/cfg_DAYS_M)</f>
        <v/>
      </c>
      <c r="Y26" s="86" t="str">
        <f aca="false">IF($B26="","",الموظفون!$O26*(cfg_EOS_R1*(MIN(AC26,cfg_EOS_TH)-MIN(AD26,cfg_EOS_TH))+cfg_EOS_R2*(MAX(AC26-cfg_EOS_TH,0)-MAX(AD26-cfg_EOS_TH,0))))</f>
        <v/>
      </c>
      <c r="Z26" s="86" t="str">
        <f aca="false">IF($B26="","",IF(الموظفون!$R26&lt;&gt;"",الموظفون!$R26,IF(AC26&gt;=cfg_LV_TH,cfg_LV_D2,cfg_LV_D1))/cfg_DAYS_Y*AE26*الموظفون!$P26/cfg_DAYS_M)</f>
        <v/>
      </c>
      <c r="AA26" s="86" t="str">
        <f aca="false">IF($B26="","",IF(AND(الموظفون!$S26="نعم",N(الموظفون!$U26)&gt;0),الموظفون!$T26/الموظفون!$U26*12/cfg_DAYS_Y*AE26,0))</f>
        <v/>
      </c>
      <c r="AB26" s="108" t="str">
        <f aca="false">IF($B26="","",R26+SUM(X26:AA26))</f>
        <v/>
      </c>
      <c r="AC26" s="109" t="str">
        <f aca="false">IF($B26="","",MAX(0,IF(OR(الموظفون!$X26="",الموظفون!$X26&gt;$G$3),$G$3,الموظفون!$X26)-الموظفون!$H26+1)/cfg_DAYS_Y)</f>
        <v/>
      </c>
      <c r="AD26" s="109" t="str">
        <f aca="false">IF($B26="","",MAX(0,IF(OR(الموظفون!$X26="",الموظفون!$X26&gt;($E$3-1)),($E$3-1),الموظفون!$X26)-الموظفون!$H26+1)/cfg_DAYS_Y)</f>
        <v/>
      </c>
      <c r="AE26" s="51" t="str">
        <f aca="false">IF($B26="","",MAX(0,IF(OR(الموظفون!$X26="",الموظفون!$X26&gt;$G$3),$G$3,الموظفون!$X26)-MAX($E$3,الموظفون!$H26)+1))</f>
        <v/>
      </c>
    </row>
    <row r="27" customFormat="false" ht="15" hidden="false" customHeight="false" outlineLevel="0" collapsed="false">
      <c r="A27" s="89" t="str">
        <f aca="false">IF($B27="","",الموظفون!$A27)</f>
        <v/>
      </c>
      <c r="B27" s="91" t="str">
        <f aca="false">IF(الموظفون!$B27="","",الموظفون!$B27)</f>
        <v/>
      </c>
      <c r="C27" s="91" t="str">
        <f aca="false">IF($B27="","",الموظفون!$C27)</f>
        <v/>
      </c>
      <c r="D27" s="91" t="str">
        <f aca="false">IF($B27="","",الموظفون!$F27)</f>
        <v/>
      </c>
      <c r="E27" s="91" t="str">
        <f aca="false">IF($B27="","",الموظفون!$E27)</f>
        <v/>
      </c>
      <c r="F27" s="110" t="str">
        <f aca="false">IF($B27="","",IF(AE27&gt;=DAY($G$3),cfg_DAYS_M,MIN(AE27,cfg_DAYS_M)))</f>
        <v/>
      </c>
      <c r="G27" s="110" t="str">
        <f aca="false">IF($B27="","",SUMIFS('الحركات الشهرية'!$D$6:$D$1005,'الحركات الشهرية'!$B$6:$B$1005,$B27,'الحركات الشهرية'!$A$6:$A$1005,$C$3))</f>
        <v/>
      </c>
      <c r="H27" s="110" t="str">
        <f aca="false">IF($B27="","",SUMIFS('الحركات الشهرية'!$E$6:$E$1005,'الحركات الشهرية'!$B$6:$B$1005,$B27,'الحركات الشهرية'!$A$6:$A$1005,$C$3))</f>
        <v/>
      </c>
      <c r="I27" s="110" t="str">
        <f aca="false">IF($B27="","",MAX(0,F27-G27-H27))</f>
        <v/>
      </c>
      <c r="J27" s="90" t="str">
        <f aca="false">IF($B27="","",الموظفون!$J27*$I27/cfg_DAYS_M)</f>
        <v/>
      </c>
      <c r="K27" s="90" t="str">
        <f aca="false">IF($B27="","",الموظفون!$K27*$I27/cfg_DAYS_M)</f>
        <v/>
      </c>
      <c r="L27" s="90" t="str">
        <f aca="false">IF($B27="","",الموظفون!$L27*$I27/cfg_DAYS_M)</f>
        <v/>
      </c>
      <c r="M27" s="90" t="str">
        <f aca="false">IF($B27="","",الموظفون!$M27*$I27/cfg_DAYS_M)</f>
        <v/>
      </c>
      <c r="N27" s="110" t="str">
        <f aca="false">IF($B27="","",SUMIFS('الحركات الشهرية'!$F$6:$F$1005,'الحركات الشهرية'!$B$6:$B$1005,$B27,'الحركات الشهرية'!$A$6:$A$1005,$C$3))</f>
        <v/>
      </c>
      <c r="O27" s="90" t="str">
        <f aca="false">IF($B27="","",N27*(الموظفون!$N27+الموظفون!$J27*cfg_OT_P)/cfg_DAYS_M/cfg_HRS)</f>
        <v/>
      </c>
      <c r="P27" s="90" t="str">
        <f aca="false">IF($B27="","",SUMIFS('الحركات الشهرية'!$G$6:$G$1005,'الحركات الشهرية'!$B$6:$B$1005,$B27,'الحركات الشهرية'!$A$6:$A$1005,$C$3))</f>
        <v/>
      </c>
      <c r="Q27" s="90" t="str">
        <f aca="false">IF($B27="","",SUMIFS('الحركات الشهرية'!$H$6:$H$1005,'الحركات الشهرية'!$B$6:$B$1005,$B27,'الحركات الشهرية'!$A$6:$A$1005,$C$3))</f>
        <v/>
      </c>
      <c r="R27" s="111" t="str">
        <f aca="false">IF($B27="","",SUM(J27:M27)+SUM(O27:Q27))</f>
        <v/>
      </c>
      <c r="S27" s="90" t="str">
        <f aca="false">IF($B27="","",الموظفون!$Q27*IF(E27="سعودي",cfg_G_SE,cfg_G_NE)*F27/cfg_DAYS_M)</f>
        <v/>
      </c>
      <c r="T27" s="90" t="str">
        <f aca="false">IF($B27="","",SUMIFS('الحركات الشهرية'!$I$6:$I$1005,'الحركات الشهرية'!$B$6:$B$1005,$B27,'الحركات الشهرية'!$A$6:$A$1005,$C$3))</f>
        <v/>
      </c>
      <c r="U27" s="90" t="str">
        <f aca="false">IF($B27="","",SUMIFS('الحركات الشهرية'!$J$6:$J$1005,'الحركات الشهرية'!$B$6:$B$1005,$B27,'الحركات الشهرية'!$A$6:$A$1005,$C$3))</f>
        <v/>
      </c>
      <c r="V27" s="90" t="str">
        <f aca="false">IF($B27="","",SUM(S27:U27))</f>
        <v/>
      </c>
      <c r="W27" s="112" t="str">
        <f aca="false">IF($B27="","",R27-V27)</f>
        <v/>
      </c>
      <c r="X27" s="90" t="str">
        <f aca="false">IF($B27="","",الموظفون!$Q27*IF(E27="سعودي",cfg_G_SR,cfg_G_NR)*F27/cfg_DAYS_M)</f>
        <v/>
      </c>
      <c r="Y27" s="90" t="str">
        <f aca="false">IF($B27="","",الموظفون!$O27*(cfg_EOS_R1*(MIN(AC27,cfg_EOS_TH)-MIN(AD27,cfg_EOS_TH))+cfg_EOS_R2*(MAX(AC27-cfg_EOS_TH,0)-MAX(AD27-cfg_EOS_TH,0))))</f>
        <v/>
      </c>
      <c r="Z27" s="90" t="str">
        <f aca="false">IF($B27="","",IF(الموظفون!$R27&lt;&gt;"",الموظفون!$R27,IF(AC27&gt;=cfg_LV_TH,cfg_LV_D2,cfg_LV_D1))/cfg_DAYS_Y*AE27*الموظفون!$P27/cfg_DAYS_M)</f>
        <v/>
      </c>
      <c r="AA27" s="90" t="str">
        <f aca="false">IF($B27="","",IF(AND(الموظفون!$S27="نعم",N(الموظفون!$U27)&gt;0),الموظفون!$T27/الموظفون!$U27*12/cfg_DAYS_Y*AE27,0))</f>
        <v/>
      </c>
      <c r="AB27" s="113" t="str">
        <f aca="false">IF($B27="","",R27+SUM(X27:AA27))</f>
        <v/>
      </c>
      <c r="AC27" s="114" t="str">
        <f aca="false">IF($B27="","",MAX(0,IF(OR(الموظفون!$X27="",الموظفون!$X27&gt;$G$3),$G$3,الموظفون!$X27)-الموظفون!$H27+1)/cfg_DAYS_Y)</f>
        <v/>
      </c>
      <c r="AD27" s="114" t="str">
        <f aca="false">IF($B27="","",MAX(0,IF(OR(الموظفون!$X27="",الموظفون!$X27&gt;($E$3-1)),($E$3-1),الموظفون!$X27)-الموظفون!$H27+1)/cfg_DAYS_Y)</f>
        <v/>
      </c>
      <c r="AE27" s="115" t="str">
        <f aca="false">IF($B27="","",MAX(0,IF(OR(الموظفون!$X27="",الموظفون!$X27&gt;$G$3),$G$3,الموظفون!$X27)-MAX($E$3,الموظفون!$H27)+1))</f>
        <v/>
      </c>
    </row>
    <row r="28" customFormat="false" ht="15" hidden="false" customHeight="false" outlineLevel="0" collapsed="false">
      <c r="A28" s="83" t="str">
        <f aca="false">IF($B28="","",الموظفون!$A28)</f>
        <v/>
      </c>
      <c r="B28" s="74" t="str">
        <f aca="false">IF(الموظفون!$B28="","",الموظفون!$B28)</f>
        <v/>
      </c>
      <c r="C28" s="74" t="str">
        <f aca="false">IF($B28="","",الموظفون!$C28)</f>
        <v/>
      </c>
      <c r="D28" s="74" t="str">
        <f aca="false">IF($B28="","",الموظفون!$F28)</f>
        <v/>
      </c>
      <c r="E28" s="74" t="str">
        <f aca="false">IF($B28="","",الموظفون!$E28)</f>
        <v/>
      </c>
      <c r="F28" s="105" t="str">
        <f aca="false">IF($B28="","",IF(AE28&gt;=DAY($G$3),cfg_DAYS_M,MIN(AE28,cfg_DAYS_M)))</f>
        <v/>
      </c>
      <c r="G28" s="105" t="str">
        <f aca="false">IF($B28="","",SUMIFS('الحركات الشهرية'!$D$6:$D$1005,'الحركات الشهرية'!$B$6:$B$1005,$B28,'الحركات الشهرية'!$A$6:$A$1005,$C$3))</f>
        <v/>
      </c>
      <c r="H28" s="105" t="str">
        <f aca="false">IF($B28="","",SUMIFS('الحركات الشهرية'!$E$6:$E$1005,'الحركات الشهرية'!$B$6:$B$1005,$B28,'الحركات الشهرية'!$A$6:$A$1005,$C$3))</f>
        <v/>
      </c>
      <c r="I28" s="105" t="str">
        <f aca="false">IF($B28="","",MAX(0,F28-G28-H28))</f>
        <v/>
      </c>
      <c r="J28" s="86" t="str">
        <f aca="false">IF($B28="","",الموظفون!$J28*$I28/cfg_DAYS_M)</f>
        <v/>
      </c>
      <c r="K28" s="86" t="str">
        <f aca="false">IF($B28="","",الموظفون!$K28*$I28/cfg_DAYS_M)</f>
        <v/>
      </c>
      <c r="L28" s="86" t="str">
        <f aca="false">IF($B28="","",الموظفون!$L28*$I28/cfg_DAYS_M)</f>
        <v/>
      </c>
      <c r="M28" s="86" t="str">
        <f aca="false">IF($B28="","",الموظفون!$M28*$I28/cfg_DAYS_M)</f>
        <v/>
      </c>
      <c r="N28" s="105" t="str">
        <f aca="false">IF($B28="","",SUMIFS('الحركات الشهرية'!$F$6:$F$1005,'الحركات الشهرية'!$B$6:$B$1005,$B28,'الحركات الشهرية'!$A$6:$A$1005,$C$3))</f>
        <v/>
      </c>
      <c r="O28" s="86" t="str">
        <f aca="false">IF($B28="","",N28*(الموظفون!$N28+الموظفون!$J28*cfg_OT_P)/cfg_DAYS_M/cfg_HRS)</f>
        <v/>
      </c>
      <c r="P28" s="86" t="str">
        <f aca="false">IF($B28="","",SUMIFS('الحركات الشهرية'!$G$6:$G$1005,'الحركات الشهرية'!$B$6:$B$1005,$B28,'الحركات الشهرية'!$A$6:$A$1005,$C$3))</f>
        <v/>
      </c>
      <c r="Q28" s="86" t="str">
        <f aca="false">IF($B28="","",SUMIFS('الحركات الشهرية'!$H$6:$H$1005,'الحركات الشهرية'!$B$6:$B$1005,$B28,'الحركات الشهرية'!$A$6:$A$1005,$C$3))</f>
        <v/>
      </c>
      <c r="R28" s="106" t="str">
        <f aca="false">IF($B28="","",SUM(J28:M28)+SUM(O28:Q28))</f>
        <v/>
      </c>
      <c r="S28" s="86" t="str">
        <f aca="false">IF($B28="","",الموظفون!$Q28*IF(E28="سعودي",cfg_G_SE,cfg_G_NE)*F28/cfg_DAYS_M)</f>
        <v/>
      </c>
      <c r="T28" s="86" t="str">
        <f aca="false">IF($B28="","",SUMIFS('الحركات الشهرية'!$I$6:$I$1005,'الحركات الشهرية'!$B$6:$B$1005,$B28,'الحركات الشهرية'!$A$6:$A$1005,$C$3))</f>
        <v/>
      </c>
      <c r="U28" s="86" t="str">
        <f aca="false">IF($B28="","",SUMIFS('الحركات الشهرية'!$J$6:$J$1005,'الحركات الشهرية'!$B$6:$B$1005,$B28,'الحركات الشهرية'!$A$6:$A$1005,$C$3))</f>
        <v/>
      </c>
      <c r="V28" s="86" t="str">
        <f aca="false">IF($B28="","",SUM(S28:U28))</f>
        <v/>
      </c>
      <c r="W28" s="107" t="str">
        <f aca="false">IF($B28="","",R28-V28)</f>
        <v/>
      </c>
      <c r="X28" s="86" t="str">
        <f aca="false">IF($B28="","",الموظفون!$Q28*IF(E28="سعودي",cfg_G_SR,cfg_G_NR)*F28/cfg_DAYS_M)</f>
        <v/>
      </c>
      <c r="Y28" s="86" t="str">
        <f aca="false">IF($B28="","",الموظفون!$O28*(cfg_EOS_R1*(MIN(AC28,cfg_EOS_TH)-MIN(AD28,cfg_EOS_TH))+cfg_EOS_R2*(MAX(AC28-cfg_EOS_TH,0)-MAX(AD28-cfg_EOS_TH,0))))</f>
        <v/>
      </c>
      <c r="Z28" s="86" t="str">
        <f aca="false">IF($B28="","",IF(الموظفون!$R28&lt;&gt;"",الموظفون!$R28,IF(AC28&gt;=cfg_LV_TH,cfg_LV_D2,cfg_LV_D1))/cfg_DAYS_Y*AE28*الموظفون!$P28/cfg_DAYS_M)</f>
        <v/>
      </c>
      <c r="AA28" s="86" t="str">
        <f aca="false">IF($B28="","",IF(AND(الموظفون!$S28="نعم",N(الموظفون!$U28)&gt;0),الموظفون!$T28/الموظفون!$U28*12/cfg_DAYS_Y*AE28,0))</f>
        <v/>
      </c>
      <c r="AB28" s="108" t="str">
        <f aca="false">IF($B28="","",R28+SUM(X28:AA28))</f>
        <v/>
      </c>
      <c r="AC28" s="109" t="str">
        <f aca="false">IF($B28="","",MAX(0,IF(OR(الموظفون!$X28="",الموظفون!$X28&gt;$G$3),$G$3,الموظفون!$X28)-الموظفون!$H28+1)/cfg_DAYS_Y)</f>
        <v/>
      </c>
      <c r="AD28" s="109" t="str">
        <f aca="false">IF($B28="","",MAX(0,IF(OR(الموظفون!$X28="",الموظفون!$X28&gt;($E$3-1)),($E$3-1),الموظفون!$X28)-الموظفون!$H28+1)/cfg_DAYS_Y)</f>
        <v/>
      </c>
      <c r="AE28" s="51" t="str">
        <f aca="false">IF($B28="","",MAX(0,IF(OR(الموظفون!$X28="",الموظفون!$X28&gt;$G$3),$G$3,الموظفون!$X28)-MAX($E$3,الموظفون!$H28)+1))</f>
        <v/>
      </c>
    </row>
    <row r="29" customFormat="false" ht="15" hidden="false" customHeight="false" outlineLevel="0" collapsed="false">
      <c r="A29" s="89" t="str">
        <f aca="false">IF($B29="","",الموظفون!$A29)</f>
        <v/>
      </c>
      <c r="B29" s="91" t="str">
        <f aca="false">IF(الموظفون!$B29="","",الموظفون!$B29)</f>
        <v/>
      </c>
      <c r="C29" s="91" t="str">
        <f aca="false">IF($B29="","",الموظفون!$C29)</f>
        <v/>
      </c>
      <c r="D29" s="91" t="str">
        <f aca="false">IF($B29="","",الموظفون!$F29)</f>
        <v/>
      </c>
      <c r="E29" s="91" t="str">
        <f aca="false">IF($B29="","",الموظفون!$E29)</f>
        <v/>
      </c>
      <c r="F29" s="110" t="str">
        <f aca="false">IF($B29="","",IF(AE29&gt;=DAY($G$3),cfg_DAYS_M,MIN(AE29,cfg_DAYS_M)))</f>
        <v/>
      </c>
      <c r="G29" s="110" t="str">
        <f aca="false">IF($B29="","",SUMIFS('الحركات الشهرية'!$D$6:$D$1005,'الحركات الشهرية'!$B$6:$B$1005,$B29,'الحركات الشهرية'!$A$6:$A$1005,$C$3))</f>
        <v/>
      </c>
      <c r="H29" s="110" t="str">
        <f aca="false">IF($B29="","",SUMIFS('الحركات الشهرية'!$E$6:$E$1005,'الحركات الشهرية'!$B$6:$B$1005,$B29,'الحركات الشهرية'!$A$6:$A$1005,$C$3))</f>
        <v/>
      </c>
      <c r="I29" s="110" t="str">
        <f aca="false">IF($B29="","",MAX(0,F29-G29-H29))</f>
        <v/>
      </c>
      <c r="J29" s="90" t="str">
        <f aca="false">IF($B29="","",الموظفون!$J29*$I29/cfg_DAYS_M)</f>
        <v/>
      </c>
      <c r="K29" s="90" t="str">
        <f aca="false">IF($B29="","",الموظفون!$K29*$I29/cfg_DAYS_M)</f>
        <v/>
      </c>
      <c r="L29" s="90" t="str">
        <f aca="false">IF($B29="","",الموظفون!$L29*$I29/cfg_DAYS_M)</f>
        <v/>
      </c>
      <c r="M29" s="90" t="str">
        <f aca="false">IF($B29="","",الموظفون!$M29*$I29/cfg_DAYS_M)</f>
        <v/>
      </c>
      <c r="N29" s="110" t="str">
        <f aca="false">IF($B29="","",SUMIFS('الحركات الشهرية'!$F$6:$F$1005,'الحركات الشهرية'!$B$6:$B$1005,$B29,'الحركات الشهرية'!$A$6:$A$1005,$C$3))</f>
        <v/>
      </c>
      <c r="O29" s="90" t="str">
        <f aca="false">IF($B29="","",N29*(الموظفون!$N29+الموظفون!$J29*cfg_OT_P)/cfg_DAYS_M/cfg_HRS)</f>
        <v/>
      </c>
      <c r="P29" s="90" t="str">
        <f aca="false">IF($B29="","",SUMIFS('الحركات الشهرية'!$G$6:$G$1005,'الحركات الشهرية'!$B$6:$B$1005,$B29,'الحركات الشهرية'!$A$6:$A$1005,$C$3))</f>
        <v/>
      </c>
      <c r="Q29" s="90" t="str">
        <f aca="false">IF($B29="","",SUMIFS('الحركات الشهرية'!$H$6:$H$1005,'الحركات الشهرية'!$B$6:$B$1005,$B29,'الحركات الشهرية'!$A$6:$A$1005,$C$3))</f>
        <v/>
      </c>
      <c r="R29" s="111" t="str">
        <f aca="false">IF($B29="","",SUM(J29:M29)+SUM(O29:Q29))</f>
        <v/>
      </c>
      <c r="S29" s="90" t="str">
        <f aca="false">IF($B29="","",الموظفون!$Q29*IF(E29="سعودي",cfg_G_SE,cfg_G_NE)*F29/cfg_DAYS_M)</f>
        <v/>
      </c>
      <c r="T29" s="90" t="str">
        <f aca="false">IF($B29="","",SUMIFS('الحركات الشهرية'!$I$6:$I$1005,'الحركات الشهرية'!$B$6:$B$1005,$B29,'الحركات الشهرية'!$A$6:$A$1005,$C$3))</f>
        <v/>
      </c>
      <c r="U29" s="90" t="str">
        <f aca="false">IF($B29="","",SUMIFS('الحركات الشهرية'!$J$6:$J$1005,'الحركات الشهرية'!$B$6:$B$1005,$B29,'الحركات الشهرية'!$A$6:$A$1005,$C$3))</f>
        <v/>
      </c>
      <c r="V29" s="90" t="str">
        <f aca="false">IF($B29="","",SUM(S29:U29))</f>
        <v/>
      </c>
      <c r="W29" s="112" t="str">
        <f aca="false">IF($B29="","",R29-V29)</f>
        <v/>
      </c>
      <c r="X29" s="90" t="str">
        <f aca="false">IF($B29="","",الموظفون!$Q29*IF(E29="سعودي",cfg_G_SR,cfg_G_NR)*F29/cfg_DAYS_M)</f>
        <v/>
      </c>
      <c r="Y29" s="90" t="str">
        <f aca="false">IF($B29="","",الموظفون!$O29*(cfg_EOS_R1*(MIN(AC29,cfg_EOS_TH)-MIN(AD29,cfg_EOS_TH))+cfg_EOS_R2*(MAX(AC29-cfg_EOS_TH,0)-MAX(AD29-cfg_EOS_TH,0))))</f>
        <v/>
      </c>
      <c r="Z29" s="90" t="str">
        <f aca="false">IF($B29="","",IF(الموظفون!$R29&lt;&gt;"",الموظفون!$R29,IF(AC29&gt;=cfg_LV_TH,cfg_LV_D2,cfg_LV_D1))/cfg_DAYS_Y*AE29*الموظفون!$P29/cfg_DAYS_M)</f>
        <v/>
      </c>
      <c r="AA29" s="90" t="str">
        <f aca="false">IF($B29="","",IF(AND(الموظفون!$S29="نعم",N(الموظفون!$U29)&gt;0),الموظفون!$T29/الموظفون!$U29*12/cfg_DAYS_Y*AE29,0))</f>
        <v/>
      </c>
      <c r="AB29" s="113" t="str">
        <f aca="false">IF($B29="","",R29+SUM(X29:AA29))</f>
        <v/>
      </c>
      <c r="AC29" s="114" t="str">
        <f aca="false">IF($B29="","",MAX(0,IF(OR(الموظفون!$X29="",الموظفون!$X29&gt;$G$3),$G$3,الموظفون!$X29)-الموظفون!$H29+1)/cfg_DAYS_Y)</f>
        <v/>
      </c>
      <c r="AD29" s="114" t="str">
        <f aca="false">IF($B29="","",MAX(0,IF(OR(الموظفون!$X29="",الموظفون!$X29&gt;($E$3-1)),($E$3-1),الموظفون!$X29)-الموظفون!$H29+1)/cfg_DAYS_Y)</f>
        <v/>
      </c>
      <c r="AE29" s="115" t="str">
        <f aca="false">IF($B29="","",MAX(0,IF(OR(الموظفون!$X29="",الموظفون!$X29&gt;$G$3),$G$3,الموظفون!$X29)-MAX($E$3,الموظفون!$H29)+1))</f>
        <v/>
      </c>
    </row>
    <row r="30" customFormat="false" ht="15" hidden="false" customHeight="false" outlineLevel="0" collapsed="false">
      <c r="A30" s="83" t="str">
        <f aca="false">IF($B30="","",الموظفون!$A30)</f>
        <v/>
      </c>
      <c r="B30" s="74" t="str">
        <f aca="false">IF(الموظفون!$B30="","",الموظفون!$B30)</f>
        <v/>
      </c>
      <c r="C30" s="74" t="str">
        <f aca="false">IF($B30="","",الموظفون!$C30)</f>
        <v/>
      </c>
      <c r="D30" s="74" t="str">
        <f aca="false">IF($B30="","",الموظفون!$F30)</f>
        <v/>
      </c>
      <c r="E30" s="74" t="str">
        <f aca="false">IF($B30="","",الموظفون!$E30)</f>
        <v/>
      </c>
      <c r="F30" s="105" t="str">
        <f aca="false">IF($B30="","",IF(AE30&gt;=DAY($G$3),cfg_DAYS_M,MIN(AE30,cfg_DAYS_M)))</f>
        <v/>
      </c>
      <c r="G30" s="105" t="str">
        <f aca="false">IF($B30="","",SUMIFS('الحركات الشهرية'!$D$6:$D$1005,'الحركات الشهرية'!$B$6:$B$1005,$B30,'الحركات الشهرية'!$A$6:$A$1005,$C$3))</f>
        <v/>
      </c>
      <c r="H30" s="105" t="str">
        <f aca="false">IF($B30="","",SUMIFS('الحركات الشهرية'!$E$6:$E$1005,'الحركات الشهرية'!$B$6:$B$1005,$B30,'الحركات الشهرية'!$A$6:$A$1005,$C$3))</f>
        <v/>
      </c>
      <c r="I30" s="105" t="str">
        <f aca="false">IF($B30="","",MAX(0,F30-G30-H30))</f>
        <v/>
      </c>
      <c r="J30" s="86" t="str">
        <f aca="false">IF($B30="","",الموظفون!$J30*$I30/cfg_DAYS_M)</f>
        <v/>
      </c>
      <c r="K30" s="86" t="str">
        <f aca="false">IF($B30="","",الموظفون!$K30*$I30/cfg_DAYS_M)</f>
        <v/>
      </c>
      <c r="L30" s="86" t="str">
        <f aca="false">IF($B30="","",الموظفون!$L30*$I30/cfg_DAYS_M)</f>
        <v/>
      </c>
      <c r="M30" s="86" t="str">
        <f aca="false">IF($B30="","",الموظفون!$M30*$I30/cfg_DAYS_M)</f>
        <v/>
      </c>
      <c r="N30" s="105" t="str">
        <f aca="false">IF($B30="","",SUMIFS('الحركات الشهرية'!$F$6:$F$1005,'الحركات الشهرية'!$B$6:$B$1005,$B30,'الحركات الشهرية'!$A$6:$A$1005,$C$3))</f>
        <v/>
      </c>
      <c r="O30" s="86" t="str">
        <f aca="false">IF($B30="","",N30*(الموظفون!$N30+الموظفون!$J30*cfg_OT_P)/cfg_DAYS_M/cfg_HRS)</f>
        <v/>
      </c>
      <c r="P30" s="86" t="str">
        <f aca="false">IF($B30="","",SUMIFS('الحركات الشهرية'!$G$6:$G$1005,'الحركات الشهرية'!$B$6:$B$1005,$B30,'الحركات الشهرية'!$A$6:$A$1005,$C$3))</f>
        <v/>
      </c>
      <c r="Q30" s="86" t="str">
        <f aca="false">IF($B30="","",SUMIFS('الحركات الشهرية'!$H$6:$H$1005,'الحركات الشهرية'!$B$6:$B$1005,$B30,'الحركات الشهرية'!$A$6:$A$1005,$C$3))</f>
        <v/>
      </c>
      <c r="R30" s="106" t="str">
        <f aca="false">IF($B30="","",SUM(J30:M30)+SUM(O30:Q30))</f>
        <v/>
      </c>
      <c r="S30" s="86" t="str">
        <f aca="false">IF($B30="","",الموظفون!$Q30*IF(E30="سعودي",cfg_G_SE,cfg_G_NE)*F30/cfg_DAYS_M)</f>
        <v/>
      </c>
      <c r="T30" s="86" t="str">
        <f aca="false">IF($B30="","",SUMIFS('الحركات الشهرية'!$I$6:$I$1005,'الحركات الشهرية'!$B$6:$B$1005,$B30,'الحركات الشهرية'!$A$6:$A$1005,$C$3))</f>
        <v/>
      </c>
      <c r="U30" s="86" t="str">
        <f aca="false">IF($B30="","",SUMIFS('الحركات الشهرية'!$J$6:$J$1005,'الحركات الشهرية'!$B$6:$B$1005,$B30,'الحركات الشهرية'!$A$6:$A$1005,$C$3))</f>
        <v/>
      </c>
      <c r="V30" s="86" t="str">
        <f aca="false">IF($B30="","",SUM(S30:U30))</f>
        <v/>
      </c>
      <c r="W30" s="107" t="str">
        <f aca="false">IF($B30="","",R30-V30)</f>
        <v/>
      </c>
      <c r="X30" s="86" t="str">
        <f aca="false">IF($B30="","",الموظفون!$Q30*IF(E30="سعودي",cfg_G_SR,cfg_G_NR)*F30/cfg_DAYS_M)</f>
        <v/>
      </c>
      <c r="Y30" s="86" t="str">
        <f aca="false">IF($B30="","",الموظفون!$O30*(cfg_EOS_R1*(MIN(AC30,cfg_EOS_TH)-MIN(AD30,cfg_EOS_TH))+cfg_EOS_R2*(MAX(AC30-cfg_EOS_TH,0)-MAX(AD30-cfg_EOS_TH,0))))</f>
        <v/>
      </c>
      <c r="Z30" s="86" t="str">
        <f aca="false">IF($B30="","",IF(الموظفون!$R30&lt;&gt;"",الموظفون!$R30,IF(AC30&gt;=cfg_LV_TH,cfg_LV_D2,cfg_LV_D1))/cfg_DAYS_Y*AE30*الموظفون!$P30/cfg_DAYS_M)</f>
        <v/>
      </c>
      <c r="AA30" s="86" t="str">
        <f aca="false">IF($B30="","",IF(AND(الموظفون!$S30="نعم",N(الموظفون!$U30)&gt;0),الموظفون!$T30/الموظفون!$U30*12/cfg_DAYS_Y*AE30,0))</f>
        <v/>
      </c>
      <c r="AB30" s="108" t="str">
        <f aca="false">IF($B30="","",R30+SUM(X30:AA30))</f>
        <v/>
      </c>
      <c r="AC30" s="109" t="str">
        <f aca="false">IF($B30="","",MAX(0,IF(OR(الموظفون!$X30="",الموظفون!$X30&gt;$G$3),$G$3,الموظفون!$X30)-الموظفون!$H30+1)/cfg_DAYS_Y)</f>
        <v/>
      </c>
      <c r="AD30" s="109" t="str">
        <f aca="false">IF($B30="","",MAX(0,IF(OR(الموظفون!$X30="",الموظفون!$X30&gt;($E$3-1)),($E$3-1),الموظفون!$X30)-الموظفون!$H30+1)/cfg_DAYS_Y)</f>
        <v/>
      </c>
      <c r="AE30" s="51" t="str">
        <f aca="false">IF($B30="","",MAX(0,IF(OR(الموظفون!$X30="",الموظفون!$X30&gt;$G$3),$G$3,الموظفون!$X30)-MAX($E$3,الموظفون!$H30)+1))</f>
        <v/>
      </c>
    </row>
    <row r="31" customFormat="false" ht="15" hidden="false" customHeight="false" outlineLevel="0" collapsed="false">
      <c r="A31" s="89" t="str">
        <f aca="false">IF($B31="","",الموظفون!$A31)</f>
        <v/>
      </c>
      <c r="B31" s="91" t="str">
        <f aca="false">IF(الموظفون!$B31="","",الموظفون!$B31)</f>
        <v/>
      </c>
      <c r="C31" s="91" t="str">
        <f aca="false">IF($B31="","",الموظفون!$C31)</f>
        <v/>
      </c>
      <c r="D31" s="91" t="str">
        <f aca="false">IF($B31="","",الموظفون!$F31)</f>
        <v/>
      </c>
      <c r="E31" s="91" t="str">
        <f aca="false">IF($B31="","",الموظفون!$E31)</f>
        <v/>
      </c>
      <c r="F31" s="110" t="str">
        <f aca="false">IF($B31="","",IF(AE31&gt;=DAY($G$3),cfg_DAYS_M,MIN(AE31,cfg_DAYS_M)))</f>
        <v/>
      </c>
      <c r="G31" s="110" t="str">
        <f aca="false">IF($B31="","",SUMIFS('الحركات الشهرية'!$D$6:$D$1005,'الحركات الشهرية'!$B$6:$B$1005,$B31,'الحركات الشهرية'!$A$6:$A$1005,$C$3))</f>
        <v/>
      </c>
      <c r="H31" s="110" t="str">
        <f aca="false">IF($B31="","",SUMIFS('الحركات الشهرية'!$E$6:$E$1005,'الحركات الشهرية'!$B$6:$B$1005,$B31,'الحركات الشهرية'!$A$6:$A$1005,$C$3))</f>
        <v/>
      </c>
      <c r="I31" s="110" t="str">
        <f aca="false">IF($B31="","",MAX(0,F31-G31-H31))</f>
        <v/>
      </c>
      <c r="J31" s="90" t="str">
        <f aca="false">IF($B31="","",الموظفون!$J31*$I31/cfg_DAYS_M)</f>
        <v/>
      </c>
      <c r="K31" s="90" t="str">
        <f aca="false">IF($B31="","",الموظفون!$K31*$I31/cfg_DAYS_M)</f>
        <v/>
      </c>
      <c r="L31" s="90" t="str">
        <f aca="false">IF($B31="","",الموظفون!$L31*$I31/cfg_DAYS_M)</f>
        <v/>
      </c>
      <c r="M31" s="90" t="str">
        <f aca="false">IF($B31="","",الموظفون!$M31*$I31/cfg_DAYS_M)</f>
        <v/>
      </c>
      <c r="N31" s="110" t="str">
        <f aca="false">IF($B31="","",SUMIFS('الحركات الشهرية'!$F$6:$F$1005,'الحركات الشهرية'!$B$6:$B$1005,$B31,'الحركات الشهرية'!$A$6:$A$1005,$C$3))</f>
        <v/>
      </c>
      <c r="O31" s="90" t="str">
        <f aca="false">IF($B31="","",N31*(الموظفون!$N31+الموظفون!$J31*cfg_OT_P)/cfg_DAYS_M/cfg_HRS)</f>
        <v/>
      </c>
      <c r="P31" s="90" t="str">
        <f aca="false">IF($B31="","",SUMIFS('الحركات الشهرية'!$G$6:$G$1005,'الحركات الشهرية'!$B$6:$B$1005,$B31,'الحركات الشهرية'!$A$6:$A$1005,$C$3))</f>
        <v/>
      </c>
      <c r="Q31" s="90" t="str">
        <f aca="false">IF($B31="","",SUMIFS('الحركات الشهرية'!$H$6:$H$1005,'الحركات الشهرية'!$B$6:$B$1005,$B31,'الحركات الشهرية'!$A$6:$A$1005,$C$3))</f>
        <v/>
      </c>
      <c r="R31" s="111" t="str">
        <f aca="false">IF($B31="","",SUM(J31:M31)+SUM(O31:Q31))</f>
        <v/>
      </c>
      <c r="S31" s="90" t="str">
        <f aca="false">IF($B31="","",الموظفون!$Q31*IF(E31="سعودي",cfg_G_SE,cfg_G_NE)*F31/cfg_DAYS_M)</f>
        <v/>
      </c>
      <c r="T31" s="90" t="str">
        <f aca="false">IF($B31="","",SUMIFS('الحركات الشهرية'!$I$6:$I$1005,'الحركات الشهرية'!$B$6:$B$1005,$B31,'الحركات الشهرية'!$A$6:$A$1005,$C$3))</f>
        <v/>
      </c>
      <c r="U31" s="90" t="str">
        <f aca="false">IF($B31="","",SUMIFS('الحركات الشهرية'!$J$6:$J$1005,'الحركات الشهرية'!$B$6:$B$1005,$B31,'الحركات الشهرية'!$A$6:$A$1005,$C$3))</f>
        <v/>
      </c>
      <c r="V31" s="90" t="str">
        <f aca="false">IF($B31="","",SUM(S31:U31))</f>
        <v/>
      </c>
      <c r="W31" s="112" t="str">
        <f aca="false">IF($B31="","",R31-V31)</f>
        <v/>
      </c>
      <c r="X31" s="90" t="str">
        <f aca="false">IF($B31="","",الموظفون!$Q31*IF(E31="سعودي",cfg_G_SR,cfg_G_NR)*F31/cfg_DAYS_M)</f>
        <v/>
      </c>
      <c r="Y31" s="90" t="str">
        <f aca="false">IF($B31="","",الموظفون!$O31*(cfg_EOS_R1*(MIN(AC31,cfg_EOS_TH)-MIN(AD31,cfg_EOS_TH))+cfg_EOS_R2*(MAX(AC31-cfg_EOS_TH,0)-MAX(AD31-cfg_EOS_TH,0))))</f>
        <v/>
      </c>
      <c r="Z31" s="90" t="str">
        <f aca="false">IF($B31="","",IF(الموظفون!$R31&lt;&gt;"",الموظفون!$R31,IF(AC31&gt;=cfg_LV_TH,cfg_LV_D2,cfg_LV_D1))/cfg_DAYS_Y*AE31*الموظفون!$P31/cfg_DAYS_M)</f>
        <v/>
      </c>
      <c r="AA31" s="90" t="str">
        <f aca="false">IF($B31="","",IF(AND(الموظفون!$S31="نعم",N(الموظفون!$U31)&gt;0),الموظفون!$T31/الموظفون!$U31*12/cfg_DAYS_Y*AE31,0))</f>
        <v/>
      </c>
      <c r="AB31" s="113" t="str">
        <f aca="false">IF($B31="","",R31+SUM(X31:AA31))</f>
        <v/>
      </c>
      <c r="AC31" s="114" t="str">
        <f aca="false">IF($B31="","",MAX(0,IF(OR(الموظفون!$X31="",الموظفون!$X31&gt;$G$3),$G$3,الموظفون!$X31)-الموظفون!$H31+1)/cfg_DAYS_Y)</f>
        <v/>
      </c>
      <c r="AD31" s="114" t="str">
        <f aca="false">IF($B31="","",MAX(0,IF(OR(الموظفون!$X31="",الموظفون!$X31&gt;($E$3-1)),($E$3-1),الموظفون!$X31)-الموظفون!$H31+1)/cfg_DAYS_Y)</f>
        <v/>
      </c>
      <c r="AE31" s="115" t="str">
        <f aca="false">IF($B31="","",MAX(0,IF(OR(الموظفون!$X31="",الموظفون!$X31&gt;$G$3),$G$3,الموظفون!$X31)-MAX($E$3,الموظفون!$H31)+1))</f>
        <v/>
      </c>
    </row>
    <row r="32" customFormat="false" ht="15" hidden="false" customHeight="false" outlineLevel="0" collapsed="false">
      <c r="A32" s="83" t="str">
        <f aca="false">IF($B32="","",الموظفون!$A32)</f>
        <v/>
      </c>
      <c r="B32" s="74" t="str">
        <f aca="false">IF(الموظفون!$B32="","",الموظفون!$B32)</f>
        <v/>
      </c>
      <c r="C32" s="74" t="str">
        <f aca="false">IF($B32="","",الموظفون!$C32)</f>
        <v/>
      </c>
      <c r="D32" s="74" t="str">
        <f aca="false">IF($B32="","",الموظفون!$F32)</f>
        <v/>
      </c>
      <c r="E32" s="74" t="str">
        <f aca="false">IF($B32="","",الموظفون!$E32)</f>
        <v/>
      </c>
      <c r="F32" s="105" t="str">
        <f aca="false">IF($B32="","",IF(AE32&gt;=DAY($G$3),cfg_DAYS_M,MIN(AE32,cfg_DAYS_M)))</f>
        <v/>
      </c>
      <c r="G32" s="105" t="str">
        <f aca="false">IF($B32="","",SUMIFS('الحركات الشهرية'!$D$6:$D$1005,'الحركات الشهرية'!$B$6:$B$1005,$B32,'الحركات الشهرية'!$A$6:$A$1005,$C$3))</f>
        <v/>
      </c>
      <c r="H32" s="105" t="str">
        <f aca="false">IF($B32="","",SUMIFS('الحركات الشهرية'!$E$6:$E$1005,'الحركات الشهرية'!$B$6:$B$1005,$B32,'الحركات الشهرية'!$A$6:$A$1005,$C$3))</f>
        <v/>
      </c>
      <c r="I32" s="105" t="str">
        <f aca="false">IF($B32="","",MAX(0,F32-G32-H32))</f>
        <v/>
      </c>
      <c r="J32" s="86" t="str">
        <f aca="false">IF($B32="","",الموظفون!$J32*$I32/cfg_DAYS_M)</f>
        <v/>
      </c>
      <c r="K32" s="86" t="str">
        <f aca="false">IF($B32="","",الموظفون!$K32*$I32/cfg_DAYS_M)</f>
        <v/>
      </c>
      <c r="L32" s="86" t="str">
        <f aca="false">IF($B32="","",الموظفون!$L32*$I32/cfg_DAYS_M)</f>
        <v/>
      </c>
      <c r="M32" s="86" t="str">
        <f aca="false">IF($B32="","",الموظفون!$M32*$I32/cfg_DAYS_M)</f>
        <v/>
      </c>
      <c r="N32" s="105" t="str">
        <f aca="false">IF($B32="","",SUMIFS('الحركات الشهرية'!$F$6:$F$1005,'الحركات الشهرية'!$B$6:$B$1005,$B32,'الحركات الشهرية'!$A$6:$A$1005,$C$3))</f>
        <v/>
      </c>
      <c r="O32" s="86" t="str">
        <f aca="false">IF($B32="","",N32*(الموظفون!$N32+الموظفون!$J32*cfg_OT_P)/cfg_DAYS_M/cfg_HRS)</f>
        <v/>
      </c>
      <c r="P32" s="86" t="str">
        <f aca="false">IF($B32="","",SUMIFS('الحركات الشهرية'!$G$6:$G$1005,'الحركات الشهرية'!$B$6:$B$1005,$B32,'الحركات الشهرية'!$A$6:$A$1005,$C$3))</f>
        <v/>
      </c>
      <c r="Q32" s="86" t="str">
        <f aca="false">IF($B32="","",SUMIFS('الحركات الشهرية'!$H$6:$H$1005,'الحركات الشهرية'!$B$6:$B$1005,$B32,'الحركات الشهرية'!$A$6:$A$1005,$C$3))</f>
        <v/>
      </c>
      <c r="R32" s="106" t="str">
        <f aca="false">IF($B32="","",SUM(J32:M32)+SUM(O32:Q32))</f>
        <v/>
      </c>
      <c r="S32" s="86" t="str">
        <f aca="false">IF($B32="","",الموظفون!$Q32*IF(E32="سعودي",cfg_G_SE,cfg_G_NE)*F32/cfg_DAYS_M)</f>
        <v/>
      </c>
      <c r="T32" s="86" t="str">
        <f aca="false">IF($B32="","",SUMIFS('الحركات الشهرية'!$I$6:$I$1005,'الحركات الشهرية'!$B$6:$B$1005,$B32,'الحركات الشهرية'!$A$6:$A$1005,$C$3))</f>
        <v/>
      </c>
      <c r="U32" s="86" t="str">
        <f aca="false">IF($B32="","",SUMIFS('الحركات الشهرية'!$J$6:$J$1005,'الحركات الشهرية'!$B$6:$B$1005,$B32,'الحركات الشهرية'!$A$6:$A$1005,$C$3))</f>
        <v/>
      </c>
      <c r="V32" s="86" t="str">
        <f aca="false">IF($B32="","",SUM(S32:U32))</f>
        <v/>
      </c>
      <c r="W32" s="107" t="str">
        <f aca="false">IF($B32="","",R32-V32)</f>
        <v/>
      </c>
      <c r="X32" s="86" t="str">
        <f aca="false">IF($B32="","",الموظفون!$Q32*IF(E32="سعودي",cfg_G_SR,cfg_G_NR)*F32/cfg_DAYS_M)</f>
        <v/>
      </c>
      <c r="Y32" s="86" t="str">
        <f aca="false">IF($B32="","",الموظفون!$O32*(cfg_EOS_R1*(MIN(AC32,cfg_EOS_TH)-MIN(AD32,cfg_EOS_TH))+cfg_EOS_R2*(MAX(AC32-cfg_EOS_TH,0)-MAX(AD32-cfg_EOS_TH,0))))</f>
        <v/>
      </c>
      <c r="Z32" s="86" t="str">
        <f aca="false">IF($B32="","",IF(الموظفون!$R32&lt;&gt;"",الموظفون!$R32,IF(AC32&gt;=cfg_LV_TH,cfg_LV_D2,cfg_LV_D1))/cfg_DAYS_Y*AE32*الموظفون!$P32/cfg_DAYS_M)</f>
        <v/>
      </c>
      <c r="AA32" s="86" t="str">
        <f aca="false">IF($B32="","",IF(AND(الموظفون!$S32="نعم",N(الموظفون!$U32)&gt;0),الموظفون!$T32/الموظفون!$U32*12/cfg_DAYS_Y*AE32,0))</f>
        <v/>
      </c>
      <c r="AB32" s="108" t="str">
        <f aca="false">IF($B32="","",R32+SUM(X32:AA32))</f>
        <v/>
      </c>
      <c r="AC32" s="109" t="str">
        <f aca="false">IF($B32="","",MAX(0,IF(OR(الموظفون!$X32="",الموظفون!$X32&gt;$G$3),$G$3,الموظفون!$X32)-الموظفون!$H32+1)/cfg_DAYS_Y)</f>
        <v/>
      </c>
      <c r="AD32" s="109" t="str">
        <f aca="false">IF($B32="","",MAX(0,IF(OR(الموظفون!$X32="",الموظفون!$X32&gt;($E$3-1)),($E$3-1),الموظفون!$X32)-الموظفون!$H32+1)/cfg_DAYS_Y)</f>
        <v/>
      </c>
      <c r="AE32" s="51" t="str">
        <f aca="false">IF($B32="","",MAX(0,IF(OR(الموظفون!$X32="",الموظفون!$X32&gt;$G$3),$G$3,الموظفون!$X32)-MAX($E$3,الموظفون!$H32)+1))</f>
        <v/>
      </c>
    </row>
    <row r="33" customFormat="false" ht="15" hidden="false" customHeight="false" outlineLevel="0" collapsed="false">
      <c r="A33" s="89" t="str">
        <f aca="false">IF($B33="","",الموظفون!$A33)</f>
        <v/>
      </c>
      <c r="B33" s="91" t="str">
        <f aca="false">IF(الموظفون!$B33="","",الموظفون!$B33)</f>
        <v/>
      </c>
      <c r="C33" s="91" t="str">
        <f aca="false">IF($B33="","",الموظفون!$C33)</f>
        <v/>
      </c>
      <c r="D33" s="91" t="str">
        <f aca="false">IF($B33="","",الموظفون!$F33)</f>
        <v/>
      </c>
      <c r="E33" s="91" t="str">
        <f aca="false">IF($B33="","",الموظفون!$E33)</f>
        <v/>
      </c>
      <c r="F33" s="110" t="str">
        <f aca="false">IF($B33="","",IF(AE33&gt;=DAY($G$3),cfg_DAYS_M,MIN(AE33,cfg_DAYS_M)))</f>
        <v/>
      </c>
      <c r="G33" s="110" t="str">
        <f aca="false">IF($B33="","",SUMIFS('الحركات الشهرية'!$D$6:$D$1005,'الحركات الشهرية'!$B$6:$B$1005,$B33,'الحركات الشهرية'!$A$6:$A$1005,$C$3))</f>
        <v/>
      </c>
      <c r="H33" s="110" t="str">
        <f aca="false">IF($B33="","",SUMIFS('الحركات الشهرية'!$E$6:$E$1005,'الحركات الشهرية'!$B$6:$B$1005,$B33,'الحركات الشهرية'!$A$6:$A$1005,$C$3))</f>
        <v/>
      </c>
      <c r="I33" s="110" t="str">
        <f aca="false">IF($B33="","",MAX(0,F33-G33-H33))</f>
        <v/>
      </c>
      <c r="J33" s="90" t="str">
        <f aca="false">IF($B33="","",الموظفون!$J33*$I33/cfg_DAYS_M)</f>
        <v/>
      </c>
      <c r="K33" s="90" t="str">
        <f aca="false">IF($B33="","",الموظفون!$K33*$I33/cfg_DAYS_M)</f>
        <v/>
      </c>
      <c r="L33" s="90" t="str">
        <f aca="false">IF($B33="","",الموظفون!$L33*$I33/cfg_DAYS_M)</f>
        <v/>
      </c>
      <c r="M33" s="90" t="str">
        <f aca="false">IF($B33="","",الموظفون!$M33*$I33/cfg_DAYS_M)</f>
        <v/>
      </c>
      <c r="N33" s="110" t="str">
        <f aca="false">IF($B33="","",SUMIFS('الحركات الشهرية'!$F$6:$F$1005,'الحركات الشهرية'!$B$6:$B$1005,$B33,'الحركات الشهرية'!$A$6:$A$1005,$C$3))</f>
        <v/>
      </c>
      <c r="O33" s="90" t="str">
        <f aca="false">IF($B33="","",N33*(الموظفون!$N33+الموظفون!$J33*cfg_OT_P)/cfg_DAYS_M/cfg_HRS)</f>
        <v/>
      </c>
      <c r="P33" s="90" t="str">
        <f aca="false">IF($B33="","",SUMIFS('الحركات الشهرية'!$G$6:$G$1005,'الحركات الشهرية'!$B$6:$B$1005,$B33,'الحركات الشهرية'!$A$6:$A$1005,$C$3))</f>
        <v/>
      </c>
      <c r="Q33" s="90" t="str">
        <f aca="false">IF($B33="","",SUMIFS('الحركات الشهرية'!$H$6:$H$1005,'الحركات الشهرية'!$B$6:$B$1005,$B33,'الحركات الشهرية'!$A$6:$A$1005,$C$3))</f>
        <v/>
      </c>
      <c r="R33" s="111" t="str">
        <f aca="false">IF($B33="","",SUM(J33:M33)+SUM(O33:Q33))</f>
        <v/>
      </c>
      <c r="S33" s="90" t="str">
        <f aca="false">IF($B33="","",الموظفون!$Q33*IF(E33="سعودي",cfg_G_SE,cfg_G_NE)*F33/cfg_DAYS_M)</f>
        <v/>
      </c>
      <c r="T33" s="90" t="str">
        <f aca="false">IF($B33="","",SUMIFS('الحركات الشهرية'!$I$6:$I$1005,'الحركات الشهرية'!$B$6:$B$1005,$B33,'الحركات الشهرية'!$A$6:$A$1005,$C$3))</f>
        <v/>
      </c>
      <c r="U33" s="90" t="str">
        <f aca="false">IF($B33="","",SUMIFS('الحركات الشهرية'!$J$6:$J$1005,'الحركات الشهرية'!$B$6:$B$1005,$B33,'الحركات الشهرية'!$A$6:$A$1005,$C$3))</f>
        <v/>
      </c>
      <c r="V33" s="90" t="str">
        <f aca="false">IF($B33="","",SUM(S33:U33))</f>
        <v/>
      </c>
      <c r="W33" s="112" t="str">
        <f aca="false">IF($B33="","",R33-V33)</f>
        <v/>
      </c>
      <c r="X33" s="90" t="str">
        <f aca="false">IF($B33="","",الموظفون!$Q33*IF(E33="سعودي",cfg_G_SR,cfg_G_NR)*F33/cfg_DAYS_M)</f>
        <v/>
      </c>
      <c r="Y33" s="90" t="str">
        <f aca="false">IF($B33="","",الموظفون!$O33*(cfg_EOS_R1*(MIN(AC33,cfg_EOS_TH)-MIN(AD33,cfg_EOS_TH))+cfg_EOS_R2*(MAX(AC33-cfg_EOS_TH,0)-MAX(AD33-cfg_EOS_TH,0))))</f>
        <v/>
      </c>
      <c r="Z33" s="90" t="str">
        <f aca="false">IF($B33="","",IF(الموظفون!$R33&lt;&gt;"",الموظفون!$R33,IF(AC33&gt;=cfg_LV_TH,cfg_LV_D2,cfg_LV_D1))/cfg_DAYS_Y*AE33*الموظفون!$P33/cfg_DAYS_M)</f>
        <v/>
      </c>
      <c r="AA33" s="90" t="str">
        <f aca="false">IF($B33="","",IF(AND(الموظفون!$S33="نعم",N(الموظفون!$U33)&gt;0),الموظفون!$T33/الموظفون!$U33*12/cfg_DAYS_Y*AE33,0))</f>
        <v/>
      </c>
      <c r="AB33" s="113" t="str">
        <f aca="false">IF($B33="","",R33+SUM(X33:AA33))</f>
        <v/>
      </c>
      <c r="AC33" s="114" t="str">
        <f aca="false">IF($B33="","",MAX(0,IF(OR(الموظفون!$X33="",الموظفون!$X33&gt;$G$3),$G$3,الموظفون!$X33)-الموظفون!$H33+1)/cfg_DAYS_Y)</f>
        <v/>
      </c>
      <c r="AD33" s="114" t="str">
        <f aca="false">IF($B33="","",MAX(0,IF(OR(الموظفون!$X33="",الموظفون!$X33&gt;($E$3-1)),($E$3-1),الموظفون!$X33)-الموظفون!$H33+1)/cfg_DAYS_Y)</f>
        <v/>
      </c>
      <c r="AE33" s="115" t="str">
        <f aca="false">IF($B33="","",MAX(0,IF(OR(الموظفون!$X33="",الموظفون!$X33&gt;$G$3),$G$3,الموظفون!$X33)-MAX($E$3,الموظفون!$H33)+1))</f>
        <v/>
      </c>
    </row>
    <row r="34" customFormat="false" ht="15" hidden="false" customHeight="false" outlineLevel="0" collapsed="false">
      <c r="A34" s="83" t="str">
        <f aca="false">IF($B34="","",الموظفون!$A34)</f>
        <v/>
      </c>
      <c r="B34" s="74" t="str">
        <f aca="false">IF(الموظفون!$B34="","",الموظفون!$B34)</f>
        <v/>
      </c>
      <c r="C34" s="74" t="str">
        <f aca="false">IF($B34="","",الموظفون!$C34)</f>
        <v/>
      </c>
      <c r="D34" s="74" t="str">
        <f aca="false">IF($B34="","",الموظفون!$F34)</f>
        <v/>
      </c>
      <c r="E34" s="74" t="str">
        <f aca="false">IF($B34="","",الموظفون!$E34)</f>
        <v/>
      </c>
      <c r="F34" s="105" t="str">
        <f aca="false">IF($B34="","",IF(AE34&gt;=DAY($G$3),cfg_DAYS_M,MIN(AE34,cfg_DAYS_M)))</f>
        <v/>
      </c>
      <c r="G34" s="105" t="str">
        <f aca="false">IF($B34="","",SUMIFS('الحركات الشهرية'!$D$6:$D$1005,'الحركات الشهرية'!$B$6:$B$1005,$B34,'الحركات الشهرية'!$A$6:$A$1005,$C$3))</f>
        <v/>
      </c>
      <c r="H34" s="105" t="str">
        <f aca="false">IF($B34="","",SUMIFS('الحركات الشهرية'!$E$6:$E$1005,'الحركات الشهرية'!$B$6:$B$1005,$B34,'الحركات الشهرية'!$A$6:$A$1005,$C$3))</f>
        <v/>
      </c>
      <c r="I34" s="105" t="str">
        <f aca="false">IF($B34="","",MAX(0,F34-G34-H34))</f>
        <v/>
      </c>
      <c r="J34" s="86" t="str">
        <f aca="false">IF($B34="","",الموظفون!$J34*$I34/cfg_DAYS_M)</f>
        <v/>
      </c>
      <c r="K34" s="86" t="str">
        <f aca="false">IF($B34="","",الموظفون!$K34*$I34/cfg_DAYS_M)</f>
        <v/>
      </c>
      <c r="L34" s="86" t="str">
        <f aca="false">IF($B34="","",الموظفون!$L34*$I34/cfg_DAYS_M)</f>
        <v/>
      </c>
      <c r="M34" s="86" t="str">
        <f aca="false">IF($B34="","",الموظفون!$M34*$I34/cfg_DAYS_M)</f>
        <v/>
      </c>
      <c r="N34" s="105" t="str">
        <f aca="false">IF($B34="","",SUMIFS('الحركات الشهرية'!$F$6:$F$1005,'الحركات الشهرية'!$B$6:$B$1005,$B34,'الحركات الشهرية'!$A$6:$A$1005,$C$3))</f>
        <v/>
      </c>
      <c r="O34" s="86" t="str">
        <f aca="false">IF($B34="","",N34*(الموظفون!$N34+الموظفون!$J34*cfg_OT_P)/cfg_DAYS_M/cfg_HRS)</f>
        <v/>
      </c>
      <c r="P34" s="86" t="str">
        <f aca="false">IF($B34="","",SUMIFS('الحركات الشهرية'!$G$6:$G$1005,'الحركات الشهرية'!$B$6:$B$1005,$B34,'الحركات الشهرية'!$A$6:$A$1005,$C$3))</f>
        <v/>
      </c>
      <c r="Q34" s="86" t="str">
        <f aca="false">IF($B34="","",SUMIFS('الحركات الشهرية'!$H$6:$H$1005,'الحركات الشهرية'!$B$6:$B$1005,$B34,'الحركات الشهرية'!$A$6:$A$1005,$C$3))</f>
        <v/>
      </c>
      <c r="R34" s="106" t="str">
        <f aca="false">IF($B34="","",SUM(J34:M34)+SUM(O34:Q34))</f>
        <v/>
      </c>
      <c r="S34" s="86" t="str">
        <f aca="false">IF($B34="","",الموظفون!$Q34*IF(E34="سعودي",cfg_G_SE,cfg_G_NE)*F34/cfg_DAYS_M)</f>
        <v/>
      </c>
      <c r="T34" s="86" t="str">
        <f aca="false">IF($B34="","",SUMIFS('الحركات الشهرية'!$I$6:$I$1005,'الحركات الشهرية'!$B$6:$B$1005,$B34,'الحركات الشهرية'!$A$6:$A$1005,$C$3))</f>
        <v/>
      </c>
      <c r="U34" s="86" t="str">
        <f aca="false">IF($B34="","",SUMIFS('الحركات الشهرية'!$J$6:$J$1005,'الحركات الشهرية'!$B$6:$B$1005,$B34,'الحركات الشهرية'!$A$6:$A$1005,$C$3))</f>
        <v/>
      </c>
      <c r="V34" s="86" t="str">
        <f aca="false">IF($B34="","",SUM(S34:U34))</f>
        <v/>
      </c>
      <c r="W34" s="107" t="str">
        <f aca="false">IF($B34="","",R34-V34)</f>
        <v/>
      </c>
      <c r="X34" s="86" t="str">
        <f aca="false">IF($B34="","",الموظفون!$Q34*IF(E34="سعودي",cfg_G_SR,cfg_G_NR)*F34/cfg_DAYS_M)</f>
        <v/>
      </c>
      <c r="Y34" s="86" t="str">
        <f aca="false">IF($B34="","",الموظفون!$O34*(cfg_EOS_R1*(MIN(AC34,cfg_EOS_TH)-MIN(AD34,cfg_EOS_TH))+cfg_EOS_R2*(MAX(AC34-cfg_EOS_TH,0)-MAX(AD34-cfg_EOS_TH,0))))</f>
        <v/>
      </c>
      <c r="Z34" s="86" t="str">
        <f aca="false">IF($B34="","",IF(الموظفون!$R34&lt;&gt;"",الموظفون!$R34,IF(AC34&gt;=cfg_LV_TH,cfg_LV_D2,cfg_LV_D1))/cfg_DAYS_Y*AE34*الموظفون!$P34/cfg_DAYS_M)</f>
        <v/>
      </c>
      <c r="AA34" s="86" t="str">
        <f aca="false">IF($B34="","",IF(AND(الموظفون!$S34="نعم",N(الموظفون!$U34)&gt;0),الموظفون!$T34/الموظفون!$U34*12/cfg_DAYS_Y*AE34,0))</f>
        <v/>
      </c>
      <c r="AB34" s="108" t="str">
        <f aca="false">IF($B34="","",R34+SUM(X34:AA34))</f>
        <v/>
      </c>
      <c r="AC34" s="109" t="str">
        <f aca="false">IF($B34="","",MAX(0,IF(OR(الموظفون!$X34="",الموظفون!$X34&gt;$G$3),$G$3,الموظفون!$X34)-الموظفون!$H34+1)/cfg_DAYS_Y)</f>
        <v/>
      </c>
      <c r="AD34" s="109" t="str">
        <f aca="false">IF($B34="","",MAX(0,IF(OR(الموظفون!$X34="",الموظفون!$X34&gt;($E$3-1)),($E$3-1),الموظفون!$X34)-الموظفون!$H34+1)/cfg_DAYS_Y)</f>
        <v/>
      </c>
      <c r="AE34" s="51" t="str">
        <f aca="false">IF($B34="","",MAX(0,IF(OR(الموظفون!$X34="",الموظفون!$X34&gt;$G$3),$G$3,الموظفون!$X34)-MAX($E$3,الموظفون!$H34)+1))</f>
        <v/>
      </c>
    </row>
    <row r="35" customFormat="false" ht="15" hidden="false" customHeight="false" outlineLevel="0" collapsed="false">
      <c r="A35" s="89" t="str">
        <f aca="false">IF($B35="","",الموظفون!$A35)</f>
        <v/>
      </c>
      <c r="B35" s="91" t="str">
        <f aca="false">IF(الموظفون!$B35="","",الموظفون!$B35)</f>
        <v/>
      </c>
      <c r="C35" s="91" t="str">
        <f aca="false">IF($B35="","",الموظفون!$C35)</f>
        <v/>
      </c>
      <c r="D35" s="91" t="str">
        <f aca="false">IF($B35="","",الموظفون!$F35)</f>
        <v/>
      </c>
      <c r="E35" s="91" t="str">
        <f aca="false">IF($B35="","",الموظفون!$E35)</f>
        <v/>
      </c>
      <c r="F35" s="110" t="str">
        <f aca="false">IF($B35="","",IF(AE35&gt;=DAY($G$3),cfg_DAYS_M,MIN(AE35,cfg_DAYS_M)))</f>
        <v/>
      </c>
      <c r="G35" s="110" t="str">
        <f aca="false">IF($B35="","",SUMIFS('الحركات الشهرية'!$D$6:$D$1005,'الحركات الشهرية'!$B$6:$B$1005,$B35,'الحركات الشهرية'!$A$6:$A$1005,$C$3))</f>
        <v/>
      </c>
      <c r="H35" s="110" t="str">
        <f aca="false">IF($B35="","",SUMIFS('الحركات الشهرية'!$E$6:$E$1005,'الحركات الشهرية'!$B$6:$B$1005,$B35,'الحركات الشهرية'!$A$6:$A$1005,$C$3))</f>
        <v/>
      </c>
      <c r="I35" s="110" t="str">
        <f aca="false">IF($B35="","",MAX(0,F35-G35-H35))</f>
        <v/>
      </c>
      <c r="J35" s="90" t="str">
        <f aca="false">IF($B35="","",الموظفون!$J35*$I35/cfg_DAYS_M)</f>
        <v/>
      </c>
      <c r="K35" s="90" t="str">
        <f aca="false">IF($B35="","",الموظفون!$K35*$I35/cfg_DAYS_M)</f>
        <v/>
      </c>
      <c r="L35" s="90" t="str">
        <f aca="false">IF($B35="","",الموظفون!$L35*$I35/cfg_DAYS_M)</f>
        <v/>
      </c>
      <c r="M35" s="90" t="str">
        <f aca="false">IF($B35="","",الموظفون!$M35*$I35/cfg_DAYS_M)</f>
        <v/>
      </c>
      <c r="N35" s="110" t="str">
        <f aca="false">IF($B35="","",SUMIFS('الحركات الشهرية'!$F$6:$F$1005,'الحركات الشهرية'!$B$6:$B$1005,$B35,'الحركات الشهرية'!$A$6:$A$1005,$C$3))</f>
        <v/>
      </c>
      <c r="O35" s="90" t="str">
        <f aca="false">IF($B35="","",N35*(الموظفون!$N35+الموظفون!$J35*cfg_OT_P)/cfg_DAYS_M/cfg_HRS)</f>
        <v/>
      </c>
      <c r="P35" s="90" t="str">
        <f aca="false">IF($B35="","",SUMIFS('الحركات الشهرية'!$G$6:$G$1005,'الحركات الشهرية'!$B$6:$B$1005,$B35,'الحركات الشهرية'!$A$6:$A$1005,$C$3))</f>
        <v/>
      </c>
      <c r="Q35" s="90" t="str">
        <f aca="false">IF($B35="","",SUMIFS('الحركات الشهرية'!$H$6:$H$1005,'الحركات الشهرية'!$B$6:$B$1005,$B35,'الحركات الشهرية'!$A$6:$A$1005,$C$3))</f>
        <v/>
      </c>
      <c r="R35" s="111" t="str">
        <f aca="false">IF($B35="","",SUM(J35:M35)+SUM(O35:Q35))</f>
        <v/>
      </c>
      <c r="S35" s="90" t="str">
        <f aca="false">IF($B35="","",الموظفون!$Q35*IF(E35="سعودي",cfg_G_SE,cfg_G_NE)*F35/cfg_DAYS_M)</f>
        <v/>
      </c>
      <c r="T35" s="90" t="str">
        <f aca="false">IF($B35="","",SUMIFS('الحركات الشهرية'!$I$6:$I$1005,'الحركات الشهرية'!$B$6:$B$1005,$B35,'الحركات الشهرية'!$A$6:$A$1005,$C$3))</f>
        <v/>
      </c>
      <c r="U35" s="90" t="str">
        <f aca="false">IF($B35="","",SUMIFS('الحركات الشهرية'!$J$6:$J$1005,'الحركات الشهرية'!$B$6:$B$1005,$B35,'الحركات الشهرية'!$A$6:$A$1005,$C$3))</f>
        <v/>
      </c>
      <c r="V35" s="90" t="str">
        <f aca="false">IF($B35="","",SUM(S35:U35))</f>
        <v/>
      </c>
      <c r="W35" s="112" t="str">
        <f aca="false">IF($B35="","",R35-V35)</f>
        <v/>
      </c>
      <c r="X35" s="90" t="str">
        <f aca="false">IF($B35="","",الموظفون!$Q35*IF(E35="سعودي",cfg_G_SR,cfg_G_NR)*F35/cfg_DAYS_M)</f>
        <v/>
      </c>
      <c r="Y35" s="90" t="str">
        <f aca="false">IF($B35="","",الموظفون!$O35*(cfg_EOS_R1*(MIN(AC35,cfg_EOS_TH)-MIN(AD35,cfg_EOS_TH))+cfg_EOS_R2*(MAX(AC35-cfg_EOS_TH,0)-MAX(AD35-cfg_EOS_TH,0))))</f>
        <v/>
      </c>
      <c r="Z35" s="90" t="str">
        <f aca="false">IF($B35="","",IF(الموظفون!$R35&lt;&gt;"",الموظفون!$R35,IF(AC35&gt;=cfg_LV_TH,cfg_LV_D2,cfg_LV_D1))/cfg_DAYS_Y*AE35*الموظفون!$P35/cfg_DAYS_M)</f>
        <v/>
      </c>
      <c r="AA35" s="90" t="str">
        <f aca="false">IF($B35="","",IF(AND(الموظفون!$S35="نعم",N(الموظفون!$U35)&gt;0),الموظفون!$T35/الموظفون!$U35*12/cfg_DAYS_Y*AE35,0))</f>
        <v/>
      </c>
      <c r="AB35" s="113" t="str">
        <f aca="false">IF($B35="","",R35+SUM(X35:AA35))</f>
        <v/>
      </c>
      <c r="AC35" s="114" t="str">
        <f aca="false">IF($B35="","",MAX(0,IF(OR(الموظفون!$X35="",الموظفون!$X35&gt;$G$3),$G$3,الموظفون!$X35)-الموظفون!$H35+1)/cfg_DAYS_Y)</f>
        <v/>
      </c>
      <c r="AD35" s="114" t="str">
        <f aca="false">IF($B35="","",MAX(0,IF(OR(الموظفون!$X35="",الموظفون!$X35&gt;($E$3-1)),($E$3-1),الموظفون!$X35)-الموظفون!$H35+1)/cfg_DAYS_Y)</f>
        <v/>
      </c>
      <c r="AE35" s="115" t="str">
        <f aca="false">IF($B35="","",MAX(0,IF(OR(الموظفون!$X35="",الموظفون!$X35&gt;$G$3),$G$3,الموظفون!$X35)-MAX($E$3,الموظفون!$H35)+1))</f>
        <v/>
      </c>
    </row>
    <row r="36" customFormat="false" ht="15" hidden="false" customHeight="false" outlineLevel="0" collapsed="false">
      <c r="A36" s="83" t="str">
        <f aca="false">IF($B36="","",الموظفون!$A36)</f>
        <v/>
      </c>
      <c r="B36" s="74" t="str">
        <f aca="false">IF(الموظفون!$B36="","",الموظفون!$B36)</f>
        <v/>
      </c>
      <c r="C36" s="74" t="str">
        <f aca="false">IF($B36="","",الموظفون!$C36)</f>
        <v/>
      </c>
      <c r="D36" s="74" t="str">
        <f aca="false">IF($B36="","",الموظفون!$F36)</f>
        <v/>
      </c>
      <c r="E36" s="74" t="str">
        <f aca="false">IF($B36="","",الموظفون!$E36)</f>
        <v/>
      </c>
      <c r="F36" s="105" t="str">
        <f aca="false">IF($B36="","",IF(AE36&gt;=DAY($G$3),cfg_DAYS_M,MIN(AE36,cfg_DAYS_M)))</f>
        <v/>
      </c>
      <c r="G36" s="105" t="str">
        <f aca="false">IF($B36="","",SUMIFS('الحركات الشهرية'!$D$6:$D$1005,'الحركات الشهرية'!$B$6:$B$1005,$B36,'الحركات الشهرية'!$A$6:$A$1005,$C$3))</f>
        <v/>
      </c>
      <c r="H36" s="105" t="str">
        <f aca="false">IF($B36="","",SUMIFS('الحركات الشهرية'!$E$6:$E$1005,'الحركات الشهرية'!$B$6:$B$1005,$B36,'الحركات الشهرية'!$A$6:$A$1005,$C$3))</f>
        <v/>
      </c>
      <c r="I36" s="105" t="str">
        <f aca="false">IF($B36="","",MAX(0,F36-G36-H36))</f>
        <v/>
      </c>
      <c r="J36" s="86" t="str">
        <f aca="false">IF($B36="","",الموظفون!$J36*$I36/cfg_DAYS_M)</f>
        <v/>
      </c>
      <c r="K36" s="86" t="str">
        <f aca="false">IF($B36="","",الموظفون!$K36*$I36/cfg_DAYS_M)</f>
        <v/>
      </c>
      <c r="L36" s="86" t="str">
        <f aca="false">IF($B36="","",الموظفون!$L36*$I36/cfg_DAYS_M)</f>
        <v/>
      </c>
      <c r="M36" s="86" t="str">
        <f aca="false">IF($B36="","",الموظفون!$M36*$I36/cfg_DAYS_M)</f>
        <v/>
      </c>
      <c r="N36" s="105" t="str">
        <f aca="false">IF($B36="","",SUMIFS('الحركات الشهرية'!$F$6:$F$1005,'الحركات الشهرية'!$B$6:$B$1005,$B36,'الحركات الشهرية'!$A$6:$A$1005,$C$3))</f>
        <v/>
      </c>
      <c r="O36" s="86" t="str">
        <f aca="false">IF($B36="","",N36*(الموظفون!$N36+الموظفون!$J36*cfg_OT_P)/cfg_DAYS_M/cfg_HRS)</f>
        <v/>
      </c>
      <c r="P36" s="86" t="str">
        <f aca="false">IF($B36="","",SUMIFS('الحركات الشهرية'!$G$6:$G$1005,'الحركات الشهرية'!$B$6:$B$1005,$B36,'الحركات الشهرية'!$A$6:$A$1005,$C$3))</f>
        <v/>
      </c>
      <c r="Q36" s="86" t="str">
        <f aca="false">IF($B36="","",SUMIFS('الحركات الشهرية'!$H$6:$H$1005,'الحركات الشهرية'!$B$6:$B$1005,$B36,'الحركات الشهرية'!$A$6:$A$1005,$C$3))</f>
        <v/>
      </c>
      <c r="R36" s="106" t="str">
        <f aca="false">IF($B36="","",SUM(J36:M36)+SUM(O36:Q36))</f>
        <v/>
      </c>
      <c r="S36" s="86" t="str">
        <f aca="false">IF($B36="","",الموظفون!$Q36*IF(E36="سعودي",cfg_G_SE,cfg_G_NE)*F36/cfg_DAYS_M)</f>
        <v/>
      </c>
      <c r="T36" s="86" t="str">
        <f aca="false">IF($B36="","",SUMIFS('الحركات الشهرية'!$I$6:$I$1005,'الحركات الشهرية'!$B$6:$B$1005,$B36,'الحركات الشهرية'!$A$6:$A$1005,$C$3))</f>
        <v/>
      </c>
      <c r="U36" s="86" t="str">
        <f aca="false">IF($B36="","",SUMIFS('الحركات الشهرية'!$J$6:$J$1005,'الحركات الشهرية'!$B$6:$B$1005,$B36,'الحركات الشهرية'!$A$6:$A$1005,$C$3))</f>
        <v/>
      </c>
      <c r="V36" s="86" t="str">
        <f aca="false">IF($B36="","",SUM(S36:U36))</f>
        <v/>
      </c>
      <c r="W36" s="107" t="str">
        <f aca="false">IF($B36="","",R36-V36)</f>
        <v/>
      </c>
      <c r="X36" s="86" t="str">
        <f aca="false">IF($B36="","",الموظفون!$Q36*IF(E36="سعودي",cfg_G_SR,cfg_G_NR)*F36/cfg_DAYS_M)</f>
        <v/>
      </c>
      <c r="Y36" s="86" t="str">
        <f aca="false">IF($B36="","",الموظفون!$O36*(cfg_EOS_R1*(MIN(AC36,cfg_EOS_TH)-MIN(AD36,cfg_EOS_TH))+cfg_EOS_R2*(MAX(AC36-cfg_EOS_TH,0)-MAX(AD36-cfg_EOS_TH,0))))</f>
        <v/>
      </c>
      <c r="Z36" s="86" t="str">
        <f aca="false">IF($B36="","",IF(الموظفون!$R36&lt;&gt;"",الموظفون!$R36,IF(AC36&gt;=cfg_LV_TH,cfg_LV_D2,cfg_LV_D1))/cfg_DAYS_Y*AE36*الموظفون!$P36/cfg_DAYS_M)</f>
        <v/>
      </c>
      <c r="AA36" s="86" t="str">
        <f aca="false">IF($B36="","",IF(AND(الموظفون!$S36="نعم",N(الموظفون!$U36)&gt;0),الموظفون!$T36/الموظفون!$U36*12/cfg_DAYS_Y*AE36,0))</f>
        <v/>
      </c>
      <c r="AB36" s="108" t="str">
        <f aca="false">IF($B36="","",R36+SUM(X36:AA36))</f>
        <v/>
      </c>
      <c r="AC36" s="109" t="str">
        <f aca="false">IF($B36="","",MAX(0,IF(OR(الموظفون!$X36="",الموظفون!$X36&gt;$G$3),$G$3,الموظفون!$X36)-الموظفون!$H36+1)/cfg_DAYS_Y)</f>
        <v/>
      </c>
      <c r="AD36" s="109" t="str">
        <f aca="false">IF($B36="","",MAX(0,IF(OR(الموظفون!$X36="",الموظفون!$X36&gt;($E$3-1)),($E$3-1),الموظفون!$X36)-الموظفون!$H36+1)/cfg_DAYS_Y)</f>
        <v/>
      </c>
      <c r="AE36" s="51" t="str">
        <f aca="false">IF($B36="","",MAX(0,IF(OR(الموظفون!$X36="",الموظفون!$X36&gt;$G$3),$G$3,الموظفون!$X36)-MAX($E$3,الموظفون!$H36)+1))</f>
        <v/>
      </c>
    </row>
    <row r="37" customFormat="false" ht="15" hidden="false" customHeight="false" outlineLevel="0" collapsed="false">
      <c r="A37" s="89" t="str">
        <f aca="false">IF($B37="","",الموظفون!$A37)</f>
        <v/>
      </c>
      <c r="B37" s="91" t="str">
        <f aca="false">IF(الموظفون!$B37="","",الموظفون!$B37)</f>
        <v/>
      </c>
      <c r="C37" s="91" t="str">
        <f aca="false">IF($B37="","",الموظفون!$C37)</f>
        <v/>
      </c>
      <c r="D37" s="91" t="str">
        <f aca="false">IF($B37="","",الموظفون!$F37)</f>
        <v/>
      </c>
      <c r="E37" s="91" t="str">
        <f aca="false">IF($B37="","",الموظفون!$E37)</f>
        <v/>
      </c>
      <c r="F37" s="110" t="str">
        <f aca="false">IF($B37="","",IF(AE37&gt;=DAY($G$3),cfg_DAYS_M,MIN(AE37,cfg_DAYS_M)))</f>
        <v/>
      </c>
      <c r="G37" s="110" t="str">
        <f aca="false">IF($B37="","",SUMIFS('الحركات الشهرية'!$D$6:$D$1005,'الحركات الشهرية'!$B$6:$B$1005,$B37,'الحركات الشهرية'!$A$6:$A$1005,$C$3))</f>
        <v/>
      </c>
      <c r="H37" s="110" t="str">
        <f aca="false">IF($B37="","",SUMIFS('الحركات الشهرية'!$E$6:$E$1005,'الحركات الشهرية'!$B$6:$B$1005,$B37,'الحركات الشهرية'!$A$6:$A$1005,$C$3))</f>
        <v/>
      </c>
      <c r="I37" s="110" t="str">
        <f aca="false">IF($B37="","",MAX(0,F37-G37-H37))</f>
        <v/>
      </c>
      <c r="J37" s="90" t="str">
        <f aca="false">IF($B37="","",الموظفون!$J37*$I37/cfg_DAYS_M)</f>
        <v/>
      </c>
      <c r="K37" s="90" t="str">
        <f aca="false">IF($B37="","",الموظفون!$K37*$I37/cfg_DAYS_M)</f>
        <v/>
      </c>
      <c r="L37" s="90" t="str">
        <f aca="false">IF($B37="","",الموظفون!$L37*$I37/cfg_DAYS_M)</f>
        <v/>
      </c>
      <c r="M37" s="90" t="str">
        <f aca="false">IF($B37="","",الموظفون!$M37*$I37/cfg_DAYS_M)</f>
        <v/>
      </c>
      <c r="N37" s="110" t="str">
        <f aca="false">IF($B37="","",SUMIFS('الحركات الشهرية'!$F$6:$F$1005,'الحركات الشهرية'!$B$6:$B$1005,$B37,'الحركات الشهرية'!$A$6:$A$1005,$C$3))</f>
        <v/>
      </c>
      <c r="O37" s="90" t="str">
        <f aca="false">IF($B37="","",N37*(الموظفون!$N37+الموظفون!$J37*cfg_OT_P)/cfg_DAYS_M/cfg_HRS)</f>
        <v/>
      </c>
      <c r="P37" s="90" t="str">
        <f aca="false">IF($B37="","",SUMIFS('الحركات الشهرية'!$G$6:$G$1005,'الحركات الشهرية'!$B$6:$B$1005,$B37,'الحركات الشهرية'!$A$6:$A$1005,$C$3))</f>
        <v/>
      </c>
      <c r="Q37" s="90" t="str">
        <f aca="false">IF($B37="","",SUMIFS('الحركات الشهرية'!$H$6:$H$1005,'الحركات الشهرية'!$B$6:$B$1005,$B37,'الحركات الشهرية'!$A$6:$A$1005,$C$3))</f>
        <v/>
      </c>
      <c r="R37" s="111" t="str">
        <f aca="false">IF($B37="","",SUM(J37:M37)+SUM(O37:Q37))</f>
        <v/>
      </c>
      <c r="S37" s="90" t="str">
        <f aca="false">IF($B37="","",الموظفون!$Q37*IF(E37="سعودي",cfg_G_SE,cfg_G_NE)*F37/cfg_DAYS_M)</f>
        <v/>
      </c>
      <c r="T37" s="90" t="str">
        <f aca="false">IF($B37="","",SUMIFS('الحركات الشهرية'!$I$6:$I$1005,'الحركات الشهرية'!$B$6:$B$1005,$B37,'الحركات الشهرية'!$A$6:$A$1005,$C$3))</f>
        <v/>
      </c>
      <c r="U37" s="90" t="str">
        <f aca="false">IF($B37="","",SUMIFS('الحركات الشهرية'!$J$6:$J$1005,'الحركات الشهرية'!$B$6:$B$1005,$B37,'الحركات الشهرية'!$A$6:$A$1005,$C$3))</f>
        <v/>
      </c>
      <c r="V37" s="90" t="str">
        <f aca="false">IF($B37="","",SUM(S37:U37))</f>
        <v/>
      </c>
      <c r="W37" s="112" t="str">
        <f aca="false">IF($B37="","",R37-V37)</f>
        <v/>
      </c>
      <c r="X37" s="90" t="str">
        <f aca="false">IF($B37="","",الموظفون!$Q37*IF(E37="سعودي",cfg_G_SR,cfg_G_NR)*F37/cfg_DAYS_M)</f>
        <v/>
      </c>
      <c r="Y37" s="90" t="str">
        <f aca="false">IF($B37="","",الموظفون!$O37*(cfg_EOS_R1*(MIN(AC37,cfg_EOS_TH)-MIN(AD37,cfg_EOS_TH))+cfg_EOS_R2*(MAX(AC37-cfg_EOS_TH,0)-MAX(AD37-cfg_EOS_TH,0))))</f>
        <v/>
      </c>
      <c r="Z37" s="90" t="str">
        <f aca="false">IF($B37="","",IF(الموظفون!$R37&lt;&gt;"",الموظفون!$R37,IF(AC37&gt;=cfg_LV_TH,cfg_LV_D2,cfg_LV_D1))/cfg_DAYS_Y*AE37*الموظفون!$P37/cfg_DAYS_M)</f>
        <v/>
      </c>
      <c r="AA37" s="90" t="str">
        <f aca="false">IF($B37="","",IF(AND(الموظفون!$S37="نعم",N(الموظفون!$U37)&gt;0),الموظفون!$T37/الموظفون!$U37*12/cfg_DAYS_Y*AE37,0))</f>
        <v/>
      </c>
      <c r="AB37" s="113" t="str">
        <f aca="false">IF($B37="","",R37+SUM(X37:AA37))</f>
        <v/>
      </c>
      <c r="AC37" s="114" t="str">
        <f aca="false">IF($B37="","",MAX(0,IF(OR(الموظفون!$X37="",الموظفون!$X37&gt;$G$3),$G$3,الموظفون!$X37)-الموظفون!$H37+1)/cfg_DAYS_Y)</f>
        <v/>
      </c>
      <c r="AD37" s="114" t="str">
        <f aca="false">IF($B37="","",MAX(0,IF(OR(الموظفون!$X37="",الموظفون!$X37&gt;($E$3-1)),($E$3-1),الموظفون!$X37)-الموظفون!$H37+1)/cfg_DAYS_Y)</f>
        <v/>
      </c>
      <c r="AE37" s="115" t="str">
        <f aca="false">IF($B37="","",MAX(0,IF(OR(الموظفون!$X37="",الموظفون!$X37&gt;$G$3),$G$3,الموظفون!$X37)-MAX($E$3,الموظفون!$H37)+1))</f>
        <v/>
      </c>
    </row>
    <row r="38" customFormat="false" ht="15" hidden="false" customHeight="false" outlineLevel="0" collapsed="false">
      <c r="A38" s="83" t="str">
        <f aca="false">IF($B38="","",الموظفون!$A38)</f>
        <v/>
      </c>
      <c r="B38" s="74" t="str">
        <f aca="false">IF(الموظفون!$B38="","",الموظفون!$B38)</f>
        <v/>
      </c>
      <c r="C38" s="74" t="str">
        <f aca="false">IF($B38="","",الموظفون!$C38)</f>
        <v/>
      </c>
      <c r="D38" s="74" t="str">
        <f aca="false">IF($B38="","",الموظفون!$F38)</f>
        <v/>
      </c>
      <c r="E38" s="74" t="str">
        <f aca="false">IF($B38="","",الموظفون!$E38)</f>
        <v/>
      </c>
      <c r="F38" s="105" t="str">
        <f aca="false">IF($B38="","",IF(AE38&gt;=DAY($G$3),cfg_DAYS_M,MIN(AE38,cfg_DAYS_M)))</f>
        <v/>
      </c>
      <c r="G38" s="105" t="str">
        <f aca="false">IF($B38="","",SUMIFS('الحركات الشهرية'!$D$6:$D$1005,'الحركات الشهرية'!$B$6:$B$1005,$B38,'الحركات الشهرية'!$A$6:$A$1005,$C$3))</f>
        <v/>
      </c>
      <c r="H38" s="105" t="str">
        <f aca="false">IF($B38="","",SUMIFS('الحركات الشهرية'!$E$6:$E$1005,'الحركات الشهرية'!$B$6:$B$1005,$B38,'الحركات الشهرية'!$A$6:$A$1005,$C$3))</f>
        <v/>
      </c>
      <c r="I38" s="105" t="str">
        <f aca="false">IF($B38="","",MAX(0,F38-G38-H38))</f>
        <v/>
      </c>
      <c r="J38" s="86" t="str">
        <f aca="false">IF($B38="","",الموظفون!$J38*$I38/cfg_DAYS_M)</f>
        <v/>
      </c>
      <c r="K38" s="86" t="str">
        <f aca="false">IF($B38="","",الموظفون!$K38*$I38/cfg_DAYS_M)</f>
        <v/>
      </c>
      <c r="L38" s="86" t="str">
        <f aca="false">IF($B38="","",الموظفون!$L38*$I38/cfg_DAYS_M)</f>
        <v/>
      </c>
      <c r="M38" s="86" t="str">
        <f aca="false">IF($B38="","",الموظفون!$M38*$I38/cfg_DAYS_M)</f>
        <v/>
      </c>
      <c r="N38" s="105" t="str">
        <f aca="false">IF($B38="","",SUMIFS('الحركات الشهرية'!$F$6:$F$1005,'الحركات الشهرية'!$B$6:$B$1005,$B38,'الحركات الشهرية'!$A$6:$A$1005,$C$3))</f>
        <v/>
      </c>
      <c r="O38" s="86" t="str">
        <f aca="false">IF($B38="","",N38*(الموظفون!$N38+الموظفون!$J38*cfg_OT_P)/cfg_DAYS_M/cfg_HRS)</f>
        <v/>
      </c>
      <c r="P38" s="86" t="str">
        <f aca="false">IF($B38="","",SUMIFS('الحركات الشهرية'!$G$6:$G$1005,'الحركات الشهرية'!$B$6:$B$1005,$B38,'الحركات الشهرية'!$A$6:$A$1005,$C$3))</f>
        <v/>
      </c>
      <c r="Q38" s="86" t="str">
        <f aca="false">IF($B38="","",SUMIFS('الحركات الشهرية'!$H$6:$H$1005,'الحركات الشهرية'!$B$6:$B$1005,$B38,'الحركات الشهرية'!$A$6:$A$1005,$C$3))</f>
        <v/>
      </c>
      <c r="R38" s="106" t="str">
        <f aca="false">IF($B38="","",SUM(J38:M38)+SUM(O38:Q38))</f>
        <v/>
      </c>
      <c r="S38" s="86" t="str">
        <f aca="false">IF($B38="","",الموظفون!$Q38*IF(E38="سعودي",cfg_G_SE,cfg_G_NE)*F38/cfg_DAYS_M)</f>
        <v/>
      </c>
      <c r="T38" s="86" t="str">
        <f aca="false">IF($B38="","",SUMIFS('الحركات الشهرية'!$I$6:$I$1005,'الحركات الشهرية'!$B$6:$B$1005,$B38,'الحركات الشهرية'!$A$6:$A$1005,$C$3))</f>
        <v/>
      </c>
      <c r="U38" s="86" t="str">
        <f aca="false">IF($B38="","",SUMIFS('الحركات الشهرية'!$J$6:$J$1005,'الحركات الشهرية'!$B$6:$B$1005,$B38,'الحركات الشهرية'!$A$6:$A$1005,$C$3))</f>
        <v/>
      </c>
      <c r="V38" s="86" t="str">
        <f aca="false">IF($B38="","",SUM(S38:U38))</f>
        <v/>
      </c>
      <c r="W38" s="107" t="str">
        <f aca="false">IF($B38="","",R38-V38)</f>
        <v/>
      </c>
      <c r="X38" s="86" t="str">
        <f aca="false">IF($B38="","",الموظفون!$Q38*IF(E38="سعودي",cfg_G_SR,cfg_G_NR)*F38/cfg_DAYS_M)</f>
        <v/>
      </c>
      <c r="Y38" s="86" t="str">
        <f aca="false">IF($B38="","",الموظفون!$O38*(cfg_EOS_R1*(MIN(AC38,cfg_EOS_TH)-MIN(AD38,cfg_EOS_TH))+cfg_EOS_R2*(MAX(AC38-cfg_EOS_TH,0)-MAX(AD38-cfg_EOS_TH,0))))</f>
        <v/>
      </c>
      <c r="Z38" s="86" t="str">
        <f aca="false">IF($B38="","",IF(الموظفون!$R38&lt;&gt;"",الموظفون!$R38,IF(AC38&gt;=cfg_LV_TH,cfg_LV_D2,cfg_LV_D1))/cfg_DAYS_Y*AE38*الموظفون!$P38/cfg_DAYS_M)</f>
        <v/>
      </c>
      <c r="AA38" s="86" t="str">
        <f aca="false">IF($B38="","",IF(AND(الموظفون!$S38="نعم",N(الموظفون!$U38)&gt;0),الموظفون!$T38/الموظفون!$U38*12/cfg_DAYS_Y*AE38,0))</f>
        <v/>
      </c>
      <c r="AB38" s="108" t="str">
        <f aca="false">IF($B38="","",R38+SUM(X38:AA38))</f>
        <v/>
      </c>
      <c r="AC38" s="109" t="str">
        <f aca="false">IF($B38="","",MAX(0,IF(OR(الموظفون!$X38="",الموظفون!$X38&gt;$G$3),$G$3,الموظفون!$X38)-الموظفون!$H38+1)/cfg_DAYS_Y)</f>
        <v/>
      </c>
      <c r="AD38" s="109" t="str">
        <f aca="false">IF($B38="","",MAX(0,IF(OR(الموظفون!$X38="",الموظفون!$X38&gt;($E$3-1)),($E$3-1),الموظفون!$X38)-الموظفون!$H38+1)/cfg_DAYS_Y)</f>
        <v/>
      </c>
      <c r="AE38" s="51" t="str">
        <f aca="false">IF($B38="","",MAX(0,IF(OR(الموظفون!$X38="",الموظفون!$X38&gt;$G$3),$G$3,الموظفون!$X38)-MAX($E$3,الموظفون!$H38)+1))</f>
        <v/>
      </c>
    </row>
    <row r="39" customFormat="false" ht="15" hidden="false" customHeight="false" outlineLevel="0" collapsed="false">
      <c r="A39" s="89" t="str">
        <f aca="false">IF($B39="","",الموظفون!$A39)</f>
        <v/>
      </c>
      <c r="B39" s="91" t="str">
        <f aca="false">IF(الموظفون!$B39="","",الموظفون!$B39)</f>
        <v/>
      </c>
      <c r="C39" s="91" t="str">
        <f aca="false">IF($B39="","",الموظفون!$C39)</f>
        <v/>
      </c>
      <c r="D39" s="91" t="str">
        <f aca="false">IF($B39="","",الموظفون!$F39)</f>
        <v/>
      </c>
      <c r="E39" s="91" t="str">
        <f aca="false">IF($B39="","",الموظفون!$E39)</f>
        <v/>
      </c>
      <c r="F39" s="110" t="str">
        <f aca="false">IF($B39="","",IF(AE39&gt;=DAY($G$3),cfg_DAYS_M,MIN(AE39,cfg_DAYS_M)))</f>
        <v/>
      </c>
      <c r="G39" s="110" t="str">
        <f aca="false">IF($B39="","",SUMIFS('الحركات الشهرية'!$D$6:$D$1005,'الحركات الشهرية'!$B$6:$B$1005,$B39,'الحركات الشهرية'!$A$6:$A$1005,$C$3))</f>
        <v/>
      </c>
      <c r="H39" s="110" t="str">
        <f aca="false">IF($B39="","",SUMIFS('الحركات الشهرية'!$E$6:$E$1005,'الحركات الشهرية'!$B$6:$B$1005,$B39,'الحركات الشهرية'!$A$6:$A$1005,$C$3))</f>
        <v/>
      </c>
      <c r="I39" s="110" t="str">
        <f aca="false">IF($B39="","",MAX(0,F39-G39-H39))</f>
        <v/>
      </c>
      <c r="J39" s="90" t="str">
        <f aca="false">IF($B39="","",الموظفون!$J39*$I39/cfg_DAYS_M)</f>
        <v/>
      </c>
      <c r="K39" s="90" t="str">
        <f aca="false">IF($B39="","",الموظفون!$K39*$I39/cfg_DAYS_M)</f>
        <v/>
      </c>
      <c r="L39" s="90" t="str">
        <f aca="false">IF($B39="","",الموظفون!$L39*$I39/cfg_DAYS_M)</f>
        <v/>
      </c>
      <c r="M39" s="90" t="str">
        <f aca="false">IF($B39="","",الموظفون!$M39*$I39/cfg_DAYS_M)</f>
        <v/>
      </c>
      <c r="N39" s="110" t="str">
        <f aca="false">IF($B39="","",SUMIFS('الحركات الشهرية'!$F$6:$F$1005,'الحركات الشهرية'!$B$6:$B$1005,$B39,'الحركات الشهرية'!$A$6:$A$1005,$C$3))</f>
        <v/>
      </c>
      <c r="O39" s="90" t="str">
        <f aca="false">IF($B39="","",N39*(الموظفون!$N39+الموظفون!$J39*cfg_OT_P)/cfg_DAYS_M/cfg_HRS)</f>
        <v/>
      </c>
      <c r="P39" s="90" t="str">
        <f aca="false">IF($B39="","",SUMIFS('الحركات الشهرية'!$G$6:$G$1005,'الحركات الشهرية'!$B$6:$B$1005,$B39,'الحركات الشهرية'!$A$6:$A$1005,$C$3))</f>
        <v/>
      </c>
      <c r="Q39" s="90" t="str">
        <f aca="false">IF($B39="","",SUMIFS('الحركات الشهرية'!$H$6:$H$1005,'الحركات الشهرية'!$B$6:$B$1005,$B39,'الحركات الشهرية'!$A$6:$A$1005,$C$3))</f>
        <v/>
      </c>
      <c r="R39" s="111" t="str">
        <f aca="false">IF($B39="","",SUM(J39:M39)+SUM(O39:Q39))</f>
        <v/>
      </c>
      <c r="S39" s="90" t="str">
        <f aca="false">IF($B39="","",الموظفون!$Q39*IF(E39="سعودي",cfg_G_SE,cfg_G_NE)*F39/cfg_DAYS_M)</f>
        <v/>
      </c>
      <c r="T39" s="90" t="str">
        <f aca="false">IF($B39="","",SUMIFS('الحركات الشهرية'!$I$6:$I$1005,'الحركات الشهرية'!$B$6:$B$1005,$B39,'الحركات الشهرية'!$A$6:$A$1005,$C$3))</f>
        <v/>
      </c>
      <c r="U39" s="90" t="str">
        <f aca="false">IF($B39="","",SUMIFS('الحركات الشهرية'!$J$6:$J$1005,'الحركات الشهرية'!$B$6:$B$1005,$B39,'الحركات الشهرية'!$A$6:$A$1005,$C$3))</f>
        <v/>
      </c>
      <c r="V39" s="90" t="str">
        <f aca="false">IF($B39="","",SUM(S39:U39))</f>
        <v/>
      </c>
      <c r="W39" s="112" t="str">
        <f aca="false">IF($B39="","",R39-V39)</f>
        <v/>
      </c>
      <c r="X39" s="90" t="str">
        <f aca="false">IF($B39="","",الموظفون!$Q39*IF(E39="سعودي",cfg_G_SR,cfg_G_NR)*F39/cfg_DAYS_M)</f>
        <v/>
      </c>
      <c r="Y39" s="90" t="str">
        <f aca="false">IF($B39="","",الموظفون!$O39*(cfg_EOS_R1*(MIN(AC39,cfg_EOS_TH)-MIN(AD39,cfg_EOS_TH))+cfg_EOS_R2*(MAX(AC39-cfg_EOS_TH,0)-MAX(AD39-cfg_EOS_TH,0))))</f>
        <v/>
      </c>
      <c r="Z39" s="90" t="str">
        <f aca="false">IF($B39="","",IF(الموظفون!$R39&lt;&gt;"",الموظفون!$R39,IF(AC39&gt;=cfg_LV_TH,cfg_LV_D2,cfg_LV_D1))/cfg_DAYS_Y*AE39*الموظفون!$P39/cfg_DAYS_M)</f>
        <v/>
      </c>
      <c r="AA39" s="90" t="str">
        <f aca="false">IF($B39="","",IF(AND(الموظفون!$S39="نعم",N(الموظفون!$U39)&gt;0),الموظفون!$T39/الموظفون!$U39*12/cfg_DAYS_Y*AE39,0))</f>
        <v/>
      </c>
      <c r="AB39" s="113" t="str">
        <f aca="false">IF($B39="","",R39+SUM(X39:AA39))</f>
        <v/>
      </c>
      <c r="AC39" s="114" t="str">
        <f aca="false">IF($B39="","",MAX(0,IF(OR(الموظفون!$X39="",الموظفون!$X39&gt;$G$3),$G$3,الموظفون!$X39)-الموظفون!$H39+1)/cfg_DAYS_Y)</f>
        <v/>
      </c>
      <c r="AD39" s="114" t="str">
        <f aca="false">IF($B39="","",MAX(0,IF(OR(الموظفون!$X39="",الموظفون!$X39&gt;($E$3-1)),($E$3-1),الموظفون!$X39)-الموظفون!$H39+1)/cfg_DAYS_Y)</f>
        <v/>
      </c>
      <c r="AE39" s="115" t="str">
        <f aca="false">IF($B39="","",MAX(0,IF(OR(الموظفون!$X39="",الموظفون!$X39&gt;$G$3),$G$3,الموظفون!$X39)-MAX($E$3,الموظفون!$H39)+1))</f>
        <v/>
      </c>
    </row>
    <row r="40" customFormat="false" ht="15" hidden="false" customHeight="false" outlineLevel="0" collapsed="false">
      <c r="A40" s="83" t="str">
        <f aca="false">IF($B40="","",الموظفون!$A40)</f>
        <v/>
      </c>
      <c r="B40" s="74" t="str">
        <f aca="false">IF(الموظفون!$B40="","",الموظفون!$B40)</f>
        <v/>
      </c>
      <c r="C40" s="74" t="str">
        <f aca="false">IF($B40="","",الموظفون!$C40)</f>
        <v/>
      </c>
      <c r="D40" s="74" t="str">
        <f aca="false">IF($B40="","",الموظفون!$F40)</f>
        <v/>
      </c>
      <c r="E40" s="74" t="str">
        <f aca="false">IF($B40="","",الموظفون!$E40)</f>
        <v/>
      </c>
      <c r="F40" s="105" t="str">
        <f aca="false">IF($B40="","",IF(AE40&gt;=DAY($G$3),cfg_DAYS_M,MIN(AE40,cfg_DAYS_M)))</f>
        <v/>
      </c>
      <c r="G40" s="105" t="str">
        <f aca="false">IF($B40="","",SUMIFS('الحركات الشهرية'!$D$6:$D$1005,'الحركات الشهرية'!$B$6:$B$1005,$B40,'الحركات الشهرية'!$A$6:$A$1005,$C$3))</f>
        <v/>
      </c>
      <c r="H40" s="105" t="str">
        <f aca="false">IF($B40="","",SUMIFS('الحركات الشهرية'!$E$6:$E$1005,'الحركات الشهرية'!$B$6:$B$1005,$B40,'الحركات الشهرية'!$A$6:$A$1005,$C$3))</f>
        <v/>
      </c>
      <c r="I40" s="105" t="str">
        <f aca="false">IF($B40="","",MAX(0,F40-G40-H40))</f>
        <v/>
      </c>
      <c r="J40" s="86" t="str">
        <f aca="false">IF($B40="","",الموظفون!$J40*$I40/cfg_DAYS_M)</f>
        <v/>
      </c>
      <c r="K40" s="86" t="str">
        <f aca="false">IF($B40="","",الموظفون!$K40*$I40/cfg_DAYS_M)</f>
        <v/>
      </c>
      <c r="L40" s="86" t="str">
        <f aca="false">IF($B40="","",الموظفون!$L40*$I40/cfg_DAYS_M)</f>
        <v/>
      </c>
      <c r="M40" s="86" t="str">
        <f aca="false">IF($B40="","",الموظفون!$M40*$I40/cfg_DAYS_M)</f>
        <v/>
      </c>
      <c r="N40" s="105" t="str">
        <f aca="false">IF($B40="","",SUMIFS('الحركات الشهرية'!$F$6:$F$1005,'الحركات الشهرية'!$B$6:$B$1005,$B40,'الحركات الشهرية'!$A$6:$A$1005,$C$3))</f>
        <v/>
      </c>
      <c r="O40" s="86" t="str">
        <f aca="false">IF($B40="","",N40*(الموظفون!$N40+الموظفون!$J40*cfg_OT_P)/cfg_DAYS_M/cfg_HRS)</f>
        <v/>
      </c>
      <c r="P40" s="86" t="str">
        <f aca="false">IF($B40="","",SUMIFS('الحركات الشهرية'!$G$6:$G$1005,'الحركات الشهرية'!$B$6:$B$1005,$B40,'الحركات الشهرية'!$A$6:$A$1005,$C$3))</f>
        <v/>
      </c>
      <c r="Q40" s="86" t="str">
        <f aca="false">IF($B40="","",SUMIFS('الحركات الشهرية'!$H$6:$H$1005,'الحركات الشهرية'!$B$6:$B$1005,$B40,'الحركات الشهرية'!$A$6:$A$1005,$C$3))</f>
        <v/>
      </c>
      <c r="R40" s="106" t="str">
        <f aca="false">IF($B40="","",SUM(J40:M40)+SUM(O40:Q40))</f>
        <v/>
      </c>
      <c r="S40" s="86" t="str">
        <f aca="false">IF($B40="","",الموظفون!$Q40*IF(E40="سعودي",cfg_G_SE,cfg_G_NE)*F40/cfg_DAYS_M)</f>
        <v/>
      </c>
      <c r="T40" s="86" t="str">
        <f aca="false">IF($B40="","",SUMIFS('الحركات الشهرية'!$I$6:$I$1005,'الحركات الشهرية'!$B$6:$B$1005,$B40,'الحركات الشهرية'!$A$6:$A$1005,$C$3))</f>
        <v/>
      </c>
      <c r="U40" s="86" t="str">
        <f aca="false">IF($B40="","",SUMIFS('الحركات الشهرية'!$J$6:$J$1005,'الحركات الشهرية'!$B$6:$B$1005,$B40,'الحركات الشهرية'!$A$6:$A$1005,$C$3))</f>
        <v/>
      </c>
      <c r="V40" s="86" t="str">
        <f aca="false">IF($B40="","",SUM(S40:U40))</f>
        <v/>
      </c>
      <c r="W40" s="107" t="str">
        <f aca="false">IF($B40="","",R40-V40)</f>
        <v/>
      </c>
      <c r="X40" s="86" t="str">
        <f aca="false">IF($B40="","",الموظفون!$Q40*IF(E40="سعودي",cfg_G_SR,cfg_G_NR)*F40/cfg_DAYS_M)</f>
        <v/>
      </c>
      <c r="Y40" s="86" t="str">
        <f aca="false">IF($B40="","",الموظفون!$O40*(cfg_EOS_R1*(MIN(AC40,cfg_EOS_TH)-MIN(AD40,cfg_EOS_TH))+cfg_EOS_R2*(MAX(AC40-cfg_EOS_TH,0)-MAX(AD40-cfg_EOS_TH,0))))</f>
        <v/>
      </c>
      <c r="Z40" s="86" t="str">
        <f aca="false">IF($B40="","",IF(الموظفون!$R40&lt;&gt;"",الموظفون!$R40,IF(AC40&gt;=cfg_LV_TH,cfg_LV_D2,cfg_LV_D1))/cfg_DAYS_Y*AE40*الموظفون!$P40/cfg_DAYS_M)</f>
        <v/>
      </c>
      <c r="AA40" s="86" t="str">
        <f aca="false">IF($B40="","",IF(AND(الموظفون!$S40="نعم",N(الموظفون!$U40)&gt;0),الموظفون!$T40/الموظفون!$U40*12/cfg_DAYS_Y*AE40,0))</f>
        <v/>
      </c>
      <c r="AB40" s="108" t="str">
        <f aca="false">IF($B40="","",R40+SUM(X40:AA40))</f>
        <v/>
      </c>
      <c r="AC40" s="109" t="str">
        <f aca="false">IF($B40="","",MAX(0,IF(OR(الموظفون!$X40="",الموظفون!$X40&gt;$G$3),$G$3,الموظفون!$X40)-الموظفون!$H40+1)/cfg_DAYS_Y)</f>
        <v/>
      </c>
      <c r="AD40" s="109" t="str">
        <f aca="false">IF($B40="","",MAX(0,IF(OR(الموظفون!$X40="",الموظفون!$X40&gt;($E$3-1)),($E$3-1),الموظفون!$X40)-الموظفون!$H40+1)/cfg_DAYS_Y)</f>
        <v/>
      </c>
      <c r="AE40" s="51" t="str">
        <f aca="false">IF($B40="","",MAX(0,IF(OR(الموظفون!$X40="",الموظفون!$X40&gt;$G$3),$G$3,الموظفون!$X40)-MAX($E$3,الموظفون!$H40)+1))</f>
        <v/>
      </c>
    </row>
    <row r="41" customFormat="false" ht="15" hidden="false" customHeight="false" outlineLevel="0" collapsed="false">
      <c r="A41" s="89" t="str">
        <f aca="false">IF($B41="","",الموظفون!$A41)</f>
        <v/>
      </c>
      <c r="B41" s="91" t="str">
        <f aca="false">IF(الموظفون!$B41="","",الموظفون!$B41)</f>
        <v/>
      </c>
      <c r="C41" s="91" t="str">
        <f aca="false">IF($B41="","",الموظفون!$C41)</f>
        <v/>
      </c>
      <c r="D41" s="91" t="str">
        <f aca="false">IF($B41="","",الموظفون!$F41)</f>
        <v/>
      </c>
      <c r="E41" s="91" t="str">
        <f aca="false">IF($B41="","",الموظفون!$E41)</f>
        <v/>
      </c>
      <c r="F41" s="110" t="str">
        <f aca="false">IF($B41="","",IF(AE41&gt;=DAY($G$3),cfg_DAYS_M,MIN(AE41,cfg_DAYS_M)))</f>
        <v/>
      </c>
      <c r="G41" s="110" t="str">
        <f aca="false">IF($B41="","",SUMIFS('الحركات الشهرية'!$D$6:$D$1005,'الحركات الشهرية'!$B$6:$B$1005,$B41,'الحركات الشهرية'!$A$6:$A$1005,$C$3))</f>
        <v/>
      </c>
      <c r="H41" s="110" t="str">
        <f aca="false">IF($B41="","",SUMIFS('الحركات الشهرية'!$E$6:$E$1005,'الحركات الشهرية'!$B$6:$B$1005,$B41,'الحركات الشهرية'!$A$6:$A$1005,$C$3))</f>
        <v/>
      </c>
      <c r="I41" s="110" t="str">
        <f aca="false">IF($B41="","",MAX(0,F41-G41-H41))</f>
        <v/>
      </c>
      <c r="J41" s="90" t="str">
        <f aca="false">IF($B41="","",الموظفون!$J41*$I41/cfg_DAYS_M)</f>
        <v/>
      </c>
      <c r="K41" s="90" t="str">
        <f aca="false">IF($B41="","",الموظفون!$K41*$I41/cfg_DAYS_M)</f>
        <v/>
      </c>
      <c r="L41" s="90" t="str">
        <f aca="false">IF($B41="","",الموظفون!$L41*$I41/cfg_DAYS_M)</f>
        <v/>
      </c>
      <c r="M41" s="90" t="str">
        <f aca="false">IF($B41="","",الموظفون!$M41*$I41/cfg_DAYS_M)</f>
        <v/>
      </c>
      <c r="N41" s="110" t="str">
        <f aca="false">IF($B41="","",SUMIFS('الحركات الشهرية'!$F$6:$F$1005,'الحركات الشهرية'!$B$6:$B$1005,$B41,'الحركات الشهرية'!$A$6:$A$1005,$C$3))</f>
        <v/>
      </c>
      <c r="O41" s="90" t="str">
        <f aca="false">IF($B41="","",N41*(الموظفون!$N41+الموظفون!$J41*cfg_OT_P)/cfg_DAYS_M/cfg_HRS)</f>
        <v/>
      </c>
      <c r="P41" s="90" t="str">
        <f aca="false">IF($B41="","",SUMIFS('الحركات الشهرية'!$G$6:$G$1005,'الحركات الشهرية'!$B$6:$B$1005,$B41,'الحركات الشهرية'!$A$6:$A$1005,$C$3))</f>
        <v/>
      </c>
      <c r="Q41" s="90" t="str">
        <f aca="false">IF($B41="","",SUMIFS('الحركات الشهرية'!$H$6:$H$1005,'الحركات الشهرية'!$B$6:$B$1005,$B41,'الحركات الشهرية'!$A$6:$A$1005,$C$3))</f>
        <v/>
      </c>
      <c r="R41" s="111" t="str">
        <f aca="false">IF($B41="","",SUM(J41:M41)+SUM(O41:Q41))</f>
        <v/>
      </c>
      <c r="S41" s="90" t="str">
        <f aca="false">IF($B41="","",الموظفون!$Q41*IF(E41="سعودي",cfg_G_SE,cfg_G_NE)*F41/cfg_DAYS_M)</f>
        <v/>
      </c>
      <c r="T41" s="90" t="str">
        <f aca="false">IF($B41="","",SUMIFS('الحركات الشهرية'!$I$6:$I$1005,'الحركات الشهرية'!$B$6:$B$1005,$B41,'الحركات الشهرية'!$A$6:$A$1005,$C$3))</f>
        <v/>
      </c>
      <c r="U41" s="90" t="str">
        <f aca="false">IF($B41="","",SUMIFS('الحركات الشهرية'!$J$6:$J$1005,'الحركات الشهرية'!$B$6:$B$1005,$B41,'الحركات الشهرية'!$A$6:$A$1005,$C$3))</f>
        <v/>
      </c>
      <c r="V41" s="90" t="str">
        <f aca="false">IF($B41="","",SUM(S41:U41))</f>
        <v/>
      </c>
      <c r="W41" s="112" t="str">
        <f aca="false">IF($B41="","",R41-V41)</f>
        <v/>
      </c>
      <c r="X41" s="90" t="str">
        <f aca="false">IF($B41="","",الموظفون!$Q41*IF(E41="سعودي",cfg_G_SR,cfg_G_NR)*F41/cfg_DAYS_M)</f>
        <v/>
      </c>
      <c r="Y41" s="90" t="str">
        <f aca="false">IF($B41="","",الموظفون!$O41*(cfg_EOS_R1*(MIN(AC41,cfg_EOS_TH)-MIN(AD41,cfg_EOS_TH))+cfg_EOS_R2*(MAX(AC41-cfg_EOS_TH,0)-MAX(AD41-cfg_EOS_TH,0))))</f>
        <v/>
      </c>
      <c r="Z41" s="90" t="str">
        <f aca="false">IF($B41="","",IF(الموظفون!$R41&lt;&gt;"",الموظفون!$R41,IF(AC41&gt;=cfg_LV_TH,cfg_LV_D2,cfg_LV_D1))/cfg_DAYS_Y*AE41*الموظفون!$P41/cfg_DAYS_M)</f>
        <v/>
      </c>
      <c r="AA41" s="90" t="str">
        <f aca="false">IF($B41="","",IF(AND(الموظفون!$S41="نعم",N(الموظفون!$U41)&gt;0),الموظفون!$T41/الموظفون!$U41*12/cfg_DAYS_Y*AE41,0))</f>
        <v/>
      </c>
      <c r="AB41" s="113" t="str">
        <f aca="false">IF($B41="","",R41+SUM(X41:AA41))</f>
        <v/>
      </c>
      <c r="AC41" s="114" t="str">
        <f aca="false">IF($B41="","",MAX(0,IF(OR(الموظفون!$X41="",الموظفون!$X41&gt;$G$3),$G$3,الموظفون!$X41)-الموظفون!$H41+1)/cfg_DAYS_Y)</f>
        <v/>
      </c>
      <c r="AD41" s="114" t="str">
        <f aca="false">IF($B41="","",MAX(0,IF(OR(الموظفون!$X41="",الموظفون!$X41&gt;($E$3-1)),($E$3-1),الموظفون!$X41)-الموظفون!$H41+1)/cfg_DAYS_Y)</f>
        <v/>
      </c>
      <c r="AE41" s="115" t="str">
        <f aca="false">IF($B41="","",MAX(0,IF(OR(الموظفون!$X41="",الموظفون!$X41&gt;$G$3),$G$3,الموظفون!$X41)-MAX($E$3,الموظفون!$H41)+1))</f>
        <v/>
      </c>
    </row>
    <row r="42" customFormat="false" ht="15" hidden="false" customHeight="false" outlineLevel="0" collapsed="false">
      <c r="A42" s="83" t="str">
        <f aca="false">IF($B42="","",الموظفون!$A42)</f>
        <v/>
      </c>
      <c r="B42" s="74" t="str">
        <f aca="false">IF(الموظفون!$B42="","",الموظفون!$B42)</f>
        <v/>
      </c>
      <c r="C42" s="74" t="str">
        <f aca="false">IF($B42="","",الموظفون!$C42)</f>
        <v/>
      </c>
      <c r="D42" s="74" t="str">
        <f aca="false">IF($B42="","",الموظفون!$F42)</f>
        <v/>
      </c>
      <c r="E42" s="74" t="str">
        <f aca="false">IF($B42="","",الموظفون!$E42)</f>
        <v/>
      </c>
      <c r="F42" s="105" t="str">
        <f aca="false">IF($B42="","",IF(AE42&gt;=DAY($G$3),cfg_DAYS_M,MIN(AE42,cfg_DAYS_M)))</f>
        <v/>
      </c>
      <c r="G42" s="105" t="str">
        <f aca="false">IF($B42="","",SUMIFS('الحركات الشهرية'!$D$6:$D$1005,'الحركات الشهرية'!$B$6:$B$1005,$B42,'الحركات الشهرية'!$A$6:$A$1005,$C$3))</f>
        <v/>
      </c>
      <c r="H42" s="105" t="str">
        <f aca="false">IF($B42="","",SUMIFS('الحركات الشهرية'!$E$6:$E$1005,'الحركات الشهرية'!$B$6:$B$1005,$B42,'الحركات الشهرية'!$A$6:$A$1005,$C$3))</f>
        <v/>
      </c>
      <c r="I42" s="105" t="str">
        <f aca="false">IF($B42="","",MAX(0,F42-G42-H42))</f>
        <v/>
      </c>
      <c r="J42" s="86" t="str">
        <f aca="false">IF($B42="","",الموظفون!$J42*$I42/cfg_DAYS_M)</f>
        <v/>
      </c>
      <c r="K42" s="86" t="str">
        <f aca="false">IF($B42="","",الموظفون!$K42*$I42/cfg_DAYS_M)</f>
        <v/>
      </c>
      <c r="L42" s="86" t="str">
        <f aca="false">IF($B42="","",الموظفون!$L42*$I42/cfg_DAYS_M)</f>
        <v/>
      </c>
      <c r="M42" s="86" t="str">
        <f aca="false">IF($B42="","",الموظفون!$M42*$I42/cfg_DAYS_M)</f>
        <v/>
      </c>
      <c r="N42" s="105" t="str">
        <f aca="false">IF($B42="","",SUMIFS('الحركات الشهرية'!$F$6:$F$1005,'الحركات الشهرية'!$B$6:$B$1005,$B42,'الحركات الشهرية'!$A$6:$A$1005,$C$3))</f>
        <v/>
      </c>
      <c r="O42" s="86" t="str">
        <f aca="false">IF($B42="","",N42*(الموظفون!$N42+الموظفون!$J42*cfg_OT_P)/cfg_DAYS_M/cfg_HRS)</f>
        <v/>
      </c>
      <c r="P42" s="86" t="str">
        <f aca="false">IF($B42="","",SUMIFS('الحركات الشهرية'!$G$6:$G$1005,'الحركات الشهرية'!$B$6:$B$1005,$B42,'الحركات الشهرية'!$A$6:$A$1005,$C$3))</f>
        <v/>
      </c>
      <c r="Q42" s="86" t="str">
        <f aca="false">IF($B42="","",SUMIFS('الحركات الشهرية'!$H$6:$H$1005,'الحركات الشهرية'!$B$6:$B$1005,$B42,'الحركات الشهرية'!$A$6:$A$1005,$C$3))</f>
        <v/>
      </c>
      <c r="R42" s="106" t="str">
        <f aca="false">IF($B42="","",SUM(J42:M42)+SUM(O42:Q42))</f>
        <v/>
      </c>
      <c r="S42" s="86" t="str">
        <f aca="false">IF($B42="","",الموظفون!$Q42*IF(E42="سعودي",cfg_G_SE,cfg_G_NE)*F42/cfg_DAYS_M)</f>
        <v/>
      </c>
      <c r="T42" s="86" t="str">
        <f aca="false">IF($B42="","",SUMIFS('الحركات الشهرية'!$I$6:$I$1005,'الحركات الشهرية'!$B$6:$B$1005,$B42,'الحركات الشهرية'!$A$6:$A$1005,$C$3))</f>
        <v/>
      </c>
      <c r="U42" s="86" t="str">
        <f aca="false">IF($B42="","",SUMIFS('الحركات الشهرية'!$J$6:$J$1005,'الحركات الشهرية'!$B$6:$B$1005,$B42,'الحركات الشهرية'!$A$6:$A$1005,$C$3))</f>
        <v/>
      </c>
      <c r="V42" s="86" t="str">
        <f aca="false">IF($B42="","",SUM(S42:U42))</f>
        <v/>
      </c>
      <c r="W42" s="107" t="str">
        <f aca="false">IF($B42="","",R42-V42)</f>
        <v/>
      </c>
      <c r="X42" s="86" t="str">
        <f aca="false">IF($B42="","",الموظفون!$Q42*IF(E42="سعودي",cfg_G_SR,cfg_G_NR)*F42/cfg_DAYS_M)</f>
        <v/>
      </c>
      <c r="Y42" s="86" t="str">
        <f aca="false">IF($B42="","",الموظفون!$O42*(cfg_EOS_R1*(MIN(AC42,cfg_EOS_TH)-MIN(AD42,cfg_EOS_TH))+cfg_EOS_R2*(MAX(AC42-cfg_EOS_TH,0)-MAX(AD42-cfg_EOS_TH,0))))</f>
        <v/>
      </c>
      <c r="Z42" s="86" t="str">
        <f aca="false">IF($B42="","",IF(الموظفون!$R42&lt;&gt;"",الموظفون!$R42,IF(AC42&gt;=cfg_LV_TH,cfg_LV_D2,cfg_LV_D1))/cfg_DAYS_Y*AE42*الموظفون!$P42/cfg_DAYS_M)</f>
        <v/>
      </c>
      <c r="AA42" s="86" t="str">
        <f aca="false">IF($B42="","",IF(AND(الموظفون!$S42="نعم",N(الموظفون!$U42)&gt;0),الموظفون!$T42/الموظفون!$U42*12/cfg_DAYS_Y*AE42,0))</f>
        <v/>
      </c>
      <c r="AB42" s="108" t="str">
        <f aca="false">IF($B42="","",R42+SUM(X42:AA42))</f>
        <v/>
      </c>
      <c r="AC42" s="109" t="str">
        <f aca="false">IF($B42="","",MAX(0,IF(OR(الموظفون!$X42="",الموظفون!$X42&gt;$G$3),$G$3,الموظفون!$X42)-الموظفون!$H42+1)/cfg_DAYS_Y)</f>
        <v/>
      </c>
      <c r="AD42" s="109" t="str">
        <f aca="false">IF($B42="","",MAX(0,IF(OR(الموظفون!$X42="",الموظفون!$X42&gt;($E$3-1)),($E$3-1),الموظفون!$X42)-الموظفون!$H42+1)/cfg_DAYS_Y)</f>
        <v/>
      </c>
      <c r="AE42" s="51" t="str">
        <f aca="false">IF($B42="","",MAX(0,IF(OR(الموظفون!$X42="",الموظفون!$X42&gt;$G$3),$G$3,الموظفون!$X42)-MAX($E$3,الموظفون!$H42)+1))</f>
        <v/>
      </c>
    </row>
    <row r="43" customFormat="false" ht="15" hidden="false" customHeight="false" outlineLevel="0" collapsed="false">
      <c r="A43" s="89" t="str">
        <f aca="false">IF($B43="","",الموظفون!$A43)</f>
        <v/>
      </c>
      <c r="B43" s="91" t="str">
        <f aca="false">IF(الموظفون!$B43="","",الموظفون!$B43)</f>
        <v/>
      </c>
      <c r="C43" s="91" t="str">
        <f aca="false">IF($B43="","",الموظفون!$C43)</f>
        <v/>
      </c>
      <c r="D43" s="91" t="str">
        <f aca="false">IF($B43="","",الموظفون!$F43)</f>
        <v/>
      </c>
      <c r="E43" s="91" t="str">
        <f aca="false">IF($B43="","",الموظفون!$E43)</f>
        <v/>
      </c>
      <c r="F43" s="110" t="str">
        <f aca="false">IF($B43="","",IF(AE43&gt;=DAY($G$3),cfg_DAYS_M,MIN(AE43,cfg_DAYS_M)))</f>
        <v/>
      </c>
      <c r="G43" s="110" t="str">
        <f aca="false">IF($B43="","",SUMIFS('الحركات الشهرية'!$D$6:$D$1005,'الحركات الشهرية'!$B$6:$B$1005,$B43,'الحركات الشهرية'!$A$6:$A$1005,$C$3))</f>
        <v/>
      </c>
      <c r="H43" s="110" t="str">
        <f aca="false">IF($B43="","",SUMIFS('الحركات الشهرية'!$E$6:$E$1005,'الحركات الشهرية'!$B$6:$B$1005,$B43,'الحركات الشهرية'!$A$6:$A$1005,$C$3))</f>
        <v/>
      </c>
      <c r="I43" s="110" t="str">
        <f aca="false">IF($B43="","",MAX(0,F43-G43-H43))</f>
        <v/>
      </c>
      <c r="J43" s="90" t="str">
        <f aca="false">IF($B43="","",الموظفون!$J43*$I43/cfg_DAYS_M)</f>
        <v/>
      </c>
      <c r="K43" s="90" t="str">
        <f aca="false">IF($B43="","",الموظفون!$K43*$I43/cfg_DAYS_M)</f>
        <v/>
      </c>
      <c r="L43" s="90" t="str">
        <f aca="false">IF($B43="","",الموظفون!$L43*$I43/cfg_DAYS_M)</f>
        <v/>
      </c>
      <c r="M43" s="90" t="str">
        <f aca="false">IF($B43="","",الموظفون!$M43*$I43/cfg_DAYS_M)</f>
        <v/>
      </c>
      <c r="N43" s="110" t="str">
        <f aca="false">IF($B43="","",SUMIFS('الحركات الشهرية'!$F$6:$F$1005,'الحركات الشهرية'!$B$6:$B$1005,$B43,'الحركات الشهرية'!$A$6:$A$1005,$C$3))</f>
        <v/>
      </c>
      <c r="O43" s="90" t="str">
        <f aca="false">IF($B43="","",N43*(الموظفون!$N43+الموظفون!$J43*cfg_OT_P)/cfg_DAYS_M/cfg_HRS)</f>
        <v/>
      </c>
      <c r="P43" s="90" t="str">
        <f aca="false">IF($B43="","",SUMIFS('الحركات الشهرية'!$G$6:$G$1005,'الحركات الشهرية'!$B$6:$B$1005,$B43,'الحركات الشهرية'!$A$6:$A$1005,$C$3))</f>
        <v/>
      </c>
      <c r="Q43" s="90" t="str">
        <f aca="false">IF($B43="","",SUMIFS('الحركات الشهرية'!$H$6:$H$1005,'الحركات الشهرية'!$B$6:$B$1005,$B43,'الحركات الشهرية'!$A$6:$A$1005,$C$3))</f>
        <v/>
      </c>
      <c r="R43" s="111" t="str">
        <f aca="false">IF($B43="","",SUM(J43:M43)+SUM(O43:Q43))</f>
        <v/>
      </c>
      <c r="S43" s="90" t="str">
        <f aca="false">IF($B43="","",الموظفون!$Q43*IF(E43="سعودي",cfg_G_SE,cfg_G_NE)*F43/cfg_DAYS_M)</f>
        <v/>
      </c>
      <c r="T43" s="90" t="str">
        <f aca="false">IF($B43="","",SUMIFS('الحركات الشهرية'!$I$6:$I$1005,'الحركات الشهرية'!$B$6:$B$1005,$B43,'الحركات الشهرية'!$A$6:$A$1005,$C$3))</f>
        <v/>
      </c>
      <c r="U43" s="90" t="str">
        <f aca="false">IF($B43="","",SUMIFS('الحركات الشهرية'!$J$6:$J$1005,'الحركات الشهرية'!$B$6:$B$1005,$B43,'الحركات الشهرية'!$A$6:$A$1005,$C$3))</f>
        <v/>
      </c>
      <c r="V43" s="90" t="str">
        <f aca="false">IF($B43="","",SUM(S43:U43))</f>
        <v/>
      </c>
      <c r="W43" s="112" t="str">
        <f aca="false">IF($B43="","",R43-V43)</f>
        <v/>
      </c>
      <c r="X43" s="90" t="str">
        <f aca="false">IF($B43="","",الموظفون!$Q43*IF(E43="سعودي",cfg_G_SR,cfg_G_NR)*F43/cfg_DAYS_M)</f>
        <v/>
      </c>
      <c r="Y43" s="90" t="str">
        <f aca="false">IF($B43="","",الموظفون!$O43*(cfg_EOS_R1*(MIN(AC43,cfg_EOS_TH)-MIN(AD43,cfg_EOS_TH))+cfg_EOS_R2*(MAX(AC43-cfg_EOS_TH,0)-MAX(AD43-cfg_EOS_TH,0))))</f>
        <v/>
      </c>
      <c r="Z43" s="90" t="str">
        <f aca="false">IF($B43="","",IF(الموظفون!$R43&lt;&gt;"",الموظفون!$R43,IF(AC43&gt;=cfg_LV_TH,cfg_LV_D2,cfg_LV_D1))/cfg_DAYS_Y*AE43*الموظفون!$P43/cfg_DAYS_M)</f>
        <v/>
      </c>
      <c r="AA43" s="90" t="str">
        <f aca="false">IF($B43="","",IF(AND(الموظفون!$S43="نعم",N(الموظفون!$U43)&gt;0),الموظفون!$T43/الموظفون!$U43*12/cfg_DAYS_Y*AE43,0))</f>
        <v/>
      </c>
      <c r="AB43" s="113" t="str">
        <f aca="false">IF($B43="","",R43+SUM(X43:AA43))</f>
        <v/>
      </c>
      <c r="AC43" s="114" t="str">
        <f aca="false">IF($B43="","",MAX(0,IF(OR(الموظفون!$X43="",الموظفون!$X43&gt;$G$3),$G$3,الموظفون!$X43)-الموظفون!$H43+1)/cfg_DAYS_Y)</f>
        <v/>
      </c>
      <c r="AD43" s="114" t="str">
        <f aca="false">IF($B43="","",MAX(0,IF(OR(الموظفون!$X43="",الموظفون!$X43&gt;($E$3-1)),($E$3-1),الموظفون!$X43)-الموظفون!$H43+1)/cfg_DAYS_Y)</f>
        <v/>
      </c>
      <c r="AE43" s="115" t="str">
        <f aca="false">IF($B43="","",MAX(0,IF(OR(الموظفون!$X43="",الموظفون!$X43&gt;$G$3),$G$3,الموظفون!$X43)-MAX($E$3,الموظفون!$H43)+1))</f>
        <v/>
      </c>
    </row>
    <row r="44" customFormat="false" ht="15" hidden="false" customHeight="false" outlineLevel="0" collapsed="false">
      <c r="A44" s="83" t="str">
        <f aca="false">IF($B44="","",الموظفون!$A44)</f>
        <v/>
      </c>
      <c r="B44" s="74" t="str">
        <f aca="false">IF(الموظفون!$B44="","",الموظفون!$B44)</f>
        <v/>
      </c>
      <c r="C44" s="74" t="str">
        <f aca="false">IF($B44="","",الموظفون!$C44)</f>
        <v/>
      </c>
      <c r="D44" s="74" t="str">
        <f aca="false">IF($B44="","",الموظفون!$F44)</f>
        <v/>
      </c>
      <c r="E44" s="74" t="str">
        <f aca="false">IF($B44="","",الموظفون!$E44)</f>
        <v/>
      </c>
      <c r="F44" s="105" t="str">
        <f aca="false">IF($B44="","",IF(AE44&gt;=DAY($G$3),cfg_DAYS_M,MIN(AE44,cfg_DAYS_M)))</f>
        <v/>
      </c>
      <c r="G44" s="105" t="str">
        <f aca="false">IF($B44="","",SUMIFS('الحركات الشهرية'!$D$6:$D$1005,'الحركات الشهرية'!$B$6:$B$1005,$B44,'الحركات الشهرية'!$A$6:$A$1005,$C$3))</f>
        <v/>
      </c>
      <c r="H44" s="105" t="str">
        <f aca="false">IF($B44="","",SUMIFS('الحركات الشهرية'!$E$6:$E$1005,'الحركات الشهرية'!$B$6:$B$1005,$B44,'الحركات الشهرية'!$A$6:$A$1005,$C$3))</f>
        <v/>
      </c>
      <c r="I44" s="105" t="str">
        <f aca="false">IF($B44="","",MAX(0,F44-G44-H44))</f>
        <v/>
      </c>
      <c r="J44" s="86" t="str">
        <f aca="false">IF($B44="","",الموظفون!$J44*$I44/cfg_DAYS_M)</f>
        <v/>
      </c>
      <c r="K44" s="86" t="str">
        <f aca="false">IF($B44="","",الموظفون!$K44*$I44/cfg_DAYS_M)</f>
        <v/>
      </c>
      <c r="L44" s="86" t="str">
        <f aca="false">IF($B44="","",الموظفون!$L44*$I44/cfg_DAYS_M)</f>
        <v/>
      </c>
      <c r="M44" s="86" t="str">
        <f aca="false">IF($B44="","",الموظفون!$M44*$I44/cfg_DAYS_M)</f>
        <v/>
      </c>
      <c r="N44" s="105" t="str">
        <f aca="false">IF($B44="","",SUMIFS('الحركات الشهرية'!$F$6:$F$1005,'الحركات الشهرية'!$B$6:$B$1005,$B44,'الحركات الشهرية'!$A$6:$A$1005,$C$3))</f>
        <v/>
      </c>
      <c r="O44" s="86" t="str">
        <f aca="false">IF($B44="","",N44*(الموظفون!$N44+الموظفون!$J44*cfg_OT_P)/cfg_DAYS_M/cfg_HRS)</f>
        <v/>
      </c>
      <c r="P44" s="86" t="str">
        <f aca="false">IF($B44="","",SUMIFS('الحركات الشهرية'!$G$6:$G$1005,'الحركات الشهرية'!$B$6:$B$1005,$B44,'الحركات الشهرية'!$A$6:$A$1005,$C$3))</f>
        <v/>
      </c>
      <c r="Q44" s="86" t="str">
        <f aca="false">IF($B44="","",SUMIFS('الحركات الشهرية'!$H$6:$H$1005,'الحركات الشهرية'!$B$6:$B$1005,$B44,'الحركات الشهرية'!$A$6:$A$1005,$C$3))</f>
        <v/>
      </c>
      <c r="R44" s="106" t="str">
        <f aca="false">IF($B44="","",SUM(J44:M44)+SUM(O44:Q44))</f>
        <v/>
      </c>
      <c r="S44" s="86" t="str">
        <f aca="false">IF($B44="","",الموظفون!$Q44*IF(E44="سعودي",cfg_G_SE,cfg_G_NE)*F44/cfg_DAYS_M)</f>
        <v/>
      </c>
      <c r="T44" s="86" t="str">
        <f aca="false">IF($B44="","",SUMIFS('الحركات الشهرية'!$I$6:$I$1005,'الحركات الشهرية'!$B$6:$B$1005,$B44,'الحركات الشهرية'!$A$6:$A$1005,$C$3))</f>
        <v/>
      </c>
      <c r="U44" s="86" t="str">
        <f aca="false">IF($B44="","",SUMIFS('الحركات الشهرية'!$J$6:$J$1005,'الحركات الشهرية'!$B$6:$B$1005,$B44,'الحركات الشهرية'!$A$6:$A$1005,$C$3))</f>
        <v/>
      </c>
      <c r="V44" s="86" t="str">
        <f aca="false">IF($B44="","",SUM(S44:U44))</f>
        <v/>
      </c>
      <c r="W44" s="107" t="str">
        <f aca="false">IF($B44="","",R44-V44)</f>
        <v/>
      </c>
      <c r="X44" s="86" t="str">
        <f aca="false">IF($B44="","",الموظفون!$Q44*IF(E44="سعودي",cfg_G_SR,cfg_G_NR)*F44/cfg_DAYS_M)</f>
        <v/>
      </c>
      <c r="Y44" s="86" t="str">
        <f aca="false">IF($B44="","",الموظفون!$O44*(cfg_EOS_R1*(MIN(AC44,cfg_EOS_TH)-MIN(AD44,cfg_EOS_TH))+cfg_EOS_R2*(MAX(AC44-cfg_EOS_TH,0)-MAX(AD44-cfg_EOS_TH,0))))</f>
        <v/>
      </c>
      <c r="Z44" s="86" t="str">
        <f aca="false">IF($B44="","",IF(الموظفون!$R44&lt;&gt;"",الموظفون!$R44,IF(AC44&gt;=cfg_LV_TH,cfg_LV_D2,cfg_LV_D1))/cfg_DAYS_Y*AE44*الموظفون!$P44/cfg_DAYS_M)</f>
        <v/>
      </c>
      <c r="AA44" s="86" t="str">
        <f aca="false">IF($B44="","",IF(AND(الموظفون!$S44="نعم",N(الموظفون!$U44)&gt;0),الموظفون!$T44/الموظفون!$U44*12/cfg_DAYS_Y*AE44,0))</f>
        <v/>
      </c>
      <c r="AB44" s="108" t="str">
        <f aca="false">IF($B44="","",R44+SUM(X44:AA44))</f>
        <v/>
      </c>
      <c r="AC44" s="109" t="str">
        <f aca="false">IF($B44="","",MAX(0,IF(OR(الموظفون!$X44="",الموظفون!$X44&gt;$G$3),$G$3,الموظفون!$X44)-الموظفون!$H44+1)/cfg_DAYS_Y)</f>
        <v/>
      </c>
      <c r="AD44" s="109" t="str">
        <f aca="false">IF($B44="","",MAX(0,IF(OR(الموظفون!$X44="",الموظفون!$X44&gt;($E$3-1)),($E$3-1),الموظفون!$X44)-الموظفون!$H44+1)/cfg_DAYS_Y)</f>
        <v/>
      </c>
      <c r="AE44" s="51" t="str">
        <f aca="false">IF($B44="","",MAX(0,IF(OR(الموظفون!$X44="",الموظفون!$X44&gt;$G$3),$G$3,الموظفون!$X44)-MAX($E$3,الموظفون!$H44)+1))</f>
        <v/>
      </c>
    </row>
    <row r="45" customFormat="false" ht="15" hidden="false" customHeight="false" outlineLevel="0" collapsed="false">
      <c r="A45" s="89" t="str">
        <f aca="false">IF($B45="","",الموظفون!$A45)</f>
        <v/>
      </c>
      <c r="B45" s="91" t="str">
        <f aca="false">IF(الموظفون!$B45="","",الموظفون!$B45)</f>
        <v/>
      </c>
      <c r="C45" s="91" t="str">
        <f aca="false">IF($B45="","",الموظفون!$C45)</f>
        <v/>
      </c>
      <c r="D45" s="91" t="str">
        <f aca="false">IF($B45="","",الموظفون!$F45)</f>
        <v/>
      </c>
      <c r="E45" s="91" t="str">
        <f aca="false">IF($B45="","",الموظفون!$E45)</f>
        <v/>
      </c>
      <c r="F45" s="110" t="str">
        <f aca="false">IF($B45="","",IF(AE45&gt;=DAY($G$3),cfg_DAYS_M,MIN(AE45,cfg_DAYS_M)))</f>
        <v/>
      </c>
      <c r="G45" s="110" t="str">
        <f aca="false">IF($B45="","",SUMIFS('الحركات الشهرية'!$D$6:$D$1005,'الحركات الشهرية'!$B$6:$B$1005,$B45,'الحركات الشهرية'!$A$6:$A$1005,$C$3))</f>
        <v/>
      </c>
      <c r="H45" s="110" t="str">
        <f aca="false">IF($B45="","",SUMIFS('الحركات الشهرية'!$E$6:$E$1005,'الحركات الشهرية'!$B$6:$B$1005,$B45,'الحركات الشهرية'!$A$6:$A$1005,$C$3))</f>
        <v/>
      </c>
      <c r="I45" s="110" t="str">
        <f aca="false">IF($B45="","",MAX(0,F45-G45-H45))</f>
        <v/>
      </c>
      <c r="J45" s="90" t="str">
        <f aca="false">IF($B45="","",الموظفون!$J45*$I45/cfg_DAYS_M)</f>
        <v/>
      </c>
      <c r="K45" s="90" t="str">
        <f aca="false">IF($B45="","",الموظفون!$K45*$I45/cfg_DAYS_M)</f>
        <v/>
      </c>
      <c r="L45" s="90" t="str">
        <f aca="false">IF($B45="","",الموظفون!$L45*$I45/cfg_DAYS_M)</f>
        <v/>
      </c>
      <c r="M45" s="90" t="str">
        <f aca="false">IF($B45="","",الموظفون!$M45*$I45/cfg_DAYS_M)</f>
        <v/>
      </c>
      <c r="N45" s="110" t="str">
        <f aca="false">IF($B45="","",SUMIFS('الحركات الشهرية'!$F$6:$F$1005,'الحركات الشهرية'!$B$6:$B$1005,$B45,'الحركات الشهرية'!$A$6:$A$1005,$C$3))</f>
        <v/>
      </c>
      <c r="O45" s="90" t="str">
        <f aca="false">IF($B45="","",N45*(الموظفون!$N45+الموظفون!$J45*cfg_OT_P)/cfg_DAYS_M/cfg_HRS)</f>
        <v/>
      </c>
      <c r="P45" s="90" t="str">
        <f aca="false">IF($B45="","",SUMIFS('الحركات الشهرية'!$G$6:$G$1005,'الحركات الشهرية'!$B$6:$B$1005,$B45,'الحركات الشهرية'!$A$6:$A$1005,$C$3))</f>
        <v/>
      </c>
      <c r="Q45" s="90" t="str">
        <f aca="false">IF($B45="","",SUMIFS('الحركات الشهرية'!$H$6:$H$1005,'الحركات الشهرية'!$B$6:$B$1005,$B45,'الحركات الشهرية'!$A$6:$A$1005,$C$3))</f>
        <v/>
      </c>
      <c r="R45" s="111" t="str">
        <f aca="false">IF($B45="","",SUM(J45:M45)+SUM(O45:Q45))</f>
        <v/>
      </c>
      <c r="S45" s="90" t="str">
        <f aca="false">IF($B45="","",الموظفون!$Q45*IF(E45="سعودي",cfg_G_SE,cfg_G_NE)*F45/cfg_DAYS_M)</f>
        <v/>
      </c>
      <c r="T45" s="90" t="str">
        <f aca="false">IF($B45="","",SUMIFS('الحركات الشهرية'!$I$6:$I$1005,'الحركات الشهرية'!$B$6:$B$1005,$B45,'الحركات الشهرية'!$A$6:$A$1005,$C$3))</f>
        <v/>
      </c>
      <c r="U45" s="90" t="str">
        <f aca="false">IF($B45="","",SUMIFS('الحركات الشهرية'!$J$6:$J$1005,'الحركات الشهرية'!$B$6:$B$1005,$B45,'الحركات الشهرية'!$A$6:$A$1005,$C$3))</f>
        <v/>
      </c>
      <c r="V45" s="90" t="str">
        <f aca="false">IF($B45="","",SUM(S45:U45))</f>
        <v/>
      </c>
      <c r="W45" s="112" t="str">
        <f aca="false">IF($B45="","",R45-V45)</f>
        <v/>
      </c>
      <c r="X45" s="90" t="str">
        <f aca="false">IF($B45="","",الموظفون!$Q45*IF(E45="سعودي",cfg_G_SR,cfg_G_NR)*F45/cfg_DAYS_M)</f>
        <v/>
      </c>
      <c r="Y45" s="90" t="str">
        <f aca="false">IF($B45="","",الموظفون!$O45*(cfg_EOS_R1*(MIN(AC45,cfg_EOS_TH)-MIN(AD45,cfg_EOS_TH))+cfg_EOS_R2*(MAX(AC45-cfg_EOS_TH,0)-MAX(AD45-cfg_EOS_TH,0))))</f>
        <v/>
      </c>
      <c r="Z45" s="90" t="str">
        <f aca="false">IF($B45="","",IF(الموظفون!$R45&lt;&gt;"",الموظفون!$R45,IF(AC45&gt;=cfg_LV_TH,cfg_LV_D2,cfg_LV_D1))/cfg_DAYS_Y*AE45*الموظفون!$P45/cfg_DAYS_M)</f>
        <v/>
      </c>
      <c r="AA45" s="90" t="str">
        <f aca="false">IF($B45="","",IF(AND(الموظفون!$S45="نعم",N(الموظفون!$U45)&gt;0),الموظفون!$T45/الموظفون!$U45*12/cfg_DAYS_Y*AE45,0))</f>
        <v/>
      </c>
      <c r="AB45" s="113" t="str">
        <f aca="false">IF($B45="","",R45+SUM(X45:AA45))</f>
        <v/>
      </c>
      <c r="AC45" s="114" t="str">
        <f aca="false">IF($B45="","",MAX(0,IF(OR(الموظفون!$X45="",الموظفون!$X45&gt;$G$3),$G$3,الموظفون!$X45)-الموظفون!$H45+1)/cfg_DAYS_Y)</f>
        <v/>
      </c>
      <c r="AD45" s="114" t="str">
        <f aca="false">IF($B45="","",MAX(0,IF(OR(الموظفون!$X45="",الموظفون!$X45&gt;($E$3-1)),($E$3-1),الموظفون!$X45)-الموظفون!$H45+1)/cfg_DAYS_Y)</f>
        <v/>
      </c>
      <c r="AE45" s="115" t="str">
        <f aca="false">IF($B45="","",MAX(0,IF(OR(الموظفون!$X45="",الموظفون!$X45&gt;$G$3),$G$3,الموظفون!$X45)-MAX($E$3,الموظفون!$H45)+1))</f>
        <v/>
      </c>
    </row>
    <row r="46" customFormat="false" ht="15" hidden="false" customHeight="false" outlineLevel="0" collapsed="false">
      <c r="A46" s="83" t="str">
        <f aca="false">IF($B46="","",الموظفون!$A46)</f>
        <v/>
      </c>
      <c r="B46" s="74" t="str">
        <f aca="false">IF(الموظفون!$B46="","",الموظفون!$B46)</f>
        <v/>
      </c>
      <c r="C46" s="74" t="str">
        <f aca="false">IF($B46="","",الموظفون!$C46)</f>
        <v/>
      </c>
      <c r="D46" s="74" t="str">
        <f aca="false">IF($B46="","",الموظفون!$F46)</f>
        <v/>
      </c>
      <c r="E46" s="74" t="str">
        <f aca="false">IF($B46="","",الموظفون!$E46)</f>
        <v/>
      </c>
      <c r="F46" s="105" t="str">
        <f aca="false">IF($B46="","",IF(AE46&gt;=DAY($G$3),cfg_DAYS_M,MIN(AE46,cfg_DAYS_M)))</f>
        <v/>
      </c>
      <c r="G46" s="105" t="str">
        <f aca="false">IF($B46="","",SUMIFS('الحركات الشهرية'!$D$6:$D$1005,'الحركات الشهرية'!$B$6:$B$1005,$B46,'الحركات الشهرية'!$A$6:$A$1005,$C$3))</f>
        <v/>
      </c>
      <c r="H46" s="105" t="str">
        <f aca="false">IF($B46="","",SUMIFS('الحركات الشهرية'!$E$6:$E$1005,'الحركات الشهرية'!$B$6:$B$1005,$B46,'الحركات الشهرية'!$A$6:$A$1005,$C$3))</f>
        <v/>
      </c>
      <c r="I46" s="105" t="str">
        <f aca="false">IF($B46="","",MAX(0,F46-G46-H46))</f>
        <v/>
      </c>
      <c r="J46" s="86" t="str">
        <f aca="false">IF($B46="","",الموظفون!$J46*$I46/cfg_DAYS_M)</f>
        <v/>
      </c>
      <c r="K46" s="86" t="str">
        <f aca="false">IF($B46="","",الموظفون!$K46*$I46/cfg_DAYS_M)</f>
        <v/>
      </c>
      <c r="L46" s="86" t="str">
        <f aca="false">IF($B46="","",الموظفون!$L46*$I46/cfg_DAYS_M)</f>
        <v/>
      </c>
      <c r="M46" s="86" t="str">
        <f aca="false">IF($B46="","",الموظفون!$M46*$I46/cfg_DAYS_M)</f>
        <v/>
      </c>
      <c r="N46" s="105" t="str">
        <f aca="false">IF($B46="","",SUMIFS('الحركات الشهرية'!$F$6:$F$1005,'الحركات الشهرية'!$B$6:$B$1005,$B46,'الحركات الشهرية'!$A$6:$A$1005,$C$3))</f>
        <v/>
      </c>
      <c r="O46" s="86" t="str">
        <f aca="false">IF($B46="","",N46*(الموظفون!$N46+الموظفون!$J46*cfg_OT_P)/cfg_DAYS_M/cfg_HRS)</f>
        <v/>
      </c>
      <c r="P46" s="86" t="str">
        <f aca="false">IF($B46="","",SUMIFS('الحركات الشهرية'!$G$6:$G$1005,'الحركات الشهرية'!$B$6:$B$1005,$B46,'الحركات الشهرية'!$A$6:$A$1005,$C$3))</f>
        <v/>
      </c>
      <c r="Q46" s="86" t="str">
        <f aca="false">IF($B46="","",SUMIFS('الحركات الشهرية'!$H$6:$H$1005,'الحركات الشهرية'!$B$6:$B$1005,$B46,'الحركات الشهرية'!$A$6:$A$1005,$C$3))</f>
        <v/>
      </c>
      <c r="R46" s="106" t="str">
        <f aca="false">IF($B46="","",SUM(J46:M46)+SUM(O46:Q46))</f>
        <v/>
      </c>
      <c r="S46" s="86" t="str">
        <f aca="false">IF($B46="","",الموظفون!$Q46*IF(E46="سعودي",cfg_G_SE,cfg_G_NE)*F46/cfg_DAYS_M)</f>
        <v/>
      </c>
      <c r="T46" s="86" t="str">
        <f aca="false">IF($B46="","",SUMIFS('الحركات الشهرية'!$I$6:$I$1005,'الحركات الشهرية'!$B$6:$B$1005,$B46,'الحركات الشهرية'!$A$6:$A$1005,$C$3))</f>
        <v/>
      </c>
      <c r="U46" s="86" t="str">
        <f aca="false">IF($B46="","",SUMIFS('الحركات الشهرية'!$J$6:$J$1005,'الحركات الشهرية'!$B$6:$B$1005,$B46,'الحركات الشهرية'!$A$6:$A$1005,$C$3))</f>
        <v/>
      </c>
      <c r="V46" s="86" t="str">
        <f aca="false">IF($B46="","",SUM(S46:U46))</f>
        <v/>
      </c>
      <c r="W46" s="107" t="str">
        <f aca="false">IF($B46="","",R46-V46)</f>
        <v/>
      </c>
      <c r="X46" s="86" t="str">
        <f aca="false">IF($B46="","",الموظفون!$Q46*IF(E46="سعودي",cfg_G_SR,cfg_G_NR)*F46/cfg_DAYS_M)</f>
        <v/>
      </c>
      <c r="Y46" s="86" t="str">
        <f aca="false">IF($B46="","",الموظفون!$O46*(cfg_EOS_R1*(MIN(AC46,cfg_EOS_TH)-MIN(AD46,cfg_EOS_TH))+cfg_EOS_R2*(MAX(AC46-cfg_EOS_TH,0)-MAX(AD46-cfg_EOS_TH,0))))</f>
        <v/>
      </c>
      <c r="Z46" s="86" t="str">
        <f aca="false">IF($B46="","",IF(الموظفون!$R46&lt;&gt;"",الموظفون!$R46,IF(AC46&gt;=cfg_LV_TH,cfg_LV_D2,cfg_LV_D1))/cfg_DAYS_Y*AE46*الموظفون!$P46/cfg_DAYS_M)</f>
        <v/>
      </c>
      <c r="AA46" s="86" t="str">
        <f aca="false">IF($B46="","",IF(AND(الموظفون!$S46="نعم",N(الموظفون!$U46)&gt;0),الموظفون!$T46/الموظفون!$U46*12/cfg_DAYS_Y*AE46,0))</f>
        <v/>
      </c>
      <c r="AB46" s="108" t="str">
        <f aca="false">IF($B46="","",R46+SUM(X46:AA46))</f>
        <v/>
      </c>
      <c r="AC46" s="109" t="str">
        <f aca="false">IF($B46="","",MAX(0,IF(OR(الموظفون!$X46="",الموظفون!$X46&gt;$G$3),$G$3,الموظفون!$X46)-الموظفون!$H46+1)/cfg_DAYS_Y)</f>
        <v/>
      </c>
      <c r="AD46" s="109" t="str">
        <f aca="false">IF($B46="","",MAX(0,IF(OR(الموظفون!$X46="",الموظفون!$X46&gt;($E$3-1)),($E$3-1),الموظفون!$X46)-الموظفون!$H46+1)/cfg_DAYS_Y)</f>
        <v/>
      </c>
      <c r="AE46" s="51" t="str">
        <f aca="false">IF($B46="","",MAX(0,IF(OR(الموظفون!$X46="",الموظفون!$X46&gt;$G$3),$G$3,الموظفون!$X46)-MAX($E$3,الموظفون!$H46)+1))</f>
        <v/>
      </c>
    </row>
    <row r="47" customFormat="false" ht="15" hidden="false" customHeight="false" outlineLevel="0" collapsed="false">
      <c r="A47" s="89" t="str">
        <f aca="false">IF($B47="","",الموظفون!$A47)</f>
        <v/>
      </c>
      <c r="B47" s="91" t="str">
        <f aca="false">IF(الموظفون!$B47="","",الموظفون!$B47)</f>
        <v/>
      </c>
      <c r="C47" s="91" t="str">
        <f aca="false">IF($B47="","",الموظفون!$C47)</f>
        <v/>
      </c>
      <c r="D47" s="91" t="str">
        <f aca="false">IF($B47="","",الموظفون!$F47)</f>
        <v/>
      </c>
      <c r="E47" s="91" t="str">
        <f aca="false">IF($B47="","",الموظفون!$E47)</f>
        <v/>
      </c>
      <c r="F47" s="110" t="str">
        <f aca="false">IF($B47="","",IF(AE47&gt;=DAY($G$3),cfg_DAYS_M,MIN(AE47,cfg_DAYS_M)))</f>
        <v/>
      </c>
      <c r="G47" s="110" t="str">
        <f aca="false">IF($B47="","",SUMIFS('الحركات الشهرية'!$D$6:$D$1005,'الحركات الشهرية'!$B$6:$B$1005,$B47,'الحركات الشهرية'!$A$6:$A$1005,$C$3))</f>
        <v/>
      </c>
      <c r="H47" s="110" t="str">
        <f aca="false">IF($B47="","",SUMIFS('الحركات الشهرية'!$E$6:$E$1005,'الحركات الشهرية'!$B$6:$B$1005,$B47,'الحركات الشهرية'!$A$6:$A$1005,$C$3))</f>
        <v/>
      </c>
      <c r="I47" s="110" t="str">
        <f aca="false">IF($B47="","",MAX(0,F47-G47-H47))</f>
        <v/>
      </c>
      <c r="J47" s="90" t="str">
        <f aca="false">IF($B47="","",الموظفون!$J47*$I47/cfg_DAYS_M)</f>
        <v/>
      </c>
      <c r="K47" s="90" t="str">
        <f aca="false">IF($B47="","",الموظفون!$K47*$I47/cfg_DAYS_M)</f>
        <v/>
      </c>
      <c r="L47" s="90" t="str">
        <f aca="false">IF($B47="","",الموظفون!$L47*$I47/cfg_DAYS_M)</f>
        <v/>
      </c>
      <c r="M47" s="90" t="str">
        <f aca="false">IF($B47="","",الموظفون!$M47*$I47/cfg_DAYS_M)</f>
        <v/>
      </c>
      <c r="N47" s="110" t="str">
        <f aca="false">IF($B47="","",SUMIFS('الحركات الشهرية'!$F$6:$F$1005,'الحركات الشهرية'!$B$6:$B$1005,$B47,'الحركات الشهرية'!$A$6:$A$1005,$C$3))</f>
        <v/>
      </c>
      <c r="O47" s="90" t="str">
        <f aca="false">IF($B47="","",N47*(الموظفون!$N47+الموظفون!$J47*cfg_OT_P)/cfg_DAYS_M/cfg_HRS)</f>
        <v/>
      </c>
      <c r="P47" s="90" t="str">
        <f aca="false">IF($B47="","",SUMIFS('الحركات الشهرية'!$G$6:$G$1005,'الحركات الشهرية'!$B$6:$B$1005,$B47,'الحركات الشهرية'!$A$6:$A$1005,$C$3))</f>
        <v/>
      </c>
      <c r="Q47" s="90" t="str">
        <f aca="false">IF($B47="","",SUMIFS('الحركات الشهرية'!$H$6:$H$1005,'الحركات الشهرية'!$B$6:$B$1005,$B47,'الحركات الشهرية'!$A$6:$A$1005,$C$3))</f>
        <v/>
      </c>
      <c r="R47" s="111" t="str">
        <f aca="false">IF($B47="","",SUM(J47:M47)+SUM(O47:Q47))</f>
        <v/>
      </c>
      <c r="S47" s="90" t="str">
        <f aca="false">IF($B47="","",الموظفون!$Q47*IF(E47="سعودي",cfg_G_SE,cfg_G_NE)*F47/cfg_DAYS_M)</f>
        <v/>
      </c>
      <c r="T47" s="90" t="str">
        <f aca="false">IF($B47="","",SUMIFS('الحركات الشهرية'!$I$6:$I$1005,'الحركات الشهرية'!$B$6:$B$1005,$B47,'الحركات الشهرية'!$A$6:$A$1005,$C$3))</f>
        <v/>
      </c>
      <c r="U47" s="90" t="str">
        <f aca="false">IF($B47="","",SUMIFS('الحركات الشهرية'!$J$6:$J$1005,'الحركات الشهرية'!$B$6:$B$1005,$B47,'الحركات الشهرية'!$A$6:$A$1005,$C$3))</f>
        <v/>
      </c>
      <c r="V47" s="90" t="str">
        <f aca="false">IF($B47="","",SUM(S47:U47))</f>
        <v/>
      </c>
      <c r="W47" s="112" t="str">
        <f aca="false">IF($B47="","",R47-V47)</f>
        <v/>
      </c>
      <c r="X47" s="90" t="str">
        <f aca="false">IF($B47="","",الموظفون!$Q47*IF(E47="سعودي",cfg_G_SR,cfg_G_NR)*F47/cfg_DAYS_M)</f>
        <v/>
      </c>
      <c r="Y47" s="90" t="str">
        <f aca="false">IF($B47="","",الموظفون!$O47*(cfg_EOS_R1*(MIN(AC47,cfg_EOS_TH)-MIN(AD47,cfg_EOS_TH))+cfg_EOS_R2*(MAX(AC47-cfg_EOS_TH,0)-MAX(AD47-cfg_EOS_TH,0))))</f>
        <v/>
      </c>
      <c r="Z47" s="90" t="str">
        <f aca="false">IF($B47="","",IF(الموظفون!$R47&lt;&gt;"",الموظفون!$R47,IF(AC47&gt;=cfg_LV_TH,cfg_LV_D2,cfg_LV_D1))/cfg_DAYS_Y*AE47*الموظفون!$P47/cfg_DAYS_M)</f>
        <v/>
      </c>
      <c r="AA47" s="90" t="str">
        <f aca="false">IF($B47="","",IF(AND(الموظفون!$S47="نعم",N(الموظفون!$U47)&gt;0),الموظفون!$T47/الموظفون!$U47*12/cfg_DAYS_Y*AE47,0))</f>
        <v/>
      </c>
      <c r="AB47" s="113" t="str">
        <f aca="false">IF($B47="","",R47+SUM(X47:AA47))</f>
        <v/>
      </c>
      <c r="AC47" s="114" t="str">
        <f aca="false">IF($B47="","",MAX(0,IF(OR(الموظفون!$X47="",الموظفون!$X47&gt;$G$3),$G$3,الموظفون!$X47)-الموظفون!$H47+1)/cfg_DAYS_Y)</f>
        <v/>
      </c>
      <c r="AD47" s="114" t="str">
        <f aca="false">IF($B47="","",MAX(0,IF(OR(الموظفون!$X47="",الموظفون!$X47&gt;($E$3-1)),($E$3-1),الموظفون!$X47)-الموظفون!$H47+1)/cfg_DAYS_Y)</f>
        <v/>
      </c>
      <c r="AE47" s="115" t="str">
        <f aca="false">IF($B47="","",MAX(0,IF(OR(الموظفون!$X47="",الموظفون!$X47&gt;$G$3),$G$3,الموظفون!$X47)-MAX($E$3,الموظفون!$H47)+1))</f>
        <v/>
      </c>
    </row>
    <row r="48" customFormat="false" ht="15" hidden="false" customHeight="false" outlineLevel="0" collapsed="false">
      <c r="A48" s="83" t="str">
        <f aca="false">IF($B48="","",الموظفون!$A48)</f>
        <v/>
      </c>
      <c r="B48" s="74" t="str">
        <f aca="false">IF(الموظفون!$B48="","",الموظفون!$B48)</f>
        <v/>
      </c>
      <c r="C48" s="74" t="str">
        <f aca="false">IF($B48="","",الموظفون!$C48)</f>
        <v/>
      </c>
      <c r="D48" s="74" t="str">
        <f aca="false">IF($B48="","",الموظفون!$F48)</f>
        <v/>
      </c>
      <c r="E48" s="74" t="str">
        <f aca="false">IF($B48="","",الموظفون!$E48)</f>
        <v/>
      </c>
      <c r="F48" s="105" t="str">
        <f aca="false">IF($B48="","",IF(AE48&gt;=DAY($G$3),cfg_DAYS_M,MIN(AE48,cfg_DAYS_M)))</f>
        <v/>
      </c>
      <c r="G48" s="105" t="str">
        <f aca="false">IF($B48="","",SUMIFS('الحركات الشهرية'!$D$6:$D$1005,'الحركات الشهرية'!$B$6:$B$1005,$B48,'الحركات الشهرية'!$A$6:$A$1005,$C$3))</f>
        <v/>
      </c>
      <c r="H48" s="105" t="str">
        <f aca="false">IF($B48="","",SUMIFS('الحركات الشهرية'!$E$6:$E$1005,'الحركات الشهرية'!$B$6:$B$1005,$B48,'الحركات الشهرية'!$A$6:$A$1005,$C$3))</f>
        <v/>
      </c>
      <c r="I48" s="105" t="str">
        <f aca="false">IF($B48="","",MAX(0,F48-G48-H48))</f>
        <v/>
      </c>
      <c r="J48" s="86" t="str">
        <f aca="false">IF($B48="","",الموظفون!$J48*$I48/cfg_DAYS_M)</f>
        <v/>
      </c>
      <c r="K48" s="86" t="str">
        <f aca="false">IF($B48="","",الموظفون!$K48*$I48/cfg_DAYS_M)</f>
        <v/>
      </c>
      <c r="L48" s="86" t="str">
        <f aca="false">IF($B48="","",الموظفون!$L48*$I48/cfg_DAYS_M)</f>
        <v/>
      </c>
      <c r="M48" s="86" t="str">
        <f aca="false">IF($B48="","",الموظفون!$M48*$I48/cfg_DAYS_M)</f>
        <v/>
      </c>
      <c r="N48" s="105" t="str">
        <f aca="false">IF($B48="","",SUMIFS('الحركات الشهرية'!$F$6:$F$1005,'الحركات الشهرية'!$B$6:$B$1005,$B48,'الحركات الشهرية'!$A$6:$A$1005,$C$3))</f>
        <v/>
      </c>
      <c r="O48" s="86" t="str">
        <f aca="false">IF($B48="","",N48*(الموظفون!$N48+الموظفون!$J48*cfg_OT_P)/cfg_DAYS_M/cfg_HRS)</f>
        <v/>
      </c>
      <c r="P48" s="86" t="str">
        <f aca="false">IF($B48="","",SUMIFS('الحركات الشهرية'!$G$6:$G$1005,'الحركات الشهرية'!$B$6:$B$1005,$B48,'الحركات الشهرية'!$A$6:$A$1005,$C$3))</f>
        <v/>
      </c>
      <c r="Q48" s="86" t="str">
        <f aca="false">IF($B48="","",SUMIFS('الحركات الشهرية'!$H$6:$H$1005,'الحركات الشهرية'!$B$6:$B$1005,$B48,'الحركات الشهرية'!$A$6:$A$1005,$C$3))</f>
        <v/>
      </c>
      <c r="R48" s="106" t="str">
        <f aca="false">IF($B48="","",SUM(J48:M48)+SUM(O48:Q48))</f>
        <v/>
      </c>
      <c r="S48" s="86" t="str">
        <f aca="false">IF($B48="","",الموظفون!$Q48*IF(E48="سعودي",cfg_G_SE,cfg_G_NE)*F48/cfg_DAYS_M)</f>
        <v/>
      </c>
      <c r="T48" s="86" t="str">
        <f aca="false">IF($B48="","",SUMIFS('الحركات الشهرية'!$I$6:$I$1005,'الحركات الشهرية'!$B$6:$B$1005,$B48,'الحركات الشهرية'!$A$6:$A$1005,$C$3))</f>
        <v/>
      </c>
      <c r="U48" s="86" t="str">
        <f aca="false">IF($B48="","",SUMIFS('الحركات الشهرية'!$J$6:$J$1005,'الحركات الشهرية'!$B$6:$B$1005,$B48,'الحركات الشهرية'!$A$6:$A$1005,$C$3))</f>
        <v/>
      </c>
      <c r="V48" s="86" t="str">
        <f aca="false">IF($B48="","",SUM(S48:U48))</f>
        <v/>
      </c>
      <c r="W48" s="107" t="str">
        <f aca="false">IF($B48="","",R48-V48)</f>
        <v/>
      </c>
      <c r="X48" s="86" t="str">
        <f aca="false">IF($B48="","",الموظفون!$Q48*IF(E48="سعودي",cfg_G_SR,cfg_G_NR)*F48/cfg_DAYS_M)</f>
        <v/>
      </c>
      <c r="Y48" s="86" t="str">
        <f aca="false">IF($B48="","",الموظفون!$O48*(cfg_EOS_R1*(MIN(AC48,cfg_EOS_TH)-MIN(AD48,cfg_EOS_TH))+cfg_EOS_R2*(MAX(AC48-cfg_EOS_TH,0)-MAX(AD48-cfg_EOS_TH,0))))</f>
        <v/>
      </c>
      <c r="Z48" s="86" t="str">
        <f aca="false">IF($B48="","",IF(الموظفون!$R48&lt;&gt;"",الموظفون!$R48,IF(AC48&gt;=cfg_LV_TH,cfg_LV_D2,cfg_LV_D1))/cfg_DAYS_Y*AE48*الموظفون!$P48/cfg_DAYS_M)</f>
        <v/>
      </c>
      <c r="AA48" s="86" t="str">
        <f aca="false">IF($B48="","",IF(AND(الموظفون!$S48="نعم",N(الموظفون!$U48)&gt;0),الموظفون!$T48/الموظفون!$U48*12/cfg_DAYS_Y*AE48,0))</f>
        <v/>
      </c>
      <c r="AB48" s="108" t="str">
        <f aca="false">IF($B48="","",R48+SUM(X48:AA48))</f>
        <v/>
      </c>
      <c r="AC48" s="109" t="str">
        <f aca="false">IF($B48="","",MAX(0,IF(OR(الموظفون!$X48="",الموظفون!$X48&gt;$G$3),$G$3,الموظفون!$X48)-الموظفون!$H48+1)/cfg_DAYS_Y)</f>
        <v/>
      </c>
      <c r="AD48" s="109" t="str">
        <f aca="false">IF($B48="","",MAX(0,IF(OR(الموظفون!$X48="",الموظفون!$X48&gt;($E$3-1)),($E$3-1),الموظفون!$X48)-الموظفون!$H48+1)/cfg_DAYS_Y)</f>
        <v/>
      </c>
      <c r="AE48" s="51" t="str">
        <f aca="false">IF($B48="","",MAX(0,IF(OR(الموظفون!$X48="",الموظفون!$X48&gt;$G$3),$G$3,الموظفون!$X48)-MAX($E$3,الموظفون!$H48)+1))</f>
        <v/>
      </c>
    </row>
    <row r="49" customFormat="false" ht="15" hidden="false" customHeight="false" outlineLevel="0" collapsed="false">
      <c r="A49" s="89" t="str">
        <f aca="false">IF($B49="","",الموظفون!$A49)</f>
        <v/>
      </c>
      <c r="B49" s="91" t="str">
        <f aca="false">IF(الموظفون!$B49="","",الموظفون!$B49)</f>
        <v/>
      </c>
      <c r="C49" s="91" t="str">
        <f aca="false">IF($B49="","",الموظفون!$C49)</f>
        <v/>
      </c>
      <c r="D49" s="91" t="str">
        <f aca="false">IF($B49="","",الموظفون!$F49)</f>
        <v/>
      </c>
      <c r="E49" s="91" t="str">
        <f aca="false">IF($B49="","",الموظفون!$E49)</f>
        <v/>
      </c>
      <c r="F49" s="110" t="str">
        <f aca="false">IF($B49="","",IF(AE49&gt;=DAY($G$3),cfg_DAYS_M,MIN(AE49,cfg_DAYS_M)))</f>
        <v/>
      </c>
      <c r="G49" s="110" t="str">
        <f aca="false">IF($B49="","",SUMIFS('الحركات الشهرية'!$D$6:$D$1005,'الحركات الشهرية'!$B$6:$B$1005,$B49,'الحركات الشهرية'!$A$6:$A$1005,$C$3))</f>
        <v/>
      </c>
      <c r="H49" s="110" t="str">
        <f aca="false">IF($B49="","",SUMIFS('الحركات الشهرية'!$E$6:$E$1005,'الحركات الشهرية'!$B$6:$B$1005,$B49,'الحركات الشهرية'!$A$6:$A$1005,$C$3))</f>
        <v/>
      </c>
      <c r="I49" s="110" t="str">
        <f aca="false">IF($B49="","",MAX(0,F49-G49-H49))</f>
        <v/>
      </c>
      <c r="J49" s="90" t="str">
        <f aca="false">IF($B49="","",الموظفون!$J49*$I49/cfg_DAYS_M)</f>
        <v/>
      </c>
      <c r="K49" s="90" t="str">
        <f aca="false">IF($B49="","",الموظفون!$K49*$I49/cfg_DAYS_M)</f>
        <v/>
      </c>
      <c r="L49" s="90" t="str">
        <f aca="false">IF($B49="","",الموظفون!$L49*$I49/cfg_DAYS_M)</f>
        <v/>
      </c>
      <c r="M49" s="90" t="str">
        <f aca="false">IF($B49="","",الموظفون!$M49*$I49/cfg_DAYS_M)</f>
        <v/>
      </c>
      <c r="N49" s="110" t="str">
        <f aca="false">IF($B49="","",SUMIFS('الحركات الشهرية'!$F$6:$F$1005,'الحركات الشهرية'!$B$6:$B$1005,$B49,'الحركات الشهرية'!$A$6:$A$1005,$C$3))</f>
        <v/>
      </c>
      <c r="O49" s="90" t="str">
        <f aca="false">IF($B49="","",N49*(الموظفون!$N49+الموظفون!$J49*cfg_OT_P)/cfg_DAYS_M/cfg_HRS)</f>
        <v/>
      </c>
      <c r="P49" s="90" t="str">
        <f aca="false">IF($B49="","",SUMIFS('الحركات الشهرية'!$G$6:$G$1005,'الحركات الشهرية'!$B$6:$B$1005,$B49,'الحركات الشهرية'!$A$6:$A$1005,$C$3))</f>
        <v/>
      </c>
      <c r="Q49" s="90" t="str">
        <f aca="false">IF($B49="","",SUMIFS('الحركات الشهرية'!$H$6:$H$1005,'الحركات الشهرية'!$B$6:$B$1005,$B49,'الحركات الشهرية'!$A$6:$A$1005,$C$3))</f>
        <v/>
      </c>
      <c r="R49" s="111" t="str">
        <f aca="false">IF($B49="","",SUM(J49:M49)+SUM(O49:Q49))</f>
        <v/>
      </c>
      <c r="S49" s="90" t="str">
        <f aca="false">IF($B49="","",الموظفون!$Q49*IF(E49="سعودي",cfg_G_SE,cfg_G_NE)*F49/cfg_DAYS_M)</f>
        <v/>
      </c>
      <c r="T49" s="90" t="str">
        <f aca="false">IF($B49="","",SUMIFS('الحركات الشهرية'!$I$6:$I$1005,'الحركات الشهرية'!$B$6:$B$1005,$B49,'الحركات الشهرية'!$A$6:$A$1005,$C$3))</f>
        <v/>
      </c>
      <c r="U49" s="90" t="str">
        <f aca="false">IF($B49="","",SUMIFS('الحركات الشهرية'!$J$6:$J$1005,'الحركات الشهرية'!$B$6:$B$1005,$B49,'الحركات الشهرية'!$A$6:$A$1005,$C$3))</f>
        <v/>
      </c>
      <c r="V49" s="90" t="str">
        <f aca="false">IF($B49="","",SUM(S49:U49))</f>
        <v/>
      </c>
      <c r="W49" s="112" t="str">
        <f aca="false">IF($B49="","",R49-V49)</f>
        <v/>
      </c>
      <c r="X49" s="90" t="str">
        <f aca="false">IF($B49="","",الموظفون!$Q49*IF(E49="سعودي",cfg_G_SR,cfg_G_NR)*F49/cfg_DAYS_M)</f>
        <v/>
      </c>
      <c r="Y49" s="90" t="str">
        <f aca="false">IF($B49="","",الموظفون!$O49*(cfg_EOS_R1*(MIN(AC49,cfg_EOS_TH)-MIN(AD49,cfg_EOS_TH))+cfg_EOS_R2*(MAX(AC49-cfg_EOS_TH,0)-MAX(AD49-cfg_EOS_TH,0))))</f>
        <v/>
      </c>
      <c r="Z49" s="90" t="str">
        <f aca="false">IF($B49="","",IF(الموظفون!$R49&lt;&gt;"",الموظفون!$R49,IF(AC49&gt;=cfg_LV_TH,cfg_LV_D2,cfg_LV_D1))/cfg_DAYS_Y*AE49*الموظفون!$P49/cfg_DAYS_M)</f>
        <v/>
      </c>
      <c r="AA49" s="90" t="str">
        <f aca="false">IF($B49="","",IF(AND(الموظفون!$S49="نعم",N(الموظفون!$U49)&gt;0),الموظفون!$T49/الموظفون!$U49*12/cfg_DAYS_Y*AE49,0))</f>
        <v/>
      </c>
      <c r="AB49" s="113" t="str">
        <f aca="false">IF($B49="","",R49+SUM(X49:AA49))</f>
        <v/>
      </c>
      <c r="AC49" s="114" t="str">
        <f aca="false">IF($B49="","",MAX(0,IF(OR(الموظفون!$X49="",الموظفون!$X49&gt;$G$3),$G$3,الموظفون!$X49)-الموظفون!$H49+1)/cfg_DAYS_Y)</f>
        <v/>
      </c>
      <c r="AD49" s="114" t="str">
        <f aca="false">IF($B49="","",MAX(0,IF(OR(الموظفون!$X49="",الموظفون!$X49&gt;($E$3-1)),($E$3-1),الموظفون!$X49)-الموظفون!$H49+1)/cfg_DAYS_Y)</f>
        <v/>
      </c>
      <c r="AE49" s="115" t="str">
        <f aca="false">IF($B49="","",MAX(0,IF(OR(الموظفون!$X49="",الموظفون!$X49&gt;$G$3),$G$3,الموظفون!$X49)-MAX($E$3,الموظفون!$H49)+1))</f>
        <v/>
      </c>
    </row>
    <row r="50" customFormat="false" ht="15" hidden="false" customHeight="false" outlineLevel="0" collapsed="false">
      <c r="A50" s="83" t="str">
        <f aca="false">IF($B50="","",الموظفون!$A50)</f>
        <v/>
      </c>
      <c r="B50" s="74" t="str">
        <f aca="false">IF(الموظفون!$B50="","",الموظفون!$B50)</f>
        <v/>
      </c>
      <c r="C50" s="74" t="str">
        <f aca="false">IF($B50="","",الموظفون!$C50)</f>
        <v/>
      </c>
      <c r="D50" s="74" t="str">
        <f aca="false">IF($B50="","",الموظفون!$F50)</f>
        <v/>
      </c>
      <c r="E50" s="74" t="str">
        <f aca="false">IF($B50="","",الموظفون!$E50)</f>
        <v/>
      </c>
      <c r="F50" s="105" t="str">
        <f aca="false">IF($B50="","",IF(AE50&gt;=DAY($G$3),cfg_DAYS_M,MIN(AE50,cfg_DAYS_M)))</f>
        <v/>
      </c>
      <c r="G50" s="105" t="str">
        <f aca="false">IF($B50="","",SUMIFS('الحركات الشهرية'!$D$6:$D$1005,'الحركات الشهرية'!$B$6:$B$1005,$B50,'الحركات الشهرية'!$A$6:$A$1005,$C$3))</f>
        <v/>
      </c>
      <c r="H50" s="105" t="str">
        <f aca="false">IF($B50="","",SUMIFS('الحركات الشهرية'!$E$6:$E$1005,'الحركات الشهرية'!$B$6:$B$1005,$B50,'الحركات الشهرية'!$A$6:$A$1005,$C$3))</f>
        <v/>
      </c>
      <c r="I50" s="105" t="str">
        <f aca="false">IF($B50="","",MAX(0,F50-G50-H50))</f>
        <v/>
      </c>
      <c r="J50" s="86" t="str">
        <f aca="false">IF($B50="","",الموظفون!$J50*$I50/cfg_DAYS_M)</f>
        <v/>
      </c>
      <c r="K50" s="86" t="str">
        <f aca="false">IF($B50="","",الموظفون!$K50*$I50/cfg_DAYS_M)</f>
        <v/>
      </c>
      <c r="L50" s="86" t="str">
        <f aca="false">IF($B50="","",الموظفون!$L50*$I50/cfg_DAYS_M)</f>
        <v/>
      </c>
      <c r="M50" s="86" t="str">
        <f aca="false">IF($B50="","",الموظفون!$M50*$I50/cfg_DAYS_M)</f>
        <v/>
      </c>
      <c r="N50" s="105" t="str">
        <f aca="false">IF($B50="","",SUMIFS('الحركات الشهرية'!$F$6:$F$1005,'الحركات الشهرية'!$B$6:$B$1005,$B50,'الحركات الشهرية'!$A$6:$A$1005,$C$3))</f>
        <v/>
      </c>
      <c r="O50" s="86" t="str">
        <f aca="false">IF($B50="","",N50*(الموظفون!$N50+الموظفون!$J50*cfg_OT_P)/cfg_DAYS_M/cfg_HRS)</f>
        <v/>
      </c>
      <c r="P50" s="86" t="str">
        <f aca="false">IF($B50="","",SUMIFS('الحركات الشهرية'!$G$6:$G$1005,'الحركات الشهرية'!$B$6:$B$1005,$B50,'الحركات الشهرية'!$A$6:$A$1005,$C$3))</f>
        <v/>
      </c>
      <c r="Q50" s="86" t="str">
        <f aca="false">IF($B50="","",SUMIFS('الحركات الشهرية'!$H$6:$H$1005,'الحركات الشهرية'!$B$6:$B$1005,$B50,'الحركات الشهرية'!$A$6:$A$1005,$C$3))</f>
        <v/>
      </c>
      <c r="R50" s="106" t="str">
        <f aca="false">IF($B50="","",SUM(J50:M50)+SUM(O50:Q50))</f>
        <v/>
      </c>
      <c r="S50" s="86" t="str">
        <f aca="false">IF($B50="","",الموظفون!$Q50*IF(E50="سعودي",cfg_G_SE,cfg_G_NE)*F50/cfg_DAYS_M)</f>
        <v/>
      </c>
      <c r="T50" s="86" t="str">
        <f aca="false">IF($B50="","",SUMIFS('الحركات الشهرية'!$I$6:$I$1005,'الحركات الشهرية'!$B$6:$B$1005,$B50,'الحركات الشهرية'!$A$6:$A$1005,$C$3))</f>
        <v/>
      </c>
      <c r="U50" s="86" t="str">
        <f aca="false">IF($B50="","",SUMIFS('الحركات الشهرية'!$J$6:$J$1005,'الحركات الشهرية'!$B$6:$B$1005,$B50,'الحركات الشهرية'!$A$6:$A$1005,$C$3))</f>
        <v/>
      </c>
      <c r="V50" s="86" t="str">
        <f aca="false">IF($B50="","",SUM(S50:U50))</f>
        <v/>
      </c>
      <c r="W50" s="107" t="str">
        <f aca="false">IF($B50="","",R50-V50)</f>
        <v/>
      </c>
      <c r="X50" s="86" t="str">
        <f aca="false">IF($B50="","",الموظفون!$Q50*IF(E50="سعودي",cfg_G_SR,cfg_G_NR)*F50/cfg_DAYS_M)</f>
        <v/>
      </c>
      <c r="Y50" s="86" t="str">
        <f aca="false">IF($B50="","",الموظفون!$O50*(cfg_EOS_R1*(MIN(AC50,cfg_EOS_TH)-MIN(AD50,cfg_EOS_TH))+cfg_EOS_R2*(MAX(AC50-cfg_EOS_TH,0)-MAX(AD50-cfg_EOS_TH,0))))</f>
        <v/>
      </c>
      <c r="Z50" s="86" t="str">
        <f aca="false">IF($B50="","",IF(الموظفون!$R50&lt;&gt;"",الموظفون!$R50,IF(AC50&gt;=cfg_LV_TH,cfg_LV_D2,cfg_LV_D1))/cfg_DAYS_Y*AE50*الموظفون!$P50/cfg_DAYS_M)</f>
        <v/>
      </c>
      <c r="AA50" s="86" t="str">
        <f aca="false">IF($B50="","",IF(AND(الموظفون!$S50="نعم",N(الموظفون!$U50)&gt;0),الموظفون!$T50/الموظفون!$U50*12/cfg_DAYS_Y*AE50,0))</f>
        <v/>
      </c>
      <c r="AB50" s="108" t="str">
        <f aca="false">IF($B50="","",R50+SUM(X50:AA50))</f>
        <v/>
      </c>
      <c r="AC50" s="109" t="str">
        <f aca="false">IF($B50="","",MAX(0,IF(OR(الموظفون!$X50="",الموظفون!$X50&gt;$G$3),$G$3,الموظفون!$X50)-الموظفون!$H50+1)/cfg_DAYS_Y)</f>
        <v/>
      </c>
      <c r="AD50" s="109" t="str">
        <f aca="false">IF($B50="","",MAX(0,IF(OR(الموظفون!$X50="",الموظفون!$X50&gt;($E$3-1)),($E$3-1),الموظفون!$X50)-الموظفون!$H50+1)/cfg_DAYS_Y)</f>
        <v/>
      </c>
      <c r="AE50" s="51" t="str">
        <f aca="false">IF($B50="","",MAX(0,IF(OR(الموظفون!$X50="",الموظفون!$X50&gt;$G$3),$G$3,الموظفون!$X50)-MAX($E$3,الموظفون!$H50)+1))</f>
        <v/>
      </c>
    </row>
    <row r="51" customFormat="false" ht="15" hidden="false" customHeight="false" outlineLevel="0" collapsed="false">
      <c r="A51" s="89" t="str">
        <f aca="false">IF($B51="","",الموظفون!$A51)</f>
        <v/>
      </c>
      <c r="B51" s="91" t="str">
        <f aca="false">IF(الموظفون!$B51="","",الموظفون!$B51)</f>
        <v/>
      </c>
      <c r="C51" s="91" t="str">
        <f aca="false">IF($B51="","",الموظفون!$C51)</f>
        <v/>
      </c>
      <c r="D51" s="91" t="str">
        <f aca="false">IF($B51="","",الموظفون!$F51)</f>
        <v/>
      </c>
      <c r="E51" s="91" t="str">
        <f aca="false">IF($B51="","",الموظفون!$E51)</f>
        <v/>
      </c>
      <c r="F51" s="110" t="str">
        <f aca="false">IF($B51="","",IF(AE51&gt;=DAY($G$3),cfg_DAYS_M,MIN(AE51,cfg_DAYS_M)))</f>
        <v/>
      </c>
      <c r="G51" s="110" t="str">
        <f aca="false">IF($B51="","",SUMIFS('الحركات الشهرية'!$D$6:$D$1005,'الحركات الشهرية'!$B$6:$B$1005,$B51,'الحركات الشهرية'!$A$6:$A$1005,$C$3))</f>
        <v/>
      </c>
      <c r="H51" s="110" t="str">
        <f aca="false">IF($B51="","",SUMIFS('الحركات الشهرية'!$E$6:$E$1005,'الحركات الشهرية'!$B$6:$B$1005,$B51,'الحركات الشهرية'!$A$6:$A$1005,$C$3))</f>
        <v/>
      </c>
      <c r="I51" s="110" t="str">
        <f aca="false">IF($B51="","",MAX(0,F51-G51-H51))</f>
        <v/>
      </c>
      <c r="J51" s="90" t="str">
        <f aca="false">IF($B51="","",الموظفون!$J51*$I51/cfg_DAYS_M)</f>
        <v/>
      </c>
      <c r="K51" s="90" t="str">
        <f aca="false">IF($B51="","",الموظفون!$K51*$I51/cfg_DAYS_M)</f>
        <v/>
      </c>
      <c r="L51" s="90" t="str">
        <f aca="false">IF($B51="","",الموظفون!$L51*$I51/cfg_DAYS_M)</f>
        <v/>
      </c>
      <c r="M51" s="90" t="str">
        <f aca="false">IF($B51="","",الموظفون!$M51*$I51/cfg_DAYS_M)</f>
        <v/>
      </c>
      <c r="N51" s="110" t="str">
        <f aca="false">IF($B51="","",SUMIFS('الحركات الشهرية'!$F$6:$F$1005,'الحركات الشهرية'!$B$6:$B$1005,$B51,'الحركات الشهرية'!$A$6:$A$1005,$C$3))</f>
        <v/>
      </c>
      <c r="O51" s="90" t="str">
        <f aca="false">IF($B51="","",N51*(الموظفون!$N51+الموظفون!$J51*cfg_OT_P)/cfg_DAYS_M/cfg_HRS)</f>
        <v/>
      </c>
      <c r="P51" s="90" t="str">
        <f aca="false">IF($B51="","",SUMIFS('الحركات الشهرية'!$G$6:$G$1005,'الحركات الشهرية'!$B$6:$B$1005,$B51,'الحركات الشهرية'!$A$6:$A$1005,$C$3))</f>
        <v/>
      </c>
      <c r="Q51" s="90" t="str">
        <f aca="false">IF($B51="","",SUMIFS('الحركات الشهرية'!$H$6:$H$1005,'الحركات الشهرية'!$B$6:$B$1005,$B51,'الحركات الشهرية'!$A$6:$A$1005,$C$3))</f>
        <v/>
      </c>
      <c r="R51" s="111" t="str">
        <f aca="false">IF($B51="","",SUM(J51:M51)+SUM(O51:Q51))</f>
        <v/>
      </c>
      <c r="S51" s="90" t="str">
        <f aca="false">IF($B51="","",الموظفون!$Q51*IF(E51="سعودي",cfg_G_SE,cfg_G_NE)*F51/cfg_DAYS_M)</f>
        <v/>
      </c>
      <c r="T51" s="90" t="str">
        <f aca="false">IF($B51="","",SUMIFS('الحركات الشهرية'!$I$6:$I$1005,'الحركات الشهرية'!$B$6:$B$1005,$B51,'الحركات الشهرية'!$A$6:$A$1005,$C$3))</f>
        <v/>
      </c>
      <c r="U51" s="90" t="str">
        <f aca="false">IF($B51="","",SUMIFS('الحركات الشهرية'!$J$6:$J$1005,'الحركات الشهرية'!$B$6:$B$1005,$B51,'الحركات الشهرية'!$A$6:$A$1005,$C$3))</f>
        <v/>
      </c>
      <c r="V51" s="90" t="str">
        <f aca="false">IF($B51="","",SUM(S51:U51))</f>
        <v/>
      </c>
      <c r="W51" s="112" t="str">
        <f aca="false">IF($B51="","",R51-V51)</f>
        <v/>
      </c>
      <c r="X51" s="90" t="str">
        <f aca="false">IF($B51="","",الموظفون!$Q51*IF(E51="سعودي",cfg_G_SR,cfg_G_NR)*F51/cfg_DAYS_M)</f>
        <v/>
      </c>
      <c r="Y51" s="90" t="str">
        <f aca="false">IF($B51="","",الموظفون!$O51*(cfg_EOS_R1*(MIN(AC51,cfg_EOS_TH)-MIN(AD51,cfg_EOS_TH))+cfg_EOS_R2*(MAX(AC51-cfg_EOS_TH,0)-MAX(AD51-cfg_EOS_TH,0))))</f>
        <v/>
      </c>
      <c r="Z51" s="90" t="str">
        <f aca="false">IF($B51="","",IF(الموظفون!$R51&lt;&gt;"",الموظفون!$R51,IF(AC51&gt;=cfg_LV_TH,cfg_LV_D2,cfg_LV_D1))/cfg_DAYS_Y*AE51*الموظفون!$P51/cfg_DAYS_M)</f>
        <v/>
      </c>
      <c r="AA51" s="90" t="str">
        <f aca="false">IF($B51="","",IF(AND(الموظفون!$S51="نعم",N(الموظفون!$U51)&gt;0),الموظفون!$T51/الموظفون!$U51*12/cfg_DAYS_Y*AE51,0))</f>
        <v/>
      </c>
      <c r="AB51" s="113" t="str">
        <f aca="false">IF($B51="","",R51+SUM(X51:AA51))</f>
        <v/>
      </c>
      <c r="AC51" s="114" t="str">
        <f aca="false">IF($B51="","",MAX(0,IF(OR(الموظفون!$X51="",الموظفون!$X51&gt;$G$3),$G$3,الموظفون!$X51)-الموظفون!$H51+1)/cfg_DAYS_Y)</f>
        <v/>
      </c>
      <c r="AD51" s="114" t="str">
        <f aca="false">IF($B51="","",MAX(0,IF(OR(الموظفون!$X51="",الموظفون!$X51&gt;($E$3-1)),($E$3-1),الموظفون!$X51)-الموظفون!$H51+1)/cfg_DAYS_Y)</f>
        <v/>
      </c>
      <c r="AE51" s="115" t="str">
        <f aca="false">IF($B51="","",MAX(0,IF(OR(الموظفون!$X51="",الموظفون!$X51&gt;$G$3),$G$3,الموظفون!$X51)-MAX($E$3,الموظفون!$H51)+1))</f>
        <v/>
      </c>
    </row>
    <row r="52" customFormat="false" ht="15" hidden="false" customHeight="false" outlineLevel="0" collapsed="false">
      <c r="A52" s="83" t="str">
        <f aca="false">IF($B52="","",الموظفون!$A52)</f>
        <v/>
      </c>
      <c r="B52" s="74" t="str">
        <f aca="false">IF(الموظفون!$B52="","",الموظفون!$B52)</f>
        <v/>
      </c>
      <c r="C52" s="74" t="str">
        <f aca="false">IF($B52="","",الموظفون!$C52)</f>
        <v/>
      </c>
      <c r="D52" s="74" t="str">
        <f aca="false">IF($B52="","",الموظفون!$F52)</f>
        <v/>
      </c>
      <c r="E52" s="74" t="str">
        <f aca="false">IF($B52="","",الموظفون!$E52)</f>
        <v/>
      </c>
      <c r="F52" s="105" t="str">
        <f aca="false">IF($B52="","",IF(AE52&gt;=DAY($G$3),cfg_DAYS_M,MIN(AE52,cfg_DAYS_M)))</f>
        <v/>
      </c>
      <c r="G52" s="105" t="str">
        <f aca="false">IF($B52="","",SUMIFS('الحركات الشهرية'!$D$6:$D$1005,'الحركات الشهرية'!$B$6:$B$1005,$B52,'الحركات الشهرية'!$A$6:$A$1005,$C$3))</f>
        <v/>
      </c>
      <c r="H52" s="105" t="str">
        <f aca="false">IF($B52="","",SUMIFS('الحركات الشهرية'!$E$6:$E$1005,'الحركات الشهرية'!$B$6:$B$1005,$B52,'الحركات الشهرية'!$A$6:$A$1005,$C$3))</f>
        <v/>
      </c>
      <c r="I52" s="105" t="str">
        <f aca="false">IF($B52="","",MAX(0,F52-G52-H52))</f>
        <v/>
      </c>
      <c r="J52" s="86" t="str">
        <f aca="false">IF($B52="","",الموظفون!$J52*$I52/cfg_DAYS_M)</f>
        <v/>
      </c>
      <c r="K52" s="86" t="str">
        <f aca="false">IF($B52="","",الموظفون!$K52*$I52/cfg_DAYS_M)</f>
        <v/>
      </c>
      <c r="L52" s="86" t="str">
        <f aca="false">IF($B52="","",الموظفون!$L52*$I52/cfg_DAYS_M)</f>
        <v/>
      </c>
      <c r="M52" s="86" t="str">
        <f aca="false">IF($B52="","",الموظفون!$M52*$I52/cfg_DAYS_M)</f>
        <v/>
      </c>
      <c r="N52" s="105" t="str">
        <f aca="false">IF($B52="","",SUMIFS('الحركات الشهرية'!$F$6:$F$1005,'الحركات الشهرية'!$B$6:$B$1005,$B52,'الحركات الشهرية'!$A$6:$A$1005,$C$3))</f>
        <v/>
      </c>
      <c r="O52" s="86" t="str">
        <f aca="false">IF($B52="","",N52*(الموظفون!$N52+الموظفون!$J52*cfg_OT_P)/cfg_DAYS_M/cfg_HRS)</f>
        <v/>
      </c>
      <c r="P52" s="86" t="str">
        <f aca="false">IF($B52="","",SUMIFS('الحركات الشهرية'!$G$6:$G$1005,'الحركات الشهرية'!$B$6:$B$1005,$B52,'الحركات الشهرية'!$A$6:$A$1005,$C$3))</f>
        <v/>
      </c>
      <c r="Q52" s="86" t="str">
        <f aca="false">IF($B52="","",SUMIFS('الحركات الشهرية'!$H$6:$H$1005,'الحركات الشهرية'!$B$6:$B$1005,$B52,'الحركات الشهرية'!$A$6:$A$1005,$C$3))</f>
        <v/>
      </c>
      <c r="R52" s="106" t="str">
        <f aca="false">IF($B52="","",SUM(J52:M52)+SUM(O52:Q52))</f>
        <v/>
      </c>
      <c r="S52" s="86" t="str">
        <f aca="false">IF($B52="","",الموظفون!$Q52*IF(E52="سعودي",cfg_G_SE,cfg_G_NE)*F52/cfg_DAYS_M)</f>
        <v/>
      </c>
      <c r="T52" s="86" t="str">
        <f aca="false">IF($B52="","",SUMIFS('الحركات الشهرية'!$I$6:$I$1005,'الحركات الشهرية'!$B$6:$B$1005,$B52,'الحركات الشهرية'!$A$6:$A$1005,$C$3))</f>
        <v/>
      </c>
      <c r="U52" s="86" t="str">
        <f aca="false">IF($B52="","",SUMIFS('الحركات الشهرية'!$J$6:$J$1005,'الحركات الشهرية'!$B$6:$B$1005,$B52,'الحركات الشهرية'!$A$6:$A$1005,$C$3))</f>
        <v/>
      </c>
      <c r="V52" s="86" t="str">
        <f aca="false">IF($B52="","",SUM(S52:U52))</f>
        <v/>
      </c>
      <c r="W52" s="107" t="str">
        <f aca="false">IF($B52="","",R52-V52)</f>
        <v/>
      </c>
      <c r="X52" s="86" t="str">
        <f aca="false">IF($B52="","",الموظفون!$Q52*IF(E52="سعودي",cfg_G_SR,cfg_G_NR)*F52/cfg_DAYS_M)</f>
        <v/>
      </c>
      <c r="Y52" s="86" t="str">
        <f aca="false">IF($B52="","",الموظفون!$O52*(cfg_EOS_R1*(MIN(AC52,cfg_EOS_TH)-MIN(AD52,cfg_EOS_TH))+cfg_EOS_R2*(MAX(AC52-cfg_EOS_TH,0)-MAX(AD52-cfg_EOS_TH,0))))</f>
        <v/>
      </c>
      <c r="Z52" s="86" t="str">
        <f aca="false">IF($B52="","",IF(الموظفون!$R52&lt;&gt;"",الموظفون!$R52,IF(AC52&gt;=cfg_LV_TH,cfg_LV_D2,cfg_LV_D1))/cfg_DAYS_Y*AE52*الموظفون!$P52/cfg_DAYS_M)</f>
        <v/>
      </c>
      <c r="AA52" s="86" t="str">
        <f aca="false">IF($B52="","",IF(AND(الموظفون!$S52="نعم",N(الموظفون!$U52)&gt;0),الموظفون!$T52/الموظفون!$U52*12/cfg_DAYS_Y*AE52,0))</f>
        <v/>
      </c>
      <c r="AB52" s="108" t="str">
        <f aca="false">IF($B52="","",R52+SUM(X52:AA52))</f>
        <v/>
      </c>
      <c r="AC52" s="109" t="str">
        <f aca="false">IF($B52="","",MAX(0,IF(OR(الموظفون!$X52="",الموظفون!$X52&gt;$G$3),$G$3,الموظفون!$X52)-الموظفون!$H52+1)/cfg_DAYS_Y)</f>
        <v/>
      </c>
      <c r="AD52" s="109" t="str">
        <f aca="false">IF($B52="","",MAX(0,IF(OR(الموظفون!$X52="",الموظفون!$X52&gt;($E$3-1)),($E$3-1),الموظفون!$X52)-الموظفون!$H52+1)/cfg_DAYS_Y)</f>
        <v/>
      </c>
      <c r="AE52" s="51" t="str">
        <f aca="false">IF($B52="","",MAX(0,IF(OR(الموظفون!$X52="",الموظفون!$X52&gt;$G$3),$G$3,الموظفون!$X52)-MAX($E$3,الموظفون!$H52)+1))</f>
        <v/>
      </c>
    </row>
    <row r="53" customFormat="false" ht="15" hidden="false" customHeight="false" outlineLevel="0" collapsed="false">
      <c r="A53" s="89" t="str">
        <f aca="false">IF($B53="","",الموظفون!$A53)</f>
        <v/>
      </c>
      <c r="B53" s="91" t="str">
        <f aca="false">IF(الموظفون!$B53="","",الموظفون!$B53)</f>
        <v/>
      </c>
      <c r="C53" s="91" t="str">
        <f aca="false">IF($B53="","",الموظفون!$C53)</f>
        <v/>
      </c>
      <c r="D53" s="91" t="str">
        <f aca="false">IF($B53="","",الموظفون!$F53)</f>
        <v/>
      </c>
      <c r="E53" s="91" t="str">
        <f aca="false">IF($B53="","",الموظفون!$E53)</f>
        <v/>
      </c>
      <c r="F53" s="110" t="str">
        <f aca="false">IF($B53="","",IF(AE53&gt;=DAY($G$3),cfg_DAYS_M,MIN(AE53,cfg_DAYS_M)))</f>
        <v/>
      </c>
      <c r="G53" s="110" t="str">
        <f aca="false">IF($B53="","",SUMIFS('الحركات الشهرية'!$D$6:$D$1005,'الحركات الشهرية'!$B$6:$B$1005,$B53,'الحركات الشهرية'!$A$6:$A$1005,$C$3))</f>
        <v/>
      </c>
      <c r="H53" s="110" t="str">
        <f aca="false">IF($B53="","",SUMIFS('الحركات الشهرية'!$E$6:$E$1005,'الحركات الشهرية'!$B$6:$B$1005,$B53,'الحركات الشهرية'!$A$6:$A$1005,$C$3))</f>
        <v/>
      </c>
      <c r="I53" s="110" t="str">
        <f aca="false">IF($B53="","",MAX(0,F53-G53-H53))</f>
        <v/>
      </c>
      <c r="J53" s="90" t="str">
        <f aca="false">IF($B53="","",الموظفون!$J53*$I53/cfg_DAYS_M)</f>
        <v/>
      </c>
      <c r="K53" s="90" t="str">
        <f aca="false">IF($B53="","",الموظفون!$K53*$I53/cfg_DAYS_M)</f>
        <v/>
      </c>
      <c r="L53" s="90" t="str">
        <f aca="false">IF($B53="","",الموظفون!$L53*$I53/cfg_DAYS_M)</f>
        <v/>
      </c>
      <c r="M53" s="90" t="str">
        <f aca="false">IF($B53="","",الموظفون!$M53*$I53/cfg_DAYS_M)</f>
        <v/>
      </c>
      <c r="N53" s="110" t="str">
        <f aca="false">IF($B53="","",SUMIFS('الحركات الشهرية'!$F$6:$F$1005,'الحركات الشهرية'!$B$6:$B$1005,$B53,'الحركات الشهرية'!$A$6:$A$1005,$C$3))</f>
        <v/>
      </c>
      <c r="O53" s="90" t="str">
        <f aca="false">IF($B53="","",N53*(الموظفون!$N53+الموظفون!$J53*cfg_OT_P)/cfg_DAYS_M/cfg_HRS)</f>
        <v/>
      </c>
      <c r="P53" s="90" t="str">
        <f aca="false">IF($B53="","",SUMIFS('الحركات الشهرية'!$G$6:$G$1005,'الحركات الشهرية'!$B$6:$B$1005,$B53,'الحركات الشهرية'!$A$6:$A$1005,$C$3))</f>
        <v/>
      </c>
      <c r="Q53" s="90" t="str">
        <f aca="false">IF($B53="","",SUMIFS('الحركات الشهرية'!$H$6:$H$1005,'الحركات الشهرية'!$B$6:$B$1005,$B53,'الحركات الشهرية'!$A$6:$A$1005,$C$3))</f>
        <v/>
      </c>
      <c r="R53" s="111" t="str">
        <f aca="false">IF($B53="","",SUM(J53:M53)+SUM(O53:Q53))</f>
        <v/>
      </c>
      <c r="S53" s="90" t="str">
        <f aca="false">IF($B53="","",الموظفون!$Q53*IF(E53="سعودي",cfg_G_SE,cfg_G_NE)*F53/cfg_DAYS_M)</f>
        <v/>
      </c>
      <c r="T53" s="90" t="str">
        <f aca="false">IF($B53="","",SUMIFS('الحركات الشهرية'!$I$6:$I$1005,'الحركات الشهرية'!$B$6:$B$1005,$B53,'الحركات الشهرية'!$A$6:$A$1005,$C$3))</f>
        <v/>
      </c>
      <c r="U53" s="90" t="str">
        <f aca="false">IF($B53="","",SUMIFS('الحركات الشهرية'!$J$6:$J$1005,'الحركات الشهرية'!$B$6:$B$1005,$B53,'الحركات الشهرية'!$A$6:$A$1005,$C$3))</f>
        <v/>
      </c>
      <c r="V53" s="90" t="str">
        <f aca="false">IF($B53="","",SUM(S53:U53))</f>
        <v/>
      </c>
      <c r="W53" s="112" t="str">
        <f aca="false">IF($B53="","",R53-V53)</f>
        <v/>
      </c>
      <c r="X53" s="90" t="str">
        <f aca="false">IF($B53="","",الموظفون!$Q53*IF(E53="سعودي",cfg_G_SR,cfg_G_NR)*F53/cfg_DAYS_M)</f>
        <v/>
      </c>
      <c r="Y53" s="90" t="str">
        <f aca="false">IF($B53="","",الموظفون!$O53*(cfg_EOS_R1*(MIN(AC53,cfg_EOS_TH)-MIN(AD53,cfg_EOS_TH))+cfg_EOS_R2*(MAX(AC53-cfg_EOS_TH,0)-MAX(AD53-cfg_EOS_TH,0))))</f>
        <v/>
      </c>
      <c r="Z53" s="90" t="str">
        <f aca="false">IF($B53="","",IF(الموظفون!$R53&lt;&gt;"",الموظفون!$R53,IF(AC53&gt;=cfg_LV_TH,cfg_LV_D2,cfg_LV_D1))/cfg_DAYS_Y*AE53*الموظفون!$P53/cfg_DAYS_M)</f>
        <v/>
      </c>
      <c r="AA53" s="90" t="str">
        <f aca="false">IF($B53="","",IF(AND(الموظفون!$S53="نعم",N(الموظفون!$U53)&gt;0),الموظفون!$T53/الموظفون!$U53*12/cfg_DAYS_Y*AE53,0))</f>
        <v/>
      </c>
      <c r="AB53" s="113" t="str">
        <f aca="false">IF($B53="","",R53+SUM(X53:AA53))</f>
        <v/>
      </c>
      <c r="AC53" s="114" t="str">
        <f aca="false">IF($B53="","",MAX(0,IF(OR(الموظفون!$X53="",الموظفون!$X53&gt;$G$3),$G$3,الموظفون!$X53)-الموظفون!$H53+1)/cfg_DAYS_Y)</f>
        <v/>
      </c>
      <c r="AD53" s="114" t="str">
        <f aca="false">IF($B53="","",MAX(0,IF(OR(الموظفون!$X53="",الموظفون!$X53&gt;($E$3-1)),($E$3-1),الموظفون!$X53)-الموظفون!$H53+1)/cfg_DAYS_Y)</f>
        <v/>
      </c>
      <c r="AE53" s="115" t="str">
        <f aca="false">IF($B53="","",MAX(0,IF(OR(الموظفون!$X53="",الموظفون!$X53&gt;$G$3),$G$3,الموظفون!$X53)-MAX($E$3,الموظفون!$H53)+1))</f>
        <v/>
      </c>
    </row>
    <row r="54" customFormat="false" ht="15" hidden="false" customHeight="false" outlineLevel="0" collapsed="false">
      <c r="A54" s="83" t="str">
        <f aca="false">IF($B54="","",الموظفون!$A54)</f>
        <v/>
      </c>
      <c r="B54" s="74" t="str">
        <f aca="false">IF(الموظفون!$B54="","",الموظفون!$B54)</f>
        <v/>
      </c>
      <c r="C54" s="74" t="str">
        <f aca="false">IF($B54="","",الموظفون!$C54)</f>
        <v/>
      </c>
      <c r="D54" s="74" t="str">
        <f aca="false">IF($B54="","",الموظفون!$F54)</f>
        <v/>
      </c>
      <c r="E54" s="74" t="str">
        <f aca="false">IF($B54="","",الموظفون!$E54)</f>
        <v/>
      </c>
      <c r="F54" s="105" t="str">
        <f aca="false">IF($B54="","",IF(AE54&gt;=DAY($G$3),cfg_DAYS_M,MIN(AE54,cfg_DAYS_M)))</f>
        <v/>
      </c>
      <c r="G54" s="105" t="str">
        <f aca="false">IF($B54="","",SUMIFS('الحركات الشهرية'!$D$6:$D$1005,'الحركات الشهرية'!$B$6:$B$1005,$B54,'الحركات الشهرية'!$A$6:$A$1005,$C$3))</f>
        <v/>
      </c>
      <c r="H54" s="105" t="str">
        <f aca="false">IF($B54="","",SUMIFS('الحركات الشهرية'!$E$6:$E$1005,'الحركات الشهرية'!$B$6:$B$1005,$B54,'الحركات الشهرية'!$A$6:$A$1005,$C$3))</f>
        <v/>
      </c>
      <c r="I54" s="105" t="str">
        <f aca="false">IF($B54="","",MAX(0,F54-G54-H54))</f>
        <v/>
      </c>
      <c r="J54" s="86" t="str">
        <f aca="false">IF($B54="","",الموظفون!$J54*$I54/cfg_DAYS_M)</f>
        <v/>
      </c>
      <c r="K54" s="86" t="str">
        <f aca="false">IF($B54="","",الموظفون!$K54*$I54/cfg_DAYS_M)</f>
        <v/>
      </c>
      <c r="L54" s="86" t="str">
        <f aca="false">IF($B54="","",الموظفون!$L54*$I54/cfg_DAYS_M)</f>
        <v/>
      </c>
      <c r="M54" s="86" t="str">
        <f aca="false">IF($B54="","",الموظفون!$M54*$I54/cfg_DAYS_M)</f>
        <v/>
      </c>
      <c r="N54" s="105" t="str">
        <f aca="false">IF($B54="","",SUMIFS('الحركات الشهرية'!$F$6:$F$1005,'الحركات الشهرية'!$B$6:$B$1005,$B54,'الحركات الشهرية'!$A$6:$A$1005,$C$3))</f>
        <v/>
      </c>
      <c r="O54" s="86" t="str">
        <f aca="false">IF($B54="","",N54*(الموظفون!$N54+الموظفون!$J54*cfg_OT_P)/cfg_DAYS_M/cfg_HRS)</f>
        <v/>
      </c>
      <c r="P54" s="86" t="str">
        <f aca="false">IF($B54="","",SUMIFS('الحركات الشهرية'!$G$6:$G$1005,'الحركات الشهرية'!$B$6:$B$1005,$B54,'الحركات الشهرية'!$A$6:$A$1005,$C$3))</f>
        <v/>
      </c>
      <c r="Q54" s="86" t="str">
        <f aca="false">IF($B54="","",SUMIFS('الحركات الشهرية'!$H$6:$H$1005,'الحركات الشهرية'!$B$6:$B$1005,$B54,'الحركات الشهرية'!$A$6:$A$1005,$C$3))</f>
        <v/>
      </c>
      <c r="R54" s="106" t="str">
        <f aca="false">IF($B54="","",SUM(J54:M54)+SUM(O54:Q54))</f>
        <v/>
      </c>
      <c r="S54" s="86" t="str">
        <f aca="false">IF($B54="","",الموظفون!$Q54*IF(E54="سعودي",cfg_G_SE,cfg_G_NE)*F54/cfg_DAYS_M)</f>
        <v/>
      </c>
      <c r="T54" s="86" t="str">
        <f aca="false">IF($B54="","",SUMIFS('الحركات الشهرية'!$I$6:$I$1005,'الحركات الشهرية'!$B$6:$B$1005,$B54,'الحركات الشهرية'!$A$6:$A$1005,$C$3))</f>
        <v/>
      </c>
      <c r="U54" s="86" t="str">
        <f aca="false">IF($B54="","",SUMIFS('الحركات الشهرية'!$J$6:$J$1005,'الحركات الشهرية'!$B$6:$B$1005,$B54,'الحركات الشهرية'!$A$6:$A$1005,$C$3))</f>
        <v/>
      </c>
      <c r="V54" s="86" t="str">
        <f aca="false">IF($B54="","",SUM(S54:U54))</f>
        <v/>
      </c>
      <c r="W54" s="107" t="str">
        <f aca="false">IF($B54="","",R54-V54)</f>
        <v/>
      </c>
      <c r="X54" s="86" t="str">
        <f aca="false">IF($B54="","",الموظفون!$Q54*IF(E54="سعودي",cfg_G_SR,cfg_G_NR)*F54/cfg_DAYS_M)</f>
        <v/>
      </c>
      <c r="Y54" s="86" t="str">
        <f aca="false">IF($B54="","",الموظفون!$O54*(cfg_EOS_R1*(MIN(AC54,cfg_EOS_TH)-MIN(AD54,cfg_EOS_TH))+cfg_EOS_R2*(MAX(AC54-cfg_EOS_TH,0)-MAX(AD54-cfg_EOS_TH,0))))</f>
        <v/>
      </c>
      <c r="Z54" s="86" t="str">
        <f aca="false">IF($B54="","",IF(الموظفون!$R54&lt;&gt;"",الموظفون!$R54,IF(AC54&gt;=cfg_LV_TH,cfg_LV_D2,cfg_LV_D1))/cfg_DAYS_Y*AE54*الموظفون!$P54/cfg_DAYS_M)</f>
        <v/>
      </c>
      <c r="AA54" s="86" t="str">
        <f aca="false">IF($B54="","",IF(AND(الموظفون!$S54="نعم",N(الموظفون!$U54)&gt;0),الموظفون!$T54/الموظفون!$U54*12/cfg_DAYS_Y*AE54,0))</f>
        <v/>
      </c>
      <c r="AB54" s="108" t="str">
        <f aca="false">IF($B54="","",R54+SUM(X54:AA54))</f>
        <v/>
      </c>
      <c r="AC54" s="109" t="str">
        <f aca="false">IF($B54="","",MAX(0,IF(OR(الموظفون!$X54="",الموظفون!$X54&gt;$G$3),$G$3,الموظفون!$X54)-الموظفون!$H54+1)/cfg_DAYS_Y)</f>
        <v/>
      </c>
      <c r="AD54" s="109" t="str">
        <f aca="false">IF($B54="","",MAX(0,IF(OR(الموظفون!$X54="",الموظفون!$X54&gt;($E$3-1)),($E$3-1),الموظفون!$X54)-الموظفون!$H54+1)/cfg_DAYS_Y)</f>
        <v/>
      </c>
      <c r="AE54" s="51" t="str">
        <f aca="false">IF($B54="","",MAX(0,IF(OR(الموظفون!$X54="",الموظفون!$X54&gt;$G$3),$G$3,الموظفون!$X54)-MAX($E$3,الموظفون!$H54)+1))</f>
        <v/>
      </c>
    </row>
    <row r="55" customFormat="false" ht="15" hidden="false" customHeight="false" outlineLevel="0" collapsed="false">
      <c r="A55" s="89" t="str">
        <f aca="false">IF($B55="","",الموظفون!$A55)</f>
        <v/>
      </c>
      <c r="B55" s="91" t="str">
        <f aca="false">IF(الموظفون!$B55="","",الموظفون!$B55)</f>
        <v/>
      </c>
      <c r="C55" s="91" t="str">
        <f aca="false">IF($B55="","",الموظفون!$C55)</f>
        <v/>
      </c>
      <c r="D55" s="91" t="str">
        <f aca="false">IF($B55="","",الموظفون!$F55)</f>
        <v/>
      </c>
      <c r="E55" s="91" t="str">
        <f aca="false">IF($B55="","",الموظفون!$E55)</f>
        <v/>
      </c>
      <c r="F55" s="110" t="str">
        <f aca="false">IF($B55="","",IF(AE55&gt;=DAY($G$3),cfg_DAYS_M,MIN(AE55,cfg_DAYS_M)))</f>
        <v/>
      </c>
      <c r="G55" s="110" t="str">
        <f aca="false">IF($B55="","",SUMIFS('الحركات الشهرية'!$D$6:$D$1005,'الحركات الشهرية'!$B$6:$B$1005,$B55,'الحركات الشهرية'!$A$6:$A$1005,$C$3))</f>
        <v/>
      </c>
      <c r="H55" s="110" t="str">
        <f aca="false">IF($B55="","",SUMIFS('الحركات الشهرية'!$E$6:$E$1005,'الحركات الشهرية'!$B$6:$B$1005,$B55,'الحركات الشهرية'!$A$6:$A$1005,$C$3))</f>
        <v/>
      </c>
      <c r="I55" s="110" t="str">
        <f aca="false">IF($B55="","",MAX(0,F55-G55-H55))</f>
        <v/>
      </c>
      <c r="J55" s="90" t="str">
        <f aca="false">IF($B55="","",الموظفون!$J55*$I55/cfg_DAYS_M)</f>
        <v/>
      </c>
      <c r="K55" s="90" t="str">
        <f aca="false">IF($B55="","",الموظفون!$K55*$I55/cfg_DAYS_M)</f>
        <v/>
      </c>
      <c r="L55" s="90" t="str">
        <f aca="false">IF($B55="","",الموظفون!$L55*$I55/cfg_DAYS_M)</f>
        <v/>
      </c>
      <c r="M55" s="90" t="str">
        <f aca="false">IF($B55="","",الموظفون!$M55*$I55/cfg_DAYS_M)</f>
        <v/>
      </c>
      <c r="N55" s="110" t="str">
        <f aca="false">IF($B55="","",SUMIFS('الحركات الشهرية'!$F$6:$F$1005,'الحركات الشهرية'!$B$6:$B$1005,$B55,'الحركات الشهرية'!$A$6:$A$1005,$C$3))</f>
        <v/>
      </c>
      <c r="O55" s="90" t="str">
        <f aca="false">IF($B55="","",N55*(الموظفون!$N55+الموظفون!$J55*cfg_OT_P)/cfg_DAYS_M/cfg_HRS)</f>
        <v/>
      </c>
      <c r="P55" s="90" t="str">
        <f aca="false">IF($B55="","",SUMIFS('الحركات الشهرية'!$G$6:$G$1005,'الحركات الشهرية'!$B$6:$B$1005,$B55,'الحركات الشهرية'!$A$6:$A$1005,$C$3))</f>
        <v/>
      </c>
      <c r="Q55" s="90" t="str">
        <f aca="false">IF($B55="","",SUMIFS('الحركات الشهرية'!$H$6:$H$1005,'الحركات الشهرية'!$B$6:$B$1005,$B55,'الحركات الشهرية'!$A$6:$A$1005,$C$3))</f>
        <v/>
      </c>
      <c r="R55" s="111" t="str">
        <f aca="false">IF($B55="","",SUM(J55:M55)+SUM(O55:Q55))</f>
        <v/>
      </c>
      <c r="S55" s="90" t="str">
        <f aca="false">IF($B55="","",الموظفون!$Q55*IF(E55="سعودي",cfg_G_SE,cfg_G_NE)*F55/cfg_DAYS_M)</f>
        <v/>
      </c>
      <c r="T55" s="90" t="str">
        <f aca="false">IF($B55="","",SUMIFS('الحركات الشهرية'!$I$6:$I$1005,'الحركات الشهرية'!$B$6:$B$1005,$B55,'الحركات الشهرية'!$A$6:$A$1005,$C$3))</f>
        <v/>
      </c>
      <c r="U55" s="90" t="str">
        <f aca="false">IF($B55="","",SUMIFS('الحركات الشهرية'!$J$6:$J$1005,'الحركات الشهرية'!$B$6:$B$1005,$B55,'الحركات الشهرية'!$A$6:$A$1005,$C$3))</f>
        <v/>
      </c>
      <c r="V55" s="90" t="str">
        <f aca="false">IF($B55="","",SUM(S55:U55))</f>
        <v/>
      </c>
      <c r="W55" s="112" t="str">
        <f aca="false">IF($B55="","",R55-V55)</f>
        <v/>
      </c>
      <c r="X55" s="90" t="str">
        <f aca="false">IF($B55="","",الموظفون!$Q55*IF(E55="سعودي",cfg_G_SR,cfg_G_NR)*F55/cfg_DAYS_M)</f>
        <v/>
      </c>
      <c r="Y55" s="90" t="str">
        <f aca="false">IF($B55="","",الموظفون!$O55*(cfg_EOS_R1*(MIN(AC55,cfg_EOS_TH)-MIN(AD55,cfg_EOS_TH))+cfg_EOS_R2*(MAX(AC55-cfg_EOS_TH,0)-MAX(AD55-cfg_EOS_TH,0))))</f>
        <v/>
      </c>
      <c r="Z55" s="90" t="str">
        <f aca="false">IF($B55="","",IF(الموظفون!$R55&lt;&gt;"",الموظفون!$R55,IF(AC55&gt;=cfg_LV_TH,cfg_LV_D2,cfg_LV_D1))/cfg_DAYS_Y*AE55*الموظفون!$P55/cfg_DAYS_M)</f>
        <v/>
      </c>
      <c r="AA55" s="90" t="str">
        <f aca="false">IF($B55="","",IF(AND(الموظفون!$S55="نعم",N(الموظفون!$U55)&gt;0),الموظفون!$T55/الموظفون!$U55*12/cfg_DAYS_Y*AE55,0))</f>
        <v/>
      </c>
      <c r="AB55" s="113" t="str">
        <f aca="false">IF($B55="","",R55+SUM(X55:AA55))</f>
        <v/>
      </c>
      <c r="AC55" s="114" t="str">
        <f aca="false">IF($B55="","",MAX(0,IF(OR(الموظفون!$X55="",الموظفون!$X55&gt;$G$3),$G$3,الموظفون!$X55)-الموظفون!$H55+1)/cfg_DAYS_Y)</f>
        <v/>
      </c>
      <c r="AD55" s="114" t="str">
        <f aca="false">IF($B55="","",MAX(0,IF(OR(الموظفون!$X55="",الموظفون!$X55&gt;($E$3-1)),($E$3-1),الموظفون!$X55)-الموظفون!$H55+1)/cfg_DAYS_Y)</f>
        <v/>
      </c>
      <c r="AE55" s="115" t="str">
        <f aca="false">IF($B55="","",MAX(0,IF(OR(الموظفون!$X55="",الموظفون!$X55&gt;$G$3),$G$3,الموظفون!$X55)-MAX($E$3,الموظفون!$H55)+1))</f>
        <v/>
      </c>
    </row>
    <row r="56" customFormat="false" ht="15" hidden="false" customHeight="false" outlineLevel="0" collapsed="false">
      <c r="A56" s="83" t="str">
        <f aca="false">IF($B56="","",الموظفون!$A56)</f>
        <v/>
      </c>
      <c r="B56" s="74" t="str">
        <f aca="false">IF(الموظفون!$B56="","",الموظفون!$B56)</f>
        <v/>
      </c>
      <c r="C56" s="74" t="str">
        <f aca="false">IF($B56="","",الموظفون!$C56)</f>
        <v/>
      </c>
      <c r="D56" s="74" t="str">
        <f aca="false">IF($B56="","",الموظفون!$F56)</f>
        <v/>
      </c>
      <c r="E56" s="74" t="str">
        <f aca="false">IF($B56="","",الموظفون!$E56)</f>
        <v/>
      </c>
      <c r="F56" s="105" t="str">
        <f aca="false">IF($B56="","",IF(AE56&gt;=DAY($G$3),cfg_DAYS_M,MIN(AE56,cfg_DAYS_M)))</f>
        <v/>
      </c>
      <c r="G56" s="105" t="str">
        <f aca="false">IF($B56="","",SUMIFS('الحركات الشهرية'!$D$6:$D$1005,'الحركات الشهرية'!$B$6:$B$1005,$B56,'الحركات الشهرية'!$A$6:$A$1005,$C$3))</f>
        <v/>
      </c>
      <c r="H56" s="105" t="str">
        <f aca="false">IF($B56="","",SUMIFS('الحركات الشهرية'!$E$6:$E$1005,'الحركات الشهرية'!$B$6:$B$1005,$B56,'الحركات الشهرية'!$A$6:$A$1005,$C$3))</f>
        <v/>
      </c>
      <c r="I56" s="105" t="str">
        <f aca="false">IF($B56="","",MAX(0,F56-G56-H56))</f>
        <v/>
      </c>
      <c r="J56" s="86" t="str">
        <f aca="false">IF($B56="","",الموظفون!$J56*$I56/cfg_DAYS_M)</f>
        <v/>
      </c>
      <c r="K56" s="86" t="str">
        <f aca="false">IF($B56="","",الموظفون!$K56*$I56/cfg_DAYS_M)</f>
        <v/>
      </c>
      <c r="L56" s="86" t="str">
        <f aca="false">IF($B56="","",الموظفون!$L56*$I56/cfg_DAYS_M)</f>
        <v/>
      </c>
      <c r="M56" s="86" t="str">
        <f aca="false">IF($B56="","",الموظفون!$M56*$I56/cfg_DAYS_M)</f>
        <v/>
      </c>
      <c r="N56" s="105" t="str">
        <f aca="false">IF($B56="","",SUMIFS('الحركات الشهرية'!$F$6:$F$1005,'الحركات الشهرية'!$B$6:$B$1005,$B56,'الحركات الشهرية'!$A$6:$A$1005,$C$3))</f>
        <v/>
      </c>
      <c r="O56" s="86" t="str">
        <f aca="false">IF($B56="","",N56*(الموظفون!$N56+الموظفون!$J56*cfg_OT_P)/cfg_DAYS_M/cfg_HRS)</f>
        <v/>
      </c>
      <c r="P56" s="86" t="str">
        <f aca="false">IF($B56="","",SUMIFS('الحركات الشهرية'!$G$6:$G$1005,'الحركات الشهرية'!$B$6:$B$1005,$B56,'الحركات الشهرية'!$A$6:$A$1005,$C$3))</f>
        <v/>
      </c>
      <c r="Q56" s="86" t="str">
        <f aca="false">IF($B56="","",SUMIFS('الحركات الشهرية'!$H$6:$H$1005,'الحركات الشهرية'!$B$6:$B$1005,$B56,'الحركات الشهرية'!$A$6:$A$1005,$C$3))</f>
        <v/>
      </c>
      <c r="R56" s="106" t="str">
        <f aca="false">IF($B56="","",SUM(J56:M56)+SUM(O56:Q56))</f>
        <v/>
      </c>
      <c r="S56" s="86" t="str">
        <f aca="false">IF($B56="","",الموظفون!$Q56*IF(E56="سعودي",cfg_G_SE,cfg_G_NE)*F56/cfg_DAYS_M)</f>
        <v/>
      </c>
      <c r="T56" s="86" t="str">
        <f aca="false">IF($B56="","",SUMIFS('الحركات الشهرية'!$I$6:$I$1005,'الحركات الشهرية'!$B$6:$B$1005,$B56,'الحركات الشهرية'!$A$6:$A$1005,$C$3))</f>
        <v/>
      </c>
      <c r="U56" s="86" t="str">
        <f aca="false">IF($B56="","",SUMIFS('الحركات الشهرية'!$J$6:$J$1005,'الحركات الشهرية'!$B$6:$B$1005,$B56,'الحركات الشهرية'!$A$6:$A$1005,$C$3))</f>
        <v/>
      </c>
      <c r="V56" s="86" t="str">
        <f aca="false">IF($B56="","",SUM(S56:U56))</f>
        <v/>
      </c>
      <c r="W56" s="107" t="str">
        <f aca="false">IF($B56="","",R56-V56)</f>
        <v/>
      </c>
      <c r="X56" s="86" t="str">
        <f aca="false">IF($B56="","",الموظفون!$Q56*IF(E56="سعودي",cfg_G_SR,cfg_G_NR)*F56/cfg_DAYS_M)</f>
        <v/>
      </c>
      <c r="Y56" s="86" t="str">
        <f aca="false">IF($B56="","",الموظفون!$O56*(cfg_EOS_R1*(MIN(AC56,cfg_EOS_TH)-MIN(AD56,cfg_EOS_TH))+cfg_EOS_R2*(MAX(AC56-cfg_EOS_TH,0)-MAX(AD56-cfg_EOS_TH,0))))</f>
        <v/>
      </c>
      <c r="Z56" s="86" t="str">
        <f aca="false">IF($B56="","",IF(الموظفون!$R56&lt;&gt;"",الموظفون!$R56,IF(AC56&gt;=cfg_LV_TH,cfg_LV_D2,cfg_LV_D1))/cfg_DAYS_Y*AE56*الموظفون!$P56/cfg_DAYS_M)</f>
        <v/>
      </c>
      <c r="AA56" s="86" t="str">
        <f aca="false">IF($B56="","",IF(AND(الموظفون!$S56="نعم",N(الموظفون!$U56)&gt;0),الموظفون!$T56/الموظفون!$U56*12/cfg_DAYS_Y*AE56,0))</f>
        <v/>
      </c>
      <c r="AB56" s="108" t="str">
        <f aca="false">IF($B56="","",R56+SUM(X56:AA56))</f>
        <v/>
      </c>
      <c r="AC56" s="109" t="str">
        <f aca="false">IF($B56="","",MAX(0,IF(OR(الموظفون!$X56="",الموظفون!$X56&gt;$G$3),$G$3,الموظفون!$X56)-الموظفون!$H56+1)/cfg_DAYS_Y)</f>
        <v/>
      </c>
      <c r="AD56" s="109" t="str">
        <f aca="false">IF($B56="","",MAX(0,IF(OR(الموظفون!$X56="",الموظفون!$X56&gt;($E$3-1)),($E$3-1),الموظفون!$X56)-الموظفون!$H56+1)/cfg_DAYS_Y)</f>
        <v/>
      </c>
      <c r="AE56" s="51" t="str">
        <f aca="false">IF($B56="","",MAX(0,IF(OR(الموظفون!$X56="",الموظفون!$X56&gt;$G$3),$G$3,الموظفون!$X56)-MAX($E$3,الموظفون!$H56)+1))</f>
        <v/>
      </c>
    </row>
    <row r="57" customFormat="false" ht="15" hidden="false" customHeight="false" outlineLevel="0" collapsed="false">
      <c r="A57" s="89" t="str">
        <f aca="false">IF($B57="","",الموظفون!$A57)</f>
        <v/>
      </c>
      <c r="B57" s="91" t="str">
        <f aca="false">IF(الموظفون!$B57="","",الموظفون!$B57)</f>
        <v/>
      </c>
      <c r="C57" s="91" t="str">
        <f aca="false">IF($B57="","",الموظفون!$C57)</f>
        <v/>
      </c>
      <c r="D57" s="91" t="str">
        <f aca="false">IF($B57="","",الموظفون!$F57)</f>
        <v/>
      </c>
      <c r="E57" s="91" t="str">
        <f aca="false">IF($B57="","",الموظفون!$E57)</f>
        <v/>
      </c>
      <c r="F57" s="110" t="str">
        <f aca="false">IF($B57="","",IF(AE57&gt;=DAY($G$3),cfg_DAYS_M,MIN(AE57,cfg_DAYS_M)))</f>
        <v/>
      </c>
      <c r="G57" s="110" t="str">
        <f aca="false">IF($B57="","",SUMIFS('الحركات الشهرية'!$D$6:$D$1005,'الحركات الشهرية'!$B$6:$B$1005,$B57,'الحركات الشهرية'!$A$6:$A$1005,$C$3))</f>
        <v/>
      </c>
      <c r="H57" s="110" t="str">
        <f aca="false">IF($B57="","",SUMIFS('الحركات الشهرية'!$E$6:$E$1005,'الحركات الشهرية'!$B$6:$B$1005,$B57,'الحركات الشهرية'!$A$6:$A$1005,$C$3))</f>
        <v/>
      </c>
      <c r="I57" s="110" t="str">
        <f aca="false">IF($B57="","",MAX(0,F57-G57-H57))</f>
        <v/>
      </c>
      <c r="J57" s="90" t="str">
        <f aca="false">IF($B57="","",الموظفون!$J57*$I57/cfg_DAYS_M)</f>
        <v/>
      </c>
      <c r="K57" s="90" t="str">
        <f aca="false">IF($B57="","",الموظفون!$K57*$I57/cfg_DAYS_M)</f>
        <v/>
      </c>
      <c r="L57" s="90" t="str">
        <f aca="false">IF($B57="","",الموظفون!$L57*$I57/cfg_DAYS_M)</f>
        <v/>
      </c>
      <c r="M57" s="90" t="str">
        <f aca="false">IF($B57="","",الموظفون!$M57*$I57/cfg_DAYS_M)</f>
        <v/>
      </c>
      <c r="N57" s="110" t="str">
        <f aca="false">IF($B57="","",SUMIFS('الحركات الشهرية'!$F$6:$F$1005,'الحركات الشهرية'!$B$6:$B$1005,$B57,'الحركات الشهرية'!$A$6:$A$1005,$C$3))</f>
        <v/>
      </c>
      <c r="O57" s="90" t="str">
        <f aca="false">IF($B57="","",N57*(الموظفون!$N57+الموظفون!$J57*cfg_OT_P)/cfg_DAYS_M/cfg_HRS)</f>
        <v/>
      </c>
      <c r="P57" s="90" t="str">
        <f aca="false">IF($B57="","",SUMIFS('الحركات الشهرية'!$G$6:$G$1005,'الحركات الشهرية'!$B$6:$B$1005,$B57,'الحركات الشهرية'!$A$6:$A$1005,$C$3))</f>
        <v/>
      </c>
      <c r="Q57" s="90" t="str">
        <f aca="false">IF($B57="","",SUMIFS('الحركات الشهرية'!$H$6:$H$1005,'الحركات الشهرية'!$B$6:$B$1005,$B57,'الحركات الشهرية'!$A$6:$A$1005,$C$3))</f>
        <v/>
      </c>
      <c r="R57" s="111" t="str">
        <f aca="false">IF($B57="","",SUM(J57:M57)+SUM(O57:Q57))</f>
        <v/>
      </c>
      <c r="S57" s="90" t="str">
        <f aca="false">IF($B57="","",الموظفون!$Q57*IF(E57="سعودي",cfg_G_SE,cfg_G_NE)*F57/cfg_DAYS_M)</f>
        <v/>
      </c>
      <c r="T57" s="90" t="str">
        <f aca="false">IF($B57="","",SUMIFS('الحركات الشهرية'!$I$6:$I$1005,'الحركات الشهرية'!$B$6:$B$1005,$B57,'الحركات الشهرية'!$A$6:$A$1005,$C$3))</f>
        <v/>
      </c>
      <c r="U57" s="90" t="str">
        <f aca="false">IF($B57="","",SUMIFS('الحركات الشهرية'!$J$6:$J$1005,'الحركات الشهرية'!$B$6:$B$1005,$B57,'الحركات الشهرية'!$A$6:$A$1005,$C$3))</f>
        <v/>
      </c>
      <c r="V57" s="90" t="str">
        <f aca="false">IF($B57="","",SUM(S57:U57))</f>
        <v/>
      </c>
      <c r="W57" s="112" t="str">
        <f aca="false">IF($B57="","",R57-V57)</f>
        <v/>
      </c>
      <c r="X57" s="90" t="str">
        <f aca="false">IF($B57="","",الموظفون!$Q57*IF(E57="سعودي",cfg_G_SR,cfg_G_NR)*F57/cfg_DAYS_M)</f>
        <v/>
      </c>
      <c r="Y57" s="90" t="str">
        <f aca="false">IF($B57="","",الموظفون!$O57*(cfg_EOS_R1*(MIN(AC57,cfg_EOS_TH)-MIN(AD57,cfg_EOS_TH))+cfg_EOS_R2*(MAX(AC57-cfg_EOS_TH,0)-MAX(AD57-cfg_EOS_TH,0))))</f>
        <v/>
      </c>
      <c r="Z57" s="90" t="str">
        <f aca="false">IF($B57="","",IF(الموظفون!$R57&lt;&gt;"",الموظفون!$R57,IF(AC57&gt;=cfg_LV_TH,cfg_LV_D2,cfg_LV_D1))/cfg_DAYS_Y*AE57*الموظفون!$P57/cfg_DAYS_M)</f>
        <v/>
      </c>
      <c r="AA57" s="90" t="str">
        <f aca="false">IF($B57="","",IF(AND(الموظفون!$S57="نعم",N(الموظفون!$U57)&gt;0),الموظفون!$T57/الموظفون!$U57*12/cfg_DAYS_Y*AE57,0))</f>
        <v/>
      </c>
      <c r="AB57" s="113" t="str">
        <f aca="false">IF($B57="","",R57+SUM(X57:AA57))</f>
        <v/>
      </c>
      <c r="AC57" s="114" t="str">
        <f aca="false">IF($B57="","",MAX(0,IF(OR(الموظفون!$X57="",الموظفون!$X57&gt;$G$3),$G$3,الموظفون!$X57)-الموظفون!$H57+1)/cfg_DAYS_Y)</f>
        <v/>
      </c>
      <c r="AD57" s="114" t="str">
        <f aca="false">IF($B57="","",MAX(0,IF(OR(الموظفون!$X57="",الموظفون!$X57&gt;($E$3-1)),($E$3-1),الموظفون!$X57)-الموظفون!$H57+1)/cfg_DAYS_Y)</f>
        <v/>
      </c>
      <c r="AE57" s="115" t="str">
        <f aca="false">IF($B57="","",MAX(0,IF(OR(الموظفون!$X57="",الموظفون!$X57&gt;$G$3),$G$3,الموظفون!$X57)-MAX($E$3,الموظفون!$H57)+1))</f>
        <v/>
      </c>
    </row>
    <row r="58" customFormat="false" ht="15" hidden="false" customHeight="false" outlineLevel="0" collapsed="false">
      <c r="A58" s="83" t="str">
        <f aca="false">IF($B58="","",الموظفون!$A58)</f>
        <v/>
      </c>
      <c r="B58" s="74" t="str">
        <f aca="false">IF(الموظفون!$B58="","",الموظفون!$B58)</f>
        <v/>
      </c>
      <c r="C58" s="74" t="str">
        <f aca="false">IF($B58="","",الموظفون!$C58)</f>
        <v/>
      </c>
      <c r="D58" s="74" t="str">
        <f aca="false">IF($B58="","",الموظفون!$F58)</f>
        <v/>
      </c>
      <c r="E58" s="74" t="str">
        <f aca="false">IF($B58="","",الموظفون!$E58)</f>
        <v/>
      </c>
      <c r="F58" s="105" t="str">
        <f aca="false">IF($B58="","",IF(AE58&gt;=DAY($G$3),cfg_DAYS_M,MIN(AE58,cfg_DAYS_M)))</f>
        <v/>
      </c>
      <c r="G58" s="105" t="str">
        <f aca="false">IF($B58="","",SUMIFS('الحركات الشهرية'!$D$6:$D$1005,'الحركات الشهرية'!$B$6:$B$1005,$B58,'الحركات الشهرية'!$A$6:$A$1005,$C$3))</f>
        <v/>
      </c>
      <c r="H58" s="105" t="str">
        <f aca="false">IF($B58="","",SUMIFS('الحركات الشهرية'!$E$6:$E$1005,'الحركات الشهرية'!$B$6:$B$1005,$B58,'الحركات الشهرية'!$A$6:$A$1005,$C$3))</f>
        <v/>
      </c>
      <c r="I58" s="105" t="str">
        <f aca="false">IF($B58="","",MAX(0,F58-G58-H58))</f>
        <v/>
      </c>
      <c r="J58" s="86" t="str">
        <f aca="false">IF($B58="","",الموظفون!$J58*$I58/cfg_DAYS_M)</f>
        <v/>
      </c>
      <c r="K58" s="86" t="str">
        <f aca="false">IF($B58="","",الموظفون!$K58*$I58/cfg_DAYS_M)</f>
        <v/>
      </c>
      <c r="L58" s="86" t="str">
        <f aca="false">IF($B58="","",الموظفون!$L58*$I58/cfg_DAYS_M)</f>
        <v/>
      </c>
      <c r="M58" s="86" t="str">
        <f aca="false">IF($B58="","",الموظفون!$M58*$I58/cfg_DAYS_M)</f>
        <v/>
      </c>
      <c r="N58" s="105" t="str">
        <f aca="false">IF($B58="","",SUMIFS('الحركات الشهرية'!$F$6:$F$1005,'الحركات الشهرية'!$B$6:$B$1005,$B58,'الحركات الشهرية'!$A$6:$A$1005,$C$3))</f>
        <v/>
      </c>
      <c r="O58" s="86" t="str">
        <f aca="false">IF($B58="","",N58*(الموظفون!$N58+الموظفون!$J58*cfg_OT_P)/cfg_DAYS_M/cfg_HRS)</f>
        <v/>
      </c>
      <c r="P58" s="86" t="str">
        <f aca="false">IF($B58="","",SUMIFS('الحركات الشهرية'!$G$6:$G$1005,'الحركات الشهرية'!$B$6:$B$1005,$B58,'الحركات الشهرية'!$A$6:$A$1005,$C$3))</f>
        <v/>
      </c>
      <c r="Q58" s="86" t="str">
        <f aca="false">IF($B58="","",SUMIFS('الحركات الشهرية'!$H$6:$H$1005,'الحركات الشهرية'!$B$6:$B$1005,$B58,'الحركات الشهرية'!$A$6:$A$1005,$C$3))</f>
        <v/>
      </c>
      <c r="R58" s="106" t="str">
        <f aca="false">IF($B58="","",SUM(J58:M58)+SUM(O58:Q58))</f>
        <v/>
      </c>
      <c r="S58" s="86" t="str">
        <f aca="false">IF($B58="","",الموظفون!$Q58*IF(E58="سعودي",cfg_G_SE,cfg_G_NE)*F58/cfg_DAYS_M)</f>
        <v/>
      </c>
      <c r="T58" s="86" t="str">
        <f aca="false">IF($B58="","",SUMIFS('الحركات الشهرية'!$I$6:$I$1005,'الحركات الشهرية'!$B$6:$B$1005,$B58,'الحركات الشهرية'!$A$6:$A$1005,$C$3))</f>
        <v/>
      </c>
      <c r="U58" s="86" t="str">
        <f aca="false">IF($B58="","",SUMIFS('الحركات الشهرية'!$J$6:$J$1005,'الحركات الشهرية'!$B$6:$B$1005,$B58,'الحركات الشهرية'!$A$6:$A$1005,$C$3))</f>
        <v/>
      </c>
      <c r="V58" s="86" t="str">
        <f aca="false">IF($B58="","",SUM(S58:U58))</f>
        <v/>
      </c>
      <c r="W58" s="107" t="str">
        <f aca="false">IF($B58="","",R58-V58)</f>
        <v/>
      </c>
      <c r="X58" s="86" t="str">
        <f aca="false">IF($B58="","",الموظفون!$Q58*IF(E58="سعودي",cfg_G_SR,cfg_G_NR)*F58/cfg_DAYS_M)</f>
        <v/>
      </c>
      <c r="Y58" s="86" t="str">
        <f aca="false">IF($B58="","",الموظفون!$O58*(cfg_EOS_R1*(MIN(AC58,cfg_EOS_TH)-MIN(AD58,cfg_EOS_TH))+cfg_EOS_R2*(MAX(AC58-cfg_EOS_TH,0)-MAX(AD58-cfg_EOS_TH,0))))</f>
        <v/>
      </c>
      <c r="Z58" s="86" t="str">
        <f aca="false">IF($B58="","",IF(الموظفون!$R58&lt;&gt;"",الموظفون!$R58,IF(AC58&gt;=cfg_LV_TH,cfg_LV_D2,cfg_LV_D1))/cfg_DAYS_Y*AE58*الموظفون!$P58/cfg_DAYS_M)</f>
        <v/>
      </c>
      <c r="AA58" s="86" t="str">
        <f aca="false">IF($B58="","",IF(AND(الموظفون!$S58="نعم",N(الموظفون!$U58)&gt;0),الموظفون!$T58/الموظفون!$U58*12/cfg_DAYS_Y*AE58,0))</f>
        <v/>
      </c>
      <c r="AB58" s="108" t="str">
        <f aca="false">IF($B58="","",R58+SUM(X58:AA58))</f>
        <v/>
      </c>
      <c r="AC58" s="109" t="str">
        <f aca="false">IF($B58="","",MAX(0,IF(OR(الموظفون!$X58="",الموظفون!$X58&gt;$G$3),$G$3,الموظفون!$X58)-الموظفون!$H58+1)/cfg_DAYS_Y)</f>
        <v/>
      </c>
      <c r="AD58" s="109" t="str">
        <f aca="false">IF($B58="","",MAX(0,IF(OR(الموظفون!$X58="",الموظفون!$X58&gt;($E$3-1)),($E$3-1),الموظفون!$X58)-الموظفون!$H58+1)/cfg_DAYS_Y)</f>
        <v/>
      </c>
      <c r="AE58" s="51" t="str">
        <f aca="false">IF($B58="","",MAX(0,IF(OR(الموظفون!$X58="",الموظفون!$X58&gt;$G$3),$G$3,الموظفون!$X58)-MAX($E$3,الموظفون!$H58)+1))</f>
        <v/>
      </c>
    </row>
    <row r="59" customFormat="false" ht="15" hidden="false" customHeight="false" outlineLevel="0" collapsed="false">
      <c r="A59" s="89" t="str">
        <f aca="false">IF($B59="","",الموظفون!$A59)</f>
        <v/>
      </c>
      <c r="B59" s="91" t="str">
        <f aca="false">IF(الموظفون!$B59="","",الموظفون!$B59)</f>
        <v/>
      </c>
      <c r="C59" s="91" t="str">
        <f aca="false">IF($B59="","",الموظفون!$C59)</f>
        <v/>
      </c>
      <c r="D59" s="91" t="str">
        <f aca="false">IF($B59="","",الموظفون!$F59)</f>
        <v/>
      </c>
      <c r="E59" s="91" t="str">
        <f aca="false">IF($B59="","",الموظفون!$E59)</f>
        <v/>
      </c>
      <c r="F59" s="110" t="str">
        <f aca="false">IF($B59="","",IF(AE59&gt;=DAY($G$3),cfg_DAYS_M,MIN(AE59,cfg_DAYS_M)))</f>
        <v/>
      </c>
      <c r="G59" s="110" t="str">
        <f aca="false">IF($B59="","",SUMIFS('الحركات الشهرية'!$D$6:$D$1005,'الحركات الشهرية'!$B$6:$B$1005,$B59,'الحركات الشهرية'!$A$6:$A$1005,$C$3))</f>
        <v/>
      </c>
      <c r="H59" s="110" t="str">
        <f aca="false">IF($B59="","",SUMIFS('الحركات الشهرية'!$E$6:$E$1005,'الحركات الشهرية'!$B$6:$B$1005,$B59,'الحركات الشهرية'!$A$6:$A$1005,$C$3))</f>
        <v/>
      </c>
      <c r="I59" s="110" t="str">
        <f aca="false">IF($B59="","",MAX(0,F59-G59-H59))</f>
        <v/>
      </c>
      <c r="J59" s="90" t="str">
        <f aca="false">IF($B59="","",الموظفون!$J59*$I59/cfg_DAYS_M)</f>
        <v/>
      </c>
      <c r="K59" s="90" t="str">
        <f aca="false">IF($B59="","",الموظفون!$K59*$I59/cfg_DAYS_M)</f>
        <v/>
      </c>
      <c r="L59" s="90" t="str">
        <f aca="false">IF($B59="","",الموظفون!$L59*$I59/cfg_DAYS_M)</f>
        <v/>
      </c>
      <c r="M59" s="90" t="str">
        <f aca="false">IF($B59="","",الموظفون!$M59*$I59/cfg_DAYS_M)</f>
        <v/>
      </c>
      <c r="N59" s="110" t="str">
        <f aca="false">IF($B59="","",SUMIFS('الحركات الشهرية'!$F$6:$F$1005,'الحركات الشهرية'!$B$6:$B$1005,$B59,'الحركات الشهرية'!$A$6:$A$1005,$C$3))</f>
        <v/>
      </c>
      <c r="O59" s="90" t="str">
        <f aca="false">IF($B59="","",N59*(الموظفون!$N59+الموظفون!$J59*cfg_OT_P)/cfg_DAYS_M/cfg_HRS)</f>
        <v/>
      </c>
      <c r="P59" s="90" t="str">
        <f aca="false">IF($B59="","",SUMIFS('الحركات الشهرية'!$G$6:$G$1005,'الحركات الشهرية'!$B$6:$B$1005,$B59,'الحركات الشهرية'!$A$6:$A$1005,$C$3))</f>
        <v/>
      </c>
      <c r="Q59" s="90" t="str">
        <f aca="false">IF($B59="","",SUMIFS('الحركات الشهرية'!$H$6:$H$1005,'الحركات الشهرية'!$B$6:$B$1005,$B59,'الحركات الشهرية'!$A$6:$A$1005,$C$3))</f>
        <v/>
      </c>
      <c r="R59" s="111" t="str">
        <f aca="false">IF($B59="","",SUM(J59:M59)+SUM(O59:Q59))</f>
        <v/>
      </c>
      <c r="S59" s="90" t="str">
        <f aca="false">IF($B59="","",الموظفون!$Q59*IF(E59="سعودي",cfg_G_SE,cfg_G_NE)*F59/cfg_DAYS_M)</f>
        <v/>
      </c>
      <c r="T59" s="90" t="str">
        <f aca="false">IF($B59="","",SUMIFS('الحركات الشهرية'!$I$6:$I$1005,'الحركات الشهرية'!$B$6:$B$1005,$B59,'الحركات الشهرية'!$A$6:$A$1005,$C$3))</f>
        <v/>
      </c>
      <c r="U59" s="90" t="str">
        <f aca="false">IF($B59="","",SUMIFS('الحركات الشهرية'!$J$6:$J$1005,'الحركات الشهرية'!$B$6:$B$1005,$B59,'الحركات الشهرية'!$A$6:$A$1005,$C$3))</f>
        <v/>
      </c>
      <c r="V59" s="90" t="str">
        <f aca="false">IF($B59="","",SUM(S59:U59))</f>
        <v/>
      </c>
      <c r="W59" s="112" t="str">
        <f aca="false">IF($B59="","",R59-V59)</f>
        <v/>
      </c>
      <c r="X59" s="90" t="str">
        <f aca="false">IF($B59="","",الموظفون!$Q59*IF(E59="سعودي",cfg_G_SR,cfg_G_NR)*F59/cfg_DAYS_M)</f>
        <v/>
      </c>
      <c r="Y59" s="90" t="str">
        <f aca="false">IF($B59="","",الموظفون!$O59*(cfg_EOS_R1*(MIN(AC59,cfg_EOS_TH)-MIN(AD59,cfg_EOS_TH))+cfg_EOS_R2*(MAX(AC59-cfg_EOS_TH,0)-MAX(AD59-cfg_EOS_TH,0))))</f>
        <v/>
      </c>
      <c r="Z59" s="90" t="str">
        <f aca="false">IF($B59="","",IF(الموظفون!$R59&lt;&gt;"",الموظفون!$R59,IF(AC59&gt;=cfg_LV_TH,cfg_LV_D2,cfg_LV_D1))/cfg_DAYS_Y*AE59*الموظفون!$P59/cfg_DAYS_M)</f>
        <v/>
      </c>
      <c r="AA59" s="90" t="str">
        <f aca="false">IF($B59="","",IF(AND(الموظفون!$S59="نعم",N(الموظفون!$U59)&gt;0),الموظفون!$T59/الموظفون!$U59*12/cfg_DAYS_Y*AE59,0))</f>
        <v/>
      </c>
      <c r="AB59" s="113" t="str">
        <f aca="false">IF($B59="","",R59+SUM(X59:AA59))</f>
        <v/>
      </c>
      <c r="AC59" s="114" t="str">
        <f aca="false">IF($B59="","",MAX(0,IF(OR(الموظفون!$X59="",الموظفون!$X59&gt;$G$3),$G$3,الموظفون!$X59)-الموظفون!$H59+1)/cfg_DAYS_Y)</f>
        <v/>
      </c>
      <c r="AD59" s="114" t="str">
        <f aca="false">IF($B59="","",MAX(0,IF(OR(الموظفون!$X59="",الموظفون!$X59&gt;($E$3-1)),($E$3-1),الموظفون!$X59)-الموظفون!$H59+1)/cfg_DAYS_Y)</f>
        <v/>
      </c>
      <c r="AE59" s="115" t="str">
        <f aca="false">IF($B59="","",MAX(0,IF(OR(الموظفون!$X59="",الموظفون!$X59&gt;$G$3),$G$3,الموظفون!$X59)-MAX($E$3,الموظفون!$H59)+1))</f>
        <v/>
      </c>
    </row>
    <row r="60" customFormat="false" ht="15" hidden="false" customHeight="false" outlineLevel="0" collapsed="false">
      <c r="A60" s="83" t="str">
        <f aca="false">IF($B60="","",الموظفون!$A60)</f>
        <v/>
      </c>
      <c r="B60" s="74" t="str">
        <f aca="false">IF(الموظفون!$B60="","",الموظفون!$B60)</f>
        <v/>
      </c>
      <c r="C60" s="74" t="str">
        <f aca="false">IF($B60="","",الموظفون!$C60)</f>
        <v/>
      </c>
      <c r="D60" s="74" t="str">
        <f aca="false">IF($B60="","",الموظفون!$F60)</f>
        <v/>
      </c>
      <c r="E60" s="74" t="str">
        <f aca="false">IF($B60="","",الموظفون!$E60)</f>
        <v/>
      </c>
      <c r="F60" s="105" t="str">
        <f aca="false">IF($B60="","",IF(AE60&gt;=DAY($G$3),cfg_DAYS_M,MIN(AE60,cfg_DAYS_M)))</f>
        <v/>
      </c>
      <c r="G60" s="105" t="str">
        <f aca="false">IF($B60="","",SUMIFS('الحركات الشهرية'!$D$6:$D$1005,'الحركات الشهرية'!$B$6:$B$1005,$B60,'الحركات الشهرية'!$A$6:$A$1005,$C$3))</f>
        <v/>
      </c>
      <c r="H60" s="105" t="str">
        <f aca="false">IF($B60="","",SUMIFS('الحركات الشهرية'!$E$6:$E$1005,'الحركات الشهرية'!$B$6:$B$1005,$B60,'الحركات الشهرية'!$A$6:$A$1005,$C$3))</f>
        <v/>
      </c>
      <c r="I60" s="105" t="str">
        <f aca="false">IF($B60="","",MAX(0,F60-G60-H60))</f>
        <v/>
      </c>
      <c r="J60" s="86" t="str">
        <f aca="false">IF($B60="","",الموظفون!$J60*$I60/cfg_DAYS_M)</f>
        <v/>
      </c>
      <c r="K60" s="86" t="str">
        <f aca="false">IF($B60="","",الموظفون!$K60*$I60/cfg_DAYS_M)</f>
        <v/>
      </c>
      <c r="L60" s="86" t="str">
        <f aca="false">IF($B60="","",الموظفون!$L60*$I60/cfg_DAYS_M)</f>
        <v/>
      </c>
      <c r="M60" s="86" t="str">
        <f aca="false">IF($B60="","",الموظفون!$M60*$I60/cfg_DAYS_M)</f>
        <v/>
      </c>
      <c r="N60" s="105" t="str">
        <f aca="false">IF($B60="","",SUMIFS('الحركات الشهرية'!$F$6:$F$1005,'الحركات الشهرية'!$B$6:$B$1005,$B60,'الحركات الشهرية'!$A$6:$A$1005,$C$3))</f>
        <v/>
      </c>
      <c r="O60" s="86" t="str">
        <f aca="false">IF($B60="","",N60*(الموظفون!$N60+الموظفون!$J60*cfg_OT_P)/cfg_DAYS_M/cfg_HRS)</f>
        <v/>
      </c>
      <c r="P60" s="86" t="str">
        <f aca="false">IF($B60="","",SUMIFS('الحركات الشهرية'!$G$6:$G$1005,'الحركات الشهرية'!$B$6:$B$1005,$B60,'الحركات الشهرية'!$A$6:$A$1005,$C$3))</f>
        <v/>
      </c>
      <c r="Q60" s="86" t="str">
        <f aca="false">IF($B60="","",SUMIFS('الحركات الشهرية'!$H$6:$H$1005,'الحركات الشهرية'!$B$6:$B$1005,$B60,'الحركات الشهرية'!$A$6:$A$1005,$C$3))</f>
        <v/>
      </c>
      <c r="R60" s="106" t="str">
        <f aca="false">IF($B60="","",SUM(J60:M60)+SUM(O60:Q60))</f>
        <v/>
      </c>
      <c r="S60" s="86" t="str">
        <f aca="false">IF($B60="","",الموظفون!$Q60*IF(E60="سعودي",cfg_G_SE,cfg_G_NE)*F60/cfg_DAYS_M)</f>
        <v/>
      </c>
      <c r="T60" s="86" t="str">
        <f aca="false">IF($B60="","",SUMIFS('الحركات الشهرية'!$I$6:$I$1005,'الحركات الشهرية'!$B$6:$B$1005,$B60,'الحركات الشهرية'!$A$6:$A$1005,$C$3))</f>
        <v/>
      </c>
      <c r="U60" s="86" t="str">
        <f aca="false">IF($B60="","",SUMIFS('الحركات الشهرية'!$J$6:$J$1005,'الحركات الشهرية'!$B$6:$B$1005,$B60,'الحركات الشهرية'!$A$6:$A$1005,$C$3))</f>
        <v/>
      </c>
      <c r="V60" s="86" t="str">
        <f aca="false">IF($B60="","",SUM(S60:U60))</f>
        <v/>
      </c>
      <c r="W60" s="107" t="str">
        <f aca="false">IF($B60="","",R60-V60)</f>
        <v/>
      </c>
      <c r="X60" s="86" t="str">
        <f aca="false">IF($B60="","",الموظفون!$Q60*IF(E60="سعودي",cfg_G_SR,cfg_G_NR)*F60/cfg_DAYS_M)</f>
        <v/>
      </c>
      <c r="Y60" s="86" t="str">
        <f aca="false">IF($B60="","",الموظفون!$O60*(cfg_EOS_R1*(MIN(AC60,cfg_EOS_TH)-MIN(AD60,cfg_EOS_TH))+cfg_EOS_R2*(MAX(AC60-cfg_EOS_TH,0)-MAX(AD60-cfg_EOS_TH,0))))</f>
        <v/>
      </c>
      <c r="Z60" s="86" t="str">
        <f aca="false">IF($B60="","",IF(الموظفون!$R60&lt;&gt;"",الموظفون!$R60,IF(AC60&gt;=cfg_LV_TH,cfg_LV_D2,cfg_LV_D1))/cfg_DAYS_Y*AE60*الموظفون!$P60/cfg_DAYS_M)</f>
        <v/>
      </c>
      <c r="AA60" s="86" t="str">
        <f aca="false">IF($B60="","",IF(AND(الموظفون!$S60="نعم",N(الموظفون!$U60)&gt;0),الموظفون!$T60/الموظفون!$U60*12/cfg_DAYS_Y*AE60,0))</f>
        <v/>
      </c>
      <c r="AB60" s="108" t="str">
        <f aca="false">IF($B60="","",R60+SUM(X60:AA60))</f>
        <v/>
      </c>
      <c r="AC60" s="109" t="str">
        <f aca="false">IF($B60="","",MAX(0,IF(OR(الموظفون!$X60="",الموظفون!$X60&gt;$G$3),$G$3,الموظفون!$X60)-الموظفون!$H60+1)/cfg_DAYS_Y)</f>
        <v/>
      </c>
      <c r="AD60" s="109" t="str">
        <f aca="false">IF($B60="","",MAX(0,IF(OR(الموظفون!$X60="",الموظفون!$X60&gt;($E$3-1)),($E$3-1),الموظفون!$X60)-الموظفون!$H60+1)/cfg_DAYS_Y)</f>
        <v/>
      </c>
      <c r="AE60" s="51" t="str">
        <f aca="false">IF($B60="","",MAX(0,IF(OR(الموظفون!$X60="",الموظفون!$X60&gt;$G$3),$G$3,الموظفون!$X60)-MAX($E$3,الموظفون!$H60)+1))</f>
        <v/>
      </c>
    </row>
    <row r="61" customFormat="false" ht="15" hidden="false" customHeight="false" outlineLevel="0" collapsed="false">
      <c r="A61" s="89" t="str">
        <f aca="false">IF($B61="","",الموظفون!$A61)</f>
        <v/>
      </c>
      <c r="B61" s="91" t="str">
        <f aca="false">IF(الموظفون!$B61="","",الموظفون!$B61)</f>
        <v/>
      </c>
      <c r="C61" s="91" t="str">
        <f aca="false">IF($B61="","",الموظفون!$C61)</f>
        <v/>
      </c>
      <c r="D61" s="91" t="str">
        <f aca="false">IF($B61="","",الموظفون!$F61)</f>
        <v/>
      </c>
      <c r="E61" s="91" t="str">
        <f aca="false">IF($B61="","",الموظفون!$E61)</f>
        <v/>
      </c>
      <c r="F61" s="110" t="str">
        <f aca="false">IF($B61="","",IF(AE61&gt;=DAY($G$3),cfg_DAYS_M,MIN(AE61,cfg_DAYS_M)))</f>
        <v/>
      </c>
      <c r="G61" s="110" t="str">
        <f aca="false">IF($B61="","",SUMIFS('الحركات الشهرية'!$D$6:$D$1005,'الحركات الشهرية'!$B$6:$B$1005,$B61,'الحركات الشهرية'!$A$6:$A$1005,$C$3))</f>
        <v/>
      </c>
      <c r="H61" s="110" t="str">
        <f aca="false">IF($B61="","",SUMIFS('الحركات الشهرية'!$E$6:$E$1005,'الحركات الشهرية'!$B$6:$B$1005,$B61,'الحركات الشهرية'!$A$6:$A$1005,$C$3))</f>
        <v/>
      </c>
      <c r="I61" s="110" t="str">
        <f aca="false">IF($B61="","",MAX(0,F61-G61-H61))</f>
        <v/>
      </c>
      <c r="J61" s="90" t="str">
        <f aca="false">IF($B61="","",الموظفون!$J61*$I61/cfg_DAYS_M)</f>
        <v/>
      </c>
      <c r="K61" s="90" t="str">
        <f aca="false">IF($B61="","",الموظفون!$K61*$I61/cfg_DAYS_M)</f>
        <v/>
      </c>
      <c r="L61" s="90" t="str">
        <f aca="false">IF($B61="","",الموظفون!$L61*$I61/cfg_DAYS_M)</f>
        <v/>
      </c>
      <c r="M61" s="90" t="str">
        <f aca="false">IF($B61="","",الموظفون!$M61*$I61/cfg_DAYS_M)</f>
        <v/>
      </c>
      <c r="N61" s="110" t="str">
        <f aca="false">IF($B61="","",SUMIFS('الحركات الشهرية'!$F$6:$F$1005,'الحركات الشهرية'!$B$6:$B$1005,$B61,'الحركات الشهرية'!$A$6:$A$1005,$C$3))</f>
        <v/>
      </c>
      <c r="O61" s="90" t="str">
        <f aca="false">IF($B61="","",N61*(الموظفون!$N61+الموظفون!$J61*cfg_OT_P)/cfg_DAYS_M/cfg_HRS)</f>
        <v/>
      </c>
      <c r="P61" s="90" t="str">
        <f aca="false">IF($B61="","",SUMIFS('الحركات الشهرية'!$G$6:$G$1005,'الحركات الشهرية'!$B$6:$B$1005,$B61,'الحركات الشهرية'!$A$6:$A$1005,$C$3))</f>
        <v/>
      </c>
      <c r="Q61" s="90" t="str">
        <f aca="false">IF($B61="","",SUMIFS('الحركات الشهرية'!$H$6:$H$1005,'الحركات الشهرية'!$B$6:$B$1005,$B61,'الحركات الشهرية'!$A$6:$A$1005,$C$3))</f>
        <v/>
      </c>
      <c r="R61" s="111" t="str">
        <f aca="false">IF($B61="","",SUM(J61:M61)+SUM(O61:Q61))</f>
        <v/>
      </c>
      <c r="S61" s="90" t="str">
        <f aca="false">IF($B61="","",الموظفون!$Q61*IF(E61="سعودي",cfg_G_SE,cfg_G_NE)*F61/cfg_DAYS_M)</f>
        <v/>
      </c>
      <c r="T61" s="90" t="str">
        <f aca="false">IF($B61="","",SUMIFS('الحركات الشهرية'!$I$6:$I$1005,'الحركات الشهرية'!$B$6:$B$1005,$B61,'الحركات الشهرية'!$A$6:$A$1005,$C$3))</f>
        <v/>
      </c>
      <c r="U61" s="90" t="str">
        <f aca="false">IF($B61="","",SUMIFS('الحركات الشهرية'!$J$6:$J$1005,'الحركات الشهرية'!$B$6:$B$1005,$B61,'الحركات الشهرية'!$A$6:$A$1005,$C$3))</f>
        <v/>
      </c>
      <c r="V61" s="90" t="str">
        <f aca="false">IF($B61="","",SUM(S61:U61))</f>
        <v/>
      </c>
      <c r="W61" s="112" t="str">
        <f aca="false">IF($B61="","",R61-V61)</f>
        <v/>
      </c>
      <c r="X61" s="90" t="str">
        <f aca="false">IF($B61="","",الموظفون!$Q61*IF(E61="سعودي",cfg_G_SR,cfg_G_NR)*F61/cfg_DAYS_M)</f>
        <v/>
      </c>
      <c r="Y61" s="90" t="str">
        <f aca="false">IF($B61="","",الموظفون!$O61*(cfg_EOS_R1*(MIN(AC61,cfg_EOS_TH)-MIN(AD61,cfg_EOS_TH))+cfg_EOS_R2*(MAX(AC61-cfg_EOS_TH,0)-MAX(AD61-cfg_EOS_TH,0))))</f>
        <v/>
      </c>
      <c r="Z61" s="90" t="str">
        <f aca="false">IF($B61="","",IF(الموظفون!$R61&lt;&gt;"",الموظفون!$R61,IF(AC61&gt;=cfg_LV_TH,cfg_LV_D2,cfg_LV_D1))/cfg_DAYS_Y*AE61*الموظفون!$P61/cfg_DAYS_M)</f>
        <v/>
      </c>
      <c r="AA61" s="90" t="str">
        <f aca="false">IF($B61="","",IF(AND(الموظفون!$S61="نعم",N(الموظفون!$U61)&gt;0),الموظفون!$T61/الموظفون!$U61*12/cfg_DAYS_Y*AE61,0))</f>
        <v/>
      </c>
      <c r="AB61" s="113" t="str">
        <f aca="false">IF($B61="","",R61+SUM(X61:AA61))</f>
        <v/>
      </c>
      <c r="AC61" s="114" t="str">
        <f aca="false">IF($B61="","",MAX(0,IF(OR(الموظفون!$X61="",الموظفون!$X61&gt;$G$3),$G$3,الموظفون!$X61)-الموظفون!$H61+1)/cfg_DAYS_Y)</f>
        <v/>
      </c>
      <c r="AD61" s="114" t="str">
        <f aca="false">IF($B61="","",MAX(0,IF(OR(الموظفون!$X61="",الموظفون!$X61&gt;($E$3-1)),($E$3-1),الموظفون!$X61)-الموظفون!$H61+1)/cfg_DAYS_Y)</f>
        <v/>
      </c>
      <c r="AE61" s="115" t="str">
        <f aca="false">IF($B61="","",MAX(0,IF(OR(الموظفون!$X61="",الموظفون!$X61&gt;$G$3),$G$3,الموظفون!$X61)-MAX($E$3,الموظفون!$H61)+1))</f>
        <v/>
      </c>
    </row>
    <row r="62" customFormat="false" ht="15" hidden="false" customHeight="false" outlineLevel="0" collapsed="false">
      <c r="A62" s="83" t="str">
        <f aca="false">IF($B62="","",الموظفون!$A62)</f>
        <v/>
      </c>
      <c r="B62" s="74" t="str">
        <f aca="false">IF(الموظفون!$B62="","",الموظفون!$B62)</f>
        <v/>
      </c>
      <c r="C62" s="74" t="str">
        <f aca="false">IF($B62="","",الموظفون!$C62)</f>
        <v/>
      </c>
      <c r="D62" s="74" t="str">
        <f aca="false">IF($B62="","",الموظفون!$F62)</f>
        <v/>
      </c>
      <c r="E62" s="74" t="str">
        <f aca="false">IF($B62="","",الموظفون!$E62)</f>
        <v/>
      </c>
      <c r="F62" s="105" t="str">
        <f aca="false">IF($B62="","",IF(AE62&gt;=DAY($G$3),cfg_DAYS_M,MIN(AE62,cfg_DAYS_M)))</f>
        <v/>
      </c>
      <c r="G62" s="105" t="str">
        <f aca="false">IF($B62="","",SUMIFS('الحركات الشهرية'!$D$6:$D$1005,'الحركات الشهرية'!$B$6:$B$1005,$B62,'الحركات الشهرية'!$A$6:$A$1005,$C$3))</f>
        <v/>
      </c>
      <c r="H62" s="105" t="str">
        <f aca="false">IF($B62="","",SUMIFS('الحركات الشهرية'!$E$6:$E$1005,'الحركات الشهرية'!$B$6:$B$1005,$B62,'الحركات الشهرية'!$A$6:$A$1005,$C$3))</f>
        <v/>
      </c>
      <c r="I62" s="105" t="str">
        <f aca="false">IF($B62="","",MAX(0,F62-G62-H62))</f>
        <v/>
      </c>
      <c r="J62" s="86" t="str">
        <f aca="false">IF($B62="","",الموظفون!$J62*$I62/cfg_DAYS_M)</f>
        <v/>
      </c>
      <c r="K62" s="86" t="str">
        <f aca="false">IF($B62="","",الموظفون!$K62*$I62/cfg_DAYS_M)</f>
        <v/>
      </c>
      <c r="L62" s="86" t="str">
        <f aca="false">IF($B62="","",الموظفون!$L62*$I62/cfg_DAYS_M)</f>
        <v/>
      </c>
      <c r="M62" s="86" t="str">
        <f aca="false">IF($B62="","",الموظفون!$M62*$I62/cfg_DAYS_M)</f>
        <v/>
      </c>
      <c r="N62" s="105" t="str">
        <f aca="false">IF($B62="","",SUMIFS('الحركات الشهرية'!$F$6:$F$1005,'الحركات الشهرية'!$B$6:$B$1005,$B62,'الحركات الشهرية'!$A$6:$A$1005,$C$3))</f>
        <v/>
      </c>
      <c r="O62" s="86" t="str">
        <f aca="false">IF($B62="","",N62*(الموظفون!$N62+الموظفون!$J62*cfg_OT_P)/cfg_DAYS_M/cfg_HRS)</f>
        <v/>
      </c>
      <c r="P62" s="86" t="str">
        <f aca="false">IF($B62="","",SUMIFS('الحركات الشهرية'!$G$6:$G$1005,'الحركات الشهرية'!$B$6:$B$1005,$B62,'الحركات الشهرية'!$A$6:$A$1005,$C$3))</f>
        <v/>
      </c>
      <c r="Q62" s="86" t="str">
        <f aca="false">IF($B62="","",SUMIFS('الحركات الشهرية'!$H$6:$H$1005,'الحركات الشهرية'!$B$6:$B$1005,$B62,'الحركات الشهرية'!$A$6:$A$1005,$C$3))</f>
        <v/>
      </c>
      <c r="R62" s="106" t="str">
        <f aca="false">IF($B62="","",SUM(J62:M62)+SUM(O62:Q62))</f>
        <v/>
      </c>
      <c r="S62" s="86" t="str">
        <f aca="false">IF($B62="","",الموظفون!$Q62*IF(E62="سعودي",cfg_G_SE,cfg_G_NE)*F62/cfg_DAYS_M)</f>
        <v/>
      </c>
      <c r="T62" s="86" t="str">
        <f aca="false">IF($B62="","",SUMIFS('الحركات الشهرية'!$I$6:$I$1005,'الحركات الشهرية'!$B$6:$B$1005,$B62,'الحركات الشهرية'!$A$6:$A$1005,$C$3))</f>
        <v/>
      </c>
      <c r="U62" s="86" t="str">
        <f aca="false">IF($B62="","",SUMIFS('الحركات الشهرية'!$J$6:$J$1005,'الحركات الشهرية'!$B$6:$B$1005,$B62,'الحركات الشهرية'!$A$6:$A$1005,$C$3))</f>
        <v/>
      </c>
      <c r="V62" s="86" t="str">
        <f aca="false">IF($B62="","",SUM(S62:U62))</f>
        <v/>
      </c>
      <c r="W62" s="107" t="str">
        <f aca="false">IF($B62="","",R62-V62)</f>
        <v/>
      </c>
      <c r="X62" s="86" t="str">
        <f aca="false">IF($B62="","",الموظفون!$Q62*IF(E62="سعودي",cfg_G_SR,cfg_G_NR)*F62/cfg_DAYS_M)</f>
        <v/>
      </c>
      <c r="Y62" s="86" t="str">
        <f aca="false">IF($B62="","",الموظفون!$O62*(cfg_EOS_R1*(MIN(AC62,cfg_EOS_TH)-MIN(AD62,cfg_EOS_TH))+cfg_EOS_R2*(MAX(AC62-cfg_EOS_TH,0)-MAX(AD62-cfg_EOS_TH,0))))</f>
        <v/>
      </c>
      <c r="Z62" s="86" t="str">
        <f aca="false">IF($B62="","",IF(الموظفون!$R62&lt;&gt;"",الموظفون!$R62,IF(AC62&gt;=cfg_LV_TH,cfg_LV_D2,cfg_LV_D1))/cfg_DAYS_Y*AE62*الموظفون!$P62/cfg_DAYS_M)</f>
        <v/>
      </c>
      <c r="AA62" s="86" t="str">
        <f aca="false">IF($B62="","",IF(AND(الموظفون!$S62="نعم",N(الموظفون!$U62)&gt;0),الموظفون!$T62/الموظفون!$U62*12/cfg_DAYS_Y*AE62,0))</f>
        <v/>
      </c>
      <c r="AB62" s="108" t="str">
        <f aca="false">IF($B62="","",R62+SUM(X62:AA62))</f>
        <v/>
      </c>
      <c r="AC62" s="109" t="str">
        <f aca="false">IF($B62="","",MAX(0,IF(OR(الموظفون!$X62="",الموظفون!$X62&gt;$G$3),$G$3,الموظفون!$X62)-الموظفون!$H62+1)/cfg_DAYS_Y)</f>
        <v/>
      </c>
      <c r="AD62" s="109" t="str">
        <f aca="false">IF($B62="","",MAX(0,IF(OR(الموظفون!$X62="",الموظفون!$X62&gt;($E$3-1)),($E$3-1),الموظفون!$X62)-الموظفون!$H62+1)/cfg_DAYS_Y)</f>
        <v/>
      </c>
      <c r="AE62" s="51" t="str">
        <f aca="false">IF($B62="","",MAX(0,IF(OR(الموظفون!$X62="",الموظفون!$X62&gt;$G$3),$G$3,الموظفون!$X62)-MAX($E$3,الموظفون!$H62)+1))</f>
        <v/>
      </c>
    </row>
    <row r="63" customFormat="false" ht="15" hidden="false" customHeight="false" outlineLevel="0" collapsed="false">
      <c r="A63" s="89" t="str">
        <f aca="false">IF($B63="","",الموظفون!$A63)</f>
        <v/>
      </c>
      <c r="B63" s="91" t="str">
        <f aca="false">IF(الموظفون!$B63="","",الموظفون!$B63)</f>
        <v/>
      </c>
      <c r="C63" s="91" t="str">
        <f aca="false">IF($B63="","",الموظفون!$C63)</f>
        <v/>
      </c>
      <c r="D63" s="91" t="str">
        <f aca="false">IF($B63="","",الموظفون!$F63)</f>
        <v/>
      </c>
      <c r="E63" s="91" t="str">
        <f aca="false">IF($B63="","",الموظفون!$E63)</f>
        <v/>
      </c>
      <c r="F63" s="110" t="str">
        <f aca="false">IF($B63="","",IF(AE63&gt;=DAY($G$3),cfg_DAYS_M,MIN(AE63,cfg_DAYS_M)))</f>
        <v/>
      </c>
      <c r="G63" s="110" t="str">
        <f aca="false">IF($B63="","",SUMIFS('الحركات الشهرية'!$D$6:$D$1005,'الحركات الشهرية'!$B$6:$B$1005,$B63,'الحركات الشهرية'!$A$6:$A$1005,$C$3))</f>
        <v/>
      </c>
      <c r="H63" s="110" t="str">
        <f aca="false">IF($B63="","",SUMIFS('الحركات الشهرية'!$E$6:$E$1005,'الحركات الشهرية'!$B$6:$B$1005,$B63,'الحركات الشهرية'!$A$6:$A$1005,$C$3))</f>
        <v/>
      </c>
      <c r="I63" s="110" t="str">
        <f aca="false">IF($B63="","",MAX(0,F63-G63-H63))</f>
        <v/>
      </c>
      <c r="J63" s="90" t="str">
        <f aca="false">IF($B63="","",الموظفون!$J63*$I63/cfg_DAYS_M)</f>
        <v/>
      </c>
      <c r="K63" s="90" t="str">
        <f aca="false">IF($B63="","",الموظفون!$K63*$I63/cfg_DAYS_M)</f>
        <v/>
      </c>
      <c r="L63" s="90" t="str">
        <f aca="false">IF($B63="","",الموظفون!$L63*$I63/cfg_DAYS_M)</f>
        <v/>
      </c>
      <c r="M63" s="90" t="str">
        <f aca="false">IF($B63="","",الموظفون!$M63*$I63/cfg_DAYS_M)</f>
        <v/>
      </c>
      <c r="N63" s="110" t="str">
        <f aca="false">IF($B63="","",SUMIFS('الحركات الشهرية'!$F$6:$F$1005,'الحركات الشهرية'!$B$6:$B$1005,$B63,'الحركات الشهرية'!$A$6:$A$1005,$C$3))</f>
        <v/>
      </c>
      <c r="O63" s="90" t="str">
        <f aca="false">IF($B63="","",N63*(الموظفون!$N63+الموظفون!$J63*cfg_OT_P)/cfg_DAYS_M/cfg_HRS)</f>
        <v/>
      </c>
      <c r="P63" s="90" t="str">
        <f aca="false">IF($B63="","",SUMIFS('الحركات الشهرية'!$G$6:$G$1005,'الحركات الشهرية'!$B$6:$B$1005,$B63,'الحركات الشهرية'!$A$6:$A$1005,$C$3))</f>
        <v/>
      </c>
      <c r="Q63" s="90" t="str">
        <f aca="false">IF($B63="","",SUMIFS('الحركات الشهرية'!$H$6:$H$1005,'الحركات الشهرية'!$B$6:$B$1005,$B63,'الحركات الشهرية'!$A$6:$A$1005,$C$3))</f>
        <v/>
      </c>
      <c r="R63" s="111" t="str">
        <f aca="false">IF($B63="","",SUM(J63:M63)+SUM(O63:Q63))</f>
        <v/>
      </c>
      <c r="S63" s="90" t="str">
        <f aca="false">IF($B63="","",الموظفون!$Q63*IF(E63="سعودي",cfg_G_SE,cfg_G_NE)*F63/cfg_DAYS_M)</f>
        <v/>
      </c>
      <c r="T63" s="90" t="str">
        <f aca="false">IF($B63="","",SUMIFS('الحركات الشهرية'!$I$6:$I$1005,'الحركات الشهرية'!$B$6:$B$1005,$B63,'الحركات الشهرية'!$A$6:$A$1005,$C$3))</f>
        <v/>
      </c>
      <c r="U63" s="90" t="str">
        <f aca="false">IF($B63="","",SUMIFS('الحركات الشهرية'!$J$6:$J$1005,'الحركات الشهرية'!$B$6:$B$1005,$B63,'الحركات الشهرية'!$A$6:$A$1005,$C$3))</f>
        <v/>
      </c>
      <c r="V63" s="90" t="str">
        <f aca="false">IF($B63="","",SUM(S63:U63))</f>
        <v/>
      </c>
      <c r="W63" s="112" t="str">
        <f aca="false">IF($B63="","",R63-V63)</f>
        <v/>
      </c>
      <c r="X63" s="90" t="str">
        <f aca="false">IF($B63="","",الموظفون!$Q63*IF(E63="سعودي",cfg_G_SR,cfg_G_NR)*F63/cfg_DAYS_M)</f>
        <v/>
      </c>
      <c r="Y63" s="90" t="str">
        <f aca="false">IF($B63="","",الموظفون!$O63*(cfg_EOS_R1*(MIN(AC63,cfg_EOS_TH)-MIN(AD63,cfg_EOS_TH))+cfg_EOS_R2*(MAX(AC63-cfg_EOS_TH,0)-MAX(AD63-cfg_EOS_TH,0))))</f>
        <v/>
      </c>
      <c r="Z63" s="90" t="str">
        <f aca="false">IF($B63="","",IF(الموظفون!$R63&lt;&gt;"",الموظفون!$R63,IF(AC63&gt;=cfg_LV_TH,cfg_LV_D2,cfg_LV_D1))/cfg_DAYS_Y*AE63*الموظفون!$P63/cfg_DAYS_M)</f>
        <v/>
      </c>
      <c r="AA63" s="90" t="str">
        <f aca="false">IF($B63="","",IF(AND(الموظفون!$S63="نعم",N(الموظفون!$U63)&gt;0),الموظفون!$T63/الموظفون!$U63*12/cfg_DAYS_Y*AE63,0))</f>
        <v/>
      </c>
      <c r="AB63" s="113" t="str">
        <f aca="false">IF($B63="","",R63+SUM(X63:AA63))</f>
        <v/>
      </c>
      <c r="AC63" s="114" t="str">
        <f aca="false">IF($B63="","",MAX(0,IF(OR(الموظفون!$X63="",الموظفون!$X63&gt;$G$3),$G$3,الموظفون!$X63)-الموظفون!$H63+1)/cfg_DAYS_Y)</f>
        <v/>
      </c>
      <c r="AD63" s="114" t="str">
        <f aca="false">IF($B63="","",MAX(0,IF(OR(الموظفون!$X63="",الموظفون!$X63&gt;($E$3-1)),($E$3-1),الموظفون!$X63)-الموظفون!$H63+1)/cfg_DAYS_Y)</f>
        <v/>
      </c>
      <c r="AE63" s="115" t="str">
        <f aca="false">IF($B63="","",MAX(0,IF(OR(الموظفون!$X63="",الموظفون!$X63&gt;$G$3),$G$3,الموظفون!$X63)-MAX($E$3,الموظفون!$H63)+1))</f>
        <v/>
      </c>
    </row>
    <row r="64" customFormat="false" ht="15" hidden="false" customHeight="false" outlineLevel="0" collapsed="false">
      <c r="A64" s="83" t="str">
        <f aca="false">IF($B64="","",الموظفون!$A64)</f>
        <v/>
      </c>
      <c r="B64" s="74" t="str">
        <f aca="false">IF(الموظفون!$B64="","",الموظفون!$B64)</f>
        <v/>
      </c>
      <c r="C64" s="74" t="str">
        <f aca="false">IF($B64="","",الموظفون!$C64)</f>
        <v/>
      </c>
      <c r="D64" s="74" t="str">
        <f aca="false">IF($B64="","",الموظفون!$F64)</f>
        <v/>
      </c>
      <c r="E64" s="74" t="str">
        <f aca="false">IF($B64="","",الموظفون!$E64)</f>
        <v/>
      </c>
      <c r="F64" s="105" t="str">
        <f aca="false">IF($B64="","",IF(AE64&gt;=DAY($G$3),cfg_DAYS_M,MIN(AE64,cfg_DAYS_M)))</f>
        <v/>
      </c>
      <c r="G64" s="105" t="str">
        <f aca="false">IF($B64="","",SUMIFS('الحركات الشهرية'!$D$6:$D$1005,'الحركات الشهرية'!$B$6:$B$1005,$B64,'الحركات الشهرية'!$A$6:$A$1005,$C$3))</f>
        <v/>
      </c>
      <c r="H64" s="105" t="str">
        <f aca="false">IF($B64="","",SUMIFS('الحركات الشهرية'!$E$6:$E$1005,'الحركات الشهرية'!$B$6:$B$1005,$B64,'الحركات الشهرية'!$A$6:$A$1005,$C$3))</f>
        <v/>
      </c>
      <c r="I64" s="105" t="str">
        <f aca="false">IF($B64="","",MAX(0,F64-G64-H64))</f>
        <v/>
      </c>
      <c r="J64" s="86" t="str">
        <f aca="false">IF($B64="","",الموظفون!$J64*$I64/cfg_DAYS_M)</f>
        <v/>
      </c>
      <c r="K64" s="86" t="str">
        <f aca="false">IF($B64="","",الموظفون!$K64*$I64/cfg_DAYS_M)</f>
        <v/>
      </c>
      <c r="L64" s="86" t="str">
        <f aca="false">IF($B64="","",الموظفون!$L64*$I64/cfg_DAYS_M)</f>
        <v/>
      </c>
      <c r="M64" s="86" t="str">
        <f aca="false">IF($B64="","",الموظفون!$M64*$I64/cfg_DAYS_M)</f>
        <v/>
      </c>
      <c r="N64" s="105" t="str">
        <f aca="false">IF($B64="","",SUMIFS('الحركات الشهرية'!$F$6:$F$1005,'الحركات الشهرية'!$B$6:$B$1005,$B64,'الحركات الشهرية'!$A$6:$A$1005,$C$3))</f>
        <v/>
      </c>
      <c r="O64" s="86" t="str">
        <f aca="false">IF($B64="","",N64*(الموظفون!$N64+الموظفون!$J64*cfg_OT_P)/cfg_DAYS_M/cfg_HRS)</f>
        <v/>
      </c>
      <c r="P64" s="86" t="str">
        <f aca="false">IF($B64="","",SUMIFS('الحركات الشهرية'!$G$6:$G$1005,'الحركات الشهرية'!$B$6:$B$1005,$B64,'الحركات الشهرية'!$A$6:$A$1005,$C$3))</f>
        <v/>
      </c>
      <c r="Q64" s="86" t="str">
        <f aca="false">IF($B64="","",SUMIFS('الحركات الشهرية'!$H$6:$H$1005,'الحركات الشهرية'!$B$6:$B$1005,$B64,'الحركات الشهرية'!$A$6:$A$1005,$C$3))</f>
        <v/>
      </c>
      <c r="R64" s="106" t="str">
        <f aca="false">IF($B64="","",SUM(J64:M64)+SUM(O64:Q64))</f>
        <v/>
      </c>
      <c r="S64" s="86" t="str">
        <f aca="false">IF($B64="","",الموظفون!$Q64*IF(E64="سعودي",cfg_G_SE,cfg_G_NE)*F64/cfg_DAYS_M)</f>
        <v/>
      </c>
      <c r="T64" s="86" t="str">
        <f aca="false">IF($B64="","",SUMIFS('الحركات الشهرية'!$I$6:$I$1005,'الحركات الشهرية'!$B$6:$B$1005,$B64,'الحركات الشهرية'!$A$6:$A$1005,$C$3))</f>
        <v/>
      </c>
      <c r="U64" s="86" t="str">
        <f aca="false">IF($B64="","",SUMIFS('الحركات الشهرية'!$J$6:$J$1005,'الحركات الشهرية'!$B$6:$B$1005,$B64,'الحركات الشهرية'!$A$6:$A$1005,$C$3))</f>
        <v/>
      </c>
      <c r="V64" s="86" t="str">
        <f aca="false">IF($B64="","",SUM(S64:U64))</f>
        <v/>
      </c>
      <c r="W64" s="107" t="str">
        <f aca="false">IF($B64="","",R64-V64)</f>
        <v/>
      </c>
      <c r="X64" s="86" t="str">
        <f aca="false">IF($B64="","",الموظفون!$Q64*IF(E64="سعودي",cfg_G_SR,cfg_G_NR)*F64/cfg_DAYS_M)</f>
        <v/>
      </c>
      <c r="Y64" s="86" t="str">
        <f aca="false">IF($B64="","",الموظفون!$O64*(cfg_EOS_R1*(MIN(AC64,cfg_EOS_TH)-MIN(AD64,cfg_EOS_TH))+cfg_EOS_R2*(MAX(AC64-cfg_EOS_TH,0)-MAX(AD64-cfg_EOS_TH,0))))</f>
        <v/>
      </c>
      <c r="Z64" s="86" t="str">
        <f aca="false">IF($B64="","",IF(الموظفون!$R64&lt;&gt;"",الموظفون!$R64,IF(AC64&gt;=cfg_LV_TH,cfg_LV_D2,cfg_LV_D1))/cfg_DAYS_Y*AE64*الموظفون!$P64/cfg_DAYS_M)</f>
        <v/>
      </c>
      <c r="AA64" s="86" t="str">
        <f aca="false">IF($B64="","",IF(AND(الموظفون!$S64="نعم",N(الموظفون!$U64)&gt;0),الموظفون!$T64/الموظفون!$U64*12/cfg_DAYS_Y*AE64,0))</f>
        <v/>
      </c>
      <c r="AB64" s="108" t="str">
        <f aca="false">IF($B64="","",R64+SUM(X64:AA64))</f>
        <v/>
      </c>
      <c r="AC64" s="109" t="str">
        <f aca="false">IF($B64="","",MAX(0,IF(OR(الموظفون!$X64="",الموظفون!$X64&gt;$G$3),$G$3,الموظفون!$X64)-الموظفون!$H64+1)/cfg_DAYS_Y)</f>
        <v/>
      </c>
      <c r="AD64" s="109" t="str">
        <f aca="false">IF($B64="","",MAX(0,IF(OR(الموظفون!$X64="",الموظفون!$X64&gt;($E$3-1)),($E$3-1),الموظفون!$X64)-الموظفون!$H64+1)/cfg_DAYS_Y)</f>
        <v/>
      </c>
      <c r="AE64" s="51" t="str">
        <f aca="false">IF($B64="","",MAX(0,IF(OR(الموظفون!$X64="",الموظفون!$X64&gt;$G$3),$G$3,الموظفون!$X64)-MAX($E$3,الموظفون!$H64)+1))</f>
        <v/>
      </c>
    </row>
    <row r="65" customFormat="false" ht="15" hidden="false" customHeight="false" outlineLevel="0" collapsed="false">
      <c r="A65" s="89" t="str">
        <f aca="false">IF($B65="","",الموظفون!$A65)</f>
        <v/>
      </c>
      <c r="B65" s="91" t="str">
        <f aca="false">IF(الموظفون!$B65="","",الموظفون!$B65)</f>
        <v/>
      </c>
      <c r="C65" s="91" t="str">
        <f aca="false">IF($B65="","",الموظفون!$C65)</f>
        <v/>
      </c>
      <c r="D65" s="91" t="str">
        <f aca="false">IF($B65="","",الموظفون!$F65)</f>
        <v/>
      </c>
      <c r="E65" s="91" t="str">
        <f aca="false">IF($B65="","",الموظفون!$E65)</f>
        <v/>
      </c>
      <c r="F65" s="110" t="str">
        <f aca="false">IF($B65="","",IF(AE65&gt;=DAY($G$3),cfg_DAYS_M,MIN(AE65,cfg_DAYS_M)))</f>
        <v/>
      </c>
      <c r="G65" s="110" t="str">
        <f aca="false">IF($B65="","",SUMIFS('الحركات الشهرية'!$D$6:$D$1005,'الحركات الشهرية'!$B$6:$B$1005,$B65,'الحركات الشهرية'!$A$6:$A$1005,$C$3))</f>
        <v/>
      </c>
      <c r="H65" s="110" t="str">
        <f aca="false">IF($B65="","",SUMIFS('الحركات الشهرية'!$E$6:$E$1005,'الحركات الشهرية'!$B$6:$B$1005,$B65,'الحركات الشهرية'!$A$6:$A$1005,$C$3))</f>
        <v/>
      </c>
      <c r="I65" s="110" t="str">
        <f aca="false">IF($B65="","",MAX(0,F65-G65-H65))</f>
        <v/>
      </c>
      <c r="J65" s="90" t="str">
        <f aca="false">IF($B65="","",الموظفون!$J65*$I65/cfg_DAYS_M)</f>
        <v/>
      </c>
      <c r="K65" s="90" t="str">
        <f aca="false">IF($B65="","",الموظفون!$K65*$I65/cfg_DAYS_M)</f>
        <v/>
      </c>
      <c r="L65" s="90" t="str">
        <f aca="false">IF($B65="","",الموظفون!$L65*$I65/cfg_DAYS_M)</f>
        <v/>
      </c>
      <c r="M65" s="90" t="str">
        <f aca="false">IF($B65="","",الموظفون!$M65*$I65/cfg_DAYS_M)</f>
        <v/>
      </c>
      <c r="N65" s="110" t="str">
        <f aca="false">IF($B65="","",SUMIFS('الحركات الشهرية'!$F$6:$F$1005,'الحركات الشهرية'!$B$6:$B$1005,$B65,'الحركات الشهرية'!$A$6:$A$1005,$C$3))</f>
        <v/>
      </c>
      <c r="O65" s="90" t="str">
        <f aca="false">IF($B65="","",N65*(الموظفون!$N65+الموظفون!$J65*cfg_OT_P)/cfg_DAYS_M/cfg_HRS)</f>
        <v/>
      </c>
      <c r="P65" s="90" t="str">
        <f aca="false">IF($B65="","",SUMIFS('الحركات الشهرية'!$G$6:$G$1005,'الحركات الشهرية'!$B$6:$B$1005,$B65,'الحركات الشهرية'!$A$6:$A$1005,$C$3))</f>
        <v/>
      </c>
      <c r="Q65" s="90" t="str">
        <f aca="false">IF($B65="","",SUMIFS('الحركات الشهرية'!$H$6:$H$1005,'الحركات الشهرية'!$B$6:$B$1005,$B65,'الحركات الشهرية'!$A$6:$A$1005,$C$3))</f>
        <v/>
      </c>
      <c r="R65" s="111" t="str">
        <f aca="false">IF($B65="","",SUM(J65:M65)+SUM(O65:Q65))</f>
        <v/>
      </c>
      <c r="S65" s="90" t="str">
        <f aca="false">IF($B65="","",الموظفون!$Q65*IF(E65="سعودي",cfg_G_SE,cfg_G_NE)*F65/cfg_DAYS_M)</f>
        <v/>
      </c>
      <c r="T65" s="90" t="str">
        <f aca="false">IF($B65="","",SUMIFS('الحركات الشهرية'!$I$6:$I$1005,'الحركات الشهرية'!$B$6:$B$1005,$B65,'الحركات الشهرية'!$A$6:$A$1005,$C$3))</f>
        <v/>
      </c>
      <c r="U65" s="90" t="str">
        <f aca="false">IF($B65="","",SUMIFS('الحركات الشهرية'!$J$6:$J$1005,'الحركات الشهرية'!$B$6:$B$1005,$B65,'الحركات الشهرية'!$A$6:$A$1005,$C$3))</f>
        <v/>
      </c>
      <c r="V65" s="90" t="str">
        <f aca="false">IF($B65="","",SUM(S65:U65))</f>
        <v/>
      </c>
      <c r="W65" s="112" t="str">
        <f aca="false">IF($B65="","",R65-V65)</f>
        <v/>
      </c>
      <c r="X65" s="90" t="str">
        <f aca="false">IF($B65="","",الموظفون!$Q65*IF(E65="سعودي",cfg_G_SR,cfg_G_NR)*F65/cfg_DAYS_M)</f>
        <v/>
      </c>
      <c r="Y65" s="90" t="str">
        <f aca="false">IF($B65="","",الموظفون!$O65*(cfg_EOS_R1*(MIN(AC65,cfg_EOS_TH)-MIN(AD65,cfg_EOS_TH))+cfg_EOS_R2*(MAX(AC65-cfg_EOS_TH,0)-MAX(AD65-cfg_EOS_TH,0))))</f>
        <v/>
      </c>
      <c r="Z65" s="90" t="str">
        <f aca="false">IF($B65="","",IF(الموظفون!$R65&lt;&gt;"",الموظفون!$R65,IF(AC65&gt;=cfg_LV_TH,cfg_LV_D2,cfg_LV_D1))/cfg_DAYS_Y*AE65*الموظفون!$P65/cfg_DAYS_M)</f>
        <v/>
      </c>
      <c r="AA65" s="90" t="str">
        <f aca="false">IF($B65="","",IF(AND(الموظفون!$S65="نعم",N(الموظفون!$U65)&gt;0),الموظفون!$T65/الموظفون!$U65*12/cfg_DAYS_Y*AE65,0))</f>
        <v/>
      </c>
      <c r="AB65" s="113" t="str">
        <f aca="false">IF($B65="","",R65+SUM(X65:AA65))</f>
        <v/>
      </c>
      <c r="AC65" s="114" t="str">
        <f aca="false">IF($B65="","",MAX(0,IF(OR(الموظفون!$X65="",الموظفون!$X65&gt;$G$3),$G$3,الموظفون!$X65)-الموظفون!$H65+1)/cfg_DAYS_Y)</f>
        <v/>
      </c>
      <c r="AD65" s="114" t="str">
        <f aca="false">IF($B65="","",MAX(0,IF(OR(الموظفون!$X65="",الموظفون!$X65&gt;($E$3-1)),($E$3-1),الموظفون!$X65)-الموظفون!$H65+1)/cfg_DAYS_Y)</f>
        <v/>
      </c>
      <c r="AE65" s="115" t="str">
        <f aca="false">IF($B65="","",MAX(0,IF(OR(الموظفون!$X65="",الموظفون!$X65&gt;$G$3),$G$3,الموظفون!$X65)-MAX($E$3,الموظفون!$H65)+1))</f>
        <v/>
      </c>
    </row>
    <row r="66" customFormat="false" ht="15" hidden="false" customHeight="false" outlineLevel="0" collapsed="false">
      <c r="A66" s="83" t="str">
        <f aca="false">IF($B66="","",الموظفون!$A66)</f>
        <v/>
      </c>
      <c r="B66" s="74" t="str">
        <f aca="false">IF(الموظفون!$B66="","",الموظفون!$B66)</f>
        <v/>
      </c>
      <c r="C66" s="74" t="str">
        <f aca="false">IF($B66="","",الموظفون!$C66)</f>
        <v/>
      </c>
      <c r="D66" s="74" t="str">
        <f aca="false">IF($B66="","",الموظفون!$F66)</f>
        <v/>
      </c>
      <c r="E66" s="74" t="str">
        <f aca="false">IF($B66="","",الموظفون!$E66)</f>
        <v/>
      </c>
      <c r="F66" s="105" t="str">
        <f aca="false">IF($B66="","",IF(AE66&gt;=DAY($G$3),cfg_DAYS_M,MIN(AE66,cfg_DAYS_M)))</f>
        <v/>
      </c>
      <c r="G66" s="105" t="str">
        <f aca="false">IF($B66="","",SUMIFS('الحركات الشهرية'!$D$6:$D$1005,'الحركات الشهرية'!$B$6:$B$1005,$B66,'الحركات الشهرية'!$A$6:$A$1005,$C$3))</f>
        <v/>
      </c>
      <c r="H66" s="105" t="str">
        <f aca="false">IF($B66="","",SUMIFS('الحركات الشهرية'!$E$6:$E$1005,'الحركات الشهرية'!$B$6:$B$1005,$B66,'الحركات الشهرية'!$A$6:$A$1005,$C$3))</f>
        <v/>
      </c>
      <c r="I66" s="105" t="str">
        <f aca="false">IF($B66="","",MAX(0,F66-G66-H66))</f>
        <v/>
      </c>
      <c r="J66" s="86" t="str">
        <f aca="false">IF($B66="","",الموظفون!$J66*$I66/cfg_DAYS_M)</f>
        <v/>
      </c>
      <c r="K66" s="86" t="str">
        <f aca="false">IF($B66="","",الموظفون!$K66*$I66/cfg_DAYS_M)</f>
        <v/>
      </c>
      <c r="L66" s="86" t="str">
        <f aca="false">IF($B66="","",الموظفون!$L66*$I66/cfg_DAYS_M)</f>
        <v/>
      </c>
      <c r="M66" s="86" t="str">
        <f aca="false">IF($B66="","",الموظفون!$M66*$I66/cfg_DAYS_M)</f>
        <v/>
      </c>
      <c r="N66" s="105" t="str">
        <f aca="false">IF($B66="","",SUMIFS('الحركات الشهرية'!$F$6:$F$1005,'الحركات الشهرية'!$B$6:$B$1005,$B66,'الحركات الشهرية'!$A$6:$A$1005,$C$3))</f>
        <v/>
      </c>
      <c r="O66" s="86" t="str">
        <f aca="false">IF($B66="","",N66*(الموظفون!$N66+الموظفون!$J66*cfg_OT_P)/cfg_DAYS_M/cfg_HRS)</f>
        <v/>
      </c>
      <c r="P66" s="86" t="str">
        <f aca="false">IF($B66="","",SUMIFS('الحركات الشهرية'!$G$6:$G$1005,'الحركات الشهرية'!$B$6:$B$1005,$B66,'الحركات الشهرية'!$A$6:$A$1005,$C$3))</f>
        <v/>
      </c>
      <c r="Q66" s="86" t="str">
        <f aca="false">IF($B66="","",SUMIFS('الحركات الشهرية'!$H$6:$H$1005,'الحركات الشهرية'!$B$6:$B$1005,$B66,'الحركات الشهرية'!$A$6:$A$1005,$C$3))</f>
        <v/>
      </c>
      <c r="R66" s="106" t="str">
        <f aca="false">IF($B66="","",SUM(J66:M66)+SUM(O66:Q66))</f>
        <v/>
      </c>
      <c r="S66" s="86" t="str">
        <f aca="false">IF($B66="","",الموظفون!$Q66*IF(E66="سعودي",cfg_G_SE,cfg_G_NE)*F66/cfg_DAYS_M)</f>
        <v/>
      </c>
      <c r="T66" s="86" t="str">
        <f aca="false">IF($B66="","",SUMIFS('الحركات الشهرية'!$I$6:$I$1005,'الحركات الشهرية'!$B$6:$B$1005,$B66,'الحركات الشهرية'!$A$6:$A$1005,$C$3))</f>
        <v/>
      </c>
      <c r="U66" s="86" t="str">
        <f aca="false">IF($B66="","",SUMIFS('الحركات الشهرية'!$J$6:$J$1005,'الحركات الشهرية'!$B$6:$B$1005,$B66,'الحركات الشهرية'!$A$6:$A$1005,$C$3))</f>
        <v/>
      </c>
      <c r="V66" s="86" t="str">
        <f aca="false">IF($B66="","",SUM(S66:U66))</f>
        <v/>
      </c>
      <c r="W66" s="107" t="str">
        <f aca="false">IF($B66="","",R66-V66)</f>
        <v/>
      </c>
      <c r="X66" s="86" t="str">
        <f aca="false">IF($B66="","",الموظفون!$Q66*IF(E66="سعودي",cfg_G_SR,cfg_G_NR)*F66/cfg_DAYS_M)</f>
        <v/>
      </c>
      <c r="Y66" s="86" t="str">
        <f aca="false">IF($B66="","",الموظفون!$O66*(cfg_EOS_R1*(MIN(AC66,cfg_EOS_TH)-MIN(AD66,cfg_EOS_TH))+cfg_EOS_R2*(MAX(AC66-cfg_EOS_TH,0)-MAX(AD66-cfg_EOS_TH,0))))</f>
        <v/>
      </c>
      <c r="Z66" s="86" t="str">
        <f aca="false">IF($B66="","",IF(الموظفون!$R66&lt;&gt;"",الموظفون!$R66,IF(AC66&gt;=cfg_LV_TH,cfg_LV_D2,cfg_LV_D1))/cfg_DAYS_Y*AE66*الموظفون!$P66/cfg_DAYS_M)</f>
        <v/>
      </c>
      <c r="AA66" s="86" t="str">
        <f aca="false">IF($B66="","",IF(AND(الموظفون!$S66="نعم",N(الموظفون!$U66)&gt;0),الموظفون!$T66/الموظفون!$U66*12/cfg_DAYS_Y*AE66,0))</f>
        <v/>
      </c>
      <c r="AB66" s="108" t="str">
        <f aca="false">IF($B66="","",R66+SUM(X66:AA66))</f>
        <v/>
      </c>
      <c r="AC66" s="109" t="str">
        <f aca="false">IF($B66="","",MAX(0,IF(OR(الموظفون!$X66="",الموظفون!$X66&gt;$G$3),$G$3,الموظفون!$X66)-الموظفون!$H66+1)/cfg_DAYS_Y)</f>
        <v/>
      </c>
      <c r="AD66" s="109" t="str">
        <f aca="false">IF($B66="","",MAX(0,IF(OR(الموظفون!$X66="",الموظفون!$X66&gt;($E$3-1)),($E$3-1),الموظفون!$X66)-الموظفون!$H66+1)/cfg_DAYS_Y)</f>
        <v/>
      </c>
      <c r="AE66" s="51" t="str">
        <f aca="false">IF($B66="","",MAX(0,IF(OR(الموظفون!$X66="",الموظفون!$X66&gt;$G$3),$G$3,الموظفون!$X66)-MAX($E$3,الموظفون!$H66)+1))</f>
        <v/>
      </c>
    </row>
    <row r="67" customFormat="false" ht="15" hidden="false" customHeight="false" outlineLevel="0" collapsed="false">
      <c r="A67" s="89" t="str">
        <f aca="false">IF($B67="","",الموظفون!$A67)</f>
        <v/>
      </c>
      <c r="B67" s="91" t="str">
        <f aca="false">IF(الموظفون!$B67="","",الموظفون!$B67)</f>
        <v/>
      </c>
      <c r="C67" s="91" t="str">
        <f aca="false">IF($B67="","",الموظفون!$C67)</f>
        <v/>
      </c>
      <c r="D67" s="91" t="str">
        <f aca="false">IF($B67="","",الموظفون!$F67)</f>
        <v/>
      </c>
      <c r="E67" s="91" t="str">
        <f aca="false">IF($B67="","",الموظفون!$E67)</f>
        <v/>
      </c>
      <c r="F67" s="110" t="str">
        <f aca="false">IF($B67="","",IF(AE67&gt;=DAY($G$3),cfg_DAYS_M,MIN(AE67,cfg_DAYS_M)))</f>
        <v/>
      </c>
      <c r="G67" s="110" t="str">
        <f aca="false">IF($B67="","",SUMIFS('الحركات الشهرية'!$D$6:$D$1005,'الحركات الشهرية'!$B$6:$B$1005,$B67,'الحركات الشهرية'!$A$6:$A$1005,$C$3))</f>
        <v/>
      </c>
      <c r="H67" s="110" t="str">
        <f aca="false">IF($B67="","",SUMIFS('الحركات الشهرية'!$E$6:$E$1005,'الحركات الشهرية'!$B$6:$B$1005,$B67,'الحركات الشهرية'!$A$6:$A$1005,$C$3))</f>
        <v/>
      </c>
      <c r="I67" s="110" t="str">
        <f aca="false">IF($B67="","",MAX(0,F67-G67-H67))</f>
        <v/>
      </c>
      <c r="J67" s="90" t="str">
        <f aca="false">IF($B67="","",الموظفون!$J67*$I67/cfg_DAYS_M)</f>
        <v/>
      </c>
      <c r="K67" s="90" t="str">
        <f aca="false">IF($B67="","",الموظفون!$K67*$I67/cfg_DAYS_M)</f>
        <v/>
      </c>
      <c r="L67" s="90" t="str">
        <f aca="false">IF($B67="","",الموظفون!$L67*$I67/cfg_DAYS_M)</f>
        <v/>
      </c>
      <c r="M67" s="90" t="str">
        <f aca="false">IF($B67="","",الموظفون!$M67*$I67/cfg_DAYS_M)</f>
        <v/>
      </c>
      <c r="N67" s="110" t="str">
        <f aca="false">IF($B67="","",SUMIFS('الحركات الشهرية'!$F$6:$F$1005,'الحركات الشهرية'!$B$6:$B$1005,$B67,'الحركات الشهرية'!$A$6:$A$1005,$C$3))</f>
        <v/>
      </c>
      <c r="O67" s="90" t="str">
        <f aca="false">IF($B67="","",N67*(الموظفون!$N67+الموظفون!$J67*cfg_OT_P)/cfg_DAYS_M/cfg_HRS)</f>
        <v/>
      </c>
      <c r="P67" s="90" t="str">
        <f aca="false">IF($B67="","",SUMIFS('الحركات الشهرية'!$G$6:$G$1005,'الحركات الشهرية'!$B$6:$B$1005,$B67,'الحركات الشهرية'!$A$6:$A$1005,$C$3))</f>
        <v/>
      </c>
      <c r="Q67" s="90" t="str">
        <f aca="false">IF($B67="","",SUMIFS('الحركات الشهرية'!$H$6:$H$1005,'الحركات الشهرية'!$B$6:$B$1005,$B67,'الحركات الشهرية'!$A$6:$A$1005,$C$3))</f>
        <v/>
      </c>
      <c r="R67" s="111" t="str">
        <f aca="false">IF($B67="","",SUM(J67:M67)+SUM(O67:Q67))</f>
        <v/>
      </c>
      <c r="S67" s="90" t="str">
        <f aca="false">IF($B67="","",الموظفون!$Q67*IF(E67="سعودي",cfg_G_SE,cfg_G_NE)*F67/cfg_DAYS_M)</f>
        <v/>
      </c>
      <c r="T67" s="90" t="str">
        <f aca="false">IF($B67="","",SUMIFS('الحركات الشهرية'!$I$6:$I$1005,'الحركات الشهرية'!$B$6:$B$1005,$B67,'الحركات الشهرية'!$A$6:$A$1005,$C$3))</f>
        <v/>
      </c>
      <c r="U67" s="90" t="str">
        <f aca="false">IF($B67="","",SUMIFS('الحركات الشهرية'!$J$6:$J$1005,'الحركات الشهرية'!$B$6:$B$1005,$B67,'الحركات الشهرية'!$A$6:$A$1005,$C$3))</f>
        <v/>
      </c>
      <c r="V67" s="90" t="str">
        <f aca="false">IF($B67="","",SUM(S67:U67))</f>
        <v/>
      </c>
      <c r="W67" s="112" t="str">
        <f aca="false">IF($B67="","",R67-V67)</f>
        <v/>
      </c>
      <c r="X67" s="90" t="str">
        <f aca="false">IF($B67="","",الموظفون!$Q67*IF(E67="سعودي",cfg_G_SR,cfg_G_NR)*F67/cfg_DAYS_M)</f>
        <v/>
      </c>
      <c r="Y67" s="90" t="str">
        <f aca="false">IF($B67="","",الموظفون!$O67*(cfg_EOS_R1*(MIN(AC67,cfg_EOS_TH)-MIN(AD67,cfg_EOS_TH))+cfg_EOS_R2*(MAX(AC67-cfg_EOS_TH,0)-MAX(AD67-cfg_EOS_TH,0))))</f>
        <v/>
      </c>
      <c r="Z67" s="90" t="str">
        <f aca="false">IF($B67="","",IF(الموظفون!$R67&lt;&gt;"",الموظفون!$R67,IF(AC67&gt;=cfg_LV_TH,cfg_LV_D2,cfg_LV_D1))/cfg_DAYS_Y*AE67*الموظفون!$P67/cfg_DAYS_M)</f>
        <v/>
      </c>
      <c r="AA67" s="90" t="str">
        <f aca="false">IF($B67="","",IF(AND(الموظفون!$S67="نعم",N(الموظفون!$U67)&gt;0),الموظفون!$T67/الموظفون!$U67*12/cfg_DAYS_Y*AE67,0))</f>
        <v/>
      </c>
      <c r="AB67" s="113" t="str">
        <f aca="false">IF($B67="","",R67+SUM(X67:AA67))</f>
        <v/>
      </c>
      <c r="AC67" s="114" t="str">
        <f aca="false">IF($B67="","",MAX(0,IF(OR(الموظفون!$X67="",الموظفون!$X67&gt;$G$3),$G$3,الموظفون!$X67)-الموظفون!$H67+1)/cfg_DAYS_Y)</f>
        <v/>
      </c>
      <c r="AD67" s="114" t="str">
        <f aca="false">IF($B67="","",MAX(0,IF(OR(الموظفون!$X67="",الموظفون!$X67&gt;($E$3-1)),($E$3-1),الموظفون!$X67)-الموظفون!$H67+1)/cfg_DAYS_Y)</f>
        <v/>
      </c>
      <c r="AE67" s="115" t="str">
        <f aca="false">IF($B67="","",MAX(0,IF(OR(الموظفون!$X67="",الموظفون!$X67&gt;$G$3),$G$3,الموظفون!$X67)-MAX($E$3,الموظفون!$H67)+1))</f>
        <v/>
      </c>
    </row>
    <row r="68" customFormat="false" ht="15" hidden="false" customHeight="false" outlineLevel="0" collapsed="false">
      <c r="A68" s="83" t="str">
        <f aca="false">IF($B68="","",الموظفون!$A68)</f>
        <v/>
      </c>
      <c r="B68" s="74" t="str">
        <f aca="false">IF(الموظفون!$B68="","",الموظفون!$B68)</f>
        <v/>
      </c>
      <c r="C68" s="74" t="str">
        <f aca="false">IF($B68="","",الموظفون!$C68)</f>
        <v/>
      </c>
      <c r="D68" s="74" t="str">
        <f aca="false">IF($B68="","",الموظفون!$F68)</f>
        <v/>
      </c>
      <c r="E68" s="74" t="str">
        <f aca="false">IF($B68="","",الموظفون!$E68)</f>
        <v/>
      </c>
      <c r="F68" s="105" t="str">
        <f aca="false">IF($B68="","",IF(AE68&gt;=DAY($G$3),cfg_DAYS_M,MIN(AE68,cfg_DAYS_M)))</f>
        <v/>
      </c>
      <c r="G68" s="105" t="str">
        <f aca="false">IF($B68="","",SUMIFS('الحركات الشهرية'!$D$6:$D$1005,'الحركات الشهرية'!$B$6:$B$1005,$B68,'الحركات الشهرية'!$A$6:$A$1005,$C$3))</f>
        <v/>
      </c>
      <c r="H68" s="105" t="str">
        <f aca="false">IF($B68="","",SUMIFS('الحركات الشهرية'!$E$6:$E$1005,'الحركات الشهرية'!$B$6:$B$1005,$B68,'الحركات الشهرية'!$A$6:$A$1005,$C$3))</f>
        <v/>
      </c>
      <c r="I68" s="105" t="str">
        <f aca="false">IF($B68="","",MAX(0,F68-G68-H68))</f>
        <v/>
      </c>
      <c r="J68" s="86" t="str">
        <f aca="false">IF($B68="","",الموظفون!$J68*$I68/cfg_DAYS_M)</f>
        <v/>
      </c>
      <c r="K68" s="86" t="str">
        <f aca="false">IF($B68="","",الموظفون!$K68*$I68/cfg_DAYS_M)</f>
        <v/>
      </c>
      <c r="L68" s="86" t="str">
        <f aca="false">IF($B68="","",الموظفون!$L68*$I68/cfg_DAYS_M)</f>
        <v/>
      </c>
      <c r="M68" s="86" t="str">
        <f aca="false">IF($B68="","",الموظفون!$M68*$I68/cfg_DAYS_M)</f>
        <v/>
      </c>
      <c r="N68" s="105" t="str">
        <f aca="false">IF($B68="","",SUMIFS('الحركات الشهرية'!$F$6:$F$1005,'الحركات الشهرية'!$B$6:$B$1005,$B68,'الحركات الشهرية'!$A$6:$A$1005,$C$3))</f>
        <v/>
      </c>
      <c r="O68" s="86" t="str">
        <f aca="false">IF($B68="","",N68*(الموظفون!$N68+الموظفون!$J68*cfg_OT_P)/cfg_DAYS_M/cfg_HRS)</f>
        <v/>
      </c>
      <c r="P68" s="86" t="str">
        <f aca="false">IF($B68="","",SUMIFS('الحركات الشهرية'!$G$6:$G$1005,'الحركات الشهرية'!$B$6:$B$1005,$B68,'الحركات الشهرية'!$A$6:$A$1005,$C$3))</f>
        <v/>
      </c>
      <c r="Q68" s="86" t="str">
        <f aca="false">IF($B68="","",SUMIFS('الحركات الشهرية'!$H$6:$H$1005,'الحركات الشهرية'!$B$6:$B$1005,$B68,'الحركات الشهرية'!$A$6:$A$1005,$C$3))</f>
        <v/>
      </c>
      <c r="R68" s="106" t="str">
        <f aca="false">IF($B68="","",SUM(J68:M68)+SUM(O68:Q68))</f>
        <v/>
      </c>
      <c r="S68" s="86" t="str">
        <f aca="false">IF($B68="","",الموظفون!$Q68*IF(E68="سعودي",cfg_G_SE,cfg_G_NE)*F68/cfg_DAYS_M)</f>
        <v/>
      </c>
      <c r="T68" s="86" t="str">
        <f aca="false">IF($B68="","",SUMIFS('الحركات الشهرية'!$I$6:$I$1005,'الحركات الشهرية'!$B$6:$B$1005,$B68,'الحركات الشهرية'!$A$6:$A$1005,$C$3))</f>
        <v/>
      </c>
      <c r="U68" s="86" t="str">
        <f aca="false">IF($B68="","",SUMIFS('الحركات الشهرية'!$J$6:$J$1005,'الحركات الشهرية'!$B$6:$B$1005,$B68,'الحركات الشهرية'!$A$6:$A$1005,$C$3))</f>
        <v/>
      </c>
      <c r="V68" s="86" t="str">
        <f aca="false">IF($B68="","",SUM(S68:U68))</f>
        <v/>
      </c>
      <c r="W68" s="107" t="str">
        <f aca="false">IF($B68="","",R68-V68)</f>
        <v/>
      </c>
      <c r="X68" s="86" t="str">
        <f aca="false">IF($B68="","",الموظفون!$Q68*IF(E68="سعودي",cfg_G_SR,cfg_G_NR)*F68/cfg_DAYS_M)</f>
        <v/>
      </c>
      <c r="Y68" s="86" t="str">
        <f aca="false">IF($B68="","",الموظفون!$O68*(cfg_EOS_R1*(MIN(AC68,cfg_EOS_TH)-MIN(AD68,cfg_EOS_TH))+cfg_EOS_R2*(MAX(AC68-cfg_EOS_TH,0)-MAX(AD68-cfg_EOS_TH,0))))</f>
        <v/>
      </c>
      <c r="Z68" s="86" t="str">
        <f aca="false">IF($B68="","",IF(الموظفون!$R68&lt;&gt;"",الموظفون!$R68,IF(AC68&gt;=cfg_LV_TH,cfg_LV_D2,cfg_LV_D1))/cfg_DAYS_Y*AE68*الموظفون!$P68/cfg_DAYS_M)</f>
        <v/>
      </c>
      <c r="AA68" s="86" t="str">
        <f aca="false">IF($B68="","",IF(AND(الموظفون!$S68="نعم",N(الموظفون!$U68)&gt;0),الموظفون!$T68/الموظفون!$U68*12/cfg_DAYS_Y*AE68,0))</f>
        <v/>
      </c>
      <c r="AB68" s="108" t="str">
        <f aca="false">IF($B68="","",R68+SUM(X68:AA68))</f>
        <v/>
      </c>
      <c r="AC68" s="109" t="str">
        <f aca="false">IF($B68="","",MAX(0,IF(OR(الموظفون!$X68="",الموظفون!$X68&gt;$G$3),$G$3,الموظفون!$X68)-الموظفون!$H68+1)/cfg_DAYS_Y)</f>
        <v/>
      </c>
      <c r="AD68" s="109" t="str">
        <f aca="false">IF($B68="","",MAX(0,IF(OR(الموظفون!$X68="",الموظفون!$X68&gt;($E$3-1)),($E$3-1),الموظفون!$X68)-الموظفون!$H68+1)/cfg_DAYS_Y)</f>
        <v/>
      </c>
      <c r="AE68" s="51" t="str">
        <f aca="false">IF($B68="","",MAX(0,IF(OR(الموظفون!$X68="",الموظفون!$X68&gt;$G$3),$G$3,الموظفون!$X68)-MAX($E$3,الموظفون!$H68)+1))</f>
        <v/>
      </c>
    </row>
    <row r="69" customFormat="false" ht="15" hidden="false" customHeight="false" outlineLevel="0" collapsed="false">
      <c r="A69" s="89" t="str">
        <f aca="false">IF($B69="","",الموظفون!$A69)</f>
        <v/>
      </c>
      <c r="B69" s="91" t="str">
        <f aca="false">IF(الموظفون!$B69="","",الموظفون!$B69)</f>
        <v/>
      </c>
      <c r="C69" s="91" t="str">
        <f aca="false">IF($B69="","",الموظفون!$C69)</f>
        <v/>
      </c>
      <c r="D69" s="91" t="str">
        <f aca="false">IF($B69="","",الموظفون!$F69)</f>
        <v/>
      </c>
      <c r="E69" s="91" t="str">
        <f aca="false">IF($B69="","",الموظفون!$E69)</f>
        <v/>
      </c>
      <c r="F69" s="110" t="str">
        <f aca="false">IF($B69="","",IF(AE69&gt;=DAY($G$3),cfg_DAYS_M,MIN(AE69,cfg_DAYS_M)))</f>
        <v/>
      </c>
      <c r="G69" s="110" t="str">
        <f aca="false">IF($B69="","",SUMIFS('الحركات الشهرية'!$D$6:$D$1005,'الحركات الشهرية'!$B$6:$B$1005,$B69,'الحركات الشهرية'!$A$6:$A$1005,$C$3))</f>
        <v/>
      </c>
      <c r="H69" s="110" t="str">
        <f aca="false">IF($B69="","",SUMIFS('الحركات الشهرية'!$E$6:$E$1005,'الحركات الشهرية'!$B$6:$B$1005,$B69,'الحركات الشهرية'!$A$6:$A$1005,$C$3))</f>
        <v/>
      </c>
      <c r="I69" s="110" t="str">
        <f aca="false">IF($B69="","",MAX(0,F69-G69-H69))</f>
        <v/>
      </c>
      <c r="J69" s="90" t="str">
        <f aca="false">IF($B69="","",الموظفون!$J69*$I69/cfg_DAYS_M)</f>
        <v/>
      </c>
      <c r="K69" s="90" t="str">
        <f aca="false">IF($B69="","",الموظفون!$K69*$I69/cfg_DAYS_M)</f>
        <v/>
      </c>
      <c r="L69" s="90" t="str">
        <f aca="false">IF($B69="","",الموظفون!$L69*$I69/cfg_DAYS_M)</f>
        <v/>
      </c>
      <c r="M69" s="90" t="str">
        <f aca="false">IF($B69="","",الموظفون!$M69*$I69/cfg_DAYS_M)</f>
        <v/>
      </c>
      <c r="N69" s="110" t="str">
        <f aca="false">IF($B69="","",SUMIFS('الحركات الشهرية'!$F$6:$F$1005,'الحركات الشهرية'!$B$6:$B$1005,$B69,'الحركات الشهرية'!$A$6:$A$1005,$C$3))</f>
        <v/>
      </c>
      <c r="O69" s="90" t="str">
        <f aca="false">IF($B69="","",N69*(الموظفون!$N69+الموظفون!$J69*cfg_OT_P)/cfg_DAYS_M/cfg_HRS)</f>
        <v/>
      </c>
      <c r="P69" s="90" t="str">
        <f aca="false">IF($B69="","",SUMIFS('الحركات الشهرية'!$G$6:$G$1005,'الحركات الشهرية'!$B$6:$B$1005,$B69,'الحركات الشهرية'!$A$6:$A$1005,$C$3))</f>
        <v/>
      </c>
      <c r="Q69" s="90" t="str">
        <f aca="false">IF($B69="","",SUMIFS('الحركات الشهرية'!$H$6:$H$1005,'الحركات الشهرية'!$B$6:$B$1005,$B69,'الحركات الشهرية'!$A$6:$A$1005,$C$3))</f>
        <v/>
      </c>
      <c r="R69" s="111" t="str">
        <f aca="false">IF($B69="","",SUM(J69:M69)+SUM(O69:Q69))</f>
        <v/>
      </c>
      <c r="S69" s="90" t="str">
        <f aca="false">IF($B69="","",الموظفون!$Q69*IF(E69="سعودي",cfg_G_SE,cfg_G_NE)*F69/cfg_DAYS_M)</f>
        <v/>
      </c>
      <c r="T69" s="90" t="str">
        <f aca="false">IF($B69="","",SUMIFS('الحركات الشهرية'!$I$6:$I$1005,'الحركات الشهرية'!$B$6:$B$1005,$B69,'الحركات الشهرية'!$A$6:$A$1005,$C$3))</f>
        <v/>
      </c>
      <c r="U69" s="90" t="str">
        <f aca="false">IF($B69="","",SUMIFS('الحركات الشهرية'!$J$6:$J$1005,'الحركات الشهرية'!$B$6:$B$1005,$B69,'الحركات الشهرية'!$A$6:$A$1005,$C$3))</f>
        <v/>
      </c>
      <c r="V69" s="90" t="str">
        <f aca="false">IF($B69="","",SUM(S69:U69))</f>
        <v/>
      </c>
      <c r="W69" s="112" t="str">
        <f aca="false">IF($B69="","",R69-V69)</f>
        <v/>
      </c>
      <c r="X69" s="90" t="str">
        <f aca="false">IF($B69="","",الموظفون!$Q69*IF(E69="سعودي",cfg_G_SR,cfg_G_NR)*F69/cfg_DAYS_M)</f>
        <v/>
      </c>
      <c r="Y69" s="90" t="str">
        <f aca="false">IF($B69="","",الموظفون!$O69*(cfg_EOS_R1*(MIN(AC69,cfg_EOS_TH)-MIN(AD69,cfg_EOS_TH))+cfg_EOS_R2*(MAX(AC69-cfg_EOS_TH,0)-MAX(AD69-cfg_EOS_TH,0))))</f>
        <v/>
      </c>
      <c r="Z69" s="90" t="str">
        <f aca="false">IF($B69="","",IF(الموظفون!$R69&lt;&gt;"",الموظفون!$R69,IF(AC69&gt;=cfg_LV_TH,cfg_LV_D2,cfg_LV_D1))/cfg_DAYS_Y*AE69*الموظفون!$P69/cfg_DAYS_M)</f>
        <v/>
      </c>
      <c r="AA69" s="90" t="str">
        <f aca="false">IF($B69="","",IF(AND(الموظفون!$S69="نعم",N(الموظفون!$U69)&gt;0),الموظفون!$T69/الموظفون!$U69*12/cfg_DAYS_Y*AE69,0))</f>
        <v/>
      </c>
      <c r="AB69" s="113" t="str">
        <f aca="false">IF($B69="","",R69+SUM(X69:AA69))</f>
        <v/>
      </c>
      <c r="AC69" s="114" t="str">
        <f aca="false">IF($B69="","",MAX(0,IF(OR(الموظفون!$X69="",الموظفون!$X69&gt;$G$3),$G$3,الموظفون!$X69)-الموظفون!$H69+1)/cfg_DAYS_Y)</f>
        <v/>
      </c>
      <c r="AD69" s="114" t="str">
        <f aca="false">IF($B69="","",MAX(0,IF(OR(الموظفون!$X69="",الموظفون!$X69&gt;($E$3-1)),($E$3-1),الموظفون!$X69)-الموظفون!$H69+1)/cfg_DAYS_Y)</f>
        <v/>
      </c>
      <c r="AE69" s="115" t="str">
        <f aca="false">IF($B69="","",MAX(0,IF(OR(الموظفون!$X69="",الموظفون!$X69&gt;$G$3),$G$3,الموظفون!$X69)-MAX($E$3,الموظفون!$H69)+1))</f>
        <v/>
      </c>
    </row>
    <row r="70" customFormat="false" ht="15" hidden="false" customHeight="false" outlineLevel="0" collapsed="false">
      <c r="A70" s="83" t="str">
        <f aca="false">IF($B70="","",الموظفون!$A70)</f>
        <v/>
      </c>
      <c r="B70" s="74" t="str">
        <f aca="false">IF(الموظفون!$B70="","",الموظفون!$B70)</f>
        <v/>
      </c>
      <c r="C70" s="74" t="str">
        <f aca="false">IF($B70="","",الموظفون!$C70)</f>
        <v/>
      </c>
      <c r="D70" s="74" t="str">
        <f aca="false">IF($B70="","",الموظفون!$F70)</f>
        <v/>
      </c>
      <c r="E70" s="74" t="str">
        <f aca="false">IF($B70="","",الموظفون!$E70)</f>
        <v/>
      </c>
      <c r="F70" s="105" t="str">
        <f aca="false">IF($B70="","",IF(AE70&gt;=DAY($G$3),cfg_DAYS_M,MIN(AE70,cfg_DAYS_M)))</f>
        <v/>
      </c>
      <c r="G70" s="105" t="str">
        <f aca="false">IF($B70="","",SUMIFS('الحركات الشهرية'!$D$6:$D$1005,'الحركات الشهرية'!$B$6:$B$1005,$B70,'الحركات الشهرية'!$A$6:$A$1005,$C$3))</f>
        <v/>
      </c>
      <c r="H70" s="105" t="str">
        <f aca="false">IF($B70="","",SUMIFS('الحركات الشهرية'!$E$6:$E$1005,'الحركات الشهرية'!$B$6:$B$1005,$B70,'الحركات الشهرية'!$A$6:$A$1005,$C$3))</f>
        <v/>
      </c>
      <c r="I70" s="105" t="str">
        <f aca="false">IF($B70="","",MAX(0,F70-G70-H70))</f>
        <v/>
      </c>
      <c r="J70" s="86" t="str">
        <f aca="false">IF($B70="","",الموظفون!$J70*$I70/cfg_DAYS_M)</f>
        <v/>
      </c>
      <c r="K70" s="86" t="str">
        <f aca="false">IF($B70="","",الموظفون!$K70*$I70/cfg_DAYS_M)</f>
        <v/>
      </c>
      <c r="L70" s="86" t="str">
        <f aca="false">IF($B70="","",الموظفون!$L70*$I70/cfg_DAYS_M)</f>
        <v/>
      </c>
      <c r="M70" s="86" t="str">
        <f aca="false">IF($B70="","",الموظفون!$M70*$I70/cfg_DAYS_M)</f>
        <v/>
      </c>
      <c r="N70" s="105" t="str">
        <f aca="false">IF($B70="","",SUMIFS('الحركات الشهرية'!$F$6:$F$1005,'الحركات الشهرية'!$B$6:$B$1005,$B70,'الحركات الشهرية'!$A$6:$A$1005,$C$3))</f>
        <v/>
      </c>
      <c r="O70" s="86" t="str">
        <f aca="false">IF($B70="","",N70*(الموظفون!$N70+الموظفون!$J70*cfg_OT_P)/cfg_DAYS_M/cfg_HRS)</f>
        <v/>
      </c>
      <c r="P70" s="86" t="str">
        <f aca="false">IF($B70="","",SUMIFS('الحركات الشهرية'!$G$6:$G$1005,'الحركات الشهرية'!$B$6:$B$1005,$B70,'الحركات الشهرية'!$A$6:$A$1005,$C$3))</f>
        <v/>
      </c>
      <c r="Q70" s="86" t="str">
        <f aca="false">IF($B70="","",SUMIFS('الحركات الشهرية'!$H$6:$H$1005,'الحركات الشهرية'!$B$6:$B$1005,$B70,'الحركات الشهرية'!$A$6:$A$1005,$C$3))</f>
        <v/>
      </c>
      <c r="R70" s="106" t="str">
        <f aca="false">IF($B70="","",SUM(J70:M70)+SUM(O70:Q70))</f>
        <v/>
      </c>
      <c r="S70" s="86" t="str">
        <f aca="false">IF($B70="","",الموظفون!$Q70*IF(E70="سعودي",cfg_G_SE,cfg_G_NE)*F70/cfg_DAYS_M)</f>
        <v/>
      </c>
      <c r="T70" s="86" t="str">
        <f aca="false">IF($B70="","",SUMIFS('الحركات الشهرية'!$I$6:$I$1005,'الحركات الشهرية'!$B$6:$B$1005,$B70,'الحركات الشهرية'!$A$6:$A$1005,$C$3))</f>
        <v/>
      </c>
      <c r="U70" s="86" t="str">
        <f aca="false">IF($B70="","",SUMIFS('الحركات الشهرية'!$J$6:$J$1005,'الحركات الشهرية'!$B$6:$B$1005,$B70,'الحركات الشهرية'!$A$6:$A$1005,$C$3))</f>
        <v/>
      </c>
      <c r="V70" s="86" t="str">
        <f aca="false">IF($B70="","",SUM(S70:U70))</f>
        <v/>
      </c>
      <c r="W70" s="107" t="str">
        <f aca="false">IF($B70="","",R70-V70)</f>
        <v/>
      </c>
      <c r="X70" s="86" t="str">
        <f aca="false">IF($B70="","",الموظفون!$Q70*IF(E70="سعودي",cfg_G_SR,cfg_G_NR)*F70/cfg_DAYS_M)</f>
        <v/>
      </c>
      <c r="Y70" s="86" t="str">
        <f aca="false">IF($B70="","",الموظفون!$O70*(cfg_EOS_R1*(MIN(AC70,cfg_EOS_TH)-MIN(AD70,cfg_EOS_TH))+cfg_EOS_R2*(MAX(AC70-cfg_EOS_TH,0)-MAX(AD70-cfg_EOS_TH,0))))</f>
        <v/>
      </c>
      <c r="Z70" s="86" t="str">
        <f aca="false">IF($B70="","",IF(الموظفون!$R70&lt;&gt;"",الموظفون!$R70,IF(AC70&gt;=cfg_LV_TH,cfg_LV_D2,cfg_LV_D1))/cfg_DAYS_Y*AE70*الموظفون!$P70/cfg_DAYS_M)</f>
        <v/>
      </c>
      <c r="AA70" s="86" t="str">
        <f aca="false">IF($B70="","",IF(AND(الموظفون!$S70="نعم",N(الموظفون!$U70)&gt;0),الموظفون!$T70/الموظفون!$U70*12/cfg_DAYS_Y*AE70,0))</f>
        <v/>
      </c>
      <c r="AB70" s="108" t="str">
        <f aca="false">IF($B70="","",R70+SUM(X70:AA70))</f>
        <v/>
      </c>
      <c r="AC70" s="109" t="str">
        <f aca="false">IF($B70="","",MAX(0,IF(OR(الموظفون!$X70="",الموظفون!$X70&gt;$G$3),$G$3,الموظفون!$X70)-الموظفون!$H70+1)/cfg_DAYS_Y)</f>
        <v/>
      </c>
      <c r="AD70" s="109" t="str">
        <f aca="false">IF($B70="","",MAX(0,IF(OR(الموظفون!$X70="",الموظفون!$X70&gt;($E$3-1)),($E$3-1),الموظفون!$X70)-الموظفون!$H70+1)/cfg_DAYS_Y)</f>
        <v/>
      </c>
      <c r="AE70" s="51" t="str">
        <f aca="false">IF($B70="","",MAX(0,IF(OR(الموظفون!$X70="",الموظفون!$X70&gt;$G$3),$G$3,الموظفون!$X70)-MAX($E$3,الموظفون!$H70)+1))</f>
        <v/>
      </c>
    </row>
    <row r="71" customFormat="false" ht="15" hidden="false" customHeight="false" outlineLevel="0" collapsed="false">
      <c r="A71" s="89" t="str">
        <f aca="false">IF($B71="","",الموظفون!$A71)</f>
        <v/>
      </c>
      <c r="B71" s="91" t="str">
        <f aca="false">IF(الموظفون!$B71="","",الموظفون!$B71)</f>
        <v/>
      </c>
      <c r="C71" s="91" t="str">
        <f aca="false">IF($B71="","",الموظفون!$C71)</f>
        <v/>
      </c>
      <c r="D71" s="91" t="str">
        <f aca="false">IF($B71="","",الموظفون!$F71)</f>
        <v/>
      </c>
      <c r="E71" s="91" t="str">
        <f aca="false">IF($B71="","",الموظفون!$E71)</f>
        <v/>
      </c>
      <c r="F71" s="110" t="str">
        <f aca="false">IF($B71="","",IF(AE71&gt;=DAY($G$3),cfg_DAYS_M,MIN(AE71,cfg_DAYS_M)))</f>
        <v/>
      </c>
      <c r="G71" s="110" t="str">
        <f aca="false">IF($B71="","",SUMIFS('الحركات الشهرية'!$D$6:$D$1005,'الحركات الشهرية'!$B$6:$B$1005,$B71,'الحركات الشهرية'!$A$6:$A$1005,$C$3))</f>
        <v/>
      </c>
      <c r="H71" s="110" t="str">
        <f aca="false">IF($B71="","",SUMIFS('الحركات الشهرية'!$E$6:$E$1005,'الحركات الشهرية'!$B$6:$B$1005,$B71,'الحركات الشهرية'!$A$6:$A$1005,$C$3))</f>
        <v/>
      </c>
      <c r="I71" s="110" t="str">
        <f aca="false">IF($B71="","",MAX(0,F71-G71-H71))</f>
        <v/>
      </c>
      <c r="J71" s="90" t="str">
        <f aca="false">IF($B71="","",الموظفون!$J71*$I71/cfg_DAYS_M)</f>
        <v/>
      </c>
      <c r="K71" s="90" t="str">
        <f aca="false">IF($B71="","",الموظفون!$K71*$I71/cfg_DAYS_M)</f>
        <v/>
      </c>
      <c r="L71" s="90" t="str">
        <f aca="false">IF($B71="","",الموظفون!$L71*$I71/cfg_DAYS_M)</f>
        <v/>
      </c>
      <c r="M71" s="90" t="str">
        <f aca="false">IF($B71="","",الموظفون!$M71*$I71/cfg_DAYS_M)</f>
        <v/>
      </c>
      <c r="N71" s="110" t="str">
        <f aca="false">IF($B71="","",SUMIFS('الحركات الشهرية'!$F$6:$F$1005,'الحركات الشهرية'!$B$6:$B$1005,$B71,'الحركات الشهرية'!$A$6:$A$1005,$C$3))</f>
        <v/>
      </c>
      <c r="O71" s="90" t="str">
        <f aca="false">IF($B71="","",N71*(الموظفون!$N71+الموظفون!$J71*cfg_OT_P)/cfg_DAYS_M/cfg_HRS)</f>
        <v/>
      </c>
      <c r="P71" s="90" t="str">
        <f aca="false">IF($B71="","",SUMIFS('الحركات الشهرية'!$G$6:$G$1005,'الحركات الشهرية'!$B$6:$B$1005,$B71,'الحركات الشهرية'!$A$6:$A$1005,$C$3))</f>
        <v/>
      </c>
      <c r="Q71" s="90" t="str">
        <f aca="false">IF($B71="","",SUMIFS('الحركات الشهرية'!$H$6:$H$1005,'الحركات الشهرية'!$B$6:$B$1005,$B71,'الحركات الشهرية'!$A$6:$A$1005,$C$3))</f>
        <v/>
      </c>
      <c r="R71" s="111" t="str">
        <f aca="false">IF($B71="","",SUM(J71:M71)+SUM(O71:Q71))</f>
        <v/>
      </c>
      <c r="S71" s="90" t="str">
        <f aca="false">IF($B71="","",الموظفون!$Q71*IF(E71="سعودي",cfg_G_SE,cfg_G_NE)*F71/cfg_DAYS_M)</f>
        <v/>
      </c>
      <c r="T71" s="90" t="str">
        <f aca="false">IF($B71="","",SUMIFS('الحركات الشهرية'!$I$6:$I$1005,'الحركات الشهرية'!$B$6:$B$1005,$B71,'الحركات الشهرية'!$A$6:$A$1005,$C$3))</f>
        <v/>
      </c>
      <c r="U71" s="90" t="str">
        <f aca="false">IF($B71="","",SUMIFS('الحركات الشهرية'!$J$6:$J$1005,'الحركات الشهرية'!$B$6:$B$1005,$B71,'الحركات الشهرية'!$A$6:$A$1005,$C$3))</f>
        <v/>
      </c>
      <c r="V71" s="90" t="str">
        <f aca="false">IF($B71="","",SUM(S71:U71))</f>
        <v/>
      </c>
      <c r="W71" s="112" t="str">
        <f aca="false">IF($B71="","",R71-V71)</f>
        <v/>
      </c>
      <c r="X71" s="90" t="str">
        <f aca="false">IF($B71="","",الموظفون!$Q71*IF(E71="سعودي",cfg_G_SR,cfg_G_NR)*F71/cfg_DAYS_M)</f>
        <v/>
      </c>
      <c r="Y71" s="90" t="str">
        <f aca="false">IF($B71="","",الموظفون!$O71*(cfg_EOS_R1*(MIN(AC71,cfg_EOS_TH)-MIN(AD71,cfg_EOS_TH))+cfg_EOS_R2*(MAX(AC71-cfg_EOS_TH,0)-MAX(AD71-cfg_EOS_TH,0))))</f>
        <v/>
      </c>
      <c r="Z71" s="90" t="str">
        <f aca="false">IF($B71="","",IF(الموظفون!$R71&lt;&gt;"",الموظفون!$R71,IF(AC71&gt;=cfg_LV_TH,cfg_LV_D2,cfg_LV_D1))/cfg_DAYS_Y*AE71*الموظفون!$P71/cfg_DAYS_M)</f>
        <v/>
      </c>
      <c r="AA71" s="90" t="str">
        <f aca="false">IF($B71="","",IF(AND(الموظفون!$S71="نعم",N(الموظفون!$U71)&gt;0),الموظفون!$T71/الموظفون!$U71*12/cfg_DAYS_Y*AE71,0))</f>
        <v/>
      </c>
      <c r="AB71" s="113" t="str">
        <f aca="false">IF($B71="","",R71+SUM(X71:AA71))</f>
        <v/>
      </c>
      <c r="AC71" s="114" t="str">
        <f aca="false">IF($B71="","",MAX(0,IF(OR(الموظفون!$X71="",الموظفون!$X71&gt;$G$3),$G$3,الموظفون!$X71)-الموظفون!$H71+1)/cfg_DAYS_Y)</f>
        <v/>
      </c>
      <c r="AD71" s="114" t="str">
        <f aca="false">IF($B71="","",MAX(0,IF(OR(الموظفون!$X71="",الموظفون!$X71&gt;($E$3-1)),($E$3-1),الموظفون!$X71)-الموظفون!$H71+1)/cfg_DAYS_Y)</f>
        <v/>
      </c>
      <c r="AE71" s="115" t="str">
        <f aca="false">IF($B71="","",MAX(0,IF(OR(الموظفون!$X71="",الموظفون!$X71&gt;$G$3),$G$3,الموظفون!$X71)-MAX($E$3,الموظفون!$H71)+1))</f>
        <v/>
      </c>
    </row>
    <row r="72" customFormat="false" ht="15" hidden="false" customHeight="false" outlineLevel="0" collapsed="false">
      <c r="A72" s="83" t="str">
        <f aca="false">IF($B72="","",الموظفون!$A72)</f>
        <v/>
      </c>
      <c r="B72" s="74" t="str">
        <f aca="false">IF(الموظفون!$B72="","",الموظفون!$B72)</f>
        <v/>
      </c>
      <c r="C72" s="74" t="str">
        <f aca="false">IF($B72="","",الموظفون!$C72)</f>
        <v/>
      </c>
      <c r="D72" s="74" t="str">
        <f aca="false">IF($B72="","",الموظفون!$F72)</f>
        <v/>
      </c>
      <c r="E72" s="74" t="str">
        <f aca="false">IF($B72="","",الموظفون!$E72)</f>
        <v/>
      </c>
      <c r="F72" s="105" t="str">
        <f aca="false">IF($B72="","",IF(AE72&gt;=DAY($G$3),cfg_DAYS_M,MIN(AE72,cfg_DAYS_M)))</f>
        <v/>
      </c>
      <c r="G72" s="105" t="str">
        <f aca="false">IF($B72="","",SUMIFS('الحركات الشهرية'!$D$6:$D$1005,'الحركات الشهرية'!$B$6:$B$1005,$B72,'الحركات الشهرية'!$A$6:$A$1005,$C$3))</f>
        <v/>
      </c>
      <c r="H72" s="105" t="str">
        <f aca="false">IF($B72="","",SUMIFS('الحركات الشهرية'!$E$6:$E$1005,'الحركات الشهرية'!$B$6:$B$1005,$B72,'الحركات الشهرية'!$A$6:$A$1005,$C$3))</f>
        <v/>
      </c>
      <c r="I72" s="105" t="str">
        <f aca="false">IF($B72="","",MAX(0,F72-G72-H72))</f>
        <v/>
      </c>
      <c r="J72" s="86" t="str">
        <f aca="false">IF($B72="","",الموظفون!$J72*$I72/cfg_DAYS_M)</f>
        <v/>
      </c>
      <c r="K72" s="86" t="str">
        <f aca="false">IF($B72="","",الموظفون!$K72*$I72/cfg_DAYS_M)</f>
        <v/>
      </c>
      <c r="L72" s="86" t="str">
        <f aca="false">IF($B72="","",الموظفون!$L72*$I72/cfg_DAYS_M)</f>
        <v/>
      </c>
      <c r="M72" s="86" t="str">
        <f aca="false">IF($B72="","",الموظفون!$M72*$I72/cfg_DAYS_M)</f>
        <v/>
      </c>
      <c r="N72" s="105" t="str">
        <f aca="false">IF($B72="","",SUMIFS('الحركات الشهرية'!$F$6:$F$1005,'الحركات الشهرية'!$B$6:$B$1005,$B72,'الحركات الشهرية'!$A$6:$A$1005,$C$3))</f>
        <v/>
      </c>
      <c r="O72" s="86" t="str">
        <f aca="false">IF($B72="","",N72*(الموظفون!$N72+الموظفون!$J72*cfg_OT_P)/cfg_DAYS_M/cfg_HRS)</f>
        <v/>
      </c>
      <c r="P72" s="86" t="str">
        <f aca="false">IF($B72="","",SUMIFS('الحركات الشهرية'!$G$6:$G$1005,'الحركات الشهرية'!$B$6:$B$1005,$B72,'الحركات الشهرية'!$A$6:$A$1005,$C$3))</f>
        <v/>
      </c>
      <c r="Q72" s="86" t="str">
        <f aca="false">IF($B72="","",SUMIFS('الحركات الشهرية'!$H$6:$H$1005,'الحركات الشهرية'!$B$6:$B$1005,$B72,'الحركات الشهرية'!$A$6:$A$1005,$C$3))</f>
        <v/>
      </c>
      <c r="R72" s="106" t="str">
        <f aca="false">IF($B72="","",SUM(J72:M72)+SUM(O72:Q72))</f>
        <v/>
      </c>
      <c r="S72" s="86" t="str">
        <f aca="false">IF($B72="","",الموظفون!$Q72*IF(E72="سعودي",cfg_G_SE,cfg_G_NE)*F72/cfg_DAYS_M)</f>
        <v/>
      </c>
      <c r="T72" s="86" t="str">
        <f aca="false">IF($B72="","",SUMIFS('الحركات الشهرية'!$I$6:$I$1005,'الحركات الشهرية'!$B$6:$B$1005,$B72,'الحركات الشهرية'!$A$6:$A$1005,$C$3))</f>
        <v/>
      </c>
      <c r="U72" s="86" t="str">
        <f aca="false">IF($B72="","",SUMIFS('الحركات الشهرية'!$J$6:$J$1005,'الحركات الشهرية'!$B$6:$B$1005,$B72,'الحركات الشهرية'!$A$6:$A$1005,$C$3))</f>
        <v/>
      </c>
      <c r="V72" s="86" t="str">
        <f aca="false">IF($B72="","",SUM(S72:U72))</f>
        <v/>
      </c>
      <c r="W72" s="107" t="str">
        <f aca="false">IF($B72="","",R72-V72)</f>
        <v/>
      </c>
      <c r="X72" s="86" t="str">
        <f aca="false">IF($B72="","",الموظفون!$Q72*IF(E72="سعودي",cfg_G_SR,cfg_G_NR)*F72/cfg_DAYS_M)</f>
        <v/>
      </c>
      <c r="Y72" s="86" t="str">
        <f aca="false">IF($B72="","",الموظفون!$O72*(cfg_EOS_R1*(MIN(AC72,cfg_EOS_TH)-MIN(AD72,cfg_EOS_TH))+cfg_EOS_R2*(MAX(AC72-cfg_EOS_TH,0)-MAX(AD72-cfg_EOS_TH,0))))</f>
        <v/>
      </c>
      <c r="Z72" s="86" t="str">
        <f aca="false">IF($B72="","",IF(الموظفون!$R72&lt;&gt;"",الموظفون!$R72,IF(AC72&gt;=cfg_LV_TH,cfg_LV_D2,cfg_LV_D1))/cfg_DAYS_Y*AE72*الموظفون!$P72/cfg_DAYS_M)</f>
        <v/>
      </c>
      <c r="AA72" s="86" t="str">
        <f aca="false">IF($B72="","",IF(AND(الموظفون!$S72="نعم",N(الموظفون!$U72)&gt;0),الموظفون!$T72/الموظفون!$U72*12/cfg_DAYS_Y*AE72,0))</f>
        <v/>
      </c>
      <c r="AB72" s="108" t="str">
        <f aca="false">IF($B72="","",R72+SUM(X72:AA72))</f>
        <v/>
      </c>
      <c r="AC72" s="109" t="str">
        <f aca="false">IF($B72="","",MAX(0,IF(OR(الموظفون!$X72="",الموظفون!$X72&gt;$G$3),$G$3,الموظفون!$X72)-الموظفون!$H72+1)/cfg_DAYS_Y)</f>
        <v/>
      </c>
      <c r="AD72" s="109" t="str">
        <f aca="false">IF($B72="","",MAX(0,IF(OR(الموظفون!$X72="",الموظفون!$X72&gt;($E$3-1)),($E$3-1),الموظفون!$X72)-الموظفون!$H72+1)/cfg_DAYS_Y)</f>
        <v/>
      </c>
      <c r="AE72" s="51" t="str">
        <f aca="false">IF($B72="","",MAX(0,IF(OR(الموظفون!$X72="",الموظفون!$X72&gt;$G$3),$G$3,الموظفون!$X72)-MAX($E$3,الموظفون!$H72)+1))</f>
        <v/>
      </c>
    </row>
    <row r="73" customFormat="false" ht="15" hidden="false" customHeight="false" outlineLevel="0" collapsed="false">
      <c r="A73" s="89" t="str">
        <f aca="false">IF($B73="","",الموظفون!$A73)</f>
        <v/>
      </c>
      <c r="B73" s="91" t="str">
        <f aca="false">IF(الموظفون!$B73="","",الموظفون!$B73)</f>
        <v/>
      </c>
      <c r="C73" s="91" t="str">
        <f aca="false">IF($B73="","",الموظفون!$C73)</f>
        <v/>
      </c>
      <c r="D73" s="91" t="str">
        <f aca="false">IF($B73="","",الموظفون!$F73)</f>
        <v/>
      </c>
      <c r="E73" s="91" t="str">
        <f aca="false">IF($B73="","",الموظفون!$E73)</f>
        <v/>
      </c>
      <c r="F73" s="110" t="str">
        <f aca="false">IF($B73="","",IF(AE73&gt;=DAY($G$3),cfg_DAYS_M,MIN(AE73,cfg_DAYS_M)))</f>
        <v/>
      </c>
      <c r="G73" s="110" t="str">
        <f aca="false">IF($B73="","",SUMIFS('الحركات الشهرية'!$D$6:$D$1005,'الحركات الشهرية'!$B$6:$B$1005,$B73,'الحركات الشهرية'!$A$6:$A$1005,$C$3))</f>
        <v/>
      </c>
      <c r="H73" s="110" t="str">
        <f aca="false">IF($B73="","",SUMIFS('الحركات الشهرية'!$E$6:$E$1005,'الحركات الشهرية'!$B$6:$B$1005,$B73,'الحركات الشهرية'!$A$6:$A$1005,$C$3))</f>
        <v/>
      </c>
      <c r="I73" s="110" t="str">
        <f aca="false">IF($B73="","",MAX(0,F73-G73-H73))</f>
        <v/>
      </c>
      <c r="J73" s="90" t="str">
        <f aca="false">IF($B73="","",الموظفون!$J73*$I73/cfg_DAYS_M)</f>
        <v/>
      </c>
      <c r="K73" s="90" t="str">
        <f aca="false">IF($B73="","",الموظفون!$K73*$I73/cfg_DAYS_M)</f>
        <v/>
      </c>
      <c r="L73" s="90" t="str">
        <f aca="false">IF($B73="","",الموظفون!$L73*$I73/cfg_DAYS_M)</f>
        <v/>
      </c>
      <c r="M73" s="90" t="str">
        <f aca="false">IF($B73="","",الموظفون!$M73*$I73/cfg_DAYS_M)</f>
        <v/>
      </c>
      <c r="N73" s="110" t="str">
        <f aca="false">IF($B73="","",SUMIFS('الحركات الشهرية'!$F$6:$F$1005,'الحركات الشهرية'!$B$6:$B$1005,$B73,'الحركات الشهرية'!$A$6:$A$1005,$C$3))</f>
        <v/>
      </c>
      <c r="O73" s="90" t="str">
        <f aca="false">IF($B73="","",N73*(الموظفون!$N73+الموظفون!$J73*cfg_OT_P)/cfg_DAYS_M/cfg_HRS)</f>
        <v/>
      </c>
      <c r="P73" s="90" t="str">
        <f aca="false">IF($B73="","",SUMIFS('الحركات الشهرية'!$G$6:$G$1005,'الحركات الشهرية'!$B$6:$B$1005,$B73,'الحركات الشهرية'!$A$6:$A$1005,$C$3))</f>
        <v/>
      </c>
      <c r="Q73" s="90" t="str">
        <f aca="false">IF($B73="","",SUMIFS('الحركات الشهرية'!$H$6:$H$1005,'الحركات الشهرية'!$B$6:$B$1005,$B73,'الحركات الشهرية'!$A$6:$A$1005,$C$3))</f>
        <v/>
      </c>
      <c r="R73" s="111" t="str">
        <f aca="false">IF($B73="","",SUM(J73:M73)+SUM(O73:Q73))</f>
        <v/>
      </c>
      <c r="S73" s="90" t="str">
        <f aca="false">IF($B73="","",الموظفون!$Q73*IF(E73="سعودي",cfg_G_SE,cfg_G_NE)*F73/cfg_DAYS_M)</f>
        <v/>
      </c>
      <c r="T73" s="90" t="str">
        <f aca="false">IF($B73="","",SUMIFS('الحركات الشهرية'!$I$6:$I$1005,'الحركات الشهرية'!$B$6:$B$1005,$B73,'الحركات الشهرية'!$A$6:$A$1005,$C$3))</f>
        <v/>
      </c>
      <c r="U73" s="90" t="str">
        <f aca="false">IF($B73="","",SUMIFS('الحركات الشهرية'!$J$6:$J$1005,'الحركات الشهرية'!$B$6:$B$1005,$B73,'الحركات الشهرية'!$A$6:$A$1005,$C$3))</f>
        <v/>
      </c>
      <c r="V73" s="90" t="str">
        <f aca="false">IF($B73="","",SUM(S73:U73))</f>
        <v/>
      </c>
      <c r="W73" s="112" t="str">
        <f aca="false">IF($B73="","",R73-V73)</f>
        <v/>
      </c>
      <c r="X73" s="90" t="str">
        <f aca="false">IF($B73="","",الموظفون!$Q73*IF(E73="سعودي",cfg_G_SR,cfg_G_NR)*F73/cfg_DAYS_M)</f>
        <v/>
      </c>
      <c r="Y73" s="90" t="str">
        <f aca="false">IF($B73="","",الموظفون!$O73*(cfg_EOS_R1*(MIN(AC73,cfg_EOS_TH)-MIN(AD73,cfg_EOS_TH))+cfg_EOS_R2*(MAX(AC73-cfg_EOS_TH,0)-MAX(AD73-cfg_EOS_TH,0))))</f>
        <v/>
      </c>
      <c r="Z73" s="90" t="str">
        <f aca="false">IF($B73="","",IF(الموظفون!$R73&lt;&gt;"",الموظفون!$R73,IF(AC73&gt;=cfg_LV_TH,cfg_LV_D2,cfg_LV_D1))/cfg_DAYS_Y*AE73*الموظفون!$P73/cfg_DAYS_M)</f>
        <v/>
      </c>
      <c r="AA73" s="90" t="str">
        <f aca="false">IF($B73="","",IF(AND(الموظفون!$S73="نعم",N(الموظفون!$U73)&gt;0),الموظفون!$T73/الموظفون!$U73*12/cfg_DAYS_Y*AE73,0))</f>
        <v/>
      </c>
      <c r="AB73" s="113" t="str">
        <f aca="false">IF($B73="","",R73+SUM(X73:AA73))</f>
        <v/>
      </c>
      <c r="AC73" s="114" t="str">
        <f aca="false">IF($B73="","",MAX(0,IF(OR(الموظفون!$X73="",الموظفون!$X73&gt;$G$3),$G$3,الموظفون!$X73)-الموظفون!$H73+1)/cfg_DAYS_Y)</f>
        <v/>
      </c>
      <c r="AD73" s="114" t="str">
        <f aca="false">IF($B73="","",MAX(0,IF(OR(الموظفون!$X73="",الموظفون!$X73&gt;($E$3-1)),($E$3-1),الموظفون!$X73)-الموظفون!$H73+1)/cfg_DAYS_Y)</f>
        <v/>
      </c>
      <c r="AE73" s="115" t="str">
        <f aca="false">IF($B73="","",MAX(0,IF(OR(الموظفون!$X73="",الموظفون!$X73&gt;$G$3),$G$3,الموظفون!$X73)-MAX($E$3,الموظفون!$H73)+1))</f>
        <v/>
      </c>
    </row>
    <row r="74" customFormat="false" ht="15" hidden="false" customHeight="false" outlineLevel="0" collapsed="false">
      <c r="A74" s="83" t="str">
        <f aca="false">IF($B74="","",الموظفون!$A74)</f>
        <v/>
      </c>
      <c r="B74" s="74" t="str">
        <f aca="false">IF(الموظفون!$B74="","",الموظفون!$B74)</f>
        <v/>
      </c>
      <c r="C74" s="74" t="str">
        <f aca="false">IF($B74="","",الموظفون!$C74)</f>
        <v/>
      </c>
      <c r="D74" s="74" t="str">
        <f aca="false">IF($B74="","",الموظفون!$F74)</f>
        <v/>
      </c>
      <c r="E74" s="74" t="str">
        <f aca="false">IF($B74="","",الموظفون!$E74)</f>
        <v/>
      </c>
      <c r="F74" s="105" t="str">
        <f aca="false">IF($B74="","",IF(AE74&gt;=DAY($G$3),cfg_DAYS_M,MIN(AE74,cfg_DAYS_M)))</f>
        <v/>
      </c>
      <c r="G74" s="105" t="str">
        <f aca="false">IF($B74="","",SUMIFS('الحركات الشهرية'!$D$6:$D$1005,'الحركات الشهرية'!$B$6:$B$1005,$B74,'الحركات الشهرية'!$A$6:$A$1005,$C$3))</f>
        <v/>
      </c>
      <c r="H74" s="105" t="str">
        <f aca="false">IF($B74="","",SUMIFS('الحركات الشهرية'!$E$6:$E$1005,'الحركات الشهرية'!$B$6:$B$1005,$B74,'الحركات الشهرية'!$A$6:$A$1005,$C$3))</f>
        <v/>
      </c>
      <c r="I74" s="105" t="str">
        <f aca="false">IF($B74="","",MAX(0,F74-G74-H74))</f>
        <v/>
      </c>
      <c r="J74" s="86" t="str">
        <f aca="false">IF($B74="","",الموظفون!$J74*$I74/cfg_DAYS_M)</f>
        <v/>
      </c>
      <c r="K74" s="86" t="str">
        <f aca="false">IF($B74="","",الموظفون!$K74*$I74/cfg_DAYS_M)</f>
        <v/>
      </c>
      <c r="L74" s="86" t="str">
        <f aca="false">IF($B74="","",الموظفون!$L74*$I74/cfg_DAYS_M)</f>
        <v/>
      </c>
      <c r="M74" s="86" t="str">
        <f aca="false">IF($B74="","",الموظفون!$M74*$I74/cfg_DAYS_M)</f>
        <v/>
      </c>
      <c r="N74" s="105" t="str">
        <f aca="false">IF($B74="","",SUMIFS('الحركات الشهرية'!$F$6:$F$1005,'الحركات الشهرية'!$B$6:$B$1005,$B74,'الحركات الشهرية'!$A$6:$A$1005,$C$3))</f>
        <v/>
      </c>
      <c r="O74" s="86" t="str">
        <f aca="false">IF($B74="","",N74*(الموظفون!$N74+الموظفون!$J74*cfg_OT_P)/cfg_DAYS_M/cfg_HRS)</f>
        <v/>
      </c>
      <c r="P74" s="86" t="str">
        <f aca="false">IF($B74="","",SUMIFS('الحركات الشهرية'!$G$6:$G$1005,'الحركات الشهرية'!$B$6:$B$1005,$B74,'الحركات الشهرية'!$A$6:$A$1005,$C$3))</f>
        <v/>
      </c>
      <c r="Q74" s="86" t="str">
        <f aca="false">IF($B74="","",SUMIFS('الحركات الشهرية'!$H$6:$H$1005,'الحركات الشهرية'!$B$6:$B$1005,$B74,'الحركات الشهرية'!$A$6:$A$1005,$C$3))</f>
        <v/>
      </c>
      <c r="R74" s="106" t="str">
        <f aca="false">IF($B74="","",SUM(J74:M74)+SUM(O74:Q74))</f>
        <v/>
      </c>
      <c r="S74" s="86" t="str">
        <f aca="false">IF($B74="","",الموظفون!$Q74*IF(E74="سعودي",cfg_G_SE,cfg_G_NE)*F74/cfg_DAYS_M)</f>
        <v/>
      </c>
      <c r="T74" s="86" t="str">
        <f aca="false">IF($B74="","",SUMIFS('الحركات الشهرية'!$I$6:$I$1005,'الحركات الشهرية'!$B$6:$B$1005,$B74,'الحركات الشهرية'!$A$6:$A$1005,$C$3))</f>
        <v/>
      </c>
      <c r="U74" s="86" t="str">
        <f aca="false">IF($B74="","",SUMIFS('الحركات الشهرية'!$J$6:$J$1005,'الحركات الشهرية'!$B$6:$B$1005,$B74,'الحركات الشهرية'!$A$6:$A$1005,$C$3))</f>
        <v/>
      </c>
      <c r="V74" s="86" t="str">
        <f aca="false">IF($B74="","",SUM(S74:U74))</f>
        <v/>
      </c>
      <c r="W74" s="107" t="str">
        <f aca="false">IF($B74="","",R74-V74)</f>
        <v/>
      </c>
      <c r="X74" s="86" t="str">
        <f aca="false">IF($B74="","",الموظفون!$Q74*IF(E74="سعودي",cfg_G_SR,cfg_G_NR)*F74/cfg_DAYS_M)</f>
        <v/>
      </c>
      <c r="Y74" s="86" t="str">
        <f aca="false">IF($B74="","",الموظفون!$O74*(cfg_EOS_R1*(MIN(AC74,cfg_EOS_TH)-MIN(AD74,cfg_EOS_TH))+cfg_EOS_R2*(MAX(AC74-cfg_EOS_TH,0)-MAX(AD74-cfg_EOS_TH,0))))</f>
        <v/>
      </c>
      <c r="Z74" s="86" t="str">
        <f aca="false">IF($B74="","",IF(الموظفون!$R74&lt;&gt;"",الموظفون!$R74,IF(AC74&gt;=cfg_LV_TH,cfg_LV_D2,cfg_LV_D1))/cfg_DAYS_Y*AE74*الموظفون!$P74/cfg_DAYS_M)</f>
        <v/>
      </c>
      <c r="AA74" s="86" t="str">
        <f aca="false">IF($B74="","",IF(AND(الموظفون!$S74="نعم",N(الموظفون!$U74)&gt;0),الموظفون!$T74/الموظفون!$U74*12/cfg_DAYS_Y*AE74,0))</f>
        <v/>
      </c>
      <c r="AB74" s="108" t="str">
        <f aca="false">IF($B74="","",R74+SUM(X74:AA74))</f>
        <v/>
      </c>
      <c r="AC74" s="109" t="str">
        <f aca="false">IF($B74="","",MAX(0,IF(OR(الموظفون!$X74="",الموظفون!$X74&gt;$G$3),$G$3,الموظفون!$X74)-الموظفون!$H74+1)/cfg_DAYS_Y)</f>
        <v/>
      </c>
      <c r="AD74" s="109" t="str">
        <f aca="false">IF($B74="","",MAX(0,IF(OR(الموظفون!$X74="",الموظفون!$X74&gt;($E$3-1)),($E$3-1),الموظفون!$X74)-الموظفون!$H74+1)/cfg_DAYS_Y)</f>
        <v/>
      </c>
      <c r="AE74" s="51" t="str">
        <f aca="false">IF($B74="","",MAX(0,IF(OR(الموظفون!$X74="",الموظفون!$X74&gt;$G$3),$G$3,الموظفون!$X74)-MAX($E$3,الموظفون!$H74)+1))</f>
        <v/>
      </c>
    </row>
    <row r="75" customFormat="false" ht="15" hidden="false" customHeight="false" outlineLevel="0" collapsed="false">
      <c r="A75" s="89" t="str">
        <f aca="false">IF($B75="","",الموظفون!$A75)</f>
        <v/>
      </c>
      <c r="B75" s="91" t="str">
        <f aca="false">IF(الموظفون!$B75="","",الموظفون!$B75)</f>
        <v/>
      </c>
      <c r="C75" s="91" t="str">
        <f aca="false">IF($B75="","",الموظفون!$C75)</f>
        <v/>
      </c>
      <c r="D75" s="91" t="str">
        <f aca="false">IF($B75="","",الموظفون!$F75)</f>
        <v/>
      </c>
      <c r="E75" s="91" t="str">
        <f aca="false">IF($B75="","",الموظفون!$E75)</f>
        <v/>
      </c>
      <c r="F75" s="110" t="str">
        <f aca="false">IF($B75="","",IF(AE75&gt;=DAY($G$3),cfg_DAYS_M,MIN(AE75,cfg_DAYS_M)))</f>
        <v/>
      </c>
      <c r="G75" s="110" t="str">
        <f aca="false">IF($B75="","",SUMIFS('الحركات الشهرية'!$D$6:$D$1005,'الحركات الشهرية'!$B$6:$B$1005,$B75,'الحركات الشهرية'!$A$6:$A$1005,$C$3))</f>
        <v/>
      </c>
      <c r="H75" s="110" t="str">
        <f aca="false">IF($B75="","",SUMIFS('الحركات الشهرية'!$E$6:$E$1005,'الحركات الشهرية'!$B$6:$B$1005,$B75,'الحركات الشهرية'!$A$6:$A$1005,$C$3))</f>
        <v/>
      </c>
      <c r="I75" s="110" t="str">
        <f aca="false">IF($B75="","",MAX(0,F75-G75-H75))</f>
        <v/>
      </c>
      <c r="J75" s="90" t="str">
        <f aca="false">IF($B75="","",الموظفون!$J75*$I75/cfg_DAYS_M)</f>
        <v/>
      </c>
      <c r="K75" s="90" t="str">
        <f aca="false">IF($B75="","",الموظفون!$K75*$I75/cfg_DAYS_M)</f>
        <v/>
      </c>
      <c r="L75" s="90" t="str">
        <f aca="false">IF($B75="","",الموظفون!$L75*$I75/cfg_DAYS_M)</f>
        <v/>
      </c>
      <c r="M75" s="90" t="str">
        <f aca="false">IF($B75="","",الموظفون!$M75*$I75/cfg_DAYS_M)</f>
        <v/>
      </c>
      <c r="N75" s="110" t="str">
        <f aca="false">IF($B75="","",SUMIFS('الحركات الشهرية'!$F$6:$F$1005,'الحركات الشهرية'!$B$6:$B$1005,$B75,'الحركات الشهرية'!$A$6:$A$1005,$C$3))</f>
        <v/>
      </c>
      <c r="O75" s="90" t="str">
        <f aca="false">IF($B75="","",N75*(الموظفون!$N75+الموظفون!$J75*cfg_OT_P)/cfg_DAYS_M/cfg_HRS)</f>
        <v/>
      </c>
      <c r="P75" s="90" t="str">
        <f aca="false">IF($B75="","",SUMIFS('الحركات الشهرية'!$G$6:$G$1005,'الحركات الشهرية'!$B$6:$B$1005,$B75,'الحركات الشهرية'!$A$6:$A$1005,$C$3))</f>
        <v/>
      </c>
      <c r="Q75" s="90" t="str">
        <f aca="false">IF($B75="","",SUMIFS('الحركات الشهرية'!$H$6:$H$1005,'الحركات الشهرية'!$B$6:$B$1005,$B75,'الحركات الشهرية'!$A$6:$A$1005,$C$3))</f>
        <v/>
      </c>
      <c r="R75" s="111" t="str">
        <f aca="false">IF($B75="","",SUM(J75:M75)+SUM(O75:Q75))</f>
        <v/>
      </c>
      <c r="S75" s="90" t="str">
        <f aca="false">IF($B75="","",الموظفون!$Q75*IF(E75="سعودي",cfg_G_SE,cfg_G_NE)*F75/cfg_DAYS_M)</f>
        <v/>
      </c>
      <c r="T75" s="90" t="str">
        <f aca="false">IF($B75="","",SUMIFS('الحركات الشهرية'!$I$6:$I$1005,'الحركات الشهرية'!$B$6:$B$1005,$B75,'الحركات الشهرية'!$A$6:$A$1005,$C$3))</f>
        <v/>
      </c>
      <c r="U75" s="90" t="str">
        <f aca="false">IF($B75="","",SUMIFS('الحركات الشهرية'!$J$6:$J$1005,'الحركات الشهرية'!$B$6:$B$1005,$B75,'الحركات الشهرية'!$A$6:$A$1005,$C$3))</f>
        <v/>
      </c>
      <c r="V75" s="90" t="str">
        <f aca="false">IF($B75="","",SUM(S75:U75))</f>
        <v/>
      </c>
      <c r="W75" s="112" t="str">
        <f aca="false">IF($B75="","",R75-V75)</f>
        <v/>
      </c>
      <c r="X75" s="90" t="str">
        <f aca="false">IF($B75="","",الموظفون!$Q75*IF(E75="سعودي",cfg_G_SR,cfg_G_NR)*F75/cfg_DAYS_M)</f>
        <v/>
      </c>
      <c r="Y75" s="90" t="str">
        <f aca="false">IF($B75="","",الموظفون!$O75*(cfg_EOS_R1*(MIN(AC75,cfg_EOS_TH)-MIN(AD75,cfg_EOS_TH))+cfg_EOS_R2*(MAX(AC75-cfg_EOS_TH,0)-MAX(AD75-cfg_EOS_TH,0))))</f>
        <v/>
      </c>
      <c r="Z75" s="90" t="str">
        <f aca="false">IF($B75="","",IF(الموظفون!$R75&lt;&gt;"",الموظفون!$R75,IF(AC75&gt;=cfg_LV_TH,cfg_LV_D2,cfg_LV_D1))/cfg_DAYS_Y*AE75*الموظفون!$P75/cfg_DAYS_M)</f>
        <v/>
      </c>
      <c r="AA75" s="90" t="str">
        <f aca="false">IF($B75="","",IF(AND(الموظفون!$S75="نعم",N(الموظفون!$U75)&gt;0),الموظفون!$T75/الموظفون!$U75*12/cfg_DAYS_Y*AE75,0))</f>
        <v/>
      </c>
      <c r="AB75" s="113" t="str">
        <f aca="false">IF($B75="","",R75+SUM(X75:AA75))</f>
        <v/>
      </c>
      <c r="AC75" s="114" t="str">
        <f aca="false">IF($B75="","",MAX(0,IF(OR(الموظفون!$X75="",الموظفون!$X75&gt;$G$3),$G$3,الموظفون!$X75)-الموظفون!$H75+1)/cfg_DAYS_Y)</f>
        <v/>
      </c>
      <c r="AD75" s="114" t="str">
        <f aca="false">IF($B75="","",MAX(0,IF(OR(الموظفون!$X75="",الموظفون!$X75&gt;($E$3-1)),($E$3-1),الموظفون!$X75)-الموظفون!$H75+1)/cfg_DAYS_Y)</f>
        <v/>
      </c>
      <c r="AE75" s="115" t="str">
        <f aca="false">IF($B75="","",MAX(0,IF(OR(الموظفون!$X75="",الموظفون!$X75&gt;$G$3),$G$3,الموظفون!$X75)-MAX($E$3,الموظفون!$H75)+1))</f>
        <v/>
      </c>
    </row>
    <row r="76" customFormat="false" ht="15" hidden="false" customHeight="false" outlineLevel="0" collapsed="false">
      <c r="A76" s="83" t="str">
        <f aca="false">IF($B76="","",الموظفون!$A76)</f>
        <v/>
      </c>
      <c r="B76" s="74" t="str">
        <f aca="false">IF(الموظفون!$B76="","",الموظفون!$B76)</f>
        <v/>
      </c>
      <c r="C76" s="74" t="str">
        <f aca="false">IF($B76="","",الموظفون!$C76)</f>
        <v/>
      </c>
      <c r="D76" s="74" t="str">
        <f aca="false">IF($B76="","",الموظفون!$F76)</f>
        <v/>
      </c>
      <c r="E76" s="74" t="str">
        <f aca="false">IF($B76="","",الموظفون!$E76)</f>
        <v/>
      </c>
      <c r="F76" s="105" t="str">
        <f aca="false">IF($B76="","",IF(AE76&gt;=DAY($G$3),cfg_DAYS_M,MIN(AE76,cfg_DAYS_M)))</f>
        <v/>
      </c>
      <c r="G76" s="105" t="str">
        <f aca="false">IF($B76="","",SUMIFS('الحركات الشهرية'!$D$6:$D$1005,'الحركات الشهرية'!$B$6:$B$1005,$B76,'الحركات الشهرية'!$A$6:$A$1005,$C$3))</f>
        <v/>
      </c>
      <c r="H76" s="105" t="str">
        <f aca="false">IF($B76="","",SUMIFS('الحركات الشهرية'!$E$6:$E$1005,'الحركات الشهرية'!$B$6:$B$1005,$B76,'الحركات الشهرية'!$A$6:$A$1005,$C$3))</f>
        <v/>
      </c>
      <c r="I76" s="105" t="str">
        <f aca="false">IF($B76="","",MAX(0,F76-G76-H76))</f>
        <v/>
      </c>
      <c r="J76" s="86" t="str">
        <f aca="false">IF($B76="","",الموظفون!$J76*$I76/cfg_DAYS_M)</f>
        <v/>
      </c>
      <c r="K76" s="86" t="str">
        <f aca="false">IF($B76="","",الموظفون!$K76*$I76/cfg_DAYS_M)</f>
        <v/>
      </c>
      <c r="L76" s="86" t="str">
        <f aca="false">IF($B76="","",الموظفون!$L76*$I76/cfg_DAYS_M)</f>
        <v/>
      </c>
      <c r="M76" s="86" t="str">
        <f aca="false">IF($B76="","",الموظفون!$M76*$I76/cfg_DAYS_M)</f>
        <v/>
      </c>
      <c r="N76" s="105" t="str">
        <f aca="false">IF($B76="","",SUMIFS('الحركات الشهرية'!$F$6:$F$1005,'الحركات الشهرية'!$B$6:$B$1005,$B76,'الحركات الشهرية'!$A$6:$A$1005,$C$3))</f>
        <v/>
      </c>
      <c r="O76" s="86" t="str">
        <f aca="false">IF($B76="","",N76*(الموظفون!$N76+الموظفون!$J76*cfg_OT_P)/cfg_DAYS_M/cfg_HRS)</f>
        <v/>
      </c>
      <c r="P76" s="86" t="str">
        <f aca="false">IF($B76="","",SUMIFS('الحركات الشهرية'!$G$6:$G$1005,'الحركات الشهرية'!$B$6:$B$1005,$B76,'الحركات الشهرية'!$A$6:$A$1005,$C$3))</f>
        <v/>
      </c>
      <c r="Q76" s="86" t="str">
        <f aca="false">IF($B76="","",SUMIFS('الحركات الشهرية'!$H$6:$H$1005,'الحركات الشهرية'!$B$6:$B$1005,$B76,'الحركات الشهرية'!$A$6:$A$1005,$C$3))</f>
        <v/>
      </c>
      <c r="R76" s="106" t="str">
        <f aca="false">IF($B76="","",SUM(J76:M76)+SUM(O76:Q76))</f>
        <v/>
      </c>
      <c r="S76" s="86" t="str">
        <f aca="false">IF($B76="","",الموظفون!$Q76*IF(E76="سعودي",cfg_G_SE,cfg_G_NE)*F76/cfg_DAYS_M)</f>
        <v/>
      </c>
      <c r="T76" s="86" t="str">
        <f aca="false">IF($B76="","",SUMIFS('الحركات الشهرية'!$I$6:$I$1005,'الحركات الشهرية'!$B$6:$B$1005,$B76,'الحركات الشهرية'!$A$6:$A$1005,$C$3))</f>
        <v/>
      </c>
      <c r="U76" s="86" t="str">
        <f aca="false">IF($B76="","",SUMIFS('الحركات الشهرية'!$J$6:$J$1005,'الحركات الشهرية'!$B$6:$B$1005,$B76,'الحركات الشهرية'!$A$6:$A$1005,$C$3))</f>
        <v/>
      </c>
      <c r="V76" s="86" t="str">
        <f aca="false">IF($B76="","",SUM(S76:U76))</f>
        <v/>
      </c>
      <c r="W76" s="107" t="str">
        <f aca="false">IF($B76="","",R76-V76)</f>
        <v/>
      </c>
      <c r="X76" s="86" t="str">
        <f aca="false">IF($B76="","",الموظفون!$Q76*IF(E76="سعودي",cfg_G_SR,cfg_G_NR)*F76/cfg_DAYS_M)</f>
        <v/>
      </c>
      <c r="Y76" s="86" t="str">
        <f aca="false">IF($B76="","",الموظفون!$O76*(cfg_EOS_R1*(MIN(AC76,cfg_EOS_TH)-MIN(AD76,cfg_EOS_TH))+cfg_EOS_R2*(MAX(AC76-cfg_EOS_TH,0)-MAX(AD76-cfg_EOS_TH,0))))</f>
        <v/>
      </c>
      <c r="Z76" s="86" t="str">
        <f aca="false">IF($B76="","",IF(الموظفون!$R76&lt;&gt;"",الموظفون!$R76,IF(AC76&gt;=cfg_LV_TH,cfg_LV_D2,cfg_LV_D1))/cfg_DAYS_Y*AE76*الموظفون!$P76/cfg_DAYS_M)</f>
        <v/>
      </c>
      <c r="AA76" s="86" t="str">
        <f aca="false">IF($B76="","",IF(AND(الموظفون!$S76="نعم",N(الموظفون!$U76)&gt;0),الموظفون!$T76/الموظفون!$U76*12/cfg_DAYS_Y*AE76,0))</f>
        <v/>
      </c>
      <c r="AB76" s="108" t="str">
        <f aca="false">IF($B76="","",R76+SUM(X76:AA76))</f>
        <v/>
      </c>
      <c r="AC76" s="109" t="str">
        <f aca="false">IF($B76="","",MAX(0,IF(OR(الموظفون!$X76="",الموظفون!$X76&gt;$G$3),$G$3,الموظفون!$X76)-الموظفون!$H76+1)/cfg_DAYS_Y)</f>
        <v/>
      </c>
      <c r="AD76" s="109" t="str">
        <f aca="false">IF($B76="","",MAX(0,IF(OR(الموظفون!$X76="",الموظفون!$X76&gt;($E$3-1)),($E$3-1),الموظفون!$X76)-الموظفون!$H76+1)/cfg_DAYS_Y)</f>
        <v/>
      </c>
      <c r="AE76" s="51" t="str">
        <f aca="false">IF($B76="","",MAX(0,IF(OR(الموظفون!$X76="",الموظفون!$X76&gt;$G$3),$G$3,الموظفون!$X76)-MAX($E$3,الموظفون!$H76)+1))</f>
        <v/>
      </c>
    </row>
    <row r="77" customFormat="false" ht="15" hidden="false" customHeight="false" outlineLevel="0" collapsed="false">
      <c r="A77" s="89" t="str">
        <f aca="false">IF($B77="","",الموظفون!$A77)</f>
        <v/>
      </c>
      <c r="B77" s="91" t="str">
        <f aca="false">IF(الموظفون!$B77="","",الموظفون!$B77)</f>
        <v/>
      </c>
      <c r="C77" s="91" t="str">
        <f aca="false">IF($B77="","",الموظفون!$C77)</f>
        <v/>
      </c>
      <c r="D77" s="91" t="str">
        <f aca="false">IF($B77="","",الموظفون!$F77)</f>
        <v/>
      </c>
      <c r="E77" s="91" t="str">
        <f aca="false">IF($B77="","",الموظفون!$E77)</f>
        <v/>
      </c>
      <c r="F77" s="110" t="str">
        <f aca="false">IF($B77="","",IF(AE77&gt;=DAY($G$3),cfg_DAYS_M,MIN(AE77,cfg_DAYS_M)))</f>
        <v/>
      </c>
      <c r="G77" s="110" t="str">
        <f aca="false">IF($B77="","",SUMIFS('الحركات الشهرية'!$D$6:$D$1005,'الحركات الشهرية'!$B$6:$B$1005,$B77,'الحركات الشهرية'!$A$6:$A$1005,$C$3))</f>
        <v/>
      </c>
      <c r="H77" s="110" t="str">
        <f aca="false">IF($B77="","",SUMIFS('الحركات الشهرية'!$E$6:$E$1005,'الحركات الشهرية'!$B$6:$B$1005,$B77,'الحركات الشهرية'!$A$6:$A$1005,$C$3))</f>
        <v/>
      </c>
      <c r="I77" s="110" t="str">
        <f aca="false">IF($B77="","",MAX(0,F77-G77-H77))</f>
        <v/>
      </c>
      <c r="J77" s="90" t="str">
        <f aca="false">IF($B77="","",الموظفون!$J77*$I77/cfg_DAYS_M)</f>
        <v/>
      </c>
      <c r="K77" s="90" t="str">
        <f aca="false">IF($B77="","",الموظفون!$K77*$I77/cfg_DAYS_M)</f>
        <v/>
      </c>
      <c r="L77" s="90" t="str">
        <f aca="false">IF($B77="","",الموظفون!$L77*$I77/cfg_DAYS_M)</f>
        <v/>
      </c>
      <c r="M77" s="90" t="str">
        <f aca="false">IF($B77="","",الموظفون!$M77*$I77/cfg_DAYS_M)</f>
        <v/>
      </c>
      <c r="N77" s="110" t="str">
        <f aca="false">IF($B77="","",SUMIFS('الحركات الشهرية'!$F$6:$F$1005,'الحركات الشهرية'!$B$6:$B$1005,$B77,'الحركات الشهرية'!$A$6:$A$1005,$C$3))</f>
        <v/>
      </c>
      <c r="O77" s="90" t="str">
        <f aca="false">IF($B77="","",N77*(الموظفون!$N77+الموظفون!$J77*cfg_OT_P)/cfg_DAYS_M/cfg_HRS)</f>
        <v/>
      </c>
      <c r="P77" s="90" t="str">
        <f aca="false">IF($B77="","",SUMIFS('الحركات الشهرية'!$G$6:$G$1005,'الحركات الشهرية'!$B$6:$B$1005,$B77,'الحركات الشهرية'!$A$6:$A$1005,$C$3))</f>
        <v/>
      </c>
      <c r="Q77" s="90" t="str">
        <f aca="false">IF($B77="","",SUMIFS('الحركات الشهرية'!$H$6:$H$1005,'الحركات الشهرية'!$B$6:$B$1005,$B77,'الحركات الشهرية'!$A$6:$A$1005,$C$3))</f>
        <v/>
      </c>
      <c r="R77" s="111" t="str">
        <f aca="false">IF($B77="","",SUM(J77:M77)+SUM(O77:Q77))</f>
        <v/>
      </c>
      <c r="S77" s="90" t="str">
        <f aca="false">IF($B77="","",الموظفون!$Q77*IF(E77="سعودي",cfg_G_SE,cfg_G_NE)*F77/cfg_DAYS_M)</f>
        <v/>
      </c>
      <c r="T77" s="90" t="str">
        <f aca="false">IF($B77="","",SUMIFS('الحركات الشهرية'!$I$6:$I$1005,'الحركات الشهرية'!$B$6:$B$1005,$B77,'الحركات الشهرية'!$A$6:$A$1005,$C$3))</f>
        <v/>
      </c>
      <c r="U77" s="90" t="str">
        <f aca="false">IF($B77="","",SUMIFS('الحركات الشهرية'!$J$6:$J$1005,'الحركات الشهرية'!$B$6:$B$1005,$B77,'الحركات الشهرية'!$A$6:$A$1005,$C$3))</f>
        <v/>
      </c>
      <c r="V77" s="90" t="str">
        <f aca="false">IF($B77="","",SUM(S77:U77))</f>
        <v/>
      </c>
      <c r="W77" s="112" t="str">
        <f aca="false">IF($B77="","",R77-V77)</f>
        <v/>
      </c>
      <c r="X77" s="90" t="str">
        <f aca="false">IF($B77="","",الموظفون!$Q77*IF(E77="سعودي",cfg_G_SR,cfg_G_NR)*F77/cfg_DAYS_M)</f>
        <v/>
      </c>
      <c r="Y77" s="90" t="str">
        <f aca="false">IF($B77="","",الموظفون!$O77*(cfg_EOS_R1*(MIN(AC77,cfg_EOS_TH)-MIN(AD77,cfg_EOS_TH))+cfg_EOS_R2*(MAX(AC77-cfg_EOS_TH,0)-MAX(AD77-cfg_EOS_TH,0))))</f>
        <v/>
      </c>
      <c r="Z77" s="90" t="str">
        <f aca="false">IF($B77="","",IF(الموظفون!$R77&lt;&gt;"",الموظفون!$R77,IF(AC77&gt;=cfg_LV_TH,cfg_LV_D2,cfg_LV_D1))/cfg_DAYS_Y*AE77*الموظفون!$P77/cfg_DAYS_M)</f>
        <v/>
      </c>
      <c r="AA77" s="90" t="str">
        <f aca="false">IF($B77="","",IF(AND(الموظفون!$S77="نعم",N(الموظفون!$U77)&gt;0),الموظفون!$T77/الموظفون!$U77*12/cfg_DAYS_Y*AE77,0))</f>
        <v/>
      </c>
      <c r="AB77" s="113" t="str">
        <f aca="false">IF($B77="","",R77+SUM(X77:AA77))</f>
        <v/>
      </c>
      <c r="AC77" s="114" t="str">
        <f aca="false">IF($B77="","",MAX(0,IF(OR(الموظفون!$X77="",الموظفون!$X77&gt;$G$3),$G$3,الموظفون!$X77)-الموظفون!$H77+1)/cfg_DAYS_Y)</f>
        <v/>
      </c>
      <c r="AD77" s="114" t="str">
        <f aca="false">IF($B77="","",MAX(0,IF(OR(الموظفون!$X77="",الموظفون!$X77&gt;($E$3-1)),($E$3-1),الموظفون!$X77)-الموظفون!$H77+1)/cfg_DAYS_Y)</f>
        <v/>
      </c>
      <c r="AE77" s="115" t="str">
        <f aca="false">IF($B77="","",MAX(0,IF(OR(الموظفون!$X77="",الموظفون!$X77&gt;$G$3),$G$3,الموظفون!$X77)-MAX($E$3,الموظفون!$H77)+1))</f>
        <v/>
      </c>
    </row>
    <row r="78" customFormat="false" ht="15" hidden="false" customHeight="false" outlineLevel="0" collapsed="false">
      <c r="A78" s="83" t="str">
        <f aca="false">IF($B78="","",الموظفون!$A78)</f>
        <v/>
      </c>
      <c r="B78" s="74" t="str">
        <f aca="false">IF(الموظفون!$B78="","",الموظفون!$B78)</f>
        <v/>
      </c>
      <c r="C78" s="74" t="str">
        <f aca="false">IF($B78="","",الموظفون!$C78)</f>
        <v/>
      </c>
      <c r="D78" s="74" t="str">
        <f aca="false">IF($B78="","",الموظفون!$F78)</f>
        <v/>
      </c>
      <c r="E78" s="74" t="str">
        <f aca="false">IF($B78="","",الموظفون!$E78)</f>
        <v/>
      </c>
      <c r="F78" s="105" t="str">
        <f aca="false">IF($B78="","",IF(AE78&gt;=DAY($G$3),cfg_DAYS_M,MIN(AE78,cfg_DAYS_M)))</f>
        <v/>
      </c>
      <c r="G78" s="105" t="str">
        <f aca="false">IF($B78="","",SUMIFS('الحركات الشهرية'!$D$6:$D$1005,'الحركات الشهرية'!$B$6:$B$1005,$B78,'الحركات الشهرية'!$A$6:$A$1005,$C$3))</f>
        <v/>
      </c>
      <c r="H78" s="105" t="str">
        <f aca="false">IF($B78="","",SUMIFS('الحركات الشهرية'!$E$6:$E$1005,'الحركات الشهرية'!$B$6:$B$1005,$B78,'الحركات الشهرية'!$A$6:$A$1005,$C$3))</f>
        <v/>
      </c>
      <c r="I78" s="105" t="str">
        <f aca="false">IF($B78="","",MAX(0,F78-G78-H78))</f>
        <v/>
      </c>
      <c r="J78" s="86" t="str">
        <f aca="false">IF($B78="","",الموظفون!$J78*$I78/cfg_DAYS_M)</f>
        <v/>
      </c>
      <c r="K78" s="86" t="str">
        <f aca="false">IF($B78="","",الموظفون!$K78*$I78/cfg_DAYS_M)</f>
        <v/>
      </c>
      <c r="L78" s="86" t="str">
        <f aca="false">IF($B78="","",الموظفون!$L78*$I78/cfg_DAYS_M)</f>
        <v/>
      </c>
      <c r="M78" s="86" t="str">
        <f aca="false">IF($B78="","",الموظفون!$M78*$I78/cfg_DAYS_M)</f>
        <v/>
      </c>
      <c r="N78" s="105" t="str">
        <f aca="false">IF($B78="","",SUMIFS('الحركات الشهرية'!$F$6:$F$1005,'الحركات الشهرية'!$B$6:$B$1005,$B78,'الحركات الشهرية'!$A$6:$A$1005,$C$3))</f>
        <v/>
      </c>
      <c r="O78" s="86" t="str">
        <f aca="false">IF($B78="","",N78*(الموظفون!$N78+الموظفون!$J78*cfg_OT_P)/cfg_DAYS_M/cfg_HRS)</f>
        <v/>
      </c>
      <c r="P78" s="86" t="str">
        <f aca="false">IF($B78="","",SUMIFS('الحركات الشهرية'!$G$6:$G$1005,'الحركات الشهرية'!$B$6:$B$1005,$B78,'الحركات الشهرية'!$A$6:$A$1005,$C$3))</f>
        <v/>
      </c>
      <c r="Q78" s="86" t="str">
        <f aca="false">IF($B78="","",SUMIFS('الحركات الشهرية'!$H$6:$H$1005,'الحركات الشهرية'!$B$6:$B$1005,$B78,'الحركات الشهرية'!$A$6:$A$1005,$C$3))</f>
        <v/>
      </c>
      <c r="R78" s="106" t="str">
        <f aca="false">IF($B78="","",SUM(J78:M78)+SUM(O78:Q78))</f>
        <v/>
      </c>
      <c r="S78" s="86" t="str">
        <f aca="false">IF($B78="","",الموظفون!$Q78*IF(E78="سعودي",cfg_G_SE,cfg_G_NE)*F78/cfg_DAYS_M)</f>
        <v/>
      </c>
      <c r="T78" s="86" t="str">
        <f aca="false">IF($B78="","",SUMIFS('الحركات الشهرية'!$I$6:$I$1005,'الحركات الشهرية'!$B$6:$B$1005,$B78,'الحركات الشهرية'!$A$6:$A$1005,$C$3))</f>
        <v/>
      </c>
      <c r="U78" s="86" t="str">
        <f aca="false">IF($B78="","",SUMIFS('الحركات الشهرية'!$J$6:$J$1005,'الحركات الشهرية'!$B$6:$B$1005,$B78,'الحركات الشهرية'!$A$6:$A$1005,$C$3))</f>
        <v/>
      </c>
      <c r="V78" s="86" t="str">
        <f aca="false">IF($B78="","",SUM(S78:U78))</f>
        <v/>
      </c>
      <c r="W78" s="107" t="str">
        <f aca="false">IF($B78="","",R78-V78)</f>
        <v/>
      </c>
      <c r="X78" s="86" t="str">
        <f aca="false">IF($B78="","",الموظفون!$Q78*IF(E78="سعودي",cfg_G_SR,cfg_G_NR)*F78/cfg_DAYS_M)</f>
        <v/>
      </c>
      <c r="Y78" s="86" t="str">
        <f aca="false">IF($B78="","",الموظفون!$O78*(cfg_EOS_R1*(MIN(AC78,cfg_EOS_TH)-MIN(AD78,cfg_EOS_TH))+cfg_EOS_R2*(MAX(AC78-cfg_EOS_TH,0)-MAX(AD78-cfg_EOS_TH,0))))</f>
        <v/>
      </c>
      <c r="Z78" s="86" t="str">
        <f aca="false">IF($B78="","",IF(الموظفون!$R78&lt;&gt;"",الموظفون!$R78,IF(AC78&gt;=cfg_LV_TH,cfg_LV_D2,cfg_LV_D1))/cfg_DAYS_Y*AE78*الموظفون!$P78/cfg_DAYS_M)</f>
        <v/>
      </c>
      <c r="AA78" s="86" t="str">
        <f aca="false">IF($B78="","",IF(AND(الموظفون!$S78="نعم",N(الموظفون!$U78)&gt;0),الموظفون!$T78/الموظفون!$U78*12/cfg_DAYS_Y*AE78,0))</f>
        <v/>
      </c>
      <c r="AB78" s="108" t="str">
        <f aca="false">IF($B78="","",R78+SUM(X78:AA78))</f>
        <v/>
      </c>
      <c r="AC78" s="109" t="str">
        <f aca="false">IF($B78="","",MAX(0,IF(OR(الموظفون!$X78="",الموظفون!$X78&gt;$G$3),$G$3,الموظفون!$X78)-الموظفون!$H78+1)/cfg_DAYS_Y)</f>
        <v/>
      </c>
      <c r="AD78" s="109" t="str">
        <f aca="false">IF($B78="","",MAX(0,IF(OR(الموظفون!$X78="",الموظفون!$X78&gt;($E$3-1)),($E$3-1),الموظفون!$X78)-الموظفون!$H78+1)/cfg_DAYS_Y)</f>
        <v/>
      </c>
      <c r="AE78" s="51" t="str">
        <f aca="false">IF($B78="","",MAX(0,IF(OR(الموظفون!$X78="",الموظفون!$X78&gt;$G$3),$G$3,الموظفون!$X78)-MAX($E$3,الموظفون!$H78)+1))</f>
        <v/>
      </c>
    </row>
    <row r="79" customFormat="false" ht="15" hidden="false" customHeight="false" outlineLevel="0" collapsed="false">
      <c r="A79" s="89" t="str">
        <f aca="false">IF($B79="","",الموظفون!$A79)</f>
        <v/>
      </c>
      <c r="B79" s="91" t="str">
        <f aca="false">IF(الموظفون!$B79="","",الموظفون!$B79)</f>
        <v/>
      </c>
      <c r="C79" s="91" t="str">
        <f aca="false">IF($B79="","",الموظفون!$C79)</f>
        <v/>
      </c>
      <c r="D79" s="91" t="str">
        <f aca="false">IF($B79="","",الموظفون!$F79)</f>
        <v/>
      </c>
      <c r="E79" s="91" t="str">
        <f aca="false">IF($B79="","",الموظفون!$E79)</f>
        <v/>
      </c>
      <c r="F79" s="110" t="str">
        <f aca="false">IF($B79="","",IF(AE79&gt;=DAY($G$3),cfg_DAYS_M,MIN(AE79,cfg_DAYS_M)))</f>
        <v/>
      </c>
      <c r="G79" s="110" t="str">
        <f aca="false">IF($B79="","",SUMIFS('الحركات الشهرية'!$D$6:$D$1005,'الحركات الشهرية'!$B$6:$B$1005,$B79,'الحركات الشهرية'!$A$6:$A$1005,$C$3))</f>
        <v/>
      </c>
      <c r="H79" s="110" t="str">
        <f aca="false">IF($B79="","",SUMIFS('الحركات الشهرية'!$E$6:$E$1005,'الحركات الشهرية'!$B$6:$B$1005,$B79,'الحركات الشهرية'!$A$6:$A$1005,$C$3))</f>
        <v/>
      </c>
      <c r="I79" s="110" t="str">
        <f aca="false">IF($B79="","",MAX(0,F79-G79-H79))</f>
        <v/>
      </c>
      <c r="J79" s="90" t="str">
        <f aca="false">IF($B79="","",الموظفون!$J79*$I79/cfg_DAYS_M)</f>
        <v/>
      </c>
      <c r="K79" s="90" t="str">
        <f aca="false">IF($B79="","",الموظفون!$K79*$I79/cfg_DAYS_M)</f>
        <v/>
      </c>
      <c r="L79" s="90" t="str">
        <f aca="false">IF($B79="","",الموظفون!$L79*$I79/cfg_DAYS_M)</f>
        <v/>
      </c>
      <c r="M79" s="90" t="str">
        <f aca="false">IF($B79="","",الموظفون!$M79*$I79/cfg_DAYS_M)</f>
        <v/>
      </c>
      <c r="N79" s="110" t="str">
        <f aca="false">IF($B79="","",SUMIFS('الحركات الشهرية'!$F$6:$F$1005,'الحركات الشهرية'!$B$6:$B$1005,$B79,'الحركات الشهرية'!$A$6:$A$1005,$C$3))</f>
        <v/>
      </c>
      <c r="O79" s="90" t="str">
        <f aca="false">IF($B79="","",N79*(الموظفون!$N79+الموظفون!$J79*cfg_OT_P)/cfg_DAYS_M/cfg_HRS)</f>
        <v/>
      </c>
      <c r="P79" s="90" t="str">
        <f aca="false">IF($B79="","",SUMIFS('الحركات الشهرية'!$G$6:$G$1005,'الحركات الشهرية'!$B$6:$B$1005,$B79,'الحركات الشهرية'!$A$6:$A$1005,$C$3))</f>
        <v/>
      </c>
      <c r="Q79" s="90" t="str">
        <f aca="false">IF($B79="","",SUMIFS('الحركات الشهرية'!$H$6:$H$1005,'الحركات الشهرية'!$B$6:$B$1005,$B79,'الحركات الشهرية'!$A$6:$A$1005,$C$3))</f>
        <v/>
      </c>
      <c r="R79" s="111" t="str">
        <f aca="false">IF($B79="","",SUM(J79:M79)+SUM(O79:Q79))</f>
        <v/>
      </c>
      <c r="S79" s="90" t="str">
        <f aca="false">IF($B79="","",الموظفون!$Q79*IF(E79="سعودي",cfg_G_SE,cfg_G_NE)*F79/cfg_DAYS_M)</f>
        <v/>
      </c>
      <c r="T79" s="90" t="str">
        <f aca="false">IF($B79="","",SUMIFS('الحركات الشهرية'!$I$6:$I$1005,'الحركات الشهرية'!$B$6:$B$1005,$B79,'الحركات الشهرية'!$A$6:$A$1005,$C$3))</f>
        <v/>
      </c>
      <c r="U79" s="90" t="str">
        <f aca="false">IF($B79="","",SUMIFS('الحركات الشهرية'!$J$6:$J$1005,'الحركات الشهرية'!$B$6:$B$1005,$B79,'الحركات الشهرية'!$A$6:$A$1005,$C$3))</f>
        <v/>
      </c>
      <c r="V79" s="90" t="str">
        <f aca="false">IF($B79="","",SUM(S79:U79))</f>
        <v/>
      </c>
      <c r="W79" s="112" t="str">
        <f aca="false">IF($B79="","",R79-V79)</f>
        <v/>
      </c>
      <c r="X79" s="90" t="str">
        <f aca="false">IF($B79="","",الموظفون!$Q79*IF(E79="سعودي",cfg_G_SR,cfg_G_NR)*F79/cfg_DAYS_M)</f>
        <v/>
      </c>
      <c r="Y79" s="90" t="str">
        <f aca="false">IF($B79="","",الموظفون!$O79*(cfg_EOS_R1*(MIN(AC79,cfg_EOS_TH)-MIN(AD79,cfg_EOS_TH))+cfg_EOS_R2*(MAX(AC79-cfg_EOS_TH,0)-MAX(AD79-cfg_EOS_TH,0))))</f>
        <v/>
      </c>
      <c r="Z79" s="90" t="str">
        <f aca="false">IF($B79="","",IF(الموظفون!$R79&lt;&gt;"",الموظفون!$R79,IF(AC79&gt;=cfg_LV_TH,cfg_LV_D2,cfg_LV_D1))/cfg_DAYS_Y*AE79*الموظفون!$P79/cfg_DAYS_M)</f>
        <v/>
      </c>
      <c r="AA79" s="90" t="str">
        <f aca="false">IF($B79="","",IF(AND(الموظفون!$S79="نعم",N(الموظفون!$U79)&gt;0),الموظفون!$T79/الموظفون!$U79*12/cfg_DAYS_Y*AE79,0))</f>
        <v/>
      </c>
      <c r="AB79" s="113" t="str">
        <f aca="false">IF($B79="","",R79+SUM(X79:AA79))</f>
        <v/>
      </c>
      <c r="AC79" s="114" t="str">
        <f aca="false">IF($B79="","",MAX(0,IF(OR(الموظفون!$X79="",الموظفون!$X79&gt;$G$3),$G$3,الموظفون!$X79)-الموظفون!$H79+1)/cfg_DAYS_Y)</f>
        <v/>
      </c>
      <c r="AD79" s="114" t="str">
        <f aca="false">IF($B79="","",MAX(0,IF(OR(الموظفون!$X79="",الموظفون!$X79&gt;($E$3-1)),($E$3-1),الموظفون!$X79)-الموظفون!$H79+1)/cfg_DAYS_Y)</f>
        <v/>
      </c>
      <c r="AE79" s="115" t="str">
        <f aca="false">IF($B79="","",MAX(0,IF(OR(الموظفون!$X79="",الموظفون!$X79&gt;$G$3),$G$3,الموظفون!$X79)-MAX($E$3,الموظفون!$H79)+1))</f>
        <v/>
      </c>
    </row>
    <row r="80" customFormat="false" ht="15" hidden="false" customHeight="false" outlineLevel="0" collapsed="false">
      <c r="A80" s="83" t="str">
        <f aca="false">IF($B80="","",الموظفون!$A80)</f>
        <v/>
      </c>
      <c r="B80" s="74" t="str">
        <f aca="false">IF(الموظفون!$B80="","",الموظفون!$B80)</f>
        <v/>
      </c>
      <c r="C80" s="74" t="str">
        <f aca="false">IF($B80="","",الموظفون!$C80)</f>
        <v/>
      </c>
      <c r="D80" s="74" t="str">
        <f aca="false">IF($B80="","",الموظفون!$F80)</f>
        <v/>
      </c>
      <c r="E80" s="74" t="str">
        <f aca="false">IF($B80="","",الموظفون!$E80)</f>
        <v/>
      </c>
      <c r="F80" s="105" t="str">
        <f aca="false">IF($B80="","",IF(AE80&gt;=DAY($G$3),cfg_DAYS_M,MIN(AE80,cfg_DAYS_M)))</f>
        <v/>
      </c>
      <c r="G80" s="105" t="str">
        <f aca="false">IF($B80="","",SUMIFS('الحركات الشهرية'!$D$6:$D$1005,'الحركات الشهرية'!$B$6:$B$1005,$B80,'الحركات الشهرية'!$A$6:$A$1005,$C$3))</f>
        <v/>
      </c>
      <c r="H80" s="105" t="str">
        <f aca="false">IF($B80="","",SUMIFS('الحركات الشهرية'!$E$6:$E$1005,'الحركات الشهرية'!$B$6:$B$1005,$B80,'الحركات الشهرية'!$A$6:$A$1005,$C$3))</f>
        <v/>
      </c>
      <c r="I80" s="105" t="str">
        <f aca="false">IF($B80="","",MAX(0,F80-G80-H80))</f>
        <v/>
      </c>
      <c r="J80" s="86" t="str">
        <f aca="false">IF($B80="","",الموظفون!$J80*$I80/cfg_DAYS_M)</f>
        <v/>
      </c>
      <c r="K80" s="86" t="str">
        <f aca="false">IF($B80="","",الموظفون!$K80*$I80/cfg_DAYS_M)</f>
        <v/>
      </c>
      <c r="L80" s="86" t="str">
        <f aca="false">IF($B80="","",الموظفون!$L80*$I80/cfg_DAYS_M)</f>
        <v/>
      </c>
      <c r="M80" s="86" t="str">
        <f aca="false">IF($B80="","",الموظفون!$M80*$I80/cfg_DAYS_M)</f>
        <v/>
      </c>
      <c r="N80" s="105" t="str">
        <f aca="false">IF($B80="","",SUMIFS('الحركات الشهرية'!$F$6:$F$1005,'الحركات الشهرية'!$B$6:$B$1005,$B80,'الحركات الشهرية'!$A$6:$A$1005,$C$3))</f>
        <v/>
      </c>
      <c r="O80" s="86" t="str">
        <f aca="false">IF($B80="","",N80*(الموظفون!$N80+الموظفون!$J80*cfg_OT_P)/cfg_DAYS_M/cfg_HRS)</f>
        <v/>
      </c>
      <c r="P80" s="86" t="str">
        <f aca="false">IF($B80="","",SUMIFS('الحركات الشهرية'!$G$6:$G$1005,'الحركات الشهرية'!$B$6:$B$1005,$B80,'الحركات الشهرية'!$A$6:$A$1005,$C$3))</f>
        <v/>
      </c>
      <c r="Q80" s="86" t="str">
        <f aca="false">IF($B80="","",SUMIFS('الحركات الشهرية'!$H$6:$H$1005,'الحركات الشهرية'!$B$6:$B$1005,$B80,'الحركات الشهرية'!$A$6:$A$1005,$C$3))</f>
        <v/>
      </c>
      <c r="R80" s="106" t="str">
        <f aca="false">IF($B80="","",SUM(J80:M80)+SUM(O80:Q80))</f>
        <v/>
      </c>
      <c r="S80" s="86" t="str">
        <f aca="false">IF($B80="","",الموظفون!$Q80*IF(E80="سعودي",cfg_G_SE,cfg_G_NE)*F80/cfg_DAYS_M)</f>
        <v/>
      </c>
      <c r="T80" s="86" t="str">
        <f aca="false">IF($B80="","",SUMIFS('الحركات الشهرية'!$I$6:$I$1005,'الحركات الشهرية'!$B$6:$B$1005,$B80,'الحركات الشهرية'!$A$6:$A$1005,$C$3))</f>
        <v/>
      </c>
      <c r="U80" s="86" t="str">
        <f aca="false">IF($B80="","",SUMIFS('الحركات الشهرية'!$J$6:$J$1005,'الحركات الشهرية'!$B$6:$B$1005,$B80,'الحركات الشهرية'!$A$6:$A$1005,$C$3))</f>
        <v/>
      </c>
      <c r="V80" s="86" t="str">
        <f aca="false">IF($B80="","",SUM(S80:U80))</f>
        <v/>
      </c>
      <c r="W80" s="107" t="str">
        <f aca="false">IF($B80="","",R80-V80)</f>
        <v/>
      </c>
      <c r="X80" s="86" t="str">
        <f aca="false">IF($B80="","",الموظفون!$Q80*IF(E80="سعودي",cfg_G_SR,cfg_G_NR)*F80/cfg_DAYS_M)</f>
        <v/>
      </c>
      <c r="Y80" s="86" t="str">
        <f aca="false">IF($B80="","",الموظفون!$O80*(cfg_EOS_R1*(MIN(AC80,cfg_EOS_TH)-MIN(AD80,cfg_EOS_TH))+cfg_EOS_R2*(MAX(AC80-cfg_EOS_TH,0)-MAX(AD80-cfg_EOS_TH,0))))</f>
        <v/>
      </c>
      <c r="Z80" s="86" t="str">
        <f aca="false">IF($B80="","",IF(الموظفون!$R80&lt;&gt;"",الموظفون!$R80,IF(AC80&gt;=cfg_LV_TH,cfg_LV_D2,cfg_LV_D1))/cfg_DAYS_Y*AE80*الموظفون!$P80/cfg_DAYS_M)</f>
        <v/>
      </c>
      <c r="AA80" s="86" t="str">
        <f aca="false">IF($B80="","",IF(AND(الموظفون!$S80="نعم",N(الموظفون!$U80)&gt;0),الموظفون!$T80/الموظفون!$U80*12/cfg_DAYS_Y*AE80,0))</f>
        <v/>
      </c>
      <c r="AB80" s="108" t="str">
        <f aca="false">IF($B80="","",R80+SUM(X80:AA80))</f>
        <v/>
      </c>
      <c r="AC80" s="109" t="str">
        <f aca="false">IF($B80="","",MAX(0,IF(OR(الموظفون!$X80="",الموظفون!$X80&gt;$G$3),$G$3,الموظفون!$X80)-الموظفون!$H80+1)/cfg_DAYS_Y)</f>
        <v/>
      </c>
      <c r="AD80" s="109" t="str">
        <f aca="false">IF($B80="","",MAX(0,IF(OR(الموظفون!$X80="",الموظفون!$X80&gt;($E$3-1)),($E$3-1),الموظفون!$X80)-الموظفون!$H80+1)/cfg_DAYS_Y)</f>
        <v/>
      </c>
      <c r="AE80" s="51" t="str">
        <f aca="false">IF($B80="","",MAX(0,IF(OR(الموظفون!$X80="",الموظفون!$X80&gt;$G$3),$G$3,الموظفون!$X80)-MAX($E$3,الموظفون!$H80)+1))</f>
        <v/>
      </c>
    </row>
    <row r="81" customFormat="false" ht="15" hidden="false" customHeight="false" outlineLevel="0" collapsed="false">
      <c r="A81" s="89" t="str">
        <f aca="false">IF($B81="","",الموظفون!$A81)</f>
        <v/>
      </c>
      <c r="B81" s="91" t="str">
        <f aca="false">IF(الموظفون!$B81="","",الموظفون!$B81)</f>
        <v/>
      </c>
      <c r="C81" s="91" t="str">
        <f aca="false">IF($B81="","",الموظفون!$C81)</f>
        <v/>
      </c>
      <c r="D81" s="91" t="str">
        <f aca="false">IF($B81="","",الموظفون!$F81)</f>
        <v/>
      </c>
      <c r="E81" s="91" t="str">
        <f aca="false">IF($B81="","",الموظفون!$E81)</f>
        <v/>
      </c>
      <c r="F81" s="110" t="str">
        <f aca="false">IF($B81="","",IF(AE81&gt;=DAY($G$3),cfg_DAYS_M,MIN(AE81,cfg_DAYS_M)))</f>
        <v/>
      </c>
      <c r="G81" s="110" t="str">
        <f aca="false">IF($B81="","",SUMIFS('الحركات الشهرية'!$D$6:$D$1005,'الحركات الشهرية'!$B$6:$B$1005,$B81,'الحركات الشهرية'!$A$6:$A$1005,$C$3))</f>
        <v/>
      </c>
      <c r="H81" s="110" t="str">
        <f aca="false">IF($B81="","",SUMIFS('الحركات الشهرية'!$E$6:$E$1005,'الحركات الشهرية'!$B$6:$B$1005,$B81,'الحركات الشهرية'!$A$6:$A$1005,$C$3))</f>
        <v/>
      </c>
      <c r="I81" s="110" t="str">
        <f aca="false">IF($B81="","",MAX(0,F81-G81-H81))</f>
        <v/>
      </c>
      <c r="J81" s="90" t="str">
        <f aca="false">IF($B81="","",الموظفون!$J81*$I81/cfg_DAYS_M)</f>
        <v/>
      </c>
      <c r="K81" s="90" t="str">
        <f aca="false">IF($B81="","",الموظفون!$K81*$I81/cfg_DAYS_M)</f>
        <v/>
      </c>
      <c r="L81" s="90" t="str">
        <f aca="false">IF($B81="","",الموظفون!$L81*$I81/cfg_DAYS_M)</f>
        <v/>
      </c>
      <c r="M81" s="90" t="str">
        <f aca="false">IF($B81="","",الموظفون!$M81*$I81/cfg_DAYS_M)</f>
        <v/>
      </c>
      <c r="N81" s="110" t="str">
        <f aca="false">IF($B81="","",SUMIFS('الحركات الشهرية'!$F$6:$F$1005,'الحركات الشهرية'!$B$6:$B$1005,$B81,'الحركات الشهرية'!$A$6:$A$1005,$C$3))</f>
        <v/>
      </c>
      <c r="O81" s="90" t="str">
        <f aca="false">IF($B81="","",N81*(الموظفون!$N81+الموظفون!$J81*cfg_OT_P)/cfg_DAYS_M/cfg_HRS)</f>
        <v/>
      </c>
      <c r="P81" s="90" t="str">
        <f aca="false">IF($B81="","",SUMIFS('الحركات الشهرية'!$G$6:$G$1005,'الحركات الشهرية'!$B$6:$B$1005,$B81,'الحركات الشهرية'!$A$6:$A$1005,$C$3))</f>
        <v/>
      </c>
      <c r="Q81" s="90" t="str">
        <f aca="false">IF($B81="","",SUMIFS('الحركات الشهرية'!$H$6:$H$1005,'الحركات الشهرية'!$B$6:$B$1005,$B81,'الحركات الشهرية'!$A$6:$A$1005,$C$3))</f>
        <v/>
      </c>
      <c r="R81" s="111" t="str">
        <f aca="false">IF($B81="","",SUM(J81:M81)+SUM(O81:Q81))</f>
        <v/>
      </c>
      <c r="S81" s="90" t="str">
        <f aca="false">IF($B81="","",الموظفون!$Q81*IF(E81="سعودي",cfg_G_SE,cfg_G_NE)*F81/cfg_DAYS_M)</f>
        <v/>
      </c>
      <c r="T81" s="90" t="str">
        <f aca="false">IF($B81="","",SUMIFS('الحركات الشهرية'!$I$6:$I$1005,'الحركات الشهرية'!$B$6:$B$1005,$B81,'الحركات الشهرية'!$A$6:$A$1005,$C$3))</f>
        <v/>
      </c>
      <c r="U81" s="90" t="str">
        <f aca="false">IF($B81="","",SUMIFS('الحركات الشهرية'!$J$6:$J$1005,'الحركات الشهرية'!$B$6:$B$1005,$B81,'الحركات الشهرية'!$A$6:$A$1005,$C$3))</f>
        <v/>
      </c>
      <c r="V81" s="90" t="str">
        <f aca="false">IF($B81="","",SUM(S81:U81))</f>
        <v/>
      </c>
      <c r="W81" s="112" t="str">
        <f aca="false">IF($B81="","",R81-V81)</f>
        <v/>
      </c>
      <c r="X81" s="90" t="str">
        <f aca="false">IF($B81="","",الموظفون!$Q81*IF(E81="سعودي",cfg_G_SR,cfg_G_NR)*F81/cfg_DAYS_M)</f>
        <v/>
      </c>
      <c r="Y81" s="90" t="str">
        <f aca="false">IF($B81="","",الموظفون!$O81*(cfg_EOS_R1*(MIN(AC81,cfg_EOS_TH)-MIN(AD81,cfg_EOS_TH))+cfg_EOS_R2*(MAX(AC81-cfg_EOS_TH,0)-MAX(AD81-cfg_EOS_TH,0))))</f>
        <v/>
      </c>
      <c r="Z81" s="90" t="str">
        <f aca="false">IF($B81="","",IF(الموظفون!$R81&lt;&gt;"",الموظفون!$R81,IF(AC81&gt;=cfg_LV_TH,cfg_LV_D2,cfg_LV_D1))/cfg_DAYS_Y*AE81*الموظفون!$P81/cfg_DAYS_M)</f>
        <v/>
      </c>
      <c r="AA81" s="90" t="str">
        <f aca="false">IF($B81="","",IF(AND(الموظفون!$S81="نعم",N(الموظفون!$U81)&gt;0),الموظفون!$T81/الموظفون!$U81*12/cfg_DAYS_Y*AE81,0))</f>
        <v/>
      </c>
      <c r="AB81" s="113" t="str">
        <f aca="false">IF($B81="","",R81+SUM(X81:AA81))</f>
        <v/>
      </c>
      <c r="AC81" s="114" t="str">
        <f aca="false">IF($B81="","",MAX(0,IF(OR(الموظفون!$X81="",الموظفون!$X81&gt;$G$3),$G$3,الموظفون!$X81)-الموظفون!$H81+1)/cfg_DAYS_Y)</f>
        <v/>
      </c>
      <c r="AD81" s="114" t="str">
        <f aca="false">IF($B81="","",MAX(0,IF(OR(الموظفون!$X81="",الموظفون!$X81&gt;($E$3-1)),($E$3-1),الموظفون!$X81)-الموظفون!$H81+1)/cfg_DAYS_Y)</f>
        <v/>
      </c>
      <c r="AE81" s="115" t="str">
        <f aca="false">IF($B81="","",MAX(0,IF(OR(الموظفون!$X81="",الموظفون!$X81&gt;$G$3),$G$3,الموظفون!$X81)-MAX($E$3,الموظفون!$H81)+1))</f>
        <v/>
      </c>
    </row>
    <row r="82" customFormat="false" ht="15" hidden="false" customHeight="false" outlineLevel="0" collapsed="false">
      <c r="A82" s="83" t="str">
        <f aca="false">IF($B82="","",الموظفون!$A82)</f>
        <v/>
      </c>
      <c r="B82" s="74" t="str">
        <f aca="false">IF(الموظفون!$B82="","",الموظفون!$B82)</f>
        <v/>
      </c>
      <c r="C82" s="74" t="str">
        <f aca="false">IF($B82="","",الموظفون!$C82)</f>
        <v/>
      </c>
      <c r="D82" s="74" t="str">
        <f aca="false">IF($B82="","",الموظفون!$F82)</f>
        <v/>
      </c>
      <c r="E82" s="74" t="str">
        <f aca="false">IF($B82="","",الموظفون!$E82)</f>
        <v/>
      </c>
      <c r="F82" s="105" t="str">
        <f aca="false">IF($B82="","",IF(AE82&gt;=DAY($G$3),cfg_DAYS_M,MIN(AE82,cfg_DAYS_M)))</f>
        <v/>
      </c>
      <c r="G82" s="105" t="str">
        <f aca="false">IF($B82="","",SUMIFS('الحركات الشهرية'!$D$6:$D$1005,'الحركات الشهرية'!$B$6:$B$1005,$B82,'الحركات الشهرية'!$A$6:$A$1005,$C$3))</f>
        <v/>
      </c>
      <c r="H82" s="105" t="str">
        <f aca="false">IF($B82="","",SUMIFS('الحركات الشهرية'!$E$6:$E$1005,'الحركات الشهرية'!$B$6:$B$1005,$B82,'الحركات الشهرية'!$A$6:$A$1005,$C$3))</f>
        <v/>
      </c>
      <c r="I82" s="105" t="str">
        <f aca="false">IF($B82="","",MAX(0,F82-G82-H82))</f>
        <v/>
      </c>
      <c r="J82" s="86" t="str">
        <f aca="false">IF($B82="","",الموظفون!$J82*$I82/cfg_DAYS_M)</f>
        <v/>
      </c>
      <c r="K82" s="86" t="str">
        <f aca="false">IF($B82="","",الموظفون!$K82*$I82/cfg_DAYS_M)</f>
        <v/>
      </c>
      <c r="L82" s="86" t="str">
        <f aca="false">IF($B82="","",الموظفون!$L82*$I82/cfg_DAYS_M)</f>
        <v/>
      </c>
      <c r="M82" s="86" t="str">
        <f aca="false">IF($B82="","",الموظفون!$M82*$I82/cfg_DAYS_M)</f>
        <v/>
      </c>
      <c r="N82" s="105" t="str">
        <f aca="false">IF($B82="","",SUMIFS('الحركات الشهرية'!$F$6:$F$1005,'الحركات الشهرية'!$B$6:$B$1005,$B82,'الحركات الشهرية'!$A$6:$A$1005,$C$3))</f>
        <v/>
      </c>
      <c r="O82" s="86" t="str">
        <f aca="false">IF($B82="","",N82*(الموظفون!$N82+الموظفون!$J82*cfg_OT_P)/cfg_DAYS_M/cfg_HRS)</f>
        <v/>
      </c>
      <c r="P82" s="86" t="str">
        <f aca="false">IF($B82="","",SUMIFS('الحركات الشهرية'!$G$6:$G$1005,'الحركات الشهرية'!$B$6:$B$1005,$B82,'الحركات الشهرية'!$A$6:$A$1005,$C$3))</f>
        <v/>
      </c>
      <c r="Q82" s="86" t="str">
        <f aca="false">IF($B82="","",SUMIFS('الحركات الشهرية'!$H$6:$H$1005,'الحركات الشهرية'!$B$6:$B$1005,$B82,'الحركات الشهرية'!$A$6:$A$1005,$C$3))</f>
        <v/>
      </c>
      <c r="R82" s="106" t="str">
        <f aca="false">IF($B82="","",SUM(J82:M82)+SUM(O82:Q82))</f>
        <v/>
      </c>
      <c r="S82" s="86" t="str">
        <f aca="false">IF($B82="","",الموظفون!$Q82*IF(E82="سعودي",cfg_G_SE,cfg_G_NE)*F82/cfg_DAYS_M)</f>
        <v/>
      </c>
      <c r="T82" s="86" t="str">
        <f aca="false">IF($B82="","",SUMIFS('الحركات الشهرية'!$I$6:$I$1005,'الحركات الشهرية'!$B$6:$B$1005,$B82,'الحركات الشهرية'!$A$6:$A$1005,$C$3))</f>
        <v/>
      </c>
      <c r="U82" s="86" t="str">
        <f aca="false">IF($B82="","",SUMIFS('الحركات الشهرية'!$J$6:$J$1005,'الحركات الشهرية'!$B$6:$B$1005,$B82,'الحركات الشهرية'!$A$6:$A$1005,$C$3))</f>
        <v/>
      </c>
      <c r="V82" s="86" t="str">
        <f aca="false">IF($B82="","",SUM(S82:U82))</f>
        <v/>
      </c>
      <c r="W82" s="107" t="str">
        <f aca="false">IF($B82="","",R82-V82)</f>
        <v/>
      </c>
      <c r="X82" s="86" t="str">
        <f aca="false">IF($B82="","",الموظفون!$Q82*IF(E82="سعودي",cfg_G_SR,cfg_G_NR)*F82/cfg_DAYS_M)</f>
        <v/>
      </c>
      <c r="Y82" s="86" t="str">
        <f aca="false">IF($B82="","",الموظفون!$O82*(cfg_EOS_R1*(MIN(AC82,cfg_EOS_TH)-MIN(AD82,cfg_EOS_TH))+cfg_EOS_R2*(MAX(AC82-cfg_EOS_TH,0)-MAX(AD82-cfg_EOS_TH,0))))</f>
        <v/>
      </c>
      <c r="Z82" s="86" t="str">
        <f aca="false">IF($B82="","",IF(الموظفون!$R82&lt;&gt;"",الموظفون!$R82,IF(AC82&gt;=cfg_LV_TH,cfg_LV_D2,cfg_LV_D1))/cfg_DAYS_Y*AE82*الموظفون!$P82/cfg_DAYS_M)</f>
        <v/>
      </c>
      <c r="AA82" s="86" t="str">
        <f aca="false">IF($B82="","",IF(AND(الموظفون!$S82="نعم",N(الموظفون!$U82)&gt;0),الموظفون!$T82/الموظفون!$U82*12/cfg_DAYS_Y*AE82,0))</f>
        <v/>
      </c>
      <c r="AB82" s="108" t="str">
        <f aca="false">IF($B82="","",R82+SUM(X82:AA82))</f>
        <v/>
      </c>
      <c r="AC82" s="109" t="str">
        <f aca="false">IF($B82="","",MAX(0,IF(OR(الموظفون!$X82="",الموظفون!$X82&gt;$G$3),$G$3,الموظفون!$X82)-الموظفون!$H82+1)/cfg_DAYS_Y)</f>
        <v/>
      </c>
      <c r="AD82" s="109" t="str">
        <f aca="false">IF($B82="","",MAX(0,IF(OR(الموظفون!$X82="",الموظفون!$X82&gt;($E$3-1)),($E$3-1),الموظفون!$X82)-الموظفون!$H82+1)/cfg_DAYS_Y)</f>
        <v/>
      </c>
      <c r="AE82" s="51" t="str">
        <f aca="false">IF($B82="","",MAX(0,IF(OR(الموظفون!$X82="",الموظفون!$X82&gt;$G$3),$G$3,الموظفون!$X82)-MAX($E$3,الموظفون!$H82)+1))</f>
        <v/>
      </c>
    </row>
    <row r="83" customFormat="false" ht="15" hidden="false" customHeight="false" outlineLevel="0" collapsed="false">
      <c r="A83" s="89" t="str">
        <f aca="false">IF($B83="","",الموظفون!$A83)</f>
        <v/>
      </c>
      <c r="B83" s="91" t="str">
        <f aca="false">IF(الموظفون!$B83="","",الموظفون!$B83)</f>
        <v/>
      </c>
      <c r="C83" s="91" t="str">
        <f aca="false">IF($B83="","",الموظفون!$C83)</f>
        <v/>
      </c>
      <c r="D83" s="91" t="str">
        <f aca="false">IF($B83="","",الموظفون!$F83)</f>
        <v/>
      </c>
      <c r="E83" s="91" t="str">
        <f aca="false">IF($B83="","",الموظفون!$E83)</f>
        <v/>
      </c>
      <c r="F83" s="110" t="str">
        <f aca="false">IF($B83="","",IF(AE83&gt;=DAY($G$3),cfg_DAYS_M,MIN(AE83,cfg_DAYS_M)))</f>
        <v/>
      </c>
      <c r="G83" s="110" t="str">
        <f aca="false">IF($B83="","",SUMIFS('الحركات الشهرية'!$D$6:$D$1005,'الحركات الشهرية'!$B$6:$B$1005,$B83,'الحركات الشهرية'!$A$6:$A$1005,$C$3))</f>
        <v/>
      </c>
      <c r="H83" s="110" t="str">
        <f aca="false">IF($B83="","",SUMIFS('الحركات الشهرية'!$E$6:$E$1005,'الحركات الشهرية'!$B$6:$B$1005,$B83,'الحركات الشهرية'!$A$6:$A$1005,$C$3))</f>
        <v/>
      </c>
      <c r="I83" s="110" t="str">
        <f aca="false">IF($B83="","",MAX(0,F83-G83-H83))</f>
        <v/>
      </c>
      <c r="J83" s="90" t="str">
        <f aca="false">IF($B83="","",الموظفون!$J83*$I83/cfg_DAYS_M)</f>
        <v/>
      </c>
      <c r="K83" s="90" t="str">
        <f aca="false">IF($B83="","",الموظفون!$K83*$I83/cfg_DAYS_M)</f>
        <v/>
      </c>
      <c r="L83" s="90" t="str">
        <f aca="false">IF($B83="","",الموظفون!$L83*$I83/cfg_DAYS_M)</f>
        <v/>
      </c>
      <c r="M83" s="90" t="str">
        <f aca="false">IF($B83="","",الموظفون!$M83*$I83/cfg_DAYS_M)</f>
        <v/>
      </c>
      <c r="N83" s="110" t="str">
        <f aca="false">IF($B83="","",SUMIFS('الحركات الشهرية'!$F$6:$F$1005,'الحركات الشهرية'!$B$6:$B$1005,$B83,'الحركات الشهرية'!$A$6:$A$1005,$C$3))</f>
        <v/>
      </c>
      <c r="O83" s="90" t="str">
        <f aca="false">IF($B83="","",N83*(الموظفون!$N83+الموظفون!$J83*cfg_OT_P)/cfg_DAYS_M/cfg_HRS)</f>
        <v/>
      </c>
      <c r="P83" s="90" t="str">
        <f aca="false">IF($B83="","",SUMIFS('الحركات الشهرية'!$G$6:$G$1005,'الحركات الشهرية'!$B$6:$B$1005,$B83,'الحركات الشهرية'!$A$6:$A$1005,$C$3))</f>
        <v/>
      </c>
      <c r="Q83" s="90" t="str">
        <f aca="false">IF($B83="","",SUMIFS('الحركات الشهرية'!$H$6:$H$1005,'الحركات الشهرية'!$B$6:$B$1005,$B83,'الحركات الشهرية'!$A$6:$A$1005,$C$3))</f>
        <v/>
      </c>
      <c r="R83" s="111" t="str">
        <f aca="false">IF($B83="","",SUM(J83:M83)+SUM(O83:Q83))</f>
        <v/>
      </c>
      <c r="S83" s="90" t="str">
        <f aca="false">IF($B83="","",الموظفون!$Q83*IF(E83="سعودي",cfg_G_SE,cfg_G_NE)*F83/cfg_DAYS_M)</f>
        <v/>
      </c>
      <c r="T83" s="90" t="str">
        <f aca="false">IF($B83="","",SUMIFS('الحركات الشهرية'!$I$6:$I$1005,'الحركات الشهرية'!$B$6:$B$1005,$B83,'الحركات الشهرية'!$A$6:$A$1005,$C$3))</f>
        <v/>
      </c>
      <c r="U83" s="90" t="str">
        <f aca="false">IF($B83="","",SUMIFS('الحركات الشهرية'!$J$6:$J$1005,'الحركات الشهرية'!$B$6:$B$1005,$B83,'الحركات الشهرية'!$A$6:$A$1005,$C$3))</f>
        <v/>
      </c>
      <c r="V83" s="90" t="str">
        <f aca="false">IF($B83="","",SUM(S83:U83))</f>
        <v/>
      </c>
      <c r="W83" s="112" t="str">
        <f aca="false">IF($B83="","",R83-V83)</f>
        <v/>
      </c>
      <c r="X83" s="90" t="str">
        <f aca="false">IF($B83="","",الموظفون!$Q83*IF(E83="سعودي",cfg_G_SR,cfg_G_NR)*F83/cfg_DAYS_M)</f>
        <v/>
      </c>
      <c r="Y83" s="90" t="str">
        <f aca="false">IF($B83="","",الموظفون!$O83*(cfg_EOS_R1*(MIN(AC83,cfg_EOS_TH)-MIN(AD83,cfg_EOS_TH))+cfg_EOS_R2*(MAX(AC83-cfg_EOS_TH,0)-MAX(AD83-cfg_EOS_TH,0))))</f>
        <v/>
      </c>
      <c r="Z83" s="90" t="str">
        <f aca="false">IF($B83="","",IF(الموظفون!$R83&lt;&gt;"",الموظفون!$R83,IF(AC83&gt;=cfg_LV_TH,cfg_LV_D2,cfg_LV_D1))/cfg_DAYS_Y*AE83*الموظفون!$P83/cfg_DAYS_M)</f>
        <v/>
      </c>
      <c r="AA83" s="90" t="str">
        <f aca="false">IF($B83="","",IF(AND(الموظفون!$S83="نعم",N(الموظفون!$U83)&gt;0),الموظفون!$T83/الموظفون!$U83*12/cfg_DAYS_Y*AE83,0))</f>
        <v/>
      </c>
      <c r="AB83" s="113" t="str">
        <f aca="false">IF($B83="","",R83+SUM(X83:AA83))</f>
        <v/>
      </c>
      <c r="AC83" s="114" t="str">
        <f aca="false">IF($B83="","",MAX(0,IF(OR(الموظفون!$X83="",الموظفون!$X83&gt;$G$3),$G$3,الموظفون!$X83)-الموظفون!$H83+1)/cfg_DAYS_Y)</f>
        <v/>
      </c>
      <c r="AD83" s="114" t="str">
        <f aca="false">IF($B83="","",MAX(0,IF(OR(الموظفون!$X83="",الموظفون!$X83&gt;($E$3-1)),($E$3-1),الموظفون!$X83)-الموظفون!$H83+1)/cfg_DAYS_Y)</f>
        <v/>
      </c>
      <c r="AE83" s="115" t="str">
        <f aca="false">IF($B83="","",MAX(0,IF(OR(الموظفون!$X83="",الموظفون!$X83&gt;$G$3),$G$3,الموظفون!$X83)-MAX($E$3,الموظفون!$H83)+1))</f>
        <v/>
      </c>
    </row>
    <row r="84" customFormat="false" ht="15" hidden="false" customHeight="false" outlineLevel="0" collapsed="false">
      <c r="A84" s="83" t="str">
        <f aca="false">IF($B84="","",الموظفون!$A84)</f>
        <v/>
      </c>
      <c r="B84" s="74" t="str">
        <f aca="false">IF(الموظفون!$B84="","",الموظفون!$B84)</f>
        <v/>
      </c>
      <c r="C84" s="74" t="str">
        <f aca="false">IF($B84="","",الموظفون!$C84)</f>
        <v/>
      </c>
      <c r="D84" s="74" t="str">
        <f aca="false">IF($B84="","",الموظفون!$F84)</f>
        <v/>
      </c>
      <c r="E84" s="74" t="str">
        <f aca="false">IF($B84="","",الموظفون!$E84)</f>
        <v/>
      </c>
      <c r="F84" s="105" t="str">
        <f aca="false">IF($B84="","",IF(AE84&gt;=DAY($G$3),cfg_DAYS_M,MIN(AE84,cfg_DAYS_M)))</f>
        <v/>
      </c>
      <c r="G84" s="105" t="str">
        <f aca="false">IF($B84="","",SUMIFS('الحركات الشهرية'!$D$6:$D$1005,'الحركات الشهرية'!$B$6:$B$1005,$B84,'الحركات الشهرية'!$A$6:$A$1005,$C$3))</f>
        <v/>
      </c>
      <c r="H84" s="105" t="str">
        <f aca="false">IF($B84="","",SUMIFS('الحركات الشهرية'!$E$6:$E$1005,'الحركات الشهرية'!$B$6:$B$1005,$B84,'الحركات الشهرية'!$A$6:$A$1005,$C$3))</f>
        <v/>
      </c>
      <c r="I84" s="105" t="str">
        <f aca="false">IF($B84="","",MAX(0,F84-G84-H84))</f>
        <v/>
      </c>
      <c r="J84" s="86" t="str">
        <f aca="false">IF($B84="","",الموظفون!$J84*$I84/cfg_DAYS_M)</f>
        <v/>
      </c>
      <c r="K84" s="86" t="str">
        <f aca="false">IF($B84="","",الموظفون!$K84*$I84/cfg_DAYS_M)</f>
        <v/>
      </c>
      <c r="L84" s="86" t="str">
        <f aca="false">IF($B84="","",الموظفون!$L84*$I84/cfg_DAYS_M)</f>
        <v/>
      </c>
      <c r="M84" s="86" t="str">
        <f aca="false">IF($B84="","",الموظفون!$M84*$I84/cfg_DAYS_M)</f>
        <v/>
      </c>
      <c r="N84" s="105" t="str">
        <f aca="false">IF($B84="","",SUMIFS('الحركات الشهرية'!$F$6:$F$1005,'الحركات الشهرية'!$B$6:$B$1005,$B84,'الحركات الشهرية'!$A$6:$A$1005,$C$3))</f>
        <v/>
      </c>
      <c r="O84" s="86" t="str">
        <f aca="false">IF($B84="","",N84*(الموظفون!$N84+الموظفون!$J84*cfg_OT_P)/cfg_DAYS_M/cfg_HRS)</f>
        <v/>
      </c>
      <c r="P84" s="86" t="str">
        <f aca="false">IF($B84="","",SUMIFS('الحركات الشهرية'!$G$6:$G$1005,'الحركات الشهرية'!$B$6:$B$1005,$B84,'الحركات الشهرية'!$A$6:$A$1005,$C$3))</f>
        <v/>
      </c>
      <c r="Q84" s="86" t="str">
        <f aca="false">IF($B84="","",SUMIFS('الحركات الشهرية'!$H$6:$H$1005,'الحركات الشهرية'!$B$6:$B$1005,$B84,'الحركات الشهرية'!$A$6:$A$1005,$C$3))</f>
        <v/>
      </c>
      <c r="R84" s="106" t="str">
        <f aca="false">IF($B84="","",SUM(J84:M84)+SUM(O84:Q84))</f>
        <v/>
      </c>
      <c r="S84" s="86" t="str">
        <f aca="false">IF($B84="","",الموظفون!$Q84*IF(E84="سعودي",cfg_G_SE,cfg_G_NE)*F84/cfg_DAYS_M)</f>
        <v/>
      </c>
      <c r="T84" s="86" t="str">
        <f aca="false">IF($B84="","",SUMIFS('الحركات الشهرية'!$I$6:$I$1005,'الحركات الشهرية'!$B$6:$B$1005,$B84,'الحركات الشهرية'!$A$6:$A$1005,$C$3))</f>
        <v/>
      </c>
      <c r="U84" s="86" t="str">
        <f aca="false">IF($B84="","",SUMIFS('الحركات الشهرية'!$J$6:$J$1005,'الحركات الشهرية'!$B$6:$B$1005,$B84,'الحركات الشهرية'!$A$6:$A$1005,$C$3))</f>
        <v/>
      </c>
      <c r="V84" s="86" t="str">
        <f aca="false">IF($B84="","",SUM(S84:U84))</f>
        <v/>
      </c>
      <c r="W84" s="107" t="str">
        <f aca="false">IF($B84="","",R84-V84)</f>
        <v/>
      </c>
      <c r="X84" s="86" t="str">
        <f aca="false">IF($B84="","",الموظفون!$Q84*IF(E84="سعودي",cfg_G_SR,cfg_G_NR)*F84/cfg_DAYS_M)</f>
        <v/>
      </c>
      <c r="Y84" s="86" t="str">
        <f aca="false">IF($B84="","",الموظفون!$O84*(cfg_EOS_R1*(MIN(AC84,cfg_EOS_TH)-MIN(AD84,cfg_EOS_TH))+cfg_EOS_R2*(MAX(AC84-cfg_EOS_TH,0)-MAX(AD84-cfg_EOS_TH,0))))</f>
        <v/>
      </c>
      <c r="Z84" s="86" t="str">
        <f aca="false">IF($B84="","",IF(الموظفون!$R84&lt;&gt;"",الموظفون!$R84,IF(AC84&gt;=cfg_LV_TH,cfg_LV_D2,cfg_LV_D1))/cfg_DAYS_Y*AE84*الموظفون!$P84/cfg_DAYS_M)</f>
        <v/>
      </c>
      <c r="AA84" s="86" t="str">
        <f aca="false">IF($B84="","",IF(AND(الموظفون!$S84="نعم",N(الموظفون!$U84)&gt;0),الموظفون!$T84/الموظفون!$U84*12/cfg_DAYS_Y*AE84,0))</f>
        <v/>
      </c>
      <c r="AB84" s="108" t="str">
        <f aca="false">IF($B84="","",R84+SUM(X84:AA84))</f>
        <v/>
      </c>
      <c r="AC84" s="109" t="str">
        <f aca="false">IF($B84="","",MAX(0,IF(OR(الموظفون!$X84="",الموظفون!$X84&gt;$G$3),$G$3,الموظفون!$X84)-الموظفون!$H84+1)/cfg_DAYS_Y)</f>
        <v/>
      </c>
      <c r="AD84" s="109" t="str">
        <f aca="false">IF($B84="","",MAX(0,IF(OR(الموظفون!$X84="",الموظفون!$X84&gt;($E$3-1)),($E$3-1),الموظفون!$X84)-الموظفون!$H84+1)/cfg_DAYS_Y)</f>
        <v/>
      </c>
      <c r="AE84" s="51" t="str">
        <f aca="false">IF($B84="","",MAX(0,IF(OR(الموظفون!$X84="",الموظفون!$X84&gt;$G$3),$G$3,الموظفون!$X84)-MAX($E$3,الموظفون!$H84)+1))</f>
        <v/>
      </c>
    </row>
    <row r="85" customFormat="false" ht="15" hidden="false" customHeight="false" outlineLevel="0" collapsed="false">
      <c r="A85" s="89" t="str">
        <f aca="false">IF($B85="","",الموظفون!$A85)</f>
        <v/>
      </c>
      <c r="B85" s="91" t="str">
        <f aca="false">IF(الموظفون!$B85="","",الموظفون!$B85)</f>
        <v/>
      </c>
      <c r="C85" s="91" t="str">
        <f aca="false">IF($B85="","",الموظفون!$C85)</f>
        <v/>
      </c>
      <c r="D85" s="91" t="str">
        <f aca="false">IF($B85="","",الموظفون!$F85)</f>
        <v/>
      </c>
      <c r="E85" s="91" t="str">
        <f aca="false">IF($B85="","",الموظفون!$E85)</f>
        <v/>
      </c>
      <c r="F85" s="110" t="str">
        <f aca="false">IF($B85="","",IF(AE85&gt;=DAY($G$3),cfg_DAYS_M,MIN(AE85,cfg_DAYS_M)))</f>
        <v/>
      </c>
      <c r="G85" s="110" t="str">
        <f aca="false">IF($B85="","",SUMIFS('الحركات الشهرية'!$D$6:$D$1005,'الحركات الشهرية'!$B$6:$B$1005,$B85,'الحركات الشهرية'!$A$6:$A$1005,$C$3))</f>
        <v/>
      </c>
      <c r="H85" s="110" t="str">
        <f aca="false">IF($B85="","",SUMIFS('الحركات الشهرية'!$E$6:$E$1005,'الحركات الشهرية'!$B$6:$B$1005,$B85,'الحركات الشهرية'!$A$6:$A$1005,$C$3))</f>
        <v/>
      </c>
      <c r="I85" s="110" t="str">
        <f aca="false">IF($B85="","",MAX(0,F85-G85-H85))</f>
        <v/>
      </c>
      <c r="J85" s="90" t="str">
        <f aca="false">IF($B85="","",الموظفون!$J85*$I85/cfg_DAYS_M)</f>
        <v/>
      </c>
      <c r="K85" s="90" t="str">
        <f aca="false">IF($B85="","",الموظفون!$K85*$I85/cfg_DAYS_M)</f>
        <v/>
      </c>
      <c r="L85" s="90" t="str">
        <f aca="false">IF($B85="","",الموظفون!$L85*$I85/cfg_DAYS_M)</f>
        <v/>
      </c>
      <c r="M85" s="90" t="str">
        <f aca="false">IF($B85="","",الموظفون!$M85*$I85/cfg_DAYS_M)</f>
        <v/>
      </c>
      <c r="N85" s="110" t="str">
        <f aca="false">IF($B85="","",SUMIFS('الحركات الشهرية'!$F$6:$F$1005,'الحركات الشهرية'!$B$6:$B$1005,$B85,'الحركات الشهرية'!$A$6:$A$1005,$C$3))</f>
        <v/>
      </c>
      <c r="O85" s="90" t="str">
        <f aca="false">IF($B85="","",N85*(الموظفون!$N85+الموظفون!$J85*cfg_OT_P)/cfg_DAYS_M/cfg_HRS)</f>
        <v/>
      </c>
      <c r="P85" s="90" t="str">
        <f aca="false">IF($B85="","",SUMIFS('الحركات الشهرية'!$G$6:$G$1005,'الحركات الشهرية'!$B$6:$B$1005,$B85,'الحركات الشهرية'!$A$6:$A$1005,$C$3))</f>
        <v/>
      </c>
      <c r="Q85" s="90" t="str">
        <f aca="false">IF($B85="","",SUMIFS('الحركات الشهرية'!$H$6:$H$1005,'الحركات الشهرية'!$B$6:$B$1005,$B85,'الحركات الشهرية'!$A$6:$A$1005,$C$3))</f>
        <v/>
      </c>
      <c r="R85" s="111" t="str">
        <f aca="false">IF($B85="","",SUM(J85:M85)+SUM(O85:Q85))</f>
        <v/>
      </c>
      <c r="S85" s="90" t="str">
        <f aca="false">IF($B85="","",الموظفون!$Q85*IF(E85="سعودي",cfg_G_SE,cfg_G_NE)*F85/cfg_DAYS_M)</f>
        <v/>
      </c>
      <c r="T85" s="90" t="str">
        <f aca="false">IF($B85="","",SUMIFS('الحركات الشهرية'!$I$6:$I$1005,'الحركات الشهرية'!$B$6:$B$1005,$B85,'الحركات الشهرية'!$A$6:$A$1005,$C$3))</f>
        <v/>
      </c>
      <c r="U85" s="90" t="str">
        <f aca="false">IF($B85="","",SUMIFS('الحركات الشهرية'!$J$6:$J$1005,'الحركات الشهرية'!$B$6:$B$1005,$B85,'الحركات الشهرية'!$A$6:$A$1005,$C$3))</f>
        <v/>
      </c>
      <c r="V85" s="90" t="str">
        <f aca="false">IF($B85="","",SUM(S85:U85))</f>
        <v/>
      </c>
      <c r="W85" s="112" t="str">
        <f aca="false">IF($B85="","",R85-V85)</f>
        <v/>
      </c>
      <c r="X85" s="90" t="str">
        <f aca="false">IF($B85="","",الموظفون!$Q85*IF(E85="سعودي",cfg_G_SR,cfg_G_NR)*F85/cfg_DAYS_M)</f>
        <v/>
      </c>
      <c r="Y85" s="90" t="str">
        <f aca="false">IF($B85="","",الموظفون!$O85*(cfg_EOS_R1*(MIN(AC85,cfg_EOS_TH)-MIN(AD85,cfg_EOS_TH))+cfg_EOS_R2*(MAX(AC85-cfg_EOS_TH,0)-MAX(AD85-cfg_EOS_TH,0))))</f>
        <v/>
      </c>
      <c r="Z85" s="90" t="str">
        <f aca="false">IF($B85="","",IF(الموظفون!$R85&lt;&gt;"",الموظفون!$R85,IF(AC85&gt;=cfg_LV_TH,cfg_LV_D2,cfg_LV_D1))/cfg_DAYS_Y*AE85*الموظفون!$P85/cfg_DAYS_M)</f>
        <v/>
      </c>
      <c r="AA85" s="90" t="str">
        <f aca="false">IF($B85="","",IF(AND(الموظفون!$S85="نعم",N(الموظفون!$U85)&gt;0),الموظفون!$T85/الموظفون!$U85*12/cfg_DAYS_Y*AE85,0))</f>
        <v/>
      </c>
      <c r="AB85" s="113" t="str">
        <f aca="false">IF($B85="","",R85+SUM(X85:AA85))</f>
        <v/>
      </c>
      <c r="AC85" s="114" t="str">
        <f aca="false">IF($B85="","",MAX(0,IF(OR(الموظفون!$X85="",الموظفون!$X85&gt;$G$3),$G$3,الموظفون!$X85)-الموظفون!$H85+1)/cfg_DAYS_Y)</f>
        <v/>
      </c>
      <c r="AD85" s="114" t="str">
        <f aca="false">IF($B85="","",MAX(0,IF(OR(الموظفون!$X85="",الموظفون!$X85&gt;($E$3-1)),($E$3-1),الموظفون!$X85)-الموظفون!$H85+1)/cfg_DAYS_Y)</f>
        <v/>
      </c>
      <c r="AE85" s="115" t="str">
        <f aca="false">IF($B85="","",MAX(0,IF(OR(الموظفون!$X85="",الموظفون!$X85&gt;$G$3),$G$3,الموظفون!$X85)-MAX($E$3,الموظفون!$H85)+1))</f>
        <v/>
      </c>
    </row>
    <row r="86" customFormat="false" ht="15" hidden="false" customHeight="false" outlineLevel="0" collapsed="false">
      <c r="A86" s="83" t="str">
        <f aca="false">IF($B86="","",الموظفون!$A86)</f>
        <v/>
      </c>
      <c r="B86" s="74" t="str">
        <f aca="false">IF(الموظفون!$B86="","",الموظفون!$B86)</f>
        <v/>
      </c>
      <c r="C86" s="74" t="str">
        <f aca="false">IF($B86="","",الموظفون!$C86)</f>
        <v/>
      </c>
      <c r="D86" s="74" t="str">
        <f aca="false">IF($B86="","",الموظفون!$F86)</f>
        <v/>
      </c>
      <c r="E86" s="74" t="str">
        <f aca="false">IF($B86="","",الموظفون!$E86)</f>
        <v/>
      </c>
      <c r="F86" s="105" t="str">
        <f aca="false">IF($B86="","",IF(AE86&gt;=DAY($G$3),cfg_DAYS_M,MIN(AE86,cfg_DAYS_M)))</f>
        <v/>
      </c>
      <c r="G86" s="105" t="str">
        <f aca="false">IF($B86="","",SUMIFS('الحركات الشهرية'!$D$6:$D$1005,'الحركات الشهرية'!$B$6:$B$1005,$B86,'الحركات الشهرية'!$A$6:$A$1005,$C$3))</f>
        <v/>
      </c>
      <c r="H86" s="105" t="str">
        <f aca="false">IF($B86="","",SUMIFS('الحركات الشهرية'!$E$6:$E$1005,'الحركات الشهرية'!$B$6:$B$1005,$B86,'الحركات الشهرية'!$A$6:$A$1005,$C$3))</f>
        <v/>
      </c>
      <c r="I86" s="105" t="str">
        <f aca="false">IF($B86="","",MAX(0,F86-G86-H86))</f>
        <v/>
      </c>
      <c r="J86" s="86" t="str">
        <f aca="false">IF($B86="","",الموظفون!$J86*$I86/cfg_DAYS_M)</f>
        <v/>
      </c>
      <c r="K86" s="86" t="str">
        <f aca="false">IF($B86="","",الموظفون!$K86*$I86/cfg_DAYS_M)</f>
        <v/>
      </c>
      <c r="L86" s="86" t="str">
        <f aca="false">IF($B86="","",الموظفون!$L86*$I86/cfg_DAYS_M)</f>
        <v/>
      </c>
      <c r="M86" s="86" t="str">
        <f aca="false">IF($B86="","",الموظفون!$M86*$I86/cfg_DAYS_M)</f>
        <v/>
      </c>
      <c r="N86" s="105" t="str">
        <f aca="false">IF($B86="","",SUMIFS('الحركات الشهرية'!$F$6:$F$1005,'الحركات الشهرية'!$B$6:$B$1005,$B86,'الحركات الشهرية'!$A$6:$A$1005,$C$3))</f>
        <v/>
      </c>
      <c r="O86" s="86" t="str">
        <f aca="false">IF($B86="","",N86*(الموظفون!$N86+الموظفون!$J86*cfg_OT_P)/cfg_DAYS_M/cfg_HRS)</f>
        <v/>
      </c>
      <c r="P86" s="86" t="str">
        <f aca="false">IF($B86="","",SUMIFS('الحركات الشهرية'!$G$6:$G$1005,'الحركات الشهرية'!$B$6:$B$1005,$B86,'الحركات الشهرية'!$A$6:$A$1005,$C$3))</f>
        <v/>
      </c>
      <c r="Q86" s="86" t="str">
        <f aca="false">IF($B86="","",SUMIFS('الحركات الشهرية'!$H$6:$H$1005,'الحركات الشهرية'!$B$6:$B$1005,$B86,'الحركات الشهرية'!$A$6:$A$1005,$C$3))</f>
        <v/>
      </c>
      <c r="R86" s="106" t="str">
        <f aca="false">IF($B86="","",SUM(J86:M86)+SUM(O86:Q86))</f>
        <v/>
      </c>
      <c r="S86" s="86" t="str">
        <f aca="false">IF($B86="","",الموظفون!$Q86*IF(E86="سعودي",cfg_G_SE,cfg_G_NE)*F86/cfg_DAYS_M)</f>
        <v/>
      </c>
      <c r="T86" s="86" t="str">
        <f aca="false">IF($B86="","",SUMIFS('الحركات الشهرية'!$I$6:$I$1005,'الحركات الشهرية'!$B$6:$B$1005,$B86,'الحركات الشهرية'!$A$6:$A$1005,$C$3))</f>
        <v/>
      </c>
      <c r="U86" s="86" t="str">
        <f aca="false">IF($B86="","",SUMIFS('الحركات الشهرية'!$J$6:$J$1005,'الحركات الشهرية'!$B$6:$B$1005,$B86,'الحركات الشهرية'!$A$6:$A$1005,$C$3))</f>
        <v/>
      </c>
      <c r="V86" s="86" t="str">
        <f aca="false">IF($B86="","",SUM(S86:U86))</f>
        <v/>
      </c>
      <c r="W86" s="107" t="str">
        <f aca="false">IF($B86="","",R86-V86)</f>
        <v/>
      </c>
      <c r="X86" s="86" t="str">
        <f aca="false">IF($B86="","",الموظفون!$Q86*IF(E86="سعودي",cfg_G_SR,cfg_G_NR)*F86/cfg_DAYS_M)</f>
        <v/>
      </c>
      <c r="Y86" s="86" t="str">
        <f aca="false">IF($B86="","",الموظفون!$O86*(cfg_EOS_R1*(MIN(AC86,cfg_EOS_TH)-MIN(AD86,cfg_EOS_TH))+cfg_EOS_R2*(MAX(AC86-cfg_EOS_TH,0)-MAX(AD86-cfg_EOS_TH,0))))</f>
        <v/>
      </c>
      <c r="Z86" s="86" t="str">
        <f aca="false">IF($B86="","",IF(الموظفون!$R86&lt;&gt;"",الموظفون!$R86,IF(AC86&gt;=cfg_LV_TH,cfg_LV_D2,cfg_LV_D1))/cfg_DAYS_Y*AE86*الموظفون!$P86/cfg_DAYS_M)</f>
        <v/>
      </c>
      <c r="AA86" s="86" t="str">
        <f aca="false">IF($B86="","",IF(AND(الموظفون!$S86="نعم",N(الموظفون!$U86)&gt;0),الموظفون!$T86/الموظفون!$U86*12/cfg_DAYS_Y*AE86,0))</f>
        <v/>
      </c>
      <c r="AB86" s="108" t="str">
        <f aca="false">IF($B86="","",R86+SUM(X86:AA86))</f>
        <v/>
      </c>
      <c r="AC86" s="109" t="str">
        <f aca="false">IF($B86="","",MAX(0,IF(OR(الموظفون!$X86="",الموظفون!$X86&gt;$G$3),$G$3,الموظفون!$X86)-الموظفون!$H86+1)/cfg_DAYS_Y)</f>
        <v/>
      </c>
      <c r="AD86" s="109" t="str">
        <f aca="false">IF($B86="","",MAX(0,IF(OR(الموظفون!$X86="",الموظفون!$X86&gt;($E$3-1)),($E$3-1),الموظفون!$X86)-الموظفون!$H86+1)/cfg_DAYS_Y)</f>
        <v/>
      </c>
      <c r="AE86" s="51" t="str">
        <f aca="false">IF($B86="","",MAX(0,IF(OR(الموظفون!$X86="",الموظفون!$X86&gt;$G$3),$G$3,الموظفون!$X86)-MAX($E$3,الموظفون!$H86)+1))</f>
        <v/>
      </c>
    </row>
    <row r="87" customFormat="false" ht="15" hidden="false" customHeight="false" outlineLevel="0" collapsed="false">
      <c r="A87" s="89" t="str">
        <f aca="false">IF($B87="","",الموظفون!$A87)</f>
        <v/>
      </c>
      <c r="B87" s="91" t="str">
        <f aca="false">IF(الموظفون!$B87="","",الموظفون!$B87)</f>
        <v/>
      </c>
      <c r="C87" s="91" t="str">
        <f aca="false">IF($B87="","",الموظفون!$C87)</f>
        <v/>
      </c>
      <c r="D87" s="91" t="str">
        <f aca="false">IF($B87="","",الموظفون!$F87)</f>
        <v/>
      </c>
      <c r="E87" s="91" t="str">
        <f aca="false">IF($B87="","",الموظفون!$E87)</f>
        <v/>
      </c>
      <c r="F87" s="110" t="str">
        <f aca="false">IF($B87="","",IF(AE87&gt;=DAY($G$3),cfg_DAYS_M,MIN(AE87,cfg_DAYS_M)))</f>
        <v/>
      </c>
      <c r="G87" s="110" t="str">
        <f aca="false">IF($B87="","",SUMIFS('الحركات الشهرية'!$D$6:$D$1005,'الحركات الشهرية'!$B$6:$B$1005,$B87,'الحركات الشهرية'!$A$6:$A$1005,$C$3))</f>
        <v/>
      </c>
      <c r="H87" s="110" t="str">
        <f aca="false">IF($B87="","",SUMIFS('الحركات الشهرية'!$E$6:$E$1005,'الحركات الشهرية'!$B$6:$B$1005,$B87,'الحركات الشهرية'!$A$6:$A$1005,$C$3))</f>
        <v/>
      </c>
      <c r="I87" s="110" t="str">
        <f aca="false">IF($B87="","",MAX(0,F87-G87-H87))</f>
        <v/>
      </c>
      <c r="J87" s="90" t="str">
        <f aca="false">IF($B87="","",الموظفون!$J87*$I87/cfg_DAYS_M)</f>
        <v/>
      </c>
      <c r="K87" s="90" t="str">
        <f aca="false">IF($B87="","",الموظفون!$K87*$I87/cfg_DAYS_M)</f>
        <v/>
      </c>
      <c r="L87" s="90" t="str">
        <f aca="false">IF($B87="","",الموظفون!$L87*$I87/cfg_DAYS_M)</f>
        <v/>
      </c>
      <c r="M87" s="90" t="str">
        <f aca="false">IF($B87="","",الموظفون!$M87*$I87/cfg_DAYS_M)</f>
        <v/>
      </c>
      <c r="N87" s="110" t="str">
        <f aca="false">IF($B87="","",SUMIFS('الحركات الشهرية'!$F$6:$F$1005,'الحركات الشهرية'!$B$6:$B$1005,$B87,'الحركات الشهرية'!$A$6:$A$1005,$C$3))</f>
        <v/>
      </c>
      <c r="O87" s="90" t="str">
        <f aca="false">IF($B87="","",N87*(الموظفون!$N87+الموظفون!$J87*cfg_OT_P)/cfg_DAYS_M/cfg_HRS)</f>
        <v/>
      </c>
      <c r="P87" s="90" t="str">
        <f aca="false">IF($B87="","",SUMIFS('الحركات الشهرية'!$G$6:$G$1005,'الحركات الشهرية'!$B$6:$B$1005,$B87,'الحركات الشهرية'!$A$6:$A$1005,$C$3))</f>
        <v/>
      </c>
      <c r="Q87" s="90" t="str">
        <f aca="false">IF($B87="","",SUMIFS('الحركات الشهرية'!$H$6:$H$1005,'الحركات الشهرية'!$B$6:$B$1005,$B87,'الحركات الشهرية'!$A$6:$A$1005,$C$3))</f>
        <v/>
      </c>
      <c r="R87" s="111" t="str">
        <f aca="false">IF($B87="","",SUM(J87:M87)+SUM(O87:Q87))</f>
        <v/>
      </c>
      <c r="S87" s="90" t="str">
        <f aca="false">IF($B87="","",الموظفون!$Q87*IF(E87="سعودي",cfg_G_SE,cfg_G_NE)*F87/cfg_DAYS_M)</f>
        <v/>
      </c>
      <c r="T87" s="90" t="str">
        <f aca="false">IF($B87="","",SUMIFS('الحركات الشهرية'!$I$6:$I$1005,'الحركات الشهرية'!$B$6:$B$1005,$B87,'الحركات الشهرية'!$A$6:$A$1005,$C$3))</f>
        <v/>
      </c>
      <c r="U87" s="90" t="str">
        <f aca="false">IF($B87="","",SUMIFS('الحركات الشهرية'!$J$6:$J$1005,'الحركات الشهرية'!$B$6:$B$1005,$B87,'الحركات الشهرية'!$A$6:$A$1005,$C$3))</f>
        <v/>
      </c>
      <c r="V87" s="90" t="str">
        <f aca="false">IF($B87="","",SUM(S87:U87))</f>
        <v/>
      </c>
      <c r="W87" s="112" t="str">
        <f aca="false">IF($B87="","",R87-V87)</f>
        <v/>
      </c>
      <c r="X87" s="90" t="str">
        <f aca="false">IF($B87="","",الموظفون!$Q87*IF(E87="سعودي",cfg_G_SR,cfg_G_NR)*F87/cfg_DAYS_M)</f>
        <v/>
      </c>
      <c r="Y87" s="90" t="str">
        <f aca="false">IF($B87="","",الموظفون!$O87*(cfg_EOS_R1*(MIN(AC87,cfg_EOS_TH)-MIN(AD87,cfg_EOS_TH))+cfg_EOS_R2*(MAX(AC87-cfg_EOS_TH,0)-MAX(AD87-cfg_EOS_TH,0))))</f>
        <v/>
      </c>
      <c r="Z87" s="90" t="str">
        <f aca="false">IF($B87="","",IF(الموظفون!$R87&lt;&gt;"",الموظفون!$R87,IF(AC87&gt;=cfg_LV_TH,cfg_LV_D2,cfg_LV_D1))/cfg_DAYS_Y*AE87*الموظفون!$P87/cfg_DAYS_M)</f>
        <v/>
      </c>
      <c r="AA87" s="90" t="str">
        <f aca="false">IF($B87="","",IF(AND(الموظفون!$S87="نعم",N(الموظفون!$U87)&gt;0),الموظفون!$T87/الموظفون!$U87*12/cfg_DAYS_Y*AE87,0))</f>
        <v/>
      </c>
      <c r="AB87" s="113" t="str">
        <f aca="false">IF($B87="","",R87+SUM(X87:AA87))</f>
        <v/>
      </c>
      <c r="AC87" s="114" t="str">
        <f aca="false">IF($B87="","",MAX(0,IF(OR(الموظفون!$X87="",الموظفون!$X87&gt;$G$3),$G$3,الموظفون!$X87)-الموظفون!$H87+1)/cfg_DAYS_Y)</f>
        <v/>
      </c>
      <c r="AD87" s="114" t="str">
        <f aca="false">IF($B87="","",MAX(0,IF(OR(الموظفون!$X87="",الموظفون!$X87&gt;($E$3-1)),($E$3-1),الموظفون!$X87)-الموظفون!$H87+1)/cfg_DAYS_Y)</f>
        <v/>
      </c>
      <c r="AE87" s="115" t="str">
        <f aca="false">IF($B87="","",MAX(0,IF(OR(الموظفون!$X87="",الموظفون!$X87&gt;$G$3),$G$3,الموظفون!$X87)-MAX($E$3,الموظفون!$H87)+1))</f>
        <v/>
      </c>
    </row>
    <row r="88" customFormat="false" ht="15" hidden="false" customHeight="false" outlineLevel="0" collapsed="false">
      <c r="A88" s="83" t="str">
        <f aca="false">IF($B88="","",الموظفون!$A88)</f>
        <v/>
      </c>
      <c r="B88" s="74" t="str">
        <f aca="false">IF(الموظفون!$B88="","",الموظفون!$B88)</f>
        <v/>
      </c>
      <c r="C88" s="74" t="str">
        <f aca="false">IF($B88="","",الموظفون!$C88)</f>
        <v/>
      </c>
      <c r="D88" s="74" t="str">
        <f aca="false">IF($B88="","",الموظفون!$F88)</f>
        <v/>
      </c>
      <c r="E88" s="74" t="str">
        <f aca="false">IF($B88="","",الموظفون!$E88)</f>
        <v/>
      </c>
      <c r="F88" s="105" t="str">
        <f aca="false">IF($B88="","",IF(AE88&gt;=DAY($G$3),cfg_DAYS_M,MIN(AE88,cfg_DAYS_M)))</f>
        <v/>
      </c>
      <c r="G88" s="105" t="str">
        <f aca="false">IF($B88="","",SUMIFS('الحركات الشهرية'!$D$6:$D$1005,'الحركات الشهرية'!$B$6:$B$1005,$B88,'الحركات الشهرية'!$A$6:$A$1005,$C$3))</f>
        <v/>
      </c>
      <c r="H88" s="105" t="str">
        <f aca="false">IF($B88="","",SUMIFS('الحركات الشهرية'!$E$6:$E$1005,'الحركات الشهرية'!$B$6:$B$1005,$B88,'الحركات الشهرية'!$A$6:$A$1005,$C$3))</f>
        <v/>
      </c>
      <c r="I88" s="105" t="str">
        <f aca="false">IF($B88="","",MAX(0,F88-G88-H88))</f>
        <v/>
      </c>
      <c r="J88" s="86" t="str">
        <f aca="false">IF($B88="","",الموظفون!$J88*$I88/cfg_DAYS_M)</f>
        <v/>
      </c>
      <c r="K88" s="86" t="str">
        <f aca="false">IF($B88="","",الموظفون!$K88*$I88/cfg_DAYS_M)</f>
        <v/>
      </c>
      <c r="L88" s="86" t="str">
        <f aca="false">IF($B88="","",الموظفون!$L88*$I88/cfg_DAYS_M)</f>
        <v/>
      </c>
      <c r="M88" s="86" t="str">
        <f aca="false">IF($B88="","",الموظفون!$M88*$I88/cfg_DAYS_M)</f>
        <v/>
      </c>
      <c r="N88" s="105" t="str">
        <f aca="false">IF($B88="","",SUMIFS('الحركات الشهرية'!$F$6:$F$1005,'الحركات الشهرية'!$B$6:$B$1005,$B88,'الحركات الشهرية'!$A$6:$A$1005,$C$3))</f>
        <v/>
      </c>
      <c r="O88" s="86" t="str">
        <f aca="false">IF($B88="","",N88*(الموظفون!$N88+الموظفون!$J88*cfg_OT_P)/cfg_DAYS_M/cfg_HRS)</f>
        <v/>
      </c>
      <c r="P88" s="86" t="str">
        <f aca="false">IF($B88="","",SUMIFS('الحركات الشهرية'!$G$6:$G$1005,'الحركات الشهرية'!$B$6:$B$1005,$B88,'الحركات الشهرية'!$A$6:$A$1005,$C$3))</f>
        <v/>
      </c>
      <c r="Q88" s="86" t="str">
        <f aca="false">IF($B88="","",SUMIFS('الحركات الشهرية'!$H$6:$H$1005,'الحركات الشهرية'!$B$6:$B$1005,$B88,'الحركات الشهرية'!$A$6:$A$1005,$C$3))</f>
        <v/>
      </c>
      <c r="R88" s="106" t="str">
        <f aca="false">IF($B88="","",SUM(J88:M88)+SUM(O88:Q88))</f>
        <v/>
      </c>
      <c r="S88" s="86" t="str">
        <f aca="false">IF($B88="","",الموظفون!$Q88*IF(E88="سعودي",cfg_G_SE,cfg_G_NE)*F88/cfg_DAYS_M)</f>
        <v/>
      </c>
      <c r="T88" s="86" t="str">
        <f aca="false">IF($B88="","",SUMIFS('الحركات الشهرية'!$I$6:$I$1005,'الحركات الشهرية'!$B$6:$B$1005,$B88,'الحركات الشهرية'!$A$6:$A$1005,$C$3))</f>
        <v/>
      </c>
      <c r="U88" s="86" t="str">
        <f aca="false">IF($B88="","",SUMIFS('الحركات الشهرية'!$J$6:$J$1005,'الحركات الشهرية'!$B$6:$B$1005,$B88,'الحركات الشهرية'!$A$6:$A$1005,$C$3))</f>
        <v/>
      </c>
      <c r="V88" s="86" t="str">
        <f aca="false">IF($B88="","",SUM(S88:U88))</f>
        <v/>
      </c>
      <c r="W88" s="107" t="str">
        <f aca="false">IF($B88="","",R88-V88)</f>
        <v/>
      </c>
      <c r="X88" s="86" t="str">
        <f aca="false">IF($B88="","",الموظفون!$Q88*IF(E88="سعودي",cfg_G_SR,cfg_G_NR)*F88/cfg_DAYS_M)</f>
        <v/>
      </c>
      <c r="Y88" s="86" t="str">
        <f aca="false">IF($B88="","",الموظفون!$O88*(cfg_EOS_R1*(MIN(AC88,cfg_EOS_TH)-MIN(AD88,cfg_EOS_TH))+cfg_EOS_R2*(MAX(AC88-cfg_EOS_TH,0)-MAX(AD88-cfg_EOS_TH,0))))</f>
        <v/>
      </c>
      <c r="Z88" s="86" t="str">
        <f aca="false">IF($B88="","",IF(الموظفون!$R88&lt;&gt;"",الموظفون!$R88,IF(AC88&gt;=cfg_LV_TH,cfg_LV_D2,cfg_LV_D1))/cfg_DAYS_Y*AE88*الموظفون!$P88/cfg_DAYS_M)</f>
        <v/>
      </c>
      <c r="AA88" s="86" t="str">
        <f aca="false">IF($B88="","",IF(AND(الموظفون!$S88="نعم",N(الموظفون!$U88)&gt;0),الموظفون!$T88/الموظفون!$U88*12/cfg_DAYS_Y*AE88,0))</f>
        <v/>
      </c>
      <c r="AB88" s="108" t="str">
        <f aca="false">IF($B88="","",R88+SUM(X88:AA88))</f>
        <v/>
      </c>
      <c r="AC88" s="109" t="str">
        <f aca="false">IF($B88="","",MAX(0,IF(OR(الموظفون!$X88="",الموظفون!$X88&gt;$G$3),$G$3,الموظفون!$X88)-الموظفون!$H88+1)/cfg_DAYS_Y)</f>
        <v/>
      </c>
      <c r="AD88" s="109" t="str">
        <f aca="false">IF($B88="","",MAX(0,IF(OR(الموظفون!$X88="",الموظفون!$X88&gt;($E$3-1)),($E$3-1),الموظفون!$X88)-الموظفون!$H88+1)/cfg_DAYS_Y)</f>
        <v/>
      </c>
      <c r="AE88" s="51" t="str">
        <f aca="false">IF($B88="","",MAX(0,IF(OR(الموظفون!$X88="",الموظفون!$X88&gt;$G$3),$G$3,الموظفون!$X88)-MAX($E$3,الموظفون!$H88)+1))</f>
        <v/>
      </c>
    </row>
    <row r="89" customFormat="false" ht="15" hidden="false" customHeight="false" outlineLevel="0" collapsed="false">
      <c r="A89" s="89" t="str">
        <f aca="false">IF($B89="","",الموظفون!$A89)</f>
        <v/>
      </c>
      <c r="B89" s="91" t="str">
        <f aca="false">IF(الموظفون!$B89="","",الموظفون!$B89)</f>
        <v/>
      </c>
      <c r="C89" s="91" t="str">
        <f aca="false">IF($B89="","",الموظفون!$C89)</f>
        <v/>
      </c>
      <c r="D89" s="91" t="str">
        <f aca="false">IF($B89="","",الموظفون!$F89)</f>
        <v/>
      </c>
      <c r="E89" s="91" t="str">
        <f aca="false">IF($B89="","",الموظفون!$E89)</f>
        <v/>
      </c>
      <c r="F89" s="110" t="str">
        <f aca="false">IF($B89="","",IF(AE89&gt;=DAY($G$3),cfg_DAYS_M,MIN(AE89,cfg_DAYS_M)))</f>
        <v/>
      </c>
      <c r="G89" s="110" t="str">
        <f aca="false">IF($B89="","",SUMIFS('الحركات الشهرية'!$D$6:$D$1005,'الحركات الشهرية'!$B$6:$B$1005,$B89,'الحركات الشهرية'!$A$6:$A$1005,$C$3))</f>
        <v/>
      </c>
      <c r="H89" s="110" t="str">
        <f aca="false">IF($B89="","",SUMIFS('الحركات الشهرية'!$E$6:$E$1005,'الحركات الشهرية'!$B$6:$B$1005,$B89,'الحركات الشهرية'!$A$6:$A$1005,$C$3))</f>
        <v/>
      </c>
      <c r="I89" s="110" t="str">
        <f aca="false">IF($B89="","",MAX(0,F89-G89-H89))</f>
        <v/>
      </c>
      <c r="J89" s="90" t="str">
        <f aca="false">IF($B89="","",الموظفون!$J89*$I89/cfg_DAYS_M)</f>
        <v/>
      </c>
      <c r="K89" s="90" t="str">
        <f aca="false">IF($B89="","",الموظفون!$K89*$I89/cfg_DAYS_M)</f>
        <v/>
      </c>
      <c r="L89" s="90" t="str">
        <f aca="false">IF($B89="","",الموظفون!$L89*$I89/cfg_DAYS_M)</f>
        <v/>
      </c>
      <c r="M89" s="90" t="str">
        <f aca="false">IF($B89="","",الموظفون!$M89*$I89/cfg_DAYS_M)</f>
        <v/>
      </c>
      <c r="N89" s="110" t="str">
        <f aca="false">IF($B89="","",SUMIFS('الحركات الشهرية'!$F$6:$F$1005,'الحركات الشهرية'!$B$6:$B$1005,$B89,'الحركات الشهرية'!$A$6:$A$1005,$C$3))</f>
        <v/>
      </c>
      <c r="O89" s="90" t="str">
        <f aca="false">IF($B89="","",N89*(الموظفون!$N89+الموظفون!$J89*cfg_OT_P)/cfg_DAYS_M/cfg_HRS)</f>
        <v/>
      </c>
      <c r="P89" s="90" t="str">
        <f aca="false">IF($B89="","",SUMIFS('الحركات الشهرية'!$G$6:$G$1005,'الحركات الشهرية'!$B$6:$B$1005,$B89,'الحركات الشهرية'!$A$6:$A$1005,$C$3))</f>
        <v/>
      </c>
      <c r="Q89" s="90" t="str">
        <f aca="false">IF($B89="","",SUMIFS('الحركات الشهرية'!$H$6:$H$1005,'الحركات الشهرية'!$B$6:$B$1005,$B89,'الحركات الشهرية'!$A$6:$A$1005,$C$3))</f>
        <v/>
      </c>
      <c r="R89" s="111" t="str">
        <f aca="false">IF($B89="","",SUM(J89:M89)+SUM(O89:Q89))</f>
        <v/>
      </c>
      <c r="S89" s="90" t="str">
        <f aca="false">IF($B89="","",الموظفون!$Q89*IF(E89="سعودي",cfg_G_SE,cfg_G_NE)*F89/cfg_DAYS_M)</f>
        <v/>
      </c>
      <c r="T89" s="90" t="str">
        <f aca="false">IF($B89="","",SUMIFS('الحركات الشهرية'!$I$6:$I$1005,'الحركات الشهرية'!$B$6:$B$1005,$B89,'الحركات الشهرية'!$A$6:$A$1005,$C$3))</f>
        <v/>
      </c>
      <c r="U89" s="90" t="str">
        <f aca="false">IF($B89="","",SUMIFS('الحركات الشهرية'!$J$6:$J$1005,'الحركات الشهرية'!$B$6:$B$1005,$B89,'الحركات الشهرية'!$A$6:$A$1005,$C$3))</f>
        <v/>
      </c>
      <c r="V89" s="90" t="str">
        <f aca="false">IF($B89="","",SUM(S89:U89))</f>
        <v/>
      </c>
      <c r="W89" s="112" t="str">
        <f aca="false">IF($B89="","",R89-V89)</f>
        <v/>
      </c>
      <c r="X89" s="90" t="str">
        <f aca="false">IF($B89="","",الموظفون!$Q89*IF(E89="سعودي",cfg_G_SR,cfg_G_NR)*F89/cfg_DAYS_M)</f>
        <v/>
      </c>
      <c r="Y89" s="90" t="str">
        <f aca="false">IF($B89="","",الموظفون!$O89*(cfg_EOS_R1*(MIN(AC89,cfg_EOS_TH)-MIN(AD89,cfg_EOS_TH))+cfg_EOS_R2*(MAX(AC89-cfg_EOS_TH,0)-MAX(AD89-cfg_EOS_TH,0))))</f>
        <v/>
      </c>
      <c r="Z89" s="90" t="str">
        <f aca="false">IF($B89="","",IF(الموظفون!$R89&lt;&gt;"",الموظفون!$R89,IF(AC89&gt;=cfg_LV_TH,cfg_LV_D2,cfg_LV_D1))/cfg_DAYS_Y*AE89*الموظفون!$P89/cfg_DAYS_M)</f>
        <v/>
      </c>
      <c r="AA89" s="90" t="str">
        <f aca="false">IF($B89="","",IF(AND(الموظفون!$S89="نعم",N(الموظفون!$U89)&gt;0),الموظفون!$T89/الموظفون!$U89*12/cfg_DAYS_Y*AE89,0))</f>
        <v/>
      </c>
      <c r="AB89" s="113" t="str">
        <f aca="false">IF($B89="","",R89+SUM(X89:AA89))</f>
        <v/>
      </c>
      <c r="AC89" s="114" t="str">
        <f aca="false">IF($B89="","",MAX(0,IF(OR(الموظفون!$X89="",الموظفون!$X89&gt;$G$3),$G$3,الموظفون!$X89)-الموظفون!$H89+1)/cfg_DAYS_Y)</f>
        <v/>
      </c>
      <c r="AD89" s="114" t="str">
        <f aca="false">IF($B89="","",MAX(0,IF(OR(الموظفون!$X89="",الموظفون!$X89&gt;($E$3-1)),($E$3-1),الموظفون!$X89)-الموظفون!$H89+1)/cfg_DAYS_Y)</f>
        <v/>
      </c>
      <c r="AE89" s="115" t="str">
        <f aca="false">IF($B89="","",MAX(0,IF(OR(الموظفون!$X89="",الموظفون!$X89&gt;$G$3),$G$3,الموظفون!$X89)-MAX($E$3,الموظفون!$H89)+1))</f>
        <v/>
      </c>
    </row>
    <row r="90" customFormat="false" ht="15" hidden="false" customHeight="false" outlineLevel="0" collapsed="false">
      <c r="A90" s="83" t="str">
        <f aca="false">IF($B90="","",الموظفون!$A90)</f>
        <v/>
      </c>
      <c r="B90" s="74" t="str">
        <f aca="false">IF(الموظفون!$B90="","",الموظفون!$B90)</f>
        <v/>
      </c>
      <c r="C90" s="74" t="str">
        <f aca="false">IF($B90="","",الموظفون!$C90)</f>
        <v/>
      </c>
      <c r="D90" s="74" t="str">
        <f aca="false">IF($B90="","",الموظفون!$F90)</f>
        <v/>
      </c>
      <c r="E90" s="74" t="str">
        <f aca="false">IF($B90="","",الموظفون!$E90)</f>
        <v/>
      </c>
      <c r="F90" s="105" t="str">
        <f aca="false">IF($B90="","",IF(AE90&gt;=DAY($G$3),cfg_DAYS_M,MIN(AE90,cfg_DAYS_M)))</f>
        <v/>
      </c>
      <c r="G90" s="105" t="str">
        <f aca="false">IF($B90="","",SUMIFS('الحركات الشهرية'!$D$6:$D$1005,'الحركات الشهرية'!$B$6:$B$1005,$B90,'الحركات الشهرية'!$A$6:$A$1005,$C$3))</f>
        <v/>
      </c>
      <c r="H90" s="105" t="str">
        <f aca="false">IF($B90="","",SUMIFS('الحركات الشهرية'!$E$6:$E$1005,'الحركات الشهرية'!$B$6:$B$1005,$B90,'الحركات الشهرية'!$A$6:$A$1005,$C$3))</f>
        <v/>
      </c>
      <c r="I90" s="105" t="str">
        <f aca="false">IF($B90="","",MAX(0,F90-G90-H90))</f>
        <v/>
      </c>
      <c r="J90" s="86" t="str">
        <f aca="false">IF($B90="","",الموظفون!$J90*$I90/cfg_DAYS_M)</f>
        <v/>
      </c>
      <c r="K90" s="86" t="str">
        <f aca="false">IF($B90="","",الموظفون!$K90*$I90/cfg_DAYS_M)</f>
        <v/>
      </c>
      <c r="L90" s="86" t="str">
        <f aca="false">IF($B90="","",الموظفون!$L90*$I90/cfg_DAYS_M)</f>
        <v/>
      </c>
      <c r="M90" s="86" t="str">
        <f aca="false">IF($B90="","",الموظفون!$M90*$I90/cfg_DAYS_M)</f>
        <v/>
      </c>
      <c r="N90" s="105" t="str">
        <f aca="false">IF($B90="","",SUMIFS('الحركات الشهرية'!$F$6:$F$1005,'الحركات الشهرية'!$B$6:$B$1005,$B90,'الحركات الشهرية'!$A$6:$A$1005,$C$3))</f>
        <v/>
      </c>
      <c r="O90" s="86" t="str">
        <f aca="false">IF($B90="","",N90*(الموظفون!$N90+الموظفون!$J90*cfg_OT_P)/cfg_DAYS_M/cfg_HRS)</f>
        <v/>
      </c>
      <c r="P90" s="86" t="str">
        <f aca="false">IF($B90="","",SUMIFS('الحركات الشهرية'!$G$6:$G$1005,'الحركات الشهرية'!$B$6:$B$1005,$B90,'الحركات الشهرية'!$A$6:$A$1005,$C$3))</f>
        <v/>
      </c>
      <c r="Q90" s="86" t="str">
        <f aca="false">IF($B90="","",SUMIFS('الحركات الشهرية'!$H$6:$H$1005,'الحركات الشهرية'!$B$6:$B$1005,$B90,'الحركات الشهرية'!$A$6:$A$1005,$C$3))</f>
        <v/>
      </c>
      <c r="R90" s="106" t="str">
        <f aca="false">IF($B90="","",SUM(J90:M90)+SUM(O90:Q90))</f>
        <v/>
      </c>
      <c r="S90" s="86" t="str">
        <f aca="false">IF($B90="","",الموظفون!$Q90*IF(E90="سعودي",cfg_G_SE,cfg_G_NE)*F90/cfg_DAYS_M)</f>
        <v/>
      </c>
      <c r="T90" s="86" t="str">
        <f aca="false">IF($B90="","",SUMIFS('الحركات الشهرية'!$I$6:$I$1005,'الحركات الشهرية'!$B$6:$B$1005,$B90,'الحركات الشهرية'!$A$6:$A$1005,$C$3))</f>
        <v/>
      </c>
      <c r="U90" s="86" t="str">
        <f aca="false">IF($B90="","",SUMIFS('الحركات الشهرية'!$J$6:$J$1005,'الحركات الشهرية'!$B$6:$B$1005,$B90,'الحركات الشهرية'!$A$6:$A$1005,$C$3))</f>
        <v/>
      </c>
      <c r="V90" s="86" t="str">
        <f aca="false">IF($B90="","",SUM(S90:U90))</f>
        <v/>
      </c>
      <c r="W90" s="107" t="str">
        <f aca="false">IF($B90="","",R90-V90)</f>
        <v/>
      </c>
      <c r="X90" s="86" t="str">
        <f aca="false">IF($B90="","",الموظفون!$Q90*IF(E90="سعودي",cfg_G_SR,cfg_G_NR)*F90/cfg_DAYS_M)</f>
        <v/>
      </c>
      <c r="Y90" s="86" t="str">
        <f aca="false">IF($B90="","",الموظفون!$O90*(cfg_EOS_R1*(MIN(AC90,cfg_EOS_TH)-MIN(AD90,cfg_EOS_TH))+cfg_EOS_R2*(MAX(AC90-cfg_EOS_TH,0)-MAX(AD90-cfg_EOS_TH,0))))</f>
        <v/>
      </c>
      <c r="Z90" s="86" t="str">
        <f aca="false">IF($B90="","",IF(الموظفون!$R90&lt;&gt;"",الموظفون!$R90,IF(AC90&gt;=cfg_LV_TH,cfg_LV_D2,cfg_LV_D1))/cfg_DAYS_Y*AE90*الموظفون!$P90/cfg_DAYS_M)</f>
        <v/>
      </c>
      <c r="AA90" s="86" t="str">
        <f aca="false">IF($B90="","",IF(AND(الموظفون!$S90="نعم",N(الموظفون!$U90)&gt;0),الموظفون!$T90/الموظفون!$U90*12/cfg_DAYS_Y*AE90,0))</f>
        <v/>
      </c>
      <c r="AB90" s="108" t="str">
        <f aca="false">IF($B90="","",R90+SUM(X90:AA90))</f>
        <v/>
      </c>
      <c r="AC90" s="109" t="str">
        <f aca="false">IF($B90="","",MAX(0,IF(OR(الموظفون!$X90="",الموظفون!$X90&gt;$G$3),$G$3,الموظفون!$X90)-الموظفون!$H90+1)/cfg_DAYS_Y)</f>
        <v/>
      </c>
      <c r="AD90" s="109" t="str">
        <f aca="false">IF($B90="","",MAX(0,IF(OR(الموظفون!$X90="",الموظفون!$X90&gt;($E$3-1)),($E$3-1),الموظفون!$X90)-الموظفون!$H90+1)/cfg_DAYS_Y)</f>
        <v/>
      </c>
      <c r="AE90" s="51" t="str">
        <f aca="false">IF($B90="","",MAX(0,IF(OR(الموظفون!$X90="",الموظفون!$X90&gt;$G$3),$G$3,الموظفون!$X90)-MAX($E$3,الموظفون!$H90)+1))</f>
        <v/>
      </c>
    </row>
    <row r="91" customFormat="false" ht="15" hidden="false" customHeight="false" outlineLevel="0" collapsed="false">
      <c r="A91" s="89" t="str">
        <f aca="false">IF($B91="","",الموظفون!$A91)</f>
        <v/>
      </c>
      <c r="B91" s="91" t="str">
        <f aca="false">IF(الموظفون!$B91="","",الموظفون!$B91)</f>
        <v/>
      </c>
      <c r="C91" s="91" t="str">
        <f aca="false">IF($B91="","",الموظفون!$C91)</f>
        <v/>
      </c>
      <c r="D91" s="91" t="str">
        <f aca="false">IF($B91="","",الموظفون!$F91)</f>
        <v/>
      </c>
      <c r="E91" s="91" t="str">
        <f aca="false">IF($B91="","",الموظفون!$E91)</f>
        <v/>
      </c>
      <c r="F91" s="110" t="str">
        <f aca="false">IF($B91="","",IF(AE91&gt;=DAY($G$3),cfg_DAYS_M,MIN(AE91,cfg_DAYS_M)))</f>
        <v/>
      </c>
      <c r="G91" s="110" t="str">
        <f aca="false">IF($B91="","",SUMIFS('الحركات الشهرية'!$D$6:$D$1005,'الحركات الشهرية'!$B$6:$B$1005,$B91,'الحركات الشهرية'!$A$6:$A$1005,$C$3))</f>
        <v/>
      </c>
      <c r="H91" s="110" t="str">
        <f aca="false">IF($B91="","",SUMIFS('الحركات الشهرية'!$E$6:$E$1005,'الحركات الشهرية'!$B$6:$B$1005,$B91,'الحركات الشهرية'!$A$6:$A$1005,$C$3))</f>
        <v/>
      </c>
      <c r="I91" s="110" t="str">
        <f aca="false">IF($B91="","",MAX(0,F91-G91-H91))</f>
        <v/>
      </c>
      <c r="J91" s="90" t="str">
        <f aca="false">IF($B91="","",الموظفون!$J91*$I91/cfg_DAYS_M)</f>
        <v/>
      </c>
      <c r="K91" s="90" t="str">
        <f aca="false">IF($B91="","",الموظفون!$K91*$I91/cfg_DAYS_M)</f>
        <v/>
      </c>
      <c r="L91" s="90" t="str">
        <f aca="false">IF($B91="","",الموظفون!$L91*$I91/cfg_DAYS_M)</f>
        <v/>
      </c>
      <c r="M91" s="90" t="str">
        <f aca="false">IF($B91="","",الموظفون!$M91*$I91/cfg_DAYS_M)</f>
        <v/>
      </c>
      <c r="N91" s="110" t="str">
        <f aca="false">IF($B91="","",SUMIFS('الحركات الشهرية'!$F$6:$F$1005,'الحركات الشهرية'!$B$6:$B$1005,$B91,'الحركات الشهرية'!$A$6:$A$1005,$C$3))</f>
        <v/>
      </c>
      <c r="O91" s="90" t="str">
        <f aca="false">IF($B91="","",N91*(الموظفون!$N91+الموظفون!$J91*cfg_OT_P)/cfg_DAYS_M/cfg_HRS)</f>
        <v/>
      </c>
      <c r="P91" s="90" t="str">
        <f aca="false">IF($B91="","",SUMIFS('الحركات الشهرية'!$G$6:$G$1005,'الحركات الشهرية'!$B$6:$B$1005,$B91,'الحركات الشهرية'!$A$6:$A$1005,$C$3))</f>
        <v/>
      </c>
      <c r="Q91" s="90" t="str">
        <f aca="false">IF($B91="","",SUMIFS('الحركات الشهرية'!$H$6:$H$1005,'الحركات الشهرية'!$B$6:$B$1005,$B91,'الحركات الشهرية'!$A$6:$A$1005,$C$3))</f>
        <v/>
      </c>
      <c r="R91" s="111" t="str">
        <f aca="false">IF($B91="","",SUM(J91:M91)+SUM(O91:Q91))</f>
        <v/>
      </c>
      <c r="S91" s="90" t="str">
        <f aca="false">IF($B91="","",الموظفون!$Q91*IF(E91="سعودي",cfg_G_SE,cfg_G_NE)*F91/cfg_DAYS_M)</f>
        <v/>
      </c>
      <c r="T91" s="90" t="str">
        <f aca="false">IF($B91="","",SUMIFS('الحركات الشهرية'!$I$6:$I$1005,'الحركات الشهرية'!$B$6:$B$1005,$B91,'الحركات الشهرية'!$A$6:$A$1005,$C$3))</f>
        <v/>
      </c>
      <c r="U91" s="90" t="str">
        <f aca="false">IF($B91="","",SUMIFS('الحركات الشهرية'!$J$6:$J$1005,'الحركات الشهرية'!$B$6:$B$1005,$B91,'الحركات الشهرية'!$A$6:$A$1005,$C$3))</f>
        <v/>
      </c>
      <c r="V91" s="90" t="str">
        <f aca="false">IF($B91="","",SUM(S91:U91))</f>
        <v/>
      </c>
      <c r="W91" s="112" t="str">
        <f aca="false">IF($B91="","",R91-V91)</f>
        <v/>
      </c>
      <c r="X91" s="90" t="str">
        <f aca="false">IF($B91="","",الموظفون!$Q91*IF(E91="سعودي",cfg_G_SR,cfg_G_NR)*F91/cfg_DAYS_M)</f>
        <v/>
      </c>
      <c r="Y91" s="90" t="str">
        <f aca="false">IF($B91="","",الموظفون!$O91*(cfg_EOS_R1*(MIN(AC91,cfg_EOS_TH)-MIN(AD91,cfg_EOS_TH))+cfg_EOS_R2*(MAX(AC91-cfg_EOS_TH,0)-MAX(AD91-cfg_EOS_TH,0))))</f>
        <v/>
      </c>
      <c r="Z91" s="90" t="str">
        <f aca="false">IF($B91="","",IF(الموظفون!$R91&lt;&gt;"",الموظفون!$R91,IF(AC91&gt;=cfg_LV_TH,cfg_LV_D2,cfg_LV_D1))/cfg_DAYS_Y*AE91*الموظفون!$P91/cfg_DAYS_M)</f>
        <v/>
      </c>
      <c r="AA91" s="90" t="str">
        <f aca="false">IF($B91="","",IF(AND(الموظفون!$S91="نعم",N(الموظفون!$U91)&gt;0),الموظفون!$T91/الموظفون!$U91*12/cfg_DAYS_Y*AE91,0))</f>
        <v/>
      </c>
      <c r="AB91" s="113" t="str">
        <f aca="false">IF($B91="","",R91+SUM(X91:AA91))</f>
        <v/>
      </c>
      <c r="AC91" s="114" t="str">
        <f aca="false">IF($B91="","",MAX(0,IF(OR(الموظفون!$X91="",الموظفون!$X91&gt;$G$3),$G$3,الموظفون!$X91)-الموظفون!$H91+1)/cfg_DAYS_Y)</f>
        <v/>
      </c>
      <c r="AD91" s="114" t="str">
        <f aca="false">IF($B91="","",MAX(0,IF(OR(الموظفون!$X91="",الموظفون!$X91&gt;($E$3-1)),($E$3-1),الموظفون!$X91)-الموظفون!$H91+1)/cfg_DAYS_Y)</f>
        <v/>
      </c>
      <c r="AE91" s="115" t="str">
        <f aca="false">IF($B91="","",MAX(0,IF(OR(الموظفون!$X91="",الموظفون!$X91&gt;$G$3),$G$3,الموظفون!$X91)-MAX($E$3,الموظفون!$H91)+1))</f>
        <v/>
      </c>
    </row>
    <row r="92" customFormat="false" ht="15" hidden="false" customHeight="false" outlineLevel="0" collapsed="false">
      <c r="A92" s="83" t="str">
        <f aca="false">IF($B92="","",الموظفون!$A92)</f>
        <v/>
      </c>
      <c r="B92" s="74" t="str">
        <f aca="false">IF(الموظفون!$B92="","",الموظفون!$B92)</f>
        <v/>
      </c>
      <c r="C92" s="74" t="str">
        <f aca="false">IF($B92="","",الموظفون!$C92)</f>
        <v/>
      </c>
      <c r="D92" s="74" t="str">
        <f aca="false">IF($B92="","",الموظفون!$F92)</f>
        <v/>
      </c>
      <c r="E92" s="74" t="str">
        <f aca="false">IF($B92="","",الموظفون!$E92)</f>
        <v/>
      </c>
      <c r="F92" s="105" t="str">
        <f aca="false">IF($B92="","",IF(AE92&gt;=DAY($G$3),cfg_DAYS_M,MIN(AE92,cfg_DAYS_M)))</f>
        <v/>
      </c>
      <c r="G92" s="105" t="str">
        <f aca="false">IF($B92="","",SUMIFS('الحركات الشهرية'!$D$6:$D$1005,'الحركات الشهرية'!$B$6:$B$1005,$B92,'الحركات الشهرية'!$A$6:$A$1005,$C$3))</f>
        <v/>
      </c>
      <c r="H92" s="105" t="str">
        <f aca="false">IF($B92="","",SUMIFS('الحركات الشهرية'!$E$6:$E$1005,'الحركات الشهرية'!$B$6:$B$1005,$B92,'الحركات الشهرية'!$A$6:$A$1005,$C$3))</f>
        <v/>
      </c>
      <c r="I92" s="105" t="str">
        <f aca="false">IF($B92="","",MAX(0,F92-G92-H92))</f>
        <v/>
      </c>
      <c r="J92" s="86" t="str">
        <f aca="false">IF($B92="","",الموظفون!$J92*$I92/cfg_DAYS_M)</f>
        <v/>
      </c>
      <c r="K92" s="86" t="str">
        <f aca="false">IF($B92="","",الموظفون!$K92*$I92/cfg_DAYS_M)</f>
        <v/>
      </c>
      <c r="L92" s="86" t="str">
        <f aca="false">IF($B92="","",الموظفون!$L92*$I92/cfg_DAYS_M)</f>
        <v/>
      </c>
      <c r="M92" s="86" t="str">
        <f aca="false">IF($B92="","",الموظفون!$M92*$I92/cfg_DAYS_M)</f>
        <v/>
      </c>
      <c r="N92" s="105" t="str">
        <f aca="false">IF($B92="","",SUMIFS('الحركات الشهرية'!$F$6:$F$1005,'الحركات الشهرية'!$B$6:$B$1005,$B92,'الحركات الشهرية'!$A$6:$A$1005,$C$3))</f>
        <v/>
      </c>
      <c r="O92" s="86" t="str">
        <f aca="false">IF($B92="","",N92*(الموظفون!$N92+الموظفون!$J92*cfg_OT_P)/cfg_DAYS_M/cfg_HRS)</f>
        <v/>
      </c>
      <c r="P92" s="86" t="str">
        <f aca="false">IF($B92="","",SUMIFS('الحركات الشهرية'!$G$6:$G$1005,'الحركات الشهرية'!$B$6:$B$1005,$B92,'الحركات الشهرية'!$A$6:$A$1005,$C$3))</f>
        <v/>
      </c>
      <c r="Q92" s="86" t="str">
        <f aca="false">IF($B92="","",SUMIFS('الحركات الشهرية'!$H$6:$H$1005,'الحركات الشهرية'!$B$6:$B$1005,$B92,'الحركات الشهرية'!$A$6:$A$1005,$C$3))</f>
        <v/>
      </c>
      <c r="R92" s="106" t="str">
        <f aca="false">IF($B92="","",SUM(J92:M92)+SUM(O92:Q92))</f>
        <v/>
      </c>
      <c r="S92" s="86" t="str">
        <f aca="false">IF($B92="","",الموظفون!$Q92*IF(E92="سعودي",cfg_G_SE,cfg_G_NE)*F92/cfg_DAYS_M)</f>
        <v/>
      </c>
      <c r="T92" s="86" t="str">
        <f aca="false">IF($B92="","",SUMIFS('الحركات الشهرية'!$I$6:$I$1005,'الحركات الشهرية'!$B$6:$B$1005,$B92,'الحركات الشهرية'!$A$6:$A$1005,$C$3))</f>
        <v/>
      </c>
      <c r="U92" s="86" t="str">
        <f aca="false">IF($B92="","",SUMIFS('الحركات الشهرية'!$J$6:$J$1005,'الحركات الشهرية'!$B$6:$B$1005,$B92,'الحركات الشهرية'!$A$6:$A$1005,$C$3))</f>
        <v/>
      </c>
      <c r="V92" s="86" t="str">
        <f aca="false">IF($B92="","",SUM(S92:U92))</f>
        <v/>
      </c>
      <c r="W92" s="107" t="str">
        <f aca="false">IF($B92="","",R92-V92)</f>
        <v/>
      </c>
      <c r="X92" s="86" t="str">
        <f aca="false">IF($B92="","",الموظفون!$Q92*IF(E92="سعودي",cfg_G_SR,cfg_G_NR)*F92/cfg_DAYS_M)</f>
        <v/>
      </c>
      <c r="Y92" s="86" t="str">
        <f aca="false">IF($B92="","",الموظفون!$O92*(cfg_EOS_R1*(MIN(AC92,cfg_EOS_TH)-MIN(AD92,cfg_EOS_TH))+cfg_EOS_R2*(MAX(AC92-cfg_EOS_TH,0)-MAX(AD92-cfg_EOS_TH,0))))</f>
        <v/>
      </c>
      <c r="Z92" s="86" t="str">
        <f aca="false">IF($B92="","",IF(الموظفون!$R92&lt;&gt;"",الموظفون!$R92,IF(AC92&gt;=cfg_LV_TH,cfg_LV_D2,cfg_LV_D1))/cfg_DAYS_Y*AE92*الموظفون!$P92/cfg_DAYS_M)</f>
        <v/>
      </c>
      <c r="AA92" s="86" t="str">
        <f aca="false">IF($B92="","",IF(AND(الموظفون!$S92="نعم",N(الموظفون!$U92)&gt;0),الموظفون!$T92/الموظفون!$U92*12/cfg_DAYS_Y*AE92,0))</f>
        <v/>
      </c>
      <c r="AB92" s="108" t="str">
        <f aca="false">IF($B92="","",R92+SUM(X92:AA92))</f>
        <v/>
      </c>
      <c r="AC92" s="109" t="str">
        <f aca="false">IF($B92="","",MAX(0,IF(OR(الموظفون!$X92="",الموظفون!$X92&gt;$G$3),$G$3,الموظفون!$X92)-الموظفون!$H92+1)/cfg_DAYS_Y)</f>
        <v/>
      </c>
      <c r="AD92" s="109" t="str">
        <f aca="false">IF($B92="","",MAX(0,IF(OR(الموظفون!$X92="",الموظفون!$X92&gt;($E$3-1)),($E$3-1),الموظفون!$X92)-الموظفون!$H92+1)/cfg_DAYS_Y)</f>
        <v/>
      </c>
      <c r="AE92" s="51" t="str">
        <f aca="false">IF($B92="","",MAX(0,IF(OR(الموظفون!$X92="",الموظفون!$X92&gt;$G$3),$G$3,الموظفون!$X92)-MAX($E$3,الموظفون!$H92)+1))</f>
        <v/>
      </c>
    </row>
    <row r="93" customFormat="false" ht="15" hidden="false" customHeight="false" outlineLevel="0" collapsed="false">
      <c r="A93" s="89" t="str">
        <f aca="false">IF($B93="","",الموظفون!$A93)</f>
        <v/>
      </c>
      <c r="B93" s="91" t="str">
        <f aca="false">IF(الموظفون!$B93="","",الموظفون!$B93)</f>
        <v/>
      </c>
      <c r="C93" s="91" t="str">
        <f aca="false">IF($B93="","",الموظفون!$C93)</f>
        <v/>
      </c>
      <c r="D93" s="91" t="str">
        <f aca="false">IF($B93="","",الموظفون!$F93)</f>
        <v/>
      </c>
      <c r="E93" s="91" t="str">
        <f aca="false">IF($B93="","",الموظفون!$E93)</f>
        <v/>
      </c>
      <c r="F93" s="110" t="str">
        <f aca="false">IF($B93="","",IF(AE93&gt;=DAY($G$3),cfg_DAYS_M,MIN(AE93,cfg_DAYS_M)))</f>
        <v/>
      </c>
      <c r="G93" s="110" t="str">
        <f aca="false">IF($B93="","",SUMIFS('الحركات الشهرية'!$D$6:$D$1005,'الحركات الشهرية'!$B$6:$B$1005,$B93,'الحركات الشهرية'!$A$6:$A$1005,$C$3))</f>
        <v/>
      </c>
      <c r="H93" s="110" t="str">
        <f aca="false">IF($B93="","",SUMIFS('الحركات الشهرية'!$E$6:$E$1005,'الحركات الشهرية'!$B$6:$B$1005,$B93,'الحركات الشهرية'!$A$6:$A$1005,$C$3))</f>
        <v/>
      </c>
      <c r="I93" s="110" t="str">
        <f aca="false">IF($B93="","",MAX(0,F93-G93-H93))</f>
        <v/>
      </c>
      <c r="J93" s="90" t="str">
        <f aca="false">IF($B93="","",الموظفون!$J93*$I93/cfg_DAYS_M)</f>
        <v/>
      </c>
      <c r="K93" s="90" t="str">
        <f aca="false">IF($B93="","",الموظفون!$K93*$I93/cfg_DAYS_M)</f>
        <v/>
      </c>
      <c r="L93" s="90" t="str">
        <f aca="false">IF($B93="","",الموظفون!$L93*$I93/cfg_DAYS_M)</f>
        <v/>
      </c>
      <c r="M93" s="90" t="str">
        <f aca="false">IF($B93="","",الموظفون!$M93*$I93/cfg_DAYS_M)</f>
        <v/>
      </c>
      <c r="N93" s="110" t="str">
        <f aca="false">IF($B93="","",SUMIFS('الحركات الشهرية'!$F$6:$F$1005,'الحركات الشهرية'!$B$6:$B$1005,$B93,'الحركات الشهرية'!$A$6:$A$1005,$C$3))</f>
        <v/>
      </c>
      <c r="O93" s="90" t="str">
        <f aca="false">IF($B93="","",N93*(الموظفون!$N93+الموظفون!$J93*cfg_OT_P)/cfg_DAYS_M/cfg_HRS)</f>
        <v/>
      </c>
      <c r="P93" s="90" t="str">
        <f aca="false">IF($B93="","",SUMIFS('الحركات الشهرية'!$G$6:$G$1005,'الحركات الشهرية'!$B$6:$B$1005,$B93,'الحركات الشهرية'!$A$6:$A$1005,$C$3))</f>
        <v/>
      </c>
      <c r="Q93" s="90" t="str">
        <f aca="false">IF($B93="","",SUMIFS('الحركات الشهرية'!$H$6:$H$1005,'الحركات الشهرية'!$B$6:$B$1005,$B93,'الحركات الشهرية'!$A$6:$A$1005,$C$3))</f>
        <v/>
      </c>
      <c r="R93" s="111" t="str">
        <f aca="false">IF($B93="","",SUM(J93:M93)+SUM(O93:Q93))</f>
        <v/>
      </c>
      <c r="S93" s="90" t="str">
        <f aca="false">IF($B93="","",الموظفون!$Q93*IF(E93="سعودي",cfg_G_SE,cfg_G_NE)*F93/cfg_DAYS_M)</f>
        <v/>
      </c>
      <c r="T93" s="90" t="str">
        <f aca="false">IF($B93="","",SUMIFS('الحركات الشهرية'!$I$6:$I$1005,'الحركات الشهرية'!$B$6:$B$1005,$B93,'الحركات الشهرية'!$A$6:$A$1005,$C$3))</f>
        <v/>
      </c>
      <c r="U93" s="90" t="str">
        <f aca="false">IF($B93="","",SUMIFS('الحركات الشهرية'!$J$6:$J$1005,'الحركات الشهرية'!$B$6:$B$1005,$B93,'الحركات الشهرية'!$A$6:$A$1005,$C$3))</f>
        <v/>
      </c>
      <c r="V93" s="90" t="str">
        <f aca="false">IF($B93="","",SUM(S93:U93))</f>
        <v/>
      </c>
      <c r="W93" s="112" t="str">
        <f aca="false">IF($B93="","",R93-V93)</f>
        <v/>
      </c>
      <c r="X93" s="90" t="str">
        <f aca="false">IF($B93="","",الموظفون!$Q93*IF(E93="سعودي",cfg_G_SR,cfg_G_NR)*F93/cfg_DAYS_M)</f>
        <v/>
      </c>
      <c r="Y93" s="90" t="str">
        <f aca="false">IF($B93="","",الموظفون!$O93*(cfg_EOS_R1*(MIN(AC93,cfg_EOS_TH)-MIN(AD93,cfg_EOS_TH))+cfg_EOS_R2*(MAX(AC93-cfg_EOS_TH,0)-MAX(AD93-cfg_EOS_TH,0))))</f>
        <v/>
      </c>
      <c r="Z93" s="90" t="str">
        <f aca="false">IF($B93="","",IF(الموظفون!$R93&lt;&gt;"",الموظفون!$R93,IF(AC93&gt;=cfg_LV_TH,cfg_LV_D2,cfg_LV_D1))/cfg_DAYS_Y*AE93*الموظفون!$P93/cfg_DAYS_M)</f>
        <v/>
      </c>
      <c r="AA93" s="90" t="str">
        <f aca="false">IF($B93="","",IF(AND(الموظفون!$S93="نعم",N(الموظفون!$U93)&gt;0),الموظفون!$T93/الموظفون!$U93*12/cfg_DAYS_Y*AE93,0))</f>
        <v/>
      </c>
      <c r="AB93" s="113" t="str">
        <f aca="false">IF($B93="","",R93+SUM(X93:AA93))</f>
        <v/>
      </c>
      <c r="AC93" s="114" t="str">
        <f aca="false">IF($B93="","",MAX(0,IF(OR(الموظفون!$X93="",الموظفون!$X93&gt;$G$3),$G$3,الموظفون!$X93)-الموظفون!$H93+1)/cfg_DAYS_Y)</f>
        <v/>
      </c>
      <c r="AD93" s="114" t="str">
        <f aca="false">IF($B93="","",MAX(0,IF(OR(الموظفون!$X93="",الموظفون!$X93&gt;($E$3-1)),($E$3-1),الموظفون!$X93)-الموظفون!$H93+1)/cfg_DAYS_Y)</f>
        <v/>
      </c>
      <c r="AE93" s="115" t="str">
        <f aca="false">IF($B93="","",MAX(0,IF(OR(الموظفون!$X93="",الموظفون!$X93&gt;$G$3),$G$3,الموظفون!$X93)-MAX($E$3,الموظفون!$H93)+1))</f>
        <v/>
      </c>
    </row>
    <row r="94" customFormat="false" ht="15" hidden="false" customHeight="false" outlineLevel="0" collapsed="false">
      <c r="A94" s="83" t="str">
        <f aca="false">IF($B94="","",الموظفون!$A94)</f>
        <v/>
      </c>
      <c r="B94" s="74" t="str">
        <f aca="false">IF(الموظفون!$B94="","",الموظفون!$B94)</f>
        <v/>
      </c>
      <c r="C94" s="74" t="str">
        <f aca="false">IF($B94="","",الموظفون!$C94)</f>
        <v/>
      </c>
      <c r="D94" s="74" t="str">
        <f aca="false">IF($B94="","",الموظفون!$F94)</f>
        <v/>
      </c>
      <c r="E94" s="74" t="str">
        <f aca="false">IF($B94="","",الموظفون!$E94)</f>
        <v/>
      </c>
      <c r="F94" s="105" t="str">
        <f aca="false">IF($B94="","",IF(AE94&gt;=DAY($G$3),cfg_DAYS_M,MIN(AE94,cfg_DAYS_M)))</f>
        <v/>
      </c>
      <c r="G94" s="105" t="str">
        <f aca="false">IF($B94="","",SUMIFS('الحركات الشهرية'!$D$6:$D$1005,'الحركات الشهرية'!$B$6:$B$1005,$B94,'الحركات الشهرية'!$A$6:$A$1005,$C$3))</f>
        <v/>
      </c>
      <c r="H94" s="105" t="str">
        <f aca="false">IF($B94="","",SUMIFS('الحركات الشهرية'!$E$6:$E$1005,'الحركات الشهرية'!$B$6:$B$1005,$B94,'الحركات الشهرية'!$A$6:$A$1005,$C$3))</f>
        <v/>
      </c>
      <c r="I94" s="105" t="str">
        <f aca="false">IF($B94="","",MAX(0,F94-G94-H94))</f>
        <v/>
      </c>
      <c r="J94" s="86" t="str">
        <f aca="false">IF($B94="","",الموظفون!$J94*$I94/cfg_DAYS_M)</f>
        <v/>
      </c>
      <c r="K94" s="86" t="str">
        <f aca="false">IF($B94="","",الموظفون!$K94*$I94/cfg_DAYS_M)</f>
        <v/>
      </c>
      <c r="L94" s="86" t="str">
        <f aca="false">IF($B94="","",الموظفون!$L94*$I94/cfg_DAYS_M)</f>
        <v/>
      </c>
      <c r="M94" s="86" t="str">
        <f aca="false">IF($B94="","",الموظفون!$M94*$I94/cfg_DAYS_M)</f>
        <v/>
      </c>
      <c r="N94" s="105" t="str">
        <f aca="false">IF($B94="","",SUMIFS('الحركات الشهرية'!$F$6:$F$1005,'الحركات الشهرية'!$B$6:$B$1005,$B94,'الحركات الشهرية'!$A$6:$A$1005,$C$3))</f>
        <v/>
      </c>
      <c r="O94" s="86" t="str">
        <f aca="false">IF($B94="","",N94*(الموظفون!$N94+الموظفون!$J94*cfg_OT_P)/cfg_DAYS_M/cfg_HRS)</f>
        <v/>
      </c>
      <c r="P94" s="86" t="str">
        <f aca="false">IF($B94="","",SUMIFS('الحركات الشهرية'!$G$6:$G$1005,'الحركات الشهرية'!$B$6:$B$1005,$B94,'الحركات الشهرية'!$A$6:$A$1005,$C$3))</f>
        <v/>
      </c>
      <c r="Q94" s="86" t="str">
        <f aca="false">IF($B94="","",SUMIFS('الحركات الشهرية'!$H$6:$H$1005,'الحركات الشهرية'!$B$6:$B$1005,$B94,'الحركات الشهرية'!$A$6:$A$1005,$C$3))</f>
        <v/>
      </c>
      <c r="R94" s="106" t="str">
        <f aca="false">IF($B94="","",SUM(J94:M94)+SUM(O94:Q94))</f>
        <v/>
      </c>
      <c r="S94" s="86" t="str">
        <f aca="false">IF($B94="","",الموظفون!$Q94*IF(E94="سعودي",cfg_G_SE,cfg_G_NE)*F94/cfg_DAYS_M)</f>
        <v/>
      </c>
      <c r="T94" s="86" t="str">
        <f aca="false">IF($B94="","",SUMIFS('الحركات الشهرية'!$I$6:$I$1005,'الحركات الشهرية'!$B$6:$B$1005,$B94,'الحركات الشهرية'!$A$6:$A$1005,$C$3))</f>
        <v/>
      </c>
      <c r="U94" s="86" t="str">
        <f aca="false">IF($B94="","",SUMIFS('الحركات الشهرية'!$J$6:$J$1005,'الحركات الشهرية'!$B$6:$B$1005,$B94,'الحركات الشهرية'!$A$6:$A$1005,$C$3))</f>
        <v/>
      </c>
      <c r="V94" s="86" t="str">
        <f aca="false">IF($B94="","",SUM(S94:U94))</f>
        <v/>
      </c>
      <c r="W94" s="107" t="str">
        <f aca="false">IF($B94="","",R94-V94)</f>
        <v/>
      </c>
      <c r="X94" s="86" t="str">
        <f aca="false">IF($B94="","",الموظفون!$Q94*IF(E94="سعودي",cfg_G_SR,cfg_G_NR)*F94/cfg_DAYS_M)</f>
        <v/>
      </c>
      <c r="Y94" s="86" t="str">
        <f aca="false">IF($B94="","",الموظفون!$O94*(cfg_EOS_R1*(MIN(AC94,cfg_EOS_TH)-MIN(AD94,cfg_EOS_TH))+cfg_EOS_R2*(MAX(AC94-cfg_EOS_TH,0)-MAX(AD94-cfg_EOS_TH,0))))</f>
        <v/>
      </c>
      <c r="Z94" s="86" t="str">
        <f aca="false">IF($B94="","",IF(الموظفون!$R94&lt;&gt;"",الموظفون!$R94,IF(AC94&gt;=cfg_LV_TH,cfg_LV_D2,cfg_LV_D1))/cfg_DAYS_Y*AE94*الموظفون!$P94/cfg_DAYS_M)</f>
        <v/>
      </c>
      <c r="AA94" s="86" t="str">
        <f aca="false">IF($B94="","",IF(AND(الموظفون!$S94="نعم",N(الموظفون!$U94)&gt;0),الموظفون!$T94/الموظفون!$U94*12/cfg_DAYS_Y*AE94,0))</f>
        <v/>
      </c>
      <c r="AB94" s="108" t="str">
        <f aca="false">IF($B94="","",R94+SUM(X94:AA94))</f>
        <v/>
      </c>
      <c r="AC94" s="109" t="str">
        <f aca="false">IF($B94="","",MAX(0,IF(OR(الموظفون!$X94="",الموظفون!$X94&gt;$G$3),$G$3,الموظفون!$X94)-الموظفون!$H94+1)/cfg_DAYS_Y)</f>
        <v/>
      </c>
      <c r="AD94" s="109" t="str">
        <f aca="false">IF($B94="","",MAX(0,IF(OR(الموظفون!$X94="",الموظفون!$X94&gt;($E$3-1)),($E$3-1),الموظفون!$X94)-الموظفون!$H94+1)/cfg_DAYS_Y)</f>
        <v/>
      </c>
      <c r="AE94" s="51" t="str">
        <f aca="false">IF($B94="","",MAX(0,IF(OR(الموظفون!$X94="",الموظفون!$X94&gt;$G$3),$G$3,الموظفون!$X94)-MAX($E$3,الموظفون!$H94)+1))</f>
        <v/>
      </c>
    </row>
    <row r="95" customFormat="false" ht="15" hidden="false" customHeight="false" outlineLevel="0" collapsed="false">
      <c r="A95" s="89" t="str">
        <f aca="false">IF($B95="","",الموظفون!$A95)</f>
        <v/>
      </c>
      <c r="B95" s="91" t="str">
        <f aca="false">IF(الموظفون!$B95="","",الموظفون!$B95)</f>
        <v/>
      </c>
      <c r="C95" s="91" t="str">
        <f aca="false">IF($B95="","",الموظفون!$C95)</f>
        <v/>
      </c>
      <c r="D95" s="91" t="str">
        <f aca="false">IF($B95="","",الموظفون!$F95)</f>
        <v/>
      </c>
      <c r="E95" s="91" t="str">
        <f aca="false">IF($B95="","",الموظفون!$E95)</f>
        <v/>
      </c>
      <c r="F95" s="110" t="str">
        <f aca="false">IF($B95="","",IF(AE95&gt;=DAY($G$3),cfg_DAYS_M,MIN(AE95,cfg_DAYS_M)))</f>
        <v/>
      </c>
      <c r="G95" s="110" t="str">
        <f aca="false">IF($B95="","",SUMIFS('الحركات الشهرية'!$D$6:$D$1005,'الحركات الشهرية'!$B$6:$B$1005,$B95,'الحركات الشهرية'!$A$6:$A$1005,$C$3))</f>
        <v/>
      </c>
      <c r="H95" s="110" t="str">
        <f aca="false">IF($B95="","",SUMIFS('الحركات الشهرية'!$E$6:$E$1005,'الحركات الشهرية'!$B$6:$B$1005,$B95,'الحركات الشهرية'!$A$6:$A$1005,$C$3))</f>
        <v/>
      </c>
      <c r="I95" s="110" t="str">
        <f aca="false">IF($B95="","",MAX(0,F95-G95-H95))</f>
        <v/>
      </c>
      <c r="J95" s="90" t="str">
        <f aca="false">IF($B95="","",الموظفون!$J95*$I95/cfg_DAYS_M)</f>
        <v/>
      </c>
      <c r="K95" s="90" t="str">
        <f aca="false">IF($B95="","",الموظفون!$K95*$I95/cfg_DAYS_M)</f>
        <v/>
      </c>
      <c r="L95" s="90" t="str">
        <f aca="false">IF($B95="","",الموظفون!$L95*$I95/cfg_DAYS_M)</f>
        <v/>
      </c>
      <c r="M95" s="90" t="str">
        <f aca="false">IF($B95="","",الموظفون!$M95*$I95/cfg_DAYS_M)</f>
        <v/>
      </c>
      <c r="N95" s="110" t="str">
        <f aca="false">IF($B95="","",SUMIFS('الحركات الشهرية'!$F$6:$F$1005,'الحركات الشهرية'!$B$6:$B$1005,$B95,'الحركات الشهرية'!$A$6:$A$1005,$C$3))</f>
        <v/>
      </c>
      <c r="O95" s="90" t="str">
        <f aca="false">IF($B95="","",N95*(الموظفون!$N95+الموظفون!$J95*cfg_OT_P)/cfg_DAYS_M/cfg_HRS)</f>
        <v/>
      </c>
      <c r="P95" s="90" t="str">
        <f aca="false">IF($B95="","",SUMIFS('الحركات الشهرية'!$G$6:$G$1005,'الحركات الشهرية'!$B$6:$B$1005,$B95,'الحركات الشهرية'!$A$6:$A$1005,$C$3))</f>
        <v/>
      </c>
      <c r="Q95" s="90" t="str">
        <f aca="false">IF($B95="","",SUMIFS('الحركات الشهرية'!$H$6:$H$1005,'الحركات الشهرية'!$B$6:$B$1005,$B95,'الحركات الشهرية'!$A$6:$A$1005,$C$3))</f>
        <v/>
      </c>
      <c r="R95" s="111" t="str">
        <f aca="false">IF($B95="","",SUM(J95:M95)+SUM(O95:Q95))</f>
        <v/>
      </c>
      <c r="S95" s="90" t="str">
        <f aca="false">IF($B95="","",الموظفون!$Q95*IF(E95="سعودي",cfg_G_SE,cfg_G_NE)*F95/cfg_DAYS_M)</f>
        <v/>
      </c>
      <c r="T95" s="90" t="str">
        <f aca="false">IF($B95="","",SUMIFS('الحركات الشهرية'!$I$6:$I$1005,'الحركات الشهرية'!$B$6:$B$1005,$B95,'الحركات الشهرية'!$A$6:$A$1005,$C$3))</f>
        <v/>
      </c>
      <c r="U95" s="90" t="str">
        <f aca="false">IF($B95="","",SUMIFS('الحركات الشهرية'!$J$6:$J$1005,'الحركات الشهرية'!$B$6:$B$1005,$B95,'الحركات الشهرية'!$A$6:$A$1005,$C$3))</f>
        <v/>
      </c>
      <c r="V95" s="90" t="str">
        <f aca="false">IF($B95="","",SUM(S95:U95))</f>
        <v/>
      </c>
      <c r="W95" s="112" t="str">
        <f aca="false">IF($B95="","",R95-V95)</f>
        <v/>
      </c>
      <c r="X95" s="90" t="str">
        <f aca="false">IF($B95="","",الموظفون!$Q95*IF(E95="سعودي",cfg_G_SR,cfg_G_NR)*F95/cfg_DAYS_M)</f>
        <v/>
      </c>
      <c r="Y95" s="90" t="str">
        <f aca="false">IF($B95="","",الموظفون!$O95*(cfg_EOS_R1*(MIN(AC95,cfg_EOS_TH)-MIN(AD95,cfg_EOS_TH))+cfg_EOS_R2*(MAX(AC95-cfg_EOS_TH,0)-MAX(AD95-cfg_EOS_TH,0))))</f>
        <v/>
      </c>
      <c r="Z95" s="90" t="str">
        <f aca="false">IF($B95="","",IF(الموظفون!$R95&lt;&gt;"",الموظفون!$R95,IF(AC95&gt;=cfg_LV_TH,cfg_LV_D2,cfg_LV_D1))/cfg_DAYS_Y*AE95*الموظفون!$P95/cfg_DAYS_M)</f>
        <v/>
      </c>
      <c r="AA95" s="90" t="str">
        <f aca="false">IF($B95="","",IF(AND(الموظفون!$S95="نعم",N(الموظفون!$U95)&gt;0),الموظفون!$T95/الموظفون!$U95*12/cfg_DAYS_Y*AE95,0))</f>
        <v/>
      </c>
      <c r="AB95" s="113" t="str">
        <f aca="false">IF($B95="","",R95+SUM(X95:AA95))</f>
        <v/>
      </c>
      <c r="AC95" s="114" t="str">
        <f aca="false">IF($B95="","",MAX(0,IF(OR(الموظفون!$X95="",الموظفون!$X95&gt;$G$3),$G$3,الموظفون!$X95)-الموظفون!$H95+1)/cfg_DAYS_Y)</f>
        <v/>
      </c>
      <c r="AD95" s="114" t="str">
        <f aca="false">IF($B95="","",MAX(0,IF(OR(الموظفون!$X95="",الموظفون!$X95&gt;($E$3-1)),($E$3-1),الموظفون!$X95)-الموظفون!$H95+1)/cfg_DAYS_Y)</f>
        <v/>
      </c>
      <c r="AE95" s="115" t="str">
        <f aca="false">IF($B95="","",MAX(0,IF(OR(الموظفون!$X95="",الموظفون!$X95&gt;$G$3),$G$3,الموظفون!$X95)-MAX($E$3,الموظفون!$H95)+1))</f>
        <v/>
      </c>
    </row>
    <row r="96" customFormat="false" ht="15" hidden="false" customHeight="false" outlineLevel="0" collapsed="false">
      <c r="A96" s="83" t="str">
        <f aca="false">IF($B96="","",الموظفون!$A96)</f>
        <v/>
      </c>
      <c r="B96" s="74" t="str">
        <f aca="false">IF(الموظفون!$B96="","",الموظفون!$B96)</f>
        <v/>
      </c>
      <c r="C96" s="74" t="str">
        <f aca="false">IF($B96="","",الموظفون!$C96)</f>
        <v/>
      </c>
      <c r="D96" s="74" t="str">
        <f aca="false">IF($B96="","",الموظفون!$F96)</f>
        <v/>
      </c>
      <c r="E96" s="74" t="str">
        <f aca="false">IF($B96="","",الموظفون!$E96)</f>
        <v/>
      </c>
      <c r="F96" s="105" t="str">
        <f aca="false">IF($B96="","",IF(AE96&gt;=DAY($G$3),cfg_DAYS_M,MIN(AE96,cfg_DAYS_M)))</f>
        <v/>
      </c>
      <c r="G96" s="105" t="str">
        <f aca="false">IF($B96="","",SUMIFS('الحركات الشهرية'!$D$6:$D$1005,'الحركات الشهرية'!$B$6:$B$1005,$B96,'الحركات الشهرية'!$A$6:$A$1005,$C$3))</f>
        <v/>
      </c>
      <c r="H96" s="105" t="str">
        <f aca="false">IF($B96="","",SUMIFS('الحركات الشهرية'!$E$6:$E$1005,'الحركات الشهرية'!$B$6:$B$1005,$B96,'الحركات الشهرية'!$A$6:$A$1005,$C$3))</f>
        <v/>
      </c>
      <c r="I96" s="105" t="str">
        <f aca="false">IF($B96="","",MAX(0,F96-G96-H96))</f>
        <v/>
      </c>
      <c r="J96" s="86" t="str">
        <f aca="false">IF($B96="","",الموظفون!$J96*$I96/cfg_DAYS_M)</f>
        <v/>
      </c>
      <c r="K96" s="86" t="str">
        <f aca="false">IF($B96="","",الموظفون!$K96*$I96/cfg_DAYS_M)</f>
        <v/>
      </c>
      <c r="L96" s="86" t="str">
        <f aca="false">IF($B96="","",الموظفون!$L96*$I96/cfg_DAYS_M)</f>
        <v/>
      </c>
      <c r="M96" s="86" t="str">
        <f aca="false">IF($B96="","",الموظفون!$M96*$I96/cfg_DAYS_M)</f>
        <v/>
      </c>
      <c r="N96" s="105" t="str">
        <f aca="false">IF($B96="","",SUMIFS('الحركات الشهرية'!$F$6:$F$1005,'الحركات الشهرية'!$B$6:$B$1005,$B96,'الحركات الشهرية'!$A$6:$A$1005,$C$3))</f>
        <v/>
      </c>
      <c r="O96" s="86" t="str">
        <f aca="false">IF($B96="","",N96*(الموظفون!$N96+الموظفون!$J96*cfg_OT_P)/cfg_DAYS_M/cfg_HRS)</f>
        <v/>
      </c>
      <c r="P96" s="86" t="str">
        <f aca="false">IF($B96="","",SUMIFS('الحركات الشهرية'!$G$6:$G$1005,'الحركات الشهرية'!$B$6:$B$1005,$B96,'الحركات الشهرية'!$A$6:$A$1005,$C$3))</f>
        <v/>
      </c>
      <c r="Q96" s="86" t="str">
        <f aca="false">IF($B96="","",SUMIFS('الحركات الشهرية'!$H$6:$H$1005,'الحركات الشهرية'!$B$6:$B$1005,$B96,'الحركات الشهرية'!$A$6:$A$1005,$C$3))</f>
        <v/>
      </c>
      <c r="R96" s="106" t="str">
        <f aca="false">IF($B96="","",SUM(J96:M96)+SUM(O96:Q96))</f>
        <v/>
      </c>
      <c r="S96" s="86" t="str">
        <f aca="false">IF($B96="","",الموظفون!$Q96*IF(E96="سعودي",cfg_G_SE,cfg_G_NE)*F96/cfg_DAYS_M)</f>
        <v/>
      </c>
      <c r="T96" s="86" t="str">
        <f aca="false">IF($B96="","",SUMIFS('الحركات الشهرية'!$I$6:$I$1005,'الحركات الشهرية'!$B$6:$B$1005,$B96,'الحركات الشهرية'!$A$6:$A$1005,$C$3))</f>
        <v/>
      </c>
      <c r="U96" s="86" t="str">
        <f aca="false">IF($B96="","",SUMIFS('الحركات الشهرية'!$J$6:$J$1005,'الحركات الشهرية'!$B$6:$B$1005,$B96,'الحركات الشهرية'!$A$6:$A$1005,$C$3))</f>
        <v/>
      </c>
      <c r="V96" s="86" t="str">
        <f aca="false">IF($B96="","",SUM(S96:U96))</f>
        <v/>
      </c>
      <c r="W96" s="107" t="str">
        <f aca="false">IF($B96="","",R96-V96)</f>
        <v/>
      </c>
      <c r="X96" s="86" t="str">
        <f aca="false">IF($B96="","",الموظفون!$Q96*IF(E96="سعودي",cfg_G_SR,cfg_G_NR)*F96/cfg_DAYS_M)</f>
        <v/>
      </c>
      <c r="Y96" s="86" t="str">
        <f aca="false">IF($B96="","",الموظفون!$O96*(cfg_EOS_R1*(MIN(AC96,cfg_EOS_TH)-MIN(AD96,cfg_EOS_TH))+cfg_EOS_R2*(MAX(AC96-cfg_EOS_TH,0)-MAX(AD96-cfg_EOS_TH,0))))</f>
        <v/>
      </c>
      <c r="Z96" s="86" t="str">
        <f aca="false">IF($B96="","",IF(الموظفون!$R96&lt;&gt;"",الموظفون!$R96,IF(AC96&gt;=cfg_LV_TH,cfg_LV_D2,cfg_LV_D1))/cfg_DAYS_Y*AE96*الموظفون!$P96/cfg_DAYS_M)</f>
        <v/>
      </c>
      <c r="AA96" s="86" t="str">
        <f aca="false">IF($B96="","",IF(AND(الموظفون!$S96="نعم",N(الموظفون!$U96)&gt;0),الموظفون!$T96/الموظفون!$U96*12/cfg_DAYS_Y*AE96,0))</f>
        <v/>
      </c>
      <c r="AB96" s="108" t="str">
        <f aca="false">IF($B96="","",R96+SUM(X96:AA96))</f>
        <v/>
      </c>
      <c r="AC96" s="109" t="str">
        <f aca="false">IF($B96="","",MAX(0,IF(OR(الموظفون!$X96="",الموظفون!$X96&gt;$G$3),$G$3,الموظفون!$X96)-الموظفون!$H96+1)/cfg_DAYS_Y)</f>
        <v/>
      </c>
      <c r="AD96" s="109" t="str">
        <f aca="false">IF($B96="","",MAX(0,IF(OR(الموظفون!$X96="",الموظفون!$X96&gt;($E$3-1)),($E$3-1),الموظفون!$X96)-الموظفون!$H96+1)/cfg_DAYS_Y)</f>
        <v/>
      </c>
      <c r="AE96" s="51" t="str">
        <f aca="false">IF($B96="","",MAX(0,IF(OR(الموظفون!$X96="",الموظفون!$X96&gt;$G$3),$G$3,الموظفون!$X96)-MAX($E$3,الموظفون!$H96)+1))</f>
        <v/>
      </c>
    </row>
    <row r="97" customFormat="false" ht="15" hidden="false" customHeight="false" outlineLevel="0" collapsed="false">
      <c r="A97" s="89" t="str">
        <f aca="false">IF($B97="","",الموظفون!$A97)</f>
        <v/>
      </c>
      <c r="B97" s="91" t="str">
        <f aca="false">IF(الموظفون!$B97="","",الموظفون!$B97)</f>
        <v/>
      </c>
      <c r="C97" s="91" t="str">
        <f aca="false">IF($B97="","",الموظفون!$C97)</f>
        <v/>
      </c>
      <c r="D97" s="91" t="str">
        <f aca="false">IF($B97="","",الموظفون!$F97)</f>
        <v/>
      </c>
      <c r="E97" s="91" t="str">
        <f aca="false">IF($B97="","",الموظفون!$E97)</f>
        <v/>
      </c>
      <c r="F97" s="110" t="str">
        <f aca="false">IF($B97="","",IF(AE97&gt;=DAY($G$3),cfg_DAYS_M,MIN(AE97,cfg_DAYS_M)))</f>
        <v/>
      </c>
      <c r="G97" s="110" t="str">
        <f aca="false">IF($B97="","",SUMIFS('الحركات الشهرية'!$D$6:$D$1005,'الحركات الشهرية'!$B$6:$B$1005,$B97,'الحركات الشهرية'!$A$6:$A$1005,$C$3))</f>
        <v/>
      </c>
      <c r="H97" s="110" t="str">
        <f aca="false">IF($B97="","",SUMIFS('الحركات الشهرية'!$E$6:$E$1005,'الحركات الشهرية'!$B$6:$B$1005,$B97,'الحركات الشهرية'!$A$6:$A$1005,$C$3))</f>
        <v/>
      </c>
      <c r="I97" s="110" t="str">
        <f aca="false">IF($B97="","",MAX(0,F97-G97-H97))</f>
        <v/>
      </c>
      <c r="J97" s="90" t="str">
        <f aca="false">IF($B97="","",الموظفون!$J97*$I97/cfg_DAYS_M)</f>
        <v/>
      </c>
      <c r="K97" s="90" t="str">
        <f aca="false">IF($B97="","",الموظفون!$K97*$I97/cfg_DAYS_M)</f>
        <v/>
      </c>
      <c r="L97" s="90" t="str">
        <f aca="false">IF($B97="","",الموظفون!$L97*$I97/cfg_DAYS_M)</f>
        <v/>
      </c>
      <c r="M97" s="90" t="str">
        <f aca="false">IF($B97="","",الموظفون!$M97*$I97/cfg_DAYS_M)</f>
        <v/>
      </c>
      <c r="N97" s="110" t="str">
        <f aca="false">IF($B97="","",SUMIFS('الحركات الشهرية'!$F$6:$F$1005,'الحركات الشهرية'!$B$6:$B$1005,$B97,'الحركات الشهرية'!$A$6:$A$1005,$C$3))</f>
        <v/>
      </c>
      <c r="O97" s="90" t="str">
        <f aca="false">IF($B97="","",N97*(الموظفون!$N97+الموظفون!$J97*cfg_OT_P)/cfg_DAYS_M/cfg_HRS)</f>
        <v/>
      </c>
      <c r="P97" s="90" t="str">
        <f aca="false">IF($B97="","",SUMIFS('الحركات الشهرية'!$G$6:$G$1005,'الحركات الشهرية'!$B$6:$B$1005,$B97,'الحركات الشهرية'!$A$6:$A$1005,$C$3))</f>
        <v/>
      </c>
      <c r="Q97" s="90" t="str">
        <f aca="false">IF($B97="","",SUMIFS('الحركات الشهرية'!$H$6:$H$1005,'الحركات الشهرية'!$B$6:$B$1005,$B97,'الحركات الشهرية'!$A$6:$A$1005,$C$3))</f>
        <v/>
      </c>
      <c r="R97" s="111" t="str">
        <f aca="false">IF($B97="","",SUM(J97:M97)+SUM(O97:Q97))</f>
        <v/>
      </c>
      <c r="S97" s="90" t="str">
        <f aca="false">IF($B97="","",الموظفون!$Q97*IF(E97="سعودي",cfg_G_SE,cfg_G_NE)*F97/cfg_DAYS_M)</f>
        <v/>
      </c>
      <c r="T97" s="90" t="str">
        <f aca="false">IF($B97="","",SUMIFS('الحركات الشهرية'!$I$6:$I$1005,'الحركات الشهرية'!$B$6:$B$1005,$B97,'الحركات الشهرية'!$A$6:$A$1005,$C$3))</f>
        <v/>
      </c>
      <c r="U97" s="90" t="str">
        <f aca="false">IF($B97="","",SUMIFS('الحركات الشهرية'!$J$6:$J$1005,'الحركات الشهرية'!$B$6:$B$1005,$B97,'الحركات الشهرية'!$A$6:$A$1005,$C$3))</f>
        <v/>
      </c>
      <c r="V97" s="90" t="str">
        <f aca="false">IF($B97="","",SUM(S97:U97))</f>
        <v/>
      </c>
      <c r="W97" s="112" t="str">
        <f aca="false">IF($B97="","",R97-V97)</f>
        <v/>
      </c>
      <c r="X97" s="90" t="str">
        <f aca="false">IF($B97="","",الموظفون!$Q97*IF(E97="سعودي",cfg_G_SR,cfg_G_NR)*F97/cfg_DAYS_M)</f>
        <v/>
      </c>
      <c r="Y97" s="90" t="str">
        <f aca="false">IF($B97="","",الموظفون!$O97*(cfg_EOS_R1*(MIN(AC97,cfg_EOS_TH)-MIN(AD97,cfg_EOS_TH))+cfg_EOS_R2*(MAX(AC97-cfg_EOS_TH,0)-MAX(AD97-cfg_EOS_TH,0))))</f>
        <v/>
      </c>
      <c r="Z97" s="90" t="str">
        <f aca="false">IF($B97="","",IF(الموظفون!$R97&lt;&gt;"",الموظفون!$R97,IF(AC97&gt;=cfg_LV_TH,cfg_LV_D2,cfg_LV_D1))/cfg_DAYS_Y*AE97*الموظفون!$P97/cfg_DAYS_M)</f>
        <v/>
      </c>
      <c r="AA97" s="90" t="str">
        <f aca="false">IF($B97="","",IF(AND(الموظفون!$S97="نعم",N(الموظفون!$U97)&gt;0),الموظفون!$T97/الموظفون!$U97*12/cfg_DAYS_Y*AE97,0))</f>
        <v/>
      </c>
      <c r="AB97" s="113" t="str">
        <f aca="false">IF($B97="","",R97+SUM(X97:AA97))</f>
        <v/>
      </c>
      <c r="AC97" s="114" t="str">
        <f aca="false">IF($B97="","",MAX(0,IF(OR(الموظفون!$X97="",الموظفون!$X97&gt;$G$3),$G$3,الموظفون!$X97)-الموظفون!$H97+1)/cfg_DAYS_Y)</f>
        <v/>
      </c>
      <c r="AD97" s="114" t="str">
        <f aca="false">IF($B97="","",MAX(0,IF(OR(الموظفون!$X97="",الموظفون!$X97&gt;($E$3-1)),($E$3-1),الموظفون!$X97)-الموظفون!$H97+1)/cfg_DAYS_Y)</f>
        <v/>
      </c>
      <c r="AE97" s="115" t="str">
        <f aca="false">IF($B97="","",MAX(0,IF(OR(الموظفون!$X97="",الموظفون!$X97&gt;$G$3),$G$3,الموظفون!$X97)-MAX($E$3,الموظفون!$H97)+1))</f>
        <v/>
      </c>
    </row>
    <row r="98" customFormat="false" ht="15" hidden="false" customHeight="false" outlineLevel="0" collapsed="false">
      <c r="A98" s="83" t="str">
        <f aca="false">IF($B98="","",الموظفون!$A98)</f>
        <v/>
      </c>
      <c r="B98" s="74" t="str">
        <f aca="false">IF(الموظفون!$B98="","",الموظفون!$B98)</f>
        <v/>
      </c>
      <c r="C98" s="74" t="str">
        <f aca="false">IF($B98="","",الموظفون!$C98)</f>
        <v/>
      </c>
      <c r="D98" s="74" t="str">
        <f aca="false">IF($B98="","",الموظفون!$F98)</f>
        <v/>
      </c>
      <c r="E98" s="74" t="str">
        <f aca="false">IF($B98="","",الموظفون!$E98)</f>
        <v/>
      </c>
      <c r="F98" s="105" t="str">
        <f aca="false">IF($B98="","",IF(AE98&gt;=DAY($G$3),cfg_DAYS_M,MIN(AE98,cfg_DAYS_M)))</f>
        <v/>
      </c>
      <c r="G98" s="105" t="str">
        <f aca="false">IF($B98="","",SUMIFS('الحركات الشهرية'!$D$6:$D$1005,'الحركات الشهرية'!$B$6:$B$1005,$B98,'الحركات الشهرية'!$A$6:$A$1005,$C$3))</f>
        <v/>
      </c>
      <c r="H98" s="105" t="str">
        <f aca="false">IF($B98="","",SUMIFS('الحركات الشهرية'!$E$6:$E$1005,'الحركات الشهرية'!$B$6:$B$1005,$B98,'الحركات الشهرية'!$A$6:$A$1005,$C$3))</f>
        <v/>
      </c>
      <c r="I98" s="105" t="str">
        <f aca="false">IF($B98="","",MAX(0,F98-G98-H98))</f>
        <v/>
      </c>
      <c r="J98" s="86" t="str">
        <f aca="false">IF($B98="","",الموظفون!$J98*$I98/cfg_DAYS_M)</f>
        <v/>
      </c>
      <c r="K98" s="86" t="str">
        <f aca="false">IF($B98="","",الموظفون!$K98*$I98/cfg_DAYS_M)</f>
        <v/>
      </c>
      <c r="L98" s="86" t="str">
        <f aca="false">IF($B98="","",الموظفون!$L98*$I98/cfg_DAYS_M)</f>
        <v/>
      </c>
      <c r="M98" s="86" t="str">
        <f aca="false">IF($B98="","",الموظفون!$M98*$I98/cfg_DAYS_M)</f>
        <v/>
      </c>
      <c r="N98" s="105" t="str">
        <f aca="false">IF($B98="","",SUMIFS('الحركات الشهرية'!$F$6:$F$1005,'الحركات الشهرية'!$B$6:$B$1005,$B98,'الحركات الشهرية'!$A$6:$A$1005,$C$3))</f>
        <v/>
      </c>
      <c r="O98" s="86" t="str">
        <f aca="false">IF($B98="","",N98*(الموظفون!$N98+الموظفون!$J98*cfg_OT_P)/cfg_DAYS_M/cfg_HRS)</f>
        <v/>
      </c>
      <c r="P98" s="86" t="str">
        <f aca="false">IF($B98="","",SUMIFS('الحركات الشهرية'!$G$6:$G$1005,'الحركات الشهرية'!$B$6:$B$1005,$B98,'الحركات الشهرية'!$A$6:$A$1005,$C$3))</f>
        <v/>
      </c>
      <c r="Q98" s="86" t="str">
        <f aca="false">IF($B98="","",SUMIFS('الحركات الشهرية'!$H$6:$H$1005,'الحركات الشهرية'!$B$6:$B$1005,$B98,'الحركات الشهرية'!$A$6:$A$1005,$C$3))</f>
        <v/>
      </c>
      <c r="R98" s="106" t="str">
        <f aca="false">IF($B98="","",SUM(J98:M98)+SUM(O98:Q98))</f>
        <v/>
      </c>
      <c r="S98" s="86" t="str">
        <f aca="false">IF($B98="","",الموظفون!$Q98*IF(E98="سعودي",cfg_G_SE,cfg_G_NE)*F98/cfg_DAYS_M)</f>
        <v/>
      </c>
      <c r="T98" s="86" t="str">
        <f aca="false">IF($B98="","",SUMIFS('الحركات الشهرية'!$I$6:$I$1005,'الحركات الشهرية'!$B$6:$B$1005,$B98,'الحركات الشهرية'!$A$6:$A$1005,$C$3))</f>
        <v/>
      </c>
      <c r="U98" s="86" t="str">
        <f aca="false">IF($B98="","",SUMIFS('الحركات الشهرية'!$J$6:$J$1005,'الحركات الشهرية'!$B$6:$B$1005,$B98,'الحركات الشهرية'!$A$6:$A$1005,$C$3))</f>
        <v/>
      </c>
      <c r="V98" s="86" t="str">
        <f aca="false">IF($B98="","",SUM(S98:U98))</f>
        <v/>
      </c>
      <c r="W98" s="107" t="str">
        <f aca="false">IF($B98="","",R98-V98)</f>
        <v/>
      </c>
      <c r="X98" s="86" t="str">
        <f aca="false">IF($B98="","",الموظفون!$Q98*IF(E98="سعودي",cfg_G_SR,cfg_G_NR)*F98/cfg_DAYS_M)</f>
        <v/>
      </c>
      <c r="Y98" s="86" t="str">
        <f aca="false">IF($B98="","",الموظفون!$O98*(cfg_EOS_R1*(MIN(AC98,cfg_EOS_TH)-MIN(AD98,cfg_EOS_TH))+cfg_EOS_R2*(MAX(AC98-cfg_EOS_TH,0)-MAX(AD98-cfg_EOS_TH,0))))</f>
        <v/>
      </c>
      <c r="Z98" s="86" t="str">
        <f aca="false">IF($B98="","",IF(الموظفون!$R98&lt;&gt;"",الموظفون!$R98,IF(AC98&gt;=cfg_LV_TH,cfg_LV_D2,cfg_LV_D1))/cfg_DAYS_Y*AE98*الموظفون!$P98/cfg_DAYS_M)</f>
        <v/>
      </c>
      <c r="AA98" s="86" t="str">
        <f aca="false">IF($B98="","",IF(AND(الموظفون!$S98="نعم",N(الموظفون!$U98)&gt;0),الموظفون!$T98/الموظفون!$U98*12/cfg_DAYS_Y*AE98,0))</f>
        <v/>
      </c>
      <c r="AB98" s="108" t="str">
        <f aca="false">IF($B98="","",R98+SUM(X98:AA98))</f>
        <v/>
      </c>
      <c r="AC98" s="109" t="str">
        <f aca="false">IF($B98="","",MAX(0,IF(OR(الموظفون!$X98="",الموظفون!$X98&gt;$G$3),$G$3,الموظفون!$X98)-الموظفون!$H98+1)/cfg_DAYS_Y)</f>
        <v/>
      </c>
      <c r="AD98" s="109" t="str">
        <f aca="false">IF($B98="","",MAX(0,IF(OR(الموظفون!$X98="",الموظفون!$X98&gt;($E$3-1)),($E$3-1),الموظفون!$X98)-الموظفون!$H98+1)/cfg_DAYS_Y)</f>
        <v/>
      </c>
      <c r="AE98" s="51" t="str">
        <f aca="false">IF($B98="","",MAX(0,IF(OR(الموظفون!$X98="",الموظفون!$X98&gt;$G$3),$G$3,الموظفون!$X98)-MAX($E$3,الموظفون!$H98)+1))</f>
        <v/>
      </c>
    </row>
    <row r="99" customFormat="false" ht="15" hidden="false" customHeight="false" outlineLevel="0" collapsed="false">
      <c r="A99" s="89" t="str">
        <f aca="false">IF($B99="","",الموظفون!$A99)</f>
        <v/>
      </c>
      <c r="B99" s="91" t="str">
        <f aca="false">IF(الموظفون!$B99="","",الموظفون!$B99)</f>
        <v/>
      </c>
      <c r="C99" s="91" t="str">
        <f aca="false">IF($B99="","",الموظفون!$C99)</f>
        <v/>
      </c>
      <c r="D99" s="91" t="str">
        <f aca="false">IF($B99="","",الموظفون!$F99)</f>
        <v/>
      </c>
      <c r="E99" s="91" t="str">
        <f aca="false">IF($B99="","",الموظفون!$E99)</f>
        <v/>
      </c>
      <c r="F99" s="110" t="str">
        <f aca="false">IF($B99="","",IF(AE99&gt;=DAY($G$3),cfg_DAYS_M,MIN(AE99,cfg_DAYS_M)))</f>
        <v/>
      </c>
      <c r="G99" s="110" t="str">
        <f aca="false">IF($B99="","",SUMIFS('الحركات الشهرية'!$D$6:$D$1005,'الحركات الشهرية'!$B$6:$B$1005,$B99,'الحركات الشهرية'!$A$6:$A$1005,$C$3))</f>
        <v/>
      </c>
      <c r="H99" s="110" t="str">
        <f aca="false">IF($B99="","",SUMIFS('الحركات الشهرية'!$E$6:$E$1005,'الحركات الشهرية'!$B$6:$B$1005,$B99,'الحركات الشهرية'!$A$6:$A$1005,$C$3))</f>
        <v/>
      </c>
      <c r="I99" s="110" t="str">
        <f aca="false">IF($B99="","",MAX(0,F99-G99-H99))</f>
        <v/>
      </c>
      <c r="J99" s="90" t="str">
        <f aca="false">IF($B99="","",الموظفون!$J99*$I99/cfg_DAYS_M)</f>
        <v/>
      </c>
      <c r="K99" s="90" t="str">
        <f aca="false">IF($B99="","",الموظفون!$K99*$I99/cfg_DAYS_M)</f>
        <v/>
      </c>
      <c r="L99" s="90" t="str">
        <f aca="false">IF($B99="","",الموظفون!$L99*$I99/cfg_DAYS_M)</f>
        <v/>
      </c>
      <c r="M99" s="90" t="str">
        <f aca="false">IF($B99="","",الموظفون!$M99*$I99/cfg_DAYS_M)</f>
        <v/>
      </c>
      <c r="N99" s="110" t="str">
        <f aca="false">IF($B99="","",SUMIFS('الحركات الشهرية'!$F$6:$F$1005,'الحركات الشهرية'!$B$6:$B$1005,$B99,'الحركات الشهرية'!$A$6:$A$1005,$C$3))</f>
        <v/>
      </c>
      <c r="O99" s="90" t="str">
        <f aca="false">IF($B99="","",N99*(الموظفون!$N99+الموظفون!$J99*cfg_OT_P)/cfg_DAYS_M/cfg_HRS)</f>
        <v/>
      </c>
      <c r="P99" s="90" t="str">
        <f aca="false">IF($B99="","",SUMIFS('الحركات الشهرية'!$G$6:$G$1005,'الحركات الشهرية'!$B$6:$B$1005,$B99,'الحركات الشهرية'!$A$6:$A$1005,$C$3))</f>
        <v/>
      </c>
      <c r="Q99" s="90" t="str">
        <f aca="false">IF($B99="","",SUMIFS('الحركات الشهرية'!$H$6:$H$1005,'الحركات الشهرية'!$B$6:$B$1005,$B99,'الحركات الشهرية'!$A$6:$A$1005,$C$3))</f>
        <v/>
      </c>
      <c r="R99" s="111" t="str">
        <f aca="false">IF($B99="","",SUM(J99:M99)+SUM(O99:Q99))</f>
        <v/>
      </c>
      <c r="S99" s="90" t="str">
        <f aca="false">IF($B99="","",الموظفون!$Q99*IF(E99="سعودي",cfg_G_SE,cfg_G_NE)*F99/cfg_DAYS_M)</f>
        <v/>
      </c>
      <c r="T99" s="90" t="str">
        <f aca="false">IF($B99="","",SUMIFS('الحركات الشهرية'!$I$6:$I$1005,'الحركات الشهرية'!$B$6:$B$1005,$B99,'الحركات الشهرية'!$A$6:$A$1005,$C$3))</f>
        <v/>
      </c>
      <c r="U99" s="90" t="str">
        <f aca="false">IF($B99="","",SUMIFS('الحركات الشهرية'!$J$6:$J$1005,'الحركات الشهرية'!$B$6:$B$1005,$B99,'الحركات الشهرية'!$A$6:$A$1005,$C$3))</f>
        <v/>
      </c>
      <c r="V99" s="90" t="str">
        <f aca="false">IF($B99="","",SUM(S99:U99))</f>
        <v/>
      </c>
      <c r="W99" s="112" t="str">
        <f aca="false">IF($B99="","",R99-V99)</f>
        <v/>
      </c>
      <c r="X99" s="90" t="str">
        <f aca="false">IF($B99="","",الموظفون!$Q99*IF(E99="سعودي",cfg_G_SR,cfg_G_NR)*F99/cfg_DAYS_M)</f>
        <v/>
      </c>
      <c r="Y99" s="90" t="str">
        <f aca="false">IF($B99="","",الموظفون!$O99*(cfg_EOS_R1*(MIN(AC99,cfg_EOS_TH)-MIN(AD99,cfg_EOS_TH))+cfg_EOS_R2*(MAX(AC99-cfg_EOS_TH,0)-MAX(AD99-cfg_EOS_TH,0))))</f>
        <v/>
      </c>
      <c r="Z99" s="90" t="str">
        <f aca="false">IF($B99="","",IF(الموظفون!$R99&lt;&gt;"",الموظفون!$R99,IF(AC99&gt;=cfg_LV_TH,cfg_LV_D2,cfg_LV_D1))/cfg_DAYS_Y*AE99*الموظفون!$P99/cfg_DAYS_M)</f>
        <v/>
      </c>
      <c r="AA99" s="90" t="str">
        <f aca="false">IF($B99="","",IF(AND(الموظفون!$S99="نعم",N(الموظفون!$U99)&gt;0),الموظفون!$T99/الموظفون!$U99*12/cfg_DAYS_Y*AE99,0))</f>
        <v/>
      </c>
      <c r="AB99" s="113" t="str">
        <f aca="false">IF($B99="","",R99+SUM(X99:AA99))</f>
        <v/>
      </c>
      <c r="AC99" s="114" t="str">
        <f aca="false">IF($B99="","",MAX(0,IF(OR(الموظفون!$X99="",الموظفون!$X99&gt;$G$3),$G$3,الموظفون!$X99)-الموظفون!$H99+1)/cfg_DAYS_Y)</f>
        <v/>
      </c>
      <c r="AD99" s="114" t="str">
        <f aca="false">IF($B99="","",MAX(0,IF(OR(الموظفون!$X99="",الموظفون!$X99&gt;($E$3-1)),($E$3-1),الموظفون!$X99)-الموظفون!$H99+1)/cfg_DAYS_Y)</f>
        <v/>
      </c>
      <c r="AE99" s="115" t="str">
        <f aca="false">IF($B99="","",MAX(0,IF(OR(الموظفون!$X99="",الموظفون!$X99&gt;$G$3),$G$3,الموظفون!$X99)-MAX($E$3,الموظفون!$H99)+1))</f>
        <v/>
      </c>
    </row>
    <row r="100" customFormat="false" ht="15" hidden="false" customHeight="false" outlineLevel="0" collapsed="false">
      <c r="A100" s="83" t="str">
        <f aca="false">IF($B100="","",الموظفون!$A100)</f>
        <v/>
      </c>
      <c r="B100" s="74" t="str">
        <f aca="false">IF(الموظفون!$B100="","",الموظفون!$B100)</f>
        <v/>
      </c>
      <c r="C100" s="74" t="str">
        <f aca="false">IF($B100="","",الموظفون!$C100)</f>
        <v/>
      </c>
      <c r="D100" s="74" t="str">
        <f aca="false">IF($B100="","",الموظفون!$F100)</f>
        <v/>
      </c>
      <c r="E100" s="74" t="str">
        <f aca="false">IF($B100="","",الموظفون!$E100)</f>
        <v/>
      </c>
      <c r="F100" s="105" t="str">
        <f aca="false">IF($B100="","",IF(AE100&gt;=DAY($G$3),cfg_DAYS_M,MIN(AE100,cfg_DAYS_M)))</f>
        <v/>
      </c>
      <c r="G100" s="105" t="str">
        <f aca="false">IF($B100="","",SUMIFS('الحركات الشهرية'!$D$6:$D$1005,'الحركات الشهرية'!$B$6:$B$1005,$B100,'الحركات الشهرية'!$A$6:$A$1005,$C$3))</f>
        <v/>
      </c>
      <c r="H100" s="105" t="str">
        <f aca="false">IF($B100="","",SUMIFS('الحركات الشهرية'!$E$6:$E$1005,'الحركات الشهرية'!$B$6:$B$1005,$B100,'الحركات الشهرية'!$A$6:$A$1005,$C$3))</f>
        <v/>
      </c>
      <c r="I100" s="105" t="str">
        <f aca="false">IF($B100="","",MAX(0,F100-G100-H100))</f>
        <v/>
      </c>
      <c r="J100" s="86" t="str">
        <f aca="false">IF($B100="","",الموظفون!$J100*$I100/cfg_DAYS_M)</f>
        <v/>
      </c>
      <c r="K100" s="86" t="str">
        <f aca="false">IF($B100="","",الموظفون!$K100*$I100/cfg_DAYS_M)</f>
        <v/>
      </c>
      <c r="L100" s="86" t="str">
        <f aca="false">IF($B100="","",الموظفون!$L100*$I100/cfg_DAYS_M)</f>
        <v/>
      </c>
      <c r="M100" s="86" t="str">
        <f aca="false">IF($B100="","",الموظفون!$M100*$I100/cfg_DAYS_M)</f>
        <v/>
      </c>
      <c r="N100" s="105" t="str">
        <f aca="false">IF($B100="","",SUMIFS('الحركات الشهرية'!$F$6:$F$1005,'الحركات الشهرية'!$B$6:$B$1005,$B100,'الحركات الشهرية'!$A$6:$A$1005,$C$3))</f>
        <v/>
      </c>
      <c r="O100" s="86" t="str">
        <f aca="false">IF($B100="","",N100*(الموظفون!$N100+الموظفون!$J100*cfg_OT_P)/cfg_DAYS_M/cfg_HRS)</f>
        <v/>
      </c>
      <c r="P100" s="86" t="str">
        <f aca="false">IF($B100="","",SUMIFS('الحركات الشهرية'!$G$6:$G$1005,'الحركات الشهرية'!$B$6:$B$1005,$B100,'الحركات الشهرية'!$A$6:$A$1005,$C$3))</f>
        <v/>
      </c>
      <c r="Q100" s="86" t="str">
        <f aca="false">IF($B100="","",SUMIFS('الحركات الشهرية'!$H$6:$H$1005,'الحركات الشهرية'!$B$6:$B$1005,$B100,'الحركات الشهرية'!$A$6:$A$1005,$C$3))</f>
        <v/>
      </c>
      <c r="R100" s="106" t="str">
        <f aca="false">IF($B100="","",SUM(J100:M100)+SUM(O100:Q100))</f>
        <v/>
      </c>
      <c r="S100" s="86" t="str">
        <f aca="false">IF($B100="","",الموظفون!$Q100*IF(E100="سعودي",cfg_G_SE,cfg_G_NE)*F100/cfg_DAYS_M)</f>
        <v/>
      </c>
      <c r="T100" s="86" t="str">
        <f aca="false">IF($B100="","",SUMIFS('الحركات الشهرية'!$I$6:$I$1005,'الحركات الشهرية'!$B$6:$B$1005,$B100,'الحركات الشهرية'!$A$6:$A$1005,$C$3))</f>
        <v/>
      </c>
      <c r="U100" s="86" t="str">
        <f aca="false">IF($B100="","",SUMIFS('الحركات الشهرية'!$J$6:$J$1005,'الحركات الشهرية'!$B$6:$B$1005,$B100,'الحركات الشهرية'!$A$6:$A$1005,$C$3))</f>
        <v/>
      </c>
      <c r="V100" s="86" t="str">
        <f aca="false">IF($B100="","",SUM(S100:U100))</f>
        <v/>
      </c>
      <c r="W100" s="107" t="str">
        <f aca="false">IF($B100="","",R100-V100)</f>
        <v/>
      </c>
      <c r="X100" s="86" t="str">
        <f aca="false">IF($B100="","",الموظفون!$Q100*IF(E100="سعودي",cfg_G_SR,cfg_G_NR)*F100/cfg_DAYS_M)</f>
        <v/>
      </c>
      <c r="Y100" s="86" t="str">
        <f aca="false">IF($B100="","",الموظفون!$O100*(cfg_EOS_R1*(MIN(AC100,cfg_EOS_TH)-MIN(AD100,cfg_EOS_TH))+cfg_EOS_R2*(MAX(AC100-cfg_EOS_TH,0)-MAX(AD100-cfg_EOS_TH,0))))</f>
        <v/>
      </c>
      <c r="Z100" s="86" t="str">
        <f aca="false">IF($B100="","",IF(الموظفون!$R100&lt;&gt;"",الموظفون!$R100,IF(AC100&gt;=cfg_LV_TH,cfg_LV_D2,cfg_LV_D1))/cfg_DAYS_Y*AE100*الموظفون!$P100/cfg_DAYS_M)</f>
        <v/>
      </c>
      <c r="AA100" s="86" t="str">
        <f aca="false">IF($B100="","",IF(AND(الموظفون!$S100="نعم",N(الموظفون!$U100)&gt;0),الموظفون!$T100/الموظفون!$U100*12/cfg_DAYS_Y*AE100,0))</f>
        <v/>
      </c>
      <c r="AB100" s="108" t="str">
        <f aca="false">IF($B100="","",R100+SUM(X100:AA100))</f>
        <v/>
      </c>
      <c r="AC100" s="109" t="str">
        <f aca="false">IF($B100="","",MAX(0,IF(OR(الموظفون!$X100="",الموظفون!$X100&gt;$G$3),$G$3,الموظفون!$X100)-الموظفون!$H100+1)/cfg_DAYS_Y)</f>
        <v/>
      </c>
      <c r="AD100" s="109" t="str">
        <f aca="false">IF($B100="","",MAX(0,IF(OR(الموظفون!$X100="",الموظفون!$X100&gt;($E$3-1)),($E$3-1),الموظفون!$X100)-الموظفون!$H100+1)/cfg_DAYS_Y)</f>
        <v/>
      </c>
      <c r="AE100" s="51" t="str">
        <f aca="false">IF($B100="","",MAX(0,IF(OR(الموظفون!$X100="",الموظفون!$X100&gt;$G$3),$G$3,الموظفون!$X100)-MAX($E$3,الموظفون!$H100)+1))</f>
        <v/>
      </c>
    </row>
    <row r="101" customFormat="false" ht="15" hidden="false" customHeight="false" outlineLevel="0" collapsed="false">
      <c r="A101" s="89" t="str">
        <f aca="false">IF($B101="","",الموظفون!$A101)</f>
        <v/>
      </c>
      <c r="B101" s="91" t="str">
        <f aca="false">IF(الموظفون!$B101="","",الموظفون!$B101)</f>
        <v/>
      </c>
      <c r="C101" s="91" t="str">
        <f aca="false">IF($B101="","",الموظفون!$C101)</f>
        <v/>
      </c>
      <c r="D101" s="91" t="str">
        <f aca="false">IF($B101="","",الموظفون!$F101)</f>
        <v/>
      </c>
      <c r="E101" s="91" t="str">
        <f aca="false">IF($B101="","",الموظفون!$E101)</f>
        <v/>
      </c>
      <c r="F101" s="110" t="str">
        <f aca="false">IF($B101="","",IF(AE101&gt;=DAY($G$3),cfg_DAYS_M,MIN(AE101,cfg_DAYS_M)))</f>
        <v/>
      </c>
      <c r="G101" s="110" t="str">
        <f aca="false">IF($B101="","",SUMIFS('الحركات الشهرية'!$D$6:$D$1005,'الحركات الشهرية'!$B$6:$B$1005,$B101,'الحركات الشهرية'!$A$6:$A$1005,$C$3))</f>
        <v/>
      </c>
      <c r="H101" s="110" t="str">
        <f aca="false">IF($B101="","",SUMIFS('الحركات الشهرية'!$E$6:$E$1005,'الحركات الشهرية'!$B$6:$B$1005,$B101,'الحركات الشهرية'!$A$6:$A$1005,$C$3))</f>
        <v/>
      </c>
      <c r="I101" s="110" t="str">
        <f aca="false">IF($B101="","",MAX(0,F101-G101-H101))</f>
        <v/>
      </c>
      <c r="J101" s="90" t="str">
        <f aca="false">IF($B101="","",الموظفون!$J101*$I101/cfg_DAYS_M)</f>
        <v/>
      </c>
      <c r="K101" s="90" t="str">
        <f aca="false">IF($B101="","",الموظفون!$K101*$I101/cfg_DAYS_M)</f>
        <v/>
      </c>
      <c r="L101" s="90" t="str">
        <f aca="false">IF($B101="","",الموظفون!$L101*$I101/cfg_DAYS_M)</f>
        <v/>
      </c>
      <c r="M101" s="90" t="str">
        <f aca="false">IF($B101="","",الموظفون!$M101*$I101/cfg_DAYS_M)</f>
        <v/>
      </c>
      <c r="N101" s="110" t="str">
        <f aca="false">IF($B101="","",SUMIFS('الحركات الشهرية'!$F$6:$F$1005,'الحركات الشهرية'!$B$6:$B$1005,$B101,'الحركات الشهرية'!$A$6:$A$1005,$C$3))</f>
        <v/>
      </c>
      <c r="O101" s="90" t="str">
        <f aca="false">IF($B101="","",N101*(الموظفون!$N101+الموظفون!$J101*cfg_OT_P)/cfg_DAYS_M/cfg_HRS)</f>
        <v/>
      </c>
      <c r="P101" s="90" t="str">
        <f aca="false">IF($B101="","",SUMIFS('الحركات الشهرية'!$G$6:$G$1005,'الحركات الشهرية'!$B$6:$B$1005,$B101,'الحركات الشهرية'!$A$6:$A$1005,$C$3))</f>
        <v/>
      </c>
      <c r="Q101" s="90" t="str">
        <f aca="false">IF($B101="","",SUMIFS('الحركات الشهرية'!$H$6:$H$1005,'الحركات الشهرية'!$B$6:$B$1005,$B101,'الحركات الشهرية'!$A$6:$A$1005,$C$3))</f>
        <v/>
      </c>
      <c r="R101" s="111" t="str">
        <f aca="false">IF($B101="","",SUM(J101:M101)+SUM(O101:Q101))</f>
        <v/>
      </c>
      <c r="S101" s="90" t="str">
        <f aca="false">IF($B101="","",الموظفون!$Q101*IF(E101="سعودي",cfg_G_SE,cfg_G_NE)*F101/cfg_DAYS_M)</f>
        <v/>
      </c>
      <c r="T101" s="90" t="str">
        <f aca="false">IF($B101="","",SUMIFS('الحركات الشهرية'!$I$6:$I$1005,'الحركات الشهرية'!$B$6:$B$1005,$B101,'الحركات الشهرية'!$A$6:$A$1005,$C$3))</f>
        <v/>
      </c>
      <c r="U101" s="90" t="str">
        <f aca="false">IF($B101="","",SUMIFS('الحركات الشهرية'!$J$6:$J$1005,'الحركات الشهرية'!$B$6:$B$1005,$B101,'الحركات الشهرية'!$A$6:$A$1005,$C$3))</f>
        <v/>
      </c>
      <c r="V101" s="90" t="str">
        <f aca="false">IF($B101="","",SUM(S101:U101))</f>
        <v/>
      </c>
      <c r="W101" s="112" t="str">
        <f aca="false">IF($B101="","",R101-V101)</f>
        <v/>
      </c>
      <c r="X101" s="90" t="str">
        <f aca="false">IF($B101="","",الموظفون!$Q101*IF(E101="سعودي",cfg_G_SR,cfg_G_NR)*F101/cfg_DAYS_M)</f>
        <v/>
      </c>
      <c r="Y101" s="90" t="str">
        <f aca="false">IF($B101="","",الموظفون!$O101*(cfg_EOS_R1*(MIN(AC101,cfg_EOS_TH)-MIN(AD101,cfg_EOS_TH))+cfg_EOS_R2*(MAX(AC101-cfg_EOS_TH,0)-MAX(AD101-cfg_EOS_TH,0))))</f>
        <v/>
      </c>
      <c r="Z101" s="90" t="str">
        <f aca="false">IF($B101="","",IF(الموظفون!$R101&lt;&gt;"",الموظفون!$R101,IF(AC101&gt;=cfg_LV_TH,cfg_LV_D2,cfg_LV_D1))/cfg_DAYS_Y*AE101*الموظفون!$P101/cfg_DAYS_M)</f>
        <v/>
      </c>
      <c r="AA101" s="90" t="str">
        <f aca="false">IF($B101="","",IF(AND(الموظفون!$S101="نعم",N(الموظفون!$U101)&gt;0),الموظفون!$T101/الموظفون!$U101*12/cfg_DAYS_Y*AE101,0))</f>
        <v/>
      </c>
      <c r="AB101" s="113" t="str">
        <f aca="false">IF($B101="","",R101+SUM(X101:AA101))</f>
        <v/>
      </c>
      <c r="AC101" s="114" t="str">
        <f aca="false">IF($B101="","",MAX(0,IF(OR(الموظفون!$X101="",الموظفون!$X101&gt;$G$3),$G$3,الموظفون!$X101)-الموظفون!$H101+1)/cfg_DAYS_Y)</f>
        <v/>
      </c>
      <c r="AD101" s="114" t="str">
        <f aca="false">IF($B101="","",MAX(0,IF(OR(الموظفون!$X101="",الموظفون!$X101&gt;($E$3-1)),($E$3-1),الموظفون!$X101)-الموظفون!$H101+1)/cfg_DAYS_Y)</f>
        <v/>
      </c>
      <c r="AE101" s="115" t="str">
        <f aca="false">IF($B101="","",MAX(0,IF(OR(الموظفون!$X101="",الموظفون!$X101&gt;$G$3),$G$3,الموظفون!$X101)-MAX($E$3,الموظفون!$H101)+1))</f>
        <v/>
      </c>
    </row>
    <row r="102" customFormat="false" ht="15" hidden="false" customHeight="false" outlineLevel="0" collapsed="false">
      <c r="A102" s="83" t="str">
        <f aca="false">IF($B102="","",الموظفون!$A102)</f>
        <v/>
      </c>
      <c r="B102" s="74" t="str">
        <f aca="false">IF(الموظفون!$B102="","",الموظفون!$B102)</f>
        <v/>
      </c>
      <c r="C102" s="74" t="str">
        <f aca="false">IF($B102="","",الموظفون!$C102)</f>
        <v/>
      </c>
      <c r="D102" s="74" t="str">
        <f aca="false">IF($B102="","",الموظفون!$F102)</f>
        <v/>
      </c>
      <c r="E102" s="74" t="str">
        <f aca="false">IF($B102="","",الموظفون!$E102)</f>
        <v/>
      </c>
      <c r="F102" s="105" t="str">
        <f aca="false">IF($B102="","",IF(AE102&gt;=DAY($G$3),cfg_DAYS_M,MIN(AE102,cfg_DAYS_M)))</f>
        <v/>
      </c>
      <c r="G102" s="105" t="str">
        <f aca="false">IF($B102="","",SUMIFS('الحركات الشهرية'!$D$6:$D$1005,'الحركات الشهرية'!$B$6:$B$1005,$B102,'الحركات الشهرية'!$A$6:$A$1005,$C$3))</f>
        <v/>
      </c>
      <c r="H102" s="105" t="str">
        <f aca="false">IF($B102="","",SUMIFS('الحركات الشهرية'!$E$6:$E$1005,'الحركات الشهرية'!$B$6:$B$1005,$B102,'الحركات الشهرية'!$A$6:$A$1005,$C$3))</f>
        <v/>
      </c>
      <c r="I102" s="105" t="str">
        <f aca="false">IF($B102="","",MAX(0,F102-G102-H102))</f>
        <v/>
      </c>
      <c r="J102" s="86" t="str">
        <f aca="false">IF($B102="","",الموظفون!$J102*$I102/cfg_DAYS_M)</f>
        <v/>
      </c>
      <c r="K102" s="86" t="str">
        <f aca="false">IF($B102="","",الموظفون!$K102*$I102/cfg_DAYS_M)</f>
        <v/>
      </c>
      <c r="L102" s="86" t="str">
        <f aca="false">IF($B102="","",الموظفون!$L102*$I102/cfg_DAYS_M)</f>
        <v/>
      </c>
      <c r="M102" s="86" t="str">
        <f aca="false">IF($B102="","",الموظفون!$M102*$I102/cfg_DAYS_M)</f>
        <v/>
      </c>
      <c r="N102" s="105" t="str">
        <f aca="false">IF($B102="","",SUMIFS('الحركات الشهرية'!$F$6:$F$1005,'الحركات الشهرية'!$B$6:$B$1005,$B102,'الحركات الشهرية'!$A$6:$A$1005,$C$3))</f>
        <v/>
      </c>
      <c r="O102" s="86" t="str">
        <f aca="false">IF($B102="","",N102*(الموظفون!$N102+الموظفون!$J102*cfg_OT_P)/cfg_DAYS_M/cfg_HRS)</f>
        <v/>
      </c>
      <c r="P102" s="86" t="str">
        <f aca="false">IF($B102="","",SUMIFS('الحركات الشهرية'!$G$6:$G$1005,'الحركات الشهرية'!$B$6:$B$1005,$B102,'الحركات الشهرية'!$A$6:$A$1005,$C$3))</f>
        <v/>
      </c>
      <c r="Q102" s="86" t="str">
        <f aca="false">IF($B102="","",SUMIFS('الحركات الشهرية'!$H$6:$H$1005,'الحركات الشهرية'!$B$6:$B$1005,$B102,'الحركات الشهرية'!$A$6:$A$1005,$C$3))</f>
        <v/>
      </c>
      <c r="R102" s="106" t="str">
        <f aca="false">IF($B102="","",SUM(J102:M102)+SUM(O102:Q102))</f>
        <v/>
      </c>
      <c r="S102" s="86" t="str">
        <f aca="false">IF($B102="","",الموظفون!$Q102*IF(E102="سعودي",cfg_G_SE,cfg_G_NE)*F102/cfg_DAYS_M)</f>
        <v/>
      </c>
      <c r="T102" s="86" t="str">
        <f aca="false">IF($B102="","",SUMIFS('الحركات الشهرية'!$I$6:$I$1005,'الحركات الشهرية'!$B$6:$B$1005,$B102,'الحركات الشهرية'!$A$6:$A$1005,$C$3))</f>
        <v/>
      </c>
      <c r="U102" s="86" t="str">
        <f aca="false">IF($B102="","",SUMIFS('الحركات الشهرية'!$J$6:$J$1005,'الحركات الشهرية'!$B$6:$B$1005,$B102,'الحركات الشهرية'!$A$6:$A$1005,$C$3))</f>
        <v/>
      </c>
      <c r="V102" s="86" t="str">
        <f aca="false">IF($B102="","",SUM(S102:U102))</f>
        <v/>
      </c>
      <c r="W102" s="107" t="str">
        <f aca="false">IF($B102="","",R102-V102)</f>
        <v/>
      </c>
      <c r="X102" s="86" t="str">
        <f aca="false">IF($B102="","",الموظفون!$Q102*IF(E102="سعودي",cfg_G_SR,cfg_G_NR)*F102/cfg_DAYS_M)</f>
        <v/>
      </c>
      <c r="Y102" s="86" t="str">
        <f aca="false">IF($B102="","",الموظفون!$O102*(cfg_EOS_R1*(MIN(AC102,cfg_EOS_TH)-MIN(AD102,cfg_EOS_TH))+cfg_EOS_R2*(MAX(AC102-cfg_EOS_TH,0)-MAX(AD102-cfg_EOS_TH,0))))</f>
        <v/>
      </c>
      <c r="Z102" s="86" t="str">
        <f aca="false">IF($B102="","",IF(الموظفون!$R102&lt;&gt;"",الموظفون!$R102,IF(AC102&gt;=cfg_LV_TH,cfg_LV_D2,cfg_LV_D1))/cfg_DAYS_Y*AE102*الموظفون!$P102/cfg_DAYS_M)</f>
        <v/>
      </c>
      <c r="AA102" s="86" t="str">
        <f aca="false">IF($B102="","",IF(AND(الموظفون!$S102="نعم",N(الموظفون!$U102)&gt;0),الموظفون!$T102/الموظفون!$U102*12/cfg_DAYS_Y*AE102,0))</f>
        <v/>
      </c>
      <c r="AB102" s="108" t="str">
        <f aca="false">IF($B102="","",R102+SUM(X102:AA102))</f>
        <v/>
      </c>
      <c r="AC102" s="109" t="str">
        <f aca="false">IF($B102="","",MAX(0,IF(OR(الموظفون!$X102="",الموظفون!$X102&gt;$G$3),$G$3,الموظفون!$X102)-الموظفون!$H102+1)/cfg_DAYS_Y)</f>
        <v/>
      </c>
      <c r="AD102" s="109" t="str">
        <f aca="false">IF($B102="","",MAX(0,IF(OR(الموظفون!$X102="",الموظفون!$X102&gt;($E$3-1)),($E$3-1),الموظفون!$X102)-الموظفون!$H102+1)/cfg_DAYS_Y)</f>
        <v/>
      </c>
      <c r="AE102" s="51" t="str">
        <f aca="false">IF($B102="","",MAX(0,IF(OR(الموظفون!$X102="",الموظفون!$X102&gt;$G$3),$G$3,الموظفون!$X102)-MAX($E$3,الموظفون!$H102)+1))</f>
        <v/>
      </c>
    </row>
    <row r="103" customFormat="false" ht="15" hidden="false" customHeight="false" outlineLevel="0" collapsed="false">
      <c r="A103" s="89" t="str">
        <f aca="false">IF($B103="","",الموظفون!$A103)</f>
        <v/>
      </c>
      <c r="B103" s="91" t="str">
        <f aca="false">IF(الموظفون!$B103="","",الموظفون!$B103)</f>
        <v/>
      </c>
      <c r="C103" s="91" t="str">
        <f aca="false">IF($B103="","",الموظفون!$C103)</f>
        <v/>
      </c>
      <c r="D103" s="91" t="str">
        <f aca="false">IF($B103="","",الموظفون!$F103)</f>
        <v/>
      </c>
      <c r="E103" s="91" t="str">
        <f aca="false">IF($B103="","",الموظفون!$E103)</f>
        <v/>
      </c>
      <c r="F103" s="110" t="str">
        <f aca="false">IF($B103="","",IF(AE103&gt;=DAY($G$3),cfg_DAYS_M,MIN(AE103,cfg_DAYS_M)))</f>
        <v/>
      </c>
      <c r="G103" s="110" t="str">
        <f aca="false">IF($B103="","",SUMIFS('الحركات الشهرية'!$D$6:$D$1005,'الحركات الشهرية'!$B$6:$B$1005,$B103,'الحركات الشهرية'!$A$6:$A$1005,$C$3))</f>
        <v/>
      </c>
      <c r="H103" s="110" t="str">
        <f aca="false">IF($B103="","",SUMIFS('الحركات الشهرية'!$E$6:$E$1005,'الحركات الشهرية'!$B$6:$B$1005,$B103,'الحركات الشهرية'!$A$6:$A$1005,$C$3))</f>
        <v/>
      </c>
      <c r="I103" s="110" t="str">
        <f aca="false">IF($B103="","",MAX(0,F103-G103-H103))</f>
        <v/>
      </c>
      <c r="J103" s="90" t="str">
        <f aca="false">IF($B103="","",الموظفون!$J103*$I103/cfg_DAYS_M)</f>
        <v/>
      </c>
      <c r="K103" s="90" t="str">
        <f aca="false">IF($B103="","",الموظفون!$K103*$I103/cfg_DAYS_M)</f>
        <v/>
      </c>
      <c r="L103" s="90" t="str">
        <f aca="false">IF($B103="","",الموظفون!$L103*$I103/cfg_DAYS_M)</f>
        <v/>
      </c>
      <c r="M103" s="90" t="str">
        <f aca="false">IF($B103="","",الموظفون!$M103*$I103/cfg_DAYS_M)</f>
        <v/>
      </c>
      <c r="N103" s="110" t="str">
        <f aca="false">IF($B103="","",SUMIFS('الحركات الشهرية'!$F$6:$F$1005,'الحركات الشهرية'!$B$6:$B$1005,$B103,'الحركات الشهرية'!$A$6:$A$1005,$C$3))</f>
        <v/>
      </c>
      <c r="O103" s="90" t="str">
        <f aca="false">IF($B103="","",N103*(الموظفون!$N103+الموظفون!$J103*cfg_OT_P)/cfg_DAYS_M/cfg_HRS)</f>
        <v/>
      </c>
      <c r="P103" s="90" t="str">
        <f aca="false">IF($B103="","",SUMIFS('الحركات الشهرية'!$G$6:$G$1005,'الحركات الشهرية'!$B$6:$B$1005,$B103,'الحركات الشهرية'!$A$6:$A$1005,$C$3))</f>
        <v/>
      </c>
      <c r="Q103" s="90" t="str">
        <f aca="false">IF($B103="","",SUMIFS('الحركات الشهرية'!$H$6:$H$1005,'الحركات الشهرية'!$B$6:$B$1005,$B103,'الحركات الشهرية'!$A$6:$A$1005,$C$3))</f>
        <v/>
      </c>
      <c r="R103" s="111" t="str">
        <f aca="false">IF($B103="","",SUM(J103:M103)+SUM(O103:Q103))</f>
        <v/>
      </c>
      <c r="S103" s="90" t="str">
        <f aca="false">IF($B103="","",الموظفون!$Q103*IF(E103="سعودي",cfg_G_SE,cfg_G_NE)*F103/cfg_DAYS_M)</f>
        <v/>
      </c>
      <c r="T103" s="90" t="str">
        <f aca="false">IF($B103="","",SUMIFS('الحركات الشهرية'!$I$6:$I$1005,'الحركات الشهرية'!$B$6:$B$1005,$B103,'الحركات الشهرية'!$A$6:$A$1005,$C$3))</f>
        <v/>
      </c>
      <c r="U103" s="90" t="str">
        <f aca="false">IF($B103="","",SUMIFS('الحركات الشهرية'!$J$6:$J$1005,'الحركات الشهرية'!$B$6:$B$1005,$B103,'الحركات الشهرية'!$A$6:$A$1005,$C$3))</f>
        <v/>
      </c>
      <c r="V103" s="90" t="str">
        <f aca="false">IF($B103="","",SUM(S103:U103))</f>
        <v/>
      </c>
      <c r="W103" s="112" t="str">
        <f aca="false">IF($B103="","",R103-V103)</f>
        <v/>
      </c>
      <c r="X103" s="90" t="str">
        <f aca="false">IF($B103="","",الموظفون!$Q103*IF(E103="سعودي",cfg_G_SR,cfg_G_NR)*F103/cfg_DAYS_M)</f>
        <v/>
      </c>
      <c r="Y103" s="90" t="str">
        <f aca="false">IF($B103="","",الموظفون!$O103*(cfg_EOS_R1*(MIN(AC103,cfg_EOS_TH)-MIN(AD103,cfg_EOS_TH))+cfg_EOS_R2*(MAX(AC103-cfg_EOS_TH,0)-MAX(AD103-cfg_EOS_TH,0))))</f>
        <v/>
      </c>
      <c r="Z103" s="90" t="str">
        <f aca="false">IF($B103="","",IF(الموظفون!$R103&lt;&gt;"",الموظفون!$R103,IF(AC103&gt;=cfg_LV_TH,cfg_LV_D2,cfg_LV_D1))/cfg_DAYS_Y*AE103*الموظفون!$P103/cfg_DAYS_M)</f>
        <v/>
      </c>
      <c r="AA103" s="90" t="str">
        <f aca="false">IF($B103="","",IF(AND(الموظفون!$S103="نعم",N(الموظفون!$U103)&gt;0),الموظفون!$T103/الموظفون!$U103*12/cfg_DAYS_Y*AE103,0))</f>
        <v/>
      </c>
      <c r="AB103" s="113" t="str">
        <f aca="false">IF($B103="","",R103+SUM(X103:AA103))</f>
        <v/>
      </c>
      <c r="AC103" s="114" t="str">
        <f aca="false">IF($B103="","",MAX(0,IF(OR(الموظفون!$X103="",الموظفون!$X103&gt;$G$3),$G$3,الموظفون!$X103)-الموظفون!$H103+1)/cfg_DAYS_Y)</f>
        <v/>
      </c>
      <c r="AD103" s="114" t="str">
        <f aca="false">IF($B103="","",MAX(0,IF(OR(الموظفون!$X103="",الموظفون!$X103&gt;($E$3-1)),($E$3-1),الموظفون!$X103)-الموظفون!$H103+1)/cfg_DAYS_Y)</f>
        <v/>
      </c>
      <c r="AE103" s="115" t="str">
        <f aca="false">IF($B103="","",MAX(0,IF(OR(الموظفون!$X103="",الموظفون!$X103&gt;$G$3),$G$3,الموظفون!$X103)-MAX($E$3,الموظفون!$H103)+1))</f>
        <v/>
      </c>
    </row>
    <row r="104" customFormat="false" ht="15" hidden="false" customHeight="false" outlineLevel="0" collapsed="false">
      <c r="A104" s="83" t="str">
        <f aca="false">IF($B104="","",الموظفون!$A104)</f>
        <v/>
      </c>
      <c r="B104" s="74" t="str">
        <f aca="false">IF(الموظفون!$B104="","",الموظفون!$B104)</f>
        <v/>
      </c>
      <c r="C104" s="74" t="str">
        <f aca="false">IF($B104="","",الموظفون!$C104)</f>
        <v/>
      </c>
      <c r="D104" s="74" t="str">
        <f aca="false">IF($B104="","",الموظفون!$F104)</f>
        <v/>
      </c>
      <c r="E104" s="74" t="str">
        <f aca="false">IF($B104="","",الموظفون!$E104)</f>
        <v/>
      </c>
      <c r="F104" s="105" t="str">
        <f aca="false">IF($B104="","",IF(AE104&gt;=DAY($G$3),cfg_DAYS_M,MIN(AE104,cfg_DAYS_M)))</f>
        <v/>
      </c>
      <c r="G104" s="105" t="str">
        <f aca="false">IF($B104="","",SUMIFS('الحركات الشهرية'!$D$6:$D$1005,'الحركات الشهرية'!$B$6:$B$1005,$B104,'الحركات الشهرية'!$A$6:$A$1005,$C$3))</f>
        <v/>
      </c>
      <c r="H104" s="105" t="str">
        <f aca="false">IF($B104="","",SUMIFS('الحركات الشهرية'!$E$6:$E$1005,'الحركات الشهرية'!$B$6:$B$1005,$B104,'الحركات الشهرية'!$A$6:$A$1005,$C$3))</f>
        <v/>
      </c>
      <c r="I104" s="105" t="str">
        <f aca="false">IF($B104="","",MAX(0,F104-G104-H104))</f>
        <v/>
      </c>
      <c r="J104" s="86" t="str">
        <f aca="false">IF($B104="","",الموظفون!$J104*$I104/cfg_DAYS_M)</f>
        <v/>
      </c>
      <c r="K104" s="86" t="str">
        <f aca="false">IF($B104="","",الموظفون!$K104*$I104/cfg_DAYS_M)</f>
        <v/>
      </c>
      <c r="L104" s="86" t="str">
        <f aca="false">IF($B104="","",الموظفون!$L104*$I104/cfg_DAYS_M)</f>
        <v/>
      </c>
      <c r="M104" s="86" t="str">
        <f aca="false">IF($B104="","",الموظفون!$M104*$I104/cfg_DAYS_M)</f>
        <v/>
      </c>
      <c r="N104" s="105" t="str">
        <f aca="false">IF($B104="","",SUMIFS('الحركات الشهرية'!$F$6:$F$1005,'الحركات الشهرية'!$B$6:$B$1005,$B104,'الحركات الشهرية'!$A$6:$A$1005,$C$3))</f>
        <v/>
      </c>
      <c r="O104" s="86" t="str">
        <f aca="false">IF($B104="","",N104*(الموظفون!$N104+الموظفون!$J104*cfg_OT_P)/cfg_DAYS_M/cfg_HRS)</f>
        <v/>
      </c>
      <c r="P104" s="86" t="str">
        <f aca="false">IF($B104="","",SUMIFS('الحركات الشهرية'!$G$6:$G$1005,'الحركات الشهرية'!$B$6:$B$1005,$B104,'الحركات الشهرية'!$A$6:$A$1005,$C$3))</f>
        <v/>
      </c>
      <c r="Q104" s="86" t="str">
        <f aca="false">IF($B104="","",SUMIFS('الحركات الشهرية'!$H$6:$H$1005,'الحركات الشهرية'!$B$6:$B$1005,$B104,'الحركات الشهرية'!$A$6:$A$1005,$C$3))</f>
        <v/>
      </c>
      <c r="R104" s="106" t="str">
        <f aca="false">IF($B104="","",SUM(J104:M104)+SUM(O104:Q104))</f>
        <v/>
      </c>
      <c r="S104" s="86" t="str">
        <f aca="false">IF($B104="","",الموظفون!$Q104*IF(E104="سعودي",cfg_G_SE,cfg_G_NE)*F104/cfg_DAYS_M)</f>
        <v/>
      </c>
      <c r="T104" s="86" t="str">
        <f aca="false">IF($B104="","",SUMIFS('الحركات الشهرية'!$I$6:$I$1005,'الحركات الشهرية'!$B$6:$B$1005,$B104,'الحركات الشهرية'!$A$6:$A$1005,$C$3))</f>
        <v/>
      </c>
      <c r="U104" s="86" t="str">
        <f aca="false">IF($B104="","",SUMIFS('الحركات الشهرية'!$J$6:$J$1005,'الحركات الشهرية'!$B$6:$B$1005,$B104,'الحركات الشهرية'!$A$6:$A$1005,$C$3))</f>
        <v/>
      </c>
      <c r="V104" s="86" t="str">
        <f aca="false">IF($B104="","",SUM(S104:U104))</f>
        <v/>
      </c>
      <c r="W104" s="107" t="str">
        <f aca="false">IF($B104="","",R104-V104)</f>
        <v/>
      </c>
      <c r="X104" s="86" t="str">
        <f aca="false">IF($B104="","",الموظفون!$Q104*IF(E104="سعودي",cfg_G_SR,cfg_G_NR)*F104/cfg_DAYS_M)</f>
        <v/>
      </c>
      <c r="Y104" s="86" t="str">
        <f aca="false">IF($B104="","",الموظفون!$O104*(cfg_EOS_R1*(MIN(AC104,cfg_EOS_TH)-MIN(AD104,cfg_EOS_TH))+cfg_EOS_R2*(MAX(AC104-cfg_EOS_TH,0)-MAX(AD104-cfg_EOS_TH,0))))</f>
        <v/>
      </c>
      <c r="Z104" s="86" t="str">
        <f aca="false">IF($B104="","",IF(الموظفون!$R104&lt;&gt;"",الموظفون!$R104,IF(AC104&gt;=cfg_LV_TH,cfg_LV_D2,cfg_LV_D1))/cfg_DAYS_Y*AE104*الموظفون!$P104/cfg_DAYS_M)</f>
        <v/>
      </c>
      <c r="AA104" s="86" t="str">
        <f aca="false">IF($B104="","",IF(AND(الموظفون!$S104="نعم",N(الموظفون!$U104)&gt;0),الموظفون!$T104/الموظفون!$U104*12/cfg_DAYS_Y*AE104,0))</f>
        <v/>
      </c>
      <c r="AB104" s="108" t="str">
        <f aca="false">IF($B104="","",R104+SUM(X104:AA104))</f>
        <v/>
      </c>
      <c r="AC104" s="109" t="str">
        <f aca="false">IF($B104="","",MAX(0,IF(OR(الموظفون!$X104="",الموظفون!$X104&gt;$G$3),$G$3,الموظفون!$X104)-الموظفون!$H104+1)/cfg_DAYS_Y)</f>
        <v/>
      </c>
      <c r="AD104" s="109" t="str">
        <f aca="false">IF($B104="","",MAX(0,IF(OR(الموظفون!$X104="",الموظفون!$X104&gt;($E$3-1)),($E$3-1),الموظفون!$X104)-الموظفون!$H104+1)/cfg_DAYS_Y)</f>
        <v/>
      </c>
      <c r="AE104" s="51" t="str">
        <f aca="false">IF($B104="","",MAX(0,IF(OR(الموظفون!$X104="",الموظفون!$X104&gt;$G$3),$G$3,الموظفون!$X104)-MAX($E$3,الموظفون!$H104)+1))</f>
        <v/>
      </c>
    </row>
    <row r="105" customFormat="false" ht="15" hidden="false" customHeight="false" outlineLevel="0" collapsed="false">
      <c r="A105" s="89" t="str">
        <f aca="false">IF($B105="","",الموظفون!$A105)</f>
        <v/>
      </c>
      <c r="B105" s="91" t="str">
        <f aca="false">IF(الموظفون!$B105="","",الموظفون!$B105)</f>
        <v/>
      </c>
      <c r="C105" s="91" t="str">
        <f aca="false">IF($B105="","",الموظفون!$C105)</f>
        <v/>
      </c>
      <c r="D105" s="91" t="str">
        <f aca="false">IF($B105="","",الموظفون!$F105)</f>
        <v/>
      </c>
      <c r="E105" s="91" t="str">
        <f aca="false">IF($B105="","",الموظفون!$E105)</f>
        <v/>
      </c>
      <c r="F105" s="110" t="str">
        <f aca="false">IF($B105="","",IF(AE105&gt;=DAY($G$3),cfg_DAYS_M,MIN(AE105,cfg_DAYS_M)))</f>
        <v/>
      </c>
      <c r="G105" s="110" t="str">
        <f aca="false">IF($B105="","",SUMIFS('الحركات الشهرية'!$D$6:$D$1005,'الحركات الشهرية'!$B$6:$B$1005,$B105,'الحركات الشهرية'!$A$6:$A$1005,$C$3))</f>
        <v/>
      </c>
      <c r="H105" s="110" t="str">
        <f aca="false">IF($B105="","",SUMIFS('الحركات الشهرية'!$E$6:$E$1005,'الحركات الشهرية'!$B$6:$B$1005,$B105,'الحركات الشهرية'!$A$6:$A$1005,$C$3))</f>
        <v/>
      </c>
      <c r="I105" s="110" t="str">
        <f aca="false">IF($B105="","",MAX(0,F105-G105-H105))</f>
        <v/>
      </c>
      <c r="J105" s="90" t="str">
        <f aca="false">IF($B105="","",الموظفون!$J105*$I105/cfg_DAYS_M)</f>
        <v/>
      </c>
      <c r="K105" s="90" t="str">
        <f aca="false">IF($B105="","",الموظفون!$K105*$I105/cfg_DAYS_M)</f>
        <v/>
      </c>
      <c r="L105" s="90" t="str">
        <f aca="false">IF($B105="","",الموظفون!$L105*$I105/cfg_DAYS_M)</f>
        <v/>
      </c>
      <c r="M105" s="90" t="str">
        <f aca="false">IF($B105="","",الموظفون!$M105*$I105/cfg_DAYS_M)</f>
        <v/>
      </c>
      <c r="N105" s="110" t="str">
        <f aca="false">IF($B105="","",SUMIFS('الحركات الشهرية'!$F$6:$F$1005,'الحركات الشهرية'!$B$6:$B$1005,$B105,'الحركات الشهرية'!$A$6:$A$1005,$C$3))</f>
        <v/>
      </c>
      <c r="O105" s="90" t="str">
        <f aca="false">IF($B105="","",N105*(الموظفون!$N105+الموظفون!$J105*cfg_OT_P)/cfg_DAYS_M/cfg_HRS)</f>
        <v/>
      </c>
      <c r="P105" s="90" t="str">
        <f aca="false">IF($B105="","",SUMIFS('الحركات الشهرية'!$G$6:$G$1005,'الحركات الشهرية'!$B$6:$B$1005,$B105,'الحركات الشهرية'!$A$6:$A$1005,$C$3))</f>
        <v/>
      </c>
      <c r="Q105" s="90" t="str">
        <f aca="false">IF($B105="","",SUMIFS('الحركات الشهرية'!$H$6:$H$1005,'الحركات الشهرية'!$B$6:$B$1005,$B105,'الحركات الشهرية'!$A$6:$A$1005,$C$3))</f>
        <v/>
      </c>
      <c r="R105" s="111" t="str">
        <f aca="false">IF($B105="","",SUM(J105:M105)+SUM(O105:Q105))</f>
        <v/>
      </c>
      <c r="S105" s="90" t="str">
        <f aca="false">IF($B105="","",الموظفون!$Q105*IF(E105="سعودي",cfg_G_SE,cfg_G_NE)*F105/cfg_DAYS_M)</f>
        <v/>
      </c>
      <c r="T105" s="90" t="str">
        <f aca="false">IF($B105="","",SUMIFS('الحركات الشهرية'!$I$6:$I$1005,'الحركات الشهرية'!$B$6:$B$1005,$B105,'الحركات الشهرية'!$A$6:$A$1005,$C$3))</f>
        <v/>
      </c>
      <c r="U105" s="90" t="str">
        <f aca="false">IF($B105="","",SUMIFS('الحركات الشهرية'!$J$6:$J$1005,'الحركات الشهرية'!$B$6:$B$1005,$B105,'الحركات الشهرية'!$A$6:$A$1005,$C$3))</f>
        <v/>
      </c>
      <c r="V105" s="90" t="str">
        <f aca="false">IF($B105="","",SUM(S105:U105))</f>
        <v/>
      </c>
      <c r="W105" s="112" t="str">
        <f aca="false">IF($B105="","",R105-V105)</f>
        <v/>
      </c>
      <c r="X105" s="90" t="str">
        <f aca="false">IF($B105="","",الموظفون!$Q105*IF(E105="سعودي",cfg_G_SR,cfg_G_NR)*F105/cfg_DAYS_M)</f>
        <v/>
      </c>
      <c r="Y105" s="90" t="str">
        <f aca="false">IF($B105="","",الموظفون!$O105*(cfg_EOS_R1*(MIN(AC105,cfg_EOS_TH)-MIN(AD105,cfg_EOS_TH))+cfg_EOS_R2*(MAX(AC105-cfg_EOS_TH,0)-MAX(AD105-cfg_EOS_TH,0))))</f>
        <v/>
      </c>
      <c r="Z105" s="90" t="str">
        <f aca="false">IF($B105="","",IF(الموظفون!$R105&lt;&gt;"",الموظفون!$R105,IF(AC105&gt;=cfg_LV_TH,cfg_LV_D2,cfg_LV_D1))/cfg_DAYS_Y*AE105*الموظفون!$P105/cfg_DAYS_M)</f>
        <v/>
      </c>
      <c r="AA105" s="90" t="str">
        <f aca="false">IF($B105="","",IF(AND(الموظفون!$S105="نعم",N(الموظفون!$U105)&gt;0),الموظفون!$T105/الموظفون!$U105*12/cfg_DAYS_Y*AE105,0))</f>
        <v/>
      </c>
      <c r="AB105" s="113" t="str">
        <f aca="false">IF($B105="","",R105+SUM(X105:AA105))</f>
        <v/>
      </c>
      <c r="AC105" s="114" t="str">
        <f aca="false">IF($B105="","",MAX(0,IF(OR(الموظفون!$X105="",الموظفون!$X105&gt;$G$3),$G$3,الموظفون!$X105)-الموظفون!$H105+1)/cfg_DAYS_Y)</f>
        <v/>
      </c>
      <c r="AD105" s="114" t="str">
        <f aca="false">IF($B105="","",MAX(0,IF(OR(الموظفون!$X105="",الموظفون!$X105&gt;($E$3-1)),($E$3-1),الموظفون!$X105)-الموظفون!$H105+1)/cfg_DAYS_Y)</f>
        <v/>
      </c>
      <c r="AE105" s="115" t="str">
        <f aca="false">IF($B105="","",MAX(0,IF(OR(الموظفون!$X105="",الموظفون!$X105&gt;$G$3),$G$3,الموظفون!$X105)-MAX($E$3,الموظفون!$H105)+1))</f>
        <v/>
      </c>
    </row>
    <row r="106" customFormat="false" ht="24" hidden="false" customHeight="true" outlineLevel="0" collapsed="false">
      <c r="A106" s="92"/>
      <c r="B106" s="92" t="str">
        <f aca="false">COUNTIF(F6:F105,"&gt;0")&amp;" موظف"</f>
        <v>11 موظف</v>
      </c>
      <c r="C106" s="92" t="s">
        <v>101</v>
      </c>
      <c r="D106" s="92"/>
      <c r="E106" s="92"/>
      <c r="F106" s="92"/>
      <c r="G106" s="116" t="n">
        <f aca="false">SUM(G6:G105)</f>
        <v>0</v>
      </c>
      <c r="H106" s="116" t="n">
        <f aca="false">SUM(H6:H105)</f>
        <v>0</v>
      </c>
      <c r="I106" s="116" t="n">
        <f aca="false">SUM(I6:I105)</f>
        <v>330</v>
      </c>
      <c r="J106" s="92" t="n">
        <f aca="false">SUM(J6:J105)</f>
        <v>136500</v>
      </c>
      <c r="K106" s="92" t="n">
        <f aca="false">SUM(K6:K105)</f>
        <v>34125</v>
      </c>
      <c r="L106" s="92" t="n">
        <f aca="false">SUM(L6:L105)</f>
        <v>13650</v>
      </c>
      <c r="M106" s="92" t="n">
        <f aca="false">SUM(M6:M105)</f>
        <v>10300</v>
      </c>
      <c r="N106" s="116" t="n">
        <f aca="false">SUM(N6:N105)</f>
        <v>0</v>
      </c>
      <c r="O106" s="92" t="n">
        <f aca="false">SUM(O6:O105)</f>
        <v>0</v>
      </c>
      <c r="P106" s="92" t="n">
        <f aca="false">SUM(P6:P105)</f>
        <v>0</v>
      </c>
      <c r="Q106" s="92" t="n">
        <f aca="false">SUM(Q6:Q105)</f>
        <v>0</v>
      </c>
      <c r="R106" s="92" t="n">
        <f aca="false">SUM(R6:R105)</f>
        <v>194575</v>
      </c>
      <c r="S106" s="92" t="n">
        <f aca="false">SUM(S6:S105)</f>
        <v>12370.3125</v>
      </c>
      <c r="T106" s="92" t="n">
        <f aca="false">SUM(T6:T105)</f>
        <v>0</v>
      </c>
      <c r="U106" s="92" t="n">
        <f aca="false">SUM(U6:U105)</f>
        <v>0</v>
      </c>
      <c r="V106" s="92" t="n">
        <f aca="false">SUM(V6:V105)</f>
        <v>12370.3125</v>
      </c>
      <c r="W106" s="92" t="n">
        <f aca="false">SUM(W6:W105)</f>
        <v>182204.6875</v>
      </c>
      <c r="X106" s="92" t="n">
        <f aca="false">SUM(X6:X105)</f>
        <v>15782.8125</v>
      </c>
      <c r="Y106" s="92" t="n">
        <f aca="false">SUM(Y6:Y105)</f>
        <v>14016.8835616438</v>
      </c>
      <c r="Z106" s="92" t="n">
        <f aca="false">SUM(Z6:Z105)</f>
        <v>14670.4315068493</v>
      </c>
      <c r="AA106" s="92" t="n">
        <f aca="false">SUM(AA6:AA105)</f>
        <v>849.315068493151</v>
      </c>
      <c r="AB106" s="92" t="n">
        <f aca="false">SUM(AB6:AB105)</f>
        <v>239894.442636986</v>
      </c>
      <c r="AC106" s="92"/>
      <c r="AD106" s="92"/>
      <c r="AE106" s="92"/>
    </row>
    <row r="107" customFormat="false" ht="43.5" hidden="false" customHeight="true" outlineLevel="0" collapsed="false">
      <c r="A107" s="21" t="s">
        <v>347</v>
      </c>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row>
  </sheetData>
  <autoFilter ref="A5:AE105"/>
  <mergeCells count="5">
    <mergeCell ref="A1:AB1"/>
    <mergeCell ref="A2:AB2"/>
    <mergeCell ref="J3:K3"/>
    <mergeCell ref="L3:M3"/>
    <mergeCell ref="A107:AE107"/>
  </mergeCells>
  <conditionalFormatting sqref="H3">
    <cfRule type="expression" priority="2" aboveAverage="0" equalAverage="0" bottom="0" percent="0" rank="0" text="" dxfId="0">
      <formula>ISNUMBER(SEARCH("✔",H3))</formula>
    </cfRule>
    <cfRule type="expression" priority="3" aboveAverage="0" equalAverage="0" bottom="0" percent="0" rank="0" text="" dxfId="1">
      <formula>ISNUMBER(SEARCH("✖",H3))</formula>
    </cfRule>
    <cfRule type="expression" priority="4" aboveAverage="0" equalAverage="0" bottom="0" percent="0" rank="0" text="" dxfId="2">
      <formula>ISNUMBER(SEARCH("⚠",H3))</formula>
    </cfRule>
  </conditionalFormatting>
  <conditionalFormatting sqref="A6:AE105">
    <cfRule type="expression" priority="5" aboveAverage="0" equalAverage="0" bottom="0" percent="0" rank="0" text="" dxfId="20">
      <formula>AND($B6&lt;&gt;"",$F6=0)</formula>
    </cfRule>
  </conditionalFormatting>
  <conditionalFormatting sqref="W6:W105">
    <cfRule type="expression" priority="6" aboveAverage="0" equalAverage="0" bottom="0" percent="0" rank="0" text="" dxfId="1">
      <formula>AND(ISNUMBER(W6),W6&lt;0)</formula>
    </cfRule>
  </conditionalFormatting>
  <hyperlinks>
    <hyperlink ref="J3" location="'مسير سبتمبر'!A1" display="◀ الشهر السابق"/>
    <hyperlink ref="L3" location="'مسير نوفمبر'!A1" display="الشهر التالي ▶"/>
    <hyperlink ref="O3" location="'الرئيسية'!A1" display="🏠 الرئيسية"/>
    <hyperlink ref="P3" location="'لوحة التحكم'!A1" display="📊 لوحة التحكم"/>
    <hyperlink ref="R3" location="'الموظفون'!A1" display="👥 الموظفون"/>
    <hyperlink ref="S3" location="'الحركات الشهرية'!A1" display="✍ الحركات"/>
    <hyperlink ref="U3" location="'الملخص الشهري'!A1" display="📅 الملخص الشهري"/>
    <hyperlink ref="W3" location="'قيود الرواتب'!A1" display="🧾 القيود"/>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791F"/>
    <pageSetUpPr fitToPage="true"/>
  </sheetPr>
  <dimension ref="A1:AE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9"/>
    <col collapsed="false" customWidth="true" hidden="false" outlineLevel="0" max="8" min="7" style="0" width="8"/>
    <col collapsed="false" customWidth="true" hidden="false" outlineLevel="0" max="9" min="9" style="0" width="9"/>
    <col collapsed="false" customWidth="true" hidden="false" outlineLevel="0" max="10" min="10" style="0" width="12"/>
    <col collapsed="false" customWidth="true" hidden="false" outlineLevel="0" max="11" min="11" style="0" width="11"/>
    <col collapsed="false" customWidth="true" hidden="false" outlineLevel="0" max="13" min="12" style="0" width="10"/>
    <col collapsed="false" customWidth="true" hidden="false" outlineLevel="0" max="14" min="14" style="0" width="8"/>
    <col collapsed="false" customWidth="true" hidden="false" outlineLevel="0" max="17" min="15" style="0" width="11"/>
    <col collapsed="false" customWidth="true" hidden="false" outlineLevel="0" max="18" min="18" style="0" width="13"/>
    <col collapsed="false" customWidth="true" hidden="false" outlineLevel="0" max="19" min="19" style="0" width="11"/>
    <col collapsed="false" customWidth="true" hidden="false" outlineLevel="0" max="21" min="20" style="0" width="10"/>
    <col collapsed="false" customWidth="true" hidden="false" outlineLevel="0" max="22" min="22" style="0" width="12"/>
    <col collapsed="false" customWidth="true" hidden="false" outlineLevel="0" max="23" min="23" style="0" width="13"/>
    <col collapsed="false" customWidth="true" hidden="false" outlineLevel="0" max="24" min="24" style="0" width="11"/>
    <col collapsed="false" customWidth="true" hidden="false" outlineLevel="0" max="25" min="25" style="0" width="12"/>
    <col collapsed="false" customWidth="true" hidden="false" outlineLevel="0" max="27" min="26" style="0" width="11"/>
    <col collapsed="false" customWidth="true" hidden="false" outlineLevel="0" max="28" min="28" style="0" width="13"/>
    <col collapsed="false" customWidth="true" hidden="false" outlineLevel="0" max="31" min="29" style="0" width="9"/>
  </cols>
  <sheetData>
    <row r="1" customFormat="false" ht="37.5" hidden="false" customHeight="true" outlineLevel="0" collapsed="false">
      <c r="A1" s="1" t="str">
        <f aca="false">"💵 مسير رواتب شهر نوفمبر "&amp;cfg_FY</f>
        <v>💵 مسير رواتب شهر نوفمبر 2026</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9.5" hidden="false" customHeight="true" outlineLevel="0" collapsed="false">
      <c r="A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row>
    <row r="3" customFormat="false" ht="25.5" hidden="false" customHeight="true" outlineLevel="0" collapsed="false">
      <c r="B3" s="93" t="s">
        <v>103</v>
      </c>
      <c r="C3" s="94" t="n">
        <v>11</v>
      </c>
      <c r="D3" s="93" t="s">
        <v>322</v>
      </c>
      <c r="E3" s="95" t="n">
        <f aca="false">DATE(cfg_FY,C3,1)</f>
        <v>46327</v>
      </c>
      <c r="F3" s="93" t="s">
        <v>323</v>
      </c>
      <c r="G3" s="95" t="n">
        <f aca="false">EOMONTH(E3,0)</f>
        <v>46356</v>
      </c>
      <c r="H3" s="96" t="str">
        <f aca="false">IF(C3&lt;=cfg_VAL_M,"✔ فعلي","⚠ متوقع")</f>
        <v>⚠ متوقع</v>
      </c>
      <c r="J3" s="97" t="s">
        <v>348</v>
      </c>
      <c r="K3" s="97"/>
      <c r="L3" s="97" t="s">
        <v>324</v>
      </c>
      <c r="M3" s="97"/>
      <c r="O3" s="22" t="s">
        <v>61</v>
      </c>
      <c r="P3" s="12" t="s">
        <v>111</v>
      </c>
      <c r="R3" s="23" t="s">
        <v>63</v>
      </c>
      <c r="S3" s="23" t="s">
        <v>64</v>
      </c>
      <c r="U3" s="23" t="s">
        <v>39</v>
      </c>
      <c r="W3" s="23" t="s">
        <v>65</v>
      </c>
    </row>
    <row r="4" customFormat="false" ht="7.5" hidden="false" customHeight="true" outlineLevel="0" collapsed="false"/>
    <row r="5" customFormat="false" ht="48" hidden="false" customHeight="true" outlineLevel="0" collapsed="false">
      <c r="A5" s="98" t="s">
        <v>207</v>
      </c>
      <c r="B5" s="98" t="s">
        <v>208</v>
      </c>
      <c r="C5" s="98" t="s">
        <v>209</v>
      </c>
      <c r="D5" s="98" t="s">
        <v>96</v>
      </c>
      <c r="E5" s="98" t="s">
        <v>84</v>
      </c>
      <c r="F5" s="99" t="s">
        <v>325</v>
      </c>
      <c r="G5" s="99" t="s">
        <v>326</v>
      </c>
      <c r="H5" s="99" t="s">
        <v>327</v>
      </c>
      <c r="I5" s="99" t="s">
        <v>328</v>
      </c>
      <c r="J5" s="100" t="s">
        <v>329</v>
      </c>
      <c r="K5" s="100" t="s">
        <v>330</v>
      </c>
      <c r="L5" s="100" t="s">
        <v>331</v>
      </c>
      <c r="M5" s="100" t="s">
        <v>332</v>
      </c>
      <c r="N5" s="100" t="s">
        <v>333</v>
      </c>
      <c r="O5" s="100" t="s">
        <v>334</v>
      </c>
      <c r="P5" s="100" t="s">
        <v>298</v>
      </c>
      <c r="Q5" s="100" t="s">
        <v>335</v>
      </c>
      <c r="R5" s="100" t="s">
        <v>74</v>
      </c>
      <c r="S5" s="101" t="s">
        <v>336</v>
      </c>
      <c r="T5" s="101" t="s">
        <v>300</v>
      </c>
      <c r="U5" s="101" t="s">
        <v>301</v>
      </c>
      <c r="V5" s="101" t="s">
        <v>337</v>
      </c>
      <c r="W5" s="102" t="s">
        <v>338</v>
      </c>
      <c r="X5" s="103" t="s">
        <v>339</v>
      </c>
      <c r="Y5" s="103" t="s">
        <v>340</v>
      </c>
      <c r="Z5" s="103" t="s">
        <v>341</v>
      </c>
      <c r="AA5" s="103" t="s">
        <v>342</v>
      </c>
      <c r="AB5" s="103" t="s">
        <v>343</v>
      </c>
      <c r="AC5" s="104" t="s">
        <v>344</v>
      </c>
      <c r="AD5" s="104" t="s">
        <v>345</v>
      </c>
      <c r="AE5" s="104" t="s">
        <v>346</v>
      </c>
    </row>
    <row r="6" customFormat="false" ht="15" hidden="false" customHeight="false" outlineLevel="0" collapsed="false">
      <c r="A6" s="83" t="n">
        <f aca="false">IF($B6="","",الموظفون!$A6)</f>
        <v>1</v>
      </c>
      <c r="B6" s="74" t="str">
        <f aca="false">IF(الموظفون!$B6="","",الموظفون!$B6)</f>
        <v>E001</v>
      </c>
      <c r="C6" s="74" t="str">
        <f aca="false">IF($B6="","",الموظفون!$C6)</f>
        <v>عبدالله محمد العتيبي</v>
      </c>
      <c r="D6" s="74" t="str">
        <f aca="false">IF($B6="","",الموظفون!$F6)</f>
        <v>الإدارة العليا</v>
      </c>
      <c r="E6" s="74" t="str">
        <f aca="false">IF($B6="","",الموظفون!$E6)</f>
        <v>سعودي</v>
      </c>
      <c r="F6" s="105" t="n">
        <f aca="false">IF($B6="","",IF(AE6&gt;=DAY($G$3),cfg_DAYS_M,MIN(AE6,cfg_DAYS_M)))</f>
        <v>30</v>
      </c>
      <c r="G6" s="105" t="n">
        <f aca="false">IF($B6="","",SUMIFS('الحركات الشهرية'!$D$6:$D$1005,'الحركات الشهرية'!$B$6:$B$1005,$B6,'الحركات الشهرية'!$A$6:$A$1005,$C$3))</f>
        <v>0</v>
      </c>
      <c r="H6" s="105" t="n">
        <f aca="false">IF($B6="","",SUMIFS('الحركات الشهرية'!$E$6:$E$1005,'الحركات الشهرية'!$B$6:$B$1005,$B6,'الحركات الشهرية'!$A$6:$A$1005,$C$3))</f>
        <v>0</v>
      </c>
      <c r="I6" s="105" t="n">
        <f aca="false">IF($B6="","",MAX(0,F6-G6-H6))</f>
        <v>30</v>
      </c>
      <c r="J6" s="86" t="n">
        <f aca="false">IF($B6="","",الموظفون!$J6*$I6/cfg_DAYS_M)</f>
        <v>28000</v>
      </c>
      <c r="K6" s="86" t="n">
        <f aca="false">IF($B6="","",الموظفون!$K6*$I6/cfg_DAYS_M)</f>
        <v>7000</v>
      </c>
      <c r="L6" s="86" t="n">
        <f aca="false">IF($B6="","",الموظفون!$L6*$I6/cfg_DAYS_M)</f>
        <v>2800</v>
      </c>
      <c r="M6" s="86" t="n">
        <f aca="false">IF($B6="","",الموظفون!$M6*$I6/cfg_DAYS_M)</f>
        <v>3000</v>
      </c>
      <c r="N6" s="105" t="n">
        <f aca="false">IF($B6="","",SUMIFS('الحركات الشهرية'!$F$6:$F$1005,'الحركات الشهرية'!$B$6:$B$1005,$B6,'الحركات الشهرية'!$A$6:$A$1005,$C$3))</f>
        <v>0</v>
      </c>
      <c r="O6" s="86" t="n">
        <f aca="false">IF($B6="","",N6*(الموظفون!$N6+الموظفون!$J6*cfg_OT_P)/cfg_DAYS_M/cfg_HRS)</f>
        <v>0</v>
      </c>
      <c r="P6" s="86" t="n">
        <f aca="false">IF($B6="","",SUMIFS('الحركات الشهرية'!$G$6:$G$1005,'الحركات الشهرية'!$B$6:$B$1005,$B6,'الحركات الشهرية'!$A$6:$A$1005,$C$3))</f>
        <v>0</v>
      </c>
      <c r="Q6" s="86" t="n">
        <f aca="false">IF($B6="","",SUMIFS('الحركات الشهرية'!$H$6:$H$1005,'الحركات الشهرية'!$B$6:$B$1005,$B6,'الحركات الشهرية'!$A$6:$A$1005,$C$3))</f>
        <v>0</v>
      </c>
      <c r="R6" s="106" t="n">
        <f aca="false">IF($B6="","",SUM(J6:M6)+SUM(O6:Q6))</f>
        <v>40800</v>
      </c>
      <c r="S6" s="86" t="n">
        <f aca="false">IF($B6="","",الموظفون!$Q6*IF(E6="سعودي",cfg_G_SE,cfg_G_NE)*F6/cfg_DAYS_M)</f>
        <v>3412.5</v>
      </c>
      <c r="T6" s="86" t="n">
        <f aca="false">IF($B6="","",SUMIFS('الحركات الشهرية'!$I$6:$I$1005,'الحركات الشهرية'!$B$6:$B$1005,$B6,'الحركات الشهرية'!$A$6:$A$1005,$C$3))</f>
        <v>0</v>
      </c>
      <c r="U6" s="86" t="n">
        <f aca="false">IF($B6="","",SUMIFS('الحركات الشهرية'!$J$6:$J$1005,'الحركات الشهرية'!$B$6:$B$1005,$B6,'الحركات الشهرية'!$A$6:$A$1005,$C$3))</f>
        <v>0</v>
      </c>
      <c r="V6" s="86" t="n">
        <f aca="false">IF($B6="","",SUM(S6:U6))</f>
        <v>3412.5</v>
      </c>
      <c r="W6" s="107" t="n">
        <f aca="false">IF($B6="","",R6-V6)</f>
        <v>37387.5</v>
      </c>
      <c r="X6" s="86" t="n">
        <f aca="false">IF($B6="","",الموظفون!$Q6*IF(E6="سعودي",cfg_G_SR,cfg_G_NR)*F6/cfg_DAYS_M)</f>
        <v>4112.5</v>
      </c>
      <c r="Y6" s="86" t="n">
        <f aca="false">IF($B6="","",الموظفون!$O6*(cfg_EOS_R1*(MIN(AC6,cfg_EOS_TH)-MIN(AD6,cfg_EOS_TH))+cfg_EOS_R2*(MAX(AC6-cfg_EOS_TH,0)-MAX(AD6-cfg_EOS_TH,0))))</f>
        <v>3106.84931506854</v>
      </c>
      <c r="Z6" s="86" t="n">
        <f aca="false">IF($B6="","",IF(الموظفون!$R6&lt;&gt;"",الموظفون!$R6,IF(AC6&gt;=cfg_LV_TH,cfg_LV_D2,cfg_LV_D1))/cfg_DAYS_Y*AE6*الموظفون!$P6/cfg_DAYS_M)</f>
        <v>3106.84931506849</v>
      </c>
      <c r="AA6" s="86" t="n">
        <f aca="false">IF($B6="","",IF(AND(الموظفون!$S6="نعم",N(الموظفون!$U6)&gt;0),الموظفون!$T6/الموظفون!$U6*12/cfg_DAYS_Y*AE6,0))</f>
        <v>0</v>
      </c>
      <c r="AB6" s="108" t="n">
        <f aca="false">IF($B6="","",R6+SUM(X6:AA6))</f>
        <v>51126.198630137</v>
      </c>
      <c r="AC6" s="109" t="n">
        <f aca="false">IF($B6="","",MAX(0,IF(OR(الموظفون!$X6="",الموظفون!$X6&gt;$G$3),$G$3,الموظفون!$X6)-الموظفون!$H6+1)/cfg_DAYS_Y)</f>
        <v>14.8876712328767</v>
      </c>
      <c r="AD6" s="109" t="n">
        <f aca="false">IF($B6="","",MAX(0,IF(OR(الموظفون!$X6="",الموظفون!$X6&gt;($E$3-1)),($E$3-1),الموظفون!$X6)-الموظفون!$H6+1)/cfg_DAYS_Y)</f>
        <v>14.8054794520548</v>
      </c>
      <c r="AE6" s="51" t="n">
        <f aca="false">IF($B6="","",MAX(0,IF(OR(الموظفون!$X6="",الموظفون!$X6&gt;$G$3),$G$3,الموظفون!$X6)-MAX($E$3,الموظفون!$H6)+1))</f>
        <v>30</v>
      </c>
    </row>
    <row r="7" customFormat="false" ht="15" hidden="false" customHeight="false" outlineLevel="0" collapsed="false">
      <c r="A7" s="89" t="n">
        <f aca="false">IF($B7="","",الموظفون!$A7)</f>
        <v>2</v>
      </c>
      <c r="B7" s="91" t="str">
        <f aca="false">IF(الموظفون!$B7="","",الموظفون!$B7)</f>
        <v>E002</v>
      </c>
      <c r="C7" s="91" t="str">
        <f aca="false">IF($B7="","",الموظفون!$C7)</f>
        <v>أحمد سعيد القحطاني</v>
      </c>
      <c r="D7" s="91" t="str">
        <f aca="false">IF($B7="","",الموظفون!$F7)</f>
        <v>المالية</v>
      </c>
      <c r="E7" s="91" t="str">
        <f aca="false">IF($B7="","",الموظفون!$E7)</f>
        <v>سعودي</v>
      </c>
      <c r="F7" s="110" t="n">
        <f aca="false">IF($B7="","",IF(AE7&gt;=DAY($G$3),cfg_DAYS_M,MIN(AE7,cfg_DAYS_M)))</f>
        <v>30</v>
      </c>
      <c r="G7" s="110" t="n">
        <f aca="false">IF($B7="","",SUMIFS('الحركات الشهرية'!$D$6:$D$1005,'الحركات الشهرية'!$B$6:$B$1005,$B7,'الحركات الشهرية'!$A$6:$A$1005,$C$3))</f>
        <v>0</v>
      </c>
      <c r="H7" s="110" t="n">
        <f aca="false">IF($B7="","",SUMIFS('الحركات الشهرية'!$E$6:$E$1005,'الحركات الشهرية'!$B$6:$B$1005,$B7,'الحركات الشهرية'!$A$6:$A$1005,$C$3))</f>
        <v>0</v>
      </c>
      <c r="I7" s="110" t="n">
        <f aca="false">IF($B7="","",MAX(0,F7-G7-H7))</f>
        <v>30</v>
      </c>
      <c r="J7" s="90" t="n">
        <f aca="false">IF($B7="","",الموظفون!$J7*$I7/cfg_DAYS_M)</f>
        <v>18000</v>
      </c>
      <c r="K7" s="90" t="n">
        <f aca="false">IF($B7="","",الموظفون!$K7*$I7/cfg_DAYS_M)</f>
        <v>4500</v>
      </c>
      <c r="L7" s="90" t="n">
        <f aca="false">IF($B7="","",الموظفون!$L7*$I7/cfg_DAYS_M)</f>
        <v>1800</v>
      </c>
      <c r="M7" s="90" t="n">
        <f aca="false">IF($B7="","",الموظفون!$M7*$I7/cfg_DAYS_M)</f>
        <v>1000</v>
      </c>
      <c r="N7" s="110" t="n">
        <f aca="false">IF($B7="","",SUMIFS('الحركات الشهرية'!$F$6:$F$1005,'الحركات الشهرية'!$B$6:$B$1005,$B7,'الحركات الشهرية'!$A$6:$A$1005,$C$3))</f>
        <v>0</v>
      </c>
      <c r="O7" s="90" t="n">
        <f aca="false">IF($B7="","",N7*(الموظفون!$N7+الموظفون!$J7*cfg_OT_P)/cfg_DAYS_M/cfg_HRS)</f>
        <v>0</v>
      </c>
      <c r="P7" s="90" t="n">
        <f aca="false">IF($B7="","",SUMIFS('الحركات الشهرية'!$G$6:$G$1005,'الحركات الشهرية'!$B$6:$B$1005,$B7,'الحركات الشهرية'!$A$6:$A$1005,$C$3))</f>
        <v>0</v>
      </c>
      <c r="Q7" s="90" t="n">
        <f aca="false">IF($B7="","",SUMIFS('الحركات الشهرية'!$H$6:$H$1005,'الحركات الشهرية'!$B$6:$B$1005,$B7,'الحركات الشهرية'!$A$6:$A$1005,$C$3))</f>
        <v>0</v>
      </c>
      <c r="R7" s="111" t="n">
        <f aca="false">IF($B7="","",SUM(J7:M7)+SUM(O7:Q7))</f>
        <v>25300</v>
      </c>
      <c r="S7" s="90" t="n">
        <f aca="false">IF($B7="","",الموظفون!$Q7*IF(E7="سعودي",cfg_G_SE,cfg_G_NE)*F7/cfg_DAYS_M)</f>
        <v>2193.75</v>
      </c>
      <c r="T7" s="90" t="n">
        <f aca="false">IF($B7="","",SUMIFS('الحركات الشهرية'!$I$6:$I$1005,'الحركات الشهرية'!$B$6:$B$1005,$B7,'الحركات الشهرية'!$A$6:$A$1005,$C$3))</f>
        <v>0</v>
      </c>
      <c r="U7" s="90" t="n">
        <f aca="false">IF($B7="","",SUMIFS('الحركات الشهرية'!$J$6:$J$1005,'الحركات الشهرية'!$B$6:$B$1005,$B7,'الحركات الشهرية'!$A$6:$A$1005,$C$3))</f>
        <v>0</v>
      </c>
      <c r="V7" s="90" t="n">
        <f aca="false">IF($B7="","",SUM(S7:U7))</f>
        <v>2193.75</v>
      </c>
      <c r="W7" s="112" t="n">
        <f aca="false">IF($B7="","",R7-V7)</f>
        <v>23106.25</v>
      </c>
      <c r="X7" s="90" t="n">
        <f aca="false">IF($B7="","",الموظفون!$Q7*IF(E7="سعودي",cfg_G_SR,cfg_G_NR)*F7/cfg_DAYS_M)</f>
        <v>2643.75</v>
      </c>
      <c r="Y7" s="90" t="n">
        <f aca="false">IF($B7="","",الموظفون!$O7*(cfg_EOS_R1*(MIN(AC7,cfg_EOS_TH)-MIN(AD7,cfg_EOS_TH))+cfg_EOS_R2*(MAX(AC7-cfg_EOS_TH,0)-MAX(AD7-cfg_EOS_TH,0))))</f>
        <v>1997.26027397259</v>
      </c>
      <c r="Z7" s="90" t="n">
        <f aca="false">IF($B7="","",IF(الموظفون!$R7&lt;&gt;"",الموظفون!$R7,IF(AC7&gt;=cfg_LV_TH,cfg_LV_D2,cfg_LV_D1))/cfg_DAYS_Y*AE7*الموظفون!$P7/cfg_DAYS_M)</f>
        <v>1997.2602739726</v>
      </c>
      <c r="AA7" s="90" t="n">
        <f aca="false">IF($B7="","",IF(AND(الموظفون!$S7="نعم",N(الموظفون!$U7)&gt;0),الموظفون!$T7/الموظفون!$U7*12/cfg_DAYS_Y*AE7,0))</f>
        <v>0</v>
      </c>
      <c r="AB7" s="113" t="n">
        <f aca="false">IF($B7="","",R7+SUM(X7:AA7))</f>
        <v>31938.2705479452</v>
      </c>
      <c r="AC7" s="114" t="n">
        <f aca="false">IF($B7="","",MAX(0,IF(OR(الموظفون!$X7="",الموظفون!$X7&gt;$G$3),$G$3,الموظفون!$X7)-الموظفون!$H7+1)/cfg_DAYS_Y)</f>
        <v>10.5068493150685</v>
      </c>
      <c r="AD7" s="114" t="n">
        <f aca="false">IF($B7="","",MAX(0,IF(OR(الموظفون!$X7="",الموظفون!$X7&gt;($E$3-1)),($E$3-1),الموظفون!$X7)-الموظفون!$H7+1)/cfg_DAYS_Y)</f>
        <v>10.4246575342466</v>
      </c>
      <c r="AE7" s="115" t="n">
        <f aca="false">IF($B7="","",MAX(0,IF(OR(الموظفون!$X7="",الموظفون!$X7&gt;$G$3),$G$3,الموظفون!$X7)-MAX($E$3,الموظفون!$H7)+1))</f>
        <v>30</v>
      </c>
    </row>
    <row r="8" customFormat="false" ht="15" hidden="false" customHeight="false" outlineLevel="0" collapsed="false">
      <c r="A8" s="83" t="n">
        <f aca="false">IF($B8="","",الموظفون!$A8)</f>
        <v>3</v>
      </c>
      <c r="B8" s="74" t="str">
        <f aca="false">IF(الموظفون!$B8="","",الموظفون!$B8)</f>
        <v>E003</v>
      </c>
      <c r="C8" s="74" t="str">
        <f aca="false">IF($B8="","",الموظفون!$C8)</f>
        <v>محمد علي حسن</v>
      </c>
      <c r="D8" s="74" t="str">
        <f aca="false">IF($B8="","",الموظفون!$F8)</f>
        <v>المالية</v>
      </c>
      <c r="E8" s="74" t="str">
        <f aca="false">IF($B8="","",الموظفون!$E8)</f>
        <v>غير سعودي</v>
      </c>
      <c r="F8" s="105" t="n">
        <f aca="false">IF($B8="","",IF(AE8&gt;=DAY($G$3),cfg_DAYS_M,MIN(AE8,cfg_DAYS_M)))</f>
        <v>30</v>
      </c>
      <c r="G8" s="105" t="n">
        <f aca="false">IF($B8="","",SUMIFS('الحركات الشهرية'!$D$6:$D$1005,'الحركات الشهرية'!$B$6:$B$1005,$B8,'الحركات الشهرية'!$A$6:$A$1005,$C$3))</f>
        <v>0</v>
      </c>
      <c r="H8" s="105" t="n">
        <f aca="false">IF($B8="","",SUMIFS('الحركات الشهرية'!$E$6:$E$1005,'الحركات الشهرية'!$B$6:$B$1005,$B8,'الحركات الشهرية'!$A$6:$A$1005,$C$3))</f>
        <v>0</v>
      </c>
      <c r="I8" s="105" t="n">
        <f aca="false">IF($B8="","",MAX(0,F8-G8-H8))</f>
        <v>30</v>
      </c>
      <c r="J8" s="86" t="n">
        <f aca="false">IF($B8="","",الموظفون!$J8*$I8/cfg_DAYS_M)</f>
        <v>8500</v>
      </c>
      <c r="K8" s="86" t="n">
        <f aca="false">IF($B8="","",الموظفون!$K8*$I8/cfg_DAYS_M)</f>
        <v>2125</v>
      </c>
      <c r="L8" s="86" t="n">
        <f aca="false">IF($B8="","",الموظفون!$L8*$I8/cfg_DAYS_M)</f>
        <v>850</v>
      </c>
      <c r="M8" s="86" t="n">
        <f aca="false">IF($B8="","",الموظفون!$M8*$I8/cfg_DAYS_M)</f>
        <v>500</v>
      </c>
      <c r="N8" s="105" t="n">
        <f aca="false">IF($B8="","",SUMIFS('الحركات الشهرية'!$F$6:$F$1005,'الحركات الشهرية'!$B$6:$B$1005,$B8,'الحركات الشهرية'!$A$6:$A$1005,$C$3))</f>
        <v>0</v>
      </c>
      <c r="O8" s="86" t="n">
        <f aca="false">IF($B8="","",N8*(الموظفون!$N8+الموظفون!$J8*cfg_OT_P)/cfg_DAYS_M/cfg_HRS)</f>
        <v>0</v>
      </c>
      <c r="P8" s="86" t="n">
        <f aca="false">IF($B8="","",SUMIFS('الحركات الشهرية'!$G$6:$G$1005,'الحركات الشهرية'!$B$6:$B$1005,$B8,'الحركات الشهرية'!$A$6:$A$1005,$C$3))</f>
        <v>0</v>
      </c>
      <c r="Q8" s="86" t="n">
        <f aca="false">IF($B8="","",SUMIFS('الحركات الشهرية'!$H$6:$H$1005,'الحركات الشهرية'!$B$6:$B$1005,$B8,'الحركات الشهرية'!$A$6:$A$1005,$C$3))</f>
        <v>0</v>
      </c>
      <c r="R8" s="106" t="n">
        <f aca="false">IF($B8="","",SUM(J8:M8)+SUM(O8:Q8))</f>
        <v>11975</v>
      </c>
      <c r="S8" s="86" t="n">
        <f aca="false">IF($B8="","",الموظفون!$Q8*IF(E8="سعودي",cfg_G_SE,cfg_G_NE)*F8/cfg_DAYS_M)</f>
        <v>0</v>
      </c>
      <c r="T8" s="86" t="n">
        <f aca="false">IF($B8="","",SUMIFS('الحركات الشهرية'!$I$6:$I$1005,'الحركات الشهرية'!$B$6:$B$1005,$B8,'الحركات الشهرية'!$A$6:$A$1005,$C$3))</f>
        <v>0</v>
      </c>
      <c r="U8" s="86" t="n">
        <f aca="false">IF($B8="","",SUMIFS('الحركات الشهرية'!$J$6:$J$1005,'الحركات الشهرية'!$B$6:$B$1005,$B8,'الحركات الشهرية'!$A$6:$A$1005,$C$3))</f>
        <v>0</v>
      </c>
      <c r="V8" s="86" t="n">
        <f aca="false">IF($B8="","",SUM(S8:U8))</f>
        <v>0</v>
      </c>
      <c r="W8" s="107" t="n">
        <f aca="false">IF($B8="","",R8-V8)</f>
        <v>11975</v>
      </c>
      <c r="X8" s="86" t="n">
        <f aca="false">IF($B8="","",الموظفون!$Q8*IF(E8="سعودي",cfg_G_SR,cfg_G_NR)*F8/cfg_DAYS_M)</f>
        <v>212.5</v>
      </c>
      <c r="Y8" s="86" t="n">
        <f aca="false">IF($B8="","",الموظفون!$O8*(cfg_EOS_R1*(MIN(AC8,cfg_EOS_TH)-MIN(AD8,cfg_EOS_TH))+cfg_EOS_R2*(MAX(AC8-cfg_EOS_TH,0)-MAX(AD8-cfg_EOS_TH,0))))</f>
        <v>943.150684931501</v>
      </c>
      <c r="Z8" s="86" t="n">
        <f aca="false">IF($B8="","",IF(الموظفون!$R8&lt;&gt;"",الموظفون!$R8,IF(AC8&gt;=cfg_LV_TH,cfg_LV_D2,cfg_LV_D1))/cfg_DAYS_Y*AE8*الموظفون!$P8/cfg_DAYS_M)</f>
        <v>943.150684931507</v>
      </c>
      <c r="AA8" s="86" t="n">
        <f aca="false">IF($B8="","",IF(AND(الموظفون!$S8="نعم",N(الموظفون!$U8)&gt;0),الموظفون!$T8/الموظفون!$U8*12/cfg_DAYS_Y*AE8,0))</f>
        <v>131.506849315068</v>
      </c>
      <c r="AB8" s="108" t="n">
        <f aca="false">IF($B8="","",R8+SUM(X8:AA8))</f>
        <v>14205.3082191781</v>
      </c>
      <c r="AC8" s="109" t="n">
        <f aca="false">IF($B8="","",MAX(0,IF(OR(الموظفون!$X8="",الموظفون!$X8&gt;$G$3),$G$3,الموظفون!$X8)-الموظفون!$H8+1)/cfg_DAYS_Y)</f>
        <v>8.23013698630137</v>
      </c>
      <c r="AD8" s="109" t="n">
        <f aca="false">IF($B8="","",MAX(0,IF(OR(الموظفون!$X8="",الموظفون!$X8&gt;($E$3-1)),($E$3-1),الموظفون!$X8)-الموظفون!$H8+1)/cfg_DAYS_Y)</f>
        <v>8.14794520547945</v>
      </c>
      <c r="AE8" s="51" t="n">
        <f aca="false">IF($B8="","",MAX(0,IF(OR(الموظفون!$X8="",الموظفون!$X8&gt;$G$3),$G$3,الموظفون!$X8)-MAX($E$3,الموظفون!$H8)+1))</f>
        <v>30</v>
      </c>
    </row>
    <row r="9" customFormat="false" ht="15" hidden="false" customHeight="false" outlineLevel="0" collapsed="false">
      <c r="A9" s="89" t="n">
        <f aca="false">IF($B9="","",الموظفون!$A9)</f>
        <v>4</v>
      </c>
      <c r="B9" s="91" t="str">
        <f aca="false">IF(الموظفون!$B9="","",الموظفون!$B9)</f>
        <v>E004</v>
      </c>
      <c r="C9" s="91" t="str">
        <f aca="false">IF($B9="","",الموظفون!$C9)</f>
        <v>نورة خالد الدوسري</v>
      </c>
      <c r="D9" s="91" t="str">
        <f aca="false">IF($B9="","",الموظفون!$F9)</f>
        <v>الموارد البشرية</v>
      </c>
      <c r="E9" s="91" t="str">
        <f aca="false">IF($B9="","",الموظفون!$E9)</f>
        <v>سعودي</v>
      </c>
      <c r="F9" s="110" t="n">
        <f aca="false">IF($B9="","",IF(AE9&gt;=DAY($G$3),cfg_DAYS_M,MIN(AE9,cfg_DAYS_M)))</f>
        <v>30</v>
      </c>
      <c r="G9" s="110" t="n">
        <f aca="false">IF($B9="","",SUMIFS('الحركات الشهرية'!$D$6:$D$1005,'الحركات الشهرية'!$B$6:$B$1005,$B9,'الحركات الشهرية'!$A$6:$A$1005,$C$3))</f>
        <v>0</v>
      </c>
      <c r="H9" s="110" t="n">
        <f aca="false">IF($B9="","",SUMIFS('الحركات الشهرية'!$E$6:$E$1005,'الحركات الشهرية'!$B$6:$B$1005,$B9,'الحركات الشهرية'!$A$6:$A$1005,$C$3))</f>
        <v>0</v>
      </c>
      <c r="I9" s="110" t="n">
        <f aca="false">IF($B9="","",MAX(0,F9-G9-H9))</f>
        <v>30</v>
      </c>
      <c r="J9" s="90" t="n">
        <f aca="false">IF($B9="","",الموظفون!$J9*$I9/cfg_DAYS_M)</f>
        <v>14000</v>
      </c>
      <c r="K9" s="90" t="n">
        <f aca="false">IF($B9="","",الموظفون!$K9*$I9/cfg_DAYS_M)</f>
        <v>3500</v>
      </c>
      <c r="L9" s="90" t="n">
        <f aca="false">IF($B9="","",الموظفون!$L9*$I9/cfg_DAYS_M)</f>
        <v>1400</v>
      </c>
      <c r="M9" s="90" t="n">
        <f aca="false">IF($B9="","",الموظفون!$M9*$I9/cfg_DAYS_M)</f>
        <v>0</v>
      </c>
      <c r="N9" s="110" t="n">
        <f aca="false">IF($B9="","",SUMIFS('الحركات الشهرية'!$F$6:$F$1005,'الحركات الشهرية'!$B$6:$B$1005,$B9,'الحركات الشهرية'!$A$6:$A$1005,$C$3))</f>
        <v>0</v>
      </c>
      <c r="O9" s="90" t="n">
        <f aca="false">IF($B9="","",N9*(الموظفون!$N9+الموظفون!$J9*cfg_OT_P)/cfg_DAYS_M/cfg_HRS)</f>
        <v>0</v>
      </c>
      <c r="P9" s="90" t="n">
        <f aca="false">IF($B9="","",SUMIFS('الحركات الشهرية'!$G$6:$G$1005,'الحركات الشهرية'!$B$6:$B$1005,$B9,'الحركات الشهرية'!$A$6:$A$1005,$C$3))</f>
        <v>0</v>
      </c>
      <c r="Q9" s="90" t="n">
        <f aca="false">IF($B9="","",SUMIFS('الحركات الشهرية'!$H$6:$H$1005,'الحركات الشهرية'!$B$6:$B$1005,$B9,'الحركات الشهرية'!$A$6:$A$1005,$C$3))</f>
        <v>0</v>
      </c>
      <c r="R9" s="111" t="n">
        <f aca="false">IF($B9="","",SUM(J9:M9)+SUM(O9:Q9))</f>
        <v>18900</v>
      </c>
      <c r="S9" s="90" t="n">
        <f aca="false">IF($B9="","",الموظفون!$Q9*IF(E9="سعودي",cfg_G_SE,cfg_G_NE)*F9/cfg_DAYS_M)</f>
        <v>1706.25</v>
      </c>
      <c r="T9" s="90" t="n">
        <f aca="false">IF($B9="","",SUMIFS('الحركات الشهرية'!$I$6:$I$1005,'الحركات الشهرية'!$B$6:$B$1005,$B9,'الحركات الشهرية'!$A$6:$A$1005,$C$3))</f>
        <v>0</v>
      </c>
      <c r="U9" s="90" t="n">
        <f aca="false">IF($B9="","",SUMIFS('الحركات الشهرية'!$J$6:$J$1005,'الحركات الشهرية'!$B$6:$B$1005,$B9,'الحركات الشهرية'!$A$6:$A$1005,$C$3))</f>
        <v>0</v>
      </c>
      <c r="V9" s="90" t="n">
        <f aca="false">IF($B9="","",SUM(S9:U9))</f>
        <v>1706.25</v>
      </c>
      <c r="W9" s="112" t="n">
        <f aca="false">IF($B9="","",R9-V9)</f>
        <v>17193.75</v>
      </c>
      <c r="X9" s="90" t="n">
        <f aca="false">IF($B9="","",الموظفون!$Q9*IF(E9="سعودي",cfg_G_SR,cfg_G_NR)*F9/cfg_DAYS_M)</f>
        <v>2056.25</v>
      </c>
      <c r="Y9" s="90" t="n">
        <f aca="false">IF($B9="","",الموظفون!$O9*(cfg_EOS_R1*(MIN(AC9,cfg_EOS_TH)-MIN(AD9,cfg_EOS_TH))+cfg_EOS_R2*(MAX(AC9-cfg_EOS_TH,0)-MAX(AD9-cfg_EOS_TH,0))))</f>
        <v>1553.42465753425</v>
      </c>
      <c r="Z9" s="90" t="n">
        <f aca="false">IF($B9="","",IF(الموظفون!$R9&lt;&gt;"",الموظفون!$R9,IF(AC9&gt;=cfg_LV_TH,cfg_LV_D2,cfg_LV_D1))/cfg_DAYS_Y*AE9*الموظفون!$P9/cfg_DAYS_M)</f>
        <v>1553.42465753425</v>
      </c>
      <c r="AA9" s="90" t="n">
        <f aca="false">IF($B9="","",IF(AND(الموظفون!$S9="نعم",N(الموظفون!$U9)&gt;0),الموظفون!$T9/الموظفون!$U9*12/cfg_DAYS_Y*AE9,0))</f>
        <v>0</v>
      </c>
      <c r="AB9" s="113" t="n">
        <f aca="false">IF($B9="","",R9+SUM(X9:AA9))</f>
        <v>24063.0993150685</v>
      </c>
      <c r="AC9" s="114" t="n">
        <f aca="false">IF($B9="","",MAX(0,IF(OR(الموظفون!$X9="",الموظفون!$X9&gt;$G$3),$G$3,الموظفون!$X9)-الموظفون!$H9+1)/cfg_DAYS_Y)</f>
        <v>7.83561643835617</v>
      </c>
      <c r="AD9" s="114" t="n">
        <f aca="false">IF($B9="","",MAX(0,IF(OR(الموظفون!$X9="",الموظفون!$X9&gt;($E$3-1)),($E$3-1),الموظفون!$X9)-الموظفون!$H9+1)/cfg_DAYS_Y)</f>
        <v>7.75342465753425</v>
      </c>
      <c r="AE9" s="115" t="n">
        <f aca="false">IF($B9="","",MAX(0,IF(OR(الموظفون!$X9="",الموظفون!$X9&gt;$G$3),$G$3,الموظفون!$X9)-MAX($E$3,الموظفون!$H9)+1))</f>
        <v>30</v>
      </c>
    </row>
    <row r="10" customFormat="false" ht="15" hidden="false" customHeight="false" outlineLevel="0" collapsed="false">
      <c r="A10" s="83" t="n">
        <f aca="false">IF($B10="","",الموظفون!$A10)</f>
        <v>5</v>
      </c>
      <c r="B10" s="74" t="str">
        <f aca="false">IF(الموظفون!$B10="","",الموظفون!$B10)</f>
        <v>E005</v>
      </c>
      <c r="C10" s="74" t="str">
        <f aca="false">IF($B10="","",الموظفون!$C10)</f>
        <v>راجيش كومار</v>
      </c>
      <c r="D10" s="74" t="str">
        <f aca="false">IF($B10="","",الموظفون!$F10)</f>
        <v>تقنية المعلومات</v>
      </c>
      <c r="E10" s="74" t="str">
        <f aca="false">IF($B10="","",الموظفون!$E10)</f>
        <v>غير سعودي</v>
      </c>
      <c r="F10" s="105" t="n">
        <f aca="false">IF($B10="","",IF(AE10&gt;=DAY($G$3),cfg_DAYS_M,MIN(AE10,cfg_DAYS_M)))</f>
        <v>30</v>
      </c>
      <c r="G10" s="105" t="n">
        <f aca="false">IF($B10="","",SUMIFS('الحركات الشهرية'!$D$6:$D$1005,'الحركات الشهرية'!$B$6:$B$1005,$B10,'الحركات الشهرية'!$A$6:$A$1005,$C$3))</f>
        <v>0</v>
      </c>
      <c r="H10" s="105" t="n">
        <f aca="false">IF($B10="","",SUMIFS('الحركات الشهرية'!$E$6:$E$1005,'الحركات الشهرية'!$B$6:$B$1005,$B10,'الحركات الشهرية'!$A$6:$A$1005,$C$3))</f>
        <v>0</v>
      </c>
      <c r="I10" s="105" t="n">
        <f aca="false">IF($B10="","",MAX(0,F10-G10-H10))</f>
        <v>30</v>
      </c>
      <c r="J10" s="86" t="n">
        <f aca="false">IF($B10="","",الموظفون!$J10*$I10/cfg_DAYS_M)</f>
        <v>9000</v>
      </c>
      <c r="K10" s="86" t="n">
        <f aca="false">IF($B10="","",الموظفون!$K10*$I10/cfg_DAYS_M)</f>
        <v>2250</v>
      </c>
      <c r="L10" s="86" t="n">
        <f aca="false">IF($B10="","",الموظفون!$L10*$I10/cfg_DAYS_M)</f>
        <v>900</v>
      </c>
      <c r="M10" s="86" t="n">
        <f aca="false">IF($B10="","",الموظفون!$M10*$I10/cfg_DAYS_M)</f>
        <v>700</v>
      </c>
      <c r="N10" s="105" t="n">
        <f aca="false">IF($B10="","",SUMIFS('الحركات الشهرية'!$F$6:$F$1005,'الحركات الشهرية'!$B$6:$B$1005,$B10,'الحركات الشهرية'!$A$6:$A$1005,$C$3))</f>
        <v>0</v>
      </c>
      <c r="O10" s="86" t="n">
        <f aca="false">IF($B10="","",N10*(الموظفون!$N10+الموظفون!$J10*cfg_OT_P)/cfg_DAYS_M/cfg_HRS)</f>
        <v>0</v>
      </c>
      <c r="P10" s="86" t="n">
        <f aca="false">IF($B10="","",SUMIFS('الحركات الشهرية'!$G$6:$G$1005,'الحركات الشهرية'!$B$6:$B$1005,$B10,'الحركات الشهرية'!$A$6:$A$1005,$C$3))</f>
        <v>0</v>
      </c>
      <c r="Q10" s="86" t="n">
        <f aca="false">IF($B10="","",SUMIFS('الحركات الشهرية'!$H$6:$H$1005,'الحركات الشهرية'!$B$6:$B$1005,$B10,'الحركات الشهرية'!$A$6:$A$1005,$C$3))</f>
        <v>0</v>
      </c>
      <c r="R10" s="106" t="n">
        <f aca="false">IF($B10="","",SUM(J10:M10)+SUM(O10:Q10))</f>
        <v>12850</v>
      </c>
      <c r="S10" s="86" t="n">
        <f aca="false">IF($B10="","",الموظفون!$Q10*IF(E10="سعودي",cfg_G_SE,cfg_G_NE)*F10/cfg_DAYS_M)</f>
        <v>0</v>
      </c>
      <c r="T10" s="86" t="n">
        <f aca="false">IF($B10="","",SUMIFS('الحركات الشهرية'!$I$6:$I$1005,'الحركات الشهرية'!$B$6:$B$1005,$B10,'الحركات الشهرية'!$A$6:$A$1005,$C$3))</f>
        <v>0</v>
      </c>
      <c r="U10" s="86" t="n">
        <f aca="false">IF($B10="","",SUMIFS('الحركات الشهرية'!$J$6:$J$1005,'الحركات الشهرية'!$B$6:$B$1005,$B10,'الحركات الشهرية'!$A$6:$A$1005,$C$3))</f>
        <v>0</v>
      </c>
      <c r="V10" s="86" t="n">
        <f aca="false">IF($B10="","",SUM(S10:U10))</f>
        <v>0</v>
      </c>
      <c r="W10" s="107" t="n">
        <f aca="false">IF($B10="","",R10-V10)</f>
        <v>12850</v>
      </c>
      <c r="X10" s="86" t="n">
        <f aca="false">IF($B10="","",الموظفون!$Q10*IF(E10="سعودي",cfg_G_SR,cfg_G_NR)*F10/cfg_DAYS_M)</f>
        <v>225</v>
      </c>
      <c r="Y10" s="86" t="n">
        <f aca="false">IF($B10="","",الموظفون!$O10*(cfg_EOS_R1*(MIN(AC10,cfg_EOS_TH)-MIN(AD10,cfg_EOS_TH))+cfg_EOS_R2*(MAX(AC10-cfg_EOS_TH,0)-MAX(AD10-cfg_EOS_TH,0))))</f>
        <v>998.630136986305</v>
      </c>
      <c r="Z10" s="86" t="n">
        <f aca="false">IF($B10="","",IF(الموظفون!$R10&lt;&gt;"",الموظفون!$R10,IF(AC10&gt;=cfg_LV_TH,cfg_LV_D2,cfg_LV_D1))/cfg_DAYS_Y*AE10*الموظفون!$P10/cfg_DAYS_M)</f>
        <v>998.630136986301</v>
      </c>
      <c r="AA10" s="86" t="n">
        <f aca="false">IF($B10="","",IF(AND(الموظفون!$S10="نعم",N(الموظفون!$U10)&gt;0),الموظفون!$T10/الموظفون!$U10*12/cfg_DAYS_Y*AE10,0))</f>
        <v>230.13698630137</v>
      </c>
      <c r="AB10" s="108" t="n">
        <f aca="false">IF($B10="","",R10+SUM(X10:AA10))</f>
        <v>15302.397260274</v>
      </c>
      <c r="AC10" s="109" t="n">
        <f aca="false">IF($B10="","",MAX(0,IF(OR(الموظفون!$X10="",الموظفون!$X10&gt;$G$3),$G$3,الموظفون!$X10)-الموظفون!$H10+1)/cfg_DAYS_Y)</f>
        <v>6.64109589041096</v>
      </c>
      <c r="AD10" s="109" t="n">
        <f aca="false">IF($B10="","",MAX(0,IF(OR(الموظفون!$X10="",الموظفون!$X10&gt;($E$3-1)),($E$3-1),الموظفون!$X10)-الموظفون!$H10+1)/cfg_DAYS_Y)</f>
        <v>6.55890410958904</v>
      </c>
      <c r="AE10" s="51" t="n">
        <f aca="false">IF($B10="","",MAX(0,IF(OR(الموظفون!$X10="",الموظفون!$X10&gt;$G$3),$G$3,الموظفون!$X10)-MAX($E$3,الموظفون!$H10)+1))</f>
        <v>30</v>
      </c>
    </row>
    <row r="11" customFormat="false" ht="15" hidden="false" customHeight="false" outlineLevel="0" collapsed="false">
      <c r="A11" s="89" t="n">
        <f aca="false">IF($B11="","",الموظفون!$A11)</f>
        <v>6</v>
      </c>
      <c r="B11" s="91" t="str">
        <f aca="false">IF(الموظفون!$B11="","",الموظفون!$B11)</f>
        <v>E006</v>
      </c>
      <c r="C11" s="91" t="str">
        <f aca="false">IF($B11="","",الموظفون!$C11)</f>
        <v>فهد ناصر الشمري</v>
      </c>
      <c r="D11" s="91" t="str">
        <f aca="false">IF($B11="","",الموظفون!$F11)</f>
        <v>المبيعات</v>
      </c>
      <c r="E11" s="91" t="str">
        <f aca="false">IF($B11="","",الموظفون!$E11)</f>
        <v>سعودي</v>
      </c>
      <c r="F11" s="110" t="n">
        <f aca="false">IF($B11="","",IF(AE11&gt;=DAY($G$3),cfg_DAYS_M,MIN(AE11,cfg_DAYS_M)))</f>
        <v>30</v>
      </c>
      <c r="G11" s="110" t="n">
        <f aca="false">IF($B11="","",SUMIFS('الحركات الشهرية'!$D$6:$D$1005,'الحركات الشهرية'!$B$6:$B$1005,$B11,'الحركات الشهرية'!$A$6:$A$1005,$C$3))</f>
        <v>0</v>
      </c>
      <c r="H11" s="110" t="n">
        <f aca="false">IF($B11="","",SUMIFS('الحركات الشهرية'!$E$6:$E$1005,'الحركات الشهرية'!$B$6:$B$1005,$B11,'الحركات الشهرية'!$A$6:$A$1005,$C$3))</f>
        <v>0</v>
      </c>
      <c r="I11" s="110" t="n">
        <f aca="false">IF($B11="","",MAX(0,F11-G11-H11))</f>
        <v>30</v>
      </c>
      <c r="J11" s="90" t="n">
        <f aca="false">IF($B11="","",الموظفون!$J11*$I11/cfg_DAYS_M)</f>
        <v>13000</v>
      </c>
      <c r="K11" s="90" t="n">
        <f aca="false">IF($B11="","",الموظفون!$K11*$I11/cfg_DAYS_M)</f>
        <v>3250</v>
      </c>
      <c r="L11" s="90" t="n">
        <f aca="false">IF($B11="","",الموظفون!$L11*$I11/cfg_DAYS_M)</f>
        <v>1300</v>
      </c>
      <c r="M11" s="90" t="n">
        <f aca="false">IF($B11="","",الموظفون!$M11*$I11/cfg_DAYS_M)</f>
        <v>2500</v>
      </c>
      <c r="N11" s="110" t="n">
        <f aca="false">IF($B11="","",SUMIFS('الحركات الشهرية'!$F$6:$F$1005,'الحركات الشهرية'!$B$6:$B$1005,$B11,'الحركات الشهرية'!$A$6:$A$1005,$C$3))</f>
        <v>0</v>
      </c>
      <c r="O11" s="90" t="n">
        <f aca="false">IF($B11="","",N11*(الموظفون!$N11+الموظفون!$J11*cfg_OT_P)/cfg_DAYS_M/cfg_HRS)</f>
        <v>0</v>
      </c>
      <c r="P11" s="90" t="n">
        <f aca="false">IF($B11="","",SUMIFS('الحركات الشهرية'!$G$6:$G$1005,'الحركات الشهرية'!$B$6:$B$1005,$B11,'الحركات الشهرية'!$A$6:$A$1005,$C$3))</f>
        <v>0</v>
      </c>
      <c r="Q11" s="90" t="n">
        <f aca="false">IF($B11="","",SUMIFS('الحركات الشهرية'!$H$6:$H$1005,'الحركات الشهرية'!$B$6:$B$1005,$B11,'الحركات الشهرية'!$A$6:$A$1005,$C$3))</f>
        <v>0</v>
      </c>
      <c r="R11" s="111" t="n">
        <f aca="false">IF($B11="","",SUM(J11:M11)+SUM(O11:Q11))</f>
        <v>20050</v>
      </c>
      <c r="S11" s="90" t="n">
        <f aca="false">IF($B11="","",الموظفون!$Q11*IF(E11="سعودي",cfg_G_SE,cfg_G_NE)*F11/cfg_DAYS_M)</f>
        <v>1584.375</v>
      </c>
      <c r="T11" s="90" t="n">
        <f aca="false">IF($B11="","",SUMIFS('الحركات الشهرية'!$I$6:$I$1005,'الحركات الشهرية'!$B$6:$B$1005,$B11,'الحركات الشهرية'!$A$6:$A$1005,$C$3))</f>
        <v>0</v>
      </c>
      <c r="U11" s="90" t="n">
        <f aca="false">IF($B11="","",SUMIFS('الحركات الشهرية'!$J$6:$J$1005,'الحركات الشهرية'!$B$6:$B$1005,$B11,'الحركات الشهرية'!$A$6:$A$1005,$C$3))</f>
        <v>0</v>
      </c>
      <c r="V11" s="90" t="n">
        <f aca="false">IF($B11="","",SUM(S11:U11))</f>
        <v>1584.375</v>
      </c>
      <c r="W11" s="112" t="n">
        <f aca="false">IF($B11="","",R11-V11)</f>
        <v>18465.625</v>
      </c>
      <c r="X11" s="90" t="n">
        <f aca="false">IF($B11="","",الموظفون!$Q11*IF(E11="سعودي",cfg_G_SR,cfg_G_NR)*F11/cfg_DAYS_M)</f>
        <v>1909.375</v>
      </c>
      <c r="Y11" s="90" t="n">
        <f aca="false">IF($B11="","",الموظفون!$O11*(cfg_EOS_R1*(MIN(AC11,cfg_EOS_TH)-MIN(AD11,cfg_EOS_TH))+cfg_EOS_R2*(MAX(AC11-cfg_EOS_TH,0)-MAX(AD11-cfg_EOS_TH,0))))</f>
        <v>1442.46575342465</v>
      </c>
      <c r="Z11" s="90" t="n">
        <f aca="false">IF($B11="","",IF(الموظفون!$R11&lt;&gt;"",الموظفون!$R11,IF(AC11&gt;=cfg_LV_TH,cfg_LV_D2,cfg_LV_D1))/cfg_DAYS_Y*AE11*الموظفون!$P11/cfg_DAYS_M)</f>
        <v>1442.46575342466</v>
      </c>
      <c r="AA11" s="90" t="n">
        <f aca="false">IF($B11="","",IF(AND(الموظفون!$S11="نعم",N(الموظفون!$U11)&gt;0),الموظفون!$T11/الموظفون!$U11*12/cfg_DAYS_Y*AE11,0))</f>
        <v>0</v>
      </c>
      <c r="AB11" s="113" t="n">
        <f aca="false">IF($B11="","",R11+SUM(X11:AA11))</f>
        <v>24844.3065068493</v>
      </c>
      <c r="AC11" s="114" t="n">
        <f aca="false">IF($B11="","",MAX(0,IF(OR(الموظفون!$X11="",الموظفون!$X11&gt;$G$3),$G$3,الموظفون!$X11)-الموظفون!$H11+1)/cfg_DAYS_Y)</f>
        <v>9.07671232876712</v>
      </c>
      <c r="AD11" s="114" t="n">
        <f aca="false">IF($B11="","",MAX(0,IF(OR(الموظفون!$X11="",الموظفون!$X11&gt;($E$3-1)),($E$3-1),الموظفون!$X11)-الموظفون!$H11+1)/cfg_DAYS_Y)</f>
        <v>8.99452054794521</v>
      </c>
      <c r="AE11" s="115" t="n">
        <f aca="false">IF($B11="","",MAX(0,IF(OR(الموظفون!$X11="",الموظفون!$X11&gt;$G$3),$G$3,الموظفون!$X11)-MAX($E$3,الموظفون!$H11)+1))</f>
        <v>30</v>
      </c>
    </row>
    <row r="12" customFormat="false" ht="15" hidden="false" customHeight="false" outlineLevel="0" collapsed="false">
      <c r="A12" s="83" t="n">
        <f aca="false">IF($B12="","",الموظفون!$A12)</f>
        <v>7</v>
      </c>
      <c r="B12" s="74" t="str">
        <f aca="false">IF(الموظفون!$B12="","",الموظفون!$B12)</f>
        <v>E007</v>
      </c>
      <c r="C12" s="74" t="str">
        <f aca="false">IF($B12="","",الموظفون!$C12)</f>
        <v>خالد يوسف الأحمد</v>
      </c>
      <c r="D12" s="74" t="str">
        <f aca="false">IF($B12="","",الموظفون!$F12)</f>
        <v>المشاريع</v>
      </c>
      <c r="E12" s="74" t="str">
        <f aca="false">IF($B12="","",الموظفون!$E12)</f>
        <v>غير سعودي</v>
      </c>
      <c r="F12" s="105" t="n">
        <f aca="false">IF($B12="","",IF(AE12&gt;=DAY($G$3),cfg_DAYS_M,MIN(AE12,cfg_DAYS_M)))</f>
        <v>30</v>
      </c>
      <c r="G12" s="105" t="n">
        <f aca="false">IF($B12="","",SUMIFS('الحركات الشهرية'!$D$6:$D$1005,'الحركات الشهرية'!$B$6:$B$1005,$B12,'الحركات الشهرية'!$A$6:$A$1005,$C$3))</f>
        <v>0</v>
      </c>
      <c r="H12" s="105" t="n">
        <f aca="false">IF($B12="","",SUMIFS('الحركات الشهرية'!$E$6:$E$1005,'الحركات الشهرية'!$B$6:$B$1005,$B12,'الحركات الشهرية'!$A$6:$A$1005,$C$3))</f>
        <v>0</v>
      </c>
      <c r="I12" s="105" t="n">
        <f aca="false">IF($B12="","",MAX(0,F12-G12-H12))</f>
        <v>30</v>
      </c>
      <c r="J12" s="86" t="n">
        <f aca="false">IF($B12="","",الموظفون!$J12*$I12/cfg_DAYS_M)</f>
        <v>11000</v>
      </c>
      <c r="K12" s="86" t="n">
        <f aca="false">IF($B12="","",الموظفون!$K12*$I12/cfg_DAYS_M)</f>
        <v>2750</v>
      </c>
      <c r="L12" s="86" t="n">
        <f aca="false">IF($B12="","",الموظفون!$L12*$I12/cfg_DAYS_M)</f>
        <v>1100</v>
      </c>
      <c r="M12" s="86" t="n">
        <f aca="false">IF($B12="","",الموظفون!$M12*$I12/cfg_DAYS_M)</f>
        <v>800</v>
      </c>
      <c r="N12" s="105" t="n">
        <f aca="false">IF($B12="","",SUMIFS('الحركات الشهرية'!$F$6:$F$1005,'الحركات الشهرية'!$B$6:$B$1005,$B12,'الحركات الشهرية'!$A$6:$A$1005,$C$3))</f>
        <v>0</v>
      </c>
      <c r="O12" s="86" t="n">
        <f aca="false">IF($B12="","",N12*(الموظفون!$N12+الموظفون!$J12*cfg_OT_P)/cfg_DAYS_M/cfg_HRS)</f>
        <v>0</v>
      </c>
      <c r="P12" s="86" t="n">
        <f aca="false">IF($B12="","",SUMIFS('الحركات الشهرية'!$G$6:$G$1005,'الحركات الشهرية'!$B$6:$B$1005,$B12,'الحركات الشهرية'!$A$6:$A$1005,$C$3))</f>
        <v>0</v>
      </c>
      <c r="Q12" s="86" t="n">
        <f aca="false">IF($B12="","",SUMIFS('الحركات الشهرية'!$H$6:$H$1005,'الحركات الشهرية'!$B$6:$B$1005,$B12,'الحركات الشهرية'!$A$6:$A$1005,$C$3))</f>
        <v>0</v>
      </c>
      <c r="R12" s="106" t="n">
        <f aca="false">IF($B12="","",SUM(J12:M12)+SUM(O12:Q12))</f>
        <v>15650</v>
      </c>
      <c r="S12" s="86" t="n">
        <f aca="false">IF($B12="","",الموظفون!$Q12*IF(E12="سعودي",cfg_G_SE,cfg_G_NE)*F12/cfg_DAYS_M)</f>
        <v>0</v>
      </c>
      <c r="T12" s="86" t="n">
        <f aca="false">IF($B12="","",SUMIFS('الحركات الشهرية'!$I$6:$I$1005,'الحركات الشهرية'!$B$6:$B$1005,$B12,'الحركات الشهرية'!$A$6:$A$1005,$C$3))</f>
        <v>0</v>
      </c>
      <c r="U12" s="86" t="n">
        <f aca="false">IF($B12="","",SUMIFS('الحركات الشهرية'!$J$6:$J$1005,'الحركات الشهرية'!$B$6:$B$1005,$B12,'الحركات الشهرية'!$A$6:$A$1005,$C$3))</f>
        <v>0</v>
      </c>
      <c r="V12" s="86" t="n">
        <f aca="false">IF($B12="","",SUM(S12:U12))</f>
        <v>0</v>
      </c>
      <c r="W12" s="107" t="n">
        <f aca="false">IF($B12="","",R12-V12)</f>
        <v>15650</v>
      </c>
      <c r="X12" s="86" t="n">
        <f aca="false">IF($B12="","",الموظفون!$Q12*IF(E12="سعودي",cfg_G_SR,cfg_G_NR)*F12/cfg_DAYS_M)</f>
        <v>275</v>
      </c>
      <c r="Y12" s="86" t="n">
        <f aca="false">IF($B12="","",الموظفون!$O12*(cfg_EOS_R1*(MIN(AC12,cfg_EOS_TH)-MIN(AD12,cfg_EOS_TH))+cfg_EOS_R2*(MAX(AC12-cfg_EOS_TH,0)-MAX(AD12-cfg_EOS_TH,0))))</f>
        <v>1220.54794520548</v>
      </c>
      <c r="Z12" s="86" t="n">
        <f aca="false">IF($B12="","",IF(الموظفون!$R12&lt;&gt;"",الموظفون!$R12,IF(AC12&gt;=cfg_LV_TH,cfg_LV_D2,cfg_LV_D1))/cfg_DAYS_Y*AE12*الموظفون!$P12/cfg_DAYS_M)</f>
        <v>1220.54794520548</v>
      </c>
      <c r="AA12" s="86" t="n">
        <f aca="false">IF($B12="","",IF(AND(الموظفون!$S12="نعم",N(الموظفون!$U12)&gt;0),الموظفون!$T12/الموظفون!$U12*12/cfg_DAYS_Y*AE12,0))</f>
        <v>369.86301369863</v>
      </c>
      <c r="AB12" s="108" t="n">
        <f aca="false">IF($B12="","",R12+SUM(X12:AA12))</f>
        <v>18735.9589041096</v>
      </c>
      <c r="AC12" s="109" t="n">
        <f aca="false">IF($B12="","",MAX(0,IF(OR(الموظفون!$X12="",الموظفون!$X12&gt;$G$3),$G$3,الموظفون!$X12)-الموظفون!$H12+1)/cfg_DAYS_Y)</f>
        <v>5.86575342465754</v>
      </c>
      <c r="AD12" s="109" t="n">
        <f aca="false">IF($B12="","",MAX(0,IF(OR(الموظفون!$X12="",الموظفون!$X12&gt;($E$3-1)),($E$3-1),الموظفون!$X12)-الموظفون!$H12+1)/cfg_DAYS_Y)</f>
        <v>5.78356164383562</v>
      </c>
      <c r="AE12" s="51" t="n">
        <f aca="false">IF($B12="","",MAX(0,IF(OR(الموظفون!$X12="",الموظفون!$X12&gt;$G$3),$G$3,الموظفون!$X12)-MAX($E$3,الموظفون!$H12)+1))</f>
        <v>30</v>
      </c>
    </row>
    <row r="13" customFormat="false" ht="15" hidden="false" customHeight="false" outlineLevel="0" collapsed="false">
      <c r="A13" s="89" t="n">
        <f aca="false">IF($B13="","",الموظفون!$A13)</f>
        <v>8</v>
      </c>
      <c r="B13" s="91" t="str">
        <f aca="false">IF(الموظفون!$B13="","",الموظفون!$B13)</f>
        <v>E008</v>
      </c>
      <c r="C13" s="91" t="str">
        <f aca="false">IF($B13="","",الموظفون!$C13)</f>
        <v>سارة عبدالرحمن الزهراني</v>
      </c>
      <c r="D13" s="91" t="str">
        <f aca="false">IF($B13="","",الموظفون!$F13)</f>
        <v>المالية</v>
      </c>
      <c r="E13" s="91" t="str">
        <f aca="false">IF($B13="","",الموظفون!$E13)</f>
        <v>سعودي</v>
      </c>
      <c r="F13" s="110" t="n">
        <f aca="false">IF($B13="","",IF(AE13&gt;=DAY($G$3),cfg_DAYS_M,MIN(AE13,cfg_DAYS_M)))</f>
        <v>30</v>
      </c>
      <c r="G13" s="110" t="n">
        <f aca="false">IF($B13="","",SUMIFS('الحركات الشهرية'!$D$6:$D$1005,'الحركات الشهرية'!$B$6:$B$1005,$B13,'الحركات الشهرية'!$A$6:$A$1005,$C$3))</f>
        <v>0</v>
      </c>
      <c r="H13" s="110" t="n">
        <f aca="false">IF($B13="","",SUMIFS('الحركات الشهرية'!$E$6:$E$1005,'الحركات الشهرية'!$B$6:$B$1005,$B13,'الحركات الشهرية'!$A$6:$A$1005,$C$3))</f>
        <v>0</v>
      </c>
      <c r="I13" s="110" t="n">
        <f aca="false">IF($B13="","",MAX(0,F13-G13-H13))</f>
        <v>30</v>
      </c>
      <c r="J13" s="90" t="n">
        <f aca="false">IF($B13="","",الموظفون!$J13*$I13/cfg_DAYS_M)</f>
        <v>7500</v>
      </c>
      <c r="K13" s="90" t="n">
        <f aca="false">IF($B13="","",الموظفون!$K13*$I13/cfg_DAYS_M)</f>
        <v>1875</v>
      </c>
      <c r="L13" s="90" t="n">
        <f aca="false">IF($B13="","",الموظفون!$L13*$I13/cfg_DAYS_M)</f>
        <v>750</v>
      </c>
      <c r="M13" s="90" t="n">
        <f aca="false">IF($B13="","",الموظفون!$M13*$I13/cfg_DAYS_M)</f>
        <v>0</v>
      </c>
      <c r="N13" s="110" t="n">
        <f aca="false">IF($B13="","",SUMIFS('الحركات الشهرية'!$F$6:$F$1005,'الحركات الشهرية'!$B$6:$B$1005,$B13,'الحركات الشهرية'!$A$6:$A$1005,$C$3))</f>
        <v>0</v>
      </c>
      <c r="O13" s="90" t="n">
        <f aca="false">IF($B13="","",N13*(الموظفون!$N13+الموظفون!$J13*cfg_OT_P)/cfg_DAYS_M/cfg_HRS)</f>
        <v>0</v>
      </c>
      <c r="P13" s="90" t="n">
        <f aca="false">IF($B13="","",SUMIFS('الحركات الشهرية'!$G$6:$G$1005,'الحركات الشهرية'!$B$6:$B$1005,$B13,'الحركات الشهرية'!$A$6:$A$1005,$C$3))</f>
        <v>0</v>
      </c>
      <c r="Q13" s="90" t="n">
        <f aca="false">IF($B13="","",SUMIFS('الحركات الشهرية'!$H$6:$H$1005,'الحركات الشهرية'!$B$6:$B$1005,$B13,'الحركات الشهرية'!$A$6:$A$1005,$C$3))</f>
        <v>0</v>
      </c>
      <c r="R13" s="111" t="n">
        <f aca="false">IF($B13="","",SUM(J13:M13)+SUM(O13:Q13))</f>
        <v>10125</v>
      </c>
      <c r="S13" s="90" t="n">
        <f aca="false">IF($B13="","",الموظفون!$Q13*IF(E13="سعودي",cfg_G_SE,cfg_G_NE)*F13/cfg_DAYS_M)</f>
        <v>914.0625</v>
      </c>
      <c r="T13" s="90" t="n">
        <f aca="false">IF($B13="","",SUMIFS('الحركات الشهرية'!$I$6:$I$1005,'الحركات الشهرية'!$B$6:$B$1005,$B13,'الحركات الشهرية'!$A$6:$A$1005,$C$3))</f>
        <v>0</v>
      </c>
      <c r="U13" s="90" t="n">
        <f aca="false">IF($B13="","",SUMIFS('الحركات الشهرية'!$J$6:$J$1005,'الحركات الشهرية'!$B$6:$B$1005,$B13,'الحركات الشهرية'!$A$6:$A$1005,$C$3))</f>
        <v>0</v>
      </c>
      <c r="V13" s="90" t="n">
        <f aca="false">IF($B13="","",SUM(S13:U13))</f>
        <v>914.0625</v>
      </c>
      <c r="W13" s="112" t="n">
        <f aca="false">IF($B13="","",R13-V13)</f>
        <v>9210.9375</v>
      </c>
      <c r="X13" s="90" t="n">
        <f aca="false">IF($B13="","",الموظفون!$Q13*IF(E13="سعودي",cfg_G_SR,cfg_G_NR)*F13/cfg_DAYS_M)</f>
        <v>1101.5625</v>
      </c>
      <c r="Y13" s="90" t="n">
        <f aca="false">IF($B13="","",الموظفون!$O13*(cfg_EOS_R1*(MIN(AC13,cfg_EOS_TH)-MIN(AD13,cfg_EOS_TH))+cfg_EOS_R2*(MAX(AC13-cfg_EOS_TH,0)-MAX(AD13-cfg_EOS_TH,0))))</f>
        <v>416.095890410958</v>
      </c>
      <c r="Z13" s="90" t="n">
        <f aca="false">IF($B13="","",IF(الموظفون!$R13&lt;&gt;"",الموظفون!$R13,IF(AC13&gt;=cfg_LV_TH,cfg_LV_D2,cfg_LV_D1))/cfg_DAYS_Y*AE13*الموظفون!$P13/cfg_DAYS_M)</f>
        <v>582.534246575342</v>
      </c>
      <c r="AA13" s="90" t="n">
        <f aca="false">IF($B13="","",IF(AND(الموظفون!$S13="نعم",N(الموظفون!$U13)&gt;0),الموظفون!$T13/الموظفون!$U13*12/cfg_DAYS_Y*AE13,0))</f>
        <v>0</v>
      </c>
      <c r="AB13" s="113" t="n">
        <f aca="false">IF($B13="","",R13+SUM(X13:AA13))</f>
        <v>12225.1926369863</v>
      </c>
      <c r="AC13" s="114" t="n">
        <f aca="false">IF($B13="","",MAX(0,IF(OR(الموظفون!$X13="",الموظفون!$X13&gt;$G$3),$G$3,الموظفون!$X13)-الموظفون!$H13+1)/cfg_DAYS_Y)</f>
        <v>3.75616438356164</v>
      </c>
      <c r="AD13" s="114" t="n">
        <f aca="false">IF($B13="","",MAX(0,IF(OR(الموظفون!$X13="",الموظفون!$X13&gt;($E$3-1)),($E$3-1),الموظفون!$X13)-الموظفون!$H13+1)/cfg_DAYS_Y)</f>
        <v>3.67397260273973</v>
      </c>
      <c r="AE13" s="115" t="n">
        <f aca="false">IF($B13="","",MAX(0,IF(OR(الموظفون!$X13="",الموظفون!$X13&gt;$G$3),$G$3,الموظفون!$X13)-MAX($E$3,الموظفون!$H13)+1))</f>
        <v>30</v>
      </c>
    </row>
    <row r="14" customFormat="false" ht="15" hidden="false" customHeight="false" outlineLevel="0" collapsed="false">
      <c r="A14" s="83" t="n">
        <f aca="false">IF($B14="","",الموظفون!$A14)</f>
        <v>9</v>
      </c>
      <c r="B14" s="74" t="str">
        <f aca="false">IF(الموظفون!$B14="","",الموظفون!$B14)</f>
        <v>E009</v>
      </c>
      <c r="C14" s="74" t="str">
        <f aca="false">IF($B14="","",الموظفون!$C14)</f>
        <v>محمد رفيق</v>
      </c>
      <c r="D14" s="74" t="str">
        <f aca="false">IF($B14="","",الموظفون!$F14)</f>
        <v>العمليات</v>
      </c>
      <c r="E14" s="74" t="str">
        <f aca="false">IF($B14="","",الموظفون!$E14)</f>
        <v>غير سعودي</v>
      </c>
      <c r="F14" s="105" t="n">
        <f aca="false">IF($B14="","",IF(AE14&gt;=DAY($G$3),cfg_DAYS_M,MIN(AE14,cfg_DAYS_M)))</f>
        <v>30</v>
      </c>
      <c r="G14" s="105" t="n">
        <f aca="false">IF($B14="","",SUMIFS('الحركات الشهرية'!$D$6:$D$1005,'الحركات الشهرية'!$B$6:$B$1005,$B14,'الحركات الشهرية'!$A$6:$A$1005,$C$3))</f>
        <v>0</v>
      </c>
      <c r="H14" s="105" t="n">
        <f aca="false">IF($B14="","",SUMIFS('الحركات الشهرية'!$E$6:$E$1005,'الحركات الشهرية'!$B$6:$B$1005,$B14,'الحركات الشهرية'!$A$6:$A$1005,$C$3))</f>
        <v>0</v>
      </c>
      <c r="I14" s="105" t="n">
        <f aca="false">IF($B14="","",MAX(0,F14-G14-H14))</f>
        <v>30</v>
      </c>
      <c r="J14" s="86" t="n">
        <f aca="false">IF($B14="","",الموظفون!$J14*$I14/cfg_DAYS_M)</f>
        <v>6500</v>
      </c>
      <c r="K14" s="86" t="n">
        <f aca="false">IF($B14="","",الموظفون!$K14*$I14/cfg_DAYS_M)</f>
        <v>1625</v>
      </c>
      <c r="L14" s="86" t="n">
        <f aca="false">IF($B14="","",الموظفون!$L14*$I14/cfg_DAYS_M)</f>
        <v>650</v>
      </c>
      <c r="M14" s="86" t="n">
        <f aca="false">IF($B14="","",الموظفون!$M14*$I14/cfg_DAYS_M)</f>
        <v>300</v>
      </c>
      <c r="N14" s="105" t="n">
        <f aca="false">IF($B14="","",SUMIFS('الحركات الشهرية'!$F$6:$F$1005,'الحركات الشهرية'!$B$6:$B$1005,$B14,'الحركات الشهرية'!$A$6:$A$1005,$C$3))</f>
        <v>0</v>
      </c>
      <c r="O14" s="86" t="n">
        <f aca="false">IF($B14="","",N14*(الموظفون!$N14+الموظفون!$J14*cfg_OT_P)/cfg_DAYS_M/cfg_HRS)</f>
        <v>0</v>
      </c>
      <c r="P14" s="86" t="n">
        <f aca="false">IF($B14="","",SUMIFS('الحركات الشهرية'!$G$6:$G$1005,'الحركات الشهرية'!$B$6:$B$1005,$B14,'الحركات الشهرية'!$A$6:$A$1005,$C$3))</f>
        <v>0</v>
      </c>
      <c r="Q14" s="86" t="n">
        <f aca="false">IF($B14="","",SUMIFS('الحركات الشهرية'!$H$6:$H$1005,'الحركات الشهرية'!$B$6:$B$1005,$B14,'الحركات الشهرية'!$A$6:$A$1005,$C$3))</f>
        <v>0</v>
      </c>
      <c r="R14" s="106" t="n">
        <f aca="false">IF($B14="","",SUM(J14:M14)+SUM(O14:Q14))</f>
        <v>9075</v>
      </c>
      <c r="S14" s="86" t="n">
        <f aca="false">IF($B14="","",الموظفون!$Q14*IF(E14="سعودي",cfg_G_SE,cfg_G_NE)*F14/cfg_DAYS_M)</f>
        <v>0</v>
      </c>
      <c r="T14" s="86" t="n">
        <f aca="false">IF($B14="","",SUMIFS('الحركات الشهرية'!$I$6:$I$1005,'الحركات الشهرية'!$B$6:$B$1005,$B14,'الحركات الشهرية'!$A$6:$A$1005,$C$3))</f>
        <v>0</v>
      </c>
      <c r="U14" s="86" t="n">
        <f aca="false">IF($B14="","",SUMIFS('الحركات الشهرية'!$J$6:$J$1005,'الحركات الشهرية'!$B$6:$B$1005,$B14,'الحركات الشهرية'!$A$6:$A$1005,$C$3))</f>
        <v>0</v>
      </c>
      <c r="V14" s="86" t="n">
        <f aca="false">IF($B14="","",SUM(S14:U14))</f>
        <v>0</v>
      </c>
      <c r="W14" s="107" t="n">
        <f aca="false">IF($B14="","",R14-V14)</f>
        <v>9075</v>
      </c>
      <c r="X14" s="86" t="n">
        <f aca="false">IF($B14="","",الموظفون!$Q14*IF(E14="سعودي",cfg_G_SR,cfg_G_NR)*F14/cfg_DAYS_M)</f>
        <v>162.5</v>
      </c>
      <c r="Y14" s="86" t="n">
        <f aca="false">IF($B14="","",الموظفون!$O14*(cfg_EOS_R1*(MIN(AC14,cfg_EOS_TH)-MIN(AD14,cfg_EOS_TH))+cfg_EOS_R2*(MAX(AC14-cfg_EOS_TH,0)-MAX(AD14-cfg_EOS_TH,0))))</f>
        <v>721.232876712324</v>
      </c>
      <c r="Z14" s="86" t="n">
        <f aca="false">IF($B14="","",IF(الموظفون!$R14&lt;&gt;"",الموظفون!$R14,IF(AC14&gt;=cfg_LV_TH,cfg_LV_D2,cfg_LV_D1))/cfg_DAYS_Y*AE14*الموظفون!$P14/cfg_DAYS_M)</f>
        <v>721.232876712329</v>
      </c>
      <c r="AA14" s="86" t="n">
        <f aca="false">IF($B14="","",IF(AND(الموظفون!$S14="نعم",N(الموظفون!$U14)&gt;0),الموظفون!$T14/الموظفون!$U14*12/cfg_DAYS_Y*AE14,0))</f>
        <v>90.4109589041096</v>
      </c>
      <c r="AB14" s="108" t="n">
        <f aca="false">IF($B14="","",R14+SUM(X14:AA14))</f>
        <v>10770.3767123288</v>
      </c>
      <c r="AC14" s="109" t="n">
        <f aca="false">IF($B14="","",MAX(0,IF(OR(الموظفون!$X14="",الموظفون!$X14&gt;$G$3),$G$3,الموظفون!$X14)-الموظفون!$H14+1)/cfg_DAYS_Y)</f>
        <v>12.2958904109589</v>
      </c>
      <c r="AD14" s="109" t="n">
        <f aca="false">IF($B14="","",MAX(0,IF(OR(الموظفون!$X14="",الموظفون!$X14&gt;($E$3-1)),($E$3-1),الموظفون!$X14)-الموظفون!$H14+1)/cfg_DAYS_Y)</f>
        <v>12.213698630137</v>
      </c>
      <c r="AE14" s="51" t="n">
        <f aca="false">IF($B14="","",MAX(0,IF(OR(الموظفون!$X14="",الموظفون!$X14&gt;$G$3),$G$3,الموظفون!$X14)-MAX($E$3,الموظفون!$H14)+1))</f>
        <v>30</v>
      </c>
    </row>
    <row r="15" customFormat="false" ht="15" hidden="false" customHeight="false" outlineLevel="0" collapsed="false">
      <c r="A15" s="89" t="n">
        <f aca="false">IF($B15="","",الموظفون!$A15)</f>
        <v>10</v>
      </c>
      <c r="B15" s="91" t="str">
        <f aca="false">IF(الموظفون!$B15="","",الموظفون!$B15)</f>
        <v>E010</v>
      </c>
      <c r="C15" s="91" t="str">
        <f aca="false">IF($B15="","",الموظفون!$C15)</f>
        <v>ريم سلطان المطيري</v>
      </c>
      <c r="D15" s="91" t="str">
        <f aca="false">IF($B15="","",الموظفون!$F15)</f>
        <v>المبيعات</v>
      </c>
      <c r="E15" s="91" t="str">
        <f aca="false">IF($B15="","",الموظفون!$E15)</f>
        <v>سعودي</v>
      </c>
      <c r="F15" s="110" t="n">
        <f aca="false">IF($B15="","",IF(AE15&gt;=DAY($G$3),cfg_DAYS_M,MIN(AE15,cfg_DAYS_M)))</f>
        <v>30</v>
      </c>
      <c r="G15" s="110" t="n">
        <f aca="false">IF($B15="","",SUMIFS('الحركات الشهرية'!$D$6:$D$1005,'الحركات الشهرية'!$B$6:$B$1005,$B15,'الحركات الشهرية'!$A$6:$A$1005,$C$3))</f>
        <v>0</v>
      </c>
      <c r="H15" s="110" t="n">
        <f aca="false">IF($B15="","",SUMIFS('الحركات الشهرية'!$E$6:$E$1005,'الحركات الشهرية'!$B$6:$B$1005,$B15,'الحركات الشهرية'!$A$6:$A$1005,$C$3))</f>
        <v>0</v>
      </c>
      <c r="I15" s="110" t="n">
        <f aca="false">IF($B15="","",MAX(0,F15-G15-H15))</f>
        <v>30</v>
      </c>
      <c r="J15" s="90" t="n">
        <f aca="false">IF($B15="","",الموظفون!$J15*$I15/cfg_DAYS_M)</f>
        <v>9000</v>
      </c>
      <c r="K15" s="90" t="n">
        <f aca="false">IF($B15="","",الموظفون!$K15*$I15/cfg_DAYS_M)</f>
        <v>2250</v>
      </c>
      <c r="L15" s="90" t="n">
        <f aca="false">IF($B15="","",الموظفون!$L15*$I15/cfg_DAYS_M)</f>
        <v>900</v>
      </c>
      <c r="M15" s="90" t="n">
        <f aca="false">IF($B15="","",الموظفون!$M15*$I15/cfg_DAYS_M)</f>
        <v>0</v>
      </c>
      <c r="N15" s="110" t="n">
        <f aca="false">IF($B15="","",SUMIFS('الحركات الشهرية'!$F$6:$F$1005,'الحركات الشهرية'!$B$6:$B$1005,$B15,'الحركات الشهرية'!$A$6:$A$1005,$C$3))</f>
        <v>0</v>
      </c>
      <c r="O15" s="90" t="n">
        <f aca="false">IF($B15="","",N15*(الموظفون!$N15+الموظفون!$J15*cfg_OT_P)/cfg_DAYS_M/cfg_HRS)</f>
        <v>0</v>
      </c>
      <c r="P15" s="90" t="n">
        <f aca="false">IF($B15="","",SUMIFS('الحركات الشهرية'!$G$6:$G$1005,'الحركات الشهرية'!$B$6:$B$1005,$B15,'الحركات الشهرية'!$A$6:$A$1005,$C$3))</f>
        <v>0</v>
      </c>
      <c r="Q15" s="90" t="n">
        <f aca="false">IF($B15="","",SUMIFS('الحركات الشهرية'!$H$6:$H$1005,'الحركات الشهرية'!$B$6:$B$1005,$B15,'الحركات الشهرية'!$A$6:$A$1005,$C$3))</f>
        <v>0</v>
      </c>
      <c r="R15" s="111" t="n">
        <f aca="false">IF($B15="","",SUM(J15:M15)+SUM(O15:Q15))</f>
        <v>12150</v>
      </c>
      <c r="S15" s="90" t="n">
        <f aca="false">IF($B15="","",الموظفون!$Q15*IF(E15="سعودي",cfg_G_SE,cfg_G_NE)*F15/cfg_DAYS_M)</f>
        <v>1096.875</v>
      </c>
      <c r="T15" s="90" t="n">
        <f aca="false">IF($B15="","",SUMIFS('الحركات الشهرية'!$I$6:$I$1005,'الحركات الشهرية'!$B$6:$B$1005,$B15,'الحركات الشهرية'!$A$6:$A$1005,$C$3))</f>
        <v>0</v>
      </c>
      <c r="U15" s="90" t="n">
        <f aca="false">IF($B15="","",SUMIFS('الحركات الشهرية'!$J$6:$J$1005,'الحركات الشهرية'!$B$6:$B$1005,$B15,'الحركات الشهرية'!$A$6:$A$1005,$C$3))</f>
        <v>0</v>
      </c>
      <c r="V15" s="90" t="n">
        <f aca="false">IF($B15="","",SUM(S15:U15))</f>
        <v>1096.875</v>
      </c>
      <c r="W15" s="112" t="n">
        <f aca="false">IF($B15="","",R15-V15)</f>
        <v>11053.125</v>
      </c>
      <c r="X15" s="90" t="n">
        <f aca="false">IF($B15="","",الموظفون!$Q15*IF(E15="سعودي",cfg_G_SR,cfg_G_NR)*F15/cfg_DAYS_M)</f>
        <v>1321.875</v>
      </c>
      <c r="Y15" s="90" t="n">
        <f aca="false">IF($B15="","",الموظفون!$O15*(cfg_EOS_R1*(MIN(AC15,cfg_EOS_TH)-MIN(AD15,cfg_EOS_TH))+cfg_EOS_R2*(MAX(AC15-cfg_EOS_TH,0)-MAX(AD15-cfg_EOS_TH,0))))</f>
        <v>499.315068493151</v>
      </c>
      <c r="Z15" s="90" t="n">
        <f aca="false">IF($B15="","",IF(الموظفون!$R15&lt;&gt;"",الموظفون!$R15,IF(AC15&gt;=cfg_LV_TH,cfg_LV_D2,cfg_LV_D1))/cfg_DAYS_Y*AE15*الموظفون!$P15/cfg_DAYS_M)</f>
        <v>699.041095890411</v>
      </c>
      <c r="AA15" s="90" t="n">
        <f aca="false">IF($B15="","",IF(AND(الموظفون!$S15="نعم",N(الموظفون!$U15)&gt;0),الموظفون!$T15/الموظفون!$U15*12/cfg_DAYS_Y*AE15,0))</f>
        <v>0</v>
      </c>
      <c r="AB15" s="113" t="n">
        <f aca="false">IF($B15="","",R15+SUM(X15:AA15))</f>
        <v>14670.2311643836</v>
      </c>
      <c r="AC15" s="114" t="n">
        <f aca="false">IF($B15="","",MAX(0,IF(OR(الموظفون!$X15="",الموظفون!$X15&gt;$G$3),$G$3,الموظفون!$X15)-الموظفون!$H15+1)/cfg_DAYS_Y)</f>
        <v>0.63013698630137</v>
      </c>
      <c r="AD15" s="114" t="n">
        <f aca="false">IF($B15="","",MAX(0,IF(OR(الموظفون!$X15="",الموظفون!$X15&gt;($E$3-1)),($E$3-1),الموظفون!$X15)-الموظفون!$H15+1)/cfg_DAYS_Y)</f>
        <v>0.547945205479452</v>
      </c>
      <c r="AE15" s="115" t="n">
        <f aca="false">IF($B15="","",MAX(0,IF(OR(الموظفون!$X15="",الموظفون!$X15&gt;$G$3),$G$3,الموظفون!$X15)-MAX($E$3,الموظفون!$H15)+1))</f>
        <v>30</v>
      </c>
    </row>
    <row r="16" customFormat="false" ht="15" hidden="false" customHeight="false" outlineLevel="0" collapsed="false">
      <c r="A16" s="83" t="n">
        <f aca="false">IF($B16="","",الموظفون!$A16)</f>
        <v>11</v>
      </c>
      <c r="B16" s="74" t="str">
        <f aca="false">IF(الموظفون!$B16="","",الموظفون!$B16)</f>
        <v>E011</v>
      </c>
      <c r="C16" s="74" t="str">
        <f aca="false">IF($B16="","",الموظفون!$C16)</f>
        <v>جون ماتيو</v>
      </c>
      <c r="D16" s="74" t="str">
        <f aca="false">IF($B16="","",الموظفون!$F16)</f>
        <v>العمليات</v>
      </c>
      <c r="E16" s="74" t="str">
        <f aca="false">IF($B16="","",الموظفون!$E16)</f>
        <v>غير سعودي</v>
      </c>
      <c r="F16" s="105" t="n">
        <f aca="false">IF($B16="","",IF(AE16&gt;=DAY($G$3),cfg_DAYS_M,MIN(AE16,cfg_DAYS_M)))</f>
        <v>0</v>
      </c>
      <c r="G16" s="105" t="n">
        <f aca="false">IF($B16="","",SUMIFS('الحركات الشهرية'!$D$6:$D$1005,'الحركات الشهرية'!$B$6:$B$1005,$B16,'الحركات الشهرية'!$A$6:$A$1005,$C$3))</f>
        <v>0</v>
      </c>
      <c r="H16" s="105" t="n">
        <f aca="false">IF($B16="","",SUMIFS('الحركات الشهرية'!$E$6:$E$1005,'الحركات الشهرية'!$B$6:$B$1005,$B16,'الحركات الشهرية'!$A$6:$A$1005,$C$3))</f>
        <v>0</v>
      </c>
      <c r="I16" s="105" t="n">
        <f aca="false">IF($B16="","",MAX(0,F16-G16-H16))</f>
        <v>0</v>
      </c>
      <c r="J16" s="86" t="n">
        <f aca="false">IF($B16="","",الموظفون!$J16*$I16/cfg_DAYS_M)</f>
        <v>0</v>
      </c>
      <c r="K16" s="86" t="n">
        <f aca="false">IF($B16="","",الموظفون!$K16*$I16/cfg_DAYS_M)</f>
        <v>0</v>
      </c>
      <c r="L16" s="86" t="n">
        <f aca="false">IF($B16="","",الموظفون!$L16*$I16/cfg_DAYS_M)</f>
        <v>0</v>
      </c>
      <c r="M16" s="86" t="n">
        <f aca="false">IF($B16="","",الموظفون!$M16*$I16/cfg_DAYS_M)</f>
        <v>0</v>
      </c>
      <c r="N16" s="105" t="n">
        <f aca="false">IF($B16="","",SUMIFS('الحركات الشهرية'!$F$6:$F$1005,'الحركات الشهرية'!$B$6:$B$1005,$B16,'الحركات الشهرية'!$A$6:$A$1005,$C$3))</f>
        <v>0</v>
      </c>
      <c r="O16" s="86" t="n">
        <f aca="false">IF($B16="","",N16*(الموظفون!$N16+الموظفون!$J16*cfg_OT_P)/cfg_DAYS_M/cfg_HRS)</f>
        <v>0</v>
      </c>
      <c r="P16" s="86" t="n">
        <f aca="false">IF($B16="","",SUMIFS('الحركات الشهرية'!$G$6:$G$1005,'الحركات الشهرية'!$B$6:$B$1005,$B16,'الحركات الشهرية'!$A$6:$A$1005,$C$3))</f>
        <v>0</v>
      </c>
      <c r="Q16" s="86" t="n">
        <f aca="false">IF($B16="","",SUMIFS('الحركات الشهرية'!$H$6:$H$1005,'الحركات الشهرية'!$B$6:$B$1005,$B16,'الحركات الشهرية'!$A$6:$A$1005,$C$3))</f>
        <v>0</v>
      </c>
      <c r="R16" s="106" t="n">
        <f aca="false">IF($B16="","",SUM(J16:M16)+SUM(O16:Q16))</f>
        <v>0</v>
      </c>
      <c r="S16" s="86" t="n">
        <f aca="false">IF($B16="","",الموظفون!$Q16*IF(E16="سعودي",cfg_G_SE,cfg_G_NE)*F16/cfg_DAYS_M)</f>
        <v>0</v>
      </c>
      <c r="T16" s="86" t="n">
        <f aca="false">IF($B16="","",SUMIFS('الحركات الشهرية'!$I$6:$I$1005,'الحركات الشهرية'!$B$6:$B$1005,$B16,'الحركات الشهرية'!$A$6:$A$1005,$C$3))</f>
        <v>0</v>
      </c>
      <c r="U16" s="86" t="n">
        <f aca="false">IF($B16="","",SUMIFS('الحركات الشهرية'!$J$6:$J$1005,'الحركات الشهرية'!$B$6:$B$1005,$B16,'الحركات الشهرية'!$A$6:$A$1005,$C$3))</f>
        <v>0</v>
      </c>
      <c r="V16" s="86" t="n">
        <f aca="false">IF($B16="","",SUM(S16:U16))</f>
        <v>0</v>
      </c>
      <c r="W16" s="107" t="n">
        <f aca="false">IF($B16="","",R16-V16)</f>
        <v>0</v>
      </c>
      <c r="X16" s="86" t="n">
        <f aca="false">IF($B16="","",الموظفون!$Q16*IF(E16="سعودي",cfg_G_SR,cfg_G_NR)*F16/cfg_DAYS_M)</f>
        <v>0</v>
      </c>
      <c r="Y16" s="86" t="n">
        <f aca="false">IF($B16="","",الموظفون!$O16*(cfg_EOS_R1*(MIN(AC16,cfg_EOS_TH)-MIN(AD16,cfg_EOS_TH))+cfg_EOS_R2*(MAX(AC16-cfg_EOS_TH,0)-MAX(AD16-cfg_EOS_TH,0))))</f>
        <v>0</v>
      </c>
      <c r="Z16" s="86" t="n">
        <f aca="false">IF($B16="","",IF(الموظفون!$R16&lt;&gt;"",الموظفون!$R16,IF(AC16&gt;=cfg_LV_TH,cfg_LV_D2,cfg_LV_D1))/cfg_DAYS_Y*AE16*الموظفون!$P16/cfg_DAYS_M)</f>
        <v>0</v>
      </c>
      <c r="AA16" s="86" t="n">
        <f aca="false">IF($B16="","",IF(AND(الموظفون!$S16="نعم",N(الموظفون!$U16)&gt;0),الموظفون!$T16/الموظفون!$U16*12/cfg_DAYS_Y*AE16,0))</f>
        <v>0</v>
      </c>
      <c r="AB16" s="108" t="n">
        <f aca="false">IF($B16="","",R16+SUM(X16:AA16))</f>
        <v>0</v>
      </c>
      <c r="AC16" s="109" t="n">
        <f aca="false">IF($B16="","",MAX(0,IF(OR(الموظفون!$X16="",الموظفون!$X16&gt;$G$3),$G$3,الموظفون!$X16)-الموظفون!$H16+1)/cfg_DAYS_Y)</f>
        <v>7.33972602739726</v>
      </c>
      <c r="AD16" s="109" t="n">
        <f aca="false">IF($B16="","",MAX(0,IF(OR(الموظفون!$X16="",الموظفون!$X16&gt;($E$3-1)),($E$3-1),الموظفون!$X16)-الموظفون!$H16+1)/cfg_DAYS_Y)</f>
        <v>7.33972602739726</v>
      </c>
      <c r="AE16" s="51" t="n">
        <f aca="false">IF($B16="","",MAX(0,IF(OR(الموظفون!$X16="",الموظفون!$X16&gt;$G$3),$G$3,الموظفون!$X16)-MAX($E$3,الموظفون!$H16)+1))</f>
        <v>0</v>
      </c>
    </row>
    <row r="17" customFormat="false" ht="15" hidden="false" customHeight="false" outlineLevel="0" collapsed="false">
      <c r="A17" s="89" t="n">
        <f aca="false">IF($B17="","",الموظفون!$A17)</f>
        <v>12</v>
      </c>
      <c r="B17" s="91" t="str">
        <f aca="false">IF(الموظفون!$B17="","",الموظفون!$B17)</f>
        <v>E012</v>
      </c>
      <c r="C17" s="91" t="str">
        <f aca="false">IF($B17="","",الموظفون!$C17)</f>
        <v>عمر حسين البيشي</v>
      </c>
      <c r="D17" s="91" t="str">
        <f aca="false">IF($B17="","",الموظفون!$F17)</f>
        <v>تقنية المعلومات</v>
      </c>
      <c r="E17" s="91" t="str">
        <f aca="false">IF($B17="","",الموظفون!$E17)</f>
        <v>سعودي</v>
      </c>
      <c r="F17" s="110" t="n">
        <f aca="false">IF($B17="","",IF(AE17&gt;=DAY($G$3),cfg_DAYS_M,MIN(AE17,cfg_DAYS_M)))</f>
        <v>30</v>
      </c>
      <c r="G17" s="110" t="n">
        <f aca="false">IF($B17="","",SUMIFS('الحركات الشهرية'!$D$6:$D$1005,'الحركات الشهرية'!$B$6:$B$1005,$B17,'الحركات الشهرية'!$A$6:$A$1005,$C$3))</f>
        <v>0</v>
      </c>
      <c r="H17" s="110" t="n">
        <f aca="false">IF($B17="","",SUMIFS('الحركات الشهرية'!$E$6:$E$1005,'الحركات الشهرية'!$B$6:$B$1005,$B17,'الحركات الشهرية'!$A$6:$A$1005,$C$3))</f>
        <v>0</v>
      </c>
      <c r="I17" s="110" t="n">
        <f aca="false">IF($B17="","",MAX(0,F17-G17-H17))</f>
        <v>30</v>
      </c>
      <c r="J17" s="90" t="n">
        <f aca="false">IF($B17="","",الموظفون!$J17*$I17/cfg_DAYS_M)</f>
        <v>12000</v>
      </c>
      <c r="K17" s="90" t="n">
        <f aca="false">IF($B17="","",الموظفون!$K17*$I17/cfg_DAYS_M)</f>
        <v>3000</v>
      </c>
      <c r="L17" s="90" t="n">
        <f aca="false">IF($B17="","",الموظفون!$L17*$I17/cfg_DAYS_M)</f>
        <v>1200</v>
      </c>
      <c r="M17" s="90" t="n">
        <f aca="false">IF($B17="","",الموظفون!$M17*$I17/cfg_DAYS_M)</f>
        <v>1500</v>
      </c>
      <c r="N17" s="110" t="n">
        <f aca="false">IF($B17="","",SUMIFS('الحركات الشهرية'!$F$6:$F$1005,'الحركات الشهرية'!$B$6:$B$1005,$B17,'الحركات الشهرية'!$A$6:$A$1005,$C$3))</f>
        <v>0</v>
      </c>
      <c r="O17" s="90" t="n">
        <f aca="false">IF($B17="","",N17*(الموظفون!$N17+الموظفون!$J17*cfg_OT_P)/cfg_DAYS_M/cfg_HRS)</f>
        <v>0</v>
      </c>
      <c r="P17" s="90" t="n">
        <f aca="false">IF($B17="","",SUMIFS('الحركات الشهرية'!$G$6:$G$1005,'الحركات الشهرية'!$B$6:$B$1005,$B17,'الحركات الشهرية'!$A$6:$A$1005,$C$3))</f>
        <v>0</v>
      </c>
      <c r="Q17" s="90" t="n">
        <f aca="false">IF($B17="","",SUMIFS('الحركات الشهرية'!$H$6:$H$1005,'الحركات الشهرية'!$B$6:$B$1005,$B17,'الحركات الشهرية'!$A$6:$A$1005,$C$3))</f>
        <v>0</v>
      </c>
      <c r="R17" s="111" t="n">
        <f aca="false">IF($B17="","",SUM(J17:M17)+SUM(O17:Q17))</f>
        <v>17700</v>
      </c>
      <c r="S17" s="90" t="n">
        <f aca="false">IF($B17="","",الموظفون!$Q17*IF(E17="سعودي",cfg_G_SE,cfg_G_NE)*F17/cfg_DAYS_M)</f>
        <v>1462.5</v>
      </c>
      <c r="T17" s="90" t="n">
        <f aca="false">IF($B17="","",SUMIFS('الحركات الشهرية'!$I$6:$I$1005,'الحركات الشهرية'!$B$6:$B$1005,$B17,'الحركات الشهرية'!$A$6:$A$1005,$C$3))</f>
        <v>0</v>
      </c>
      <c r="U17" s="90" t="n">
        <f aca="false">IF($B17="","",SUMIFS('الحركات الشهرية'!$J$6:$J$1005,'الحركات الشهرية'!$B$6:$B$1005,$B17,'الحركات الشهرية'!$A$6:$A$1005,$C$3))</f>
        <v>0</v>
      </c>
      <c r="V17" s="90" t="n">
        <f aca="false">IF($B17="","",SUM(S17:U17))</f>
        <v>1462.5</v>
      </c>
      <c r="W17" s="112" t="n">
        <f aca="false">IF($B17="","",R17-V17)</f>
        <v>16237.5</v>
      </c>
      <c r="X17" s="90" t="n">
        <f aca="false">IF($B17="","",الموظفون!$Q17*IF(E17="سعودي",cfg_G_SR,cfg_G_NR)*F17/cfg_DAYS_M)</f>
        <v>1762.5</v>
      </c>
      <c r="Y17" s="90" t="n">
        <f aca="false">IF($B17="","",الموظفون!$O17*(cfg_EOS_R1*(MIN(AC17,cfg_EOS_TH)-MIN(AD17,cfg_EOS_TH))+cfg_EOS_R2*(MAX(AC17-cfg_EOS_TH,0)-MAX(AD17-cfg_EOS_TH,0))))</f>
        <v>665.753424657537</v>
      </c>
      <c r="Z17" s="90" t="n">
        <f aca="false">IF($B17="","",IF(الموظفون!$R17&lt;&gt;"",الموظفون!$R17,IF(AC17&gt;=cfg_LV_TH,cfg_LV_D2,cfg_LV_D1))/cfg_DAYS_Y*AE17*الموظفون!$P17/cfg_DAYS_M)</f>
        <v>932.054794520548</v>
      </c>
      <c r="AA17" s="90" t="n">
        <f aca="false">IF($B17="","",IF(AND(الموظفون!$S17="نعم",N(الموظفون!$U17)&gt;0),الموظفون!$T17/الموظفون!$U17*12/cfg_DAYS_Y*AE17,0))</f>
        <v>0</v>
      </c>
      <c r="AB17" s="113" t="n">
        <f aca="false">IF($B17="","",R17+SUM(X17:AA17))</f>
        <v>21060.3082191781</v>
      </c>
      <c r="AC17" s="114" t="n">
        <f aca="false">IF($B17="","",MAX(0,IF(OR(الموظفون!$X17="",الموظفون!$X17&gt;$G$3),$G$3,الموظفون!$X17)-الموظفون!$H17+1)/cfg_DAYS_Y)</f>
        <v>4.3972602739726</v>
      </c>
      <c r="AD17" s="114" t="n">
        <f aca="false">IF($B17="","",MAX(0,IF(OR(الموظفون!$X17="",الموظفون!$X17&gt;($E$3-1)),($E$3-1),الموظفون!$X17)-الموظفون!$H17+1)/cfg_DAYS_Y)</f>
        <v>4.31506849315069</v>
      </c>
      <c r="AE17" s="115" t="n">
        <f aca="false">IF($B17="","",MAX(0,IF(OR(الموظفون!$X17="",الموظفون!$X17&gt;$G$3),$G$3,الموظفون!$X17)-MAX($E$3,الموظفون!$H17)+1))</f>
        <v>30</v>
      </c>
    </row>
    <row r="18" customFormat="false" ht="15" hidden="false" customHeight="false" outlineLevel="0" collapsed="false">
      <c r="A18" s="83" t="str">
        <f aca="false">IF($B18="","",الموظفون!$A18)</f>
        <v/>
      </c>
      <c r="B18" s="74" t="str">
        <f aca="false">IF(الموظفون!$B18="","",الموظفون!$B18)</f>
        <v/>
      </c>
      <c r="C18" s="74" t="str">
        <f aca="false">IF($B18="","",الموظفون!$C18)</f>
        <v/>
      </c>
      <c r="D18" s="74" t="str">
        <f aca="false">IF($B18="","",الموظفون!$F18)</f>
        <v/>
      </c>
      <c r="E18" s="74" t="str">
        <f aca="false">IF($B18="","",الموظفون!$E18)</f>
        <v/>
      </c>
      <c r="F18" s="105" t="str">
        <f aca="false">IF($B18="","",IF(AE18&gt;=DAY($G$3),cfg_DAYS_M,MIN(AE18,cfg_DAYS_M)))</f>
        <v/>
      </c>
      <c r="G18" s="105" t="str">
        <f aca="false">IF($B18="","",SUMIFS('الحركات الشهرية'!$D$6:$D$1005,'الحركات الشهرية'!$B$6:$B$1005,$B18,'الحركات الشهرية'!$A$6:$A$1005,$C$3))</f>
        <v/>
      </c>
      <c r="H18" s="105" t="str">
        <f aca="false">IF($B18="","",SUMIFS('الحركات الشهرية'!$E$6:$E$1005,'الحركات الشهرية'!$B$6:$B$1005,$B18,'الحركات الشهرية'!$A$6:$A$1005,$C$3))</f>
        <v/>
      </c>
      <c r="I18" s="105" t="str">
        <f aca="false">IF($B18="","",MAX(0,F18-G18-H18))</f>
        <v/>
      </c>
      <c r="J18" s="86" t="str">
        <f aca="false">IF($B18="","",الموظفون!$J18*$I18/cfg_DAYS_M)</f>
        <v/>
      </c>
      <c r="K18" s="86" t="str">
        <f aca="false">IF($B18="","",الموظفون!$K18*$I18/cfg_DAYS_M)</f>
        <v/>
      </c>
      <c r="L18" s="86" t="str">
        <f aca="false">IF($B18="","",الموظفون!$L18*$I18/cfg_DAYS_M)</f>
        <v/>
      </c>
      <c r="M18" s="86" t="str">
        <f aca="false">IF($B18="","",الموظفون!$M18*$I18/cfg_DAYS_M)</f>
        <v/>
      </c>
      <c r="N18" s="105" t="str">
        <f aca="false">IF($B18="","",SUMIFS('الحركات الشهرية'!$F$6:$F$1005,'الحركات الشهرية'!$B$6:$B$1005,$B18,'الحركات الشهرية'!$A$6:$A$1005,$C$3))</f>
        <v/>
      </c>
      <c r="O18" s="86" t="str">
        <f aca="false">IF($B18="","",N18*(الموظفون!$N18+الموظفون!$J18*cfg_OT_P)/cfg_DAYS_M/cfg_HRS)</f>
        <v/>
      </c>
      <c r="P18" s="86" t="str">
        <f aca="false">IF($B18="","",SUMIFS('الحركات الشهرية'!$G$6:$G$1005,'الحركات الشهرية'!$B$6:$B$1005,$B18,'الحركات الشهرية'!$A$6:$A$1005,$C$3))</f>
        <v/>
      </c>
      <c r="Q18" s="86" t="str">
        <f aca="false">IF($B18="","",SUMIFS('الحركات الشهرية'!$H$6:$H$1005,'الحركات الشهرية'!$B$6:$B$1005,$B18,'الحركات الشهرية'!$A$6:$A$1005,$C$3))</f>
        <v/>
      </c>
      <c r="R18" s="106" t="str">
        <f aca="false">IF($B18="","",SUM(J18:M18)+SUM(O18:Q18))</f>
        <v/>
      </c>
      <c r="S18" s="86" t="str">
        <f aca="false">IF($B18="","",الموظفون!$Q18*IF(E18="سعودي",cfg_G_SE,cfg_G_NE)*F18/cfg_DAYS_M)</f>
        <v/>
      </c>
      <c r="T18" s="86" t="str">
        <f aca="false">IF($B18="","",SUMIFS('الحركات الشهرية'!$I$6:$I$1005,'الحركات الشهرية'!$B$6:$B$1005,$B18,'الحركات الشهرية'!$A$6:$A$1005,$C$3))</f>
        <v/>
      </c>
      <c r="U18" s="86" t="str">
        <f aca="false">IF($B18="","",SUMIFS('الحركات الشهرية'!$J$6:$J$1005,'الحركات الشهرية'!$B$6:$B$1005,$B18,'الحركات الشهرية'!$A$6:$A$1005,$C$3))</f>
        <v/>
      </c>
      <c r="V18" s="86" t="str">
        <f aca="false">IF($B18="","",SUM(S18:U18))</f>
        <v/>
      </c>
      <c r="W18" s="107" t="str">
        <f aca="false">IF($B18="","",R18-V18)</f>
        <v/>
      </c>
      <c r="X18" s="86" t="str">
        <f aca="false">IF($B18="","",الموظفون!$Q18*IF(E18="سعودي",cfg_G_SR,cfg_G_NR)*F18/cfg_DAYS_M)</f>
        <v/>
      </c>
      <c r="Y18" s="86" t="str">
        <f aca="false">IF($B18="","",الموظفون!$O18*(cfg_EOS_R1*(MIN(AC18,cfg_EOS_TH)-MIN(AD18,cfg_EOS_TH))+cfg_EOS_R2*(MAX(AC18-cfg_EOS_TH,0)-MAX(AD18-cfg_EOS_TH,0))))</f>
        <v/>
      </c>
      <c r="Z18" s="86" t="str">
        <f aca="false">IF($B18="","",IF(الموظفون!$R18&lt;&gt;"",الموظفون!$R18,IF(AC18&gt;=cfg_LV_TH,cfg_LV_D2,cfg_LV_D1))/cfg_DAYS_Y*AE18*الموظفون!$P18/cfg_DAYS_M)</f>
        <v/>
      </c>
      <c r="AA18" s="86" t="str">
        <f aca="false">IF($B18="","",IF(AND(الموظفون!$S18="نعم",N(الموظفون!$U18)&gt;0),الموظفون!$T18/الموظفون!$U18*12/cfg_DAYS_Y*AE18,0))</f>
        <v/>
      </c>
      <c r="AB18" s="108" t="str">
        <f aca="false">IF($B18="","",R18+SUM(X18:AA18))</f>
        <v/>
      </c>
      <c r="AC18" s="109" t="str">
        <f aca="false">IF($B18="","",MAX(0,IF(OR(الموظفون!$X18="",الموظفون!$X18&gt;$G$3),$G$3,الموظفون!$X18)-الموظفون!$H18+1)/cfg_DAYS_Y)</f>
        <v/>
      </c>
      <c r="AD18" s="109" t="str">
        <f aca="false">IF($B18="","",MAX(0,IF(OR(الموظفون!$X18="",الموظفون!$X18&gt;($E$3-1)),($E$3-1),الموظفون!$X18)-الموظفون!$H18+1)/cfg_DAYS_Y)</f>
        <v/>
      </c>
      <c r="AE18" s="51" t="str">
        <f aca="false">IF($B18="","",MAX(0,IF(OR(الموظفون!$X18="",الموظفون!$X18&gt;$G$3),$G$3,الموظفون!$X18)-MAX($E$3,الموظفون!$H18)+1))</f>
        <v/>
      </c>
    </row>
    <row r="19" customFormat="false" ht="15" hidden="false" customHeight="false" outlineLevel="0" collapsed="false">
      <c r="A19" s="89" t="str">
        <f aca="false">IF($B19="","",الموظفون!$A19)</f>
        <v/>
      </c>
      <c r="B19" s="91" t="str">
        <f aca="false">IF(الموظفون!$B19="","",الموظفون!$B19)</f>
        <v/>
      </c>
      <c r="C19" s="91" t="str">
        <f aca="false">IF($B19="","",الموظفون!$C19)</f>
        <v/>
      </c>
      <c r="D19" s="91" t="str">
        <f aca="false">IF($B19="","",الموظفون!$F19)</f>
        <v/>
      </c>
      <c r="E19" s="91" t="str">
        <f aca="false">IF($B19="","",الموظفون!$E19)</f>
        <v/>
      </c>
      <c r="F19" s="110" t="str">
        <f aca="false">IF($B19="","",IF(AE19&gt;=DAY($G$3),cfg_DAYS_M,MIN(AE19,cfg_DAYS_M)))</f>
        <v/>
      </c>
      <c r="G19" s="110" t="str">
        <f aca="false">IF($B19="","",SUMIFS('الحركات الشهرية'!$D$6:$D$1005,'الحركات الشهرية'!$B$6:$B$1005,$B19,'الحركات الشهرية'!$A$6:$A$1005,$C$3))</f>
        <v/>
      </c>
      <c r="H19" s="110" t="str">
        <f aca="false">IF($B19="","",SUMIFS('الحركات الشهرية'!$E$6:$E$1005,'الحركات الشهرية'!$B$6:$B$1005,$B19,'الحركات الشهرية'!$A$6:$A$1005,$C$3))</f>
        <v/>
      </c>
      <c r="I19" s="110" t="str">
        <f aca="false">IF($B19="","",MAX(0,F19-G19-H19))</f>
        <v/>
      </c>
      <c r="J19" s="90" t="str">
        <f aca="false">IF($B19="","",الموظفون!$J19*$I19/cfg_DAYS_M)</f>
        <v/>
      </c>
      <c r="K19" s="90" t="str">
        <f aca="false">IF($B19="","",الموظفون!$K19*$I19/cfg_DAYS_M)</f>
        <v/>
      </c>
      <c r="L19" s="90" t="str">
        <f aca="false">IF($B19="","",الموظفون!$L19*$I19/cfg_DAYS_M)</f>
        <v/>
      </c>
      <c r="M19" s="90" t="str">
        <f aca="false">IF($B19="","",الموظفون!$M19*$I19/cfg_DAYS_M)</f>
        <v/>
      </c>
      <c r="N19" s="110" t="str">
        <f aca="false">IF($B19="","",SUMIFS('الحركات الشهرية'!$F$6:$F$1005,'الحركات الشهرية'!$B$6:$B$1005,$B19,'الحركات الشهرية'!$A$6:$A$1005,$C$3))</f>
        <v/>
      </c>
      <c r="O19" s="90" t="str">
        <f aca="false">IF($B19="","",N19*(الموظفون!$N19+الموظفون!$J19*cfg_OT_P)/cfg_DAYS_M/cfg_HRS)</f>
        <v/>
      </c>
      <c r="P19" s="90" t="str">
        <f aca="false">IF($B19="","",SUMIFS('الحركات الشهرية'!$G$6:$G$1005,'الحركات الشهرية'!$B$6:$B$1005,$B19,'الحركات الشهرية'!$A$6:$A$1005,$C$3))</f>
        <v/>
      </c>
      <c r="Q19" s="90" t="str">
        <f aca="false">IF($B19="","",SUMIFS('الحركات الشهرية'!$H$6:$H$1005,'الحركات الشهرية'!$B$6:$B$1005,$B19,'الحركات الشهرية'!$A$6:$A$1005,$C$3))</f>
        <v/>
      </c>
      <c r="R19" s="111" t="str">
        <f aca="false">IF($B19="","",SUM(J19:M19)+SUM(O19:Q19))</f>
        <v/>
      </c>
      <c r="S19" s="90" t="str">
        <f aca="false">IF($B19="","",الموظفون!$Q19*IF(E19="سعودي",cfg_G_SE,cfg_G_NE)*F19/cfg_DAYS_M)</f>
        <v/>
      </c>
      <c r="T19" s="90" t="str">
        <f aca="false">IF($B19="","",SUMIFS('الحركات الشهرية'!$I$6:$I$1005,'الحركات الشهرية'!$B$6:$B$1005,$B19,'الحركات الشهرية'!$A$6:$A$1005,$C$3))</f>
        <v/>
      </c>
      <c r="U19" s="90" t="str">
        <f aca="false">IF($B19="","",SUMIFS('الحركات الشهرية'!$J$6:$J$1005,'الحركات الشهرية'!$B$6:$B$1005,$B19,'الحركات الشهرية'!$A$6:$A$1005,$C$3))</f>
        <v/>
      </c>
      <c r="V19" s="90" t="str">
        <f aca="false">IF($B19="","",SUM(S19:U19))</f>
        <v/>
      </c>
      <c r="W19" s="112" t="str">
        <f aca="false">IF($B19="","",R19-V19)</f>
        <v/>
      </c>
      <c r="X19" s="90" t="str">
        <f aca="false">IF($B19="","",الموظفون!$Q19*IF(E19="سعودي",cfg_G_SR,cfg_G_NR)*F19/cfg_DAYS_M)</f>
        <v/>
      </c>
      <c r="Y19" s="90" t="str">
        <f aca="false">IF($B19="","",الموظفون!$O19*(cfg_EOS_R1*(MIN(AC19,cfg_EOS_TH)-MIN(AD19,cfg_EOS_TH))+cfg_EOS_R2*(MAX(AC19-cfg_EOS_TH,0)-MAX(AD19-cfg_EOS_TH,0))))</f>
        <v/>
      </c>
      <c r="Z19" s="90" t="str">
        <f aca="false">IF($B19="","",IF(الموظفون!$R19&lt;&gt;"",الموظفون!$R19,IF(AC19&gt;=cfg_LV_TH,cfg_LV_D2,cfg_LV_D1))/cfg_DAYS_Y*AE19*الموظفون!$P19/cfg_DAYS_M)</f>
        <v/>
      </c>
      <c r="AA19" s="90" t="str">
        <f aca="false">IF($B19="","",IF(AND(الموظفون!$S19="نعم",N(الموظفون!$U19)&gt;0),الموظفون!$T19/الموظفون!$U19*12/cfg_DAYS_Y*AE19,0))</f>
        <v/>
      </c>
      <c r="AB19" s="113" t="str">
        <f aca="false">IF($B19="","",R19+SUM(X19:AA19))</f>
        <v/>
      </c>
      <c r="AC19" s="114" t="str">
        <f aca="false">IF($B19="","",MAX(0,IF(OR(الموظفون!$X19="",الموظفون!$X19&gt;$G$3),$G$3,الموظفون!$X19)-الموظفون!$H19+1)/cfg_DAYS_Y)</f>
        <v/>
      </c>
      <c r="AD19" s="114" t="str">
        <f aca="false">IF($B19="","",MAX(0,IF(OR(الموظفون!$X19="",الموظفون!$X19&gt;($E$3-1)),($E$3-1),الموظفون!$X19)-الموظفون!$H19+1)/cfg_DAYS_Y)</f>
        <v/>
      </c>
      <c r="AE19" s="115" t="str">
        <f aca="false">IF($B19="","",MAX(0,IF(OR(الموظفون!$X19="",الموظفون!$X19&gt;$G$3),$G$3,الموظفون!$X19)-MAX($E$3,الموظفون!$H19)+1))</f>
        <v/>
      </c>
    </row>
    <row r="20" customFormat="false" ht="15" hidden="false" customHeight="false" outlineLevel="0" collapsed="false">
      <c r="A20" s="83" t="str">
        <f aca="false">IF($B20="","",الموظفون!$A20)</f>
        <v/>
      </c>
      <c r="B20" s="74" t="str">
        <f aca="false">IF(الموظفون!$B20="","",الموظفون!$B20)</f>
        <v/>
      </c>
      <c r="C20" s="74" t="str">
        <f aca="false">IF($B20="","",الموظفون!$C20)</f>
        <v/>
      </c>
      <c r="D20" s="74" t="str">
        <f aca="false">IF($B20="","",الموظفون!$F20)</f>
        <v/>
      </c>
      <c r="E20" s="74" t="str">
        <f aca="false">IF($B20="","",الموظفون!$E20)</f>
        <v/>
      </c>
      <c r="F20" s="105" t="str">
        <f aca="false">IF($B20="","",IF(AE20&gt;=DAY($G$3),cfg_DAYS_M,MIN(AE20,cfg_DAYS_M)))</f>
        <v/>
      </c>
      <c r="G20" s="105" t="str">
        <f aca="false">IF($B20="","",SUMIFS('الحركات الشهرية'!$D$6:$D$1005,'الحركات الشهرية'!$B$6:$B$1005,$B20,'الحركات الشهرية'!$A$6:$A$1005,$C$3))</f>
        <v/>
      </c>
      <c r="H20" s="105" t="str">
        <f aca="false">IF($B20="","",SUMIFS('الحركات الشهرية'!$E$6:$E$1005,'الحركات الشهرية'!$B$6:$B$1005,$B20,'الحركات الشهرية'!$A$6:$A$1005,$C$3))</f>
        <v/>
      </c>
      <c r="I20" s="105" t="str">
        <f aca="false">IF($B20="","",MAX(0,F20-G20-H20))</f>
        <v/>
      </c>
      <c r="J20" s="86" t="str">
        <f aca="false">IF($B20="","",الموظفون!$J20*$I20/cfg_DAYS_M)</f>
        <v/>
      </c>
      <c r="K20" s="86" t="str">
        <f aca="false">IF($B20="","",الموظفون!$K20*$I20/cfg_DAYS_M)</f>
        <v/>
      </c>
      <c r="L20" s="86" t="str">
        <f aca="false">IF($B20="","",الموظفون!$L20*$I20/cfg_DAYS_M)</f>
        <v/>
      </c>
      <c r="M20" s="86" t="str">
        <f aca="false">IF($B20="","",الموظفون!$M20*$I20/cfg_DAYS_M)</f>
        <v/>
      </c>
      <c r="N20" s="105" t="str">
        <f aca="false">IF($B20="","",SUMIFS('الحركات الشهرية'!$F$6:$F$1005,'الحركات الشهرية'!$B$6:$B$1005,$B20,'الحركات الشهرية'!$A$6:$A$1005,$C$3))</f>
        <v/>
      </c>
      <c r="O20" s="86" t="str">
        <f aca="false">IF($B20="","",N20*(الموظفون!$N20+الموظفون!$J20*cfg_OT_P)/cfg_DAYS_M/cfg_HRS)</f>
        <v/>
      </c>
      <c r="P20" s="86" t="str">
        <f aca="false">IF($B20="","",SUMIFS('الحركات الشهرية'!$G$6:$G$1005,'الحركات الشهرية'!$B$6:$B$1005,$B20,'الحركات الشهرية'!$A$6:$A$1005,$C$3))</f>
        <v/>
      </c>
      <c r="Q20" s="86" t="str">
        <f aca="false">IF($B20="","",SUMIFS('الحركات الشهرية'!$H$6:$H$1005,'الحركات الشهرية'!$B$6:$B$1005,$B20,'الحركات الشهرية'!$A$6:$A$1005,$C$3))</f>
        <v/>
      </c>
      <c r="R20" s="106" t="str">
        <f aca="false">IF($B20="","",SUM(J20:M20)+SUM(O20:Q20))</f>
        <v/>
      </c>
      <c r="S20" s="86" t="str">
        <f aca="false">IF($B20="","",الموظفون!$Q20*IF(E20="سعودي",cfg_G_SE,cfg_G_NE)*F20/cfg_DAYS_M)</f>
        <v/>
      </c>
      <c r="T20" s="86" t="str">
        <f aca="false">IF($B20="","",SUMIFS('الحركات الشهرية'!$I$6:$I$1005,'الحركات الشهرية'!$B$6:$B$1005,$B20,'الحركات الشهرية'!$A$6:$A$1005,$C$3))</f>
        <v/>
      </c>
      <c r="U20" s="86" t="str">
        <f aca="false">IF($B20="","",SUMIFS('الحركات الشهرية'!$J$6:$J$1005,'الحركات الشهرية'!$B$6:$B$1005,$B20,'الحركات الشهرية'!$A$6:$A$1005,$C$3))</f>
        <v/>
      </c>
      <c r="V20" s="86" t="str">
        <f aca="false">IF($B20="","",SUM(S20:U20))</f>
        <v/>
      </c>
      <c r="W20" s="107" t="str">
        <f aca="false">IF($B20="","",R20-V20)</f>
        <v/>
      </c>
      <c r="X20" s="86" t="str">
        <f aca="false">IF($B20="","",الموظفون!$Q20*IF(E20="سعودي",cfg_G_SR,cfg_G_NR)*F20/cfg_DAYS_M)</f>
        <v/>
      </c>
      <c r="Y20" s="86" t="str">
        <f aca="false">IF($B20="","",الموظفون!$O20*(cfg_EOS_R1*(MIN(AC20,cfg_EOS_TH)-MIN(AD20,cfg_EOS_TH))+cfg_EOS_R2*(MAX(AC20-cfg_EOS_TH,0)-MAX(AD20-cfg_EOS_TH,0))))</f>
        <v/>
      </c>
      <c r="Z20" s="86" t="str">
        <f aca="false">IF($B20="","",IF(الموظفون!$R20&lt;&gt;"",الموظفون!$R20,IF(AC20&gt;=cfg_LV_TH,cfg_LV_D2,cfg_LV_D1))/cfg_DAYS_Y*AE20*الموظفون!$P20/cfg_DAYS_M)</f>
        <v/>
      </c>
      <c r="AA20" s="86" t="str">
        <f aca="false">IF($B20="","",IF(AND(الموظفون!$S20="نعم",N(الموظفون!$U20)&gt;0),الموظفون!$T20/الموظفون!$U20*12/cfg_DAYS_Y*AE20,0))</f>
        <v/>
      </c>
      <c r="AB20" s="108" t="str">
        <f aca="false">IF($B20="","",R20+SUM(X20:AA20))</f>
        <v/>
      </c>
      <c r="AC20" s="109" t="str">
        <f aca="false">IF($B20="","",MAX(0,IF(OR(الموظفون!$X20="",الموظفون!$X20&gt;$G$3),$G$3,الموظفون!$X20)-الموظفون!$H20+1)/cfg_DAYS_Y)</f>
        <v/>
      </c>
      <c r="AD20" s="109" t="str">
        <f aca="false">IF($B20="","",MAX(0,IF(OR(الموظفون!$X20="",الموظفون!$X20&gt;($E$3-1)),($E$3-1),الموظفون!$X20)-الموظفون!$H20+1)/cfg_DAYS_Y)</f>
        <v/>
      </c>
      <c r="AE20" s="51" t="str">
        <f aca="false">IF($B20="","",MAX(0,IF(OR(الموظفون!$X20="",الموظفون!$X20&gt;$G$3),$G$3,الموظفون!$X20)-MAX($E$3,الموظفون!$H20)+1))</f>
        <v/>
      </c>
    </row>
    <row r="21" customFormat="false" ht="15" hidden="false" customHeight="false" outlineLevel="0" collapsed="false">
      <c r="A21" s="89" t="str">
        <f aca="false">IF($B21="","",الموظفون!$A21)</f>
        <v/>
      </c>
      <c r="B21" s="91" t="str">
        <f aca="false">IF(الموظفون!$B21="","",الموظفون!$B21)</f>
        <v/>
      </c>
      <c r="C21" s="91" t="str">
        <f aca="false">IF($B21="","",الموظفون!$C21)</f>
        <v/>
      </c>
      <c r="D21" s="91" t="str">
        <f aca="false">IF($B21="","",الموظفون!$F21)</f>
        <v/>
      </c>
      <c r="E21" s="91" t="str">
        <f aca="false">IF($B21="","",الموظفون!$E21)</f>
        <v/>
      </c>
      <c r="F21" s="110" t="str">
        <f aca="false">IF($B21="","",IF(AE21&gt;=DAY($G$3),cfg_DAYS_M,MIN(AE21,cfg_DAYS_M)))</f>
        <v/>
      </c>
      <c r="G21" s="110" t="str">
        <f aca="false">IF($B21="","",SUMIFS('الحركات الشهرية'!$D$6:$D$1005,'الحركات الشهرية'!$B$6:$B$1005,$B21,'الحركات الشهرية'!$A$6:$A$1005,$C$3))</f>
        <v/>
      </c>
      <c r="H21" s="110" t="str">
        <f aca="false">IF($B21="","",SUMIFS('الحركات الشهرية'!$E$6:$E$1005,'الحركات الشهرية'!$B$6:$B$1005,$B21,'الحركات الشهرية'!$A$6:$A$1005,$C$3))</f>
        <v/>
      </c>
      <c r="I21" s="110" t="str">
        <f aca="false">IF($B21="","",MAX(0,F21-G21-H21))</f>
        <v/>
      </c>
      <c r="J21" s="90" t="str">
        <f aca="false">IF($B21="","",الموظفون!$J21*$I21/cfg_DAYS_M)</f>
        <v/>
      </c>
      <c r="K21" s="90" t="str">
        <f aca="false">IF($B21="","",الموظفون!$K21*$I21/cfg_DAYS_M)</f>
        <v/>
      </c>
      <c r="L21" s="90" t="str">
        <f aca="false">IF($B21="","",الموظفون!$L21*$I21/cfg_DAYS_M)</f>
        <v/>
      </c>
      <c r="M21" s="90" t="str">
        <f aca="false">IF($B21="","",الموظفون!$M21*$I21/cfg_DAYS_M)</f>
        <v/>
      </c>
      <c r="N21" s="110" t="str">
        <f aca="false">IF($B21="","",SUMIFS('الحركات الشهرية'!$F$6:$F$1005,'الحركات الشهرية'!$B$6:$B$1005,$B21,'الحركات الشهرية'!$A$6:$A$1005,$C$3))</f>
        <v/>
      </c>
      <c r="O21" s="90" t="str">
        <f aca="false">IF($B21="","",N21*(الموظفون!$N21+الموظفون!$J21*cfg_OT_P)/cfg_DAYS_M/cfg_HRS)</f>
        <v/>
      </c>
      <c r="P21" s="90" t="str">
        <f aca="false">IF($B21="","",SUMIFS('الحركات الشهرية'!$G$6:$G$1005,'الحركات الشهرية'!$B$6:$B$1005,$B21,'الحركات الشهرية'!$A$6:$A$1005,$C$3))</f>
        <v/>
      </c>
      <c r="Q21" s="90" t="str">
        <f aca="false">IF($B21="","",SUMIFS('الحركات الشهرية'!$H$6:$H$1005,'الحركات الشهرية'!$B$6:$B$1005,$B21,'الحركات الشهرية'!$A$6:$A$1005,$C$3))</f>
        <v/>
      </c>
      <c r="R21" s="111" t="str">
        <f aca="false">IF($B21="","",SUM(J21:M21)+SUM(O21:Q21))</f>
        <v/>
      </c>
      <c r="S21" s="90" t="str">
        <f aca="false">IF($B21="","",الموظفون!$Q21*IF(E21="سعودي",cfg_G_SE,cfg_G_NE)*F21/cfg_DAYS_M)</f>
        <v/>
      </c>
      <c r="T21" s="90" t="str">
        <f aca="false">IF($B21="","",SUMIFS('الحركات الشهرية'!$I$6:$I$1005,'الحركات الشهرية'!$B$6:$B$1005,$B21,'الحركات الشهرية'!$A$6:$A$1005,$C$3))</f>
        <v/>
      </c>
      <c r="U21" s="90" t="str">
        <f aca="false">IF($B21="","",SUMIFS('الحركات الشهرية'!$J$6:$J$1005,'الحركات الشهرية'!$B$6:$B$1005,$B21,'الحركات الشهرية'!$A$6:$A$1005,$C$3))</f>
        <v/>
      </c>
      <c r="V21" s="90" t="str">
        <f aca="false">IF($B21="","",SUM(S21:U21))</f>
        <v/>
      </c>
      <c r="W21" s="112" t="str">
        <f aca="false">IF($B21="","",R21-V21)</f>
        <v/>
      </c>
      <c r="X21" s="90" t="str">
        <f aca="false">IF($B21="","",الموظفون!$Q21*IF(E21="سعودي",cfg_G_SR,cfg_G_NR)*F21/cfg_DAYS_M)</f>
        <v/>
      </c>
      <c r="Y21" s="90" t="str">
        <f aca="false">IF($B21="","",الموظفون!$O21*(cfg_EOS_R1*(MIN(AC21,cfg_EOS_TH)-MIN(AD21,cfg_EOS_TH))+cfg_EOS_R2*(MAX(AC21-cfg_EOS_TH,0)-MAX(AD21-cfg_EOS_TH,0))))</f>
        <v/>
      </c>
      <c r="Z21" s="90" t="str">
        <f aca="false">IF($B21="","",IF(الموظفون!$R21&lt;&gt;"",الموظفون!$R21,IF(AC21&gt;=cfg_LV_TH,cfg_LV_D2,cfg_LV_D1))/cfg_DAYS_Y*AE21*الموظفون!$P21/cfg_DAYS_M)</f>
        <v/>
      </c>
      <c r="AA21" s="90" t="str">
        <f aca="false">IF($B21="","",IF(AND(الموظفون!$S21="نعم",N(الموظفون!$U21)&gt;0),الموظفون!$T21/الموظفون!$U21*12/cfg_DAYS_Y*AE21,0))</f>
        <v/>
      </c>
      <c r="AB21" s="113" t="str">
        <f aca="false">IF($B21="","",R21+SUM(X21:AA21))</f>
        <v/>
      </c>
      <c r="AC21" s="114" t="str">
        <f aca="false">IF($B21="","",MAX(0,IF(OR(الموظفون!$X21="",الموظفون!$X21&gt;$G$3),$G$3,الموظفون!$X21)-الموظفون!$H21+1)/cfg_DAYS_Y)</f>
        <v/>
      </c>
      <c r="AD21" s="114" t="str">
        <f aca="false">IF($B21="","",MAX(0,IF(OR(الموظفون!$X21="",الموظفون!$X21&gt;($E$3-1)),($E$3-1),الموظفون!$X21)-الموظفون!$H21+1)/cfg_DAYS_Y)</f>
        <v/>
      </c>
      <c r="AE21" s="115" t="str">
        <f aca="false">IF($B21="","",MAX(0,IF(OR(الموظفون!$X21="",الموظفون!$X21&gt;$G$3),$G$3,الموظفون!$X21)-MAX($E$3,الموظفون!$H21)+1))</f>
        <v/>
      </c>
    </row>
    <row r="22" customFormat="false" ht="15" hidden="false" customHeight="false" outlineLevel="0" collapsed="false">
      <c r="A22" s="83" t="str">
        <f aca="false">IF($B22="","",الموظفون!$A22)</f>
        <v/>
      </c>
      <c r="B22" s="74" t="str">
        <f aca="false">IF(الموظفون!$B22="","",الموظفون!$B22)</f>
        <v/>
      </c>
      <c r="C22" s="74" t="str">
        <f aca="false">IF($B22="","",الموظفون!$C22)</f>
        <v/>
      </c>
      <c r="D22" s="74" t="str">
        <f aca="false">IF($B22="","",الموظفون!$F22)</f>
        <v/>
      </c>
      <c r="E22" s="74" t="str">
        <f aca="false">IF($B22="","",الموظفون!$E22)</f>
        <v/>
      </c>
      <c r="F22" s="105" t="str">
        <f aca="false">IF($B22="","",IF(AE22&gt;=DAY($G$3),cfg_DAYS_M,MIN(AE22,cfg_DAYS_M)))</f>
        <v/>
      </c>
      <c r="G22" s="105" t="str">
        <f aca="false">IF($B22="","",SUMIFS('الحركات الشهرية'!$D$6:$D$1005,'الحركات الشهرية'!$B$6:$B$1005,$B22,'الحركات الشهرية'!$A$6:$A$1005,$C$3))</f>
        <v/>
      </c>
      <c r="H22" s="105" t="str">
        <f aca="false">IF($B22="","",SUMIFS('الحركات الشهرية'!$E$6:$E$1005,'الحركات الشهرية'!$B$6:$B$1005,$B22,'الحركات الشهرية'!$A$6:$A$1005,$C$3))</f>
        <v/>
      </c>
      <c r="I22" s="105" t="str">
        <f aca="false">IF($B22="","",MAX(0,F22-G22-H22))</f>
        <v/>
      </c>
      <c r="J22" s="86" t="str">
        <f aca="false">IF($B22="","",الموظفون!$J22*$I22/cfg_DAYS_M)</f>
        <v/>
      </c>
      <c r="K22" s="86" t="str">
        <f aca="false">IF($B22="","",الموظفون!$K22*$I22/cfg_DAYS_M)</f>
        <v/>
      </c>
      <c r="L22" s="86" t="str">
        <f aca="false">IF($B22="","",الموظفون!$L22*$I22/cfg_DAYS_M)</f>
        <v/>
      </c>
      <c r="M22" s="86" t="str">
        <f aca="false">IF($B22="","",الموظفون!$M22*$I22/cfg_DAYS_M)</f>
        <v/>
      </c>
      <c r="N22" s="105" t="str">
        <f aca="false">IF($B22="","",SUMIFS('الحركات الشهرية'!$F$6:$F$1005,'الحركات الشهرية'!$B$6:$B$1005,$B22,'الحركات الشهرية'!$A$6:$A$1005,$C$3))</f>
        <v/>
      </c>
      <c r="O22" s="86" t="str">
        <f aca="false">IF($B22="","",N22*(الموظفون!$N22+الموظفون!$J22*cfg_OT_P)/cfg_DAYS_M/cfg_HRS)</f>
        <v/>
      </c>
      <c r="P22" s="86" t="str">
        <f aca="false">IF($B22="","",SUMIFS('الحركات الشهرية'!$G$6:$G$1005,'الحركات الشهرية'!$B$6:$B$1005,$B22,'الحركات الشهرية'!$A$6:$A$1005,$C$3))</f>
        <v/>
      </c>
      <c r="Q22" s="86" t="str">
        <f aca="false">IF($B22="","",SUMIFS('الحركات الشهرية'!$H$6:$H$1005,'الحركات الشهرية'!$B$6:$B$1005,$B22,'الحركات الشهرية'!$A$6:$A$1005,$C$3))</f>
        <v/>
      </c>
      <c r="R22" s="106" t="str">
        <f aca="false">IF($B22="","",SUM(J22:M22)+SUM(O22:Q22))</f>
        <v/>
      </c>
      <c r="S22" s="86" t="str">
        <f aca="false">IF($B22="","",الموظفون!$Q22*IF(E22="سعودي",cfg_G_SE,cfg_G_NE)*F22/cfg_DAYS_M)</f>
        <v/>
      </c>
      <c r="T22" s="86" t="str">
        <f aca="false">IF($B22="","",SUMIFS('الحركات الشهرية'!$I$6:$I$1005,'الحركات الشهرية'!$B$6:$B$1005,$B22,'الحركات الشهرية'!$A$6:$A$1005,$C$3))</f>
        <v/>
      </c>
      <c r="U22" s="86" t="str">
        <f aca="false">IF($B22="","",SUMIFS('الحركات الشهرية'!$J$6:$J$1005,'الحركات الشهرية'!$B$6:$B$1005,$B22,'الحركات الشهرية'!$A$6:$A$1005,$C$3))</f>
        <v/>
      </c>
      <c r="V22" s="86" t="str">
        <f aca="false">IF($B22="","",SUM(S22:U22))</f>
        <v/>
      </c>
      <c r="W22" s="107" t="str">
        <f aca="false">IF($B22="","",R22-V22)</f>
        <v/>
      </c>
      <c r="X22" s="86" t="str">
        <f aca="false">IF($B22="","",الموظفون!$Q22*IF(E22="سعودي",cfg_G_SR,cfg_G_NR)*F22/cfg_DAYS_M)</f>
        <v/>
      </c>
      <c r="Y22" s="86" t="str">
        <f aca="false">IF($B22="","",الموظفون!$O22*(cfg_EOS_R1*(MIN(AC22,cfg_EOS_TH)-MIN(AD22,cfg_EOS_TH))+cfg_EOS_R2*(MAX(AC22-cfg_EOS_TH,0)-MAX(AD22-cfg_EOS_TH,0))))</f>
        <v/>
      </c>
      <c r="Z22" s="86" t="str">
        <f aca="false">IF($B22="","",IF(الموظفون!$R22&lt;&gt;"",الموظفون!$R22,IF(AC22&gt;=cfg_LV_TH,cfg_LV_D2,cfg_LV_D1))/cfg_DAYS_Y*AE22*الموظفون!$P22/cfg_DAYS_M)</f>
        <v/>
      </c>
      <c r="AA22" s="86" t="str">
        <f aca="false">IF($B22="","",IF(AND(الموظفون!$S22="نعم",N(الموظفون!$U22)&gt;0),الموظفون!$T22/الموظفون!$U22*12/cfg_DAYS_Y*AE22,0))</f>
        <v/>
      </c>
      <c r="AB22" s="108" t="str">
        <f aca="false">IF($B22="","",R22+SUM(X22:AA22))</f>
        <v/>
      </c>
      <c r="AC22" s="109" t="str">
        <f aca="false">IF($B22="","",MAX(0,IF(OR(الموظفون!$X22="",الموظفون!$X22&gt;$G$3),$G$3,الموظفون!$X22)-الموظفون!$H22+1)/cfg_DAYS_Y)</f>
        <v/>
      </c>
      <c r="AD22" s="109" t="str">
        <f aca="false">IF($B22="","",MAX(0,IF(OR(الموظفون!$X22="",الموظفون!$X22&gt;($E$3-1)),($E$3-1),الموظفون!$X22)-الموظفون!$H22+1)/cfg_DAYS_Y)</f>
        <v/>
      </c>
      <c r="AE22" s="51" t="str">
        <f aca="false">IF($B22="","",MAX(0,IF(OR(الموظفون!$X22="",الموظفون!$X22&gt;$G$3),$G$3,الموظفون!$X22)-MAX($E$3,الموظفون!$H22)+1))</f>
        <v/>
      </c>
    </row>
    <row r="23" customFormat="false" ht="15" hidden="false" customHeight="false" outlineLevel="0" collapsed="false">
      <c r="A23" s="89" t="str">
        <f aca="false">IF($B23="","",الموظفون!$A23)</f>
        <v/>
      </c>
      <c r="B23" s="91" t="str">
        <f aca="false">IF(الموظفون!$B23="","",الموظفون!$B23)</f>
        <v/>
      </c>
      <c r="C23" s="91" t="str">
        <f aca="false">IF($B23="","",الموظفون!$C23)</f>
        <v/>
      </c>
      <c r="D23" s="91" t="str">
        <f aca="false">IF($B23="","",الموظفون!$F23)</f>
        <v/>
      </c>
      <c r="E23" s="91" t="str">
        <f aca="false">IF($B23="","",الموظفون!$E23)</f>
        <v/>
      </c>
      <c r="F23" s="110" t="str">
        <f aca="false">IF($B23="","",IF(AE23&gt;=DAY($G$3),cfg_DAYS_M,MIN(AE23,cfg_DAYS_M)))</f>
        <v/>
      </c>
      <c r="G23" s="110" t="str">
        <f aca="false">IF($B23="","",SUMIFS('الحركات الشهرية'!$D$6:$D$1005,'الحركات الشهرية'!$B$6:$B$1005,$B23,'الحركات الشهرية'!$A$6:$A$1005,$C$3))</f>
        <v/>
      </c>
      <c r="H23" s="110" t="str">
        <f aca="false">IF($B23="","",SUMIFS('الحركات الشهرية'!$E$6:$E$1005,'الحركات الشهرية'!$B$6:$B$1005,$B23,'الحركات الشهرية'!$A$6:$A$1005,$C$3))</f>
        <v/>
      </c>
      <c r="I23" s="110" t="str">
        <f aca="false">IF($B23="","",MAX(0,F23-G23-H23))</f>
        <v/>
      </c>
      <c r="J23" s="90" t="str">
        <f aca="false">IF($B23="","",الموظفون!$J23*$I23/cfg_DAYS_M)</f>
        <v/>
      </c>
      <c r="K23" s="90" t="str">
        <f aca="false">IF($B23="","",الموظفون!$K23*$I23/cfg_DAYS_M)</f>
        <v/>
      </c>
      <c r="L23" s="90" t="str">
        <f aca="false">IF($B23="","",الموظفون!$L23*$I23/cfg_DAYS_M)</f>
        <v/>
      </c>
      <c r="M23" s="90" t="str">
        <f aca="false">IF($B23="","",الموظفون!$M23*$I23/cfg_DAYS_M)</f>
        <v/>
      </c>
      <c r="N23" s="110" t="str">
        <f aca="false">IF($B23="","",SUMIFS('الحركات الشهرية'!$F$6:$F$1005,'الحركات الشهرية'!$B$6:$B$1005,$B23,'الحركات الشهرية'!$A$6:$A$1005,$C$3))</f>
        <v/>
      </c>
      <c r="O23" s="90" t="str">
        <f aca="false">IF($B23="","",N23*(الموظفون!$N23+الموظفون!$J23*cfg_OT_P)/cfg_DAYS_M/cfg_HRS)</f>
        <v/>
      </c>
      <c r="P23" s="90" t="str">
        <f aca="false">IF($B23="","",SUMIFS('الحركات الشهرية'!$G$6:$G$1005,'الحركات الشهرية'!$B$6:$B$1005,$B23,'الحركات الشهرية'!$A$6:$A$1005,$C$3))</f>
        <v/>
      </c>
      <c r="Q23" s="90" t="str">
        <f aca="false">IF($B23="","",SUMIFS('الحركات الشهرية'!$H$6:$H$1005,'الحركات الشهرية'!$B$6:$B$1005,$B23,'الحركات الشهرية'!$A$6:$A$1005,$C$3))</f>
        <v/>
      </c>
      <c r="R23" s="111" t="str">
        <f aca="false">IF($B23="","",SUM(J23:M23)+SUM(O23:Q23))</f>
        <v/>
      </c>
      <c r="S23" s="90" t="str">
        <f aca="false">IF($B23="","",الموظفون!$Q23*IF(E23="سعودي",cfg_G_SE,cfg_G_NE)*F23/cfg_DAYS_M)</f>
        <v/>
      </c>
      <c r="T23" s="90" t="str">
        <f aca="false">IF($B23="","",SUMIFS('الحركات الشهرية'!$I$6:$I$1005,'الحركات الشهرية'!$B$6:$B$1005,$B23,'الحركات الشهرية'!$A$6:$A$1005,$C$3))</f>
        <v/>
      </c>
      <c r="U23" s="90" t="str">
        <f aca="false">IF($B23="","",SUMIFS('الحركات الشهرية'!$J$6:$J$1005,'الحركات الشهرية'!$B$6:$B$1005,$B23,'الحركات الشهرية'!$A$6:$A$1005,$C$3))</f>
        <v/>
      </c>
      <c r="V23" s="90" t="str">
        <f aca="false">IF($B23="","",SUM(S23:U23))</f>
        <v/>
      </c>
      <c r="W23" s="112" t="str">
        <f aca="false">IF($B23="","",R23-V23)</f>
        <v/>
      </c>
      <c r="X23" s="90" t="str">
        <f aca="false">IF($B23="","",الموظفون!$Q23*IF(E23="سعودي",cfg_G_SR,cfg_G_NR)*F23/cfg_DAYS_M)</f>
        <v/>
      </c>
      <c r="Y23" s="90" t="str">
        <f aca="false">IF($B23="","",الموظفون!$O23*(cfg_EOS_R1*(MIN(AC23,cfg_EOS_TH)-MIN(AD23,cfg_EOS_TH))+cfg_EOS_R2*(MAX(AC23-cfg_EOS_TH,0)-MAX(AD23-cfg_EOS_TH,0))))</f>
        <v/>
      </c>
      <c r="Z23" s="90" t="str">
        <f aca="false">IF($B23="","",IF(الموظفون!$R23&lt;&gt;"",الموظفون!$R23,IF(AC23&gt;=cfg_LV_TH,cfg_LV_D2,cfg_LV_D1))/cfg_DAYS_Y*AE23*الموظفون!$P23/cfg_DAYS_M)</f>
        <v/>
      </c>
      <c r="AA23" s="90" t="str">
        <f aca="false">IF($B23="","",IF(AND(الموظفون!$S23="نعم",N(الموظفون!$U23)&gt;0),الموظفون!$T23/الموظفون!$U23*12/cfg_DAYS_Y*AE23,0))</f>
        <v/>
      </c>
      <c r="AB23" s="113" t="str">
        <f aca="false">IF($B23="","",R23+SUM(X23:AA23))</f>
        <v/>
      </c>
      <c r="AC23" s="114" t="str">
        <f aca="false">IF($B23="","",MAX(0,IF(OR(الموظفون!$X23="",الموظفون!$X23&gt;$G$3),$G$3,الموظفون!$X23)-الموظفون!$H23+1)/cfg_DAYS_Y)</f>
        <v/>
      </c>
      <c r="AD23" s="114" t="str">
        <f aca="false">IF($B23="","",MAX(0,IF(OR(الموظفون!$X23="",الموظفون!$X23&gt;($E$3-1)),($E$3-1),الموظفون!$X23)-الموظفون!$H23+1)/cfg_DAYS_Y)</f>
        <v/>
      </c>
      <c r="AE23" s="115" t="str">
        <f aca="false">IF($B23="","",MAX(0,IF(OR(الموظفون!$X23="",الموظفون!$X23&gt;$G$3),$G$3,الموظفون!$X23)-MAX($E$3,الموظفون!$H23)+1))</f>
        <v/>
      </c>
    </row>
    <row r="24" customFormat="false" ht="15" hidden="false" customHeight="false" outlineLevel="0" collapsed="false">
      <c r="A24" s="83" t="str">
        <f aca="false">IF($B24="","",الموظفون!$A24)</f>
        <v/>
      </c>
      <c r="B24" s="74" t="str">
        <f aca="false">IF(الموظفون!$B24="","",الموظفون!$B24)</f>
        <v/>
      </c>
      <c r="C24" s="74" t="str">
        <f aca="false">IF($B24="","",الموظفون!$C24)</f>
        <v/>
      </c>
      <c r="D24" s="74" t="str">
        <f aca="false">IF($B24="","",الموظفون!$F24)</f>
        <v/>
      </c>
      <c r="E24" s="74" t="str">
        <f aca="false">IF($B24="","",الموظفون!$E24)</f>
        <v/>
      </c>
      <c r="F24" s="105" t="str">
        <f aca="false">IF($B24="","",IF(AE24&gt;=DAY($G$3),cfg_DAYS_M,MIN(AE24,cfg_DAYS_M)))</f>
        <v/>
      </c>
      <c r="G24" s="105" t="str">
        <f aca="false">IF($B24="","",SUMIFS('الحركات الشهرية'!$D$6:$D$1005,'الحركات الشهرية'!$B$6:$B$1005,$B24,'الحركات الشهرية'!$A$6:$A$1005,$C$3))</f>
        <v/>
      </c>
      <c r="H24" s="105" t="str">
        <f aca="false">IF($B24="","",SUMIFS('الحركات الشهرية'!$E$6:$E$1005,'الحركات الشهرية'!$B$6:$B$1005,$B24,'الحركات الشهرية'!$A$6:$A$1005,$C$3))</f>
        <v/>
      </c>
      <c r="I24" s="105" t="str">
        <f aca="false">IF($B24="","",MAX(0,F24-G24-H24))</f>
        <v/>
      </c>
      <c r="J24" s="86" t="str">
        <f aca="false">IF($B24="","",الموظفون!$J24*$I24/cfg_DAYS_M)</f>
        <v/>
      </c>
      <c r="K24" s="86" t="str">
        <f aca="false">IF($B24="","",الموظفون!$K24*$I24/cfg_DAYS_M)</f>
        <v/>
      </c>
      <c r="L24" s="86" t="str">
        <f aca="false">IF($B24="","",الموظفون!$L24*$I24/cfg_DAYS_M)</f>
        <v/>
      </c>
      <c r="M24" s="86" t="str">
        <f aca="false">IF($B24="","",الموظفون!$M24*$I24/cfg_DAYS_M)</f>
        <v/>
      </c>
      <c r="N24" s="105" t="str">
        <f aca="false">IF($B24="","",SUMIFS('الحركات الشهرية'!$F$6:$F$1005,'الحركات الشهرية'!$B$6:$B$1005,$B24,'الحركات الشهرية'!$A$6:$A$1005,$C$3))</f>
        <v/>
      </c>
      <c r="O24" s="86" t="str">
        <f aca="false">IF($B24="","",N24*(الموظفون!$N24+الموظفون!$J24*cfg_OT_P)/cfg_DAYS_M/cfg_HRS)</f>
        <v/>
      </c>
      <c r="P24" s="86" t="str">
        <f aca="false">IF($B24="","",SUMIFS('الحركات الشهرية'!$G$6:$G$1005,'الحركات الشهرية'!$B$6:$B$1005,$B24,'الحركات الشهرية'!$A$6:$A$1005,$C$3))</f>
        <v/>
      </c>
      <c r="Q24" s="86" t="str">
        <f aca="false">IF($B24="","",SUMIFS('الحركات الشهرية'!$H$6:$H$1005,'الحركات الشهرية'!$B$6:$B$1005,$B24,'الحركات الشهرية'!$A$6:$A$1005,$C$3))</f>
        <v/>
      </c>
      <c r="R24" s="106" t="str">
        <f aca="false">IF($B24="","",SUM(J24:M24)+SUM(O24:Q24))</f>
        <v/>
      </c>
      <c r="S24" s="86" t="str">
        <f aca="false">IF($B24="","",الموظفون!$Q24*IF(E24="سعودي",cfg_G_SE,cfg_G_NE)*F24/cfg_DAYS_M)</f>
        <v/>
      </c>
      <c r="T24" s="86" t="str">
        <f aca="false">IF($B24="","",SUMIFS('الحركات الشهرية'!$I$6:$I$1005,'الحركات الشهرية'!$B$6:$B$1005,$B24,'الحركات الشهرية'!$A$6:$A$1005,$C$3))</f>
        <v/>
      </c>
      <c r="U24" s="86" t="str">
        <f aca="false">IF($B24="","",SUMIFS('الحركات الشهرية'!$J$6:$J$1005,'الحركات الشهرية'!$B$6:$B$1005,$B24,'الحركات الشهرية'!$A$6:$A$1005,$C$3))</f>
        <v/>
      </c>
      <c r="V24" s="86" t="str">
        <f aca="false">IF($B24="","",SUM(S24:U24))</f>
        <v/>
      </c>
      <c r="W24" s="107" t="str">
        <f aca="false">IF($B24="","",R24-V24)</f>
        <v/>
      </c>
      <c r="X24" s="86" t="str">
        <f aca="false">IF($B24="","",الموظفون!$Q24*IF(E24="سعودي",cfg_G_SR,cfg_G_NR)*F24/cfg_DAYS_M)</f>
        <v/>
      </c>
      <c r="Y24" s="86" t="str">
        <f aca="false">IF($B24="","",الموظفون!$O24*(cfg_EOS_R1*(MIN(AC24,cfg_EOS_TH)-MIN(AD24,cfg_EOS_TH))+cfg_EOS_R2*(MAX(AC24-cfg_EOS_TH,0)-MAX(AD24-cfg_EOS_TH,0))))</f>
        <v/>
      </c>
      <c r="Z24" s="86" t="str">
        <f aca="false">IF($B24="","",IF(الموظفون!$R24&lt;&gt;"",الموظفون!$R24,IF(AC24&gt;=cfg_LV_TH,cfg_LV_D2,cfg_LV_D1))/cfg_DAYS_Y*AE24*الموظفون!$P24/cfg_DAYS_M)</f>
        <v/>
      </c>
      <c r="AA24" s="86" t="str">
        <f aca="false">IF($B24="","",IF(AND(الموظفون!$S24="نعم",N(الموظفون!$U24)&gt;0),الموظفون!$T24/الموظفون!$U24*12/cfg_DAYS_Y*AE24,0))</f>
        <v/>
      </c>
      <c r="AB24" s="108" t="str">
        <f aca="false">IF($B24="","",R24+SUM(X24:AA24))</f>
        <v/>
      </c>
      <c r="AC24" s="109" t="str">
        <f aca="false">IF($B24="","",MAX(0,IF(OR(الموظفون!$X24="",الموظفون!$X24&gt;$G$3),$G$3,الموظفون!$X24)-الموظفون!$H24+1)/cfg_DAYS_Y)</f>
        <v/>
      </c>
      <c r="AD24" s="109" t="str">
        <f aca="false">IF($B24="","",MAX(0,IF(OR(الموظفون!$X24="",الموظفون!$X24&gt;($E$3-1)),($E$3-1),الموظفون!$X24)-الموظفون!$H24+1)/cfg_DAYS_Y)</f>
        <v/>
      </c>
      <c r="AE24" s="51" t="str">
        <f aca="false">IF($B24="","",MAX(0,IF(OR(الموظفون!$X24="",الموظفون!$X24&gt;$G$3),$G$3,الموظفون!$X24)-MAX($E$3,الموظفون!$H24)+1))</f>
        <v/>
      </c>
    </row>
    <row r="25" customFormat="false" ht="15" hidden="false" customHeight="false" outlineLevel="0" collapsed="false">
      <c r="A25" s="89" t="str">
        <f aca="false">IF($B25="","",الموظفون!$A25)</f>
        <v/>
      </c>
      <c r="B25" s="91" t="str">
        <f aca="false">IF(الموظفون!$B25="","",الموظفون!$B25)</f>
        <v/>
      </c>
      <c r="C25" s="91" t="str">
        <f aca="false">IF($B25="","",الموظفون!$C25)</f>
        <v/>
      </c>
      <c r="D25" s="91" t="str">
        <f aca="false">IF($B25="","",الموظفون!$F25)</f>
        <v/>
      </c>
      <c r="E25" s="91" t="str">
        <f aca="false">IF($B25="","",الموظفون!$E25)</f>
        <v/>
      </c>
      <c r="F25" s="110" t="str">
        <f aca="false">IF($B25="","",IF(AE25&gt;=DAY($G$3),cfg_DAYS_M,MIN(AE25,cfg_DAYS_M)))</f>
        <v/>
      </c>
      <c r="G25" s="110" t="str">
        <f aca="false">IF($B25="","",SUMIFS('الحركات الشهرية'!$D$6:$D$1005,'الحركات الشهرية'!$B$6:$B$1005,$B25,'الحركات الشهرية'!$A$6:$A$1005,$C$3))</f>
        <v/>
      </c>
      <c r="H25" s="110" t="str">
        <f aca="false">IF($B25="","",SUMIFS('الحركات الشهرية'!$E$6:$E$1005,'الحركات الشهرية'!$B$6:$B$1005,$B25,'الحركات الشهرية'!$A$6:$A$1005,$C$3))</f>
        <v/>
      </c>
      <c r="I25" s="110" t="str">
        <f aca="false">IF($B25="","",MAX(0,F25-G25-H25))</f>
        <v/>
      </c>
      <c r="J25" s="90" t="str">
        <f aca="false">IF($B25="","",الموظفون!$J25*$I25/cfg_DAYS_M)</f>
        <v/>
      </c>
      <c r="K25" s="90" t="str">
        <f aca="false">IF($B25="","",الموظفون!$K25*$I25/cfg_DAYS_M)</f>
        <v/>
      </c>
      <c r="L25" s="90" t="str">
        <f aca="false">IF($B25="","",الموظفون!$L25*$I25/cfg_DAYS_M)</f>
        <v/>
      </c>
      <c r="M25" s="90" t="str">
        <f aca="false">IF($B25="","",الموظفون!$M25*$I25/cfg_DAYS_M)</f>
        <v/>
      </c>
      <c r="N25" s="110" t="str">
        <f aca="false">IF($B25="","",SUMIFS('الحركات الشهرية'!$F$6:$F$1005,'الحركات الشهرية'!$B$6:$B$1005,$B25,'الحركات الشهرية'!$A$6:$A$1005,$C$3))</f>
        <v/>
      </c>
      <c r="O25" s="90" t="str">
        <f aca="false">IF($B25="","",N25*(الموظفون!$N25+الموظفون!$J25*cfg_OT_P)/cfg_DAYS_M/cfg_HRS)</f>
        <v/>
      </c>
      <c r="P25" s="90" t="str">
        <f aca="false">IF($B25="","",SUMIFS('الحركات الشهرية'!$G$6:$G$1005,'الحركات الشهرية'!$B$6:$B$1005,$B25,'الحركات الشهرية'!$A$6:$A$1005,$C$3))</f>
        <v/>
      </c>
      <c r="Q25" s="90" t="str">
        <f aca="false">IF($B25="","",SUMIFS('الحركات الشهرية'!$H$6:$H$1005,'الحركات الشهرية'!$B$6:$B$1005,$B25,'الحركات الشهرية'!$A$6:$A$1005,$C$3))</f>
        <v/>
      </c>
      <c r="R25" s="111" t="str">
        <f aca="false">IF($B25="","",SUM(J25:M25)+SUM(O25:Q25))</f>
        <v/>
      </c>
      <c r="S25" s="90" t="str">
        <f aca="false">IF($B25="","",الموظفون!$Q25*IF(E25="سعودي",cfg_G_SE,cfg_G_NE)*F25/cfg_DAYS_M)</f>
        <v/>
      </c>
      <c r="T25" s="90" t="str">
        <f aca="false">IF($B25="","",SUMIFS('الحركات الشهرية'!$I$6:$I$1005,'الحركات الشهرية'!$B$6:$B$1005,$B25,'الحركات الشهرية'!$A$6:$A$1005,$C$3))</f>
        <v/>
      </c>
      <c r="U25" s="90" t="str">
        <f aca="false">IF($B25="","",SUMIFS('الحركات الشهرية'!$J$6:$J$1005,'الحركات الشهرية'!$B$6:$B$1005,$B25,'الحركات الشهرية'!$A$6:$A$1005,$C$3))</f>
        <v/>
      </c>
      <c r="V25" s="90" t="str">
        <f aca="false">IF($B25="","",SUM(S25:U25))</f>
        <v/>
      </c>
      <c r="W25" s="112" t="str">
        <f aca="false">IF($B25="","",R25-V25)</f>
        <v/>
      </c>
      <c r="X25" s="90" t="str">
        <f aca="false">IF($B25="","",الموظفون!$Q25*IF(E25="سعودي",cfg_G_SR,cfg_G_NR)*F25/cfg_DAYS_M)</f>
        <v/>
      </c>
      <c r="Y25" s="90" t="str">
        <f aca="false">IF($B25="","",الموظفون!$O25*(cfg_EOS_R1*(MIN(AC25,cfg_EOS_TH)-MIN(AD25,cfg_EOS_TH))+cfg_EOS_R2*(MAX(AC25-cfg_EOS_TH,0)-MAX(AD25-cfg_EOS_TH,0))))</f>
        <v/>
      </c>
      <c r="Z25" s="90" t="str">
        <f aca="false">IF($B25="","",IF(الموظفون!$R25&lt;&gt;"",الموظفون!$R25,IF(AC25&gt;=cfg_LV_TH,cfg_LV_D2,cfg_LV_D1))/cfg_DAYS_Y*AE25*الموظفون!$P25/cfg_DAYS_M)</f>
        <v/>
      </c>
      <c r="AA25" s="90" t="str">
        <f aca="false">IF($B25="","",IF(AND(الموظفون!$S25="نعم",N(الموظفون!$U25)&gt;0),الموظفون!$T25/الموظفون!$U25*12/cfg_DAYS_Y*AE25,0))</f>
        <v/>
      </c>
      <c r="AB25" s="113" t="str">
        <f aca="false">IF($B25="","",R25+SUM(X25:AA25))</f>
        <v/>
      </c>
      <c r="AC25" s="114" t="str">
        <f aca="false">IF($B25="","",MAX(0,IF(OR(الموظفون!$X25="",الموظفون!$X25&gt;$G$3),$G$3,الموظفون!$X25)-الموظفون!$H25+1)/cfg_DAYS_Y)</f>
        <v/>
      </c>
      <c r="AD25" s="114" t="str">
        <f aca="false">IF($B25="","",MAX(0,IF(OR(الموظفون!$X25="",الموظفون!$X25&gt;($E$3-1)),($E$3-1),الموظفون!$X25)-الموظفون!$H25+1)/cfg_DAYS_Y)</f>
        <v/>
      </c>
      <c r="AE25" s="115" t="str">
        <f aca="false">IF($B25="","",MAX(0,IF(OR(الموظفون!$X25="",الموظفون!$X25&gt;$G$3),$G$3,الموظفون!$X25)-MAX($E$3,الموظفون!$H25)+1))</f>
        <v/>
      </c>
    </row>
    <row r="26" customFormat="false" ht="15" hidden="false" customHeight="false" outlineLevel="0" collapsed="false">
      <c r="A26" s="83" t="str">
        <f aca="false">IF($B26="","",الموظفون!$A26)</f>
        <v/>
      </c>
      <c r="B26" s="74" t="str">
        <f aca="false">IF(الموظفون!$B26="","",الموظفون!$B26)</f>
        <v/>
      </c>
      <c r="C26" s="74" t="str">
        <f aca="false">IF($B26="","",الموظفون!$C26)</f>
        <v/>
      </c>
      <c r="D26" s="74" t="str">
        <f aca="false">IF($B26="","",الموظفون!$F26)</f>
        <v/>
      </c>
      <c r="E26" s="74" t="str">
        <f aca="false">IF($B26="","",الموظفون!$E26)</f>
        <v/>
      </c>
      <c r="F26" s="105" t="str">
        <f aca="false">IF($B26="","",IF(AE26&gt;=DAY($G$3),cfg_DAYS_M,MIN(AE26,cfg_DAYS_M)))</f>
        <v/>
      </c>
      <c r="G26" s="105" t="str">
        <f aca="false">IF($B26="","",SUMIFS('الحركات الشهرية'!$D$6:$D$1005,'الحركات الشهرية'!$B$6:$B$1005,$B26,'الحركات الشهرية'!$A$6:$A$1005,$C$3))</f>
        <v/>
      </c>
      <c r="H26" s="105" t="str">
        <f aca="false">IF($B26="","",SUMIFS('الحركات الشهرية'!$E$6:$E$1005,'الحركات الشهرية'!$B$6:$B$1005,$B26,'الحركات الشهرية'!$A$6:$A$1005,$C$3))</f>
        <v/>
      </c>
      <c r="I26" s="105" t="str">
        <f aca="false">IF($B26="","",MAX(0,F26-G26-H26))</f>
        <v/>
      </c>
      <c r="J26" s="86" t="str">
        <f aca="false">IF($B26="","",الموظفون!$J26*$I26/cfg_DAYS_M)</f>
        <v/>
      </c>
      <c r="K26" s="86" t="str">
        <f aca="false">IF($B26="","",الموظفون!$K26*$I26/cfg_DAYS_M)</f>
        <v/>
      </c>
      <c r="L26" s="86" t="str">
        <f aca="false">IF($B26="","",الموظفون!$L26*$I26/cfg_DAYS_M)</f>
        <v/>
      </c>
      <c r="M26" s="86" t="str">
        <f aca="false">IF($B26="","",الموظفون!$M26*$I26/cfg_DAYS_M)</f>
        <v/>
      </c>
      <c r="N26" s="105" t="str">
        <f aca="false">IF($B26="","",SUMIFS('الحركات الشهرية'!$F$6:$F$1005,'الحركات الشهرية'!$B$6:$B$1005,$B26,'الحركات الشهرية'!$A$6:$A$1005,$C$3))</f>
        <v/>
      </c>
      <c r="O26" s="86" t="str">
        <f aca="false">IF($B26="","",N26*(الموظفون!$N26+الموظفون!$J26*cfg_OT_P)/cfg_DAYS_M/cfg_HRS)</f>
        <v/>
      </c>
      <c r="P26" s="86" t="str">
        <f aca="false">IF($B26="","",SUMIFS('الحركات الشهرية'!$G$6:$G$1005,'الحركات الشهرية'!$B$6:$B$1005,$B26,'الحركات الشهرية'!$A$6:$A$1005,$C$3))</f>
        <v/>
      </c>
      <c r="Q26" s="86" t="str">
        <f aca="false">IF($B26="","",SUMIFS('الحركات الشهرية'!$H$6:$H$1005,'الحركات الشهرية'!$B$6:$B$1005,$B26,'الحركات الشهرية'!$A$6:$A$1005,$C$3))</f>
        <v/>
      </c>
      <c r="R26" s="106" t="str">
        <f aca="false">IF($B26="","",SUM(J26:M26)+SUM(O26:Q26))</f>
        <v/>
      </c>
      <c r="S26" s="86" t="str">
        <f aca="false">IF($B26="","",الموظفون!$Q26*IF(E26="سعودي",cfg_G_SE,cfg_G_NE)*F26/cfg_DAYS_M)</f>
        <v/>
      </c>
      <c r="T26" s="86" t="str">
        <f aca="false">IF($B26="","",SUMIFS('الحركات الشهرية'!$I$6:$I$1005,'الحركات الشهرية'!$B$6:$B$1005,$B26,'الحركات الشهرية'!$A$6:$A$1005,$C$3))</f>
        <v/>
      </c>
      <c r="U26" s="86" t="str">
        <f aca="false">IF($B26="","",SUMIFS('الحركات الشهرية'!$J$6:$J$1005,'الحركات الشهرية'!$B$6:$B$1005,$B26,'الحركات الشهرية'!$A$6:$A$1005,$C$3))</f>
        <v/>
      </c>
      <c r="V26" s="86" t="str">
        <f aca="false">IF($B26="","",SUM(S26:U26))</f>
        <v/>
      </c>
      <c r="W26" s="107" t="str">
        <f aca="false">IF($B26="","",R26-V26)</f>
        <v/>
      </c>
      <c r="X26" s="86" t="str">
        <f aca="false">IF($B26="","",الموظفون!$Q26*IF(E26="سعودي",cfg_G_SR,cfg_G_NR)*F26/cfg_DAYS_M)</f>
        <v/>
      </c>
      <c r="Y26" s="86" t="str">
        <f aca="false">IF($B26="","",الموظفون!$O26*(cfg_EOS_R1*(MIN(AC26,cfg_EOS_TH)-MIN(AD26,cfg_EOS_TH))+cfg_EOS_R2*(MAX(AC26-cfg_EOS_TH,0)-MAX(AD26-cfg_EOS_TH,0))))</f>
        <v/>
      </c>
      <c r="Z26" s="86" t="str">
        <f aca="false">IF($B26="","",IF(الموظفون!$R26&lt;&gt;"",الموظفون!$R26,IF(AC26&gt;=cfg_LV_TH,cfg_LV_D2,cfg_LV_D1))/cfg_DAYS_Y*AE26*الموظفون!$P26/cfg_DAYS_M)</f>
        <v/>
      </c>
      <c r="AA26" s="86" t="str">
        <f aca="false">IF($B26="","",IF(AND(الموظفون!$S26="نعم",N(الموظفون!$U26)&gt;0),الموظفون!$T26/الموظفون!$U26*12/cfg_DAYS_Y*AE26,0))</f>
        <v/>
      </c>
      <c r="AB26" s="108" t="str">
        <f aca="false">IF($B26="","",R26+SUM(X26:AA26))</f>
        <v/>
      </c>
      <c r="AC26" s="109" t="str">
        <f aca="false">IF($B26="","",MAX(0,IF(OR(الموظفون!$X26="",الموظفون!$X26&gt;$G$3),$G$3,الموظفون!$X26)-الموظفون!$H26+1)/cfg_DAYS_Y)</f>
        <v/>
      </c>
      <c r="AD26" s="109" t="str">
        <f aca="false">IF($B26="","",MAX(0,IF(OR(الموظفون!$X26="",الموظفون!$X26&gt;($E$3-1)),($E$3-1),الموظفون!$X26)-الموظفون!$H26+1)/cfg_DAYS_Y)</f>
        <v/>
      </c>
      <c r="AE26" s="51" t="str">
        <f aca="false">IF($B26="","",MAX(0,IF(OR(الموظفون!$X26="",الموظفون!$X26&gt;$G$3),$G$3,الموظفون!$X26)-MAX($E$3,الموظفون!$H26)+1))</f>
        <v/>
      </c>
    </row>
    <row r="27" customFormat="false" ht="15" hidden="false" customHeight="false" outlineLevel="0" collapsed="false">
      <c r="A27" s="89" t="str">
        <f aca="false">IF($B27="","",الموظفون!$A27)</f>
        <v/>
      </c>
      <c r="B27" s="91" t="str">
        <f aca="false">IF(الموظفون!$B27="","",الموظفون!$B27)</f>
        <v/>
      </c>
      <c r="C27" s="91" t="str">
        <f aca="false">IF($B27="","",الموظفون!$C27)</f>
        <v/>
      </c>
      <c r="D27" s="91" t="str">
        <f aca="false">IF($B27="","",الموظفون!$F27)</f>
        <v/>
      </c>
      <c r="E27" s="91" t="str">
        <f aca="false">IF($B27="","",الموظفون!$E27)</f>
        <v/>
      </c>
      <c r="F27" s="110" t="str">
        <f aca="false">IF($B27="","",IF(AE27&gt;=DAY($G$3),cfg_DAYS_M,MIN(AE27,cfg_DAYS_M)))</f>
        <v/>
      </c>
      <c r="G27" s="110" t="str">
        <f aca="false">IF($B27="","",SUMIFS('الحركات الشهرية'!$D$6:$D$1005,'الحركات الشهرية'!$B$6:$B$1005,$B27,'الحركات الشهرية'!$A$6:$A$1005,$C$3))</f>
        <v/>
      </c>
      <c r="H27" s="110" t="str">
        <f aca="false">IF($B27="","",SUMIFS('الحركات الشهرية'!$E$6:$E$1005,'الحركات الشهرية'!$B$6:$B$1005,$B27,'الحركات الشهرية'!$A$6:$A$1005,$C$3))</f>
        <v/>
      </c>
      <c r="I27" s="110" t="str">
        <f aca="false">IF($B27="","",MAX(0,F27-G27-H27))</f>
        <v/>
      </c>
      <c r="J27" s="90" t="str">
        <f aca="false">IF($B27="","",الموظفون!$J27*$I27/cfg_DAYS_M)</f>
        <v/>
      </c>
      <c r="K27" s="90" t="str">
        <f aca="false">IF($B27="","",الموظفون!$K27*$I27/cfg_DAYS_M)</f>
        <v/>
      </c>
      <c r="L27" s="90" t="str">
        <f aca="false">IF($B27="","",الموظفون!$L27*$I27/cfg_DAYS_M)</f>
        <v/>
      </c>
      <c r="M27" s="90" t="str">
        <f aca="false">IF($B27="","",الموظفون!$M27*$I27/cfg_DAYS_M)</f>
        <v/>
      </c>
      <c r="N27" s="110" t="str">
        <f aca="false">IF($B27="","",SUMIFS('الحركات الشهرية'!$F$6:$F$1005,'الحركات الشهرية'!$B$6:$B$1005,$B27,'الحركات الشهرية'!$A$6:$A$1005,$C$3))</f>
        <v/>
      </c>
      <c r="O27" s="90" t="str">
        <f aca="false">IF($B27="","",N27*(الموظفون!$N27+الموظفون!$J27*cfg_OT_P)/cfg_DAYS_M/cfg_HRS)</f>
        <v/>
      </c>
      <c r="P27" s="90" t="str">
        <f aca="false">IF($B27="","",SUMIFS('الحركات الشهرية'!$G$6:$G$1005,'الحركات الشهرية'!$B$6:$B$1005,$B27,'الحركات الشهرية'!$A$6:$A$1005,$C$3))</f>
        <v/>
      </c>
      <c r="Q27" s="90" t="str">
        <f aca="false">IF($B27="","",SUMIFS('الحركات الشهرية'!$H$6:$H$1005,'الحركات الشهرية'!$B$6:$B$1005,$B27,'الحركات الشهرية'!$A$6:$A$1005,$C$3))</f>
        <v/>
      </c>
      <c r="R27" s="111" t="str">
        <f aca="false">IF($B27="","",SUM(J27:M27)+SUM(O27:Q27))</f>
        <v/>
      </c>
      <c r="S27" s="90" t="str">
        <f aca="false">IF($B27="","",الموظفون!$Q27*IF(E27="سعودي",cfg_G_SE,cfg_G_NE)*F27/cfg_DAYS_M)</f>
        <v/>
      </c>
      <c r="T27" s="90" t="str">
        <f aca="false">IF($B27="","",SUMIFS('الحركات الشهرية'!$I$6:$I$1005,'الحركات الشهرية'!$B$6:$B$1005,$B27,'الحركات الشهرية'!$A$6:$A$1005,$C$3))</f>
        <v/>
      </c>
      <c r="U27" s="90" t="str">
        <f aca="false">IF($B27="","",SUMIFS('الحركات الشهرية'!$J$6:$J$1005,'الحركات الشهرية'!$B$6:$B$1005,$B27,'الحركات الشهرية'!$A$6:$A$1005,$C$3))</f>
        <v/>
      </c>
      <c r="V27" s="90" t="str">
        <f aca="false">IF($B27="","",SUM(S27:U27))</f>
        <v/>
      </c>
      <c r="W27" s="112" t="str">
        <f aca="false">IF($B27="","",R27-V27)</f>
        <v/>
      </c>
      <c r="X27" s="90" t="str">
        <f aca="false">IF($B27="","",الموظفون!$Q27*IF(E27="سعودي",cfg_G_SR,cfg_G_NR)*F27/cfg_DAYS_M)</f>
        <v/>
      </c>
      <c r="Y27" s="90" t="str">
        <f aca="false">IF($B27="","",الموظفون!$O27*(cfg_EOS_R1*(MIN(AC27,cfg_EOS_TH)-MIN(AD27,cfg_EOS_TH))+cfg_EOS_R2*(MAX(AC27-cfg_EOS_TH,0)-MAX(AD27-cfg_EOS_TH,0))))</f>
        <v/>
      </c>
      <c r="Z27" s="90" t="str">
        <f aca="false">IF($B27="","",IF(الموظفون!$R27&lt;&gt;"",الموظفون!$R27,IF(AC27&gt;=cfg_LV_TH,cfg_LV_D2,cfg_LV_D1))/cfg_DAYS_Y*AE27*الموظفون!$P27/cfg_DAYS_M)</f>
        <v/>
      </c>
      <c r="AA27" s="90" t="str">
        <f aca="false">IF($B27="","",IF(AND(الموظفون!$S27="نعم",N(الموظفون!$U27)&gt;0),الموظفون!$T27/الموظفون!$U27*12/cfg_DAYS_Y*AE27,0))</f>
        <v/>
      </c>
      <c r="AB27" s="113" t="str">
        <f aca="false">IF($B27="","",R27+SUM(X27:AA27))</f>
        <v/>
      </c>
      <c r="AC27" s="114" t="str">
        <f aca="false">IF($B27="","",MAX(0,IF(OR(الموظفون!$X27="",الموظفون!$X27&gt;$G$3),$G$3,الموظفون!$X27)-الموظفون!$H27+1)/cfg_DAYS_Y)</f>
        <v/>
      </c>
      <c r="AD27" s="114" t="str">
        <f aca="false">IF($B27="","",MAX(0,IF(OR(الموظفون!$X27="",الموظفون!$X27&gt;($E$3-1)),($E$3-1),الموظفون!$X27)-الموظفون!$H27+1)/cfg_DAYS_Y)</f>
        <v/>
      </c>
      <c r="AE27" s="115" t="str">
        <f aca="false">IF($B27="","",MAX(0,IF(OR(الموظفون!$X27="",الموظفون!$X27&gt;$G$3),$G$3,الموظفون!$X27)-MAX($E$3,الموظفون!$H27)+1))</f>
        <v/>
      </c>
    </row>
    <row r="28" customFormat="false" ht="15" hidden="false" customHeight="false" outlineLevel="0" collapsed="false">
      <c r="A28" s="83" t="str">
        <f aca="false">IF($B28="","",الموظفون!$A28)</f>
        <v/>
      </c>
      <c r="B28" s="74" t="str">
        <f aca="false">IF(الموظفون!$B28="","",الموظفون!$B28)</f>
        <v/>
      </c>
      <c r="C28" s="74" t="str">
        <f aca="false">IF($B28="","",الموظفون!$C28)</f>
        <v/>
      </c>
      <c r="D28" s="74" t="str">
        <f aca="false">IF($B28="","",الموظفون!$F28)</f>
        <v/>
      </c>
      <c r="E28" s="74" t="str">
        <f aca="false">IF($B28="","",الموظفون!$E28)</f>
        <v/>
      </c>
      <c r="F28" s="105" t="str">
        <f aca="false">IF($B28="","",IF(AE28&gt;=DAY($G$3),cfg_DAYS_M,MIN(AE28,cfg_DAYS_M)))</f>
        <v/>
      </c>
      <c r="G28" s="105" t="str">
        <f aca="false">IF($B28="","",SUMIFS('الحركات الشهرية'!$D$6:$D$1005,'الحركات الشهرية'!$B$6:$B$1005,$B28,'الحركات الشهرية'!$A$6:$A$1005,$C$3))</f>
        <v/>
      </c>
      <c r="H28" s="105" t="str">
        <f aca="false">IF($B28="","",SUMIFS('الحركات الشهرية'!$E$6:$E$1005,'الحركات الشهرية'!$B$6:$B$1005,$B28,'الحركات الشهرية'!$A$6:$A$1005,$C$3))</f>
        <v/>
      </c>
      <c r="I28" s="105" t="str">
        <f aca="false">IF($B28="","",MAX(0,F28-G28-H28))</f>
        <v/>
      </c>
      <c r="J28" s="86" t="str">
        <f aca="false">IF($B28="","",الموظفون!$J28*$I28/cfg_DAYS_M)</f>
        <v/>
      </c>
      <c r="K28" s="86" t="str">
        <f aca="false">IF($B28="","",الموظفون!$K28*$I28/cfg_DAYS_M)</f>
        <v/>
      </c>
      <c r="L28" s="86" t="str">
        <f aca="false">IF($B28="","",الموظفون!$L28*$I28/cfg_DAYS_M)</f>
        <v/>
      </c>
      <c r="M28" s="86" t="str">
        <f aca="false">IF($B28="","",الموظفون!$M28*$I28/cfg_DAYS_M)</f>
        <v/>
      </c>
      <c r="N28" s="105" t="str">
        <f aca="false">IF($B28="","",SUMIFS('الحركات الشهرية'!$F$6:$F$1005,'الحركات الشهرية'!$B$6:$B$1005,$B28,'الحركات الشهرية'!$A$6:$A$1005,$C$3))</f>
        <v/>
      </c>
      <c r="O28" s="86" t="str">
        <f aca="false">IF($B28="","",N28*(الموظفون!$N28+الموظفون!$J28*cfg_OT_P)/cfg_DAYS_M/cfg_HRS)</f>
        <v/>
      </c>
      <c r="P28" s="86" t="str">
        <f aca="false">IF($B28="","",SUMIFS('الحركات الشهرية'!$G$6:$G$1005,'الحركات الشهرية'!$B$6:$B$1005,$B28,'الحركات الشهرية'!$A$6:$A$1005,$C$3))</f>
        <v/>
      </c>
      <c r="Q28" s="86" t="str">
        <f aca="false">IF($B28="","",SUMIFS('الحركات الشهرية'!$H$6:$H$1005,'الحركات الشهرية'!$B$6:$B$1005,$B28,'الحركات الشهرية'!$A$6:$A$1005,$C$3))</f>
        <v/>
      </c>
      <c r="R28" s="106" t="str">
        <f aca="false">IF($B28="","",SUM(J28:M28)+SUM(O28:Q28))</f>
        <v/>
      </c>
      <c r="S28" s="86" t="str">
        <f aca="false">IF($B28="","",الموظفون!$Q28*IF(E28="سعودي",cfg_G_SE,cfg_G_NE)*F28/cfg_DAYS_M)</f>
        <v/>
      </c>
      <c r="T28" s="86" t="str">
        <f aca="false">IF($B28="","",SUMIFS('الحركات الشهرية'!$I$6:$I$1005,'الحركات الشهرية'!$B$6:$B$1005,$B28,'الحركات الشهرية'!$A$6:$A$1005,$C$3))</f>
        <v/>
      </c>
      <c r="U28" s="86" t="str">
        <f aca="false">IF($B28="","",SUMIFS('الحركات الشهرية'!$J$6:$J$1005,'الحركات الشهرية'!$B$6:$B$1005,$B28,'الحركات الشهرية'!$A$6:$A$1005,$C$3))</f>
        <v/>
      </c>
      <c r="V28" s="86" t="str">
        <f aca="false">IF($B28="","",SUM(S28:U28))</f>
        <v/>
      </c>
      <c r="W28" s="107" t="str">
        <f aca="false">IF($B28="","",R28-V28)</f>
        <v/>
      </c>
      <c r="X28" s="86" t="str">
        <f aca="false">IF($B28="","",الموظفون!$Q28*IF(E28="سعودي",cfg_G_SR,cfg_G_NR)*F28/cfg_DAYS_M)</f>
        <v/>
      </c>
      <c r="Y28" s="86" t="str">
        <f aca="false">IF($B28="","",الموظفون!$O28*(cfg_EOS_R1*(MIN(AC28,cfg_EOS_TH)-MIN(AD28,cfg_EOS_TH))+cfg_EOS_R2*(MAX(AC28-cfg_EOS_TH,0)-MAX(AD28-cfg_EOS_TH,0))))</f>
        <v/>
      </c>
      <c r="Z28" s="86" t="str">
        <f aca="false">IF($B28="","",IF(الموظفون!$R28&lt;&gt;"",الموظفون!$R28,IF(AC28&gt;=cfg_LV_TH,cfg_LV_D2,cfg_LV_D1))/cfg_DAYS_Y*AE28*الموظفون!$P28/cfg_DAYS_M)</f>
        <v/>
      </c>
      <c r="AA28" s="86" t="str">
        <f aca="false">IF($B28="","",IF(AND(الموظفون!$S28="نعم",N(الموظفون!$U28)&gt;0),الموظفون!$T28/الموظفون!$U28*12/cfg_DAYS_Y*AE28,0))</f>
        <v/>
      </c>
      <c r="AB28" s="108" t="str">
        <f aca="false">IF($B28="","",R28+SUM(X28:AA28))</f>
        <v/>
      </c>
      <c r="AC28" s="109" t="str">
        <f aca="false">IF($B28="","",MAX(0,IF(OR(الموظفون!$X28="",الموظفون!$X28&gt;$G$3),$G$3,الموظفون!$X28)-الموظفون!$H28+1)/cfg_DAYS_Y)</f>
        <v/>
      </c>
      <c r="AD28" s="109" t="str">
        <f aca="false">IF($B28="","",MAX(0,IF(OR(الموظفون!$X28="",الموظفون!$X28&gt;($E$3-1)),($E$3-1),الموظفون!$X28)-الموظفون!$H28+1)/cfg_DAYS_Y)</f>
        <v/>
      </c>
      <c r="AE28" s="51" t="str">
        <f aca="false">IF($B28="","",MAX(0,IF(OR(الموظفون!$X28="",الموظفون!$X28&gt;$G$3),$G$3,الموظفون!$X28)-MAX($E$3,الموظفون!$H28)+1))</f>
        <v/>
      </c>
    </row>
    <row r="29" customFormat="false" ht="15" hidden="false" customHeight="false" outlineLevel="0" collapsed="false">
      <c r="A29" s="89" t="str">
        <f aca="false">IF($B29="","",الموظفون!$A29)</f>
        <v/>
      </c>
      <c r="B29" s="91" t="str">
        <f aca="false">IF(الموظفون!$B29="","",الموظفون!$B29)</f>
        <v/>
      </c>
      <c r="C29" s="91" t="str">
        <f aca="false">IF($B29="","",الموظفون!$C29)</f>
        <v/>
      </c>
      <c r="D29" s="91" t="str">
        <f aca="false">IF($B29="","",الموظفون!$F29)</f>
        <v/>
      </c>
      <c r="E29" s="91" t="str">
        <f aca="false">IF($B29="","",الموظفون!$E29)</f>
        <v/>
      </c>
      <c r="F29" s="110" t="str">
        <f aca="false">IF($B29="","",IF(AE29&gt;=DAY($G$3),cfg_DAYS_M,MIN(AE29,cfg_DAYS_M)))</f>
        <v/>
      </c>
      <c r="G29" s="110" t="str">
        <f aca="false">IF($B29="","",SUMIFS('الحركات الشهرية'!$D$6:$D$1005,'الحركات الشهرية'!$B$6:$B$1005,$B29,'الحركات الشهرية'!$A$6:$A$1005,$C$3))</f>
        <v/>
      </c>
      <c r="H29" s="110" t="str">
        <f aca="false">IF($B29="","",SUMIFS('الحركات الشهرية'!$E$6:$E$1005,'الحركات الشهرية'!$B$6:$B$1005,$B29,'الحركات الشهرية'!$A$6:$A$1005,$C$3))</f>
        <v/>
      </c>
      <c r="I29" s="110" t="str">
        <f aca="false">IF($B29="","",MAX(0,F29-G29-H29))</f>
        <v/>
      </c>
      <c r="J29" s="90" t="str">
        <f aca="false">IF($B29="","",الموظفون!$J29*$I29/cfg_DAYS_M)</f>
        <v/>
      </c>
      <c r="K29" s="90" t="str">
        <f aca="false">IF($B29="","",الموظفون!$K29*$I29/cfg_DAYS_M)</f>
        <v/>
      </c>
      <c r="L29" s="90" t="str">
        <f aca="false">IF($B29="","",الموظفون!$L29*$I29/cfg_DAYS_M)</f>
        <v/>
      </c>
      <c r="M29" s="90" t="str">
        <f aca="false">IF($B29="","",الموظفون!$M29*$I29/cfg_DAYS_M)</f>
        <v/>
      </c>
      <c r="N29" s="110" t="str">
        <f aca="false">IF($B29="","",SUMIFS('الحركات الشهرية'!$F$6:$F$1005,'الحركات الشهرية'!$B$6:$B$1005,$B29,'الحركات الشهرية'!$A$6:$A$1005,$C$3))</f>
        <v/>
      </c>
      <c r="O29" s="90" t="str">
        <f aca="false">IF($B29="","",N29*(الموظفون!$N29+الموظفون!$J29*cfg_OT_P)/cfg_DAYS_M/cfg_HRS)</f>
        <v/>
      </c>
      <c r="P29" s="90" t="str">
        <f aca="false">IF($B29="","",SUMIFS('الحركات الشهرية'!$G$6:$G$1005,'الحركات الشهرية'!$B$6:$B$1005,$B29,'الحركات الشهرية'!$A$6:$A$1005,$C$3))</f>
        <v/>
      </c>
      <c r="Q29" s="90" t="str">
        <f aca="false">IF($B29="","",SUMIFS('الحركات الشهرية'!$H$6:$H$1005,'الحركات الشهرية'!$B$6:$B$1005,$B29,'الحركات الشهرية'!$A$6:$A$1005,$C$3))</f>
        <v/>
      </c>
      <c r="R29" s="111" t="str">
        <f aca="false">IF($B29="","",SUM(J29:M29)+SUM(O29:Q29))</f>
        <v/>
      </c>
      <c r="S29" s="90" t="str">
        <f aca="false">IF($B29="","",الموظفون!$Q29*IF(E29="سعودي",cfg_G_SE,cfg_G_NE)*F29/cfg_DAYS_M)</f>
        <v/>
      </c>
      <c r="T29" s="90" t="str">
        <f aca="false">IF($B29="","",SUMIFS('الحركات الشهرية'!$I$6:$I$1005,'الحركات الشهرية'!$B$6:$B$1005,$B29,'الحركات الشهرية'!$A$6:$A$1005,$C$3))</f>
        <v/>
      </c>
      <c r="U29" s="90" t="str">
        <f aca="false">IF($B29="","",SUMIFS('الحركات الشهرية'!$J$6:$J$1005,'الحركات الشهرية'!$B$6:$B$1005,$B29,'الحركات الشهرية'!$A$6:$A$1005,$C$3))</f>
        <v/>
      </c>
      <c r="V29" s="90" t="str">
        <f aca="false">IF($B29="","",SUM(S29:U29))</f>
        <v/>
      </c>
      <c r="W29" s="112" t="str">
        <f aca="false">IF($B29="","",R29-V29)</f>
        <v/>
      </c>
      <c r="X29" s="90" t="str">
        <f aca="false">IF($B29="","",الموظفون!$Q29*IF(E29="سعودي",cfg_G_SR,cfg_G_NR)*F29/cfg_DAYS_M)</f>
        <v/>
      </c>
      <c r="Y29" s="90" t="str">
        <f aca="false">IF($B29="","",الموظفون!$O29*(cfg_EOS_R1*(MIN(AC29,cfg_EOS_TH)-MIN(AD29,cfg_EOS_TH))+cfg_EOS_R2*(MAX(AC29-cfg_EOS_TH,0)-MAX(AD29-cfg_EOS_TH,0))))</f>
        <v/>
      </c>
      <c r="Z29" s="90" t="str">
        <f aca="false">IF($B29="","",IF(الموظفون!$R29&lt;&gt;"",الموظفون!$R29,IF(AC29&gt;=cfg_LV_TH,cfg_LV_D2,cfg_LV_D1))/cfg_DAYS_Y*AE29*الموظفون!$P29/cfg_DAYS_M)</f>
        <v/>
      </c>
      <c r="AA29" s="90" t="str">
        <f aca="false">IF($B29="","",IF(AND(الموظفون!$S29="نعم",N(الموظفون!$U29)&gt;0),الموظفون!$T29/الموظفون!$U29*12/cfg_DAYS_Y*AE29,0))</f>
        <v/>
      </c>
      <c r="AB29" s="113" t="str">
        <f aca="false">IF($B29="","",R29+SUM(X29:AA29))</f>
        <v/>
      </c>
      <c r="AC29" s="114" t="str">
        <f aca="false">IF($B29="","",MAX(0,IF(OR(الموظفون!$X29="",الموظفون!$X29&gt;$G$3),$G$3,الموظفون!$X29)-الموظفون!$H29+1)/cfg_DAYS_Y)</f>
        <v/>
      </c>
      <c r="AD29" s="114" t="str">
        <f aca="false">IF($B29="","",MAX(0,IF(OR(الموظفون!$X29="",الموظفون!$X29&gt;($E$3-1)),($E$3-1),الموظفون!$X29)-الموظفون!$H29+1)/cfg_DAYS_Y)</f>
        <v/>
      </c>
      <c r="AE29" s="115" t="str">
        <f aca="false">IF($B29="","",MAX(0,IF(OR(الموظفون!$X29="",الموظفون!$X29&gt;$G$3),$G$3,الموظفون!$X29)-MAX($E$3,الموظفون!$H29)+1))</f>
        <v/>
      </c>
    </row>
    <row r="30" customFormat="false" ht="15" hidden="false" customHeight="false" outlineLevel="0" collapsed="false">
      <c r="A30" s="83" t="str">
        <f aca="false">IF($B30="","",الموظفون!$A30)</f>
        <v/>
      </c>
      <c r="B30" s="74" t="str">
        <f aca="false">IF(الموظفون!$B30="","",الموظفون!$B30)</f>
        <v/>
      </c>
      <c r="C30" s="74" t="str">
        <f aca="false">IF($B30="","",الموظفون!$C30)</f>
        <v/>
      </c>
      <c r="D30" s="74" t="str">
        <f aca="false">IF($B30="","",الموظفون!$F30)</f>
        <v/>
      </c>
      <c r="E30" s="74" t="str">
        <f aca="false">IF($B30="","",الموظفون!$E30)</f>
        <v/>
      </c>
      <c r="F30" s="105" t="str">
        <f aca="false">IF($B30="","",IF(AE30&gt;=DAY($G$3),cfg_DAYS_M,MIN(AE30,cfg_DAYS_M)))</f>
        <v/>
      </c>
      <c r="G30" s="105" t="str">
        <f aca="false">IF($B30="","",SUMIFS('الحركات الشهرية'!$D$6:$D$1005,'الحركات الشهرية'!$B$6:$B$1005,$B30,'الحركات الشهرية'!$A$6:$A$1005,$C$3))</f>
        <v/>
      </c>
      <c r="H30" s="105" t="str">
        <f aca="false">IF($B30="","",SUMIFS('الحركات الشهرية'!$E$6:$E$1005,'الحركات الشهرية'!$B$6:$B$1005,$B30,'الحركات الشهرية'!$A$6:$A$1005,$C$3))</f>
        <v/>
      </c>
      <c r="I30" s="105" t="str">
        <f aca="false">IF($B30="","",MAX(0,F30-G30-H30))</f>
        <v/>
      </c>
      <c r="J30" s="86" t="str">
        <f aca="false">IF($B30="","",الموظفون!$J30*$I30/cfg_DAYS_M)</f>
        <v/>
      </c>
      <c r="K30" s="86" t="str">
        <f aca="false">IF($B30="","",الموظفون!$K30*$I30/cfg_DAYS_M)</f>
        <v/>
      </c>
      <c r="L30" s="86" t="str">
        <f aca="false">IF($B30="","",الموظفون!$L30*$I30/cfg_DAYS_M)</f>
        <v/>
      </c>
      <c r="M30" s="86" t="str">
        <f aca="false">IF($B30="","",الموظفون!$M30*$I30/cfg_DAYS_M)</f>
        <v/>
      </c>
      <c r="N30" s="105" t="str">
        <f aca="false">IF($B30="","",SUMIFS('الحركات الشهرية'!$F$6:$F$1005,'الحركات الشهرية'!$B$6:$B$1005,$B30,'الحركات الشهرية'!$A$6:$A$1005,$C$3))</f>
        <v/>
      </c>
      <c r="O30" s="86" t="str">
        <f aca="false">IF($B30="","",N30*(الموظفون!$N30+الموظفون!$J30*cfg_OT_P)/cfg_DAYS_M/cfg_HRS)</f>
        <v/>
      </c>
      <c r="P30" s="86" t="str">
        <f aca="false">IF($B30="","",SUMIFS('الحركات الشهرية'!$G$6:$G$1005,'الحركات الشهرية'!$B$6:$B$1005,$B30,'الحركات الشهرية'!$A$6:$A$1005,$C$3))</f>
        <v/>
      </c>
      <c r="Q30" s="86" t="str">
        <f aca="false">IF($B30="","",SUMIFS('الحركات الشهرية'!$H$6:$H$1005,'الحركات الشهرية'!$B$6:$B$1005,$B30,'الحركات الشهرية'!$A$6:$A$1005,$C$3))</f>
        <v/>
      </c>
      <c r="R30" s="106" t="str">
        <f aca="false">IF($B30="","",SUM(J30:M30)+SUM(O30:Q30))</f>
        <v/>
      </c>
      <c r="S30" s="86" t="str">
        <f aca="false">IF($B30="","",الموظفون!$Q30*IF(E30="سعودي",cfg_G_SE,cfg_G_NE)*F30/cfg_DAYS_M)</f>
        <v/>
      </c>
      <c r="T30" s="86" t="str">
        <f aca="false">IF($B30="","",SUMIFS('الحركات الشهرية'!$I$6:$I$1005,'الحركات الشهرية'!$B$6:$B$1005,$B30,'الحركات الشهرية'!$A$6:$A$1005,$C$3))</f>
        <v/>
      </c>
      <c r="U30" s="86" t="str">
        <f aca="false">IF($B30="","",SUMIFS('الحركات الشهرية'!$J$6:$J$1005,'الحركات الشهرية'!$B$6:$B$1005,$B30,'الحركات الشهرية'!$A$6:$A$1005,$C$3))</f>
        <v/>
      </c>
      <c r="V30" s="86" t="str">
        <f aca="false">IF($B30="","",SUM(S30:U30))</f>
        <v/>
      </c>
      <c r="W30" s="107" t="str">
        <f aca="false">IF($B30="","",R30-V30)</f>
        <v/>
      </c>
      <c r="X30" s="86" t="str">
        <f aca="false">IF($B30="","",الموظفون!$Q30*IF(E30="سعودي",cfg_G_SR,cfg_G_NR)*F30/cfg_DAYS_M)</f>
        <v/>
      </c>
      <c r="Y30" s="86" t="str">
        <f aca="false">IF($B30="","",الموظفون!$O30*(cfg_EOS_R1*(MIN(AC30,cfg_EOS_TH)-MIN(AD30,cfg_EOS_TH))+cfg_EOS_R2*(MAX(AC30-cfg_EOS_TH,0)-MAX(AD30-cfg_EOS_TH,0))))</f>
        <v/>
      </c>
      <c r="Z30" s="86" t="str">
        <f aca="false">IF($B30="","",IF(الموظفون!$R30&lt;&gt;"",الموظفون!$R30,IF(AC30&gt;=cfg_LV_TH,cfg_LV_D2,cfg_LV_D1))/cfg_DAYS_Y*AE30*الموظفون!$P30/cfg_DAYS_M)</f>
        <v/>
      </c>
      <c r="AA30" s="86" t="str">
        <f aca="false">IF($B30="","",IF(AND(الموظفون!$S30="نعم",N(الموظفون!$U30)&gt;0),الموظفون!$T30/الموظفون!$U30*12/cfg_DAYS_Y*AE30,0))</f>
        <v/>
      </c>
      <c r="AB30" s="108" t="str">
        <f aca="false">IF($B30="","",R30+SUM(X30:AA30))</f>
        <v/>
      </c>
      <c r="AC30" s="109" t="str">
        <f aca="false">IF($B30="","",MAX(0,IF(OR(الموظفون!$X30="",الموظفون!$X30&gt;$G$3),$G$3,الموظفون!$X30)-الموظفون!$H30+1)/cfg_DAYS_Y)</f>
        <v/>
      </c>
      <c r="AD30" s="109" t="str">
        <f aca="false">IF($B30="","",MAX(0,IF(OR(الموظفون!$X30="",الموظفون!$X30&gt;($E$3-1)),($E$3-1),الموظفون!$X30)-الموظفون!$H30+1)/cfg_DAYS_Y)</f>
        <v/>
      </c>
      <c r="AE30" s="51" t="str">
        <f aca="false">IF($B30="","",MAX(0,IF(OR(الموظفون!$X30="",الموظفون!$X30&gt;$G$3),$G$3,الموظفون!$X30)-MAX($E$3,الموظفون!$H30)+1))</f>
        <v/>
      </c>
    </row>
    <row r="31" customFormat="false" ht="15" hidden="false" customHeight="false" outlineLevel="0" collapsed="false">
      <c r="A31" s="89" t="str">
        <f aca="false">IF($B31="","",الموظفون!$A31)</f>
        <v/>
      </c>
      <c r="B31" s="91" t="str">
        <f aca="false">IF(الموظفون!$B31="","",الموظفون!$B31)</f>
        <v/>
      </c>
      <c r="C31" s="91" t="str">
        <f aca="false">IF($B31="","",الموظفون!$C31)</f>
        <v/>
      </c>
      <c r="D31" s="91" t="str">
        <f aca="false">IF($B31="","",الموظفون!$F31)</f>
        <v/>
      </c>
      <c r="E31" s="91" t="str">
        <f aca="false">IF($B31="","",الموظفون!$E31)</f>
        <v/>
      </c>
      <c r="F31" s="110" t="str">
        <f aca="false">IF($B31="","",IF(AE31&gt;=DAY($G$3),cfg_DAYS_M,MIN(AE31,cfg_DAYS_M)))</f>
        <v/>
      </c>
      <c r="G31" s="110" t="str">
        <f aca="false">IF($B31="","",SUMIFS('الحركات الشهرية'!$D$6:$D$1005,'الحركات الشهرية'!$B$6:$B$1005,$B31,'الحركات الشهرية'!$A$6:$A$1005,$C$3))</f>
        <v/>
      </c>
      <c r="H31" s="110" t="str">
        <f aca="false">IF($B31="","",SUMIFS('الحركات الشهرية'!$E$6:$E$1005,'الحركات الشهرية'!$B$6:$B$1005,$B31,'الحركات الشهرية'!$A$6:$A$1005,$C$3))</f>
        <v/>
      </c>
      <c r="I31" s="110" t="str">
        <f aca="false">IF($B31="","",MAX(0,F31-G31-H31))</f>
        <v/>
      </c>
      <c r="J31" s="90" t="str">
        <f aca="false">IF($B31="","",الموظفون!$J31*$I31/cfg_DAYS_M)</f>
        <v/>
      </c>
      <c r="K31" s="90" t="str">
        <f aca="false">IF($B31="","",الموظفون!$K31*$I31/cfg_DAYS_M)</f>
        <v/>
      </c>
      <c r="L31" s="90" t="str">
        <f aca="false">IF($B31="","",الموظفون!$L31*$I31/cfg_DAYS_M)</f>
        <v/>
      </c>
      <c r="M31" s="90" t="str">
        <f aca="false">IF($B31="","",الموظفون!$M31*$I31/cfg_DAYS_M)</f>
        <v/>
      </c>
      <c r="N31" s="110" t="str">
        <f aca="false">IF($B31="","",SUMIFS('الحركات الشهرية'!$F$6:$F$1005,'الحركات الشهرية'!$B$6:$B$1005,$B31,'الحركات الشهرية'!$A$6:$A$1005,$C$3))</f>
        <v/>
      </c>
      <c r="O31" s="90" t="str">
        <f aca="false">IF($B31="","",N31*(الموظفون!$N31+الموظفون!$J31*cfg_OT_P)/cfg_DAYS_M/cfg_HRS)</f>
        <v/>
      </c>
      <c r="P31" s="90" t="str">
        <f aca="false">IF($B31="","",SUMIFS('الحركات الشهرية'!$G$6:$G$1005,'الحركات الشهرية'!$B$6:$B$1005,$B31,'الحركات الشهرية'!$A$6:$A$1005,$C$3))</f>
        <v/>
      </c>
      <c r="Q31" s="90" t="str">
        <f aca="false">IF($B31="","",SUMIFS('الحركات الشهرية'!$H$6:$H$1005,'الحركات الشهرية'!$B$6:$B$1005,$B31,'الحركات الشهرية'!$A$6:$A$1005,$C$3))</f>
        <v/>
      </c>
      <c r="R31" s="111" t="str">
        <f aca="false">IF($B31="","",SUM(J31:M31)+SUM(O31:Q31))</f>
        <v/>
      </c>
      <c r="S31" s="90" t="str">
        <f aca="false">IF($B31="","",الموظفون!$Q31*IF(E31="سعودي",cfg_G_SE,cfg_G_NE)*F31/cfg_DAYS_M)</f>
        <v/>
      </c>
      <c r="T31" s="90" t="str">
        <f aca="false">IF($B31="","",SUMIFS('الحركات الشهرية'!$I$6:$I$1005,'الحركات الشهرية'!$B$6:$B$1005,$B31,'الحركات الشهرية'!$A$6:$A$1005,$C$3))</f>
        <v/>
      </c>
      <c r="U31" s="90" t="str">
        <f aca="false">IF($B31="","",SUMIFS('الحركات الشهرية'!$J$6:$J$1005,'الحركات الشهرية'!$B$6:$B$1005,$B31,'الحركات الشهرية'!$A$6:$A$1005,$C$3))</f>
        <v/>
      </c>
      <c r="V31" s="90" t="str">
        <f aca="false">IF($B31="","",SUM(S31:U31))</f>
        <v/>
      </c>
      <c r="W31" s="112" t="str">
        <f aca="false">IF($B31="","",R31-V31)</f>
        <v/>
      </c>
      <c r="X31" s="90" t="str">
        <f aca="false">IF($B31="","",الموظفون!$Q31*IF(E31="سعودي",cfg_G_SR,cfg_G_NR)*F31/cfg_DAYS_M)</f>
        <v/>
      </c>
      <c r="Y31" s="90" t="str">
        <f aca="false">IF($B31="","",الموظفون!$O31*(cfg_EOS_R1*(MIN(AC31,cfg_EOS_TH)-MIN(AD31,cfg_EOS_TH))+cfg_EOS_R2*(MAX(AC31-cfg_EOS_TH,0)-MAX(AD31-cfg_EOS_TH,0))))</f>
        <v/>
      </c>
      <c r="Z31" s="90" t="str">
        <f aca="false">IF($B31="","",IF(الموظفون!$R31&lt;&gt;"",الموظفون!$R31,IF(AC31&gt;=cfg_LV_TH,cfg_LV_D2,cfg_LV_D1))/cfg_DAYS_Y*AE31*الموظفون!$P31/cfg_DAYS_M)</f>
        <v/>
      </c>
      <c r="AA31" s="90" t="str">
        <f aca="false">IF($B31="","",IF(AND(الموظفون!$S31="نعم",N(الموظفون!$U31)&gt;0),الموظفون!$T31/الموظفون!$U31*12/cfg_DAYS_Y*AE31,0))</f>
        <v/>
      </c>
      <c r="AB31" s="113" t="str">
        <f aca="false">IF($B31="","",R31+SUM(X31:AA31))</f>
        <v/>
      </c>
      <c r="AC31" s="114" t="str">
        <f aca="false">IF($B31="","",MAX(0,IF(OR(الموظفون!$X31="",الموظفون!$X31&gt;$G$3),$G$3,الموظفون!$X31)-الموظفون!$H31+1)/cfg_DAYS_Y)</f>
        <v/>
      </c>
      <c r="AD31" s="114" t="str">
        <f aca="false">IF($B31="","",MAX(0,IF(OR(الموظفون!$X31="",الموظفون!$X31&gt;($E$3-1)),($E$3-1),الموظفون!$X31)-الموظفون!$H31+1)/cfg_DAYS_Y)</f>
        <v/>
      </c>
      <c r="AE31" s="115" t="str">
        <f aca="false">IF($B31="","",MAX(0,IF(OR(الموظفون!$X31="",الموظفون!$X31&gt;$G$3),$G$3,الموظفون!$X31)-MAX($E$3,الموظفون!$H31)+1))</f>
        <v/>
      </c>
    </row>
    <row r="32" customFormat="false" ht="15" hidden="false" customHeight="false" outlineLevel="0" collapsed="false">
      <c r="A32" s="83" t="str">
        <f aca="false">IF($B32="","",الموظفون!$A32)</f>
        <v/>
      </c>
      <c r="B32" s="74" t="str">
        <f aca="false">IF(الموظفون!$B32="","",الموظفون!$B32)</f>
        <v/>
      </c>
      <c r="C32" s="74" t="str">
        <f aca="false">IF($B32="","",الموظفون!$C32)</f>
        <v/>
      </c>
      <c r="D32" s="74" t="str">
        <f aca="false">IF($B32="","",الموظفون!$F32)</f>
        <v/>
      </c>
      <c r="E32" s="74" t="str">
        <f aca="false">IF($B32="","",الموظفون!$E32)</f>
        <v/>
      </c>
      <c r="F32" s="105" t="str">
        <f aca="false">IF($B32="","",IF(AE32&gt;=DAY($G$3),cfg_DAYS_M,MIN(AE32,cfg_DAYS_M)))</f>
        <v/>
      </c>
      <c r="G32" s="105" t="str">
        <f aca="false">IF($B32="","",SUMIFS('الحركات الشهرية'!$D$6:$D$1005,'الحركات الشهرية'!$B$6:$B$1005,$B32,'الحركات الشهرية'!$A$6:$A$1005,$C$3))</f>
        <v/>
      </c>
      <c r="H32" s="105" t="str">
        <f aca="false">IF($B32="","",SUMIFS('الحركات الشهرية'!$E$6:$E$1005,'الحركات الشهرية'!$B$6:$B$1005,$B32,'الحركات الشهرية'!$A$6:$A$1005,$C$3))</f>
        <v/>
      </c>
      <c r="I32" s="105" t="str">
        <f aca="false">IF($B32="","",MAX(0,F32-G32-H32))</f>
        <v/>
      </c>
      <c r="J32" s="86" t="str">
        <f aca="false">IF($B32="","",الموظفون!$J32*$I32/cfg_DAYS_M)</f>
        <v/>
      </c>
      <c r="K32" s="86" t="str">
        <f aca="false">IF($B32="","",الموظفون!$K32*$I32/cfg_DAYS_M)</f>
        <v/>
      </c>
      <c r="L32" s="86" t="str">
        <f aca="false">IF($B32="","",الموظفون!$L32*$I32/cfg_DAYS_M)</f>
        <v/>
      </c>
      <c r="M32" s="86" t="str">
        <f aca="false">IF($B32="","",الموظفون!$M32*$I32/cfg_DAYS_M)</f>
        <v/>
      </c>
      <c r="N32" s="105" t="str">
        <f aca="false">IF($B32="","",SUMIFS('الحركات الشهرية'!$F$6:$F$1005,'الحركات الشهرية'!$B$6:$B$1005,$B32,'الحركات الشهرية'!$A$6:$A$1005,$C$3))</f>
        <v/>
      </c>
      <c r="O32" s="86" t="str">
        <f aca="false">IF($B32="","",N32*(الموظفون!$N32+الموظفون!$J32*cfg_OT_P)/cfg_DAYS_M/cfg_HRS)</f>
        <v/>
      </c>
      <c r="P32" s="86" t="str">
        <f aca="false">IF($B32="","",SUMIFS('الحركات الشهرية'!$G$6:$G$1005,'الحركات الشهرية'!$B$6:$B$1005,$B32,'الحركات الشهرية'!$A$6:$A$1005,$C$3))</f>
        <v/>
      </c>
      <c r="Q32" s="86" t="str">
        <f aca="false">IF($B32="","",SUMIFS('الحركات الشهرية'!$H$6:$H$1005,'الحركات الشهرية'!$B$6:$B$1005,$B32,'الحركات الشهرية'!$A$6:$A$1005,$C$3))</f>
        <v/>
      </c>
      <c r="R32" s="106" t="str">
        <f aca="false">IF($B32="","",SUM(J32:M32)+SUM(O32:Q32))</f>
        <v/>
      </c>
      <c r="S32" s="86" t="str">
        <f aca="false">IF($B32="","",الموظفون!$Q32*IF(E32="سعودي",cfg_G_SE,cfg_G_NE)*F32/cfg_DAYS_M)</f>
        <v/>
      </c>
      <c r="T32" s="86" t="str">
        <f aca="false">IF($B32="","",SUMIFS('الحركات الشهرية'!$I$6:$I$1005,'الحركات الشهرية'!$B$6:$B$1005,$B32,'الحركات الشهرية'!$A$6:$A$1005,$C$3))</f>
        <v/>
      </c>
      <c r="U32" s="86" t="str">
        <f aca="false">IF($B32="","",SUMIFS('الحركات الشهرية'!$J$6:$J$1005,'الحركات الشهرية'!$B$6:$B$1005,$B32,'الحركات الشهرية'!$A$6:$A$1005,$C$3))</f>
        <v/>
      </c>
      <c r="V32" s="86" t="str">
        <f aca="false">IF($B32="","",SUM(S32:U32))</f>
        <v/>
      </c>
      <c r="W32" s="107" t="str">
        <f aca="false">IF($B32="","",R32-V32)</f>
        <v/>
      </c>
      <c r="X32" s="86" t="str">
        <f aca="false">IF($B32="","",الموظفون!$Q32*IF(E32="سعودي",cfg_G_SR,cfg_G_NR)*F32/cfg_DAYS_M)</f>
        <v/>
      </c>
      <c r="Y32" s="86" t="str">
        <f aca="false">IF($B32="","",الموظفون!$O32*(cfg_EOS_R1*(MIN(AC32,cfg_EOS_TH)-MIN(AD32,cfg_EOS_TH))+cfg_EOS_R2*(MAX(AC32-cfg_EOS_TH,0)-MAX(AD32-cfg_EOS_TH,0))))</f>
        <v/>
      </c>
      <c r="Z32" s="86" t="str">
        <f aca="false">IF($B32="","",IF(الموظفون!$R32&lt;&gt;"",الموظفون!$R32,IF(AC32&gt;=cfg_LV_TH,cfg_LV_D2,cfg_LV_D1))/cfg_DAYS_Y*AE32*الموظفون!$P32/cfg_DAYS_M)</f>
        <v/>
      </c>
      <c r="AA32" s="86" t="str">
        <f aca="false">IF($B32="","",IF(AND(الموظفون!$S32="نعم",N(الموظفون!$U32)&gt;0),الموظفون!$T32/الموظفون!$U32*12/cfg_DAYS_Y*AE32,0))</f>
        <v/>
      </c>
      <c r="AB32" s="108" t="str">
        <f aca="false">IF($B32="","",R32+SUM(X32:AA32))</f>
        <v/>
      </c>
      <c r="AC32" s="109" t="str">
        <f aca="false">IF($B32="","",MAX(0,IF(OR(الموظفون!$X32="",الموظفون!$X32&gt;$G$3),$G$3,الموظفون!$X32)-الموظفون!$H32+1)/cfg_DAYS_Y)</f>
        <v/>
      </c>
      <c r="AD32" s="109" t="str">
        <f aca="false">IF($B32="","",MAX(0,IF(OR(الموظفون!$X32="",الموظفون!$X32&gt;($E$3-1)),($E$3-1),الموظفون!$X32)-الموظفون!$H32+1)/cfg_DAYS_Y)</f>
        <v/>
      </c>
      <c r="AE32" s="51" t="str">
        <f aca="false">IF($B32="","",MAX(0,IF(OR(الموظفون!$X32="",الموظفون!$X32&gt;$G$3),$G$3,الموظفون!$X32)-MAX($E$3,الموظفون!$H32)+1))</f>
        <v/>
      </c>
    </row>
    <row r="33" customFormat="false" ht="15" hidden="false" customHeight="false" outlineLevel="0" collapsed="false">
      <c r="A33" s="89" t="str">
        <f aca="false">IF($B33="","",الموظفون!$A33)</f>
        <v/>
      </c>
      <c r="B33" s="91" t="str">
        <f aca="false">IF(الموظفون!$B33="","",الموظفون!$B33)</f>
        <v/>
      </c>
      <c r="C33" s="91" t="str">
        <f aca="false">IF($B33="","",الموظفون!$C33)</f>
        <v/>
      </c>
      <c r="D33" s="91" t="str">
        <f aca="false">IF($B33="","",الموظفون!$F33)</f>
        <v/>
      </c>
      <c r="E33" s="91" t="str">
        <f aca="false">IF($B33="","",الموظفون!$E33)</f>
        <v/>
      </c>
      <c r="F33" s="110" t="str">
        <f aca="false">IF($B33="","",IF(AE33&gt;=DAY($G$3),cfg_DAYS_M,MIN(AE33,cfg_DAYS_M)))</f>
        <v/>
      </c>
      <c r="G33" s="110" t="str">
        <f aca="false">IF($B33="","",SUMIFS('الحركات الشهرية'!$D$6:$D$1005,'الحركات الشهرية'!$B$6:$B$1005,$B33,'الحركات الشهرية'!$A$6:$A$1005,$C$3))</f>
        <v/>
      </c>
      <c r="H33" s="110" t="str">
        <f aca="false">IF($B33="","",SUMIFS('الحركات الشهرية'!$E$6:$E$1005,'الحركات الشهرية'!$B$6:$B$1005,$B33,'الحركات الشهرية'!$A$6:$A$1005,$C$3))</f>
        <v/>
      </c>
      <c r="I33" s="110" t="str">
        <f aca="false">IF($B33="","",MAX(0,F33-G33-H33))</f>
        <v/>
      </c>
      <c r="J33" s="90" t="str">
        <f aca="false">IF($B33="","",الموظفون!$J33*$I33/cfg_DAYS_M)</f>
        <v/>
      </c>
      <c r="K33" s="90" t="str">
        <f aca="false">IF($B33="","",الموظفون!$K33*$I33/cfg_DAYS_M)</f>
        <v/>
      </c>
      <c r="L33" s="90" t="str">
        <f aca="false">IF($B33="","",الموظفون!$L33*$I33/cfg_DAYS_M)</f>
        <v/>
      </c>
      <c r="M33" s="90" t="str">
        <f aca="false">IF($B33="","",الموظفون!$M33*$I33/cfg_DAYS_M)</f>
        <v/>
      </c>
      <c r="N33" s="110" t="str">
        <f aca="false">IF($B33="","",SUMIFS('الحركات الشهرية'!$F$6:$F$1005,'الحركات الشهرية'!$B$6:$B$1005,$B33,'الحركات الشهرية'!$A$6:$A$1005,$C$3))</f>
        <v/>
      </c>
      <c r="O33" s="90" t="str">
        <f aca="false">IF($B33="","",N33*(الموظفون!$N33+الموظفون!$J33*cfg_OT_P)/cfg_DAYS_M/cfg_HRS)</f>
        <v/>
      </c>
      <c r="P33" s="90" t="str">
        <f aca="false">IF($B33="","",SUMIFS('الحركات الشهرية'!$G$6:$G$1005,'الحركات الشهرية'!$B$6:$B$1005,$B33,'الحركات الشهرية'!$A$6:$A$1005,$C$3))</f>
        <v/>
      </c>
      <c r="Q33" s="90" t="str">
        <f aca="false">IF($B33="","",SUMIFS('الحركات الشهرية'!$H$6:$H$1005,'الحركات الشهرية'!$B$6:$B$1005,$B33,'الحركات الشهرية'!$A$6:$A$1005,$C$3))</f>
        <v/>
      </c>
      <c r="R33" s="111" t="str">
        <f aca="false">IF($B33="","",SUM(J33:M33)+SUM(O33:Q33))</f>
        <v/>
      </c>
      <c r="S33" s="90" t="str">
        <f aca="false">IF($B33="","",الموظفون!$Q33*IF(E33="سعودي",cfg_G_SE,cfg_G_NE)*F33/cfg_DAYS_M)</f>
        <v/>
      </c>
      <c r="T33" s="90" t="str">
        <f aca="false">IF($B33="","",SUMIFS('الحركات الشهرية'!$I$6:$I$1005,'الحركات الشهرية'!$B$6:$B$1005,$B33,'الحركات الشهرية'!$A$6:$A$1005,$C$3))</f>
        <v/>
      </c>
      <c r="U33" s="90" t="str">
        <f aca="false">IF($B33="","",SUMIFS('الحركات الشهرية'!$J$6:$J$1005,'الحركات الشهرية'!$B$6:$B$1005,$B33,'الحركات الشهرية'!$A$6:$A$1005,$C$3))</f>
        <v/>
      </c>
      <c r="V33" s="90" t="str">
        <f aca="false">IF($B33="","",SUM(S33:U33))</f>
        <v/>
      </c>
      <c r="W33" s="112" t="str">
        <f aca="false">IF($B33="","",R33-V33)</f>
        <v/>
      </c>
      <c r="X33" s="90" t="str">
        <f aca="false">IF($B33="","",الموظفون!$Q33*IF(E33="سعودي",cfg_G_SR,cfg_G_NR)*F33/cfg_DAYS_M)</f>
        <v/>
      </c>
      <c r="Y33" s="90" t="str">
        <f aca="false">IF($B33="","",الموظفون!$O33*(cfg_EOS_R1*(MIN(AC33,cfg_EOS_TH)-MIN(AD33,cfg_EOS_TH))+cfg_EOS_R2*(MAX(AC33-cfg_EOS_TH,0)-MAX(AD33-cfg_EOS_TH,0))))</f>
        <v/>
      </c>
      <c r="Z33" s="90" t="str">
        <f aca="false">IF($B33="","",IF(الموظفون!$R33&lt;&gt;"",الموظفون!$R33,IF(AC33&gt;=cfg_LV_TH,cfg_LV_D2,cfg_LV_D1))/cfg_DAYS_Y*AE33*الموظفون!$P33/cfg_DAYS_M)</f>
        <v/>
      </c>
      <c r="AA33" s="90" t="str">
        <f aca="false">IF($B33="","",IF(AND(الموظفون!$S33="نعم",N(الموظفون!$U33)&gt;0),الموظفون!$T33/الموظفون!$U33*12/cfg_DAYS_Y*AE33,0))</f>
        <v/>
      </c>
      <c r="AB33" s="113" t="str">
        <f aca="false">IF($B33="","",R33+SUM(X33:AA33))</f>
        <v/>
      </c>
      <c r="AC33" s="114" t="str">
        <f aca="false">IF($B33="","",MAX(0,IF(OR(الموظفون!$X33="",الموظفون!$X33&gt;$G$3),$G$3,الموظفون!$X33)-الموظفون!$H33+1)/cfg_DAYS_Y)</f>
        <v/>
      </c>
      <c r="AD33" s="114" t="str">
        <f aca="false">IF($B33="","",MAX(0,IF(OR(الموظفون!$X33="",الموظفون!$X33&gt;($E$3-1)),($E$3-1),الموظفون!$X33)-الموظفون!$H33+1)/cfg_DAYS_Y)</f>
        <v/>
      </c>
      <c r="AE33" s="115" t="str">
        <f aca="false">IF($B33="","",MAX(0,IF(OR(الموظفون!$X33="",الموظفون!$X33&gt;$G$3),$G$3,الموظفون!$X33)-MAX($E$3,الموظفون!$H33)+1))</f>
        <v/>
      </c>
    </row>
    <row r="34" customFormat="false" ht="15" hidden="false" customHeight="false" outlineLevel="0" collapsed="false">
      <c r="A34" s="83" t="str">
        <f aca="false">IF($B34="","",الموظفون!$A34)</f>
        <v/>
      </c>
      <c r="B34" s="74" t="str">
        <f aca="false">IF(الموظفون!$B34="","",الموظفون!$B34)</f>
        <v/>
      </c>
      <c r="C34" s="74" t="str">
        <f aca="false">IF($B34="","",الموظفون!$C34)</f>
        <v/>
      </c>
      <c r="D34" s="74" t="str">
        <f aca="false">IF($B34="","",الموظفون!$F34)</f>
        <v/>
      </c>
      <c r="E34" s="74" t="str">
        <f aca="false">IF($B34="","",الموظفون!$E34)</f>
        <v/>
      </c>
      <c r="F34" s="105" t="str">
        <f aca="false">IF($B34="","",IF(AE34&gt;=DAY($G$3),cfg_DAYS_M,MIN(AE34,cfg_DAYS_M)))</f>
        <v/>
      </c>
      <c r="G34" s="105" t="str">
        <f aca="false">IF($B34="","",SUMIFS('الحركات الشهرية'!$D$6:$D$1005,'الحركات الشهرية'!$B$6:$B$1005,$B34,'الحركات الشهرية'!$A$6:$A$1005,$C$3))</f>
        <v/>
      </c>
      <c r="H34" s="105" t="str">
        <f aca="false">IF($B34="","",SUMIFS('الحركات الشهرية'!$E$6:$E$1005,'الحركات الشهرية'!$B$6:$B$1005,$B34,'الحركات الشهرية'!$A$6:$A$1005,$C$3))</f>
        <v/>
      </c>
      <c r="I34" s="105" t="str">
        <f aca="false">IF($B34="","",MAX(0,F34-G34-H34))</f>
        <v/>
      </c>
      <c r="J34" s="86" t="str">
        <f aca="false">IF($B34="","",الموظفون!$J34*$I34/cfg_DAYS_M)</f>
        <v/>
      </c>
      <c r="K34" s="86" t="str">
        <f aca="false">IF($B34="","",الموظفون!$K34*$I34/cfg_DAYS_M)</f>
        <v/>
      </c>
      <c r="L34" s="86" t="str">
        <f aca="false">IF($B34="","",الموظفون!$L34*$I34/cfg_DAYS_M)</f>
        <v/>
      </c>
      <c r="M34" s="86" t="str">
        <f aca="false">IF($B34="","",الموظفون!$M34*$I34/cfg_DAYS_M)</f>
        <v/>
      </c>
      <c r="N34" s="105" t="str">
        <f aca="false">IF($B34="","",SUMIFS('الحركات الشهرية'!$F$6:$F$1005,'الحركات الشهرية'!$B$6:$B$1005,$B34,'الحركات الشهرية'!$A$6:$A$1005,$C$3))</f>
        <v/>
      </c>
      <c r="O34" s="86" t="str">
        <f aca="false">IF($B34="","",N34*(الموظفون!$N34+الموظفون!$J34*cfg_OT_P)/cfg_DAYS_M/cfg_HRS)</f>
        <v/>
      </c>
      <c r="P34" s="86" t="str">
        <f aca="false">IF($B34="","",SUMIFS('الحركات الشهرية'!$G$6:$G$1005,'الحركات الشهرية'!$B$6:$B$1005,$B34,'الحركات الشهرية'!$A$6:$A$1005,$C$3))</f>
        <v/>
      </c>
      <c r="Q34" s="86" t="str">
        <f aca="false">IF($B34="","",SUMIFS('الحركات الشهرية'!$H$6:$H$1005,'الحركات الشهرية'!$B$6:$B$1005,$B34,'الحركات الشهرية'!$A$6:$A$1005,$C$3))</f>
        <v/>
      </c>
      <c r="R34" s="106" t="str">
        <f aca="false">IF($B34="","",SUM(J34:M34)+SUM(O34:Q34))</f>
        <v/>
      </c>
      <c r="S34" s="86" t="str">
        <f aca="false">IF($B34="","",الموظفون!$Q34*IF(E34="سعودي",cfg_G_SE,cfg_G_NE)*F34/cfg_DAYS_M)</f>
        <v/>
      </c>
      <c r="T34" s="86" t="str">
        <f aca="false">IF($B34="","",SUMIFS('الحركات الشهرية'!$I$6:$I$1005,'الحركات الشهرية'!$B$6:$B$1005,$B34,'الحركات الشهرية'!$A$6:$A$1005,$C$3))</f>
        <v/>
      </c>
      <c r="U34" s="86" t="str">
        <f aca="false">IF($B34="","",SUMIFS('الحركات الشهرية'!$J$6:$J$1005,'الحركات الشهرية'!$B$6:$B$1005,$B34,'الحركات الشهرية'!$A$6:$A$1005,$C$3))</f>
        <v/>
      </c>
      <c r="V34" s="86" t="str">
        <f aca="false">IF($B34="","",SUM(S34:U34))</f>
        <v/>
      </c>
      <c r="W34" s="107" t="str">
        <f aca="false">IF($B34="","",R34-V34)</f>
        <v/>
      </c>
      <c r="X34" s="86" t="str">
        <f aca="false">IF($B34="","",الموظفون!$Q34*IF(E34="سعودي",cfg_G_SR,cfg_G_NR)*F34/cfg_DAYS_M)</f>
        <v/>
      </c>
      <c r="Y34" s="86" t="str">
        <f aca="false">IF($B34="","",الموظفون!$O34*(cfg_EOS_R1*(MIN(AC34,cfg_EOS_TH)-MIN(AD34,cfg_EOS_TH))+cfg_EOS_R2*(MAX(AC34-cfg_EOS_TH,0)-MAX(AD34-cfg_EOS_TH,0))))</f>
        <v/>
      </c>
      <c r="Z34" s="86" t="str">
        <f aca="false">IF($B34="","",IF(الموظفون!$R34&lt;&gt;"",الموظفون!$R34,IF(AC34&gt;=cfg_LV_TH,cfg_LV_D2,cfg_LV_D1))/cfg_DAYS_Y*AE34*الموظفون!$P34/cfg_DAYS_M)</f>
        <v/>
      </c>
      <c r="AA34" s="86" t="str">
        <f aca="false">IF($B34="","",IF(AND(الموظفون!$S34="نعم",N(الموظفون!$U34)&gt;0),الموظفون!$T34/الموظفون!$U34*12/cfg_DAYS_Y*AE34,0))</f>
        <v/>
      </c>
      <c r="AB34" s="108" t="str">
        <f aca="false">IF($B34="","",R34+SUM(X34:AA34))</f>
        <v/>
      </c>
      <c r="AC34" s="109" t="str">
        <f aca="false">IF($B34="","",MAX(0,IF(OR(الموظفون!$X34="",الموظفون!$X34&gt;$G$3),$G$3,الموظفون!$X34)-الموظفون!$H34+1)/cfg_DAYS_Y)</f>
        <v/>
      </c>
      <c r="AD34" s="109" t="str">
        <f aca="false">IF($B34="","",MAX(0,IF(OR(الموظفون!$X34="",الموظفون!$X34&gt;($E$3-1)),($E$3-1),الموظفون!$X34)-الموظفون!$H34+1)/cfg_DAYS_Y)</f>
        <v/>
      </c>
      <c r="AE34" s="51" t="str">
        <f aca="false">IF($B34="","",MAX(0,IF(OR(الموظفون!$X34="",الموظفون!$X34&gt;$G$3),$G$3,الموظفون!$X34)-MAX($E$3,الموظفون!$H34)+1))</f>
        <v/>
      </c>
    </row>
    <row r="35" customFormat="false" ht="15" hidden="false" customHeight="false" outlineLevel="0" collapsed="false">
      <c r="A35" s="89" t="str">
        <f aca="false">IF($B35="","",الموظفون!$A35)</f>
        <v/>
      </c>
      <c r="B35" s="91" t="str">
        <f aca="false">IF(الموظفون!$B35="","",الموظفون!$B35)</f>
        <v/>
      </c>
      <c r="C35" s="91" t="str">
        <f aca="false">IF($B35="","",الموظفون!$C35)</f>
        <v/>
      </c>
      <c r="D35" s="91" t="str">
        <f aca="false">IF($B35="","",الموظفون!$F35)</f>
        <v/>
      </c>
      <c r="E35" s="91" t="str">
        <f aca="false">IF($B35="","",الموظفون!$E35)</f>
        <v/>
      </c>
      <c r="F35" s="110" t="str">
        <f aca="false">IF($B35="","",IF(AE35&gt;=DAY($G$3),cfg_DAYS_M,MIN(AE35,cfg_DAYS_M)))</f>
        <v/>
      </c>
      <c r="G35" s="110" t="str">
        <f aca="false">IF($B35="","",SUMIFS('الحركات الشهرية'!$D$6:$D$1005,'الحركات الشهرية'!$B$6:$B$1005,$B35,'الحركات الشهرية'!$A$6:$A$1005,$C$3))</f>
        <v/>
      </c>
      <c r="H35" s="110" t="str">
        <f aca="false">IF($B35="","",SUMIFS('الحركات الشهرية'!$E$6:$E$1005,'الحركات الشهرية'!$B$6:$B$1005,$B35,'الحركات الشهرية'!$A$6:$A$1005,$C$3))</f>
        <v/>
      </c>
      <c r="I35" s="110" t="str">
        <f aca="false">IF($B35="","",MAX(0,F35-G35-H35))</f>
        <v/>
      </c>
      <c r="J35" s="90" t="str">
        <f aca="false">IF($B35="","",الموظفون!$J35*$I35/cfg_DAYS_M)</f>
        <v/>
      </c>
      <c r="K35" s="90" t="str">
        <f aca="false">IF($B35="","",الموظفون!$K35*$I35/cfg_DAYS_M)</f>
        <v/>
      </c>
      <c r="L35" s="90" t="str">
        <f aca="false">IF($B35="","",الموظفون!$L35*$I35/cfg_DAYS_M)</f>
        <v/>
      </c>
      <c r="M35" s="90" t="str">
        <f aca="false">IF($B35="","",الموظفون!$M35*$I35/cfg_DAYS_M)</f>
        <v/>
      </c>
      <c r="N35" s="110" t="str">
        <f aca="false">IF($B35="","",SUMIFS('الحركات الشهرية'!$F$6:$F$1005,'الحركات الشهرية'!$B$6:$B$1005,$B35,'الحركات الشهرية'!$A$6:$A$1005,$C$3))</f>
        <v/>
      </c>
      <c r="O35" s="90" t="str">
        <f aca="false">IF($B35="","",N35*(الموظفون!$N35+الموظفون!$J35*cfg_OT_P)/cfg_DAYS_M/cfg_HRS)</f>
        <v/>
      </c>
      <c r="P35" s="90" t="str">
        <f aca="false">IF($B35="","",SUMIFS('الحركات الشهرية'!$G$6:$G$1005,'الحركات الشهرية'!$B$6:$B$1005,$B35,'الحركات الشهرية'!$A$6:$A$1005,$C$3))</f>
        <v/>
      </c>
      <c r="Q35" s="90" t="str">
        <f aca="false">IF($B35="","",SUMIFS('الحركات الشهرية'!$H$6:$H$1005,'الحركات الشهرية'!$B$6:$B$1005,$B35,'الحركات الشهرية'!$A$6:$A$1005,$C$3))</f>
        <v/>
      </c>
      <c r="R35" s="111" t="str">
        <f aca="false">IF($B35="","",SUM(J35:M35)+SUM(O35:Q35))</f>
        <v/>
      </c>
      <c r="S35" s="90" t="str">
        <f aca="false">IF($B35="","",الموظفون!$Q35*IF(E35="سعودي",cfg_G_SE,cfg_G_NE)*F35/cfg_DAYS_M)</f>
        <v/>
      </c>
      <c r="T35" s="90" t="str">
        <f aca="false">IF($B35="","",SUMIFS('الحركات الشهرية'!$I$6:$I$1005,'الحركات الشهرية'!$B$6:$B$1005,$B35,'الحركات الشهرية'!$A$6:$A$1005,$C$3))</f>
        <v/>
      </c>
      <c r="U35" s="90" t="str">
        <f aca="false">IF($B35="","",SUMIFS('الحركات الشهرية'!$J$6:$J$1005,'الحركات الشهرية'!$B$6:$B$1005,$B35,'الحركات الشهرية'!$A$6:$A$1005,$C$3))</f>
        <v/>
      </c>
      <c r="V35" s="90" t="str">
        <f aca="false">IF($B35="","",SUM(S35:U35))</f>
        <v/>
      </c>
      <c r="W35" s="112" t="str">
        <f aca="false">IF($B35="","",R35-V35)</f>
        <v/>
      </c>
      <c r="X35" s="90" t="str">
        <f aca="false">IF($B35="","",الموظفون!$Q35*IF(E35="سعودي",cfg_G_SR,cfg_G_NR)*F35/cfg_DAYS_M)</f>
        <v/>
      </c>
      <c r="Y35" s="90" t="str">
        <f aca="false">IF($B35="","",الموظفون!$O35*(cfg_EOS_R1*(MIN(AC35,cfg_EOS_TH)-MIN(AD35,cfg_EOS_TH))+cfg_EOS_R2*(MAX(AC35-cfg_EOS_TH,0)-MAX(AD35-cfg_EOS_TH,0))))</f>
        <v/>
      </c>
      <c r="Z35" s="90" t="str">
        <f aca="false">IF($B35="","",IF(الموظفون!$R35&lt;&gt;"",الموظفون!$R35,IF(AC35&gt;=cfg_LV_TH,cfg_LV_D2,cfg_LV_D1))/cfg_DAYS_Y*AE35*الموظفون!$P35/cfg_DAYS_M)</f>
        <v/>
      </c>
      <c r="AA35" s="90" t="str">
        <f aca="false">IF($B35="","",IF(AND(الموظفون!$S35="نعم",N(الموظفون!$U35)&gt;0),الموظفون!$T35/الموظفون!$U35*12/cfg_DAYS_Y*AE35,0))</f>
        <v/>
      </c>
      <c r="AB35" s="113" t="str">
        <f aca="false">IF($B35="","",R35+SUM(X35:AA35))</f>
        <v/>
      </c>
      <c r="AC35" s="114" t="str">
        <f aca="false">IF($B35="","",MAX(0,IF(OR(الموظفون!$X35="",الموظفون!$X35&gt;$G$3),$G$3,الموظفون!$X35)-الموظفون!$H35+1)/cfg_DAYS_Y)</f>
        <v/>
      </c>
      <c r="AD35" s="114" t="str">
        <f aca="false">IF($B35="","",MAX(0,IF(OR(الموظفون!$X35="",الموظفون!$X35&gt;($E$3-1)),($E$3-1),الموظفون!$X35)-الموظفون!$H35+1)/cfg_DAYS_Y)</f>
        <v/>
      </c>
      <c r="AE35" s="115" t="str">
        <f aca="false">IF($B35="","",MAX(0,IF(OR(الموظفون!$X35="",الموظفون!$X35&gt;$G$3),$G$3,الموظفون!$X35)-MAX($E$3,الموظفون!$H35)+1))</f>
        <v/>
      </c>
    </row>
    <row r="36" customFormat="false" ht="15" hidden="false" customHeight="false" outlineLevel="0" collapsed="false">
      <c r="A36" s="83" t="str">
        <f aca="false">IF($B36="","",الموظفون!$A36)</f>
        <v/>
      </c>
      <c r="B36" s="74" t="str">
        <f aca="false">IF(الموظفون!$B36="","",الموظفون!$B36)</f>
        <v/>
      </c>
      <c r="C36" s="74" t="str">
        <f aca="false">IF($B36="","",الموظفون!$C36)</f>
        <v/>
      </c>
      <c r="D36" s="74" t="str">
        <f aca="false">IF($B36="","",الموظفون!$F36)</f>
        <v/>
      </c>
      <c r="E36" s="74" t="str">
        <f aca="false">IF($B36="","",الموظفون!$E36)</f>
        <v/>
      </c>
      <c r="F36" s="105" t="str">
        <f aca="false">IF($B36="","",IF(AE36&gt;=DAY($G$3),cfg_DAYS_M,MIN(AE36,cfg_DAYS_M)))</f>
        <v/>
      </c>
      <c r="G36" s="105" t="str">
        <f aca="false">IF($B36="","",SUMIFS('الحركات الشهرية'!$D$6:$D$1005,'الحركات الشهرية'!$B$6:$B$1005,$B36,'الحركات الشهرية'!$A$6:$A$1005,$C$3))</f>
        <v/>
      </c>
      <c r="H36" s="105" t="str">
        <f aca="false">IF($B36="","",SUMIFS('الحركات الشهرية'!$E$6:$E$1005,'الحركات الشهرية'!$B$6:$B$1005,$B36,'الحركات الشهرية'!$A$6:$A$1005,$C$3))</f>
        <v/>
      </c>
      <c r="I36" s="105" t="str">
        <f aca="false">IF($B36="","",MAX(0,F36-G36-H36))</f>
        <v/>
      </c>
      <c r="J36" s="86" t="str">
        <f aca="false">IF($B36="","",الموظفون!$J36*$I36/cfg_DAYS_M)</f>
        <v/>
      </c>
      <c r="K36" s="86" t="str">
        <f aca="false">IF($B36="","",الموظفون!$K36*$I36/cfg_DAYS_M)</f>
        <v/>
      </c>
      <c r="L36" s="86" t="str">
        <f aca="false">IF($B36="","",الموظفون!$L36*$I36/cfg_DAYS_M)</f>
        <v/>
      </c>
      <c r="M36" s="86" t="str">
        <f aca="false">IF($B36="","",الموظفون!$M36*$I36/cfg_DAYS_M)</f>
        <v/>
      </c>
      <c r="N36" s="105" t="str">
        <f aca="false">IF($B36="","",SUMIFS('الحركات الشهرية'!$F$6:$F$1005,'الحركات الشهرية'!$B$6:$B$1005,$B36,'الحركات الشهرية'!$A$6:$A$1005,$C$3))</f>
        <v/>
      </c>
      <c r="O36" s="86" t="str">
        <f aca="false">IF($B36="","",N36*(الموظفون!$N36+الموظفون!$J36*cfg_OT_P)/cfg_DAYS_M/cfg_HRS)</f>
        <v/>
      </c>
      <c r="P36" s="86" t="str">
        <f aca="false">IF($B36="","",SUMIFS('الحركات الشهرية'!$G$6:$G$1005,'الحركات الشهرية'!$B$6:$B$1005,$B36,'الحركات الشهرية'!$A$6:$A$1005,$C$3))</f>
        <v/>
      </c>
      <c r="Q36" s="86" t="str">
        <f aca="false">IF($B36="","",SUMIFS('الحركات الشهرية'!$H$6:$H$1005,'الحركات الشهرية'!$B$6:$B$1005,$B36,'الحركات الشهرية'!$A$6:$A$1005,$C$3))</f>
        <v/>
      </c>
      <c r="R36" s="106" t="str">
        <f aca="false">IF($B36="","",SUM(J36:M36)+SUM(O36:Q36))</f>
        <v/>
      </c>
      <c r="S36" s="86" t="str">
        <f aca="false">IF($B36="","",الموظفون!$Q36*IF(E36="سعودي",cfg_G_SE,cfg_G_NE)*F36/cfg_DAYS_M)</f>
        <v/>
      </c>
      <c r="T36" s="86" t="str">
        <f aca="false">IF($B36="","",SUMIFS('الحركات الشهرية'!$I$6:$I$1005,'الحركات الشهرية'!$B$6:$B$1005,$B36,'الحركات الشهرية'!$A$6:$A$1005,$C$3))</f>
        <v/>
      </c>
      <c r="U36" s="86" t="str">
        <f aca="false">IF($B36="","",SUMIFS('الحركات الشهرية'!$J$6:$J$1005,'الحركات الشهرية'!$B$6:$B$1005,$B36,'الحركات الشهرية'!$A$6:$A$1005,$C$3))</f>
        <v/>
      </c>
      <c r="V36" s="86" t="str">
        <f aca="false">IF($B36="","",SUM(S36:U36))</f>
        <v/>
      </c>
      <c r="W36" s="107" t="str">
        <f aca="false">IF($B36="","",R36-V36)</f>
        <v/>
      </c>
      <c r="X36" s="86" t="str">
        <f aca="false">IF($B36="","",الموظفون!$Q36*IF(E36="سعودي",cfg_G_SR,cfg_G_NR)*F36/cfg_DAYS_M)</f>
        <v/>
      </c>
      <c r="Y36" s="86" t="str">
        <f aca="false">IF($B36="","",الموظفون!$O36*(cfg_EOS_R1*(MIN(AC36,cfg_EOS_TH)-MIN(AD36,cfg_EOS_TH))+cfg_EOS_R2*(MAX(AC36-cfg_EOS_TH,0)-MAX(AD36-cfg_EOS_TH,0))))</f>
        <v/>
      </c>
      <c r="Z36" s="86" t="str">
        <f aca="false">IF($B36="","",IF(الموظفون!$R36&lt;&gt;"",الموظفون!$R36,IF(AC36&gt;=cfg_LV_TH,cfg_LV_D2,cfg_LV_D1))/cfg_DAYS_Y*AE36*الموظفون!$P36/cfg_DAYS_M)</f>
        <v/>
      </c>
      <c r="AA36" s="86" t="str">
        <f aca="false">IF($B36="","",IF(AND(الموظفون!$S36="نعم",N(الموظفون!$U36)&gt;0),الموظفون!$T36/الموظفون!$U36*12/cfg_DAYS_Y*AE36,0))</f>
        <v/>
      </c>
      <c r="AB36" s="108" t="str">
        <f aca="false">IF($B36="","",R36+SUM(X36:AA36))</f>
        <v/>
      </c>
      <c r="AC36" s="109" t="str">
        <f aca="false">IF($B36="","",MAX(0,IF(OR(الموظفون!$X36="",الموظفون!$X36&gt;$G$3),$G$3,الموظفون!$X36)-الموظفون!$H36+1)/cfg_DAYS_Y)</f>
        <v/>
      </c>
      <c r="AD36" s="109" t="str">
        <f aca="false">IF($B36="","",MAX(0,IF(OR(الموظفون!$X36="",الموظفون!$X36&gt;($E$3-1)),($E$3-1),الموظفون!$X36)-الموظفون!$H36+1)/cfg_DAYS_Y)</f>
        <v/>
      </c>
      <c r="AE36" s="51" t="str">
        <f aca="false">IF($B36="","",MAX(0,IF(OR(الموظفون!$X36="",الموظفون!$X36&gt;$G$3),$G$3,الموظفون!$X36)-MAX($E$3,الموظفون!$H36)+1))</f>
        <v/>
      </c>
    </row>
    <row r="37" customFormat="false" ht="15" hidden="false" customHeight="false" outlineLevel="0" collapsed="false">
      <c r="A37" s="89" t="str">
        <f aca="false">IF($B37="","",الموظفون!$A37)</f>
        <v/>
      </c>
      <c r="B37" s="91" t="str">
        <f aca="false">IF(الموظفون!$B37="","",الموظفون!$B37)</f>
        <v/>
      </c>
      <c r="C37" s="91" t="str">
        <f aca="false">IF($B37="","",الموظفون!$C37)</f>
        <v/>
      </c>
      <c r="D37" s="91" t="str">
        <f aca="false">IF($B37="","",الموظفون!$F37)</f>
        <v/>
      </c>
      <c r="E37" s="91" t="str">
        <f aca="false">IF($B37="","",الموظفون!$E37)</f>
        <v/>
      </c>
      <c r="F37" s="110" t="str">
        <f aca="false">IF($B37="","",IF(AE37&gt;=DAY($G$3),cfg_DAYS_M,MIN(AE37,cfg_DAYS_M)))</f>
        <v/>
      </c>
      <c r="G37" s="110" t="str">
        <f aca="false">IF($B37="","",SUMIFS('الحركات الشهرية'!$D$6:$D$1005,'الحركات الشهرية'!$B$6:$B$1005,$B37,'الحركات الشهرية'!$A$6:$A$1005,$C$3))</f>
        <v/>
      </c>
      <c r="H37" s="110" t="str">
        <f aca="false">IF($B37="","",SUMIFS('الحركات الشهرية'!$E$6:$E$1005,'الحركات الشهرية'!$B$6:$B$1005,$B37,'الحركات الشهرية'!$A$6:$A$1005,$C$3))</f>
        <v/>
      </c>
      <c r="I37" s="110" t="str">
        <f aca="false">IF($B37="","",MAX(0,F37-G37-H37))</f>
        <v/>
      </c>
      <c r="J37" s="90" t="str">
        <f aca="false">IF($B37="","",الموظفون!$J37*$I37/cfg_DAYS_M)</f>
        <v/>
      </c>
      <c r="K37" s="90" t="str">
        <f aca="false">IF($B37="","",الموظفون!$K37*$I37/cfg_DAYS_M)</f>
        <v/>
      </c>
      <c r="L37" s="90" t="str">
        <f aca="false">IF($B37="","",الموظفون!$L37*$I37/cfg_DAYS_M)</f>
        <v/>
      </c>
      <c r="M37" s="90" t="str">
        <f aca="false">IF($B37="","",الموظفون!$M37*$I37/cfg_DAYS_M)</f>
        <v/>
      </c>
      <c r="N37" s="110" t="str">
        <f aca="false">IF($B37="","",SUMIFS('الحركات الشهرية'!$F$6:$F$1005,'الحركات الشهرية'!$B$6:$B$1005,$B37,'الحركات الشهرية'!$A$6:$A$1005,$C$3))</f>
        <v/>
      </c>
      <c r="O37" s="90" t="str">
        <f aca="false">IF($B37="","",N37*(الموظفون!$N37+الموظفون!$J37*cfg_OT_P)/cfg_DAYS_M/cfg_HRS)</f>
        <v/>
      </c>
      <c r="P37" s="90" t="str">
        <f aca="false">IF($B37="","",SUMIFS('الحركات الشهرية'!$G$6:$G$1005,'الحركات الشهرية'!$B$6:$B$1005,$B37,'الحركات الشهرية'!$A$6:$A$1005,$C$3))</f>
        <v/>
      </c>
      <c r="Q37" s="90" t="str">
        <f aca="false">IF($B37="","",SUMIFS('الحركات الشهرية'!$H$6:$H$1005,'الحركات الشهرية'!$B$6:$B$1005,$B37,'الحركات الشهرية'!$A$6:$A$1005,$C$3))</f>
        <v/>
      </c>
      <c r="R37" s="111" t="str">
        <f aca="false">IF($B37="","",SUM(J37:M37)+SUM(O37:Q37))</f>
        <v/>
      </c>
      <c r="S37" s="90" t="str">
        <f aca="false">IF($B37="","",الموظفون!$Q37*IF(E37="سعودي",cfg_G_SE,cfg_G_NE)*F37/cfg_DAYS_M)</f>
        <v/>
      </c>
      <c r="T37" s="90" t="str">
        <f aca="false">IF($B37="","",SUMIFS('الحركات الشهرية'!$I$6:$I$1005,'الحركات الشهرية'!$B$6:$B$1005,$B37,'الحركات الشهرية'!$A$6:$A$1005,$C$3))</f>
        <v/>
      </c>
      <c r="U37" s="90" t="str">
        <f aca="false">IF($B37="","",SUMIFS('الحركات الشهرية'!$J$6:$J$1005,'الحركات الشهرية'!$B$6:$B$1005,$B37,'الحركات الشهرية'!$A$6:$A$1005,$C$3))</f>
        <v/>
      </c>
      <c r="V37" s="90" t="str">
        <f aca="false">IF($B37="","",SUM(S37:U37))</f>
        <v/>
      </c>
      <c r="W37" s="112" t="str">
        <f aca="false">IF($B37="","",R37-V37)</f>
        <v/>
      </c>
      <c r="X37" s="90" t="str">
        <f aca="false">IF($B37="","",الموظفون!$Q37*IF(E37="سعودي",cfg_G_SR,cfg_G_NR)*F37/cfg_DAYS_M)</f>
        <v/>
      </c>
      <c r="Y37" s="90" t="str">
        <f aca="false">IF($B37="","",الموظفون!$O37*(cfg_EOS_R1*(MIN(AC37,cfg_EOS_TH)-MIN(AD37,cfg_EOS_TH))+cfg_EOS_R2*(MAX(AC37-cfg_EOS_TH,0)-MAX(AD37-cfg_EOS_TH,0))))</f>
        <v/>
      </c>
      <c r="Z37" s="90" t="str">
        <f aca="false">IF($B37="","",IF(الموظفون!$R37&lt;&gt;"",الموظفون!$R37,IF(AC37&gt;=cfg_LV_TH,cfg_LV_D2,cfg_LV_D1))/cfg_DAYS_Y*AE37*الموظفون!$P37/cfg_DAYS_M)</f>
        <v/>
      </c>
      <c r="AA37" s="90" t="str">
        <f aca="false">IF($B37="","",IF(AND(الموظفون!$S37="نعم",N(الموظفون!$U37)&gt;0),الموظفون!$T37/الموظفون!$U37*12/cfg_DAYS_Y*AE37,0))</f>
        <v/>
      </c>
      <c r="AB37" s="113" t="str">
        <f aca="false">IF($B37="","",R37+SUM(X37:AA37))</f>
        <v/>
      </c>
      <c r="AC37" s="114" t="str">
        <f aca="false">IF($B37="","",MAX(0,IF(OR(الموظفون!$X37="",الموظفون!$X37&gt;$G$3),$G$3,الموظفون!$X37)-الموظفون!$H37+1)/cfg_DAYS_Y)</f>
        <v/>
      </c>
      <c r="AD37" s="114" t="str">
        <f aca="false">IF($B37="","",MAX(0,IF(OR(الموظفون!$X37="",الموظفون!$X37&gt;($E$3-1)),($E$3-1),الموظفون!$X37)-الموظفون!$H37+1)/cfg_DAYS_Y)</f>
        <v/>
      </c>
      <c r="AE37" s="115" t="str">
        <f aca="false">IF($B37="","",MAX(0,IF(OR(الموظفون!$X37="",الموظفون!$X37&gt;$G$3),$G$3,الموظفون!$X37)-MAX($E$3,الموظفون!$H37)+1))</f>
        <v/>
      </c>
    </row>
    <row r="38" customFormat="false" ht="15" hidden="false" customHeight="false" outlineLevel="0" collapsed="false">
      <c r="A38" s="83" t="str">
        <f aca="false">IF($B38="","",الموظفون!$A38)</f>
        <v/>
      </c>
      <c r="B38" s="74" t="str">
        <f aca="false">IF(الموظفون!$B38="","",الموظفون!$B38)</f>
        <v/>
      </c>
      <c r="C38" s="74" t="str">
        <f aca="false">IF($B38="","",الموظفون!$C38)</f>
        <v/>
      </c>
      <c r="D38" s="74" t="str">
        <f aca="false">IF($B38="","",الموظفون!$F38)</f>
        <v/>
      </c>
      <c r="E38" s="74" t="str">
        <f aca="false">IF($B38="","",الموظفون!$E38)</f>
        <v/>
      </c>
      <c r="F38" s="105" t="str">
        <f aca="false">IF($B38="","",IF(AE38&gt;=DAY($G$3),cfg_DAYS_M,MIN(AE38,cfg_DAYS_M)))</f>
        <v/>
      </c>
      <c r="G38" s="105" t="str">
        <f aca="false">IF($B38="","",SUMIFS('الحركات الشهرية'!$D$6:$D$1005,'الحركات الشهرية'!$B$6:$B$1005,$B38,'الحركات الشهرية'!$A$6:$A$1005,$C$3))</f>
        <v/>
      </c>
      <c r="H38" s="105" t="str">
        <f aca="false">IF($B38="","",SUMIFS('الحركات الشهرية'!$E$6:$E$1005,'الحركات الشهرية'!$B$6:$B$1005,$B38,'الحركات الشهرية'!$A$6:$A$1005,$C$3))</f>
        <v/>
      </c>
      <c r="I38" s="105" t="str">
        <f aca="false">IF($B38="","",MAX(0,F38-G38-H38))</f>
        <v/>
      </c>
      <c r="J38" s="86" t="str">
        <f aca="false">IF($B38="","",الموظفون!$J38*$I38/cfg_DAYS_M)</f>
        <v/>
      </c>
      <c r="K38" s="86" t="str">
        <f aca="false">IF($B38="","",الموظفون!$K38*$I38/cfg_DAYS_M)</f>
        <v/>
      </c>
      <c r="L38" s="86" t="str">
        <f aca="false">IF($B38="","",الموظفون!$L38*$I38/cfg_DAYS_M)</f>
        <v/>
      </c>
      <c r="M38" s="86" t="str">
        <f aca="false">IF($B38="","",الموظفون!$M38*$I38/cfg_DAYS_M)</f>
        <v/>
      </c>
      <c r="N38" s="105" t="str">
        <f aca="false">IF($B38="","",SUMIFS('الحركات الشهرية'!$F$6:$F$1005,'الحركات الشهرية'!$B$6:$B$1005,$B38,'الحركات الشهرية'!$A$6:$A$1005,$C$3))</f>
        <v/>
      </c>
      <c r="O38" s="86" t="str">
        <f aca="false">IF($B38="","",N38*(الموظفون!$N38+الموظفون!$J38*cfg_OT_P)/cfg_DAYS_M/cfg_HRS)</f>
        <v/>
      </c>
      <c r="P38" s="86" t="str">
        <f aca="false">IF($B38="","",SUMIFS('الحركات الشهرية'!$G$6:$G$1005,'الحركات الشهرية'!$B$6:$B$1005,$B38,'الحركات الشهرية'!$A$6:$A$1005,$C$3))</f>
        <v/>
      </c>
      <c r="Q38" s="86" t="str">
        <f aca="false">IF($B38="","",SUMIFS('الحركات الشهرية'!$H$6:$H$1005,'الحركات الشهرية'!$B$6:$B$1005,$B38,'الحركات الشهرية'!$A$6:$A$1005,$C$3))</f>
        <v/>
      </c>
      <c r="R38" s="106" t="str">
        <f aca="false">IF($B38="","",SUM(J38:M38)+SUM(O38:Q38))</f>
        <v/>
      </c>
      <c r="S38" s="86" t="str">
        <f aca="false">IF($B38="","",الموظفون!$Q38*IF(E38="سعودي",cfg_G_SE,cfg_G_NE)*F38/cfg_DAYS_M)</f>
        <v/>
      </c>
      <c r="T38" s="86" t="str">
        <f aca="false">IF($B38="","",SUMIFS('الحركات الشهرية'!$I$6:$I$1005,'الحركات الشهرية'!$B$6:$B$1005,$B38,'الحركات الشهرية'!$A$6:$A$1005,$C$3))</f>
        <v/>
      </c>
      <c r="U38" s="86" t="str">
        <f aca="false">IF($B38="","",SUMIFS('الحركات الشهرية'!$J$6:$J$1005,'الحركات الشهرية'!$B$6:$B$1005,$B38,'الحركات الشهرية'!$A$6:$A$1005,$C$3))</f>
        <v/>
      </c>
      <c r="V38" s="86" t="str">
        <f aca="false">IF($B38="","",SUM(S38:U38))</f>
        <v/>
      </c>
      <c r="W38" s="107" t="str">
        <f aca="false">IF($B38="","",R38-V38)</f>
        <v/>
      </c>
      <c r="X38" s="86" t="str">
        <f aca="false">IF($B38="","",الموظفون!$Q38*IF(E38="سعودي",cfg_G_SR,cfg_G_NR)*F38/cfg_DAYS_M)</f>
        <v/>
      </c>
      <c r="Y38" s="86" t="str">
        <f aca="false">IF($B38="","",الموظفون!$O38*(cfg_EOS_R1*(MIN(AC38,cfg_EOS_TH)-MIN(AD38,cfg_EOS_TH))+cfg_EOS_R2*(MAX(AC38-cfg_EOS_TH,0)-MAX(AD38-cfg_EOS_TH,0))))</f>
        <v/>
      </c>
      <c r="Z38" s="86" t="str">
        <f aca="false">IF($B38="","",IF(الموظفون!$R38&lt;&gt;"",الموظفون!$R38,IF(AC38&gt;=cfg_LV_TH,cfg_LV_D2,cfg_LV_D1))/cfg_DAYS_Y*AE38*الموظفون!$P38/cfg_DAYS_M)</f>
        <v/>
      </c>
      <c r="AA38" s="86" t="str">
        <f aca="false">IF($B38="","",IF(AND(الموظفون!$S38="نعم",N(الموظفون!$U38)&gt;0),الموظفون!$T38/الموظفون!$U38*12/cfg_DAYS_Y*AE38,0))</f>
        <v/>
      </c>
      <c r="AB38" s="108" t="str">
        <f aca="false">IF($B38="","",R38+SUM(X38:AA38))</f>
        <v/>
      </c>
      <c r="AC38" s="109" t="str">
        <f aca="false">IF($B38="","",MAX(0,IF(OR(الموظفون!$X38="",الموظفون!$X38&gt;$G$3),$G$3,الموظفون!$X38)-الموظفون!$H38+1)/cfg_DAYS_Y)</f>
        <v/>
      </c>
      <c r="AD38" s="109" t="str">
        <f aca="false">IF($B38="","",MAX(0,IF(OR(الموظفون!$X38="",الموظفون!$X38&gt;($E$3-1)),($E$3-1),الموظفون!$X38)-الموظفون!$H38+1)/cfg_DAYS_Y)</f>
        <v/>
      </c>
      <c r="AE38" s="51" t="str">
        <f aca="false">IF($B38="","",MAX(0,IF(OR(الموظفون!$X38="",الموظفون!$X38&gt;$G$3),$G$3,الموظفون!$X38)-MAX($E$3,الموظفون!$H38)+1))</f>
        <v/>
      </c>
    </row>
    <row r="39" customFormat="false" ht="15" hidden="false" customHeight="false" outlineLevel="0" collapsed="false">
      <c r="A39" s="89" t="str">
        <f aca="false">IF($B39="","",الموظفون!$A39)</f>
        <v/>
      </c>
      <c r="B39" s="91" t="str">
        <f aca="false">IF(الموظفون!$B39="","",الموظفون!$B39)</f>
        <v/>
      </c>
      <c r="C39" s="91" t="str">
        <f aca="false">IF($B39="","",الموظفون!$C39)</f>
        <v/>
      </c>
      <c r="D39" s="91" t="str">
        <f aca="false">IF($B39="","",الموظفون!$F39)</f>
        <v/>
      </c>
      <c r="E39" s="91" t="str">
        <f aca="false">IF($B39="","",الموظفون!$E39)</f>
        <v/>
      </c>
      <c r="F39" s="110" t="str">
        <f aca="false">IF($B39="","",IF(AE39&gt;=DAY($G$3),cfg_DAYS_M,MIN(AE39,cfg_DAYS_M)))</f>
        <v/>
      </c>
      <c r="G39" s="110" t="str">
        <f aca="false">IF($B39="","",SUMIFS('الحركات الشهرية'!$D$6:$D$1005,'الحركات الشهرية'!$B$6:$B$1005,$B39,'الحركات الشهرية'!$A$6:$A$1005,$C$3))</f>
        <v/>
      </c>
      <c r="H39" s="110" t="str">
        <f aca="false">IF($B39="","",SUMIFS('الحركات الشهرية'!$E$6:$E$1005,'الحركات الشهرية'!$B$6:$B$1005,$B39,'الحركات الشهرية'!$A$6:$A$1005,$C$3))</f>
        <v/>
      </c>
      <c r="I39" s="110" t="str">
        <f aca="false">IF($B39="","",MAX(0,F39-G39-H39))</f>
        <v/>
      </c>
      <c r="J39" s="90" t="str">
        <f aca="false">IF($B39="","",الموظفون!$J39*$I39/cfg_DAYS_M)</f>
        <v/>
      </c>
      <c r="K39" s="90" t="str">
        <f aca="false">IF($B39="","",الموظفون!$K39*$I39/cfg_DAYS_M)</f>
        <v/>
      </c>
      <c r="L39" s="90" t="str">
        <f aca="false">IF($B39="","",الموظفون!$L39*$I39/cfg_DAYS_M)</f>
        <v/>
      </c>
      <c r="M39" s="90" t="str">
        <f aca="false">IF($B39="","",الموظفون!$M39*$I39/cfg_DAYS_M)</f>
        <v/>
      </c>
      <c r="N39" s="110" t="str">
        <f aca="false">IF($B39="","",SUMIFS('الحركات الشهرية'!$F$6:$F$1005,'الحركات الشهرية'!$B$6:$B$1005,$B39,'الحركات الشهرية'!$A$6:$A$1005,$C$3))</f>
        <v/>
      </c>
      <c r="O39" s="90" t="str">
        <f aca="false">IF($B39="","",N39*(الموظفون!$N39+الموظفون!$J39*cfg_OT_P)/cfg_DAYS_M/cfg_HRS)</f>
        <v/>
      </c>
      <c r="P39" s="90" t="str">
        <f aca="false">IF($B39="","",SUMIFS('الحركات الشهرية'!$G$6:$G$1005,'الحركات الشهرية'!$B$6:$B$1005,$B39,'الحركات الشهرية'!$A$6:$A$1005,$C$3))</f>
        <v/>
      </c>
      <c r="Q39" s="90" t="str">
        <f aca="false">IF($B39="","",SUMIFS('الحركات الشهرية'!$H$6:$H$1005,'الحركات الشهرية'!$B$6:$B$1005,$B39,'الحركات الشهرية'!$A$6:$A$1005,$C$3))</f>
        <v/>
      </c>
      <c r="R39" s="111" t="str">
        <f aca="false">IF($B39="","",SUM(J39:M39)+SUM(O39:Q39))</f>
        <v/>
      </c>
      <c r="S39" s="90" t="str">
        <f aca="false">IF($B39="","",الموظفون!$Q39*IF(E39="سعودي",cfg_G_SE,cfg_G_NE)*F39/cfg_DAYS_M)</f>
        <v/>
      </c>
      <c r="T39" s="90" t="str">
        <f aca="false">IF($B39="","",SUMIFS('الحركات الشهرية'!$I$6:$I$1005,'الحركات الشهرية'!$B$6:$B$1005,$B39,'الحركات الشهرية'!$A$6:$A$1005,$C$3))</f>
        <v/>
      </c>
      <c r="U39" s="90" t="str">
        <f aca="false">IF($B39="","",SUMIFS('الحركات الشهرية'!$J$6:$J$1005,'الحركات الشهرية'!$B$6:$B$1005,$B39,'الحركات الشهرية'!$A$6:$A$1005,$C$3))</f>
        <v/>
      </c>
      <c r="V39" s="90" t="str">
        <f aca="false">IF($B39="","",SUM(S39:U39))</f>
        <v/>
      </c>
      <c r="W39" s="112" t="str">
        <f aca="false">IF($B39="","",R39-V39)</f>
        <v/>
      </c>
      <c r="X39" s="90" t="str">
        <f aca="false">IF($B39="","",الموظفون!$Q39*IF(E39="سعودي",cfg_G_SR,cfg_G_NR)*F39/cfg_DAYS_M)</f>
        <v/>
      </c>
      <c r="Y39" s="90" t="str">
        <f aca="false">IF($B39="","",الموظفون!$O39*(cfg_EOS_R1*(MIN(AC39,cfg_EOS_TH)-MIN(AD39,cfg_EOS_TH))+cfg_EOS_R2*(MAX(AC39-cfg_EOS_TH,0)-MAX(AD39-cfg_EOS_TH,0))))</f>
        <v/>
      </c>
      <c r="Z39" s="90" t="str">
        <f aca="false">IF($B39="","",IF(الموظفون!$R39&lt;&gt;"",الموظفون!$R39,IF(AC39&gt;=cfg_LV_TH,cfg_LV_D2,cfg_LV_D1))/cfg_DAYS_Y*AE39*الموظفون!$P39/cfg_DAYS_M)</f>
        <v/>
      </c>
      <c r="AA39" s="90" t="str">
        <f aca="false">IF($B39="","",IF(AND(الموظفون!$S39="نعم",N(الموظفون!$U39)&gt;0),الموظفون!$T39/الموظفون!$U39*12/cfg_DAYS_Y*AE39,0))</f>
        <v/>
      </c>
      <c r="AB39" s="113" t="str">
        <f aca="false">IF($B39="","",R39+SUM(X39:AA39))</f>
        <v/>
      </c>
      <c r="AC39" s="114" t="str">
        <f aca="false">IF($B39="","",MAX(0,IF(OR(الموظفون!$X39="",الموظفون!$X39&gt;$G$3),$G$3,الموظفون!$X39)-الموظفون!$H39+1)/cfg_DAYS_Y)</f>
        <v/>
      </c>
      <c r="AD39" s="114" t="str">
        <f aca="false">IF($B39="","",MAX(0,IF(OR(الموظفون!$X39="",الموظفون!$X39&gt;($E$3-1)),($E$3-1),الموظفون!$X39)-الموظفون!$H39+1)/cfg_DAYS_Y)</f>
        <v/>
      </c>
      <c r="AE39" s="115" t="str">
        <f aca="false">IF($B39="","",MAX(0,IF(OR(الموظفون!$X39="",الموظفون!$X39&gt;$G$3),$G$3,الموظفون!$X39)-MAX($E$3,الموظفون!$H39)+1))</f>
        <v/>
      </c>
    </row>
    <row r="40" customFormat="false" ht="15" hidden="false" customHeight="false" outlineLevel="0" collapsed="false">
      <c r="A40" s="83" t="str">
        <f aca="false">IF($B40="","",الموظفون!$A40)</f>
        <v/>
      </c>
      <c r="B40" s="74" t="str">
        <f aca="false">IF(الموظفون!$B40="","",الموظفون!$B40)</f>
        <v/>
      </c>
      <c r="C40" s="74" t="str">
        <f aca="false">IF($B40="","",الموظفون!$C40)</f>
        <v/>
      </c>
      <c r="D40" s="74" t="str">
        <f aca="false">IF($B40="","",الموظفون!$F40)</f>
        <v/>
      </c>
      <c r="E40" s="74" t="str">
        <f aca="false">IF($B40="","",الموظفون!$E40)</f>
        <v/>
      </c>
      <c r="F40" s="105" t="str">
        <f aca="false">IF($B40="","",IF(AE40&gt;=DAY($G$3),cfg_DAYS_M,MIN(AE40,cfg_DAYS_M)))</f>
        <v/>
      </c>
      <c r="G40" s="105" t="str">
        <f aca="false">IF($B40="","",SUMIFS('الحركات الشهرية'!$D$6:$D$1005,'الحركات الشهرية'!$B$6:$B$1005,$B40,'الحركات الشهرية'!$A$6:$A$1005,$C$3))</f>
        <v/>
      </c>
      <c r="H40" s="105" t="str">
        <f aca="false">IF($B40="","",SUMIFS('الحركات الشهرية'!$E$6:$E$1005,'الحركات الشهرية'!$B$6:$B$1005,$B40,'الحركات الشهرية'!$A$6:$A$1005,$C$3))</f>
        <v/>
      </c>
      <c r="I40" s="105" t="str">
        <f aca="false">IF($B40="","",MAX(0,F40-G40-H40))</f>
        <v/>
      </c>
      <c r="J40" s="86" t="str">
        <f aca="false">IF($B40="","",الموظفون!$J40*$I40/cfg_DAYS_M)</f>
        <v/>
      </c>
      <c r="K40" s="86" t="str">
        <f aca="false">IF($B40="","",الموظفون!$K40*$I40/cfg_DAYS_M)</f>
        <v/>
      </c>
      <c r="L40" s="86" t="str">
        <f aca="false">IF($B40="","",الموظفون!$L40*$I40/cfg_DAYS_M)</f>
        <v/>
      </c>
      <c r="M40" s="86" t="str">
        <f aca="false">IF($B40="","",الموظفون!$M40*$I40/cfg_DAYS_M)</f>
        <v/>
      </c>
      <c r="N40" s="105" t="str">
        <f aca="false">IF($B40="","",SUMIFS('الحركات الشهرية'!$F$6:$F$1005,'الحركات الشهرية'!$B$6:$B$1005,$B40,'الحركات الشهرية'!$A$6:$A$1005,$C$3))</f>
        <v/>
      </c>
      <c r="O40" s="86" t="str">
        <f aca="false">IF($B40="","",N40*(الموظفون!$N40+الموظفون!$J40*cfg_OT_P)/cfg_DAYS_M/cfg_HRS)</f>
        <v/>
      </c>
      <c r="P40" s="86" t="str">
        <f aca="false">IF($B40="","",SUMIFS('الحركات الشهرية'!$G$6:$G$1005,'الحركات الشهرية'!$B$6:$B$1005,$B40,'الحركات الشهرية'!$A$6:$A$1005,$C$3))</f>
        <v/>
      </c>
      <c r="Q40" s="86" t="str">
        <f aca="false">IF($B40="","",SUMIFS('الحركات الشهرية'!$H$6:$H$1005,'الحركات الشهرية'!$B$6:$B$1005,$B40,'الحركات الشهرية'!$A$6:$A$1005,$C$3))</f>
        <v/>
      </c>
      <c r="R40" s="106" t="str">
        <f aca="false">IF($B40="","",SUM(J40:M40)+SUM(O40:Q40))</f>
        <v/>
      </c>
      <c r="S40" s="86" t="str">
        <f aca="false">IF($B40="","",الموظفون!$Q40*IF(E40="سعودي",cfg_G_SE,cfg_G_NE)*F40/cfg_DAYS_M)</f>
        <v/>
      </c>
      <c r="T40" s="86" t="str">
        <f aca="false">IF($B40="","",SUMIFS('الحركات الشهرية'!$I$6:$I$1005,'الحركات الشهرية'!$B$6:$B$1005,$B40,'الحركات الشهرية'!$A$6:$A$1005,$C$3))</f>
        <v/>
      </c>
      <c r="U40" s="86" t="str">
        <f aca="false">IF($B40="","",SUMIFS('الحركات الشهرية'!$J$6:$J$1005,'الحركات الشهرية'!$B$6:$B$1005,$B40,'الحركات الشهرية'!$A$6:$A$1005,$C$3))</f>
        <v/>
      </c>
      <c r="V40" s="86" t="str">
        <f aca="false">IF($B40="","",SUM(S40:U40))</f>
        <v/>
      </c>
      <c r="W40" s="107" t="str">
        <f aca="false">IF($B40="","",R40-V40)</f>
        <v/>
      </c>
      <c r="X40" s="86" t="str">
        <f aca="false">IF($B40="","",الموظفون!$Q40*IF(E40="سعودي",cfg_G_SR,cfg_G_NR)*F40/cfg_DAYS_M)</f>
        <v/>
      </c>
      <c r="Y40" s="86" t="str">
        <f aca="false">IF($B40="","",الموظفون!$O40*(cfg_EOS_R1*(MIN(AC40,cfg_EOS_TH)-MIN(AD40,cfg_EOS_TH))+cfg_EOS_R2*(MAX(AC40-cfg_EOS_TH,0)-MAX(AD40-cfg_EOS_TH,0))))</f>
        <v/>
      </c>
      <c r="Z40" s="86" t="str">
        <f aca="false">IF($B40="","",IF(الموظفون!$R40&lt;&gt;"",الموظفون!$R40,IF(AC40&gt;=cfg_LV_TH,cfg_LV_D2,cfg_LV_D1))/cfg_DAYS_Y*AE40*الموظفون!$P40/cfg_DAYS_M)</f>
        <v/>
      </c>
      <c r="AA40" s="86" t="str">
        <f aca="false">IF($B40="","",IF(AND(الموظفون!$S40="نعم",N(الموظفون!$U40)&gt;0),الموظفون!$T40/الموظفون!$U40*12/cfg_DAYS_Y*AE40,0))</f>
        <v/>
      </c>
      <c r="AB40" s="108" t="str">
        <f aca="false">IF($B40="","",R40+SUM(X40:AA40))</f>
        <v/>
      </c>
      <c r="AC40" s="109" t="str">
        <f aca="false">IF($B40="","",MAX(0,IF(OR(الموظفون!$X40="",الموظفون!$X40&gt;$G$3),$G$3,الموظفون!$X40)-الموظفون!$H40+1)/cfg_DAYS_Y)</f>
        <v/>
      </c>
      <c r="AD40" s="109" t="str">
        <f aca="false">IF($B40="","",MAX(0,IF(OR(الموظفون!$X40="",الموظفون!$X40&gt;($E$3-1)),($E$3-1),الموظفون!$X40)-الموظفون!$H40+1)/cfg_DAYS_Y)</f>
        <v/>
      </c>
      <c r="AE40" s="51" t="str">
        <f aca="false">IF($B40="","",MAX(0,IF(OR(الموظفون!$X40="",الموظفون!$X40&gt;$G$3),$G$3,الموظفون!$X40)-MAX($E$3,الموظفون!$H40)+1))</f>
        <v/>
      </c>
    </row>
    <row r="41" customFormat="false" ht="15" hidden="false" customHeight="false" outlineLevel="0" collapsed="false">
      <c r="A41" s="89" t="str">
        <f aca="false">IF($B41="","",الموظفون!$A41)</f>
        <v/>
      </c>
      <c r="B41" s="91" t="str">
        <f aca="false">IF(الموظفون!$B41="","",الموظفون!$B41)</f>
        <v/>
      </c>
      <c r="C41" s="91" t="str">
        <f aca="false">IF($B41="","",الموظفون!$C41)</f>
        <v/>
      </c>
      <c r="D41" s="91" t="str">
        <f aca="false">IF($B41="","",الموظفون!$F41)</f>
        <v/>
      </c>
      <c r="E41" s="91" t="str">
        <f aca="false">IF($B41="","",الموظفون!$E41)</f>
        <v/>
      </c>
      <c r="F41" s="110" t="str">
        <f aca="false">IF($B41="","",IF(AE41&gt;=DAY($G$3),cfg_DAYS_M,MIN(AE41,cfg_DAYS_M)))</f>
        <v/>
      </c>
      <c r="G41" s="110" t="str">
        <f aca="false">IF($B41="","",SUMIFS('الحركات الشهرية'!$D$6:$D$1005,'الحركات الشهرية'!$B$6:$B$1005,$B41,'الحركات الشهرية'!$A$6:$A$1005,$C$3))</f>
        <v/>
      </c>
      <c r="H41" s="110" t="str">
        <f aca="false">IF($B41="","",SUMIFS('الحركات الشهرية'!$E$6:$E$1005,'الحركات الشهرية'!$B$6:$B$1005,$B41,'الحركات الشهرية'!$A$6:$A$1005,$C$3))</f>
        <v/>
      </c>
      <c r="I41" s="110" t="str">
        <f aca="false">IF($B41="","",MAX(0,F41-G41-H41))</f>
        <v/>
      </c>
      <c r="J41" s="90" t="str">
        <f aca="false">IF($B41="","",الموظفون!$J41*$I41/cfg_DAYS_M)</f>
        <v/>
      </c>
      <c r="K41" s="90" t="str">
        <f aca="false">IF($B41="","",الموظفون!$K41*$I41/cfg_DAYS_M)</f>
        <v/>
      </c>
      <c r="L41" s="90" t="str">
        <f aca="false">IF($B41="","",الموظفون!$L41*$I41/cfg_DAYS_M)</f>
        <v/>
      </c>
      <c r="M41" s="90" t="str">
        <f aca="false">IF($B41="","",الموظفون!$M41*$I41/cfg_DAYS_M)</f>
        <v/>
      </c>
      <c r="N41" s="110" t="str">
        <f aca="false">IF($B41="","",SUMIFS('الحركات الشهرية'!$F$6:$F$1005,'الحركات الشهرية'!$B$6:$B$1005,$B41,'الحركات الشهرية'!$A$6:$A$1005,$C$3))</f>
        <v/>
      </c>
      <c r="O41" s="90" t="str">
        <f aca="false">IF($B41="","",N41*(الموظفون!$N41+الموظفون!$J41*cfg_OT_P)/cfg_DAYS_M/cfg_HRS)</f>
        <v/>
      </c>
      <c r="P41" s="90" t="str">
        <f aca="false">IF($B41="","",SUMIFS('الحركات الشهرية'!$G$6:$G$1005,'الحركات الشهرية'!$B$6:$B$1005,$B41,'الحركات الشهرية'!$A$6:$A$1005,$C$3))</f>
        <v/>
      </c>
      <c r="Q41" s="90" t="str">
        <f aca="false">IF($B41="","",SUMIFS('الحركات الشهرية'!$H$6:$H$1005,'الحركات الشهرية'!$B$6:$B$1005,$B41,'الحركات الشهرية'!$A$6:$A$1005,$C$3))</f>
        <v/>
      </c>
      <c r="R41" s="111" t="str">
        <f aca="false">IF($B41="","",SUM(J41:M41)+SUM(O41:Q41))</f>
        <v/>
      </c>
      <c r="S41" s="90" t="str">
        <f aca="false">IF($B41="","",الموظفون!$Q41*IF(E41="سعودي",cfg_G_SE,cfg_G_NE)*F41/cfg_DAYS_M)</f>
        <v/>
      </c>
      <c r="T41" s="90" t="str">
        <f aca="false">IF($B41="","",SUMIFS('الحركات الشهرية'!$I$6:$I$1005,'الحركات الشهرية'!$B$6:$B$1005,$B41,'الحركات الشهرية'!$A$6:$A$1005,$C$3))</f>
        <v/>
      </c>
      <c r="U41" s="90" t="str">
        <f aca="false">IF($B41="","",SUMIFS('الحركات الشهرية'!$J$6:$J$1005,'الحركات الشهرية'!$B$6:$B$1005,$B41,'الحركات الشهرية'!$A$6:$A$1005,$C$3))</f>
        <v/>
      </c>
      <c r="V41" s="90" t="str">
        <f aca="false">IF($B41="","",SUM(S41:U41))</f>
        <v/>
      </c>
      <c r="W41" s="112" t="str">
        <f aca="false">IF($B41="","",R41-V41)</f>
        <v/>
      </c>
      <c r="X41" s="90" t="str">
        <f aca="false">IF($B41="","",الموظفون!$Q41*IF(E41="سعودي",cfg_G_SR,cfg_G_NR)*F41/cfg_DAYS_M)</f>
        <v/>
      </c>
      <c r="Y41" s="90" t="str">
        <f aca="false">IF($B41="","",الموظفون!$O41*(cfg_EOS_R1*(MIN(AC41,cfg_EOS_TH)-MIN(AD41,cfg_EOS_TH))+cfg_EOS_R2*(MAX(AC41-cfg_EOS_TH,0)-MAX(AD41-cfg_EOS_TH,0))))</f>
        <v/>
      </c>
      <c r="Z41" s="90" t="str">
        <f aca="false">IF($B41="","",IF(الموظفون!$R41&lt;&gt;"",الموظفون!$R41,IF(AC41&gt;=cfg_LV_TH,cfg_LV_D2,cfg_LV_D1))/cfg_DAYS_Y*AE41*الموظفون!$P41/cfg_DAYS_M)</f>
        <v/>
      </c>
      <c r="AA41" s="90" t="str">
        <f aca="false">IF($B41="","",IF(AND(الموظفون!$S41="نعم",N(الموظفون!$U41)&gt;0),الموظفون!$T41/الموظفون!$U41*12/cfg_DAYS_Y*AE41,0))</f>
        <v/>
      </c>
      <c r="AB41" s="113" t="str">
        <f aca="false">IF($B41="","",R41+SUM(X41:AA41))</f>
        <v/>
      </c>
      <c r="AC41" s="114" t="str">
        <f aca="false">IF($B41="","",MAX(0,IF(OR(الموظفون!$X41="",الموظفون!$X41&gt;$G$3),$G$3,الموظفون!$X41)-الموظفون!$H41+1)/cfg_DAYS_Y)</f>
        <v/>
      </c>
      <c r="AD41" s="114" t="str">
        <f aca="false">IF($B41="","",MAX(0,IF(OR(الموظفون!$X41="",الموظفون!$X41&gt;($E$3-1)),($E$3-1),الموظفون!$X41)-الموظفون!$H41+1)/cfg_DAYS_Y)</f>
        <v/>
      </c>
      <c r="AE41" s="115" t="str">
        <f aca="false">IF($B41="","",MAX(0,IF(OR(الموظفون!$X41="",الموظفون!$X41&gt;$G$3),$G$3,الموظفون!$X41)-MAX($E$3,الموظفون!$H41)+1))</f>
        <v/>
      </c>
    </row>
    <row r="42" customFormat="false" ht="15" hidden="false" customHeight="false" outlineLevel="0" collapsed="false">
      <c r="A42" s="83" t="str">
        <f aca="false">IF($B42="","",الموظفون!$A42)</f>
        <v/>
      </c>
      <c r="B42" s="74" t="str">
        <f aca="false">IF(الموظفون!$B42="","",الموظفون!$B42)</f>
        <v/>
      </c>
      <c r="C42" s="74" t="str">
        <f aca="false">IF($B42="","",الموظفون!$C42)</f>
        <v/>
      </c>
      <c r="D42" s="74" t="str">
        <f aca="false">IF($B42="","",الموظفون!$F42)</f>
        <v/>
      </c>
      <c r="E42" s="74" t="str">
        <f aca="false">IF($B42="","",الموظفون!$E42)</f>
        <v/>
      </c>
      <c r="F42" s="105" t="str">
        <f aca="false">IF($B42="","",IF(AE42&gt;=DAY($G$3),cfg_DAYS_M,MIN(AE42,cfg_DAYS_M)))</f>
        <v/>
      </c>
      <c r="G42" s="105" t="str">
        <f aca="false">IF($B42="","",SUMIFS('الحركات الشهرية'!$D$6:$D$1005,'الحركات الشهرية'!$B$6:$B$1005,$B42,'الحركات الشهرية'!$A$6:$A$1005,$C$3))</f>
        <v/>
      </c>
      <c r="H42" s="105" t="str">
        <f aca="false">IF($B42="","",SUMIFS('الحركات الشهرية'!$E$6:$E$1005,'الحركات الشهرية'!$B$6:$B$1005,$B42,'الحركات الشهرية'!$A$6:$A$1005,$C$3))</f>
        <v/>
      </c>
      <c r="I42" s="105" t="str">
        <f aca="false">IF($B42="","",MAX(0,F42-G42-H42))</f>
        <v/>
      </c>
      <c r="J42" s="86" t="str">
        <f aca="false">IF($B42="","",الموظفون!$J42*$I42/cfg_DAYS_M)</f>
        <v/>
      </c>
      <c r="K42" s="86" t="str">
        <f aca="false">IF($B42="","",الموظفون!$K42*$I42/cfg_DAYS_M)</f>
        <v/>
      </c>
      <c r="L42" s="86" t="str">
        <f aca="false">IF($B42="","",الموظفون!$L42*$I42/cfg_DAYS_M)</f>
        <v/>
      </c>
      <c r="M42" s="86" t="str">
        <f aca="false">IF($B42="","",الموظفون!$M42*$I42/cfg_DAYS_M)</f>
        <v/>
      </c>
      <c r="N42" s="105" t="str">
        <f aca="false">IF($B42="","",SUMIFS('الحركات الشهرية'!$F$6:$F$1005,'الحركات الشهرية'!$B$6:$B$1005,$B42,'الحركات الشهرية'!$A$6:$A$1005,$C$3))</f>
        <v/>
      </c>
      <c r="O42" s="86" t="str">
        <f aca="false">IF($B42="","",N42*(الموظفون!$N42+الموظفون!$J42*cfg_OT_P)/cfg_DAYS_M/cfg_HRS)</f>
        <v/>
      </c>
      <c r="P42" s="86" t="str">
        <f aca="false">IF($B42="","",SUMIFS('الحركات الشهرية'!$G$6:$G$1005,'الحركات الشهرية'!$B$6:$B$1005,$B42,'الحركات الشهرية'!$A$6:$A$1005,$C$3))</f>
        <v/>
      </c>
      <c r="Q42" s="86" t="str">
        <f aca="false">IF($B42="","",SUMIFS('الحركات الشهرية'!$H$6:$H$1005,'الحركات الشهرية'!$B$6:$B$1005,$B42,'الحركات الشهرية'!$A$6:$A$1005,$C$3))</f>
        <v/>
      </c>
      <c r="R42" s="106" t="str">
        <f aca="false">IF($B42="","",SUM(J42:M42)+SUM(O42:Q42))</f>
        <v/>
      </c>
      <c r="S42" s="86" t="str">
        <f aca="false">IF($B42="","",الموظفون!$Q42*IF(E42="سعودي",cfg_G_SE,cfg_G_NE)*F42/cfg_DAYS_M)</f>
        <v/>
      </c>
      <c r="T42" s="86" t="str">
        <f aca="false">IF($B42="","",SUMIFS('الحركات الشهرية'!$I$6:$I$1005,'الحركات الشهرية'!$B$6:$B$1005,$B42,'الحركات الشهرية'!$A$6:$A$1005,$C$3))</f>
        <v/>
      </c>
      <c r="U42" s="86" t="str">
        <f aca="false">IF($B42="","",SUMIFS('الحركات الشهرية'!$J$6:$J$1005,'الحركات الشهرية'!$B$6:$B$1005,$B42,'الحركات الشهرية'!$A$6:$A$1005,$C$3))</f>
        <v/>
      </c>
      <c r="V42" s="86" t="str">
        <f aca="false">IF($B42="","",SUM(S42:U42))</f>
        <v/>
      </c>
      <c r="W42" s="107" t="str">
        <f aca="false">IF($B42="","",R42-V42)</f>
        <v/>
      </c>
      <c r="X42" s="86" t="str">
        <f aca="false">IF($B42="","",الموظفون!$Q42*IF(E42="سعودي",cfg_G_SR,cfg_G_NR)*F42/cfg_DAYS_M)</f>
        <v/>
      </c>
      <c r="Y42" s="86" t="str">
        <f aca="false">IF($B42="","",الموظفون!$O42*(cfg_EOS_R1*(MIN(AC42,cfg_EOS_TH)-MIN(AD42,cfg_EOS_TH))+cfg_EOS_R2*(MAX(AC42-cfg_EOS_TH,0)-MAX(AD42-cfg_EOS_TH,0))))</f>
        <v/>
      </c>
      <c r="Z42" s="86" t="str">
        <f aca="false">IF($B42="","",IF(الموظفون!$R42&lt;&gt;"",الموظفون!$R42,IF(AC42&gt;=cfg_LV_TH,cfg_LV_D2,cfg_LV_D1))/cfg_DAYS_Y*AE42*الموظفون!$P42/cfg_DAYS_M)</f>
        <v/>
      </c>
      <c r="AA42" s="86" t="str">
        <f aca="false">IF($B42="","",IF(AND(الموظفون!$S42="نعم",N(الموظفون!$U42)&gt;0),الموظفون!$T42/الموظفون!$U42*12/cfg_DAYS_Y*AE42,0))</f>
        <v/>
      </c>
      <c r="AB42" s="108" t="str">
        <f aca="false">IF($B42="","",R42+SUM(X42:AA42))</f>
        <v/>
      </c>
      <c r="AC42" s="109" t="str">
        <f aca="false">IF($B42="","",MAX(0,IF(OR(الموظفون!$X42="",الموظفون!$X42&gt;$G$3),$G$3,الموظفون!$X42)-الموظفون!$H42+1)/cfg_DAYS_Y)</f>
        <v/>
      </c>
      <c r="AD42" s="109" t="str">
        <f aca="false">IF($B42="","",MAX(0,IF(OR(الموظفون!$X42="",الموظفون!$X42&gt;($E$3-1)),($E$3-1),الموظفون!$X42)-الموظفون!$H42+1)/cfg_DAYS_Y)</f>
        <v/>
      </c>
      <c r="AE42" s="51" t="str">
        <f aca="false">IF($B42="","",MAX(0,IF(OR(الموظفون!$X42="",الموظفون!$X42&gt;$G$3),$G$3,الموظفون!$X42)-MAX($E$3,الموظفون!$H42)+1))</f>
        <v/>
      </c>
    </row>
    <row r="43" customFormat="false" ht="15" hidden="false" customHeight="false" outlineLevel="0" collapsed="false">
      <c r="A43" s="89" t="str">
        <f aca="false">IF($B43="","",الموظفون!$A43)</f>
        <v/>
      </c>
      <c r="B43" s="91" t="str">
        <f aca="false">IF(الموظفون!$B43="","",الموظفون!$B43)</f>
        <v/>
      </c>
      <c r="C43" s="91" t="str">
        <f aca="false">IF($B43="","",الموظفون!$C43)</f>
        <v/>
      </c>
      <c r="D43" s="91" t="str">
        <f aca="false">IF($B43="","",الموظفون!$F43)</f>
        <v/>
      </c>
      <c r="E43" s="91" t="str">
        <f aca="false">IF($B43="","",الموظفون!$E43)</f>
        <v/>
      </c>
      <c r="F43" s="110" t="str">
        <f aca="false">IF($B43="","",IF(AE43&gt;=DAY($G$3),cfg_DAYS_M,MIN(AE43,cfg_DAYS_M)))</f>
        <v/>
      </c>
      <c r="G43" s="110" t="str">
        <f aca="false">IF($B43="","",SUMIFS('الحركات الشهرية'!$D$6:$D$1005,'الحركات الشهرية'!$B$6:$B$1005,$B43,'الحركات الشهرية'!$A$6:$A$1005,$C$3))</f>
        <v/>
      </c>
      <c r="H43" s="110" t="str">
        <f aca="false">IF($B43="","",SUMIFS('الحركات الشهرية'!$E$6:$E$1005,'الحركات الشهرية'!$B$6:$B$1005,$B43,'الحركات الشهرية'!$A$6:$A$1005,$C$3))</f>
        <v/>
      </c>
      <c r="I43" s="110" t="str">
        <f aca="false">IF($B43="","",MAX(0,F43-G43-H43))</f>
        <v/>
      </c>
      <c r="J43" s="90" t="str">
        <f aca="false">IF($B43="","",الموظفون!$J43*$I43/cfg_DAYS_M)</f>
        <v/>
      </c>
      <c r="K43" s="90" t="str">
        <f aca="false">IF($B43="","",الموظفون!$K43*$I43/cfg_DAYS_M)</f>
        <v/>
      </c>
      <c r="L43" s="90" t="str">
        <f aca="false">IF($B43="","",الموظفون!$L43*$I43/cfg_DAYS_M)</f>
        <v/>
      </c>
      <c r="M43" s="90" t="str">
        <f aca="false">IF($B43="","",الموظفون!$M43*$I43/cfg_DAYS_M)</f>
        <v/>
      </c>
      <c r="N43" s="110" t="str">
        <f aca="false">IF($B43="","",SUMIFS('الحركات الشهرية'!$F$6:$F$1005,'الحركات الشهرية'!$B$6:$B$1005,$B43,'الحركات الشهرية'!$A$6:$A$1005,$C$3))</f>
        <v/>
      </c>
      <c r="O43" s="90" t="str">
        <f aca="false">IF($B43="","",N43*(الموظفون!$N43+الموظفون!$J43*cfg_OT_P)/cfg_DAYS_M/cfg_HRS)</f>
        <v/>
      </c>
      <c r="P43" s="90" t="str">
        <f aca="false">IF($B43="","",SUMIFS('الحركات الشهرية'!$G$6:$G$1005,'الحركات الشهرية'!$B$6:$B$1005,$B43,'الحركات الشهرية'!$A$6:$A$1005,$C$3))</f>
        <v/>
      </c>
      <c r="Q43" s="90" t="str">
        <f aca="false">IF($B43="","",SUMIFS('الحركات الشهرية'!$H$6:$H$1005,'الحركات الشهرية'!$B$6:$B$1005,$B43,'الحركات الشهرية'!$A$6:$A$1005,$C$3))</f>
        <v/>
      </c>
      <c r="R43" s="111" t="str">
        <f aca="false">IF($B43="","",SUM(J43:M43)+SUM(O43:Q43))</f>
        <v/>
      </c>
      <c r="S43" s="90" t="str">
        <f aca="false">IF($B43="","",الموظفون!$Q43*IF(E43="سعودي",cfg_G_SE,cfg_G_NE)*F43/cfg_DAYS_M)</f>
        <v/>
      </c>
      <c r="T43" s="90" t="str">
        <f aca="false">IF($B43="","",SUMIFS('الحركات الشهرية'!$I$6:$I$1005,'الحركات الشهرية'!$B$6:$B$1005,$B43,'الحركات الشهرية'!$A$6:$A$1005,$C$3))</f>
        <v/>
      </c>
      <c r="U43" s="90" t="str">
        <f aca="false">IF($B43="","",SUMIFS('الحركات الشهرية'!$J$6:$J$1005,'الحركات الشهرية'!$B$6:$B$1005,$B43,'الحركات الشهرية'!$A$6:$A$1005,$C$3))</f>
        <v/>
      </c>
      <c r="V43" s="90" t="str">
        <f aca="false">IF($B43="","",SUM(S43:U43))</f>
        <v/>
      </c>
      <c r="W43" s="112" t="str">
        <f aca="false">IF($B43="","",R43-V43)</f>
        <v/>
      </c>
      <c r="X43" s="90" t="str">
        <f aca="false">IF($B43="","",الموظفون!$Q43*IF(E43="سعودي",cfg_G_SR,cfg_G_NR)*F43/cfg_DAYS_M)</f>
        <v/>
      </c>
      <c r="Y43" s="90" t="str">
        <f aca="false">IF($B43="","",الموظفون!$O43*(cfg_EOS_R1*(MIN(AC43,cfg_EOS_TH)-MIN(AD43,cfg_EOS_TH))+cfg_EOS_R2*(MAX(AC43-cfg_EOS_TH,0)-MAX(AD43-cfg_EOS_TH,0))))</f>
        <v/>
      </c>
      <c r="Z43" s="90" t="str">
        <f aca="false">IF($B43="","",IF(الموظفون!$R43&lt;&gt;"",الموظفون!$R43,IF(AC43&gt;=cfg_LV_TH,cfg_LV_D2,cfg_LV_D1))/cfg_DAYS_Y*AE43*الموظفون!$P43/cfg_DAYS_M)</f>
        <v/>
      </c>
      <c r="AA43" s="90" t="str">
        <f aca="false">IF($B43="","",IF(AND(الموظفون!$S43="نعم",N(الموظفون!$U43)&gt;0),الموظفون!$T43/الموظفون!$U43*12/cfg_DAYS_Y*AE43,0))</f>
        <v/>
      </c>
      <c r="AB43" s="113" t="str">
        <f aca="false">IF($B43="","",R43+SUM(X43:AA43))</f>
        <v/>
      </c>
      <c r="AC43" s="114" t="str">
        <f aca="false">IF($B43="","",MAX(0,IF(OR(الموظفون!$X43="",الموظفون!$X43&gt;$G$3),$G$3,الموظفون!$X43)-الموظفون!$H43+1)/cfg_DAYS_Y)</f>
        <v/>
      </c>
      <c r="AD43" s="114" t="str">
        <f aca="false">IF($B43="","",MAX(0,IF(OR(الموظفون!$X43="",الموظفون!$X43&gt;($E$3-1)),($E$3-1),الموظفون!$X43)-الموظفون!$H43+1)/cfg_DAYS_Y)</f>
        <v/>
      </c>
      <c r="AE43" s="115" t="str">
        <f aca="false">IF($B43="","",MAX(0,IF(OR(الموظفون!$X43="",الموظفون!$X43&gt;$G$3),$G$3,الموظفون!$X43)-MAX($E$3,الموظفون!$H43)+1))</f>
        <v/>
      </c>
    </row>
    <row r="44" customFormat="false" ht="15" hidden="false" customHeight="false" outlineLevel="0" collapsed="false">
      <c r="A44" s="83" t="str">
        <f aca="false">IF($B44="","",الموظفون!$A44)</f>
        <v/>
      </c>
      <c r="B44" s="74" t="str">
        <f aca="false">IF(الموظفون!$B44="","",الموظفون!$B44)</f>
        <v/>
      </c>
      <c r="C44" s="74" t="str">
        <f aca="false">IF($B44="","",الموظفون!$C44)</f>
        <v/>
      </c>
      <c r="D44" s="74" t="str">
        <f aca="false">IF($B44="","",الموظفون!$F44)</f>
        <v/>
      </c>
      <c r="E44" s="74" t="str">
        <f aca="false">IF($B44="","",الموظفون!$E44)</f>
        <v/>
      </c>
      <c r="F44" s="105" t="str">
        <f aca="false">IF($B44="","",IF(AE44&gt;=DAY($G$3),cfg_DAYS_M,MIN(AE44,cfg_DAYS_M)))</f>
        <v/>
      </c>
      <c r="G44" s="105" t="str">
        <f aca="false">IF($B44="","",SUMIFS('الحركات الشهرية'!$D$6:$D$1005,'الحركات الشهرية'!$B$6:$B$1005,$B44,'الحركات الشهرية'!$A$6:$A$1005,$C$3))</f>
        <v/>
      </c>
      <c r="H44" s="105" t="str">
        <f aca="false">IF($B44="","",SUMIFS('الحركات الشهرية'!$E$6:$E$1005,'الحركات الشهرية'!$B$6:$B$1005,$B44,'الحركات الشهرية'!$A$6:$A$1005,$C$3))</f>
        <v/>
      </c>
      <c r="I44" s="105" t="str">
        <f aca="false">IF($B44="","",MAX(0,F44-G44-H44))</f>
        <v/>
      </c>
      <c r="J44" s="86" t="str">
        <f aca="false">IF($B44="","",الموظفون!$J44*$I44/cfg_DAYS_M)</f>
        <v/>
      </c>
      <c r="K44" s="86" t="str">
        <f aca="false">IF($B44="","",الموظفون!$K44*$I44/cfg_DAYS_M)</f>
        <v/>
      </c>
      <c r="L44" s="86" t="str">
        <f aca="false">IF($B44="","",الموظفون!$L44*$I44/cfg_DAYS_M)</f>
        <v/>
      </c>
      <c r="M44" s="86" t="str">
        <f aca="false">IF($B44="","",الموظفون!$M44*$I44/cfg_DAYS_M)</f>
        <v/>
      </c>
      <c r="N44" s="105" t="str">
        <f aca="false">IF($B44="","",SUMIFS('الحركات الشهرية'!$F$6:$F$1005,'الحركات الشهرية'!$B$6:$B$1005,$B44,'الحركات الشهرية'!$A$6:$A$1005,$C$3))</f>
        <v/>
      </c>
      <c r="O44" s="86" t="str">
        <f aca="false">IF($B44="","",N44*(الموظفون!$N44+الموظفون!$J44*cfg_OT_P)/cfg_DAYS_M/cfg_HRS)</f>
        <v/>
      </c>
      <c r="P44" s="86" t="str">
        <f aca="false">IF($B44="","",SUMIFS('الحركات الشهرية'!$G$6:$G$1005,'الحركات الشهرية'!$B$6:$B$1005,$B44,'الحركات الشهرية'!$A$6:$A$1005,$C$3))</f>
        <v/>
      </c>
      <c r="Q44" s="86" t="str">
        <f aca="false">IF($B44="","",SUMIFS('الحركات الشهرية'!$H$6:$H$1005,'الحركات الشهرية'!$B$6:$B$1005,$B44,'الحركات الشهرية'!$A$6:$A$1005,$C$3))</f>
        <v/>
      </c>
      <c r="R44" s="106" t="str">
        <f aca="false">IF($B44="","",SUM(J44:M44)+SUM(O44:Q44))</f>
        <v/>
      </c>
      <c r="S44" s="86" t="str">
        <f aca="false">IF($B44="","",الموظفون!$Q44*IF(E44="سعودي",cfg_G_SE,cfg_G_NE)*F44/cfg_DAYS_M)</f>
        <v/>
      </c>
      <c r="T44" s="86" t="str">
        <f aca="false">IF($B44="","",SUMIFS('الحركات الشهرية'!$I$6:$I$1005,'الحركات الشهرية'!$B$6:$B$1005,$B44,'الحركات الشهرية'!$A$6:$A$1005,$C$3))</f>
        <v/>
      </c>
      <c r="U44" s="86" t="str">
        <f aca="false">IF($B44="","",SUMIFS('الحركات الشهرية'!$J$6:$J$1005,'الحركات الشهرية'!$B$6:$B$1005,$B44,'الحركات الشهرية'!$A$6:$A$1005,$C$3))</f>
        <v/>
      </c>
      <c r="V44" s="86" t="str">
        <f aca="false">IF($B44="","",SUM(S44:U44))</f>
        <v/>
      </c>
      <c r="W44" s="107" t="str">
        <f aca="false">IF($B44="","",R44-V44)</f>
        <v/>
      </c>
      <c r="X44" s="86" t="str">
        <f aca="false">IF($B44="","",الموظفون!$Q44*IF(E44="سعودي",cfg_G_SR,cfg_G_NR)*F44/cfg_DAYS_M)</f>
        <v/>
      </c>
      <c r="Y44" s="86" t="str">
        <f aca="false">IF($B44="","",الموظفون!$O44*(cfg_EOS_R1*(MIN(AC44,cfg_EOS_TH)-MIN(AD44,cfg_EOS_TH))+cfg_EOS_R2*(MAX(AC44-cfg_EOS_TH,0)-MAX(AD44-cfg_EOS_TH,0))))</f>
        <v/>
      </c>
      <c r="Z44" s="86" t="str">
        <f aca="false">IF($B44="","",IF(الموظفون!$R44&lt;&gt;"",الموظفون!$R44,IF(AC44&gt;=cfg_LV_TH,cfg_LV_D2,cfg_LV_D1))/cfg_DAYS_Y*AE44*الموظفون!$P44/cfg_DAYS_M)</f>
        <v/>
      </c>
      <c r="AA44" s="86" t="str">
        <f aca="false">IF($B44="","",IF(AND(الموظفون!$S44="نعم",N(الموظفون!$U44)&gt;0),الموظفون!$T44/الموظفون!$U44*12/cfg_DAYS_Y*AE44,0))</f>
        <v/>
      </c>
      <c r="AB44" s="108" t="str">
        <f aca="false">IF($B44="","",R44+SUM(X44:AA44))</f>
        <v/>
      </c>
      <c r="AC44" s="109" t="str">
        <f aca="false">IF($B44="","",MAX(0,IF(OR(الموظفون!$X44="",الموظفون!$X44&gt;$G$3),$G$3,الموظفون!$X44)-الموظفون!$H44+1)/cfg_DAYS_Y)</f>
        <v/>
      </c>
      <c r="AD44" s="109" t="str">
        <f aca="false">IF($B44="","",MAX(0,IF(OR(الموظفون!$X44="",الموظفون!$X44&gt;($E$3-1)),($E$3-1),الموظفون!$X44)-الموظفون!$H44+1)/cfg_DAYS_Y)</f>
        <v/>
      </c>
      <c r="AE44" s="51" t="str">
        <f aca="false">IF($B44="","",MAX(0,IF(OR(الموظفون!$X44="",الموظفون!$X44&gt;$G$3),$G$3,الموظفون!$X44)-MAX($E$3,الموظفون!$H44)+1))</f>
        <v/>
      </c>
    </row>
    <row r="45" customFormat="false" ht="15" hidden="false" customHeight="false" outlineLevel="0" collapsed="false">
      <c r="A45" s="89" t="str">
        <f aca="false">IF($B45="","",الموظفون!$A45)</f>
        <v/>
      </c>
      <c r="B45" s="91" t="str">
        <f aca="false">IF(الموظفون!$B45="","",الموظفون!$B45)</f>
        <v/>
      </c>
      <c r="C45" s="91" t="str">
        <f aca="false">IF($B45="","",الموظفون!$C45)</f>
        <v/>
      </c>
      <c r="D45" s="91" t="str">
        <f aca="false">IF($B45="","",الموظفون!$F45)</f>
        <v/>
      </c>
      <c r="E45" s="91" t="str">
        <f aca="false">IF($B45="","",الموظفون!$E45)</f>
        <v/>
      </c>
      <c r="F45" s="110" t="str">
        <f aca="false">IF($B45="","",IF(AE45&gt;=DAY($G$3),cfg_DAYS_M,MIN(AE45,cfg_DAYS_M)))</f>
        <v/>
      </c>
      <c r="G45" s="110" t="str">
        <f aca="false">IF($B45="","",SUMIFS('الحركات الشهرية'!$D$6:$D$1005,'الحركات الشهرية'!$B$6:$B$1005,$B45,'الحركات الشهرية'!$A$6:$A$1005,$C$3))</f>
        <v/>
      </c>
      <c r="H45" s="110" t="str">
        <f aca="false">IF($B45="","",SUMIFS('الحركات الشهرية'!$E$6:$E$1005,'الحركات الشهرية'!$B$6:$B$1005,$B45,'الحركات الشهرية'!$A$6:$A$1005,$C$3))</f>
        <v/>
      </c>
      <c r="I45" s="110" t="str">
        <f aca="false">IF($B45="","",MAX(0,F45-G45-H45))</f>
        <v/>
      </c>
      <c r="J45" s="90" t="str">
        <f aca="false">IF($B45="","",الموظفون!$J45*$I45/cfg_DAYS_M)</f>
        <v/>
      </c>
      <c r="K45" s="90" t="str">
        <f aca="false">IF($B45="","",الموظفون!$K45*$I45/cfg_DAYS_M)</f>
        <v/>
      </c>
      <c r="L45" s="90" t="str">
        <f aca="false">IF($B45="","",الموظفون!$L45*$I45/cfg_DAYS_M)</f>
        <v/>
      </c>
      <c r="M45" s="90" t="str">
        <f aca="false">IF($B45="","",الموظفون!$M45*$I45/cfg_DAYS_M)</f>
        <v/>
      </c>
      <c r="N45" s="110" t="str">
        <f aca="false">IF($B45="","",SUMIFS('الحركات الشهرية'!$F$6:$F$1005,'الحركات الشهرية'!$B$6:$B$1005,$B45,'الحركات الشهرية'!$A$6:$A$1005,$C$3))</f>
        <v/>
      </c>
      <c r="O45" s="90" t="str">
        <f aca="false">IF($B45="","",N45*(الموظفون!$N45+الموظفون!$J45*cfg_OT_P)/cfg_DAYS_M/cfg_HRS)</f>
        <v/>
      </c>
      <c r="P45" s="90" t="str">
        <f aca="false">IF($B45="","",SUMIFS('الحركات الشهرية'!$G$6:$G$1005,'الحركات الشهرية'!$B$6:$B$1005,$B45,'الحركات الشهرية'!$A$6:$A$1005,$C$3))</f>
        <v/>
      </c>
      <c r="Q45" s="90" t="str">
        <f aca="false">IF($B45="","",SUMIFS('الحركات الشهرية'!$H$6:$H$1005,'الحركات الشهرية'!$B$6:$B$1005,$B45,'الحركات الشهرية'!$A$6:$A$1005,$C$3))</f>
        <v/>
      </c>
      <c r="R45" s="111" t="str">
        <f aca="false">IF($B45="","",SUM(J45:M45)+SUM(O45:Q45))</f>
        <v/>
      </c>
      <c r="S45" s="90" t="str">
        <f aca="false">IF($B45="","",الموظفون!$Q45*IF(E45="سعودي",cfg_G_SE,cfg_G_NE)*F45/cfg_DAYS_M)</f>
        <v/>
      </c>
      <c r="T45" s="90" t="str">
        <f aca="false">IF($B45="","",SUMIFS('الحركات الشهرية'!$I$6:$I$1005,'الحركات الشهرية'!$B$6:$B$1005,$B45,'الحركات الشهرية'!$A$6:$A$1005,$C$3))</f>
        <v/>
      </c>
      <c r="U45" s="90" t="str">
        <f aca="false">IF($B45="","",SUMIFS('الحركات الشهرية'!$J$6:$J$1005,'الحركات الشهرية'!$B$6:$B$1005,$B45,'الحركات الشهرية'!$A$6:$A$1005,$C$3))</f>
        <v/>
      </c>
      <c r="V45" s="90" t="str">
        <f aca="false">IF($B45="","",SUM(S45:U45))</f>
        <v/>
      </c>
      <c r="W45" s="112" t="str">
        <f aca="false">IF($B45="","",R45-V45)</f>
        <v/>
      </c>
      <c r="X45" s="90" t="str">
        <f aca="false">IF($B45="","",الموظفون!$Q45*IF(E45="سعودي",cfg_G_SR,cfg_G_NR)*F45/cfg_DAYS_M)</f>
        <v/>
      </c>
      <c r="Y45" s="90" t="str">
        <f aca="false">IF($B45="","",الموظفون!$O45*(cfg_EOS_R1*(MIN(AC45,cfg_EOS_TH)-MIN(AD45,cfg_EOS_TH))+cfg_EOS_R2*(MAX(AC45-cfg_EOS_TH,0)-MAX(AD45-cfg_EOS_TH,0))))</f>
        <v/>
      </c>
      <c r="Z45" s="90" t="str">
        <f aca="false">IF($B45="","",IF(الموظفون!$R45&lt;&gt;"",الموظفون!$R45,IF(AC45&gt;=cfg_LV_TH,cfg_LV_D2,cfg_LV_D1))/cfg_DAYS_Y*AE45*الموظفون!$P45/cfg_DAYS_M)</f>
        <v/>
      </c>
      <c r="AA45" s="90" t="str">
        <f aca="false">IF($B45="","",IF(AND(الموظفون!$S45="نعم",N(الموظفون!$U45)&gt;0),الموظفون!$T45/الموظفون!$U45*12/cfg_DAYS_Y*AE45,0))</f>
        <v/>
      </c>
      <c r="AB45" s="113" t="str">
        <f aca="false">IF($B45="","",R45+SUM(X45:AA45))</f>
        <v/>
      </c>
      <c r="AC45" s="114" t="str">
        <f aca="false">IF($B45="","",MAX(0,IF(OR(الموظفون!$X45="",الموظفون!$X45&gt;$G$3),$G$3,الموظفون!$X45)-الموظفون!$H45+1)/cfg_DAYS_Y)</f>
        <v/>
      </c>
      <c r="AD45" s="114" t="str">
        <f aca="false">IF($B45="","",MAX(0,IF(OR(الموظفون!$X45="",الموظفون!$X45&gt;($E$3-1)),($E$3-1),الموظفون!$X45)-الموظفون!$H45+1)/cfg_DAYS_Y)</f>
        <v/>
      </c>
      <c r="AE45" s="115" t="str">
        <f aca="false">IF($B45="","",MAX(0,IF(OR(الموظفون!$X45="",الموظفون!$X45&gt;$G$3),$G$3,الموظفون!$X45)-MAX($E$3,الموظفون!$H45)+1))</f>
        <v/>
      </c>
    </row>
    <row r="46" customFormat="false" ht="15" hidden="false" customHeight="false" outlineLevel="0" collapsed="false">
      <c r="A46" s="83" t="str">
        <f aca="false">IF($B46="","",الموظفون!$A46)</f>
        <v/>
      </c>
      <c r="B46" s="74" t="str">
        <f aca="false">IF(الموظفون!$B46="","",الموظفون!$B46)</f>
        <v/>
      </c>
      <c r="C46" s="74" t="str">
        <f aca="false">IF($B46="","",الموظفون!$C46)</f>
        <v/>
      </c>
      <c r="D46" s="74" t="str">
        <f aca="false">IF($B46="","",الموظفون!$F46)</f>
        <v/>
      </c>
      <c r="E46" s="74" t="str">
        <f aca="false">IF($B46="","",الموظفون!$E46)</f>
        <v/>
      </c>
      <c r="F46" s="105" t="str">
        <f aca="false">IF($B46="","",IF(AE46&gt;=DAY($G$3),cfg_DAYS_M,MIN(AE46,cfg_DAYS_M)))</f>
        <v/>
      </c>
      <c r="G46" s="105" t="str">
        <f aca="false">IF($B46="","",SUMIFS('الحركات الشهرية'!$D$6:$D$1005,'الحركات الشهرية'!$B$6:$B$1005,$B46,'الحركات الشهرية'!$A$6:$A$1005,$C$3))</f>
        <v/>
      </c>
      <c r="H46" s="105" t="str">
        <f aca="false">IF($B46="","",SUMIFS('الحركات الشهرية'!$E$6:$E$1005,'الحركات الشهرية'!$B$6:$B$1005,$B46,'الحركات الشهرية'!$A$6:$A$1005,$C$3))</f>
        <v/>
      </c>
      <c r="I46" s="105" t="str">
        <f aca="false">IF($B46="","",MAX(0,F46-G46-H46))</f>
        <v/>
      </c>
      <c r="J46" s="86" t="str">
        <f aca="false">IF($B46="","",الموظفون!$J46*$I46/cfg_DAYS_M)</f>
        <v/>
      </c>
      <c r="K46" s="86" t="str">
        <f aca="false">IF($B46="","",الموظفون!$K46*$I46/cfg_DAYS_M)</f>
        <v/>
      </c>
      <c r="L46" s="86" t="str">
        <f aca="false">IF($B46="","",الموظفون!$L46*$I46/cfg_DAYS_M)</f>
        <v/>
      </c>
      <c r="M46" s="86" t="str">
        <f aca="false">IF($B46="","",الموظفون!$M46*$I46/cfg_DAYS_M)</f>
        <v/>
      </c>
      <c r="N46" s="105" t="str">
        <f aca="false">IF($B46="","",SUMIFS('الحركات الشهرية'!$F$6:$F$1005,'الحركات الشهرية'!$B$6:$B$1005,$B46,'الحركات الشهرية'!$A$6:$A$1005,$C$3))</f>
        <v/>
      </c>
      <c r="O46" s="86" t="str">
        <f aca="false">IF($B46="","",N46*(الموظفون!$N46+الموظفون!$J46*cfg_OT_P)/cfg_DAYS_M/cfg_HRS)</f>
        <v/>
      </c>
      <c r="P46" s="86" t="str">
        <f aca="false">IF($B46="","",SUMIFS('الحركات الشهرية'!$G$6:$G$1005,'الحركات الشهرية'!$B$6:$B$1005,$B46,'الحركات الشهرية'!$A$6:$A$1005,$C$3))</f>
        <v/>
      </c>
      <c r="Q46" s="86" t="str">
        <f aca="false">IF($B46="","",SUMIFS('الحركات الشهرية'!$H$6:$H$1005,'الحركات الشهرية'!$B$6:$B$1005,$B46,'الحركات الشهرية'!$A$6:$A$1005,$C$3))</f>
        <v/>
      </c>
      <c r="R46" s="106" t="str">
        <f aca="false">IF($B46="","",SUM(J46:M46)+SUM(O46:Q46))</f>
        <v/>
      </c>
      <c r="S46" s="86" t="str">
        <f aca="false">IF($B46="","",الموظفون!$Q46*IF(E46="سعودي",cfg_G_SE,cfg_G_NE)*F46/cfg_DAYS_M)</f>
        <v/>
      </c>
      <c r="T46" s="86" t="str">
        <f aca="false">IF($B46="","",SUMIFS('الحركات الشهرية'!$I$6:$I$1005,'الحركات الشهرية'!$B$6:$B$1005,$B46,'الحركات الشهرية'!$A$6:$A$1005,$C$3))</f>
        <v/>
      </c>
      <c r="U46" s="86" t="str">
        <f aca="false">IF($B46="","",SUMIFS('الحركات الشهرية'!$J$6:$J$1005,'الحركات الشهرية'!$B$6:$B$1005,$B46,'الحركات الشهرية'!$A$6:$A$1005,$C$3))</f>
        <v/>
      </c>
      <c r="V46" s="86" t="str">
        <f aca="false">IF($B46="","",SUM(S46:U46))</f>
        <v/>
      </c>
      <c r="W46" s="107" t="str">
        <f aca="false">IF($B46="","",R46-V46)</f>
        <v/>
      </c>
      <c r="X46" s="86" t="str">
        <f aca="false">IF($B46="","",الموظفون!$Q46*IF(E46="سعودي",cfg_G_SR,cfg_G_NR)*F46/cfg_DAYS_M)</f>
        <v/>
      </c>
      <c r="Y46" s="86" t="str">
        <f aca="false">IF($B46="","",الموظفون!$O46*(cfg_EOS_R1*(MIN(AC46,cfg_EOS_TH)-MIN(AD46,cfg_EOS_TH))+cfg_EOS_R2*(MAX(AC46-cfg_EOS_TH,0)-MAX(AD46-cfg_EOS_TH,0))))</f>
        <v/>
      </c>
      <c r="Z46" s="86" t="str">
        <f aca="false">IF($B46="","",IF(الموظفون!$R46&lt;&gt;"",الموظفون!$R46,IF(AC46&gt;=cfg_LV_TH,cfg_LV_D2,cfg_LV_D1))/cfg_DAYS_Y*AE46*الموظفون!$P46/cfg_DAYS_M)</f>
        <v/>
      </c>
      <c r="AA46" s="86" t="str">
        <f aca="false">IF($B46="","",IF(AND(الموظفون!$S46="نعم",N(الموظفون!$U46)&gt;0),الموظفون!$T46/الموظفون!$U46*12/cfg_DAYS_Y*AE46,0))</f>
        <v/>
      </c>
      <c r="AB46" s="108" t="str">
        <f aca="false">IF($B46="","",R46+SUM(X46:AA46))</f>
        <v/>
      </c>
      <c r="AC46" s="109" t="str">
        <f aca="false">IF($B46="","",MAX(0,IF(OR(الموظفون!$X46="",الموظفون!$X46&gt;$G$3),$G$3,الموظفون!$X46)-الموظفون!$H46+1)/cfg_DAYS_Y)</f>
        <v/>
      </c>
      <c r="AD46" s="109" t="str">
        <f aca="false">IF($B46="","",MAX(0,IF(OR(الموظفون!$X46="",الموظفون!$X46&gt;($E$3-1)),($E$3-1),الموظفون!$X46)-الموظفون!$H46+1)/cfg_DAYS_Y)</f>
        <v/>
      </c>
      <c r="AE46" s="51" t="str">
        <f aca="false">IF($B46="","",MAX(0,IF(OR(الموظفون!$X46="",الموظفون!$X46&gt;$G$3),$G$3,الموظفون!$X46)-MAX($E$3,الموظفون!$H46)+1))</f>
        <v/>
      </c>
    </row>
    <row r="47" customFormat="false" ht="15" hidden="false" customHeight="false" outlineLevel="0" collapsed="false">
      <c r="A47" s="89" t="str">
        <f aca="false">IF($B47="","",الموظفون!$A47)</f>
        <v/>
      </c>
      <c r="B47" s="91" t="str">
        <f aca="false">IF(الموظفون!$B47="","",الموظفون!$B47)</f>
        <v/>
      </c>
      <c r="C47" s="91" t="str">
        <f aca="false">IF($B47="","",الموظفون!$C47)</f>
        <v/>
      </c>
      <c r="D47" s="91" t="str">
        <f aca="false">IF($B47="","",الموظفون!$F47)</f>
        <v/>
      </c>
      <c r="E47" s="91" t="str">
        <f aca="false">IF($B47="","",الموظفون!$E47)</f>
        <v/>
      </c>
      <c r="F47" s="110" t="str">
        <f aca="false">IF($B47="","",IF(AE47&gt;=DAY($G$3),cfg_DAYS_M,MIN(AE47,cfg_DAYS_M)))</f>
        <v/>
      </c>
      <c r="G47" s="110" t="str">
        <f aca="false">IF($B47="","",SUMIFS('الحركات الشهرية'!$D$6:$D$1005,'الحركات الشهرية'!$B$6:$B$1005,$B47,'الحركات الشهرية'!$A$6:$A$1005,$C$3))</f>
        <v/>
      </c>
      <c r="H47" s="110" t="str">
        <f aca="false">IF($B47="","",SUMIFS('الحركات الشهرية'!$E$6:$E$1005,'الحركات الشهرية'!$B$6:$B$1005,$B47,'الحركات الشهرية'!$A$6:$A$1005,$C$3))</f>
        <v/>
      </c>
      <c r="I47" s="110" t="str">
        <f aca="false">IF($B47="","",MAX(0,F47-G47-H47))</f>
        <v/>
      </c>
      <c r="J47" s="90" t="str">
        <f aca="false">IF($B47="","",الموظفون!$J47*$I47/cfg_DAYS_M)</f>
        <v/>
      </c>
      <c r="K47" s="90" t="str">
        <f aca="false">IF($B47="","",الموظفون!$K47*$I47/cfg_DAYS_M)</f>
        <v/>
      </c>
      <c r="L47" s="90" t="str">
        <f aca="false">IF($B47="","",الموظفون!$L47*$I47/cfg_DAYS_M)</f>
        <v/>
      </c>
      <c r="M47" s="90" t="str">
        <f aca="false">IF($B47="","",الموظفون!$M47*$I47/cfg_DAYS_M)</f>
        <v/>
      </c>
      <c r="N47" s="110" t="str">
        <f aca="false">IF($B47="","",SUMIFS('الحركات الشهرية'!$F$6:$F$1005,'الحركات الشهرية'!$B$6:$B$1005,$B47,'الحركات الشهرية'!$A$6:$A$1005,$C$3))</f>
        <v/>
      </c>
      <c r="O47" s="90" t="str">
        <f aca="false">IF($B47="","",N47*(الموظفون!$N47+الموظفون!$J47*cfg_OT_P)/cfg_DAYS_M/cfg_HRS)</f>
        <v/>
      </c>
      <c r="P47" s="90" t="str">
        <f aca="false">IF($B47="","",SUMIFS('الحركات الشهرية'!$G$6:$G$1005,'الحركات الشهرية'!$B$6:$B$1005,$B47,'الحركات الشهرية'!$A$6:$A$1005,$C$3))</f>
        <v/>
      </c>
      <c r="Q47" s="90" t="str">
        <f aca="false">IF($B47="","",SUMIFS('الحركات الشهرية'!$H$6:$H$1005,'الحركات الشهرية'!$B$6:$B$1005,$B47,'الحركات الشهرية'!$A$6:$A$1005,$C$3))</f>
        <v/>
      </c>
      <c r="R47" s="111" t="str">
        <f aca="false">IF($B47="","",SUM(J47:M47)+SUM(O47:Q47))</f>
        <v/>
      </c>
      <c r="S47" s="90" t="str">
        <f aca="false">IF($B47="","",الموظفون!$Q47*IF(E47="سعودي",cfg_G_SE,cfg_G_NE)*F47/cfg_DAYS_M)</f>
        <v/>
      </c>
      <c r="T47" s="90" t="str">
        <f aca="false">IF($B47="","",SUMIFS('الحركات الشهرية'!$I$6:$I$1005,'الحركات الشهرية'!$B$6:$B$1005,$B47,'الحركات الشهرية'!$A$6:$A$1005,$C$3))</f>
        <v/>
      </c>
      <c r="U47" s="90" t="str">
        <f aca="false">IF($B47="","",SUMIFS('الحركات الشهرية'!$J$6:$J$1005,'الحركات الشهرية'!$B$6:$B$1005,$B47,'الحركات الشهرية'!$A$6:$A$1005,$C$3))</f>
        <v/>
      </c>
      <c r="V47" s="90" t="str">
        <f aca="false">IF($B47="","",SUM(S47:U47))</f>
        <v/>
      </c>
      <c r="W47" s="112" t="str">
        <f aca="false">IF($B47="","",R47-V47)</f>
        <v/>
      </c>
      <c r="X47" s="90" t="str">
        <f aca="false">IF($B47="","",الموظفون!$Q47*IF(E47="سعودي",cfg_G_SR,cfg_G_NR)*F47/cfg_DAYS_M)</f>
        <v/>
      </c>
      <c r="Y47" s="90" t="str">
        <f aca="false">IF($B47="","",الموظفون!$O47*(cfg_EOS_R1*(MIN(AC47,cfg_EOS_TH)-MIN(AD47,cfg_EOS_TH))+cfg_EOS_R2*(MAX(AC47-cfg_EOS_TH,0)-MAX(AD47-cfg_EOS_TH,0))))</f>
        <v/>
      </c>
      <c r="Z47" s="90" t="str">
        <f aca="false">IF($B47="","",IF(الموظفون!$R47&lt;&gt;"",الموظفون!$R47,IF(AC47&gt;=cfg_LV_TH,cfg_LV_D2,cfg_LV_D1))/cfg_DAYS_Y*AE47*الموظفون!$P47/cfg_DAYS_M)</f>
        <v/>
      </c>
      <c r="AA47" s="90" t="str">
        <f aca="false">IF($B47="","",IF(AND(الموظفون!$S47="نعم",N(الموظفون!$U47)&gt;0),الموظفون!$T47/الموظفون!$U47*12/cfg_DAYS_Y*AE47,0))</f>
        <v/>
      </c>
      <c r="AB47" s="113" t="str">
        <f aca="false">IF($B47="","",R47+SUM(X47:AA47))</f>
        <v/>
      </c>
      <c r="AC47" s="114" t="str">
        <f aca="false">IF($B47="","",MAX(0,IF(OR(الموظفون!$X47="",الموظفون!$X47&gt;$G$3),$G$3,الموظفون!$X47)-الموظفون!$H47+1)/cfg_DAYS_Y)</f>
        <v/>
      </c>
      <c r="AD47" s="114" t="str">
        <f aca="false">IF($B47="","",MAX(0,IF(OR(الموظفون!$X47="",الموظفون!$X47&gt;($E$3-1)),($E$3-1),الموظفون!$X47)-الموظفون!$H47+1)/cfg_DAYS_Y)</f>
        <v/>
      </c>
      <c r="AE47" s="115" t="str">
        <f aca="false">IF($B47="","",MAX(0,IF(OR(الموظفون!$X47="",الموظفون!$X47&gt;$G$3),$G$3,الموظفون!$X47)-MAX($E$3,الموظفون!$H47)+1))</f>
        <v/>
      </c>
    </row>
    <row r="48" customFormat="false" ht="15" hidden="false" customHeight="false" outlineLevel="0" collapsed="false">
      <c r="A48" s="83" t="str">
        <f aca="false">IF($B48="","",الموظفون!$A48)</f>
        <v/>
      </c>
      <c r="B48" s="74" t="str">
        <f aca="false">IF(الموظفون!$B48="","",الموظفون!$B48)</f>
        <v/>
      </c>
      <c r="C48" s="74" t="str">
        <f aca="false">IF($B48="","",الموظفون!$C48)</f>
        <v/>
      </c>
      <c r="D48" s="74" t="str">
        <f aca="false">IF($B48="","",الموظفون!$F48)</f>
        <v/>
      </c>
      <c r="E48" s="74" t="str">
        <f aca="false">IF($B48="","",الموظفون!$E48)</f>
        <v/>
      </c>
      <c r="F48" s="105" t="str">
        <f aca="false">IF($B48="","",IF(AE48&gt;=DAY($G$3),cfg_DAYS_M,MIN(AE48,cfg_DAYS_M)))</f>
        <v/>
      </c>
      <c r="G48" s="105" t="str">
        <f aca="false">IF($B48="","",SUMIFS('الحركات الشهرية'!$D$6:$D$1005,'الحركات الشهرية'!$B$6:$B$1005,$B48,'الحركات الشهرية'!$A$6:$A$1005,$C$3))</f>
        <v/>
      </c>
      <c r="H48" s="105" t="str">
        <f aca="false">IF($B48="","",SUMIFS('الحركات الشهرية'!$E$6:$E$1005,'الحركات الشهرية'!$B$6:$B$1005,$B48,'الحركات الشهرية'!$A$6:$A$1005,$C$3))</f>
        <v/>
      </c>
      <c r="I48" s="105" t="str">
        <f aca="false">IF($B48="","",MAX(0,F48-G48-H48))</f>
        <v/>
      </c>
      <c r="J48" s="86" t="str">
        <f aca="false">IF($B48="","",الموظفون!$J48*$I48/cfg_DAYS_M)</f>
        <v/>
      </c>
      <c r="K48" s="86" t="str">
        <f aca="false">IF($B48="","",الموظفون!$K48*$I48/cfg_DAYS_M)</f>
        <v/>
      </c>
      <c r="L48" s="86" t="str">
        <f aca="false">IF($B48="","",الموظفون!$L48*$I48/cfg_DAYS_M)</f>
        <v/>
      </c>
      <c r="M48" s="86" t="str">
        <f aca="false">IF($B48="","",الموظفون!$M48*$I48/cfg_DAYS_M)</f>
        <v/>
      </c>
      <c r="N48" s="105" t="str">
        <f aca="false">IF($B48="","",SUMIFS('الحركات الشهرية'!$F$6:$F$1005,'الحركات الشهرية'!$B$6:$B$1005,$B48,'الحركات الشهرية'!$A$6:$A$1005,$C$3))</f>
        <v/>
      </c>
      <c r="O48" s="86" t="str">
        <f aca="false">IF($B48="","",N48*(الموظفون!$N48+الموظفون!$J48*cfg_OT_P)/cfg_DAYS_M/cfg_HRS)</f>
        <v/>
      </c>
      <c r="P48" s="86" t="str">
        <f aca="false">IF($B48="","",SUMIFS('الحركات الشهرية'!$G$6:$G$1005,'الحركات الشهرية'!$B$6:$B$1005,$B48,'الحركات الشهرية'!$A$6:$A$1005,$C$3))</f>
        <v/>
      </c>
      <c r="Q48" s="86" t="str">
        <f aca="false">IF($B48="","",SUMIFS('الحركات الشهرية'!$H$6:$H$1005,'الحركات الشهرية'!$B$6:$B$1005,$B48,'الحركات الشهرية'!$A$6:$A$1005,$C$3))</f>
        <v/>
      </c>
      <c r="R48" s="106" t="str">
        <f aca="false">IF($B48="","",SUM(J48:M48)+SUM(O48:Q48))</f>
        <v/>
      </c>
      <c r="S48" s="86" t="str">
        <f aca="false">IF($B48="","",الموظفون!$Q48*IF(E48="سعودي",cfg_G_SE,cfg_G_NE)*F48/cfg_DAYS_M)</f>
        <v/>
      </c>
      <c r="T48" s="86" t="str">
        <f aca="false">IF($B48="","",SUMIFS('الحركات الشهرية'!$I$6:$I$1005,'الحركات الشهرية'!$B$6:$B$1005,$B48,'الحركات الشهرية'!$A$6:$A$1005,$C$3))</f>
        <v/>
      </c>
      <c r="U48" s="86" t="str">
        <f aca="false">IF($B48="","",SUMIFS('الحركات الشهرية'!$J$6:$J$1005,'الحركات الشهرية'!$B$6:$B$1005,$B48,'الحركات الشهرية'!$A$6:$A$1005,$C$3))</f>
        <v/>
      </c>
      <c r="V48" s="86" t="str">
        <f aca="false">IF($B48="","",SUM(S48:U48))</f>
        <v/>
      </c>
      <c r="W48" s="107" t="str">
        <f aca="false">IF($B48="","",R48-V48)</f>
        <v/>
      </c>
      <c r="X48" s="86" t="str">
        <f aca="false">IF($B48="","",الموظفون!$Q48*IF(E48="سعودي",cfg_G_SR,cfg_G_NR)*F48/cfg_DAYS_M)</f>
        <v/>
      </c>
      <c r="Y48" s="86" t="str">
        <f aca="false">IF($B48="","",الموظفون!$O48*(cfg_EOS_R1*(MIN(AC48,cfg_EOS_TH)-MIN(AD48,cfg_EOS_TH))+cfg_EOS_R2*(MAX(AC48-cfg_EOS_TH,0)-MAX(AD48-cfg_EOS_TH,0))))</f>
        <v/>
      </c>
      <c r="Z48" s="86" t="str">
        <f aca="false">IF($B48="","",IF(الموظفون!$R48&lt;&gt;"",الموظفون!$R48,IF(AC48&gt;=cfg_LV_TH,cfg_LV_D2,cfg_LV_D1))/cfg_DAYS_Y*AE48*الموظفون!$P48/cfg_DAYS_M)</f>
        <v/>
      </c>
      <c r="AA48" s="86" t="str">
        <f aca="false">IF($B48="","",IF(AND(الموظفون!$S48="نعم",N(الموظفون!$U48)&gt;0),الموظفون!$T48/الموظفون!$U48*12/cfg_DAYS_Y*AE48,0))</f>
        <v/>
      </c>
      <c r="AB48" s="108" t="str">
        <f aca="false">IF($B48="","",R48+SUM(X48:AA48))</f>
        <v/>
      </c>
      <c r="AC48" s="109" t="str">
        <f aca="false">IF($B48="","",MAX(0,IF(OR(الموظفون!$X48="",الموظفون!$X48&gt;$G$3),$G$3,الموظفون!$X48)-الموظفون!$H48+1)/cfg_DAYS_Y)</f>
        <v/>
      </c>
      <c r="AD48" s="109" t="str">
        <f aca="false">IF($B48="","",MAX(0,IF(OR(الموظفون!$X48="",الموظفون!$X48&gt;($E$3-1)),($E$3-1),الموظفون!$X48)-الموظفون!$H48+1)/cfg_DAYS_Y)</f>
        <v/>
      </c>
      <c r="AE48" s="51" t="str">
        <f aca="false">IF($B48="","",MAX(0,IF(OR(الموظفون!$X48="",الموظفون!$X48&gt;$G$3),$G$3,الموظفون!$X48)-MAX($E$3,الموظفون!$H48)+1))</f>
        <v/>
      </c>
    </row>
    <row r="49" customFormat="false" ht="15" hidden="false" customHeight="false" outlineLevel="0" collapsed="false">
      <c r="A49" s="89" t="str">
        <f aca="false">IF($B49="","",الموظفون!$A49)</f>
        <v/>
      </c>
      <c r="B49" s="91" t="str">
        <f aca="false">IF(الموظفون!$B49="","",الموظفون!$B49)</f>
        <v/>
      </c>
      <c r="C49" s="91" t="str">
        <f aca="false">IF($B49="","",الموظفون!$C49)</f>
        <v/>
      </c>
      <c r="D49" s="91" t="str">
        <f aca="false">IF($B49="","",الموظفون!$F49)</f>
        <v/>
      </c>
      <c r="E49" s="91" t="str">
        <f aca="false">IF($B49="","",الموظفون!$E49)</f>
        <v/>
      </c>
      <c r="F49" s="110" t="str">
        <f aca="false">IF($B49="","",IF(AE49&gt;=DAY($G$3),cfg_DAYS_M,MIN(AE49,cfg_DAYS_M)))</f>
        <v/>
      </c>
      <c r="G49" s="110" t="str">
        <f aca="false">IF($B49="","",SUMIFS('الحركات الشهرية'!$D$6:$D$1005,'الحركات الشهرية'!$B$6:$B$1005,$B49,'الحركات الشهرية'!$A$6:$A$1005,$C$3))</f>
        <v/>
      </c>
      <c r="H49" s="110" t="str">
        <f aca="false">IF($B49="","",SUMIFS('الحركات الشهرية'!$E$6:$E$1005,'الحركات الشهرية'!$B$6:$B$1005,$B49,'الحركات الشهرية'!$A$6:$A$1005,$C$3))</f>
        <v/>
      </c>
      <c r="I49" s="110" t="str">
        <f aca="false">IF($B49="","",MAX(0,F49-G49-H49))</f>
        <v/>
      </c>
      <c r="J49" s="90" t="str">
        <f aca="false">IF($B49="","",الموظفون!$J49*$I49/cfg_DAYS_M)</f>
        <v/>
      </c>
      <c r="K49" s="90" t="str">
        <f aca="false">IF($B49="","",الموظفون!$K49*$I49/cfg_DAYS_M)</f>
        <v/>
      </c>
      <c r="L49" s="90" t="str">
        <f aca="false">IF($B49="","",الموظفون!$L49*$I49/cfg_DAYS_M)</f>
        <v/>
      </c>
      <c r="M49" s="90" t="str">
        <f aca="false">IF($B49="","",الموظفون!$M49*$I49/cfg_DAYS_M)</f>
        <v/>
      </c>
      <c r="N49" s="110" t="str">
        <f aca="false">IF($B49="","",SUMIFS('الحركات الشهرية'!$F$6:$F$1005,'الحركات الشهرية'!$B$6:$B$1005,$B49,'الحركات الشهرية'!$A$6:$A$1005,$C$3))</f>
        <v/>
      </c>
      <c r="O49" s="90" t="str">
        <f aca="false">IF($B49="","",N49*(الموظفون!$N49+الموظفون!$J49*cfg_OT_P)/cfg_DAYS_M/cfg_HRS)</f>
        <v/>
      </c>
      <c r="P49" s="90" t="str">
        <f aca="false">IF($B49="","",SUMIFS('الحركات الشهرية'!$G$6:$G$1005,'الحركات الشهرية'!$B$6:$B$1005,$B49,'الحركات الشهرية'!$A$6:$A$1005,$C$3))</f>
        <v/>
      </c>
      <c r="Q49" s="90" t="str">
        <f aca="false">IF($B49="","",SUMIFS('الحركات الشهرية'!$H$6:$H$1005,'الحركات الشهرية'!$B$6:$B$1005,$B49,'الحركات الشهرية'!$A$6:$A$1005,$C$3))</f>
        <v/>
      </c>
      <c r="R49" s="111" t="str">
        <f aca="false">IF($B49="","",SUM(J49:M49)+SUM(O49:Q49))</f>
        <v/>
      </c>
      <c r="S49" s="90" t="str">
        <f aca="false">IF($B49="","",الموظفون!$Q49*IF(E49="سعودي",cfg_G_SE,cfg_G_NE)*F49/cfg_DAYS_M)</f>
        <v/>
      </c>
      <c r="T49" s="90" t="str">
        <f aca="false">IF($B49="","",SUMIFS('الحركات الشهرية'!$I$6:$I$1005,'الحركات الشهرية'!$B$6:$B$1005,$B49,'الحركات الشهرية'!$A$6:$A$1005,$C$3))</f>
        <v/>
      </c>
      <c r="U49" s="90" t="str">
        <f aca="false">IF($B49="","",SUMIFS('الحركات الشهرية'!$J$6:$J$1005,'الحركات الشهرية'!$B$6:$B$1005,$B49,'الحركات الشهرية'!$A$6:$A$1005,$C$3))</f>
        <v/>
      </c>
      <c r="V49" s="90" t="str">
        <f aca="false">IF($B49="","",SUM(S49:U49))</f>
        <v/>
      </c>
      <c r="W49" s="112" t="str">
        <f aca="false">IF($B49="","",R49-V49)</f>
        <v/>
      </c>
      <c r="X49" s="90" t="str">
        <f aca="false">IF($B49="","",الموظفون!$Q49*IF(E49="سعودي",cfg_G_SR,cfg_G_NR)*F49/cfg_DAYS_M)</f>
        <v/>
      </c>
      <c r="Y49" s="90" t="str">
        <f aca="false">IF($B49="","",الموظفون!$O49*(cfg_EOS_R1*(MIN(AC49,cfg_EOS_TH)-MIN(AD49,cfg_EOS_TH))+cfg_EOS_R2*(MAX(AC49-cfg_EOS_TH,0)-MAX(AD49-cfg_EOS_TH,0))))</f>
        <v/>
      </c>
      <c r="Z49" s="90" t="str">
        <f aca="false">IF($B49="","",IF(الموظفون!$R49&lt;&gt;"",الموظفون!$R49,IF(AC49&gt;=cfg_LV_TH,cfg_LV_D2,cfg_LV_D1))/cfg_DAYS_Y*AE49*الموظفون!$P49/cfg_DAYS_M)</f>
        <v/>
      </c>
      <c r="AA49" s="90" t="str">
        <f aca="false">IF($B49="","",IF(AND(الموظفون!$S49="نعم",N(الموظفون!$U49)&gt;0),الموظفون!$T49/الموظفون!$U49*12/cfg_DAYS_Y*AE49,0))</f>
        <v/>
      </c>
      <c r="AB49" s="113" t="str">
        <f aca="false">IF($B49="","",R49+SUM(X49:AA49))</f>
        <v/>
      </c>
      <c r="AC49" s="114" t="str">
        <f aca="false">IF($B49="","",MAX(0,IF(OR(الموظفون!$X49="",الموظفون!$X49&gt;$G$3),$G$3,الموظفون!$X49)-الموظفون!$H49+1)/cfg_DAYS_Y)</f>
        <v/>
      </c>
      <c r="AD49" s="114" t="str">
        <f aca="false">IF($B49="","",MAX(0,IF(OR(الموظفون!$X49="",الموظفون!$X49&gt;($E$3-1)),($E$3-1),الموظفون!$X49)-الموظفون!$H49+1)/cfg_DAYS_Y)</f>
        <v/>
      </c>
      <c r="AE49" s="115" t="str">
        <f aca="false">IF($B49="","",MAX(0,IF(OR(الموظفون!$X49="",الموظفون!$X49&gt;$G$3),$G$3,الموظفون!$X49)-MAX($E$3,الموظفون!$H49)+1))</f>
        <v/>
      </c>
    </row>
    <row r="50" customFormat="false" ht="15" hidden="false" customHeight="false" outlineLevel="0" collapsed="false">
      <c r="A50" s="83" t="str">
        <f aca="false">IF($B50="","",الموظفون!$A50)</f>
        <v/>
      </c>
      <c r="B50" s="74" t="str">
        <f aca="false">IF(الموظفون!$B50="","",الموظفون!$B50)</f>
        <v/>
      </c>
      <c r="C50" s="74" t="str">
        <f aca="false">IF($B50="","",الموظفون!$C50)</f>
        <v/>
      </c>
      <c r="D50" s="74" t="str">
        <f aca="false">IF($B50="","",الموظفون!$F50)</f>
        <v/>
      </c>
      <c r="E50" s="74" t="str">
        <f aca="false">IF($B50="","",الموظفون!$E50)</f>
        <v/>
      </c>
      <c r="F50" s="105" t="str">
        <f aca="false">IF($B50="","",IF(AE50&gt;=DAY($G$3),cfg_DAYS_M,MIN(AE50,cfg_DAYS_M)))</f>
        <v/>
      </c>
      <c r="G50" s="105" t="str">
        <f aca="false">IF($B50="","",SUMIFS('الحركات الشهرية'!$D$6:$D$1005,'الحركات الشهرية'!$B$6:$B$1005,$B50,'الحركات الشهرية'!$A$6:$A$1005,$C$3))</f>
        <v/>
      </c>
      <c r="H50" s="105" t="str">
        <f aca="false">IF($B50="","",SUMIFS('الحركات الشهرية'!$E$6:$E$1005,'الحركات الشهرية'!$B$6:$B$1005,$B50,'الحركات الشهرية'!$A$6:$A$1005,$C$3))</f>
        <v/>
      </c>
      <c r="I50" s="105" t="str">
        <f aca="false">IF($B50="","",MAX(0,F50-G50-H50))</f>
        <v/>
      </c>
      <c r="J50" s="86" t="str">
        <f aca="false">IF($B50="","",الموظفون!$J50*$I50/cfg_DAYS_M)</f>
        <v/>
      </c>
      <c r="K50" s="86" t="str">
        <f aca="false">IF($B50="","",الموظفون!$K50*$I50/cfg_DAYS_M)</f>
        <v/>
      </c>
      <c r="L50" s="86" t="str">
        <f aca="false">IF($B50="","",الموظفون!$L50*$I50/cfg_DAYS_M)</f>
        <v/>
      </c>
      <c r="M50" s="86" t="str">
        <f aca="false">IF($B50="","",الموظفون!$M50*$I50/cfg_DAYS_M)</f>
        <v/>
      </c>
      <c r="N50" s="105" t="str">
        <f aca="false">IF($B50="","",SUMIFS('الحركات الشهرية'!$F$6:$F$1005,'الحركات الشهرية'!$B$6:$B$1005,$B50,'الحركات الشهرية'!$A$6:$A$1005,$C$3))</f>
        <v/>
      </c>
      <c r="O50" s="86" t="str">
        <f aca="false">IF($B50="","",N50*(الموظفون!$N50+الموظفون!$J50*cfg_OT_P)/cfg_DAYS_M/cfg_HRS)</f>
        <v/>
      </c>
      <c r="P50" s="86" t="str">
        <f aca="false">IF($B50="","",SUMIFS('الحركات الشهرية'!$G$6:$G$1005,'الحركات الشهرية'!$B$6:$B$1005,$B50,'الحركات الشهرية'!$A$6:$A$1005,$C$3))</f>
        <v/>
      </c>
      <c r="Q50" s="86" t="str">
        <f aca="false">IF($B50="","",SUMIFS('الحركات الشهرية'!$H$6:$H$1005,'الحركات الشهرية'!$B$6:$B$1005,$B50,'الحركات الشهرية'!$A$6:$A$1005,$C$3))</f>
        <v/>
      </c>
      <c r="R50" s="106" t="str">
        <f aca="false">IF($B50="","",SUM(J50:M50)+SUM(O50:Q50))</f>
        <v/>
      </c>
      <c r="S50" s="86" t="str">
        <f aca="false">IF($B50="","",الموظفون!$Q50*IF(E50="سعودي",cfg_G_SE,cfg_G_NE)*F50/cfg_DAYS_M)</f>
        <v/>
      </c>
      <c r="T50" s="86" t="str">
        <f aca="false">IF($B50="","",SUMIFS('الحركات الشهرية'!$I$6:$I$1005,'الحركات الشهرية'!$B$6:$B$1005,$B50,'الحركات الشهرية'!$A$6:$A$1005,$C$3))</f>
        <v/>
      </c>
      <c r="U50" s="86" t="str">
        <f aca="false">IF($B50="","",SUMIFS('الحركات الشهرية'!$J$6:$J$1005,'الحركات الشهرية'!$B$6:$B$1005,$B50,'الحركات الشهرية'!$A$6:$A$1005,$C$3))</f>
        <v/>
      </c>
      <c r="V50" s="86" t="str">
        <f aca="false">IF($B50="","",SUM(S50:U50))</f>
        <v/>
      </c>
      <c r="W50" s="107" t="str">
        <f aca="false">IF($B50="","",R50-V50)</f>
        <v/>
      </c>
      <c r="X50" s="86" t="str">
        <f aca="false">IF($B50="","",الموظفون!$Q50*IF(E50="سعودي",cfg_G_SR,cfg_G_NR)*F50/cfg_DAYS_M)</f>
        <v/>
      </c>
      <c r="Y50" s="86" t="str">
        <f aca="false">IF($B50="","",الموظفون!$O50*(cfg_EOS_R1*(MIN(AC50,cfg_EOS_TH)-MIN(AD50,cfg_EOS_TH))+cfg_EOS_R2*(MAX(AC50-cfg_EOS_TH,0)-MAX(AD50-cfg_EOS_TH,0))))</f>
        <v/>
      </c>
      <c r="Z50" s="86" t="str">
        <f aca="false">IF($B50="","",IF(الموظفون!$R50&lt;&gt;"",الموظفون!$R50,IF(AC50&gt;=cfg_LV_TH,cfg_LV_D2,cfg_LV_D1))/cfg_DAYS_Y*AE50*الموظفون!$P50/cfg_DAYS_M)</f>
        <v/>
      </c>
      <c r="AA50" s="86" t="str">
        <f aca="false">IF($B50="","",IF(AND(الموظفون!$S50="نعم",N(الموظفون!$U50)&gt;0),الموظفون!$T50/الموظفون!$U50*12/cfg_DAYS_Y*AE50,0))</f>
        <v/>
      </c>
      <c r="AB50" s="108" t="str">
        <f aca="false">IF($B50="","",R50+SUM(X50:AA50))</f>
        <v/>
      </c>
      <c r="AC50" s="109" t="str">
        <f aca="false">IF($B50="","",MAX(0,IF(OR(الموظفون!$X50="",الموظفون!$X50&gt;$G$3),$G$3,الموظفون!$X50)-الموظفون!$H50+1)/cfg_DAYS_Y)</f>
        <v/>
      </c>
      <c r="AD50" s="109" t="str">
        <f aca="false">IF($B50="","",MAX(0,IF(OR(الموظفون!$X50="",الموظفون!$X50&gt;($E$3-1)),($E$3-1),الموظفون!$X50)-الموظفون!$H50+1)/cfg_DAYS_Y)</f>
        <v/>
      </c>
      <c r="AE50" s="51" t="str">
        <f aca="false">IF($B50="","",MAX(0,IF(OR(الموظفون!$X50="",الموظفون!$X50&gt;$G$3),$G$3,الموظفون!$X50)-MAX($E$3,الموظفون!$H50)+1))</f>
        <v/>
      </c>
    </row>
    <row r="51" customFormat="false" ht="15" hidden="false" customHeight="false" outlineLevel="0" collapsed="false">
      <c r="A51" s="89" t="str">
        <f aca="false">IF($B51="","",الموظفون!$A51)</f>
        <v/>
      </c>
      <c r="B51" s="91" t="str">
        <f aca="false">IF(الموظفون!$B51="","",الموظفون!$B51)</f>
        <v/>
      </c>
      <c r="C51" s="91" t="str">
        <f aca="false">IF($B51="","",الموظفون!$C51)</f>
        <v/>
      </c>
      <c r="D51" s="91" t="str">
        <f aca="false">IF($B51="","",الموظفون!$F51)</f>
        <v/>
      </c>
      <c r="E51" s="91" t="str">
        <f aca="false">IF($B51="","",الموظفون!$E51)</f>
        <v/>
      </c>
      <c r="F51" s="110" t="str">
        <f aca="false">IF($B51="","",IF(AE51&gt;=DAY($G$3),cfg_DAYS_M,MIN(AE51,cfg_DAYS_M)))</f>
        <v/>
      </c>
      <c r="G51" s="110" t="str">
        <f aca="false">IF($B51="","",SUMIFS('الحركات الشهرية'!$D$6:$D$1005,'الحركات الشهرية'!$B$6:$B$1005,$B51,'الحركات الشهرية'!$A$6:$A$1005,$C$3))</f>
        <v/>
      </c>
      <c r="H51" s="110" t="str">
        <f aca="false">IF($B51="","",SUMIFS('الحركات الشهرية'!$E$6:$E$1005,'الحركات الشهرية'!$B$6:$B$1005,$B51,'الحركات الشهرية'!$A$6:$A$1005,$C$3))</f>
        <v/>
      </c>
      <c r="I51" s="110" t="str">
        <f aca="false">IF($B51="","",MAX(0,F51-G51-H51))</f>
        <v/>
      </c>
      <c r="J51" s="90" t="str">
        <f aca="false">IF($B51="","",الموظفون!$J51*$I51/cfg_DAYS_M)</f>
        <v/>
      </c>
      <c r="K51" s="90" t="str">
        <f aca="false">IF($B51="","",الموظفون!$K51*$I51/cfg_DAYS_M)</f>
        <v/>
      </c>
      <c r="L51" s="90" t="str">
        <f aca="false">IF($B51="","",الموظفون!$L51*$I51/cfg_DAYS_M)</f>
        <v/>
      </c>
      <c r="M51" s="90" t="str">
        <f aca="false">IF($B51="","",الموظفون!$M51*$I51/cfg_DAYS_M)</f>
        <v/>
      </c>
      <c r="N51" s="110" t="str">
        <f aca="false">IF($B51="","",SUMIFS('الحركات الشهرية'!$F$6:$F$1005,'الحركات الشهرية'!$B$6:$B$1005,$B51,'الحركات الشهرية'!$A$6:$A$1005,$C$3))</f>
        <v/>
      </c>
      <c r="O51" s="90" t="str">
        <f aca="false">IF($B51="","",N51*(الموظفون!$N51+الموظفون!$J51*cfg_OT_P)/cfg_DAYS_M/cfg_HRS)</f>
        <v/>
      </c>
      <c r="P51" s="90" t="str">
        <f aca="false">IF($B51="","",SUMIFS('الحركات الشهرية'!$G$6:$G$1005,'الحركات الشهرية'!$B$6:$B$1005,$B51,'الحركات الشهرية'!$A$6:$A$1005,$C$3))</f>
        <v/>
      </c>
      <c r="Q51" s="90" t="str">
        <f aca="false">IF($B51="","",SUMIFS('الحركات الشهرية'!$H$6:$H$1005,'الحركات الشهرية'!$B$6:$B$1005,$B51,'الحركات الشهرية'!$A$6:$A$1005,$C$3))</f>
        <v/>
      </c>
      <c r="R51" s="111" t="str">
        <f aca="false">IF($B51="","",SUM(J51:M51)+SUM(O51:Q51))</f>
        <v/>
      </c>
      <c r="S51" s="90" t="str">
        <f aca="false">IF($B51="","",الموظفون!$Q51*IF(E51="سعودي",cfg_G_SE,cfg_G_NE)*F51/cfg_DAYS_M)</f>
        <v/>
      </c>
      <c r="T51" s="90" t="str">
        <f aca="false">IF($B51="","",SUMIFS('الحركات الشهرية'!$I$6:$I$1005,'الحركات الشهرية'!$B$6:$B$1005,$B51,'الحركات الشهرية'!$A$6:$A$1005,$C$3))</f>
        <v/>
      </c>
      <c r="U51" s="90" t="str">
        <f aca="false">IF($B51="","",SUMIFS('الحركات الشهرية'!$J$6:$J$1005,'الحركات الشهرية'!$B$6:$B$1005,$B51,'الحركات الشهرية'!$A$6:$A$1005,$C$3))</f>
        <v/>
      </c>
      <c r="V51" s="90" t="str">
        <f aca="false">IF($B51="","",SUM(S51:U51))</f>
        <v/>
      </c>
      <c r="W51" s="112" t="str">
        <f aca="false">IF($B51="","",R51-V51)</f>
        <v/>
      </c>
      <c r="X51" s="90" t="str">
        <f aca="false">IF($B51="","",الموظفون!$Q51*IF(E51="سعودي",cfg_G_SR,cfg_G_NR)*F51/cfg_DAYS_M)</f>
        <v/>
      </c>
      <c r="Y51" s="90" t="str">
        <f aca="false">IF($B51="","",الموظفون!$O51*(cfg_EOS_R1*(MIN(AC51,cfg_EOS_TH)-MIN(AD51,cfg_EOS_TH))+cfg_EOS_R2*(MAX(AC51-cfg_EOS_TH,0)-MAX(AD51-cfg_EOS_TH,0))))</f>
        <v/>
      </c>
      <c r="Z51" s="90" t="str">
        <f aca="false">IF($B51="","",IF(الموظفون!$R51&lt;&gt;"",الموظفون!$R51,IF(AC51&gt;=cfg_LV_TH,cfg_LV_D2,cfg_LV_D1))/cfg_DAYS_Y*AE51*الموظفون!$P51/cfg_DAYS_M)</f>
        <v/>
      </c>
      <c r="AA51" s="90" t="str">
        <f aca="false">IF($B51="","",IF(AND(الموظفون!$S51="نعم",N(الموظفون!$U51)&gt;0),الموظفون!$T51/الموظفون!$U51*12/cfg_DAYS_Y*AE51,0))</f>
        <v/>
      </c>
      <c r="AB51" s="113" t="str">
        <f aca="false">IF($B51="","",R51+SUM(X51:AA51))</f>
        <v/>
      </c>
      <c r="AC51" s="114" t="str">
        <f aca="false">IF($B51="","",MAX(0,IF(OR(الموظفون!$X51="",الموظفون!$X51&gt;$G$3),$G$3,الموظفون!$X51)-الموظفون!$H51+1)/cfg_DAYS_Y)</f>
        <v/>
      </c>
      <c r="AD51" s="114" t="str">
        <f aca="false">IF($B51="","",MAX(0,IF(OR(الموظفون!$X51="",الموظفون!$X51&gt;($E$3-1)),($E$3-1),الموظفون!$X51)-الموظفون!$H51+1)/cfg_DAYS_Y)</f>
        <v/>
      </c>
      <c r="AE51" s="115" t="str">
        <f aca="false">IF($B51="","",MAX(0,IF(OR(الموظفون!$X51="",الموظفون!$X51&gt;$G$3),$G$3,الموظفون!$X51)-MAX($E$3,الموظفون!$H51)+1))</f>
        <v/>
      </c>
    </row>
    <row r="52" customFormat="false" ht="15" hidden="false" customHeight="false" outlineLevel="0" collapsed="false">
      <c r="A52" s="83" t="str">
        <f aca="false">IF($B52="","",الموظفون!$A52)</f>
        <v/>
      </c>
      <c r="B52" s="74" t="str">
        <f aca="false">IF(الموظفون!$B52="","",الموظفون!$B52)</f>
        <v/>
      </c>
      <c r="C52" s="74" t="str">
        <f aca="false">IF($B52="","",الموظفون!$C52)</f>
        <v/>
      </c>
      <c r="D52" s="74" t="str">
        <f aca="false">IF($B52="","",الموظفون!$F52)</f>
        <v/>
      </c>
      <c r="E52" s="74" t="str">
        <f aca="false">IF($B52="","",الموظفون!$E52)</f>
        <v/>
      </c>
      <c r="F52" s="105" t="str">
        <f aca="false">IF($B52="","",IF(AE52&gt;=DAY($G$3),cfg_DAYS_M,MIN(AE52,cfg_DAYS_M)))</f>
        <v/>
      </c>
      <c r="G52" s="105" t="str">
        <f aca="false">IF($B52="","",SUMIFS('الحركات الشهرية'!$D$6:$D$1005,'الحركات الشهرية'!$B$6:$B$1005,$B52,'الحركات الشهرية'!$A$6:$A$1005,$C$3))</f>
        <v/>
      </c>
      <c r="H52" s="105" t="str">
        <f aca="false">IF($B52="","",SUMIFS('الحركات الشهرية'!$E$6:$E$1005,'الحركات الشهرية'!$B$6:$B$1005,$B52,'الحركات الشهرية'!$A$6:$A$1005,$C$3))</f>
        <v/>
      </c>
      <c r="I52" s="105" t="str">
        <f aca="false">IF($B52="","",MAX(0,F52-G52-H52))</f>
        <v/>
      </c>
      <c r="J52" s="86" t="str">
        <f aca="false">IF($B52="","",الموظفون!$J52*$I52/cfg_DAYS_M)</f>
        <v/>
      </c>
      <c r="K52" s="86" t="str">
        <f aca="false">IF($B52="","",الموظفون!$K52*$I52/cfg_DAYS_M)</f>
        <v/>
      </c>
      <c r="L52" s="86" t="str">
        <f aca="false">IF($B52="","",الموظفون!$L52*$I52/cfg_DAYS_M)</f>
        <v/>
      </c>
      <c r="M52" s="86" t="str">
        <f aca="false">IF($B52="","",الموظفون!$M52*$I52/cfg_DAYS_M)</f>
        <v/>
      </c>
      <c r="N52" s="105" t="str">
        <f aca="false">IF($B52="","",SUMIFS('الحركات الشهرية'!$F$6:$F$1005,'الحركات الشهرية'!$B$6:$B$1005,$B52,'الحركات الشهرية'!$A$6:$A$1005,$C$3))</f>
        <v/>
      </c>
      <c r="O52" s="86" t="str">
        <f aca="false">IF($B52="","",N52*(الموظفون!$N52+الموظفون!$J52*cfg_OT_P)/cfg_DAYS_M/cfg_HRS)</f>
        <v/>
      </c>
      <c r="P52" s="86" t="str">
        <f aca="false">IF($B52="","",SUMIFS('الحركات الشهرية'!$G$6:$G$1005,'الحركات الشهرية'!$B$6:$B$1005,$B52,'الحركات الشهرية'!$A$6:$A$1005,$C$3))</f>
        <v/>
      </c>
      <c r="Q52" s="86" t="str">
        <f aca="false">IF($B52="","",SUMIFS('الحركات الشهرية'!$H$6:$H$1005,'الحركات الشهرية'!$B$6:$B$1005,$B52,'الحركات الشهرية'!$A$6:$A$1005,$C$3))</f>
        <v/>
      </c>
      <c r="R52" s="106" t="str">
        <f aca="false">IF($B52="","",SUM(J52:M52)+SUM(O52:Q52))</f>
        <v/>
      </c>
      <c r="S52" s="86" t="str">
        <f aca="false">IF($B52="","",الموظفون!$Q52*IF(E52="سعودي",cfg_G_SE,cfg_G_NE)*F52/cfg_DAYS_M)</f>
        <v/>
      </c>
      <c r="T52" s="86" t="str">
        <f aca="false">IF($B52="","",SUMIFS('الحركات الشهرية'!$I$6:$I$1005,'الحركات الشهرية'!$B$6:$B$1005,$B52,'الحركات الشهرية'!$A$6:$A$1005,$C$3))</f>
        <v/>
      </c>
      <c r="U52" s="86" t="str">
        <f aca="false">IF($B52="","",SUMIFS('الحركات الشهرية'!$J$6:$J$1005,'الحركات الشهرية'!$B$6:$B$1005,$B52,'الحركات الشهرية'!$A$6:$A$1005,$C$3))</f>
        <v/>
      </c>
      <c r="V52" s="86" t="str">
        <f aca="false">IF($B52="","",SUM(S52:U52))</f>
        <v/>
      </c>
      <c r="W52" s="107" t="str">
        <f aca="false">IF($B52="","",R52-V52)</f>
        <v/>
      </c>
      <c r="X52" s="86" t="str">
        <f aca="false">IF($B52="","",الموظفون!$Q52*IF(E52="سعودي",cfg_G_SR,cfg_G_NR)*F52/cfg_DAYS_M)</f>
        <v/>
      </c>
      <c r="Y52" s="86" t="str">
        <f aca="false">IF($B52="","",الموظفون!$O52*(cfg_EOS_R1*(MIN(AC52,cfg_EOS_TH)-MIN(AD52,cfg_EOS_TH))+cfg_EOS_R2*(MAX(AC52-cfg_EOS_TH,0)-MAX(AD52-cfg_EOS_TH,0))))</f>
        <v/>
      </c>
      <c r="Z52" s="86" t="str">
        <f aca="false">IF($B52="","",IF(الموظفون!$R52&lt;&gt;"",الموظفون!$R52,IF(AC52&gt;=cfg_LV_TH,cfg_LV_D2,cfg_LV_D1))/cfg_DAYS_Y*AE52*الموظفون!$P52/cfg_DAYS_M)</f>
        <v/>
      </c>
      <c r="AA52" s="86" t="str">
        <f aca="false">IF($B52="","",IF(AND(الموظفون!$S52="نعم",N(الموظفون!$U52)&gt;0),الموظفون!$T52/الموظفون!$U52*12/cfg_DAYS_Y*AE52,0))</f>
        <v/>
      </c>
      <c r="AB52" s="108" t="str">
        <f aca="false">IF($B52="","",R52+SUM(X52:AA52))</f>
        <v/>
      </c>
      <c r="AC52" s="109" t="str">
        <f aca="false">IF($B52="","",MAX(0,IF(OR(الموظفون!$X52="",الموظفون!$X52&gt;$G$3),$G$3,الموظفون!$X52)-الموظفون!$H52+1)/cfg_DAYS_Y)</f>
        <v/>
      </c>
      <c r="AD52" s="109" t="str">
        <f aca="false">IF($B52="","",MAX(0,IF(OR(الموظفون!$X52="",الموظفون!$X52&gt;($E$3-1)),($E$3-1),الموظفون!$X52)-الموظفون!$H52+1)/cfg_DAYS_Y)</f>
        <v/>
      </c>
      <c r="AE52" s="51" t="str">
        <f aca="false">IF($B52="","",MAX(0,IF(OR(الموظفون!$X52="",الموظفون!$X52&gt;$G$3),$G$3,الموظفون!$X52)-MAX($E$3,الموظفون!$H52)+1))</f>
        <v/>
      </c>
    </row>
    <row r="53" customFormat="false" ht="15" hidden="false" customHeight="false" outlineLevel="0" collapsed="false">
      <c r="A53" s="89" t="str">
        <f aca="false">IF($B53="","",الموظفون!$A53)</f>
        <v/>
      </c>
      <c r="B53" s="91" t="str">
        <f aca="false">IF(الموظفون!$B53="","",الموظفون!$B53)</f>
        <v/>
      </c>
      <c r="C53" s="91" t="str">
        <f aca="false">IF($B53="","",الموظفون!$C53)</f>
        <v/>
      </c>
      <c r="D53" s="91" t="str">
        <f aca="false">IF($B53="","",الموظفون!$F53)</f>
        <v/>
      </c>
      <c r="E53" s="91" t="str">
        <f aca="false">IF($B53="","",الموظفون!$E53)</f>
        <v/>
      </c>
      <c r="F53" s="110" t="str">
        <f aca="false">IF($B53="","",IF(AE53&gt;=DAY($G$3),cfg_DAYS_M,MIN(AE53,cfg_DAYS_M)))</f>
        <v/>
      </c>
      <c r="G53" s="110" t="str">
        <f aca="false">IF($B53="","",SUMIFS('الحركات الشهرية'!$D$6:$D$1005,'الحركات الشهرية'!$B$6:$B$1005,$B53,'الحركات الشهرية'!$A$6:$A$1005,$C$3))</f>
        <v/>
      </c>
      <c r="H53" s="110" t="str">
        <f aca="false">IF($B53="","",SUMIFS('الحركات الشهرية'!$E$6:$E$1005,'الحركات الشهرية'!$B$6:$B$1005,$B53,'الحركات الشهرية'!$A$6:$A$1005,$C$3))</f>
        <v/>
      </c>
      <c r="I53" s="110" t="str">
        <f aca="false">IF($B53="","",MAX(0,F53-G53-H53))</f>
        <v/>
      </c>
      <c r="J53" s="90" t="str">
        <f aca="false">IF($B53="","",الموظفون!$J53*$I53/cfg_DAYS_M)</f>
        <v/>
      </c>
      <c r="K53" s="90" t="str">
        <f aca="false">IF($B53="","",الموظفون!$K53*$I53/cfg_DAYS_M)</f>
        <v/>
      </c>
      <c r="L53" s="90" t="str">
        <f aca="false">IF($B53="","",الموظفون!$L53*$I53/cfg_DAYS_M)</f>
        <v/>
      </c>
      <c r="M53" s="90" t="str">
        <f aca="false">IF($B53="","",الموظفون!$M53*$I53/cfg_DAYS_M)</f>
        <v/>
      </c>
      <c r="N53" s="110" t="str">
        <f aca="false">IF($B53="","",SUMIFS('الحركات الشهرية'!$F$6:$F$1005,'الحركات الشهرية'!$B$6:$B$1005,$B53,'الحركات الشهرية'!$A$6:$A$1005,$C$3))</f>
        <v/>
      </c>
      <c r="O53" s="90" t="str">
        <f aca="false">IF($B53="","",N53*(الموظفون!$N53+الموظفون!$J53*cfg_OT_P)/cfg_DAYS_M/cfg_HRS)</f>
        <v/>
      </c>
      <c r="P53" s="90" t="str">
        <f aca="false">IF($B53="","",SUMIFS('الحركات الشهرية'!$G$6:$G$1005,'الحركات الشهرية'!$B$6:$B$1005,$B53,'الحركات الشهرية'!$A$6:$A$1005,$C$3))</f>
        <v/>
      </c>
      <c r="Q53" s="90" t="str">
        <f aca="false">IF($B53="","",SUMIFS('الحركات الشهرية'!$H$6:$H$1005,'الحركات الشهرية'!$B$6:$B$1005,$B53,'الحركات الشهرية'!$A$6:$A$1005,$C$3))</f>
        <v/>
      </c>
      <c r="R53" s="111" t="str">
        <f aca="false">IF($B53="","",SUM(J53:M53)+SUM(O53:Q53))</f>
        <v/>
      </c>
      <c r="S53" s="90" t="str">
        <f aca="false">IF($B53="","",الموظفون!$Q53*IF(E53="سعودي",cfg_G_SE,cfg_G_NE)*F53/cfg_DAYS_M)</f>
        <v/>
      </c>
      <c r="T53" s="90" t="str">
        <f aca="false">IF($B53="","",SUMIFS('الحركات الشهرية'!$I$6:$I$1005,'الحركات الشهرية'!$B$6:$B$1005,$B53,'الحركات الشهرية'!$A$6:$A$1005,$C$3))</f>
        <v/>
      </c>
      <c r="U53" s="90" t="str">
        <f aca="false">IF($B53="","",SUMIFS('الحركات الشهرية'!$J$6:$J$1005,'الحركات الشهرية'!$B$6:$B$1005,$B53,'الحركات الشهرية'!$A$6:$A$1005,$C$3))</f>
        <v/>
      </c>
      <c r="V53" s="90" t="str">
        <f aca="false">IF($B53="","",SUM(S53:U53))</f>
        <v/>
      </c>
      <c r="W53" s="112" t="str">
        <f aca="false">IF($B53="","",R53-V53)</f>
        <v/>
      </c>
      <c r="X53" s="90" t="str">
        <f aca="false">IF($B53="","",الموظفون!$Q53*IF(E53="سعودي",cfg_G_SR,cfg_G_NR)*F53/cfg_DAYS_M)</f>
        <v/>
      </c>
      <c r="Y53" s="90" t="str">
        <f aca="false">IF($B53="","",الموظفون!$O53*(cfg_EOS_R1*(MIN(AC53,cfg_EOS_TH)-MIN(AD53,cfg_EOS_TH))+cfg_EOS_R2*(MAX(AC53-cfg_EOS_TH,0)-MAX(AD53-cfg_EOS_TH,0))))</f>
        <v/>
      </c>
      <c r="Z53" s="90" t="str">
        <f aca="false">IF($B53="","",IF(الموظفون!$R53&lt;&gt;"",الموظفون!$R53,IF(AC53&gt;=cfg_LV_TH,cfg_LV_D2,cfg_LV_D1))/cfg_DAYS_Y*AE53*الموظفون!$P53/cfg_DAYS_M)</f>
        <v/>
      </c>
      <c r="AA53" s="90" t="str">
        <f aca="false">IF($B53="","",IF(AND(الموظفون!$S53="نعم",N(الموظفون!$U53)&gt;0),الموظفون!$T53/الموظفون!$U53*12/cfg_DAYS_Y*AE53,0))</f>
        <v/>
      </c>
      <c r="AB53" s="113" t="str">
        <f aca="false">IF($B53="","",R53+SUM(X53:AA53))</f>
        <v/>
      </c>
      <c r="AC53" s="114" t="str">
        <f aca="false">IF($B53="","",MAX(0,IF(OR(الموظفون!$X53="",الموظفون!$X53&gt;$G$3),$G$3,الموظفون!$X53)-الموظفون!$H53+1)/cfg_DAYS_Y)</f>
        <v/>
      </c>
      <c r="AD53" s="114" t="str">
        <f aca="false">IF($B53="","",MAX(0,IF(OR(الموظفون!$X53="",الموظفون!$X53&gt;($E$3-1)),($E$3-1),الموظفون!$X53)-الموظفون!$H53+1)/cfg_DAYS_Y)</f>
        <v/>
      </c>
      <c r="AE53" s="115" t="str">
        <f aca="false">IF($B53="","",MAX(0,IF(OR(الموظفون!$X53="",الموظفون!$X53&gt;$G$3),$G$3,الموظفون!$X53)-MAX($E$3,الموظفون!$H53)+1))</f>
        <v/>
      </c>
    </row>
    <row r="54" customFormat="false" ht="15" hidden="false" customHeight="false" outlineLevel="0" collapsed="false">
      <c r="A54" s="83" t="str">
        <f aca="false">IF($B54="","",الموظفون!$A54)</f>
        <v/>
      </c>
      <c r="B54" s="74" t="str">
        <f aca="false">IF(الموظفون!$B54="","",الموظفون!$B54)</f>
        <v/>
      </c>
      <c r="C54" s="74" t="str">
        <f aca="false">IF($B54="","",الموظفون!$C54)</f>
        <v/>
      </c>
      <c r="D54" s="74" t="str">
        <f aca="false">IF($B54="","",الموظفون!$F54)</f>
        <v/>
      </c>
      <c r="E54" s="74" t="str">
        <f aca="false">IF($B54="","",الموظفون!$E54)</f>
        <v/>
      </c>
      <c r="F54" s="105" t="str">
        <f aca="false">IF($B54="","",IF(AE54&gt;=DAY($G$3),cfg_DAYS_M,MIN(AE54,cfg_DAYS_M)))</f>
        <v/>
      </c>
      <c r="G54" s="105" t="str">
        <f aca="false">IF($B54="","",SUMIFS('الحركات الشهرية'!$D$6:$D$1005,'الحركات الشهرية'!$B$6:$B$1005,$B54,'الحركات الشهرية'!$A$6:$A$1005,$C$3))</f>
        <v/>
      </c>
      <c r="H54" s="105" t="str">
        <f aca="false">IF($B54="","",SUMIFS('الحركات الشهرية'!$E$6:$E$1005,'الحركات الشهرية'!$B$6:$B$1005,$B54,'الحركات الشهرية'!$A$6:$A$1005,$C$3))</f>
        <v/>
      </c>
      <c r="I54" s="105" t="str">
        <f aca="false">IF($B54="","",MAX(0,F54-G54-H54))</f>
        <v/>
      </c>
      <c r="J54" s="86" t="str">
        <f aca="false">IF($B54="","",الموظفون!$J54*$I54/cfg_DAYS_M)</f>
        <v/>
      </c>
      <c r="K54" s="86" t="str">
        <f aca="false">IF($B54="","",الموظفون!$K54*$I54/cfg_DAYS_M)</f>
        <v/>
      </c>
      <c r="L54" s="86" t="str">
        <f aca="false">IF($B54="","",الموظفون!$L54*$I54/cfg_DAYS_M)</f>
        <v/>
      </c>
      <c r="M54" s="86" t="str">
        <f aca="false">IF($B54="","",الموظفون!$M54*$I54/cfg_DAYS_M)</f>
        <v/>
      </c>
      <c r="N54" s="105" t="str">
        <f aca="false">IF($B54="","",SUMIFS('الحركات الشهرية'!$F$6:$F$1005,'الحركات الشهرية'!$B$6:$B$1005,$B54,'الحركات الشهرية'!$A$6:$A$1005,$C$3))</f>
        <v/>
      </c>
      <c r="O54" s="86" t="str">
        <f aca="false">IF($B54="","",N54*(الموظفون!$N54+الموظفون!$J54*cfg_OT_P)/cfg_DAYS_M/cfg_HRS)</f>
        <v/>
      </c>
      <c r="P54" s="86" t="str">
        <f aca="false">IF($B54="","",SUMIFS('الحركات الشهرية'!$G$6:$G$1005,'الحركات الشهرية'!$B$6:$B$1005,$B54,'الحركات الشهرية'!$A$6:$A$1005,$C$3))</f>
        <v/>
      </c>
      <c r="Q54" s="86" t="str">
        <f aca="false">IF($B54="","",SUMIFS('الحركات الشهرية'!$H$6:$H$1005,'الحركات الشهرية'!$B$6:$B$1005,$B54,'الحركات الشهرية'!$A$6:$A$1005,$C$3))</f>
        <v/>
      </c>
      <c r="R54" s="106" t="str">
        <f aca="false">IF($B54="","",SUM(J54:M54)+SUM(O54:Q54))</f>
        <v/>
      </c>
      <c r="S54" s="86" t="str">
        <f aca="false">IF($B54="","",الموظفون!$Q54*IF(E54="سعودي",cfg_G_SE,cfg_G_NE)*F54/cfg_DAYS_M)</f>
        <v/>
      </c>
      <c r="T54" s="86" t="str">
        <f aca="false">IF($B54="","",SUMIFS('الحركات الشهرية'!$I$6:$I$1005,'الحركات الشهرية'!$B$6:$B$1005,$B54,'الحركات الشهرية'!$A$6:$A$1005,$C$3))</f>
        <v/>
      </c>
      <c r="U54" s="86" t="str">
        <f aca="false">IF($B54="","",SUMIFS('الحركات الشهرية'!$J$6:$J$1005,'الحركات الشهرية'!$B$6:$B$1005,$B54,'الحركات الشهرية'!$A$6:$A$1005,$C$3))</f>
        <v/>
      </c>
      <c r="V54" s="86" t="str">
        <f aca="false">IF($B54="","",SUM(S54:U54))</f>
        <v/>
      </c>
      <c r="W54" s="107" t="str">
        <f aca="false">IF($B54="","",R54-V54)</f>
        <v/>
      </c>
      <c r="X54" s="86" t="str">
        <f aca="false">IF($B54="","",الموظفون!$Q54*IF(E54="سعودي",cfg_G_SR,cfg_G_NR)*F54/cfg_DAYS_M)</f>
        <v/>
      </c>
      <c r="Y54" s="86" t="str">
        <f aca="false">IF($B54="","",الموظفون!$O54*(cfg_EOS_R1*(MIN(AC54,cfg_EOS_TH)-MIN(AD54,cfg_EOS_TH))+cfg_EOS_R2*(MAX(AC54-cfg_EOS_TH,0)-MAX(AD54-cfg_EOS_TH,0))))</f>
        <v/>
      </c>
      <c r="Z54" s="86" t="str">
        <f aca="false">IF($B54="","",IF(الموظفون!$R54&lt;&gt;"",الموظفون!$R54,IF(AC54&gt;=cfg_LV_TH,cfg_LV_D2,cfg_LV_D1))/cfg_DAYS_Y*AE54*الموظفون!$P54/cfg_DAYS_M)</f>
        <v/>
      </c>
      <c r="AA54" s="86" t="str">
        <f aca="false">IF($B54="","",IF(AND(الموظفون!$S54="نعم",N(الموظفون!$U54)&gt;0),الموظفون!$T54/الموظفون!$U54*12/cfg_DAYS_Y*AE54,0))</f>
        <v/>
      </c>
      <c r="AB54" s="108" t="str">
        <f aca="false">IF($B54="","",R54+SUM(X54:AA54))</f>
        <v/>
      </c>
      <c r="AC54" s="109" t="str">
        <f aca="false">IF($B54="","",MAX(0,IF(OR(الموظفون!$X54="",الموظفون!$X54&gt;$G$3),$G$3,الموظفون!$X54)-الموظفون!$H54+1)/cfg_DAYS_Y)</f>
        <v/>
      </c>
      <c r="AD54" s="109" t="str">
        <f aca="false">IF($B54="","",MAX(0,IF(OR(الموظفون!$X54="",الموظفون!$X54&gt;($E$3-1)),($E$3-1),الموظفون!$X54)-الموظفون!$H54+1)/cfg_DAYS_Y)</f>
        <v/>
      </c>
      <c r="AE54" s="51" t="str">
        <f aca="false">IF($B54="","",MAX(0,IF(OR(الموظفون!$X54="",الموظفون!$X54&gt;$G$3),$G$3,الموظفون!$X54)-MAX($E$3,الموظفون!$H54)+1))</f>
        <v/>
      </c>
    </row>
    <row r="55" customFormat="false" ht="15" hidden="false" customHeight="false" outlineLevel="0" collapsed="false">
      <c r="A55" s="89" t="str">
        <f aca="false">IF($B55="","",الموظفون!$A55)</f>
        <v/>
      </c>
      <c r="B55" s="91" t="str">
        <f aca="false">IF(الموظفون!$B55="","",الموظفون!$B55)</f>
        <v/>
      </c>
      <c r="C55" s="91" t="str">
        <f aca="false">IF($B55="","",الموظفون!$C55)</f>
        <v/>
      </c>
      <c r="D55" s="91" t="str">
        <f aca="false">IF($B55="","",الموظفون!$F55)</f>
        <v/>
      </c>
      <c r="E55" s="91" t="str">
        <f aca="false">IF($B55="","",الموظفون!$E55)</f>
        <v/>
      </c>
      <c r="F55" s="110" t="str">
        <f aca="false">IF($B55="","",IF(AE55&gt;=DAY($G$3),cfg_DAYS_M,MIN(AE55,cfg_DAYS_M)))</f>
        <v/>
      </c>
      <c r="G55" s="110" t="str">
        <f aca="false">IF($B55="","",SUMIFS('الحركات الشهرية'!$D$6:$D$1005,'الحركات الشهرية'!$B$6:$B$1005,$B55,'الحركات الشهرية'!$A$6:$A$1005,$C$3))</f>
        <v/>
      </c>
      <c r="H55" s="110" t="str">
        <f aca="false">IF($B55="","",SUMIFS('الحركات الشهرية'!$E$6:$E$1005,'الحركات الشهرية'!$B$6:$B$1005,$B55,'الحركات الشهرية'!$A$6:$A$1005,$C$3))</f>
        <v/>
      </c>
      <c r="I55" s="110" t="str">
        <f aca="false">IF($B55="","",MAX(0,F55-G55-H55))</f>
        <v/>
      </c>
      <c r="J55" s="90" t="str">
        <f aca="false">IF($B55="","",الموظفون!$J55*$I55/cfg_DAYS_M)</f>
        <v/>
      </c>
      <c r="K55" s="90" t="str">
        <f aca="false">IF($B55="","",الموظفون!$K55*$I55/cfg_DAYS_M)</f>
        <v/>
      </c>
      <c r="L55" s="90" t="str">
        <f aca="false">IF($B55="","",الموظفون!$L55*$I55/cfg_DAYS_M)</f>
        <v/>
      </c>
      <c r="M55" s="90" t="str">
        <f aca="false">IF($B55="","",الموظفون!$M55*$I55/cfg_DAYS_M)</f>
        <v/>
      </c>
      <c r="N55" s="110" t="str">
        <f aca="false">IF($B55="","",SUMIFS('الحركات الشهرية'!$F$6:$F$1005,'الحركات الشهرية'!$B$6:$B$1005,$B55,'الحركات الشهرية'!$A$6:$A$1005,$C$3))</f>
        <v/>
      </c>
      <c r="O55" s="90" t="str">
        <f aca="false">IF($B55="","",N55*(الموظفون!$N55+الموظفون!$J55*cfg_OT_P)/cfg_DAYS_M/cfg_HRS)</f>
        <v/>
      </c>
      <c r="P55" s="90" t="str">
        <f aca="false">IF($B55="","",SUMIFS('الحركات الشهرية'!$G$6:$G$1005,'الحركات الشهرية'!$B$6:$B$1005,$B55,'الحركات الشهرية'!$A$6:$A$1005,$C$3))</f>
        <v/>
      </c>
      <c r="Q55" s="90" t="str">
        <f aca="false">IF($B55="","",SUMIFS('الحركات الشهرية'!$H$6:$H$1005,'الحركات الشهرية'!$B$6:$B$1005,$B55,'الحركات الشهرية'!$A$6:$A$1005,$C$3))</f>
        <v/>
      </c>
      <c r="R55" s="111" t="str">
        <f aca="false">IF($B55="","",SUM(J55:M55)+SUM(O55:Q55))</f>
        <v/>
      </c>
      <c r="S55" s="90" t="str">
        <f aca="false">IF($B55="","",الموظفون!$Q55*IF(E55="سعودي",cfg_G_SE,cfg_G_NE)*F55/cfg_DAYS_M)</f>
        <v/>
      </c>
      <c r="T55" s="90" t="str">
        <f aca="false">IF($B55="","",SUMIFS('الحركات الشهرية'!$I$6:$I$1005,'الحركات الشهرية'!$B$6:$B$1005,$B55,'الحركات الشهرية'!$A$6:$A$1005,$C$3))</f>
        <v/>
      </c>
      <c r="U55" s="90" t="str">
        <f aca="false">IF($B55="","",SUMIFS('الحركات الشهرية'!$J$6:$J$1005,'الحركات الشهرية'!$B$6:$B$1005,$B55,'الحركات الشهرية'!$A$6:$A$1005,$C$3))</f>
        <v/>
      </c>
      <c r="V55" s="90" t="str">
        <f aca="false">IF($B55="","",SUM(S55:U55))</f>
        <v/>
      </c>
      <c r="W55" s="112" t="str">
        <f aca="false">IF($B55="","",R55-V55)</f>
        <v/>
      </c>
      <c r="X55" s="90" t="str">
        <f aca="false">IF($B55="","",الموظفون!$Q55*IF(E55="سعودي",cfg_G_SR,cfg_G_NR)*F55/cfg_DAYS_M)</f>
        <v/>
      </c>
      <c r="Y55" s="90" t="str">
        <f aca="false">IF($B55="","",الموظفون!$O55*(cfg_EOS_R1*(MIN(AC55,cfg_EOS_TH)-MIN(AD55,cfg_EOS_TH))+cfg_EOS_R2*(MAX(AC55-cfg_EOS_TH,0)-MAX(AD55-cfg_EOS_TH,0))))</f>
        <v/>
      </c>
      <c r="Z55" s="90" t="str">
        <f aca="false">IF($B55="","",IF(الموظفون!$R55&lt;&gt;"",الموظفون!$R55,IF(AC55&gt;=cfg_LV_TH,cfg_LV_D2,cfg_LV_D1))/cfg_DAYS_Y*AE55*الموظفون!$P55/cfg_DAYS_M)</f>
        <v/>
      </c>
      <c r="AA55" s="90" t="str">
        <f aca="false">IF($B55="","",IF(AND(الموظفون!$S55="نعم",N(الموظفون!$U55)&gt;0),الموظفون!$T55/الموظفون!$U55*12/cfg_DAYS_Y*AE55,0))</f>
        <v/>
      </c>
      <c r="AB55" s="113" t="str">
        <f aca="false">IF($B55="","",R55+SUM(X55:AA55))</f>
        <v/>
      </c>
      <c r="AC55" s="114" t="str">
        <f aca="false">IF($B55="","",MAX(0,IF(OR(الموظفون!$X55="",الموظفون!$X55&gt;$G$3),$G$3,الموظفون!$X55)-الموظفون!$H55+1)/cfg_DAYS_Y)</f>
        <v/>
      </c>
      <c r="AD55" s="114" t="str">
        <f aca="false">IF($B55="","",MAX(0,IF(OR(الموظفون!$X55="",الموظفون!$X55&gt;($E$3-1)),($E$3-1),الموظفون!$X55)-الموظفون!$H55+1)/cfg_DAYS_Y)</f>
        <v/>
      </c>
      <c r="AE55" s="115" t="str">
        <f aca="false">IF($B55="","",MAX(0,IF(OR(الموظفون!$X55="",الموظفون!$X55&gt;$G$3),$G$3,الموظفون!$X55)-MAX($E$3,الموظفون!$H55)+1))</f>
        <v/>
      </c>
    </row>
    <row r="56" customFormat="false" ht="15" hidden="false" customHeight="false" outlineLevel="0" collapsed="false">
      <c r="A56" s="83" t="str">
        <f aca="false">IF($B56="","",الموظفون!$A56)</f>
        <v/>
      </c>
      <c r="B56" s="74" t="str">
        <f aca="false">IF(الموظفون!$B56="","",الموظفون!$B56)</f>
        <v/>
      </c>
      <c r="C56" s="74" t="str">
        <f aca="false">IF($B56="","",الموظفون!$C56)</f>
        <v/>
      </c>
      <c r="D56" s="74" t="str">
        <f aca="false">IF($B56="","",الموظفون!$F56)</f>
        <v/>
      </c>
      <c r="E56" s="74" t="str">
        <f aca="false">IF($B56="","",الموظفون!$E56)</f>
        <v/>
      </c>
      <c r="F56" s="105" t="str">
        <f aca="false">IF($B56="","",IF(AE56&gt;=DAY($G$3),cfg_DAYS_M,MIN(AE56,cfg_DAYS_M)))</f>
        <v/>
      </c>
      <c r="G56" s="105" t="str">
        <f aca="false">IF($B56="","",SUMIFS('الحركات الشهرية'!$D$6:$D$1005,'الحركات الشهرية'!$B$6:$B$1005,$B56,'الحركات الشهرية'!$A$6:$A$1005,$C$3))</f>
        <v/>
      </c>
      <c r="H56" s="105" t="str">
        <f aca="false">IF($B56="","",SUMIFS('الحركات الشهرية'!$E$6:$E$1005,'الحركات الشهرية'!$B$6:$B$1005,$B56,'الحركات الشهرية'!$A$6:$A$1005,$C$3))</f>
        <v/>
      </c>
      <c r="I56" s="105" t="str">
        <f aca="false">IF($B56="","",MAX(0,F56-G56-H56))</f>
        <v/>
      </c>
      <c r="J56" s="86" t="str">
        <f aca="false">IF($B56="","",الموظفون!$J56*$I56/cfg_DAYS_M)</f>
        <v/>
      </c>
      <c r="K56" s="86" t="str">
        <f aca="false">IF($B56="","",الموظفون!$K56*$I56/cfg_DAYS_M)</f>
        <v/>
      </c>
      <c r="L56" s="86" t="str">
        <f aca="false">IF($B56="","",الموظفون!$L56*$I56/cfg_DAYS_M)</f>
        <v/>
      </c>
      <c r="M56" s="86" t="str">
        <f aca="false">IF($B56="","",الموظفون!$M56*$I56/cfg_DAYS_M)</f>
        <v/>
      </c>
      <c r="N56" s="105" t="str">
        <f aca="false">IF($B56="","",SUMIFS('الحركات الشهرية'!$F$6:$F$1005,'الحركات الشهرية'!$B$6:$B$1005,$B56,'الحركات الشهرية'!$A$6:$A$1005,$C$3))</f>
        <v/>
      </c>
      <c r="O56" s="86" t="str">
        <f aca="false">IF($B56="","",N56*(الموظفون!$N56+الموظفون!$J56*cfg_OT_P)/cfg_DAYS_M/cfg_HRS)</f>
        <v/>
      </c>
      <c r="P56" s="86" t="str">
        <f aca="false">IF($B56="","",SUMIFS('الحركات الشهرية'!$G$6:$G$1005,'الحركات الشهرية'!$B$6:$B$1005,$B56,'الحركات الشهرية'!$A$6:$A$1005,$C$3))</f>
        <v/>
      </c>
      <c r="Q56" s="86" t="str">
        <f aca="false">IF($B56="","",SUMIFS('الحركات الشهرية'!$H$6:$H$1005,'الحركات الشهرية'!$B$6:$B$1005,$B56,'الحركات الشهرية'!$A$6:$A$1005,$C$3))</f>
        <v/>
      </c>
      <c r="R56" s="106" t="str">
        <f aca="false">IF($B56="","",SUM(J56:M56)+SUM(O56:Q56))</f>
        <v/>
      </c>
      <c r="S56" s="86" t="str">
        <f aca="false">IF($B56="","",الموظفون!$Q56*IF(E56="سعودي",cfg_G_SE,cfg_G_NE)*F56/cfg_DAYS_M)</f>
        <v/>
      </c>
      <c r="T56" s="86" t="str">
        <f aca="false">IF($B56="","",SUMIFS('الحركات الشهرية'!$I$6:$I$1005,'الحركات الشهرية'!$B$6:$B$1005,$B56,'الحركات الشهرية'!$A$6:$A$1005,$C$3))</f>
        <v/>
      </c>
      <c r="U56" s="86" t="str">
        <f aca="false">IF($B56="","",SUMIFS('الحركات الشهرية'!$J$6:$J$1005,'الحركات الشهرية'!$B$6:$B$1005,$B56,'الحركات الشهرية'!$A$6:$A$1005,$C$3))</f>
        <v/>
      </c>
      <c r="V56" s="86" t="str">
        <f aca="false">IF($B56="","",SUM(S56:U56))</f>
        <v/>
      </c>
      <c r="W56" s="107" t="str">
        <f aca="false">IF($B56="","",R56-V56)</f>
        <v/>
      </c>
      <c r="X56" s="86" t="str">
        <f aca="false">IF($B56="","",الموظفون!$Q56*IF(E56="سعودي",cfg_G_SR,cfg_G_NR)*F56/cfg_DAYS_M)</f>
        <v/>
      </c>
      <c r="Y56" s="86" t="str">
        <f aca="false">IF($B56="","",الموظفون!$O56*(cfg_EOS_R1*(MIN(AC56,cfg_EOS_TH)-MIN(AD56,cfg_EOS_TH))+cfg_EOS_R2*(MAX(AC56-cfg_EOS_TH,0)-MAX(AD56-cfg_EOS_TH,0))))</f>
        <v/>
      </c>
      <c r="Z56" s="86" t="str">
        <f aca="false">IF($B56="","",IF(الموظفون!$R56&lt;&gt;"",الموظفون!$R56,IF(AC56&gt;=cfg_LV_TH,cfg_LV_D2,cfg_LV_D1))/cfg_DAYS_Y*AE56*الموظفون!$P56/cfg_DAYS_M)</f>
        <v/>
      </c>
      <c r="AA56" s="86" t="str">
        <f aca="false">IF($B56="","",IF(AND(الموظفون!$S56="نعم",N(الموظفون!$U56)&gt;0),الموظفون!$T56/الموظفون!$U56*12/cfg_DAYS_Y*AE56,0))</f>
        <v/>
      </c>
      <c r="AB56" s="108" t="str">
        <f aca="false">IF($B56="","",R56+SUM(X56:AA56))</f>
        <v/>
      </c>
      <c r="AC56" s="109" t="str">
        <f aca="false">IF($B56="","",MAX(0,IF(OR(الموظفون!$X56="",الموظفون!$X56&gt;$G$3),$G$3,الموظفون!$X56)-الموظفون!$H56+1)/cfg_DAYS_Y)</f>
        <v/>
      </c>
      <c r="AD56" s="109" t="str">
        <f aca="false">IF($B56="","",MAX(0,IF(OR(الموظفون!$X56="",الموظفون!$X56&gt;($E$3-1)),($E$3-1),الموظفون!$X56)-الموظفون!$H56+1)/cfg_DAYS_Y)</f>
        <v/>
      </c>
      <c r="AE56" s="51" t="str">
        <f aca="false">IF($B56="","",MAX(0,IF(OR(الموظفون!$X56="",الموظفون!$X56&gt;$G$3),$G$3,الموظفون!$X56)-MAX($E$3,الموظفون!$H56)+1))</f>
        <v/>
      </c>
    </row>
    <row r="57" customFormat="false" ht="15" hidden="false" customHeight="false" outlineLevel="0" collapsed="false">
      <c r="A57" s="89" t="str">
        <f aca="false">IF($B57="","",الموظفون!$A57)</f>
        <v/>
      </c>
      <c r="B57" s="91" t="str">
        <f aca="false">IF(الموظفون!$B57="","",الموظفون!$B57)</f>
        <v/>
      </c>
      <c r="C57" s="91" t="str">
        <f aca="false">IF($B57="","",الموظفون!$C57)</f>
        <v/>
      </c>
      <c r="D57" s="91" t="str">
        <f aca="false">IF($B57="","",الموظفون!$F57)</f>
        <v/>
      </c>
      <c r="E57" s="91" t="str">
        <f aca="false">IF($B57="","",الموظفون!$E57)</f>
        <v/>
      </c>
      <c r="F57" s="110" t="str">
        <f aca="false">IF($B57="","",IF(AE57&gt;=DAY($G$3),cfg_DAYS_M,MIN(AE57,cfg_DAYS_M)))</f>
        <v/>
      </c>
      <c r="G57" s="110" t="str">
        <f aca="false">IF($B57="","",SUMIFS('الحركات الشهرية'!$D$6:$D$1005,'الحركات الشهرية'!$B$6:$B$1005,$B57,'الحركات الشهرية'!$A$6:$A$1005,$C$3))</f>
        <v/>
      </c>
      <c r="H57" s="110" t="str">
        <f aca="false">IF($B57="","",SUMIFS('الحركات الشهرية'!$E$6:$E$1005,'الحركات الشهرية'!$B$6:$B$1005,$B57,'الحركات الشهرية'!$A$6:$A$1005,$C$3))</f>
        <v/>
      </c>
      <c r="I57" s="110" t="str">
        <f aca="false">IF($B57="","",MAX(0,F57-G57-H57))</f>
        <v/>
      </c>
      <c r="J57" s="90" t="str">
        <f aca="false">IF($B57="","",الموظفون!$J57*$I57/cfg_DAYS_M)</f>
        <v/>
      </c>
      <c r="K57" s="90" t="str">
        <f aca="false">IF($B57="","",الموظفون!$K57*$I57/cfg_DAYS_M)</f>
        <v/>
      </c>
      <c r="L57" s="90" t="str">
        <f aca="false">IF($B57="","",الموظفون!$L57*$I57/cfg_DAYS_M)</f>
        <v/>
      </c>
      <c r="M57" s="90" t="str">
        <f aca="false">IF($B57="","",الموظفون!$M57*$I57/cfg_DAYS_M)</f>
        <v/>
      </c>
      <c r="N57" s="110" t="str">
        <f aca="false">IF($B57="","",SUMIFS('الحركات الشهرية'!$F$6:$F$1005,'الحركات الشهرية'!$B$6:$B$1005,$B57,'الحركات الشهرية'!$A$6:$A$1005,$C$3))</f>
        <v/>
      </c>
      <c r="O57" s="90" t="str">
        <f aca="false">IF($B57="","",N57*(الموظفون!$N57+الموظفون!$J57*cfg_OT_P)/cfg_DAYS_M/cfg_HRS)</f>
        <v/>
      </c>
      <c r="P57" s="90" t="str">
        <f aca="false">IF($B57="","",SUMIFS('الحركات الشهرية'!$G$6:$G$1005,'الحركات الشهرية'!$B$6:$B$1005,$B57,'الحركات الشهرية'!$A$6:$A$1005,$C$3))</f>
        <v/>
      </c>
      <c r="Q57" s="90" t="str">
        <f aca="false">IF($B57="","",SUMIFS('الحركات الشهرية'!$H$6:$H$1005,'الحركات الشهرية'!$B$6:$B$1005,$B57,'الحركات الشهرية'!$A$6:$A$1005,$C$3))</f>
        <v/>
      </c>
      <c r="R57" s="111" t="str">
        <f aca="false">IF($B57="","",SUM(J57:M57)+SUM(O57:Q57))</f>
        <v/>
      </c>
      <c r="S57" s="90" t="str">
        <f aca="false">IF($B57="","",الموظفون!$Q57*IF(E57="سعودي",cfg_G_SE,cfg_G_NE)*F57/cfg_DAYS_M)</f>
        <v/>
      </c>
      <c r="T57" s="90" t="str">
        <f aca="false">IF($B57="","",SUMIFS('الحركات الشهرية'!$I$6:$I$1005,'الحركات الشهرية'!$B$6:$B$1005,$B57,'الحركات الشهرية'!$A$6:$A$1005,$C$3))</f>
        <v/>
      </c>
      <c r="U57" s="90" t="str">
        <f aca="false">IF($B57="","",SUMIFS('الحركات الشهرية'!$J$6:$J$1005,'الحركات الشهرية'!$B$6:$B$1005,$B57,'الحركات الشهرية'!$A$6:$A$1005,$C$3))</f>
        <v/>
      </c>
      <c r="V57" s="90" t="str">
        <f aca="false">IF($B57="","",SUM(S57:U57))</f>
        <v/>
      </c>
      <c r="W57" s="112" t="str">
        <f aca="false">IF($B57="","",R57-V57)</f>
        <v/>
      </c>
      <c r="X57" s="90" t="str">
        <f aca="false">IF($B57="","",الموظفون!$Q57*IF(E57="سعودي",cfg_G_SR,cfg_G_NR)*F57/cfg_DAYS_M)</f>
        <v/>
      </c>
      <c r="Y57" s="90" t="str">
        <f aca="false">IF($B57="","",الموظفون!$O57*(cfg_EOS_R1*(MIN(AC57,cfg_EOS_TH)-MIN(AD57,cfg_EOS_TH))+cfg_EOS_R2*(MAX(AC57-cfg_EOS_TH,0)-MAX(AD57-cfg_EOS_TH,0))))</f>
        <v/>
      </c>
      <c r="Z57" s="90" t="str">
        <f aca="false">IF($B57="","",IF(الموظفون!$R57&lt;&gt;"",الموظفون!$R57,IF(AC57&gt;=cfg_LV_TH,cfg_LV_D2,cfg_LV_D1))/cfg_DAYS_Y*AE57*الموظفون!$P57/cfg_DAYS_M)</f>
        <v/>
      </c>
      <c r="AA57" s="90" t="str">
        <f aca="false">IF($B57="","",IF(AND(الموظفون!$S57="نعم",N(الموظفون!$U57)&gt;0),الموظفون!$T57/الموظفون!$U57*12/cfg_DAYS_Y*AE57,0))</f>
        <v/>
      </c>
      <c r="AB57" s="113" t="str">
        <f aca="false">IF($B57="","",R57+SUM(X57:AA57))</f>
        <v/>
      </c>
      <c r="AC57" s="114" t="str">
        <f aca="false">IF($B57="","",MAX(0,IF(OR(الموظفون!$X57="",الموظفون!$X57&gt;$G$3),$G$3,الموظفون!$X57)-الموظفون!$H57+1)/cfg_DAYS_Y)</f>
        <v/>
      </c>
      <c r="AD57" s="114" t="str">
        <f aca="false">IF($B57="","",MAX(0,IF(OR(الموظفون!$X57="",الموظفون!$X57&gt;($E$3-1)),($E$3-1),الموظفون!$X57)-الموظفون!$H57+1)/cfg_DAYS_Y)</f>
        <v/>
      </c>
      <c r="AE57" s="115" t="str">
        <f aca="false">IF($B57="","",MAX(0,IF(OR(الموظفون!$X57="",الموظفون!$X57&gt;$G$3),$G$3,الموظفون!$X57)-MAX($E$3,الموظفون!$H57)+1))</f>
        <v/>
      </c>
    </row>
    <row r="58" customFormat="false" ht="15" hidden="false" customHeight="false" outlineLevel="0" collapsed="false">
      <c r="A58" s="83" t="str">
        <f aca="false">IF($B58="","",الموظفون!$A58)</f>
        <v/>
      </c>
      <c r="B58" s="74" t="str">
        <f aca="false">IF(الموظفون!$B58="","",الموظفون!$B58)</f>
        <v/>
      </c>
      <c r="C58" s="74" t="str">
        <f aca="false">IF($B58="","",الموظفون!$C58)</f>
        <v/>
      </c>
      <c r="D58" s="74" t="str">
        <f aca="false">IF($B58="","",الموظفون!$F58)</f>
        <v/>
      </c>
      <c r="E58" s="74" t="str">
        <f aca="false">IF($B58="","",الموظفون!$E58)</f>
        <v/>
      </c>
      <c r="F58" s="105" t="str">
        <f aca="false">IF($B58="","",IF(AE58&gt;=DAY($G$3),cfg_DAYS_M,MIN(AE58,cfg_DAYS_M)))</f>
        <v/>
      </c>
      <c r="G58" s="105" t="str">
        <f aca="false">IF($B58="","",SUMIFS('الحركات الشهرية'!$D$6:$D$1005,'الحركات الشهرية'!$B$6:$B$1005,$B58,'الحركات الشهرية'!$A$6:$A$1005,$C$3))</f>
        <v/>
      </c>
      <c r="H58" s="105" t="str">
        <f aca="false">IF($B58="","",SUMIFS('الحركات الشهرية'!$E$6:$E$1005,'الحركات الشهرية'!$B$6:$B$1005,$B58,'الحركات الشهرية'!$A$6:$A$1005,$C$3))</f>
        <v/>
      </c>
      <c r="I58" s="105" t="str">
        <f aca="false">IF($B58="","",MAX(0,F58-G58-H58))</f>
        <v/>
      </c>
      <c r="J58" s="86" t="str">
        <f aca="false">IF($B58="","",الموظفون!$J58*$I58/cfg_DAYS_M)</f>
        <v/>
      </c>
      <c r="K58" s="86" t="str">
        <f aca="false">IF($B58="","",الموظفون!$K58*$I58/cfg_DAYS_M)</f>
        <v/>
      </c>
      <c r="L58" s="86" t="str">
        <f aca="false">IF($B58="","",الموظفون!$L58*$I58/cfg_DAYS_M)</f>
        <v/>
      </c>
      <c r="M58" s="86" t="str">
        <f aca="false">IF($B58="","",الموظفون!$M58*$I58/cfg_DAYS_M)</f>
        <v/>
      </c>
      <c r="N58" s="105" t="str">
        <f aca="false">IF($B58="","",SUMIFS('الحركات الشهرية'!$F$6:$F$1005,'الحركات الشهرية'!$B$6:$B$1005,$B58,'الحركات الشهرية'!$A$6:$A$1005,$C$3))</f>
        <v/>
      </c>
      <c r="O58" s="86" t="str">
        <f aca="false">IF($B58="","",N58*(الموظفون!$N58+الموظفون!$J58*cfg_OT_P)/cfg_DAYS_M/cfg_HRS)</f>
        <v/>
      </c>
      <c r="P58" s="86" t="str">
        <f aca="false">IF($B58="","",SUMIFS('الحركات الشهرية'!$G$6:$G$1005,'الحركات الشهرية'!$B$6:$B$1005,$B58,'الحركات الشهرية'!$A$6:$A$1005,$C$3))</f>
        <v/>
      </c>
      <c r="Q58" s="86" t="str">
        <f aca="false">IF($B58="","",SUMIFS('الحركات الشهرية'!$H$6:$H$1005,'الحركات الشهرية'!$B$6:$B$1005,$B58,'الحركات الشهرية'!$A$6:$A$1005,$C$3))</f>
        <v/>
      </c>
      <c r="R58" s="106" t="str">
        <f aca="false">IF($B58="","",SUM(J58:M58)+SUM(O58:Q58))</f>
        <v/>
      </c>
      <c r="S58" s="86" t="str">
        <f aca="false">IF($B58="","",الموظفون!$Q58*IF(E58="سعودي",cfg_G_SE,cfg_G_NE)*F58/cfg_DAYS_M)</f>
        <v/>
      </c>
      <c r="T58" s="86" t="str">
        <f aca="false">IF($B58="","",SUMIFS('الحركات الشهرية'!$I$6:$I$1005,'الحركات الشهرية'!$B$6:$B$1005,$B58,'الحركات الشهرية'!$A$6:$A$1005,$C$3))</f>
        <v/>
      </c>
      <c r="U58" s="86" t="str">
        <f aca="false">IF($B58="","",SUMIFS('الحركات الشهرية'!$J$6:$J$1005,'الحركات الشهرية'!$B$6:$B$1005,$B58,'الحركات الشهرية'!$A$6:$A$1005,$C$3))</f>
        <v/>
      </c>
      <c r="V58" s="86" t="str">
        <f aca="false">IF($B58="","",SUM(S58:U58))</f>
        <v/>
      </c>
      <c r="W58" s="107" t="str">
        <f aca="false">IF($B58="","",R58-V58)</f>
        <v/>
      </c>
      <c r="X58" s="86" t="str">
        <f aca="false">IF($B58="","",الموظفون!$Q58*IF(E58="سعودي",cfg_G_SR,cfg_G_NR)*F58/cfg_DAYS_M)</f>
        <v/>
      </c>
      <c r="Y58" s="86" t="str">
        <f aca="false">IF($B58="","",الموظفون!$O58*(cfg_EOS_R1*(MIN(AC58,cfg_EOS_TH)-MIN(AD58,cfg_EOS_TH))+cfg_EOS_R2*(MAX(AC58-cfg_EOS_TH,0)-MAX(AD58-cfg_EOS_TH,0))))</f>
        <v/>
      </c>
      <c r="Z58" s="86" t="str">
        <f aca="false">IF($B58="","",IF(الموظفون!$R58&lt;&gt;"",الموظفون!$R58,IF(AC58&gt;=cfg_LV_TH,cfg_LV_D2,cfg_LV_D1))/cfg_DAYS_Y*AE58*الموظفون!$P58/cfg_DAYS_M)</f>
        <v/>
      </c>
      <c r="AA58" s="86" t="str">
        <f aca="false">IF($B58="","",IF(AND(الموظفون!$S58="نعم",N(الموظفون!$U58)&gt;0),الموظفون!$T58/الموظفون!$U58*12/cfg_DAYS_Y*AE58,0))</f>
        <v/>
      </c>
      <c r="AB58" s="108" t="str">
        <f aca="false">IF($B58="","",R58+SUM(X58:AA58))</f>
        <v/>
      </c>
      <c r="AC58" s="109" t="str">
        <f aca="false">IF($B58="","",MAX(0,IF(OR(الموظفون!$X58="",الموظفون!$X58&gt;$G$3),$G$3,الموظفون!$X58)-الموظفون!$H58+1)/cfg_DAYS_Y)</f>
        <v/>
      </c>
      <c r="AD58" s="109" t="str">
        <f aca="false">IF($B58="","",MAX(0,IF(OR(الموظفون!$X58="",الموظفون!$X58&gt;($E$3-1)),($E$3-1),الموظفون!$X58)-الموظفون!$H58+1)/cfg_DAYS_Y)</f>
        <v/>
      </c>
      <c r="AE58" s="51" t="str">
        <f aca="false">IF($B58="","",MAX(0,IF(OR(الموظفون!$X58="",الموظفون!$X58&gt;$G$3),$G$3,الموظفون!$X58)-MAX($E$3,الموظفون!$H58)+1))</f>
        <v/>
      </c>
    </row>
    <row r="59" customFormat="false" ht="15" hidden="false" customHeight="false" outlineLevel="0" collapsed="false">
      <c r="A59" s="89" t="str">
        <f aca="false">IF($B59="","",الموظفون!$A59)</f>
        <v/>
      </c>
      <c r="B59" s="91" t="str">
        <f aca="false">IF(الموظفون!$B59="","",الموظفون!$B59)</f>
        <v/>
      </c>
      <c r="C59" s="91" t="str">
        <f aca="false">IF($B59="","",الموظفون!$C59)</f>
        <v/>
      </c>
      <c r="D59" s="91" t="str">
        <f aca="false">IF($B59="","",الموظفون!$F59)</f>
        <v/>
      </c>
      <c r="E59" s="91" t="str">
        <f aca="false">IF($B59="","",الموظفون!$E59)</f>
        <v/>
      </c>
      <c r="F59" s="110" t="str">
        <f aca="false">IF($B59="","",IF(AE59&gt;=DAY($G$3),cfg_DAYS_M,MIN(AE59,cfg_DAYS_M)))</f>
        <v/>
      </c>
      <c r="G59" s="110" t="str">
        <f aca="false">IF($B59="","",SUMIFS('الحركات الشهرية'!$D$6:$D$1005,'الحركات الشهرية'!$B$6:$B$1005,$B59,'الحركات الشهرية'!$A$6:$A$1005,$C$3))</f>
        <v/>
      </c>
      <c r="H59" s="110" t="str">
        <f aca="false">IF($B59="","",SUMIFS('الحركات الشهرية'!$E$6:$E$1005,'الحركات الشهرية'!$B$6:$B$1005,$B59,'الحركات الشهرية'!$A$6:$A$1005,$C$3))</f>
        <v/>
      </c>
      <c r="I59" s="110" t="str">
        <f aca="false">IF($B59="","",MAX(0,F59-G59-H59))</f>
        <v/>
      </c>
      <c r="J59" s="90" t="str">
        <f aca="false">IF($B59="","",الموظفون!$J59*$I59/cfg_DAYS_M)</f>
        <v/>
      </c>
      <c r="K59" s="90" t="str">
        <f aca="false">IF($B59="","",الموظفون!$K59*$I59/cfg_DAYS_M)</f>
        <v/>
      </c>
      <c r="L59" s="90" t="str">
        <f aca="false">IF($B59="","",الموظفون!$L59*$I59/cfg_DAYS_M)</f>
        <v/>
      </c>
      <c r="M59" s="90" t="str">
        <f aca="false">IF($B59="","",الموظفون!$M59*$I59/cfg_DAYS_M)</f>
        <v/>
      </c>
      <c r="N59" s="110" t="str">
        <f aca="false">IF($B59="","",SUMIFS('الحركات الشهرية'!$F$6:$F$1005,'الحركات الشهرية'!$B$6:$B$1005,$B59,'الحركات الشهرية'!$A$6:$A$1005,$C$3))</f>
        <v/>
      </c>
      <c r="O59" s="90" t="str">
        <f aca="false">IF($B59="","",N59*(الموظفون!$N59+الموظفون!$J59*cfg_OT_P)/cfg_DAYS_M/cfg_HRS)</f>
        <v/>
      </c>
      <c r="P59" s="90" t="str">
        <f aca="false">IF($B59="","",SUMIFS('الحركات الشهرية'!$G$6:$G$1005,'الحركات الشهرية'!$B$6:$B$1005,$B59,'الحركات الشهرية'!$A$6:$A$1005,$C$3))</f>
        <v/>
      </c>
      <c r="Q59" s="90" t="str">
        <f aca="false">IF($B59="","",SUMIFS('الحركات الشهرية'!$H$6:$H$1005,'الحركات الشهرية'!$B$6:$B$1005,$B59,'الحركات الشهرية'!$A$6:$A$1005,$C$3))</f>
        <v/>
      </c>
      <c r="R59" s="111" t="str">
        <f aca="false">IF($B59="","",SUM(J59:M59)+SUM(O59:Q59))</f>
        <v/>
      </c>
      <c r="S59" s="90" t="str">
        <f aca="false">IF($B59="","",الموظفون!$Q59*IF(E59="سعودي",cfg_G_SE,cfg_G_NE)*F59/cfg_DAYS_M)</f>
        <v/>
      </c>
      <c r="T59" s="90" t="str">
        <f aca="false">IF($B59="","",SUMIFS('الحركات الشهرية'!$I$6:$I$1005,'الحركات الشهرية'!$B$6:$B$1005,$B59,'الحركات الشهرية'!$A$6:$A$1005,$C$3))</f>
        <v/>
      </c>
      <c r="U59" s="90" t="str">
        <f aca="false">IF($B59="","",SUMIFS('الحركات الشهرية'!$J$6:$J$1005,'الحركات الشهرية'!$B$6:$B$1005,$B59,'الحركات الشهرية'!$A$6:$A$1005,$C$3))</f>
        <v/>
      </c>
      <c r="V59" s="90" t="str">
        <f aca="false">IF($B59="","",SUM(S59:U59))</f>
        <v/>
      </c>
      <c r="W59" s="112" t="str">
        <f aca="false">IF($B59="","",R59-V59)</f>
        <v/>
      </c>
      <c r="X59" s="90" t="str">
        <f aca="false">IF($B59="","",الموظفون!$Q59*IF(E59="سعودي",cfg_G_SR,cfg_G_NR)*F59/cfg_DAYS_M)</f>
        <v/>
      </c>
      <c r="Y59" s="90" t="str">
        <f aca="false">IF($B59="","",الموظفون!$O59*(cfg_EOS_R1*(MIN(AC59,cfg_EOS_TH)-MIN(AD59,cfg_EOS_TH))+cfg_EOS_R2*(MAX(AC59-cfg_EOS_TH,0)-MAX(AD59-cfg_EOS_TH,0))))</f>
        <v/>
      </c>
      <c r="Z59" s="90" t="str">
        <f aca="false">IF($B59="","",IF(الموظفون!$R59&lt;&gt;"",الموظفون!$R59,IF(AC59&gt;=cfg_LV_TH,cfg_LV_D2,cfg_LV_D1))/cfg_DAYS_Y*AE59*الموظفون!$P59/cfg_DAYS_M)</f>
        <v/>
      </c>
      <c r="AA59" s="90" t="str">
        <f aca="false">IF($B59="","",IF(AND(الموظفون!$S59="نعم",N(الموظفون!$U59)&gt;0),الموظفون!$T59/الموظفون!$U59*12/cfg_DAYS_Y*AE59,0))</f>
        <v/>
      </c>
      <c r="AB59" s="113" t="str">
        <f aca="false">IF($B59="","",R59+SUM(X59:AA59))</f>
        <v/>
      </c>
      <c r="AC59" s="114" t="str">
        <f aca="false">IF($B59="","",MAX(0,IF(OR(الموظفون!$X59="",الموظفون!$X59&gt;$G$3),$G$3,الموظفون!$X59)-الموظفون!$H59+1)/cfg_DAYS_Y)</f>
        <v/>
      </c>
      <c r="AD59" s="114" t="str">
        <f aca="false">IF($B59="","",MAX(0,IF(OR(الموظفون!$X59="",الموظفون!$X59&gt;($E$3-1)),($E$3-1),الموظفون!$X59)-الموظفون!$H59+1)/cfg_DAYS_Y)</f>
        <v/>
      </c>
      <c r="AE59" s="115" t="str">
        <f aca="false">IF($B59="","",MAX(0,IF(OR(الموظفون!$X59="",الموظفون!$X59&gt;$G$3),$G$3,الموظفون!$X59)-MAX($E$3,الموظفون!$H59)+1))</f>
        <v/>
      </c>
    </row>
    <row r="60" customFormat="false" ht="15" hidden="false" customHeight="false" outlineLevel="0" collapsed="false">
      <c r="A60" s="83" t="str">
        <f aca="false">IF($B60="","",الموظفون!$A60)</f>
        <v/>
      </c>
      <c r="B60" s="74" t="str">
        <f aca="false">IF(الموظفون!$B60="","",الموظفون!$B60)</f>
        <v/>
      </c>
      <c r="C60" s="74" t="str">
        <f aca="false">IF($B60="","",الموظفون!$C60)</f>
        <v/>
      </c>
      <c r="D60" s="74" t="str">
        <f aca="false">IF($B60="","",الموظفون!$F60)</f>
        <v/>
      </c>
      <c r="E60" s="74" t="str">
        <f aca="false">IF($B60="","",الموظفون!$E60)</f>
        <v/>
      </c>
      <c r="F60" s="105" t="str">
        <f aca="false">IF($B60="","",IF(AE60&gt;=DAY($G$3),cfg_DAYS_M,MIN(AE60,cfg_DAYS_M)))</f>
        <v/>
      </c>
      <c r="G60" s="105" t="str">
        <f aca="false">IF($B60="","",SUMIFS('الحركات الشهرية'!$D$6:$D$1005,'الحركات الشهرية'!$B$6:$B$1005,$B60,'الحركات الشهرية'!$A$6:$A$1005,$C$3))</f>
        <v/>
      </c>
      <c r="H60" s="105" t="str">
        <f aca="false">IF($B60="","",SUMIFS('الحركات الشهرية'!$E$6:$E$1005,'الحركات الشهرية'!$B$6:$B$1005,$B60,'الحركات الشهرية'!$A$6:$A$1005,$C$3))</f>
        <v/>
      </c>
      <c r="I60" s="105" t="str">
        <f aca="false">IF($B60="","",MAX(0,F60-G60-H60))</f>
        <v/>
      </c>
      <c r="J60" s="86" t="str">
        <f aca="false">IF($B60="","",الموظفون!$J60*$I60/cfg_DAYS_M)</f>
        <v/>
      </c>
      <c r="K60" s="86" t="str">
        <f aca="false">IF($B60="","",الموظفون!$K60*$I60/cfg_DAYS_M)</f>
        <v/>
      </c>
      <c r="L60" s="86" t="str">
        <f aca="false">IF($B60="","",الموظفون!$L60*$I60/cfg_DAYS_M)</f>
        <v/>
      </c>
      <c r="M60" s="86" t="str">
        <f aca="false">IF($B60="","",الموظفون!$M60*$I60/cfg_DAYS_M)</f>
        <v/>
      </c>
      <c r="N60" s="105" t="str">
        <f aca="false">IF($B60="","",SUMIFS('الحركات الشهرية'!$F$6:$F$1005,'الحركات الشهرية'!$B$6:$B$1005,$B60,'الحركات الشهرية'!$A$6:$A$1005,$C$3))</f>
        <v/>
      </c>
      <c r="O60" s="86" t="str">
        <f aca="false">IF($B60="","",N60*(الموظفون!$N60+الموظفون!$J60*cfg_OT_P)/cfg_DAYS_M/cfg_HRS)</f>
        <v/>
      </c>
      <c r="P60" s="86" t="str">
        <f aca="false">IF($B60="","",SUMIFS('الحركات الشهرية'!$G$6:$G$1005,'الحركات الشهرية'!$B$6:$B$1005,$B60,'الحركات الشهرية'!$A$6:$A$1005,$C$3))</f>
        <v/>
      </c>
      <c r="Q60" s="86" t="str">
        <f aca="false">IF($B60="","",SUMIFS('الحركات الشهرية'!$H$6:$H$1005,'الحركات الشهرية'!$B$6:$B$1005,$B60,'الحركات الشهرية'!$A$6:$A$1005,$C$3))</f>
        <v/>
      </c>
      <c r="R60" s="106" t="str">
        <f aca="false">IF($B60="","",SUM(J60:M60)+SUM(O60:Q60))</f>
        <v/>
      </c>
      <c r="S60" s="86" t="str">
        <f aca="false">IF($B60="","",الموظفون!$Q60*IF(E60="سعودي",cfg_G_SE,cfg_G_NE)*F60/cfg_DAYS_M)</f>
        <v/>
      </c>
      <c r="T60" s="86" t="str">
        <f aca="false">IF($B60="","",SUMIFS('الحركات الشهرية'!$I$6:$I$1005,'الحركات الشهرية'!$B$6:$B$1005,$B60,'الحركات الشهرية'!$A$6:$A$1005,$C$3))</f>
        <v/>
      </c>
      <c r="U60" s="86" t="str">
        <f aca="false">IF($B60="","",SUMIFS('الحركات الشهرية'!$J$6:$J$1005,'الحركات الشهرية'!$B$6:$B$1005,$B60,'الحركات الشهرية'!$A$6:$A$1005,$C$3))</f>
        <v/>
      </c>
      <c r="V60" s="86" t="str">
        <f aca="false">IF($B60="","",SUM(S60:U60))</f>
        <v/>
      </c>
      <c r="W60" s="107" t="str">
        <f aca="false">IF($B60="","",R60-V60)</f>
        <v/>
      </c>
      <c r="X60" s="86" t="str">
        <f aca="false">IF($B60="","",الموظفون!$Q60*IF(E60="سعودي",cfg_G_SR,cfg_G_NR)*F60/cfg_DAYS_M)</f>
        <v/>
      </c>
      <c r="Y60" s="86" t="str">
        <f aca="false">IF($B60="","",الموظفون!$O60*(cfg_EOS_R1*(MIN(AC60,cfg_EOS_TH)-MIN(AD60,cfg_EOS_TH))+cfg_EOS_R2*(MAX(AC60-cfg_EOS_TH,0)-MAX(AD60-cfg_EOS_TH,0))))</f>
        <v/>
      </c>
      <c r="Z60" s="86" t="str">
        <f aca="false">IF($B60="","",IF(الموظفون!$R60&lt;&gt;"",الموظفون!$R60,IF(AC60&gt;=cfg_LV_TH,cfg_LV_D2,cfg_LV_D1))/cfg_DAYS_Y*AE60*الموظفون!$P60/cfg_DAYS_M)</f>
        <v/>
      </c>
      <c r="AA60" s="86" t="str">
        <f aca="false">IF($B60="","",IF(AND(الموظفون!$S60="نعم",N(الموظفون!$U60)&gt;0),الموظفون!$T60/الموظفون!$U60*12/cfg_DAYS_Y*AE60,0))</f>
        <v/>
      </c>
      <c r="AB60" s="108" t="str">
        <f aca="false">IF($B60="","",R60+SUM(X60:AA60))</f>
        <v/>
      </c>
      <c r="AC60" s="109" t="str">
        <f aca="false">IF($B60="","",MAX(0,IF(OR(الموظفون!$X60="",الموظفون!$X60&gt;$G$3),$G$3,الموظفون!$X60)-الموظفون!$H60+1)/cfg_DAYS_Y)</f>
        <v/>
      </c>
      <c r="AD60" s="109" t="str">
        <f aca="false">IF($B60="","",MAX(0,IF(OR(الموظفون!$X60="",الموظفون!$X60&gt;($E$3-1)),($E$3-1),الموظفون!$X60)-الموظفون!$H60+1)/cfg_DAYS_Y)</f>
        <v/>
      </c>
      <c r="AE60" s="51" t="str">
        <f aca="false">IF($B60="","",MAX(0,IF(OR(الموظفون!$X60="",الموظفون!$X60&gt;$G$3),$G$3,الموظفون!$X60)-MAX($E$3,الموظفون!$H60)+1))</f>
        <v/>
      </c>
    </row>
    <row r="61" customFormat="false" ht="15" hidden="false" customHeight="false" outlineLevel="0" collapsed="false">
      <c r="A61" s="89" t="str">
        <f aca="false">IF($B61="","",الموظفون!$A61)</f>
        <v/>
      </c>
      <c r="B61" s="91" t="str">
        <f aca="false">IF(الموظفون!$B61="","",الموظفون!$B61)</f>
        <v/>
      </c>
      <c r="C61" s="91" t="str">
        <f aca="false">IF($B61="","",الموظفون!$C61)</f>
        <v/>
      </c>
      <c r="D61" s="91" t="str">
        <f aca="false">IF($B61="","",الموظفون!$F61)</f>
        <v/>
      </c>
      <c r="E61" s="91" t="str">
        <f aca="false">IF($B61="","",الموظفون!$E61)</f>
        <v/>
      </c>
      <c r="F61" s="110" t="str">
        <f aca="false">IF($B61="","",IF(AE61&gt;=DAY($G$3),cfg_DAYS_M,MIN(AE61,cfg_DAYS_M)))</f>
        <v/>
      </c>
      <c r="G61" s="110" t="str">
        <f aca="false">IF($B61="","",SUMIFS('الحركات الشهرية'!$D$6:$D$1005,'الحركات الشهرية'!$B$6:$B$1005,$B61,'الحركات الشهرية'!$A$6:$A$1005,$C$3))</f>
        <v/>
      </c>
      <c r="H61" s="110" t="str">
        <f aca="false">IF($B61="","",SUMIFS('الحركات الشهرية'!$E$6:$E$1005,'الحركات الشهرية'!$B$6:$B$1005,$B61,'الحركات الشهرية'!$A$6:$A$1005,$C$3))</f>
        <v/>
      </c>
      <c r="I61" s="110" t="str">
        <f aca="false">IF($B61="","",MAX(0,F61-G61-H61))</f>
        <v/>
      </c>
      <c r="J61" s="90" t="str">
        <f aca="false">IF($B61="","",الموظفون!$J61*$I61/cfg_DAYS_M)</f>
        <v/>
      </c>
      <c r="K61" s="90" t="str">
        <f aca="false">IF($B61="","",الموظفون!$K61*$I61/cfg_DAYS_M)</f>
        <v/>
      </c>
      <c r="L61" s="90" t="str">
        <f aca="false">IF($B61="","",الموظفون!$L61*$I61/cfg_DAYS_M)</f>
        <v/>
      </c>
      <c r="M61" s="90" t="str">
        <f aca="false">IF($B61="","",الموظفون!$M61*$I61/cfg_DAYS_M)</f>
        <v/>
      </c>
      <c r="N61" s="110" t="str">
        <f aca="false">IF($B61="","",SUMIFS('الحركات الشهرية'!$F$6:$F$1005,'الحركات الشهرية'!$B$6:$B$1005,$B61,'الحركات الشهرية'!$A$6:$A$1005,$C$3))</f>
        <v/>
      </c>
      <c r="O61" s="90" t="str">
        <f aca="false">IF($B61="","",N61*(الموظفون!$N61+الموظفون!$J61*cfg_OT_P)/cfg_DAYS_M/cfg_HRS)</f>
        <v/>
      </c>
      <c r="P61" s="90" t="str">
        <f aca="false">IF($B61="","",SUMIFS('الحركات الشهرية'!$G$6:$G$1005,'الحركات الشهرية'!$B$6:$B$1005,$B61,'الحركات الشهرية'!$A$6:$A$1005,$C$3))</f>
        <v/>
      </c>
      <c r="Q61" s="90" t="str">
        <f aca="false">IF($B61="","",SUMIFS('الحركات الشهرية'!$H$6:$H$1005,'الحركات الشهرية'!$B$6:$B$1005,$B61,'الحركات الشهرية'!$A$6:$A$1005,$C$3))</f>
        <v/>
      </c>
      <c r="R61" s="111" t="str">
        <f aca="false">IF($B61="","",SUM(J61:M61)+SUM(O61:Q61))</f>
        <v/>
      </c>
      <c r="S61" s="90" t="str">
        <f aca="false">IF($B61="","",الموظفون!$Q61*IF(E61="سعودي",cfg_G_SE,cfg_G_NE)*F61/cfg_DAYS_M)</f>
        <v/>
      </c>
      <c r="T61" s="90" t="str">
        <f aca="false">IF($B61="","",SUMIFS('الحركات الشهرية'!$I$6:$I$1005,'الحركات الشهرية'!$B$6:$B$1005,$B61,'الحركات الشهرية'!$A$6:$A$1005,$C$3))</f>
        <v/>
      </c>
      <c r="U61" s="90" t="str">
        <f aca="false">IF($B61="","",SUMIFS('الحركات الشهرية'!$J$6:$J$1005,'الحركات الشهرية'!$B$6:$B$1005,$B61,'الحركات الشهرية'!$A$6:$A$1005,$C$3))</f>
        <v/>
      </c>
      <c r="V61" s="90" t="str">
        <f aca="false">IF($B61="","",SUM(S61:U61))</f>
        <v/>
      </c>
      <c r="W61" s="112" t="str">
        <f aca="false">IF($B61="","",R61-V61)</f>
        <v/>
      </c>
      <c r="X61" s="90" t="str">
        <f aca="false">IF($B61="","",الموظفون!$Q61*IF(E61="سعودي",cfg_G_SR,cfg_G_NR)*F61/cfg_DAYS_M)</f>
        <v/>
      </c>
      <c r="Y61" s="90" t="str">
        <f aca="false">IF($B61="","",الموظفون!$O61*(cfg_EOS_R1*(MIN(AC61,cfg_EOS_TH)-MIN(AD61,cfg_EOS_TH))+cfg_EOS_R2*(MAX(AC61-cfg_EOS_TH,0)-MAX(AD61-cfg_EOS_TH,0))))</f>
        <v/>
      </c>
      <c r="Z61" s="90" t="str">
        <f aca="false">IF($B61="","",IF(الموظفون!$R61&lt;&gt;"",الموظفون!$R61,IF(AC61&gt;=cfg_LV_TH,cfg_LV_D2,cfg_LV_D1))/cfg_DAYS_Y*AE61*الموظفون!$P61/cfg_DAYS_M)</f>
        <v/>
      </c>
      <c r="AA61" s="90" t="str">
        <f aca="false">IF($B61="","",IF(AND(الموظفون!$S61="نعم",N(الموظفون!$U61)&gt;0),الموظفون!$T61/الموظفون!$U61*12/cfg_DAYS_Y*AE61,0))</f>
        <v/>
      </c>
      <c r="AB61" s="113" t="str">
        <f aca="false">IF($B61="","",R61+SUM(X61:AA61))</f>
        <v/>
      </c>
      <c r="AC61" s="114" t="str">
        <f aca="false">IF($B61="","",MAX(0,IF(OR(الموظفون!$X61="",الموظفون!$X61&gt;$G$3),$G$3,الموظفون!$X61)-الموظفون!$H61+1)/cfg_DAYS_Y)</f>
        <v/>
      </c>
      <c r="AD61" s="114" t="str">
        <f aca="false">IF($B61="","",MAX(0,IF(OR(الموظفون!$X61="",الموظفون!$X61&gt;($E$3-1)),($E$3-1),الموظفون!$X61)-الموظفون!$H61+1)/cfg_DAYS_Y)</f>
        <v/>
      </c>
      <c r="AE61" s="115" t="str">
        <f aca="false">IF($B61="","",MAX(0,IF(OR(الموظفون!$X61="",الموظفون!$X61&gt;$G$3),$G$3,الموظفون!$X61)-MAX($E$3,الموظفون!$H61)+1))</f>
        <v/>
      </c>
    </row>
    <row r="62" customFormat="false" ht="15" hidden="false" customHeight="false" outlineLevel="0" collapsed="false">
      <c r="A62" s="83" t="str">
        <f aca="false">IF($B62="","",الموظفون!$A62)</f>
        <v/>
      </c>
      <c r="B62" s="74" t="str">
        <f aca="false">IF(الموظفون!$B62="","",الموظفون!$B62)</f>
        <v/>
      </c>
      <c r="C62" s="74" t="str">
        <f aca="false">IF($B62="","",الموظفون!$C62)</f>
        <v/>
      </c>
      <c r="D62" s="74" t="str">
        <f aca="false">IF($B62="","",الموظفون!$F62)</f>
        <v/>
      </c>
      <c r="E62" s="74" t="str">
        <f aca="false">IF($B62="","",الموظفون!$E62)</f>
        <v/>
      </c>
      <c r="F62" s="105" t="str">
        <f aca="false">IF($B62="","",IF(AE62&gt;=DAY($G$3),cfg_DAYS_M,MIN(AE62,cfg_DAYS_M)))</f>
        <v/>
      </c>
      <c r="G62" s="105" t="str">
        <f aca="false">IF($B62="","",SUMIFS('الحركات الشهرية'!$D$6:$D$1005,'الحركات الشهرية'!$B$6:$B$1005,$B62,'الحركات الشهرية'!$A$6:$A$1005,$C$3))</f>
        <v/>
      </c>
      <c r="H62" s="105" t="str">
        <f aca="false">IF($B62="","",SUMIFS('الحركات الشهرية'!$E$6:$E$1005,'الحركات الشهرية'!$B$6:$B$1005,$B62,'الحركات الشهرية'!$A$6:$A$1005,$C$3))</f>
        <v/>
      </c>
      <c r="I62" s="105" t="str">
        <f aca="false">IF($B62="","",MAX(0,F62-G62-H62))</f>
        <v/>
      </c>
      <c r="J62" s="86" t="str">
        <f aca="false">IF($B62="","",الموظفون!$J62*$I62/cfg_DAYS_M)</f>
        <v/>
      </c>
      <c r="K62" s="86" t="str">
        <f aca="false">IF($B62="","",الموظفون!$K62*$I62/cfg_DAYS_M)</f>
        <v/>
      </c>
      <c r="L62" s="86" t="str">
        <f aca="false">IF($B62="","",الموظفون!$L62*$I62/cfg_DAYS_M)</f>
        <v/>
      </c>
      <c r="M62" s="86" t="str">
        <f aca="false">IF($B62="","",الموظفون!$M62*$I62/cfg_DAYS_M)</f>
        <v/>
      </c>
      <c r="N62" s="105" t="str">
        <f aca="false">IF($B62="","",SUMIFS('الحركات الشهرية'!$F$6:$F$1005,'الحركات الشهرية'!$B$6:$B$1005,$B62,'الحركات الشهرية'!$A$6:$A$1005,$C$3))</f>
        <v/>
      </c>
      <c r="O62" s="86" t="str">
        <f aca="false">IF($B62="","",N62*(الموظفون!$N62+الموظفون!$J62*cfg_OT_P)/cfg_DAYS_M/cfg_HRS)</f>
        <v/>
      </c>
      <c r="P62" s="86" t="str">
        <f aca="false">IF($B62="","",SUMIFS('الحركات الشهرية'!$G$6:$G$1005,'الحركات الشهرية'!$B$6:$B$1005,$B62,'الحركات الشهرية'!$A$6:$A$1005,$C$3))</f>
        <v/>
      </c>
      <c r="Q62" s="86" t="str">
        <f aca="false">IF($B62="","",SUMIFS('الحركات الشهرية'!$H$6:$H$1005,'الحركات الشهرية'!$B$6:$B$1005,$B62,'الحركات الشهرية'!$A$6:$A$1005,$C$3))</f>
        <v/>
      </c>
      <c r="R62" s="106" t="str">
        <f aca="false">IF($B62="","",SUM(J62:M62)+SUM(O62:Q62))</f>
        <v/>
      </c>
      <c r="S62" s="86" t="str">
        <f aca="false">IF($B62="","",الموظفون!$Q62*IF(E62="سعودي",cfg_G_SE,cfg_G_NE)*F62/cfg_DAYS_M)</f>
        <v/>
      </c>
      <c r="T62" s="86" t="str">
        <f aca="false">IF($B62="","",SUMIFS('الحركات الشهرية'!$I$6:$I$1005,'الحركات الشهرية'!$B$6:$B$1005,$B62,'الحركات الشهرية'!$A$6:$A$1005,$C$3))</f>
        <v/>
      </c>
      <c r="U62" s="86" t="str">
        <f aca="false">IF($B62="","",SUMIFS('الحركات الشهرية'!$J$6:$J$1005,'الحركات الشهرية'!$B$6:$B$1005,$B62,'الحركات الشهرية'!$A$6:$A$1005,$C$3))</f>
        <v/>
      </c>
      <c r="V62" s="86" t="str">
        <f aca="false">IF($B62="","",SUM(S62:U62))</f>
        <v/>
      </c>
      <c r="W62" s="107" t="str">
        <f aca="false">IF($B62="","",R62-V62)</f>
        <v/>
      </c>
      <c r="X62" s="86" t="str">
        <f aca="false">IF($B62="","",الموظفون!$Q62*IF(E62="سعودي",cfg_G_SR,cfg_G_NR)*F62/cfg_DAYS_M)</f>
        <v/>
      </c>
      <c r="Y62" s="86" t="str">
        <f aca="false">IF($B62="","",الموظفون!$O62*(cfg_EOS_R1*(MIN(AC62,cfg_EOS_TH)-MIN(AD62,cfg_EOS_TH))+cfg_EOS_R2*(MAX(AC62-cfg_EOS_TH,0)-MAX(AD62-cfg_EOS_TH,0))))</f>
        <v/>
      </c>
      <c r="Z62" s="86" t="str">
        <f aca="false">IF($B62="","",IF(الموظفون!$R62&lt;&gt;"",الموظفون!$R62,IF(AC62&gt;=cfg_LV_TH,cfg_LV_D2,cfg_LV_D1))/cfg_DAYS_Y*AE62*الموظفون!$P62/cfg_DAYS_M)</f>
        <v/>
      </c>
      <c r="AA62" s="86" t="str">
        <f aca="false">IF($B62="","",IF(AND(الموظفون!$S62="نعم",N(الموظفون!$U62)&gt;0),الموظفون!$T62/الموظفون!$U62*12/cfg_DAYS_Y*AE62,0))</f>
        <v/>
      </c>
      <c r="AB62" s="108" t="str">
        <f aca="false">IF($B62="","",R62+SUM(X62:AA62))</f>
        <v/>
      </c>
      <c r="AC62" s="109" t="str">
        <f aca="false">IF($B62="","",MAX(0,IF(OR(الموظفون!$X62="",الموظفون!$X62&gt;$G$3),$G$3,الموظفون!$X62)-الموظفون!$H62+1)/cfg_DAYS_Y)</f>
        <v/>
      </c>
      <c r="AD62" s="109" t="str">
        <f aca="false">IF($B62="","",MAX(0,IF(OR(الموظفون!$X62="",الموظفون!$X62&gt;($E$3-1)),($E$3-1),الموظفون!$X62)-الموظفون!$H62+1)/cfg_DAYS_Y)</f>
        <v/>
      </c>
      <c r="AE62" s="51" t="str">
        <f aca="false">IF($B62="","",MAX(0,IF(OR(الموظفون!$X62="",الموظفون!$X62&gt;$G$3),$G$3,الموظفون!$X62)-MAX($E$3,الموظفون!$H62)+1))</f>
        <v/>
      </c>
    </row>
    <row r="63" customFormat="false" ht="15" hidden="false" customHeight="false" outlineLevel="0" collapsed="false">
      <c r="A63" s="89" t="str">
        <f aca="false">IF($B63="","",الموظفون!$A63)</f>
        <v/>
      </c>
      <c r="B63" s="91" t="str">
        <f aca="false">IF(الموظفون!$B63="","",الموظفون!$B63)</f>
        <v/>
      </c>
      <c r="C63" s="91" t="str">
        <f aca="false">IF($B63="","",الموظفون!$C63)</f>
        <v/>
      </c>
      <c r="D63" s="91" t="str">
        <f aca="false">IF($B63="","",الموظفون!$F63)</f>
        <v/>
      </c>
      <c r="E63" s="91" t="str">
        <f aca="false">IF($B63="","",الموظفون!$E63)</f>
        <v/>
      </c>
      <c r="F63" s="110" t="str">
        <f aca="false">IF($B63="","",IF(AE63&gt;=DAY($G$3),cfg_DAYS_M,MIN(AE63,cfg_DAYS_M)))</f>
        <v/>
      </c>
      <c r="G63" s="110" t="str">
        <f aca="false">IF($B63="","",SUMIFS('الحركات الشهرية'!$D$6:$D$1005,'الحركات الشهرية'!$B$6:$B$1005,$B63,'الحركات الشهرية'!$A$6:$A$1005,$C$3))</f>
        <v/>
      </c>
      <c r="H63" s="110" t="str">
        <f aca="false">IF($B63="","",SUMIFS('الحركات الشهرية'!$E$6:$E$1005,'الحركات الشهرية'!$B$6:$B$1005,$B63,'الحركات الشهرية'!$A$6:$A$1005,$C$3))</f>
        <v/>
      </c>
      <c r="I63" s="110" t="str">
        <f aca="false">IF($B63="","",MAX(0,F63-G63-H63))</f>
        <v/>
      </c>
      <c r="J63" s="90" t="str">
        <f aca="false">IF($B63="","",الموظفون!$J63*$I63/cfg_DAYS_M)</f>
        <v/>
      </c>
      <c r="K63" s="90" t="str">
        <f aca="false">IF($B63="","",الموظفون!$K63*$I63/cfg_DAYS_M)</f>
        <v/>
      </c>
      <c r="L63" s="90" t="str">
        <f aca="false">IF($B63="","",الموظفون!$L63*$I63/cfg_DAYS_M)</f>
        <v/>
      </c>
      <c r="M63" s="90" t="str">
        <f aca="false">IF($B63="","",الموظفون!$M63*$I63/cfg_DAYS_M)</f>
        <v/>
      </c>
      <c r="N63" s="110" t="str">
        <f aca="false">IF($B63="","",SUMIFS('الحركات الشهرية'!$F$6:$F$1005,'الحركات الشهرية'!$B$6:$B$1005,$B63,'الحركات الشهرية'!$A$6:$A$1005,$C$3))</f>
        <v/>
      </c>
      <c r="O63" s="90" t="str">
        <f aca="false">IF($B63="","",N63*(الموظفون!$N63+الموظفون!$J63*cfg_OT_P)/cfg_DAYS_M/cfg_HRS)</f>
        <v/>
      </c>
      <c r="P63" s="90" t="str">
        <f aca="false">IF($B63="","",SUMIFS('الحركات الشهرية'!$G$6:$G$1005,'الحركات الشهرية'!$B$6:$B$1005,$B63,'الحركات الشهرية'!$A$6:$A$1005,$C$3))</f>
        <v/>
      </c>
      <c r="Q63" s="90" t="str">
        <f aca="false">IF($B63="","",SUMIFS('الحركات الشهرية'!$H$6:$H$1005,'الحركات الشهرية'!$B$6:$B$1005,$B63,'الحركات الشهرية'!$A$6:$A$1005,$C$3))</f>
        <v/>
      </c>
      <c r="R63" s="111" t="str">
        <f aca="false">IF($B63="","",SUM(J63:M63)+SUM(O63:Q63))</f>
        <v/>
      </c>
      <c r="S63" s="90" t="str">
        <f aca="false">IF($B63="","",الموظفون!$Q63*IF(E63="سعودي",cfg_G_SE,cfg_G_NE)*F63/cfg_DAYS_M)</f>
        <v/>
      </c>
      <c r="T63" s="90" t="str">
        <f aca="false">IF($B63="","",SUMIFS('الحركات الشهرية'!$I$6:$I$1005,'الحركات الشهرية'!$B$6:$B$1005,$B63,'الحركات الشهرية'!$A$6:$A$1005,$C$3))</f>
        <v/>
      </c>
      <c r="U63" s="90" t="str">
        <f aca="false">IF($B63="","",SUMIFS('الحركات الشهرية'!$J$6:$J$1005,'الحركات الشهرية'!$B$6:$B$1005,$B63,'الحركات الشهرية'!$A$6:$A$1005,$C$3))</f>
        <v/>
      </c>
      <c r="V63" s="90" t="str">
        <f aca="false">IF($B63="","",SUM(S63:U63))</f>
        <v/>
      </c>
      <c r="W63" s="112" t="str">
        <f aca="false">IF($B63="","",R63-V63)</f>
        <v/>
      </c>
      <c r="X63" s="90" t="str">
        <f aca="false">IF($B63="","",الموظفون!$Q63*IF(E63="سعودي",cfg_G_SR,cfg_G_NR)*F63/cfg_DAYS_M)</f>
        <v/>
      </c>
      <c r="Y63" s="90" t="str">
        <f aca="false">IF($B63="","",الموظفون!$O63*(cfg_EOS_R1*(MIN(AC63,cfg_EOS_TH)-MIN(AD63,cfg_EOS_TH))+cfg_EOS_R2*(MAX(AC63-cfg_EOS_TH,0)-MAX(AD63-cfg_EOS_TH,0))))</f>
        <v/>
      </c>
      <c r="Z63" s="90" t="str">
        <f aca="false">IF($B63="","",IF(الموظفون!$R63&lt;&gt;"",الموظفون!$R63,IF(AC63&gt;=cfg_LV_TH,cfg_LV_D2,cfg_LV_D1))/cfg_DAYS_Y*AE63*الموظفون!$P63/cfg_DAYS_M)</f>
        <v/>
      </c>
      <c r="AA63" s="90" t="str">
        <f aca="false">IF($B63="","",IF(AND(الموظفون!$S63="نعم",N(الموظفون!$U63)&gt;0),الموظفون!$T63/الموظفون!$U63*12/cfg_DAYS_Y*AE63,0))</f>
        <v/>
      </c>
      <c r="AB63" s="113" t="str">
        <f aca="false">IF($B63="","",R63+SUM(X63:AA63))</f>
        <v/>
      </c>
      <c r="AC63" s="114" t="str">
        <f aca="false">IF($B63="","",MAX(0,IF(OR(الموظفون!$X63="",الموظفون!$X63&gt;$G$3),$G$3,الموظفون!$X63)-الموظفون!$H63+1)/cfg_DAYS_Y)</f>
        <v/>
      </c>
      <c r="AD63" s="114" t="str">
        <f aca="false">IF($B63="","",MAX(0,IF(OR(الموظفون!$X63="",الموظفون!$X63&gt;($E$3-1)),($E$3-1),الموظفون!$X63)-الموظفون!$H63+1)/cfg_DAYS_Y)</f>
        <v/>
      </c>
      <c r="AE63" s="115" t="str">
        <f aca="false">IF($B63="","",MAX(0,IF(OR(الموظفون!$X63="",الموظفون!$X63&gt;$G$3),$G$3,الموظفون!$X63)-MAX($E$3,الموظفون!$H63)+1))</f>
        <v/>
      </c>
    </row>
    <row r="64" customFormat="false" ht="15" hidden="false" customHeight="false" outlineLevel="0" collapsed="false">
      <c r="A64" s="83" t="str">
        <f aca="false">IF($B64="","",الموظفون!$A64)</f>
        <v/>
      </c>
      <c r="B64" s="74" t="str">
        <f aca="false">IF(الموظفون!$B64="","",الموظفون!$B64)</f>
        <v/>
      </c>
      <c r="C64" s="74" t="str">
        <f aca="false">IF($B64="","",الموظفون!$C64)</f>
        <v/>
      </c>
      <c r="D64" s="74" t="str">
        <f aca="false">IF($B64="","",الموظفون!$F64)</f>
        <v/>
      </c>
      <c r="E64" s="74" t="str">
        <f aca="false">IF($B64="","",الموظفون!$E64)</f>
        <v/>
      </c>
      <c r="F64" s="105" t="str">
        <f aca="false">IF($B64="","",IF(AE64&gt;=DAY($G$3),cfg_DAYS_M,MIN(AE64,cfg_DAYS_M)))</f>
        <v/>
      </c>
      <c r="G64" s="105" t="str">
        <f aca="false">IF($B64="","",SUMIFS('الحركات الشهرية'!$D$6:$D$1005,'الحركات الشهرية'!$B$6:$B$1005,$B64,'الحركات الشهرية'!$A$6:$A$1005,$C$3))</f>
        <v/>
      </c>
      <c r="H64" s="105" t="str">
        <f aca="false">IF($B64="","",SUMIFS('الحركات الشهرية'!$E$6:$E$1005,'الحركات الشهرية'!$B$6:$B$1005,$B64,'الحركات الشهرية'!$A$6:$A$1005,$C$3))</f>
        <v/>
      </c>
      <c r="I64" s="105" t="str">
        <f aca="false">IF($B64="","",MAX(0,F64-G64-H64))</f>
        <v/>
      </c>
      <c r="J64" s="86" t="str">
        <f aca="false">IF($B64="","",الموظفون!$J64*$I64/cfg_DAYS_M)</f>
        <v/>
      </c>
      <c r="K64" s="86" t="str">
        <f aca="false">IF($B64="","",الموظفون!$K64*$I64/cfg_DAYS_M)</f>
        <v/>
      </c>
      <c r="L64" s="86" t="str">
        <f aca="false">IF($B64="","",الموظفون!$L64*$I64/cfg_DAYS_M)</f>
        <v/>
      </c>
      <c r="M64" s="86" t="str">
        <f aca="false">IF($B64="","",الموظفون!$M64*$I64/cfg_DAYS_M)</f>
        <v/>
      </c>
      <c r="N64" s="105" t="str">
        <f aca="false">IF($B64="","",SUMIFS('الحركات الشهرية'!$F$6:$F$1005,'الحركات الشهرية'!$B$6:$B$1005,$B64,'الحركات الشهرية'!$A$6:$A$1005,$C$3))</f>
        <v/>
      </c>
      <c r="O64" s="86" t="str">
        <f aca="false">IF($B64="","",N64*(الموظفون!$N64+الموظفون!$J64*cfg_OT_P)/cfg_DAYS_M/cfg_HRS)</f>
        <v/>
      </c>
      <c r="P64" s="86" t="str">
        <f aca="false">IF($B64="","",SUMIFS('الحركات الشهرية'!$G$6:$G$1005,'الحركات الشهرية'!$B$6:$B$1005,$B64,'الحركات الشهرية'!$A$6:$A$1005,$C$3))</f>
        <v/>
      </c>
      <c r="Q64" s="86" t="str">
        <f aca="false">IF($B64="","",SUMIFS('الحركات الشهرية'!$H$6:$H$1005,'الحركات الشهرية'!$B$6:$B$1005,$B64,'الحركات الشهرية'!$A$6:$A$1005,$C$3))</f>
        <v/>
      </c>
      <c r="R64" s="106" t="str">
        <f aca="false">IF($B64="","",SUM(J64:M64)+SUM(O64:Q64))</f>
        <v/>
      </c>
      <c r="S64" s="86" t="str">
        <f aca="false">IF($B64="","",الموظفون!$Q64*IF(E64="سعودي",cfg_G_SE,cfg_G_NE)*F64/cfg_DAYS_M)</f>
        <v/>
      </c>
      <c r="T64" s="86" t="str">
        <f aca="false">IF($B64="","",SUMIFS('الحركات الشهرية'!$I$6:$I$1005,'الحركات الشهرية'!$B$6:$B$1005,$B64,'الحركات الشهرية'!$A$6:$A$1005,$C$3))</f>
        <v/>
      </c>
      <c r="U64" s="86" t="str">
        <f aca="false">IF($B64="","",SUMIFS('الحركات الشهرية'!$J$6:$J$1005,'الحركات الشهرية'!$B$6:$B$1005,$B64,'الحركات الشهرية'!$A$6:$A$1005,$C$3))</f>
        <v/>
      </c>
      <c r="V64" s="86" t="str">
        <f aca="false">IF($B64="","",SUM(S64:U64))</f>
        <v/>
      </c>
      <c r="W64" s="107" t="str">
        <f aca="false">IF($B64="","",R64-V64)</f>
        <v/>
      </c>
      <c r="X64" s="86" t="str">
        <f aca="false">IF($B64="","",الموظفون!$Q64*IF(E64="سعودي",cfg_G_SR,cfg_G_NR)*F64/cfg_DAYS_M)</f>
        <v/>
      </c>
      <c r="Y64" s="86" t="str">
        <f aca="false">IF($B64="","",الموظفون!$O64*(cfg_EOS_R1*(MIN(AC64,cfg_EOS_TH)-MIN(AD64,cfg_EOS_TH))+cfg_EOS_R2*(MAX(AC64-cfg_EOS_TH,0)-MAX(AD64-cfg_EOS_TH,0))))</f>
        <v/>
      </c>
      <c r="Z64" s="86" t="str">
        <f aca="false">IF($B64="","",IF(الموظفون!$R64&lt;&gt;"",الموظفون!$R64,IF(AC64&gt;=cfg_LV_TH,cfg_LV_D2,cfg_LV_D1))/cfg_DAYS_Y*AE64*الموظفون!$P64/cfg_DAYS_M)</f>
        <v/>
      </c>
      <c r="AA64" s="86" t="str">
        <f aca="false">IF($B64="","",IF(AND(الموظفون!$S64="نعم",N(الموظفون!$U64)&gt;0),الموظفون!$T64/الموظفون!$U64*12/cfg_DAYS_Y*AE64,0))</f>
        <v/>
      </c>
      <c r="AB64" s="108" t="str">
        <f aca="false">IF($B64="","",R64+SUM(X64:AA64))</f>
        <v/>
      </c>
      <c r="AC64" s="109" t="str">
        <f aca="false">IF($B64="","",MAX(0,IF(OR(الموظفون!$X64="",الموظفون!$X64&gt;$G$3),$G$3,الموظفون!$X64)-الموظفون!$H64+1)/cfg_DAYS_Y)</f>
        <v/>
      </c>
      <c r="AD64" s="109" t="str">
        <f aca="false">IF($B64="","",MAX(0,IF(OR(الموظفون!$X64="",الموظفون!$X64&gt;($E$3-1)),($E$3-1),الموظفون!$X64)-الموظفون!$H64+1)/cfg_DAYS_Y)</f>
        <v/>
      </c>
      <c r="AE64" s="51" t="str">
        <f aca="false">IF($B64="","",MAX(0,IF(OR(الموظفون!$X64="",الموظفون!$X64&gt;$G$3),$G$3,الموظفون!$X64)-MAX($E$3,الموظفون!$H64)+1))</f>
        <v/>
      </c>
    </row>
    <row r="65" customFormat="false" ht="15" hidden="false" customHeight="false" outlineLevel="0" collapsed="false">
      <c r="A65" s="89" t="str">
        <f aca="false">IF($B65="","",الموظفون!$A65)</f>
        <v/>
      </c>
      <c r="B65" s="91" t="str">
        <f aca="false">IF(الموظفون!$B65="","",الموظفون!$B65)</f>
        <v/>
      </c>
      <c r="C65" s="91" t="str">
        <f aca="false">IF($B65="","",الموظفون!$C65)</f>
        <v/>
      </c>
      <c r="D65" s="91" t="str">
        <f aca="false">IF($B65="","",الموظفون!$F65)</f>
        <v/>
      </c>
      <c r="E65" s="91" t="str">
        <f aca="false">IF($B65="","",الموظفون!$E65)</f>
        <v/>
      </c>
      <c r="F65" s="110" t="str">
        <f aca="false">IF($B65="","",IF(AE65&gt;=DAY($G$3),cfg_DAYS_M,MIN(AE65,cfg_DAYS_M)))</f>
        <v/>
      </c>
      <c r="G65" s="110" t="str">
        <f aca="false">IF($B65="","",SUMIFS('الحركات الشهرية'!$D$6:$D$1005,'الحركات الشهرية'!$B$6:$B$1005,$B65,'الحركات الشهرية'!$A$6:$A$1005,$C$3))</f>
        <v/>
      </c>
      <c r="H65" s="110" t="str">
        <f aca="false">IF($B65="","",SUMIFS('الحركات الشهرية'!$E$6:$E$1005,'الحركات الشهرية'!$B$6:$B$1005,$B65,'الحركات الشهرية'!$A$6:$A$1005,$C$3))</f>
        <v/>
      </c>
      <c r="I65" s="110" t="str">
        <f aca="false">IF($B65="","",MAX(0,F65-G65-H65))</f>
        <v/>
      </c>
      <c r="J65" s="90" t="str">
        <f aca="false">IF($B65="","",الموظفون!$J65*$I65/cfg_DAYS_M)</f>
        <v/>
      </c>
      <c r="K65" s="90" t="str">
        <f aca="false">IF($B65="","",الموظفون!$K65*$I65/cfg_DAYS_M)</f>
        <v/>
      </c>
      <c r="L65" s="90" t="str">
        <f aca="false">IF($B65="","",الموظفون!$L65*$I65/cfg_DAYS_M)</f>
        <v/>
      </c>
      <c r="M65" s="90" t="str">
        <f aca="false">IF($B65="","",الموظفون!$M65*$I65/cfg_DAYS_M)</f>
        <v/>
      </c>
      <c r="N65" s="110" t="str">
        <f aca="false">IF($B65="","",SUMIFS('الحركات الشهرية'!$F$6:$F$1005,'الحركات الشهرية'!$B$6:$B$1005,$B65,'الحركات الشهرية'!$A$6:$A$1005,$C$3))</f>
        <v/>
      </c>
      <c r="O65" s="90" t="str">
        <f aca="false">IF($B65="","",N65*(الموظفون!$N65+الموظفون!$J65*cfg_OT_P)/cfg_DAYS_M/cfg_HRS)</f>
        <v/>
      </c>
      <c r="P65" s="90" t="str">
        <f aca="false">IF($B65="","",SUMIFS('الحركات الشهرية'!$G$6:$G$1005,'الحركات الشهرية'!$B$6:$B$1005,$B65,'الحركات الشهرية'!$A$6:$A$1005,$C$3))</f>
        <v/>
      </c>
      <c r="Q65" s="90" t="str">
        <f aca="false">IF($B65="","",SUMIFS('الحركات الشهرية'!$H$6:$H$1005,'الحركات الشهرية'!$B$6:$B$1005,$B65,'الحركات الشهرية'!$A$6:$A$1005,$C$3))</f>
        <v/>
      </c>
      <c r="R65" s="111" t="str">
        <f aca="false">IF($B65="","",SUM(J65:M65)+SUM(O65:Q65))</f>
        <v/>
      </c>
      <c r="S65" s="90" t="str">
        <f aca="false">IF($B65="","",الموظفون!$Q65*IF(E65="سعودي",cfg_G_SE,cfg_G_NE)*F65/cfg_DAYS_M)</f>
        <v/>
      </c>
      <c r="T65" s="90" t="str">
        <f aca="false">IF($B65="","",SUMIFS('الحركات الشهرية'!$I$6:$I$1005,'الحركات الشهرية'!$B$6:$B$1005,$B65,'الحركات الشهرية'!$A$6:$A$1005,$C$3))</f>
        <v/>
      </c>
      <c r="U65" s="90" t="str">
        <f aca="false">IF($B65="","",SUMIFS('الحركات الشهرية'!$J$6:$J$1005,'الحركات الشهرية'!$B$6:$B$1005,$B65,'الحركات الشهرية'!$A$6:$A$1005,$C$3))</f>
        <v/>
      </c>
      <c r="V65" s="90" t="str">
        <f aca="false">IF($B65="","",SUM(S65:U65))</f>
        <v/>
      </c>
      <c r="W65" s="112" t="str">
        <f aca="false">IF($B65="","",R65-V65)</f>
        <v/>
      </c>
      <c r="X65" s="90" t="str">
        <f aca="false">IF($B65="","",الموظفون!$Q65*IF(E65="سعودي",cfg_G_SR,cfg_G_NR)*F65/cfg_DAYS_M)</f>
        <v/>
      </c>
      <c r="Y65" s="90" t="str">
        <f aca="false">IF($B65="","",الموظفون!$O65*(cfg_EOS_R1*(MIN(AC65,cfg_EOS_TH)-MIN(AD65,cfg_EOS_TH))+cfg_EOS_R2*(MAX(AC65-cfg_EOS_TH,0)-MAX(AD65-cfg_EOS_TH,0))))</f>
        <v/>
      </c>
      <c r="Z65" s="90" t="str">
        <f aca="false">IF($B65="","",IF(الموظفون!$R65&lt;&gt;"",الموظفون!$R65,IF(AC65&gt;=cfg_LV_TH,cfg_LV_D2,cfg_LV_D1))/cfg_DAYS_Y*AE65*الموظفون!$P65/cfg_DAYS_M)</f>
        <v/>
      </c>
      <c r="AA65" s="90" t="str">
        <f aca="false">IF($B65="","",IF(AND(الموظفون!$S65="نعم",N(الموظفون!$U65)&gt;0),الموظفون!$T65/الموظفون!$U65*12/cfg_DAYS_Y*AE65,0))</f>
        <v/>
      </c>
      <c r="AB65" s="113" t="str">
        <f aca="false">IF($B65="","",R65+SUM(X65:AA65))</f>
        <v/>
      </c>
      <c r="AC65" s="114" t="str">
        <f aca="false">IF($B65="","",MAX(0,IF(OR(الموظفون!$X65="",الموظفون!$X65&gt;$G$3),$G$3,الموظفون!$X65)-الموظفون!$H65+1)/cfg_DAYS_Y)</f>
        <v/>
      </c>
      <c r="AD65" s="114" t="str">
        <f aca="false">IF($B65="","",MAX(0,IF(OR(الموظفون!$X65="",الموظفون!$X65&gt;($E$3-1)),($E$3-1),الموظفون!$X65)-الموظفون!$H65+1)/cfg_DAYS_Y)</f>
        <v/>
      </c>
      <c r="AE65" s="115" t="str">
        <f aca="false">IF($B65="","",MAX(0,IF(OR(الموظفون!$X65="",الموظفون!$X65&gt;$G$3),$G$3,الموظفون!$X65)-MAX($E$3,الموظفون!$H65)+1))</f>
        <v/>
      </c>
    </row>
    <row r="66" customFormat="false" ht="15" hidden="false" customHeight="false" outlineLevel="0" collapsed="false">
      <c r="A66" s="83" t="str">
        <f aca="false">IF($B66="","",الموظفون!$A66)</f>
        <v/>
      </c>
      <c r="B66" s="74" t="str">
        <f aca="false">IF(الموظفون!$B66="","",الموظفون!$B66)</f>
        <v/>
      </c>
      <c r="C66" s="74" t="str">
        <f aca="false">IF($B66="","",الموظفون!$C66)</f>
        <v/>
      </c>
      <c r="D66" s="74" t="str">
        <f aca="false">IF($B66="","",الموظفون!$F66)</f>
        <v/>
      </c>
      <c r="E66" s="74" t="str">
        <f aca="false">IF($B66="","",الموظفون!$E66)</f>
        <v/>
      </c>
      <c r="F66" s="105" t="str">
        <f aca="false">IF($B66="","",IF(AE66&gt;=DAY($G$3),cfg_DAYS_M,MIN(AE66,cfg_DAYS_M)))</f>
        <v/>
      </c>
      <c r="G66" s="105" t="str">
        <f aca="false">IF($B66="","",SUMIFS('الحركات الشهرية'!$D$6:$D$1005,'الحركات الشهرية'!$B$6:$B$1005,$B66,'الحركات الشهرية'!$A$6:$A$1005,$C$3))</f>
        <v/>
      </c>
      <c r="H66" s="105" t="str">
        <f aca="false">IF($B66="","",SUMIFS('الحركات الشهرية'!$E$6:$E$1005,'الحركات الشهرية'!$B$6:$B$1005,$B66,'الحركات الشهرية'!$A$6:$A$1005,$C$3))</f>
        <v/>
      </c>
      <c r="I66" s="105" t="str">
        <f aca="false">IF($B66="","",MAX(0,F66-G66-H66))</f>
        <v/>
      </c>
      <c r="J66" s="86" t="str">
        <f aca="false">IF($B66="","",الموظفون!$J66*$I66/cfg_DAYS_M)</f>
        <v/>
      </c>
      <c r="K66" s="86" t="str">
        <f aca="false">IF($B66="","",الموظفون!$K66*$I66/cfg_DAYS_M)</f>
        <v/>
      </c>
      <c r="L66" s="86" t="str">
        <f aca="false">IF($B66="","",الموظفون!$L66*$I66/cfg_DAYS_M)</f>
        <v/>
      </c>
      <c r="M66" s="86" t="str">
        <f aca="false">IF($B66="","",الموظفون!$M66*$I66/cfg_DAYS_M)</f>
        <v/>
      </c>
      <c r="N66" s="105" t="str">
        <f aca="false">IF($B66="","",SUMIFS('الحركات الشهرية'!$F$6:$F$1005,'الحركات الشهرية'!$B$6:$B$1005,$B66,'الحركات الشهرية'!$A$6:$A$1005,$C$3))</f>
        <v/>
      </c>
      <c r="O66" s="86" t="str">
        <f aca="false">IF($B66="","",N66*(الموظفون!$N66+الموظفون!$J66*cfg_OT_P)/cfg_DAYS_M/cfg_HRS)</f>
        <v/>
      </c>
      <c r="P66" s="86" t="str">
        <f aca="false">IF($B66="","",SUMIFS('الحركات الشهرية'!$G$6:$G$1005,'الحركات الشهرية'!$B$6:$B$1005,$B66,'الحركات الشهرية'!$A$6:$A$1005,$C$3))</f>
        <v/>
      </c>
      <c r="Q66" s="86" t="str">
        <f aca="false">IF($B66="","",SUMIFS('الحركات الشهرية'!$H$6:$H$1005,'الحركات الشهرية'!$B$6:$B$1005,$B66,'الحركات الشهرية'!$A$6:$A$1005,$C$3))</f>
        <v/>
      </c>
      <c r="R66" s="106" t="str">
        <f aca="false">IF($B66="","",SUM(J66:M66)+SUM(O66:Q66))</f>
        <v/>
      </c>
      <c r="S66" s="86" t="str">
        <f aca="false">IF($B66="","",الموظفون!$Q66*IF(E66="سعودي",cfg_G_SE,cfg_G_NE)*F66/cfg_DAYS_M)</f>
        <v/>
      </c>
      <c r="T66" s="86" t="str">
        <f aca="false">IF($B66="","",SUMIFS('الحركات الشهرية'!$I$6:$I$1005,'الحركات الشهرية'!$B$6:$B$1005,$B66,'الحركات الشهرية'!$A$6:$A$1005,$C$3))</f>
        <v/>
      </c>
      <c r="U66" s="86" t="str">
        <f aca="false">IF($B66="","",SUMIFS('الحركات الشهرية'!$J$6:$J$1005,'الحركات الشهرية'!$B$6:$B$1005,$B66,'الحركات الشهرية'!$A$6:$A$1005,$C$3))</f>
        <v/>
      </c>
      <c r="V66" s="86" t="str">
        <f aca="false">IF($B66="","",SUM(S66:U66))</f>
        <v/>
      </c>
      <c r="W66" s="107" t="str">
        <f aca="false">IF($B66="","",R66-V66)</f>
        <v/>
      </c>
      <c r="X66" s="86" t="str">
        <f aca="false">IF($B66="","",الموظفون!$Q66*IF(E66="سعودي",cfg_G_SR,cfg_G_NR)*F66/cfg_DAYS_M)</f>
        <v/>
      </c>
      <c r="Y66" s="86" t="str">
        <f aca="false">IF($B66="","",الموظفون!$O66*(cfg_EOS_R1*(MIN(AC66,cfg_EOS_TH)-MIN(AD66,cfg_EOS_TH))+cfg_EOS_R2*(MAX(AC66-cfg_EOS_TH,0)-MAX(AD66-cfg_EOS_TH,0))))</f>
        <v/>
      </c>
      <c r="Z66" s="86" t="str">
        <f aca="false">IF($B66="","",IF(الموظفون!$R66&lt;&gt;"",الموظفون!$R66,IF(AC66&gt;=cfg_LV_TH,cfg_LV_D2,cfg_LV_D1))/cfg_DAYS_Y*AE66*الموظفون!$P66/cfg_DAYS_M)</f>
        <v/>
      </c>
      <c r="AA66" s="86" t="str">
        <f aca="false">IF($B66="","",IF(AND(الموظفون!$S66="نعم",N(الموظفون!$U66)&gt;0),الموظفون!$T66/الموظفون!$U66*12/cfg_DAYS_Y*AE66,0))</f>
        <v/>
      </c>
      <c r="AB66" s="108" t="str">
        <f aca="false">IF($B66="","",R66+SUM(X66:AA66))</f>
        <v/>
      </c>
      <c r="AC66" s="109" t="str">
        <f aca="false">IF($B66="","",MAX(0,IF(OR(الموظفون!$X66="",الموظفون!$X66&gt;$G$3),$G$3,الموظفون!$X66)-الموظفون!$H66+1)/cfg_DAYS_Y)</f>
        <v/>
      </c>
      <c r="AD66" s="109" t="str">
        <f aca="false">IF($B66="","",MAX(0,IF(OR(الموظفون!$X66="",الموظفون!$X66&gt;($E$3-1)),($E$3-1),الموظفون!$X66)-الموظفون!$H66+1)/cfg_DAYS_Y)</f>
        <v/>
      </c>
      <c r="AE66" s="51" t="str">
        <f aca="false">IF($B66="","",MAX(0,IF(OR(الموظفون!$X66="",الموظفون!$X66&gt;$G$3),$G$3,الموظفون!$X66)-MAX($E$3,الموظفون!$H66)+1))</f>
        <v/>
      </c>
    </row>
    <row r="67" customFormat="false" ht="15" hidden="false" customHeight="false" outlineLevel="0" collapsed="false">
      <c r="A67" s="89" t="str">
        <f aca="false">IF($B67="","",الموظفون!$A67)</f>
        <v/>
      </c>
      <c r="B67" s="91" t="str">
        <f aca="false">IF(الموظفون!$B67="","",الموظفون!$B67)</f>
        <v/>
      </c>
      <c r="C67" s="91" t="str">
        <f aca="false">IF($B67="","",الموظفون!$C67)</f>
        <v/>
      </c>
      <c r="D67" s="91" t="str">
        <f aca="false">IF($B67="","",الموظفون!$F67)</f>
        <v/>
      </c>
      <c r="E67" s="91" t="str">
        <f aca="false">IF($B67="","",الموظفون!$E67)</f>
        <v/>
      </c>
      <c r="F67" s="110" t="str">
        <f aca="false">IF($B67="","",IF(AE67&gt;=DAY($G$3),cfg_DAYS_M,MIN(AE67,cfg_DAYS_M)))</f>
        <v/>
      </c>
      <c r="G67" s="110" t="str">
        <f aca="false">IF($B67="","",SUMIFS('الحركات الشهرية'!$D$6:$D$1005,'الحركات الشهرية'!$B$6:$B$1005,$B67,'الحركات الشهرية'!$A$6:$A$1005,$C$3))</f>
        <v/>
      </c>
      <c r="H67" s="110" t="str">
        <f aca="false">IF($B67="","",SUMIFS('الحركات الشهرية'!$E$6:$E$1005,'الحركات الشهرية'!$B$6:$B$1005,$B67,'الحركات الشهرية'!$A$6:$A$1005,$C$3))</f>
        <v/>
      </c>
      <c r="I67" s="110" t="str">
        <f aca="false">IF($B67="","",MAX(0,F67-G67-H67))</f>
        <v/>
      </c>
      <c r="J67" s="90" t="str">
        <f aca="false">IF($B67="","",الموظفون!$J67*$I67/cfg_DAYS_M)</f>
        <v/>
      </c>
      <c r="K67" s="90" t="str">
        <f aca="false">IF($B67="","",الموظفون!$K67*$I67/cfg_DAYS_M)</f>
        <v/>
      </c>
      <c r="L67" s="90" t="str">
        <f aca="false">IF($B67="","",الموظفون!$L67*$I67/cfg_DAYS_M)</f>
        <v/>
      </c>
      <c r="M67" s="90" t="str">
        <f aca="false">IF($B67="","",الموظفون!$M67*$I67/cfg_DAYS_M)</f>
        <v/>
      </c>
      <c r="N67" s="110" t="str">
        <f aca="false">IF($B67="","",SUMIFS('الحركات الشهرية'!$F$6:$F$1005,'الحركات الشهرية'!$B$6:$B$1005,$B67,'الحركات الشهرية'!$A$6:$A$1005,$C$3))</f>
        <v/>
      </c>
      <c r="O67" s="90" t="str">
        <f aca="false">IF($B67="","",N67*(الموظفون!$N67+الموظفون!$J67*cfg_OT_P)/cfg_DAYS_M/cfg_HRS)</f>
        <v/>
      </c>
      <c r="P67" s="90" t="str">
        <f aca="false">IF($B67="","",SUMIFS('الحركات الشهرية'!$G$6:$G$1005,'الحركات الشهرية'!$B$6:$B$1005,$B67,'الحركات الشهرية'!$A$6:$A$1005,$C$3))</f>
        <v/>
      </c>
      <c r="Q67" s="90" t="str">
        <f aca="false">IF($B67="","",SUMIFS('الحركات الشهرية'!$H$6:$H$1005,'الحركات الشهرية'!$B$6:$B$1005,$B67,'الحركات الشهرية'!$A$6:$A$1005,$C$3))</f>
        <v/>
      </c>
      <c r="R67" s="111" t="str">
        <f aca="false">IF($B67="","",SUM(J67:M67)+SUM(O67:Q67))</f>
        <v/>
      </c>
      <c r="S67" s="90" t="str">
        <f aca="false">IF($B67="","",الموظفون!$Q67*IF(E67="سعودي",cfg_G_SE,cfg_G_NE)*F67/cfg_DAYS_M)</f>
        <v/>
      </c>
      <c r="T67" s="90" t="str">
        <f aca="false">IF($B67="","",SUMIFS('الحركات الشهرية'!$I$6:$I$1005,'الحركات الشهرية'!$B$6:$B$1005,$B67,'الحركات الشهرية'!$A$6:$A$1005,$C$3))</f>
        <v/>
      </c>
      <c r="U67" s="90" t="str">
        <f aca="false">IF($B67="","",SUMIFS('الحركات الشهرية'!$J$6:$J$1005,'الحركات الشهرية'!$B$6:$B$1005,$B67,'الحركات الشهرية'!$A$6:$A$1005,$C$3))</f>
        <v/>
      </c>
      <c r="V67" s="90" t="str">
        <f aca="false">IF($B67="","",SUM(S67:U67))</f>
        <v/>
      </c>
      <c r="W67" s="112" t="str">
        <f aca="false">IF($B67="","",R67-V67)</f>
        <v/>
      </c>
      <c r="X67" s="90" t="str">
        <f aca="false">IF($B67="","",الموظفون!$Q67*IF(E67="سعودي",cfg_G_SR,cfg_G_NR)*F67/cfg_DAYS_M)</f>
        <v/>
      </c>
      <c r="Y67" s="90" t="str">
        <f aca="false">IF($B67="","",الموظفون!$O67*(cfg_EOS_R1*(MIN(AC67,cfg_EOS_TH)-MIN(AD67,cfg_EOS_TH))+cfg_EOS_R2*(MAX(AC67-cfg_EOS_TH,0)-MAX(AD67-cfg_EOS_TH,0))))</f>
        <v/>
      </c>
      <c r="Z67" s="90" t="str">
        <f aca="false">IF($B67="","",IF(الموظفون!$R67&lt;&gt;"",الموظفون!$R67,IF(AC67&gt;=cfg_LV_TH,cfg_LV_D2,cfg_LV_D1))/cfg_DAYS_Y*AE67*الموظفون!$P67/cfg_DAYS_M)</f>
        <v/>
      </c>
      <c r="AA67" s="90" t="str">
        <f aca="false">IF($B67="","",IF(AND(الموظفون!$S67="نعم",N(الموظفون!$U67)&gt;0),الموظفون!$T67/الموظفون!$U67*12/cfg_DAYS_Y*AE67,0))</f>
        <v/>
      </c>
      <c r="AB67" s="113" t="str">
        <f aca="false">IF($B67="","",R67+SUM(X67:AA67))</f>
        <v/>
      </c>
      <c r="AC67" s="114" t="str">
        <f aca="false">IF($B67="","",MAX(0,IF(OR(الموظفون!$X67="",الموظفون!$X67&gt;$G$3),$G$3,الموظفون!$X67)-الموظفون!$H67+1)/cfg_DAYS_Y)</f>
        <v/>
      </c>
      <c r="AD67" s="114" t="str">
        <f aca="false">IF($B67="","",MAX(0,IF(OR(الموظفون!$X67="",الموظفون!$X67&gt;($E$3-1)),($E$3-1),الموظفون!$X67)-الموظفون!$H67+1)/cfg_DAYS_Y)</f>
        <v/>
      </c>
      <c r="AE67" s="115" t="str">
        <f aca="false">IF($B67="","",MAX(0,IF(OR(الموظفون!$X67="",الموظفون!$X67&gt;$G$3),$G$3,الموظفون!$X67)-MAX($E$3,الموظفون!$H67)+1))</f>
        <v/>
      </c>
    </row>
    <row r="68" customFormat="false" ht="15" hidden="false" customHeight="false" outlineLevel="0" collapsed="false">
      <c r="A68" s="83" t="str">
        <f aca="false">IF($B68="","",الموظفون!$A68)</f>
        <v/>
      </c>
      <c r="B68" s="74" t="str">
        <f aca="false">IF(الموظفون!$B68="","",الموظفون!$B68)</f>
        <v/>
      </c>
      <c r="C68" s="74" t="str">
        <f aca="false">IF($B68="","",الموظفون!$C68)</f>
        <v/>
      </c>
      <c r="D68" s="74" t="str">
        <f aca="false">IF($B68="","",الموظفون!$F68)</f>
        <v/>
      </c>
      <c r="E68" s="74" t="str">
        <f aca="false">IF($B68="","",الموظفون!$E68)</f>
        <v/>
      </c>
      <c r="F68" s="105" t="str">
        <f aca="false">IF($B68="","",IF(AE68&gt;=DAY($G$3),cfg_DAYS_M,MIN(AE68,cfg_DAYS_M)))</f>
        <v/>
      </c>
      <c r="G68" s="105" t="str">
        <f aca="false">IF($B68="","",SUMIFS('الحركات الشهرية'!$D$6:$D$1005,'الحركات الشهرية'!$B$6:$B$1005,$B68,'الحركات الشهرية'!$A$6:$A$1005,$C$3))</f>
        <v/>
      </c>
      <c r="H68" s="105" t="str">
        <f aca="false">IF($B68="","",SUMIFS('الحركات الشهرية'!$E$6:$E$1005,'الحركات الشهرية'!$B$6:$B$1005,$B68,'الحركات الشهرية'!$A$6:$A$1005,$C$3))</f>
        <v/>
      </c>
      <c r="I68" s="105" t="str">
        <f aca="false">IF($B68="","",MAX(0,F68-G68-H68))</f>
        <v/>
      </c>
      <c r="J68" s="86" t="str">
        <f aca="false">IF($B68="","",الموظفون!$J68*$I68/cfg_DAYS_M)</f>
        <v/>
      </c>
      <c r="K68" s="86" t="str">
        <f aca="false">IF($B68="","",الموظفون!$K68*$I68/cfg_DAYS_M)</f>
        <v/>
      </c>
      <c r="L68" s="86" t="str">
        <f aca="false">IF($B68="","",الموظفون!$L68*$I68/cfg_DAYS_M)</f>
        <v/>
      </c>
      <c r="M68" s="86" t="str">
        <f aca="false">IF($B68="","",الموظفون!$M68*$I68/cfg_DAYS_M)</f>
        <v/>
      </c>
      <c r="N68" s="105" t="str">
        <f aca="false">IF($B68="","",SUMIFS('الحركات الشهرية'!$F$6:$F$1005,'الحركات الشهرية'!$B$6:$B$1005,$B68,'الحركات الشهرية'!$A$6:$A$1005,$C$3))</f>
        <v/>
      </c>
      <c r="O68" s="86" t="str">
        <f aca="false">IF($B68="","",N68*(الموظفون!$N68+الموظفون!$J68*cfg_OT_P)/cfg_DAYS_M/cfg_HRS)</f>
        <v/>
      </c>
      <c r="P68" s="86" t="str">
        <f aca="false">IF($B68="","",SUMIFS('الحركات الشهرية'!$G$6:$G$1005,'الحركات الشهرية'!$B$6:$B$1005,$B68,'الحركات الشهرية'!$A$6:$A$1005,$C$3))</f>
        <v/>
      </c>
      <c r="Q68" s="86" t="str">
        <f aca="false">IF($B68="","",SUMIFS('الحركات الشهرية'!$H$6:$H$1005,'الحركات الشهرية'!$B$6:$B$1005,$B68,'الحركات الشهرية'!$A$6:$A$1005,$C$3))</f>
        <v/>
      </c>
      <c r="R68" s="106" t="str">
        <f aca="false">IF($B68="","",SUM(J68:M68)+SUM(O68:Q68))</f>
        <v/>
      </c>
      <c r="S68" s="86" t="str">
        <f aca="false">IF($B68="","",الموظفون!$Q68*IF(E68="سعودي",cfg_G_SE,cfg_G_NE)*F68/cfg_DAYS_M)</f>
        <v/>
      </c>
      <c r="T68" s="86" t="str">
        <f aca="false">IF($B68="","",SUMIFS('الحركات الشهرية'!$I$6:$I$1005,'الحركات الشهرية'!$B$6:$B$1005,$B68,'الحركات الشهرية'!$A$6:$A$1005,$C$3))</f>
        <v/>
      </c>
      <c r="U68" s="86" t="str">
        <f aca="false">IF($B68="","",SUMIFS('الحركات الشهرية'!$J$6:$J$1005,'الحركات الشهرية'!$B$6:$B$1005,$B68,'الحركات الشهرية'!$A$6:$A$1005,$C$3))</f>
        <v/>
      </c>
      <c r="V68" s="86" t="str">
        <f aca="false">IF($B68="","",SUM(S68:U68))</f>
        <v/>
      </c>
      <c r="W68" s="107" t="str">
        <f aca="false">IF($B68="","",R68-V68)</f>
        <v/>
      </c>
      <c r="X68" s="86" t="str">
        <f aca="false">IF($B68="","",الموظفون!$Q68*IF(E68="سعودي",cfg_G_SR,cfg_G_NR)*F68/cfg_DAYS_M)</f>
        <v/>
      </c>
      <c r="Y68" s="86" t="str">
        <f aca="false">IF($B68="","",الموظفون!$O68*(cfg_EOS_R1*(MIN(AC68,cfg_EOS_TH)-MIN(AD68,cfg_EOS_TH))+cfg_EOS_R2*(MAX(AC68-cfg_EOS_TH,0)-MAX(AD68-cfg_EOS_TH,0))))</f>
        <v/>
      </c>
      <c r="Z68" s="86" t="str">
        <f aca="false">IF($B68="","",IF(الموظفون!$R68&lt;&gt;"",الموظفون!$R68,IF(AC68&gt;=cfg_LV_TH,cfg_LV_D2,cfg_LV_D1))/cfg_DAYS_Y*AE68*الموظفون!$P68/cfg_DAYS_M)</f>
        <v/>
      </c>
      <c r="AA68" s="86" t="str">
        <f aca="false">IF($B68="","",IF(AND(الموظفون!$S68="نعم",N(الموظفون!$U68)&gt;0),الموظفون!$T68/الموظفون!$U68*12/cfg_DAYS_Y*AE68,0))</f>
        <v/>
      </c>
      <c r="AB68" s="108" t="str">
        <f aca="false">IF($B68="","",R68+SUM(X68:AA68))</f>
        <v/>
      </c>
      <c r="AC68" s="109" t="str">
        <f aca="false">IF($B68="","",MAX(0,IF(OR(الموظفون!$X68="",الموظفون!$X68&gt;$G$3),$G$3,الموظفون!$X68)-الموظفون!$H68+1)/cfg_DAYS_Y)</f>
        <v/>
      </c>
      <c r="AD68" s="109" t="str">
        <f aca="false">IF($B68="","",MAX(0,IF(OR(الموظفون!$X68="",الموظفون!$X68&gt;($E$3-1)),($E$3-1),الموظفون!$X68)-الموظفون!$H68+1)/cfg_DAYS_Y)</f>
        <v/>
      </c>
      <c r="AE68" s="51" t="str">
        <f aca="false">IF($B68="","",MAX(0,IF(OR(الموظفون!$X68="",الموظفون!$X68&gt;$G$3),$G$3,الموظفون!$X68)-MAX($E$3,الموظفون!$H68)+1))</f>
        <v/>
      </c>
    </row>
    <row r="69" customFormat="false" ht="15" hidden="false" customHeight="false" outlineLevel="0" collapsed="false">
      <c r="A69" s="89" t="str">
        <f aca="false">IF($B69="","",الموظفون!$A69)</f>
        <v/>
      </c>
      <c r="B69" s="91" t="str">
        <f aca="false">IF(الموظفون!$B69="","",الموظفون!$B69)</f>
        <v/>
      </c>
      <c r="C69" s="91" t="str">
        <f aca="false">IF($B69="","",الموظفون!$C69)</f>
        <v/>
      </c>
      <c r="D69" s="91" t="str">
        <f aca="false">IF($B69="","",الموظفون!$F69)</f>
        <v/>
      </c>
      <c r="E69" s="91" t="str">
        <f aca="false">IF($B69="","",الموظفون!$E69)</f>
        <v/>
      </c>
      <c r="F69" s="110" t="str">
        <f aca="false">IF($B69="","",IF(AE69&gt;=DAY($G$3),cfg_DAYS_M,MIN(AE69,cfg_DAYS_M)))</f>
        <v/>
      </c>
      <c r="G69" s="110" t="str">
        <f aca="false">IF($B69="","",SUMIFS('الحركات الشهرية'!$D$6:$D$1005,'الحركات الشهرية'!$B$6:$B$1005,$B69,'الحركات الشهرية'!$A$6:$A$1005,$C$3))</f>
        <v/>
      </c>
      <c r="H69" s="110" t="str">
        <f aca="false">IF($B69="","",SUMIFS('الحركات الشهرية'!$E$6:$E$1005,'الحركات الشهرية'!$B$6:$B$1005,$B69,'الحركات الشهرية'!$A$6:$A$1005,$C$3))</f>
        <v/>
      </c>
      <c r="I69" s="110" t="str">
        <f aca="false">IF($B69="","",MAX(0,F69-G69-H69))</f>
        <v/>
      </c>
      <c r="J69" s="90" t="str">
        <f aca="false">IF($B69="","",الموظفون!$J69*$I69/cfg_DAYS_M)</f>
        <v/>
      </c>
      <c r="K69" s="90" t="str">
        <f aca="false">IF($B69="","",الموظفون!$K69*$I69/cfg_DAYS_M)</f>
        <v/>
      </c>
      <c r="L69" s="90" t="str">
        <f aca="false">IF($B69="","",الموظفون!$L69*$I69/cfg_DAYS_M)</f>
        <v/>
      </c>
      <c r="M69" s="90" t="str">
        <f aca="false">IF($B69="","",الموظفون!$M69*$I69/cfg_DAYS_M)</f>
        <v/>
      </c>
      <c r="N69" s="110" t="str">
        <f aca="false">IF($B69="","",SUMIFS('الحركات الشهرية'!$F$6:$F$1005,'الحركات الشهرية'!$B$6:$B$1005,$B69,'الحركات الشهرية'!$A$6:$A$1005,$C$3))</f>
        <v/>
      </c>
      <c r="O69" s="90" t="str">
        <f aca="false">IF($B69="","",N69*(الموظفون!$N69+الموظفون!$J69*cfg_OT_P)/cfg_DAYS_M/cfg_HRS)</f>
        <v/>
      </c>
      <c r="P69" s="90" t="str">
        <f aca="false">IF($B69="","",SUMIFS('الحركات الشهرية'!$G$6:$G$1005,'الحركات الشهرية'!$B$6:$B$1005,$B69,'الحركات الشهرية'!$A$6:$A$1005,$C$3))</f>
        <v/>
      </c>
      <c r="Q69" s="90" t="str">
        <f aca="false">IF($B69="","",SUMIFS('الحركات الشهرية'!$H$6:$H$1005,'الحركات الشهرية'!$B$6:$B$1005,$B69,'الحركات الشهرية'!$A$6:$A$1005,$C$3))</f>
        <v/>
      </c>
      <c r="R69" s="111" t="str">
        <f aca="false">IF($B69="","",SUM(J69:M69)+SUM(O69:Q69))</f>
        <v/>
      </c>
      <c r="S69" s="90" t="str">
        <f aca="false">IF($B69="","",الموظفون!$Q69*IF(E69="سعودي",cfg_G_SE,cfg_G_NE)*F69/cfg_DAYS_M)</f>
        <v/>
      </c>
      <c r="T69" s="90" t="str">
        <f aca="false">IF($B69="","",SUMIFS('الحركات الشهرية'!$I$6:$I$1005,'الحركات الشهرية'!$B$6:$B$1005,$B69,'الحركات الشهرية'!$A$6:$A$1005,$C$3))</f>
        <v/>
      </c>
      <c r="U69" s="90" t="str">
        <f aca="false">IF($B69="","",SUMIFS('الحركات الشهرية'!$J$6:$J$1005,'الحركات الشهرية'!$B$6:$B$1005,$B69,'الحركات الشهرية'!$A$6:$A$1005,$C$3))</f>
        <v/>
      </c>
      <c r="V69" s="90" t="str">
        <f aca="false">IF($B69="","",SUM(S69:U69))</f>
        <v/>
      </c>
      <c r="W69" s="112" t="str">
        <f aca="false">IF($B69="","",R69-V69)</f>
        <v/>
      </c>
      <c r="X69" s="90" t="str">
        <f aca="false">IF($B69="","",الموظفون!$Q69*IF(E69="سعودي",cfg_G_SR,cfg_G_NR)*F69/cfg_DAYS_M)</f>
        <v/>
      </c>
      <c r="Y69" s="90" t="str">
        <f aca="false">IF($B69="","",الموظفون!$O69*(cfg_EOS_R1*(MIN(AC69,cfg_EOS_TH)-MIN(AD69,cfg_EOS_TH))+cfg_EOS_R2*(MAX(AC69-cfg_EOS_TH,0)-MAX(AD69-cfg_EOS_TH,0))))</f>
        <v/>
      </c>
      <c r="Z69" s="90" t="str">
        <f aca="false">IF($B69="","",IF(الموظفون!$R69&lt;&gt;"",الموظفون!$R69,IF(AC69&gt;=cfg_LV_TH,cfg_LV_D2,cfg_LV_D1))/cfg_DAYS_Y*AE69*الموظفون!$P69/cfg_DAYS_M)</f>
        <v/>
      </c>
      <c r="AA69" s="90" t="str">
        <f aca="false">IF($B69="","",IF(AND(الموظفون!$S69="نعم",N(الموظفون!$U69)&gt;0),الموظفون!$T69/الموظفون!$U69*12/cfg_DAYS_Y*AE69,0))</f>
        <v/>
      </c>
      <c r="AB69" s="113" t="str">
        <f aca="false">IF($B69="","",R69+SUM(X69:AA69))</f>
        <v/>
      </c>
      <c r="AC69" s="114" t="str">
        <f aca="false">IF($B69="","",MAX(0,IF(OR(الموظفون!$X69="",الموظفون!$X69&gt;$G$3),$G$3,الموظفون!$X69)-الموظفون!$H69+1)/cfg_DAYS_Y)</f>
        <v/>
      </c>
      <c r="AD69" s="114" t="str">
        <f aca="false">IF($B69="","",MAX(0,IF(OR(الموظفون!$X69="",الموظفون!$X69&gt;($E$3-1)),($E$3-1),الموظفون!$X69)-الموظفون!$H69+1)/cfg_DAYS_Y)</f>
        <v/>
      </c>
      <c r="AE69" s="115" t="str">
        <f aca="false">IF($B69="","",MAX(0,IF(OR(الموظفون!$X69="",الموظفون!$X69&gt;$G$3),$G$3,الموظفون!$X69)-MAX($E$3,الموظفون!$H69)+1))</f>
        <v/>
      </c>
    </row>
    <row r="70" customFormat="false" ht="15" hidden="false" customHeight="false" outlineLevel="0" collapsed="false">
      <c r="A70" s="83" t="str">
        <f aca="false">IF($B70="","",الموظفون!$A70)</f>
        <v/>
      </c>
      <c r="B70" s="74" t="str">
        <f aca="false">IF(الموظفون!$B70="","",الموظفون!$B70)</f>
        <v/>
      </c>
      <c r="C70" s="74" t="str">
        <f aca="false">IF($B70="","",الموظفون!$C70)</f>
        <v/>
      </c>
      <c r="D70" s="74" t="str">
        <f aca="false">IF($B70="","",الموظفون!$F70)</f>
        <v/>
      </c>
      <c r="E70" s="74" t="str">
        <f aca="false">IF($B70="","",الموظفون!$E70)</f>
        <v/>
      </c>
      <c r="F70" s="105" t="str">
        <f aca="false">IF($B70="","",IF(AE70&gt;=DAY($G$3),cfg_DAYS_M,MIN(AE70,cfg_DAYS_M)))</f>
        <v/>
      </c>
      <c r="G70" s="105" t="str">
        <f aca="false">IF($B70="","",SUMIFS('الحركات الشهرية'!$D$6:$D$1005,'الحركات الشهرية'!$B$6:$B$1005,$B70,'الحركات الشهرية'!$A$6:$A$1005,$C$3))</f>
        <v/>
      </c>
      <c r="H70" s="105" t="str">
        <f aca="false">IF($B70="","",SUMIFS('الحركات الشهرية'!$E$6:$E$1005,'الحركات الشهرية'!$B$6:$B$1005,$B70,'الحركات الشهرية'!$A$6:$A$1005,$C$3))</f>
        <v/>
      </c>
      <c r="I70" s="105" t="str">
        <f aca="false">IF($B70="","",MAX(0,F70-G70-H70))</f>
        <v/>
      </c>
      <c r="J70" s="86" t="str">
        <f aca="false">IF($B70="","",الموظفون!$J70*$I70/cfg_DAYS_M)</f>
        <v/>
      </c>
      <c r="K70" s="86" t="str">
        <f aca="false">IF($B70="","",الموظفون!$K70*$I70/cfg_DAYS_M)</f>
        <v/>
      </c>
      <c r="L70" s="86" t="str">
        <f aca="false">IF($B70="","",الموظفون!$L70*$I70/cfg_DAYS_M)</f>
        <v/>
      </c>
      <c r="M70" s="86" t="str">
        <f aca="false">IF($B70="","",الموظفون!$M70*$I70/cfg_DAYS_M)</f>
        <v/>
      </c>
      <c r="N70" s="105" t="str">
        <f aca="false">IF($B70="","",SUMIFS('الحركات الشهرية'!$F$6:$F$1005,'الحركات الشهرية'!$B$6:$B$1005,$B70,'الحركات الشهرية'!$A$6:$A$1005,$C$3))</f>
        <v/>
      </c>
      <c r="O70" s="86" t="str">
        <f aca="false">IF($B70="","",N70*(الموظفون!$N70+الموظفون!$J70*cfg_OT_P)/cfg_DAYS_M/cfg_HRS)</f>
        <v/>
      </c>
      <c r="P70" s="86" t="str">
        <f aca="false">IF($B70="","",SUMIFS('الحركات الشهرية'!$G$6:$G$1005,'الحركات الشهرية'!$B$6:$B$1005,$B70,'الحركات الشهرية'!$A$6:$A$1005,$C$3))</f>
        <v/>
      </c>
      <c r="Q70" s="86" t="str">
        <f aca="false">IF($B70="","",SUMIFS('الحركات الشهرية'!$H$6:$H$1005,'الحركات الشهرية'!$B$6:$B$1005,$B70,'الحركات الشهرية'!$A$6:$A$1005,$C$3))</f>
        <v/>
      </c>
      <c r="R70" s="106" t="str">
        <f aca="false">IF($B70="","",SUM(J70:M70)+SUM(O70:Q70))</f>
        <v/>
      </c>
      <c r="S70" s="86" t="str">
        <f aca="false">IF($B70="","",الموظفون!$Q70*IF(E70="سعودي",cfg_G_SE,cfg_G_NE)*F70/cfg_DAYS_M)</f>
        <v/>
      </c>
      <c r="T70" s="86" t="str">
        <f aca="false">IF($B70="","",SUMIFS('الحركات الشهرية'!$I$6:$I$1005,'الحركات الشهرية'!$B$6:$B$1005,$B70,'الحركات الشهرية'!$A$6:$A$1005,$C$3))</f>
        <v/>
      </c>
      <c r="U70" s="86" t="str">
        <f aca="false">IF($B70="","",SUMIFS('الحركات الشهرية'!$J$6:$J$1005,'الحركات الشهرية'!$B$6:$B$1005,$B70,'الحركات الشهرية'!$A$6:$A$1005,$C$3))</f>
        <v/>
      </c>
      <c r="V70" s="86" t="str">
        <f aca="false">IF($B70="","",SUM(S70:U70))</f>
        <v/>
      </c>
      <c r="W70" s="107" t="str">
        <f aca="false">IF($B70="","",R70-V70)</f>
        <v/>
      </c>
      <c r="X70" s="86" t="str">
        <f aca="false">IF($B70="","",الموظفون!$Q70*IF(E70="سعودي",cfg_G_SR,cfg_G_NR)*F70/cfg_DAYS_M)</f>
        <v/>
      </c>
      <c r="Y70" s="86" t="str">
        <f aca="false">IF($B70="","",الموظفون!$O70*(cfg_EOS_R1*(MIN(AC70,cfg_EOS_TH)-MIN(AD70,cfg_EOS_TH))+cfg_EOS_R2*(MAX(AC70-cfg_EOS_TH,0)-MAX(AD70-cfg_EOS_TH,0))))</f>
        <v/>
      </c>
      <c r="Z70" s="86" t="str">
        <f aca="false">IF($B70="","",IF(الموظفون!$R70&lt;&gt;"",الموظفون!$R70,IF(AC70&gt;=cfg_LV_TH,cfg_LV_D2,cfg_LV_D1))/cfg_DAYS_Y*AE70*الموظفون!$P70/cfg_DAYS_M)</f>
        <v/>
      </c>
      <c r="AA70" s="86" t="str">
        <f aca="false">IF($B70="","",IF(AND(الموظفون!$S70="نعم",N(الموظفون!$U70)&gt;0),الموظفون!$T70/الموظفون!$U70*12/cfg_DAYS_Y*AE70,0))</f>
        <v/>
      </c>
      <c r="AB70" s="108" t="str">
        <f aca="false">IF($B70="","",R70+SUM(X70:AA70))</f>
        <v/>
      </c>
      <c r="AC70" s="109" t="str">
        <f aca="false">IF($B70="","",MAX(0,IF(OR(الموظفون!$X70="",الموظفون!$X70&gt;$G$3),$G$3,الموظفون!$X70)-الموظفون!$H70+1)/cfg_DAYS_Y)</f>
        <v/>
      </c>
      <c r="AD70" s="109" t="str">
        <f aca="false">IF($B70="","",MAX(0,IF(OR(الموظفون!$X70="",الموظفون!$X70&gt;($E$3-1)),($E$3-1),الموظفون!$X70)-الموظفون!$H70+1)/cfg_DAYS_Y)</f>
        <v/>
      </c>
      <c r="AE70" s="51" t="str">
        <f aca="false">IF($B70="","",MAX(0,IF(OR(الموظفون!$X70="",الموظفون!$X70&gt;$G$3),$G$3,الموظفون!$X70)-MAX($E$3,الموظفون!$H70)+1))</f>
        <v/>
      </c>
    </row>
    <row r="71" customFormat="false" ht="15" hidden="false" customHeight="false" outlineLevel="0" collapsed="false">
      <c r="A71" s="89" t="str">
        <f aca="false">IF($B71="","",الموظفون!$A71)</f>
        <v/>
      </c>
      <c r="B71" s="91" t="str">
        <f aca="false">IF(الموظفون!$B71="","",الموظفون!$B71)</f>
        <v/>
      </c>
      <c r="C71" s="91" t="str">
        <f aca="false">IF($B71="","",الموظفون!$C71)</f>
        <v/>
      </c>
      <c r="D71" s="91" t="str">
        <f aca="false">IF($B71="","",الموظفون!$F71)</f>
        <v/>
      </c>
      <c r="E71" s="91" t="str">
        <f aca="false">IF($B71="","",الموظفون!$E71)</f>
        <v/>
      </c>
      <c r="F71" s="110" t="str">
        <f aca="false">IF($B71="","",IF(AE71&gt;=DAY($G$3),cfg_DAYS_M,MIN(AE71,cfg_DAYS_M)))</f>
        <v/>
      </c>
      <c r="G71" s="110" t="str">
        <f aca="false">IF($B71="","",SUMIFS('الحركات الشهرية'!$D$6:$D$1005,'الحركات الشهرية'!$B$6:$B$1005,$B71,'الحركات الشهرية'!$A$6:$A$1005,$C$3))</f>
        <v/>
      </c>
      <c r="H71" s="110" t="str">
        <f aca="false">IF($B71="","",SUMIFS('الحركات الشهرية'!$E$6:$E$1005,'الحركات الشهرية'!$B$6:$B$1005,$B71,'الحركات الشهرية'!$A$6:$A$1005,$C$3))</f>
        <v/>
      </c>
      <c r="I71" s="110" t="str">
        <f aca="false">IF($B71="","",MAX(0,F71-G71-H71))</f>
        <v/>
      </c>
      <c r="J71" s="90" t="str">
        <f aca="false">IF($B71="","",الموظفون!$J71*$I71/cfg_DAYS_M)</f>
        <v/>
      </c>
      <c r="K71" s="90" t="str">
        <f aca="false">IF($B71="","",الموظفون!$K71*$I71/cfg_DAYS_M)</f>
        <v/>
      </c>
      <c r="L71" s="90" t="str">
        <f aca="false">IF($B71="","",الموظفون!$L71*$I71/cfg_DAYS_M)</f>
        <v/>
      </c>
      <c r="M71" s="90" t="str">
        <f aca="false">IF($B71="","",الموظفون!$M71*$I71/cfg_DAYS_M)</f>
        <v/>
      </c>
      <c r="N71" s="110" t="str">
        <f aca="false">IF($B71="","",SUMIFS('الحركات الشهرية'!$F$6:$F$1005,'الحركات الشهرية'!$B$6:$B$1005,$B71,'الحركات الشهرية'!$A$6:$A$1005,$C$3))</f>
        <v/>
      </c>
      <c r="O71" s="90" t="str">
        <f aca="false">IF($B71="","",N71*(الموظفون!$N71+الموظفون!$J71*cfg_OT_P)/cfg_DAYS_M/cfg_HRS)</f>
        <v/>
      </c>
      <c r="P71" s="90" t="str">
        <f aca="false">IF($B71="","",SUMIFS('الحركات الشهرية'!$G$6:$G$1005,'الحركات الشهرية'!$B$6:$B$1005,$B71,'الحركات الشهرية'!$A$6:$A$1005,$C$3))</f>
        <v/>
      </c>
      <c r="Q71" s="90" t="str">
        <f aca="false">IF($B71="","",SUMIFS('الحركات الشهرية'!$H$6:$H$1005,'الحركات الشهرية'!$B$6:$B$1005,$B71,'الحركات الشهرية'!$A$6:$A$1005,$C$3))</f>
        <v/>
      </c>
      <c r="R71" s="111" t="str">
        <f aca="false">IF($B71="","",SUM(J71:M71)+SUM(O71:Q71))</f>
        <v/>
      </c>
      <c r="S71" s="90" t="str">
        <f aca="false">IF($B71="","",الموظفون!$Q71*IF(E71="سعودي",cfg_G_SE,cfg_G_NE)*F71/cfg_DAYS_M)</f>
        <v/>
      </c>
      <c r="T71" s="90" t="str">
        <f aca="false">IF($B71="","",SUMIFS('الحركات الشهرية'!$I$6:$I$1005,'الحركات الشهرية'!$B$6:$B$1005,$B71,'الحركات الشهرية'!$A$6:$A$1005,$C$3))</f>
        <v/>
      </c>
      <c r="U71" s="90" t="str">
        <f aca="false">IF($B71="","",SUMIFS('الحركات الشهرية'!$J$6:$J$1005,'الحركات الشهرية'!$B$6:$B$1005,$B71,'الحركات الشهرية'!$A$6:$A$1005,$C$3))</f>
        <v/>
      </c>
      <c r="V71" s="90" t="str">
        <f aca="false">IF($B71="","",SUM(S71:U71))</f>
        <v/>
      </c>
      <c r="W71" s="112" t="str">
        <f aca="false">IF($B71="","",R71-V71)</f>
        <v/>
      </c>
      <c r="X71" s="90" t="str">
        <f aca="false">IF($B71="","",الموظفون!$Q71*IF(E71="سعودي",cfg_G_SR,cfg_G_NR)*F71/cfg_DAYS_M)</f>
        <v/>
      </c>
      <c r="Y71" s="90" t="str">
        <f aca="false">IF($B71="","",الموظفون!$O71*(cfg_EOS_R1*(MIN(AC71,cfg_EOS_TH)-MIN(AD71,cfg_EOS_TH))+cfg_EOS_R2*(MAX(AC71-cfg_EOS_TH,0)-MAX(AD71-cfg_EOS_TH,0))))</f>
        <v/>
      </c>
      <c r="Z71" s="90" t="str">
        <f aca="false">IF($B71="","",IF(الموظفون!$R71&lt;&gt;"",الموظفون!$R71,IF(AC71&gt;=cfg_LV_TH,cfg_LV_D2,cfg_LV_D1))/cfg_DAYS_Y*AE71*الموظفون!$P71/cfg_DAYS_M)</f>
        <v/>
      </c>
      <c r="AA71" s="90" t="str">
        <f aca="false">IF($B71="","",IF(AND(الموظفون!$S71="نعم",N(الموظفون!$U71)&gt;0),الموظفون!$T71/الموظفون!$U71*12/cfg_DAYS_Y*AE71,0))</f>
        <v/>
      </c>
      <c r="AB71" s="113" t="str">
        <f aca="false">IF($B71="","",R71+SUM(X71:AA71))</f>
        <v/>
      </c>
      <c r="AC71" s="114" t="str">
        <f aca="false">IF($B71="","",MAX(0,IF(OR(الموظفون!$X71="",الموظفون!$X71&gt;$G$3),$G$3,الموظفون!$X71)-الموظفون!$H71+1)/cfg_DAYS_Y)</f>
        <v/>
      </c>
      <c r="AD71" s="114" t="str">
        <f aca="false">IF($B71="","",MAX(0,IF(OR(الموظفون!$X71="",الموظفون!$X71&gt;($E$3-1)),($E$3-1),الموظفون!$X71)-الموظفون!$H71+1)/cfg_DAYS_Y)</f>
        <v/>
      </c>
      <c r="AE71" s="115" t="str">
        <f aca="false">IF($B71="","",MAX(0,IF(OR(الموظفون!$X71="",الموظفون!$X71&gt;$G$3),$G$3,الموظفون!$X71)-MAX($E$3,الموظفون!$H71)+1))</f>
        <v/>
      </c>
    </row>
    <row r="72" customFormat="false" ht="15" hidden="false" customHeight="false" outlineLevel="0" collapsed="false">
      <c r="A72" s="83" t="str">
        <f aca="false">IF($B72="","",الموظفون!$A72)</f>
        <v/>
      </c>
      <c r="B72" s="74" t="str">
        <f aca="false">IF(الموظفون!$B72="","",الموظفون!$B72)</f>
        <v/>
      </c>
      <c r="C72" s="74" t="str">
        <f aca="false">IF($B72="","",الموظفون!$C72)</f>
        <v/>
      </c>
      <c r="D72" s="74" t="str">
        <f aca="false">IF($B72="","",الموظفون!$F72)</f>
        <v/>
      </c>
      <c r="E72" s="74" t="str">
        <f aca="false">IF($B72="","",الموظفون!$E72)</f>
        <v/>
      </c>
      <c r="F72" s="105" t="str">
        <f aca="false">IF($B72="","",IF(AE72&gt;=DAY($G$3),cfg_DAYS_M,MIN(AE72,cfg_DAYS_M)))</f>
        <v/>
      </c>
      <c r="G72" s="105" t="str">
        <f aca="false">IF($B72="","",SUMIFS('الحركات الشهرية'!$D$6:$D$1005,'الحركات الشهرية'!$B$6:$B$1005,$B72,'الحركات الشهرية'!$A$6:$A$1005,$C$3))</f>
        <v/>
      </c>
      <c r="H72" s="105" t="str">
        <f aca="false">IF($B72="","",SUMIFS('الحركات الشهرية'!$E$6:$E$1005,'الحركات الشهرية'!$B$6:$B$1005,$B72,'الحركات الشهرية'!$A$6:$A$1005,$C$3))</f>
        <v/>
      </c>
      <c r="I72" s="105" t="str">
        <f aca="false">IF($B72="","",MAX(0,F72-G72-H72))</f>
        <v/>
      </c>
      <c r="J72" s="86" t="str">
        <f aca="false">IF($B72="","",الموظفون!$J72*$I72/cfg_DAYS_M)</f>
        <v/>
      </c>
      <c r="K72" s="86" t="str">
        <f aca="false">IF($B72="","",الموظفون!$K72*$I72/cfg_DAYS_M)</f>
        <v/>
      </c>
      <c r="L72" s="86" t="str">
        <f aca="false">IF($B72="","",الموظفون!$L72*$I72/cfg_DAYS_M)</f>
        <v/>
      </c>
      <c r="M72" s="86" t="str">
        <f aca="false">IF($B72="","",الموظفون!$M72*$I72/cfg_DAYS_M)</f>
        <v/>
      </c>
      <c r="N72" s="105" t="str">
        <f aca="false">IF($B72="","",SUMIFS('الحركات الشهرية'!$F$6:$F$1005,'الحركات الشهرية'!$B$6:$B$1005,$B72,'الحركات الشهرية'!$A$6:$A$1005,$C$3))</f>
        <v/>
      </c>
      <c r="O72" s="86" t="str">
        <f aca="false">IF($B72="","",N72*(الموظفون!$N72+الموظفون!$J72*cfg_OT_P)/cfg_DAYS_M/cfg_HRS)</f>
        <v/>
      </c>
      <c r="P72" s="86" t="str">
        <f aca="false">IF($B72="","",SUMIFS('الحركات الشهرية'!$G$6:$G$1005,'الحركات الشهرية'!$B$6:$B$1005,$B72,'الحركات الشهرية'!$A$6:$A$1005,$C$3))</f>
        <v/>
      </c>
      <c r="Q72" s="86" t="str">
        <f aca="false">IF($B72="","",SUMIFS('الحركات الشهرية'!$H$6:$H$1005,'الحركات الشهرية'!$B$6:$B$1005,$B72,'الحركات الشهرية'!$A$6:$A$1005,$C$3))</f>
        <v/>
      </c>
      <c r="R72" s="106" t="str">
        <f aca="false">IF($B72="","",SUM(J72:M72)+SUM(O72:Q72))</f>
        <v/>
      </c>
      <c r="S72" s="86" t="str">
        <f aca="false">IF($B72="","",الموظفون!$Q72*IF(E72="سعودي",cfg_G_SE,cfg_G_NE)*F72/cfg_DAYS_M)</f>
        <v/>
      </c>
      <c r="T72" s="86" t="str">
        <f aca="false">IF($B72="","",SUMIFS('الحركات الشهرية'!$I$6:$I$1005,'الحركات الشهرية'!$B$6:$B$1005,$B72,'الحركات الشهرية'!$A$6:$A$1005,$C$3))</f>
        <v/>
      </c>
      <c r="U72" s="86" t="str">
        <f aca="false">IF($B72="","",SUMIFS('الحركات الشهرية'!$J$6:$J$1005,'الحركات الشهرية'!$B$6:$B$1005,$B72,'الحركات الشهرية'!$A$6:$A$1005,$C$3))</f>
        <v/>
      </c>
      <c r="V72" s="86" t="str">
        <f aca="false">IF($B72="","",SUM(S72:U72))</f>
        <v/>
      </c>
      <c r="W72" s="107" t="str">
        <f aca="false">IF($B72="","",R72-V72)</f>
        <v/>
      </c>
      <c r="X72" s="86" t="str">
        <f aca="false">IF($B72="","",الموظفون!$Q72*IF(E72="سعودي",cfg_G_SR,cfg_G_NR)*F72/cfg_DAYS_M)</f>
        <v/>
      </c>
      <c r="Y72" s="86" t="str">
        <f aca="false">IF($B72="","",الموظفون!$O72*(cfg_EOS_R1*(MIN(AC72,cfg_EOS_TH)-MIN(AD72,cfg_EOS_TH))+cfg_EOS_R2*(MAX(AC72-cfg_EOS_TH,0)-MAX(AD72-cfg_EOS_TH,0))))</f>
        <v/>
      </c>
      <c r="Z72" s="86" t="str">
        <f aca="false">IF($B72="","",IF(الموظفون!$R72&lt;&gt;"",الموظفون!$R72,IF(AC72&gt;=cfg_LV_TH,cfg_LV_D2,cfg_LV_D1))/cfg_DAYS_Y*AE72*الموظفون!$P72/cfg_DAYS_M)</f>
        <v/>
      </c>
      <c r="AA72" s="86" t="str">
        <f aca="false">IF($B72="","",IF(AND(الموظفون!$S72="نعم",N(الموظفون!$U72)&gt;0),الموظفون!$T72/الموظفون!$U72*12/cfg_DAYS_Y*AE72,0))</f>
        <v/>
      </c>
      <c r="AB72" s="108" t="str">
        <f aca="false">IF($B72="","",R72+SUM(X72:AA72))</f>
        <v/>
      </c>
      <c r="AC72" s="109" t="str">
        <f aca="false">IF($B72="","",MAX(0,IF(OR(الموظفون!$X72="",الموظفون!$X72&gt;$G$3),$G$3,الموظفون!$X72)-الموظفون!$H72+1)/cfg_DAYS_Y)</f>
        <v/>
      </c>
      <c r="AD72" s="109" t="str">
        <f aca="false">IF($B72="","",MAX(0,IF(OR(الموظفون!$X72="",الموظفون!$X72&gt;($E$3-1)),($E$3-1),الموظفون!$X72)-الموظفون!$H72+1)/cfg_DAYS_Y)</f>
        <v/>
      </c>
      <c r="AE72" s="51" t="str">
        <f aca="false">IF($B72="","",MAX(0,IF(OR(الموظفون!$X72="",الموظفون!$X72&gt;$G$3),$G$3,الموظفون!$X72)-MAX($E$3,الموظفون!$H72)+1))</f>
        <v/>
      </c>
    </row>
    <row r="73" customFormat="false" ht="15" hidden="false" customHeight="false" outlineLevel="0" collapsed="false">
      <c r="A73" s="89" t="str">
        <f aca="false">IF($B73="","",الموظفون!$A73)</f>
        <v/>
      </c>
      <c r="B73" s="91" t="str">
        <f aca="false">IF(الموظفون!$B73="","",الموظفون!$B73)</f>
        <v/>
      </c>
      <c r="C73" s="91" t="str">
        <f aca="false">IF($B73="","",الموظفون!$C73)</f>
        <v/>
      </c>
      <c r="D73" s="91" t="str">
        <f aca="false">IF($B73="","",الموظفون!$F73)</f>
        <v/>
      </c>
      <c r="E73" s="91" t="str">
        <f aca="false">IF($B73="","",الموظفون!$E73)</f>
        <v/>
      </c>
      <c r="F73" s="110" t="str">
        <f aca="false">IF($B73="","",IF(AE73&gt;=DAY($G$3),cfg_DAYS_M,MIN(AE73,cfg_DAYS_M)))</f>
        <v/>
      </c>
      <c r="G73" s="110" t="str">
        <f aca="false">IF($B73="","",SUMIFS('الحركات الشهرية'!$D$6:$D$1005,'الحركات الشهرية'!$B$6:$B$1005,$B73,'الحركات الشهرية'!$A$6:$A$1005,$C$3))</f>
        <v/>
      </c>
      <c r="H73" s="110" t="str">
        <f aca="false">IF($B73="","",SUMIFS('الحركات الشهرية'!$E$6:$E$1005,'الحركات الشهرية'!$B$6:$B$1005,$B73,'الحركات الشهرية'!$A$6:$A$1005,$C$3))</f>
        <v/>
      </c>
      <c r="I73" s="110" t="str">
        <f aca="false">IF($B73="","",MAX(0,F73-G73-H73))</f>
        <v/>
      </c>
      <c r="J73" s="90" t="str">
        <f aca="false">IF($B73="","",الموظفون!$J73*$I73/cfg_DAYS_M)</f>
        <v/>
      </c>
      <c r="K73" s="90" t="str">
        <f aca="false">IF($B73="","",الموظفون!$K73*$I73/cfg_DAYS_M)</f>
        <v/>
      </c>
      <c r="L73" s="90" t="str">
        <f aca="false">IF($B73="","",الموظفون!$L73*$I73/cfg_DAYS_M)</f>
        <v/>
      </c>
      <c r="M73" s="90" t="str">
        <f aca="false">IF($B73="","",الموظفون!$M73*$I73/cfg_DAYS_M)</f>
        <v/>
      </c>
      <c r="N73" s="110" t="str">
        <f aca="false">IF($B73="","",SUMIFS('الحركات الشهرية'!$F$6:$F$1005,'الحركات الشهرية'!$B$6:$B$1005,$B73,'الحركات الشهرية'!$A$6:$A$1005,$C$3))</f>
        <v/>
      </c>
      <c r="O73" s="90" t="str">
        <f aca="false">IF($B73="","",N73*(الموظفون!$N73+الموظفون!$J73*cfg_OT_P)/cfg_DAYS_M/cfg_HRS)</f>
        <v/>
      </c>
      <c r="P73" s="90" t="str">
        <f aca="false">IF($B73="","",SUMIFS('الحركات الشهرية'!$G$6:$G$1005,'الحركات الشهرية'!$B$6:$B$1005,$B73,'الحركات الشهرية'!$A$6:$A$1005,$C$3))</f>
        <v/>
      </c>
      <c r="Q73" s="90" t="str">
        <f aca="false">IF($B73="","",SUMIFS('الحركات الشهرية'!$H$6:$H$1005,'الحركات الشهرية'!$B$6:$B$1005,$B73,'الحركات الشهرية'!$A$6:$A$1005,$C$3))</f>
        <v/>
      </c>
      <c r="R73" s="111" t="str">
        <f aca="false">IF($B73="","",SUM(J73:M73)+SUM(O73:Q73))</f>
        <v/>
      </c>
      <c r="S73" s="90" t="str">
        <f aca="false">IF($B73="","",الموظفون!$Q73*IF(E73="سعودي",cfg_G_SE,cfg_G_NE)*F73/cfg_DAYS_M)</f>
        <v/>
      </c>
      <c r="T73" s="90" t="str">
        <f aca="false">IF($B73="","",SUMIFS('الحركات الشهرية'!$I$6:$I$1005,'الحركات الشهرية'!$B$6:$B$1005,$B73,'الحركات الشهرية'!$A$6:$A$1005,$C$3))</f>
        <v/>
      </c>
      <c r="U73" s="90" t="str">
        <f aca="false">IF($B73="","",SUMIFS('الحركات الشهرية'!$J$6:$J$1005,'الحركات الشهرية'!$B$6:$B$1005,$B73,'الحركات الشهرية'!$A$6:$A$1005,$C$3))</f>
        <v/>
      </c>
      <c r="V73" s="90" t="str">
        <f aca="false">IF($B73="","",SUM(S73:U73))</f>
        <v/>
      </c>
      <c r="W73" s="112" t="str">
        <f aca="false">IF($B73="","",R73-V73)</f>
        <v/>
      </c>
      <c r="X73" s="90" t="str">
        <f aca="false">IF($B73="","",الموظفون!$Q73*IF(E73="سعودي",cfg_G_SR,cfg_G_NR)*F73/cfg_DAYS_M)</f>
        <v/>
      </c>
      <c r="Y73" s="90" t="str">
        <f aca="false">IF($B73="","",الموظفون!$O73*(cfg_EOS_R1*(MIN(AC73,cfg_EOS_TH)-MIN(AD73,cfg_EOS_TH))+cfg_EOS_R2*(MAX(AC73-cfg_EOS_TH,0)-MAX(AD73-cfg_EOS_TH,0))))</f>
        <v/>
      </c>
      <c r="Z73" s="90" t="str">
        <f aca="false">IF($B73="","",IF(الموظفون!$R73&lt;&gt;"",الموظفون!$R73,IF(AC73&gt;=cfg_LV_TH,cfg_LV_D2,cfg_LV_D1))/cfg_DAYS_Y*AE73*الموظفون!$P73/cfg_DAYS_M)</f>
        <v/>
      </c>
      <c r="AA73" s="90" t="str">
        <f aca="false">IF($B73="","",IF(AND(الموظفون!$S73="نعم",N(الموظفون!$U73)&gt;0),الموظفون!$T73/الموظفون!$U73*12/cfg_DAYS_Y*AE73,0))</f>
        <v/>
      </c>
      <c r="AB73" s="113" t="str">
        <f aca="false">IF($B73="","",R73+SUM(X73:AA73))</f>
        <v/>
      </c>
      <c r="AC73" s="114" t="str">
        <f aca="false">IF($B73="","",MAX(0,IF(OR(الموظفون!$X73="",الموظفون!$X73&gt;$G$3),$G$3,الموظفون!$X73)-الموظفون!$H73+1)/cfg_DAYS_Y)</f>
        <v/>
      </c>
      <c r="AD73" s="114" t="str">
        <f aca="false">IF($B73="","",MAX(0,IF(OR(الموظفون!$X73="",الموظفون!$X73&gt;($E$3-1)),($E$3-1),الموظفون!$X73)-الموظفون!$H73+1)/cfg_DAYS_Y)</f>
        <v/>
      </c>
      <c r="AE73" s="115" t="str">
        <f aca="false">IF($B73="","",MAX(0,IF(OR(الموظفون!$X73="",الموظفون!$X73&gt;$G$3),$G$3,الموظفون!$X73)-MAX($E$3,الموظفون!$H73)+1))</f>
        <v/>
      </c>
    </row>
    <row r="74" customFormat="false" ht="15" hidden="false" customHeight="false" outlineLevel="0" collapsed="false">
      <c r="A74" s="83" t="str">
        <f aca="false">IF($B74="","",الموظفون!$A74)</f>
        <v/>
      </c>
      <c r="B74" s="74" t="str">
        <f aca="false">IF(الموظفون!$B74="","",الموظفون!$B74)</f>
        <v/>
      </c>
      <c r="C74" s="74" t="str">
        <f aca="false">IF($B74="","",الموظفون!$C74)</f>
        <v/>
      </c>
      <c r="D74" s="74" t="str">
        <f aca="false">IF($B74="","",الموظفون!$F74)</f>
        <v/>
      </c>
      <c r="E74" s="74" t="str">
        <f aca="false">IF($B74="","",الموظفون!$E74)</f>
        <v/>
      </c>
      <c r="F74" s="105" t="str">
        <f aca="false">IF($B74="","",IF(AE74&gt;=DAY($G$3),cfg_DAYS_M,MIN(AE74,cfg_DAYS_M)))</f>
        <v/>
      </c>
      <c r="G74" s="105" t="str">
        <f aca="false">IF($B74="","",SUMIFS('الحركات الشهرية'!$D$6:$D$1005,'الحركات الشهرية'!$B$6:$B$1005,$B74,'الحركات الشهرية'!$A$6:$A$1005,$C$3))</f>
        <v/>
      </c>
      <c r="H74" s="105" t="str">
        <f aca="false">IF($B74="","",SUMIFS('الحركات الشهرية'!$E$6:$E$1005,'الحركات الشهرية'!$B$6:$B$1005,$B74,'الحركات الشهرية'!$A$6:$A$1005,$C$3))</f>
        <v/>
      </c>
      <c r="I74" s="105" t="str">
        <f aca="false">IF($B74="","",MAX(0,F74-G74-H74))</f>
        <v/>
      </c>
      <c r="J74" s="86" t="str">
        <f aca="false">IF($B74="","",الموظفون!$J74*$I74/cfg_DAYS_M)</f>
        <v/>
      </c>
      <c r="K74" s="86" t="str">
        <f aca="false">IF($B74="","",الموظفون!$K74*$I74/cfg_DAYS_M)</f>
        <v/>
      </c>
      <c r="L74" s="86" t="str">
        <f aca="false">IF($B74="","",الموظفون!$L74*$I74/cfg_DAYS_M)</f>
        <v/>
      </c>
      <c r="M74" s="86" t="str">
        <f aca="false">IF($B74="","",الموظفون!$M74*$I74/cfg_DAYS_M)</f>
        <v/>
      </c>
      <c r="N74" s="105" t="str">
        <f aca="false">IF($B74="","",SUMIFS('الحركات الشهرية'!$F$6:$F$1005,'الحركات الشهرية'!$B$6:$B$1005,$B74,'الحركات الشهرية'!$A$6:$A$1005,$C$3))</f>
        <v/>
      </c>
      <c r="O74" s="86" t="str">
        <f aca="false">IF($B74="","",N74*(الموظفون!$N74+الموظفون!$J74*cfg_OT_P)/cfg_DAYS_M/cfg_HRS)</f>
        <v/>
      </c>
      <c r="P74" s="86" t="str">
        <f aca="false">IF($B74="","",SUMIFS('الحركات الشهرية'!$G$6:$G$1005,'الحركات الشهرية'!$B$6:$B$1005,$B74,'الحركات الشهرية'!$A$6:$A$1005,$C$3))</f>
        <v/>
      </c>
      <c r="Q74" s="86" t="str">
        <f aca="false">IF($B74="","",SUMIFS('الحركات الشهرية'!$H$6:$H$1005,'الحركات الشهرية'!$B$6:$B$1005,$B74,'الحركات الشهرية'!$A$6:$A$1005,$C$3))</f>
        <v/>
      </c>
      <c r="R74" s="106" t="str">
        <f aca="false">IF($B74="","",SUM(J74:M74)+SUM(O74:Q74))</f>
        <v/>
      </c>
      <c r="S74" s="86" t="str">
        <f aca="false">IF($B74="","",الموظفون!$Q74*IF(E74="سعودي",cfg_G_SE,cfg_G_NE)*F74/cfg_DAYS_M)</f>
        <v/>
      </c>
      <c r="T74" s="86" t="str">
        <f aca="false">IF($B74="","",SUMIFS('الحركات الشهرية'!$I$6:$I$1005,'الحركات الشهرية'!$B$6:$B$1005,$B74,'الحركات الشهرية'!$A$6:$A$1005,$C$3))</f>
        <v/>
      </c>
      <c r="U74" s="86" t="str">
        <f aca="false">IF($B74="","",SUMIFS('الحركات الشهرية'!$J$6:$J$1005,'الحركات الشهرية'!$B$6:$B$1005,$B74,'الحركات الشهرية'!$A$6:$A$1005,$C$3))</f>
        <v/>
      </c>
      <c r="V74" s="86" t="str">
        <f aca="false">IF($B74="","",SUM(S74:U74))</f>
        <v/>
      </c>
      <c r="W74" s="107" t="str">
        <f aca="false">IF($B74="","",R74-V74)</f>
        <v/>
      </c>
      <c r="X74" s="86" t="str">
        <f aca="false">IF($B74="","",الموظفون!$Q74*IF(E74="سعودي",cfg_G_SR,cfg_G_NR)*F74/cfg_DAYS_M)</f>
        <v/>
      </c>
      <c r="Y74" s="86" t="str">
        <f aca="false">IF($B74="","",الموظفون!$O74*(cfg_EOS_R1*(MIN(AC74,cfg_EOS_TH)-MIN(AD74,cfg_EOS_TH))+cfg_EOS_R2*(MAX(AC74-cfg_EOS_TH,0)-MAX(AD74-cfg_EOS_TH,0))))</f>
        <v/>
      </c>
      <c r="Z74" s="86" t="str">
        <f aca="false">IF($B74="","",IF(الموظفون!$R74&lt;&gt;"",الموظفون!$R74,IF(AC74&gt;=cfg_LV_TH,cfg_LV_D2,cfg_LV_D1))/cfg_DAYS_Y*AE74*الموظفون!$P74/cfg_DAYS_M)</f>
        <v/>
      </c>
      <c r="AA74" s="86" t="str">
        <f aca="false">IF($B74="","",IF(AND(الموظفون!$S74="نعم",N(الموظفون!$U74)&gt;0),الموظفون!$T74/الموظفون!$U74*12/cfg_DAYS_Y*AE74,0))</f>
        <v/>
      </c>
      <c r="AB74" s="108" t="str">
        <f aca="false">IF($B74="","",R74+SUM(X74:AA74))</f>
        <v/>
      </c>
      <c r="AC74" s="109" t="str">
        <f aca="false">IF($B74="","",MAX(0,IF(OR(الموظفون!$X74="",الموظفون!$X74&gt;$G$3),$G$3,الموظفون!$X74)-الموظفون!$H74+1)/cfg_DAYS_Y)</f>
        <v/>
      </c>
      <c r="AD74" s="109" t="str">
        <f aca="false">IF($B74="","",MAX(0,IF(OR(الموظفون!$X74="",الموظفون!$X74&gt;($E$3-1)),($E$3-1),الموظفون!$X74)-الموظفون!$H74+1)/cfg_DAYS_Y)</f>
        <v/>
      </c>
      <c r="AE74" s="51" t="str">
        <f aca="false">IF($B74="","",MAX(0,IF(OR(الموظفون!$X74="",الموظفون!$X74&gt;$G$3),$G$3,الموظفون!$X74)-MAX($E$3,الموظفون!$H74)+1))</f>
        <v/>
      </c>
    </row>
    <row r="75" customFormat="false" ht="15" hidden="false" customHeight="false" outlineLevel="0" collapsed="false">
      <c r="A75" s="89" t="str">
        <f aca="false">IF($B75="","",الموظفون!$A75)</f>
        <v/>
      </c>
      <c r="B75" s="91" t="str">
        <f aca="false">IF(الموظفون!$B75="","",الموظفون!$B75)</f>
        <v/>
      </c>
      <c r="C75" s="91" t="str">
        <f aca="false">IF($B75="","",الموظفون!$C75)</f>
        <v/>
      </c>
      <c r="D75" s="91" t="str">
        <f aca="false">IF($B75="","",الموظفون!$F75)</f>
        <v/>
      </c>
      <c r="E75" s="91" t="str">
        <f aca="false">IF($B75="","",الموظفون!$E75)</f>
        <v/>
      </c>
      <c r="F75" s="110" t="str">
        <f aca="false">IF($B75="","",IF(AE75&gt;=DAY($G$3),cfg_DAYS_M,MIN(AE75,cfg_DAYS_M)))</f>
        <v/>
      </c>
      <c r="G75" s="110" t="str">
        <f aca="false">IF($B75="","",SUMIFS('الحركات الشهرية'!$D$6:$D$1005,'الحركات الشهرية'!$B$6:$B$1005,$B75,'الحركات الشهرية'!$A$6:$A$1005,$C$3))</f>
        <v/>
      </c>
      <c r="H75" s="110" t="str">
        <f aca="false">IF($B75="","",SUMIFS('الحركات الشهرية'!$E$6:$E$1005,'الحركات الشهرية'!$B$6:$B$1005,$B75,'الحركات الشهرية'!$A$6:$A$1005,$C$3))</f>
        <v/>
      </c>
      <c r="I75" s="110" t="str">
        <f aca="false">IF($B75="","",MAX(0,F75-G75-H75))</f>
        <v/>
      </c>
      <c r="J75" s="90" t="str">
        <f aca="false">IF($B75="","",الموظفون!$J75*$I75/cfg_DAYS_M)</f>
        <v/>
      </c>
      <c r="K75" s="90" t="str">
        <f aca="false">IF($B75="","",الموظفون!$K75*$I75/cfg_DAYS_M)</f>
        <v/>
      </c>
      <c r="L75" s="90" t="str">
        <f aca="false">IF($B75="","",الموظفون!$L75*$I75/cfg_DAYS_M)</f>
        <v/>
      </c>
      <c r="M75" s="90" t="str">
        <f aca="false">IF($B75="","",الموظفون!$M75*$I75/cfg_DAYS_M)</f>
        <v/>
      </c>
      <c r="N75" s="110" t="str">
        <f aca="false">IF($B75="","",SUMIFS('الحركات الشهرية'!$F$6:$F$1005,'الحركات الشهرية'!$B$6:$B$1005,$B75,'الحركات الشهرية'!$A$6:$A$1005,$C$3))</f>
        <v/>
      </c>
      <c r="O75" s="90" t="str">
        <f aca="false">IF($B75="","",N75*(الموظفون!$N75+الموظفون!$J75*cfg_OT_P)/cfg_DAYS_M/cfg_HRS)</f>
        <v/>
      </c>
      <c r="P75" s="90" t="str">
        <f aca="false">IF($B75="","",SUMIFS('الحركات الشهرية'!$G$6:$G$1005,'الحركات الشهرية'!$B$6:$B$1005,$B75,'الحركات الشهرية'!$A$6:$A$1005,$C$3))</f>
        <v/>
      </c>
      <c r="Q75" s="90" t="str">
        <f aca="false">IF($B75="","",SUMIFS('الحركات الشهرية'!$H$6:$H$1005,'الحركات الشهرية'!$B$6:$B$1005,$B75,'الحركات الشهرية'!$A$6:$A$1005,$C$3))</f>
        <v/>
      </c>
      <c r="R75" s="111" t="str">
        <f aca="false">IF($B75="","",SUM(J75:M75)+SUM(O75:Q75))</f>
        <v/>
      </c>
      <c r="S75" s="90" t="str">
        <f aca="false">IF($B75="","",الموظفون!$Q75*IF(E75="سعودي",cfg_G_SE,cfg_G_NE)*F75/cfg_DAYS_M)</f>
        <v/>
      </c>
      <c r="T75" s="90" t="str">
        <f aca="false">IF($B75="","",SUMIFS('الحركات الشهرية'!$I$6:$I$1005,'الحركات الشهرية'!$B$6:$B$1005,$B75,'الحركات الشهرية'!$A$6:$A$1005,$C$3))</f>
        <v/>
      </c>
      <c r="U75" s="90" t="str">
        <f aca="false">IF($B75="","",SUMIFS('الحركات الشهرية'!$J$6:$J$1005,'الحركات الشهرية'!$B$6:$B$1005,$B75,'الحركات الشهرية'!$A$6:$A$1005,$C$3))</f>
        <v/>
      </c>
      <c r="V75" s="90" t="str">
        <f aca="false">IF($B75="","",SUM(S75:U75))</f>
        <v/>
      </c>
      <c r="W75" s="112" t="str">
        <f aca="false">IF($B75="","",R75-V75)</f>
        <v/>
      </c>
      <c r="X75" s="90" t="str">
        <f aca="false">IF($B75="","",الموظفون!$Q75*IF(E75="سعودي",cfg_G_SR,cfg_G_NR)*F75/cfg_DAYS_M)</f>
        <v/>
      </c>
      <c r="Y75" s="90" t="str">
        <f aca="false">IF($B75="","",الموظفون!$O75*(cfg_EOS_R1*(MIN(AC75,cfg_EOS_TH)-MIN(AD75,cfg_EOS_TH))+cfg_EOS_R2*(MAX(AC75-cfg_EOS_TH,0)-MAX(AD75-cfg_EOS_TH,0))))</f>
        <v/>
      </c>
      <c r="Z75" s="90" t="str">
        <f aca="false">IF($B75="","",IF(الموظفون!$R75&lt;&gt;"",الموظفون!$R75,IF(AC75&gt;=cfg_LV_TH,cfg_LV_D2,cfg_LV_D1))/cfg_DAYS_Y*AE75*الموظفون!$P75/cfg_DAYS_M)</f>
        <v/>
      </c>
      <c r="AA75" s="90" t="str">
        <f aca="false">IF($B75="","",IF(AND(الموظفون!$S75="نعم",N(الموظفون!$U75)&gt;0),الموظفون!$T75/الموظفون!$U75*12/cfg_DAYS_Y*AE75,0))</f>
        <v/>
      </c>
      <c r="AB75" s="113" t="str">
        <f aca="false">IF($B75="","",R75+SUM(X75:AA75))</f>
        <v/>
      </c>
      <c r="AC75" s="114" t="str">
        <f aca="false">IF($B75="","",MAX(0,IF(OR(الموظفون!$X75="",الموظفون!$X75&gt;$G$3),$G$3,الموظفون!$X75)-الموظفون!$H75+1)/cfg_DAYS_Y)</f>
        <v/>
      </c>
      <c r="AD75" s="114" t="str">
        <f aca="false">IF($B75="","",MAX(0,IF(OR(الموظفون!$X75="",الموظفون!$X75&gt;($E$3-1)),($E$3-1),الموظفون!$X75)-الموظفون!$H75+1)/cfg_DAYS_Y)</f>
        <v/>
      </c>
      <c r="AE75" s="115" t="str">
        <f aca="false">IF($B75="","",MAX(0,IF(OR(الموظفون!$X75="",الموظفون!$X75&gt;$G$3),$G$3,الموظفون!$X75)-MAX($E$3,الموظفون!$H75)+1))</f>
        <v/>
      </c>
    </row>
    <row r="76" customFormat="false" ht="15" hidden="false" customHeight="false" outlineLevel="0" collapsed="false">
      <c r="A76" s="83" t="str">
        <f aca="false">IF($B76="","",الموظفون!$A76)</f>
        <v/>
      </c>
      <c r="B76" s="74" t="str">
        <f aca="false">IF(الموظفون!$B76="","",الموظفون!$B76)</f>
        <v/>
      </c>
      <c r="C76" s="74" t="str">
        <f aca="false">IF($B76="","",الموظفون!$C76)</f>
        <v/>
      </c>
      <c r="D76" s="74" t="str">
        <f aca="false">IF($B76="","",الموظفون!$F76)</f>
        <v/>
      </c>
      <c r="E76" s="74" t="str">
        <f aca="false">IF($B76="","",الموظفون!$E76)</f>
        <v/>
      </c>
      <c r="F76" s="105" t="str">
        <f aca="false">IF($B76="","",IF(AE76&gt;=DAY($G$3),cfg_DAYS_M,MIN(AE76,cfg_DAYS_M)))</f>
        <v/>
      </c>
      <c r="G76" s="105" t="str">
        <f aca="false">IF($B76="","",SUMIFS('الحركات الشهرية'!$D$6:$D$1005,'الحركات الشهرية'!$B$6:$B$1005,$B76,'الحركات الشهرية'!$A$6:$A$1005,$C$3))</f>
        <v/>
      </c>
      <c r="H76" s="105" t="str">
        <f aca="false">IF($B76="","",SUMIFS('الحركات الشهرية'!$E$6:$E$1005,'الحركات الشهرية'!$B$6:$B$1005,$B76,'الحركات الشهرية'!$A$6:$A$1005,$C$3))</f>
        <v/>
      </c>
      <c r="I76" s="105" t="str">
        <f aca="false">IF($B76="","",MAX(0,F76-G76-H76))</f>
        <v/>
      </c>
      <c r="J76" s="86" t="str">
        <f aca="false">IF($B76="","",الموظفون!$J76*$I76/cfg_DAYS_M)</f>
        <v/>
      </c>
      <c r="K76" s="86" t="str">
        <f aca="false">IF($B76="","",الموظفون!$K76*$I76/cfg_DAYS_M)</f>
        <v/>
      </c>
      <c r="L76" s="86" t="str">
        <f aca="false">IF($B76="","",الموظفون!$L76*$I76/cfg_DAYS_M)</f>
        <v/>
      </c>
      <c r="M76" s="86" t="str">
        <f aca="false">IF($B76="","",الموظفون!$M76*$I76/cfg_DAYS_M)</f>
        <v/>
      </c>
      <c r="N76" s="105" t="str">
        <f aca="false">IF($B76="","",SUMIFS('الحركات الشهرية'!$F$6:$F$1005,'الحركات الشهرية'!$B$6:$B$1005,$B76,'الحركات الشهرية'!$A$6:$A$1005,$C$3))</f>
        <v/>
      </c>
      <c r="O76" s="86" t="str">
        <f aca="false">IF($B76="","",N76*(الموظفون!$N76+الموظفون!$J76*cfg_OT_P)/cfg_DAYS_M/cfg_HRS)</f>
        <v/>
      </c>
      <c r="P76" s="86" t="str">
        <f aca="false">IF($B76="","",SUMIFS('الحركات الشهرية'!$G$6:$G$1005,'الحركات الشهرية'!$B$6:$B$1005,$B76,'الحركات الشهرية'!$A$6:$A$1005,$C$3))</f>
        <v/>
      </c>
      <c r="Q76" s="86" t="str">
        <f aca="false">IF($B76="","",SUMIFS('الحركات الشهرية'!$H$6:$H$1005,'الحركات الشهرية'!$B$6:$B$1005,$B76,'الحركات الشهرية'!$A$6:$A$1005,$C$3))</f>
        <v/>
      </c>
      <c r="R76" s="106" t="str">
        <f aca="false">IF($B76="","",SUM(J76:M76)+SUM(O76:Q76))</f>
        <v/>
      </c>
      <c r="S76" s="86" t="str">
        <f aca="false">IF($B76="","",الموظفون!$Q76*IF(E76="سعودي",cfg_G_SE,cfg_G_NE)*F76/cfg_DAYS_M)</f>
        <v/>
      </c>
      <c r="T76" s="86" t="str">
        <f aca="false">IF($B76="","",SUMIFS('الحركات الشهرية'!$I$6:$I$1005,'الحركات الشهرية'!$B$6:$B$1005,$B76,'الحركات الشهرية'!$A$6:$A$1005,$C$3))</f>
        <v/>
      </c>
      <c r="U76" s="86" t="str">
        <f aca="false">IF($B76="","",SUMIFS('الحركات الشهرية'!$J$6:$J$1005,'الحركات الشهرية'!$B$6:$B$1005,$B76,'الحركات الشهرية'!$A$6:$A$1005,$C$3))</f>
        <v/>
      </c>
      <c r="V76" s="86" t="str">
        <f aca="false">IF($B76="","",SUM(S76:U76))</f>
        <v/>
      </c>
      <c r="W76" s="107" t="str">
        <f aca="false">IF($B76="","",R76-V76)</f>
        <v/>
      </c>
      <c r="X76" s="86" t="str">
        <f aca="false">IF($B76="","",الموظفون!$Q76*IF(E76="سعودي",cfg_G_SR,cfg_G_NR)*F76/cfg_DAYS_M)</f>
        <v/>
      </c>
      <c r="Y76" s="86" t="str">
        <f aca="false">IF($B76="","",الموظفون!$O76*(cfg_EOS_R1*(MIN(AC76,cfg_EOS_TH)-MIN(AD76,cfg_EOS_TH))+cfg_EOS_R2*(MAX(AC76-cfg_EOS_TH,0)-MAX(AD76-cfg_EOS_TH,0))))</f>
        <v/>
      </c>
      <c r="Z76" s="86" t="str">
        <f aca="false">IF($B76="","",IF(الموظفون!$R76&lt;&gt;"",الموظفون!$R76,IF(AC76&gt;=cfg_LV_TH,cfg_LV_D2,cfg_LV_D1))/cfg_DAYS_Y*AE76*الموظفون!$P76/cfg_DAYS_M)</f>
        <v/>
      </c>
      <c r="AA76" s="86" t="str">
        <f aca="false">IF($B76="","",IF(AND(الموظفون!$S76="نعم",N(الموظفون!$U76)&gt;0),الموظفون!$T76/الموظفون!$U76*12/cfg_DAYS_Y*AE76,0))</f>
        <v/>
      </c>
      <c r="AB76" s="108" t="str">
        <f aca="false">IF($B76="","",R76+SUM(X76:AA76))</f>
        <v/>
      </c>
      <c r="AC76" s="109" t="str">
        <f aca="false">IF($B76="","",MAX(0,IF(OR(الموظفون!$X76="",الموظفون!$X76&gt;$G$3),$G$3,الموظفون!$X76)-الموظفون!$H76+1)/cfg_DAYS_Y)</f>
        <v/>
      </c>
      <c r="AD76" s="109" t="str">
        <f aca="false">IF($B76="","",MAX(0,IF(OR(الموظفون!$X76="",الموظفون!$X76&gt;($E$3-1)),($E$3-1),الموظفون!$X76)-الموظفون!$H76+1)/cfg_DAYS_Y)</f>
        <v/>
      </c>
      <c r="AE76" s="51" t="str">
        <f aca="false">IF($B76="","",MAX(0,IF(OR(الموظفون!$X76="",الموظفون!$X76&gt;$G$3),$G$3,الموظفون!$X76)-MAX($E$3,الموظفون!$H76)+1))</f>
        <v/>
      </c>
    </row>
    <row r="77" customFormat="false" ht="15" hidden="false" customHeight="false" outlineLevel="0" collapsed="false">
      <c r="A77" s="89" t="str">
        <f aca="false">IF($B77="","",الموظفون!$A77)</f>
        <v/>
      </c>
      <c r="B77" s="91" t="str">
        <f aca="false">IF(الموظفون!$B77="","",الموظفون!$B77)</f>
        <v/>
      </c>
      <c r="C77" s="91" t="str">
        <f aca="false">IF($B77="","",الموظفون!$C77)</f>
        <v/>
      </c>
      <c r="D77" s="91" t="str">
        <f aca="false">IF($B77="","",الموظفون!$F77)</f>
        <v/>
      </c>
      <c r="E77" s="91" t="str">
        <f aca="false">IF($B77="","",الموظفون!$E77)</f>
        <v/>
      </c>
      <c r="F77" s="110" t="str">
        <f aca="false">IF($B77="","",IF(AE77&gt;=DAY($G$3),cfg_DAYS_M,MIN(AE77,cfg_DAYS_M)))</f>
        <v/>
      </c>
      <c r="G77" s="110" t="str">
        <f aca="false">IF($B77="","",SUMIFS('الحركات الشهرية'!$D$6:$D$1005,'الحركات الشهرية'!$B$6:$B$1005,$B77,'الحركات الشهرية'!$A$6:$A$1005,$C$3))</f>
        <v/>
      </c>
      <c r="H77" s="110" t="str">
        <f aca="false">IF($B77="","",SUMIFS('الحركات الشهرية'!$E$6:$E$1005,'الحركات الشهرية'!$B$6:$B$1005,$B77,'الحركات الشهرية'!$A$6:$A$1005,$C$3))</f>
        <v/>
      </c>
      <c r="I77" s="110" t="str">
        <f aca="false">IF($B77="","",MAX(0,F77-G77-H77))</f>
        <v/>
      </c>
      <c r="J77" s="90" t="str">
        <f aca="false">IF($B77="","",الموظفون!$J77*$I77/cfg_DAYS_M)</f>
        <v/>
      </c>
      <c r="K77" s="90" t="str">
        <f aca="false">IF($B77="","",الموظفون!$K77*$I77/cfg_DAYS_M)</f>
        <v/>
      </c>
      <c r="L77" s="90" t="str">
        <f aca="false">IF($B77="","",الموظفون!$L77*$I77/cfg_DAYS_M)</f>
        <v/>
      </c>
      <c r="M77" s="90" t="str">
        <f aca="false">IF($B77="","",الموظفون!$M77*$I77/cfg_DAYS_M)</f>
        <v/>
      </c>
      <c r="N77" s="110" t="str">
        <f aca="false">IF($B77="","",SUMIFS('الحركات الشهرية'!$F$6:$F$1005,'الحركات الشهرية'!$B$6:$B$1005,$B77,'الحركات الشهرية'!$A$6:$A$1005,$C$3))</f>
        <v/>
      </c>
      <c r="O77" s="90" t="str">
        <f aca="false">IF($B77="","",N77*(الموظفون!$N77+الموظفون!$J77*cfg_OT_P)/cfg_DAYS_M/cfg_HRS)</f>
        <v/>
      </c>
      <c r="P77" s="90" t="str">
        <f aca="false">IF($B77="","",SUMIFS('الحركات الشهرية'!$G$6:$G$1005,'الحركات الشهرية'!$B$6:$B$1005,$B77,'الحركات الشهرية'!$A$6:$A$1005,$C$3))</f>
        <v/>
      </c>
      <c r="Q77" s="90" t="str">
        <f aca="false">IF($B77="","",SUMIFS('الحركات الشهرية'!$H$6:$H$1005,'الحركات الشهرية'!$B$6:$B$1005,$B77,'الحركات الشهرية'!$A$6:$A$1005,$C$3))</f>
        <v/>
      </c>
      <c r="R77" s="111" t="str">
        <f aca="false">IF($B77="","",SUM(J77:M77)+SUM(O77:Q77))</f>
        <v/>
      </c>
      <c r="S77" s="90" t="str">
        <f aca="false">IF($B77="","",الموظفون!$Q77*IF(E77="سعودي",cfg_G_SE,cfg_G_NE)*F77/cfg_DAYS_M)</f>
        <v/>
      </c>
      <c r="T77" s="90" t="str">
        <f aca="false">IF($B77="","",SUMIFS('الحركات الشهرية'!$I$6:$I$1005,'الحركات الشهرية'!$B$6:$B$1005,$B77,'الحركات الشهرية'!$A$6:$A$1005,$C$3))</f>
        <v/>
      </c>
      <c r="U77" s="90" t="str">
        <f aca="false">IF($B77="","",SUMIFS('الحركات الشهرية'!$J$6:$J$1005,'الحركات الشهرية'!$B$6:$B$1005,$B77,'الحركات الشهرية'!$A$6:$A$1005,$C$3))</f>
        <v/>
      </c>
      <c r="V77" s="90" t="str">
        <f aca="false">IF($B77="","",SUM(S77:U77))</f>
        <v/>
      </c>
      <c r="W77" s="112" t="str">
        <f aca="false">IF($B77="","",R77-V77)</f>
        <v/>
      </c>
      <c r="X77" s="90" t="str">
        <f aca="false">IF($B77="","",الموظفون!$Q77*IF(E77="سعودي",cfg_G_SR,cfg_G_NR)*F77/cfg_DAYS_M)</f>
        <v/>
      </c>
      <c r="Y77" s="90" t="str">
        <f aca="false">IF($B77="","",الموظفون!$O77*(cfg_EOS_R1*(MIN(AC77,cfg_EOS_TH)-MIN(AD77,cfg_EOS_TH))+cfg_EOS_R2*(MAX(AC77-cfg_EOS_TH,0)-MAX(AD77-cfg_EOS_TH,0))))</f>
        <v/>
      </c>
      <c r="Z77" s="90" t="str">
        <f aca="false">IF($B77="","",IF(الموظفون!$R77&lt;&gt;"",الموظفون!$R77,IF(AC77&gt;=cfg_LV_TH,cfg_LV_D2,cfg_LV_D1))/cfg_DAYS_Y*AE77*الموظفون!$P77/cfg_DAYS_M)</f>
        <v/>
      </c>
      <c r="AA77" s="90" t="str">
        <f aca="false">IF($B77="","",IF(AND(الموظفون!$S77="نعم",N(الموظفون!$U77)&gt;0),الموظفون!$T77/الموظفون!$U77*12/cfg_DAYS_Y*AE77,0))</f>
        <v/>
      </c>
      <c r="AB77" s="113" t="str">
        <f aca="false">IF($B77="","",R77+SUM(X77:AA77))</f>
        <v/>
      </c>
      <c r="AC77" s="114" t="str">
        <f aca="false">IF($B77="","",MAX(0,IF(OR(الموظفون!$X77="",الموظفون!$X77&gt;$G$3),$G$3,الموظفون!$X77)-الموظفون!$H77+1)/cfg_DAYS_Y)</f>
        <v/>
      </c>
      <c r="AD77" s="114" t="str">
        <f aca="false">IF($B77="","",MAX(0,IF(OR(الموظفون!$X77="",الموظفون!$X77&gt;($E$3-1)),($E$3-1),الموظفون!$X77)-الموظفون!$H77+1)/cfg_DAYS_Y)</f>
        <v/>
      </c>
      <c r="AE77" s="115" t="str">
        <f aca="false">IF($B77="","",MAX(0,IF(OR(الموظفون!$X77="",الموظفون!$X77&gt;$G$3),$G$3,الموظفون!$X77)-MAX($E$3,الموظفون!$H77)+1))</f>
        <v/>
      </c>
    </row>
    <row r="78" customFormat="false" ht="15" hidden="false" customHeight="false" outlineLevel="0" collapsed="false">
      <c r="A78" s="83" t="str">
        <f aca="false">IF($B78="","",الموظفون!$A78)</f>
        <v/>
      </c>
      <c r="B78" s="74" t="str">
        <f aca="false">IF(الموظفون!$B78="","",الموظفون!$B78)</f>
        <v/>
      </c>
      <c r="C78" s="74" t="str">
        <f aca="false">IF($B78="","",الموظفون!$C78)</f>
        <v/>
      </c>
      <c r="D78" s="74" t="str">
        <f aca="false">IF($B78="","",الموظفون!$F78)</f>
        <v/>
      </c>
      <c r="E78" s="74" t="str">
        <f aca="false">IF($B78="","",الموظفون!$E78)</f>
        <v/>
      </c>
      <c r="F78" s="105" t="str">
        <f aca="false">IF($B78="","",IF(AE78&gt;=DAY($G$3),cfg_DAYS_M,MIN(AE78,cfg_DAYS_M)))</f>
        <v/>
      </c>
      <c r="G78" s="105" t="str">
        <f aca="false">IF($B78="","",SUMIFS('الحركات الشهرية'!$D$6:$D$1005,'الحركات الشهرية'!$B$6:$B$1005,$B78,'الحركات الشهرية'!$A$6:$A$1005,$C$3))</f>
        <v/>
      </c>
      <c r="H78" s="105" t="str">
        <f aca="false">IF($B78="","",SUMIFS('الحركات الشهرية'!$E$6:$E$1005,'الحركات الشهرية'!$B$6:$B$1005,$B78,'الحركات الشهرية'!$A$6:$A$1005,$C$3))</f>
        <v/>
      </c>
      <c r="I78" s="105" t="str">
        <f aca="false">IF($B78="","",MAX(0,F78-G78-H78))</f>
        <v/>
      </c>
      <c r="J78" s="86" t="str">
        <f aca="false">IF($B78="","",الموظفون!$J78*$I78/cfg_DAYS_M)</f>
        <v/>
      </c>
      <c r="K78" s="86" t="str">
        <f aca="false">IF($B78="","",الموظفون!$K78*$I78/cfg_DAYS_M)</f>
        <v/>
      </c>
      <c r="L78" s="86" t="str">
        <f aca="false">IF($B78="","",الموظفون!$L78*$I78/cfg_DAYS_M)</f>
        <v/>
      </c>
      <c r="M78" s="86" t="str">
        <f aca="false">IF($B78="","",الموظفون!$M78*$I78/cfg_DAYS_M)</f>
        <v/>
      </c>
      <c r="N78" s="105" t="str">
        <f aca="false">IF($B78="","",SUMIFS('الحركات الشهرية'!$F$6:$F$1005,'الحركات الشهرية'!$B$6:$B$1005,$B78,'الحركات الشهرية'!$A$6:$A$1005,$C$3))</f>
        <v/>
      </c>
      <c r="O78" s="86" t="str">
        <f aca="false">IF($B78="","",N78*(الموظفون!$N78+الموظفون!$J78*cfg_OT_P)/cfg_DAYS_M/cfg_HRS)</f>
        <v/>
      </c>
      <c r="P78" s="86" t="str">
        <f aca="false">IF($B78="","",SUMIFS('الحركات الشهرية'!$G$6:$G$1005,'الحركات الشهرية'!$B$6:$B$1005,$B78,'الحركات الشهرية'!$A$6:$A$1005,$C$3))</f>
        <v/>
      </c>
      <c r="Q78" s="86" t="str">
        <f aca="false">IF($B78="","",SUMIFS('الحركات الشهرية'!$H$6:$H$1005,'الحركات الشهرية'!$B$6:$B$1005,$B78,'الحركات الشهرية'!$A$6:$A$1005,$C$3))</f>
        <v/>
      </c>
      <c r="R78" s="106" t="str">
        <f aca="false">IF($B78="","",SUM(J78:M78)+SUM(O78:Q78))</f>
        <v/>
      </c>
      <c r="S78" s="86" t="str">
        <f aca="false">IF($B78="","",الموظفون!$Q78*IF(E78="سعودي",cfg_G_SE,cfg_G_NE)*F78/cfg_DAYS_M)</f>
        <v/>
      </c>
      <c r="T78" s="86" t="str">
        <f aca="false">IF($B78="","",SUMIFS('الحركات الشهرية'!$I$6:$I$1005,'الحركات الشهرية'!$B$6:$B$1005,$B78,'الحركات الشهرية'!$A$6:$A$1005,$C$3))</f>
        <v/>
      </c>
      <c r="U78" s="86" t="str">
        <f aca="false">IF($B78="","",SUMIFS('الحركات الشهرية'!$J$6:$J$1005,'الحركات الشهرية'!$B$6:$B$1005,$B78,'الحركات الشهرية'!$A$6:$A$1005,$C$3))</f>
        <v/>
      </c>
      <c r="V78" s="86" t="str">
        <f aca="false">IF($B78="","",SUM(S78:U78))</f>
        <v/>
      </c>
      <c r="W78" s="107" t="str">
        <f aca="false">IF($B78="","",R78-V78)</f>
        <v/>
      </c>
      <c r="X78" s="86" t="str">
        <f aca="false">IF($B78="","",الموظفون!$Q78*IF(E78="سعودي",cfg_G_SR,cfg_G_NR)*F78/cfg_DAYS_M)</f>
        <v/>
      </c>
      <c r="Y78" s="86" t="str">
        <f aca="false">IF($B78="","",الموظفون!$O78*(cfg_EOS_R1*(MIN(AC78,cfg_EOS_TH)-MIN(AD78,cfg_EOS_TH))+cfg_EOS_R2*(MAX(AC78-cfg_EOS_TH,0)-MAX(AD78-cfg_EOS_TH,0))))</f>
        <v/>
      </c>
      <c r="Z78" s="86" t="str">
        <f aca="false">IF($B78="","",IF(الموظفون!$R78&lt;&gt;"",الموظفون!$R78,IF(AC78&gt;=cfg_LV_TH,cfg_LV_D2,cfg_LV_D1))/cfg_DAYS_Y*AE78*الموظفون!$P78/cfg_DAYS_M)</f>
        <v/>
      </c>
      <c r="AA78" s="86" t="str">
        <f aca="false">IF($B78="","",IF(AND(الموظفون!$S78="نعم",N(الموظفون!$U78)&gt;0),الموظفون!$T78/الموظفون!$U78*12/cfg_DAYS_Y*AE78,0))</f>
        <v/>
      </c>
      <c r="AB78" s="108" t="str">
        <f aca="false">IF($B78="","",R78+SUM(X78:AA78))</f>
        <v/>
      </c>
      <c r="AC78" s="109" t="str">
        <f aca="false">IF($B78="","",MAX(0,IF(OR(الموظفون!$X78="",الموظفون!$X78&gt;$G$3),$G$3,الموظفون!$X78)-الموظفون!$H78+1)/cfg_DAYS_Y)</f>
        <v/>
      </c>
      <c r="AD78" s="109" t="str">
        <f aca="false">IF($B78="","",MAX(0,IF(OR(الموظفون!$X78="",الموظفون!$X78&gt;($E$3-1)),($E$3-1),الموظفون!$X78)-الموظفون!$H78+1)/cfg_DAYS_Y)</f>
        <v/>
      </c>
      <c r="AE78" s="51" t="str">
        <f aca="false">IF($B78="","",MAX(0,IF(OR(الموظفون!$X78="",الموظفون!$X78&gt;$G$3),$G$3,الموظفون!$X78)-MAX($E$3,الموظفون!$H78)+1))</f>
        <v/>
      </c>
    </row>
    <row r="79" customFormat="false" ht="15" hidden="false" customHeight="false" outlineLevel="0" collapsed="false">
      <c r="A79" s="89" t="str">
        <f aca="false">IF($B79="","",الموظفون!$A79)</f>
        <v/>
      </c>
      <c r="B79" s="91" t="str">
        <f aca="false">IF(الموظفون!$B79="","",الموظفون!$B79)</f>
        <v/>
      </c>
      <c r="C79" s="91" t="str">
        <f aca="false">IF($B79="","",الموظفون!$C79)</f>
        <v/>
      </c>
      <c r="D79" s="91" t="str">
        <f aca="false">IF($B79="","",الموظفون!$F79)</f>
        <v/>
      </c>
      <c r="E79" s="91" t="str">
        <f aca="false">IF($B79="","",الموظفون!$E79)</f>
        <v/>
      </c>
      <c r="F79" s="110" t="str">
        <f aca="false">IF($B79="","",IF(AE79&gt;=DAY($G$3),cfg_DAYS_M,MIN(AE79,cfg_DAYS_M)))</f>
        <v/>
      </c>
      <c r="G79" s="110" t="str">
        <f aca="false">IF($B79="","",SUMIFS('الحركات الشهرية'!$D$6:$D$1005,'الحركات الشهرية'!$B$6:$B$1005,$B79,'الحركات الشهرية'!$A$6:$A$1005,$C$3))</f>
        <v/>
      </c>
      <c r="H79" s="110" t="str">
        <f aca="false">IF($B79="","",SUMIFS('الحركات الشهرية'!$E$6:$E$1005,'الحركات الشهرية'!$B$6:$B$1005,$B79,'الحركات الشهرية'!$A$6:$A$1005,$C$3))</f>
        <v/>
      </c>
      <c r="I79" s="110" t="str">
        <f aca="false">IF($B79="","",MAX(0,F79-G79-H79))</f>
        <v/>
      </c>
      <c r="J79" s="90" t="str">
        <f aca="false">IF($B79="","",الموظفون!$J79*$I79/cfg_DAYS_M)</f>
        <v/>
      </c>
      <c r="K79" s="90" t="str">
        <f aca="false">IF($B79="","",الموظفون!$K79*$I79/cfg_DAYS_M)</f>
        <v/>
      </c>
      <c r="L79" s="90" t="str">
        <f aca="false">IF($B79="","",الموظفون!$L79*$I79/cfg_DAYS_M)</f>
        <v/>
      </c>
      <c r="M79" s="90" t="str">
        <f aca="false">IF($B79="","",الموظفون!$M79*$I79/cfg_DAYS_M)</f>
        <v/>
      </c>
      <c r="N79" s="110" t="str">
        <f aca="false">IF($B79="","",SUMIFS('الحركات الشهرية'!$F$6:$F$1005,'الحركات الشهرية'!$B$6:$B$1005,$B79,'الحركات الشهرية'!$A$6:$A$1005,$C$3))</f>
        <v/>
      </c>
      <c r="O79" s="90" t="str">
        <f aca="false">IF($B79="","",N79*(الموظفون!$N79+الموظفون!$J79*cfg_OT_P)/cfg_DAYS_M/cfg_HRS)</f>
        <v/>
      </c>
      <c r="P79" s="90" t="str">
        <f aca="false">IF($B79="","",SUMIFS('الحركات الشهرية'!$G$6:$G$1005,'الحركات الشهرية'!$B$6:$B$1005,$B79,'الحركات الشهرية'!$A$6:$A$1005,$C$3))</f>
        <v/>
      </c>
      <c r="Q79" s="90" t="str">
        <f aca="false">IF($B79="","",SUMIFS('الحركات الشهرية'!$H$6:$H$1005,'الحركات الشهرية'!$B$6:$B$1005,$B79,'الحركات الشهرية'!$A$6:$A$1005,$C$3))</f>
        <v/>
      </c>
      <c r="R79" s="111" t="str">
        <f aca="false">IF($B79="","",SUM(J79:M79)+SUM(O79:Q79))</f>
        <v/>
      </c>
      <c r="S79" s="90" t="str">
        <f aca="false">IF($B79="","",الموظفون!$Q79*IF(E79="سعودي",cfg_G_SE,cfg_G_NE)*F79/cfg_DAYS_M)</f>
        <v/>
      </c>
      <c r="T79" s="90" t="str">
        <f aca="false">IF($B79="","",SUMIFS('الحركات الشهرية'!$I$6:$I$1005,'الحركات الشهرية'!$B$6:$B$1005,$B79,'الحركات الشهرية'!$A$6:$A$1005,$C$3))</f>
        <v/>
      </c>
      <c r="U79" s="90" t="str">
        <f aca="false">IF($B79="","",SUMIFS('الحركات الشهرية'!$J$6:$J$1005,'الحركات الشهرية'!$B$6:$B$1005,$B79,'الحركات الشهرية'!$A$6:$A$1005,$C$3))</f>
        <v/>
      </c>
      <c r="V79" s="90" t="str">
        <f aca="false">IF($B79="","",SUM(S79:U79))</f>
        <v/>
      </c>
      <c r="W79" s="112" t="str">
        <f aca="false">IF($B79="","",R79-V79)</f>
        <v/>
      </c>
      <c r="X79" s="90" t="str">
        <f aca="false">IF($B79="","",الموظفون!$Q79*IF(E79="سعودي",cfg_G_SR,cfg_G_NR)*F79/cfg_DAYS_M)</f>
        <v/>
      </c>
      <c r="Y79" s="90" t="str">
        <f aca="false">IF($B79="","",الموظفون!$O79*(cfg_EOS_R1*(MIN(AC79,cfg_EOS_TH)-MIN(AD79,cfg_EOS_TH))+cfg_EOS_R2*(MAX(AC79-cfg_EOS_TH,0)-MAX(AD79-cfg_EOS_TH,0))))</f>
        <v/>
      </c>
      <c r="Z79" s="90" t="str">
        <f aca="false">IF($B79="","",IF(الموظفون!$R79&lt;&gt;"",الموظفون!$R79,IF(AC79&gt;=cfg_LV_TH,cfg_LV_D2,cfg_LV_D1))/cfg_DAYS_Y*AE79*الموظفون!$P79/cfg_DAYS_M)</f>
        <v/>
      </c>
      <c r="AA79" s="90" t="str">
        <f aca="false">IF($B79="","",IF(AND(الموظفون!$S79="نعم",N(الموظفون!$U79)&gt;0),الموظفون!$T79/الموظفون!$U79*12/cfg_DAYS_Y*AE79,0))</f>
        <v/>
      </c>
      <c r="AB79" s="113" t="str">
        <f aca="false">IF($B79="","",R79+SUM(X79:AA79))</f>
        <v/>
      </c>
      <c r="AC79" s="114" t="str">
        <f aca="false">IF($B79="","",MAX(0,IF(OR(الموظفون!$X79="",الموظفون!$X79&gt;$G$3),$G$3,الموظفون!$X79)-الموظفون!$H79+1)/cfg_DAYS_Y)</f>
        <v/>
      </c>
      <c r="AD79" s="114" t="str">
        <f aca="false">IF($B79="","",MAX(0,IF(OR(الموظفون!$X79="",الموظفون!$X79&gt;($E$3-1)),($E$3-1),الموظفون!$X79)-الموظفون!$H79+1)/cfg_DAYS_Y)</f>
        <v/>
      </c>
      <c r="AE79" s="115" t="str">
        <f aca="false">IF($B79="","",MAX(0,IF(OR(الموظفون!$X79="",الموظفون!$X79&gt;$G$3),$G$3,الموظفون!$X79)-MAX($E$3,الموظفون!$H79)+1))</f>
        <v/>
      </c>
    </row>
    <row r="80" customFormat="false" ht="15" hidden="false" customHeight="false" outlineLevel="0" collapsed="false">
      <c r="A80" s="83" t="str">
        <f aca="false">IF($B80="","",الموظفون!$A80)</f>
        <v/>
      </c>
      <c r="B80" s="74" t="str">
        <f aca="false">IF(الموظفون!$B80="","",الموظفون!$B80)</f>
        <v/>
      </c>
      <c r="C80" s="74" t="str">
        <f aca="false">IF($B80="","",الموظفون!$C80)</f>
        <v/>
      </c>
      <c r="D80" s="74" t="str">
        <f aca="false">IF($B80="","",الموظفون!$F80)</f>
        <v/>
      </c>
      <c r="E80" s="74" t="str">
        <f aca="false">IF($B80="","",الموظفون!$E80)</f>
        <v/>
      </c>
      <c r="F80" s="105" t="str">
        <f aca="false">IF($B80="","",IF(AE80&gt;=DAY($G$3),cfg_DAYS_M,MIN(AE80,cfg_DAYS_M)))</f>
        <v/>
      </c>
      <c r="G80" s="105" t="str">
        <f aca="false">IF($B80="","",SUMIFS('الحركات الشهرية'!$D$6:$D$1005,'الحركات الشهرية'!$B$6:$B$1005,$B80,'الحركات الشهرية'!$A$6:$A$1005,$C$3))</f>
        <v/>
      </c>
      <c r="H80" s="105" t="str">
        <f aca="false">IF($B80="","",SUMIFS('الحركات الشهرية'!$E$6:$E$1005,'الحركات الشهرية'!$B$6:$B$1005,$B80,'الحركات الشهرية'!$A$6:$A$1005,$C$3))</f>
        <v/>
      </c>
      <c r="I80" s="105" t="str">
        <f aca="false">IF($B80="","",MAX(0,F80-G80-H80))</f>
        <v/>
      </c>
      <c r="J80" s="86" t="str">
        <f aca="false">IF($B80="","",الموظفون!$J80*$I80/cfg_DAYS_M)</f>
        <v/>
      </c>
      <c r="K80" s="86" t="str">
        <f aca="false">IF($B80="","",الموظفون!$K80*$I80/cfg_DAYS_M)</f>
        <v/>
      </c>
      <c r="L80" s="86" t="str">
        <f aca="false">IF($B80="","",الموظفون!$L80*$I80/cfg_DAYS_M)</f>
        <v/>
      </c>
      <c r="M80" s="86" t="str">
        <f aca="false">IF($B80="","",الموظفون!$M80*$I80/cfg_DAYS_M)</f>
        <v/>
      </c>
      <c r="N80" s="105" t="str">
        <f aca="false">IF($B80="","",SUMIFS('الحركات الشهرية'!$F$6:$F$1005,'الحركات الشهرية'!$B$6:$B$1005,$B80,'الحركات الشهرية'!$A$6:$A$1005,$C$3))</f>
        <v/>
      </c>
      <c r="O80" s="86" t="str">
        <f aca="false">IF($B80="","",N80*(الموظفون!$N80+الموظفون!$J80*cfg_OT_P)/cfg_DAYS_M/cfg_HRS)</f>
        <v/>
      </c>
      <c r="P80" s="86" t="str">
        <f aca="false">IF($B80="","",SUMIFS('الحركات الشهرية'!$G$6:$G$1005,'الحركات الشهرية'!$B$6:$B$1005,$B80,'الحركات الشهرية'!$A$6:$A$1005,$C$3))</f>
        <v/>
      </c>
      <c r="Q80" s="86" t="str">
        <f aca="false">IF($B80="","",SUMIFS('الحركات الشهرية'!$H$6:$H$1005,'الحركات الشهرية'!$B$6:$B$1005,$B80,'الحركات الشهرية'!$A$6:$A$1005,$C$3))</f>
        <v/>
      </c>
      <c r="R80" s="106" t="str">
        <f aca="false">IF($B80="","",SUM(J80:M80)+SUM(O80:Q80))</f>
        <v/>
      </c>
      <c r="S80" s="86" t="str">
        <f aca="false">IF($B80="","",الموظفون!$Q80*IF(E80="سعودي",cfg_G_SE,cfg_G_NE)*F80/cfg_DAYS_M)</f>
        <v/>
      </c>
      <c r="T80" s="86" t="str">
        <f aca="false">IF($B80="","",SUMIFS('الحركات الشهرية'!$I$6:$I$1005,'الحركات الشهرية'!$B$6:$B$1005,$B80,'الحركات الشهرية'!$A$6:$A$1005,$C$3))</f>
        <v/>
      </c>
      <c r="U80" s="86" t="str">
        <f aca="false">IF($B80="","",SUMIFS('الحركات الشهرية'!$J$6:$J$1005,'الحركات الشهرية'!$B$6:$B$1005,$B80,'الحركات الشهرية'!$A$6:$A$1005,$C$3))</f>
        <v/>
      </c>
      <c r="V80" s="86" t="str">
        <f aca="false">IF($B80="","",SUM(S80:U80))</f>
        <v/>
      </c>
      <c r="W80" s="107" t="str">
        <f aca="false">IF($B80="","",R80-V80)</f>
        <v/>
      </c>
      <c r="X80" s="86" t="str">
        <f aca="false">IF($B80="","",الموظفون!$Q80*IF(E80="سعودي",cfg_G_SR,cfg_G_NR)*F80/cfg_DAYS_M)</f>
        <v/>
      </c>
      <c r="Y80" s="86" t="str">
        <f aca="false">IF($B80="","",الموظفون!$O80*(cfg_EOS_R1*(MIN(AC80,cfg_EOS_TH)-MIN(AD80,cfg_EOS_TH))+cfg_EOS_R2*(MAX(AC80-cfg_EOS_TH,0)-MAX(AD80-cfg_EOS_TH,0))))</f>
        <v/>
      </c>
      <c r="Z80" s="86" t="str">
        <f aca="false">IF($B80="","",IF(الموظفون!$R80&lt;&gt;"",الموظفون!$R80,IF(AC80&gt;=cfg_LV_TH,cfg_LV_D2,cfg_LV_D1))/cfg_DAYS_Y*AE80*الموظفون!$P80/cfg_DAYS_M)</f>
        <v/>
      </c>
      <c r="AA80" s="86" t="str">
        <f aca="false">IF($B80="","",IF(AND(الموظفون!$S80="نعم",N(الموظفون!$U80)&gt;0),الموظفون!$T80/الموظفون!$U80*12/cfg_DAYS_Y*AE80,0))</f>
        <v/>
      </c>
      <c r="AB80" s="108" t="str">
        <f aca="false">IF($B80="","",R80+SUM(X80:AA80))</f>
        <v/>
      </c>
      <c r="AC80" s="109" t="str">
        <f aca="false">IF($B80="","",MAX(0,IF(OR(الموظفون!$X80="",الموظفون!$X80&gt;$G$3),$G$3,الموظفون!$X80)-الموظفون!$H80+1)/cfg_DAYS_Y)</f>
        <v/>
      </c>
      <c r="AD80" s="109" t="str">
        <f aca="false">IF($B80="","",MAX(0,IF(OR(الموظفون!$X80="",الموظفون!$X80&gt;($E$3-1)),($E$3-1),الموظفون!$X80)-الموظفون!$H80+1)/cfg_DAYS_Y)</f>
        <v/>
      </c>
      <c r="AE80" s="51" t="str">
        <f aca="false">IF($B80="","",MAX(0,IF(OR(الموظفون!$X80="",الموظفون!$X80&gt;$G$3),$G$3,الموظفون!$X80)-MAX($E$3,الموظفون!$H80)+1))</f>
        <v/>
      </c>
    </row>
    <row r="81" customFormat="false" ht="15" hidden="false" customHeight="false" outlineLevel="0" collapsed="false">
      <c r="A81" s="89" t="str">
        <f aca="false">IF($B81="","",الموظفون!$A81)</f>
        <v/>
      </c>
      <c r="B81" s="91" t="str">
        <f aca="false">IF(الموظفون!$B81="","",الموظفون!$B81)</f>
        <v/>
      </c>
      <c r="C81" s="91" t="str">
        <f aca="false">IF($B81="","",الموظفون!$C81)</f>
        <v/>
      </c>
      <c r="D81" s="91" t="str">
        <f aca="false">IF($B81="","",الموظفون!$F81)</f>
        <v/>
      </c>
      <c r="E81" s="91" t="str">
        <f aca="false">IF($B81="","",الموظفون!$E81)</f>
        <v/>
      </c>
      <c r="F81" s="110" t="str">
        <f aca="false">IF($B81="","",IF(AE81&gt;=DAY($G$3),cfg_DAYS_M,MIN(AE81,cfg_DAYS_M)))</f>
        <v/>
      </c>
      <c r="G81" s="110" t="str">
        <f aca="false">IF($B81="","",SUMIFS('الحركات الشهرية'!$D$6:$D$1005,'الحركات الشهرية'!$B$6:$B$1005,$B81,'الحركات الشهرية'!$A$6:$A$1005,$C$3))</f>
        <v/>
      </c>
      <c r="H81" s="110" t="str">
        <f aca="false">IF($B81="","",SUMIFS('الحركات الشهرية'!$E$6:$E$1005,'الحركات الشهرية'!$B$6:$B$1005,$B81,'الحركات الشهرية'!$A$6:$A$1005,$C$3))</f>
        <v/>
      </c>
      <c r="I81" s="110" t="str">
        <f aca="false">IF($B81="","",MAX(0,F81-G81-H81))</f>
        <v/>
      </c>
      <c r="J81" s="90" t="str">
        <f aca="false">IF($B81="","",الموظفون!$J81*$I81/cfg_DAYS_M)</f>
        <v/>
      </c>
      <c r="K81" s="90" t="str">
        <f aca="false">IF($B81="","",الموظفون!$K81*$I81/cfg_DAYS_M)</f>
        <v/>
      </c>
      <c r="L81" s="90" t="str">
        <f aca="false">IF($B81="","",الموظفون!$L81*$I81/cfg_DAYS_M)</f>
        <v/>
      </c>
      <c r="M81" s="90" t="str">
        <f aca="false">IF($B81="","",الموظفون!$M81*$I81/cfg_DAYS_M)</f>
        <v/>
      </c>
      <c r="N81" s="110" t="str">
        <f aca="false">IF($B81="","",SUMIFS('الحركات الشهرية'!$F$6:$F$1005,'الحركات الشهرية'!$B$6:$B$1005,$B81,'الحركات الشهرية'!$A$6:$A$1005,$C$3))</f>
        <v/>
      </c>
      <c r="O81" s="90" t="str">
        <f aca="false">IF($B81="","",N81*(الموظفون!$N81+الموظفون!$J81*cfg_OT_P)/cfg_DAYS_M/cfg_HRS)</f>
        <v/>
      </c>
      <c r="P81" s="90" t="str">
        <f aca="false">IF($B81="","",SUMIFS('الحركات الشهرية'!$G$6:$G$1005,'الحركات الشهرية'!$B$6:$B$1005,$B81,'الحركات الشهرية'!$A$6:$A$1005,$C$3))</f>
        <v/>
      </c>
      <c r="Q81" s="90" t="str">
        <f aca="false">IF($B81="","",SUMIFS('الحركات الشهرية'!$H$6:$H$1005,'الحركات الشهرية'!$B$6:$B$1005,$B81,'الحركات الشهرية'!$A$6:$A$1005,$C$3))</f>
        <v/>
      </c>
      <c r="R81" s="111" t="str">
        <f aca="false">IF($B81="","",SUM(J81:M81)+SUM(O81:Q81))</f>
        <v/>
      </c>
      <c r="S81" s="90" t="str">
        <f aca="false">IF($B81="","",الموظفون!$Q81*IF(E81="سعودي",cfg_G_SE,cfg_G_NE)*F81/cfg_DAYS_M)</f>
        <v/>
      </c>
      <c r="T81" s="90" t="str">
        <f aca="false">IF($B81="","",SUMIFS('الحركات الشهرية'!$I$6:$I$1005,'الحركات الشهرية'!$B$6:$B$1005,$B81,'الحركات الشهرية'!$A$6:$A$1005,$C$3))</f>
        <v/>
      </c>
      <c r="U81" s="90" t="str">
        <f aca="false">IF($B81="","",SUMIFS('الحركات الشهرية'!$J$6:$J$1005,'الحركات الشهرية'!$B$6:$B$1005,$B81,'الحركات الشهرية'!$A$6:$A$1005,$C$3))</f>
        <v/>
      </c>
      <c r="V81" s="90" t="str">
        <f aca="false">IF($B81="","",SUM(S81:U81))</f>
        <v/>
      </c>
      <c r="W81" s="112" t="str">
        <f aca="false">IF($B81="","",R81-V81)</f>
        <v/>
      </c>
      <c r="X81" s="90" t="str">
        <f aca="false">IF($B81="","",الموظفون!$Q81*IF(E81="سعودي",cfg_G_SR,cfg_G_NR)*F81/cfg_DAYS_M)</f>
        <v/>
      </c>
      <c r="Y81" s="90" t="str">
        <f aca="false">IF($B81="","",الموظفون!$O81*(cfg_EOS_R1*(MIN(AC81,cfg_EOS_TH)-MIN(AD81,cfg_EOS_TH))+cfg_EOS_R2*(MAX(AC81-cfg_EOS_TH,0)-MAX(AD81-cfg_EOS_TH,0))))</f>
        <v/>
      </c>
      <c r="Z81" s="90" t="str">
        <f aca="false">IF($B81="","",IF(الموظفون!$R81&lt;&gt;"",الموظفون!$R81,IF(AC81&gt;=cfg_LV_TH,cfg_LV_D2,cfg_LV_D1))/cfg_DAYS_Y*AE81*الموظفون!$P81/cfg_DAYS_M)</f>
        <v/>
      </c>
      <c r="AA81" s="90" t="str">
        <f aca="false">IF($B81="","",IF(AND(الموظفون!$S81="نعم",N(الموظفون!$U81)&gt;0),الموظفون!$T81/الموظفون!$U81*12/cfg_DAYS_Y*AE81,0))</f>
        <v/>
      </c>
      <c r="AB81" s="113" t="str">
        <f aca="false">IF($B81="","",R81+SUM(X81:AA81))</f>
        <v/>
      </c>
      <c r="AC81" s="114" t="str">
        <f aca="false">IF($B81="","",MAX(0,IF(OR(الموظفون!$X81="",الموظفون!$X81&gt;$G$3),$G$3,الموظفون!$X81)-الموظفون!$H81+1)/cfg_DAYS_Y)</f>
        <v/>
      </c>
      <c r="AD81" s="114" t="str">
        <f aca="false">IF($B81="","",MAX(0,IF(OR(الموظفون!$X81="",الموظفون!$X81&gt;($E$3-1)),($E$3-1),الموظفون!$X81)-الموظفون!$H81+1)/cfg_DAYS_Y)</f>
        <v/>
      </c>
      <c r="AE81" s="115" t="str">
        <f aca="false">IF($B81="","",MAX(0,IF(OR(الموظفون!$X81="",الموظفون!$X81&gt;$G$3),$G$3,الموظفون!$X81)-MAX($E$3,الموظفون!$H81)+1))</f>
        <v/>
      </c>
    </row>
    <row r="82" customFormat="false" ht="15" hidden="false" customHeight="false" outlineLevel="0" collapsed="false">
      <c r="A82" s="83" t="str">
        <f aca="false">IF($B82="","",الموظفون!$A82)</f>
        <v/>
      </c>
      <c r="B82" s="74" t="str">
        <f aca="false">IF(الموظفون!$B82="","",الموظفون!$B82)</f>
        <v/>
      </c>
      <c r="C82" s="74" t="str">
        <f aca="false">IF($B82="","",الموظفون!$C82)</f>
        <v/>
      </c>
      <c r="D82" s="74" t="str">
        <f aca="false">IF($B82="","",الموظفون!$F82)</f>
        <v/>
      </c>
      <c r="E82" s="74" t="str">
        <f aca="false">IF($B82="","",الموظفون!$E82)</f>
        <v/>
      </c>
      <c r="F82" s="105" t="str">
        <f aca="false">IF($B82="","",IF(AE82&gt;=DAY($G$3),cfg_DAYS_M,MIN(AE82,cfg_DAYS_M)))</f>
        <v/>
      </c>
      <c r="G82" s="105" t="str">
        <f aca="false">IF($B82="","",SUMIFS('الحركات الشهرية'!$D$6:$D$1005,'الحركات الشهرية'!$B$6:$B$1005,$B82,'الحركات الشهرية'!$A$6:$A$1005,$C$3))</f>
        <v/>
      </c>
      <c r="H82" s="105" t="str">
        <f aca="false">IF($B82="","",SUMIFS('الحركات الشهرية'!$E$6:$E$1005,'الحركات الشهرية'!$B$6:$B$1005,$B82,'الحركات الشهرية'!$A$6:$A$1005,$C$3))</f>
        <v/>
      </c>
      <c r="I82" s="105" t="str">
        <f aca="false">IF($B82="","",MAX(0,F82-G82-H82))</f>
        <v/>
      </c>
      <c r="J82" s="86" t="str">
        <f aca="false">IF($B82="","",الموظفون!$J82*$I82/cfg_DAYS_M)</f>
        <v/>
      </c>
      <c r="K82" s="86" t="str">
        <f aca="false">IF($B82="","",الموظفون!$K82*$I82/cfg_DAYS_M)</f>
        <v/>
      </c>
      <c r="L82" s="86" t="str">
        <f aca="false">IF($B82="","",الموظفون!$L82*$I82/cfg_DAYS_M)</f>
        <v/>
      </c>
      <c r="M82" s="86" t="str">
        <f aca="false">IF($B82="","",الموظفون!$M82*$I82/cfg_DAYS_M)</f>
        <v/>
      </c>
      <c r="N82" s="105" t="str">
        <f aca="false">IF($B82="","",SUMIFS('الحركات الشهرية'!$F$6:$F$1005,'الحركات الشهرية'!$B$6:$B$1005,$B82,'الحركات الشهرية'!$A$6:$A$1005,$C$3))</f>
        <v/>
      </c>
      <c r="O82" s="86" t="str">
        <f aca="false">IF($B82="","",N82*(الموظفون!$N82+الموظفون!$J82*cfg_OT_P)/cfg_DAYS_M/cfg_HRS)</f>
        <v/>
      </c>
      <c r="P82" s="86" t="str">
        <f aca="false">IF($B82="","",SUMIFS('الحركات الشهرية'!$G$6:$G$1005,'الحركات الشهرية'!$B$6:$B$1005,$B82,'الحركات الشهرية'!$A$6:$A$1005,$C$3))</f>
        <v/>
      </c>
      <c r="Q82" s="86" t="str">
        <f aca="false">IF($B82="","",SUMIFS('الحركات الشهرية'!$H$6:$H$1005,'الحركات الشهرية'!$B$6:$B$1005,$B82,'الحركات الشهرية'!$A$6:$A$1005,$C$3))</f>
        <v/>
      </c>
      <c r="R82" s="106" t="str">
        <f aca="false">IF($B82="","",SUM(J82:M82)+SUM(O82:Q82))</f>
        <v/>
      </c>
      <c r="S82" s="86" t="str">
        <f aca="false">IF($B82="","",الموظفون!$Q82*IF(E82="سعودي",cfg_G_SE,cfg_G_NE)*F82/cfg_DAYS_M)</f>
        <v/>
      </c>
      <c r="T82" s="86" t="str">
        <f aca="false">IF($B82="","",SUMIFS('الحركات الشهرية'!$I$6:$I$1005,'الحركات الشهرية'!$B$6:$B$1005,$B82,'الحركات الشهرية'!$A$6:$A$1005,$C$3))</f>
        <v/>
      </c>
      <c r="U82" s="86" t="str">
        <f aca="false">IF($B82="","",SUMIFS('الحركات الشهرية'!$J$6:$J$1005,'الحركات الشهرية'!$B$6:$B$1005,$B82,'الحركات الشهرية'!$A$6:$A$1005,$C$3))</f>
        <v/>
      </c>
      <c r="V82" s="86" t="str">
        <f aca="false">IF($B82="","",SUM(S82:U82))</f>
        <v/>
      </c>
      <c r="W82" s="107" t="str">
        <f aca="false">IF($B82="","",R82-V82)</f>
        <v/>
      </c>
      <c r="X82" s="86" t="str">
        <f aca="false">IF($B82="","",الموظفون!$Q82*IF(E82="سعودي",cfg_G_SR,cfg_G_NR)*F82/cfg_DAYS_M)</f>
        <v/>
      </c>
      <c r="Y82" s="86" t="str">
        <f aca="false">IF($B82="","",الموظفون!$O82*(cfg_EOS_R1*(MIN(AC82,cfg_EOS_TH)-MIN(AD82,cfg_EOS_TH))+cfg_EOS_R2*(MAX(AC82-cfg_EOS_TH,0)-MAX(AD82-cfg_EOS_TH,0))))</f>
        <v/>
      </c>
      <c r="Z82" s="86" t="str">
        <f aca="false">IF($B82="","",IF(الموظفون!$R82&lt;&gt;"",الموظفون!$R82,IF(AC82&gt;=cfg_LV_TH,cfg_LV_D2,cfg_LV_D1))/cfg_DAYS_Y*AE82*الموظفون!$P82/cfg_DAYS_M)</f>
        <v/>
      </c>
      <c r="AA82" s="86" t="str">
        <f aca="false">IF($B82="","",IF(AND(الموظفون!$S82="نعم",N(الموظفون!$U82)&gt;0),الموظفون!$T82/الموظفون!$U82*12/cfg_DAYS_Y*AE82,0))</f>
        <v/>
      </c>
      <c r="AB82" s="108" t="str">
        <f aca="false">IF($B82="","",R82+SUM(X82:AA82))</f>
        <v/>
      </c>
      <c r="AC82" s="109" t="str">
        <f aca="false">IF($B82="","",MAX(0,IF(OR(الموظفون!$X82="",الموظفون!$X82&gt;$G$3),$G$3,الموظفون!$X82)-الموظفون!$H82+1)/cfg_DAYS_Y)</f>
        <v/>
      </c>
      <c r="AD82" s="109" t="str">
        <f aca="false">IF($B82="","",MAX(0,IF(OR(الموظفون!$X82="",الموظفون!$X82&gt;($E$3-1)),($E$3-1),الموظفون!$X82)-الموظفون!$H82+1)/cfg_DAYS_Y)</f>
        <v/>
      </c>
      <c r="AE82" s="51" t="str">
        <f aca="false">IF($B82="","",MAX(0,IF(OR(الموظفون!$X82="",الموظفون!$X82&gt;$G$3),$G$3,الموظفون!$X82)-MAX($E$3,الموظفون!$H82)+1))</f>
        <v/>
      </c>
    </row>
    <row r="83" customFormat="false" ht="15" hidden="false" customHeight="false" outlineLevel="0" collapsed="false">
      <c r="A83" s="89" t="str">
        <f aca="false">IF($B83="","",الموظفون!$A83)</f>
        <v/>
      </c>
      <c r="B83" s="91" t="str">
        <f aca="false">IF(الموظفون!$B83="","",الموظفون!$B83)</f>
        <v/>
      </c>
      <c r="C83" s="91" t="str">
        <f aca="false">IF($B83="","",الموظفون!$C83)</f>
        <v/>
      </c>
      <c r="D83" s="91" t="str">
        <f aca="false">IF($B83="","",الموظفون!$F83)</f>
        <v/>
      </c>
      <c r="E83" s="91" t="str">
        <f aca="false">IF($B83="","",الموظفون!$E83)</f>
        <v/>
      </c>
      <c r="F83" s="110" t="str">
        <f aca="false">IF($B83="","",IF(AE83&gt;=DAY($G$3),cfg_DAYS_M,MIN(AE83,cfg_DAYS_M)))</f>
        <v/>
      </c>
      <c r="G83" s="110" t="str">
        <f aca="false">IF($B83="","",SUMIFS('الحركات الشهرية'!$D$6:$D$1005,'الحركات الشهرية'!$B$6:$B$1005,$B83,'الحركات الشهرية'!$A$6:$A$1005,$C$3))</f>
        <v/>
      </c>
      <c r="H83" s="110" t="str">
        <f aca="false">IF($B83="","",SUMIFS('الحركات الشهرية'!$E$6:$E$1005,'الحركات الشهرية'!$B$6:$B$1005,$B83,'الحركات الشهرية'!$A$6:$A$1005,$C$3))</f>
        <v/>
      </c>
      <c r="I83" s="110" t="str">
        <f aca="false">IF($B83="","",MAX(0,F83-G83-H83))</f>
        <v/>
      </c>
      <c r="J83" s="90" t="str">
        <f aca="false">IF($B83="","",الموظفون!$J83*$I83/cfg_DAYS_M)</f>
        <v/>
      </c>
      <c r="K83" s="90" t="str">
        <f aca="false">IF($B83="","",الموظفون!$K83*$I83/cfg_DAYS_M)</f>
        <v/>
      </c>
      <c r="L83" s="90" t="str">
        <f aca="false">IF($B83="","",الموظفون!$L83*$I83/cfg_DAYS_M)</f>
        <v/>
      </c>
      <c r="M83" s="90" t="str">
        <f aca="false">IF($B83="","",الموظفون!$M83*$I83/cfg_DAYS_M)</f>
        <v/>
      </c>
      <c r="N83" s="110" t="str">
        <f aca="false">IF($B83="","",SUMIFS('الحركات الشهرية'!$F$6:$F$1005,'الحركات الشهرية'!$B$6:$B$1005,$B83,'الحركات الشهرية'!$A$6:$A$1005,$C$3))</f>
        <v/>
      </c>
      <c r="O83" s="90" t="str">
        <f aca="false">IF($B83="","",N83*(الموظفون!$N83+الموظفون!$J83*cfg_OT_P)/cfg_DAYS_M/cfg_HRS)</f>
        <v/>
      </c>
      <c r="P83" s="90" t="str">
        <f aca="false">IF($B83="","",SUMIFS('الحركات الشهرية'!$G$6:$G$1005,'الحركات الشهرية'!$B$6:$B$1005,$B83,'الحركات الشهرية'!$A$6:$A$1005,$C$3))</f>
        <v/>
      </c>
      <c r="Q83" s="90" t="str">
        <f aca="false">IF($B83="","",SUMIFS('الحركات الشهرية'!$H$6:$H$1005,'الحركات الشهرية'!$B$6:$B$1005,$B83,'الحركات الشهرية'!$A$6:$A$1005,$C$3))</f>
        <v/>
      </c>
      <c r="R83" s="111" t="str">
        <f aca="false">IF($B83="","",SUM(J83:M83)+SUM(O83:Q83))</f>
        <v/>
      </c>
      <c r="S83" s="90" t="str">
        <f aca="false">IF($B83="","",الموظفون!$Q83*IF(E83="سعودي",cfg_G_SE,cfg_G_NE)*F83/cfg_DAYS_M)</f>
        <v/>
      </c>
      <c r="T83" s="90" t="str">
        <f aca="false">IF($B83="","",SUMIFS('الحركات الشهرية'!$I$6:$I$1005,'الحركات الشهرية'!$B$6:$B$1005,$B83,'الحركات الشهرية'!$A$6:$A$1005,$C$3))</f>
        <v/>
      </c>
      <c r="U83" s="90" t="str">
        <f aca="false">IF($B83="","",SUMIFS('الحركات الشهرية'!$J$6:$J$1005,'الحركات الشهرية'!$B$6:$B$1005,$B83,'الحركات الشهرية'!$A$6:$A$1005,$C$3))</f>
        <v/>
      </c>
      <c r="V83" s="90" t="str">
        <f aca="false">IF($B83="","",SUM(S83:U83))</f>
        <v/>
      </c>
      <c r="W83" s="112" t="str">
        <f aca="false">IF($B83="","",R83-V83)</f>
        <v/>
      </c>
      <c r="X83" s="90" t="str">
        <f aca="false">IF($B83="","",الموظفون!$Q83*IF(E83="سعودي",cfg_G_SR,cfg_G_NR)*F83/cfg_DAYS_M)</f>
        <v/>
      </c>
      <c r="Y83" s="90" t="str">
        <f aca="false">IF($B83="","",الموظفون!$O83*(cfg_EOS_R1*(MIN(AC83,cfg_EOS_TH)-MIN(AD83,cfg_EOS_TH))+cfg_EOS_R2*(MAX(AC83-cfg_EOS_TH,0)-MAX(AD83-cfg_EOS_TH,0))))</f>
        <v/>
      </c>
      <c r="Z83" s="90" t="str">
        <f aca="false">IF($B83="","",IF(الموظفون!$R83&lt;&gt;"",الموظفون!$R83,IF(AC83&gt;=cfg_LV_TH,cfg_LV_D2,cfg_LV_D1))/cfg_DAYS_Y*AE83*الموظفون!$P83/cfg_DAYS_M)</f>
        <v/>
      </c>
      <c r="AA83" s="90" t="str">
        <f aca="false">IF($B83="","",IF(AND(الموظفون!$S83="نعم",N(الموظفون!$U83)&gt;0),الموظفون!$T83/الموظفون!$U83*12/cfg_DAYS_Y*AE83,0))</f>
        <v/>
      </c>
      <c r="AB83" s="113" t="str">
        <f aca="false">IF($B83="","",R83+SUM(X83:AA83))</f>
        <v/>
      </c>
      <c r="AC83" s="114" t="str">
        <f aca="false">IF($B83="","",MAX(0,IF(OR(الموظفون!$X83="",الموظفون!$X83&gt;$G$3),$G$3,الموظفون!$X83)-الموظفون!$H83+1)/cfg_DAYS_Y)</f>
        <v/>
      </c>
      <c r="AD83" s="114" t="str">
        <f aca="false">IF($B83="","",MAX(0,IF(OR(الموظفون!$X83="",الموظفون!$X83&gt;($E$3-1)),($E$3-1),الموظفون!$X83)-الموظفون!$H83+1)/cfg_DAYS_Y)</f>
        <v/>
      </c>
      <c r="AE83" s="115" t="str">
        <f aca="false">IF($B83="","",MAX(0,IF(OR(الموظفون!$X83="",الموظفون!$X83&gt;$G$3),$G$3,الموظفون!$X83)-MAX($E$3,الموظفون!$H83)+1))</f>
        <v/>
      </c>
    </row>
    <row r="84" customFormat="false" ht="15" hidden="false" customHeight="false" outlineLevel="0" collapsed="false">
      <c r="A84" s="83" t="str">
        <f aca="false">IF($B84="","",الموظفون!$A84)</f>
        <v/>
      </c>
      <c r="B84" s="74" t="str">
        <f aca="false">IF(الموظفون!$B84="","",الموظفون!$B84)</f>
        <v/>
      </c>
      <c r="C84" s="74" t="str">
        <f aca="false">IF($B84="","",الموظفون!$C84)</f>
        <v/>
      </c>
      <c r="D84" s="74" t="str">
        <f aca="false">IF($B84="","",الموظفون!$F84)</f>
        <v/>
      </c>
      <c r="E84" s="74" t="str">
        <f aca="false">IF($B84="","",الموظفون!$E84)</f>
        <v/>
      </c>
      <c r="F84" s="105" t="str">
        <f aca="false">IF($B84="","",IF(AE84&gt;=DAY($G$3),cfg_DAYS_M,MIN(AE84,cfg_DAYS_M)))</f>
        <v/>
      </c>
      <c r="G84" s="105" t="str">
        <f aca="false">IF($B84="","",SUMIFS('الحركات الشهرية'!$D$6:$D$1005,'الحركات الشهرية'!$B$6:$B$1005,$B84,'الحركات الشهرية'!$A$6:$A$1005,$C$3))</f>
        <v/>
      </c>
      <c r="H84" s="105" t="str">
        <f aca="false">IF($B84="","",SUMIFS('الحركات الشهرية'!$E$6:$E$1005,'الحركات الشهرية'!$B$6:$B$1005,$B84,'الحركات الشهرية'!$A$6:$A$1005,$C$3))</f>
        <v/>
      </c>
      <c r="I84" s="105" t="str">
        <f aca="false">IF($B84="","",MAX(0,F84-G84-H84))</f>
        <v/>
      </c>
      <c r="J84" s="86" t="str">
        <f aca="false">IF($B84="","",الموظفون!$J84*$I84/cfg_DAYS_M)</f>
        <v/>
      </c>
      <c r="K84" s="86" t="str">
        <f aca="false">IF($B84="","",الموظفون!$K84*$I84/cfg_DAYS_M)</f>
        <v/>
      </c>
      <c r="L84" s="86" t="str">
        <f aca="false">IF($B84="","",الموظفون!$L84*$I84/cfg_DAYS_M)</f>
        <v/>
      </c>
      <c r="M84" s="86" t="str">
        <f aca="false">IF($B84="","",الموظفون!$M84*$I84/cfg_DAYS_M)</f>
        <v/>
      </c>
      <c r="N84" s="105" t="str">
        <f aca="false">IF($B84="","",SUMIFS('الحركات الشهرية'!$F$6:$F$1005,'الحركات الشهرية'!$B$6:$B$1005,$B84,'الحركات الشهرية'!$A$6:$A$1005,$C$3))</f>
        <v/>
      </c>
      <c r="O84" s="86" t="str">
        <f aca="false">IF($B84="","",N84*(الموظفون!$N84+الموظفون!$J84*cfg_OT_P)/cfg_DAYS_M/cfg_HRS)</f>
        <v/>
      </c>
      <c r="P84" s="86" t="str">
        <f aca="false">IF($B84="","",SUMIFS('الحركات الشهرية'!$G$6:$G$1005,'الحركات الشهرية'!$B$6:$B$1005,$B84,'الحركات الشهرية'!$A$6:$A$1005,$C$3))</f>
        <v/>
      </c>
      <c r="Q84" s="86" t="str">
        <f aca="false">IF($B84="","",SUMIFS('الحركات الشهرية'!$H$6:$H$1005,'الحركات الشهرية'!$B$6:$B$1005,$B84,'الحركات الشهرية'!$A$6:$A$1005,$C$3))</f>
        <v/>
      </c>
      <c r="R84" s="106" t="str">
        <f aca="false">IF($B84="","",SUM(J84:M84)+SUM(O84:Q84))</f>
        <v/>
      </c>
      <c r="S84" s="86" t="str">
        <f aca="false">IF($B84="","",الموظفون!$Q84*IF(E84="سعودي",cfg_G_SE,cfg_G_NE)*F84/cfg_DAYS_M)</f>
        <v/>
      </c>
      <c r="T84" s="86" t="str">
        <f aca="false">IF($B84="","",SUMIFS('الحركات الشهرية'!$I$6:$I$1005,'الحركات الشهرية'!$B$6:$B$1005,$B84,'الحركات الشهرية'!$A$6:$A$1005,$C$3))</f>
        <v/>
      </c>
      <c r="U84" s="86" t="str">
        <f aca="false">IF($B84="","",SUMIFS('الحركات الشهرية'!$J$6:$J$1005,'الحركات الشهرية'!$B$6:$B$1005,$B84,'الحركات الشهرية'!$A$6:$A$1005,$C$3))</f>
        <v/>
      </c>
      <c r="V84" s="86" t="str">
        <f aca="false">IF($B84="","",SUM(S84:U84))</f>
        <v/>
      </c>
      <c r="W84" s="107" t="str">
        <f aca="false">IF($B84="","",R84-V84)</f>
        <v/>
      </c>
      <c r="X84" s="86" t="str">
        <f aca="false">IF($B84="","",الموظفون!$Q84*IF(E84="سعودي",cfg_G_SR,cfg_G_NR)*F84/cfg_DAYS_M)</f>
        <v/>
      </c>
      <c r="Y84" s="86" t="str">
        <f aca="false">IF($B84="","",الموظفون!$O84*(cfg_EOS_R1*(MIN(AC84,cfg_EOS_TH)-MIN(AD84,cfg_EOS_TH))+cfg_EOS_R2*(MAX(AC84-cfg_EOS_TH,0)-MAX(AD84-cfg_EOS_TH,0))))</f>
        <v/>
      </c>
      <c r="Z84" s="86" t="str">
        <f aca="false">IF($B84="","",IF(الموظفون!$R84&lt;&gt;"",الموظفون!$R84,IF(AC84&gt;=cfg_LV_TH,cfg_LV_D2,cfg_LV_D1))/cfg_DAYS_Y*AE84*الموظفون!$P84/cfg_DAYS_M)</f>
        <v/>
      </c>
      <c r="AA84" s="86" t="str">
        <f aca="false">IF($B84="","",IF(AND(الموظفون!$S84="نعم",N(الموظفون!$U84)&gt;0),الموظفون!$T84/الموظفون!$U84*12/cfg_DAYS_Y*AE84,0))</f>
        <v/>
      </c>
      <c r="AB84" s="108" t="str">
        <f aca="false">IF($B84="","",R84+SUM(X84:AA84))</f>
        <v/>
      </c>
      <c r="AC84" s="109" t="str">
        <f aca="false">IF($B84="","",MAX(0,IF(OR(الموظفون!$X84="",الموظفون!$X84&gt;$G$3),$G$3,الموظفون!$X84)-الموظفون!$H84+1)/cfg_DAYS_Y)</f>
        <v/>
      </c>
      <c r="AD84" s="109" t="str">
        <f aca="false">IF($B84="","",MAX(0,IF(OR(الموظفون!$X84="",الموظفون!$X84&gt;($E$3-1)),($E$3-1),الموظفون!$X84)-الموظفون!$H84+1)/cfg_DAYS_Y)</f>
        <v/>
      </c>
      <c r="AE84" s="51" t="str">
        <f aca="false">IF($B84="","",MAX(0,IF(OR(الموظفون!$X84="",الموظفون!$X84&gt;$G$3),$G$3,الموظفون!$X84)-MAX($E$3,الموظفون!$H84)+1))</f>
        <v/>
      </c>
    </row>
    <row r="85" customFormat="false" ht="15" hidden="false" customHeight="false" outlineLevel="0" collapsed="false">
      <c r="A85" s="89" t="str">
        <f aca="false">IF($B85="","",الموظفون!$A85)</f>
        <v/>
      </c>
      <c r="B85" s="91" t="str">
        <f aca="false">IF(الموظفون!$B85="","",الموظفون!$B85)</f>
        <v/>
      </c>
      <c r="C85" s="91" t="str">
        <f aca="false">IF($B85="","",الموظفون!$C85)</f>
        <v/>
      </c>
      <c r="D85" s="91" t="str">
        <f aca="false">IF($B85="","",الموظفون!$F85)</f>
        <v/>
      </c>
      <c r="E85" s="91" t="str">
        <f aca="false">IF($B85="","",الموظفون!$E85)</f>
        <v/>
      </c>
      <c r="F85" s="110" t="str">
        <f aca="false">IF($B85="","",IF(AE85&gt;=DAY($G$3),cfg_DAYS_M,MIN(AE85,cfg_DAYS_M)))</f>
        <v/>
      </c>
      <c r="G85" s="110" t="str">
        <f aca="false">IF($B85="","",SUMIFS('الحركات الشهرية'!$D$6:$D$1005,'الحركات الشهرية'!$B$6:$B$1005,$B85,'الحركات الشهرية'!$A$6:$A$1005,$C$3))</f>
        <v/>
      </c>
      <c r="H85" s="110" t="str">
        <f aca="false">IF($B85="","",SUMIFS('الحركات الشهرية'!$E$6:$E$1005,'الحركات الشهرية'!$B$6:$B$1005,$B85,'الحركات الشهرية'!$A$6:$A$1005,$C$3))</f>
        <v/>
      </c>
      <c r="I85" s="110" t="str">
        <f aca="false">IF($B85="","",MAX(0,F85-G85-H85))</f>
        <v/>
      </c>
      <c r="J85" s="90" t="str">
        <f aca="false">IF($B85="","",الموظفون!$J85*$I85/cfg_DAYS_M)</f>
        <v/>
      </c>
      <c r="K85" s="90" t="str">
        <f aca="false">IF($B85="","",الموظفون!$K85*$I85/cfg_DAYS_M)</f>
        <v/>
      </c>
      <c r="L85" s="90" t="str">
        <f aca="false">IF($B85="","",الموظفون!$L85*$I85/cfg_DAYS_M)</f>
        <v/>
      </c>
      <c r="M85" s="90" t="str">
        <f aca="false">IF($B85="","",الموظفون!$M85*$I85/cfg_DAYS_M)</f>
        <v/>
      </c>
      <c r="N85" s="110" t="str">
        <f aca="false">IF($B85="","",SUMIFS('الحركات الشهرية'!$F$6:$F$1005,'الحركات الشهرية'!$B$6:$B$1005,$B85,'الحركات الشهرية'!$A$6:$A$1005,$C$3))</f>
        <v/>
      </c>
      <c r="O85" s="90" t="str">
        <f aca="false">IF($B85="","",N85*(الموظفون!$N85+الموظفون!$J85*cfg_OT_P)/cfg_DAYS_M/cfg_HRS)</f>
        <v/>
      </c>
      <c r="P85" s="90" t="str">
        <f aca="false">IF($B85="","",SUMIFS('الحركات الشهرية'!$G$6:$G$1005,'الحركات الشهرية'!$B$6:$B$1005,$B85,'الحركات الشهرية'!$A$6:$A$1005,$C$3))</f>
        <v/>
      </c>
      <c r="Q85" s="90" t="str">
        <f aca="false">IF($B85="","",SUMIFS('الحركات الشهرية'!$H$6:$H$1005,'الحركات الشهرية'!$B$6:$B$1005,$B85,'الحركات الشهرية'!$A$6:$A$1005,$C$3))</f>
        <v/>
      </c>
      <c r="R85" s="111" t="str">
        <f aca="false">IF($B85="","",SUM(J85:M85)+SUM(O85:Q85))</f>
        <v/>
      </c>
      <c r="S85" s="90" t="str">
        <f aca="false">IF($B85="","",الموظفون!$Q85*IF(E85="سعودي",cfg_G_SE,cfg_G_NE)*F85/cfg_DAYS_M)</f>
        <v/>
      </c>
      <c r="T85" s="90" t="str">
        <f aca="false">IF($B85="","",SUMIFS('الحركات الشهرية'!$I$6:$I$1005,'الحركات الشهرية'!$B$6:$B$1005,$B85,'الحركات الشهرية'!$A$6:$A$1005,$C$3))</f>
        <v/>
      </c>
      <c r="U85" s="90" t="str">
        <f aca="false">IF($B85="","",SUMIFS('الحركات الشهرية'!$J$6:$J$1005,'الحركات الشهرية'!$B$6:$B$1005,$B85,'الحركات الشهرية'!$A$6:$A$1005,$C$3))</f>
        <v/>
      </c>
      <c r="V85" s="90" t="str">
        <f aca="false">IF($B85="","",SUM(S85:U85))</f>
        <v/>
      </c>
      <c r="W85" s="112" t="str">
        <f aca="false">IF($B85="","",R85-V85)</f>
        <v/>
      </c>
      <c r="X85" s="90" t="str">
        <f aca="false">IF($B85="","",الموظفون!$Q85*IF(E85="سعودي",cfg_G_SR,cfg_G_NR)*F85/cfg_DAYS_M)</f>
        <v/>
      </c>
      <c r="Y85" s="90" t="str">
        <f aca="false">IF($B85="","",الموظفون!$O85*(cfg_EOS_R1*(MIN(AC85,cfg_EOS_TH)-MIN(AD85,cfg_EOS_TH))+cfg_EOS_R2*(MAX(AC85-cfg_EOS_TH,0)-MAX(AD85-cfg_EOS_TH,0))))</f>
        <v/>
      </c>
      <c r="Z85" s="90" t="str">
        <f aca="false">IF($B85="","",IF(الموظفون!$R85&lt;&gt;"",الموظفون!$R85,IF(AC85&gt;=cfg_LV_TH,cfg_LV_D2,cfg_LV_D1))/cfg_DAYS_Y*AE85*الموظفون!$P85/cfg_DAYS_M)</f>
        <v/>
      </c>
      <c r="AA85" s="90" t="str">
        <f aca="false">IF($B85="","",IF(AND(الموظفون!$S85="نعم",N(الموظفون!$U85)&gt;0),الموظفون!$T85/الموظفون!$U85*12/cfg_DAYS_Y*AE85,0))</f>
        <v/>
      </c>
      <c r="AB85" s="113" t="str">
        <f aca="false">IF($B85="","",R85+SUM(X85:AA85))</f>
        <v/>
      </c>
      <c r="AC85" s="114" t="str">
        <f aca="false">IF($B85="","",MAX(0,IF(OR(الموظفون!$X85="",الموظفون!$X85&gt;$G$3),$G$3,الموظفون!$X85)-الموظفون!$H85+1)/cfg_DAYS_Y)</f>
        <v/>
      </c>
      <c r="AD85" s="114" t="str">
        <f aca="false">IF($B85="","",MAX(0,IF(OR(الموظفون!$X85="",الموظفون!$X85&gt;($E$3-1)),($E$3-1),الموظفون!$X85)-الموظفون!$H85+1)/cfg_DAYS_Y)</f>
        <v/>
      </c>
      <c r="AE85" s="115" t="str">
        <f aca="false">IF($B85="","",MAX(0,IF(OR(الموظفون!$X85="",الموظفون!$X85&gt;$G$3),$G$3,الموظفون!$X85)-MAX($E$3,الموظفون!$H85)+1))</f>
        <v/>
      </c>
    </row>
    <row r="86" customFormat="false" ht="15" hidden="false" customHeight="false" outlineLevel="0" collapsed="false">
      <c r="A86" s="83" t="str">
        <f aca="false">IF($B86="","",الموظفون!$A86)</f>
        <v/>
      </c>
      <c r="B86" s="74" t="str">
        <f aca="false">IF(الموظفون!$B86="","",الموظفون!$B86)</f>
        <v/>
      </c>
      <c r="C86" s="74" t="str">
        <f aca="false">IF($B86="","",الموظفون!$C86)</f>
        <v/>
      </c>
      <c r="D86" s="74" t="str">
        <f aca="false">IF($B86="","",الموظفون!$F86)</f>
        <v/>
      </c>
      <c r="E86" s="74" t="str">
        <f aca="false">IF($B86="","",الموظفون!$E86)</f>
        <v/>
      </c>
      <c r="F86" s="105" t="str">
        <f aca="false">IF($B86="","",IF(AE86&gt;=DAY($G$3),cfg_DAYS_M,MIN(AE86,cfg_DAYS_M)))</f>
        <v/>
      </c>
      <c r="G86" s="105" t="str">
        <f aca="false">IF($B86="","",SUMIFS('الحركات الشهرية'!$D$6:$D$1005,'الحركات الشهرية'!$B$6:$B$1005,$B86,'الحركات الشهرية'!$A$6:$A$1005,$C$3))</f>
        <v/>
      </c>
      <c r="H86" s="105" t="str">
        <f aca="false">IF($B86="","",SUMIFS('الحركات الشهرية'!$E$6:$E$1005,'الحركات الشهرية'!$B$6:$B$1005,$B86,'الحركات الشهرية'!$A$6:$A$1005,$C$3))</f>
        <v/>
      </c>
      <c r="I86" s="105" t="str">
        <f aca="false">IF($B86="","",MAX(0,F86-G86-H86))</f>
        <v/>
      </c>
      <c r="J86" s="86" t="str">
        <f aca="false">IF($B86="","",الموظفون!$J86*$I86/cfg_DAYS_M)</f>
        <v/>
      </c>
      <c r="K86" s="86" t="str">
        <f aca="false">IF($B86="","",الموظفون!$K86*$I86/cfg_DAYS_M)</f>
        <v/>
      </c>
      <c r="L86" s="86" t="str">
        <f aca="false">IF($B86="","",الموظفون!$L86*$I86/cfg_DAYS_M)</f>
        <v/>
      </c>
      <c r="M86" s="86" t="str">
        <f aca="false">IF($B86="","",الموظفون!$M86*$I86/cfg_DAYS_M)</f>
        <v/>
      </c>
      <c r="N86" s="105" t="str">
        <f aca="false">IF($B86="","",SUMIFS('الحركات الشهرية'!$F$6:$F$1005,'الحركات الشهرية'!$B$6:$B$1005,$B86,'الحركات الشهرية'!$A$6:$A$1005,$C$3))</f>
        <v/>
      </c>
      <c r="O86" s="86" t="str">
        <f aca="false">IF($B86="","",N86*(الموظفون!$N86+الموظفون!$J86*cfg_OT_P)/cfg_DAYS_M/cfg_HRS)</f>
        <v/>
      </c>
      <c r="P86" s="86" t="str">
        <f aca="false">IF($B86="","",SUMIFS('الحركات الشهرية'!$G$6:$G$1005,'الحركات الشهرية'!$B$6:$B$1005,$B86,'الحركات الشهرية'!$A$6:$A$1005,$C$3))</f>
        <v/>
      </c>
      <c r="Q86" s="86" t="str">
        <f aca="false">IF($B86="","",SUMIFS('الحركات الشهرية'!$H$6:$H$1005,'الحركات الشهرية'!$B$6:$B$1005,$B86,'الحركات الشهرية'!$A$6:$A$1005,$C$3))</f>
        <v/>
      </c>
      <c r="R86" s="106" t="str">
        <f aca="false">IF($B86="","",SUM(J86:M86)+SUM(O86:Q86))</f>
        <v/>
      </c>
      <c r="S86" s="86" t="str">
        <f aca="false">IF($B86="","",الموظفون!$Q86*IF(E86="سعودي",cfg_G_SE,cfg_G_NE)*F86/cfg_DAYS_M)</f>
        <v/>
      </c>
      <c r="T86" s="86" t="str">
        <f aca="false">IF($B86="","",SUMIFS('الحركات الشهرية'!$I$6:$I$1005,'الحركات الشهرية'!$B$6:$B$1005,$B86,'الحركات الشهرية'!$A$6:$A$1005,$C$3))</f>
        <v/>
      </c>
      <c r="U86" s="86" t="str">
        <f aca="false">IF($B86="","",SUMIFS('الحركات الشهرية'!$J$6:$J$1005,'الحركات الشهرية'!$B$6:$B$1005,$B86,'الحركات الشهرية'!$A$6:$A$1005,$C$3))</f>
        <v/>
      </c>
      <c r="V86" s="86" t="str">
        <f aca="false">IF($B86="","",SUM(S86:U86))</f>
        <v/>
      </c>
      <c r="W86" s="107" t="str">
        <f aca="false">IF($B86="","",R86-V86)</f>
        <v/>
      </c>
      <c r="X86" s="86" t="str">
        <f aca="false">IF($B86="","",الموظفون!$Q86*IF(E86="سعودي",cfg_G_SR,cfg_G_NR)*F86/cfg_DAYS_M)</f>
        <v/>
      </c>
      <c r="Y86" s="86" t="str">
        <f aca="false">IF($B86="","",الموظفون!$O86*(cfg_EOS_R1*(MIN(AC86,cfg_EOS_TH)-MIN(AD86,cfg_EOS_TH))+cfg_EOS_R2*(MAX(AC86-cfg_EOS_TH,0)-MAX(AD86-cfg_EOS_TH,0))))</f>
        <v/>
      </c>
      <c r="Z86" s="86" t="str">
        <f aca="false">IF($B86="","",IF(الموظفون!$R86&lt;&gt;"",الموظفون!$R86,IF(AC86&gt;=cfg_LV_TH,cfg_LV_D2,cfg_LV_D1))/cfg_DAYS_Y*AE86*الموظفون!$P86/cfg_DAYS_M)</f>
        <v/>
      </c>
      <c r="AA86" s="86" t="str">
        <f aca="false">IF($B86="","",IF(AND(الموظفون!$S86="نعم",N(الموظفون!$U86)&gt;0),الموظفون!$T86/الموظفون!$U86*12/cfg_DAYS_Y*AE86,0))</f>
        <v/>
      </c>
      <c r="AB86" s="108" t="str">
        <f aca="false">IF($B86="","",R86+SUM(X86:AA86))</f>
        <v/>
      </c>
      <c r="AC86" s="109" t="str">
        <f aca="false">IF($B86="","",MAX(0,IF(OR(الموظفون!$X86="",الموظفون!$X86&gt;$G$3),$G$3,الموظفون!$X86)-الموظفون!$H86+1)/cfg_DAYS_Y)</f>
        <v/>
      </c>
      <c r="AD86" s="109" t="str">
        <f aca="false">IF($B86="","",MAX(0,IF(OR(الموظفون!$X86="",الموظفون!$X86&gt;($E$3-1)),($E$3-1),الموظفون!$X86)-الموظفون!$H86+1)/cfg_DAYS_Y)</f>
        <v/>
      </c>
      <c r="AE86" s="51" t="str">
        <f aca="false">IF($B86="","",MAX(0,IF(OR(الموظفون!$X86="",الموظفون!$X86&gt;$G$3),$G$3,الموظفون!$X86)-MAX($E$3,الموظفون!$H86)+1))</f>
        <v/>
      </c>
    </row>
    <row r="87" customFormat="false" ht="15" hidden="false" customHeight="false" outlineLevel="0" collapsed="false">
      <c r="A87" s="89" t="str">
        <f aca="false">IF($B87="","",الموظفون!$A87)</f>
        <v/>
      </c>
      <c r="B87" s="91" t="str">
        <f aca="false">IF(الموظفون!$B87="","",الموظفون!$B87)</f>
        <v/>
      </c>
      <c r="C87" s="91" t="str">
        <f aca="false">IF($B87="","",الموظفون!$C87)</f>
        <v/>
      </c>
      <c r="D87" s="91" t="str">
        <f aca="false">IF($B87="","",الموظفون!$F87)</f>
        <v/>
      </c>
      <c r="E87" s="91" t="str">
        <f aca="false">IF($B87="","",الموظفون!$E87)</f>
        <v/>
      </c>
      <c r="F87" s="110" t="str">
        <f aca="false">IF($B87="","",IF(AE87&gt;=DAY($G$3),cfg_DAYS_M,MIN(AE87,cfg_DAYS_M)))</f>
        <v/>
      </c>
      <c r="G87" s="110" t="str">
        <f aca="false">IF($B87="","",SUMIFS('الحركات الشهرية'!$D$6:$D$1005,'الحركات الشهرية'!$B$6:$B$1005,$B87,'الحركات الشهرية'!$A$6:$A$1005,$C$3))</f>
        <v/>
      </c>
      <c r="H87" s="110" t="str">
        <f aca="false">IF($B87="","",SUMIFS('الحركات الشهرية'!$E$6:$E$1005,'الحركات الشهرية'!$B$6:$B$1005,$B87,'الحركات الشهرية'!$A$6:$A$1005,$C$3))</f>
        <v/>
      </c>
      <c r="I87" s="110" t="str">
        <f aca="false">IF($B87="","",MAX(0,F87-G87-H87))</f>
        <v/>
      </c>
      <c r="J87" s="90" t="str">
        <f aca="false">IF($B87="","",الموظفون!$J87*$I87/cfg_DAYS_M)</f>
        <v/>
      </c>
      <c r="K87" s="90" t="str">
        <f aca="false">IF($B87="","",الموظفون!$K87*$I87/cfg_DAYS_M)</f>
        <v/>
      </c>
      <c r="L87" s="90" t="str">
        <f aca="false">IF($B87="","",الموظفون!$L87*$I87/cfg_DAYS_M)</f>
        <v/>
      </c>
      <c r="M87" s="90" t="str">
        <f aca="false">IF($B87="","",الموظفون!$M87*$I87/cfg_DAYS_M)</f>
        <v/>
      </c>
      <c r="N87" s="110" t="str">
        <f aca="false">IF($B87="","",SUMIFS('الحركات الشهرية'!$F$6:$F$1005,'الحركات الشهرية'!$B$6:$B$1005,$B87,'الحركات الشهرية'!$A$6:$A$1005,$C$3))</f>
        <v/>
      </c>
      <c r="O87" s="90" t="str">
        <f aca="false">IF($B87="","",N87*(الموظفون!$N87+الموظفون!$J87*cfg_OT_P)/cfg_DAYS_M/cfg_HRS)</f>
        <v/>
      </c>
      <c r="P87" s="90" t="str">
        <f aca="false">IF($B87="","",SUMIFS('الحركات الشهرية'!$G$6:$G$1005,'الحركات الشهرية'!$B$6:$B$1005,$B87,'الحركات الشهرية'!$A$6:$A$1005,$C$3))</f>
        <v/>
      </c>
      <c r="Q87" s="90" t="str">
        <f aca="false">IF($B87="","",SUMIFS('الحركات الشهرية'!$H$6:$H$1005,'الحركات الشهرية'!$B$6:$B$1005,$B87,'الحركات الشهرية'!$A$6:$A$1005,$C$3))</f>
        <v/>
      </c>
      <c r="R87" s="111" t="str">
        <f aca="false">IF($B87="","",SUM(J87:M87)+SUM(O87:Q87))</f>
        <v/>
      </c>
      <c r="S87" s="90" t="str">
        <f aca="false">IF($B87="","",الموظفون!$Q87*IF(E87="سعودي",cfg_G_SE,cfg_G_NE)*F87/cfg_DAYS_M)</f>
        <v/>
      </c>
      <c r="T87" s="90" t="str">
        <f aca="false">IF($B87="","",SUMIFS('الحركات الشهرية'!$I$6:$I$1005,'الحركات الشهرية'!$B$6:$B$1005,$B87,'الحركات الشهرية'!$A$6:$A$1005,$C$3))</f>
        <v/>
      </c>
      <c r="U87" s="90" t="str">
        <f aca="false">IF($B87="","",SUMIFS('الحركات الشهرية'!$J$6:$J$1005,'الحركات الشهرية'!$B$6:$B$1005,$B87,'الحركات الشهرية'!$A$6:$A$1005,$C$3))</f>
        <v/>
      </c>
      <c r="V87" s="90" t="str">
        <f aca="false">IF($B87="","",SUM(S87:U87))</f>
        <v/>
      </c>
      <c r="W87" s="112" t="str">
        <f aca="false">IF($B87="","",R87-V87)</f>
        <v/>
      </c>
      <c r="X87" s="90" t="str">
        <f aca="false">IF($B87="","",الموظفون!$Q87*IF(E87="سعودي",cfg_G_SR,cfg_G_NR)*F87/cfg_DAYS_M)</f>
        <v/>
      </c>
      <c r="Y87" s="90" t="str">
        <f aca="false">IF($B87="","",الموظفون!$O87*(cfg_EOS_R1*(MIN(AC87,cfg_EOS_TH)-MIN(AD87,cfg_EOS_TH))+cfg_EOS_R2*(MAX(AC87-cfg_EOS_TH,0)-MAX(AD87-cfg_EOS_TH,0))))</f>
        <v/>
      </c>
      <c r="Z87" s="90" t="str">
        <f aca="false">IF($B87="","",IF(الموظفون!$R87&lt;&gt;"",الموظفون!$R87,IF(AC87&gt;=cfg_LV_TH,cfg_LV_D2,cfg_LV_D1))/cfg_DAYS_Y*AE87*الموظفون!$P87/cfg_DAYS_M)</f>
        <v/>
      </c>
      <c r="AA87" s="90" t="str">
        <f aca="false">IF($B87="","",IF(AND(الموظفون!$S87="نعم",N(الموظفون!$U87)&gt;0),الموظفون!$T87/الموظفون!$U87*12/cfg_DAYS_Y*AE87,0))</f>
        <v/>
      </c>
      <c r="AB87" s="113" t="str">
        <f aca="false">IF($B87="","",R87+SUM(X87:AA87))</f>
        <v/>
      </c>
      <c r="AC87" s="114" t="str">
        <f aca="false">IF($B87="","",MAX(0,IF(OR(الموظفون!$X87="",الموظفون!$X87&gt;$G$3),$G$3,الموظفون!$X87)-الموظفون!$H87+1)/cfg_DAYS_Y)</f>
        <v/>
      </c>
      <c r="AD87" s="114" t="str">
        <f aca="false">IF($B87="","",MAX(0,IF(OR(الموظفون!$X87="",الموظفون!$X87&gt;($E$3-1)),($E$3-1),الموظفون!$X87)-الموظفون!$H87+1)/cfg_DAYS_Y)</f>
        <v/>
      </c>
      <c r="AE87" s="115" t="str">
        <f aca="false">IF($B87="","",MAX(0,IF(OR(الموظفون!$X87="",الموظفون!$X87&gt;$G$3),$G$3,الموظفون!$X87)-MAX($E$3,الموظفون!$H87)+1))</f>
        <v/>
      </c>
    </row>
    <row r="88" customFormat="false" ht="15" hidden="false" customHeight="false" outlineLevel="0" collapsed="false">
      <c r="A88" s="83" t="str">
        <f aca="false">IF($B88="","",الموظفون!$A88)</f>
        <v/>
      </c>
      <c r="B88" s="74" t="str">
        <f aca="false">IF(الموظفون!$B88="","",الموظفون!$B88)</f>
        <v/>
      </c>
      <c r="C88" s="74" t="str">
        <f aca="false">IF($B88="","",الموظفون!$C88)</f>
        <v/>
      </c>
      <c r="D88" s="74" t="str">
        <f aca="false">IF($B88="","",الموظفون!$F88)</f>
        <v/>
      </c>
      <c r="E88" s="74" t="str">
        <f aca="false">IF($B88="","",الموظفون!$E88)</f>
        <v/>
      </c>
      <c r="F88" s="105" t="str">
        <f aca="false">IF($B88="","",IF(AE88&gt;=DAY($G$3),cfg_DAYS_M,MIN(AE88,cfg_DAYS_M)))</f>
        <v/>
      </c>
      <c r="G88" s="105" t="str">
        <f aca="false">IF($B88="","",SUMIFS('الحركات الشهرية'!$D$6:$D$1005,'الحركات الشهرية'!$B$6:$B$1005,$B88,'الحركات الشهرية'!$A$6:$A$1005,$C$3))</f>
        <v/>
      </c>
      <c r="H88" s="105" t="str">
        <f aca="false">IF($B88="","",SUMIFS('الحركات الشهرية'!$E$6:$E$1005,'الحركات الشهرية'!$B$6:$B$1005,$B88,'الحركات الشهرية'!$A$6:$A$1005,$C$3))</f>
        <v/>
      </c>
      <c r="I88" s="105" t="str">
        <f aca="false">IF($B88="","",MAX(0,F88-G88-H88))</f>
        <v/>
      </c>
      <c r="J88" s="86" t="str">
        <f aca="false">IF($B88="","",الموظفون!$J88*$I88/cfg_DAYS_M)</f>
        <v/>
      </c>
      <c r="K88" s="86" t="str">
        <f aca="false">IF($B88="","",الموظفون!$K88*$I88/cfg_DAYS_M)</f>
        <v/>
      </c>
      <c r="L88" s="86" t="str">
        <f aca="false">IF($B88="","",الموظفون!$L88*$I88/cfg_DAYS_M)</f>
        <v/>
      </c>
      <c r="M88" s="86" t="str">
        <f aca="false">IF($B88="","",الموظفون!$M88*$I88/cfg_DAYS_M)</f>
        <v/>
      </c>
      <c r="N88" s="105" t="str">
        <f aca="false">IF($B88="","",SUMIFS('الحركات الشهرية'!$F$6:$F$1005,'الحركات الشهرية'!$B$6:$B$1005,$B88,'الحركات الشهرية'!$A$6:$A$1005,$C$3))</f>
        <v/>
      </c>
      <c r="O88" s="86" t="str">
        <f aca="false">IF($B88="","",N88*(الموظفون!$N88+الموظفون!$J88*cfg_OT_P)/cfg_DAYS_M/cfg_HRS)</f>
        <v/>
      </c>
      <c r="P88" s="86" t="str">
        <f aca="false">IF($B88="","",SUMIFS('الحركات الشهرية'!$G$6:$G$1005,'الحركات الشهرية'!$B$6:$B$1005,$B88,'الحركات الشهرية'!$A$6:$A$1005,$C$3))</f>
        <v/>
      </c>
      <c r="Q88" s="86" t="str">
        <f aca="false">IF($B88="","",SUMIFS('الحركات الشهرية'!$H$6:$H$1005,'الحركات الشهرية'!$B$6:$B$1005,$B88,'الحركات الشهرية'!$A$6:$A$1005,$C$3))</f>
        <v/>
      </c>
      <c r="R88" s="106" t="str">
        <f aca="false">IF($B88="","",SUM(J88:M88)+SUM(O88:Q88))</f>
        <v/>
      </c>
      <c r="S88" s="86" t="str">
        <f aca="false">IF($B88="","",الموظفون!$Q88*IF(E88="سعودي",cfg_G_SE,cfg_G_NE)*F88/cfg_DAYS_M)</f>
        <v/>
      </c>
      <c r="T88" s="86" t="str">
        <f aca="false">IF($B88="","",SUMIFS('الحركات الشهرية'!$I$6:$I$1005,'الحركات الشهرية'!$B$6:$B$1005,$B88,'الحركات الشهرية'!$A$6:$A$1005,$C$3))</f>
        <v/>
      </c>
      <c r="U88" s="86" t="str">
        <f aca="false">IF($B88="","",SUMIFS('الحركات الشهرية'!$J$6:$J$1005,'الحركات الشهرية'!$B$6:$B$1005,$B88,'الحركات الشهرية'!$A$6:$A$1005,$C$3))</f>
        <v/>
      </c>
      <c r="V88" s="86" t="str">
        <f aca="false">IF($B88="","",SUM(S88:U88))</f>
        <v/>
      </c>
      <c r="W88" s="107" t="str">
        <f aca="false">IF($B88="","",R88-V88)</f>
        <v/>
      </c>
      <c r="X88" s="86" t="str">
        <f aca="false">IF($B88="","",الموظفون!$Q88*IF(E88="سعودي",cfg_G_SR,cfg_G_NR)*F88/cfg_DAYS_M)</f>
        <v/>
      </c>
      <c r="Y88" s="86" t="str">
        <f aca="false">IF($B88="","",الموظفون!$O88*(cfg_EOS_R1*(MIN(AC88,cfg_EOS_TH)-MIN(AD88,cfg_EOS_TH))+cfg_EOS_R2*(MAX(AC88-cfg_EOS_TH,0)-MAX(AD88-cfg_EOS_TH,0))))</f>
        <v/>
      </c>
      <c r="Z88" s="86" t="str">
        <f aca="false">IF($B88="","",IF(الموظفون!$R88&lt;&gt;"",الموظفون!$R88,IF(AC88&gt;=cfg_LV_TH,cfg_LV_D2,cfg_LV_D1))/cfg_DAYS_Y*AE88*الموظفون!$P88/cfg_DAYS_M)</f>
        <v/>
      </c>
      <c r="AA88" s="86" t="str">
        <f aca="false">IF($B88="","",IF(AND(الموظفون!$S88="نعم",N(الموظفون!$U88)&gt;0),الموظفون!$T88/الموظفون!$U88*12/cfg_DAYS_Y*AE88,0))</f>
        <v/>
      </c>
      <c r="AB88" s="108" t="str">
        <f aca="false">IF($B88="","",R88+SUM(X88:AA88))</f>
        <v/>
      </c>
      <c r="AC88" s="109" t="str">
        <f aca="false">IF($B88="","",MAX(0,IF(OR(الموظفون!$X88="",الموظفون!$X88&gt;$G$3),$G$3,الموظفون!$X88)-الموظفون!$H88+1)/cfg_DAYS_Y)</f>
        <v/>
      </c>
      <c r="AD88" s="109" t="str">
        <f aca="false">IF($B88="","",MAX(0,IF(OR(الموظفون!$X88="",الموظفون!$X88&gt;($E$3-1)),($E$3-1),الموظفون!$X88)-الموظفون!$H88+1)/cfg_DAYS_Y)</f>
        <v/>
      </c>
      <c r="AE88" s="51" t="str">
        <f aca="false">IF($B88="","",MAX(0,IF(OR(الموظفون!$X88="",الموظفون!$X88&gt;$G$3),$G$3,الموظفون!$X88)-MAX($E$3,الموظفون!$H88)+1))</f>
        <v/>
      </c>
    </row>
    <row r="89" customFormat="false" ht="15" hidden="false" customHeight="false" outlineLevel="0" collapsed="false">
      <c r="A89" s="89" t="str">
        <f aca="false">IF($B89="","",الموظفون!$A89)</f>
        <v/>
      </c>
      <c r="B89" s="91" t="str">
        <f aca="false">IF(الموظفون!$B89="","",الموظفون!$B89)</f>
        <v/>
      </c>
      <c r="C89" s="91" t="str">
        <f aca="false">IF($B89="","",الموظفون!$C89)</f>
        <v/>
      </c>
      <c r="D89" s="91" t="str">
        <f aca="false">IF($B89="","",الموظفون!$F89)</f>
        <v/>
      </c>
      <c r="E89" s="91" t="str">
        <f aca="false">IF($B89="","",الموظفون!$E89)</f>
        <v/>
      </c>
      <c r="F89" s="110" t="str">
        <f aca="false">IF($B89="","",IF(AE89&gt;=DAY($G$3),cfg_DAYS_M,MIN(AE89,cfg_DAYS_M)))</f>
        <v/>
      </c>
      <c r="G89" s="110" t="str">
        <f aca="false">IF($B89="","",SUMIFS('الحركات الشهرية'!$D$6:$D$1005,'الحركات الشهرية'!$B$6:$B$1005,$B89,'الحركات الشهرية'!$A$6:$A$1005,$C$3))</f>
        <v/>
      </c>
      <c r="H89" s="110" t="str">
        <f aca="false">IF($B89="","",SUMIFS('الحركات الشهرية'!$E$6:$E$1005,'الحركات الشهرية'!$B$6:$B$1005,$B89,'الحركات الشهرية'!$A$6:$A$1005,$C$3))</f>
        <v/>
      </c>
      <c r="I89" s="110" t="str">
        <f aca="false">IF($B89="","",MAX(0,F89-G89-H89))</f>
        <v/>
      </c>
      <c r="J89" s="90" t="str">
        <f aca="false">IF($B89="","",الموظفون!$J89*$I89/cfg_DAYS_M)</f>
        <v/>
      </c>
      <c r="K89" s="90" t="str">
        <f aca="false">IF($B89="","",الموظفون!$K89*$I89/cfg_DAYS_M)</f>
        <v/>
      </c>
      <c r="L89" s="90" t="str">
        <f aca="false">IF($B89="","",الموظفون!$L89*$I89/cfg_DAYS_M)</f>
        <v/>
      </c>
      <c r="M89" s="90" t="str">
        <f aca="false">IF($B89="","",الموظفون!$M89*$I89/cfg_DAYS_M)</f>
        <v/>
      </c>
      <c r="N89" s="110" t="str">
        <f aca="false">IF($B89="","",SUMIFS('الحركات الشهرية'!$F$6:$F$1005,'الحركات الشهرية'!$B$6:$B$1005,$B89,'الحركات الشهرية'!$A$6:$A$1005,$C$3))</f>
        <v/>
      </c>
      <c r="O89" s="90" t="str">
        <f aca="false">IF($B89="","",N89*(الموظفون!$N89+الموظفون!$J89*cfg_OT_P)/cfg_DAYS_M/cfg_HRS)</f>
        <v/>
      </c>
      <c r="P89" s="90" t="str">
        <f aca="false">IF($B89="","",SUMIFS('الحركات الشهرية'!$G$6:$G$1005,'الحركات الشهرية'!$B$6:$B$1005,$B89,'الحركات الشهرية'!$A$6:$A$1005,$C$3))</f>
        <v/>
      </c>
      <c r="Q89" s="90" t="str">
        <f aca="false">IF($B89="","",SUMIFS('الحركات الشهرية'!$H$6:$H$1005,'الحركات الشهرية'!$B$6:$B$1005,$B89,'الحركات الشهرية'!$A$6:$A$1005,$C$3))</f>
        <v/>
      </c>
      <c r="R89" s="111" t="str">
        <f aca="false">IF($B89="","",SUM(J89:M89)+SUM(O89:Q89))</f>
        <v/>
      </c>
      <c r="S89" s="90" t="str">
        <f aca="false">IF($B89="","",الموظفون!$Q89*IF(E89="سعودي",cfg_G_SE,cfg_G_NE)*F89/cfg_DAYS_M)</f>
        <v/>
      </c>
      <c r="T89" s="90" t="str">
        <f aca="false">IF($B89="","",SUMIFS('الحركات الشهرية'!$I$6:$I$1005,'الحركات الشهرية'!$B$6:$B$1005,$B89,'الحركات الشهرية'!$A$6:$A$1005,$C$3))</f>
        <v/>
      </c>
      <c r="U89" s="90" t="str">
        <f aca="false">IF($B89="","",SUMIFS('الحركات الشهرية'!$J$6:$J$1005,'الحركات الشهرية'!$B$6:$B$1005,$B89,'الحركات الشهرية'!$A$6:$A$1005,$C$3))</f>
        <v/>
      </c>
      <c r="V89" s="90" t="str">
        <f aca="false">IF($B89="","",SUM(S89:U89))</f>
        <v/>
      </c>
      <c r="W89" s="112" t="str">
        <f aca="false">IF($B89="","",R89-V89)</f>
        <v/>
      </c>
      <c r="X89" s="90" t="str">
        <f aca="false">IF($B89="","",الموظفون!$Q89*IF(E89="سعودي",cfg_G_SR,cfg_G_NR)*F89/cfg_DAYS_M)</f>
        <v/>
      </c>
      <c r="Y89" s="90" t="str">
        <f aca="false">IF($B89="","",الموظفون!$O89*(cfg_EOS_R1*(MIN(AC89,cfg_EOS_TH)-MIN(AD89,cfg_EOS_TH))+cfg_EOS_R2*(MAX(AC89-cfg_EOS_TH,0)-MAX(AD89-cfg_EOS_TH,0))))</f>
        <v/>
      </c>
      <c r="Z89" s="90" t="str">
        <f aca="false">IF($B89="","",IF(الموظفون!$R89&lt;&gt;"",الموظفون!$R89,IF(AC89&gt;=cfg_LV_TH,cfg_LV_D2,cfg_LV_D1))/cfg_DAYS_Y*AE89*الموظفون!$P89/cfg_DAYS_M)</f>
        <v/>
      </c>
      <c r="AA89" s="90" t="str">
        <f aca="false">IF($B89="","",IF(AND(الموظفون!$S89="نعم",N(الموظفون!$U89)&gt;0),الموظفون!$T89/الموظفون!$U89*12/cfg_DAYS_Y*AE89,0))</f>
        <v/>
      </c>
      <c r="AB89" s="113" t="str">
        <f aca="false">IF($B89="","",R89+SUM(X89:AA89))</f>
        <v/>
      </c>
      <c r="AC89" s="114" t="str">
        <f aca="false">IF($B89="","",MAX(0,IF(OR(الموظفون!$X89="",الموظفون!$X89&gt;$G$3),$G$3,الموظفون!$X89)-الموظفون!$H89+1)/cfg_DAYS_Y)</f>
        <v/>
      </c>
      <c r="AD89" s="114" t="str">
        <f aca="false">IF($B89="","",MAX(0,IF(OR(الموظفون!$X89="",الموظفون!$X89&gt;($E$3-1)),($E$3-1),الموظفون!$X89)-الموظفون!$H89+1)/cfg_DAYS_Y)</f>
        <v/>
      </c>
      <c r="AE89" s="115" t="str">
        <f aca="false">IF($B89="","",MAX(0,IF(OR(الموظفون!$X89="",الموظفون!$X89&gt;$G$3),$G$3,الموظفون!$X89)-MAX($E$3,الموظفون!$H89)+1))</f>
        <v/>
      </c>
    </row>
    <row r="90" customFormat="false" ht="15" hidden="false" customHeight="false" outlineLevel="0" collapsed="false">
      <c r="A90" s="83" t="str">
        <f aca="false">IF($B90="","",الموظفون!$A90)</f>
        <v/>
      </c>
      <c r="B90" s="74" t="str">
        <f aca="false">IF(الموظفون!$B90="","",الموظفون!$B90)</f>
        <v/>
      </c>
      <c r="C90" s="74" t="str">
        <f aca="false">IF($B90="","",الموظفون!$C90)</f>
        <v/>
      </c>
      <c r="D90" s="74" t="str">
        <f aca="false">IF($B90="","",الموظفون!$F90)</f>
        <v/>
      </c>
      <c r="E90" s="74" t="str">
        <f aca="false">IF($B90="","",الموظفون!$E90)</f>
        <v/>
      </c>
      <c r="F90" s="105" t="str">
        <f aca="false">IF($B90="","",IF(AE90&gt;=DAY($G$3),cfg_DAYS_M,MIN(AE90,cfg_DAYS_M)))</f>
        <v/>
      </c>
      <c r="G90" s="105" t="str">
        <f aca="false">IF($B90="","",SUMIFS('الحركات الشهرية'!$D$6:$D$1005,'الحركات الشهرية'!$B$6:$B$1005,$B90,'الحركات الشهرية'!$A$6:$A$1005,$C$3))</f>
        <v/>
      </c>
      <c r="H90" s="105" t="str">
        <f aca="false">IF($B90="","",SUMIFS('الحركات الشهرية'!$E$6:$E$1005,'الحركات الشهرية'!$B$6:$B$1005,$B90,'الحركات الشهرية'!$A$6:$A$1005,$C$3))</f>
        <v/>
      </c>
      <c r="I90" s="105" t="str">
        <f aca="false">IF($B90="","",MAX(0,F90-G90-H90))</f>
        <v/>
      </c>
      <c r="J90" s="86" t="str">
        <f aca="false">IF($B90="","",الموظفون!$J90*$I90/cfg_DAYS_M)</f>
        <v/>
      </c>
      <c r="K90" s="86" t="str">
        <f aca="false">IF($B90="","",الموظفون!$K90*$I90/cfg_DAYS_M)</f>
        <v/>
      </c>
      <c r="L90" s="86" t="str">
        <f aca="false">IF($B90="","",الموظفون!$L90*$I90/cfg_DAYS_M)</f>
        <v/>
      </c>
      <c r="M90" s="86" t="str">
        <f aca="false">IF($B90="","",الموظفون!$M90*$I90/cfg_DAYS_M)</f>
        <v/>
      </c>
      <c r="N90" s="105" t="str">
        <f aca="false">IF($B90="","",SUMIFS('الحركات الشهرية'!$F$6:$F$1005,'الحركات الشهرية'!$B$6:$B$1005,$B90,'الحركات الشهرية'!$A$6:$A$1005,$C$3))</f>
        <v/>
      </c>
      <c r="O90" s="86" t="str">
        <f aca="false">IF($B90="","",N90*(الموظفون!$N90+الموظفون!$J90*cfg_OT_P)/cfg_DAYS_M/cfg_HRS)</f>
        <v/>
      </c>
      <c r="P90" s="86" t="str">
        <f aca="false">IF($B90="","",SUMIFS('الحركات الشهرية'!$G$6:$G$1005,'الحركات الشهرية'!$B$6:$B$1005,$B90,'الحركات الشهرية'!$A$6:$A$1005,$C$3))</f>
        <v/>
      </c>
      <c r="Q90" s="86" t="str">
        <f aca="false">IF($B90="","",SUMIFS('الحركات الشهرية'!$H$6:$H$1005,'الحركات الشهرية'!$B$6:$B$1005,$B90,'الحركات الشهرية'!$A$6:$A$1005,$C$3))</f>
        <v/>
      </c>
      <c r="R90" s="106" t="str">
        <f aca="false">IF($B90="","",SUM(J90:M90)+SUM(O90:Q90))</f>
        <v/>
      </c>
      <c r="S90" s="86" t="str">
        <f aca="false">IF($B90="","",الموظفون!$Q90*IF(E90="سعودي",cfg_G_SE,cfg_G_NE)*F90/cfg_DAYS_M)</f>
        <v/>
      </c>
      <c r="T90" s="86" t="str">
        <f aca="false">IF($B90="","",SUMIFS('الحركات الشهرية'!$I$6:$I$1005,'الحركات الشهرية'!$B$6:$B$1005,$B90,'الحركات الشهرية'!$A$6:$A$1005,$C$3))</f>
        <v/>
      </c>
      <c r="U90" s="86" t="str">
        <f aca="false">IF($B90="","",SUMIFS('الحركات الشهرية'!$J$6:$J$1005,'الحركات الشهرية'!$B$6:$B$1005,$B90,'الحركات الشهرية'!$A$6:$A$1005,$C$3))</f>
        <v/>
      </c>
      <c r="V90" s="86" t="str">
        <f aca="false">IF($B90="","",SUM(S90:U90))</f>
        <v/>
      </c>
      <c r="W90" s="107" t="str">
        <f aca="false">IF($B90="","",R90-V90)</f>
        <v/>
      </c>
      <c r="X90" s="86" t="str">
        <f aca="false">IF($B90="","",الموظفون!$Q90*IF(E90="سعودي",cfg_G_SR,cfg_G_NR)*F90/cfg_DAYS_M)</f>
        <v/>
      </c>
      <c r="Y90" s="86" t="str">
        <f aca="false">IF($B90="","",الموظفون!$O90*(cfg_EOS_R1*(MIN(AC90,cfg_EOS_TH)-MIN(AD90,cfg_EOS_TH))+cfg_EOS_R2*(MAX(AC90-cfg_EOS_TH,0)-MAX(AD90-cfg_EOS_TH,0))))</f>
        <v/>
      </c>
      <c r="Z90" s="86" t="str">
        <f aca="false">IF($B90="","",IF(الموظفون!$R90&lt;&gt;"",الموظفون!$R90,IF(AC90&gt;=cfg_LV_TH,cfg_LV_D2,cfg_LV_D1))/cfg_DAYS_Y*AE90*الموظفون!$P90/cfg_DAYS_M)</f>
        <v/>
      </c>
      <c r="AA90" s="86" t="str">
        <f aca="false">IF($B90="","",IF(AND(الموظفون!$S90="نعم",N(الموظفون!$U90)&gt;0),الموظفون!$T90/الموظفون!$U90*12/cfg_DAYS_Y*AE90,0))</f>
        <v/>
      </c>
      <c r="AB90" s="108" t="str">
        <f aca="false">IF($B90="","",R90+SUM(X90:AA90))</f>
        <v/>
      </c>
      <c r="AC90" s="109" t="str">
        <f aca="false">IF($B90="","",MAX(0,IF(OR(الموظفون!$X90="",الموظفون!$X90&gt;$G$3),$G$3,الموظفون!$X90)-الموظفون!$H90+1)/cfg_DAYS_Y)</f>
        <v/>
      </c>
      <c r="AD90" s="109" t="str">
        <f aca="false">IF($B90="","",MAX(0,IF(OR(الموظفون!$X90="",الموظفون!$X90&gt;($E$3-1)),($E$3-1),الموظفون!$X90)-الموظفون!$H90+1)/cfg_DAYS_Y)</f>
        <v/>
      </c>
      <c r="AE90" s="51" t="str">
        <f aca="false">IF($B90="","",MAX(0,IF(OR(الموظفون!$X90="",الموظفون!$X90&gt;$G$3),$G$3,الموظفون!$X90)-MAX($E$3,الموظفون!$H90)+1))</f>
        <v/>
      </c>
    </row>
    <row r="91" customFormat="false" ht="15" hidden="false" customHeight="false" outlineLevel="0" collapsed="false">
      <c r="A91" s="89" t="str">
        <f aca="false">IF($B91="","",الموظفون!$A91)</f>
        <v/>
      </c>
      <c r="B91" s="91" t="str">
        <f aca="false">IF(الموظفون!$B91="","",الموظفون!$B91)</f>
        <v/>
      </c>
      <c r="C91" s="91" t="str">
        <f aca="false">IF($B91="","",الموظفون!$C91)</f>
        <v/>
      </c>
      <c r="D91" s="91" t="str">
        <f aca="false">IF($B91="","",الموظفون!$F91)</f>
        <v/>
      </c>
      <c r="E91" s="91" t="str">
        <f aca="false">IF($B91="","",الموظفون!$E91)</f>
        <v/>
      </c>
      <c r="F91" s="110" t="str">
        <f aca="false">IF($B91="","",IF(AE91&gt;=DAY($G$3),cfg_DAYS_M,MIN(AE91,cfg_DAYS_M)))</f>
        <v/>
      </c>
      <c r="G91" s="110" t="str">
        <f aca="false">IF($B91="","",SUMIFS('الحركات الشهرية'!$D$6:$D$1005,'الحركات الشهرية'!$B$6:$B$1005,$B91,'الحركات الشهرية'!$A$6:$A$1005,$C$3))</f>
        <v/>
      </c>
      <c r="H91" s="110" t="str">
        <f aca="false">IF($B91="","",SUMIFS('الحركات الشهرية'!$E$6:$E$1005,'الحركات الشهرية'!$B$6:$B$1005,$B91,'الحركات الشهرية'!$A$6:$A$1005,$C$3))</f>
        <v/>
      </c>
      <c r="I91" s="110" t="str">
        <f aca="false">IF($B91="","",MAX(0,F91-G91-H91))</f>
        <v/>
      </c>
      <c r="J91" s="90" t="str">
        <f aca="false">IF($B91="","",الموظفون!$J91*$I91/cfg_DAYS_M)</f>
        <v/>
      </c>
      <c r="K91" s="90" t="str">
        <f aca="false">IF($B91="","",الموظفون!$K91*$I91/cfg_DAYS_M)</f>
        <v/>
      </c>
      <c r="L91" s="90" t="str">
        <f aca="false">IF($B91="","",الموظفون!$L91*$I91/cfg_DAYS_M)</f>
        <v/>
      </c>
      <c r="M91" s="90" t="str">
        <f aca="false">IF($B91="","",الموظفون!$M91*$I91/cfg_DAYS_M)</f>
        <v/>
      </c>
      <c r="N91" s="110" t="str">
        <f aca="false">IF($B91="","",SUMIFS('الحركات الشهرية'!$F$6:$F$1005,'الحركات الشهرية'!$B$6:$B$1005,$B91,'الحركات الشهرية'!$A$6:$A$1005,$C$3))</f>
        <v/>
      </c>
      <c r="O91" s="90" t="str">
        <f aca="false">IF($B91="","",N91*(الموظفون!$N91+الموظفون!$J91*cfg_OT_P)/cfg_DAYS_M/cfg_HRS)</f>
        <v/>
      </c>
      <c r="P91" s="90" t="str">
        <f aca="false">IF($B91="","",SUMIFS('الحركات الشهرية'!$G$6:$G$1005,'الحركات الشهرية'!$B$6:$B$1005,$B91,'الحركات الشهرية'!$A$6:$A$1005,$C$3))</f>
        <v/>
      </c>
      <c r="Q91" s="90" t="str">
        <f aca="false">IF($B91="","",SUMIFS('الحركات الشهرية'!$H$6:$H$1005,'الحركات الشهرية'!$B$6:$B$1005,$B91,'الحركات الشهرية'!$A$6:$A$1005,$C$3))</f>
        <v/>
      </c>
      <c r="R91" s="111" t="str">
        <f aca="false">IF($B91="","",SUM(J91:M91)+SUM(O91:Q91))</f>
        <v/>
      </c>
      <c r="S91" s="90" t="str">
        <f aca="false">IF($B91="","",الموظفون!$Q91*IF(E91="سعودي",cfg_G_SE,cfg_G_NE)*F91/cfg_DAYS_M)</f>
        <v/>
      </c>
      <c r="T91" s="90" t="str">
        <f aca="false">IF($B91="","",SUMIFS('الحركات الشهرية'!$I$6:$I$1005,'الحركات الشهرية'!$B$6:$B$1005,$B91,'الحركات الشهرية'!$A$6:$A$1005,$C$3))</f>
        <v/>
      </c>
      <c r="U91" s="90" t="str">
        <f aca="false">IF($B91="","",SUMIFS('الحركات الشهرية'!$J$6:$J$1005,'الحركات الشهرية'!$B$6:$B$1005,$B91,'الحركات الشهرية'!$A$6:$A$1005,$C$3))</f>
        <v/>
      </c>
      <c r="V91" s="90" t="str">
        <f aca="false">IF($B91="","",SUM(S91:U91))</f>
        <v/>
      </c>
      <c r="W91" s="112" t="str">
        <f aca="false">IF($B91="","",R91-V91)</f>
        <v/>
      </c>
      <c r="X91" s="90" t="str">
        <f aca="false">IF($B91="","",الموظفون!$Q91*IF(E91="سعودي",cfg_G_SR,cfg_G_NR)*F91/cfg_DAYS_M)</f>
        <v/>
      </c>
      <c r="Y91" s="90" t="str">
        <f aca="false">IF($B91="","",الموظفون!$O91*(cfg_EOS_R1*(MIN(AC91,cfg_EOS_TH)-MIN(AD91,cfg_EOS_TH))+cfg_EOS_R2*(MAX(AC91-cfg_EOS_TH,0)-MAX(AD91-cfg_EOS_TH,0))))</f>
        <v/>
      </c>
      <c r="Z91" s="90" t="str">
        <f aca="false">IF($B91="","",IF(الموظفون!$R91&lt;&gt;"",الموظفون!$R91,IF(AC91&gt;=cfg_LV_TH,cfg_LV_D2,cfg_LV_D1))/cfg_DAYS_Y*AE91*الموظفون!$P91/cfg_DAYS_M)</f>
        <v/>
      </c>
      <c r="AA91" s="90" t="str">
        <f aca="false">IF($B91="","",IF(AND(الموظفون!$S91="نعم",N(الموظفون!$U91)&gt;0),الموظفون!$T91/الموظفون!$U91*12/cfg_DAYS_Y*AE91,0))</f>
        <v/>
      </c>
      <c r="AB91" s="113" t="str">
        <f aca="false">IF($B91="","",R91+SUM(X91:AA91))</f>
        <v/>
      </c>
      <c r="AC91" s="114" t="str">
        <f aca="false">IF($B91="","",MAX(0,IF(OR(الموظفون!$X91="",الموظفون!$X91&gt;$G$3),$G$3,الموظفون!$X91)-الموظفون!$H91+1)/cfg_DAYS_Y)</f>
        <v/>
      </c>
      <c r="AD91" s="114" t="str">
        <f aca="false">IF($B91="","",MAX(0,IF(OR(الموظفون!$X91="",الموظفون!$X91&gt;($E$3-1)),($E$3-1),الموظفون!$X91)-الموظفون!$H91+1)/cfg_DAYS_Y)</f>
        <v/>
      </c>
      <c r="AE91" s="115" t="str">
        <f aca="false">IF($B91="","",MAX(0,IF(OR(الموظفون!$X91="",الموظفون!$X91&gt;$G$3),$G$3,الموظفون!$X91)-MAX($E$3,الموظفون!$H91)+1))</f>
        <v/>
      </c>
    </row>
    <row r="92" customFormat="false" ht="15" hidden="false" customHeight="false" outlineLevel="0" collapsed="false">
      <c r="A92" s="83" t="str">
        <f aca="false">IF($B92="","",الموظفون!$A92)</f>
        <v/>
      </c>
      <c r="B92" s="74" t="str">
        <f aca="false">IF(الموظفون!$B92="","",الموظفون!$B92)</f>
        <v/>
      </c>
      <c r="C92" s="74" t="str">
        <f aca="false">IF($B92="","",الموظفون!$C92)</f>
        <v/>
      </c>
      <c r="D92" s="74" t="str">
        <f aca="false">IF($B92="","",الموظفون!$F92)</f>
        <v/>
      </c>
      <c r="E92" s="74" t="str">
        <f aca="false">IF($B92="","",الموظفون!$E92)</f>
        <v/>
      </c>
      <c r="F92" s="105" t="str">
        <f aca="false">IF($B92="","",IF(AE92&gt;=DAY($G$3),cfg_DAYS_M,MIN(AE92,cfg_DAYS_M)))</f>
        <v/>
      </c>
      <c r="G92" s="105" t="str">
        <f aca="false">IF($B92="","",SUMIFS('الحركات الشهرية'!$D$6:$D$1005,'الحركات الشهرية'!$B$6:$B$1005,$B92,'الحركات الشهرية'!$A$6:$A$1005,$C$3))</f>
        <v/>
      </c>
      <c r="H92" s="105" t="str">
        <f aca="false">IF($B92="","",SUMIFS('الحركات الشهرية'!$E$6:$E$1005,'الحركات الشهرية'!$B$6:$B$1005,$B92,'الحركات الشهرية'!$A$6:$A$1005,$C$3))</f>
        <v/>
      </c>
      <c r="I92" s="105" t="str">
        <f aca="false">IF($B92="","",MAX(0,F92-G92-H92))</f>
        <v/>
      </c>
      <c r="J92" s="86" t="str">
        <f aca="false">IF($B92="","",الموظفون!$J92*$I92/cfg_DAYS_M)</f>
        <v/>
      </c>
      <c r="K92" s="86" t="str">
        <f aca="false">IF($B92="","",الموظفون!$K92*$I92/cfg_DAYS_M)</f>
        <v/>
      </c>
      <c r="L92" s="86" t="str">
        <f aca="false">IF($B92="","",الموظفون!$L92*$I92/cfg_DAYS_M)</f>
        <v/>
      </c>
      <c r="M92" s="86" t="str">
        <f aca="false">IF($B92="","",الموظفون!$M92*$I92/cfg_DAYS_M)</f>
        <v/>
      </c>
      <c r="N92" s="105" t="str">
        <f aca="false">IF($B92="","",SUMIFS('الحركات الشهرية'!$F$6:$F$1005,'الحركات الشهرية'!$B$6:$B$1005,$B92,'الحركات الشهرية'!$A$6:$A$1005,$C$3))</f>
        <v/>
      </c>
      <c r="O92" s="86" t="str">
        <f aca="false">IF($B92="","",N92*(الموظفون!$N92+الموظفون!$J92*cfg_OT_P)/cfg_DAYS_M/cfg_HRS)</f>
        <v/>
      </c>
      <c r="P92" s="86" t="str">
        <f aca="false">IF($B92="","",SUMIFS('الحركات الشهرية'!$G$6:$G$1005,'الحركات الشهرية'!$B$6:$B$1005,$B92,'الحركات الشهرية'!$A$6:$A$1005,$C$3))</f>
        <v/>
      </c>
      <c r="Q92" s="86" t="str">
        <f aca="false">IF($B92="","",SUMIFS('الحركات الشهرية'!$H$6:$H$1005,'الحركات الشهرية'!$B$6:$B$1005,$B92,'الحركات الشهرية'!$A$6:$A$1005,$C$3))</f>
        <v/>
      </c>
      <c r="R92" s="106" t="str">
        <f aca="false">IF($B92="","",SUM(J92:M92)+SUM(O92:Q92))</f>
        <v/>
      </c>
      <c r="S92" s="86" t="str">
        <f aca="false">IF($B92="","",الموظفون!$Q92*IF(E92="سعودي",cfg_G_SE,cfg_G_NE)*F92/cfg_DAYS_M)</f>
        <v/>
      </c>
      <c r="T92" s="86" t="str">
        <f aca="false">IF($B92="","",SUMIFS('الحركات الشهرية'!$I$6:$I$1005,'الحركات الشهرية'!$B$6:$B$1005,$B92,'الحركات الشهرية'!$A$6:$A$1005,$C$3))</f>
        <v/>
      </c>
      <c r="U92" s="86" t="str">
        <f aca="false">IF($B92="","",SUMIFS('الحركات الشهرية'!$J$6:$J$1005,'الحركات الشهرية'!$B$6:$B$1005,$B92,'الحركات الشهرية'!$A$6:$A$1005,$C$3))</f>
        <v/>
      </c>
      <c r="V92" s="86" t="str">
        <f aca="false">IF($B92="","",SUM(S92:U92))</f>
        <v/>
      </c>
      <c r="W92" s="107" t="str">
        <f aca="false">IF($B92="","",R92-V92)</f>
        <v/>
      </c>
      <c r="X92" s="86" t="str">
        <f aca="false">IF($B92="","",الموظفون!$Q92*IF(E92="سعودي",cfg_G_SR,cfg_G_NR)*F92/cfg_DAYS_M)</f>
        <v/>
      </c>
      <c r="Y92" s="86" t="str">
        <f aca="false">IF($B92="","",الموظفون!$O92*(cfg_EOS_R1*(MIN(AC92,cfg_EOS_TH)-MIN(AD92,cfg_EOS_TH))+cfg_EOS_R2*(MAX(AC92-cfg_EOS_TH,0)-MAX(AD92-cfg_EOS_TH,0))))</f>
        <v/>
      </c>
      <c r="Z92" s="86" t="str">
        <f aca="false">IF($B92="","",IF(الموظفون!$R92&lt;&gt;"",الموظفون!$R92,IF(AC92&gt;=cfg_LV_TH,cfg_LV_D2,cfg_LV_D1))/cfg_DAYS_Y*AE92*الموظفون!$P92/cfg_DAYS_M)</f>
        <v/>
      </c>
      <c r="AA92" s="86" t="str">
        <f aca="false">IF($B92="","",IF(AND(الموظفون!$S92="نعم",N(الموظفون!$U92)&gt;0),الموظفون!$T92/الموظفون!$U92*12/cfg_DAYS_Y*AE92,0))</f>
        <v/>
      </c>
      <c r="AB92" s="108" t="str">
        <f aca="false">IF($B92="","",R92+SUM(X92:AA92))</f>
        <v/>
      </c>
      <c r="AC92" s="109" t="str">
        <f aca="false">IF($B92="","",MAX(0,IF(OR(الموظفون!$X92="",الموظفون!$X92&gt;$G$3),$G$3,الموظفون!$X92)-الموظفون!$H92+1)/cfg_DAYS_Y)</f>
        <v/>
      </c>
      <c r="AD92" s="109" t="str">
        <f aca="false">IF($B92="","",MAX(0,IF(OR(الموظفون!$X92="",الموظفون!$X92&gt;($E$3-1)),($E$3-1),الموظفون!$X92)-الموظفون!$H92+1)/cfg_DAYS_Y)</f>
        <v/>
      </c>
      <c r="AE92" s="51" t="str">
        <f aca="false">IF($B92="","",MAX(0,IF(OR(الموظفون!$X92="",الموظفون!$X92&gt;$G$3),$G$3,الموظفون!$X92)-MAX($E$3,الموظفون!$H92)+1))</f>
        <v/>
      </c>
    </row>
    <row r="93" customFormat="false" ht="15" hidden="false" customHeight="false" outlineLevel="0" collapsed="false">
      <c r="A93" s="89" t="str">
        <f aca="false">IF($B93="","",الموظفون!$A93)</f>
        <v/>
      </c>
      <c r="B93" s="91" t="str">
        <f aca="false">IF(الموظفون!$B93="","",الموظفون!$B93)</f>
        <v/>
      </c>
      <c r="C93" s="91" t="str">
        <f aca="false">IF($B93="","",الموظفون!$C93)</f>
        <v/>
      </c>
      <c r="D93" s="91" t="str">
        <f aca="false">IF($B93="","",الموظفون!$F93)</f>
        <v/>
      </c>
      <c r="E93" s="91" t="str">
        <f aca="false">IF($B93="","",الموظفون!$E93)</f>
        <v/>
      </c>
      <c r="F93" s="110" t="str">
        <f aca="false">IF($B93="","",IF(AE93&gt;=DAY($G$3),cfg_DAYS_M,MIN(AE93,cfg_DAYS_M)))</f>
        <v/>
      </c>
      <c r="G93" s="110" t="str">
        <f aca="false">IF($B93="","",SUMIFS('الحركات الشهرية'!$D$6:$D$1005,'الحركات الشهرية'!$B$6:$B$1005,$B93,'الحركات الشهرية'!$A$6:$A$1005,$C$3))</f>
        <v/>
      </c>
      <c r="H93" s="110" t="str">
        <f aca="false">IF($B93="","",SUMIFS('الحركات الشهرية'!$E$6:$E$1005,'الحركات الشهرية'!$B$6:$B$1005,$B93,'الحركات الشهرية'!$A$6:$A$1005,$C$3))</f>
        <v/>
      </c>
      <c r="I93" s="110" t="str">
        <f aca="false">IF($B93="","",MAX(0,F93-G93-H93))</f>
        <v/>
      </c>
      <c r="J93" s="90" t="str">
        <f aca="false">IF($B93="","",الموظفون!$J93*$I93/cfg_DAYS_M)</f>
        <v/>
      </c>
      <c r="K93" s="90" t="str">
        <f aca="false">IF($B93="","",الموظفون!$K93*$I93/cfg_DAYS_M)</f>
        <v/>
      </c>
      <c r="L93" s="90" t="str">
        <f aca="false">IF($B93="","",الموظفون!$L93*$I93/cfg_DAYS_M)</f>
        <v/>
      </c>
      <c r="M93" s="90" t="str">
        <f aca="false">IF($B93="","",الموظفون!$M93*$I93/cfg_DAYS_M)</f>
        <v/>
      </c>
      <c r="N93" s="110" t="str">
        <f aca="false">IF($B93="","",SUMIFS('الحركات الشهرية'!$F$6:$F$1005,'الحركات الشهرية'!$B$6:$B$1005,$B93,'الحركات الشهرية'!$A$6:$A$1005,$C$3))</f>
        <v/>
      </c>
      <c r="O93" s="90" t="str">
        <f aca="false">IF($B93="","",N93*(الموظفون!$N93+الموظفون!$J93*cfg_OT_P)/cfg_DAYS_M/cfg_HRS)</f>
        <v/>
      </c>
      <c r="P93" s="90" t="str">
        <f aca="false">IF($B93="","",SUMIFS('الحركات الشهرية'!$G$6:$G$1005,'الحركات الشهرية'!$B$6:$B$1005,$B93,'الحركات الشهرية'!$A$6:$A$1005,$C$3))</f>
        <v/>
      </c>
      <c r="Q93" s="90" t="str">
        <f aca="false">IF($B93="","",SUMIFS('الحركات الشهرية'!$H$6:$H$1005,'الحركات الشهرية'!$B$6:$B$1005,$B93,'الحركات الشهرية'!$A$6:$A$1005,$C$3))</f>
        <v/>
      </c>
      <c r="R93" s="111" t="str">
        <f aca="false">IF($B93="","",SUM(J93:M93)+SUM(O93:Q93))</f>
        <v/>
      </c>
      <c r="S93" s="90" t="str">
        <f aca="false">IF($B93="","",الموظفون!$Q93*IF(E93="سعودي",cfg_G_SE,cfg_G_NE)*F93/cfg_DAYS_M)</f>
        <v/>
      </c>
      <c r="T93" s="90" t="str">
        <f aca="false">IF($B93="","",SUMIFS('الحركات الشهرية'!$I$6:$I$1005,'الحركات الشهرية'!$B$6:$B$1005,$B93,'الحركات الشهرية'!$A$6:$A$1005,$C$3))</f>
        <v/>
      </c>
      <c r="U93" s="90" t="str">
        <f aca="false">IF($B93="","",SUMIFS('الحركات الشهرية'!$J$6:$J$1005,'الحركات الشهرية'!$B$6:$B$1005,$B93,'الحركات الشهرية'!$A$6:$A$1005,$C$3))</f>
        <v/>
      </c>
      <c r="V93" s="90" t="str">
        <f aca="false">IF($B93="","",SUM(S93:U93))</f>
        <v/>
      </c>
      <c r="W93" s="112" t="str">
        <f aca="false">IF($B93="","",R93-V93)</f>
        <v/>
      </c>
      <c r="X93" s="90" t="str">
        <f aca="false">IF($B93="","",الموظفون!$Q93*IF(E93="سعودي",cfg_G_SR,cfg_G_NR)*F93/cfg_DAYS_M)</f>
        <v/>
      </c>
      <c r="Y93" s="90" t="str">
        <f aca="false">IF($B93="","",الموظفون!$O93*(cfg_EOS_R1*(MIN(AC93,cfg_EOS_TH)-MIN(AD93,cfg_EOS_TH))+cfg_EOS_R2*(MAX(AC93-cfg_EOS_TH,0)-MAX(AD93-cfg_EOS_TH,0))))</f>
        <v/>
      </c>
      <c r="Z93" s="90" t="str">
        <f aca="false">IF($B93="","",IF(الموظفون!$R93&lt;&gt;"",الموظفون!$R93,IF(AC93&gt;=cfg_LV_TH,cfg_LV_D2,cfg_LV_D1))/cfg_DAYS_Y*AE93*الموظفون!$P93/cfg_DAYS_M)</f>
        <v/>
      </c>
      <c r="AA93" s="90" t="str">
        <f aca="false">IF($B93="","",IF(AND(الموظفون!$S93="نعم",N(الموظفون!$U93)&gt;0),الموظفون!$T93/الموظفون!$U93*12/cfg_DAYS_Y*AE93,0))</f>
        <v/>
      </c>
      <c r="AB93" s="113" t="str">
        <f aca="false">IF($B93="","",R93+SUM(X93:AA93))</f>
        <v/>
      </c>
      <c r="AC93" s="114" t="str">
        <f aca="false">IF($B93="","",MAX(0,IF(OR(الموظفون!$X93="",الموظفون!$X93&gt;$G$3),$G$3,الموظفون!$X93)-الموظفون!$H93+1)/cfg_DAYS_Y)</f>
        <v/>
      </c>
      <c r="AD93" s="114" t="str">
        <f aca="false">IF($B93="","",MAX(0,IF(OR(الموظفون!$X93="",الموظفون!$X93&gt;($E$3-1)),($E$3-1),الموظفون!$X93)-الموظفون!$H93+1)/cfg_DAYS_Y)</f>
        <v/>
      </c>
      <c r="AE93" s="115" t="str">
        <f aca="false">IF($B93="","",MAX(0,IF(OR(الموظفون!$X93="",الموظفون!$X93&gt;$G$3),$G$3,الموظفون!$X93)-MAX($E$3,الموظفون!$H93)+1))</f>
        <v/>
      </c>
    </row>
    <row r="94" customFormat="false" ht="15" hidden="false" customHeight="false" outlineLevel="0" collapsed="false">
      <c r="A94" s="83" t="str">
        <f aca="false">IF($B94="","",الموظفون!$A94)</f>
        <v/>
      </c>
      <c r="B94" s="74" t="str">
        <f aca="false">IF(الموظفون!$B94="","",الموظفون!$B94)</f>
        <v/>
      </c>
      <c r="C94" s="74" t="str">
        <f aca="false">IF($B94="","",الموظفون!$C94)</f>
        <v/>
      </c>
      <c r="D94" s="74" t="str">
        <f aca="false">IF($B94="","",الموظفون!$F94)</f>
        <v/>
      </c>
      <c r="E94" s="74" t="str">
        <f aca="false">IF($B94="","",الموظفون!$E94)</f>
        <v/>
      </c>
      <c r="F94" s="105" t="str">
        <f aca="false">IF($B94="","",IF(AE94&gt;=DAY($G$3),cfg_DAYS_M,MIN(AE94,cfg_DAYS_M)))</f>
        <v/>
      </c>
      <c r="G94" s="105" t="str">
        <f aca="false">IF($B94="","",SUMIFS('الحركات الشهرية'!$D$6:$D$1005,'الحركات الشهرية'!$B$6:$B$1005,$B94,'الحركات الشهرية'!$A$6:$A$1005,$C$3))</f>
        <v/>
      </c>
      <c r="H94" s="105" t="str">
        <f aca="false">IF($B94="","",SUMIFS('الحركات الشهرية'!$E$6:$E$1005,'الحركات الشهرية'!$B$6:$B$1005,$B94,'الحركات الشهرية'!$A$6:$A$1005,$C$3))</f>
        <v/>
      </c>
      <c r="I94" s="105" t="str">
        <f aca="false">IF($B94="","",MAX(0,F94-G94-H94))</f>
        <v/>
      </c>
      <c r="J94" s="86" t="str">
        <f aca="false">IF($B94="","",الموظفون!$J94*$I94/cfg_DAYS_M)</f>
        <v/>
      </c>
      <c r="K94" s="86" t="str">
        <f aca="false">IF($B94="","",الموظفون!$K94*$I94/cfg_DAYS_M)</f>
        <v/>
      </c>
      <c r="L94" s="86" t="str">
        <f aca="false">IF($B94="","",الموظفون!$L94*$I94/cfg_DAYS_M)</f>
        <v/>
      </c>
      <c r="M94" s="86" t="str">
        <f aca="false">IF($B94="","",الموظفون!$M94*$I94/cfg_DAYS_M)</f>
        <v/>
      </c>
      <c r="N94" s="105" t="str">
        <f aca="false">IF($B94="","",SUMIFS('الحركات الشهرية'!$F$6:$F$1005,'الحركات الشهرية'!$B$6:$B$1005,$B94,'الحركات الشهرية'!$A$6:$A$1005,$C$3))</f>
        <v/>
      </c>
      <c r="O94" s="86" t="str">
        <f aca="false">IF($B94="","",N94*(الموظفون!$N94+الموظفون!$J94*cfg_OT_P)/cfg_DAYS_M/cfg_HRS)</f>
        <v/>
      </c>
      <c r="P94" s="86" t="str">
        <f aca="false">IF($B94="","",SUMIFS('الحركات الشهرية'!$G$6:$G$1005,'الحركات الشهرية'!$B$6:$B$1005,$B94,'الحركات الشهرية'!$A$6:$A$1005,$C$3))</f>
        <v/>
      </c>
      <c r="Q94" s="86" t="str">
        <f aca="false">IF($B94="","",SUMIFS('الحركات الشهرية'!$H$6:$H$1005,'الحركات الشهرية'!$B$6:$B$1005,$B94,'الحركات الشهرية'!$A$6:$A$1005,$C$3))</f>
        <v/>
      </c>
      <c r="R94" s="106" t="str">
        <f aca="false">IF($B94="","",SUM(J94:M94)+SUM(O94:Q94))</f>
        <v/>
      </c>
      <c r="S94" s="86" t="str">
        <f aca="false">IF($B94="","",الموظفون!$Q94*IF(E94="سعودي",cfg_G_SE,cfg_G_NE)*F94/cfg_DAYS_M)</f>
        <v/>
      </c>
      <c r="T94" s="86" t="str">
        <f aca="false">IF($B94="","",SUMIFS('الحركات الشهرية'!$I$6:$I$1005,'الحركات الشهرية'!$B$6:$B$1005,$B94,'الحركات الشهرية'!$A$6:$A$1005,$C$3))</f>
        <v/>
      </c>
      <c r="U94" s="86" t="str">
        <f aca="false">IF($B94="","",SUMIFS('الحركات الشهرية'!$J$6:$J$1005,'الحركات الشهرية'!$B$6:$B$1005,$B94,'الحركات الشهرية'!$A$6:$A$1005,$C$3))</f>
        <v/>
      </c>
      <c r="V94" s="86" t="str">
        <f aca="false">IF($B94="","",SUM(S94:U94))</f>
        <v/>
      </c>
      <c r="W94" s="107" t="str">
        <f aca="false">IF($B94="","",R94-V94)</f>
        <v/>
      </c>
      <c r="X94" s="86" t="str">
        <f aca="false">IF($B94="","",الموظفون!$Q94*IF(E94="سعودي",cfg_G_SR,cfg_G_NR)*F94/cfg_DAYS_M)</f>
        <v/>
      </c>
      <c r="Y94" s="86" t="str">
        <f aca="false">IF($B94="","",الموظفون!$O94*(cfg_EOS_R1*(MIN(AC94,cfg_EOS_TH)-MIN(AD94,cfg_EOS_TH))+cfg_EOS_R2*(MAX(AC94-cfg_EOS_TH,0)-MAX(AD94-cfg_EOS_TH,0))))</f>
        <v/>
      </c>
      <c r="Z94" s="86" t="str">
        <f aca="false">IF($B94="","",IF(الموظفون!$R94&lt;&gt;"",الموظفون!$R94,IF(AC94&gt;=cfg_LV_TH,cfg_LV_D2,cfg_LV_D1))/cfg_DAYS_Y*AE94*الموظفون!$P94/cfg_DAYS_M)</f>
        <v/>
      </c>
      <c r="AA94" s="86" t="str">
        <f aca="false">IF($B94="","",IF(AND(الموظفون!$S94="نعم",N(الموظفون!$U94)&gt;0),الموظفون!$T94/الموظفون!$U94*12/cfg_DAYS_Y*AE94,0))</f>
        <v/>
      </c>
      <c r="AB94" s="108" t="str">
        <f aca="false">IF($B94="","",R94+SUM(X94:AA94))</f>
        <v/>
      </c>
      <c r="AC94" s="109" t="str">
        <f aca="false">IF($B94="","",MAX(0,IF(OR(الموظفون!$X94="",الموظفون!$X94&gt;$G$3),$G$3,الموظفون!$X94)-الموظفون!$H94+1)/cfg_DAYS_Y)</f>
        <v/>
      </c>
      <c r="AD94" s="109" t="str">
        <f aca="false">IF($B94="","",MAX(0,IF(OR(الموظفون!$X94="",الموظفون!$X94&gt;($E$3-1)),($E$3-1),الموظفون!$X94)-الموظفون!$H94+1)/cfg_DAYS_Y)</f>
        <v/>
      </c>
      <c r="AE94" s="51" t="str">
        <f aca="false">IF($B94="","",MAX(0,IF(OR(الموظفون!$X94="",الموظفون!$X94&gt;$G$3),$G$3,الموظفون!$X94)-MAX($E$3,الموظفون!$H94)+1))</f>
        <v/>
      </c>
    </row>
    <row r="95" customFormat="false" ht="15" hidden="false" customHeight="false" outlineLevel="0" collapsed="false">
      <c r="A95" s="89" t="str">
        <f aca="false">IF($B95="","",الموظفون!$A95)</f>
        <v/>
      </c>
      <c r="B95" s="91" t="str">
        <f aca="false">IF(الموظفون!$B95="","",الموظفون!$B95)</f>
        <v/>
      </c>
      <c r="C95" s="91" t="str">
        <f aca="false">IF($B95="","",الموظفون!$C95)</f>
        <v/>
      </c>
      <c r="D95" s="91" t="str">
        <f aca="false">IF($B95="","",الموظفون!$F95)</f>
        <v/>
      </c>
      <c r="E95" s="91" t="str">
        <f aca="false">IF($B95="","",الموظفون!$E95)</f>
        <v/>
      </c>
      <c r="F95" s="110" t="str">
        <f aca="false">IF($B95="","",IF(AE95&gt;=DAY($G$3),cfg_DAYS_M,MIN(AE95,cfg_DAYS_M)))</f>
        <v/>
      </c>
      <c r="G95" s="110" t="str">
        <f aca="false">IF($B95="","",SUMIFS('الحركات الشهرية'!$D$6:$D$1005,'الحركات الشهرية'!$B$6:$B$1005,$B95,'الحركات الشهرية'!$A$6:$A$1005,$C$3))</f>
        <v/>
      </c>
      <c r="H95" s="110" t="str">
        <f aca="false">IF($B95="","",SUMIFS('الحركات الشهرية'!$E$6:$E$1005,'الحركات الشهرية'!$B$6:$B$1005,$B95,'الحركات الشهرية'!$A$6:$A$1005,$C$3))</f>
        <v/>
      </c>
      <c r="I95" s="110" t="str">
        <f aca="false">IF($B95="","",MAX(0,F95-G95-H95))</f>
        <v/>
      </c>
      <c r="J95" s="90" t="str">
        <f aca="false">IF($B95="","",الموظفون!$J95*$I95/cfg_DAYS_M)</f>
        <v/>
      </c>
      <c r="K95" s="90" t="str">
        <f aca="false">IF($B95="","",الموظفون!$K95*$I95/cfg_DAYS_M)</f>
        <v/>
      </c>
      <c r="L95" s="90" t="str">
        <f aca="false">IF($B95="","",الموظفون!$L95*$I95/cfg_DAYS_M)</f>
        <v/>
      </c>
      <c r="M95" s="90" t="str">
        <f aca="false">IF($B95="","",الموظفون!$M95*$I95/cfg_DAYS_M)</f>
        <v/>
      </c>
      <c r="N95" s="110" t="str">
        <f aca="false">IF($B95="","",SUMIFS('الحركات الشهرية'!$F$6:$F$1005,'الحركات الشهرية'!$B$6:$B$1005,$B95,'الحركات الشهرية'!$A$6:$A$1005,$C$3))</f>
        <v/>
      </c>
      <c r="O95" s="90" t="str">
        <f aca="false">IF($B95="","",N95*(الموظفون!$N95+الموظفون!$J95*cfg_OT_P)/cfg_DAYS_M/cfg_HRS)</f>
        <v/>
      </c>
      <c r="P95" s="90" t="str">
        <f aca="false">IF($B95="","",SUMIFS('الحركات الشهرية'!$G$6:$G$1005,'الحركات الشهرية'!$B$6:$B$1005,$B95,'الحركات الشهرية'!$A$6:$A$1005,$C$3))</f>
        <v/>
      </c>
      <c r="Q95" s="90" t="str">
        <f aca="false">IF($B95="","",SUMIFS('الحركات الشهرية'!$H$6:$H$1005,'الحركات الشهرية'!$B$6:$B$1005,$B95,'الحركات الشهرية'!$A$6:$A$1005,$C$3))</f>
        <v/>
      </c>
      <c r="R95" s="111" t="str">
        <f aca="false">IF($B95="","",SUM(J95:M95)+SUM(O95:Q95))</f>
        <v/>
      </c>
      <c r="S95" s="90" t="str">
        <f aca="false">IF($B95="","",الموظفون!$Q95*IF(E95="سعودي",cfg_G_SE,cfg_G_NE)*F95/cfg_DAYS_M)</f>
        <v/>
      </c>
      <c r="T95" s="90" t="str">
        <f aca="false">IF($B95="","",SUMIFS('الحركات الشهرية'!$I$6:$I$1005,'الحركات الشهرية'!$B$6:$B$1005,$B95,'الحركات الشهرية'!$A$6:$A$1005,$C$3))</f>
        <v/>
      </c>
      <c r="U95" s="90" t="str">
        <f aca="false">IF($B95="","",SUMIFS('الحركات الشهرية'!$J$6:$J$1005,'الحركات الشهرية'!$B$6:$B$1005,$B95,'الحركات الشهرية'!$A$6:$A$1005,$C$3))</f>
        <v/>
      </c>
      <c r="V95" s="90" t="str">
        <f aca="false">IF($B95="","",SUM(S95:U95))</f>
        <v/>
      </c>
      <c r="W95" s="112" t="str">
        <f aca="false">IF($B95="","",R95-V95)</f>
        <v/>
      </c>
      <c r="X95" s="90" t="str">
        <f aca="false">IF($B95="","",الموظفون!$Q95*IF(E95="سعودي",cfg_G_SR,cfg_G_NR)*F95/cfg_DAYS_M)</f>
        <v/>
      </c>
      <c r="Y95" s="90" t="str">
        <f aca="false">IF($B95="","",الموظفون!$O95*(cfg_EOS_R1*(MIN(AC95,cfg_EOS_TH)-MIN(AD95,cfg_EOS_TH))+cfg_EOS_R2*(MAX(AC95-cfg_EOS_TH,0)-MAX(AD95-cfg_EOS_TH,0))))</f>
        <v/>
      </c>
      <c r="Z95" s="90" t="str">
        <f aca="false">IF($B95="","",IF(الموظفون!$R95&lt;&gt;"",الموظفون!$R95,IF(AC95&gt;=cfg_LV_TH,cfg_LV_D2,cfg_LV_D1))/cfg_DAYS_Y*AE95*الموظفون!$P95/cfg_DAYS_M)</f>
        <v/>
      </c>
      <c r="AA95" s="90" t="str">
        <f aca="false">IF($B95="","",IF(AND(الموظفون!$S95="نعم",N(الموظفون!$U95)&gt;0),الموظفون!$T95/الموظفون!$U95*12/cfg_DAYS_Y*AE95,0))</f>
        <v/>
      </c>
      <c r="AB95" s="113" t="str">
        <f aca="false">IF($B95="","",R95+SUM(X95:AA95))</f>
        <v/>
      </c>
      <c r="AC95" s="114" t="str">
        <f aca="false">IF($B95="","",MAX(0,IF(OR(الموظفون!$X95="",الموظفون!$X95&gt;$G$3),$G$3,الموظفون!$X95)-الموظفون!$H95+1)/cfg_DAYS_Y)</f>
        <v/>
      </c>
      <c r="AD95" s="114" t="str">
        <f aca="false">IF($B95="","",MAX(0,IF(OR(الموظفون!$X95="",الموظفون!$X95&gt;($E$3-1)),($E$3-1),الموظفون!$X95)-الموظفون!$H95+1)/cfg_DAYS_Y)</f>
        <v/>
      </c>
      <c r="AE95" s="115" t="str">
        <f aca="false">IF($B95="","",MAX(0,IF(OR(الموظفون!$X95="",الموظفون!$X95&gt;$G$3),$G$3,الموظفون!$X95)-MAX($E$3,الموظفون!$H95)+1))</f>
        <v/>
      </c>
    </row>
    <row r="96" customFormat="false" ht="15" hidden="false" customHeight="false" outlineLevel="0" collapsed="false">
      <c r="A96" s="83" t="str">
        <f aca="false">IF($B96="","",الموظفون!$A96)</f>
        <v/>
      </c>
      <c r="B96" s="74" t="str">
        <f aca="false">IF(الموظفون!$B96="","",الموظفون!$B96)</f>
        <v/>
      </c>
      <c r="C96" s="74" t="str">
        <f aca="false">IF($B96="","",الموظفون!$C96)</f>
        <v/>
      </c>
      <c r="D96" s="74" t="str">
        <f aca="false">IF($B96="","",الموظفون!$F96)</f>
        <v/>
      </c>
      <c r="E96" s="74" t="str">
        <f aca="false">IF($B96="","",الموظفون!$E96)</f>
        <v/>
      </c>
      <c r="F96" s="105" t="str">
        <f aca="false">IF($B96="","",IF(AE96&gt;=DAY($G$3),cfg_DAYS_M,MIN(AE96,cfg_DAYS_M)))</f>
        <v/>
      </c>
      <c r="G96" s="105" t="str">
        <f aca="false">IF($B96="","",SUMIFS('الحركات الشهرية'!$D$6:$D$1005,'الحركات الشهرية'!$B$6:$B$1005,$B96,'الحركات الشهرية'!$A$6:$A$1005,$C$3))</f>
        <v/>
      </c>
      <c r="H96" s="105" t="str">
        <f aca="false">IF($B96="","",SUMIFS('الحركات الشهرية'!$E$6:$E$1005,'الحركات الشهرية'!$B$6:$B$1005,$B96,'الحركات الشهرية'!$A$6:$A$1005,$C$3))</f>
        <v/>
      </c>
      <c r="I96" s="105" t="str">
        <f aca="false">IF($B96="","",MAX(0,F96-G96-H96))</f>
        <v/>
      </c>
      <c r="J96" s="86" t="str">
        <f aca="false">IF($B96="","",الموظفون!$J96*$I96/cfg_DAYS_M)</f>
        <v/>
      </c>
      <c r="K96" s="86" t="str">
        <f aca="false">IF($B96="","",الموظفون!$K96*$I96/cfg_DAYS_M)</f>
        <v/>
      </c>
      <c r="L96" s="86" t="str">
        <f aca="false">IF($B96="","",الموظفون!$L96*$I96/cfg_DAYS_M)</f>
        <v/>
      </c>
      <c r="M96" s="86" t="str">
        <f aca="false">IF($B96="","",الموظفون!$M96*$I96/cfg_DAYS_M)</f>
        <v/>
      </c>
      <c r="N96" s="105" t="str">
        <f aca="false">IF($B96="","",SUMIFS('الحركات الشهرية'!$F$6:$F$1005,'الحركات الشهرية'!$B$6:$B$1005,$B96,'الحركات الشهرية'!$A$6:$A$1005,$C$3))</f>
        <v/>
      </c>
      <c r="O96" s="86" t="str">
        <f aca="false">IF($B96="","",N96*(الموظفون!$N96+الموظفون!$J96*cfg_OT_P)/cfg_DAYS_M/cfg_HRS)</f>
        <v/>
      </c>
      <c r="P96" s="86" t="str">
        <f aca="false">IF($B96="","",SUMIFS('الحركات الشهرية'!$G$6:$G$1005,'الحركات الشهرية'!$B$6:$B$1005,$B96,'الحركات الشهرية'!$A$6:$A$1005,$C$3))</f>
        <v/>
      </c>
      <c r="Q96" s="86" t="str">
        <f aca="false">IF($B96="","",SUMIFS('الحركات الشهرية'!$H$6:$H$1005,'الحركات الشهرية'!$B$6:$B$1005,$B96,'الحركات الشهرية'!$A$6:$A$1005,$C$3))</f>
        <v/>
      </c>
      <c r="R96" s="106" t="str">
        <f aca="false">IF($B96="","",SUM(J96:M96)+SUM(O96:Q96))</f>
        <v/>
      </c>
      <c r="S96" s="86" t="str">
        <f aca="false">IF($B96="","",الموظفون!$Q96*IF(E96="سعودي",cfg_G_SE,cfg_G_NE)*F96/cfg_DAYS_M)</f>
        <v/>
      </c>
      <c r="T96" s="86" t="str">
        <f aca="false">IF($B96="","",SUMIFS('الحركات الشهرية'!$I$6:$I$1005,'الحركات الشهرية'!$B$6:$B$1005,$B96,'الحركات الشهرية'!$A$6:$A$1005,$C$3))</f>
        <v/>
      </c>
      <c r="U96" s="86" t="str">
        <f aca="false">IF($B96="","",SUMIFS('الحركات الشهرية'!$J$6:$J$1005,'الحركات الشهرية'!$B$6:$B$1005,$B96,'الحركات الشهرية'!$A$6:$A$1005,$C$3))</f>
        <v/>
      </c>
      <c r="V96" s="86" t="str">
        <f aca="false">IF($B96="","",SUM(S96:U96))</f>
        <v/>
      </c>
      <c r="W96" s="107" t="str">
        <f aca="false">IF($B96="","",R96-V96)</f>
        <v/>
      </c>
      <c r="X96" s="86" t="str">
        <f aca="false">IF($B96="","",الموظفون!$Q96*IF(E96="سعودي",cfg_G_SR,cfg_G_NR)*F96/cfg_DAYS_M)</f>
        <v/>
      </c>
      <c r="Y96" s="86" t="str">
        <f aca="false">IF($B96="","",الموظفون!$O96*(cfg_EOS_R1*(MIN(AC96,cfg_EOS_TH)-MIN(AD96,cfg_EOS_TH))+cfg_EOS_R2*(MAX(AC96-cfg_EOS_TH,0)-MAX(AD96-cfg_EOS_TH,0))))</f>
        <v/>
      </c>
      <c r="Z96" s="86" t="str">
        <f aca="false">IF($B96="","",IF(الموظفون!$R96&lt;&gt;"",الموظفون!$R96,IF(AC96&gt;=cfg_LV_TH,cfg_LV_D2,cfg_LV_D1))/cfg_DAYS_Y*AE96*الموظفون!$P96/cfg_DAYS_M)</f>
        <v/>
      </c>
      <c r="AA96" s="86" t="str">
        <f aca="false">IF($B96="","",IF(AND(الموظفون!$S96="نعم",N(الموظفون!$U96)&gt;0),الموظفون!$T96/الموظفون!$U96*12/cfg_DAYS_Y*AE96,0))</f>
        <v/>
      </c>
      <c r="AB96" s="108" t="str">
        <f aca="false">IF($B96="","",R96+SUM(X96:AA96))</f>
        <v/>
      </c>
      <c r="AC96" s="109" t="str">
        <f aca="false">IF($B96="","",MAX(0,IF(OR(الموظفون!$X96="",الموظفون!$X96&gt;$G$3),$G$3,الموظفون!$X96)-الموظفون!$H96+1)/cfg_DAYS_Y)</f>
        <v/>
      </c>
      <c r="AD96" s="109" t="str">
        <f aca="false">IF($B96="","",MAX(0,IF(OR(الموظفون!$X96="",الموظفون!$X96&gt;($E$3-1)),($E$3-1),الموظفون!$X96)-الموظفون!$H96+1)/cfg_DAYS_Y)</f>
        <v/>
      </c>
      <c r="AE96" s="51" t="str">
        <f aca="false">IF($B96="","",MAX(0,IF(OR(الموظفون!$X96="",الموظفون!$X96&gt;$G$3),$G$3,الموظفون!$X96)-MAX($E$3,الموظفون!$H96)+1))</f>
        <v/>
      </c>
    </row>
    <row r="97" customFormat="false" ht="15" hidden="false" customHeight="false" outlineLevel="0" collapsed="false">
      <c r="A97" s="89" t="str">
        <f aca="false">IF($B97="","",الموظفون!$A97)</f>
        <v/>
      </c>
      <c r="B97" s="91" t="str">
        <f aca="false">IF(الموظفون!$B97="","",الموظفون!$B97)</f>
        <v/>
      </c>
      <c r="C97" s="91" t="str">
        <f aca="false">IF($B97="","",الموظفون!$C97)</f>
        <v/>
      </c>
      <c r="D97" s="91" t="str">
        <f aca="false">IF($B97="","",الموظفون!$F97)</f>
        <v/>
      </c>
      <c r="E97" s="91" t="str">
        <f aca="false">IF($B97="","",الموظفون!$E97)</f>
        <v/>
      </c>
      <c r="F97" s="110" t="str">
        <f aca="false">IF($B97="","",IF(AE97&gt;=DAY($G$3),cfg_DAYS_M,MIN(AE97,cfg_DAYS_M)))</f>
        <v/>
      </c>
      <c r="G97" s="110" t="str">
        <f aca="false">IF($B97="","",SUMIFS('الحركات الشهرية'!$D$6:$D$1005,'الحركات الشهرية'!$B$6:$B$1005,$B97,'الحركات الشهرية'!$A$6:$A$1005,$C$3))</f>
        <v/>
      </c>
      <c r="H97" s="110" t="str">
        <f aca="false">IF($B97="","",SUMIFS('الحركات الشهرية'!$E$6:$E$1005,'الحركات الشهرية'!$B$6:$B$1005,$B97,'الحركات الشهرية'!$A$6:$A$1005,$C$3))</f>
        <v/>
      </c>
      <c r="I97" s="110" t="str">
        <f aca="false">IF($B97="","",MAX(0,F97-G97-H97))</f>
        <v/>
      </c>
      <c r="J97" s="90" t="str">
        <f aca="false">IF($B97="","",الموظفون!$J97*$I97/cfg_DAYS_M)</f>
        <v/>
      </c>
      <c r="K97" s="90" t="str">
        <f aca="false">IF($B97="","",الموظفون!$K97*$I97/cfg_DAYS_M)</f>
        <v/>
      </c>
      <c r="L97" s="90" t="str">
        <f aca="false">IF($B97="","",الموظفون!$L97*$I97/cfg_DAYS_M)</f>
        <v/>
      </c>
      <c r="M97" s="90" t="str">
        <f aca="false">IF($B97="","",الموظفون!$M97*$I97/cfg_DAYS_M)</f>
        <v/>
      </c>
      <c r="N97" s="110" t="str">
        <f aca="false">IF($B97="","",SUMIFS('الحركات الشهرية'!$F$6:$F$1005,'الحركات الشهرية'!$B$6:$B$1005,$B97,'الحركات الشهرية'!$A$6:$A$1005,$C$3))</f>
        <v/>
      </c>
      <c r="O97" s="90" t="str">
        <f aca="false">IF($B97="","",N97*(الموظفون!$N97+الموظفون!$J97*cfg_OT_P)/cfg_DAYS_M/cfg_HRS)</f>
        <v/>
      </c>
      <c r="P97" s="90" t="str">
        <f aca="false">IF($B97="","",SUMIFS('الحركات الشهرية'!$G$6:$G$1005,'الحركات الشهرية'!$B$6:$B$1005,$B97,'الحركات الشهرية'!$A$6:$A$1005,$C$3))</f>
        <v/>
      </c>
      <c r="Q97" s="90" t="str">
        <f aca="false">IF($B97="","",SUMIFS('الحركات الشهرية'!$H$6:$H$1005,'الحركات الشهرية'!$B$6:$B$1005,$B97,'الحركات الشهرية'!$A$6:$A$1005,$C$3))</f>
        <v/>
      </c>
      <c r="R97" s="111" t="str">
        <f aca="false">IF($B97="","",SUM(J97:M97)+SUM(O97:Q97))</f>
        <v/>
      </c>
      <c r="S97" s="90" t="str">
        <f aca="false">IF($B97="","",الموظفون!$Q97*IF(E97="سعودي",cfg_G_SE,cfg_G_NE)*F97/cfg_DAYS_M)</f>
        <v/>
      </c>
      <c r="T97" s="90" t="str">
        <f aca="false">IF($B97="","",SUMIFS('الحركات الشهرية'!$I$6:$I$1005,'الحركات الشهرية'!$B$6:$B$1005,$B97,'الحركات الشهرية'!$A$6:$A$1005,$C$3))</f>
        <v/>
      </c>
      <c r="U97" s="90" t="str">
        <f aca="false">IF($B97="","",SUMIFS('الحركات الشهرية'!$J$6:$J$1005,'الحركات الشهرية'!$B$6:$B$1005,$B97,'الحركات الشهرية'!$A$6:$A$1005,$C$3))</f>
        <v/>
      </c>
      <c r="V97" s="90" t="str">
        <f aca="false">IF($B97="","",SUM(S97:U97))</f>
        <v/>
      </c>
      <c r="W97" s="112" t="str">
        <f aca="false">IF($B97="","",R97-V97)</f>
        <v/>
      </c>
      <c r="X97" s="90" t="str">
        <f aca="false">IF($B97="","",الموظفون!$Q97*IF(E97="سعودي",cfg_G_SR,cfg_G_NR)*F97/cfg_DAYS_M)</f>
        <v/>
      </c>
      <c r="Y97" s="90" t="str">
        <f aca="false">IF($B97="","",الموظفون!$O97*(cfg_EOS_R1*(MIN(AC97,cfg_EOS_TH)-MIN(AD97,cfg_EOS_TH))+cfg_EOS_R2*(MAX(AC97-cfg_EOS_TH,0)-MAX(AD97-cfg_EOS_TH,0))))</f>
        <v/>
      </c>
      <c r="Z97" s="90" t="str">
        <f aca="false">IF($B97="","",IF(الموظفون!$R97&lt;&gt;"",الموظفون!$R97,IF(AC97&gt;=cfg_LV_TH,cfg_LV_D2,cfg_LV_D1))/cfg_DAYS_Y*AE97*الموظفون!$P97/cfg_DAYS_M)</f>
        <v/>
      </c>
      <c r="AA97" s="90" t="str">
        <f aca="false">IF($B97="","",IF(AND(الموظفون!$S97="نعم",N(الموظفون!$U97)&gt;0),الموظفون!$T97/الموظفون!$U97*12/cfg_DAYS_Y*AE97,0))</f>
        <v/>
      </c>
      <c r="AB97" s="113" t="str">
        <f aca="false">IF($B97="","",R97+SUM(X97:AA97))</f>
        <v/>
      </c>
      <c r="AC97" s="114" t="str">
        <f aca="false">IF($B97="","",MAX(0,IF(OR(الموظفون!$X97="",الموظفون!$X97&gt;$G$3),$G$3,الموظفون!$X97)-الموظفون!$H97+1)/cfg_DAYS_Y)</f>
        <v/>
      </c>
      <c r="AD97" s="114" t="str">
        <f aca="false">IF($B97="","",MAX(0,IF(OR(الموظفون!$X97="",الموظفون!$X97&gt;($E$3-1)),($E$3-1),الموظفون!$X97)-الموظفون!$H97+1)/cfg_DAYS_Y)</f>
        <v/>
      </c>
      <c r="AE97" s="115" t="str">
        <f aca="false">IF($B97="","",MAX(0,IF(OR(الموظفون!$X97="",الموظفون!$X97&gt;$G$3),$G$3,الموظفون!$X97)-MAX($E$3,الموظفون!$H97)+1))</f>
        <v/>
      </c>
    </row>
    <row r="98" customFormat="false" ht="15" hidden="false" customHeight="false" outlineLevel="0" collapsed="false">
      <c r="A98" s="83" t="str">
        <f aca="false">IF($B98="","",الموظفون!$A98)</f>
        <v/>
      </c>
      <c r="B98" s="74" t="str">
        <f aca="false">IF(الموظفون!$B98="","",الموظفون!$B98)</f>
        <v/>
      </c>
      <c r="C98" s="74" t="str">
        <f aca="false">IF($B98="","",الموظفون!$C98)</f>
        <v/>
      </c>
      <c r="D98" s="74" t="str">
        <f aca="false">IF($B98="","",الموظفون!$F98)</f>
        <v/>
      </c>
      <c r="E98" s="74" t="str">
        <f aca="false">IF($B98="","",الموظفون!$E98)</f>
        <v/>
      </c>
      <c r="F98" s="105" t="str">
        <f aca="false">IF($B98="","",IF(AE98&gt;=DAY($G$3),cfg_DAYS_M,MIN(AE98,cfg_DAYS_M)))</f>
        <v/>
      </c>
      <c r="G98" s="105" t="str">
        <f aca="false">IF($B98="","",SUMIFS('الحركات الشهرية'!$D$6:$D$1005,'الحركات الشهرية'!$B$6:$B$1005,$B98,'الحركات الشهرية'!$A$6:$A$1005,$C$3))</f>
        <v/>
      </c>
      <c r="H98" s="105" t="str">
        <f aca="false">IF($B98="","",SUMIFS('الحركات الشهرية'!$E$6:$E$1005,'الحركات الشهرية'!$B$6:$B$1005,$B98,'الحركات الشهرية'!$A$6:$A$1005,$C$3))</f>
        <v/>
      </c>
      <c r="I98" s="105" t="str">
        <f aca="false">IF($B98="","",MAX(0,F98-G98-H98))</f>
        <v/>
      </c>
      <c r="J98" s="86" t="str">
        <f aca="false">IF($B98="","",الموظفون!$J98*$I98/cfg_DAYS_M)</f>
        <v/>
      </c>
      <c r="K98" s="86" t="str">
        <f aca="false">IF($B98="","",الموظفون!$K98*$I98/cfg_DAYS_M)</f>
        <v/>
      </c>
      <c r="L98" s="86" t="str">
        <f aca="false">IF($B98="","",الموظفون!$L98*$I98/cfg_DAYS_M)</f>
        <v/>
      </c>
      <c r="M98" s="86" t="str">
        <f aca="false">IF($B98="","",الموظفون!$M98*$I98/cfg_DAYS_M)</f>
        <v/>
      </c>
      <c r="N98" s="105" t="str">
        <f aca="false">IF($B98="","",SUMIFS('الحركات الشهرية'!$F$6:$F$1005,'الحركات الشهرية'!$B$6:$B$1005,$B98,'الحركات الشهرية'!$A$6:$A$1005,$C$3))</f>
        <v/>
      </c>
      <c r="O98" s="86" t="str">
        <f aca="false">IF($B98="","",N98*(الموظفون!$N98+الموظفون!$J98*cfg_OT_P)/cfg_DAYS_M/cfg_HRS)</f>
        <v/>
      </c>
      <c r="P98" s="86" t="str">
        <f aca="false">IF($B98="","",SUMIFS('الحركات الشهرية'!$G$6:$G$1005,'الحركات الشهرية'!$B$6:$B$1005,$B98,'الحركات الشهرية'!$A$6:$A$1005,$C$3))</f>
        <v/>
      </c>
      <c r="Q98" s="86" t="str">
        <f aca="false">IF($B98="","",SUMIFS('الحركات الشهرية'!$H$6:$H$1005,'الحركات الشهرية'!$B$6:$B$1005,$B98,'الحركات الشهرية'!$A$6:$A$1005,$C$3))</f>
        <v/>
      </c>
      <c r="R98" s="106" t="str">
        <f aca="false">IF($B98="","",SUM(J98:M98)+SUM(O98:Q98))</f>
        <v/>
      </c>
      <c r="S98" s="86" t="str">
        <f aca="false">IF($B98="","",الموظفون!$Q98*IF(E98="سعودي",cfg_G_SE,cfg_G_NE)*F98/cfg_DAYS_M)</f>
        <v/>
      </c>
      <c r="T98" s="86" t="str">
        <f aca="false">IF($B98="","",SUMIFS('الحركات الشهرية'!$I$6:$I$1005,'الحركات الشهرية'!$B$6:$B$1005,$B98,'الحركات الشهرية'!$A$6:$A$1005,$C$3))</f>
        <v/>
      </c>
      <c r="U98" s="86" t="str">
        <f aca="false">IF($B98="","",SUMIFS('الحركات الشهرية'!$J$6:$J$1005,'الحركات الشهرية'!$B$6:$B$1005,$B98,'الحركات الشهرية'!$A$6:$A$1005,$C$3))</f>
        <v/>
      </c>
      <c r="V98" s="86" t="str">
        <f aca="false">IF($B98="","",SUM(S98:U98))</f>
        <v/>
      </c>
      <c r="W98" s="107" t="str">
        <f aca="false">IF($B98="","",R98-V98)</f>
        <v/>
      </c>
      <c r="X98" s="86" t="str">
        <f aca="false">IF($B98="","",الموظفون!$Q98*IF(E98="سعودي",cfg_G_SR,cfg_G_NR)*F98/cfg_DAYS_M)</f>
        <v/>
      </c>
      <c r="Y98" s="86" t="str">
        <f aca="false">IF($B98="","",الموظفون!$O98*(cfg_EOS_R1*(MIN(AC98,cfg_EOS_TH)-MIN(AD98,cfg_EOS_TH))+cfg_EOS_R2*(MAX(AC98-cfg_EOS_TH,0)-MAX(AD98-cfg_EOS_TH,0))))</f>
        <v/>
      </c>
      <c r="Z98" s="86" t="str">
        <f aca="false">IF($B98="","",IF(الموظفون!$R98&lt;&gt;"",الموظفون!$R98,IF(AC98&gt;=cfg_LV_TH,cfg_LV_D2,cfg_LV_D1))/cfg_DAYS_Y*AE98*الموظفون!$P98/cfg_DAYS_M)</f>
        <v/>
      </c>
      <c r="AA98" s="86" t="str">
        <f aca="false">IF($B98="","",IF(AND(الموظفون!$S98="نعم",N(الموظفون!$U98)&gt;0),الموظفون!$T98/الموظفون!$U98*12/cfg_DAYS_Y*AE98,0))</f>
        <v/>
      </c>
      <c r="AB98" s="108" t="str">
        <f aca="false">IF($B98="","",R98+SUM(X98:AA98))</f>
        <v/>
      </c>
      <c r="AC98" s="109" t="str">
        <f aca="false">IF($B98="","",MAX(0,IF(OR(الموظفون!$X98="",الموظفون!$X98&gt;$G$3),$G$3,الموظفون!$X98)-الموظفون!$H98+1)/cfg_DAYS_Y)</f>
        <v/>
      </c>
      <c r="AD98" s="109" t="str">
        <f aca="false">IF($B98="","",MAX(0,IF(OR(الموظفون!$X98="",الموظفون!$X98&gt;($E$3-1)),($E$3-1),الموظفون!$X98)-الموظفون!$H98+1)/cfg_DAYS_Y)</f>
        <v/>
      </c>
      <c r="AE98" s="51" t="str">
        <f aca="false">IF($B98="","",MAX(0,IF(OR(الموظفون!$X98="",الموظفون!$X98&gt;$G$3),$G$3,الموظفون!$X98)-MAX($E$3,الموظفون!$H98)+1))</f>
        <v/>
      </c>
    </row>
    <row r="99" customFormat="false" ht="15" hidden="false" customHeight="false" outlineLevel="0" collapsed="false">
      <c r="A99" s="89" t="str">
        <f aca="false">IF($B99="","",الموظفون!$A99)</f>
        <v/>
      </c>
      <c r="B99" s="91" t="str">
        <f aca="false">IF(الموظفون!$B99="","",الموظفون!$B99)</f>
        <v/>
      </c>
      <c r="C99" s="91" t="str">
        <f aca="false">IF($B99="","",الموظفون!$C99)</f>
        <v/>
      </c>
      <c r="D99" s="91" t="str">
        <f aca="false">IF($B99="","",الموظفون!$F99)</f>
        <v/>
      </c>
      <c r="E99" s="91" t="str">
        <f aca="false">IF($B99="","",الموظفون!$E99)</f>
        <v/>
      </c>
      <c r="F99" s="110" t="str">
        <f aca="false">IF($B99="","",IF(AE99&gt;=DAY($G$3),cfg_DAYS_M,MIN(AE99,cfg_DAYS_M)))</f>
        <v/>
      </c>
      <c r="G99" s="110" t="str">
        <f aca="false">IF($B99="","",SUMIFS('الحركات الشهرية'!$D$6:$D$1005,'الحركات الشهرية'!$B$6:$B$1005,$B99,'الحركات الشهرية'!$A$6:$A$1005,$C$3))</f>
        <v/>
      </c>
      <c r="H99" s="110" t="str">
        <f aca="false">IF($B99="","",SUMIFS('الحركات الشهرية'!$E$6:$E$1005,'الحركات الشهرية'!$B$6:$B$1005,$B99,'الحركات الشهرية'!$A$6:$A$1005,$C$3))</f>
        <v/>
      </c>
      <c r="I99" s="110" t="str">
        <f aca="false">IF($B99="","",MAX(0,F99-G99-H99))</f>
        <v/>
      </c>
      <c r="J99" s="90" t="str">
        <f aca="false">IF($B99="","",الموظفون!$J99*$I99/cfg_DAYS_M)</f>
        <v/>
      </c>
      <c r="K99" s="90" t="str">
        <f aca="false">IF($B99="","",الموظفون!$K99*$I99/cfg_DAYS_M)</f>
        <v/>
      </c>
      <c r="L99" s="90" t="str">
        <f aca="false">IF($B99="","",الموظفون!$L99*$I99/cfg_DAYS_M)</f>
        <v/>
      </c>
      <c r="M99" s="90" t="str">
        <f aca="false">IF($B99="","",الموظفون!$M99*$I99/cfg_DAYS_M)</f>
        <v/>
      </c>
      <c r="N99" s="110" t="str">
        <f aca="false">IF($B99="","",SUMIFS('الحركات الشهرية'!$F$6:$F$1005,'الحركات الشهرية'!$B$6:$B$1005,$B99,'الحركات الشهرية'!$A$6:$A$1005,$C$3))</f>
        <v/>
      </c>
      <c r="O99" s="90" t="str">
        <f aca="false">IF($B99="","",N99*(الموظفون!$N99+الموظفون!$J99*cfg_OT_P)/cfg_DAYS_M/cfg_HRS)</f>
        <v/>
      </c>
      <c r="P99" s="90" t="str">
        <f aca="false">IF($B99="","",SUMIFS('الحركات الشهرية'!$G$6:$G$1005,'الحركات الشهرية'!$B$6:$B$1005,$B99,'الحركات الشهرية'!$A$6:$A$1005,$C$3))</f>
        <v/>
      </c>
      <c r="Q99" s="90" t="str">
        <f aca="false">IF($B99="","",SUMIFS('الحركات الشهرية'!$H$6:$H$1005,'الحركات الشهرية'!$B$6:$B$1005,$B99,'الحركات الشهرية'!$A$6:$A$1005,$C$3))</f>
        <v/>
      </c>
      <c r="R99" s="111" t="str">
        <f aca="false">IF($B99="","",SUM(J99:M99)+SUM(O99:Q99))</f>
        <v/>
      </c>
      <c r="S99" s="90" t="str">
        <f aca="false">IF($B99="","",الموظفون!$Q99*IF(E99="سعودي",cfg_G_SE,cfg_G_NE)*F99/cfg_DAYS_M)</f>
        <v/>
      </c>
      <c r="T99" s="90" t="str">
        <f aca="false">IF($B99="","",SUMIFS('الحركات الشهرية'!$I$6:$I$1005,'الحركات الشهرية'!$B$6:$B$1005,$B99,'الحركات الشهرية'!$A$6:$A$1005,$C$3))</f>
        <v/>
      </c>
      <c r="U99" s="90" t="str">
        <f aca="false">IF($B99="","",SUMIFS('الحركات الشهرية'!$J$6:$J$1005,'الحركات الشهرية'!$B$6:$B$1005,$B99,'الحركات الشهرية'!$A$6:$A$1005,$C$3))</f>
        <v/>
      </c>
      <c r="V99" s="90" t="str">
        <f aca="false">IF($B99="","",SUM(S99:U99))</f>
        <v/>
      </c>
      <c r="W99" s="112" t="str">
        <f aca="false">IF($B99="","",R99-V99)</f>
        <v/>
      </c>
      <c r="X99" s="90" t="str">
        <f aca="false">IF($B99="","",الموظفون!$Q99*IF(E99="سعودي",cfg_G_SR,cfg_G_NR)*F99/cfg_DAYS_M)</f>
        <v/>
      </c>
      <c r="Y99" s="90" t="str">
        <f aca="false">IF($B99="","",الموظفون!$O99*(cfg_EOS_R1*(MIN(AC99,cfg_EOS_TH)-MIN(AD99,cfg_EOS_TH))+cfg_EOS_R2*(MAX(AC99-cfg_EOS_TH,0)-MAX(AD99-cfg_EOS_TH,0))))</f>
        <v/>
      </c>
      <c r="Z99" s="90" t="str">
        <f aca="false">IF($B99="","",IF(الموظفون!$R99&lt;&gt;"",الموظفون!$R99,IF(AC99&gt;=cfg_LV_TH,cfg_LV_D2,cfg_LV_D1))/cfg_DAYS_Y*AE99*الموظفون!$P99/cfg_DAYS_M)</f>
        <v/>
      </c>
      <c r="AA99" s="90" t="str">
        <f aca="false">IF($B99="","",IF(AND(الموظفون!$S99="نعم",N(الموظفون!$U99)&gt;0),الموظفون!$T99/الموظفون!$U99*12/cfg_DAYS_Y*AE99,0))</f>
        <v/>
      </c>
      <c r="AB99" s="113" t="str">
        <f aca="false">IF($B99="","",R99+SUM(X99:AA99))</f>
        <v/>
      </c>
      <c r="AC99" s="114" t="str">
        <f aca="false">IF($B99="","",MAX(0,IF(OR(الموظفون!$X99="",الموظفون!$X99&gt;$G$3),$G$3,الموظفون!$X99)-الموظفون!$H99+1)/cfg_DAYS_Y)</f>
        <v/>
      </c>
      <c r="AD99" s="114" t="str">
        <f aca="false">IF($B99="","",MAX(0,IF(OR(الموظفون!$X99="",الموظفون!$X99&gt;($E$3-1)),($E$3-1),الموظفون!$X99)-الموظفون!$H99+1)/cfg_DAYS_Y)</f>
        <v/>
      </c>
      <c r="AE99" s="115" t="str">
        <f aca="false">IF($B99="","",MAX(0,IF(OR(الموظفون!$X99="",الموظفون!$X99&gt;$G$3),$G$3,الموظفون!$X99)-MAX($E$3,الموظفون!$H99)+1))</f>
        <v/>
      </c>
    </row>
    <row r="100" customFormat="false" ht="15" hidden="false" customHeight="false" outlineLevel="0" collapsed="false">
      <c r="A100" s="83" t="str">
        <f aca="false">IF($B100="","",الموظفون!$A100)</f>
        <v/>
      </c>
      <c r="B100" s="74" t="str">
        <f aca="false">IF(الموظفون!$B100="","",الموظفون!$B100)</f>
        <v/>
      </c>
      <c r="C100" s="74" t="str">
        <f aca="false">IF($B100="","",الموظفون!$C100)</f>
        <v/>
      </c>
      <c r="D100" s="74" t="str">
        <f aca="false">IF($B100="","",الموظفون!$F100)</f>
        <v/>
      </c>
      <c r="E100" s="74" t="str">
        <f aca="false">IF($B100="","",الموظفون!$E100)</f>
        <v/>
      </c>
      <c r="F100" s="105" t="str">
        <f aca="false">IF($B100="","",IF(AE100&gt;=DAY($G$3),cfg_DAYS_M,MIN(AE100,cfg_DAYS_M)))</f>
        <v/>
      </c>
      <c r="G100" s="105" t="str">
        <f aca="false">IF($B100="","",SUMIFS('الحركات الشهرية'!$D$6:$D$1005,'الحركات الشهرية'!$B$6:$B$1005,$B100,'الحركات الشهرية'!$A$6:$A$1005,$C$3))</f>
        <v/>
      </c>
      <c r="H100" s="105" t="str">
        <f aca="false">IF($B100="","",SUMIFS('الحركات الشهرية'!$E$6:$E$1005,'الحركات الشهرية'!$B$6:$B$1005,$B100,'الحركات الشهرية'!$A$6:$A$1005,$C$3))</f>
        <v/>
      </c>
      <c r="I100" s="105" t="str">
        <f aca="false">IF($B100="","",MAX(0,F100-G100-H100))</f>
        <v/>
      </c>
      <c r="J100" s="86" t="str">
        <f aca="false">IF($B100="","",الموظفون!$J100*$I100/cfg_DAYS_M)</f>
        <v/>
      </c>
      <c r="K100" s="86" t="str">
        <f aca="false">IF($B100="","",الموظفون!$K100*$I100/cfg_DAYS_M)</f>
        <v/>
      </c>
      <c r="L100" s="86" t="str">
        <f aca="false">IF($B100="","",الموظفون!$L100*$I100/cfg_DAYS_M)</f>
        <v/>
      </c>
      <c r="M100" s="86" t="str">
        <f aca="false">IF($B100="","",الموظفون!$M100*$I100/cfg_DAYS_M)</f>
        <v/>
      </c>
      <c r="N100" s="105" t="str">
        <f aca="false">IF($B100="","",SUMIFS('الحركات الشهرية'!$F$6:$F$1005,'الحركات الشهرية'!$B$6:$B$1005,$B100,'الحركات الشهرية'!$A$6:$A$1005,$C$3))</f>
        <v/>
      </c>
      <c r="O100" s="86" t="str">
        <f aca="false">IF($B100="","",N100*(الموظفون!$N100+الموظفون!$J100*cfg_OT_P)/cfg_DAYS_M/cfg_HRS)</f>
        <v/>
      </c>
      <c r="P100" s="86" t="str">
        <f aca="false">IF($B100="","",SUMIFS('الحركات الشهرية'!$G$6:$G$1005,'الحركات الشهرية'!$B$6:$B$1005,$B100,'الحركات الشهرية'!$A$6:$A$1005,$C$3))</f>
        <v/>
      </c>
      <c r="Q100" s="86" t="str">
        <f aca="false">IF($B100="","",SUMIFS('الحركات الشهرية'!$H$6:$H$1005,'الحركات الشهرية'!$B$6:$B$1005,$B100,'الحركات الشهرية'!$A$6:$A$1005,$C$3))</f>
        <v/>
      </c>
      <c r="R100" s="106" t="str">
        <f aca="false">IF($B100="","",SUM(J100:M100)+SUM(O100:Q100))</f>
        <v/>
      </c>
      <c r="S100" s="86" t="str">
        <f aca="false">IF($B100="","",الموظفون!$Q100*IF(E100="سعودي",cfg_G_SE,cfg_G_NE)*F100/cfg_DAYS_M)</f>
        <v/>
      </c>
      <c r="T100" s="86" t="str">
        <f aca="false">IF($B100="","",SUMIFS('الحركات الشهرية'!$I$6:$I$1005,'الحركات الشهرية'!$B$6:$B$1005,$B100,'الحركات الشهرية'!$A$6:$A$1005,$C$3))</f>
        <v/>
      </c>
      <c r="U100" s="86" t="str">
        <f aca="false">IF($B100="","",SUMIFS('الحركات الشهرية'!$J$6:$J$1005,'الحركات الشهرية'!$B$6:$B$1005,$B100,'الحركات الشهرية'!$A$6:$A$1005,$C$3))</f>
        <v/>
      </c>
      <c r="V100" s="86" t="str">
        <f aca="false">IF($B100="","",SUM(S100:U100))</f>
        <v/>
      </c>
      <c r="W100" s="107" t="str">
        <f aca="false">IF($B100="","",R100-V100)</f>
        <v/>
      </c>
      <c r="X100" s="86" t="str">
        <f aca="false">IF($B100="","",الموظفون!$Q100*IF(E100="سعودي",cfg_G_SR,cfg_G_NR)*F100/cfg_DAYS_M)</f>
        <v/>
      </c>
      <c r="Y100" s="86" t="str">
        <f aca="false">IF($B100="","",الموظفون!$O100*(cfg_EOS_R1*(MIN(AC100,cfg_EOS_TH)-MIN(AD100,cfg_EOS_TH))+cfg_EOS_R2*(MAX(AC100-cfg_EOS_TH,0)-MAX(AD100-cfg_EOS_TH,0))))</f>
        <v/>
      </c>
      <c r="Z100" s="86" t="str">
        <f aca="false">IF($B100="","",IF(الموظفون!$R100&lt;&gt;"",الموظفون!$R100,IF(AC100&gt;=cfg_LV_TH,cfg_LV_D2,cfg_LV_D1))/cfg_DAYS_Y*AE100*الموظفون!$P100/cfg_DAYS_M)</f>
        <v/>
      </c>
      <c r="AA100" s="86" t="str">
        <f aca="false">IF($B100="","",IF(AND(الموظفون!$S100="نعم",N(الموظفون!$U100)&gt;0),الموظفون!$T100/الموظفون!$U100*12/cfg_DAYS_Y*AE100,0))</f>
        <v/>
      </c>
      <c r="AB100" s="108" t="str">
        <f aca="false">IF($B100="","",R100+SUM(X100:AA100))</f>
        <v/>
      </c>
      <c r="AC100" s="109" t="str">
        <f aca="false">IF($B100="","",MAX(0,IF(OR(الموظفون!$X100="",الموظفون!$X100&gt;$G$3),$G$3,الموظفون!$X100)-الموظفون!$H100+1)/cfg_DAYS_Y)</f>
        <v/>
      </c>
      <c r="AD100" s="109" t="str">
        <f aca="false">IF($B100="","",MAX(0,IF(OR(الموظفون!$X100="",الموظفون!$X100&gt;($E$3-1)),($E$3-1),الموظفون!$X100)-الموظفون!$H100+1)/cfg_DAYS_Y)</f>
        <v/>
      </c>
      <c r="AE100" s="51" t="str">
        <f aca="false">IF($B100="","",MAX(0,IF(OR(الموظفون!$X100="",الموظفون!$X100&gt;$G$3),$G$3,الموظفون!$X100)-MAX($E$3,الموظفون!$H100)+1))</f>
        <v/>
      </c>
    </row>
    <row r="101" customFormat="false" ht="15" hidden="false" customHeight="false" outlineLevel="0" collapsed="false">
      <c r="A101" s="89" t="str">
        <f aca="false">IF($B101="","",الموظفون!$A101)</f>
        <v/>
      </c>
      <c r="B101" s="91" t="str">
        <f aca="false">IF(الموظفون!$B101="","",الموظفون!$B101)</f>
        <v/>
      </c>
      <c r="C101" s="91" t="str">
        <f aca="false">IF($B101="","",الموظفون!$C101)</f>
        <v/>
      </c>
      <c r="D101" s="91" t="str">
        <f aca="false">IF($B101="","",الموظفون!$F101)</f>
        <v/>
      </c>
      <c r="E101" s="91" t="str">
        <f aca="false">IF($B101="","",الموظفون!$E101)</f>
        <v/>
      </c>
      <c r="F101" s="110" t="str">
        <f aca="false">IF($B101="","",IF(AE101&gt;=DAY($G$3),cfg_DAYS_M,MIN(AE101,cfg_DAYS_M)))</f>
        <v/>
      </c>
      <c r="G101" s="110" t="str">
        <f aca="false">IF($B101="","",SUMIFS('الحركات الشهرية'!$D$6:$D$1005,'الحركات الشهرية'!$B$6:$B$1005,$B101,'الحركات الشهرية'!$A$6:$A$1005,$C$3))</f>
        <v/>
      </c>
      <c r="H101" s="110" t="str">
        <f aca="false">IF($B101="","",SUMIFS('الحركات الشهرية'!$E$6:$E$1005,'الحركات الشهرية'!$B$6:$B$1005,$B101,'الحركات الشهرية'!$A$6:$A$1005,$C$3))</f>
        <v/>
      </c>
      <c r="I101" s="110" t="str">
        <f aca="false">IF($B101="","",MAX(0,F101-G101-H101))</f>
        <v/>
      </c>
      <c r="J101" s="90" t="str">
        <f aca="false">IF($B101="","",الموظفون!$J101*$I101/cfg_DAYS_M)</f>
        <v/>
      </c>
      <c r="K101" s="90" t="str">
        <f aca="false">IF($B101="","",الموظفون!$K101*$I101/cfg_DAYS_M)</f>
        <v/>
      </c>
      <c r="L101" s="90" t="str">
        <f aca="false">IF($B101="","",الموظفون!$L101*$I101/cfg_DAYS_M)</f>
        <v/>
      </c>
      <c r="M101" s="90" t="str">
        <f aca="false">IF($B101="","",الموظفون!$M101*$I101/cfg_DAYS_M)</f>
        <v/>
      </c>
      <c r="N101" s="110" t="str">
        <f aca="false">IF($B101="","",SUMIFS('الحركات الشهرية'!$F$6:$F$1005,'الحركات الشهرية'!$B$6:$B$1005,$B101,'الحركات الشهرية'!$A$6:$A$1005,$C$3))</f>
        <v/>
      </c>
      <c r="O101" s="90" t="str">
        <f aca="false">IF($B101="","",N101*(الموظفون!$N101+الموظفون!$J101*cfg_OT_P)/cfg_DAYS_M/cfg_HRS)</f>
        <v/>
      </c>
      <c r="P101" s="90" t="str">
        <f aca="false">IF($B101="","",SUMIFS('الحركات الشهرية'!$G$6:$G$1005,'الحركات الشهرية'!$B$6:$B$1005,$B101,'الحركات الشهرية'!$A$6:$A$1005,$C$3))</f>
        <v/>
      </c>
      <c r="Q101" s="90" t="str">
        <f aca="false">IF($B101="","",SUMIFS('الحركات الشهرية'!$H$6:$H$1005,'الحركات الشهرية'!$B$6:$B$1005,$B101,'الحركات الشهرية'!$A$6:$A$1005,$C$3))</f>
        <v/>
      </c>
      <c r="R101" s="111" t="str">
        <f aca="false">IF($B101="","",SUM(J101:M101)+SUM(O101:Q101))</f>
        <v/>
      </c>
      <c r="S101" s="90" t="str">
        <f aca="false">IF($B101="","",الموظفون!$Q101*IF(E101="سعودي",cfg_G_SE,cfg_G_NE)*F101/cfg_DAYS_M)</f>
        <v/>
      </c>
      <c r="T101" s="90" t="str">
        <f aca="false">IF($B101="","",SUMIFS('الحركات الشهرية'!$I$6:$I$1005,'الحركات الشهرية'!$B$6:$B$1005,$B101,'الحركات الشهرية'!$A$6:$A$1005,$C$3))</f>
        <v/>
      </c>
      <c r="U101" s="90" t="str">
        <f aca="false">IF($B101="","",SUMIFS('الحركات الشهرية'!$J$6:$J$1005,'الحركات الشهرية'!$B$6:$B$1005,$B101,'الحركات الشهرية'!$A$6:$A$1005,$C$3))</f>
        <v/>
      </c>
      <c r="V101" s="90" t="str">
        <f aca="false">IF($B101="","",SUM(S101:U101))</f>
        <v/>
      </c>
      <c r="W101" s="112" t="str">
        <f aca="false">IF($B101="","",R101-V101)</f>
        <v/>
      </c>
      <c r="X101" s="90" t="str">
        <f aca="false">IF($B101="","",الموظفون!$Q101*IF(E101="سعودي",cfg_G_SR,cfg_G_NR)*F101/cfg_DAYS_M)</f>
        <v/>
      </c>
      <c r="Y101" s="90" t="str">
        <f aca="false">IF($B101="","",الموظفون!$O101*(cfg_EOS_R1*(MIN(AC101,cfg_EOS_TH)-MIN(AD101,cfg_EOS_TH))+cfg_EOS_R2*(MAX(AC101-cfg_EOS_TH,0)-MAX(AD101-cfg_EOS_TH,0))))</f>
        <v/>
      </c>
      <c r="Z101" s="90" t="str">
        <f aca="false">IF($B101="","",IF(الموظفون!$R101&lt;&gt;"",الموظفون!$R101,IF(AC101&gt;=cfg_LV_TH,cfg_LV_D2,cfg_LV_D1))/cfg_DAYS_Y*AE101*الموظفون!$P101/cfg_DAYS_M)</f>
        <v/>
      </c>
      <c r="AA101" s="90" t="str">
        <f aca="false">IF($B101="","",IF(AND(الموظفون!$S101="نعم",N(الموظفون!$U101)&gt;0),الموظفون!$T101/الموظفون!$U101*12/cfg_DAYS_Y*AE101,0))</f>
        <v/>
      </c>
      <c r="AB101" s="113" t="str">
        <f aca="false">IF($B101="","",R101+SUM(X101:AA101))</f>
        <v/>
      </c>
      <c r="AC101" s="114" t="str">
        <f aca="false">IF($B101="","",MAX(0,IF(OR(الموظفون!$X101="",الموظفون!$X101&gt;$G$3),$G$3,الموظفون!$X101)-الموظفون!$H101+1)/cfg_DAYS_Y)</f>
        <v/>
      </c>
      <c r="AD101" s="114" t="str">
        <f aca="false">IF($B101="","",MAX(0,IF(OR(الموظفون!$X101="",الموظفون!$X101&gt;($E$3-1)),($E$3-1),الموظفون!$X101)-الموظفون!$H101+1)/cfg_DAYS_Y)</f>
        <v/>
      </c>
      <c r="AE101" s="115" t="str">
        <f aca="false">IF($B101="","",MAX(0,IF(OR(الموظفون!$X101="",الموظفون!$X101&gt;$G$3),$G$3,الموظفون!$X101)-MAX($E$3,الموظفون!$H101)+1))</f>
        <v/>
      </c>
    </row>
    <row r="102" customFormat="false" ht="15" hidden="false" customHeight="false" outlineLevel="0" collapsed="false">
      <c r="A102" s="83" t="str">
        <f aca="false">IF($B102="","",الموظفون!$A102)</f>
        <v/>
      </c>
      <c r="B102" s="74" t="str">
        <f aca="false">IF(الموظفون!$B102="","",الموظفون!$B102)</f>
        <v/>
      </c>
      <c r="C102" s="74" t="str">
        <f aca="false">IF($B102="","",الموظفون!$C102)</f>
        <v/>
      </c>
      <c r="D102" s="74" t="str">
        <f aca="false">IF($B102="","",الموظفون!$F102)</f>
        <v/>
      </c>
      <c r="E102" s="74" t="str">
        <f aca="false">IF($B102="","",الموظفون!$E102)</f>
        <v/>
      </c>
      <c r="F102" s="105" t="str">
        <f aca="false">IF($B102="","",IF(AE102&gt;=DAY($G$3),cfg_DAYS_M,MIN(AE102,cfg_DAYS_M)))</f>
        <v/>
      </c>
      <c r="G102" s="105" t="str">
        <f aca="false">IF($B102="","",SUMIFS('الحركات الشهرية'!$D$6:$D$1005,'الحركات الشهرية'!$B$6:$B$1005,$B102,'الحركات الشهرية'!$A$6:$A$1005,$C$3))</f>
        <v/>
      </c>
      <c r="H102" s="105" t="str">
        <f aca="false">IF($B102="","",SUMIFS('الحركات الشهرية'!$E$6:$E$1005,'الحركات الشهرية'!$B$6:$B$1005,$B102,'الحركات الشهرية'!$A$6:$A$1005,$C$3))</f>
        <v/>
      </c>
      <c r="I102" s="105" t="str">
        <f aca="false">IF($B102="","",MAX(0,F102-G102-H102))</f>
        <v/>
      </c>
      <c r="J102" s="86" t="str">
        <f aca="false">IF($B102="","",الموظفون!$J102*$I102/cfg_DAYS_M)</f>
        <v/>
      </c>
      <c r="K102" s="86" t="str">
        <f aca="false">IF($B102="","",الموظفون!$K102*$I102/cfg_DAYS_M)</f>
        <v/>
      </c>
      <c r="L102" s="86" t="str">
        <f aca="false">IF($B102="","",الموظفون!$L102*$I102/cfg_DAYS_M)</f>
        <v/>
      </c>
      <c r="M102" s="86" t="str">
        <f aca="false">IF($B102="","",الموظفون!$M102*$I102/cfg_DAYS_M)</f>
        <v/>
      </c>
      <c r="N102" s="105" t="str">
        <f aca="false">IF($B102="","",SUMIFS('الحركات الشهرية'!$F$6:$F$1005,'الحركات الشهرية'!$B$6:$B$1005,$B102,'الحركات الشهرية'!$A$6:$A$1005,$C$3))</f>
        <v/>
      </c>
      <c r="O102" s="86" t="str">
        <f aca="false">IF($B102="","",N102*(الموظفون!$N102+الموظفون!$J102*cfg_OT_P)/cfg_DAYS_M/cfg_HRS)</f>
        <v/>
      </c>
      <c r="P102" s="86" t="str">
        <f aca="false">IF($B102="","",SUMIFS('الحركات الشهرية'!$G$6:$G$1005,'الحركات الشهرية'!$B$6:$B$1005,$B102,'الحركات الشهرية'!$A$6:$A$1005,$C$3))</f>
        <v/>
      </c>
      <c r="Q102" s="86" t="str">
        <f aca="false">IF($B102="","",SUMIFS('الحركات الشهرية'!$H$6:$H$1005,'الحركات الشهرية'!$B$6:$B$1005,$B102,'الحركات الشهرية'!$A$6:$A$1005,$C$3))</f>
        <v/>
      </c>
      <c r="R102" s="106" t="str">
        <f aca="false">IF($B102="","",SUM(J102:M102)+SUM(O102:Q102))</f>
        <v/>
      </c>
      <c r="S102" s="86" t="str">
        <f aca="false">IF($B102="","",الموظفون!$Q102*IF(E102="سعودي",cfg_G_SE,cfg_G_NE)*F102/cfg_DAYS_M)</f>
        <v/>
      </c>
      <c r="T102" s="86" t="str">
        <f aca="false">IF($B102="","",SUMIFS('الحركات الشهرية'!$I$6:$I$1005,'الحركات الشهرية'!$B$6:$B$1005,$B102,'الحركات الشهرية'!$A$6:$A$1005,$C$3))</f>
        <v/>
      </c>
      <c r="U102" s="86" t="str">
        <f aca="false">IF($B102="","",SUMIFS('الحركات الشهرية'!$J$6:$J$1005,'الحركات الشهرية'!$B$6:$B$1005,$B102,'الحركات الشهرية'!$A$6:$A$1005,$C$3))</f>
        <v/>
      </c>
      <c r="V102" s="86" t="str">
        <f aca="false">IF($B102="","",SUM(S102:U102))</f>
        <v/>
      </c>
      <c r="W102" s="107" t="str">
        <f aca="false">IF($B102="","",R102-V102)</f>
        <v/>
      </c>
      <c r="X102" s="86" t="str">
        <f aca="false">IF($B102="","",الموظفون!$Q102*IF(E102="سعودي",cfg_G_SR,cfg_G_NR)*F102/cfg_DAYS_M)</f>
        <v/>
      </c>
      <c r="Y102" s="86" t="str">
        <f aca="false">IF($B102="","",الموظفون!$O102*(cfg_EOS_R1*(MIN(AC102,cfg_EOS_TH)-MIN(AD102,cfg_EOS_TH))+cfg_EOS_R2*(MAX(AC102-cfg_EOS_TH,0)-MAX(AD102-cfg_EOS_TH,0))))</f>
        <v/>
      </c>
      <c r="Z102" s="86" t="str">
        <f aca="false">IF($B102="","",IF(الموظفون!$R102&lt;&gt;"",الموظفون!$R102,IF(AC102&gt;=cfg_LV_TH,cfg_LV_D2,cfg_LV_D1))/cfg_DAYS_Y*AE102*الموظفون!$P102/cfg_DAYS_M)</f>
        <v/>
      </c>
      <c r="AA102" s="86" t="str">
        <f aca="false">IF($B102="","",IF(AND(الموظفون!$S102="نعم",N(الموظفون!$U102)&gt;0),الموظفون!$T102/الموظفون!$U102*12/cfg_DAYS_Y*AE102,0))</f>
        <v/>
      </c>
      <c r="AB102" s="108" t="str">
        <f aca="false">IF($B102="","",R102+SUM(X102:AA102))</f>
        <v/>
      </c>
      <c r="AC102" s="109" t="str">
        <f aca="false">IF($B102="","",MAX(0,IF(OR(الموظفون!$X102="",الموظفون!$X102&gt;$G$3),$G$3,الموظفون!$X102)-الموظفون!$H102+1)/cfg_DAYS_Y)</f>
        <v/>
      </c>
      <c r="AD102" s="109" t="str">
        <f aca="false">IF($B102="","",MAX(0,IF(OR(الموظفون!$X102="",الموظفون!$X102&gt;($E$3-1)),($E$3-1),الموظفون!$X102)-الموظفون!$H102+1)/cfg_DAYS_Y)</f>
        <v/>
      </c>
      <c r="AE102" s="51" t="str">
        <f aca="false">IF($B102="","",MAX(0,IF(OR(الموظفون!$X102="",الموظفون!$X102&gt;$G$3),$G$3,الموظفون!$X102)-MAX($E$3,الموظفون!$H102)+1))</f>
        <v/>
      </c>
    </row>
    <row r="103" customFormat="false" ht="15" hidden="false" customHeight="false" outlineLevel="0" collapsed="false">
      <c r="A103" s="89" t="str">
        <f aca="false">IF($B103="","",الموظفون!$A103)</f>
        <v/>
      </c>
      <c r="B103" s="91" t="str">
        <f aca="false">IF(الموظفون!$B103="","",الموظفون!$B103)</f>
        <v/>
      </c>
      <c r="C103" s="91" t="str">
        <f aca="false">IF($B103="","",الموظفون!$C103)</f>
        <v/>
      </c>
      <c r="D103" s="91" t="str">
        <f aca="false">IF($B103="","",الموظفون!$F103)</f>
        <v/>
      </c>
      <c r="E103" s="91" t="str">
        <f aca="false">IF($B103="","",الموظفون!$E103)</f>
        <v/>
      </c>
      <c r="F103" s="110" t="str">
        <f aca="false">IF($B103="","",IF(AE103&gt;=DAY($G$3),cfg_DAYS_M,MIN(AE103,cfg_DAYS_M)))</f>
        <v/>
      </c>
      <c r="G103" s="110" t="str">
        <f aca="false">IF($B103="","",SUMIFS('الحركات الشهرية'!$D$6:$D$1005,'الحركات الشهرية'!$B$6:$B$1005,$B103,'الحركات الشهرية'!$A$6:$A$1005,$C$3))</f>
        <v/>
      </c>
      <c r="H103" s="110" t="str">
        <f aca="false">IF($B103="","",SUMIFS('الحركات الشهرية'!$E$6:$E$1005,'الحركات الشهرية'!$B$6:$B$1005,$B103,'الحركات الشهرية'!$A$6:$A$1005,$C$3))</f>
        <v/>
      </c>
      <c r="I103" s="110" t="str">
        <f aca="false">IF($B103="","",MAX(0,F103-G103-H103))</f>
        <v/>
      </c>
      <c r="J103" s="90" t="str">
        <f aca="false">IF($B103="","",الموظفون!$J103*$I103/cfg_DAYS_M)</f>
        <v/>
      </c>
      <c r="K103" s="90" t="str">
        <f aca="false">IF($B103="","",الموظفون!$K103*$I103/cfg_DAYS_M)</f>
        <v/>
      </c>
      <c r="L103" s="90" t="str">
        <f aca="false">IF($B103="","",الموظفون!$L103*$I103/cfg_DAYS_M)</f>
        <v/>
      </c>
      <c r="M103" s="90" t="str">
        <f aca="false">IF($B103="","",الموظفون!$M103*$I103/cfg_DAYS_M)</f>
        <v/>
      </c>
      <c r="N103" s="110" t="str">
        <f aca="false">IF($B103="","",SUMIFS('الحركات الشهرية'!$F$6:$F$1005,'الحركات الشهرية'!$B$6:$B$1005,$B103,'الحركات الشهرية'!$A$6:$A$1005,$C$3))</f>
        <v/>
      </c>
      <c r="O103" s="90" t="str">
        <f aca="false">IF($B103="","",N103*(الموظفون!$N103+الموظفون!$J103*cfg_OT_P)/cfg_DAYS_M/cfg_HRS)</f>
        <v/>
      </c>
      <c r="P103" s="90" t="str">
        <f aca="false">IF($B103="","",SUMIFS('الحركات الشهرية'!$G$6:$G$1005,'الحركات الشهرية'!$B$6:$B$1005,$B103,'الحركات الشهرية'!$A$6:$A$1005,$C$3))</f>
        <v/>
      </c>
      <c r="Q103" s="90" t="str">
        <f aca="false">IF($B103="","",SUMIFS('الحركات الشهرية'!$H$6:$H$1005,'الحركات الشهرية'!$B$6:$B$1005,$B103,'الحركات الشهرية'!$A$6:$A$1005,$C$3))</f>
        <v/>
      </c>
      <c r="R103" s="111" t="str">
        <f aca="false">IF($B103="","",SUM(J103:M103)+SUM(O103:Q103))</f>
        <v/>
      </c>
      <c r="S103" s="90" t="str">
        <f aca="false">IF($B103="","",الموظفون!$Q103*IF(E103="سعودي",cfg_G_SE,cfg_G_NE)*F103/cfg_DAYS_M)</f>
        <v/>
      </c>
      <c r="T103" s="90" t="str">
        <f aca="false">IF($B103="","",SUMIFS('الحركات الشهرية'!$I$6:$I$1005,'الحركات الشهرية'!$B$6:$B$1005,$B103,'الحركات الشهرية'!$A$6:$A$1005,$C$3))</f>
        <v/>
      </c>
      <c r="U103" s="90" t="str">
        <f aca="false">IF($B103="","",SUMIFS('الحركات الشهرية'!$J$6:$J$1005,'الحركات الشهرية'!$B$6:$B$1005,$B103,'الحركات الشهرية'!$A$6:$A$1005,$C$3))</f>
        <v/>
      </c>
      <c r="V103" s="90" t="str">
        <f aca="false">IF($B103="","",SUM(S103:U103))</f>
        <v/>
      </c>
      <c r="W103" s="112" t="str">
        <f aca="false">IF($B103="","",R103-V103)</f>
        <v/>
      </c>
      <c r="X103" s="90" t="str">
        <f aca="false">IF($B103="","",الموظفون!$Q103*IF(E103="سعودي",cfg_G_SR,cfg_G_NR)*F103/cfg_DAYS_M)</f>
        <v/>
      </c>
      <c r="Y103" s="90" t="str">
        <f aca="false">IF($B103="","",الموظفون!$O103*(cfg_EOS_R1*(MIN(AC103,cfg_EOS_TH)-MIN(AD103,cfg_EOS_TH))+cfg_EOS_R2*(MAX(AC103-cfg_EOS_TH,0)-MAX(AD103-cfg_EOS_TH,0))))</f>
        <v/>
      </c>
      <c r="Z103" s="90" t="str">
        <f aca="false">IF($B103="","",IF(الموظفون!$R103&lt;&gt;"",الموظفون!$R103,IF(AC103&gt;=cfg_LV_TH,cfg_LV_D2,cfg_LV_D1))/cfg_DAYS_Y*AE103*الموظفون!$P103/cfg_DAYS_M)</f>
        <v/>
      </c>
      <c r="AA103" s="90" t="str">
        <f aca="false">IF($B103="","",IF(AND(الموظفون!$S103="نعم",N(الموظفون!$U103)&gt;0),الموظفون!$T103/الموظفون!$U103*12/cfg_DAYS_Y*AE103,0))</f>
        <v/>
      </c>
      <c r="AB103" s="113" t="str">
        <f aca="false">IF($B103="","",R103+SUM(X103:AA103))</f>
        <v/>
      </c>
      <c r="AC103" s="114" t="str">
        <f aca="false">IF($B103="","",MAX(0,IF(OR(الموظفون!$X103="",الموظفون!$X103&gt;$G$3),$G$3,الموظفون!$X103)-الموظفون!$H103+1)/cfg_DAYS_Y)</f>
        <v/>
      </c>
      <c r="AD103" s="114" t="str">
        <f aca="false">IF($B103="","",MAX(0,IF(OR(الموظفون!$X103="",الموظفون!$X103&gt;($E$3-1)),($E$3-1),الموظفون!$X103)-الموظفون!$H103+1)/cfg_DAYS_Y)</f>
        <v/>
      </c>
      <c r="AE103" s="115" t="str">
        <f aca="false">IF($B103="","",MAX(0,IF(OR(الموظفون!$X103="",الموظفون!$X103&gt;$G$3),$G$3,الموظفون!$X103)-MAX($E$3,الموظفون!$H103)+1))</f>
        <v/>
      </c>
    </row>
    <row r="104" customFormat="false" ht="15" hidden="false" customHeight="false" outlineLevel="0" collapsed="false">
      <c r="A104" s="83" t="str">
        <f aca="false">IF($B104="","",الموظفون!$A104)</f>
        <v/>
      </c>
      <c r="B104" s="74" t="str">
        <f aca="false">IF(الموظفون!$B104="","",الموظفون!$B104)</f>
        <v/>
      </c>
      <c r="C104" s="74" t="str">
        <f aca="false">IF($B104="","",الموظفون!$C104)</f>
        <v/>
      </c>
      <c r="D104" s="74" t="str">
        <f aca="false">IF($B104="","",الموظفون!$F104)</f>
        <v/>
      </c>
      <c r="E104" s="74" t="str">
        <f aca="false">IF($B104="","",الموظفون!$E104)</f>
        <v/>
      </c>
      <c r="F104" s="105" t="str">
        <f aca="false">IF($B104="","",IF(AE104&gt;=DAY($G$3),cfg_DAYS_M,MIN(AE104,cfg_DAYS_M)))</f>
        <v/>
      </c>
      <c r="G104" s="105" t="str">
        <f aca="false">IF($B104="","",SUMIFS('الحركات الشهرية'!$D$6:$D$1005,'الحركات الشهرية'!$B$6:$B$1005,$B104,'الحركات الشهرية'!$A$6:$A$1005,$C$3))</f>
        <v/>
      </c>
      <c r="H104" s="105" t="str">
        <f aca="false">IF($B104="","",SUMIFS('الحركات الشهرية'!$E$6:$E$1005,'الحركات الشهرية'!$B$6:$B$1005,$B104,'الحركات الشهرية'!$A$6:$A$1005,$C$3))</f>
        <v/>
      </c>
      <c r="I104" s="105" t="str">
        <f aca="false">IF($B104="","",MAX(0,F104-G104-H104))</f>
        <v/>
      </c>
      <c r="J104" s="86" t="str">
        <f aca="false">IF($B104="","",الموظفون!$J104*$I104/cfg_DAYS_M)</f>
        <v/>
      </c>
      <c r="K104" s="86" t="str">
        <f aca="false">IF($B104="","",الموظفون!$K104*$I104/cfg_DAYS_M)</f>
        <v/>
      </c>
      <c r="L104" s="86" t="str">
        <f aca="false">IF($B104="","",الموظفون!$L104*$I104/cfg_DAYS_M)</f>
        <v/>
      </c>
      <c r="M104" s="86" t="str">
        <f aca="false">IF($B104="","",الموظفون!$M104*$I104/cfg_DAYS_M)</f>
        <v/>
      </c>
      <c r="N104" s="105" t="str">
        <f aca="false">IF($B104="","",SUMIFS('الحركات الشهرية'!$F$6:$F$1005,'الحركات الشهرية'!$B$6:$B$1005,$B104,'الحركات الشهرية'!$A$6:$A$1005,$C$3))</f>
        <v/>
      </c>
      <c r="O104" s="86" t="str">
        <f aca="false">IF($B104="","",N104*(الموظفون!$N104+الموظفون!$J104*cfg_OT_P)/cfg_DAYS_M/cfg_HRS)</f>
        <v/>
      </c>
      <c r="P104" s="86" t="str">
        <f aca="false">IF($B104="","",SUMIFS('الحركات الشهرية'!$G$6:$G$1005,'الحركات الشهرية'!$B$6:$B$1005,$B104,'الحركات الشهرية'!$A$6:$A$1005,$C$3))</f>
        <v/>
      </c>
      <c r="Q104" s="86" t="str">
        <f aca="false">IF($B104="","",SUMIFS('الحركات الشهرية'!$H$6:$H$1005,'الحركات الشهرية'!$B$6:$B$1005,$B104,'الحركات الشهرية'!$A$6:$A$1005,$C$3))</f>
        <v/>
      </c>
      <c r="R104" s="106" t="str">
        <f aca="false">IF($B104="","",SUM(J104:M104)+SUM(O104:Q104))</f>
        <v/>
      </c>
      <c r="S104" s="86" t="str">
        <f aca="false">IF($B104="","",الموظفون!$Q104*IF(E104="سعودي",cfg_G_SE,cfg_G_NE)*F104/cfg_DAYS_M)</f>
        <v/>
      </c>
      <c r="T104" s="86" t="str">
        <f aca="false">IF($B104="","",SUMIFS('الحركات الشهرية'!$I$6:$I$1005,'الحركات الشهرية'!$B$6:$B$1005,$B104,'الحركات الشهرية'!$A$6:$A$1005,$C$3))</f>
        <v/>
      </c>
      <c r="U104" s="86" t="str">
        <f aca="false">IF($B104="","",SUMIFS('الحركات الشهرية'!$J$6:$J$1005,'الحركات الشهرية'!$B$6:$B$1005,$B104,'الحركات الشهرية'!$A$6:$A$1005,$C$3))</f>
        <v/>
      </c>
      <c r="V104" s="86" t="str">
        <f aca="false">IF($B104="","",SUM(S104:U104))</f>
        <v/>
      </c>
      <c r="W104" s="107" t="str">
        <f aca="false">IF($B104="","",R104-V104)</f>
        <v/>
      </c>
      <c r="X104" s="86" t="str">
        <f aca="false">IF($B104="","",الموظفون!$Q104*IF(E104="سعودي",cfg_G_SR,cfg_G_NR)*F104/cfg_DAYS_M)</f>
        <v/>
      </c>
      <c r="Y104" s="86" t="str">
        <f aca="false">IF($B104="","",الموظفون!$O104*(cfg_EOS_R1*(MIN(AC104,cfg_EOS_TH)-MIN(AD104,cfg_EOS_TH))+cfg_EOS_R2*(MAX(AC104-cfg_EOS_TH,0)-MAX(AD104-cfg_EOS_TH,0))))</f>
        <v/>
      </c>
      <c r="Z104" s="86" t="str">
        <f aca="false">IF($B104="","",IF(الموظفون!$R104&lt;&gt;"",الموظفون!$R104,IF(AC104&gt;=cfg_LV_TH,cfg_LV_D2,cfg_LV_D1))/cfg_DAYS_Y*AE104*الموظفون!$P104/cfg_DAYS_M)</f>
        <v/>
      </c>
      <c r="AA104" s="86" t="str">
        <f aca="false">IF($B104="","",IF(AND(الموظفون!$S104="نعم",N(الموظفون!$U104)&gt;0),الموظفون!$T104/الموظفون!$U104*12/cfg_DAYS_Y*AE104,0))</f>
        <v/>
      </c>
      <c r="AB104" s="108" t="str">
        <f aca="false">IF($B104="","",R104+SUM(X104:AA104))</f>
        <v/>
      </c>
      <c r="AC104" s="109" t="str">
        <f aca="false">IF($B104="","",MAX(0,IF(OR(الموظفون!$X104="",الموظفون!$X104&gt;$G$3),$G$3,الموظفون!$X104)-الموظفون!$H104+1)/cfg_DAYS_Y)</f>
        <v/>
      </c>
      <c r="AD104" s="109" t="str">
        <f aca="false">IF($B104="","",MAX(0,IF(OR(الموظفون!$X104="",الموظفون!$X104&gt;($E$3-1)),($E$3-1),الموظفون!$X104)-الموظفون!$H104+1)/cfg_DAYS_Y)</f>
        <v/>
      </c>
      <c r="AE104" s="51" t="str">
        <f aca="false">IF($B104="","",MAX(0,IF(OR(الموظفون!$X104="",الموظفون!$X104&gt;$G$3),$G$3,الموظفون!$X104)-MAX($E$3,الموظفون!$H104)+1))</f>
        <v/>
      </c>
    </row>
    <row r="105" customFormat="false" ht="15" hidden="false" customHeight="false" outlineLevel="0" collapsed="false">
      <c r="A105" s="89" t="str">
        <f aca="false">IF($B105="","",الموظفون!$A105)</f>
        <v/>
      </c>
      <c r="B105" s="91" t="str">
        <f aca="false">IF(الموظفون!$B105="","",الموظفون!$B105)</f>
        <v/>
      </c>
      <c r="C105" s="91" t="str">
        <f aca="false">IF($B105="","",الموظفون!$C105)</f>
        <v/>
      </c>
      <c r="D105" s="91" t="str">
        <f aca="false">IF($B105="","",الموظفون!$F105)</f>
        <v/>
      </c>
      <c r="E105" s="91" t="str">
        <f aca="false">IF($B105="","",الموظفون!$E105)</f>
        <v/>
      </c>
      <c r="F105" s="110" t="str">
        <f aca="false">IF($B105="","",IF(AE105&gt;=DAY($G$3),cfg_DAYS_M,MIN(AE105,cfg_DAYS_M)))</f>
        <v/>
      </c>
      <c r="G105" s="110" t="str">
        <f aca="false">IF($B105="","",SUMIFS('الحركات الشهرية'!$D$6:$D$1005,'الحركات الشهرية'!$B$6:$B$1005,$B105,'الحركات الشهرية'!$A$6:$A$1005,$C$3))</f>
        <v/>
      </c>
      <c r="H105" s="110" t="str">
        <f aca="false">IF($B105="","",SUMIFS('الحركات الشهرية'!$E$6:$E$1005,'الحركات الشهرية'!$B$6:$B$1005,$B105,'الحركات الشهرية'!$A$6:$A$1005,$C$3))</f>
        <v/>
      </c>
      <c r="I105" s="110" t="str">
        <f aca="false">IF($B105="","",MAX(0,F105-G105-H105))</f>
        <v/>
      </c>
      <c r="J105" s="90" t="str">
        <f aca="false">IF($B105="","",الموظفون!$J105*$I105/cfg_DAYS_M)</f>
        <v/>
      </c>
      <c r="K105" s="90" t="str">
        <f aca="false">IF($B105="","",الموظفون!$K105*$I105/cfg_DAYS_M)</f>
        <v/>
      </c>
      <c r="L105" s="90" t="str">
        <f aca="false">IF($B105="","",الموظفون!$L105*$I105/cfg_DAYS_M)</f>
        <v/>
      </c>
      <c r="M105" s="90" t="str">
        <f aca="false">IF($B105="","",الموظفون!$M105*$I105/cfg_DAYS_M)</f>
        <v/>
      </c>
      <c r="N105" s="110" t="str">
        <f aca="false">IF($B105="","",SUMIFS('الحركات الشهرية'!$F$6:$F$1005,'الحركات الشهرية'!$B$6:$B$1005,$B105,'الحركات الشهرية'!$A$6:$A$1005,$C$3))</f>
        <v/>
      </c>
      <c r="O105" s="90" t="str">
        <f aca="false">IF($B105="","",N105*(الموظفون!$N105+الموظفون!$J105*cfg_OT_P)/cfg_DAYS_M/cfg_HRS)</f>
        <v/>
      </c>
      <c r="P105" s="90" t="str">
        <f aca="false">IF($B105="","",SUMIFS('الحركات الشهرية'!$G$6:$G$1005,'الحركات الشهرية'!$B$6:$B$1005,$B105,'الحركات الشهرية'!$A$6:$A$1005,$C$3))</f>
        <v/>
      </c>
      <c r="Q105" s="90" t="str">
        <f aca="false">IF($B105="","",SUMIFS('الحركات الشهرية'!$H$6:$H$1005,'الحركات الشهرية'!$B$6:$B$1005,$B105,'الحركات الشهرية'!$A$6:$A$1005,$C$3))</f>
        <v/>
      </c>
      <c r="R105" s="111" t="str">
        <f aca="false">IF($B105="","",SUM(J105:M105)+SUM(O105:Q105))</f>
        <v/>
      </c>
      <c r="S105" s="90" t="str">
        <f aca="false">IF($B105="","",الموظفون!$Q105*IF(E105="سعودي",cfg_G_SE,cfg_G_NE)*F105/cfg_DAYS_M)</f>
        <v/>
      </c>
      <c r="T105" s="90" t="str">
        <f aca="false">IF($B105="","",SUMIFS('الحركات الشهرية'!$I$6:$I$1005,'الحركات الشهرية'!$B$6:$B$1005,$B105,'الحركات الشهرية'!$A$6:$A$1005,$C$3))</f>
        <v/>
      </c>
      <c r="U105" s="90" t="str">
        <f aca="false">IF($B105="","",SUMIFS('الحركات الشهرية'!$J$6:$J$1005,'الحركات الشهرية'!$B$6:$B$1005,$B105,'الحركات الشهرية'!$A$6:$A$1005,$C$3))</f>
        <v/>
      </c>
      <c r="V105" s="90" t="str">
        <f aca="false">IF($B105="","",SUM(S105:U105))</f>
        <v/>
      </c>
      <c r="W105" s="112" t="str">
        <f aca="false">IF($B105="","",R105-V105)</f>
        <v/>
      </c>
      <c r="X105" s="90" t="str">
        <f aca="false">IF($B105="","",الموظفون!$Q105*IF(E105="سعودي",cfg_G_SR,cfg_G_NR)*F105/cfg_DAYS_M)</f>
        <v/>
      </c>
      <c r="Y105" s="90" t="str">
        <f aca="false">IF($B105="","",الموظفون!$O105*(cfg_EOS_R1*(MIN(AC105,cfg_EOS_TH)-MIN(AD105,cfg_EOS_TH))+cfg_EOS_R2*(MAX(AC105-cfg_EOS_TH,0)-MAX(AD105-cfg_EOS_TH,0))))</f>
        <v/>
      </c>
      <c r="Z105" s="90" t="str">
        <f aca="false">IF($B105="","",IF(الموظفون!$R105&lt;&gt;"",الموظفون!$R105,IF(AC105&gt;=cfg_LV_TH,cfg_LV_D2,cfg_LV_D1))/cfg_DAYS_Y*AE105*الموظفون!$P105/cfg_DAYS_M)</f>
        <v/>
      </c>
      <c r="AA105" s="90" t="str">
        <f aca="false">IF($B105="","",IF(AND(الموظفون!$S105="نعم",N(الموظفون!$U105)&gt;0),الموظفون!$T105/الموظفون!$U105*12/cfg_DAYS_Y*AE105,0))</f>
        <v/>
      </c>
      <c r="AB105" s="113" t="str">
        <f aca="false">IF($B105="","",R105+SUM(X105:AA105))</f>
        <v/>
      </c>
      <c r="AC105" s="114" t="str">
        <f aca="false">IF($B105="","",MAX(0,IF(OR(الموظفون!$X105="",الموظفون!$X105&gt;$G$3),$G$3,الموظفون!$X105)-الموظفون!$H105+1)/cfg_DAYS_Y)</f>
        <v/>
      </c>
      <c r="AD105" s="114" t="str">
        <f aca="false">IF($B105="","",MAX(0,IF(OR(الموظفون!$X105="",الموظفون!$X105&gt;($E$3-1)),($E$3-1),الموظفون!$X105)-الموظفون!$H105+1)/cfg_DAYS_Y)</f>
        <v/>
      </c>
      <c r="AE105" s="115" t="str">
        <f aca="false">IF($B105="","",MAX(0,IF(OR(الموظفون!$X105="",الموظفون!$X105&gt;$G$3),$G$3,الموظفون!$X105)-MAX($E$3,الموظفون!$H105)+1))</f>
        <v/>
      </c>
    </row>
    <row r="106" customFormat="false" ht="24" hidden="false" customHeight="true" outlineLevel="0" collapsed="false">
      <c r="A106" s="92"/>
      <c r="B106" s="92" t="str">
        <f aca="false">COUNTIF(F6:F105,"&gt;0")&amp;" موظف"</f>
        <v>11 موظف</v>
      </c>
      <c r="C106" s="92" t="s">
        <v>101</v>
      </c>
      <c r="D106" s="92"/>
      <c r="E106" s="92"/>
      <c r="F106" s="92"/>
      <c r="G106" s="116" t="n">
        <f aca="false">SUM(G6:G105)</f>
        <v>0</v>
      </c>
      <c r="H106" s="116" t="n">
        <f aca="false">SUM(H6:H105)</f>
        <v>0</v>
      </c>
      <c r="I106" s="116" t="n">
        <f aca="false">SUM(I6:I105)</f>
        <v>330</v>
      </c>
      <c r="J106" s="92" t="n">
        <f aca="false">SUM(J6:J105)</f>
        <v>136500</v>
      </c>
      <c r="K106" s="92" t="n">
        <f aca="false">SUM(K6:K105)</f>
        <v>34125</v>
      </c>
      <c r="L106" s="92" t="n">
        <f aca="false">SUM(L6:L105)</f>
        <v>13650</v>
      </c>
      <c r="M106" s="92" t="n">
        <f aca="false">SUM(M6:M105)</f>
        <v>10300</v>
      </c>
      <c r="N106" s="116" t="n">
        <f aca="false">SUM(N6:N105)</f>
        <v>0</v>
      </c>
      <c r="O106" s="92" t="n">
        <f aca="false">SUM(O6:O105)</f>
        <v>0</v>
      </c>
      <c r="P106" s="92" t="n">
        <f aca="false">SUM(P6:P105)</f>
        <v>0</v>
      </c>
      <c r="Q106" s="92" t="n">
        <f aca="false">SUM(Q6:Q105)</f>
        <v>0</v>
      </c>
      <c r="R106" s="92" t="n">
        <f aca="false">SUM(R6:R105)</f>
        <v>194575</v>
      </c>
      <c r="S106" s="92" t="n">
        <f aca="false">SUM(S6:S105)</f>
        <v>12370.3125</v>
      </c>
      <c r="T106" s="92" t="n">
        <f aca="false">SUM(T6:T105)</f>
        <v>0</v>
      </c>
      <c r="U106" s="92" t="n">
        <f aca="false">SUM(U6:U105)</f>
        <v>0</v>
      </c>
      <c r="V106" s="92" t="n">
        <f aca="false">SUM(V6:V105)</f>
        <v>12370.3125</v>
      </c>
      <c r="W106" s="92" t="n">
        <f aca="false">SUM(W6:W105)</f>
        <v>182204.6875</v>
      </c>
      <c r="X106" s="92" t="n">
        <f aca="false">SUM(X6:X105)</f>
        <v>15782.8125</v>
      </c>
      <c r="Y106" s="92" t="n">
        <f aca="false">SUM(Y6:Y105)</f>
        <v>13564.7260273973</v>
      </c>
      <c r="Z106" s="92" t="n">
        <f aca="false">SUM(Z6:Z105)</f>
        <v>14197.1917808219</v>
      </c>
      <c r="AA106" s="92" t="n">
        <f aca="false">SUM(AA6:AA105)</f>
        <v>821.917808219178</v>
      </c>
      <c r="AB106" s="92" t="n">
        <f aca="false">SUM(AB6:AB105)</f>
        <v>238941.648116438</v>
      </c>
      <c r="AC106" s="92"/>
      <c r="AD106" s="92"/>
      <c r="AE106" s="92"/>
    </row>
    <row r="107" customFormat="false" ht="43.5" hidden="false" customHeight="true" outlineLevel="0" collapsed="false">
      <c r="A107" s="21" t="s">
        <v>347</v>
      </c>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row>
  </sheetData>
  <autoFilter ref="A5:AE105"/>
  <mergeCells count="5">
    <mergeCell ref="A1:AB1"/>
    <mergeCell ref="A2:AB2"/>
    <mergeCell ref="J3:K3"/>
    <mergeCell ref="L3:M3"/>
    <mergeCell ref="A107:AE107"/>
  </mergeCells>
  <conditionalFormatting sqref="H3">
    <cfRule type="expression" priority="2" aboveAverage="0" equalAverage="0" bottom="0" percent="0" rank="0" text="" dxfId="0">
      <formula>ISNUMBER(SEARCH("✔",H3))</formula>
    </cfRule>
    <cfRule type="expression" priority="3" aboveAverage="0" equalAverage="0" bottom="0" percent="0" rank="0" text="" dxfId="1">
      <formula>ISNUMBER(SEARCH("✖",H3))</formula>
    </cfRule>
    <cfRule type="expression" priority="4" aboveAverage="0" equalAverage="0" bottom="0" percent="0" rank="0" text="" dxfId="2">
      <formula>ISNUMBER(SEARCH("⚠",H3))</formula>
    </cfRule>
  </conditionalFormatting>
  <conditionalFormatting sqref="A6:AE105">
    <cfRule type="expression" priority="5" aboveAverage="0" equalAverage="0" bottom="0" percent="0" rank="0" text="" dxfId="20">
      <formula>AND($B6&lt;&gt;"",$F6=0)</formula>
    </cfRule>
  </conditionalFormatting>
  <conditionalFormatting sqref="W6:W105">
    <cfRule type="expression" priority="6" aboveAverage="0" equalAverage="0" bottom="0" percent="0" rank="0" text="" dxfId="1">
      <formula>AND(ISNUMBER(W6),W6&lt;0)</formula>
    </cfRule>
  </conditionalFormatting>
  <hyperlinks>
    <hyperlink ref="J3" location="'مسير أكتوبر'!A1" display="◀ الشهر السابق"/>
    <hyperlink ref="L3" location="'مسير ديسمبر'!A1" display="الشهر التالي ▶"/>
    <hyperlink ref="O3" location="'الرئيسية'!A1" display="🏠 الرئيسية"/>
    <hyperlink ref="P3" location="'لوحة التحكم'!A1" display="📊 لوحة التحكم"/>
    <hyperlink ref="R3" location="'الموظفون'!A1" display="👥 الموظفون"/>
    <hyperlink ref="S3" location="'الحركات الشهرية'!A1" display="✍ الحركات"/>
    <hyperlink ref="U3" location="'الملخص الشهري'!A1" display="📅 الملخص الشهري"/>
    <hyperlink ref="W3" location="'قيود الرواتب'!A1" display="🧾 القيود"/>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5621"/>
    <pageSetUpPr fitToPage="true"/>
  </sheetPr>
  <dimension ref="A1:AE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24"/>
    <col collapsed="false" customWidth="true" hidden="false" outlineLevel="0" max="4" min="4" style="0" width="14"/>
    <col collapsed="false" customWidth="true" hidden="false" outlineLevel="0" max="5" min="5" style="0" width="10"/>
    <col collapsed="false" customWidth="true" hidden="false" outlineLevel="0" max="6" min="6" style="0" width="9"/>
    <col collapsed="false" customWidth="true" hidden="false" outlineLevel="0" max="8" min="7" style="0" width="8"/>
    <col collapsed="false" customWidth="true" hidden="false" outlineLevel="0" max="9" min="9" style="0" width="9"/>
    <col collapsed="false" customWidth="true" hidden="false" outlineLevel="0" max="10" min="10" style="0" width="12"/>
    <col collapsed="false" customWidth="true" hidden="false" outlineLevel="0" max="11" min="11" style="0" width="11"/>
    <col collapsed="false" customWidth="true" hidden="false" outlineLevel="0" max="13" min="12" style="0" width="10"/>
    <col collapsed="false" customWidth="true" hidden="false" outlineLevel="0" max="14" min="14" style="0" width="8"/>
    <col collapsed="false" customWidth="true" hidden="false" outlineLevel="0" max="17" min="15" style="0" width="11"/>
    <col collapsed="false" customWidth="true" hidden="false" outlineLevel="0" max="18" min="18" style="0" width="13"/>
    <col collapsed="false" customWidth="true" hidden="false" outlineLevel="0" max="19" min="19" style="0" width="11"/>
    <col collapsed="false" customWidth="true" hidden="false" outlineLevel="0" max="21" min="20" style="0" width="10"/>
    <col collapsed="false" customWidth="true" hidden="false" outlineLevel="0" max="22" min="22" style="0" width="12"/>
    <col collapsed="false" customWidth="true" hidden="false" outlineLevel="0" max="23" min="23" style="0" width="13"/>
    <col collapsed="false" customWidth="true" hidden="false" outlineLevel="0" max="24" min="24" style="0" width="11"/>
    <col collapsed="false" customWidth="true" hidden="false" outlineLevel="0" max="25" min="25" style="0" width="12"/>
    <col collapsed="false" customWidth="true" hidden="false" outlineLevel="0" max="27" min="26" style="0" width="11"/>
    <col collapsed="false" customWidth="true" hidden="false" outlineLevel="0" max="28" min="28" style="0" width="13"/>
    <col collapsed="false" customWidth="true" hidden="false" outlineLevel="0" max="31" min="29" style="0" width="9"/>
  </cols>
  <sheetData>
    <row r="1" customFormat="false" ht="37.5" hidden="false" customHeight="true" outlineLevel="0" collapsed="false">
      <c r="A1" s="1" t="str">
        <f aca="false">"💵 مسير رواتب شهر ديسمبر "&amp;cfg_FY</f>
        <v>💵 مسير رواتب شهر ديسمبر 2026</v>
      </c>
      <c r="B1" s="1"/>
      <c r="C1" s="1"/>
      <c r="D1" s="1"/>
      <c r="E1" s="1"/>
      <c r="F1" s="1"/>
      <c r="G1" s="1"/>
      <c r="H1" s="1"/>
      <c r="I1" s="1"/>
      <c r="J1" s="1"/>
      <c r="K1" s="1"/>
      <c r="L1" s="1"/>
      <c r="M1" s="1"/>
      <c r="N1" s="1"/>
      <c r="O1" s="1"/>
      <c r="P1" s="1"/>
      <c r="Q1" s="1"/>
      <c r="R1" s="1"/>
      <c r="S1" s="1"/>
      <c r="T1" s="1"/>
      <c r="U1" s="1"/>
      <c r="V1" s="1"/>
      <c r="W1" s="1"/>
      <c r="X1" s="1"/>
      <c r="Y1" s="1"/>
      <c r="Z1" s="1"/>
      <c r="AA1" s="1"/>
      <c r="AB1" s="1"/>
    </row>
    <row r="2" customFormat="false" ht="19.5" hidden="false" customHeight="true" outlineLevel="0" collapsed="false">
      <c r="A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B2" s="2"/>
      <c r="C2" s="2"/>
      <c r="D2" s="2"/>
      <c r="E2" s="2"/>
      <c r="F2" s="2"/>
      <c r="G2" s="2"/>
      <c r="H2" s="2"/>
      <c r="I2" s="2"/>
      <c r="J2" s="2"/>
      <c r="K2" s="2"/>
      <c r="L2" s="2"/>
      <c r="M2" s="2"/>
      <c r="N2" s="2"/>
      <c r="O2" s="2"/>
      <c r="P2" s="2"/>
      <c r="Q2" s="2"/>
      <c r="R2" s="2"/>
      <c r="S2" s="2"/>
      <c r="T2" s="2"/>
      <c r="U2" s="2"/>
      <c r="V2" s="2"/>
      <c r="W2" s="2"/>
      <c r="X2" s="2"/>
      <c r="Y2" s="2"/>
      <c r="Z2" s="2"/>
      <c r="AA2" s="2"/>
      <c r="AB2" s="2"/>
    </row>
    <row r="3" customFormat="false" ht="25.5" hidden="false" customHeight="true" outlineLevel="0" collapsed="false">
      <c r="B3" s="93" t="s">
        <v>103</v>
      </c>
      <c r="C3" s="94" t="n">
        <v>12</v>
      </c>
      <c r="D3" s="93" t="s">
        <v>322</v>
      </c>
      <c r="E3" s="95" t="n">
        <f aca="false">DATE(cfg_FY,C3,1)</f>
        <v>46357</v>
      </c>
      <c r="F3" s="93" t="s">
        <v>323</v>
      </c>
      <c r="G3" s="95" t="n">
        <f aca="false">EOMONTH(E3,0)</f>
        <v>46387</v>
      </c>
      <c r="H3" s="96" t="str">
        <f aca="false">IF(C3&lt;=cfg_VAL_M,"✔ فعلي","⚠ متوقع")</f>
        <v>⚠ متوقع</v>
      </c>
      <c r="J3" s="97" t="s">
        <v>348</v>
      </c>
      <c r="K3" s="97"/>
      <c r="O3" s="22" t="s">
        <v>61</v>
      </c>
      <c r="P3" s="12" t="s">
        <v>111</v>
      </c>
      <c r="R3" s="23" t="s">
        <v>63</v>
      </c>
      <c r="S3" s="23" t="s">
        <v>64</v>
      </c>
      <c r="U3" s="23" t="s">
        <v>39</v>
      </c>
      <c r="W3" s="23" t="s">
        <v>65</v>
      </c>
    </row>
    <row r="4" customFormat="false" ht="7.5" hidden="false" customHeight="true" outlineLevel="0" collapsed="false"/>
    <row r="5" customFormat="false" ht="48" hidden="false" customHeight="true" outlineLevel="0" collapsed="false">
      <c r="A5" s="98" t="s">
        <v>207</v>
      </c>
      <c r="B5" s="98" t="s">
        <v>208</v>
      </c>
      <c r="C5" s="98" t="s">
        <v>209</v>
      </c>
      <c r="D5" s="98" t="s">
        <v>96</v>
      </c>
      <c r="E5" s="98" t="s">
        <v>84</v>
      </c>
      <c r="F5" s="99" t="s">
        <v>325</v>
      </c>
      <c r="G5" s="99" t="s">
        <v>326</v>
      </c>
      <c r="H5" s="99" t="s">
        <v>327</v>
      </c>
      <c r="I5" s="99" t="s">
        <v>328</v>
      </c>
      <c r="J5" s="100" t="s">
        <v>329</v>
      </c>
      <c r="K5" s="100" t="s">
        <v>330</v>
      </c>
      <c r="L5" s="100" t="s">
        <v>331</v>
      </c>
      <c r="M5" s="100" t="s">
        <v>332</v>
      </c>
      <c r="N5" s="100" t="s">
        <v>333</v>
      </c>
      <c r="O5" s="100" t="s">
        <v>334</v>
      </c>
      <c r="P5" s="100" t="s">
        <v>298</v>
      </c>
      <c r="Q5" s="100" t="s">
        <v>335</v>
      </c>
      <c r="R5" s="100" t="s">
        <v>74</v>
      </c>
      <c r="S5" s="101" t="s">
        <v>336</v>
      </c>
      <c r="T5" s="101" t="s">
        <v>300</v>
      </c>
      <c r="U5" s="101" t="s">
        <v>301</v>
      </c>
      <c r="V5" s="101" t="s">
        <v>337</v>
      </c>
      <c r="W5" s="102" t="s">
        <v>338</v>
      </c>
      <c r="X5" s="103" t="s">
        <v>339</v>
      </c>
      <c r="Y5" s="103" t="s">
        <v>340</v>
      </c>
      <c r="Z5" s="103" t="s">
        <v>341</v>
      </c>
      <c r="AA5" s="103" t="s">
        <v>342</v>
      </c>
      <c r="AB5" s="103" t="s">
        <v>343</v>
      </c>
      <c r="AC5" s="104" t="s">
        <v>344</v>
      </c>
      <c r="AD5" s="104" t="s">
        <v>345</v>
      </c>
      <c r="AE5" s="104" t="s">
        <v>346</v>
      </c>
    </row>
    <row r="6" customFormat="false" ht="15" hidden="false" customHeight="false" outlineLevel="0" collapsed="false">
      <c r="A6" s="83" t="n">
        <f aca="false">IF($B6="","",الموظفون!$A6)</f>
        <v>1</v>
      </c>
      <c r="B6" s="74" t="str">
        <f aca="false">IF(الموظفون!$B6="","",الموظفون!$B6)</f>
        <v>E001</v>
      </c>
      <c r="C6" s="74" t="str">
        <f aca="false">IF($B6="","",الموظفون!$C6)</f>
        <v>عبدالله محمد العتيبي</v>
      </c>
      <c r="D6" s="74" t="str">
        <f aca="false">IF($B6="","",الموظفون!$F6)</f>
        <v>الإدارة العليا</v>
      </c>
      <c r="E6" s="74" t="str">
        <f aca="false">IF($B6="","",الموظفون!$E6)</f>
        <v>سعودي</v>
      </c>
      <c r="F6" s="105" t="n">
        <f aca="false">IF($B6="","",IF(AE6&gt;=DAY($G$3),cfg_DAYS_M,MIN(AE6,cfg_DAYS_M)))</f>
        <v>30</v>
      </c>
      <c r="G6" s="105" t="n">
        <f aca="false">IF($B6="","",SUMIFS('الحركات الشهرية'!$D$6:$D$1005,'الحركات الشهرية'!$B$6:$B$1005,$B6,'الحركات الشهرية'!$A$6:$A$1005,$C$3))</f>
        <v>0</v>
      </c>
      <c r="H6" s="105" t="n">
        <f aca="false">IF($B6="","",SUMIFS('الحركات الشهرية'!$E$6:$E$1005,'الحركات الشهرية'!$B$6:$B$1005,$B6,'الحركات الشهرية'!$A$6:$A$1005,$C$3))</f>
        <v>0</v>
      </c>
      <c r="I6" s="105" t="n">
        <f aca="false">IF($B6="","",MAX(0,F6-G6-H6))</f>
        <v>30</v>
      </c>
      <c r="J6" s="86" t="n">
        <f aca="false">IF($B6="","",الموظفون!$J6*$I6/cfg_DAYS_M)</f>
        <v>28000</v>
      </c>
      <c r="K6" s="86" t="n">
        <f aca="false">IF($B6="","",الموظفون!$K6*$I6/cfg_DAYS_M)</f>
        <v>7000</v>
      </c>
      <c r="L6" s="86" t="n">
        <f aca="false">IF($B6="","",الموظفون!$L6*$I6/cfg_DAYS_M)</f>
        <v>2800</v>
      </c>
      <c r="M6" s="86" t="n">
        <f aca="false">IF($B6="","",الموظفون!$M6*$I6/cfg_DAYS_M)</f>
        <v>3000</v>
      </c>
      <c r="N6" s="105" t="n">
        <f aca="false">IF($B6="","",SUMIFS('الحركات الشهرية'!$F$6:$F$1005,'الحركات الشهرية'!$B$6:$B$1005,$B6,'الحركات الشهرية'!$A$6:$A$1005,$C$3))</f>
        <v>0</v>
      </c>
      <c r="O6" s="86" t="n">
        <f aca="false">IF($B6="","",N6*(الموظفون!$N6+الموظفون!$J6*cfg_OT_P)/cfg_DAYS_M/cfg_HRS)</f>
        <v>0</v>
      </c>
      <c r="P6" s="86" t="n">
        <f aca="false">IF($B6="","",SUMIFS('الحركات الشهرية'!$G$6:$G$1005,'الحركات الشهرية'!$B$6:$B$1005,$B6,'الحركات الشهرية'!$A$6:$A$1005,$C$3))</f>
        <v>0</v>
      </c>
      <c r="Q6" s="86" t="n">
        <f aca="false">IF($B6="","",SUMIFS('الحركات الشهرية'!$H$6:$H$1005,'الحركات الشهرية'!$B$6:$B$1005,$B6,'الحركات الشهرية'!$A$6:$A$1005,$C$3))</f>
        <v>0</v>
      </c>
      <c r="R6" s="106" t="n">
        <f aca="false">IF($B6="","",SUM(J6:M6)+SUM(O6:Q6))</f>
        <v>40800</v>
      </c>
      <c r="S6" s="86" t="n">
        <f aca="false">IF($B6="","",الموظفون!$Q6*IF(E6="سعودي",cfg_G_SE,cfg_G_NE)*F6/cfg_DAYS_M)</f>
        <v>3412.5</v>
      </c>
      <c r="T6" s="86" t="n">
        <f aca="false">IF($B6="","",SUMIFS('الحركات الشهرية'!$I$6:$I$1005,'الحركات الشهرية'!$B$6:$B$1005,$B6,'الحركات الشهرية'!$A$6:$A$1005,$C$3))</f>
        <v>0</v>
      </c>
      <c r="U6" s="86" t="n">
        <f aca="false">IF($B6="","",SUMIFS('الحركات الشهرية'!$J$6:$J$1005,'الحركات الشهرية'!$B$6:$B$1005,$B6,'الحركات الشهرية'!$A$6:$A$1005,$C$3))</f>
        <v>0</v>
      </c>
      <c r="V6" s="86" t="n">
        <f aca="false">IF($B6="","",SUM(S6:U6))</f>
        <v>3412.5</v>
      </c>
      <c r="W6" s="107" t="n">
        <f aca="false">IF($B6="","",R6-V6)</f>
        <v>37387.5</v>
      </c>
      <c r="X6" s="86" t="n">
        <f aca="false">IF($B6="","",الموظفون!$Q6*IF(E6="سعودي",cfg_G_SR,cfg_G_NR)*F6/cfg_DAYS_M)</f>
        <v>4112.5</v>
      </c>
      <c r="Y6" s="86" t="n">
        <f aca="false">IF($B6="","",الموظفون!$O6*(cfg_EOS_R1*(MIN(AC6,cfg_EOS_TH)-MIN(AD6,cfg_EOS_TH))+cfg_EOS_R2*(MAX(AC6-cfg_EOS_TH,0)-MAX(AD6-cfg_EOS_TH,0))))</f>
        <v>3210.41095890413</v>
      </c>
      <c r="Z6" s="86" t="n">
        <f aca="false">IF($B6="","",IF(الموظفون!$R6&lt;&gt;"",الموظفون!$R6,IF(AC6&gt;=cfg_LV_TH,cfg_LV_D2,cfg_LV_D1))/cfg_DAYS_Y*AE6*الموظفون!$P6/cfg_DAYS_M)</f>
        <v>3210.41095890411</v>
      </c>
      <c r="AA6" s="86" t="n">
        <f aca="false">IF($B6="","",IF(AND(الموظفون!$S6="نعم",N(الموظفون!$U6)&gt;0),الموظفون!$T6/الموظفون!$U6*12/cfg_DAYS_Y*AE6,0))</f>
        <v>0</v>
      </c>
      <c r="AB6" s="108" t="n">
        <f aca="false">IF($B6="","",R6+SUM(X6:AA6))</f>
        <v>51333.3219178082</v>
      </c>
      <c r="AC6" s="109" t="n">
        <f aca="false">IF($B6="","",MAX(0,IF(OR(الموظفون!$X6="",الموظفون!$X6&gt;$G$3),$G$3,الموظفون!$X6)-الموظفون!$H6+1)/cfg_DAYS_Y)</f>
        <v>14.972602739726</v>
      </c>
      <c r="AD6" s="109" t="n">
        <f aca="false">IF($B6="","",MAX(0,IF(OR(الموظفون!$X6="",الموظفون!$X6&gt;($E$3-1)),($E$3-1),الموظفون!$X6)-الموظفون!$H6+1)/cfg_DAYS_Y)</f>
        <v>14.8876712328767</v>
      </c>
      <c r="AE6" s="51" t="n">
        <f aca="false">IF($B6="","",MAX(0,IF(OR(الموظفون!$X6="",الموظفون!$X6&gt;$G$3),$G$3,الموظفون!$X6)-MAX($E$3,الموظفون!$H6)+1))</f>
        <v>31</v>
      </c>
    </row>
    <row r="7" customFormat="false" ht="15" hidden="false" customHeight="false" outlineLevel="0" collapsed="false">
      <c r="A7" s="89" t="n">
        <f aca="false">IF($B7="","",الموظفون!$A7)</f>
        <v>2</v>
      </c>
      <c r="B7" s="91" t="str">
        <f aca="false">IF(الموظفون!$B7="","",الموظفون!$B7)</f>
        <v>E002</v>
      </c>
      <c r="C7" s="91" t="str">
        <f aca="false">IF($B7="","",الموظفون!$C7)</f>
        <v>أحمد سعيد القحطاني</v>
      </c>
      <c r="D7" s="91" t="str">
        <f aca="false">IF($B7="","",الموظفون!$F7)</f>
        <v>المالية</v>
      </c>
      <c r="E7" s="91" t="str">
        <f aca="false">IF($B7="","",الموظفون!$E7)</f>
        <v>سعودي</v>
      </c>
      <c r="F7" s="110" t="n">
        <f aca="false">IF($B7="","",IF(AE7&gt;=DAY($G$3),cfg_DAYS_M,MIN(AE7,cfg_DAYS_M)))</f>
        <v>30</v>
      </c>
      <c r="G7" s="110" t="n">
        <f aca="false">IF($B7="","",SUMIFS('الحركات الشهرية'!$D$6:$D$1005,'الحركات الشهرية'!$B$6:$B$1005,$B7,'الحركات الشهرية'!$A$6:$A$1005,$C$3))</f>
        <v>0</v>
      </c>
      <c r="H7" s="110" t="n">
        <f aca="false">IF($B7="","",SUMIFS('الحركات الشهرية'!$E$6:$E$1005,'الحركات الشهرية'!$B$6:$B$1005,$B7,'الحركات الشهرية'!$A$6:$A$1005,$C$3))</f>
        <v>0</v>
      </c>
      <c r="I7" s="110" t="n">
        <f aca="false">IF($B7="","",MAX(0,F7-G7-H7))</f>
        <v>30</v>
      </c>
      <c r="J7" s="90" t="n">
        <f aca="false">IF($B7="","",الموظفون!$J7*$I7/cfg_DAYS_M)</f>
        <v>18000</v>
      </c>
      <c r="K7" s="90" t="n">
        <f aca="false">IF($B7="","",الموظفون!$K7*$I7/cfg_DAYS_M)</f>
        <v>4500</v>
      </c>
      <c r="L7" s="90" t="n">
        <f aca="false">IF($B7="","",الموظفون!$L7*$I7/cfg_DAYS_M)</f>
        <v>1800</v>
      </c>
      <c r="M7" s="90" t="n">
        <f aca="false">IF($B7="","",الموظفون!$M7*$I7/cfg_DAYS_M)</f>
        <v>1000</v>
      </c>
      <c r="N7" s="110" t="n">
        <f aca="false">IF($B7="","",SUMIFS('الحركات الشهرية'!$F$6:$F$1005,'الحركات الشهرية'!$B$6:$B$1005,$B7,'الحركات الشهرية'!$A$6:$A$1005,$C$3))</f>
        <v>0</v>
      </c>
      <c r="O7" s="90" t="n">
        <f aca="false">IF($B7="","",N7*(الموظفون!$N7+الموظفون!$J7*cfg_OT_P)/cfg_DAYS_M/cfg_HRS)</f>
        <v>0</v>
      </c>
      <c r="P7" s="90" t="n">
        <f aca="false">IF($B7="","",SUMIFS('الحركات الشهرية'!$G$6:$G$1005,'الحركات الشهرية'!$B$6:$B$1005,$B7,'الحركات الشهرية'!$A$6:$A$1005,$C$3))</f>
        <v>0</v>
      </c>
      <c r="Q7" s="90" t="n">
        <f aca="false">IF($B7="","",SUMIFS('الحركات الشهرية'!$H$6:$H$1005,'الحركات الشهرية'!$B$6:$B$1005,$B7,'الحركات الشهرية'!$A$6:$A$1005,$C$3))</f>
        <v>0</v>
      </c>
      <c r="R7" s="111" t="n">
        <f aca="false">IF($B7="","",SUM(J7:M7)+SUM(O7:Q7))</f>
        <v>25300</v>
      </c>
      <c r="S7" s="90" t="n">
        <f aca="false">IF($B7="","",الموظفون!$Q7*IF(E7="سعودي",cfg_G_SE,cfg_G_NE)*F7/cfg_DAYS_M)</f>
        <v>2193.75</v>
      </c>
      <c r="T7" s="90" t="n">
        <f aca="false">IF($B7="","",SUMIFS('الحركات الشهرية'!$I$6:$I$1005,'الحركات الشهرية'!$B$6:$B$1005,$B7,'الحركات الشهرية'!$A$6:$A$1005,$C$3))</f>
        <v>0</v>
      </c>
      <c r="U7" s="90" t="n">
        <f aca="false">IF($B7="","",SUMIFS('الحركات الشهرية'!$J$6:$J$1005,'الحركات الشهرية'!$B$6:$B$1005,$B7,'الحركات الشهرية'!$A$6:$A$1005,$C$3))</f>
        <v>0</v>
      </c>
      <c r="V7" s="90" t="n">
        <f aca="false">IF($B7="","",SUM(S7:U7))</f>
        <v>2193.75</v>
      </c>
      <c r="W7" s="112" t="n">
        <f aca="false">IF($B7="","",R7-V7)</f>
        <v>23106.25</v>
      </c>
      <c r="X7" s="90" t="n">
        <f aca="false">IF($B7="","",الموظفون!$Q7*IF(E7="سعودي",cfg_G_SR,cfg_G_NR)*F7/cfg_DAYS_M)</f>
        <v>2643.75</v>
      </c>
      <c r="Y7" s="90" t="n">
        <f aca="false">IF($B7="","",الموظفون!$O7*(cfg_EOS_R1*(MIN(AC7,cfg_EOS_TH)-MIN(AD7,cfg_EOS_TH))+cfg_EOS_R2*(MAX(AC7-cfg_EOS_TH,0)-MAX(AD7-cfg_EOS_TH,0))))</f>
        <v>2063.83561643837</v>
      </c>
      <c r="Z7" s="90" t="n">
        <f aca="false">IF($B7="","",IF(الموظفون!$R7&lt;&gt;"",الموظفون!$R7,IF(AC7&gt;=cfg_LV_TH,cfg_LV_D2,cfg_LV_D1))/cfg_DAYS_Y*AE7*الموظفون!$P7/cfg_DAYS_M)</f>
        <v>2063.83561643836</v>
      </c>
      <c r="AA7" s="90" t="n">
        <f aca="false">IF($B7="","",IF(AND(الموظفون!$S7="نعم",N(الموظفون!$U7)&gt;0),الموظفون!$T7/الموظفون!$U7*12/cfg_DAYS_Y*AE7,0))</f>
        <v>0</v>
      </c>
      <c r="AB7" s="113" t="n">
        <f aca="false">IF($B7="","",R7+SUM(X7:AA7))</f>
        <v>32071.4212328767</v>
      </c>
      <c r="AC7" s="114" t="n">
        <f aca="false">IF($B7="","",MAX(0,IF(OR(الموظفون!$X7="",الموظفون!$X7&gt;$G$3),$G$3,الموظفون!$X7)-الموظفون!$H7+1)/cfg_DAYS_Y)</f>
        <v>10.5917808219178</v>
      </c>
      <c r="AD7" s="114" t="n">
        <f aca="false">IF($B7="","",MAX(0,IF(OR(الموظفون!$X7="",الموظفون!$X7&gt;($E$3-1)),($E$3-1),الموظفون!$X7)-الموظفون!$H7+1)/cfg_DAYS_Y)</f>
        <v>10.5068493150685</v>
      </c>
      <c r="AE7" s="115" t="n">
        <f aca="false">IF($B7="","",MAX(0,IF(OR(الموظفون!$X7="",الموظفون!$X7&gt;$G$3),$G$3,الموظفون!$X7)-MAX($E$3,الموظفون!$H7)+1))</f>
        <v>31</v>
      </c>
    </row>
    <row r="8" customFormat="false" ht="15" hidden="false" customHeight="false" outlineLevel="0" collapsed="false">
      <c r="A8" s="83" t="n">
        <f aca="false">IF($B8="","",الموظفون!$A8)</f>
        <v>3</v>
      </c>
      <c r="B8" s="74" t="str">
        <f aca="false">IF(الموظفون!$B8="","",الموظفون!$B8)</f>
        <v>E003</v>
      </c>
      <c r="C8" s="74" t="str">
        <f aca="false">IF($B8="","",الموظفون!$C8)</f>
        <v>محمد علي حسن</v>
      </c>
      <c r="D8" s="74" t="str">
        <f aca="false">IF($B8="","",الموظفون!$F8)</f>
        <v>المالية</v>
      </c>
      <c r="E8" s="74" t="str">
        <f aca="false">IF($B8="","",الموظفون!$E8)</f>
        <v>غير سعودي</v>
      </c>
      <c r="F8" s="105" t="n">
        <f aca="false">IF($B8="","",IF(AE8&gt;=DAY($G$3),cfg_DAYS_M,MIN(AE8,cfg_DAYS_M)))</f>
        <v>30</v>
      </c>
      <c r="G8" s="105" t="n">
        <f aca="false">IF($B8="","",SUMIFS('الحركات الشهرية'!$D$6:$D$1005,'الحركات الشهرية'!$B$6:$B$1005,$B8,'الحركات الشهرية'!$A$6:$A$1005,$C$3))</f>
        <v>0</v>
      </c>
      <c r="H8" s="105" t="n">
        <f aca="false">IF($B8="","",SUMIFS('الحركات الشهرية'!$E$6:$E$1005,'الحركات الشهرية'!$B$6:$B$1005,$B8,'الحركات الشهرية'!$A$6:$A$1005,$C$3))</f>
        <v>0</v>
      </c>
      <c r="I8" s="105" t="n">
        <f aca="false">IF($B8="","",MAX(0,F8-G8-H8))</f>
        <v>30</v>
      </c>
      <c r="J8" s="86" t="n">
        <f aca="false">IF($B8="","",الموظفون!$J8*$I8/cfg_DAYS_M)</f>
        <v>8500</v>
      </c>
      <c r="K8" s="86" t="n">
        <f aca="false">IF($B8="","",الموظفون!$K8*$I8/cfg_DAYS_M)</f>
        <v>2125</v>
      </c>
      <c r="L8" s="86" t="n">
        <f aca="false">IF($B8="","",الموظفون!$L8*$I8/cfg_DAYS_M)</f>
        <v>850</v>
      </c>
      <c r="M8" s="86" t="n">
        <f aca="false">IF($B8="","",الموظفون!$M8*$I8/cfg_DAYS_M)</f>
        <v>500</v>
      </c>
      <c r="N8" s="105" t="n">
        <f aca="false">IF($B8="","",SUMIFS('الحركات الشهرية'!$F$6:$F$1005,'الحركات الشهرية'!$B$6:$B$1005,$B8,'الحركات الشهرية'!$A$6:$A$1005,$C$3))</f>
        <v>0</v>
      </c>
      <c r="O8" s="86" t="n">
        <f aca="false">IF($B8="","",N8*(الموظفون!$N8+الموظفون!$J8*cfg_OT_P)/cfg_DAYS_M/cfg_HRS)</f>
        <v>0</v>
      </c>
      <c r="P8" s="86" t="n">
        <f aca="false">IF($B8="","",SUMIFS('الحركات الشهرية'!$G$6:$G$1005,'الحركات الشهرية'!$B$6:$B$1005,$B8,'الحركات الشهرية'!$A$6:$A$1005,$C$3))</f>
        <v>0</v>
      </c>
      <c r="Q8" s="86" t="n">
        <f aca="false">IF($B8="","",SUMIFS('الحركات الشهرية'!$H$6:$H$1005,'الحركات الشهرية'!$B$6:$B$1005,$B8,'الحركات الشهرية'!$A$6:$A$1005,$C$3))</f>
        <v>0</v>
      </c>
      <c r="R8" s="106" t="n">
        <f aca="false">IF($B8="","",SUM(J8:M8)+SUM(O8:Q8))</f>
        <v>11975</v>
      </c>
      <c r="S8" s="86" t="n">
        <f aca="false">IF($B8="","",الموظفون!$Q8*IF(E8="سعودي",cfg_G_SE,cfg_G_NE)*F8/cfg_DAYS_M)</f>
        <v>0</v>
      </c>
      <c r="T8" s="86" t="n">
        <f aca="false">IF($B8="","",SUMIFS('الحركات الشهرية'!$I$6:$I$1005,'الحركات الشهرية'!$B$6:$B$1005,$B8,'الحركات الشهرية'!$A$6:$A$1005,$C$3))</f>
        <v>0</v>
      </c>
      <c r="U8" s="86" t="n">
        <f aca="false">IF($B8="","",SUMIFS('الحركات الشهرية'!$J$6:$J$1005,'الحركات الشهرية'!$B$6:$B$1005,$B8,'الحركات الشهرية'!$A$6:$A$1005,$C$3))</f>
        <v>0</v>
      </c>
      <c r="V8" s="86" t="n">
        <f aca="false">IF($B8="","",SUM(S8:U8))</f>
        <v>0</v>
      </c>
      <c r="W8" s="107" t="n">
        <f aca="false">IF($B8="","",R8-V8)</f>
        <v>11975</v>
      </c>
      <c r="X8" s="86" t="n">
        <f aca="false">IF($B8="","",الموظفون!$Q8*IF(E8="سعودي",cfg_G_SR,cfg_G_NR)*F8/cfg_DAYS_M)</f>
        <v>212.5</v>
      </c>
      <c r="Y8" s="86" t="n">
        <f aca="false">IF($B8="","",الموظفون!$O8*(cfg_EOS_R1*(MIN(AC8,cfg_EOS_TH)-MIN(AD8,cfg_EOS_TH))+cfg_EOS_R2*(MAX(AC8-cfg_EOS_TH,0)-MAX(AD8-cfg_EOS_TH,0))))</f>
        <v>974.589041095895</v>
      </c>
      <c r="Z8" s="86" t="n">
        <f aca="false">IF($B8="","",IF(الموظفون!$R8&lt;&gt;"",الموظفون!$R8,IF(AC8&gt;=cfg_LV_TH,cfg_LV_D2,cfg_LV_D1))/cfg_DAYS_Y*AE8*الموظفون!$P8/cfg_DAYS_M)</f>
        <v>974.589041095891</v>
      </c>
      <c r="AA8" s="86" t="n">
        <f aca="false">IF($B8="","",IF(AND(الموظفون!$S8="نعم",N(الموظفون!$U8)&gt;0),الموظفون!$T8/الموظفون!$U8*12/cfg_DAYS_Y*AE8,0))</f>
        <v>135.890410958904</v>
      </c>
      <c r="AB8" s="108" t="n">
        <f aca="false">IF($B8="","",R8+SUM(X8:AA8))</f>
        <v>14272.5684931507</v>
      </c>
      <c r="AC8" s="109" t="n">
        <f aca="false">IF($B8="","",MAX(0,IF(OR(الموظفون!$X8="",الموظفون!$X8&gt;$G$3),$G$3,الموظفون!$X8)-الموظفون!$H8+1)/cfg_DAYS_Y)</f>
        <v>8.31506849315069</v>
      </c>
      <c r="AD8" s="109" t="n">
        <f aca="false">IF($B8="","",MAX(0,IF(OR(الموظفون!$X8="",الموظفون!$X8&gt;($E$3-1)),($E$3-1),الموظفون!$X8)-الموظفون!$H8+1)/cfg_DAYS_Y)</f>
        <v>8.23013698630137</v>
      </c>
      <c r="AE8" s="51" t="n">
        <f aca="false">IF($B8="","",MAX(0,IF(OR(الموظفون!$X8="",الموظفون!$X8&gt;$G$3),$G$3,الموظفون!$X8)-MAX($E$3,الموظفون!$H8)+1))</f>
        <v>31</v>
      </c>
    </row>
    <row r="9" customFormat="false" ht="15" hidden="false" customHeight="false" outlineLevel="0" collapsed="false">
      <c r="A9" s="89" t="n">
        <f aca="false">IF($B9="","",الموظفون!$A9)</f>
        <v>4</v>
      </c>
      <c r="B9" s="91" t="str">
        <f aca="false">IF(الموظفون!$B9="","",الموظفون!$B9)</f>
        <v>E004</v>
      </c>
      <c r="C9" s="91" t="str">
        <f aca="false">IF($B9="","",الموظفون!$C9)</f>
        <v>نورة خالد الدوسري</v>
      </c>
      <c r="D9" s="91" t="str">
        <f aca="false">IF($B9="","",الموظفون!$F9)</f>
        <v>الموارد البشرية</v>
      </c>
      <c r="E9" s="91" t="str">
        <f aca="false">IF($B9="","",الموظفون!$E9)</f>
        <v>سعودي</v>
      </c>
      <c r="F9" s="110" t="n">
        <f aca="false">IF($B9="","",IF(AE9&gt;=DAY($G$3),cfg_DAYS_M,MIN(AE9,cfg_DAYS_M)))</f>
        <v>30</v>
      </c>
      <c r="G9" s="110" t="n">
        <f aca="false">IF($B9="","",SUMIFS('الحركات الشهرية'!$D$6:$D$1005,'الحركات الشهرية'!$B$6:$B$1005,$B9,'الحركات الشهرية'!$A$6:$A$1005,$C$3))</f>
        <v>0</v>
      </c>
      <c r="H9" s="110" t="n">
        <f aca="false">IF($B9="","",SUMIFS('الحركات الشهرية'!$E$6:$E$1005,'الحركات الشهرية'!$B$6:$B$1005,$B9,'الحركات الشهرية'!$A$6:$A$1005,$C$3))</f>
        <v>0</v>
      </c>
      <c r="I9" s="110" t="n">
        <f aca="false">IF($B9="","",MAX(0,F9-G9-H9))</f>
        <v>30</v>
      </c>
      <c r="J9" s="90" t="n">
        <f aca="false">IF($B9="","",الموظفون!$J9*$I9/cfg_DAYS_M)</f>
        <v>14000</v>
      </c>
      <c r="K9" s="90" t="n">
        <f aca="false">IF($B9="","",الموظفون!$K9*$I9/cfg_DAYS_M)</f>
        <v>3500</v>
      </c>
      <c r="L9" s="90" t="n">
        <f aca="false">IF($B9="","",الموظفون!$L9*$I9/cfg_DAYS_M)</f>
        <v>1400</v>
      </c>
      <c r="M9" s="90" t="n">
        <f aca="false">IF($B9="","",الموظفون!$M9*$I9/cfg_DAYS_M)</f>
        <v>0</v>
      </c>
      <c r="N9" s="110" t="n">
        <f aca="false">IF($B9="","",SUMIFS('الحركات الشهرية'!$F$6:$F$1005,'الحركات الشهرية'!$B$6:$B$1005,$B9,'الحركات الشهرية'!$A$6:$A$1005,$C$3))</f>
        <v>0</v>
      </c>
      <c r="O9" s="90" t="n">
        <f aca="false">IF($B9="","",N9*(الموظفون!$N9+الموظفون!$J9*cfg_OT_P)/cfg_DAYS_M/cfg_HRS)</f>
        <v>0</v>
      </c>
      <c r="P9" s="90" t="n">
        <f aca="false">IF($B9="","",SUMIFS('الحركات الشهرية'!$G$6:$G$1005,'الحركات الشهرية'!$B$6:$B$1005,$B9,'الحركات الشهرية'!$A$6:$A$1005,$C$3))</f>
        <v>0</v>
      </c>
      <c r="Q9" s="90" t="n">
        <f aca="false">IF($B9="","",SUMIFS('الحركات الشهرية'!$H$6:$H$1005,'الحركات الشهرية'!$B$6:$B$1005,$B9,'الحركات الشهرية'!$A$6:$A$1005,$C$3))</f>
        <v>0</v>
      </c>
      <c r="R9" s="111" t="n">
        <f aca="false">IF($B9="","",SUM(J9:M9)+SUM(O9:Q9))</f>
        <v>18900</v>
      </c>
      <c r="S9" s="90" t="n">
        <f aca="false">IF($B9="","",الموظفون!$Q9*IF(E9="سعودي",cfg_G_SE,cfg_G_NE)*F9/cfg_DAYS_M)</f>
        <v>1706.25</v>
      </c>
      <c r="T9" s="90" t="n">
        <f aca="false">IF($B9="","",SUMIFS('الحركات الشهرية'!$I$6:$I$1005,'الحركات الشهرية'!$B$6:$B$1005,$B9,'الحركات الشهرية'!$A$6:$A$1005,$C$3))</f>
        <v>0</v>
      </c>
      <c r="U9" s="90" t="n">
        <f aca="false">IF($B9="","",SUMIFS('الحركات الشهرية'!$J$6:$J$1005,'الحركات الشهرية'!$B$6:$B$1005,$B9,'الحركات الشهرية'!$A$6:$A$1005,$C$3))</f>
        <v>0</v>
      </c>
      <c r="V9" s="90" t="n">
        <f aca="false">IF($B9="","",SUM(S9:U9))</f>
        <v>1706.25</v>
      </c>
      <c r="W9" s="112" t="n">
        <f aca="false">IF($B9="","",R9-V9)</f>
        <v>17193.75</v>
      </c>
      <c r="X9" s="90" t="n">
        <f aca="false">IF($B9="","",الموظفون!$Q9*IF(E9="سعودي",cfg_G_SR,cfg_G_NR)*F9/cfg_DAYS_M)</f>
        <v>2056.25</v>
      </c>
      <c r="Y9" s="90" t="n">
        <f aca="false">IF($B9="","",الموظفون!$O9*(cfg_EOS_R1*(MIN(AC9,cfg_EOS_TH)-MIN(AD9,cfg_EOS_TH))+cfg_EOS_R2*(MAX(AC9-cfg_EOS_TH,0)-MAX(AD9-cfg_EOS_TH,0))))</f>
        <v>1605.20547945205</v>
      </c>
      <c r="Z9" s="90" t="n">
        <f aca="false">IF($B9="","",IF(الموظفون!$R9&lt;&gt;"",الموظفون!$R9,IF(AC9&gt;=cfg_LV_TH,cfg_LV_D2,cfg_LV_D1))/cfg_DAYS_Y*AE9*الموظفون!$P9/cfg_DAYS_M)</f>
        <v>1605.20547945205</v>
      </c>
      <c r="AA9" s="90" t="n">
        <f aca="false">IF($B9="","",IF(AND(الموظفون!$S9="نعم",N(الموظفون!$U9)&gt;0),الموظفون!$T9/الموظفون!$U9*12/cfg_DAYS_Y*AE9,0))</f>
        <v>0</v>
      </c>
      <c r="AB9" s="113" t="n">
        <f aca="false">IF($B9="","",R9+SUM(X9:AA9))</f>
        <v>24166.6609589041</v>
      </c>
      <c r="AC9" s="114" t="n">
        <f aca="false">IF($B9="","",MAX(0,IF(OR(الموظفون!$X9="",الموظفون!$X9&gt;$G$3),$G$3,الموظفون!$X9)-الموظفون!$H9+1)/cfg_DAYS_Y)</f>
        <v>7.92054794520548</v>
      </c>
      <c r="AD9" s="114" t="n">
        <f aca="false">IF($B9="","",MAX(0,IF(OR(الموظفون!$X9="",الموظفون!$X9&gt;($E$3-1)),($E$3-1),الموظفون!$X9)-الموظفون!$H9+1)/cfg_DAYS_Y)</f>
        <v>7.83561643835617</v>
      </c>
      <c r="AE9" s="115" t="n">
        <f aca="false">IF($B9="","",MAX(0,IF(OR(الموظفون!$X9="",الموظفون!$X9&gt;$G$3),$G$3,الموظفون!$X9)-MAX($E$3,الموظفون!$H9)+1))</f>
        <v>31</v>
      </c>
    </row>
    <row r="10" customFormat="false" ht="15" hidden="false" customHeight="false" outlineLevel="0" collapsed="false">
      <c r="A10" s="83" t="n">
        <f aca="false">IF($B10="","",الموظفون!$A10)</f>
        <v>5</v>
      </c>
      <c r="B10" s="74" t="str">
        <f aca="false">IF(الموظفون!$B10="","",الموظفون!$B10)</f>
        <v>E005</v>
      </c>
      <c r="C10" s="74" t="str">
        <f aca="false">IF($B10="","",الموظفون!$C10)</f>
        <v>راجيش كومار</v>
      </c>
      <c r="D10" s="74" t="str">
        <f aca="false">IF($B10="","",الموظفون!$F10)</f>
        <v>تقنية المعلومات</v>
      </c>
      <c r="E10" s="74" t="str">
        <f aca="false">IF($B10="","",الموظفون!$E10)</f>
        <v>غير سعودي</v>
      </c>
      <c r="F10" s="105" t="n">
        <f aca="false">IF($B10="","",IF(AE10&gt;=DAY($G$3),cfg_DAYS_M,MIN(AE10,cfg_DAYS_M)))</f>
        <v>30</v>
      </c>
      <c r="G10" s="105" t="n">
        <f aca="false">IF($B10="","",SUMIFS('الحركات الشهرية'!$D$6:$D$1005,'الحركات الشهرية'!$B$6:$B$1005,$B10,'الحركات الشهرية'!$A$6:$A$1005,$C$3))</f>
        <v>0</v>
      </c>
      <c r="H10" s="105" t="n">
        <f aca="false">IF($B10="","",SUMIFS('الحركات الشهرية'!$E$6:$E$1005,'الحركات الشهرية'!$B$6:$B$1005,$B10,'الحركات الشهرية'!$A$6:$A$1005,$C$3))</f>
        <v>0</v>
      </c>
      <c r="I10" s="105" t="n">
        <f aca="false">IF($B10="","",MAX(0,F10-G10-H10))</f>
        <v>30</v>
      </c>
      <c r="J10" s="86" t="n">
        <f aca="false">IF($B10="","",الموظفون!$J10*$I10/cfg_DAYS_M)</f>
        <v>9000</v>
      </c>
      <c r="K10" s="86" t="n">
        <f aca="false">IF($B10="","",الموظفون!$K10*$I10/cfg_DAYS_M)</f>
        <v>2250</v>
      </c>
      <c r="L10" s="86" t="n">
        <f aca="false">IF($B10="","",الموظفون!$L10*$I10/cfg_DAYS_M)</f>
        <v>900</v>
      </c>
      <c r="M10" s="86" t="n">
        <f aca="false">IF($B10="","",الموظفون!$M10*$I10/cfg_DAYS_M)</f>
        <v>700</v>
      </c>
      <c r="N10" s="105" t="n">
        <f aca="false">IF($B10="","",SUMIFS('الحركات الشهرية'!$F$6:$F$1005,'الحركات الشهرية'!$B$6:$B$1005,$B10,'الحركات الشهرية'!$A$6:$A$1005,$C$3))</f>
        <v>0</v>
      </c>
      <c r="O10" s="86" t="n">
        <f aca="false">IF($B10="","",N10*(الموظفون!$N10+الموظفون!$J10*cfg_OT_P)/cfg_DAYS_M/cfg_HRS)</f>
        <v>0</v>
      </c>
      <c r="P10" s="86" t="n">
        <f aca="false">IF($B10="","",SUMIFS('الحركات الشهرية'!$G$6:$G$1005,'الحركات الشهرية'!$B$6:$B$1005,$B10,'الحركات الشهرية'!$A$6:$A$1005,$C$3))</f>
        <v>0</v>
      </c>
      <c r="Q10" s="86" t="n">
        <f aca="false">IF($B10="","",SUMIFS('الحركات الشهرية'!$H$6:$H$1005,'الحركات الشهرية'!$B$6:$B$1005,$B10,'الحركات الشهرية'!$A$6:$A$1005,$C$3))</f>
        <v>0</v>
      </c>
      <c r="R10" s="106" t="n">
        <f aca="false">IF($B10="","",SUM(J10:M10)+SUM(O10:Q10))</f>
        <v>12850</v>
      </c>
      <c r="S10" s="86" t="n">
        <f aca="false">IF($B10="","",الموظفون!$Q10*IF(E10="سعودي",cfg_G_SE,cfg_G_NE)*F10/cfg_DAYS_M)</f>
        <v>0</v>
      </c>
      <c r="T10" s="86" t="n">
        <f aca="false">IF($B10="","",SUMIFS('الحركات الشهرية'!$I$6:$I$1005,'الحركات الشهرية'!$B$6:$B$1005,$B10,'الحركات الشهرية'!$A$6:$A$1005,$C$3))</f>
        <v>0</v>
      </c>
      <c r="U10" s="86" t="n">
        <f aca="false">IF($B10="","",SUMIFS('الحركات الشهرية'!$J$6:$J$1005,'الحركات الشهرية'!$B$6:$B$1005,$B10,'الحركات الشهرية'!$A$6:$A$1005,$C$3))</f>
        <v>0</v>
      </c>
      <c r="V10" s="86" t="n">
        <f aca="false">IF($B10="","",SUM(S10:U10))</f>
        <v>0</v>
      </c>
      <c r="W10" s="107" t="n">
        <f aca="false">IF($B10="","",R10-V10)</f>
        <v>12850</v>
      </c>
      <c r="X10" s="86" t="n">
        <f aca="false">IF($B10="","",الموظفون!$Q10*IF(E10="سعودي",cfg_G_SR,cfg_G_NR)*F10/cfg_DAYS_M)</f>
        <v>225</v>
      </c>
      <c r="Y10" s="86" t="n">
        <f aca="false">IF($B10="","",الموظفون!$O10*(cfg_EOS_R1*(MIN(AC10,cfg_EOS_TH)-MIN(AD10,cfg_EOS_TH))+cfg_EOS_R2*(MAX(AC10-cfg_EOS_TH,0)-MAX(AD10-cfg_EOS_TH,0))))</f>
        <v>1031.91780821917</v>
      </c>
      <c r="Z10" s="86" t="n">
        <f aca="false">IF($B10="","",IF(الموظفون!$R10&lt;&gt;"",الموظفون!$R10,IF(AC10&gt;=cfg_LV_TH,cfg_LV_D2,cfg_LV_D1))/cfg_DAYS_Y*AE10*الموظفون!$P10/cfg_DAYS_M)</f>
        <v>1031.91780821918</v>
      </c>
      <c r="AA10" s="86" t="n">
        <f aca="false">IF($B10="","",IF(AND(الموظفون!$S10="نعم",N(الموظفون!$U10)&gt;0),الموظفون!$T10/الموظفون!$U10*12/cfg_DAYS_Y*AE10,0))</f>
        <v>237.808219178082</v>
      </c>
      <c r="AB10" s="108" t="n">
        <f aca="false">IF($B10="","",R10+SUM(X10:AA10))</f>
        <v>15376.6438356164</v>
      </c>
      <c r="AC10" s="109" t="n">
        <f aca="false">IF($B10="","",MAX(0,IF(OR(الموظفون!$X10="",الموظفون!$X10&gt;$G$3),$G$3,الموظفون!$X10)-الموظفون!$H10+1)/cfg_DAYS_Y)</f>
        <v>6.72602739726027</v>
      </c>
      <c r="AD10" s="109" t="n">
        <f aca="false">IF($B10="","",MAX(0,IF(OR(الموظفون!$X10="",الموظفون!$X10&gt;($E$3-1)),($E$3-1),الموظفون!$X10)-الموظفون!$H10+1)/cfg_DAYS_Y)</f>
        <v>6.64109589041096</v>
      </c>
      <c r="AE10" s="51" t="n">
        <f aca="false">IF($B10="","",MAX(0,IF(OR(الموظفون!$X10="",الموظفون!$X10&gt;$G$3),$G$3,الموظفون!$X10)-MAX($E$3,الموظفون!$H10)+1))</f>
        <v>31</v>
      </c>
    </row>
    <row r="11" customFormat="false" ht="15" hidden="false" customHeight="false" outlineLevel="0" collapsed="false">
      <c r="A11" s="89" t="n">
        <f aca="false">IF($B11="","",الموظفون!$A11)</f>
        <v>6</v>
      </c>
      <c r="B11" s="91" t="str">
        <f aca="false">IF(الموظفون!$B11="","",الموظفون!$B11)</f>
        <v>E006</v>
      </c>
      <c r="C11" s="91" t="str">
        <f aca="false">IF($B11="","",الموظفون!$C11)</f>
        <v>فهد ناصر الشمري</v>
      </c>
      <c r="D11" s="91" t="str">
        <f aca="false">IF($B11="","",الموظفون!$F11)</f>
        <v>المبيعات</v>
      </c>
      <c r="E11" s="91" t="str">
        <f aca="false">IF($B11="","",الموظفون!$E11)</f>
        <v>سعودي</v>
      </c>
      <c r="F11" s="110" t="n">
        <f aca="false">IF($B11="","",IF(AE11&gt;=DAY($G$3),cfg_DAYS_M,MIN(AE11,cfg_DAYS_M)))</f>
        <v>30</v>
      </c>
      <c r="G11" s="110" t="n">
        <f aca="false">IF($B11="","",SUMIFS('الحركات الشهرية'!$D$6:$D$1005,'الحركات الشهرية'!$B$6:$B$1005,$B11,'الحركات الشهرية'!$A$6:$A$1005,$C$3))</f>
        <v>0</v>
      </c>
      <c r="H11" s="110" t="n">
        <f aca="false">IF($B11="","",SUMIFS('الحركات الشهرية'!$E$6:$E$1005,'الحركات الشهرية'!$B$6:$B$1005,$B11,'الحركات الشهرية'!$A$6:$A$1005,$C$3))</f>
        <v>0</v>
      </c>
      <c r="I11" s="110" t="n">
        <f aca="false">IF($B11="","",MAX(0,F11-G11-H11))</f>
        <v>30</v>
      </c>
      <c r="J11" s="90" t="n">
        <f aca="false">IF($B11="","",الموظفون!$J11*$I11/cfg_DAYS_M)</f>
        <v>13000</v>
      </c>
      <c r="K11" s="90" t="n">
        <f aca="false">IF($B11="","",الموظفون!$K11*$I11/cfg_DAYS_M)</f>
        <v>3250</v>
      </c>
      <c r="L11" s="90" t="n">
        <f aca="false">IF($B11="","",الموظفون!$L11*$I11/cfg_DAYS_M)</f>
        <v>1300</v>
      </c>
      <c r="M11" s="90" t="n">
        <f aca="false">IF($B11="","",الموظفون!$M11*$I11/cfg_DAYS_M)</f>
        <v>2500</v>
      </c>
      <c r="N11" s="110" t="n">
        <f aca="false">IF($B11="","",SUMIFS('الحركات الشهرية'!$F$6:$F$1005,'الحركات الشهرية'!$B$6:$B$1005,$B11,'الحركات الشهرية'!$A$6:$A$1005,$C$3))</f>
        <v>0</v>
      </c>
      <c r="O11" s="90" t="n">
        <f aca="false">IF($B11="","",N11*(الموظفون!$N11+الموظفون!$J11*cfg_OT_P)/cfg_DAYS_M/cfg_HRS)</f>
        <v>0</v>
      </c>
      <c r="P11" s="90" t="n">
        <f aca="false">IF($B11="","",SUMIFS('الحركات الشهرية'!$G$6:$G$1005,'الحركات الشهرية'!$B$6:$B$1005,$B11,'الحركات الشهرية'!$A$6:$A$1005,$C$3))</f>
        <v>0</v>
      </c>
      <c r="Q11" s="90" t="n">
        <f aca="false">IF($B11="","",SUMIFS('الحركات الشهرية'!$H$6:$H$1005,'الحركات الشهرية'!$B$6:$B$1005,$B11,'الحركات الشهرية'!$A$6:$A$1005,$C$3))</f>
        <v>0</v>
      </c>
      <c r="R11" s="111" t="n">
        <f aca="false">IF($B11="","",SUM(J11:M11)+SUM(O11:Q11))</f>
        <v>20050</v>
      </c>
      <c r="S11" s="90" t="n">
        <f aca="false">IF($B11="","",الموظفون!$Q11*IF(E11="سعودي",cfg_G_SE,cfg_G_NE)*F11/cfg_DAYS_M)</f>
        <v>1584.375</v>
      </c>
      <c r="T11" s="90" t="n">
        <f aca="false">IF($B11="","",SUMIFS('الحركات الشهرية'!$I$6:$I$1005,'الحركات الشهرية'!$B$6:$B$1005,$B11,'الحركات الشهرية'!$A$6:$A$1005,$C$3))</f>
        <v>0</v>
      </c>
      <c r="U11" s="90" t="n">
        <f aca="false">IF($B11="","",SUMIFS('الحركات الشهرية'!$J$6:$J$1005,'الحركات الشهرية'!$B$6:$B$1005,$B11,'الحركات الشهرية'!$A$6:$A$1005,$C$3))</f>
        <v>0</v>
      </c>
      <c r="V11" s="90" t="n">
        <f aca="false">IF($B11="","",SUM(S11:U11))</f>
        <v>1584.375</v>
      </c>
      <c r="W11" s="112" t="n">
        <f aca="false">IF($B11="","",R11-V11)</f>
        <v>18465.625</v>
      </c>
      <c r="X11" s="90" t="n">
        <f aca="false">IF($B11="","",الموظفون!$Q11*IF(E11="سعودي",cfg_G_SR,cfg_G_NR)*F11/cfg_DAYS_M)</f>
        <v>1909.375</v>
      </c>
      <c r="Y11" s="90" t="n">
        <f aca="false">IF($B11="","",الموظفون!$O11*(cfg_EOS_R1*(MIN(AC11,cfg_EOS_TH)-MIN(AD11,cfg_EOS_TH))+cfg_EOS_R2*(MAX(AC11-cfg_EOS_TH,0)-MAX(AD11-cfg_EOS_TH,0))))</f>
        <v>1490.54794520549</v>
      </c>
      <c r="Z11" s="90" t="n">
        <f aca="false">IF($B11="","",IF(الموظفون!$R11&lt;&gt;"",الموظفون!$R11,IF(AC11&gt;=cfg_LV_TH,cfg_LV_D2,cfg_LV_D1))/cfg_DAYS_Y*AE11*الموظفون!$P11/cfg_DAYS_M)</f>
        <v>1490.54794520548</v>
      </c>
      <c r="AA11" s="90" t="n">
        <f aca="false">IF($B11="","",IF(AND(الموظفون!$S11="نعم",N(الموظفون!$U11)&gt;0),الموظفون!$T11/الموظفون!$U11*12/cfg_DAYS_Y*AE11,0))</f>
        <v>0</v>
      </c>
      <c r="AB11" s="113" t="n">
        <f aca="false">IF($B11="","",R11+SUM(X11:AA11))</f>
        <v>24940.470890411</v>
      </c>
      <c r="AC11" s="114" t="n">
        <f aca="false">IF($B11="","",MAX(0,IF(OR(الموظفون!$X11="",الموظفون!$X11&gt;$G$3),$G$3,الموظفون!$X11)-الموظفون!$H11+1)/cfg_DAYS_Y)</f>
        <v>9.16164383561644</v>
      </c>
      <c r="AD11" s="114" t="n">
        <f aca="false">IF($B11="","",MAX(0,IF(OR(الموظفون!$X11="",الموظفون!$X11&gt;($E$3-1)),($E$3-1),الموظفون!$X11)-الموظفون!$H11+1)/cfg_DAYS_Y)</f>
        <v>9.07671232876712</v>
      </c>
      <c r="AE11" s="115" t="n">
        <f aca="false">IF($B11="","",MAX(0,IF(OR(الموظفون!$X11="",الموظفون!$X11&gt;$G$3),$G$3,الموظفون!$X11)-MAX($E$3,الموظفون!$H11)+1))</f>
        <v>31</v>
      </c>
    </row>
    <row r="12" customFormat="false" ht="15" hidden="false" customHeight="false" outlineLevel="0" collapsed="false">
      <c r="A12" s="83" t="n">
        <f aca="false">IF($B12="","",الموظفون!$A12)</f>
        <v>7</v>
      </c>
      <c r="B12" s="74" t="str">
        <f aca="false">IF(الموظفون!$B12="","",الموظفون!$B12)</f>
        <v>E007</v>
      </c>
      <c r="C12" s="74" t="str">
        <f aca="false">IF($B12="","",الموظفون!$C12)</f>
        <v>خالد يوسف الأحمد</v>
      </c>
      <c r="D12" s="74" t="str">
        <f aca="false">IF($B12="","",الموظفون!$F12)</f>
        <v>المشاريع</v>
      </c>
      <c r="E12" s="74" t="str">
        <f aca="false">IF($B12="","",الموظفون!$E12)</f>
        <v>غير سعودي</v>
      </c>
      <c r="F12" s="105" t="n">
        <f aca="false">IF($B12="","",IF(AE12&gt;=DAY($G$3),cfg_DAYS_M,MIN(AE12,cfg_DAYS_M)))</f>
        <v>30</v>
      </c>
      <c r="G12" s="105" t="n">
        <f aca="false">IF($B12="","",SUMIFS('الحركات الشهرية'!$D$6:$D$1005,'الحركات الشهرية'!$B$6:$B$1005,$B12,'الحركات الشهرية'!$A$6:$A$1005,$C$3))</f>
        <v>0</v>
      </c>
      <c r="H12" s="105" t="n">
        <f aca="false">IF($B12="","",SUMIFS('الحركات الشهرية'!$E$6:$E$1005,'الحركات الشهرية'!$B$6:$B$1005,$B12,'الحركات الشهرية'!$A$6:$A$1005,$C$3))</f>
        <v>0</v>
      </c>
      <c r="I12" s="105" t="n">
        <f aca="false">IF($B12="","",MAX(0,F12-G12-H12))</f>
        <v>30</v>
      </c>
      <c r="J12" s="86" t="n">
        <f aca="false">IF($B12="","",الموظفون!$J12*$I12/cfg_DAYS_M)</f>
        <v>11000</v>
      </c>
      <c r="K12" s="86" t="n">
        <f aca="false">IF($B12="","",الموظفون!$K12*$I12/cfg_DAYS_M)</f>
        <v>2750</v>
      </c>
      <c r="L12" s="86" t="n">
        <f aca="false">IF($B12="","",الموظفون!$L12*$I12/cfg_DAYS_M)</f>
        <v>1100</v>
      </c>
      <c r="M12" s="86" t="n">
        <f aca="false">IF($B12="","",الموظفون!$M12*$I12/cfg_DAYS_M)</f>
        <v>800</v>
      </c>
      <c r="N12" s="105" t="n">
        <f aca="false">IF($B12="","",SUMIFS('الحركات الشهرية'!$F$6:$F$1005,'الحركات الشهرية'!$B$6:$B$1005,$B12,'الحركات الشهرية'!$A$6:$A$1005,$C$3))</f>
        <v>0</v>
      </c>
      <c r="O12" s="86" t="n">
        <f aca="false">IF($B12="","",N12*(الموظفون!$N12+الموظفون!$J12*cfg_OT_P)/cfg_DAYS_M/cfg_HRS)</f>
        <v>0</v>
      </c>
      <c r="P12" s="86" t="n">
        <f aca="false">IF($B12="","",SUMIFS('الحركات الشهرية'!$G$6:$G$1005,'الحركات الشهرية'!$B$6:$B$1005,$B12,'الحركات الشهرية'!$A$6:$A$1005,$C$3))</f>
        <v>0</v>
      </c>
      <c r="Q12" s="86" t="n">
        <f aca="false">IF($B12="","",SUMIFS('الحركات الشهرية'!$H$6:$H$1005,'الحركات الشهرية'!$B$6:$B$1005,$B12,'الحركات الشهرية'!$A$6:$A$1005,$C$3))</f>
        <v>0</v>
      </c>
      <c r="R12" s="106" t="n">
        <f aca="false">IF($B12="","",SUM(J12:M12)+SUM(O12:Q12))</f>
        <v>15650</v>
      </c>
      <c r="S12" s="86" t="n">
        <f aca="false">IF($B12="","",الموظفون!$Q12*IF(E12="سعودي",cfg_G_SE,cfg_G_NE)*F12/cfg_DAYS_M)</f>
        <v>0</v>
      </c>
      <c r="T12" s="86" t="n">
        <f aca="false">IF($B12="","",SUMIFS('الحركات الشهرية'!$I$6:$I$1005,'الحركات الشهرية'!$B$6:$B$1005,$B12,'الحركات الشهرية'!$A$6:$A$1005,$C$3))</f>
        <v>0</v>
      </c>
      <c r="U12" s="86" t="n">
        <f aca="false">IF($B12="","",SUMIFS('الحركات الشهرية'!$J$6:$J$1005,'الحركات الشهرية'!$B$6:$B$1005,$B12,'الحركات الشهرية'!$A$6:$A$1005,$C$3))</f>
        <v>0</v>
      </c>
      <c r="V12" s="86" t="n">
        <f aca="false">IF($B12="","",SUM(S12:U12))</f>
        <v>0</v>
      </c>
      <c r="W12" s="107" t="n">
        <f aca="false">IF($B12="","",R12-V12)</f>
        <v>15650</v>
      </c>
      <c r="X12" s="86" t="n">
        <f aca="false">IF($B12="","",الموظفون!$Q12*IF(E12="سعودي",cfg_G_SR,cfg_G_NR)*F12/cfg_DAYS_M)</f>
        <v>275</v>
      </c>
      <c r="Y12" s="86" t="n">
        <f aca="false">IF($B12="","",الموظفون!$O12*(cfg_EOS_R1*(MIN(AC12,cfg_EOS_TH)-MIN(AD12,cfg_EOS_TH))+cfg_EOS_R2*(MAX(AC12-cfg_EOS_TH,0)-MAX(AD12-cfg_EOS_TH,0))))</f>
        <v>1261.23287671232</v>
      </c>
      <c r="Z12" s="86" t="n">
        <f aca="false">IF($B12="","",IF(الموظفون!$R12&lt;&gt;"",الموظفون!$R12,IF(AC12&gt;=cfg_LV_TH,cfg_LV_D2,cfg_LV_D1))/cfg_DAYS_Y*AE12*الموظفون!$P12/cfg_DAYS_M)</f>
        <v>1261.23287671233</v>
      </c>
      <c r="AA12" s="86" t="n">
        <f aca="false">IF($B12="","",IF(AND(الموظفون!$S12="نعم",N(الموظفون!$U12)&gt;0),الموظفون!$T12/الموظفون!$U12*12/cfg_DAYS_Y*AE12,0))</f>
        <v>382.191780821918</v>
      </c>
      <c r="AB12" s="108" t="n">
        <f aca="false">IF($B12="","",R12+SUM(X12:AA12))</f>
        <v>18829.6575342466</v>
      </c>
      <c r="AC12" s="109" t="n">
        <f aca="false">IF($B12="","",MAX(0,IF(OR(الموظفون!$X12="",الموظفون!$X12&gt;$G$3),$G$3,الموظفون!$X12)-الموظفون!$H12+1)/cfg_DAYS_Y)</f>
        <v>5.95068493150685</v>
      </c>
      <c r="AD12" s="109" t="n">
        <f aca="false">IF($B12="","",MAX(0,IF(OR(الموظفون!$X12="",الموظفون!$X12&gt;($E$3-1)),($E$3-1),الموظفون!$X12)-الموظفون!$H12+1)/cfg_DAYS_Y)</f>
        <v>5.86575342465754</v>
      </c>
      <c r="AE12" s="51" t="n">
        <f aca="false">IF($B12="","",MAX(0,IF(OR(الموظفون!$X12="",الموظفون!$X12&gt;$G$3),$G$3,الموظفون!$X12)-MAX($E$3,الموظفون!$H12)+1))</f>
        <v>31</v>
      </c>
    </row>
    <row r="13" customFormat="false" ht="15" hidden="false" customHeight="false" outlineLevel="0" collapsed="false">
      <c r="A13" s="89" t="n">
        <f aca="false">IF($B13="","",الموظفون!$A13)</f>
        <v>8</v>
      </c>
      <c r="B13" s="91" t="str">
        <f aca="false">IF(الموظفون!$B13="","",الموظفون!$B13)</f>
        <v>E008</v>
      </c>
      <c r="C13" s="91" t="str">
        <f aca="false">IF($B13="","",الموظفون!$C13)</f>
        <v>سارة عبدالرحمن الزهراني</v>
      </c>
      <c r="D13" s="91" t="str">
        <f aca="false">IF($B13="","",الموظفون!$F13)</f>
        <v>المالية</v>
      </c>
      <c r="E13" s="91" t="str">
        <f aca="false">IF($B13="","",الموظفون!$E13)</f>
        <v>سعودي</v>
      </c>
      <c r="F13" s="110" t="n">
        <f aca="false">IF($B13="","",IF(AE13&gt;=DAY($G$3),cfg_DAYS_M,MIN(AE13,cfg_DAYS_M)))</f>
        <v>30</v>
      </c>
      <c r="G13" s="110" t="n">
        <f aca="false">IF($B13="","",SUMIFS('الحركات الشهرية'!$D$6:$D$1005,'الحركات الشهرية'!$B$6:$B$1005,$B13,'الحركات الشهرية'!$A$6:$A$1005,$C$3))</f>
        <v>0</v>
      </c>
      <c r="H13" s="110" t="n">
        <f aca="false">IF($B13="","",SUMIFS('الحركات الشهرية'!$E$6:$E$1005,'الحركات الشهرية'!$B$6:$B$1005,$B13,'الحركات الشهرية'!$A$6:$A$1005,$C$3))</f>
        <v>0</v>
      </c>
      <c r="I13" s="110" t="n">
        <f aca="false">IF($B13="","",MAX(0,F13-G13-H13))</f>
        <v>30</v>
      </c>
      <c r="J13" s="90" t="n">
        <f aca="false">IF($B13="","",الموظفون!$J13*$I13/cfg_DAYS_M)</f>
        <v>7500</v>
      </c>
      <c r="K13" s="90" t="n">
        <f aca="false">IF($B13="","",الموظفون!$K13*$I13/cfg_DAYS_M)</f>
        <v>1875</v>
      </c>
      <c r="L13" s="90" t="n">
        <f aca="false">IF($B13="","",الموظفون!$L13*$I13/cfg_DAYS_M)</f>
        <v>750</v>
      </c>
      <c r="M13" s="90" t="n">
        <f aca="false">IF($B13="","",الموظفون!$M13*$I13/cfg_DAYS_M)</f>
        <v>0</v>
      </c>
      <c r="N13" s="110" t="n">
        <f aca="false">IF($B13="","",SUMIFS('الحركات الشهرية'!$F$6:$F$1005,'الحركات الشهرية'!$B$6:$B$1005,$B13,'الحركات الشهرية'!$A$6:$A$1005,$C$3))</f>
        <v>0</v>
      </c>
      <c r="O13" s="90" t="n">
        <f aca="false">IF($B13="","",N13*(الموظفون!$N13+الموظفون!$J13*cfg_OT_P)/cfg_DAYS_M/cfg_HRS)</f>
        <v>0</v>
      </c>
      <c r="P13" s="90" t="n">
        <f aca="false">IF($B13="","",SUMIFS('الحركات الشهرية'!$G$6:$G$1005,'الحركات الشهرية'!$B$6:$B$1005,$B13,'الحركات الشهرية'!$A$6:$A$1005,$C$3))</f>
        <v>0</v>
      </c>
      <c r="Q13" s="90" t="n">
        <f aca="false">IF($B13="","",SUMIFS('الحركات الشهرية'!$H$6:$H$1005,'الحركات الشهرية'!$B$6:$B$1005,$B13,'الحركات الشهرية'!$A$6:$A$1005,$C$3))</f>
        <v>0</v>
      </c>
      <c r="R13" s="111" t="n">
        <f aca="false">IF($B13="","",SUM(J13:M13)+SUM(O13:Q13))</f>
        <v>10125</v>
      </c>
      <c r="S13" s="90" t="n">
        <f aca="false">IF($B13="","",الموظفون!$Q13*IF(E13="سعودي",cfg_G_SE,cfg_G_NE)*F13/cfg_DAYS_M)</f>
        <v>914.0625</v>
      </c>
      <c r="T13" s="90" t="n">
        <f aca="false">IF($B13="","",SUMIFS('الحركات الشهرية'!$I$6:$I$1005,'الحركات الشهرية'!$B$6:$B$1005,$B13,'الحركات الشهرية'!$A$6:$A$1005,$C$3))</f>
        <v>0</v>
      </c>
      <c r="U13" s="90" t="n">
        <f aca="false">IF($B13="","",SUMIFS('الحركات الشهرية'!$J$6:$J$1005,'الحركات الشهرية'!$B$6:$B$1005,$B13,'الحركات الشهرية'!$A$6:$A$1005,$C$3))</f>
        <v>0</v>
      </c>
      <c r="V13" s="90" t="n">
        <f aca="false">IF($B13="","",SUM(S13:U13))</f>
        <v>914.0625</v>
      </c>
      <c r="W13" s="112" t="n">
        <f aca="false">IF($B13="","",R13-V13)</f>
        <v>9210.9375</v>
      </c>
      <c r="X13" s="90" t="n">
        <f aca="false">IF($B13="","",الموظفون!$Q13*IF(E13="سعودي",cfg_G_SR,cfg_G_NR)*F13/cfg_DAYS_M)</f>
        <v>1101.5625</v>
      </c>
      <c r="Y13" s="90" t="n">
        <f aca="false">IF($B13="","",الموظفون!$O13*(cfg_EOS_R1*(MIN(AC13,cfg_EOS_TH)-MIN(AD13,cfg_EOS_TH))+cfg_EOS_R2*(MAX(AC13-cfg_EOS_TH,0)-MAX(AD13-cfg_EOS_TH,0))))</f>
        <v>429.965753424657</v>
      </c>
      <c r="Z13" s="90" t="n">
        <f aca="false">IF($B13="","",IF(الموظفون!$R13&lt;&gt;"",الموظفون!$R13,IF(AC13&gt;=cfg_LV_TH,cfg_LV_D2,cfg_LV_D1))/cfg_DAYS_Y*AE13*الموظفون!$P13/cfg_DAYS_M)</f>
        <v>601.952054794521</v>
      </c>
      <c r="AA13" s="90" t="n">
        <f aca="false">IF($B13="","",IF(AND(الموظفون!$S13="نعم",N(الموظفون!$U13)&gt;0),الموظفون!$T13/الموظفون!$U13*12/cfg_DAYS_Y*AE13,0))</f>
        <v>0</v>
      </c>
      <c r="AB13" s="113" t="n">
        <f aca="false">IF($B13="","",R13+SUM(X13:AA13))</f>
        <v>12258.4803082192</v>
      </c>
      <c r="AC13" s="114" t="n">
        <f aca="false">IF($B13="","",MAX(0,IF(OR(الموظفون!$X13="",الموظفون!$X13&gt;$G$3),$G$3,الموظفون!$X13)-الموظفون!$H13+1)/cfg_DAYS_Y)</f>
        <v>3.84109589041096</v>
      </c>
      <c r="AD13" s="114" t="n">
        <f aca="false">IF($B13="","",MAX(0,IF(OR(الموظفون!$X13="",الموظفون!$X13&gt;($E$3-1)),($E$3-1),الموظفون!$X13)-الموظفون!$H13+1)/cfg_DAYS_Y)</f>
        <v>3.75616438356164</v>
      </c>
      <c r="AE13" s="115" t="n">
        <f aca="false">IF($B13="","",MAX(0,IF(OR(الموظفون!$X13="",الموظفون!$X13&gt;$G$3),$G$3,الموظفون!$X13)-MAX($E$3,الموظفون!$H13)+1))</f>
        <v>31</v>
      </c>
    </row>
    <row r="14" customFormat="false" ht="15" hidden="false" customHeight="false" outlineLevel="0" collapsed="false">
      <c r="A14" s="83" t="n">
        <f aca="false">IF($B14="","",الموظفون!$A14)</f>
        <v>9</v>
      </c>
      <c r="B14" s="74" t="str">
        <f aca="false">IF(الموظفون!$B14="","",الموظفون!$B14)</f>
        <v>E009</v>
      </c>
      <c r="C14" s="74" t="str">
        <f aca="false">IF($B14="","",الموظفون!$C14)</f>
        <v>محمد رفيق</v>
      </c>
      <c r="D14" s="74" t="str">
        <f aca="false">IF($B14="","",الموظفون!$F14)</f>
        <v>العمليات</v>
      </c>
      <c r="E14" s="74" t="str">
        <f aca="false">IF($B14="","",الموظفون!$E14)</f>
        <v>غير سعودي</v>
      </c>
      <c r="F14" s="105" t="n">
        <f aca="false">IF($B14="","",IF(AE14&gt;=DAY($G$3),cfg_DAYS_M,MIN(AE14,cfg_DAYS_M)))</f>
        <v>30</v>
      </c>
      <c r="G14" s="105" t="n">
        <f aca="false">IF($B14="","",SUMIFS('الحركات الشهرية'!$D$6:$D$1005,'الحركات الشهرية'!$B$6:$B$1005,$B14,'الحركات الشهرية'!$A$6:$A$1005,$C$3))</f>
        <v>0</v>
      </c>
      <c r="H14" s="105" t="n">
        <f aca="false">IF($B14="","",SUMIFS('الحركات الشهرية'!$E$6:$E$1005,'الحركات الشهرية'!$B$6:$B$1005,$B14,'الحركات الشهرية'!$A$6:$A$1005,$C$3))</f>
        <v>0</v>
      </c>
      <c r="I14" s="105" t="n">
        <f aca="false">IF($B14="","",MAX(0,F14-G14-H14))</f>
        <v>30</v>
      </c>
      <c r="J14" s="86" t="n">
        <f aca="false">IF($B14="","",الموظفون!$J14*$I14/cfg_DAYS_M)</f>
        <v>6500</v>
      </c>
      <c r="K14" s="86" t="n">
        <f aca="false">IF($B14="","",الموظفون!$K14*$I14/cfg_DAYS_M)</f>
        <v>1625</v>
      </c>
      <c r="L14" s="86" t="n">
        <f aca="false">IF($B14="","",الموظفون!$L14*$I14/cfg_DAYS_M)</f>
        <v>650</v>
      </c>
      <c r="M14" s="86" t="n">
        <f aca="false">IF($B14="","",الموظفون!$M14*$I14/cfg_DAYS_M)</f>
        <v>300</v>
      </c>
      <c r="N14" s="105" t="n">
        <f aca="false">IF($B14="","",SUMIFS('الحركات الشهرية'!$F$6:$F$1005,'الحركات الشهرية'!$B$6:$B$1005,$B14,'الحركات الشهرية'!$A$6:$A$1005,$C$3))</f>
        <v>0</v>
      </c>
      <c r="O14" s="86" t="n">
        <f aca="false">IF($B14="","",N14*(الموظفون!$N14+الموظفون!$J14*cfg_OT_P)/cfg_DAYS_M/cfg_HRS)</f>
        <v>0</v>
      </c>
      <c r="P14" s="86" t="n">
        <f aca="false">IF($B14="","",SUMIFS('الحركات الشهرية'!$G$6:$G$1005,'الحركات الشهرية'!$B$6:$B$1005,$B14,'الحركات الشهرية'!$A$6:$A$1005,$C$3))</f>
        <v>0</v>
      </c>
      <c r="Q14" s="86" t="n">
        <f aca="false">IF($B14="","",SUMIFS('الحركات الشهرية'!$H$6:$H$1005,'الحركات الشهرية'!$B$6:$B$1005,$B14,'الحركات الشهرية'!$A$6:$A$1005,$C$3))</f>
        <v>0</v>
      </c>
      <c r="R14" s="106" t="n">
        <f aca="false">IF($B14="","",SUM(J14:M14)+SUM(O14:Q14))</f>
        <v>9075</v>
      </c>
      <c r="S14" s="86" t="n">
        <f aca="false">IF($B14="","",الموظفون!$Q14*IF(E14="سعودي",cfg_G_SE,cfg_G_NE)*F14/cfg_DAYS_M)</f>
        <v>0</v>
      </c>
      <c r="T14" s="86" t="n">
        <f aca="false">IF($B14="","",SUMIFS('الحركات الشهرية'!$I$6:$I$1005,'الحركات الشهرية'!$B$6:$B$1005,$B14,'الحركات الشهرية'!$A$6:$A$1005,$C$3))</f>
        <v>0</v>
      </c>
      <c r="U14" s="86" t="n">
        <f aca="false">IF($B14="","",SUMIFS('الحركات الشهرية'!$J$6:$J$1005,'الحركات الشهرية'!$B$6:$B$1005,$B14,'الحركات الشهرية'!$A$6:$A$1005,$C$3))</f>
        <v>0</v>
      </c>
      <c r="V14" s="86" t="n">
        <f aca="false">IF($B14="","",SUM(S14:U14))</f>
        <v>0</v>
      </c>
      <c r="W14" s="107" t="n">
        <f aca="false">IF($B14="","",R14-V14)</f>
        <v>9075</v>
      </c>
      <c r="X14" s="86" t="n">
        <f aca="false">IF($B14="","",الموظفون!$Q14*IF(E14="سعودي",cfg_G_SR,cfg_G_NR)*F14/cfg_DAYS_M)</f>
        <v>162.5</v>
      </c>
      <c r="Y14" s="86" t="n">
        <f aca="false">IF($B14="","",الموظفون!$O14*(cfg_EOS_R1*(MIN(AC14,cfg_EOS_TH)-MIN(AD14,cfg_EOS_TH))+cfg_EOS_R2*(MAX(AC14-cfg_EOS_TH,0)-MAX(AD14-cfg_EOS_TH,0))))</f>
        <v>745.273972602744</v>
      </c>
      <c r="Z14" s="86" t="n">
        <f aca="false">IF($B14="","",IF(الموظفون!$R14&lt;&gt;"",الموظفون!$R14,IF(AC14&gt;=cfg_LV_TH,cfg_LV_D2,cfg_LV_D1))/cfg_DAYS_Y*AE14*الموظفون!$P14/cfg_DAYS_M)</f>
        <v>745.27397260274</v>
      </c>
      <c r="AA14" s="86" t="n">
        <f aca="false">IF($B14="","",IF(AND(الموظفون!$S14="نعم",N(الموظفون!$U14)&gt;0),الموظفون!$T14/الموظفون!$U14*12/cfg_DAYS_Y*AE14,0))</f>
        <v>93.4246575342466</v>
      </c>
      <c r="AB14" s="108" t="n">
        <f aca="false">IF($B14="","",R14+SUM(X14:AA14))</f>
        <v>10821.4726027397</v>
      </c>
      <c r="AC14" s="109" t="n">
        <f aca="false">IF($B14="","",MAX(0,IF(OR(الموظفون!$X14="",الموظفون!$X14&gt;$G$3),$G$3,الموظفون!$X14)-الموظفون!$H14+1)/cfg_DAYS_Y)</f>
        <v>12.3808219178082</v>
      </c>
      <c r="AD14" s="109" t="n">
        <f aca="false">IF($B14="","",MAX(0,IF(OR(الموظفون!$X14="",الموظفون!$X14&gt;($E$3-1)),($E$3-1),الموظفون!$X14)-الموظفون!$H14+1)/cfg_DAYS_Y)</f>
        <v>12.2958904109589</v>
      </c>
      <c r="AE14" s="51" t="n">
        <f aca="false">IF($B14="","",MAX(0,IF(OR(الموظفون!$X14="",الموظفون!$X14&gt;$G$3),$G$3,الموظفون!$X14)-MAX($E$3,الموظفون!$H14)+1))</f>
        <v>31</v>
      </c>
    </row>
    <row r="15" customFormat="false" ht="15" hidden="false" customHeight="false" outlineLevel="0" collapsed="false">
      <c r="A15" s="89" t="n">
        <f aca="false">IF($B15="","",الموظفون!$A15)</f>
        <v>10</v>
      </c>
      <c r="B15" s="91" t="str">
        <f aca="false">IF(الموظفون!$B15="","",الموظفون!$B15)</f>
        <v>E010</v>
      </c>
      <c r="C15" s="91" t="str">
        <f aca="false">IF($B15="","",الموظفون!$C15)</f>
        <v>ريم سلطان المطيري</v>
      </c>
      <c r="D15" s="91" t="str">
        <f aca="false">IF($B15="","",الموظفون!$F15)</f>
        <v>المبيعات</v>
      </c>
      <c r="E15" s="91" t="str">
        <f aca="false">IF($B15="","",الموظفون!$E15)</f>
        <v>سعودي</v>
      </c>
      <c r="F15" s="110" t="n">
        <f aca="false">IF($B15="","",IF(AE15&gt;=DAY($G$3),cfg_DAYS_M,MIN(AE15,cfg_DAYS_M)))</f>
        <v>30</v>
      </c>
      <c r="G15" s="110" t="n">
        <f aca="false">IF($B15="","",SUMIFS('الحركات الشهرية'!$D$6:$D$1005,'الحركات الشهرية'!$B$6:$B$1005,$B15,'الحركات الشهرية'!$A$6:$A$1005,$C$3))</f>
        <v>0</v>
      </c>
      <c r="H15" s="110" t="n">
        <f aca="false">IF($B15="","",SUMIFS('الحركات الشهرية'!$E$6:$E$1005,'الحركات الشهرية'!$B$6:$B$1005,$B15,'الحركات الشهرية'!$A$6:$A$1005,$C$3))</f>
        <v>0</v>
      </c>
      <c r="I15" s="110" t="n">
        <f aca="false">IF($B15="","",MAX(0,F15-G15-H15))</f>
        <v>30</v>
      </c>
      <c r="J15" s="90" t="n">
        <f aca="false">IF($B15="","",الموظفون!$J15*$I15/cfg_DAYS_M)</f>
        <v>9000</v>
      </c>
      <c r="K15" s="90" t="n">
        <f aca="false">IF($B15="","",الموظفون!$K15*$I15/cfg_DAYS_M)</f>
        <v>2250</v>
      </c>
      <c r="L15" s="90" t="n">
        <f aca="false">IF($B15="","",الموظفون!$L15*$I15/cfg_DAYS_M)</f>
        <v>900</v>
      </c>
      <c r="M15" s="90" t="n">
        <f aca="false">IF($B15="","",الموظفون!$M15*$I15/cfg_DAYS_M)</f>
        <v>0</v>
      </c>
      <c r="N15" s="110" t="n">
        <f aca="false">IF($B15="","",SUMIFS('الحركات الشهرية'!$F$6:$F$1005,'الحركات الشهرية'!$B$6:$B$1005,$B15,'الحركات الشهرية'!$A$6:$A$1005,$C$3))</f>
        <v>0</v>
      </c>
      <c r="O15" s="90" t="n">
        <f aca="false">IF($B15="","",N15*(الموظفون!$N15+الموظفون!$J15*cfg_OT_P)/cfg_DAYS_M/cfg_HRS)</f>
        <v>0</v>
      </c>
      <c r="P15" s="90" t="n">
        <f aca="false">IF($B15="","",SUMIFS('الحركات الشهرية'!$G$6:$G$1005,'الحركات الشهرية'!$B$6:$B$1005,$B15,'الحركات الشهرية'!$A$6:$A$1005,$C$3))</f>
        <v>0</v>
      </c>
      <c r="Q15" s="90" t="n">
        <f aca="false">IF($B15="","",SUMIFS('الحركات الشهرية'!$H$6:$H$1005,'الحركات الشهرية'!$B$6:$B$1005,$B15,'الحركات الشهرية'!$A$6:$A$1005,$C$3))</f>
        <v>0</v>
      </c>
      <c r="R15" s="111" t="n">
        <f aca="false">IF($B15="","",SUM(J15:M15)+SUM(O15:Q15))</f>
        <v>12150</v>
      </c>
      <c r="S15" s="90" t="n">
        <f aca="false">IF($B15="","",الموظفون!$Q15*IF(E15="سعودي",cfg_G_SE,cfg_G_NE)*F15/cfg_DAYS_M)</f>
        <v>1096.875</v>
      </c>
      <c r="T15" s="90" t="n">
        <f aca="false">IF($B15="","",SUMIFS('الحركات الشهرية'!$I$6:$I$1005,'الحركات الشهرية'!$B$6:$B$1005,$B15,'الحركات الشهرية'!$A$6:$A$1005,$C$3))</f>
        <v>0</v>
      </c>
      <c r="U15" s="90" t="n">
        <f aca="false">IF($B15="","",SUMIFS('الحركات الشهرية'!$J$6:$J$1005,'الحركات الشهرية'!$B$6:$B$1005,$B15,'الحركات الشهرية'!$A$6:$A$1005,$C$3))</f>
        <v>0</v>
      </c>
      <c r="V15" s="90" t="n">
        <f aca="false">IF($B15="","",SUM(S15:U15))</f>
        <v>1096.875</v>
      </c>
      <c r="W15" s="112" t="n">
        <f aca="false">IF($B15="","",R15-V15)</f>
        <v>11053.125</v>
      </c>
      <c r="X15" s="90" t="n">
        <f aca="false">IF($B15="","",الموظفون!$Q15*IF(E15="سعودي",cfg_G_SR,cfg_G_NR)*F15/cfg_DAYS_M)</f>
        <v>1321.875</v>
      </c>
      <c r="Y15" s="90" t="n">
        <f aca="false">IF($B15="","",الموظفون!$O15*(cfg_EOS_R1*(MIN(AC15,cfg_EOS_TH)-MIN(AD15,cfg_EOS_TH))+cfg_EOS_R2*(MAX(AC15-cfg_EOS_TH,0)-MAX(AD15-cfg_EOS_TH,0))))</f>
        <v>515.958904109589</v>
      </c>
      <c r="Z15" s="90" t="n">
        <f aca="false">IF($B15="","",IF(الموظفون!$R15&lt;&gt;"",الموظفون!$R15,IF(AC15&gt;=cfg_LV_TH,cfg_LV_D2,cfg_LV_D1))/cfg_DAYS_Y*AE15*الموظفون!$P15/cfg_DAYS_M)</f>
        <v>722.342465753425</v>
      </c>
      <c r="AA15" s="90" t="n">
        <f aca="false">IF($B15="","",IF(AND(الموظفون!$S15="نعم",N(الموظفون!$U15)&gt;0),الموظفون!$T15/الموظفون!$U15*12/cfg_DAYS_Y*AE15,0))</f>
        <v>0</v>
      </c>
      <c r="AB15" s="113" t="n">
        <f aca="false">IF($B15="","",R15+SUM(X15:AA15))</f>
        <v>14710.176369863</v>
      </c>
      <c r="AC15" s="114" t="n">
        <f aca="false">IF($B15="","",MAX(0,IF(OR(الموظفون!$X15="",الموظفون!$X15&gt;$G$3),$G$3,الموظفون!$X15)-الموظفون!$H15+1)/cfg_DAYS_Y)</f>
        <v>0.715068493150685</v>
      </c>
      <c r="AD15" s="114" t="n">
        <f aca="false">IF($B15="","",MAX(0,IF(OR(الموظفون!$X15="",الموظفون!$X15&gt;($E$3-1)),($E$3-1),الموظفون!$X15)-الموظفون!$H15+1)/cfg_DAYS_Y)</f>
        <v>0.63013698630137</v>
      </c>
      <c r="AE15" s="115" t="n">
        <f aca="false">IF($B15="","",MAX(0,IF(OR(الموظفون!$X15="",الموظفون!$X15&gt;$G$3),$G$3,الموظفون!$X15)-MAX($E$3,الموظفون!$H15)+1))</f>
        <v>31</v>
      </c>
    </row>
    <row r="16" customFormat="false" ht="15" hidden="false" customHeight="false" outlineLevel="0" collapsed="false">
      <c r="A16" s="83" t="n">
        <f aca="false">IF($B16="","",الموظفون!$A16)</f>
        <v>11</v>
      </c>
      <c r="B16" s="74" t="str">
        <f aca="false">IF(الموظفون!$B16="","",الموظفون!$B16)</f>
        <v>E011</v>
      </c>
      <c r="C16" s="74" t="str">
        <f aca="false">IF($B16="","",الموظفون!$C16)</f>
        <v>جون ماتيو</v>
      </c>
      <c r="D16" s="74" t="str">
        <f aca="false">IF($B16="","",الموظفون!$F16)</f>
        <v>العمليات</v>
      </c>
      <c r="E16" s="74" t="str">
        <f aca="false">IF($B16="","",الموظفون!$E16)</f>
        <v>غير سعودي</v>
      </c>
      <c r="F16" s="105" t="n">
        <f aca="false">IF($B16="","",IF(AE16&gt;=DAY($G$3),cfg_DAYS_M,MIN(AE16,cfg_DAYS_M)))</f>
        <v>0</v>
      </c>
      <c r="G16" s="105" t="n">
        <f aca="false">IF($B16="","",SUMIFS('الحركات الشهرية'!$D$6:$D$1005,'الحركات الشهرية'!$B$6:$B$1005,$B16,'الحركات الشهرية'!$A$6:$A$1005,$C$3))</f>
        <v>0</v>
      </c>
      <c r="H16" s="105" t="n">
        <f aca="false">IF($B16="","",SUMIFS('الحركات الشهرية'!$E$6:$E$1005,'الحركات الشهرية'!$B$6:$B$1005,$B16,'الحركات الشهرية'!$A$6:$A$1005,$C$3))</f>
        <v>0</v>
      </c>
      <c r="I16" s="105" t="n">
        <f aca="false">IF($B16="","",MAX(0,F16-G16-H16))</f>
        <v>0</v>
      </c>
      <c r="J16" s="86" t="n">
        <f aca="false">IF($B16="","",الموظفون!$J16*$I16/cfg_DAYS_M)</f>
        <v>0</v>
      </c>
      <c r="K16" s="86" t="n">
        <f aca="false">IF($B16="","",الموظفون!$K16*$I16/cfg_DAYS_M)</f>
        <v>0</v>
      </c>
      <c r="L16" s="86" t="n">
        <f aca="false">IF($B16="","",الموظفون!$L16*$I16/cfg_DAYS_M)</f>
        <v>0</v>
      </c>
      <c r="M16" s="86" t="n">
        <f aca="false">IF($B16="","",الموظفون!$M16*$I16/cfg_DAYS_M)</f>
        <v>0</v>
      </c>
      <c r="N16" s="105" t="n">
        <f aca="false">IF($B16="","",SUMIFS('الحركات الشهرية'!$F$6:$F$1005,'الحركات الشهرية'!$B$6:$B$1005,$B16,'الحركات الشهرية'!$A$6:$A$1005,$C$3))</f>
        <v>0</v>
      </c>
      <c r="O16" s="86" t="n">
        <f aca="false">IF($B16="","",N16*(الموظفون!$N16+الموظفون!$J16*cfg_OT_P)/cfg_DAYS_M/cfg_HRS)</f>
        <v>0</v>
      </c>
      <c r="P16" s="86" t="n">
        <f aca="false">IF($B16="","",SUMIFS('الحركات الشهرية'!$G$6:$G$1005,'الحركات الشهرية'!$B$6:$B$1005,$B16,'الحركات الشهرية'!$A$6:$A$1005,$C$3))</f>
        <v>0</v>
      </c>
      <c r="Q16" s="86" t="n">
        <f aca="false">IF($B16="","",SUMIFS('الحركات الشهرية'!$H$6:$H$1005,'الحركات الشهرية'!$B$6:$B$1005,$B16,'الحركات الشهرية'!$A$6:$A$1005,$C$3))</f>
        <v>0</v>
      </c>
      <c r="R16" s="106" t="n">
        <f aca="false">IF($B16="","",SUM(J16:M16)+SUM(O16:Q16))</f>
        <v>0</v>
      </c>
      <c r="S16" s="86" t="n">
        <f aca="false">IF($B16="","",الموظفون!$Q16*IF(E16="سعودي",cfg_G_SE,cfg_G_NE)*F16/cfg_DAYS_M)</f>
        <v>0</v>
      </c>
      <c r="T16" s="86" t="n">
        <f aca="false">IF($B16="","",SUMIFS('الحركات الشهرية'!$I$6:$I$1005,'الحركات الشهرية'!$B$6:$B$1005,$B16,'الحركات الشهرية'!$A$6:$A$1005,$C$3))</f>
        <v>0</v>
      </c>
      <c r="U16" s="86" t="n">
        <f aca="false">IF($B16="","",SUMIFS('الحركات الشهرية'!$J$6:$J$1005,'الحركات الشهرية'!$B$6:$B$1005,$B16,'الحركات الشهرية'!$A$6:$A$1005,$C$3))</f>
        <v>0</v>
      </c>
      <c r="V16" s="86" t="n">
        <f aca="false">IF($B16="","",SUM(S16:U16))</f>
        <v>0</v>
      </c>
      <c r="W16" s="107" t="n">
        <f aca="false">IF($B16="","",R16-V16)</f>
        <v>0</v>
      </c>
      <c r="X16" s="86" t="n">
        <f aca="false">IF($B16="","",الموظفون!$Q16*IF(E16="سعودي",cfg_G_SR,cfg_G_NR)*F16/cfg_DAYS_M)</f>
        <v>0</v>
      </c>
      <c r="Y16" s="86" t="n">
        <f aca="false">IF($B16="","",الموظفون!$O16*(cfg_EOS_R1*(MIN(AC16,cfg_EOS_TH)-MIN(AD16,cfg_EOS_TH))+cfg_EOS_R2*(MAX(AC16-cfg_EOS_TH,0)-MAX(AD16-cfg_EOS_TH,0))))</f>
        <v>0</v>
      </c>
      <c r="Z16" s="86" t="n">
        <f aca="false">IF($B16="","",IF(الموظفون!$R16&lt;&gt;"",الموظفون!$R16,IF(AC16&gt;=cfg_LV_TH,cfg_LV_D2,cfg_LV_D1))/cfg_DAYS_Y*AE16*الموظفون!$P16/cfg_DAYS_M)</f>
        <v>0</v>
      </c>
      <c r="AA16" s="86" t="n">
        <f aca="false">IF($B16="","",IF(AND(الموظفون!$S16="نعم",N(الموظفون!$U16)&gt;0),الموظفون!$T16/الموظفون!$U16*12/cfg_DAYS_Y*AE16,0))</f>
        <v>0</v>
      </c>
      <c r="AB16" s="108" t="n">
        <f aca="false">IF($B16="","",R16+SUM(X16:AA16))</f>
        <v>0</v>
      </c>
      <c r="AC16" s="109" t="n">
        <f aca="false">IF($B16="","",MAX(0,IF(OR(الموظفون!$X16="",الموظفون!$X16&gt;$G$3),$G$3,الموظفون!$X16)-الموظفون!$H16+1)/cfg_DAYS_Y)</f>
        <v>7.33972602739726</v>
      </c>
      <c r="AD16" s="109" t="n">
        <f aca="false">IF($B16="","",MAX(0,IF(OR(الموظفون!$X16="",الموظفون!$X16&gt;($E$3-1)),($E$3-1),الموظفون!$X16)-الموظفون!$H16+1)/cfg_DAYS_Y)</f>
        <v>7.33972602739726</v>
      </c>
      <c r="AE16" s="51" t="n">
        <f aca="false">IF($B16="","",MAX(0,IF(OR(الموظفون!$X16="",الموظفون!$X16&gt;$G$3),$G$3,الموظفون!$X16)-MAX($E$3,الموظفون!$H16)+1))</f>
        <v>0</v>
      </c>
    </row>
    <row r="17" customFormat="false" ht="15" hidden="false" customHeight="false" outlineLevel="0" collapsed="false">
      <c r="A17" s="89" t="n">
        <f aca="false">IF($B17="","",الموظفون!$A17)</f>
        <v>12</v>
      </c>
      <c r="B17" s="91" t="str">
        <f aca="false">IF(الموظفون!$B17="","",الموظفون!$B17)</f>
        <v>E012</v>
      </c>
      <c r="C17" s="91" t="str">
        <f aca="false">IF($B17="","",الموظفون!$C17)</f>
        <v>عمر حسين البيشي</v>
      </c>
      <c r="D17" s="91" t="str">
        <f aca="false">IF($B17="","",الموظفون!$F17)</f>
        <v>تقنية المعلومات</v>
      </c>
      <c r="E17" s="91" t="str">
        <f aca="false">IF($B17="","",الموظفون!$E17)</f>
        <v>سعودي</v>
      </c>
      <c r="F17" s="110" t="n">
        <f aca="false">IF($B17="","",IF(AE17&gt;=DAY($G$3),cfg_DAYS_M,MIN(AE17,cfg_DAYS_M)))</f>
        <v>30</v>
      </c>
      <c r="G17" s="110" t="n">
        <f aca="false">IF($B17="","",SUMIFS('الحركات الشهرية'!$D$6:$D$1005,'الحركات الشهرية'!$B$6:$B$1005,$B17,'الحركات الشهرية'!$A$6:$A$1005,$C$3))</f>
        <v>0</v>
      </c>
      <c r="H17" s="110" t="n">
        <f aca="false">IF($B17="","",SUMIFS('الحركات الشهرية'!$E$6:$E$1005,'الحركات الشهرية'!$B$6:$B$1005,$B17,'الحركات الشهرية'!$A$6:$A$1005,$C$3))</f>
        <v>0</v>
      </c>
      <c r="I17" s="110" t="n">
        <f aca="false">IF($B17="","",MAX(0,F17-G17-H17))</f>
        <v>30</v>
      </c>
      <c r="J17" s="90" t="n">
        <f aca="false">IF($B17="","",الموظفون!$J17*$I17/cfg_DAYS_M)</f>
        <v>12000</v>
      </c>
      <c r="K17" s="90" t="n">
        <f aca="false">IF($B17="","",الموظفون!$K17*$I17/cfg_DAYS_M)</f>
        <v>3000</v>
      </c>
      <c r="L17" s="90" t="n">
        <f aca="false">IF($B17="","",الموظفون!$L17*$I17/cfg_DAYS_M)</f>
        <v>1200</v>
      </c>
      <c r="M17" s="90" t="n">
        <f aca="false">IF($B17="","",الموظفون!$M17*$I17/cfg_DAYS_M)</f>
        <v>1500</v>
      </c>
      <c r="N17" s="110" t="n">
        <f aca="false">IF($B17="","",SUMIFS('الحركات الشهرية'!$F$6:$F$1005,'الحركات الشهرية'!$B$6:$B$1005,$B17,'الحركات الشهرية'!$A$6:$A$1005,$C$3))</f>
        <v>0</v>
      </c>
      <c r="O17" s="90" t="n">
        <f aca="false">IF($B17="","",N17*(الموظفون!$N17+الموظفون!$J17*cfg_OT_P)/cfg_DAYS_M/cfg_HRS)</f>
        <v>0</v>
      </c>
      <c r="P17" s="90" t="n">
        <f aca="false">IF($B17="","",SUMIFS('الحركات الشهرية'!$G$6:$G$1005,'الحركات الشهرية'!$B$6:$B$1005,$B17,'الحركات الشهرية'!$A$6:$A$1005,$C$3))</f>
        <v>0</v>
      </c>
      <c r="Q17" s="90" t="n">
        <f aca="false">IF($B17="","",SUMIFS('الحركات الشهرية'!$H$6:$H$1005,'الحركات الشهرية'!$B$6:$B$1005,$B17,'الحركات الشهرية'!$A$6:$A$1005,$C$3))</f>
        <v>0</v>
      </c>
      <c r="R17" s="111" t="n">
        <f aca="false">IF($B17="","",SUM(J17:M17)+SUM(O17:Q17))</f>
        <v>17700</v>
      </c>
      <c r="S17" s="90" t="n">
        <f aca="false">IF($B17="","",الموظفون!$Q17*IF(E17="سعودي",cfg_G_SE,cfg_G_NE)*F17/cfg_DAYS_M)</f>
        <v>1462.5</v>
      </c>
      <c r="T17" s="90" t="n">
        <f aca="false">IF($B17="","",SUMIFS('الحركات الشهرية'!$I$6:$I$1005,'الحركات الشهرية'!$B$6:$B$1005,$B17,'الحركات الشهرية'!$A$6:$A$1005,$C$3))</f>
        <v>0</v>
      </c>
      <c r="U17" s="90" t="n">
        <f aca="false">IF($B17="","",SUMIFS('الحركات الشهرية'!$J$6:$J$1005,'الحركات الشهرية'!$B$6:$B$1005,$B17,'الحركات الشهرية'!$A$6:$A$1005,$C$3))</f>
        <v>0</v>
      </c>
      <c r="V17" s="90" t="n">
        <f aca="false">IF($B17="","",SUM(S17:U17))</f>
        <v>1462.5</v>
      </c>
      <c r="W17" s="112" t="n">
        <f aca="false">IF($B17="","",R17-V17)</f>
        <v>16237.5</v>
      </c>
      <c r="X17" s="90" t="n">
        <f aca="false">IF($B17="","",الموظفون!$Q17*IF(E17="سعودي",cfg_G_SR,cfg_G_NR)*F17/cfg_DAYS_M)</f>
        <v>1762.5</v>
      </c>
      <c r="Y17" s="90" t="n">
        <f aca="false">IF($B17="","",الموظفون!$O17*(cfg_EOS_R1*(MIN(AC17,cfg_EOS_TH)-MIN(AD17,cfg_EOS_TH))+cfg_EOS_R2*(MAX(AC17-cfg_EOS_TH,0)-MAX(AD17-cfg_EOS_TH,0))))</f>
        <v>687.945205479448</v>
      </c>
      <c r="Z17" s="90" t="n">
        <f aca="false">IF($B17="","",IF(الموظفون!$R17&lt;&gt;"",الموظفون!$R17,IF(AC17&gt;=cfg_LV_TH,cfg_LV_D2,cfg_LV_D1))/cfg_DAYS_Y*AE17*الموظفون!$P17/cfg_DAYS_M)</f>
        <v>963.123287671233</v>
      </c>
      <c r="AA17" s="90" t="n">
        <f aca="false">IF($B17="","",IF(AND(الموظفون!$S17="نعم",N(الموظفون!$U17)&gt;0),الموظفون!$T17/الموظفون!$U17*12/cfg_DAYS_Y*AE17,0))</f>
        <v>0</v>
      </c>
      <c r="AB17" s="113" t="n">
        <f aca="false">IF($B17="","",R17+SUM(X17:AA17))</f>
        <v>21113.5684931507</v>
      </c>
      <c r="AC17" s="114" t="n">
        <f aca="false">IF($B17="","",MAX(0,IF(OR(الموظفون!$X17="",الموظفون!$X17&gt;$G$3),$G$3,الموظفون!$X17)-الموظفون!$H17+1)/cfg_DAYS_Y)</f>
        <v>4.48219178082192</v>
      </c>
      <c r="AD17" s="114" t="n">
        <f aca="false">IF($B17="","",MAX(0,IF(OR(الموظفون!$X17="",الموظفون!$X17&gt;($E$3-1)),($E$3-1),الموظفون!$X17)-الموظفون!$H17+1)/cfg_DAYS_Y)</f>
        <v>4.3972602739726</v>
      </c>
      <c r="AE17" s="115" t="n">
        <f aca="false">IF($B17="","",MAX(0,IF(OR(الموظفون!$X17="",الموظفون!$X17&gt;$G$3),$G$3,الموظفون!$X17)-MAX($E$3,الموظفون!$H17)+1))</f>
        <v>31</v>
      </c>
    </row>
    <row r="18" customFormat="false" ht="15" hidden="false" customHeight="false" outlineLevel="0" collapsed="false">
      <c r="A18" s="83" t="str">
        <f aca="false">IF($B18="","",الموظفون!$A18)</f>
        <v/>
      </c>
      <c r="B18" s="74" t="str">
        <f aca="false">IF(الموظفون!$B18="","",الموظفون!$B18)</f>
        <v/>
      </c>
      <c r="C18" s="74" t="str">
        <f aca="false">IF($B18="","",الموظفون!$C18)</f>
        <v/>
      </c>
      <c r="D18" s="74" t="str">
        <f aca="false">IF($B18="","",الموظفون!$F18)</f>
        <v/>
      </c>
      <c r="E18" s="74" t="str">
        <f aca="false">IF($B18="","",الموظفون!$E18)</f>
        <v/>
      </c>
      <c r="F18" s="105" t="str">
        <f aca="false">IF($B18="","",IF(AE18&gt;=DAY($G$3),cfg_DAYS_M,MIN(AE18,cfg_DAYS_M)))</f>
        <v/>
      </c>
      <c r="G18" s="105" t="str">
        <f aca="false">IF($B18="","",SUMIFS('الحركات الشهرية'!$D$6:$D$1005,'الحركات الشهرية'!$B$6:$B$1005,$B18,'الحركات الشهرية'!$A$6:$A$1005,$C$3))</f>
        <v/>
      </c>
      <c r="H18" s="105" t="str">
        <f aca="false">IF($B18="","",SUMIFS('الحركات الشهرية'!$E$6:$E$1005,'الحركات الشهرية'!$B$6:$B$1005,$B18,'الحركات الشهرية'!$A$6:$A$1005,$C$3))</f>
        <v/>
      </c>
      <c r="I18" s="105" t="str">
        <f aca="false">IF($B18="","",MAX(0,F18-G18-H18))</f>
        <v/>
      </c>
      <c r="J18" s="86" t="str">
        <f aca="false">IF($B18="","",الموظفون!$J18*$I18/cfg_DAYS_M)</f>
        <v/>
      </c>
      <c r="K18" s="86" t="str">
        <f aca="false">IF($B18="","",الموظفون!$K18*$I18/cfg_DAYS_M)</f>
        <v/>
      </c>
      <c r="L18" s="86" t="str">
        <f aca="false">IF($B18="","",الموظفون!$L18*$I18/cfg_DAYS_M)</f>
        <v/>
      </c>
      <c r="M18" s="86" t="str">
        <f aca="false">IF($B18="","",الموظفون!$M18*$I18/cfg_DAYS_M)</f>
        <v/>
      </c>
      <c r="N18" s="105" t="str">
        <f aca="false">IF($B18="","",SUMIFS('الحركات الشهرية'!$F$6:$F$1005,'الحركات الشهرية'!$B$6:$B$1005,$B18,'الحركات الشهرية'!$A$6:$A$1005,$C$3))</f>
        <v/>
      </c>
      <c r="O18" s="86" t="str">
        <f aca="false">IF($B18="","",N18*(الموظفون!$N18+الموظفون!$J18*cfg_OT_P)/cfg_DAYS_M/cfg_HRS)</f>
        <v/>
      </c>
      <c r="P18" s="86" t="str">
        <f aca="false">IF($B18="","",SUMIFS('الحركات الشهرية'!$G$6:$G$1005,'الحركات الشهرية'!$B$6:$B$1005,$B18,'الحركات الشهرية'!$A$6:$A$1005,$C$3))</f>
        <v/>
      </c>
      <c r="Q18" s="86" t="str">
        <f aca="false">IF($B18="","",SUMIFS('الحركات الشهرية'!$H$6:$H$1005,'الحركات الشهرية'!$B$6:$B$1005,$B18,'الحركات الشهرية'!$A$6:$A$1005,$C$3))</f>
        <v/>
      </c>
      <c r="R18" s="106" t="str">
        <f aca="false">IF($B18="","",SUM(J18:M18)+SUM(O18:Q18))</f>
        <v/>
      </c>
      <c r="S18" s="86" t="str">
        <f aca="false">IF($B18="","",الموظفون!$Q18*IF(E18="سعودي",cfg_G_SE,cfg_G_NE)*F18/cfg_DAYS_M)</f>
        <v/>
      </c>
      <c r="T18" s="86" t="str">
        <f aca="false">IF($B18="","",SUMIFS('الحركات الشهرية'!$I$6:$I$1005,'الحركات الشهرية'!$B$6:$B$1005,$B18,'الحركات الشهرية'!$A$6:$A$1005,$C$3))</f>
        <v/>
      </c>
      <c r="U18" s="86" t="str">
        <f aca="false">IF($B18="","",SUMIFS('الحركات الشهرية'!$J$6:$J$1005,'الحركات الشهرية'!$B$6:$B$1005,$B18,'الحركات الشهرية'!$A$6:$A$1005,$C$3))</f>
        <v/>
      </c>
      <c r="V18" s="86" t="str">
        <f aca="false">IF($B18="","",SUM(S18:U18))</f>
        <v/>
      </c>
      <c r="W18" s="107" t="str">
        <f aca="false">IF($B18="","",R18-V18)</f>
        <v/>
      </c>
      <c r="X18" s="86" t="str">
        <f aca="false">IF($B18="","",الموظفون!$Q18*IF(E18="سعودي",cfg_G_SR,cfg_G_NR)*F18/cfg_DAYS_M)</f>
        <v/>
      </c>
      <c r="Y18" s="86" t="str">
        <f aca="false">IF($B18="","",الموظفون!$O18*(cfg_EOS_R1*(MIN(AC18,cfg_EOS_TH)-MIN(AD18,cfg_EOS_TH))+cfg_EOS_R2*(MAX(AC18-cfg_EOS_TH,0)-MAX(AD18-cfg_EOS_TH,0))))</f>
        <v/>
      </c>
      <c r="Z18" s="86" t="str">
        <f aca="false">IF($B18="","",IF(الموظفون!$R18&lt;&gt;"",الموظفون!$R18,IF(AC18&gt;=cfg_LV_TH,cfg_LV_D2,cfg_LV_D1))/cfg_DAYS_Y*AE18*الموظفون!$P18/cfg_DAYS_M)</f>
        <v/>
      </c>
      <c r="AA18" s="86" t="str">
        <f aca="false">IF($B18="","",IF(AND(الموظفون!$S18="نعم",N(الموظفون!$U18)&gt;0),الموظفون!$T18/الموظفون!$U18*12/cfg_DAYS_Y*AE18,0))</f>
        <v/>
      </c>
      <c r="AB18" s="108" t="str">
        <f aca="false">IF($B18="","",R18+SUM(X18:AA18))</f>
        <v/>
      </c>
      <c r="AC18" s="109" t="str">
        <f aca="false">IF($B18="","",MAX(0,IF(OR(الموظفون!$X18="",الموظفون!$X18&gt;$G$3),$G$3,الموظفون!$X18)-الموظفون!$H18+1)/cfg_DAYS_Y)</f>
        <v/>
      </c>
      <c r="AD18" s="109" t="str">
        <f aca="false">IF($B18="","",MAX(0,IF(OR(الموظفون!$X18="",الموظفون!$X18&gt;($E$3-1)),($E$3-1),الموظفون!$X18)-الموظفون!$H18+1)/cfg_DAYS_Y)</f>
        <v/>
      </c>
      <c r="AE18" s="51" t="str">
        <f aca="false">IF($B18="","",MAX(0,IF(OR(الموظفون!$X18="",الموظفون!$X18&gt;$G$3),$G$3,الموظفون!$X18)-MAX($E$3,الموظفون!$H18)+1))</f>
        <v/>
      </c>
    </row>
    <row r="19" customFormat="false" ht="15" hidden="false" customHeight="false" outlineLevel="0" collapsed="false">
      <c r="A19" s="89" t="str">
        <f aca="false">IF($B19="","",الموظفون!$A19)</f>
        <v/>
      </c>
      <c r="B19" s="91" t="str">
        <f aca="false">IF(الموظفون!$B19="","",الموظفون!$B19)</f>
        <v/>
      </c>
      <c r="C19" s="91" t="str">
        <f aca="false">IF($B19="","",الموظفون!$C19)</f>
        <v/>
      </c>
      <c r="D19" s="91" t="str">
        <f aca="false">IF($B19="","",الموظفون!$F19)</f>
        <v/>
      </c>
      <c r="E19" s="91" t="str">
        <f aca="false">IF($B19="","",الموظفون!$E19)</f>
        <v/>
      </c>
      <c r="F19" s="110" t="str">
        <f aca="false">IF($B19="","",IF(AE19&gt;=DAY($G$3),cfg_DAYS_M,MIN(AE19,cfg_DAYS_M)))</f>
        <v/>
      </c>
      <c r="G19" s="110" t="str">
        <f aca="false">IF($B19="","",SUMIFS('الحركات الشهرية'!$D$6:$D$1005,'الحركات الشهرية'!$B$6:$B$1005,$B19,'الحركات الشهرية'!$A$6:$A$1005,$C$3))</f>
        <v/>
      </c>
      <c r="H19" s="110" t="str">
        <f aca="false">IF($B19="","",SUMIFS('الحركات الشهرية'!$E$6:$E$1005,'الحركات الشهرية'!$B$6:$B$1005,$B19,'الحركات الشهرية'!$A$6:$A$1005,$C$3))</f>
        <v/>
      </c>
      <c r="I19" s="110" t="str">
        <f aca="false">IF($B19="","",MAX(0,F19-G19-H19))</f>
        <v/>
      </c>
      <c r="J19" s="90" t="str">
        <f aca="false">IF($B19="","",الموظفون!$J19*$I19/cfg_DAYS_M)</f>
        <v/>
      </c>
      <c r="K19" s="90" t="str">
        <f aca="false">IF($B19="","",الموظفون!$K19*$I19/cfg_DAYS_M)</f>
        <v/>
      </c>
      <c r="L19" s="90" t="str">
        <f aca="false">IF($B19="","",الموظفون!$L19*$I19/cfg_DAYS_M)</f>
        <v/>
      </c>
      <c r="M19" s="90" t="str">
        <f aca="false">IF($B19="","",الموظفون!$M19*$I19/cfg_DAYS_M)</f>
        <v/>
      </c>
      <c r="N19" s="110" t="str">
        <f aca="false">IF($B19="","",SUMIFS('الحركات الشهرية'!$F$6:$F$1005,'الحركات الشهرية'!$B$6:$B$1005,$B19,'الحركات الشهرية'!$A$6:$A$1005,$C$3))</f>
        <v/>
      </c>
      <c r="O19" s="90" t="str">
        <f aca="false">IF($B19="","",N19*(الموظفون!$N19+الموظفون!$J19*cfg_OT_P)/cfg_DAYS_M/cfg_HRS)</f>
        <v/>
      </c>
      <c r="P19" s="90" t="str">
        <f aca="false">IF($B19="","",SUMIFS('الحركات الشهرية'!$G$6:$G$1005,'الحركات الشهرية'!$B$6:$B$1005,$B19,'الحركات الشهرية'!$A$6:$A$1005,$C$3))</f>
        <v/>
      </c>
      <c r="Q19" s="90" t="str">
        <f aca="false">IF($B19="","",SUMIFS('الحركات الشهرية'!$H$6:$H$1005,'الحركات الشهرية'!$B$6:$B$1005,$B19,'الحركات الشهرية'!$A$6:$A$1005,$C$3))</f>
        <v/>
      </c>
      <c r="R19" s="111" t="str">
        <f aca="false">IF($B19="","",SUM(J19:M19)+SUM(O19:Q19))</f>
        <v/>
      </c>
      <c r="S19" s="90" t="str">
        <f aca="false">IF($B19="","",الموظفون!$Q19*IF(E19="سعودي",cfg_G_SE,cfg_G_NE)*F19/cfg_DAYS_M)</f>
        <v/>
      </c>
      <c r="T19" s="90" t="str">
        <f aca="false">IF($B19="","",SUMIFS('الحركات الشهرية'!$I$6:$I$1005,'الحركات الشهرية'!$B$6:$B$1005,$B19,'الحركات الشهرية'!$A$6:$A$1005,$C$3))</f>
        <v/>
      </c>
      <c r="U19" s="90" t="str">
        <f aca="false">IF($B19="","",SUMIFS('الحركات الشهرية'!$J$6:$J$1005,'الحركات الشهرية'!$B$6:$B$1005,$B19,'الحركات الشهرية'!$A$6:$A$1005,$C$3))</f>
        <v/>
      </c>
      <c r="V19" s="90" t="str">
        <f aca="false">IF($B19="","",SUM(S19:U19))</f>
        <v/>
      </c>
      <c r="W19" s="112" t="str">
        <f aca="false">IF($B19="","",R19-V19)</f>
        <v/>
      </c>
      <c r="X19" s="90" t="str">
        <f aca="false">IF($B19="","",الموظفون!$Q19*IF(E19="سعودي",cfg_G_SR,cfg_G_NR)*F19/cfg_DAYS_M)</f>
        <v/>
      </c>
      <c r="Y19" s="90" t="str">
        <f aca="false">IF($B19="","",الموظفون!$O19*(cfg_EOS_R1*(MIN(AC19,cfg_EOS_TH)-MIN(AD19,cfg_EOS_TH))+cfg_EOS_R2*(MAX(AC19-cfg_EOS_TH,0)-MAX(AD19-cfg_EOS_TH,0))))</f>
        <v/>
      </c>
      <c r="Z19" s="90" t="str">
        <f aca="false">IF($B19="","",IF(الموظفون!$R19&lt;&gt;"",الموظفون!$R19,IF(AC19&gt;=cfg_LV_TH,cfg_LV_D2,cfg_LV_D1))/cfg_DAYS_Y*AE19*الموظفون!$P19/cfg_DAYS_M)</f>
        <v/>
      </c>
      <c r="AA19" s="90" t="str">
        <f aca="false">IF($B19="","",IF(AND(الموظفون!$S19="نعم",N(الموظفون!$U19)&gt;0),الموظفون!$T19/الموظفون!$U19*12/cfg_DAYS_Y*AE19,0))</f>
        <v/>
      </c>
      <c r="AB19" s="113" t="str">
        <f aca="false">IF($B19="","",R19+SUM(X19:AA19))</f>
        <v/>
      </c>
      <c r="AC19" s="114" t="str">
        <f aca="false">IF($B19="","",MAX(0,IF(OR(الموظفون!$X19="",الموظفون!$X19&gt;$G$3),$G$3,الموظفون!$X19)-الموظفون!$H19+1)/cfg_DAYS_Y)</f>
        <v/>
      </c>
      <c r="AD19" s="114" t="str">
        <f aca="false">IF($B19="","",MAX(0,IF(OR(الموظفون!$X19="",الموظفون!$X19&gt;($E$3-1)),($E$3-1),الموظفون!$X19)-الموظفون!$H19+1)/cfg_DAYS_Y)</f>
        <v/>
      </c>
      <c r="AE19" s="115" t="str">
        <f aca="false">IF($B19="","",MAX(0,IF(OR(الموظفون!$X19="",الموظفون!$X19&gt;$G$3),$G$3,الموظفون!$X19)-MAX($E$3,الموظفون!$H19)+1))</f>
        <v/>
      </c>
    </row>
    <row r="20" customFormat="false" ht="15" hidden="false" customHeight="false" outlineLevel="0" collapsed="false">
      <c r="A20" s="83" t="str">
        <f aca="false">IF($B20="","",الموظفون!$A20)</f>
        <v/>
      </c>
      <c r="B20" s="74" t="str">
        <f aca="false">IF(الموظفون!$B20="","",الموظفون!$B20)</f>
        <v/>
      </c>
      <c r="C20" s="74" t="str">
        <f aca="false">IF($B20="","",الموظفون!$C20)</f>
        <v/>
      </c>
      <c r="D20" s="74" t="str">
        <f aca="false">IF($B20="","",الموظفون!$F20)</f>
        <v/>
      </c>
      <c r="E20" s="74" t="str">
        <f aca="false">IF($B20="","",الموظفون!$E20)</f>
        <v/>
      </c>
      <c r="F20" s="105" t="str">
        <f aca="false">IF($B20="","",IF(AE20&gt;=DAY($G$3),cfg_DAYS_M,MIN(AE20,cfg_DAYS_M)))</f>
        <v/>
      </c>
      <c r="G20" s="105" t="str">
        <f aca="false">IF($B20="","",SUMIFS('الحركات الشهرية'!$D$6:$D$1005,'الحركات الشهرية'!$B$6:$B$1005,$B20,'الحركات الشهرية'!$A$6:$A$1005,$C$3))</f>
        <v/>
      </c>
      <c r="H20" s="105" t="str">
        <f aca="false">IF($B20="","",SUMIFS('الحركات الشهرية'!$E$6:$E$1005,'الحركات الشهرية'!$B$6:$B$1005,$B20,'الحركات الشهرية'!$A$6:$A$1005,$C$3))</f>
        <v/>
      </c>
      <c r="I20" s="105" t="str">
        <f aca="false">IF($B20="","",MAX(0,F20-G20-H20))</f>
        <v/>
      </c>
      <c r="J20" s="86" t="str">
        <f aca="false">IF($B20="","",الموظفون!$J20*$I20/cfg_DAYS_M)</f>
        <v/>
      </c>
      <c r="K20" s="86" t="str">
        <f aca="false">IF($B20="","",الموظفون!$K20*$I20/cfg_DAYS_M)</f>
        <v/>
      </c>
      <c r="L20" s="86" t="str">
        <f aca="false">IF($B20="","",الموظفون!$L20*$I20/cfg_DAYS_M)</f>
        <v/>
      </c>
      <c r="M20" s="86" t="str">
        <f aca="false">IF($B20="","",الموظفون!$M20*$I20/cfg_DAYS_M)</f>
        <v/>
      </c>
      <c r="N20" s="105" t="str">
        <f aca="false">IF($B20="","",SUMIFS('الحركات الشهرية'!$F$6:$F$1005,'الحركات الشهرية'!$B$6:$B$1005,$B20,'الحركات الشهرية'!$A$6:$A$1005,$C$3))</f>
        <v/>
      </c>
      <c r="O20" s="86" t="str">
        <f aca="false">IF($B20="","",N20*(الموظفون!$N20+الموظفون!$J20*cfg_OT_P)/cfg_DAYS_M/cfg_HRS)</f>
        <v/>
      </c>
      <c r="P20" s="86" t="str">
        <f aca="false">IF($B20="","",SUMIFS('الحركات الشهرية'!$G$6:$G$1005,'الحركات الشهرية'!$B$6:$B$1005,$B20,'الحركات الشهرية'!$A$6:$A$1005,$C$3))</f>
        <v/>
      </c>
      <c r="Q20" s="86" t="str">
        <f aca="false">IF($B20="","",SUMIFS('الحركات الشهرية'!$H$6:$H$1005,'الحركات الشهرية'!$B$6:$B$1005,$B20,'الحركات الشهرية'!$A$6:$A$1005,$C$3))</f>
        <v/>
      </c>
      <c r="R20" s="106" t="str">
        <f aca="false">IF($B20="","",SUM(J20:M20)+SUM(O20:Q20))</f>
        <v/>
      </c>
      <c r="S20" s="86" t="str">
        <f aca="false">IF($B20="","",الموظفون!$Q20*IF(E20="سعودي",cfg_G_SE,cfg_G_NE)*F20/cfg_DAYS_M)</f>
        <v/>
      </c>
      <c r="T20" s="86" t="str">
        <f aca="false">IF($B20="","",SUMIFS('الحركات الشهرية'!$I$6:$I$1005,'الحركات الشهرية'!$B$6:$B$1005,$B20,'الحركات الشهرية'!$A$6:$A$1005,$C$3))</f>
        <v/>
      </c>
      <c r="U20" s="86" t="str">
        <f aca="false">IF($B20="","",SUMIFS('الحركات الشهرية'!$J$6:$J$1005,'الحركات الشهرية'!$B$6:$B$1005,$B20,'الحركات الشهرية'!$A$6:$A$1005,$C$3))</f>
        <v/>
      </c>
      <c r="V20" s="86" t="str">
        <f aca="false">IF($B20="","",SUM(S20:U20))</f>
        <v/>
      </c>
      <c r="W20" s="107" t="str">
        <f aca="false">IF($B20="","",R20-V20)</f>
        <v/>
      </c>
      <c r="X20" s="86" t="str">
        <f aca="false">IF($B20="","",الموظفون!$Q20*IF(E20="سعودي",cfg_G_SR,cfg_G_NR)*F20/cfg_DAYS_M)</f>
        <v/>
      </c>
      <c r="Y20" s="86" t="str">
        <f aca="false">IF($B20="","",الموظفون!$O20*(cfg_EOS_R1*(MIN(AC20,cfg_EOS_TH)-MIN(AD20,cfg_EOS_TH))+cfg_EOS_R2*(MAX(AC20-cfg_EOS_TH,0)-MAX(AD20-cfg_EOS_TH,0))))</f>
        <v/>
      </c>
      <c r="Z20" s="86" t="str">
        <f aca="false">IF($B20="","",IF(الموظفون!$R20&lt;&gt;"",الموظفون!$R20,IF(AC20&gt;=cfg_LV_TH,cfg_LV_D2,cfg_LV_D1))/cfg_DAYS_Y*AE20*الموظفون!$P20/cfg_DAYS_M)</f>
        <v/>
      </c>
      <c r="AA20" s="86" t="str">
        <f aca="false">IF($B20="","",IF(AND(الموظفون!$S20="نعم",N(الموظفون!$U20)&gt;0),الموظفون!$T20/الموظفون!$U20*12/cfg_DAYS_Y*AE20,0))</f>
        <v/>
      </c>
      <c r="AB20" s="108" t="str">
        <f aca="false">IF($B20="","",R20+SUM(X20:AA20))</f>
        <v/>
      </c>
      <c r="AC20" s="109" t="str">
        <f aca="false">IF($B20="","",MAX(0,IF(OR(الموظفون!$X20="",الموظفون!$X20&gt;$G$3),$G$3,الموظفون!$X20)-الموظفون!$H20+1)/cfg_DAYS_Y)</f>
        <v/>
      </c>
      <c r="AD20" s="109" t="str">
        <f aca="false">IF($B20="","",MAX(0,IF(OR(الموظفون!$X20="",الموظفون!$X20&gt;($E$3-1)),($E$3-1),الموظفون!$X20)-الموظفون!$H20+1)/cfg_DAYS_Y)</f>
        <v/>
      </c>
      <c r="AE20" s="51" t="str">
        <f aca="false">IF($B20="","",MAX(0,IF(OR(الموظفون!$X20="",الموظفون!$X20&gt;$G$3),$G$3,الموظفون!$X20)-MAX($E$3,الموظفون!$H20)+1))</f>
        <v/>
      </c>
    </row>
    <row r="21" customFormat="false" ht="15" hidden="false" customHeight="false" outlineLevel="0" collapsed="false">
      <c r="A21" s="89" t="str">
        <f aca="false">IF($B21="","",الموظفون!$A21)</f>
        <v/>
      </c>
      <c r="B21" s="91" t="str">
        <f aca="false">IF(الموظفون!$B21="","",الموظفون!$B21)</f>
        <v/>
      </c>
      <c r="C21" s="91" t="str">
        <f aca="false">IF($B21="","",الموظفون!$C21)</f>
        <v/>
      </c>
      <c r="D21" s="91" t="str">
        <f aca="false">IF($B21="","",الموظفون!$F21)</f>
        <v/>
      </c>
      <c r="E21" s="91" t="str">
        <f aca="false">IF($B21="","",الموظفون!$E21)</f>
        <v/>
      </c>
      <c r="F21" s="110" t="str">
        <f aca="false">IF($B21="","",IF(AE21&gt;=DAY($G$3),cfg_DAYS_M,MIN(AE21,cfg_DAYS_M)))</f>
        <v/>
      </c>
      <c r="G21" s="110" t="str">
        <f aca="false">IF($B21="","",SUMIFS('الحركات الشهرية'!$D$6:$D$1005,'الحركات الشهرية'!$B$6:$B$1005,$B21,'الحركات الشهرية'!$A$6:$A$1005,$C$3))</f>
        <v/>
      </c>
      <c r="H21" s="110" t="str">
        <f aca="false">IF($B21="","",SUMIFS('الحركات الشهرية'!$E$6:$E$1005,'الحركات الشهرية'!$B$6:$B$1005,$B21,'الحركات الشهرية'!$A$6:$A$1005,$C$3))</f>
        <v/>
      </c>
      <c r="I21" s="110" t="str">
        <f aca="false">IF($B21="","",MAX(0,F21-G21-H21))</f>
        <v/>
      </c>
      <c r="J21" s="90" t="str">
        <f aca="false">IF($B21="","",الموظفون!$J21*$I21/cfg_DAYS_M)</f>
        <v/>
      </c>
      <c r="K21" s="90" t="str">
        <f aca="false">IF($B21="","",الموظفون!$K21*$I21/cfg_DAYS_M)</f>
        <v/>
      </c>
      <c r="L21" s="90" t="str">
        <f aca="false">IF($B21="","",الموظفون!$L21*$I21/cfg_DAYS_M)</f>
        <v/>
      </c>
      <c r="M21" s="90" t="str">
        <f aca="false">IF($B21="","",الموظفون!$M21*$I21/cfg_DAYS_M)</f>
        <v/>
      </c>
      <c r="N21" s="110" t="str">
        <f aca="false">IF($B21="","",SUMIFS('الحركات الشهرية'!$F$6:$F$1005,'الحركات الشهرية'!$B$6:$B$1005,$B21,'الحركات الشهرية'!$A$6:$A$1005,$C$3))</f>
        <v/>
      </c>
      <c r="O21" s="90" t="str">
        <f aca="false">IF($B21="","",N21*(الموظفون!$N21+الموظفون!$J21*cfg_OT_P)/cfg_DAYS_M/cfg_HRS)</f>
        <v/>
      </c>
      <c r="P21" s="90" t="str">
        <f aca="false">IF($B21="","",SUMIFS('الحركات الشهرية'!$G$6:$G$1005,'الحركات الشهرية'!$B$6:$B$1005,$B21,'الحركات الشهرية'!$A$6:$A$1005,$C$3))</f>
        <v/>
      </c>
      <c r="Q21" s="90" t="str">
        <f aca="false">IF($B21="","",SUMIFS('الحركات الشهرية'!$H$6:$H$1005,'الحركات الشهرية'!$B$6:$B$1005,$B21,'الحركات الشهرية'!$A$6:$A$1005,$C$3))</f>
        <v/>
      </c>
      <c r="R21" s="111" t="str">
        <f aca="false">IF($B21="","",SUM(J21:M21)+SUM(O21:Q21))</f>
        <v/>
      </c>
      <c r="S21" s="90" t="str">
        <f aca="false">IF($B21="","",الموظفون!$Q21*IF(E21="سعودي",cfg_G_SE,cfg_G_NE)*F21/cfg_DAYS_M)</f>
        <v/>
      </c>
      <c r="T21" s="90" t="str">
        <f aca="false">IF($B21="","",SUMIFS('الحركات الشهرية'!$I$6:$I$1005,'الحركات الشهرية'!$B$6:$B$1005,$B21,'الحركات الشهرية'!$A$6:$A$1005,$C$3))</f>
        <v/>
      </c>
      <c r="U21" s="90" t="str">
        <f aca="false">IF($B21="","",SUMIFS('الحركات الشهرية'!$J$6:$J$1005,'الحركات الشهرية'!$B$6:$B$1005,$B21,'الحركات الشهرية'!$A$6:$A$1005,$C$3))</f>
        <v/>
      </c>
      <c r="V21" s="90" t="str">
        <f aca="false">IF($B21="","",SUM(S21:U21))</f>
        <v/>
      </c>
      <c r="W21" s="112" t="str">
        <f aca="false">IF($B21="","",R21-V21)</f>
        <v/>
      </c>
      <c r="X21" s="90" t="str">
        <f aca="false">IF($B21="","",الموظفون!$Q21*IF(E21="سعودي",cfg_G_SR,cfg_G_NR)*F21/cfg_DAYS_M)</f>
        <v/>
      </c>
      <c r="Y21" s="90" t="str">
        <f aca="false">IF($B21="","",الموظفون!$O21*(cfg_EOS_R1*(MIN(AC21,cfg_EOS_TH)-MIN(AD21,cfg_EOS_TH))+cfg_EOS_R2*(MAX(AC21-cfg_EOS_TH,0)-MAX(AD21-cfg_EOS_TH,0))))</f>
        <v/>
      </c>
      <c r="Z21" s="90" t="str">
        <f aca="false">IF($B21="","",IF(الموظفون!$R21&lt;&gt;"",الموظفون!$R21,IF(AC21&gt;=cfg_LV_TH,cfg_LV_D2,cfg_LV_D1))/cfg_DAYS_Y*AE21*الموظفون!$P21/cfg_DAYS_M)</f>
        <v/>
      </c>
      <c r="AA21" s="90" t="str">
        <f aca="false">IF($B21="","",IF(AND(الموظفون!$S21="نعم",N(الموظفون!$U21)&gt;0),الموظفون!$T21/الموظفون!$U21*12/cfg_DAYS_Y*AE21,0))</f>
        <v/>
      </c>
      <c r="AB21" s="113" t="str">
        <f aca="false">IF($B21="","",R21+SUM(X21:AA21))</f>
        <v/>
      </c>
      <c r="AC21" s="114" t="str">
        <f aca="false">IF($B21="","",MAX(0,IF(OR(الموظفون!$X21="",الموظفون!$X21&gt;$G$3),$G$3,الموظفون!$X21)-الموظفون!$H21+1)/cfg_DAYS_Y)</f>
        <v/>
      </c>
      <c r="AD21" s="114" t="str">
        <f aca="false">IF($B21="","",MAX(0,IF(OR(الموظفون!$X21="",الموظفون!$X21&gt;($E$3-1)),($E$3-1),الموظفون!$X21)-الموظفون!$H21+1)/cfg_DAYS_Y)</f>
        <v/>
      </c>
      <c r="AE21" s="115" t="str">
        <f aca="false">IF($B21="","",MAX(0,IF(OR(الموظفون!$X21="",الموظفون!$X21&gt;$G$3),$G$3,الموظفون!$X21)-MAX($E$3,الموظفون!$H21)+1))</f>
        <v/>
      </c>
    </row>
    <row r="22" customFormat="false" ht="15" hidden="false" customHeight="false" outlineLevel="0" collapsed="false">
      <c r="A22" s="83" t="str">
        <f aca="false">IF($B22="","",الموظفون!$A22)</f>
        <v/>
      </c>
      <c r="B22" s="74" t="str">
        <f aca="false">IF(الموظفون!$B22="","",الموظفون!$B22)</f>
        <v/>
      </c>
      <c r="C22" s="74" t="str">
        <f aca="false">IF($B22="","",الموظفون!$C22)</f>
        <v/>
      </c>
      <c r="D22" s="74" t="str">
        <f aca="false">IF($B22="","",الموظفون!$F22)</f>
        <v/>
      </c>
      <c r="E22" s="74" t="str">
        <f aca="false">IF($B22="","",الموظفون!$E22)</f>
        <v/>
      </c>
      <c r="F22" s="105" t="str">
        <f aca="false">IF($B22="","",IF(AE22&gt;=DAY($G$3),cfg_DAYS_M,MIN(AE22,cfg_DAYS_M)))</f>
        <v/>
      </c>
      <c r="G22" s="105" t="str">
        <f aca="false">IF($B22="","",SUMIFS('الحركات الشهرية'!$D$6:$D$1005,'الحركات الشهرية'!$B$6:$B$1005,$B22,'الحركات الشهرية'!$A$6:$A$1005,$C$3))</f>
        <v/>
      </c>
      <c r="H22" s="105" t="str">
        <f aca="false">IF($B22="","",SUMIFS('الحركات الشهرية'!$E$6:$E$1005,'الحركات الشهرية'!$B$6:$B$1005,$B22,'الحركات الشهرية'!$A$6:$A$1005,$C$3))</f>
        <v/>
      </c>
      <c r="I22" s="105" t="str">
        <f aca="false">IF($B22="","",MAX(0,F22-G22-H22))</f>
        <v/>
      </c>
      <c r="J22" s="86" t="str">
        <f aca="false">IF($B22="","",الموظفون!$J22*$I22/cfg_DAYS_M)</f>
        <v/>
      </c>
      <c r="K22" s="86" t="str">
        <f aca="false">IF($B22="","",الموظفون!$K22*$I22/cfg_DAYS_M)</f>
        <v/>
      </c>
      <c r="L22" s="86" t="str">
        <f aca="false">IF($B22="","",الموظفون!$L22*$I22/cfg_DAYS_M)</f>
        <v/>
      </c>
      <c r="M22" s="86" t="str">
        <f aca="false">IF($B22="","",الموظفون!$M22*$I22/cfg_DAYS_M)</f>
        <v/>
      </c>
      <c r="N22" s="105" t="str">
        <f aca="false">IF($B22="","",SUMIFS('الحركات الشهرية'!$F$6:$F$1005,'الحركات الشهرية'!$B$6:$B$1005,$B22,'الحركات الشهرية'!$A$6:$A$1005,$C$3))</f>
        <v/>
      </c>
      <c r="O22" s="86" t="str">
        <f aca="false">IF($B22="","",N22*(الموظفون!$N22+الموظفون!$J22*cfg_OT_P)/cfg_DAYS_M/cfg_HRS)</f>
        <v/>
      </c>
      <c r="P22" s="86" t="str">
        <f aca="false">IF($B22="","",SUMIFS('الحركات الشهرية'!$G$6:$G$1005,'الحركات الشهرية'!$B$6:$B$1005,$B22,'الحركات الشهرية'!$A$6:$A$1005,$C$3))</f>
        <v/>
      </c>
      <c r="Q22" s="86" t="str">
        <f aca="false">IF($B22="","",SUMIFS('الحركات الشهرية'!$H$6:$H$1005,'الحركات الشهرية'!$B$6:$B$1005,$B22,'الحركات الشهرية'!$A$6:$A$1005,$C$3))</f>
        <v/>
      </c>
      <c r="R22" s="106" t="str">
        <f aca="false">IF($B22="","",SUM(J22:M22)+SUM(O22:Q22))</f>
        <v/>
      </c>
      <c r="S22" s="86" t="str">
        <f aca="false">IF($B22="","",الموظفون!$Q22*IF(E22="سعودي",cfg_G_SE,cfg_G_NE)*F22/cfg_DAYS_M)</f>
        <v/>
      </c>
      <c r="T22" s="86" t="str">
        <f aca="false">IF($B22="","",SUMIFS('الحركات الشهرية'!$I$6:$I$1005,'الحركات الشهرية'!$B$6:$B$1005,$B22,'الحركات الشهرية'!$A$6:$A$1005,$C$3))</f>
        <v/>
      </c>
      <c r="U22" s="86" t="str">
        <f aca="false">IF($B22="","",SUMIFS('الحركات الشهرية'!$J$6:$J$1005,'الحركات الشهرية'!$B$6:$B$1005,$B22,'الحركات الشهرية'!$A$6:$A$1005,$C$3))</f>
        <v/>
      </c>
      <c r="V22" s="86" t="str">
        <f aca="false">IF($B22="","",SUM(S22:U22))</f>
        <v/>
      </c>
      <c r="W22" s="107" t="str">
        <f aca="false">IF($B22="","",R22-V22)</f>
        <v/>
      </c>
      <c r="X22" s="86" t="str">
        <f aca="false">IF($B22="","",الموظفون!$Q22*IF(E22="سعودي",cfg_G_SR,cfg_G_NR)*F22/cfg_DAYS_M)</f>
        <v/>
      </c>
      <c r="Y22" s="86" t="str">
        <f aca="false">IF($B22="","",الموظفون!$O22*(cfg_EOS_R1*(MIN(AC22,cfg_EOS_TH)-MIN(AD22,cfg_EOS_TH))+cfg_EOS_R2*(MAX(AC22-cfg_EOS_TH,0)-MAX(AD22-cfg_EOS_TH,0))))</f>
        <v/>
      </c>
      <c r="Z22" s="86" t="str">
        <f aca="false">IF($B22="","",IF(الموظفون!$R22&lt;&gt;"",الموظفون!$R22,IF(AC22&gt;=cfg_LV_TH,cfg_LV_D2,cfg_LV_D1))/cfg_DAYS_Y*AE22*الموظفون!$P22/cfg_DAYS_M)</f>
        <v/>
      </c>
      <c r="AA22" s="86" t="str">
        <f aca="false">IF($B22="","",IF(AND(الموظفون!$S22="نعم",N(الموظفون!$U22)&gt;0),الموظفون!$T22/الموظفون!$U22*12/cfg_DAYS_Y*AE22,0))</f>
        <v/>
      </c>
      <c r="AB22" s="108" t="str">
        <f aca="false">IF($B22="","",R22+SUM(X22:AA22))</f>
        <v/>
      </c>
      <c r="AC22" s="109" t="str">
        <f aca="false">IF($B22="","",MAX(0,IF(OR(الموظفون!$X22="",الموظفون!$X22&gt;$G$3),$G$3,الموظفون!$X22)-الموظفون!$H22+1)/cfg_DAYS_Y)</f>
        <v/>
      </c>
      <c r="AD22" s="109" t="str">
        <f aca="false">IF($B22="","",MAX(0,IF(OR(الموظفون!$X22="",الموظفون!$X22&gt;($E$3-1)),($E$3-1),الموظفون!$X22)-الموظفون!$H22+1)/cfg_DAYS_Y)</f>
        <v/>
      </c>
      <c r="AE22" s="51" t="str">
        <f aca="false">IF($B22="","",MAX(0,IF(OR(الموظفون!$X22="",الموظفون!$X22&gt;$G$3),$G$3,الموظفون!$X22)-MAX($E$3,الموظفون!$H22)+1))</f>
        <v/>
      </c>
    </row>
    <row r="23" customFormat="false" ht="15" hidden="false" customHeight="false" outlineLevel="0" collapsed="false">
      <c r="A23" s="89" t="str">
        <f aca="false">IF($B23="","",الموظفون!$A23)</f>
        <v/>
      </c>
      <c r="B23" s="91" t="str">
        <f aca="false">IF(الموظفون!$B23="","",الموظفون!$B23)</f>
        <v/>
      </c>
      <c r="C23" s="91" t="str">
        <f aca="false">IF($B23="","",الموظفون!$C23)</f>
        <v/>
      </c>
      <c r="D23" s="91" t="str">
        <f aca="false">IF($B23="","",الموظفون!$F23)</f>
        <v/>
      </c>
      <c r="E23" s="91" t="str">
        <f aca="false">IF($B23="","",الموظفون!$E23)</f>
        <v/>
      </c>
      <c r="F23" s="110" t="str">
        <f aca="false">IF($B23="","",IF(AE23&gt;=DAY($G$3),cfg_DAYS_M,MIN(AE23,cfg_DAYS_M)))</f>
        <v/>
      </c>
      <c r="G23" s="110" t="str">
        <f aca="false">IF($B23="","",SUMIFS('الحركات الشهرية'!$D$6:$D$1005,'الحركات الشهرية'!$B$6:$B$1005,$B23,'الحركات الشهرية'!$A$6:$A$1005,$C$3))</f>
        <v/>
      </c>
      <c r="H23" s="110" t="str">
        <f aca="false">IF($B23="","",SUMIFS('الحركات الشهرية'!$E$6:$E$1005,'الحركات الشهرية'!$B$6:$B$1005,$B23,'الحركات الشهرية'!$A$6:$A$1005,$C$3))</f>
        <v/>
      </c>
      <c r="I23" s="110" t="str">
        <f aca="false">IF($B23="","",MAX(0,F23-G23-H23))</f>
        <v/>
      </c>
      <c r="J23" s="90" t="str">
        <f aca="false">IF($B23="","",الموظفون!$J23*$I23/cfg_DAYS_M)</f>
        <v/>
      </c>
      <c r="K23" s="90" t="str">
        <f aca="false">IF($B23="","",الموظفون!$K23*$I23/cfg_DAYS_M)</f>
        <v/>
      </c>
      <c r="L23" s="90" t="str">
        <f aca="false">IF($B23="","",الموظفون!$L23*$I23/cfg_DAYS_M)</f>
        <v/>
      </c>
      <c r="M23" s="90" t="str">
        <f aca="false">IF($B23="","",الموظفون!$M23*$I23/cfg_DAYS_M)</f>
        <v/>
      </c>
      <c r="N23" s="110" t="str">
        <f aca="false">IF($B23="","",SUMIFS('الحركات الشهرية'!$F$6:$F$1005,'الحركات الشهرية'!$B$6:$B$1005,$B23,'الحركات الشهرية'!$A$6:$A$1005,$C$3))</f>
        <v/>
      </c>
      <c r="O23" s="90" t="str">
        <f aca="false">IF($B23="","",N23*(الموظفون!$N23+الموظفون!$J23*cfg_OT_P)/cfg_DAYS_M/cfg_HRS)</f>
        <v/>
      </c>
      <c r="P23" s="90" t="str">
        <f aca="false">IF($B23="","",SUMIFS('الحركات الشهرية'!$G$6:$G$1005,'الحركات الشهرية'!$B$6:$B$1005,$B23,'الحركات الشهرية'!$A$6:$A$1005,$C$3))</f>
        <v/>
      </c>
      <c r="Q23" s="90" t="str">
        <f aca="false">IF($B23="","",SUMIFS('الحركات الشهرية'!$H$6:$H$1005,'الحركات الشهرية'!$B$6:$B$1005,$B23,'الحركات الشهرية'!$A$6:$A$1005,$C$3))</f>
        <v/>
      </c>
      <c r="R23" s="111" t="str">
        <f aca="false">IF($B23="","",SUM(J23:M23)+SUM(O23:Q23))</f>
        <v/>
      </c>
      <c r="S23" s="90" t="str">
        <f aca="false">IF($B23="","",الموظفون!$Q23*IF(E23="سعودي",cfg_G_SE,cfg_G_NE)*F23/cfg_DAYS_M)</f>
        <v/>
      </c>
      <c r="T23" s="90" t="str">
        <f aca="false">IF($B23="","",SUMIFS('الحركات الشهرية'!$I$6:$I$1005,'الحركات الشهرية'!$B$6:$B$1005,$B23,'الحركات الشهرية'!$A$6:$A$1005,$C$3))</f>
        <v/>
      </c>
      <c r="U23" s="90" t="str">
        <f aca="false">IF($B23="","",SUMIFS('الحركات الشهرية'!$J$6:$J$1005,'الحركات الشهرية'!$B$6:$B$1005,$B23,'الحركات الشهرية'!$A$6:$A$1005,$C$3))</f>
        <v/>
      </c>
      <c r="V23" s="90" t="str">
        <f aca="false">IF($B23="","",SUM(S23:U23))</f>
        <v/>
      </c>
      <c r="W23" s="112" t="str">
        <f aca="false">IF($B23="","",R23-V23)</f>
        <v/>
      </c>
      <c r="X23" s="90" t="str">
        <f aca="false">IF($B23="","",الموظفون!$Q23*IF(E23="سعودي",cfg_G_SR,cfg_G_NR)*F23/cfg_DAYS_M)</f>
        <v/>
      </c>
      <c r="Y23" s="90" t="str">
        <f aca="false">IF($B23="","",الموظفون!$O23*(cfg_EOS_R1*(MIN(AC23,cfg_EOS_TH)-MIN(AD23,cfg_EOS_TH))+cfg_EOS_R2*(MAX(AC23-cfg_EOS_TH,0)-MAX(AD23-cfg_EOS_TH,0))))</f>
        <v/>
      </c>
      <c r="Z23" s="90" t="str">
        <f aca="false">IF($B23="","",IF(الموظفون!$R23&lt;&gt;"",الموظفون!$R23,IF(AC23&gt;=cfg_LV_TH,cfg_LV_D2,cfg_LV_D1))/cfg_DAYS_Y*AE23*الموظفون!$P23/cfg_DAYS_M)</f>
        <v/>
      </c>
      <c r="AA23" s="90" t="str">
        <f aca="false">IF($B23="","",IF(AND(الموظفون!$S23="نعم",N(الموظفون!$U23)&gt;0),الموظفون!$T23/الموظفون!$U23*12/cfg_DAYS_Y*AE23,0))</f>
        <v/>
      </c>
      <c r="AB23" s="113" t="str">
        <f aca="false">IF($B23="","",R23+SUM(X23:AA23))</f>
        <v/>
      </c>
      <c r="AC23" s="114" t="str">
        <f aca="false">IF($B23="","",MAX(0,IF(OR(الموظفون!$X23="",الموظفون!$X23&gt;$G$3),$G$3,الموظفون!$X23)-الموظفون!$H23+1)/cfg_DAYS_Y)</f>
        <v/>
      </c>
      <c r="AD23" s="114" t="str">
        <f aca="false">IF($B23="","",MAX(0,IF(OR(الموظفون!$X23="",الموظفون!$X23&gt;($E$3-1)),($E$3-1),الموظفون!$X23)-الموظفون!$H23+1)/cfg_DAYS_Y)</f>
        <v/>
      </c>
      <c r="AE23" s="115" t="str">
        <f aca="false">IF($B23="","",MAX(0,IF(OR(الموظفون!$X23="",الموظفون!$X23&gt;$G$3),$G$3,الموظفون!$X23)-MAX($E$3,الموظفون!$H23)+1))</f>
        <v/>
      </c>
    </row>
    <row r="24" customFormat="false" ht="15" hidden="false" customHeight="false" outlineLevel="0" collapsed="false">
      <c r="A24" s="83" t="str">
        <f aca="false">IF($B24="","",الموظفون!$A24)</f>
        <v/>
      </c>
      <c r="B24" s="74" t="str">
        <f aca="false">IF(الموظفون!$B24="","",الموظفون!$B24)</f>
        <v/>
      </c>
      <c r="C24" s="74" t="str">
        <f aca="false">IF($B24="","",الموظفون!$C24)</f>
        <v/>
      </c>
      <c r="D24" s="74" t="str">
        <f aca="false">IF($B24="","",الموظفون!$F24)</f>
        <v/>
      </c>
      <c r="E24" s="74" t="str">
        <f aca="false">IF($B24="","",الموظفون!$E24)</f>
        <v/>
      </c>
      <c r="F24" s="105" t="str">
        <f aca="false">IF($B24="","",IF(AE24&gt;=DAY($G$3),cfg_DAYS_M,MIN(AE24,cfg_DAYS_M)))</f>
        <v/>
      </c>
      <c r="G24" s="105" t="str">
        <f aca="false">IF($B24="","",SUMIFS('الحركات الشهرية'!$D$6:$D$1005,'الحركات الشهرية'!$B$6:$B$1005,$B24,'الحركات الشهرية'!$A$6:$A$1005,$C$3))</f>
        <v/>
      </c>
      <c r="H24" s="105" t="str">
        <f aca="false">IF($B24="","",SUMIFS('الحركات الشهرية'!$E$6:$E$1005,'الحركات الشهرية'!$B$6:$B$1005,$B24,'الحركات الشهرية'!$A$6:$A$1005,$C$3))</f>
        <v/>
      </c>
      <c r="I24" s="105" t="str">
        <f aca="false">IF($B24="","",MAX(0,F24-G24-H24))</f>
        <v/>
      </c>
      <c r="J24" s="86" t="str">
        <f aca="false">IF($B24="","",الموظفون!$J24*$I24/cfg_DAYS_M)</f>
        <v/>
      </c>
      <c r="K24" s="86" t="str">
        <f aca="false">IF($B24="","",الموظفون!$K24*$I24/cfg_DAYS_M)</f>
        <v/>
      </c>
      <c r="L24" s="86" t="str">
        <f aca="false">IF($B24="","",الموظفون!$L24*$I24/cfg_DAYS_M)</f>
        <v/>
      </c>
      <c r="M24" s="86" t="str">
        <f aca="false">IF($B24="","",الموظفون!$M24*$I24/cfg_DAYS_M)</f>
        <v/>
      </c>
      <c r="N24" s="105" t="str">
        <f aca="false">IF($B24="","",SUMIFS('الحركات الشهرية'!$F$6:$F$1005,'الحركات الشهرية'!$B$6:$B$1005,$B24,'الحركات الشهرية'!$A$6:$A$1005,$C$3))</f>
        <v/>
      </c>
      <c r="O24" s="86" t="str">
        <f aca="false">IF($B24="","",N24*(الموظفون!$N24+الموظفون!$J24*cfg_OT_P)/cfg_DAYS_M/cfg_HRS)</f>
        <v/>
      </c>
      <c r="P24" s="86" t="str">
        <f aca="false">IF($B24="","",SUMIFS('الحركات الشهرية'!$G$6:$G$1005,'الحركات الشهرية'!$B$6:$B$1005,$B24,'الحركات الشهرية'!$A$6:$A$1005,$C$3))</f>
        <v/>
      </c>
      <c r="Q24" s="86" t="str">
        <f aca="false">IF($B24="","",SUMIFS('الحركات الشهرية'!$H$6:$H$1005,'الحركات الشهرية'!$B$6:$B$1005,$B24,'الحركات الشهرية'!$A$6:$A$1005,$C$3))</f>
        <v/>
      </c>
      <c r="R24" s="106" t="str">
        <f aca="false">IF($B24="","",SUM(J24:M24)+SUM(O24:Q24))</f>
        <v/>
      </c>
      <c r="S24" s="86" t="str">
        <f aca="false">IF($B24="","",الموظفون!$Q24*IF(E24="سعودي",cfg_G_SE,cfg_G_NE)*F24/cfg_DAYS_M)</f>
        <v/>
      </c>
      <c r="T24" s="86" t="str">
        <f aca="false">IF($B24="","",SUMIFS('الحركات الشهرية'!$I$6:$I$1005,'الحركات الشهرية'!$B$6:$B$1005,$B24,'الحركات الشهرية'!$A$6:$A$1005,$C$3))</f>
        <v/>
      </c>
      <c r="U24" s="86" t="str">
        <f aca="false">IF($B24="","",SUMIFS('الحركات الشهرية'!$J$6:$J$1005,'الحركات الشهرية'!$B$6:$B$1005,$B24,'الحركات الشهرية'!$A$6:$A$1005,$C$3))</f>
        <v/>
      </c>
      <c r="V24" s="86" t="str">
        <f aca="false">IF($B24="","",SUM(S24:U24))</f>
        <v/>
      </c>
      <c r="W24" s="107" t="str">
        <f aca="false">IF($B24="","",R24-V24)</f>
        <v/>
      </c>
      <c r="X24" s="86" t="str">
        <f aca="false">IF($B24="","",الموظفون!$Q24*IF(E24="سعودي",cfg_G_SR,cfg_G_NR)*F24/cfg_DAYS_M)</f>
        <v/>
      </c>
      <c r="Y24" s="86" t="str">
        <f aca="false">IF($B24="","",الموظفون!$O24*(cfg_EOS_R1*(MIN(AC24,cfg_EOS_TH)-MIN(AD24,cfg_EOS_TH))+cfg_EOS_R2*(MAX(AC24-cfg_EOS_TH,0)-MAX(AD24-cfg_EOS_TH,0))))</f>
        <v/>
      </c>
      <c r="Z24" s="86" t="str">
        <f aca="false">IF($B24="","",IF(الموظفون!$R24&lt;&gt;"",الموظفون!$R24,IF(AC24&gt;=cfg_LV_TH,cfg_LV_D2,cfg_LV_D1))/cfg_DAYS_Y*AE24*الموظفون!$P24/cfg_DAYS_M)</f>
        <v/>
      </c>
      <c r="AA24" s="86" t="str">
        <f aca="false">IF($B24="","",IF(AND(الموظفون!$S24="نعم",N(الموظفون!$U24)&gt;0),الموظفون!$T24/الموظفون!$U24*12/cfg_DAYS_Y*AE24,0))</f>
        <v/>
      </c>
      <c r="AB24" s="108" t="str">
        <f aca="false">IF($B24="","",R24+SUM(X24:AA24))</f>
        <v/>
      </c>
      <c r="AC24" s="109" t="str">
        <f aca="false">IF($B24="","",MAX(0,IF(OR(الموظفون!$X24="",الموظفون!$X24&gt;$G$3),$G$3,الموظفون!$X24)-الموظفون!$H24+1)/cfg_DAYS_Y)</f>
        <v/>
      </c>
      <c r="AD24" s="109" t="str">
        <f aca="false">IF($B24="","",MAX(0,IF(OR(الموظفون!$X24="",الموظفون!$X24&gt;($E$3-1)),($E$3-1),الموظفون!$X24)-الموظفون!$H24+1)/cfg_DAYS_Y)</f>
        <v/>
      </c>
      <c r="AE24" s="51" t="str">
        <f aca="false">IF($B24="","",MAX(0,IF(OR(الموظفون!$X24="",الموظفون!$X24&gt;$G$3),$G$3,الموظفون!$X24)-MAX($E$3,الموظفون!$H24)+1))</f>
        <v/>
      </c>
    </row>
    <row r="25" customFormat="false" ht="15" hidden="false" customHeight="false" outlineLevel="0" collapsed="false">
      <c r="A25" s="89" t="str">
        <f aca="false">IF($B25="","",الموظفون!$A25)</f>
        <v/>
      </c>
      <c r="B25" s="91" t="str">
        <f aca="false">IF(الموظفون!$B25="","",الموظفون!$B25)</f>
        <v/>
      </c>
      <c r="C25" s="91" t="str">
        <f aca="false">IF($B25="","",الموظفون!$C25)</f>
        <v/>
      </c>
      <c r="D25" s="91" t="str">
        <f aca="false">IF($B25="","",الموظفون!$F25)</f>
        <v/>
      </c>
      <c r="E25" s="91" t="str">
        <f aca="false">IF($B25="","",الموظفون!$E25)</f>
        <v/>
      </c>
      <c r="F25" s="110" t="str">
        <f aca="false">IF($B25="","",IF(AE25&gt;=DAY($G$3),cfg_DAYS_M,MIN(AE25,cfg_DAYS_M)))</f>
        <v/>
      </c>
      <c r="G25" s="110" t="str">
        <f aca="false">IF($B25="","",SUMIFS('الحركات الشهرية'!$D$6:$D$1005,'الحركات الشهرية'!$B$6:$B$1005,$B25,'الحركات الشهرية'!$A$6:$A$1005,$C$3))</f>
        <v/>
      </c>
      <c r="H25" s="110" t="str">
        <f aca="false">IF($B25="","",SUMIFS('الحركات الشهرية'!$E$6:$E$1005,'الحركات الشهرية'!$B$6:$B$1005,$B25,'الحركات الشهرية'!$A$6:$A$1005,$C$3))</f>
        <v/>
      </c>
      <c r="I25" s="110" t="str">
        <f aca="false">IF($B25="","",MAX(0,F25-G25-H25))</f>
        <v/>
      </c>
      <c r="J25" s="90" t="str">
        <f aca="false">IF($B25="","",الموظفون!$J25*$I25/cfg_DAYS_M)</f>
        <v/>
      </c>
      <c r="K25" s="90" t="str">
        <f aca="false">IF($B25="","",الموظفون!$K25*$I25/cfg_DAYS_M)</f>
        <v/>
      </c>
      <c r="L25" s="90" t="str">
        <f aca="false">IF($B25="","",الموظفون!$L25*$I25/cfg_DAYS_M)</f>
        <v/>
      </c>
      <c r="M25" s="90" t="str">
        <f aca="false">IF($B25="","",الموظفون!$M25*$I25/cfg_DAYS_M)</f>
        <v/>
      </c>
      <c r="N25" s="110" t="str">
        <f aca="false">IF($B25="","",SUMIFS('الحركات الشهرية'!$F$6:$F$1005,'الحركات الشهرية'!$B$6:$B$1005,$B25,'الحركات الشهرية'!$A$6:$A$1005,$C$3))</f>
        <v/>
      </c>
      <c r="O25" s="90" t="str">
        <f aca="false">IF($B25="","",N25*(الموظفون!$N25+الموظفون!$J25*cfg_OT_P)/cfg_DAYS_M/cfg_HRS)</f>
        <v/>
      </c>
      <c r="P25" s="90" t="str">
        <f aca="false">IF($B25="","",SUMIFS('الحركات الشهرية'!$G$6:$G$1005,'الحركات الشهرية'!$B$6:$B$1005,$B25,'الحركات الشهرية'!$A$6:$A$1005,$C$3))</f>
        <v/>
      </c>
      <c r="Q25" s="90" t="str">
        <f aca="false">IF($B25="","",SUMIFS('الحركات الشهرية'!$H$6:$H$1005,'الحركات الشهرية'!$B$6:$B$1005,$B25,'الحركات الشهرية'!$A$6:$A$1005,$C$3))</f>
        <v/>
      </c>
      <c r="R25" s="111" t="str">
        <f aca="false">IF($B25="","",SUM(J25:M25)+SUM(O25:Q25))</f>
        <v/>
      </c>
      <c r="S25" s="90" t="str">
        <f aca="false">IF($B25="","",الموظفون!$Q25*IF(E25="سعودي",cfg_G_SE,cfg_G_NE)*F25/cfg_DAYS_M)</f>
        <v/>
      </c>
      <c r="T25" s="90" t="str">
        <f aca="false">IF($B25="","",SUMIFS('الحركات الشهرية'!$I$6:$I$1005,'الحركات الشهرية'!$B$6:$B$1005,$B25,'الحركات الشهرية'!$A$6:$A$1005,$C$3))</f>
        <v/>
      </c>
      <c r="U25" s="90" t="str">
        <f aca="false">IF($B25="","",SUMIFS('الحركات الشهرية'!$J$6:$J$1005,'الحركات الشهرية'!$B$6:$B$1005,$B25,'الحركات الشهرية'!$A$6:$A$1005,$C$3))</f>
        <v/>
      </c>
      <c r="V25" s="90" t="str">
        <f aca="false">IF($B25="","",SUM(S25:U25))</f>
        <v/>
      </c>
      <c r="W25" s="112" t="str">
        <f aca="false">IF($B25="","",R25-V25)</f>
        <v/>
      </c>
      <c r="X25" s="90" t="str">
        <f aca="false">IF($B25="","",الموظفون!$Q25*IF(E25="سعودي",cfg_G_SR,cfg_G_NR)*F25/cfg_DAYS_M)</f>
        <v/>
      </c>
      <c r="Y25" s="90" t="str">
        <f aca="false">IF($B25="","",الموظفون!$O25*(cfg_EOS_R1*(MIN(AC25,cfg_EOS_TH)-MIN(AD25,cfg_EOS_TH))+cfg_EOS_R2*(MAX(AC25-cfg_EOS_TH,0)-MAX(AD25-cfg_EOS_TH,0))))</f>
        <v/>
      </c>
      <c r="Z25" s="90" t="str">
        <f aca="false">IF($B25="","",IF(الموظفون!$R25&lt;&gt;"",الموظفون!$R25,IF(AC25&gt;=cfg_LV_TH,cfg_LV_D2,cfg_LV_D1))/cfg_DAYS_Y*AE25*الموظفون!$P25/cfg_DAYS_M)</f>
        <v/>
      </c>
      <c r="AA25" s="90" t="str">
        <f aca="false">IF($B25="","",IF(AND(الموظفون!$S25="نعم",N(الموظفون!$U25)&gt;0),الموظفون!$T25/الموظفون!$U25*12/cfg_DAYS_Y*AE25,0))</f>
        <v/>
      </c>
      <c r="AB25" s="113" t="str">
        <f aca="false">IF($B25="","",R25+SUM(X25:AA25))</f>
        <v/>
      </c>
      <c r="AC25" s="114" t="str">
        <f aca="false">IF($B25="","",MAX(0,IF(OR(الموظفون!$X25="",الموظفون!$X25&gt;$G$3),$G$3,الموظفون!$X25)-الموظفون!$H25+1)/cfg_DAYS_Y)</f>
        <v/>
      </c>
      <c r="AD25" s="114" t="str">
        <f aca="false">IF($B25="","",MAX(0,IF(OR(الموظفون!$X25="",الموظفون!$X25&gt;($E$3-1)),($E$3-1),الموظفون!$X25)-الموظفون!$H25+1)/cfg_DAYS_Y)</f>
        <v/>
      </c>
      <c r="AE25" s="115" t="str">
        <f aca="false">IF($B25="","",MAX(0,IF(OR(الموظفون!$X25="",الموظفون!$X25&gt;$G$3),$G$3,الموظفون!$X25)-MAX($E$3,الموظفون!$H25)+1))</f>
        <v/>
      </c>
    </row>
    <row r="26" customFormat="false" ht="15" hidden="false" customHeight="false" outlineLevel="0" collapsed="false">
      <c r="A26" s="83" t="str">
        <f aca="false">IF($B26="","",الموظفون!$A26)</f>
        <v/>
      </c>
      <c r="B26" s="74" t="str">
        <f aca="false">IF(الموظفون!$B26="","",الموظفون!$B26)</f>
        <v/>
      </c>
      <c r="C26" s="74" t="str">
        <f aca="false">IF($B26="","",الموظفون!$C26)</f>
        <v/>
      </c>
      <c r="D26" s="74" t="str">
        <f aca="false">IF($B26="","",الموظفون!$F26)</f>
        <v/>
      </c>
      <c r="E26" s="74" t="str">
        <f aca="false">IF($B26="","",الموظفون!$E26)</f>
        <v/>
      </c>
      <c r="F26" s="105" t="str">
        <f aca="false">IF($B26="","",IF(AE26&gt;=DAY($G$3),cfg_DAYS_M,MIN(AE26,cfg_DAYS_M)))</f>
        <v/>
      </c>
      <c r="G26" s="105" t="str">
        <f aca="false">IF($B26="","",SUMIFS('الحركات الشهرية'!$D$6:$D$1005,'الحركات الشهرية'!$B$6:$B$1005,$B26,'الحركات الشهرية'!$A$6:$A$1005,$C$3))</f>
        <v/>
      </c>
      <c r="H26" s="105" t="str">
        <f aca="false">IF($B26="","",SUMIFS('الحركات الشهرية'!$E$6:$E$1005,'الحركات الشهرية'!$B$6:$B$1005,$B26,'الحركات الشهرية'!$A$6:$A$1005,$C$3))</f>
        <v/>
      </c>
      <c r="I26" s="105" t="str">
        <f aca="false">IF($B26="","",MAX(0,F26-G26-H26))</f>
        <v/>
      </c>
      <c r="J26" s="86" t="str">
        <f aca="false">IF($B26="","",الموظفون!$J26*$I26/cfg_DAYS_M)</f>
        <v/>
      </c>
      <c r="K26" s="86" t="str">
        <f aca="false">IF($B26="","",الموظفون!$K26*$I26/cfg_DAYS_M)</f>
        <v/>
      </c>
      <c r="L26" s="86" t="str">
        <f aca="false">IF($B26="","",الموظفون!$L26*$I26/cfg_DAYS_M)</f>
        <v/>
      </c>
      <c r="M26" s="86" t="str">
        <f aca="false">IF($B26="","",الموظفون!$M26*$I26/cfg_DAYS_M)</f>
        <v/>
      </c>
      <c r="N26" s="105" t="str">
        <f aca="false">IF($B26="","",SUMIFS('الحركات الشهرية'!$F$6:$F$1005,'الحركات الشهرية'!$B$6:$B$1005,$B26,'الحركات الشهرية'!$A$6:$A$1005,$C$3))</f>
        <v/>
      </c>
      <c r="O26" s="86" t="str">
        <f aca="false">IF($B26="","",N26*(الموظفون!$N26+الموظفون!$J26*cfg_OT_P)/cfg_DAYS_M/cfg_HRS)</f>
        <v/>
      </c>
      <c r="P26" s="86" t="str">
        <f aca="false">IF($B26="","",SUMIFS('الحركات الشهرية'!$G$6:$G$1005,'الحركات الشهرية'!$B$6:$B$1005,$B26,'الحركات الشهرية'!$A$6:$A$1005,$C$3))</f>
        <v/>
      </c>
      <c r="Q26" s="86" t="str">
        <f aca="false">IF($B26="","",SUMIFS('الحركات الشهرية'!$H$6:$H$1005,'الحركات الشهرية'!$B$6:$B$1005,$B26,'الحركات الشهرية'!$A$6:$A$1005,$C$3))</f>
        <v/>
      </c>
      <c r="R26" s="106" t="str">
        <f aca="false">IF($B26="","",SUM(J26:M26)+SUM(O26:Q26))</f>
        <v/>
      </c>
      <c r="S26" s="86" t="str">
        <f aca="false">IF($B26="","",الموظفون!$Q26*IF(E26="سعودي",cfg_G_SE,cfg_G_NE)*F26/cfg_DAYS_M)</f>
        <v/>
      </c>
      <c r="T26" s="86" t="str">
        <f aca="false">IF($B26="","",SUMIFS('الحركات الشهرية'!$I$6:$I$1005,'الحركات الشهرية'!$B$6:$B$1005,$B26,'الحركات الشهرية'!$A$6:$A$1005,$C$3))</f>
        <v/>
      </c>
      <c r="U26" s="86" t="str">
        <f aca="false">IF($B26="","",SUMIFS('الحركات الشهرية'!$J$6:$J$1005,'الحركات الشهرية'!$B$6:$B$1005,$B26,'الحركات الشهرية'!$A$6:$A$1005,$C$3))</f>
        <v/>
      </c>
      <c r="V26" s="86" t="str">
        <f aca="false">IF($B26="","",SUM(S26:U26))</f>
        <v/>
      </c>
      <c r="W26" s="107" t="str">
        <f aca="false">IF($B26="","",R26-V26)</f>
        <v/>
      </c>
      <c r="X26" s="86" t="str">
        <f aca="false">IF($B26="","",الموظفون!$Q26*IF(E26="سعودي",cfg_G_SR,cfg_G_NR)*F26/cfg_DAYS_M)</f>
        <v/>
      </c>
      <c r="Y26" s="86" t="str">
        <f aca="false">IF($B26="","",الموظفون!$O26*(cfg_EOS_R1*(MIN(AC26,cfg_EOS_TH)-MIN(AD26,cfg_EOS_TH))+cfg_EOS_R2*(MAX(AC26-cfg_EOS_TH,0)-MAX(AD26-cfg_EOS_TH,0))))</f>
        <v/>
      </c>
      <c r="Z26" s="86" t="str">
        <f aca="false">IF($B26="","",IF(الموظفون!$R26&lt;&gt;"",الموظفون!$R26,IF(AC26&gt;=cfg_LV_TH,cfg_LV_D2,cfg_LV_D1))/cfg_DAYS_Y*AE26*الموظفون!$P26/cfg_DAYS_M)</f>
        <v/>
      </c>
      <c r="AA26" s="86" t="str">
        <f aca="false">IF($B26="","",IF(AND(الموظفون!$S26="نعم",N(الموظفون!$U26)&gt;0),الموظفون!$T26/الموظفون!$U26*12/cfg_DAYS_Y*AE26,0))</f>
        <v/>
      </c>
      <c r="AB26" s="108" t="str">
        <f aca="false">IF($B26="","",R26+SUM(X26:AA26))</f>
        <v/>
      </c>
      <c r="AC26" s="109" t="str">
        <f aca="false">IF($B26="","",MAX(0,IF(OR(الموظفون!$X26="",الموظفون!$X26&gt;$G$3),$G$3,الموظفون!$X26)-الموظفون!$H26+1)/cfg_DAYS_Y)</f>
        <v/>
      </c>
      <c r="AD26" s="109" t="str">
        <f aca="false">IF($B26="","",MAX(0,IF(OR(الموظفون!$X26="",الموظفون!$X26&gt;($E$3-1)),($E$3-1),الموظفون!$X26)-الموظفون!$H26+1)/cfg_DAYS_Y)</f>
        <v/>
      </c>
      <c r="AE26" s="51" t="str">
        <f aca="false">IF($B26="","",MAX(0,IF(OR(الموظفون!$X26="",الموظفون!$X26&gt;$G$3),$G$3,الموظفون!$X26)-MAX($E$3,الموظفون!$H26)+1))</f>
        <v/>
      </c>
    </row>
    <row r="27" customFormat="false" ht="15" hidden="false" customHeight="false" outlineLevel="0" collapsed="false">
      <c r="A27" s="89" t="str">
        <f aca="false">IF($B27="","",الموظفون!$A27)</f>
        <v/>
      </c>
      <c r="B27" s="91" t="str">
        <f aca="false">IF(الموظفون!$B27="","",الموظفون!$B27)</f>
        <v/>
      </c>
      <c r="C27" s="91" t="str">
        <f aca="false">IF($B27="","",الموظفون!$C27)</f>
        <v/>
      </c>
      <c r="D27" s="91" t="str">
        <f aca="false">IF($B27="","",الموظفون!$F27)</f>
        <v/>
      </c>
      <c r="E27" s="91" t="str">
        <f aca="false">IF($B27="","",الموظفون!$E27)</f>
        <v/>
      </c>
      <c r="F27" s="110" t="str">
        <f aca="false">IF($B27="","",IF(AE27&gt;=DAY($G$3),cfg_DAYS_M,MIN(AE27,cfg_DAYS_M)))</f>
        <v/>
      </c>
      <c r="G27" s="110" t="str">
        <f aca="false">IF($B27="","",SUMIFS('الحركات الشهرية'!$D$6:$D$1005,'الحركات الشهرية'!$B$6:$B$1005,$B27,'الحركات الشهرية'!$A$6:$A$1005,$C$3))</f>
        <v/>
      </c>
      <c r="H27" s="110" t="str">
        <f aca="false">IF($B27="","",SUMIFS('الحركات الشهرية'!$E$6:$E$1005,'الحركات الشهرية'!$B$6:$B$1005,$B27,'الحركات الشهرية'!$A$6:$A$1005,$C$3))</f>
        <v/>
      </c>
      <c r="I27" s="110" t="str">
        <f aca="false">IF($B27="","",MAX(0,F27-G27-H27))</f>
        <v/>
      </c>
      <c r="J27" s="90" t="str">
        <f aca="false">IF($B27="","",الموظفون!$J27*$I27/cfg_DAYS_M)</f>
        <v/>
      </c>
      <c r="K27" s="90" t="str">
        <f aca="false">IF($B27="","",الموظفون!$K27*$I27/cfg_DAYS_M)</f>
        <v/>
      </c>
      <c r="L27" s="90" t="str">
        <f aca="false">IF($B27="","",الموظفون!$L27*$I27/cfg_DAYS_M)</f>
        <v/>
      </c>
      <c r="M27" s="90" t="str">
        <f aca="false">IF($B27="","",الموظفون!$M27*$I27/cfg_DAYS_M)</f>
        <v/>
      </c>
      <c r="N27" s="110" t="str">
        <f aca="false">IF($B27="","",SUMIFS('الحركات الشهرية'!$F$6:$F$1005,'الحركات الشهرية'!$B$6:$B$1005,$B27,'الحركات الشهرية'!$A$6:$A$1005,$C$3))</f>
        <v/>
      </c>
      <c r="O27" s="90" t="str">
        <f aca="false">IF($B27="","",N27*(الموظفون!$N27+الموظفون!$J27*cfg_OT_P)/cfg_DAYS_M/cfg_HRS)</f>
        <v/>
      </c>
      <c r="P27" s="90" t="str">
        <f aca="false">IF($B27="","",SUMIFS('الحركات الشهرية'!$G$6:$G$1005,'الحركات الشهرية'!$B$6:$B$1005,$B27,'الحركات الشهرية'!$A$6:$A$1005,$C$3))</f>
        <v/>
      </c>
      <c r="Q27" s="90" t="str">
        <f aca="false">IF($B27="","",SUMIFS('الحركات الشهرية'!$H$6:$H$1005,'الحركات الشهرية'!$B$6:$B$1005,$B27,'الحركات الشهرية'!$A$6:$A$1005,$C$3))</f>
        <v/>
      </c>
      <c r="R27" s="111" t="str">
        <f aca="false">IF($B27="","",SUM(J27:M27)+SUM(O27:Q27))</f>
        <v/>
      </c>
      <c r="S27" s="90" t="str">
        <f aca="false">IF($B27="","",الموظفون!$Q27*IF(E27="سعودي",cfg_G_SE,cfg_G_NE)*F27/cfg_DAYS_M)</f>
        <v/>
      </c>
      <c r="T27" s="90" t="str">
        <f aca="false">IF($B27="","",SUMIFS('الحركات الشهرية'!$I$6:$I$1005,'الحركات الشهرية'!$B$6:$B$1005,$B27,'الحركات الشهرية'!$A$6:$A$1005,$C$3))</f>
        <v/>
      </c>
      <c r="U27" s="90" t="str">
        <f aca="false">IF($B27="","",SUMIFS('الحركات الشهرية'!$J$6:$J$1005,'الحركات الشهرية'!$B$6:$B$1005,$B27,'الحركات الشهرية'!$A$6:$A$1005,$C$3))</f>
        <v/>
      </c>
      <c r="V27" s="90" t="str">
        <f aca="false">IF($B27="","",SUM(S27:U27))</f>
        <v/>
      </c>
      <c r="W27" s="112" t="str">
        <f aca="false">IF($B27="","",R27-V27)</f>
        <v/>
      </c>
      <c r="X27" s="90" t="str">
        <f aca="false">IF($B27="","",الموظفون!$Q27*IF(E27="سعودي",cfg_G_SR,cfg_G_NR)*F27/cfg_DAYS_M)</f>
        <v/>
      </c>
      <c r="Y27" s="90" t="str">
        <f aca="false">IF($B27="","",الموظفون!$O27*(cfg_EOS_R1*(MIN(AC27,cfg_EOS_TH)-MIN(AD27,cfg_EOS_TH))+cfg_EOS_R2*(MAX(AC27-cfg_EOS_TH,0)-MAX(AD27-cfg_EOS_TH,0))))</f>
        <v/>
      </c>
      <c r="Z27" s="90" t="str">
        <f aca="false">IF($B27="","",IF(الموظفون!$R27&lt;&gt;"",الموظفون!$R27,IF(AC27&gt;=cfg_LV_TH,cfg_LV_D2,cfg_LV_D1))/cfg_DAYS_Y*AE27*الموظفون!$P27/cfg_DAYS_M)</f>
        <v/>
      </c>
      <c r="AA27" s="90" t="str">
        <f aca="false">IF($B27="","",IF(AND(الموظفون!$S27="نعم",N(الموظفون!$U27)&gt;0),الموظفون!$T27/الموظفون!$U27*12/cfg_DAYS_Y*AE27,0))</f>
        <v/>
      </c>
      <c r="AB27" s="113" t="str">
        <f aca="false">IF($B27="","",R27+SUM(X27:AA27))</f>
        <v/>
      </c>
      <c r="AC27" s="114" t="str">
        <f aca="false">IF($B27="","",MAX(0,IF(OR(الموظفون!$X27="",الموظفون!$X27&gt;$G$3),$G$3,الموظفون!$X27)-الموظفون!$H27+1)/cfg_DAYS_Y)</f>
        <v/>
      </c>
      <c r="AD27" s="114" t="str">
        <f aca="false">IF($B27="","",MAX(0,IF(OR(الموظفون!$X27="",الموظفون!$X27&gt;($E$3-1)),($E$3-1),الموظفون!$X27)-الموظفون!$H27+1)/cfg_DAYS_Y)</f>
        <v/>
      </c>
      <c r="AE27" s="115" t="str">
        <f aca="false">IF($B27="","",MAX(0,IF(OR(الموظفون!$X27="",الموظفون!$X27&gt;$G$3),$G$3,الموظفون!$X27)-MAX($E$3,الموظفون!$H27)+1))</f>
        <v/>
      </c>
    </row>
    <row r="28" customFormat="false" ht="15" hidden="false" customHeight="false" outlineLevel="0" collapsed="false">
      <c r="A28" s="83" t="str">
        <f aca="false">IF($B28="","",الموظفون!$A28)</f>
        <v/>
      </c>
      <c r="B28" s="74" t="str">
        <f aca="false">IF(الموظفون!$B28="","",الموظفون!$B28)</f>
        <v/>
      </c>
      <c r="C28" s="74" t="str">
        <f aca="false">IF($B28="","",الموظفون!$C28)</f>
        <v/>
      </c>
      <c r="D28" s="74" t="str">
        <f aca="false">IF($B28="","",الموظفون!$F28)</f>
        <v/>
      </c>
      <c r="E28" s="74" t="str">
        <f aca="false">IF($B28="","",الموظفون!$E28)</f>
        <v/>
      </c>
      <c r="F28" s="105" t="str">
        <f aca="false">IF($B28="","",IF(AE28&gt;=DAY($G$3),cfg_DAYS_M,MIN(AE28,cfg_DAYS_M)))</f>
        <v/>
      </c>
      <c r="G28" s="105" t="str">
        <f aca="false">IF($B28="","",SUMIFS('الحركات الشهرية'!$D$6:$D$1005,'الحركات الشهرية'!$B$6:$B$1005,$B28,'الحركات الشهرية'!$A$6:$A$1005,$C$3))</f>
        <v/>
      </c>
      <c r="H28" s="105" t="str">
        <f aca="false">IF($B28="","",SUMIFS('الحركات الشهرية'!$E$6:$E$1005,'الحركات الشهرية'!$B$6:$B$1005,$B28,'الحركات الشهرية'!$A$6:$A$1005,$C$3))</f>
        <v/>
      </c>
      <c r="I28" s="105" t="str">
        <f aca="false">IF($B28="","",MAX(0,F28-G28-H28))</f>
        <v/>
      </c>
      <c r="J28" s="86" t="str">
        <f aca="false">IF($B28="","",الموظفون!$J28*$I28/cfg_DAYS_M)</f>
        <v/>
      </c>
      <c r="K28" s="86" t="str">
        <f aca="false">IF($B28="","",الموظفون!$K28*$I28/cfg_DAYS_M)</f>
        <v/>
      </c>
      <c r="L28" s="86" t="str">
        <f aca="false">IF($B28="","",الموظفون!$L28*$I28/cfg_DAYS_M)</f>
        <v/>
      </c>
      <c r="M28" s="86" t="str">
        <f aca="false">IF($B28="","",الموظفون!$M28*$I28/cfg_DAYS_M)</f>
        <v/>
      </c>
      <c r="N28" s="105" t="str">
        <f aca="false">IF($B28="","",SUMIFS('الحركات الشهرية'!$F$6:$F$1005,'الحركات الشهرية'!$B$6:$B$1005,$B28,'الحركات الشهرية'!$A$6:$A$1005,$C$3))</f>
        <v/>
      </c>
      <c r="O28" s="86" t="str">
        <f aca="false">IF($B28="","",N28*(الموظفون!$N28+الموظفون!$J28*cfg_OT_P)/cfg_DAYS_M/cfg_HRS)</f>
        <v/>
      </c>
      <c r="P28" s="86" t="str">
        <f aca="false">IF($B28="","",SUMIFS('الحركات الشهرية'!$G$6:$G$1005,'الحركات الشهرية'!$B$6:$B$1005,$B28,'الحركات الشهرية'!$A$6:$A$1005,$C$3))</f>
        <v/>
      </c>
      <c r="Q28" s="86" t="str">
        <f aca="false">IF($B28="","",SUMIFS('الحركات الشهرية'!$H$6:$H$1005,'الحركات الشهرية'!$B$6:$B$1005,$B28,'الحركات الشهرية'!$A$6:$A$1005,$C$3))</f>
        <v/>
      </c>
      <c r="R28" s="106" t="str">
        <f aca="false">IF($B28="","",SUM(J28:M28)+SUM(O28:Q28))</f>
        <v/>
      </c>
      <c r="S28" s="86" t="str">
        <f aca="false">IF($B28="","",الموظفون!$Q28*IF(E28="سعودي",cfg_G_SE,cfg_G_NE)*F28/cfg_DAYS_M)</f>
        <v/>
      </c>
      <c r="T28" s="86" t="str">
        <f aca="false">IF($B28="","",SUMIFS('الحركات الشهرية'!$I$6:$I$1005,'الحركات الشهرية'!$B$6:$B$1005,$B28,'الحركات الشهرية'!$A$6:$A$1005,$C$3))</f>
        <v/>
      </c>
      <c r="U28" s="86" t="str">
        <f aca="false">IF($B28="","",SUMIFS('الحركات الشهرية'!$J$6:$J$1005,'الحركات الشهرية'!$B$6:$B$1005,$B28,'الحركات الشهرية'!$A$6:$A$1005,$C$3))</f>
        <v/>
      </c>
      <c r="V28" s="86" t="str">
        <f aca="false">IF($B28="","",SUM(S28:U28))</f>
        <v/>
      </c>
      <c r="W28" s="107" t="str">
        <f aca="false">IF($B28="","",R28-V28)</f>
        <v/>
      </c>
      <c r="X28" s="86" t="str">
        <f aca="false">IF($B28="","",الموظفون!$Q28*IF(E28="سعودي",cfg_G_SR,cfg_G_NR)*F28/cfg_DAYS_M)</f>
        <v/>
      </c>
      <c r="Y28" s="86" t="str">
        <f aca="false">IF($B28="","",الموظفون!$O28*(cfg_EOS_R1*(MIN(AC28,cfg_EOS_TH)-MIN(AD28,cfg_EOS_TH))+cfg_EOS_R2*(MAX(AC28-cfg_EOS_TH,0)-MAX(AD28-cfg_EOS_TH,0))))</f>
        <v/>
      </c>
      <c r="Z28" s="86" t="str">
        <f aca="false">IF($B28="","",IF(الموظفون!$R28&lt;&gt;"",الموظفون!$R28,IF(AC28&gt;=cfg_LV_TH,cfg_LV_D2,cfg_LV_D1))/cfg_DAYS_Y*AE28*الموظفون!$P28/cfg_DAYS_M)</f>
        <v/>
      </c>
      <c r="AA28" s="86" t="str">
        <f aca="false">IF($B28="","",IF(AND(الموظفون!$S28="نعم",N(الموظفون!$U28)&gt;0),الموظفون!$T28/الموظفون!$U28*12/cfg_DAYS_Y*AE28,0))</f>
        <v/>
      </c>
      <c r="AB28" s="108" t="str">
        <f aca="false">IF($B28="","",R28+SUM(X28:AA28))</f>
        <v/>
      </c>
      <c r="AC28" s="109" t="str">
        <f aca="false">IF($B28="","",MAX(0,IF(OR(الموظفون!$X28="",الموظفون!$X28&gt;$G$3),$G$3,الموظفون!$X28)-الموظفون!$H28+1)/cfg_DAYS_Y)</f>
        <v/>
      </c>
      <c r="AD28" s="109" t="str">
        <f aca="false">IF($B28="","",MAX(0,IF(OR(الموظفون!$X28="",الموظفون!$X28&gt;($E$3-1)),($E$3-1),الموظفون!$X28)-الموظفون!$H28+1)/cfg_DAYS_Y)</f>
        <v/>
      </c>
      <c r="AE28" s="51" t="str">
        <f aca="false">IF($B28="","",MAX(0,IF(OR(الموظفون!$X28="",الموظفون!$X28&gt;$G$3),$G$3,الموظفون!$X28)-MAX($E$3,الموظفون!$H28)+1))</f>
        <v/>
      </c>
    </row>
    <row r="29" customFormat="false" ht="15" hidden="false" customHeight="false" outlineLevel="0" collapsed="false">
      <c r="A29" s="89" t="str">
        <f aca="false">IF($B29="","",الموظفون!$A29)</f>
        <v/>
      </c>
      <c r="B29" s="91" t="str">
        <f aca="false">IF(الموظفون!$B29="","",الموظفون!$B29)</f>
        <v/>
      </c>
      <c r="C29" s="91" t="str">
        <f aca="false">IF($B29="","",الموظفون!$C29)</f>
        <v/>
      </c>
      <c r="D29" s="91" t="str">
        <f aca="false">IF($B29="","",الموظفون!$F29)</f>
        <v/>
      </c>
      <c r="E29" s="91" t="str">
        <f aca="false">IF($B29="","",الموظفون!$E29)</f>
        <v/>
      </c>
      <c r="F29" s="110" t="str">
        <f aca="false">IF($B29="","",IF(AE29&gt;=DAY($G$3),cfg_DAYS_M,MIN(AE29,cfg_DAYS_M)))</f>
        <v/>
      </c>
      <c r="G29" s="110" t="str">
        <f aca="false">IF($B29="","",SUMIFS('الحركات الشهرية'!$D$6:$D$1005,'الحركات الشهرية'!$B$6:$B$1005,$B29,'الحركات الشهرية'!$A$6:$A$1005,$C$3))</f>
        <v/>
      </c>
      <c r="H29" s="110" t="str">
        <f aca="false">IF($B29="","",SUMIFS('الحركات الشهرية'!$E$6:$E$1005,'الحركات الشهرية'!$B$6:$B$1005,$B29,'الحركات الشهرية'!$A$6:$A$1005,$C$3))</f>
        <v/>
      </c>
      <c r="I29" s="110" t="str">
        <f aca="false">IF($B29="","",MAX(0,F29-G29-H29))</f>
        <v/>
      </c>
      <c r="J29" s="90" t="str">
        <f aca="false">IF($B29="","",الموظفون!$J29*$I29/cfg_DAYS_M)</f>
        <v/>
      </c>
      <c r="K29" s="90" t="str">
        <f aca="false">IF($B29="","",الموظفون!$K29*$I29/cfg_DAYS_M)</f>
        <v/>
      </c>
      <c r="L29" s="90" t="str">
        <f aca="false">IF($B29="","",الموظفون!$L29*$I29/cfg_DAYS_M)</f>
        <v/>
      </c>
      <c r="M29" s="90" t="str">
        <f aca="false">IF($B29="","",الموظفون!$M29*$I29/cfg_DAYS_M)</f>
        <v/>
      </c>
      <c r="N29" s="110" t="str">
        <f aca="false">IF($B29="","",SUMIFS('الحركات الشهرية'!$F$6:$F$1005,'الحركات الشهرية'!$B$6:$B$1005,$B29,'الحركات الشهرية'!$A$6:$A$1005,$C$3))</f>
        <v/>
      </c>
      <c r="O29" s="90" t="str">
        <f aca="false">IF($B29="","",N29*(الموظفون!$N29+الموظفون!$J29*cfg_OT_P)/cfg_DAYS_M/cfg_HRS)</f>
        <v/>
      </c>
      <c r="P29" s="90" t="str">
        <f aca="false">IF($B29="","",SUMIFS('الحركات الشهرية'!$G$6:$G$1005,'الحركات الشهرية'!$B$6:$B$1005,$B29,'الحركات الشهرية'!$A$6:$A$1005,$C$3))</f>
        <v/>
      </c>
      <c r="Q29" s="90" t="str">
        <f aca="false">IF($B29="","",SUMIFS('الحركات الشهرية'!$H$6:$H$1005,'الحركات الشهرية'!$B$6:$B$1005,$B29,'الحركات الشهرية'!$A$6:$A$1005,$C$3))</f>
        <v/>
      </c>
      <c r="R29" s="111" t="str">
        <f aca="false">IF($B29="","",SUM(J29:M29)+SUM(O29:Q29))</f>
        <v/>
      </c>
      <c r="S29" s="90" t="str">
        <f aca="false">IF($B29="","",الموظفون!$Q29*IF(E29="سعودي",cfg_G_SE,cfg_G_NE)*F29/cfg_DAYS_M)</f>
        <v/>
      </c>
      <c r="T29" s="90" t="str">
        <f aca="false">IF($B29="","",SUMIFS('الحركات الشهرية'!$I$6:$I$1005,'الحركات الشهرية'!$B$6:$B$1005,$B29,'الحركات الشهرية'!$A$6:$A$1005,$C$3))</f>
        <v/>
      </c>
      <c r="U29" s="90" t="str">
        <f aca="false">IF($B29="","",SUMIFS('الحركات الشهرية'!$J$6:$J$1005,'الحركات الشهرية'!$B$6:$B$1005,$B29,'الحركات الشهرية'!$A$6:$A$1005,$C$3))</f>
        <v/>
      </c>
      <c r="V29" s="90" t="str">
        <f aca="false">IF($B29="","",SUM(S29:U29))</f>
        <v/>
      </c>
      <c r="W29" s="112" t="str">
        <f aca="false">IF($B29="","",R29-V29)</f>
        <v/>
      </c>
      <c r="X29" s="90" t="str">
        <f aca="false">IF($B29="","",الموظفون!$Q29*IF(E29="سعودي",cfg_G_SR,cfg_G_NR)*F29/cfg_DAYS_M)</f>
        <v/>
      </c>
      <c r="Y29" s="90" t="str">
        <f aca="false">IF($B29="","",الموظفون!$O29*(cfg_EOS_R1*(MIN(AC29,cfg_EOS_TH)-MIN(AD29,cfg_EOS_TH))+cfg_EOS_R2*(MAX(AC29-cfg_EOS_TH,0)-MAX(AD29-cfg_EOS_TH,0))))</f>
        <v/>
      </c>
      <c r="Z29" s="90" t="str">
        <f aca="false">IF($B29="","",IF(الموظفون!$R29&lt;&gt;"",الموظفون!$R29,IF(AC29&gt;=cfg_LV_TH,cfg_LV_D2,cfg_LV_D1))/cfg_DAYS_Y*AE29*الموظفون!$P29/cfg_DAYS_M)</f>
        <v/>
      </c>
      <c r="AA29" s="90" t="str">
        <f aca="false">IF($B29="","",IF(AND(الموظفون!$S29="نعم",N(الموظفون!$U29)&gt;0),الموظفون!$T29/الموظفون!$U29*12/cfg_DAYS_Y*AE29,0))</f>
        <v/>
      </c>
      <c r="AB29" s="113" t="str">
        <f aca="false">IF($B29="","",R29+SUM(X29:AA29))</f>
        <v/>
      </c>
      <c r="AC29" s="114" t="str">
        <f aca="false">IF($B29="","",MAX(0,IF(OR(الموظفون!$X29="",الموظفون!$X29&gt;$G$3),$G$3,الموظفون!$X29)-الموظفون!$H29+1)/cfg_DAYS_Y)</f>
        <v/>
      </c>
      <c r="AD29" s="114" t="str">
        <f aca="false">IF($B29="","",MAX(0,IF(OR(الموظفون!$X29="",الموظفون!$X29&gt;($E$3-1)),($E$3-1),الموظفون!$X29)-الموظفون!$H29+1)/cfg_DAYS_Y)</f>
        <v/>
      </c>
      <c r="AE29" s="115" t="str">
        <f aca="false">IF($B29="","",MAX(0,IF(OR(الموظفون!$X29="",الموظفون!$X29&gt;$G$3),$G$3,الموظفون!$X29)-MAX($E$3,الموظفون!$H29)+1))</f>
        <v/>
      </c>
    </row>
    <row r="30" customFormat="false" ht="15" hidden="false" customHeight="false" outlineLevel="0" collapsed="false">
      <c r="A30" s="83" t="str">
        <f aca="false">IF($B30="","",الموظفون!$A30)</f>
        <v/>
      </c>
      <c r="B30" s="74" t="str">
        <f aca="false">IF(الموظفون!$B30="","",الموظفون!$B30)</f>
        <v/>
      </c>
      <c r="C30" s="74" t="str">
        <f aca="false">IF($B30="","",الموظفون!$C30)</f>
        <v/>
      </c>
      <c r="D30" s="74" t="str">
        <f aca="false">IF($B30="","",الموظفون!$F30)</f>
        <v/>
      </c>
      <c r="E30" s="74" t="str">
        <f aca="false">IF($B30="","",الموظفون!$E30)</f>
        <v/>
      </c>
      <c r="F30" s="105" t="str">
        <f aca="false">IF($B30="","",IF(AE30&gt;=DAY($G$3),cfg_DAYS_M,MIN(AE30,cfg_DAYS_M)))</f>
        <v/>
      </c>
      <c r="G30" s="105" t="str">
        <f aca="false">IF($B30="","",SUMIFS('الحركات الشهرية'!$D$6:$D$1005,'الحركات الشهرية'!$B$6:$B$1005,$B30,'الحركات الشهرية'!$A$6:$A$1005,$C$3))</f>
        <v/>
      </c>
      <c r="H30" s="105" t="str">
        <f aca="false">IF($B30="","",SUMIFS('الحركات الشهرية'!$E$6:$E$1005,'الحركات الشهرية'!$B$6:$B$1005,$B30,'الحركات الشهرية'!$A$6:$A$1005,$C$3))</f>
        <v/>
      </c>
      <c r="I30" s="105" t="str">
        <f aca="false">IF($B30="","",MAX(0,F30-G30-H30))</f>
        <v/>
      </c>
      <c r="J30" s="86" t="str">
        <f aca="false">IF($B30="","",الموظفون!$J30*$I30/cfg_DAYS_M)</f>
        <v/>
      </c>
      <c r="K30" s="86" t="str">
        <f aca="false">IF($B30="","",الموظفون!$K30*$I30/cfg_DAYS_M)</f>
        <v/>
      </c>
      <c r="L30" s="86" t="str">
        <f aca="false">IF($B30="","",الموظفون!$L30*$I30/cfg_DAYS_M)</f>
        <v/>
      </c>
      <c r="M30" s="86" t="str">
        <f aca="false">IF($B30="","",الموظفون!$M30*$I30/cfg_DAYS_M)</f>
        <v/>
      </c>
      <c r="N30" s="105" t="str">
        <f aca="false">IF($B30="","",SUMIFS('الحركات الشهرية'!$F$6:$F$1005,'الحركات الشهرية'!$B$6:$B$1005,$B30,'الحركات الشهرية'!$A$6:$A$1005,$C$3))</f>
        <v/>
      </c>
      <c r="O30" s="86" t="str">
        <f aca="false">IF($B30="","",N30*(الموظفون!$N30+الموظفون!$J30*cfg_OT_P)/cfg_DAYS_M/cfg_HRS)</f>
        <v/>
      </c>
      <c r="P30" s="86" t="str">
        <f aca="false">IF($B30="","",SUMIFS('الحركات الشهرية'!$G$6:$G$1005,'الحركات الشهرية'!$B$6:$B$1005,$B30,'الحركات الشهرية'!$A$6:$A$1005,$C$3))</f>
        <v/>
      </c>
      <c r="Q30" s="86" t="str">
        <f aca="false">IF($B30="","",SUMIFS('الحركات الشهرية'!$H$6:$H$1005,'الحركات الشهرية'!$B$6:$B$1005,$B30,'الحركات الشهرية'!$A$6:$A$1005,$C$3))</f>
        <v/>
      </c>
      <c r="R30" s="106" t="str">
        <f aca="false">IF($B30="","",SUM(J30:M30)+SUM(O30:Q30))</f>
        <v/>
      </c>
      <c r="S30" s="86" t="str">
        <f aca="false">IF($B30="","",الموظفون!$Q30*IF(E30="سعودي",cfg_G_SE,cfg_G_NE)*F30/cfg_DAYS_M)</f>
        <v/>
      </c>
      <c r="T30" s="86" t="str">
        <f aca="false">IF($B30="","",SUMIFS('الحركات الشهرية'!$I$6:$I$1005,'الحركات الشهرية'!$B$6:$B$1005,$B30,'الحركات الشهرية'!$A$6:$A$1005,$C$3))</f>
        <v/>
      </c>
      <c r="U30" s="86" t="str">
        <f aca="false">IF($B30="","",SUMIFS('الحركات الشهرية'!$J$6:$J$1005,'الحركات الشهرية'!$B$6:$B$1005,$B30,'الحركات الشهرية'!$A$6:$A$1005,$C$3))</f>
        <v/>
      </c>
      <c r="V30" s="86" t="str">
        <f aca="false">IF($B30="","",SUM(S30:U30))</f>
        <v/>
      </c>
      <c r="W30" s="107" t="str">
        <f aca="false">IF($B30="","",R30-V30)</f>
        <v/>
      </c>
      <c r="X30" s="86" t="str">
        <f aca="false">IF($B30="","",الموظفون!$Q30*IF(E30="سعودي",cfg_G_SR,cfg_G_NR)*F30/cfg_DAYS_M)</f>
        <v/>
      </c>
      <c r="Y30" s="86" t="str">
        <f aca="false">IF($B30="","",الموظفون!$O30*(cfg_EOS_R1*(MIN(AC30,cfg_EOS_TH)-MIN(AD30,cfg_EOS_TH))+cfg_EOS_R2*(MAX(AC30-cfg_EOS_TH,0)-MAX(AD30-cfg_EOS_TH,0))))</f>
        <v/>
      </c>
      <c r="Z30" s="86" t="str">
        <f aca="false">IF($B30="","",IF(الموظفون!$R30&lt;&gt;"",الموظفون!$R30,IF(AC30&gt;=cfg_LV_TH,cfg_LV_D2,cfg_LV_D1))/cfg_DAYS_Y*AE30*الموظفون!$P30/cfg_DAYS_M)</f>
        <v/>
      </c>
      <c r="AA30" s="86" t="str">
        <f aca="false">IF($B30="","",IF(AND(الموظفون!$S30="نعم",N(الموظفون!$U30)&gt;0),الموظفون!$T30/الموظفون!$U30*12/cfg_DAYS_Y*AE30,0))</f>
        <v/>
      </c>
      <c r="AB30" s="108" t="str">
        <f aca="false">IF($B30="","",R30+SUM(X30:AA30))</f>
        <v/>
      </c>
      <c r="AC30" s="109" t="str">
        <f aca="false">IF($B30="","",MAX(0,IF(OR(الموظفون!$X30="",الموظفون!$X30&gt;$G$3),$G$3,الموظفون!$X30)-الموظفون!$H30+1)/cfg_DAYS_Y)</f>
        <v/>
      </c>
      <c r="AD30" s="109" t="str">
        <f aca="false">IF($B30="","",MAX(0,IF(OR(الموظفون!$X30="",الموظفون!$X30&gt;($E$3-1)),($E$3-1),الموظفون!$X30)-الموظفون!$H30+1)/cfg_DAYS_Y)</f>
        <v/>
      </c>
      <c r="AE30" s="51" t="str">
        <f aca="false">IF($B30="","",MAX(0,IF(OR(الموظفون!$X30="",الموظفون!$X30&gt;$G$3),$G$3,الموظفون!$X30)-MAX($E$3,الموظفون!$H30)+1))</f>
        <v/>
      </c>
    </row>
    <row r="31" customFormat="false" ht="15" hidden="false" customHeight="false" outlineLevel="0" collapsed="false">
      <c r="A31" s="89" t="str">
        <f aca="false">IF($B31="","",الموظفون!$A31)</f>
        <v/>
      </c>
      <c r="B31" s="91" t="str">
        <f aca="false">IF(الموظفون!$B31="","",الموظفون!$B31)</f>
        <v/>
      </c>
      <c r="C31" s="91" t="str">
        <f aca="false">IF($B31="","",الموظفون!$C31)</f>
        <v/>
      </c>
      <c r="D31" s="91" t="str">
        <f aca="false">IF($B31="","",الموظفون!$F31)</f>
        <v/>
      </c>
      <c r="E31" s="91" t="str">
        <f aca="false">IF($B31="","",الموظفون!$E31)</f>
        <v/>
      </c>
      <c r="F31" s="110" t="str">
        <f aca="false">IF($B31="","",IF(AE31&gt;=DAY($G$3),cfg_DAYS_M,MIN(AE31,cfg_DAYS_M)))</f>
        <v/>
      </c>
      <c r="G31" s="110" t="str">
        <f aca="false">IF($B31="","",SUMIFS('الحركات الشهرية'!$D$6:$D$1005,'الحركات الشهرية'!$B$6:$B$1005,$B31,'الحركات الشهرية'!$A$6:$A$1005,$C$3))</f>
        <v/>
      </c>
      <c r="H31" s="110" t="str">
        <f aca="false">IF($B31="","",SUMIFS('الحركات الشهرية'!$E$6:$E$1005,'الحركات الشهرية'!$B$6:$B$1005,$B31,'الحركات الشهرية'!$A$6:$A$1005,$C$3))</f>
        <v/>
      </c>
      <c r="I31" s="110" t="str">
        <f aca="false">IF($B31="","",MAX(0,F31-G31-H31))</f>
        <v/>
      </c>
      <c r="J31" s="90" t="str">
        <f aca="false">IF($B31="","",الموظفون!$J31*$I31/cfg_DAYS_M)</f>
        <v/>
      </c>
      <c r="K31" s="90" t="str">
        <f aca="false">IF($B31="","",الموظفون!$K31*$I31/cfg_DAYS_M)</f>
        <v/>
      </c>
      <c r="L31" s="90" t="str">
        <f aca="false">IF($B31="","",الموظفون!$L31*$I31/cfg_DAYS_M)</f>
        <v/>
      </c>
      <c r="M31" s="90" t="str">
        <f aca="false">IF($B31="","",الموظفون!$M31*$I31/cfg_DAYS_M)</f>
        <v/>
      </c>
      <c r="N31" s="110" t="str">
        <f aca="false">IF($B31="","",SUMIFS('الحركات الشهرية'!$F$6:$F$1005,'الحركات الشهرية'!$B$6:$B$1005,$B31,'الحركات الشهرية'!$A$6:$A$1005,$C$3))</f>
        <v/>
      </c>
      <c r="O31" s="90" t="str">
        <f aca="false">IF($B31="","",N31*(الموظفون!$N31+الموظفون!$J31*cfg_OT_P)/cfg_DAYS_M/cfg_HRS)</f>
        <v/>
      </c>
      <c r="P31" s="90" t="str">
        <f aca="false">IF($B31="","",SUMIFS('الحركات الشهرية'!$G$6:$G$1005,'الحركات الشهرية'!$B$6:$B$1005,$B31,'الحركات الشهرية'!$A$6:$A$1005,$C$3))</f>
        <v/>
      </c>
      <c r="Q31" s="90" t="str">
        <f aca="false">IF($B31="","",SUMIFS('الحركات الشهرية'!$H$6:$H$1005,'الحركات الشهرية'!$B$6:$B$1005,$B31,'الحركات الشهرية'!$A$6:$A$1005,$C$3))</f>
        <v/>
      </c>
      <c r="R31" s="111" t="str">
        <f aca="false">IF($B31="","",SUM(J31:M31)+SUM(O31:Q31))</f>
        <v/>
      </c>
      <c r="S31" s="90" t="str">
        <f aca="false">IF($B31="","",الموظفون!$Q31*IF(E31="سعودي",cfg_G_SE,cfg_G_NE)*F31/cfg_DAYS_M)</f>
        <v/>
      </c>
      <c r="T31" s="90" t="str">
        <f aca="false">IF($B31="","",SUMIFS('الحركات الشهرية'!$I$6:$I$1005,'الحركات الشهرية'!$B$6:$B$1005,$B31,'الحركات الشهرية'!$A$6:$A$1005,$C$3))</f>
        <v/>
      </c>
      <c r="U31" s="90" t="str">
        <f aca="false">IF($B31="","",SUMIFS('الحركات الشهرية'!$J$6:$J$1005,'الحركات الشهرية'!$B$6:$B$1005,$B31,'الحركات الشهرية'!$A$6:$A$1005,$C$3))</f>
        <v/>
      </c>
      <c r="V31" s="90" t="str">
        <f aca="false">IF($B31="","",SUM(S31:U31))</f>
        <v/>
      </c>
      <c r="W31" s="112" t="str">
        <f aca="false">IF($B31="","",R31-V31)</f>
        <v/>
      </c>
      <c r="X31" s="90" t="str">
        <f aca="false">IF($B31="","",الموظفون!$Q31*IF(E31="سعودي",cfg_G_SR,cfg_G_NR)*F31/cfg_DAYS_M)</f>
        <v/>
      </c>
      <c r="Y31" s="90" t="str">
        <f aca="false">IF($B31="","",الموظفون!$O31*(cfg_EOS_R1*(MIN(AC31,cfg_EOS_TH)-MIN(AD31,cfg_EOS_TH))+cfg_EOS_R2*(MAX(AC31-cfg_EOS_TH,0)-MAX(AD31-cfg_EOS_TH,0))))</f>
        <v/>
      </c>
      <c r="Z31" s="90" t="str">
        <f aca="false">IF($B31="","",IF(الموظفون!$R31&lt;&gt;"",الموظفون!$R31,IF(AC31&gt;=cfg_LV_TH,cfg_LV_D2,cfg_LV_D1))/cfg_DAYS_Y*AE31*الموظفون!$P31/cfg_DAYS_M)</f>
        <v/>
      </c>
      <c r="AA31" s="90" t="str">
        <f aca="false">IF($B31="","",IF(AND(الموظفون!$S31="نعم",N(الموظفون!$U31)&gt;0),الموظفون!$T31/الموظفون!$U31*12/cfg_DAYS_Y*AE31,0))</f>
        <v/>
      </c>
      <c r="AB31" s="113" t="str">
        <f aca="false">IF($B31="","",R31+SUM(X31:AA31))</f>
        <v/>
      </c>
      <c r="AC31" s="114" t="str">
        <f aca="false">IF($B31="","",MAX(0,IF(OR(الموظفون!$X31="",الموظفون!$X31&gt;$G$3),$G$3,الموظفون!$X31)-الموظفون!$H31+1)/cfg_DAYS_Y)</f>
        <v/>
      </c>
      <c r="AD31" s="114" t="str">
        <f aca="false">IF($B31="","",MAX(0,IF(OR(الموظفون!$X31="",الموظفون!$X31&gt;($E$3-1)),($E$3-1),الموظفون!$X31)-الموظفون!$H31+1)/cfg_DAYS_Y)</f>
        <v/>
      </c>
      <c r="AE31" s="115" t="str">
        <f aca="false">IF($B31="","",MAX(0,IF(OR(الموظفون!$X31="",الموظفون!$X31&gt;$G$3),$G$3,الموظفون!$X31)-MAX($E$3,الموظفون!$H31)+1))</f>
        <v/>
      </c>
    </row>
    <row r="32" customFormat="false" ht="15" hidden="false" customHeight="false" outlineLevel="0" collapsed="false">
      <c r="A32" s="83" t="str">
        <f aca="false">IF($B32="","",الموظفون!$A32)</f>
        <v/>
      </c>
      <c r="B32" s="74" t="str">
        <f aca="false">IF(الموظفون!$B32="","",الموظفون!$B32)</f>
        <v/>
      </c>
      <c r="C32" s="74" t="str">
        <f aca="false">IF($B32="","",الموظفون!$C32)</f>
        <v/>
      </c>
      <c r="D32" s="74" t="str">
        <f aca="false">IF($B32="","",الموظفون!$F32)</f>
        <v/>
      </c>
      <c r="E32" s="74" t="str">
        <f aca="false">IF($B32="","",الموظفون!$E32)</f>
        <v/>
      </c>
      <c r="F32" s="105" t="str">
        <f aca="false">IF($B32="","",IF(AE32&gt;=DAY($G$3),cfg_DAYS_M,MIN(AE32,cfg_DAYS_M)))</f>
        <v/>
      </c>
      <c r="G32" s="105" t="str">
        <f aca="false">IF($B32="","",SUMIFS('الحركات الشهرية'!$D$6:$D$1005,'الحركات الشهرية'!$B$6:$B$1005,$B32,'الحركات الشهرية'!$A$6:$A$1005,$C$3))</f>
        <v/>
      </c>
      <c r="H32" s="105" t="str">
        <f aca="false">IF($B32="","",SUMIFS('الحركات الشهرية'!$E$6:$E$1005,'الحركات الشهرية'!$B$6:$B$1005,$B32,'الحركات الشهرية'!$A$6:$A$1005,$C$3))</f>
        <v/>
      </c>
      <c r="I32" s="105" t="str">
        <f aca="false">IF($B32="","",MAX(0,F32-G32-H32))</f>
        <v/>
      </c>
      <c r="J32" s="86" t="str">
        <f aca="false">IF($B32="","",الموظفون!$J32*$I32/cfg_DAYS_M)</f>
        <v/>
      </c>
      <c r="K32" s="86" t="str">
        <f aca="false">IF($B32="","",الموظفون!$K32*$I32/cfg_DAYS_M)</f>
        <v/>
      </c>
      <c r="L32" s="86" t="str">
        <f aca="false">IF($B32="","",الموظفون!$L32*$I32/cfg_DAYS_M)</f>
        <v/>
      </c>
      <c r="M32" s="86" t="str">
        <f aca="false">IF($B32="","",الموظفون!$M32*$I32/cfg_DAYS_M)</f>
        <v/>
      </c>
      <c r="N32" s="105" t="str">
        <f aca="false">IF($B32="","",SUMIFS('الحركات الشهرية'!$F$6:$F$1005,'الحركات الشهرية'!$B$6:$B$1005,$B32,'الحركات الشهرية'!$A$6:$A$1005,$C$3))</f>
        <v/>
      </c>
      <c r="O32" s="86" t="str">
        <f aca="false">IF($B32="","",N32*(الموظفون!$N32+الموظفون!$J32*cfg_OT_P)/cfg_DAYS_M/cfg_HRS)</f>
        <v/>
      </c>
      <c r="P32" s="86" t="str">
        <f aca="false">IF($B32="","",SUMIFS('الحركات الشهرية'!$G$6:$G$1005,'الحركات الشهرية'!$B$6:$B$1005,$B32,'الحركات الشهرية'!$A$6:$A$1005,$C$3))</f>
        <v/>
      </c>
      <c r="Q32" s="86" t="str">
        <f aca="false">IF($B32="","",SUMIFS('الحركات الشهرية'!$H$6:$H$1005,'الحركات الشهرية'!$B$6:$B$1005,$B32,'الحركات الشهرية'!$A$6:$A$1005,$C$3))</f>
        <v/>
      </c>
      <c r="R32" s="106" t="str">
        <f aca="false">IF($B32="","",SUM(J32:M32)+SUM(O32:Q32))</f>
        <v/>
      </c>
      <c r="S32" s="86" t="str">
        <f aca="false">IF($B32="","",الموظفون!$Q32*IF(E32="سعودي",cfg_G_SE,cfg_G_NE)*F32/cfg_DAYS_M)</f>
        <v/>
      </c>
      <c r="T32" s="86" t="str">
        <f aca="false">IF($B32="","",SUMIFS('الحركات الشهرية'!$I$6:$I$1005,'الحركات الشهرية'!$B$6:$B$1005,$B32,'الحركات الشهرية'!$A$6:$A$1005,$C$3))</f>
        <v/>
      </c>
      <c r="U32" s="86" t="str">
        <f aca="false">IF($B32="","",SUMIFS('الحركات الشهرية'!$J$6:$J$1005,'الحركات الشهرية'!$B$6:$B$1005,$B32,'الحركات الشهرية'!$A$6:$A$1005,$C$3))</f>
        <v/>
      </c>
      <c r="V32" s="86" t="str">
        <f aca="false">IF($B32="","",SUM(S32:U32))</f>
        <v/>
      </c>
      <c r="W32" s="107" t="str">
        <f aca="false">IF($B32="","",R32-V32)</f>
        <v/>
      </c>
      <c r="X32" s="86" t="str">
        <f aca="false">IF($B32="","",الموظفون!$Q32*IF(E32="سعودي",cfg_G_SR,cfg_G_NR)*F32/cfg_DAYS_M)</f>
        <v/>
      </c>
      <c r="Y32" s="86" t="str">
        <f aca="false">IF($B32="","",الموظفون!$O32*(cfg_EOS_R1*(MIN(AC32,cfg_EOS_TH)-MIN(AD32,cfg_EOS_TH))+cfg_EOS_R2*(MAX(AC32-cfg_EOS_TH,0)-MAX(AD32-cfg_EOS_TH,0))))</f>
        <v/>
      </c>
      <c r="Z32" s="86" t="str">
        <f aca="false">IF($B32="","",IF(الموظفون!$R32&lt;&gt;"",الموظفون!$R32,IF(AC32&gt;=cfg_LV_TH,cfg_LV_D2,cfg_LV_D1))/cfg_DAYS_Y*AE32*الموظفون!$P32/cfg_DAYS_M)</f>
        <v/>
      </c>
      <c r="AA32" s="86" t="str">
        <f aca="false">IF($B32="","",IF(AND(الموظفون!$S32="نعم",N(الموظفون!$U32)&gt;0),الموظفون!$T32/الموظفون!$U32*12/cfg_DAYS_Y*AE32,0))</f>
        <v/>
      </c>
      <c r="AB32" s="108" t="str">
        <f aca="false">IF($B32="","",R32+SUM(X32:AA32))</f>
        <v/>
      </c>
      <c r="AC32" s="109" t="str">
        <f aca="false">IF($B32="","",MAX(0,IF(OR(الموظفون!$X32="",الموظفون!$X32&gt;$G$3),$G$3,الموظفون!$X32)-الموظفون!$H32+1)/cfg_DAYS_Y)</f>
        <v/>
      </c>
      <c r="AD32" s="109" t="str">
        <f aca="false">IF($B32="","",MAX(0,IF(OR(الموظفون!$X32="",الموظفون!$X32&gt;($E$3-1)),($E$3-1),الموظفون!$X32)-الموظفون!$H32+1)/cfg_DAYS_Y)</f>
        <v/>
      </c>
      <c r="AE32" s="51" t="str">
        <f aca="false">IF($B32="","",MAX(0,IF(OR(الموظفون!$X32="",الموظفون!$X32&gt;$G$3),$G$3,الموظفون!$X32)-MAX($E$3,الموظفون!$H32)+1))</f>
        <v/>
      </c>
    </row>
    <row r="33" customFormat="false" ht="15" hidden="false" customHeight="false" outlineLevel="0" collapsed="false">
      <c r="A33" s="89" t="str">
        <f aca="false">IF($B33="","",الموظفون!$A33)</f>
        <v/>
      </c>
      <c r="B33" s="91" t="str">
        <f aca="false">IF(الموظفون!$B33="","",الموظفون!$B33)</f>
        <v/>
      </c>
      <c r="C33" s="91" t="str">
        <f aca="false">IF($B33="","",الموظفون!$C33)</f>
        <v/>
      </c>
      <c r="D33" s="91" t="str">
        <f aca="false">IF($B33="","",الموظفون!$F33)</f>
        <v/>
      </c>
      <c r="E33" s="91" t="str">
        <f aca="false">IF($B33="","",الموظفون!$E33)</f>
        <v/>
      </c>
      <c r="F33" s="110" t="str">
        <f aca="false">IF($B33="","",IF(AE33&gt;=DAY($G$3),cfg_DAYS_M,MIN(AE33,cfg_DAYS_M)))</f>
        <v/>
      </c>
      <c r="G33" s="110" t="str">
        <f aca="false">IF($B33="","",SUMIFS('الحركات الشهرية'!$D$6:$D$1005,'الحركات الشهرية'!$B$6:$B$1005,$B33,'الحركات الشهرية'!$A$6:$A$1005,$C$3))</f>
        <v/>
      </c>
      <c r="H33" s="110" t="str">
        <f aca="false">IF($B33="","",SUMIFS('الحركات الشهرية'!$E$6:$E$1005,'الحركات الشهرية'!$B$6:$B$1005,$B33,'الحركات الشهرية'!$A$6:$A$1005,$C$3))</f>
        <v/>
      </c>
      <c r="I33" s="110" t="str">
        <f aca="false">IF($B33="","",MAX(0,F33-G33-H33))</f>
        <v/>
      </c>
      <c r="J33" s="90" t="str">
        <f aca="false">IF($B33="","",الموظفون!$J33*$I33/cfg_DAYS_M)</f>
        <v/>
      </c>
      <c r="K33" s="90" t="str">
        <f aca="false">IF($B33="","",الموظفون!$K33*$I33/cfg_DAYS_M)</f>
        <v/>
      </c>
      <c r="L33" s="90" t="str">
        <f aca="false">IF($B33="","",الموظفون!$L33*$I33/cfg_DAYS_M)</f>
        <v/>
      </c>
      <c r="M33" s="90" t="str">
        <f aca="false">IF($B33="","",الموظفون!$M33*$I33/cfg_DAYS_M)</f>
        <v/>
      </c>
      <c r="N33" s="110" t="str">
        <f aca="false">IF($B33="","",SUMIFS('الحركات الشهرية'!$F$6:$F$1005,'الحركات الشهرية'!$B$6:$B$1005,$B33,'الحركات الشهرية'!$A$6:$A$1005,$C$3))</f>
        <v/>
      </c>
      <c r="O33" s="90" t="str">
        <f aca="false">IF($B33="","",N33*(الموظفون!$N33+الموظفون!$J33*cfg_OT_P)/cfg_DAYS_M/cfg_HRS)</f>
        <v/>
      </c>
      <c r="P33" s="90" t="str">
        <f aca="false">IF($B33="","",SUMIFS('الحركات الشهرية'!$G$6:$G$1005,'الحركات الشهرية'!$B$6:$B$1005,$B33,'الحركات الشهرية'!$A$6:$A$1005,$C$3))</f>
        <v/>
      </c>
      <c r="Q33" s="90" t="str">
        <f aca="false">IF($B33="","",SUMIFS('الحركات الشهرية'!$H$6:$H$1005,'الحركات الشهرية'!$B$6:$B$1005,$B33,'الحركات الشهرية'!$A$6:$A$1005,$C$3))</f>
        <v/>
      </c>
      <c r="R33" s="111" t="str">
        <f aca="false">IF($B33="","",SUM(J33:M33)+SUM(O33:Q33))</f>
        <v/>
      </c>
      <c r="S33" s="90" t="str">
        <f aca="false">IF($B33="","",الموظفون!$Q33*IF(E33="سعودي",cfg_G_SE,cfg_G_NE)*F33/cfg_DAYS_M)</f>
        <v/>
      </c>
      <c r="T33" s="90" t="str">
        <f aca="false">IF($B33="","",SUMIFS('الحركات الشهرية'!$I$6:$I$1005,'الحركات الشهرية'!$B$6:$B$1005,$B33,'الحركات الشهرية'!$A$6:$A$1005,$C$3))</f>
        <v/>
      </c>
      <c r="U33" s="90" t="str">
        <f aca="false">IF($B33="","",SUMIFS('الحركات الشهرية'!$J$6:$J$1005,'الحركات الشهرية'!$B$6:$B$1005,$B33,'الحركات الشهرية'!$A$6:$A$1005,$C$3))</f>
        <v/>
      </c>
      <c r="V33" s="90" t="str">
        <f aca="false">IF($B33="","",SUM(S33:U33))</f>
        <v/>
      </c>
      <c r="W33" s="112" t="str">
        <f aca="false">IF($B33="","",R33-V33)</f>
        <v/>
      </c>
      <c r="X33" s="90" t="str">
        <f aca="false">IF($B33="","",الموظفون!$Q33*IF(E33="سعودي",cfg_G_SR,cfg_G_NR)*F33/cfg_DAYS_M)</f>
        <v/>
      </c>
      <c r="Y33" s="90" t="str">
        <f aca="false">IF($B33="","",الموظفون!$O33*(cfg_EOS_R1*(MIN(AC33,cfg_EOS_TH)-MIN(AD33,cfg_EOS_TH))+cfg_EOS_R2*(MAX(AC33-cfg_EOS_TH,0)-MAX(AD33-cfg_EOS_TH,0))))</f>
        <v/>
      </c>
      <c r="Z33" s="90" t="str">
        <f aca="false">IF($B33="","",IF(الموظفون!$R33&lt;&gt;"",الموظفون!$R33,IF(AC33&gt;=cfg_LV_TH,cfg_LV_D2,cfg_LV_D1))/cfg_DAYS_Y*AE33*الموظفون!$P33/cfg_DAYS_M)</f>
        <v/>
      </c>
      <c r="AA33" s="90" t="str">
        <f aca="false">IF($B33="","",IF(AND(الموظفون!$S33="نعم",N(الموظفون!$U33)&gt;0),الموظفون!$T33/الموظفون!$U33*12/cfg_DAYS_Y*AE33,0))</f>
        <v/>
      </c>
      <c r="AB33" s="113" t="str">
        <f aca="false">IF($B33="","",R33+SUM(X33:AA33))</f>
        <v/>
      </c>
      <c r="AC33" s="114" t="str">
        <f aca="false">IF($B33="","",MAX(0,IF(OR(الموظفون!$X33="",الموظفون!$X33&gt;$G$3),$G$3,الموظفون!$X33)-الموظفون!$H33+1)/cfg_DAYS_Y)</f>
        <v/>
      </c>
      <c r="AD33" s="114" t="str">
        <f aca="false">IF($B33="","",MAX(0,IF(OR(الموظفون!$X33="",الموظفون!$X33&gt;($E$3-1)),($E$3-1),الموظفون!$X33)-الموظفون!$H33+1)/cfg_DAYS_Y)</f>
        <v/>
      </c>
      <c r="AE33" s="115" t="str">
        <f aca="false">IF($B33="","",MAX(0,IF(OR(الموظفون!$X33="",الموظفون!$X33&gt;$G$3),$G$3,الموظفون!$X33)-MAX($E$3,الموظفون!$H33)+1))</f>
        <v/>
      </c>
    </row>
    <row r="34" customFormat="false" ht="15" hidden="false" customHeight="false" outlineLevel="0" collapsed="false">
      <c r="A34" s="83" t="str">
        <f aca="false">IF($B34="","",الموظفون!$A34)</f>
        <v/>
      </c>
      <c r="B34" s="74" t="str">
        <f aca="false">IF(الموظفون!$B34="","",الموظفون!$B34)</f>
        <v/>
      </c>
      <c r="C34" s="74" t="str">
        <f aca="false">IF($B34="","",الموظفون!$C34)</f>
        <v/>
      </c>
      <c r="D34" s="74" t="str">
        <f aca="false">IF($B34="","",الموظفون!$F34)</f>
        <v/>
      </c>
      <c r="E34" s="74" t="str">
        <f aca="false">IF($B34="","",الموظفون!$E34)</f>
        <v/>
      </c>
      <c r="F34" s="105" t="str">
        <f aca="false">IF($B34="","",IF(AE34&gt;=DAY($G$3),cfg_DAYS_M,MIN(AE34,cfg_DAYS_M)))</f>
        <v/>
      </c>
      <c r="G34" s="105" t="str">
        <f aca="false">IF($B34="","",SUMIFS('الحركات الشهرية'!$D$6:$D$1005,'الحركات الشهرية'!$B$6:$B$1005,$B34,'الحركات الشهرية'!$A$6:$A$1005,$C$3))</f>
        <v/>
      </c>
      <c r="H34" s="105" t="str">
        <f aca="false">IF($B34="","",SUMIFS('الحركات الشهرية'!$E$6:$E$1005,'الحركات الشهرية'!$B$6:$B$1005,$B34,'الحركات الشهرية'!$A$6:$A$1005,$C$3))</f>
        <v/>
      </c>
      <c r="I34" s="105" t="str">
        <f aca="false">IF($B34="","",MAX(0,F34-G34-H34))</f>
        <v/>
      </c>
      <c r="J34" s="86" t="str">
        <f aca="false">IF($B34="","",الموظفون!$J34*$I34/cfg_DAYS_M)</f>
        <v/>
      </c>
      <c r="K34" s="86" t="str">
        <f aca="false">IF($B34="","",الموظفون!$K34*$I34/cfg_DAYS_M)</f>
        <v/>
      </c>
      <c r="L34" s="86" t="str">
        <f aca="false">IF($B34="","",الموظفون!$L34*$I34/cfg_DAYS_M)</f>
        <v/>
      </c>
      <c r="M34" s="86" t="str">
        <f aca="false">IF($B34="","",الموظفون!$M34*$I34/cfg_DAYS_M)</f>
        <v/>
      </c>
      <c r="N34" s="105" t="str">
        <f aca="false">IF($B34="","",SUMIFS('الحركات الشهرية'!$F$6:$F$1005,'الحركات الشهرية'!$B$6:$B$1005,$B34,'الحركات الشهرية'!$A$6:$A$1005,$C$3))</f>
        <v/>
      </c>
      <c r="O34" s="86" t="str">
        <f aca="false">IF($B34="","",N34*(الموظفون!$N34+الموظفون!$J34*cfg_OT_P)/cfg_DAYS_M/cfg_HRS)</f>
        <v/>
      </c>
      <c r="P34" s="86" t="str">
        <f aca="false">IF($B34="","",SUMIFS('الحركات الشهرية'!$G$6:$G$1005,'الحركات الشهرية'!$B$6:$B$1005,$B34,'الحركات الشهرية'!$A$6:$A$1005,$C$3))</f>
        <v/>
      </c>
      <c r="Q34" s="86" t="str">
        <f aca="false">IF($B34="","",SUMIFS('الحركات الشهرية'!$H$6:$H$1005,'الحركات الشهرية'!$B$6:$B$1005,$B34,'الحركات الشهرية'!$A$6:$A$1005,$C$3))</f>
        <v/>
      </c>
      <c r="R34" s="106" t="str">
        <f aca="false">IF($B34="","",SUM(J34:M34)+SUM(O34:Q34))</f>
        <v/>
      </c>
      <c r="S34" s="86" t="str">
        <f aca="false">IF($B34="","",الموظفون!$Q34*IF(E34="سعودي",cfg_G_SE,cfg_G_NE)*F34/cfg_DAYS_M)</f>
        <v/>
      </c>
      <c r="T34" s="86" t="str">
        <f aca="false">IF($B34="","",SUMIFS('الحركات الشهرية'!$I$6:$I$1005,'الحركات الشهرية'!$B$6:$B$1005,$B34,'الحركات الشهرية'!$A$6:$A$1005,$C$3))</f>
        <v/>
      </c>
      <c r="U34" s="86" t="str">
        <f aca="false">IF($B34="","",SUMIFS('الحركات الشهرية'!$J$6:$J$1005,'الحركات الشهرية'!$B$6:$B$1005,$B34,'الحركات الشهرية'!$A$6:$A$1005,$C$3))</f>
        <v/>
      </c>
      <c r="V34" s="86" t="str">
        <f aca="false">IF($B34="","",SUM(S34:U34))</f>
        <v/>
      </c>
      <c r="W34" s="107" t="str">
        <f aca="false">IF($B34="","",R34-V34)</f>
        <v/>
      </c>
      <c r="X34" s="86" t="str">
        <f aca="false">IF($B34="","",الموظفون!$Q34*IF(E34="سعودي",cfg_G_SR,cfg_G_NR)*F34/cfg_DAYS_M)</f>
        <v/>
      </c>
      <c r="Y34" s="86" t="str">
        <f aca="false">IF($B34="","",الموظفون!$O34*(cfg_EOS_R1*(MIN(AC34,cfg_EOS_TH)-MIN(AD34,cfg_EOS_TH))+cfg_EOS_R2*(MAX(AC34-cfg_EOS_TH,0)-MAX(AD34-cfg_EOS_TH,0))))</f>
        <v/>
      </c>
      <c r="Z34" s="86" t="str">
        <f aca="false">IF($B34="","",IF(الموظفون!$R34&lt;&gt;"",الموظفون!$R34,IF(AC34&gt;=cfg_LV_TH,cfg_LV_D2,cfg_LV_D1))/cfg_DAYS_Y*AE34*الموظفون!$P34/cfg_DAYS_M)</f>
        <v/>
      </c>
      <c r="AA34" s="86" t="str">
        <f aca="false">IF($B34="","",IF(AND(الموظفون!$S34="نعم",N(الموظفون!$U34)&gt;0),الموظفون!$T34/الموظفون!$U34*12/cfg_DAYS_Y*AE34,0))</f>
        <v/>
      </c>
      <c r="AB34" s="108" t="str">
        <f aca="false">IF($B34="","",R34+SUM(X34:AA34))</f>
        <v/>
      </c>
      <c r="AC34" s="109" t="str">
        <f aca="false">IF($B34="","",MAX(0,IF(OR(الموظفون!$X34="",الموظفون!$X34&gt;$G$3),$G$3,الموظفون!$X34)-الموظفون!$H34+1)/cfg_DAYS_Y)</f>
        <v/>
      </c>
      <c r="AD34" s="109" t="str">
        <f aca="false">IF($B34="","",MAX(0,IF(OR(الموظفون!$X34="",الموظفون!$X34&gt;($E$3-1)),($E$3-1),الموظفون!$X34)-الموظفون!$H34+1)/cfg_DAYS_Y)</f>
        <v/>
      </c>
      <c r="AE34" s="51" t="str">
        <f aca="false">IF($B34="","",MAX(0,IF(OR(الموظفون!$X34="",الموظفون!$X34&gt;$G$3),$G$3,الموظفون!$X34)-MAX($E$3,الموظفون!$H34)+1))</f>
        <v/>
      </c>
    </row>
    <row r="35" customFormat="false" ht="15" hidden="false" customHeight="false" outlineLevel="0" collapsed="false">
      <c r="A35" s="89" t="str">
        <f aca="false">IF($B35="","",الموظفون!$A35)</f>
        <v/>
      </c>
      <c r="B35" s="91" t="str">
        <f aca="false">IF(الموظفون!$B35="","",الموظفون!$B35)</f>
        <v/>
      </c>
      <c r="C35" s="91" t="str">
        <f aca="false">IF($B35="","",الموظفون!$C35)</f>
        <v/>
      </c>
      <c r="D35" s="91" t="str">
        <f aca="false">IF($B35="","",الموظفون!$F35)</f>
        <v/>
      </c>
      <c r="E35" s="91" t="str">
        <f aca="false">IF($B35="","",الموظفون!$E35)</f>
        <v/>
      </c>
      <c r="F35" s="110" t="str">
        <f aca="false">IF($B35="","",IF(AE35&gt;=DAY($G$3),cfg_DAYS_M,MIN(AE35,cfg_DAYS_M)))</f>
        <v/>
      </c>
      <c r="G35" s="110" t="str">
        <f aca="false">IF($B35="","",SUMIFS('الحركات الشهرية'!$D$6:$D$1005,'الحركات الشهرية'!$B$6:$B$1005,$B35,'الحركات الشهرية'!$A$6:$A$1005,$C$3))</f>
        <v/>
      </c>
      <c r="H35" s="110" t="str">
        <f aca="false">IF($B35="","",SUMIFS('الحركات الشهرية'!$E$6:$E$1005,'الحركات الشهرية'!$B$6:$B$1005,$B35,'الحركات الشهرية'!$A$6:$A$1005,$C$3))</f>
        <v/>
      </c>
      <c r="I35" s="110" t="str">
        <f aca="false">IF($B35="","",MAX(0,F35-G35-H35))</f>
        <v/>
      </c>
      <c r="J35" s="90" t="str">
        <f aca="false">IF($B35="","",الموظفون!$J35*$I35/cfg_DAYS_M)</f>
        <v/>
      </c>
      <c r="K35" s="90" t="str">
        <f aca="false">IF($B35="","",الموظفون!$K35*$I35/cfg_DAYS_M)</f>
        <v/>
      </c>
      <c r="L35" s="90" t="str">
        <f aca="false">IF($B35="","",الموظفون!$L35*$I35/cfg_DAYS_M)</f>
        <v/>
      </c>
      <c r="M35" s="90" t="str">
        <f aca="false">IF($B35="","",الموظفون!$M35*$I35/cfg_DAYS_M)</f>
        <v/>
      </c>
      <c r="N35" s="110" t="str">
        <f aca="false">IF($B35="","",SUMIFS('الحركات الشهرية'!$F$6:$F$1005,'الحركات الشهرية'!$B$6:$B$1005,$B35,'الحركات الشهرية'!$A$6:$A$1005,$C$3))</f>
        <v/>
      </c>
      <c r="O35" s="90" t="str">
        <f aca="false">IF($B35="","",N35*(الموظفون!$N35+الموظفون!$J35*cfg_OT_P)/cfg_DAYS_M/cfg_HRS)</f>
        <v/>
      </c>
      <c r="P35" s="90" t="str">
        <f aca="false">IF($B35="","",SUMIFS('الحركات الشهرية'!$G$6:$G$1005,'الحركات الشهرية'!$B$6:$B$1005,$B35,'الحركات الشهرية'!$A$6:$A$1005,$C$3))</f>
        <v/>
      </c>
      <c r="Q35" s="90" t="str">
        <f aca="false">IF($B35="","",SUMIFS('الحركات الشهرية'!$H$6:$H$1005,'الحركات الشهرية'!$B$6:$B$1005,$B35,'الحركات الشهرية'!$A$6:$A$1005,$C$3))</f>
        <v/>
      </c>
      <c r="R35" s="111" t="str">
        <f aca="false">IF($B35="","",SUM(J35:M35)+SUM(O35:Q35))</f>
        <v/>
      </c>
      <c r="S35" s="90" t="str">
        <f aca="false">IF($B35="","",الموظفون!$Q35*IF(E35="سعودي",cfg_G_SE,cfg_G_NE)*F35/cfg_DAYS_M)</f>
        <v/>
      </c>
      <c r="T35" s="90" t="str">
        <f aca="false">IF($B35="","",SUMIFS('الحركات الشهرية'!$I$6:$I$1005,'الحركات الشهرية'!$B$6:$B$1005,$B35,'الحركات الشهرية'!$A$6:$A$1005,$C$3))</f>
        <v/>
      </c>
      <c r="U35" s="90" t="str">
        <f aca="false">IF($B35="","",SUMIFS('الحركات الشهرية'!$J$6:$J$1005,'الحركات الشهرية'!$B$6:$B$1005,$B35,'الحركات الشهرية'!$A$6:$A$1005,$C$3))</f>
        <v/>
      </c>
      <c r="V35" s="90" t="str">
        <f aca="false">IF($B35="","",SUM(S35:U35))</f>
        <v/>
      </c>
      <c r="W35" s="112" t="str">
        <f aca="false">IF($B35="","",R35-V35)</f>
        <v/>
      </c>
      <c r="X35" s="90" t="str">
        <f aca="false">IF($B35="","",الموظفون!$Q35*IF(E35="سعودي",cfg_G_SR,cfg_G_NR)*F35/cfg_DAYS_M)</f>
        <v/>
      </c>
      <c r="Y35" s="90" t="str">
        <f aca="false">IF($B35="","",الموظفون!$O35*(cfg_EOS_R1*(MIN(AC35,cfg_EOS_TH)-MIN(AD35,cfg_EOS_TH))+cfg_EOS_R2*(MAX(AC35-cfg_EOS_TH,0)-MAX(AD35-cfg_EOS_TH,0))))</f>
        <v/>
      </c>
      <c r="Z35" s="90" t="str">
        <f aca="false">IF($B35="","",IF(الموظفون!$R35&lt;&gt;"",الموظفون!$R35,IF(AC35&gt;=cfg_LV_TH,cfg_LV_D2,cfg_LV_D1))/cfg_DAYS_Y*AE35*الموظفون!$P35/cfg_DAYS_M)</f>
        <v/>
      </c>
      <c r="AA35" s="90" t="str">
        <f aca="false">IF($B35="","",IF(AND(الموظفون!$S35="نعم",N(الموظفون!$U35)&gt;0),الموظفون!$T35/الموظفون!$U35*12/cfg_DAYS_Y*AE35,0))</f>
        <v/>
      </c>
      <c r="AB35" s="113" t="str">
        <f aca="false">IF($B35="","",R35+SUM(X35:AA35))</f>
        <v/>
      </c>
      <c r="AC35" s="114" t="str">
        <f aca="false">IF($B35="","",MAX(0,IF(OR(الموظفون!$X35="",الموظفون!$X35&gt;$G$3),$G$3,الموظفون!$X35)-الموظفون!$H35+1)/cfg_DAYS_Y)</f>
        <v/>
      </c>
      <c r="AD35" s="114" t="str">
        <f aca="false">IF($B35="","",MAX(0,IF(OR(الموظفون!$X35="",الموظفون!$X35&gt;($E$3-1)),($E$3-1),الموظفون!$X35)-الموظفون!$H35+1)/cfg_DAYS_Y)</f>
        <v/>
      </c>
      <c r="AE35" s="115" t="str">
        <f aca="false">IF($B35="","",MAX(0,IF(OR(الموظفون!$X35="",الموظفون!$X35&gt;$G$3),$G$3,الموظفون!$X35)-MAX($E$3,الموظفون!$H35)+1))</f>
        <v/>
      </c>
    </row>
    <row r="36" customFormat="false" ht="15" hidden="false" customHeight="false" outlineLevel="0" collapsed="false">
      <c r="A36" s="83" t="str">
        <f aca="false">IF($B36="","",الموظفون!$A36)</f>
        <v/>
      </c>
      <c r="B36" s="74" t="str">
        <f aca="false">IF(الموظفون!$B36="","",الموظفون!$B36)</f>
        <v/>
      </c>
      <c r="C36" s="74" t="str">
        <f aca="false">IF($B36="","",الموظفون!$C36)</f>
        <v/>
      </c>
      <c r="D36" s="74" t="str">
        <f aca="false">IF($B36="","",الموظفون!$F36)</f>
        <v/>
      </c>
      <c r="E36" s="74" t="str">
        <f aca="false">IF($B36="","",الموظفون!$E36)</f>
        <v/>
      </c>
      <c r="F36" s="105" t="str">
        <f aca="false">IF($B36="","",IF(AE36&gt;=DAY($G$3),cfg_DAYS_M,MIN(AE36,cfg_DAYS_M)))</f>
        <v/>
      </c>
      <c r="G36" s="105" t="str">
        <f aca="false">IF($B36="","",SUMIFS('الحركات الشهرية'!$D$6:$D$1005,'الحركات الشهرية'!$B$6:$B$1005,$B36,'الحركات الشهرية'!$A$6:$A$1005,$C$3))</f>
        <v/>
      </c>
      <c r="H36" s="105" t="str">
        <f aca="false">IF($B36="","",SUMIFS('الحركات الشهرية'!$E$6:$E$1005,'الحركات الشهرية'!$B$6:$B$1005,$B36,'الحركات الشهرية'!$A$6:$A$1005,$C$3))</f>
        <v/>
      </c>
      <c r="I36" s="105" t="str">
        <f aca="false">IF($B36="","",MAX(0,F36-G36-H36))</f>
        <v/>
      </c>
      <c r="J36" s="86" t="str">
        <f aca="false">IF($B36="","",الموظفون!$J36*$I36/cfg_DAYS_M)</f>
        <v/>
      </c>
      <c r="K36" s="86" t="str">
        <f aca="false">IF($B36="","",الموظفون!$K36*$I36/cfg_DAYS_M)</f>
        <v/>
      </c>
      <c r="L36" s="86" t="str">
        <f aca="false">IF($B36="","",الموظفون!$L36*$I36/cfg_DAYS_M)</f>
        <v/>
      </c>
      <c r="M36" s="86" t="str">
        <f aca="false">IF($B36="","",الموظفون!$M36*$I36/cfg_DAYS_M)</f>
        <v/>
      </c>
      <c r="N36" s="105" t="str">
        <f aca="false">IF($B36="","",SUMIFS('الحركات الشهرية'!$F$6:$F$1005,'الحركات الشهرية'!$B$6:$B$1005,$B36,'الحركات الشهرية'!$A$6:$A$1005,$C$3))</f>
        <v/>
      </c>
      <c r="O36" s="86" t="str">
        <f aca="false">IF($B36="","",N36*(الموظفون!$N36+الموظفون!$J36*cfg_OT_P)/cfg_DAYS_M/cfg_HRS)</f>
        <v/>
      </c>
      <c r="P36" s="86" t="str">
        <f aca="false">IF($B36="","",SUMIFS('الحركات الشهرية'!$G$6:$G$1005,'الحركات الشهرية'!$B$6:$B$1005,$B36,'الحركات الشهرية'!$A$6:$A$1005,$C$3))</f>
        <v/>
      </c>
      <c r="Q36" s="86" t="str">
        <f aca="false">IF($B36="","",SUMIFS('الحركات الشهرية'!$H$6:$H$1005,'الحركات الشهرية'!$B$6:$B$1005,$B36,'الحركات الشهرية'!$A$6:$A$1005,$C$3))</f>
        <v/>
      </c>
      <c r="R36" s="106" t="str">
        <f aca="false">IF($B36="","",SUM(J36:M36)+SUM(O36:Q36))</f>
        <v/>
      </c>
      <c r="S36" s="86" t="str">
        <f aca="false">IF($B36="","",الموظفون!$Q36*IF(E36="سعودي",cfg_G_SE,cfg_G_NE)*F36/cfg_DAYS_M)</f>
        <v/>
      </c>
      <c r="T36" s="86" t="str">
        <f aca="false">IF($B36="","",SUMIFS('الحركات الشهرية'!$I$6:$I$1005,'الحركات الشهرية'!$B$6:$B$1005,$B36,'الحركات الشهرية'!$A$6:$A$1005,$C$3))</f>
        <v/>
      </c>
      <c r="U36" s="86" t="str">
        <f aca="false">IF($B36="","",SUMIFS('الحركات الشهرية'!$J$6:$J$1005,'الحركات الشهرية'!$B$6:$B$1005,$B36,'الحركات الشهرية'!$A$6:$A$1005,$C$3))</f>
        <v/>
      </c>
      <c r="V36" s="86" t="str">
        <f aca="false">IF($B36="","",SUM(S36:U36))</f>
        <v/>
      </c>
      <c r="W36" s="107" t="str">
        <f aca="false">IF($B36="","",R36-V36)</f>
        <v/>
      </c>
      <c r="X36" s="86" t="str">
        <f aca="false">IF($B36="","",الموظفون!$Q36*IF(E36="سعودي",cfg_G_SR,cfg_G_NR)*F36/cfg_DAYS_M)</f>
        <v/>
      </c>
      <c r="Y36" s="86" t="str">
        <f aca="false">IF($B36="","",الموظفون!$O36*(cfg_EOS_R1*(MIN(AC36,cfg_EOS_TH)-MIN(AD36,cfg_EOS_TH))+cfg_EOS_R2*(MAX(AC36-cfg_EOS_TH,0)-MAX(AD36-cfg_EOS_TH,0))))</f>
        <v/>
      </c>
      <c r="Z36" s="86" t="str">
        <f aca="false">IF($B36="","",IF(الموظفون!$R36&lt;&gt;"",الموظفون!$R36,IF(AC36&gt;=cfg_LV_TH,cfg_LV_D2,cfg_LV_D1))/cfg_DAYS_Y*AE36*الموظفون!$P36/cfg_DAYS_M)</f>
        <v/>
      </c>
      <c r="AA36" s="86" t="str">
        <f aca="false">IF($B36="","",IF(AND(الموظفون!$S36="نعم",N(الموظفون!$U36)&gt;0),الموظفون!$T36/الموظفون!$U36*12/cfg_DAYS_Y*AE36,0))</f>
        <v/>
      </c>
      <c r="AB36" s="108" t="str">
        <f aca="false">IF($B36="","",R36+SUM(X36:AA36))</f>
        <v/>
      </c>
      <c r="AC36" s="109" t="str">
        <f aca="false">IF($B36="","",MAX(0,IF(OR(الموظفون!$X36="",الموظفون!$X36&gt;$G$3),$G$3,الموظفون!$X36)-الموظفون!$H36+1)/cfg_DAYS_Y)</f>
        <v/>
      </c>
      <c r="AD36" s="109" t="str">
        <f aca="false">IF($B36="","",MAX(0,IF(OR(الموظفون!$X36="",الموظفون!$X36&gt;($E$3-1)),($E$3-1),الموظفون!$X36)-الموظفون!$H36+1)/cfg_DAYS_Y)</f>
        <v/>
      </c>
      <c r="AE36" s="51" t="str">
        <f aca="false">IF($B36="","",MAX(0,IF(OR(الموظفون!$X36="",الموظفون!$X36&gt;$G$3),$G$3,الموظفون!$X36)-MAX($E$3,الموظفون!$H36)+1))</f>
        <v/>
      </c>
    </row>
    <row r="37" customFormat="false" ht="15" hidden="false" customHeight="false" outlineLevel="0" collapsed="false">
      <c r="A37" s="89" t="str">
        <f aca="false">IF($B37="","",الموظفون!$A37)</f>
        <v/>
      </c>
      <c r="B37" s="91" t="str">
        <f aca="false">IF(الموظفون!$B37="","",الموظفون!$B37)</f>
        <v/>
      </c>
      <c r="C37" s="91" t="str">
        <f aca="false">IF($B37="","",الموظفون!$C37)</f>
        <v/>
      </c>
      <c r="D37" s="91" t="str">
        <f aca="false">IF($B37="","",الموظفون!$F37)</f>
        <v/>
      </c>
      <c r="E37" s="91" t="str">
        <f aca="false">IF($B37="","",الموظفون!$E37)</f>
        <v/>
      </c>
      <c r="F37" s="110" t="str">
        <f aca="false">IF($B37="","",IF(AE37&gt;=DAY($G$3),cfg_DAYS_M,MIN(AE37,cfg_DAYS_M)))</f>
        <v/>
      </c>
      <c r="G37" s="110" t="str">
        <f aca="false">IF($B37="","",SUMIFS('الحركات الشهرية'!$D$6:$D$1005,'الحركات الشهرية'!$B$6:$B$1005,$B37,'الحركات الشهرية'!$A$6:$A$1005,$C$3))</f>
        <v/>
      </c>
      <c r="H37" s="110" t="str">
        <f aca="false">IF($B37="","",SUMIFS('الحركات الشهرية'!$E$6:$E$1005,'الحركات الشهرية'!$B$6:$B$1005,$B37,'الحركات الشهرية'!$A$6:$A$1005,$C$3))</f>
        <v/>
      </c>
      <c r="I37" s="110" t="str">
        <f aca="false">IF($B37="","",MAX(0,F37-G37-H37))</f>
        <v/>
      </c>
      <c r="J37" s="90" t="str">
        <f aca="false">IF($B37="","",الموظفون!$J37*$I37/cfg_DAYS_M)</f>
        <v/>
      </c>
      <c r="K37" s="90" t="str">
        <f aca="false">IF($B37="","",الموظفون!$K37*$I37/cfg_DAYS_M)</f>
        <v/>
      </c>
      <c r="L37" s="90" t="str">
        <f aca="false">IF($B37="","",الموظفون!$L37*$I37/cfg_DAYS_M)</f>
        <v/>
      </c>
      <c r="M37" s="90" t="str">
        <f aca="false">IF($B37="","",الموظفون!$M37*$I37/cfg_DAYS_M)</f>
        <v/>
      </c>
      <c r="N37" s="110" t="str">
        <f aca="false">IF($B37="","",SUMIFS('الحركات الشهرية'!$F$6:$F$1005,'الحركات الشهرية'!$B$6:$B$1005,$B37,'الحركات الشهرية'!$A$6:$A$1005,$C$3))</f>
        <v/>
      </c>
      <c r="O37" s="90" t="str">
        <f aca="false">IF($B37="","",N37*(الموظفون!$N37+الموظفون!$J37*cfg_OT_P)/cfg_DAYS_M/cfg_HRS)</f>
        <v/>
      </c>
      <c r="P37" s="90" t="str">
        <f aca="false">IF($B37="","",SUMIFS('الحركات الشهرية'!$G$6:$G$1005,'الحركات الشهرية'!$B$6:$B$1005,$B37,'الحركات الشهرية'!$A$6:$A$1005,$C$3))</f>
        <v/>
      </c>
      <c r="Q37" s="90" t="str">
        <f aca="false">IF($B37="","",SUMIFS('الحركات الشهرية'!$H$6:$H$1005,'الحركات الشهرية'!$B$6:$B$1005,$B37,'الحركات الشهرية'!$A$6:$A$1005,$C$3))</f>
        <v/>
      </c>
      <c r="R37" s="111" t="str">
        <f aca="false">IF($B37="","",SUM(J37:M37)+SUM(O37:Q37))</f>
        <v/>
      </c>
      <c r="S37" s="90" t="str">
        <f aca="false">IF($B37="","",الموظفون!$Q37*IF(E37="سعودي",cfg_G_SE,cfg_G_NE)*F37/cfg_DAYS_M)</f>
        <v/>
      </c>
      <c r="T37" s="90" t="str">
        <f aca="false">IF($B37="","",SUMIFS('الحركات الشهرية'!$I$6:$I$1005,'الحركات الشهرية'!$B$6:$B$1005,$B37,'الحركات الشهرية'!$A$6:$A$1005,$C$3))</f>
        <v/>
      </c>
      <c r="U37" s="90" t="str">
        <f aca="false">IF($B37="","",SUMIFS('الحركات الشهرية'!$J$6:$J$1005,'الحركات الشهرية'!$B$6:$B$1005,$B37,'الحركات الشهرية'!$A$6:$A$1005,$C$3))</f>
        <v/>
      </c>
      <c r="V37" s="90" t="str">
        <f aca="false">IF($B37="","",SUM(S37:U37))</f>
        <v/>
      </c>
      <c r="W37" s="112" t="str">
        <f aca="false">IF($B37="","",R37-V37)</f>
        <v/>
      </c>
      <c r="X37" s="90" t="str">
        <f aca="false">IF($B37="","",الموظفون!$Q37*IF(E37="سعودي",cfg_G_SR,cfg_G_NR)*F37/cfg_DAYS_M)</f>
        <v/>
      </c>
      <c r="Y37" s="90" t="str">
        <f aca="false">IF($B37="","",الموظفون!$O37*(cfg_EOS_R1*(MIN(AC37,cfg_EOS_TH)-MIN(AD37,cfg_EOS_TH))+cfg_EOS_R2*(MAX(AC37-cfg_EOS_TH,0)-MAX(AD37-cfg_EOS_TH,0))))</f>
        <v/>
      </c>
      <c r="Z37" s="90" t="str">
        <f aca="false">IF($B37="","",IF(الموظفون!$R37&lt;&gt;"",الموظفون!$R37,IF(AC37&gt;=cfg_LV_TH,cfg_LV_D2,cfg_LV_D1))/cfg_DAYS_Y*AE37*الموظفون!$P37/cfg_DAYS_M)</f>
        <v/>
      </c>
      <c r="AA37" s="90" t="str">
        <f aca="false">IF($B37="","",IF(AND(الموظفون!$S37="نعم",N(الموظفون!$U37)&gt;0),الموظفون!$T37/الموظفون!$U37*12/cfg_DAYS_Y*AE37,0))</f>
        <v/>
      </c>
      <c r="AB37" s="113" t="str">
        <f aca="false">IF($B37="","",R37+SUM(X37:AA37))</f>
        <v/>
      </c>
      <c r="AC37" s="114" t="str">
        <f aca="false">IF($B37="","",MAX(0,IF(OR(الموظفون!$X37="",الموظفون!$X37&gt;$G$3),$G$3,الموظفون!$X37)-الموظفون!$H37+1)/cfg_DAYS_Y)</f>
        <v/>
      </c>
      <c r="AD37" s="114" t="str">
        <f aca="false">IF($B37="","",MAX(0,IF(OR(الموظفون!$X37="",الموظفون!$X37&gt;($E$3-1)),($E$3-1),الموظفون!$X37)-الموظفون!$H37+1)/cfg_DAYS_Y)</f>
        <v/>
      </c>
      <c r="AE37" s="115" t="str">
        <f aca="false">IF($B37="","",MAX(0,IF(OR(الموظفون!$X37="",الموظفون!$X37&gt;$G$3),$G$3,الموظفون!$X37)-MAX($E$3,الموظفون!$H37)+1))</f>
        <v/>
      </c>
    </row>
    <row r="38" customFormat="false" ht="15" hidden="false" customHeight="false" outlineLevel="0" collapsed="false">
      <c r="A38" s="83" t="str">
        <f aca="false">IF($B38="","",الموظفون!$A38)</f>
        <v/>
      </c>
      <c r="B38" s="74" t="str">
        <f aca="false">IF(الموظفون!$B38="","",الموظفون!$B38)</f>
        <v/>
      </c>
      <c r="C38" s="74" t="str">
        <f aca="false">IF($B38="","",الموظفون!$C38)</f>
        <v/>
      </c>
      <c r="D38" s="74" t="str">
        <f aca="false">IF($B38="","",الموظفون!$F38)</f>
        <v/>
      </c>
      <c r="E38" s="74" t="str">
        <f aca="false">IF($B38="","",الموظفون!$E38)</f>
        <v/>
      </c>
      <c r="F38" s="105" t="str">
        <f aca="false">IF($B38="","",IF(AE38&gt;=DAY($G$3),cfg_DAYS_M,MIN(AE38,cfg_DAYS_M)))</f>
        <v/>
      </c>
      <c r="G38" s="105" t="str">
        <f aca="false">IF($B38="","",SUMIFS('الحركات الشهرية'!$D$6:$D$1005,'الحركات الشهرية'!$B$6:$B$1005,$B38,'الحركات الشهرية'!$A$6:$A$1005,$C$3))</f>
        <v/>
      </c>
      <c r="H38" s="105" t="str">
        <f aca="false">IF($B38="","",SUMIFS('الحركات الشهرية'!$E$6:$E$1005,'الحركات الشهرية'!$B$6:$B$1005,$B38,'الحركات الشهرية'!$A$6:$A$1005,$C$3))</f>
        <v/>
      </c>
      <c r="I38" s="105" t="str">
        <f aca="false">IF($B38="","",MAX(0,F38-G38-H38))</f>
        <v/>
      </c>
      <c r="J38" s="86" t="str">
        <f aca="false">IF($B38="","",الموظفون!$J38*$I38/cfg_DAYS_M)</f>
        <v/>
      </c>
      <c r="K38" s="86" t="str">
        <f aca="false">IF($B38="","",الموظفون!$K38*$I38/cfg_DAYS_M)</f>
        <v/>
      </c>
      <c r="L38" s="86" t="str">
        <f aca="false">IF($B38="","",الموظفون!$L38*$I38/cfg_DAYS_M)</f>
        <v/>
      </c>
      <c r="M38" s="86" t="str">
        <f aca="false">IF($B38="","",الموظفون!$M38*$I38/cfg_DAYS_M)</f>
        <v/>
      </c>
      <c r="N38" s="105" t="str">
        <f aca="false">IF($B38="","",SUMIFS('الحركات الشهرية'!$F$6:$F$1005,'الحركات الشهرية'!$B$6:$B$1005,$B38,'الحركات الشهرية'!$A$6:$A$1005,$C$3))</f>
        <v/>
      </c>
      <c r="O38" s="86" t="str">
        <f aca="false">IF($B38="","",N38*(الموظفون!$N38+الموظفون!$J38*cfg_OT_P)/cfg_DAYS_M/cfg_HRS)</f>
        <v/>
      </c>
      <c r="P38" s="86" t="str">
        <f aca="false">IF($B38="","",SUMIFS('الحركات الشهرية'!$G$6:$G$1005,'الحركات الشهرية'!$B$6:$B$1005,$B38,'الحركات الشهرية'!$A$6:$A$1005,$C$3))</f>
        <v/>
      </c>
      <c r="Q38" s="86" t="str">
        <f aca="false">IF($B38="","",SUMIFS('الحركات الشهرية'!$H$6:$H$1005,'الحركات الشهرية'!$B$6:$B$1005,$B38,'الحركات الشهرية'!$A$6:$A$1005,$C$3))</f>
        <v/>
      </c>
      <c r="R38" s="106" t="str">
        <f aca="false">IF($B38="","",SUM(J38:M38)+SUM(O38:Q38))</f>
        <v/>
      </c>
      <c r="S38" s="86" t="str">
        <f aca="false">IF($B38="","",الموظفون!$Q38*IF(E38="سعودي",cfg_G_SE,cfg_G_NE)*F38/cfg_DAYS_M)</f>
        <v/>
      </c>
      <c r="T38" s="86" t="str">
        <f aca="false">IF($B38="","",SUMIFS('الحركات الشهرية'!$I$6:$I$1005,'الحركات الشهرية'!$B$6:$B$1005,$B38,'الحركات الشهرية'!$A$6:$A$1005,$C$3))</f>
        <v/>
      </c>
      <c r="U38" s="86" t="str">
        <f aca="false">IF($B38="","",SUMIFS('الحركات الشهرية'!$J$6:$J$1005,'الحركات الشهرية'!$B$6:$B$1005,$B38,'الحركات الشهرية'!$A$6:$A$1005,$C$3))</f>
        <v/>
      </c>
      <c r="V38" s="86" t="str">
        <f aca="false">IF($B38="","",SUM(S38:U38))</f>
        <v/>
      </c>
      <c r="W38" s="107" t="str">
        <f aca="false">IF($B38="","",R38-V38)</f>
        <v/>
      </c>
      <c r="X38" s="86" t="str">
        <f aca="false">IF($B38="","",الموظفون!$Q38*IF(E38="سعودي",cfg_G_SR,cfg_G_NR)*F38/cfg_DAYS_M)</f>
        <v/>
      </c>
      <c r="Y38" s="86" t="str">
        <f aca="false">IF($B38="","",الموظفون!$O38*(cfg_EOS_R1*(MIN(AC38,cfg_EOS_TH)-MIN(AD38,cfg_EOS_TH))+cfg_EOS_R2*(MAX(AC38-cfg_EOS_TH,0)-MAX(AD38-cfg_EOS_TH,0))))</f>
        <v/>
      </c>
      <c r="Z38" s="86" t="str">
        <f aca="false">IF($B38="","",IF(الموظفون!$R38&lt;&gt;"",الموظفون!$R38,IF(AC38&gt;=cfg_LV_TH,cfg_LV_D2,cfg_LV_D1))/cfg_DAYS_Y*AE38*الموظفون!$P38/cfg_DAYS_M)</f>
        <v/>
      </c>
      <c r="AA38" s="86" t="str">
        <f aca="false">IF($B38="","",IF(AND(الموظفون!$S38="نعم",N(الموظفون!$U38)&gt;0),الموظفون!$T38/الموظفون!$U38*12/cfg_DAYS_Y*AE38,0))</f>
        <v/>
      </c>
      <c r="AB38" s="108" t="str">
        <f aca="false">IF($B38="","",R38+SUM(X38:AA38))</f>
        <v/>
      </c>
      <c r="AC38" s="109" t="str">
        <f aca="false">IF($B38="","",MAX(0,IF(OR(الموظفون!$X38="",الموظفون!$X38&gt;$G$3),$G$3,الموظفون!$X38)-الموظفون!$H38+1)/cfg_DAYS_Y)</f>
        <v/>
      </c>
      <c r="AD38" s="109" t="str">
        <f aca="false">IF($B38="","",MAX(0,IF(OR(الموظفون!$X38="",الموظفون!$X38&gt;($E$3-1)),($E$3-1),الموظفون!$X38)-الموظفون!$H38+1)/cfg_DAYS_Y)</f>
        <v/>
      </c>
      <c r="AE38" s="51" t="str">
        <f aca="false">IF($B38="","",MAX(0,IF(OR(الموظفون!$X38="",الموظفون!$X38&gt;$G$3),$G$3,الموظفون!$X38)-MAX($E$3,الموظفون!$H38)+1))</f>
        <v/>
      </c>
    </row>
    <row r="39" customFormat="false" ht="15" hidden="false" customHeight="false" outlineLevel="0" collapsed="false">
      <c r="A39" s="89" t="str">
        <f aca="false">IF($B39="","",الموظفون!$A39)</f>
        <v/>
      </c>
      <c r="B39" s="91" t="str">
        <f aca="false">IF(الموظفون!$B39="","",الموظفون!$B39)</f>
        <v/>
      </c>
      <c r="C39" s="91" t="str">
        <f aca="false">IF($B39="","",الموظفون!$C39)</f>
        <v/>
      </c>
      <c r="D39" s="91" t="str">
        <f aca="false">IF($B39="","",الموظفون!$F39)</f>
        <v/>
      </c>
      <c r="E39" s="91" t="str">
        <f aca="false">IF($B39="","",الموظفون!$E39)</f>
        <v/>
      </c>
      <c r="F39" s="110" t="str">
        <f aca="false">IF($B39="","",IF(AE39&gt;=DAY($G$3),cfg_DAYS_M,MIN(AE39,cfg_DAYS_M)))</f>
        <v/>
      </c>
      <c r="G39" s="110" t="str">
        <f aca="false">IF($B39="","",SUMIFS('الحركات الشهرية'!$D$6:$D$1005,'الحركات الشهرية'!$B$6:$B$1005,$B39,'الحركات الشهرية'!$A$6:$A$1005,$C$3))</f>
        <v/>
      </c>
      <c r="H39" s="110" t="str">
        <f aca="false">IF($B39="","",SUMIFS('الحركات الشهرية'!$E$6:$E$1005,'الحركات الشهرية'!$B$6:$B$1005,$B39,'الحركات الشهرية'!$A$6:$A$1005,$C$3))</f>
        <v/>
      </c>
      <c r="I39" s="110" t="str">
        <f aca="false">IF($B39="","",MAX(0,F39-G39-H39))</f>
        <v/>
      </c>
      <c r="J39" s="90" t="str">
        <f aca="false">IF($B39="","",الموظفون!$J39*$I39/cfg_DAYS_M)</f>
        <v/>
      </c>
      <c r="K39" s="90" t="str">
        <f aca="false">IF($B39="","",الموظفون!$K39*$I39/cfg_DAYS_M)</f>
        <v/>
      </c>
      <c r="L39" s="90" t="str">
        <f aca="false">IF($B39="","",الموظفون!$L39*$I39/cfg_DAYS_M)</f>
        <v/>
      </c>
      <c r="M39" s="90" t="str">
        <f aca="false">IF($B39="","",الموظفون!$M39*$I39/cfg_DAYS_M)</f>
        <v/>
      </c>
      <c r="N39" s="110" t="str">
        <f aca="false">IF($B39="","",SUMIFS('الحركات الشهرية'!$F$6:$F$1005,'الحركات الشهرية'!$B$6:$B$1005,$B39,'الحركات الشهرية'!$A$6:$A$1005,$C$3))</f>
        <v/>
      </c>
      <c r="O39" s="90" t="str">
        <f aca="false">IF($B39="","",N39*(الموظفون!$N39+الموظفون!$J39*cfg_OT_P)/cfg_DAYS_M/cfg_HRS)</f>
        <v/>
      </c>
      <c r="P39" s="90" t="str">
        <f aca="false">IF($B39="","",SUMIFS('الحركات الشهرية'!$G$6:$G$1005,'الحركات الشهرية'!$B$6:$B$1005,$B39,'الحركات الشهرية'!$A$6:$A$1005,$C$3))</f>
        <v/>
      </c>
      <c r="Q39" s="90" t="str">
        <f aca="false">IF($B39="","",SUMIFS('الحركات الشهرية'!$H$6:$H$1005,'الحركات الشهرية'!$B$6:$B$1005,$B39,'الحركات الشهرية'!$A$6:$A$1005,$C$3))</f>
        <v/>
      </c>
      <c r="R39" s="111" t="str">
        <f aca="false">IF($B39="","",SUM(J39:M39)+SUM(O39:Q39))</f>
        <v/>
      </c>
      <c r="S39" s="90" t="str">
        <f aca="false">IF($B39="","",الموظفون!$Q39*IF(E39="سعودي",cfg_G_SE,cfg_G_NE)*F39/cfg_DAYS_M)</f>
        <v/>
      </c>
      <c r="T39" s="90" t="str">
        <f aca="false">IF($B39="","",SUMIFS('الحركات الشهرية'!$I$6:$I$1005,'الحركات الشهرية'!$B$6:$B$1005,$B39,'الحركات الشهرية'!$A$6:$A$1005,$C$3))</f>
        <v/>
      </c>
      <c r="U39" s="90" t="str">
        <f aca="false">IF($B39="","",SUMIFS('الحركات الشهرية'!$J$6:$J$1005,'الحركات الشهرية'!$B$6:$B$1005,$B39,'الحركات الشهرية'!$A$6:$A$1005,$C$3))</f>
        <v/>
      </c>
      <c r="V39" s="90" t="str">
        <f aca="false">IF($B39="","",SUM(S39:U39))</f>
        <v/>
      </c>
      <c r="W39" s="112" t="str">
        <f aca="false">IF($B39="","",R39-V39)</f>
        <v/>
      </c>
      <c r="X39" s="90" t="str">
        <f aca="false">IF($B39="","",الموظفون!$Q39*IF(E39="سعودي",cfg_G_SR,cfg_G_NR)*F39/cfg_DAYS_M)</f>
        <v/>
      </c>
      <c r="Y39" s="90" t="str">
        <f aca="false">IF($B39="","",الموظفون!$O39*(cfg_EOS_R1*(MIN(AC39,cfg_EOS_TH)-MIN(AD39,cfg_EOS_TH))+cfg_EOS_R2*(MAX(AC39-cfg_EOS_TH,0)-MAX(AD39-cfg_EOS_TH,0))))</f>
        <v/>
      </c>
      <c r="Z39" s="90" t="str">
        <f aca="false">IF($B39="","",IF(الموظفون!$R39&lt;&gt;"",الموظفون!$R39,IF(AC39&gt;=cfg_LV_TH,cfg_LV_D2,cfg_LV_D1))/cfg_DAYS_Y*AE39*الموظفون!$P39/cfg_DAYS_M)</f>
        <v/>
      </c>
      <c r="AA39" s="90" t="str">
        <f aca="false">IF($B39="","",IF(AND(الموظفون!$S39="نعم",N(الموظفون!$U39)&gt;0),الموظفون!$T39/الموظفون!$U39*12/cfg_DAYS_Y*AE39,0))</f>
        <v/>
      </c>
      <c r="AB39" s="113" t="str">
        <f aca="false">IF($B39="","",R39+SUM(X39:AA39))</f>
        <v/>
      </c>
      <c r="AC39" s="114" t="str">
        <f aca="false">IF($B39="","",MAX(0,IF(OR(الموظفون!$X39="",الموظفون!$X39&gt;$G$3),$G$3,الموظفون!$X39)-الموظفون!$H39+1)/cfg_DAYS_Y)</f>
        <v/>
      </c>
      <c r="AD39" s="114" t="str">
        <f aca="false">IF($B39="","",MAX(0,IF(OR(الموظفون!$X39="",الموظفون!$X39&gt;($E$3-1)),($E$3-1),الموظفون!$X39)-الموظفون!$H39+1)/cfg_DAYS_Y)</f>
        <v/>
      </c>
      <c r="AE39" s="115" t="str">
        <f aca="false">IF($B39="","",MAX(0,IF(OR(الموظفون!$X39="",الموظفون!$X39&gt;$G$3),$G$3,الموظفون!$X39)-MAX($E$3,الموظفون!$H39)+1))</f>
        <v/>
      </c>
    </row>
    <row r="40" customFormat="false" ht="15" hidden="false" customHeight="false" outlineLevel="0" collapsed="false">
      <c r="A40" s="83" t="str">
        <f aca="false">IF($B40="","",الموظفون!$A40)</f>
        <v/>
      </c>
      <c r="B40" s="74" t="str">
        <f aca="false">IF(الموظفون!$B40="","",الموظفون!$B40)</f>
        <v/>
      </c>
      <c r="C40" s="74" t="str">
        <f aca="false">IF($B40="","",الموظفون!$C40)</f>
        <v/>
      </c>
      <c r="D40" s="74" t="str">
        <f aca="false">IF($B40="","",الموظفون!$F40)</f>
        <v/>
      </c>
      <c r="E40" s="74" t="str">
        <f aca="false">IF($B40="","",الموظفون!$E40)</f>
        <v/>
      </c>
      <c r="F40" s="105" t="str">
        <f aca="false">IF($B40="","",IF(AE40&gt;=DAY($G$3),cfg_DAYS_M,MIN(AE40,cfg_DAYS_M)))</f>
        <v/>
      </c>
      <c r="G40" s="105" t="str">
        <f aca="false">IF($B40="","",SUMIFS('الحركات الشهرية'!$D$6:$D$1005,'الحركات الشهرية'!$B$6:$B$1005,$B40,'الحركات الشهرية'!$A$6:$A$1005,$C$3))</f>
        <v/>
      </c>
      <c r="H40" s="105" t="str">
        <f aca="false">IF($B40="","",SUMIFS('الحركات الشهرية'!$E$6:$E$1005,'الحركات الشهرية'!$B$6:$B$1005,$B40,'الحركات الشهرية'!$A$6:$A$1005,$C$3))</f>
        <v/>
      </c>
      <c r="I40" s="105" t="str">
        <f aca="false">IF($B40="","",MAX(0,F40-G40-H40))</f>
        <v/>
      </c>
      <c r="J40" s="86" t="str">
        <f aca="false">IF($B40="","",الموظفون!$J40*$I40/cfg_DAYS_M)</f>
        <v/>
      </c>
      <c r="K40" s="86" t="str">
        <f aca="false">IF($B40="","",الموظفون!$K40*$I40/cfg_DAYS_M)</f>
        <v/>
      </c>
      <c r="L40" s="86" t="str">
        <f aca="false">IF($B40="","",الموظفون!$L40*$I40/cfg_DAYS_M)</f>
        <v/>
      </c>
      <c r="M40" s="86" t="str">
        <f aca="false">IF($B40="","",الموظفون!$M40*$I40/cfg_DAYS_M)</f>
        <v/>
      </c>
      <c r="N40" s="105" t="str">
        <f aca="false">IF($B40="","",SUMIFS('الحركات الشهرية'!$F$6:$F$1005,'الحركات الشهرية'!$B$6:$B$1005,$B40,'الحركات الشهرية'!$A$6:$A$1005,$C$3))</f>
        <v/>
      </c>
      <c r="O40" s="86" t="str">
        <f aca="false">IF($B40="","",N40*(الموظفون!$N40+الموظفون!$J40*cfg_OT_P)/cfg_DAYS_M/cfg_HRS)</f>
        <v/>
      </c>
      <c r="P40" s="86" t="str">
        <f aca="false">IF($B40="","",SUMIFS('الحركات الشهرية'!$G$6:$G$1005,'الحركات الشهرية'!$B$6:$B$1005,$B40,'الحركات الشهرية'!$A$6:$A$1005,$C$3))</f>
        <v/>
      </c>
      <c r="Q40" s="86" t="str">
        <f aca="false">IF($B40="","",SUMIFS('الحركات الشهرية'!$H$6:$H$1005,'الحركات الشهرية'!$B$6:$B$1005,$B40,'الحركات الشهرية'!$A$6:$A$1005,$C$3))</f>
        <v/>
      </c>
      <c r="R40" s="106" t="str">
        <f aca="false">IF($B40="","",SUM(J40:M40)+SUM(O40:Q40))</f>
        <v/>
      </c>
      <c r="S40" s="86" t="str">
        <f aca="false">IF($B40="","",الموظفون!$Q40*IF(E40="سعودي",cfg_G_SE,cfg_G_NE)*F40/cfg_DAYS_M)</f>
        <v/>
      </c>
      <c r="T40" s="86" t="str">
        <f aca="false">IF($B40="","",SUMIFS('الحركات الشهرية'!$I$6:$I$1005,'الحركات الشهرية'!$B$6:$B$1005,$B40,'الحركات الشهرية'!$A$6:$A$1005,$C$3))</f>
        <v/>
      </c>
      <c r="U40" s="86" t="str">
        <f aca="false">IF($B40="","",SUMIFS('الحركات الشهرية'!$J$6:$J$1005,'الحركات الشهرية'!$B$6:$B$1005,$B40,'الحركات الشهرية'!$A$6:$A$1005,$C$3))</f>
        <v/>
      </c>
      <c r="V40" s="86" t="str">
        <f aca="false">IF($B40="","",SUM(S40:U40))</f>
        <v/>
      </c>
      <c r="W40" s="107" t="str">
        <f aca="false">IF($B40="","",R40-V40)</f>
        <v/>
      </c>
      <c r="X40" s="86" t="str">
        <f aca="false">IF($B40="","",الموظفون!$Q40*IF(E40="سعودي",cfg_G_SR,cfg_G_NR)*F40/cfg_DAYS_M)</f>
        <v/>
      </c>
      <c r="Y40" s="86" t="str">
        <f aca="false">IF($B40="","",الموظفون!$O40*(cfg_EOS_R1*(MIN(AC40,cfg_EOS_TH)-MIN(AD40,cfg_EOS_TH))+cfg_EOS_R2*(MAX(AC40-cfg_EOS_TH,0)-MAX(AD40-cfg_EOS_TH,0))))</f>
        <v/>
      </c>
      <c r="Z40" s="86" t="str">
        <f aca="false">IF($B40="","",IF(الموظفون!$R40&lt;&gt;"",الموظفون!$R40,IF(AC40&gt;=cfg_LV_TH,cfg_LV_D2,cfg_LV_D1))/cfg_DAYS_Y*AE40*الموظفون!$P40/cfg_DAYS_M)</f>
        <v/>
      </c>
      <c r="AA40" s="86" t="str">
        <f aca="false">IF($B40="","",IF(AND(الموظفون!$S40="نعم",N(الموظفون!$U40)&gt;0),الموظفون!$T40/الموظفون!$U40*12/cfg_DAYS_Y*AE40,0))</f>
        <v/>
      </c>
      <c r="AB40" s="108" t="str">
        <f aca="false">IF($B40="","",R40+SUM(X40:AA40))</f>
        <v/>
      </c>
      <c r="AC40" s="109" t="str">
        <f aca="false">IF($B40="","",MAX(0,IF(OR(الموظفون!$X40="",الموظفون!$X40&gt;$G$3),$G$3,الموظفون!$X40)-الموظفون!$H40+1)/cfg_DAYS_Y)</f>
        <v/>
      </c>
      <c r="AD40" s="109" t="str">
        <f aca="false">IF($B40="","",MAX(0,IF(OR(الموظفون!$X40="",الموظفون!$X40&gt;($E$3-1)),($E$3-1),الموظفون!$X40)-الموظفون!$H40+1)/cfg_DAYS_Y)</f>
        <v/>
      </c>
      <c r="AE40" s="51" t="str">
        <f aca="false">IF($B40="","",MAX(0,IF(OR(الموظفون!$X40="",الموظفون!$X40&gt;$G$3),$G$3,الموظفون!$X40)-MAX($E$3,الموظفون!$H40)+1))</f>
        <v/>
      </c>
    </row>
    <row r="41" customFormat="false" ht="15" hidden="false" customHeight="false" outlineLevel="0" collapsed="false">
      <c r="A41" s="89" t="str">
        <f aca="false">IF($B41="","",الموظفون!$A41)</f>
        <v/>
      </c>
      <c r="B41" s="91" t="str">
        <f aca="false">IF(الموظفون!$B41="","",الموظفون!$B41)</f>
        <v/>
      </c>
      <c r="C41" s="91" t="str">
        <f aca="false">IF($B41="","",الموظفون!$C41)</f>
        <v/>
      </c>
      <c r="D41" s="91" t="str">
        <f aca="false">IF($B41="","",الموظفون!$F41)</f>
        <v/>
      </c>
      <c r="E41" s="91" t="str">
        <f aca="false">IF($B41="","",الموظفون!$E41)</f>
        <v/>
      </c>
      <c r="F41" s="110" t="str">
        <f aca="false">IF($B41="","",IF(AE41&gt;=DAY($G$3),cfg_DAYS_M,MIN(AE41,cfg_DAYS_M)))</f>
        <v/>
      </c>
      <c r="G41" s="110" t="str">
        <f aca="false">IF($B41="","",SUMIFS('الحركات الشهرية'!$D$6:$D$1005,'الحركات الشهرية'!$B$6:$B$1005,$B41,'الحركات الشهرية'!$A$6:$A$1005,$C$3))</f>
        <v/>
      </c>
      <c r="H41" s="110" t="str">
        <f aca="false">IF($B41="","",SUMIFS('الحركات الشهرية'!$E$6:$E$1005,'الحركات الشهرية'!$B$6:$B$1005,$B41,'الحركات الشهرية'!$A$6:$A$1005,$C$3))</f>
        <v/>
      </c>
      <c r="I41" s="110" t="str">
        <f aca="false">IF($B41="","",MAX(0,F41-G41-H41))</f>
        <v/>
      </c>
      <c r="J41" s="90" t="str">
        <f aca="false">IF($B41="","",الموظفون!$J41*$I41/cfg_DAYS_M)</f>
        <v/>
      </c>
      <c r="K41" s="90" t="str">
        <f aca="false">IF($B41="","",الموظفون!$K41*$I41/cfg_DAYS_M)</f>
        <v/>
      </c>
      <c r="L41" s="90" t="str">
        <f aca="false">IF($B41="","",الموظفون!$L41*$I41/cfg_DAYS_M)</f>
        <v/>
      </c>
      <c r="M41" s="90" t="str">
        <f aca="false">IF($B41="","",الموظفون!$M41*$I41/cfg_DAYS_M)</f>
        <v/>
      </c>
      <c r="N41" s="110" t="str">
        <f aca="false">IF($B41="","",SUMIFS('الحركات الشهرية'!$F$6:$F$1005,'الحركات الشهرية'!$B$6:$B$1005,$B41,'الحركات الشهرية'!$A$6:$A$1005,$C$3))</f>
        <v/>
      </c>
      <c r="O41" s="90" t="str">
        <f aca="false">IF($B41="","",N41*(الموظفون!$N41+الموظفون!$J41*cfg_OT_P)/cfg_DAYS_M/cfg_HRS)</f>
        <v/>
      </c>
      <c r="P41" s="90" t="str">
        <f aca="false">IF($B41="","",SUMIFS('الحركات الشهرية'!$G$6:$G$1005,'الحركات الشهرية'!$B$6:$B$1005,$B41,'الحركات الشهرية'!$A$6:$A$1005,$C$3))</f>
        <v/>
      </c>
      <c r="Q41" s="90" t="str">
        <f aca="false">IF($B41="","",SUMIFS('الحركات الشهرية'!$H$6:$H$1005,'الحركات الشهرية'!$B$6:$B$1005,$B41,'الحركات الشهرية'!$A$6:$A$1005,$C$3))</f>
        <v/>
      </c>
      <c r="R41" s="111" t="str">
        <f aca="false">IF($B41="","",SUM(J41:M41)+SUM(O41:Q41))</f>
        <v/>
      </c>
      <c r="S41" s="90" t="str">
        <f aca="false">IF($B41="","",الموظفون!$Q41*IF(E41="سعودي",cfg_G_SE,cfg_G_NE)*F41/cfg_DAYS_M)</f>
        <v/>
      </c>
      <c r="T41" s="90" t="str">
        <f aca="false">IF($B41="","",SUMIFS('الحركات الشهرية'!$I$6:$I$1005,'الحركات الشهرية'!$B$6:$B$1005,$B41,'الحركات الشهرية'!$A$6:$A$1005,$C$3))</f>
        <v/>
      </c>
      <c r="U41" s="90" t="str">
        <f aca="false">IF($B41="","",SUMIFS('الحركات الشهرية'!$J$6:$J$1005,'الحركات الشهرية'!$B$6:$B$1005,$B41,'الحركات الشهرية'!$A$6:$A$1005,$C$3))</f>
        <v/>
      </c>
      <c r="V41" s="90" t="str">
        <f aca="false">IF($B41="","",SUM(S41:U41))</f>
        <v/>
      </c>
      <c r="W41" s="112" t="str">
        <f aca="false">IF($B41="","",R41-V41)</f>
        <v/>
      </c>
      <c r="X41" s="90" t="str">
        <f aca="false">IF($B41="","",الموظفون!$Q41*IF(E41="سعودي",cfg_G_SR,cfg_G_NR)*F41/cfg_DAYS_M)</f>
        <v/>
      </c>
      <c r="Y41" s="90" t="str">
        <f aca="false">IF($B41="","",الموظفون!$O41*(cfg_EOS_R1*(MIN(AC41,cfg_EOS_TH)-MIN(AD41,cfg_EOS_TH))+cfg_EOS_R2*(MAX(AC41-cfg_EOS_TH,0)-MAX(AD41-cfg_EOS_TH,0))))</f>
        <v/>
      </c>
      <c r="Z41" s="90" t="str">
        <f aca="false">IF($B41="","",IF(الموظفون!$R41&lt;&gt;"",الموظفون!$R41,IF(AC41&gt;=cfg_LV_TH,cfg_LV_D2,cfg_LV_D1))/cfg_DAYS_Y*AE41*الموظفون!$P41/cfg_DAYS_M)</f>
        <v/>
      </c>
      <c r="AA41" s="90" t="str">
        <f aca="false">IF($B41="","",IF(AND(الموظفون!$S41="نعم",N(الموظفون!$U41)&gt;0),الموظفون!$T41/الموظفون!$U41*12/cfg_DAYS_Y*AE41,0))</f>
        <v/>
      </c>
      <c r="AB41" s="113" t="str">
        <f aca="false">IF($B41="","",R41+SUM(X41:AA41))</f>
        <v/>
      </c>
      <c r="AC41" s="114" t="str">
        <f aca="false">IF($B41="","",MAX(0,IF(OR(الموظفون!$X41="",الموظفون!$X41&gt;$G$3),$G$3,الموظفون!$X41)-الموظفون!$H41+1)/cfg_DAYS_Y)</f>
        <v/>
      </c>
      <c r="AD41" s="114" t="str">
        <f aca="false">IF($B41="","",MAX(0,IF(OR(الموظفون!$X41="",الموظفون!$X41&gt;($E$3-1)),($E$3-1),الموظفون!$X41)-الموظفون!$H41+1)/cfg_DAYS_Y)</f>
        <v/>
      </c>
      <c r="AE41" s="115" t="str">
        <f aca="false">IF($B41="","",MAX(0,IF(OR(الموظفون!$X41="",الموظفون!$X41&gt;$G$3),$G$3,الموظفون!$X41)-MAX($E$3,الموظفون!$H41)+1))</f>
        <v/>
      </c>
    </row>
    <row r="42" customFormat="false" ht="15" hidden="false" customHeight="false" outlineLevel="0" collapsed="false">
      <c r="A42" s="83" t="str">
        <f aca="false">IF($B42="","",الموظفون!$A42)</f>
        <v/>
      </c>
      <c r="B42" s="74" t="str">
        <f aca="false">IF(الموظفون!$B42="","",الموظفون!$B42)</f>
        <v/>
      </c>
      <c r="C42" s="74" t="str">
        <f aca="false">IF($B42="","",الموظفون!$C42)</f>
        <v/>
      </c>
      <c r="D42" s="74" t="str">
        <f aca="false">IF($B42="","",الموظفون!$F42)</f>
        <v/>
      </c>
      <c r="E42" s="74" t="str">
        <f aca="false">IF($B42="","",الموظفون!$E42)</f>
        <v/>
      </c>
      <c r="F42" s="105" t="str">
        <f aca="false">IF($B42="","",IF(AE42&gt;=DAY($G$3),cfg_DAYS_M,MIN(AE42,cfg_DAYS_M)))</f>
        <v/>
      </c>
      <c r="G42" s="105" t="str">
        <f aca="false">IF($B42="","",SUMIFS('الحركات الشهرية'!$D$6:$D$1005,'الحركات الشهرية'!$B$6:$B$1005,$B42,'الحركات الشهرية'!$A$6:$A$1005,$C$3))</f>
        <v/>
      </c>
      <c r="H42" s="105" t="str">
        <f aca="false">IF($B42="","",SUMIFS('الحركات الشهرية'!$E$6:$E$1005,'الحركات الشهرية'!$B$6:$B$1005,$B42,'الحركات الشهرية'!$A$6:$A$1005,$C$3))</f>
        <v/>
      </c>
      <c r="I42" s="105" t="str">
        <f aca="false">IF($B42="","",MAX(0,F42-G42-H42))</f>
        <v/>
      </c>
      <c r="J42" s="86" t="str">
        <f aca="false">IF($B42="","",الموظفون!$J42*$I42/cfg_DAYS_M)</f>
        <v/>
      </c>
      <c r="K42" s="86" t="str">
        <f aca="false">IF($B42="","",الموظفون!$K42*$I42/cfg_DAYS_M)</f>
        <v/>
      </c>
      <c r="L42" s="86" t="str">
        <f aca="false">IF($B42="","",الموظفون!$L42*$I42/cfg_DAYS_M)</f>
        <v/>
      </c>
      <c r="M42" s="86" t="str">
        <f aca="false">IF($B42="","",الموظفون!$M42*$I42/cfg_DAYS_M)</f>
        <v/>
      </c>
      <c r="N42" s="105" t="str">
        <f aca="false">IF($B42="","",SUMIFS('الحركات الشهرية'!$F$6:$F$1005,'الحركات الشهرية'!$B$6:$B$1005,$B42,'الحركات الشهرية'!$A$6:$A$1005,$C$3))</f>
        <v/>
      </c>
      <c r="O42" s="86" t="str">
        <f aca="false">IF($B42="","",N42*(الموظفون!$N42+الموظفون!$J42*cfg_OT_P)/cfg_DAYS_M/cfg_HRS)</f>
        <v/>
      </c>
      <c r="P42" s="86" t="str">
        <f aca="false">IF($B42="","",SUMIFS('الحركات الشهرية'!$G$6:$G$1005,'الحركات الشهرية'!$B$6:$B$1005,$B42,'الحركات الشهرية'!$A$6:$A$1005,$C$3))</f>
        <v/>
      </c>
      <c r="Q42" s="86" t="str">
        <f aca="false">IF($B42="","",SUMIFS('الحركات الشهرية'!$H$6:$H$1005,'الحركات الشهرية'!$B$6:$B$1005,$B42,'الحركات الشهرية'!$A$6:$A$1005,$C$3))</f>
        <v/>
      </c>
      <c r="R42" s="106" t="str">
        <f aca="false">IF($B42="","",SUM(J42:M42)+SUM(O42:Q42))</f>
        <v/>
      </c>
      <c r="S42" s="86" t="str">
        <f aca="false">IF($B42="","",الموظفون!$Q42*IF(E42="سعودي",cfg_G_SE,cfg_G_NE)*F42/cfg_DAYS_M)</f>
        <v/>
      </c>
      <c r="T42" s="86" t="str">
        <f aca="false">IF($B42="","",SUMIFS('الحركات الشهرية'!$I$6:$I$1005,'الحركات الشهرية'!$B$6:$B$1005,$B42,'الحركات الشهرية'!$A$6:$A$1005,$C$3))</f>
        <v/>
      </c>
      <c r="U42" s="86" t="str">
        <f aca="false">IF($B42="","",SUMIFS('الحركات الشهرية'!$J$6:$J$1005,'الحركات الشهرية'!$B$6:$B$1005,$B42,'الحركات الشهرية'!$A$6:$A$1005,$C$3))</f>
        <v/>
      </c>
      <c r="V42" s="86" t="str">
        <f aca="false">IF($B42="","",SUM(S42:U42))</f>
        <v/>
      </c>
      <c r="W42" s="107" t="str">
        <f aca="false">IF($B42="","",R42-V42)</f>
        <v/>
      </c>
      <c r="X42" s="86" t="str">
        <f aca="false">IF($B42="","",الموظفون!$Q42*IF(E42="سعودي",cfg_G_SR,cfg_G_NR)*F42/cfg_DAYS_M)</f>
        <v/>
      </c>
      <c r="Y42" s="86" t="str">
        <f aca="false">IF($B42="","",الموظفون!$O42*(cfg_EOS_R1*(MIN(AC42,cfg_EOS_TH)-MIN(AD42,cfg_EOS_TH))+cfg_EOS_R2*(MAX(AC42-cfg_EOS_TH,0)-MAX(AD42-cfg_EOS_TH,0))))</f>
        <v/>
      </c>
      <c r="Z42" s="86" t="str">
        <f aca="false">IF($B42="","",IF(الموظفون!$R42&lt;&gt;"",الموظفون!$R42,IF(AC42&gt;=cfg_LV_TH,cfg_LV_D2,cfg_LV_D1))/cfg_DAYS_Y*AE42*الموظفون!$P42/cfg_DAYS_M)</f>
        <v/>
      </c>
      <c r="AA42" s="86" t="str">
        <f aca="false">IF($B42="","",IF(AND(الموظفون!$S42="نعم",N(الموظفون!$U42)&gt;0),الموظفون!$T42/الموظفون!$U42*12/cfg_DAYS_Y*AE42,0))</f>
        <v/>
      </c>
      <c r="AB42" s="108" t="str">
        <f aca="false">IF($B42="","",R42+SUM(X42:AA42))</f>
        <v/>
      </c>
      <c r="AC42" s="109" t="str">
        <f aca="false">IF($B42="","",MAX(0,IF(OR(الموظفون!$X42="",الموظفون!$X42&gt;$G$3),$G$3,الموظفون!$X42)-الموظفون!$H42+1)/cfg_DAYS_Y)</f>
        <v/>
      </c>
      <c r="AD42" s="109" t="str">
        <f aca="false">IF($B42="","",MAX(0,IF(OR(الموظفون!$X42="",الموظفون!$X42&gt;($E$3-1)),($E$3-1),الموظفون!$X42)-الموظفون!$H42+1)/cfg_DAYS_Y)</f>
        <v/>
      </c>
      <c r="AE42" s="51" t="str">
        <f aca="false">IF($B42="","",MAX(0,IF(OR(الموظفون!$X42="",الموظفون!$X42&gt;$G$3),$G$3,الموظفون!$X42)-MAX($E$3,الموظفون!$H42)+1))</f>
        <v/>
      </c>
    </row>
    <row r="43" customFormat="false" ht="15" hidden="false" customHeight="false" outlineLevel="0" collapsed="false">
      <c r="A43" s="89" t="str">
        <f aca="false">IF($B43="","",الموظفون!$A43)</f>
        <v/>
      </c>
      <c r="B43" s="91" t="str">
        <f aca="false">IF(الموظفون!$B43="","",الموظفون!$B43)</f>
        <v/>
      </c>
      <c r="C43" s="91" t="str">
        <f aca="false">IF($B43="","",الموظفون!$C43)</f>
        <v/>
      </c>
      <c r="D43" s="91" t="str">
        <f aca="false">IF($B43="","",الموظفون!$F43)</f>
        <v/>
      </c>
      <c r="E43" s="91" t="str">
        <f aca="false">IF($B43="","",الموظفون!$E43)</f>
        <v/>
      </c>
      <c r="F43" s="110" t="str">
        <f aca="false">IF($B43="","",IF(AE43&gt;=DAY($G$3),cfg_DAYS_M,MIN(AE43,cfg_DAYS_M)))</f>
        <v/>
      </c>
      <c r="G43" s="110" t="str">
        <f aca="false">IF($B43="","",SUMIFS('الحركات الشهرية'!$D$6:$D$1005,'الحركات الشهرية'!$B$6:$B$1005,$B43,'الحركات الشهرية'!$A$6:$A$1005,$C$3))</f>
        <v/>
      </c>
      <c r="H43" s="110" t="str">
        <f aca="false">IF($B43="","",SUMIFS('الحركات الشهرية'!$E$6:$E$1005,'الحركات الشهرية'!$B$6:$B$1005,$B43,'الحركات الشهرية'!$A$6:$A$1005,$C$3))</f>
        <v/>
      </c>
      <c r="I43" s="110" t="str">
        <f aca="false">IF($B43="","",MAX(0,F43-G43-H43))</f>
        <v/>
      </c>
      <c r="J43" s="90" t="str">
        <f aca="false">IF($B43="","",الموظفون!$J43*$I43/cfg_DAYS_M)</f>
        <v/>
      </c>
      <c r="K43" s="90" t="str">
        <f aca="false">IF($B43="","",الموظفون!$K43*$I43/cfg_DAYS_M)</f>
        <v/>
      </c>
      <c r="L43" s="90" t="str">
        <f aca="false">IF($B43="","",الموظفون!$L43*$I43/cfg_DAYS_M)</f>
        <v/>
      </c>
      <c r="M43" s="90" t="str">
        <f aca="false">IF($B43="","",الموظفون!$M43*$I43/cfg_DAYS_M)</f>
        <v/>
      </c>
      <c r="N43" s="110" t="str">
        <f aca="false">IF($B43="","",SUMIFS('الحركات الشهرية'!$F$6:$F$1005,'الحركات الشهرية'!$B$6:$B$1005,$B43,'الحركات الشهرية'!$A$6:$A$1005,$C$3))</f>
        <v/>
      </c>
      <c r="O43" s="90" t="str">
        <f aca="false">IF($B43="","",N43*(الموظفون!$N43+الموظفون!$J43*cfg_OT_P)/cfg_DAYS_M/cfg_HRS)</f>
        <v/>
      </c>
      <c r="P43" s="90" t="str">
        <f aca="false">IF($B43="","",SUMIFS('الحركات الشهرية'!$G$6:$G$1005,'الحركات الشهرية'!$B$6:$B$1005,$B43,'الحركات الشهرية'!$A$6:$A$1005,$C$3))</f>
        <v/>
      </c>
      <c r="Q43" s="90" t="str">
        <f aca="false">IF($B43="","",SUMIFS('الحركات الشهرية'!$H$6:$H$1005,'الحركات الشهرية'!$B$6:$B$1005,$B43,'الحركات الشهرية'!$A$6:$A$1005,$C$3))</f>
        <v/>
      </c>
      <c r="R43" s="111" t="str">
        <f aca="false">IF($B43="","",SUM(J43:M43)+SUM(O43:Q43))</f>
        <v/>
      </c>
      <c r="S43" s="90" t="str">
        <f aca="false">IF($B43="","",الموظفون!$Q43*IF(E43="سعودي",cfg_G_SE,cfg_G_NE)*F43/cfg_DAYS_M)</f>
        <v/>
      </c>
      <c r="T43" s="90" t="str">
        <f aca="false">IF($B43="","",SUMIFS('الحركات الشهرية'!$I$6:$I$1005,'الحركات الشهرية'!$B$6:$B$1005,$B43,'الحركات الشهرية'!$A$6:$A$1005,$C$3))</f>
        <v/>
      </c>
      <c r="U43" s="90" t="str">
        <f aca="false">IF($B43="","",SUMIFS('الحركات الشهرية'!$J$6:$J$1005,'الحركات الشهرية'!$B$6:$B$1005,$B43,'الحركات الشهرية'!$A$6:$A$1005,$C$3))</f>
        <v/>
      </c>
      <c r="V43" s="90" t="str">
        <f aca="false">IF($B43="","",SUM(S43:U43))</f>
        <v/>
      </c>
      <c r="W43" s="112" t="str">
        <f aca="false">IF($B43="","",R43-V43)</f>
        <v/>
      </c>
      <c r="X43" s="90" t="str">
        <f aca="false">IF($B43="","",الموظفون!$Q43*IF(E43="سعودي",cfg_G_SR,cfg_G_NR)*F43/cfg_DAYS_M)</f>
        <v/>
      </c>
      <c r="Y43" s="90" t="str">
        <f aca="false">IF($B43="","",الموظفون!$O43*(cfg_EOS_R1*(MIN(AC43,cfg_EOS_TH)-MIN(AD43,cfg_EOS_TH))+cfg_EOS_R2*(MAX(AC43-cfg_EOS_TH,0)-MAX(AD43-cfg_EOS_TH,0))))</f>
        <v/>
      </c>
      <c r="Z43" s="90" t="str">
        <f aca="false">IF($B43="","",IF(الموظفون!$R43&lt;&gt;"",الموظفون!$R43,IF(AC43&gt;=cfg_LV_TH,cfg_LV_D2,cfg_LV_D1))/cfg_DAYS_Y*AE43*الموظفون!$P43/cfg_DAYS_M)</f>
        <v/>
      </c>
      <c r="AA43" s="90" t="str">
        <f aca="false">IF($B43="","",IF(AND(الموظفون!$S43="نعم",N(الموظفون!$U43)&gt;0),الموظفون!$T43/الموظفون!$U43*12/cfg_DAYS_Y*AE43,0))</f>
        <v/>
      </c>
      <c r="AB43" s="113" t="str">
        <f aca="false">IF($B43="","",R43+SUM(X43:AA43))</f>
        <v/>
      </c>
      <c r="AC43" s="114" t="str">
        <f aca="false">IF($B43="","",MAX(0,IF(OR(الموظفون!$X43="",الموظفون!$X43&gt;$G$3),$G$3,الموظفون!$X43)-الموظفون!$H43+1)/cfg_DAYS_Y)</f>
        <v/>
      </c>
      <c r="AD43" s="114" t="str">
        <f aca="false">IF($B43="","",MAX(0,IF(OR(الموظفون!$X43="",الموظفون!$X43&gt;($E$3-1)),($E$3-1),الموظفون!$X43)-الموظفون!$H43+1)/cfg_DAYS_Y)</f>
        <v/>
      </c>
      <c r="AE43" s="115" t="str">
        <f aca="false">IF($B43="","",MAX(0,IF(OR(الموظفون!$X43="",الموظفون!$X43&gt;$G$3),$G$3,الموظفون!$X43)-MAX($E$3,الموظفون!$H43)+1))</f>
        <v/>
      </c>
    </row>
    <row r="44" customFormat="false" ht="15" hidden="false" customHeight="false" outlineLevel="0" collapsed="false">
      <c r="A44" s="83" t="str">
        <f aca="false">IF($B44="","",الموظفون!$A44)</f>
        <v/>
      </c>
      <c r="B44" s="74" t="str">
        <f aca="false">IF(الموظفون!$B44="","",الموظفون!$B44)</f>
        <v/>
      </c>
      <c r="C44" s="74" t="str">
        <f aca="false">IF($B44="","",الموظفون!$C44)</f>
        <v/>
      </c>
      <c r="D44" s="74" t="str">
        <f aca="false">IF($B44="","",الموظفون!$F44)</f>
        <v/>
      </c>
      <c r="E44" s="74" t="str">
        <f aca="false">IF($B44="","",الموظفون!$E44)</f>
        <v/>
      </c>
      <c r="F44" s="105" t="str">
        <f aca="false">IF($B44="","",IF(AE44&gt;=DAY($G$3),cfg_DAYS_M,MIN(AE44,cfg_DAYS_M)))</f>
        <v/>
      </c>
      <c r="G44" s="105" t="str">
        <f aca="false">IF($B44="","",SUMIFS('الحركات الشهرية'!$D$6:$D$1005,'الحركات الشهرية'!$B$6:$B$1005,$B44,'الحركات الشهرية'!$A$6:$A$1005,$C$3))</f>
        <v/>
      </c>
      <c r="H44" s="105" t="str">
        <f aca="false">IF($B44="","",SUMIFS('الحركات الشهرية'!$E$6:$E$1005,'الحركات الشهرية'!$B$6:$B$1005,$B44,'الحركات الشهرية'!$A$6:$A$1005,$C$3))</f>
        <v/>
      </c>
      <c r="I44" s="105" t="str">
        <f aca="false">IF($B44="","",MAX(0,F44-G44-H44))</f>
        <v/>
      </c>
      <c r="J44" s="86" t="str">
        <f aca="false">IF($B44="","",الموظفون!$J44*$I44/cfg_DAYS_M)</f>
        <v/>
      </c>
      <c r="K44" s="86" t="str">
        <f aca="false">IF($B44="","",الموظفون!$K44*$I44/cfg_DAYS_M)</f>
        <v/>
      </c>
      <c r="L44" s="86" t="str">
        <f aca="false">IF($B44="","",الموظفون!$L44*$I44/cfg_DAYS_M)</f>
        <v/>
      </c>
      <c r="M44" s="86" t="str">
        <f aca="false">IF($B44="","",الموظفون!$M44*$I44/cfg_DAYS_M)</f>
        <v/>
      </c>
      <c r="N44" s="105" t="str">
        <f aca="false">IF($B44="","",SUMIFS('الحركات الشهرية'!$F$6:$F$1005,'الحركات الشهرية'!$B$6:$B$1005,$B44,'الحركات الشهرية'!$A$6:$A$1005,$C$3))</f>
        <v/>
      </c>
      <c r="O44" s="86" t="str">
        <f aca="false">IF($B44="","",N44*(الموظفون!$N44+الموظفون!$J44*cfg_OT_P)/cfg_DAYS_M/cfg_HRS)</f>
        <v/>
      </c>
      <c r="P44" s="86" t="str">
        <f aca="false">IF($B44="","",SUMIFS('الحركات الشهرية'!$G$6:$G$1005,'الحركات الشهرية'!$B$6:$B$1005,$B44,'الحركات الشهرية'!$A$6:$A$1005,$C$3))</f>
        <v/>
      </c>
      <c r="Q44" s="86" t="str">
        <f aca="false">IF($B44="","",SUMIFS('الحركات الشهرية'!$H$6:$H$1005,'الحركات الشهرية'!$B$6:$B$1005,$B44,'الحركات الشهرية'!$A$6:$A$1005,$C$3))</f>
        <v/>
      </c>
      <c r="R44" s="106" t="str">
        <f aca="false">IF($B44="","",SUM(J44:M44)+SUM(O44:Q44))</f>
        <v/>
      </c>
      <c r="S44" s="86" t="str">
        <f aca="false">IF($B44="","",الموظفون!$Q44*IF(E44="سعودي",cfg_G_SE,cfg_G_NE)*F44/cfg_DAYS_M)</f>
        <v/>
      </c>
      <c r="T44" s="86" t="str">
        <f aca="false">IF($B44="","",SUMIFS('الحركات الشهرية'!$I$6:$I$1005,'الحركات الشهرية'!$B$6:$B$1005,$B44,'الحركات الشهرية'!$A$6:$A$1005,$C$3))</f>
        <v/>
      </c>
      <c r="U44" s="86" t="str">
        <f aca="false">IF($B44="","",SUMIFS('الحركات الشهرية'!$J$6:$J$1005,'الحركات الشهرية'!$B$6:$B$1005,$B44,'الحركات الشهرية'!$A$6:$A$1005,$C$3))</f>
        <v/>
      </c>
      <c r="V44" s="86" t="str">
        <f aca="false">IF($B44="","",SUM(S44:U44))</f>
        <v/>
      </c>
      <c r="W44" s="107" t="str">
        <f aca="false">IF($B44="","",R44-V44)</f>
        <v/>
      </c>
      <c r="X44" s="86" t="str">
        <f aca="false">IF($B44="","",الموظفون!$Q44*IF(E44="سعودي",cfg_G_SR,cfg_G_NR)*F44/cfg_DAYS_M)</f>
        <v/>
      </c>
      <c r="Y44" s="86" t="str">
        <f aca="false">IF($B44="","",الموظفون!$O44*(cfg_EOS_R1*(MIN(AC44,cfg_EOS_TH)-MIN(AD44,cfg_EOS_TH))+cfg_EOS_R2*(MAX(AC44-cfg_EOS_TH,0)-MAX(AD44-cfg_EOS_TH,0))))</f>
        <v/>
      </c>
      <c r="Z44" s="86" t="str">
        <f aca="false">IF($B44="","",IF(الموظفون!$R44&lt;&gt;"",الموظفون!$R44,IF(AC44&gt;=cfg_LV_TH,cfg_LV_D2,cfg_LV_D1))/cfg_DAYS_Y*AE44*الموظفون!$P44/cfg_DAYS_M)</f>
        <v/>
      </c>
      <c r="AA44" s="86" t="str">
        <f aca="false">IF($B44="","",IF(AND(الموظفون!$S44="نعم",N(الموظفون!$U44)&gt;0),الموظفون!$T44/الموظفون!$U44*12/cfg_DAYS_Y*AE44,0))</f>
        <v/>
      </c>
      <c r="AB44" s="108" t="str">
        <f aca="false">IF($B44="","",R44+SUM(X44:AA44))</f>
        <v/>
      </c>
      <c r="AC44" s="109" t="str">
        <f aca="false">IF($B44="","",MAX(0,IF(OR(الموظفون!$X44="",الموظفون!$X44&gt;$G$3),$G$3,الموظفون!$X44)-الموظفون!$H44+1)/cfg_DAYS_Y)</f>
        <v/>
      </c>
      <c r="AD44" s="109" t="str">
        <f aca="false">IF($B44="","",MAX(0,IF(OR(الموظفون!$X44="",الموظفون!$X44&gt;($E$3-1)),($E$3-1),الموظفون!$X44)-الموظفون!$H44+1)/cfg_DAYS_Y)</f>
        <v/>
      </c>
      <c r="AE44" s="51" t="str">
        <f aca="false">IF($B44="","",MAX(0,IF(OR(الموظفون!$X44="",الموظفون!$X44&gt;$G$3),$G$3,الموظفون!$X44)-MAX($E$3,الموظفون!$H44)+1))</f>
        <v/>
      </c>
    </row>
    <row r="45" customFormat="false" ht="15" hidden="false" customHeight="false" outlineLevel="0" collapsed="false">
      <c r="A45" s="89" t="str">
        <f aca="false">IF($B45="","",الموظفون!$A45)</f>
        <v/>
      </c>
      <c r="B45" s="91" t="str">
        <f aca="false">IF(الموظفون!$B45="","",الموظفون!$B45)</f>
        <v/>
      </c>
      <c r="C45" s="91" t="str">
        <f aca="false">IF($B45="","",الموظفون!$C45)</f>
        <v/>
      </c>
      <c r="D45" s="91" t="str">
        <f aca="false">IF($B45="","",الموظفون!$F45)</f>
        <v/>
      </c>
      <c r="E45" s="91" t="str">
        <f aca="false">IF($B45="","",الموظفون!$E45)</f>
        <v/>
      </c>
      <c r="F45" s="110" t="str">
        <f aca="false">IF($B45="","",IF(AE45&gt;=DAY($G$3),cfg_DAYS_M,MIN(AE45,cfg_DAYS_M)))</f>
        <v/>
      </c>
      <c r="G45" s="110" t="str">
        <f aca="false">IF($B45="","",SUMIFS('الحركات الشهرية'!$D$6:$D$1005,'الحركات الشهرية'!$B$6:$B$1005,$B45,'الحركات الشهرية'!$A$6:$A$1005,$C$3))</f>
        <v/>
      </c>
      <c r="H45" s="110" t="str">
        <f aca="false">IF($B45="","",SUMIFS('الحركات الشهرية'!$E$6:$E$1005,'الحركات الشهرية'!$B$6:$B$1005,$B45,'الحركات الشهرية'!$A$6:$A$1005,$C$3))</f>
        <v/>
      </c>
      <c r="I45" s="110" t="str">
        <f aca="false">IF($B45="","",MAX(0,F45-G45-H45))</f>
        <v/>
      </c>
      <c r="J45" s="90" t="str">
        <f aca="false">IF($B45="","",الموظفون!$J45*$I45/cfg_DAYS_M)</f>
        <v/>
      </c>
      <c r="K45" s="90" t="str">
        <f aca="false">IF($B45="","",الموظفون!$K45*$I45/cfg_DAYS_M)</f>
        <v/>
      </c>
      <c r="L45" s="90" t="str">
        <f aca="false">IF($B45="","",الموظفون!$L45*$I45/cfg_DAYS_M)</f>
        <v/>
      </c>
      <c r="M45" s="90" t="str">
        <f aca="false">IF($B45="","",الموظفون!$M45*$I45/cfg_DAYS_M)</f>
        <v/>
      </c>
      <c r="N45" s="110" t="str">
        <f aca="false">IF($B45="","",SUMIFS('الحركات الشهرية'!$F$6:$F$1005,'الحركات الشهرية'!$B$6:$B$1005,$B45,'الحركات الشهرية'!$A$6:$A$1005,$C$3))</f>
        <v/>
      </c>
      <c r="O45" s="90" t="str">
        <f aca="false">IF($B45="","",N45*(الموظفون!$N45+الموظفون!$J45*cfg_OT_P)/cfg_DAYS_M/cfg_HRS)</f>
        <v/>
      </c>
      <c r="P45" s="90" t="str">
        <f aca="false">IF($B45="","",SUMIFS('الحركات الشهرية'!$G$6:$G$1005,'الحركات الشهرية'!$B$6:$B$1005,$B45,'الحركات الشهرية'!$A$6:$A$1005,$C$3))</f>
        <v/>
      </c>
      <c r="Q45" s="90" t="str">
        <f aca="false">IF($B45="","",SUMIFS('الحركات الشهرية'!$H$6:$H$1005,'الحركات الشهرية'!$B$6:$B$1005,$B45,'الحركات الشهرية'!$A$6:$A$1005,$C$3))</f>
        <v/>
      </c>
      <c r="R45" s="111" t="str">
        <f aca="false">IF($B45="","",SUM(J45:M45)+SUM(O45:Q45))</f>
        <v/>
      </c>
      <c r="S45" s="90" t="str">
        <f aca="false">IF($B45="","",الموظفون!$Q45*IF(E45="سعودي",cfg_G_SE,cfg_G_NE)*F45/cfg_DAYS_M)</f>
        <v/>
      </c>
      <c r="T45" s="90" t="str">
        <f aca="false">IF($B45="","",SUMIFS('الحركات الشهرية'!$I$6:$I$1005,'الحركات الشهرية'!$B$6:$B$1005,$B45,'الحركات الشهرية'!$A$6:$A$1005,$C$3))</f>
        <v/>
      </c>
      <c r="U45" s="90" t="str">
        <f aca="false">IF($B45="","",SUMIFS('الحركات الشهرية'!$J$6:$J$1005,'الحركات الشهرية'!$B$6:$B$1005,$B45,'الحركات الشهرية'!$A$6:$A$1005,$C$3))</f>
        <v/>
      </c>
      <c r="V45" s="90" t="str">
        <f aca="false">IF($B45="","",SUM(S45:U45))</f>
        <v/>
      </c>
      <c r="W45" s="112" t="str">
        <f aca="false">IF($B45="","",R45-V45)</f>
        <v/>
      </c>
      <c r="X45" s="90" t="str">
        <f aca="false">IF($B45="","",الموظفون!$Q45*IF(E45="سعودي",cfg_G_SR,cfg_G_NR)*F45/cfg_DAYS_M)</f>
        <v/>
      </c>
      <c r="Y45" s="90" t="str">
        <f aca="false">IF($B45="","",الموظفون!$O45*(cfg_EOS_R1*(MIN(AC45,cfg_EOS_TH)-MIN(AD45,cfg_EOS_TH))+cfg_EOS_R2*(MAX(AC45-cfg_EOS_TH,0)-MAX(AD45-cfg_EOS_TH,0))))</f>
        <v/>
      </c>
      <c r="Z45" s="90" t="str">
        <f aca="false">IF($B45="","",IF(الموظفون!$R45&lt;&gt;"",الموظفون!$R45,IF(AC45&gt;=cfg_LV_TH,cfg_LV_D2,cfg_LV_D1))/cfg_DAYS_Y*AE45*الموظفون!$P45/cfg_DAYS_M)</f>
        <v/>
      </c>
      <c r="AA45" s="90" t="str">
        <f aca="false">IF($B45="","",IF(AND(الموظفون!$S45="نعم",N(الموظفون!$U45)&gt;0),الموظفون!$T45/الموظفون!$U45*12/cfg_DAYS_Y*AE45,0))</f>
        <v/>
      </c>
      <c r="AB45" s="113" t="str">
        <f aca="false">IF($B45="","",R45+SUM(X45:AA45))</f>
        <v/>
      </c>
      <c r="AC45" s="114" t="str">
        <f aca="false">IF($B45="","",MAX(0,IF(OR(الموظفون!$X45="",الموظفون!$X45&gt;$G$3),$G$3,الموظفون!$X45)-الموظفون!$H45+1)/cfg_DAYS_Y)</f>
        <v/>
      </c>
      <c r="AD45" s="114" t="str">
        <f aca="false">IF($B45="","",MAX(0,IF(OR(الموظفون!$X45="",الموظفون!$X45&gt;($E$3-1)),($E$3-1),الموظفون!$X45)-الموظفون!$H45+1)/cfg_DAYS_Y)</f>
        <v/>
      </c>
      <c r="AE45" s="115" t="str">
        <f aca="false">IF($B45="","",MAX(0,IF(OR(الموظفون!$X45="",الموظفون!$X45&gt;$G$3),$G$3,الموظفون!$X45)-MAX($E$3,الموظفون!$H45)+1))</f>
        <v/>
      </c>
    </row>
    <row r="46" customFormat="false" ht="15" hidden="false" customHeight="false" outlineLevel="0" collapsed="false">
      <c r="A46" s="83" t="str">
        <f aca="false">IF($B46="","",الموظفون!$A46)</f>
        <v/>
      </c>
      <c r="B46" s="74" t="str">
        <f aca="false">IF(الموظفون!$B46="","",الموظفون!$B46)</f>
        <v/>
      </c>
      <c r="C46" s="74" t="str">
        <f aca="false">IF($B46="","",الموظفون!$C46)</f>
        <v/>
      </c>
      <c r="D46" s="74" t="str">
        <f aca="false">IF($B46="","",الموظفون!$F46)</f>
        <v/>
      </c>
      <c r="E46" s="74" t="str">
        <f aca="false">IF($B46="","",الموظفون!$E46)</f>
        <v/>
      </c>
      <c r="F46" s="105" t="str">
        <f aca="false">IF($B46="","",IF(AE46&gt;=DAY($G$3),cfg_DAYS_M,MIN(AE46,cfg_DAYS_M)))</f>
        <v/>
      </c>
      <c r="G46" s="105" t="str">
        <f aca="false">IF($B46="","",SUMIFS('الحركات الشهرية'!$D$6:$D$1005,'الحركات الشهرية'!$B$6:$B$1005,$B46,'الحركات الشهرية'!$A$6:$A$1005,$C$3))</f>
        <v/>
      </c>
      <c r="H46" s="105" t="str">
        <f aca="false">IF($B46="","",SUMIFS('الحركات الشهرية'!$E$6:$E$1005,'الحركات الشهرية'!$B$6:$B$1005,$B46,'الحركات الشهرية'!$A$6:$A$1005,$C$3))</f>
        <v/>
      </c>
      <c r="I46" s="105" t="str">
        <f aca="false">IF($B46="","",MAX(0,F46-G46-H46))</f>
        <v/>
      </c>
      <c r="J46" s="86" t="str">
        <f aca="false">IF($B46="","",الموظفون!$J46*$I46/cfg_DAYS_M)</f>
        <v/>
      </c>
      <c r="K46" s="86" t="str">
        <f aca="false">IF($B46="","",الموظفون!$K46*$I46/cfg_DAYS_M)</f>
        <v/>
      </c>
      <c r="L46" s="86" t="str">
        <f aca="false">IF($B46="","",الموظفون!$L46*$I46/cfg_DAYS_M)</f>
        <v/>
      </c>
      <c r="M46" s="86" t="str">
        <f aca="false">IF($B46="","",الموظفون!$M46*$I46/cfg_DAYS_M)</f>
        <v/>
      </c>
      <c r="N46" s="105" t="str">
        <f aca="false">IF($B46="","",SUMIFS('الحركات الشهرية'!$F$6:$F$1005,'الحركات الشهرية'!$B$6:$B$1005,$B46,'الحركات الشهرية'!$A$6:$A$1005,$C$3))</f>
        <v/>
      </c>
      <c r="O46" s="86" t="str">
        <f aca="false">IF($B46="","",N46*(الموظفون!$N46+الموظفون!$J46*cfg_OT_P)/cfg_DAYS_M/cfg_HRS)</f>
        <v/>
      </c>
      <c r="P46" s="86" t="str">
        <f aca="false">IF($B46="","",SUMIFS('الحركات الشهرية'!$G$6:$G$1005,'الحركات الشهرية'!$B$6:$B$1005,$B46,'الحركات الشهرية'!$A$6:$A$1005,$C$3))</f>
        <v/>
      </c>
      <c r="Q46" s="86" t="str">
        <f aca="false">IF($B46="","",SUMIFS('الحركات الشهرية'!$H$6:$H$1005,'الحركات الشهرية'!$B$6:$B$1005,$B46,'الحركات الشهرية'!$A$6:$A$1005,$C$3))</f>
        <v/>
      </c>
      <c r="R46" s="106" t="str">
        <f aca="false">IF($B46="","",SUM(J46:M46)+SUM(O46:Q46))</f>
        <v/>
      </c>
      <c r="S46" s="86" t="str">
        <f aca="false">IF($B46="","",الموظفون!$Q46*IF(E46="سعودي",cfg_G_SE,cfg_G_NE)*F46/cfg_DAYS_M)</f>
        <v/>
      </c>
      <c r="T46" s="86" t="str">
        <f aca="false">IF($B46="","",SUMIFS('الحركات الشهرية'!$I$6:$I$1005,'الحركات الشهرية'!$B$6:$B$1005,$B46,'الحركات الشهرية'!$A$6:$A$1005,$C$3))</f>
        <v/>
      </c>
      <c r="U46" s="86" t="str">
        <f aca="false">IF($B46="","",SUMIFS('الحركات الشهرية'!$J$6:$J$1005,'الحركات الشهرية'!$B$6:$B$1005,$B46,'الحركات الشهرية'!$A$6:$A$1005,$C$3))</f>
        <v/>
      </c>
      <c r="V46" s="86" t="str">
        <f aca="false">IF($B46="","",SUM(S46:U46))</f>
        <v/>
      </c>
      <c r="W46" s="107" t="str">
        <f aca="false">IF($B46="","",R46-V46)</f>
        <v/>
      </c>
      <c r="X46" s="86" t="str">
        <f aca="false">IF($B46="","",الموظفون!$Q46*IF(E46="سعودي",cfg_G_SR,cfg_G_NR)*F46/cfg_DAYS_M)</f>
        <v/>
      </c>
      <c r="Y46" s="86" t="str">
        <f aca="false">IF($B46="","",الموظفون!$O46*(cfg_EOS_R1*(MIN(AC46,cfg_EOS_TH)-MIN(AD46,cfg_EOS_TH))+cfg_EOS_R2*(MAX(AC46-cfg_EOS_TH,0)-MAX(AD46-cfg_EOS_TH,0))))</f>
        <v/>
      </c>
      <c r="Z46" s="86" t="str">
        <f aca="false">IF($B46="","",IF(الموظفون!$R46&lt;&gt;"",الموظفون!$R46,IF(AC46&gt;=cfg_LV_TH,cfg_LV_D2,cfg_LV_D1))/cfg_DAYS_Y*AE46*الموظفون!$P46/cfg_DAYS_M)</f>
        <v/>
      </c>
      <c r="AA46" s="86" t="str">
        <f aca="false">IF($B46="","",IF(AND(الموظفون!$S46="نعم",N(الموظفون!$U46)&gt;0),الموظفون!$T46/الموظفون!$U46*12/cfg_DAYS_Y*AE46,0))</f>
        <v/>
      </c>
      <c r="AB46" s="108" t="str">
        <f aca="false">IF($B46="","",R46+SUM(X46:AA46))</f>
        <v/>
      </c>
      <c r="AC46" s="109" t="str">
        <f aca="false">IF($B46="","",MAX(0,IF(OR(الموظفون!$X46="",الموظفون!$X46&gt;$G$3),$G$3,الموظفون!$X46)-الموظفون!$H46+1)/cfg_DAYS_Y)</f>
        <v/>
      </c>
      <c r="AD46" s="109" t="str">
        <f aca="false">IF($B46="","",MAX(0,IF(OR(الموظفون!$X46="",الموظفون!$X46&gt;($E$3-1)),($E$3-1),الموظفون!$X46)-الموظفون!$H46+1)/cfg_DAYS_Y)</f>
        <v/>
      </c>
      <c r="AE46" s="51" t="str">
        <f aca="false">IF($B46="","",MAX(0,IF(OR(الموظفون!$X46="",الموظفون!$X46&gt;$G$3),$G$3,الموظفون!$X46)-MAX($E$3,الموظفون!$H46)+1))</f>
        <v/>
      </c>
    </row>
    <row r="47" customFormat="false" ht="15" hidden="false" customHeight="false" outlineLevel="0" collapsed="false">
      <c r="A47" s="89" t="str">
        <f aca="false">IF($B47="","",الموظفون!$A47)</f>
        <v/>
      </c>
      <c r="B47" s="91" t="str">
        <f aca="false">IF(الموظفون!$B47="","",الموظفون!$B47)</f>
        <v/>
      </c>
      <c r="C47" s="91" t="str">
        <f aca="false">IF($B47="","",الموظفون!$C47)</f>
        <v/>
      </c>
      <c r="D47" s="91" t="str">
        <f aca="false">IF($B47="","",الموظفون!$F47)</f>
        <v/>
      </c>
      <c r="E47" s="91" t="str">
        <f aca="false">IF($B47="","",الموظفون!$E47)</f>
        <v/>
      </c>
      <c r="F47" s="110" t="str">
        <f aca="false">IF($B47="","",IF(AE47&gt;=DAY($G$3),cfg_DAYS_M,MIN(AE47,cfg_DAYS_M)))</f>
        <v/>
      </c>
      <c r="G47" s="110" t="str">
        <f aca="false">IF($B47="","",SUMIFS('الحركات الشهرية'!$D$6:$D$1005,'الحركات الشهرية'!$B$6:$B$1005,$B47,'الحركات الشهرية'!$A$6:$A$1005,$C$3))</f>
        <v/>
      </c>
      <c r="H47" s="110" t="str">
        <f aca="false">IF($B47="","",SUMIFS('الحركات الشهرية'!$E$6:$E$1005,'الحركات الشهرية'!$B$6:$B$1005,$B47,'الحركات الشهرية'!$A$6:$A$1005,$C$3))</f>
        <v/>
      </c>
      <c r="I47" s="110" t="str">
        <f aca="false">IF($B47="","",MAX(0,F47-G47-H47))</f>
        <v/>
      </c>
      <c r="J47" s="90" t="str">
        <f aca="false">IF($B47="","",الموظفون!$J47*$I47/cfg_DAYS_M)</f>
        <v/>
      </c>
      <c r="K47" s="90" t="str">
        <f aca="false">IF($B47="","",الموظفون!$K47*$I47/cfg_DAYS_M)</f>
        <v/>
      </c>
      <c r="L47" s="90" t="str">
        <f aca="false">IF($B47="","",الموظفون!$L47*$I47/cfg_DAYS_M)</f>
        <v/>
      </c>
      <c r="M47" s="90" t="str">
        <f aca="false">IF($B47="","",الموظفون!$M47*$I47/cfg_DAYS_M)</f>
        <v/>
      </c>
      <c r="N47" s="110" t="str">
        <f aca="false">IF($B47="","",SUMIFS('الحركات الشهرية'!$F$6:$F$1005,'الحركات الشهرية'!$B$6:$B$1005,$B47,'الحركات الشهرية'!$A$6:$A$1005,$C$3))</f>
        <v/>
      </c>
      <c r="O47" s="90" t="str">
        <f aca="false">IF($B47="","",N47*(الموظفون!$N47+الموظفون!$J47*cfg_OT_P)/cfg_DAYS_M/cfg_HRS)</f>
        <v/>
      </c>
      <c r="P47" s="90" t="str">
        <f aca="false">IF($B47="","",SUMIFS('الحركات الشهرية'!$G$6:$G$1005,'الحركات الشهرية'!$B$6:$B$1005,$B47,'الحركات الشهرية'!$A$6:$A$1005,$C$3))</f>
        <v/>
      </c>
      <c r="Q47" s="90" t="str">
        <f aca="false">IF($B47="","",SUMIFS('الحركات الشهرية'!$H$6:$H$1005,'الحركات الشهرية'!$B$6:$B$1005,$B47,'الحركات الشهرية'!$A$6:$A$1005,$C$3))</f>
        <v/>
      </c>
      <c r="R47" s="111" t="str">
        <f aca="false">IF($B47="","",SUM(J47:M47)+SUM(O47:Q47))</f>
        <v/>
      </c>
      <c r="S47" s="90" t="str">
        <f aca="false">IF($B47="","",الموظفون!$Q47*IF(E47="سعودي",cfg_G_SE,cfg_G_NE)*F47/cfg_DAYS_M)</f>
        <v/>
      </c>
      <c r="T47" s="90" t="str">
        <f aca="false">IF($B47="","",SUMIFS('الحركات الشهرية'!$I$6:$I$1005,'الحركات الشهرية'!$B$6:$B$1005,$B47,'الحركات الشهرية'!$A$6:$A$1005,$C$3))</f>
        <v/>
      </c>
      <c r="U47" s="90" t="str">
        <f aca="false">IF($B47="","",SUMIFS('الحركات الشهرية'!$J$6:$J$1005,'الحركات الشهرية'!$B$6:$B$1005,$B47,'الحركات الشهرية'!$A$6:$A$1005,$C$3))</f>
        <v/>
      </c>
      <c r="V47" s="90" t="str">
        <f aca="false">IF($B47="","",SUM(S47:U47))</f>
        <v/>
      </c>
      <c r="W47" s="112" t="str">
        <f aca="false">IF($B47="","",R47-V47)</f>
        <v/>
      </c>
      <c r="X47" s="90" t="str">
        <f aca="false">IF($B47="","",الموظفون!$Q47*IF(E47="سعودي",cfg_G_SR,cfg_G_NR)*F47/cfg_DAYS_M)</f>
        <v/>
      </c>
      <c r="Y47" s="90" t="str">
        <f aca="false">IF($B47="","",الموظفون!$O47*(cfg_EOS_R1*(MIN(AC47,cfg_EOS_TH)-MIN(AD47,cfg_EOS_TH))+cfg_EOS_R2*(MAX(AC47-cfg_EOS_TH,0)-MAX(AD47-cfg_EOS_TH,0))))</f>
        <v/>
      </c>
      <c r="Z47" s="90" t="str">
        <f aca="false">IF($B47="","",IF(الموظفون!$R47&lt;&gt;"",الموظفون!$R47,IF(AC47&gt;=cfg_LV_TH,cfg_LV_D2,cfg_LV_D1))/cfg_DAYS_Y*AE47*الموظفون!$P47/cfg_DAYS_M)</f>
        <v/>
      </c>
      <c r="AA47" s="90" t="str">
        <f aca="false">IF($B47="","",IF(AND(الموظفون!$S47="نعم",N(الموظفون!$U47)&gt;0),الموظفون!$T47/الموظفون!$U47*12/cfg_DAYS_Y*AE47,0))</f>
        <v/>
      </c>
      <c r="AB47" s="113" t="str">
        <f aca="false">IF($B47="","",R47+SUM(X47:AA47))</f>
        <v/>
      </c>
      <c r="AC47" s="114" t="str">
        <f aca="false">IF($B47="","",MAX(0,IF(OR(الموظفون!$X47="",الموظفون!$X47&gt;$G$3),$G$3,الموظفون!$X47)-الموظفون!$H47+1)/cfg_DAYS_Y)</f>
        <v/>
      </c>
      <c r="AD47" s="114" t="str">
        <f aca="false">IF($B47="","",MAX(0,IF(OR(الموظفون!$X47="",الموظفون!$X47&gt;($E$3-1)),($E$3-1),الموظفون!$X47)-الموظفون!$H47+1)/cfg_DAYS_Y)</f>
        <v/>
      </c>
      <c r="AE47" s="115" t="str">
        <f aca="false">IF($B47="","",MAX(0,IF(OR(الموظفون!$X47="",الموظفون!$X47&gt;$G$3),$G$3,الموظفون!$X47)-MAX($E$3,الموظفون!$H47)+1))</f>
        <v/>
      </c>
    </row>
    <row r="48" customFormat="false" ht="15" hidden="false" customHeight="false" outlineLevel="0" collapsed="false">
      <c r="A48" s="83" t="str">
        <f aca="false">IF($B48="","",الموظفون!$A48)</f>
        <v/>
      </c>
      <c r="B48" s="74" t="str">
        <f aca="false">IF(الموظفون!$B48="","",الموظفون!$B48)</f>
        <v/>
      </c>
      <c r="C48" s="74" t="str">
        <f aca="false">IF($B48="","",الموظفون!$C48)</f>
        <v/>
      </c>
      <c r="D48" s="74" t="str">
        <f aca="false">IF($B48="","",الموظفون!$F48)</f>
        <v/>
      </c>
      <c r="E48" s="74" t="str">
        <f aca="false">IF($B48="","",الموظفون!$E48)</f>
        <v/>
      </c>
      <c r="F48" s="105" t="str">
        <f aca="false">IF($B48="","",IF(AE48&gt;=DAY($G$3),cfg_DAYS_M,MIN(AE48,cfg_DAYS_M)))</f>
        <v/>
      </c>
      <c r="G48" s="105" t="str">
        <f aca="false">IF($B48="","",SUMIFS('الحركات الشهرية'!$D$6:$D$1005,'الحركات الشهرية'!$B$6:$B$1005,$B48,'الحركات الشهرية'!$A$6:$A$1005,$C$3))</f>
        <v/>
      </c>
      <c r="H48" s="105" t="str">
        <f aca="false">IF($B48="","",SUMIFS('الحركات الشهرية'!$E$6:$E$1005,'الحركات الشهرية'!$B$6:$B$1005,$B48,'الحركات الشهرية'!$A$6:$A$1005,$C$3))</f>
        <v/>
      </c>
      <c r="I48" s="105" t="str">
        <f aca="false">IF($B48="","",MAX(0,F48-G48-H48))</f>
        <v/>
      </c>
      <c r="J48" s="86" t="str">
        <f aca="false">IF($B48="","",الموظفون!$J48*$I48/cfg_DAYS_M)</f>
        <v/>
      </c>
      <c r="K48" s="86" t="str">
        <f aca="false">IF($B48="","",الموظفون!$K48*$I48/cfg_DAYS_M)</f>
        <v/>
      </c>
      <c r="L48" s="86" t="str">
        <f aca="false">IF($B48="","",الموظفون!$L48*$I48/cfg_DAYS_M)</f>
        <v/>
      </c>
      <c r="M48" s="86" t="str">
        <f aca="false">IF($B48="","",الموظفون!$M48*$I48/cfg_DAYS_M)</f>
        <v/>
      </c>
      <c r="N48" s="105" t="str">
        <f aca="false">IF($B48="","",SUMIFS('الحركات الشهرية'!$F$6:$F$1005,'الحركات الشهرية'!$B$6:$B$1005,$B48,'الحركات الشهرية'!$A$6:$A$1005,$C$3))</f>
        <v/>
      </c>
      <c r="O48" s="86" t="str">
        <f aca="false">IF($B48="","",N48*(الموظفون!$N48+الموظفون!$J48*cfg_OT_P)/cfg_DAYS_M/cfg_HRS)</f>
        <v/>
      </c>
      <c r="P48" s="86" t="str">
        <f aca="false">IF($B48="","",SUMIFS('الحركات الشهرية'!$G$6:$G$1005,'الحركات الشهرية'!$B$6:$B$1005,$B48,'الحركات الشهرية'!$A$6:$A$1005,$C$3))</f>
        <v/>
      </c>
      <c r="Q48" s="86" t="str">
        <f aca="false">IF($B48="","",SUMIFS('الحركات الشهرية'!$H$6:$H$1005,'الحركات الشهرية'!$B$6:$B$1005,$B48,'الحركات الشهرية'!$A$6:$A$1005,$C$3))</f>
        <v/>
      </c>
      <c r="R48" s="106" t="str">
        <f aca="false">IF($B48="","",SUM(J48:M48)+SUM(O48:Q48))</f>
        <v/>
      </c>
      <c r="S48" s="86" t="str">
        <f aca="false">IF($B48="","",الموظفون!$Q48*IF(E48="سعودي",cfg_G_SE,cfg_G_NE)*F48/cfg_DAYS_M)</f>
        <v/>
      </c>
      <c r="T48" s="86" t="str">
        <f aca="false">IF($B48="","",SUMIFS('الحركات الشهرية'!$I$6:$I$1005,'الحركات الشهرية'!$B$6:$B$1005,$B48,'الحركات الشهرية'!$A$6:$A$1005,$C$3))</f>
        <v/>
      </c>
      <c r="U48" s="86" t="str">
        <f aca="false">IF($B48="","",SUMIFS('الحركات الشهرية'!$J$6:$J$1005,'الحركات الشهرية'!$B$6:$B$1005,$B48,'الحركات الشهرية'!$A$6:$A$1005,$C$3))</f>
        <v/>
      </c>
      <c r="V48" s="86" t="str">
        <f aca="false">IF($B48="","",SUM(S48:U48))</f>
        <v/>
      </c>
      <c r="W48" s="107" t="str">
        <f aca="false">IF($B48="","",R48-V48)</f>
        <v/>
      </c>
      <c r="X48" s="86" t="str">
        <f aca="false">IF($B48="","",الموظفون!$Q48*IF(E48="سعودي",cfg_G_SR,cfg_G_NR)*F48/cfg_DAYS_M)</f>
        <v/>
      </c>
      <c r="Y48" s="86" t="str">
        <f aca="false">IF($B48="","",الموظفون!$O48*(cfg_EOS_R1*(MIN(AC48,cfg_EOS_TH)-MIN(AD48,cfg_EOS_TH))+cfg_EOS_R2*(MAX(AC48-cfg_EOS_TH,0)-MAX(AD48-cfg_EOS_TH,0))))</f>
        <v/>
      </c>
      <c r="Z48" s="86" t="str">
        <f aca="false">IF($B48="","",IF(الموظفون!$R48&lt;&gt;"",الموظفون!$R48,IF(AC48&gt;=cfg_LV_TH,cfg_LV_D2,cfg_LV_D1))/cfg_DAYS_Y*AE48*الموظفون!$P48/cfg_DAYS_M)</f>
        <v/>
      </c>
      <c r="AA48" s="86" t="str">
        <f aca="false">IF($B48="","",IF(AND(الموظفون!$S48="نعم",N(الموظفون!$U48)&gt;0),الموظفون!$T48/الموظفون!$U48*12/cfg_DAYS_Y*AE48,0))</f>
        <v/>
      </c>
      <c r="AB48" s="108" t="str">
        <f aca="false">IF($B48="","",R48+SUM(X48:AA48))</f>
        <v/>
      </c>
      <c r="AC48" s="109" t="str">
        <f aca="false">IF($B48="","",MAX(0,IF(OR(الموظفون!$X48="",الموظفون!$X48&gt;$G$3),$G$3,الموظفون!$X48)-الموظفون!$H48+1)/cfg_DAYS_Y)</f>
        <v/>
      </c>
      <c r="AD48" s="109" t="str">
        <f aca="false">IF($B48="","",MAX(0,IF(OR(الموظفون!$X48="",الموظفون!$X48&gt;($E$3-1)),($E$3-1),الموظفون!$X48)-الموظفون!$H48+1)/cfg_DAYS_Y)</f>
        <v/>
      </c>
      <c r="AE48" s="51" t="str">
        <f aca="false">IF($B48="","",MAX(0,IF(OR(الموظفون!$X48="",الموظفون!$X48&gt;$G$3),$G$3,الموظفون!$X48)-MAX($E$3,الموظفون!$H48)+1))</f>
        <v/>
      </c>
    </row>
    <row r="49" customFormat="false" ht="15" hidden="false" customHeight="false" outlineLevel="0" collapsed="false">
      <c r="A49" s="89" t="str">
        <f aca="false">IF($B49="","",الموظفون!$A49)</f>
        <v/>
      </c>
      <c r="B49" s="91" t="str">
        <f aca="false">IF(الموظفون!$B49="","",الموظفون!$B49)</f>
        <v/>
      </c>
      <c r="C49" s="91" t="str">
        <f aca="false">IF($B49="","",الموظفون!$C49)</f>
        <v/>
      </c>
      <c r="D49" s="91" t="str">
        <f aca="false">IF($B49="","",الموظفون!$F49)</f>
        <v/>
      </c>
      <c r="E49" s="91" t="str">
        <f aca="false">IF($B49="","",الموظفون!$E49)</f>
        <v/>
      </c>
      <c r="F49" s="110" t="str">
        <f aca="false">IF($B49="","",IF(AE49&gt;=DAY($G$3),cfg_DAYS_M,MIN(AE49,cfg_DAYS_M)))</f>
        <v/>
      </c>
      <c r="G49" s="110" t="str">
        <f aca="false">IF($B49="","",SUMIFS('الحركات الشهرية'!$D$6:$D$1005,'الحركات الشهرية'!$B$6:$B$1005,$B49,'الحركات الشهرية'!$A$6:$A$1005,$C$3))</f>
        <v/>
      </c>
      <c r="H49" s="110" t="str">
        <f aca="false">IF($B49="","",SUMIFS('الحركات الشهرية'!$E$6:$E$1005,'الحركات الشهرية'!$B$6:$B$1005,$B49,'الحركات الشهرية'!$A$6:$A$1005,$C$3))</f>
        <v/>
      </c>
      <c r="I49" s="110" t="str">
        <f aca="false">IF($B49="","",MAX(0,F49-G49-H49))</f>
        <v/>
      </c>
      <c r="J49" s="90" t="str">
        <f aca="false">IF($B49="","",الموظفون!$J49*$I49/cfg_DAYS_M)</f>
        <v/>
      </c>
      <c r="K49" s="90" t="str">
        <f aca="false">IF($B49="","",الموظفون!$K49*$I49/cfg_DAYS_M)</f>
        <v/>
      </c>
      <c r="L49" s="90" t="str">
        <f aca="false">IF($B49="","",الموظفون!$L49*$I49/cfg_DAYS_M)</f>
        <v/>
      </c>
      <c r="M49" s="90" t="str">
        <f aca="false">IF($B49="","",الموظفون!$M49*$I49/cfg_DAYS_M)</f>
        <v/>
      </c>
      <c r="N49" s="110" t="str">
        <f aca="false">IF($B49="","",SUMIFS('الحركات الشهرية'!$F$6:$F$1005,'الحركات الشهرية'!$B$6:$B$1005,$B49,'الحركات الشهرية'!$A$6:$A$1005,$C$3))</f>
        <v/>
      </c>
      <c r="O49" s="90" t="str">
        <f aca="false">IF($B49="","",N49*(الموظفون!$N49+الموظفون!$J49*cfg_OT_P)/cfg_DAYS_M/cfg_HRS)</f>
        <v/>
      </c>
      <c r="P49" s="90" t="str">
        <f aca="false">IF($B49="","",SUMIFS('الحركات الشهرية'!$G$6:$G$1005,'الحركات الشهرية'!$B$6:$B$1005,$B49,'الحركات الشهرية'!$A$6:$A$1005,$C$3))</f>
        <v/>
      </c>
      <c r="Q49" s="90" t="str">
        <f aca="false">IF($B49="","",SUMIFS('الحركات الشهرية'!$H$6:$H$1005,'الحركات الشهرية'!$B$6:$B$1005,$B49,'الحركات الشهرية'!$A$6:$A$1005,$C$3))</f>
        <v/>
      </c>
      <c r="R49" s="111" t="str">
        <f aca="false">IF($B49="","",SUM(J49:M49)+SUM(O49:Q49))</f>
        <v/>
      </c>
      <c r="S49" s="90" t="str">
        <f aca="false">IF($B49="","",الموظفون!$Q49*IF(E49="سعودي",cfg_G_SE,cfg_G_NE)*F49/cfg_DAYS_M)</f>
        <v/>
      </c>
      <c r="T49" s="90" t="str">
        <f aca="false">IF($B49="","",SUMIFS('الحركات الشهرية'!$I$6:$I$1005,'الحركات الشهرية'!$B$6:$B$1005,$B49,'الحركات الشهرية'!$A$6:$A$1005,$C$3))</f>
        <v/>
      </c>
      <c r="U49" s="90" t="str">
        <f aca="false">IF($B49="","",SUMIFS('الحركات الشهرية'!$J$6:$J$1005,'الحركات الشهرية'!$B$6:$B$1005,$B49,'الحركات الشهرية'!$A$6:$A$1005,$C$3))</f>
        <v/>
      </c>
      <c r="V49" s="90" t="str">
        <f aca="false">IF($B49="","",SUM(S49:U49))</f>
        <v/>
      </c>
      <c r="W49" s="112" t="str">
        <f aca="false">IF($B49="","",R49-V49)</f>
        <v/>
      </c>
      <c r="X49" s="90" t="str">
        <f aca="false">IF($B49="","",الموظفون!$Q49*IF(E49="سعودي",cfg_G_SR,cfg_G_NR)*F49/cfg_DAYS_M)</f>
        <v/>
      </c>
      <c r="Y49" s="90" t="str">
        <f aca="false">IF($B49="","",الموظفون!$O49*(cfg_EOS_R1*(MIN(AC49,cfg_EOS_TH)-MIN(AD49,cfg_EOS_TH))+cfg_EOS_R2*(MAX(AC49-cfg_EOS_TH,0)-MAX(AD49-cfg_EOS_TH,0))))</f>
        <v/>
      </c>
      <c r="Z49" s="90" t="str">
        <f aca="false">IF($B49="","",IF(الموظفون!$R49&lt;&gt;"",الموظفون!$R49,IF(AC49&gt;=cfg_LV_TH,cfg_LV_D2,cfg_LV_D1))/cfg_DAYS_Y*AE49*الموظفون!$P49/cfg_DAYS_M)</f>
        <v/>
      </c>
      <c r="AA49" s="90" t="str">
        <f aca="false">IF($B49="","",IF(AND(الموظفون!$S49="نعم",N(الموظفون!$U49)&gt;0),الموظفون!$T49/الموظفون!$U49*12/cfg_DAYS_Y*AE49,0))</f>
        <v/>
      </c>
      <c r="AB49" s="113" t="str">
        <f aca="false">IF($B49="","",R49+SUM(X49:AA49))</f>
        <v/>
      </c>
      <c r="AC49" s="114" t="str">
        <f aca="false">IF($B49="","",MAX(0,IF(OR(الموظفون!$X49="",الموظفون!$X49&gt;$G$3),$G$3,الموظفون!$X49)-الموظفون!$H49+1)/cfg_DAYS_Y)</f>
        <v/>
      </c>
      <c r="AD49" s="114" t="str">
        <f aca="false">IF($B49="","",MAX(0,IF(OR(الموظفون!$X49="",الموظفون!$X49&gt;($E$3-1)),($E$3-1),الموظفون!$X49)-الموظفون!$H49+1)/cfg_DAYS_Y)</f>
        <v/>
      </c>
      <c r="AE49" s="115" t="str">
        <f aca="false">IF($B49="","",MAX(0,IF(OR(الموظفون!$X49="",الموظفون!$X49&gt;$G$3),$G$3,الموظفون!$X49)-MAX($E$3,الموظفون!$H49)+1))</f>
        <v/>
      </c>
    </row>
    <row r="50" customFormat="false" ht="15" hidden="false" customHeight="false" outlineLevel="0" collapsed="false">
      <c r="A50" s="83" t="str">
        <f aca="false">IF($B50="","",الموظفون!$A50)</f>
        <v/>
      </c>
      <c r="B50" s="74" t="str">
        <f aca="false">IF(الموظفون!$B50="","",الموظفون!$B50)</f>
        <v/>
      </c>
      <c r="C50" s="74" t="str">
        <f aca="false">IF($B50="","",الموظفون!$C50)</f>
        <v/>
      </c>
      <c r="D50" s="74" t="str">
        <f aca="false">IF($B50="","",الموظفون!$F50)</f>
        <v/>
      </c>
      <c r="E50" s="74" t="str">
        <f aca="false">IF($B50="","",الموظفون!$E50)</f>
        <v/>
      </c>
      <c r="F50" s="105" t="str">
        <f aca="false">IF($B50="","",IF(AE50&gt;=DAY($G$3),cfg_DAYS_M,MIN(AE50,cfg_DAYS_M)))</f>
        <v/>
      </c>
      <c r="G50" s="105" t="str">
        <f aca="false">IF($B50="","",SUMIFS('الحركات الشهرية'!$D$6:$D$1005,'الحركات الشهرية'!$B$6:$B$1005,$B50,'الحركات الشهرية'!$A$6:$A$1005,$C$3))</f>
        <v/>
      </c>
      <c r="H50" s="105" t="str">
        <f aca="false">IF($B50="","",SUMIFS('الحركات الشهرية'!$E$6:$E$1005,'الحركات الشهرية'!$B$6:$B$1005,$B50,'الحركات الشهرية'!$A$6:$A$1005,$C$3))</f>
        <v/>
      </c>
      <c r="I50" s="105" t="str">
        <f aca="false">IF($B50="","",MAX(0,F50-G50-H50))</f>
        <v/>
      </c>
      <c r="J50" s="86" t="str">
        <f aca="false">IF($B50="","",الموظفون!$J50*$I50/cfg_DAYS_M)</f>
        <v/>
      </c>
      <c r="K50" s="86" t="str">
        <f aca="false">IF($B50="","",الموظفون!$K50*$I50/cfg_DAYS_M)</f>
        <v/>
      </c>
      <c r="L50" s="86" t="str">
        <f aca="false">IF($B50="","",الموظفون!$L50*$I50/cfg_DAYS_M)</f>
        <v/>
      </c>
      <c r="M50" s="86" t="str">
        <f aca="false">IF($B50="","",الموظفون!$M50*$I50/cfg_DAYS_M)</f>
        <v/>
      </c>
      <c r="N50" s="105" t="str">
        <f aca="false">IF($B50="","",SUMIFS('الحركات الشهرية'!$F$6:$F$1005,'الحركات الشهرية'!$B$6:$B$1005,$B50,'الحركات الشهرية'!$A$6:$A$1005,$C$3))</f>
        <v/>
      </c>
      <c r="O50" s="86" t="str">
        <f aca="false">IF($B50="","",N50*(الموظفون!$N50+الموظفون!$J50*cfg_OT_P)/cfg_DAYS_M/cfg_HRS)</f>
        <v/>
      </c>
      <c r="P50" s="86" t="str">
        <f aca="false">IF($B50="","",SUMIFS('الحركات الشهرية'!$G$6:$G$1005,'الحركات الشهرية'!$B$6:$B$1005,$B50,'الحركات الشهرية'!$A$6:$A$1005,$C$3))</f>
        <v/>
      </c>
      <c r="Q50" s="86" t="str">
        <f aca="false">IF($B50="","",SUMIFS('الحركات الشهرية'!$H$6:$H$1005,'الحركات الشهرية'!$B$6:$B$1005,$B50,'الحركات الشهرية'!$A$6:$A$1005,$C$3))</f>
        <v/>
      </c>
      <c r="R50" s="106" t="str">
        <f aca="false">IF($B50="","",SUM(J50:M50)+SUM(O50:Q50))</f>
        <v/>
      </c>
      <c r="S50" s="86" t="str">
        <f aca="false">IF($B50="","",الموظفون!$Q50*IF(E50="سعودي",cfg_G_SE,cfg_G_NE)*F50/cfg_DAYS_M)</f>
        <v/>
      </c>
      <c r="T50" s="86" t="str">
        <f aca="false">IF($B50="","",SUMIFS('الحركات الشهرية'!$I$6:$I$1005,'الحركات الشهرية'!$B$6:$B$1005,$B50,'الحركات الشهرية'!$A$6:$A$1005,$C$3))</f>
        <v/>
      </c>
      <c r="U50" s="86" t="str">
        <f aca="false">IF($B50="","",SUMIFS('الحركات الشهرية'!$J$6:$J$1005,'الحركات الشهرية'!$B$6:$B$1005,$B50,'الحركات الشهرية'!$A$6:$A$1005,$C$3))</f>
        <v/>
      </c>
      <c r="V50" s="86" t="str">
        <f aca="false">IF($B50="","",SUM(S50:U50))</f>
        <v/>
      </c>
      <c r="W50" s="107" t="str">
        <f aca="false">IF($B50="","",R50-V50)</f>
        <v/>
      </c>
      <c r="X50" s="86" t="str">
        <f aca="false">IF($B50="","",الموظفون!$Q50*IF(E50="سعودي",cfg_G_SR,cfg_G_NR)*F50/cfg_DAYS_M)</f>
        <v/>
      </c>
      <c r="Y50" s="86" t="str">
        <f aca="false">IF($B50="","",الموظفون!$O50*(cfg_EOS_R1*(MIN(AC50,cfg_EOS_TH)-MIN(AD50,cfg_EOS_TH))+cfg_EOS_R2*(MAX(AC50-cfg_EOS_TH,0)-MAX(AD50-cfg_EOS_TH,0))))</f>
        <v/>
      </c>
      <c r="Z50" s="86" t="str">
        <f aca="false">IF($B50="","",IF(الموظفون!$R50&lt;&gt;"",الموظفون!$R50,IF(AC50&gt;=cfg_LV_TH,cfg_LV_D2,cfg_LV_D1))/cfg_DAYS_Y*AE50*الموظفون!$P50/cfg_DAYS_M)</f>
        <v/>
      </c>
      <c r="AA50" s="86" t="str">
        <f aca="false">IF($B50="","",IF(AND(الموظفون!$S50="نعم",N(الموظفون!$U50)&gt;0),الموظفون!$T50/الموظفون!$U50*12/cfg_DAYS_Y*AE50,0))</f>
        <v/>
      </c>
      <c r="AB50" s="108" t="str">
        <f aca="false">IF($B50="","",R50+SUM(X50:AA50))</f>
        <v/>
      </c>
      <c r="AC50" s="109" t="str">
        <f aca="false">IF($B50="","",MAX(0,IF(OR(الموظفون!$X50="",الموظفون!$X50&gt;$G$3),$G$3,الموظفون!$X50)-الموظفون!$H50+1)/cfg_DAYS_Y)</f>
        <v/>
      </c>
      <c r="AD50" s="109" t="str">
        <f aca="false">IF($B50="","",MAX(0,IF(OR(الموظفون!$X50="",الموظفون!$X50&gt;($E$3-1)),($E$3-1),الموظفون!$X50)-الموظفون!$H50+1)/cfg_DAYS_Y)</f>
        <v/>
      </c>
      <c r="AE50" s="51" t="str">
        <f aca="false">IF($B50="","",MAX(0,IF(OR(الموظفون!$X50="",الموظفون!$X50&gt;$G$3),$G$3,الموظفون!$X50)-MAX($E$3,الموظفون!$H50)+1))</f>
        <v/>
      </c>
    </row>
    <row r="51" customFormat="false" ht="15" hidden="false" customHeight="false" outlineLevel="0" collapsed="false">
      <c r="A51" s="89" t="str">
        <f aca="false">IF($B51="","",الموظفون!$A51)</f>
        <v/>
      </c>
      <c r="B51" s="91" t="str">
        <f aca="false">IF(الموظفون!$B51="","",الموظفون!$B51)</f>
        <v/>
      </c>
      <c r="C51" s="91" t="str">
        <f aca="false">IF($B51="","",الموظفون!$C51)</f>
        <v/>
      </c>
      <c r="D51" s="91" t="str">
        <f aca="false">IF($B51="","",الموظفون!$F51)</f>
        <v/>
      </c>
      <c r="E51" s="91" t="str">
        <f aca="false">IF($B51="","",الموظفون!$E51)</f>
        <v/>
      </c>
      <c r="F51" s="110" t="str">
        <f aca="false">IF($B51="","",IF(AE51&gt;=DAY($G$3),cfg_DAYS_M,MIN(AE51,cfg_DAYS_M)))</f>
        <v/>
      </c>
      <c r="G51" s="110" t="str">
        <f aca="false">IF($B51="","",SUMIFS('الحركات الشهرية'!$D$6:$D$1005,'الحركات الشهرية'!$B$6:$B$1005,$B51,'الحركات الشهرية'!$A$6:$A$1005,$C$3))</f>
        <v/>
      </c>
      <c r="H51" s="110" t="str">
        <f aca="false">IF($B51="","",SUMIFS('الحركات الشهرية'!$E$6:$E$1005,'الحركات الشهرية'!$B$6:$B$1005,$B51,'الحركات الشهرية'!$A$6:$A$1005,$C$3))</f>
        <v/>
      </c>
      <c r="I51" s="110" t="str">
        <f aca="false">IF($B51="","",MAX(0,F51-G51-H51))</f>
        <v/>
      </c>
      <c r="J51" s="90" t="str">
        <f aca="false">IF($B51="","",الموظفون!$J51*$I51/cfg_DAYS_M)</f>
        <v/>
      </c>
      <c r="K51" s="90" t="str">
        <f aca="false">IF($B51="","",الموظفون!$K51*$I51/cfg_DAYS_M)</f>
        <v/>
      </c>
      <c r="L51" s="90" t="str">
        <f aca="false">IF($B51="","",الموظفون!$L51*$I51/cfg_DAYS_M)</f>
        <v/>
      </c>
      <c r="M51" s="90" t="str">
        <f aca="false">IF($B51="","",الموظفون!$M51*$I51/cfg_DAYS_M)</f>
        <v/>
      </c>
      <c r="N51" s="110" t="str">
        <f aca="false">IF($B51="","",SUMIFS('الحركات الشهرية'!$F$6:$F$1005,'الحركات الشهرية'!$B$6:$B$1005,$B51,'الحركات الشهرية'!$A$6:$A$1005,$C$3))</f>
        <v/>
      </c>
      <c r="O51" s="90" t="str">
        <f aca="false">IF($B51="","",N51*(الموظفون!$N51+الموظفون!$J51*cfg_OT_P)/cfg_DAYS_M/cfg_HRS)</f>
        <v/>
      </c>
      <c r="P51" s="90" t="str">
        <f aca="false">IF($B51="","",SUMIFS('الحركات الشهرية'!$G$6:$G$1005,'الحركات الشهرية'!$B$6:$B$1005,$B51,'الحركات الشهرية'!$A$6:$A$1005,$C$3))</f>
        <v/>
      </c>
      <c r="Q51" s="90" t="str">
        <f aca="false">IF($B51="","",SUMIFS('الحركات الشهرية'!$H$6:$H$1005,'الحركات الشهرية'!$B$6:$B$1005,$B51,'الحركات الشهرية'!$A$6:$A$1005,$C$3))</f>
        <v/>
      </c>
      <c r="R51" s="111" t="str">
        <f aca="false">IF($B51="","",SUM(J51:M51)+SUM(O51:Q51))</f>
        <v/>
      </c>
      <c r="S51" s="90" t="str">
        <f aca="false">IF($B51="","",الموظفون!$Q51*IF(E51="سعودي",cfg_G_SE,cfg_G_NE)*F51/cfg_DAYS_M)</f>
        <v/>
      </c>
      <c r="T51" s="90" t="str">
        <f aca="false">IF($B51="","",SUMIFS('الحركات الشهرية'!$I$6:$I$1005,'الحركات الشهرية'!$B$6:$B$1005,$B51,'الحركات الشهرية'!$A$6:$A$1005,$C$3))</f>
        <v/>
      </c>
      <c r="U51" s="90" t="str">
        <f aca="false">IF($B51="","",SUMIFS('الحركات الشهرية'!$J$6:$J$1005,'الحركات الشهرية'!$B$6:$B$1005,$B51,'الحركات الشهرية'!$A$6:$A$1005,$C$3))</f>
        <v/>
      </c>
      <c r="V51" s="90" t="str">
        <f aca="false">IF($B51="","",SUM(S51:U51))</f>
        <v/>
      </c>
      <c r="W51" s="112" t="str">
        <f aca="false">IF($B51="","",R51-V51)</f>
        <v/>
      </c>
      <c r="X51" s="90" t="str">
        <f aca="false">IF($B51="","",الموظفون!$Q51*IF(E51="سعودي",cfg_G_SR,cfg_G_NR)*F51/cfg_DAYS_M)</f>
        <v/>
      </c>
      <c r="Y51" s="90" t="str">
        <f aca="false">IF($B51="","",الموظفون!$O51*(cfg_EOS_R1*(MIN(AC51,cfg_EOS_TH)-MIN(AD51,cfg_EOS_TH))+cfg_EOS_R2*(MAX(AC51-cfg_EOS_TH,0)-MAX(AD51-cfg_EOS_TH,0))))</f>
        <v/>
      </c>
      <c r="Z51" s="90" t="str">
        <f aca="false">IF($B51="","",IF(الموظفون!$R51&lt;&gt;"",الموظفون!$R51,IF(AC51&gt;=cfg_LV_TH,cfg_LV_D2,cfg_LV_D1))/cfg_DAYS_Y*AE51*الموظفون!$P51/cfg_DAYS_M)</f>
        <v/>
      </c>
      <c r="AA51" s="90" t="str">
        <f aca="false">IF($B51="","",IF(AND(الموظفون!$S51="نعم",N(الموظفون!$U51)&gt;0),الموظفون!$T51/الموظفون!$U51*12/cfg_DAYS_Y*AE51,0))</f>
        <v/>
      </c>
      <c r="AB51" s="113" t="str">
        <f aca="false">IF($B51="","",R51+SUM(X51:AA51))</f>
        <v/>
      </c>
      <c r="AC51" s="114" t="str">
        <f aca="false">IF($B51="","",MAX(0,IF(OR(الموظفون!$X51="",الموظفون!$X51&gt;$G$3),$G$3,الموظفون!$X51)-الموظفون!$H51+1)/cfg_DAYS_Y)</f>
        <v/>
      </c>
      <c r="AD51" s="114" t="str">
        <f aca="false">IF($B51="","",MAX(0,IF(OR(الموظفون!$X51="",الموظفون!$X51&gt;($E$3-1)),($E$3-1),الموظفون!$X51)-الموظفون!$H51+1)/cfg_DAYS_Y)</f>
        <v/>
      </c>
      <c r="AE51" s="115" t="str">
        <f aca="false">IF($B51="","",MAX(0,IF(OR(الموظفون!$X51="",الموظفون!$X51&gt;$G$3),$G$3,الموظفون!$X51)-MAX($E$3,الموظفون!$H51)+1))</f>
        <v/>
      </c>
    </row>
    <row r="52" customFormat="false" ht="15" hidden="false" customHeight="false" outlineLevel="0" collapsed="false">
      <c r="A52" s="83" t="str">
        <f aca="false">IF($B52="","",الموظفون!$A52)</f>
        <v/>
      </c>
      <c r="B52" s="74" t="str">
        <f aca="false">IF(الموظفون!$B52="","",الموظفون!$B52)</f>
        <v/>
      </c>
      <c r="C52" s="74" t="str">
        <f aca="false">IF($B52="","",الموظفون!$C52)</f>
        <v/>
      </c>
      <c r="D52" s="74" t="str">
        <f aca="false">IF($B52="","",الموظفون!$F52)</f>
        <v/>
      </c>
      <c r="E52" s="74" t="str">
        <f aca="false">IF($B52="","",الموظفون!$E52)</f>
        <v/>
      </c>
      <c r="F52" s="105" t="str">
        <f aca="false">IF($B52="","",IF(AE52&gt;=DAY($G$3),cfg_DAYS_M,MIN(AE52,cfg_DAYS_M)))</f>
        <v/>
      </c>
      <c r="G52" s="105" t="str">
        <f aca="false">IF($B52="","",SUMIFS('الحركات الشهرية'!$D$6:$D$1005,'الحركات الشهرية'!$B$6:$B$1005,$B52,'الحركات الشهرية'!$A$6:$A$1005,$C$3))</f>
        <v/>
      </c>
      <c r="H52" s="105" t="str">
        <f aca="false">IF($B52="","",SUMIFS('الحركات الشهرية'!$E$6:$E$1005,'الحركات الشهرية'!$B$6:$B$1005,$B52,'الحركات الشهرية'!$A$6:$A$1005,$C$3))</f>
        <v/>
      </c>
      <c r="I52" s="105" t="str">
        <f aca="false">IF($B52="","",MAX(0,F52-G52-H52))</f>
        <v/>
      </c>
      <c r="J52" s="86" t="str">
        <f aca="false">IF($B52="","",الموظفون!$J52*$I52/cfg_DAYS_M)</f>
        <v/>
      </c>
      <c r="K52" s="86" t="str">
        <f aca="false">IF($B52="","",الموظفون!$K52*$I52/cfg_DAYS_M)</f>
        <v/>
      </c>
      <c r="L52" s="86" t="str">
        <f aca="false">IF($B52="","",الموظفون!$L52*$I52/cfg_DAYS_M)</f>
        <v/>
      </c>
      <c r="M52" s="86" t="str">
        <f aca="false">IF($B52="","",الموظفون!$M52*$I52/cfg_DAYS_M)</f>
        <v/>
      </c>
      <c r="N52" s="105" t="str">
        <f aca="false">IF($B52="","",SUMIFS('الحركات الشهرية'!$F$6:$F$1005,'الحركات الشهرية'!$B$6:$B$1005,$B52,'الحركات الشهرية'!$A$6:$A$1005,$C$3))</f>
        <v/>
      </c>
      <c r="O52" s="86" t="str">
        <f aca="false">IF($B52="","",N52*(الموظفون!$N52+الموظفون!$J52*cfg_OT_P)/cfg_DAYS_M/cfg_HRS)</f>
        <v/>
      </c>
      <c r="P52" s="86" t="str">
        <f aca="false">IF($B52="","",SUMIFS('الحركات الشهرية'!$G$6:$G$1005,'الحركات الشهرية'!$B$6:$B$1005,$B52,'الحركات الشهرية'!$A$6:$A$1005,$C$3))</f>
        <v/>
      </c>
      <c r="Q52" s="86" t="str">
        <f aca="false">IF($B52="","",SUMIFS('الحركات الشهرية'!$H$6:$H$1005,'الحركات الشهرية'!$B$6:$B$1005,$B52,'الحركات الشهرية'!$A$6:$A$1005,$C$3))</f>
        <v/>
      </c>
      <c r="R52" s="106" t="str">
        <f aca="false">IF($B52="","",SUM(J52:M52)+SUM(O52:Q52))</f>
        <v/>
      </c>
      <c r="S52" s="86" t="str">
        <f aca="false">IF($B52="","",الموظفون!$Q52*IF(E52="سعودي",cfg_G_SE,cfg_G_NE)*F52/cfg_DAYS_M)</f>
        <v/>
      </c>
      <c r="T52" s="86" t="str">
        <f aca="false">IF($B52="","",SUMIFS('الحركات الشهرية'!$I$6:$I$1005,'الحركات الشهرية'!$B$6:$B$1005,$B52,'الحركات الشهرية'!$A$6:$A$1005,$C$3))</f>
        <v/>
      </c>
      <c r="U52" s="86" t="str">
        <f aca="false">IF($B52="","",SUMIFS('الحركات الشهرية'!$J$6:$J$1005,'الحركات الشهرية'!$B$6:$B$1005,$B52,'الحركات الشهرية'!$A$6:$A$1005,$C$3))</f>
        <v/>
      </c>
      <c r="V52" s="86" t="str">
        <f aca="false">IF($B52="","",SUM(S52:U52))</f>
        <v/>
      </c>
      <c r="W52" s="107" t="str">
        <f aca="false">IF($B52="","",R52-V52)</f>
        <v/>
      </c>
      <c r="X52" s="86" t="str">
        <f aca="false">IF($B52="","",الموظفون!$Q52*IF(E52="سعودي",cfg_G_SR,cfg_G_NR)*F52/cfg_DAYS_M)</f>
        <v/>
      </c>
      <c r="Y52" s="86" t="str">
        <f aca="false">IF($B52="","",الموظفون!$O52*(cfg_EOS_R1*(MIN(AC52,cfg_EOS_TH)-MIN(AD52,cfg_EOS_TH))+cfg_EOS_R2*(MAX(AC52-cfg_EOS_TH,0)-MAX(AD52-cfg_EOS_TH,0))))</f>
        <v/>
      </c>
      <c r="Z52" s="86" t="str">
        <f aca="false">IF($B52="","",IF(الموظفون!$R52&lt;&gt;"",الموظفون!$R52,IF(AC52&gt;=cfg_LV_TH,cfg_LV_D2,cfg_LV_D1))/cfg_DAYS_Y*AE52*الموظفون!$P52/cfg_DAYS_M)</f>
        <v/>
      </c>
      <c r="AA52" s="86" t="str">
        <f aca="false">IF($B52="","",IF(AND(الموظفون!$S52="نعم",N(الموظفون!$U52)&gt;0),الموظفون!$T52/الموظفون!$U52*12/cfg_DAYS_Y*AE52,0))</f>
        <v/>
      </c>
      <c r="AB52" s="108" t="str">
        <f aca="false">IF($B52="","",R52+SUM(X52:AA52))</f>
        <v/>
      </c>
      <c r="AC52" s="109" t="str">
        <f aca="false">IF($B52="","",MAX(0,IF(OR(الموظفون!$X52="",الموظفون!$X52&gt;$G$3),$G$3,الموظفون!$X52)-الموظفون!$H52+1)/cfg_DAYS_Y)</f>
        <v/>
      </c>
      <c r="AD52" s="109" t="str">
        <f aca="false">IF($B52="","",MAX(0,IF(OR(الموظفون!$X52="",الموظفون!$X52&gt;($E$3-1)),($E$3-1),الموظفون!$X52)-الموظفون!$H52+1)/cfg_DAYS_Y)</f>
        <v/>
      </c>
      <c r="AE52" s="51" t="str">
        <f aca="false">IF($B52="","",MAX(0,IF(OR(الموظفون!$X52="",الموظفون!$X52&gt;$G$3),$G$3,الموظفون!$X52)-MAX($E$3,الموظفون!$H52)+1))</f>
        <v/>
      </c>
    </row>
    <row r="53" customFormat="false" ht="15" hidden="false" customHeight="false" outlineLevel="0" collapsed="false">
      <c r="A53" s="89" t="str">
        <f aca="false">IF($B53="","",الموظفون!$A53)</f>
        <v/>
      </c>
      <c r="B53" s="91" t="str">
        <f aca="false">IF(الموظفون!$B53="","",الموظفون!$B53)</f>
        <v/>
      </c>
      <c r="C53" s="91" t="str">
        <f aca="false">IF($B53="","",الموظفون!$C53)</f>
        <v/>
      </c>
      <c r="D53" s="91" t="str">
        <f aca="false">IF($B53="","",الموظفون!$F53)</f>
        <v/>
      </c>
      <c r="E53" s="91" t="str">
        <f aca="false">IF($B53="","",الموظفون!$E53)</f>
        <v/>
      </c>
      <c r="F53" s="110" t="str">
        <f aca="false">IF($B53="","",IF(AE53&gt;=DAY($G$3),cfg_DAYS_M,MIN(AE53,cfg_DAYS_M)))</f>
        <v/>
      </c>
      <c r="G53" s="110" t="str">
        <f aca="false">IF($B53="","",SUMIFS('الحركات الشهرية'!$D$6:$D$1005,'الحركات الشهرية'!$B$6:$B$1005,$B53,'الحركات الشهرية'!$A$6:$A$1005,$C$3))</f>
        <v/>
      </c>
      <c r="H53" s="110" t="str">
        <f aca="false">IF($B53="","",SUMIFS('الحركات الشهرية'!$E$6:$E$1005,'الحركات الشهرية'!$B$6:$B$1005,$B53,'الحركات الشهرية'!$A$6:$A$1005,$C$3))</f>
        <v/>
      </c>
      <c r="I53" s="110" t="str">
        <f aca="false">IF($B53="","",MAX(0,F53-G53-H53))</f>
        <v/>
      </c>
      <c r="J53" s="90" t="str">
        <f aca="false">IF($B53="","",الموظفون!$J53*$I53/cfg_DAYS_M)</f>
        <v/>
      </c>
      <c r="K53" s="90" t="str">
        <f aca="false">IF($B53="","",الموظفون!$K53*$I53/cfg_DAYS_M)</f>
        <v/>
      </c>
      <c r="L53" s="90" t="str">
        <f aca="false">IF($B53="","",الموظفون!$L53*$I53/cfg_DAYS_M)</f>
        <v/>
      </c>
      <c r="M53" s="90" t="str">
        <f aca="false">IF($B53="","",الموظفون!$M53*$I53/cfg_DAYS_M)</f>
        <v/>
      </c>
      <c r="N53" s="110" t="str">
        <f aca="false">IF($B53="","",SUMIFS('الحركات الشهرية'!$F$6:$F$1005,'الحركات الشهرية'!$B$6:$B$1005,$B53,'الحركات الشهرية'!$A$6:$A$1005,$C$3))</f>
        <v/>
      </c>
      <c r="O53" s="90" t="str">
        <f aca="false">IF($B53="","",N53*(الموظفون!$N53+الموظفون!$J53*cfg_OT_P)/cfg_DAYS_M/cfg_HRS)</f>
        <v/>
      </c>
      <c r="P53" s="90" t="str">
        <f aca="false">IF($B53="","",SUMIFS('الحركات الشهرية'!$G$6:$G$1005,'الحركات الشهرية'!$B$6:$B$1005,$B53,'الحركات الشهرية'!$A$6:$A$1005,$C$3))</f>
        <v/>
      </c>
      <c r="Q53" s="90" t="str">
        <f aca="false">IF($B53="","",SUMIFS('الحركات الشهرية'!$H$6:$H$1005,'الحركات الشهرية'!$B$6:$B$1005,$B53,'الحركات الشهرية'!$A$6:$A$1005,$C$3))</f>
        <v/>
      </c>
      <c r="R53" s="111" t="str">
        <f aca="false">IF($B53="","",SUM(J53:M53)+SUM(O53:Q53))</f>
        <v/>
      </c>
      <c r="S53" s="90" t="str">
        <f aca="false">IF($B53="","",الموظفون!$Q53*IF(E53="سعودي",cfg_G_SE,cfg_G_NE)*F53/cfg_DAYS_M)</f>
        <v/>
      </c>
      <c r="T53" s="90" t="str">
        <f aca="false">IF($B53="","",SUMIFS('الحركات الشهرية'!$I$6:$I$1005,'الحركات الشهرية'!$B$6:$B$1005,$B53,'الحركات الشهرية'!$A$6:$A$1005,$C$3))</f>
        <v/>
      </c>
      <c r="U53" s="90" t="str">
        <f aca="false">IF($B53="","",SUMIFS('الحركات الشهرية'!$J$6:$J$1005,'الحركات الشهرية'!$B$6:$B$1005,$B53,'الحركات الشهرية'!$A$6:$A$1005,$C$3))</f>
        <v/>
      </c>
      <c r="V53" s="90" t="str">
        <f aca="false">IF($B53="","",SUM(S53:U53))</f>
        <v/>
      </c>
      <c r="W53" s="112" t="str">
        <f aca="false">IF($B53="","",R53-V53)</f>
        <v/>
      </c>
      <c r="X53" s="90" t="str">
        <f aca="false">IF($B53="","",الموظفون!$Q53*IF(E53="سعودي",cfg_G_SR,cfg_G_NR)*F53/cfg_DAYS_M)</f>
        <v/>
      </c>
      <c r="Y53" s="90" t="str">
        <f aca="false">IF($B53="","",الموظفون!$O53*(cfg_EOS_R1*(MIN(AC53,cfg_EOS_TH)-MIN(AD53,cfg_EOS_TH))+cfg_EOS_R2*(MAX(AC53-cfg_EOS_TH,0)-MAX(AD53-cfg_EOS_TH,0))))</f>
        <v/>
      </c>
      <c r="Z53" s="90" t="str">
        <f aca="false">IF($B53="","",IF(الموظفون!$R53&lt;&gt;"",الموظفون!$R53,IF(AC53&gt;=cfg_LV_TH,cfg_LV_D2,cfg_LV_D1))/cfg_DAYS_Y*AE53*الموظفون!$P53/cfg_DAYS_M)</f>
        <v/>
      </c>
      <c r="AA53" s="90" t="str">
        <f aca="false">IF($B53="","",IF(AND(الموظفون!$S53="نعم",N(الموظفون!$U53)&gt;0),الموظفون!$T53/الموظفون!$U53*12/cfg_DAYS_Y*AE53,0))</f>
        <v/>
      </c>
      <c r="AB53" s="113" t="str">
        <f aca="false">IF($B53="","",R53+SUM(X53:AA53))</f>
        <v/>
      </c>
      <c r="AC53" s="114" t="str">
        <f aca="false">IF($B53="","",MAX(0,IF(OR(الموظفون!$X53="",الموظفون!$X53&gt;$G$3),$G$3,الموظفون!$X53)-الموظفون!$H53+1)/cfg_DAYS_Y)</f>
        <v/>
      </c>
      <c r="AD53" s="114" t="str">
        <f aca="false">IF($B53="","",MAX(0,IF(OR(الموظفون!$X53="",الموظفون!$X53&gt;($E$3-1)),($E$3-1),الموظفون!$X53)-الموظفون!$H53+1)/cfg_DAYS_Y)</f>
        <v/>
      </c>
      <c r="AE53" s="115" t="str">
        <f aca="false">IF($B53="","",MAX(0,IF(OR(الموظفون!$X53="",الموظفون!$X53&gt;$G$3),$G$3,الموظفون!$X53)-MAX($E$3,الموظفون!$H53)+1))</f>
        <v/>
      </c>
    </row>
    <row r="54" customFormat="false" ht="15" hidden="false" customHeight="false" outlineLevel="0" collapsed="false">
      <c r="A54" s="83" t="str">
        <f aca="false">IF($B54="","",الموظفون!$A54)</f>
        <v/>
      </c>
      <c r="B54" s="74" t="str">
        <f aca="false">IF(الموظفون!$B54="","",الموظفون!$B54)</f>
        <v/>
      </c>
      <c r="C54" s="74" t="str">
        <f aca="false">IF($B54="","",الموظفون!$C54)</f>
        <v/>
      </c>
      <c r="D54" s="74" t="str">
        <f aca="false">IF($B54="","",الموظفون!$F54)</f>
        <v/>
      </c>
      <c r="E54" s="74" t="str">
        <f aca="false">IF($B54="","",الموظفون!$E54)</f>
        <v/>
      </c>
      <c r="F54" s="105" t="str">
        <f aca="false">IF($B54="","",IF(AE54&gt;=DAY($G$3),cfg_DAYS_M,MIN(AE54,cfg_DAYS_M)))</f>
        <v/>
      </c>
      <c r="G54" s="105" t="str">
        <f aca="false">IF($B54="","",SUMIFS('الحركات الشهرية'!$D$6:$D$1005,'الحركات الشهرية'!$B$6:$B$1005,$B54,'الحركات الشهرية'!$A$6:$A$1005,$C$3))</f>
        <v/>
      </c>
      <c r="H54" s="105" t="str">
        <f aca="false">IF($B54="","",SUMIFS('الحركات الشهرية'!$E$6:$E$1005,'الحركات الشهرية'!$B$6:$B$1005,$B54,'الحركات الشهرية'!$A$6:$A$1005,$C$3))</f>
        <v/>
      </c>
      <c r="I54" s="105" t="str">
        <f aca="false">IF($B54="","",MAX(0,F54-G54-H54))</f>
        <v/>
      </c>
      <c r="J54" s="86" t="str">
        <f aca="false">IF($B54="","",الموظفون!$J54*$I54/cfg_DAYS_M)</f>
        <v/>
      </c>
      <c r="K54" s="86" t="str">
        <f aca="false">IF($B54="","",الموظفون!$K54*$I54/cfg_DAYS_M)</f>
        <v/>
      </c>
      <c r="L54" s="86" t="str">
        <f aca="false">IF($B54="","",الموظفون!$L54*$I54/cfg_DAYS_M)</f>
        <v/>
      </c>
      <c r="M54" s="86" t="str">
        <f aca="false">IF($B54="","",الموظفون!$M54*$I54/cfg_DAYS_M)</f>
        <v/>
      </c>
      <c r="N54" s="105" t="str">
        <f aca="false">IF($B54="","",SUMIFS('الحركات الشهرية'!$F$6:$F$1005,'الحركات الشهرية'!$B$6:$B$1005,$B54,'الحركات الشهرية'!$A$6:$A$1005,$C$3))</f>
        <v/>
      </c>
      <c r="O54" s="86" t="str">
        <f aca="false">IF($B54="","",N54*(الموظفون!$N54+الموظفون!$J54*cfg_OT_P)/cfg_DAYS_M/cfg_HRS)</f>
        <v/>
      </c>
      <c r="P54" s="86" t="str">
        <f aca="false">IF($B54="","",SUMIFS('الحركات الشهرية'!$G$6:$G$1005,'الحركات الشهرية'!$B$6:$B$1005,$B54,'الحركات الشهرية'!$A$6:$A$1005,$C$3))</f>
        <v/>
      </c>
      <c r="Q54" s="86" t="str">
        <f aca="false">IF($B54="","",SUMIFS('الحركات الشهرية'!$H$6:$H$1005,'الحركات الشهرية'!$B$6:$B$1005,$B54,'الحركات الشهرية'!$A$6:$A$1005,$C$3))</f>
        <v/>
      </c>
      <c r="R54" s="106" t="str">
        <f aca="false">IF($B54="","",SUM(J54:M54)+SUM(O54:Q54))</f>
        <v/>
      </c>
      <c r="S54" s="86" t="str">
        <f aca="false">IF($B54="","",الموظفون!$Q54*IF(E54="سعودي",cfg_G_SE,cfg_G_NE)*F54/cfg_DAYS_M)</f>
        <v/>
      </c>
      <c r="T54" s="86" t="str">
        <f aca="false">IF($B54="","",SUMIFS('الحركات الشهرية'!$I$6:$I$1005,'الحركات الشهرية'!$B$6:$B$1005,$B54,'الحركات الشهرية'!$A$6:$A$1005,$C$3))</f>
        <v/>
      </c>
      <c r="U54" s="86" t="str">
        <f aca="false">IF($B54="","",SUMIFS('الحركات الشهرية'!$J$6:$J$1005,'الحركات الشهرية'!$B$6:$B$1005,$B54,'الحركات الشهرية'!$A$6:$A$1005,$C$3))</f>
        <v/>
      </c>
      <c r="V54" s="86" t="str">
        <f aca="false">IF($B54="","",SUM(S54:U54))</f>
        <v/>
      </c>
      <c r="W54" s="107" t="str">
        <f aca="false">IF($B54="","",R54-V54)</f>
        <v/>
      </c>
      <c r="X54" s="86" t="str">
        <f aca="false">IF($B54="","",الموظفون!$Q54*IF(E54="سعودي",cfg_G_SR,cfg_G_NR)*F54/cfg_DAYS_M)</f>
        <v/>
      </c>
      <c r="Y54" s="86" t="str">
        <f aca="false">IF($B54="","",الموظفون!$O54*(cfg_EOS_R1*(MIN(AC54,cfg_EOS_TH)-MIN(AD54,cfg_EOS_TH))+cfg_EOS_R2*(MAX(AC54-cfg_EOS_TH,0)-MAX(AD54-cfg_EOS_TH,0))))</f>
        <v/>
      </c>
      <c r="Z54" s="86" t="str">
        <f aca="false">IF($B54="","",IF(الموظفون!$R54&lt;&gt;"",الموظفون!$R54,IF(AC54&gt;=cfg_LV_TH,cfg_LV_D2,cfg_LV_D1))/cfg_DAYS_Y*AE54*الموظفون!$P54/cfg_DAYS_M)</f>
        <v/>
      </c>
      <c r="AA54" s="86" t="str">
        <f aca="false">IF($B54="","",IF(AND(الموظفون!$S54="نعم",N(الموظفون!$U54)&gt;0),الموظفون!$T54/الموظفون!$U54*12/cfg_DAYS_Y*AE54,0))</f>
        <v/>
      </c>
      <c r="AB54" s="108" t="str">
        <f aca="false">IF($B54="","",R54+SUM(X54:AA54))</f>
        <v/>
      </c>
      <c r="AC54" s="109" t="str">
        <f aca="false">IF($B54="","",MAX(0,IF(OR(الموظفون!$X54="",الموظفون!$X54&gt;$G$3),$G$3,الموظفون!$X54)-الموظفون!$H54+1)/cfg_DAYS_Y)</f>
        <v/>
      </c>
      <c r="AD54" s="109" t="str">
        <f aca="false">IF($B54="","",MAX(0,IF(OR(الموظفون!$X54="",الموظفون!$X54&gt;($E$3-1)),($E$3-1),الموظفون!$X54)-الموظفون!$H54+1)/cfg_DAYS_Y)</f>
        <v/>
      </c>
      <c r="AE54" s="51" t="str">
        <f aca="false">IF($B54="","",MAX(0,IF(OR(الموظفون!$X54="",الموظفون!$X54&gt;$G$3),$G$3,الموظفون!$X54)-MAX($E$3,الموظفون!$H54)+1))</f>
        <v/>
      </c>
    </row>
    <row r="55" customFormat="false" ht="15" hidden="false" customHeight="false" outlineLevel="0" collapsed="false">
      <c r="A55" s="89" t="str">
        <f aca="false">IF($B55="","",الموظفون!$A55)</f>
        <v/>
      </c>
      <c r="B55" s="91" t="str">
        <f aca="false">IF(الموظفون!$B55="","",الموظفون!$B55)</f>
        <v/>
      </c>
      <c r="C55" s="91" t="str">
        <f aca="false">IF($B55="","",الموظفون!$C55)</f>
        <v/>
      </c>
      <c r="D55" s="91" t="str">
        <f aca="false">IF($B55="","",الموظفون!$F55)</f>
        <v/>
      </c>
      <c r="E55" s="91" t="str">
        <f aca="false">IF($B55="","",الموظفون!$E55)</f>
        <v/>
      </c>
      <c r="F55" s="110" t="str">
        <f aca="false">IF($B55="","",IF(AE55&gt;=DAY($G$3),cfg_DAYS_M,MIN(AE55,cfg_DAYS_M)))</f>
        <v/>
      </c>
      <c r="G55" s="110" t="str">
        <f aca="false">IF($B55="","",SUMIFS('الحركات الشهرية'!$D$6:$D$1005,'الحركات الشهرية'!$B$6:$B$1005,$B55,'الحركات الشهرية'!$A$6:$A$1005,$C$3))</f>
        <v/>
      </c>
      <c r="H55" s="110" t="str">
        <f aca="false">IF($B55="","",SUMIFS('الحركات الشهرية'!$E$6:$E$1005,'الحركات الشهرية'!$B$6:$B$1005,$B55,'الحركات الشهرية'!$A$6:$A$1005,$C$3))</f>
        <v/>
      </c>
      <c r="I55" s="110" t="str">
        <f aca="false">IF($B55="","",MAX(0,F55-G55-H55))</f>
        <v/>
      </c>
      <c r="J55" s="90" t="str">
        <f aca="false">IF($B55="","",الموظفون!$J55*$I55/cfg_DAYS_M)</f>
        <v/>
      </c>
      <c r="K55" s="90" t="str">
        <f aca="false">IF($B55="","",الموظفون!$K55*$I55/cfg_DAYS_M)</f>
        <v/>
      </c>
      <c r="L55" s="90" t="str">
        <f aca="false">IF($B55="","",الموظفون!$L55*$I55/cfg_DAYS_M)</f>
        <v/>
      </c>
      <c r="M55" s="90" t="str">
        <f aca="false">IF($B55="","",الموظفون!$M55*$I55/cfg_DAYS_M)</f>
        <v/>
      </c>
      <c r="N55" s="110" t="str">
        <f aca="false">IF($B55="","",SUMIFS('الحركات الشهرية'!$F$6:$F$1005,'الحركات الشهرية'!$B$6:$B$1005,$B55,'الحركات الشهرية'!$A$6:$A$1005,$C$3))</f>
        <v/>
      </c>
      <c r="O55" s="90" t="str">
        <f aca="false">IF($B55="","",N55*(الموظفون!$N55+الموظفون!$J55*cfg_OT_P)/cfg_DAYS_M/cfg_HRS)</f>
        <v/>
      </c>
      <c r="P55" s="90" t="str">
        <f aca="false">IF($B55="","",SUMIFS('الحركات الشهرية'!$G$6:$G$1005,'الحركات الشهرية'!$B$6:$B$1005,$B55,'الحركات الشهرية'!$A$6:$A$1005,$C$3))</f>
        <v/>
      </c>
      <c r="Q55" s="90" t="str">
        <f aca="false">IF($B55="","",SUMIFS('الحركات الشهرية'!$H$6:$H$1005,'الحركات الشهرية'!$B$6:$B$1005,$B55,'الحركات الشهرية'!$A$6:$A$1005,$C$3))</f>
        <v/>
      </c>
      <c r="R55" s="111" t="str">
        <f aca="false">IF($B55="","",SUM(J55:M55)+SUM(O55:Q55))</f>
        <v/>
      </c>
      <c r="S55" s="90" t="str">
        <f aca="false">IF($B55="","",الموظفون!$Q55*IF(E55="سعودي",cfg_G_SE,cfg_G_NE)*F55/cfg_DAYS_M)</f>
        <v/>
      </c>
      <c r="T55" s="90" t="str">
        <f aca="false">IF($B55="","",SUMIFS('الحركات الشهرية'!$I$6:$I$1005,'الحركات الشهرية'!$B$6:$B$1005,$B55,'الحركات الشهرية'!$A$6:$A$1005,$C$3))</f>
        <v/>
      </c>
      <c r="U55" s="90" t="str">
        <f aca="false">IF($B55="","",SUMIFS('الحركات الشهرية'!$J$6:$J$1005,'الحركات الشهرية'!$B$6:$B$1005,$B55,'الحركات الشهرية'!$A$6:$A$1005,$C$3))</f>
        <v/>
      </c>
      <c r="V55" s="90" t="str">
        <f aca="false">IF($B55="","",SUM(S55:U55))</f>
        <v/>
      </c>
      <c r="W55" s="112" t="str">
        <f aca="false">IF($B55="","",R55-V55)</f>
        <v/>
      </c>
      <c r="X55" s="90" t="str">
        <f aca="false">IF($B55="","",الموظفون!$Q55*IF(E55="سعودي",cfg_G_SR,cfg_G_NR)*F55/cfg_DAYS_M)</f>
        <v/>
      </c>
      <c r="Y55" s="90" t="str">
        <f aca="false">IF($B55="","",الموظفون!$O55*(cfg_EOS_R1*(MIN(AC55,cfg_EOS_TH)-MIN(AD55,cfg_EOS_TH))+cfg_EOS_R2*(MAX(AC55-cfg_EOS_TH,0)-MAX(AD55-cfg_EOS_TH,0))))</f>
        <v/>
      </c>
      <c r="Z55" s="90" t="str">
        <f aca="false">IF($B55="","",IF(الموظفون!$R55&lt;&gt;"",الموظفون!$R55,IF(AC55&gt;=cfg_LV_TH,cfg_LV_D2,cfg_LV_D1))/cfg_DAYS_Y*AE55*الموظفون!$P55/cfg_DAYS_M)</f>
        <v/>
      </c>
      <c r="AA55" s="90" t="str">
        <f aca="false">IF($B55="","",IF(AND(الموظفون!$S55="نعم",N(الموظفون!$U55)&gt;0),الموظفون!$T55/الموظفون!$U55*12/cfg_DAYS_Y*AE55,0))</f>
        <v/>
      </c>
      <c r="AB55" s="113" t="str">
        <f aca="false">IF($B55="","",R55+SUM(X55:AA55))</f>
        <v/>
      </c>
      <c r="AC55" s="114" t="str">
        <f aca="false">IF($B55="","",MAX(0,IF(OR(الموظفون!$X55="",الموظفون!$X55&gt;$G$3),$G$3,الموظفون!$X55)-الموظفون!$H55+1)/cfg_DAYS_Y)</f>
        <v/>
      </c>
      <c r="AD55" s="114" t="str">
        <f aca="false">IF($B55="","",MAX(0,IF(OR(الموظفون!$X55="",الموظفون!$X55&gt;($E$3-1)),($E$3-1),الموظفون!$X55)-الموظفون!$H55+1)/cfg_DAYS_Y)</f>
        <v/>
      </c>
      <c r="AE55" s="115" t="str">
        <f aca="false">IF($B55="","",MAX(0,IF(OR(الموظفون!$X55="",الموظفون!$X55&gt;$G$3),$G$3,الموظفون!$X55)-MAX($E$3,الموظفون!$H55)+1))</f>
        <v/>
      </c>
    </row>
    <row r="56" customFormat="false" ht="15" hidden="false" customHeight="false" outlineLevel="0" collapsed="false">
      <c r="A56" s="83" t="str">
        <f aca="false">IF($B56="","",الموظفون!$A56)</f>
        <v/>
      </c>
      <c r="B56" s="74" t="str">
        <f aca="false">IF(الموظفون!$B56="","",الموظفون!$B56)</f>
        <v/>
      </c>
      <c r="C56" s="74" t="str">
        <f aca="false">IF($B56="","",الموظفون!$C56)</f>
        <v/>
      </c>
      <c r="D56" s="74" t="str">
        <f aca="false">IF($B56="","",الموظفون!$F56)</f>
        <v/>
      </c>
      <c r="E56" s="74" t="str">
        <f aca="false">IF($B56="","",الموظفون!$E56)</f>
        <v/>
      </c>
      <c r="F56" s="105" t="str">
        <f aca="false">IF($B56="","",IF(AE56&gt;=DAY($G$3),cfg_DAYS_M,MIN(AE56,cfg_DAYS_M)))</f>
        <v/>
      </c>
      <c r="G56" s="105" t="str">
        <f aca="false">IF($B56="","",SUMIFS('الحركات الشهرية'!$D$6:$D$1005,'الحركات الشهرية'!$B$6:$B$1005,$B56,'الحركات الشهرية'!$A$6:$A$1005,$C$3))</f>
        <v/>
      </c>
      <c r="H56" s="105" t="str">
        <f aca="false">IF($B56="","",SUMIFS('الحركات الشهرية'!$E$6:$E$1005,'الحركات الشهرية'!$B$6:$B$1005,$B56,'الحركات الشهرية'!$A$6:$A$1005,$C$3))</f>
        <v/>
      </c>
      <c r="I56" s="105" t="str">
        <f aca="false">IF($B56="","",MAX(0,F56-G56-H56))</f>
        <v/>
      </c>
      <c r="J56" s="86" t="str">
        <f aca="false">IF($B56="","",الموظفون!$J56*$I56/cfg_DAYS_M)</f>
        <v/>
      </c>
      <c r="K56" s="86" t="str">
        <f aca="false">IF($B56="","",الموظفون!$K56*$I56/cfg_DAYS_M)</f>
        <v/>
      </c>
      <c r="L56" s="86" t="str">
        <f aca="false">IF($B56="","",الموظفون!$L56*$I56/cfg_DAYS_M)</f>
        <v/>
      </c>
      <c r="M56" s="86" t="str">
        <f aca="false">IF($B56="","",الموظفون!$M56*$I56/cfg_DAYS_M)</f>
        <v/>
      </c>
      <c r="N56" s="105" t="str">
        <f aca="false">IF($B56="","",SUMIFS('الحركات الشهرية'!$F$6:$F$1005,'الحركات الشهرية'!$B$6:$B$1005,$B56,'الحركات الشهرية'!$A$6:$A$1005,$C$3))</f>
        <v/>
      </c>
      <c r="O56" s="86" t="str">
        <f aca="false">IF($B56="","",N56*(الموظفون!$N56+الموظفون!$J56*cfg_OT_P)/cfg_DAYS_M/cfg_HRS)</f>
        <v/>
      </c>
      <c r="P56" s="86" t="str">
        <f aca="false">IF($B56="","",SUMIFS('الحركات الشهرية'!$G$6:$G$1005,'الحركات الشهرية'!$B$6:$B$1005,$B56,'الحركات الشهرية'!$A$6:$A$1005,$C$3))</f>
        <v/>
      </c>
      <c r="Q56" s="86" t="str">
        <f aca="false">IF($B56="","",SUMIFS('الحركات الشهرية'!$H$6:$H$1005,'الحركات الشهرية'!$B$6:$B$1005,$B56,'الحركات الشهرية'!$A$6:$A$1005,$C$3))</f>
        <v/>
      </c>
      <c r="R56" s="106" t="str">
        <f aca="false">IF($B56="","",SUM(J56:M56)+SUM(O56:Q56))</f>
        <v/>
      </c>
      <c r="S56" s="86" t="str">
        <f aca="false">IF($B56="","",الموظفون!$Q56*IF(E56="سعودي",cfg_G_SE,cfg_G_NE)*F56/cfg_DAYS_M)</f>
        <v/>
      </c>
      <c r="T56" s="86" t="str">
        <f aca="false">IF($B56="","",SUMIFS('الحركات الشهرية'!$I$6:$I$1005,'الحركات الشهرية'!$B$6:$B$1005,$B56,'الحركات الشهرية'!$A$6:$A$1005,$C$3))</f>
        <v/>
      </c>
      <c r="U56" s="86" t="str">
        <f aca="false">IF($B56="","",SUMIFS('الحركات الشهرية'!$J$6:$J$1005,'الحركات الشهرية'!$B$6:$B$1005,$B56,'الحركات الشهرية'!$A$6:$A$1005,$C$3))</f>
        <v/>
      </c>
      <c r="V56" s="86" t="str">
        <f aca="false">IF($B56="","",SUM(S56:U56))</f>
        <v/>
      </c>
      <c r="W56" s="107" t="str">
        <f aca="false">IF($B56="","",R56-V56)</f>
        <v/>
      </c>
      <c r="X56" s="86" t="str">
        <f aca="false">IF($B56="","",الموظفون!$Q56*IF(E56="سعودي",cfg_G_SR,cfg_G_NR)*F56/cfg_DAYS_M)</f>
        <v/>
      </c>
      <c r="Y56" s="86" t="str">
        <f aca="false">IF($B56="","",الموظفون!$O56*(cfg_EOS_R1*(MIN(AC56,cfg_EOS_TH)-MIN(AD56,cfg_EOS_TH))+cfg_EOS_R2*(MAX(AC56-cfg_EOS_TH,0)-MAX(AD56-cfg_EOS_TH,0))))</f>
        <v/>
      </c>
      <c r="Z56" s="86" t="str">
        <f aca="false">IF($B56="","",IF(الموظفون!$R56&lt;&gt;"",الموظفون!$R56,IF(AC56&gt;=cfg_LV_TH,cfg_LV_D2,cfg_LV_D1))/cfg_DAYS_Y*AE56*الموظفون!$P56/cfg_DAYS_M)</f>
        <v/>
      </c>
      <c r="AA56" s="86" t="str">
        <f aca="false">IF($B56="","",IF(AND(الموظفون!$S56="نعم",N(الموظفون!$U56)&gt;0),الموظفون!$T56/الموظفون!$U56*12/cfg_DAYS_Y*AE56,0))</f>
        <v/>
      </c>
      <c r="AB56" s="108" t="str">
        <f aca="false">IF($B56="","",R56+SUM(X56:AA56))</f>
        <v/>
      </c>
      <c r="AC56" s="109" t="str">
        <f aca="false">IF($B56="","",MAX(0,IF(OR(الموظفون!$X56="",الموظفون!$X56&gt;$G$3),$G$3,الموظفون!$X56)-الموظفون!$H56+1)/cfg_DAYS_Y)</f>
        <v/>
      </c>
      <c r="AD56" s="109" t="str">
        <f aca="false">IF($B56="","",MAX(0,IF(OR(الموظفون!$X56="",الموظفون!$X56&gt;($E$3-1)),($E$3-1),الموظفون!$X56)-الموظفون!$H56+1)/cfg_DAYS_Y)</f>
        <v/>
      </c>
      <c r="AE56" s="51" t="str">
        <f aca="false">IF($B56="","",MAX(0,IF(OR(الموظفون!$X56="",الموظفون!$X56&gt;$G$3),$G$3,الموظفون!$X56)-MAX($E$3,الموظفون!$H56)+1))</f>
        <v/>
      </c>
    </row>
    <row r="57" customFormat="false" ht="15" hidden="false" customHeight="false" outlineLevel="0" collapsed="false">
      <c r="A57" s="89" t="str">
        <f aca="false">IF($B57="","",الموظفون!$A57)</f>
        <v/>
      </c>
      <c r="B57" s="91" t="str">
        <f aca="false">IF(الموظفون!$B57="","",الموظفون!$B57)</f>
        <v/>
      </c>
      <c r="C57" s="91" t="str">
        <f aca="false">IF($B57="","",الموظفون!$C57)</f>
        <v/>
      </c>
      <c r="D57" s="91" t="str">
        <f aca="false">IF($B57="","",الموظفون!$F57)</f>
        <v/>
      </c>
      <c r="E57" s="91" t="str">
        <f aca="false">IF($B57="","",الموظفون!$E57)</f>
        <v/>
      </c>
      <c r="F57" s="110" t="str">
        <f aca="false">IF($B57="","",IF(AE57&gt;=DAY($G$3),cfg_DAYS_M,MIN(AE57,cfg_DAYS_M)))</f>
        <v/>
      </c>
      <c r="G57" s="110" t="str">
        <f aca="false">IF($B57="","",SUMIFS('الحركات الشهرية'!$D$6:$D$1005,'الحركات الشهرية'!$B$6:$B$1005,$B57,'الحركات الشهرية'!$A$6:$A$1005,$C$3))</f>
        <v/>
      </c>
      <c r="H57" s="110" t="str">
        <f aca="false">IF($B57="","",SUMIFS('الحركات الشهرية'!$E$6:$E$1005,'الحركات الشهرية'!$B$6:$B$1005,$B57,'الحركات الشهرية'!$A$6:$A$1005,$C$3))</f>
        <v/>
      </c>
      <c r="I57" s="110" t="str">
        <f aca="false">IF($B57="","",MAX(0,F57-G57-H57))</f>
        <v/>
      </c>
      <c r="J57" s="90" t="str">
        <f aca="false">IF($B57="","",الموظفون!$J57*$I57/cfg_DAYS_M)</f>
        <v/>
      </c>
      <c r="K57" s="90" t="str">
        <f aca="false">IF($B57="","",الموظفون!$K57*$I57/cfg_DAYS_M)</f>
        <v/>
      </c>
      <c r="L57" s="90" t="str">
        <f aca="false">IF($B57="","",الموظفون!$L57*$I57/cfg_DAYS_M)</f>
        <v/>
      </c>
      <c r="M57" s="90" t="str">
        <f aca="false">IF($B57="","",الموظفون!$M57*$I57/cfg_DAYS_M)</f>
        <v/>
      </c>
      <c r="N57" s="110" t="str">
        <f aca="false">IF($B57="","",SUMIFS('الحركات الشهرية'!$F$6:$F$1005,'الحركات الشهرية'!$B$6:$B$1005,$B57,'الحركات الشهرية'!$A$6:$A$1005,$C$3))</f>
        <v/>
      </c>
      <c r="O57" s="90" t="str">
        <f aca="false">IF($B57="","",N57*(الموظفون!$N57+الموظفون!$J57*cfg_OT_P)/cfg_DAYS_M/cfg_HRS)</f>
        <v/>
      </c>
      <c r="P57" s="90" t="str">
        <f aca="false">IF($B57="","",SUMIFS('الحركات الشهرية'!$G$6:$G$1005,'الحركات الشهرية'!$B$6:$B$1005,$B57,'الحركات الشهرية'!$A$6:$A$1005,$C$3))</f>
        <v/>
      </c>
      <c r="Q57" s="90" t="str">
        <f aca="false">IF($B57="","",SUMIFS('الحركات الشهرية'!$H$6:$H$1005,'الحركات الشهرية'!$B$6:$B$1005,$B57,'الحركات الشهرية'!$A$6:$A$1005,$C$3))</f>
        <v/>
      </c>
      <c r="R57" s="111" t="str">
        <f aca="false">IF($B57="","",SUM(J57:M57)+SUM(O57:Q57))</f>
        <v/>
      </c>
      <c r="S57" s="90" t="str">
        <f aca="false">IF($B57="","",الموظفون!$Q57*IF(E57="سعودي",cfg_G_SE,cfg_G_NE)*F57/cfg_DAYS_M)</f>
        <v/>
      </c>
      <c r="T57" s="90" t="str">
        <f aca="false">IF($B57="","",SUMIFS('الحركات الشهرية'!$I$6:$I$1005,'الحركات الشهرية'!$B$6:$B$1005,$B57,'الحركات الشهرية'!$A$6:$A$1005,$C$3))</f>
        <v/>
      </c>
      <c r="U57" s="90" t="str">
        <f aca="false">IF($B57="","",SUMIFS('الحركات الشهرية'!$J$6:$J$1005,'الحركات الشهرية'!$B$6:$B$1005,$B57,'الحركات الشهرية'!$A$6:$A$1005,$C$3))</f>
        <v/>
      </c>
      <c r="V57" s="90" t="str">
        <f aca="false">IF($B57="","",SUM(S57:U57))</f>
        <v/>
      </c>
      <c r="W57" s="112" t="str">
        <f aca="false">IF($B57="","",R57-V57)</f>
        <v/>
      </c>
      <c r="X57" s="90" t="str">
        <f aca="false">IF($B57="","",الموظفون!$Q57*IF(E57="سعودي",cfg_G_SR,cfg_G_NR)*F57/cfg_DAYS_M)</f>
        <v/>
      </c>
      <c r="Y57" s="90" t="str">
        <f aca="false">IF($B57="","",الموظفون!$O57*(cfg_EOS_R1*(MIN(AC57,cfg_EOS_TH)-MIN(AD57,cfg_EOS_TH))+cfg_EOS_R2*(MAX(AC57-cfg_EOS_TH,0)-MAX(AD57-cfg_EOS_TH,0))))</f>
        <v/>
      </c>
      <c r="Z57" s="90" t="str">
        <f aca="false">IF($B57="","",IF(الموظفون!$R57&lt;&gt;"",الموظفون!$R57,IF(AC57&gt;=cfg_LV_TH,cfg_LV_D2,cfg_LV_D1))/cfg_DAYS_Y*AE57*الموظفون!$P57/cfg_DAYS_M)</f>
        <v/>
      </c>
      <c r="AA57" s="90" t="str">
        <f aca="false">IF($B57="","",IF(AND(الموظفون!$S57="نعم",N(الموظفون!$U57)&gt;0),الموظفون!$T57/الموظفون!$U57*12/cfg_DAYS_Y*AE57,0))</f>
        <v/>
      </c>
      <c r="AB57" s="113" t="str">
        <f aca="false">IF($B57="","",R57+SUM(X57:AA57))</f>
        <v/>
      </c>
      <c r="AC57" s="114" t="str">
        <f aca="false">IF($B57="","",MAX(0,IF(OR(الموظفون!$X57="",الموظفون!$X57&gt;$G$3),$G$3,الموظفون!$X57)-الموظفون!$H57+1)/cfg_DAYS_Y)</f>
        <v/>
      </c>
      <c r="AD57" s="114" t="str">
        <f aca="false">IF($B57="","",MAX(0,IF(OR(الموظفون!$X57="",الموظفون!$X57&gt;($E$3-1)),($E$3-1),الموظفون!$X57)-الموظفون!$H57+1)/cfg_DAYS_Y)</f>
        <v/>
      </c>
      <c r="AE57" s="115" t="str">
        <f aca="false">IF($B57="","",MAX(0,IF(OR(الموظفون!$X57="",الموظفون!$X57&gt;$G$3),$G$3,الموظفون!$X57)-MAX($E$3,الموظفون!$H57)+1))</f>
        <v/>
      </c>
    </row>
    <row r="58" customFormat="false" ht="15" hidden="false" customHeight="false" outlineLevel="0" collapsed="false">
      <c r="A58" s="83" t="str">
        <f aca="false">IF($B58="","",الموظفون!$A58)</f>
        <v/>
      </c>
      <c r="B58" s="74" t="str">
        <f aca="false">IF(الموظفون!$B58="","",الموظفون!$B58)</f>
        <v/>
      </c>
      <c r="C58" s="74" t="str">
        <f aca="false">IF($B58="","",الموظفون!$C58)</f>
        <v/>
      </c>
      <c r="D58" s="74" t="str">
        <f aca="false">IF($B58="","",الموظفون!$F58)</f>
        <v/>
      </c>
      <c r="E58" s="74" t="str">
        <f aca="false">IF($B58="","",الموظفون!$E58)</f>
        <v/>
      </c>
      <c r="F58" s="105" t="str">
        <f aca="false">IF($B58="","",IF(AE58&gt;=DAY($G$3),cfg_DAYS_M,MIN(AE58,cfg_DAYS_M)))</f>
        <v/>
      </c>
      <c r="G58" s="105" t="str">
        <f aca="false">IF($B58="","",SUMIFS('الحركات الشهرية'!$D$6:$D$1005,'الحركات الشهرية'!$B$6:$B$1005,$B58,'الحركات الشهرية'!$A$6:$A$1005,$C$3))</f>
        <v/>
      </c>
      <c r="H58" s="105" t="str">
        <f aca="false">IF($B58="","",SUMIFS('الحركات الشهرية'!$E$6:$E$1005,'الحركات الشهرية'!$B$6:$B$1005,$B58,'الحركات الشهرية'!$A$6:$A$1005,$C$3))</f>
        <v/>
      </c>
      <c r="I58" s="105" t="str">
        <f aca="false">IF($B58="","",MAX(0,F58-G58-H58))</f>
        <v/>
      </c>
      <c r="J58" s="86" t="str">
        <f aca="false">IF($B58="","",الموظفون!$J58*$I58/cfg_DAYS_M)</f>
        <v/>
      </c>
      <c r="K58" s="86" t="str">
        <f aca="false">IF($B58="","",الموظفون!$K58*$I58/cfg_DAYS_M)</f>
        <v/>
      </c>
      <c r="L58" s="86" t="str">
        <f aca="false">IF($B58="","",الموظفون!$L58*$I58/cfg_DAYS_M)</f>
        <v/>
      </c>
      <c r="M58" s="86" t="str">
        <f aca="false">IF($B58="","",الموظفون!$M58*$I58/cfg_DAYS_M)</f>
        <v/>
      </c>
      <c r="N58" s="105" t="str">
        <f aca="false">IF($B58="","",SUMIFS('الحركات الشهرية'!$F$6:$F$1005,'الحركات الشهرية'!$B$6:$B$1005,$B58,'الحركات الشهرية'!$A$6:$A$1005,$C$3))</f>
        <v/>
      </c>
      <c r="O58" s="86" t="str">
        <f aca="false">IF($B58="","",N58*(الموظفون!$N58+الموظفون!$J58*cfg_OT_P)/cfg_DAYS_M/cfg_HRS)</f>
        <v/>
      </c>
      <c r="P58" s="86" t="str">
        <f aca="false">IF($B58="","",SUMIFS('الحركات الشهرية'!$G$6:$G$1005,'الحركات الشهرية'!$B$6:$B$1005,$B58,'الحركات الشهرية'!$A$6:$A$1005,$C$3))</f>
        <v/>
      </c>
      <c r="Q58" s="86" t="str">
        <f aca="false">IF($B58="","",SUMIFS('الحركات الشهرية'!$H$6:$H$1005,'الحركات الشهرية'!$B$6:$B$1005,$B58,'الحركات الشهرية'!$A$6:$A$1005,$C$3))</f>
        <v/>
      </c>
      <c r="R58" s="106" t="str">
        <f aca="false">IF($B58="","",SUM(J58:M58)+SUM(O58:Q58))</f>
        <v/>
      </c>
      <c r="S58" s="86" t="str">
        <f aca="false">IF($B58="","",الموظفون!$Q58*IF(E58="سعودي",cfg_G_SE,cfg_G_NE)*F58/cfg_DAYS_M)</f>
        <v/>
      </c>
      <c r="T58" s="86" t="str">
        <f aca="false">IF($B58="","",SUMIFS('الحركات الشهرية'!$I$6:$I$1005,'الحركات الشهرية'!$B$6:$B$1005,$B58,'الحركات الشهرية'!$A$6:$A$1005,$C$3))</f>
        <v/>
      </c>
      <c r="U58" s="86" t="str">
        <f aca="false">IF($B58="","",SUMIFS('الحركات الشهرية'!$J$6:$J$1005,'الحركات الشهرية'!$B$6:$B$1005,$B58,'الحركات الشهرية'!$A$6:$A$1005,$C$3))</f>
        <v/>
      </c>
      <c r="V58" s="86" t="str">
        <f aca="false">IF($B58="","",SUM(S58:U58))</f>
        <v/>
      </c>
      <c r="W58" s="107" t="str">
        <f aca="false">IF($B58="","",R58-V58)</f>
        <v/>
      </c>
      <c r="X58" s="86" t="str">
        <f aca="false">IF($B58="","",الموظفون!$Q58*IF(E58="سعودي",cfg_G_SR,cfg_G_NR)*F58/cfg_DAYS_M)</f>
        <v/>
      </c>
      <c r="Y58" s="86" t="str">
        <f aca="false">IF($B58="","",الموظفون!$O58*(cfg_EOS_R1*(MIN(AC58,cfg_EOS_TH)-MIN(AD58,cfg_EOS_TH))+cfg_EOS_R2*(MAX(AC58-cfg_EOS_TH,0)-MAX(AD58-cfg_EOS_TH,0))))</f>
        <v/>
      </c>
      <c r="Z58" s="86" t="str">
        <f aca="false">IF($B58="","",IF(الموظفون!$R58&lt;&gt;"",الموظفون!$R58,IF(AC58&gt;=cfg_LV_TH,cfg_LV_D2,cfg_LV_D1))/cfg_DAYS_Y*AE58*الموظفون!$P58/cfg_DAYS_M)</f>
        <v/>
      </c>
      <c r="AA58" s="86" t="str">
        <f aca="false">IF($B58="","",IF(AND(الموظفون!$S58="نعم",N(الموظفون!$U58)&gt;0),الموظفون!$T58/الموظفون!$U58*12/cfg_DAYS_Y*AE58,0))</f>
        <v/>
      </c>
      <c r="AB58" s="108" t="str">
        <f aca="false">IF($B58="","",R58+SUM(X58:AA58))</f>
        <v/>
      </c>
      <c r="AC58" s="109" t="str">
        <f aca="false">IF($B58="","",MAX(0,IF(OR(الموظفون!$X58="",الموظفون!$X58&gt;$G$3),$G$3,الموظفون!$X58)-الموظفون!$H58+1)/cfg_DAYS_Y)</f>
        <v/>
      </c>
      <c r="AD58" s="109" t="str">
        <f aca="false">IF($B58="","",MAX(0,IF(OR(الموظفون!$X58="",الموظفون!$X58&gt;($E$3-1)),($E$3-1),الموظفون!$X58)-الموظفون!$H58+1)/cfg_DAYS_Y)</f>
        <v/>
      </c>
      <c r="AE58" s="51" t="str">
        <f aca="false">IF($B58="","",MAX(0,IF(OR(الموظفون!$X58="",الموظفون!$X58&gt;$G$3),$G$3,الموظفون!$X58)-MAX($E$3,الموظفون!$H58)+1))</f>
        <v/>
      </c>
    </row>
    <row r="59" customFormat="false" ht="15" hidden="false" customHeight="false" outlineLevel="0" collapsed="false">
      <c r="A59" s="89" t="str">
        <f aca="false">IF($B59="","",الموظفون!$A59)</f>
        <v/>
      </c>
      <c r="B59" s="91" t="str">
        <f aca="false">IF(الموظفون!$B59="","",الموظفون!$B59)</f>
        <v/>
      </c>
      <c r="C59" s="91" t="str">
        <f aca="false">IF($B59="","",الموظفون!$C59)</f>
        <v/>
      </c>
      <c r="D59" s="91" t="str">
        <f aca="false">IF($B59="","",الموظفون!$F59)</f>
        <v/>
      </c>
      <c r="E59" s="91" t="str">
        <f aca="false">IF($B59="","",الموظفون!$E59)</f>
        <v/>
      </c>
      <c r="F59" s="110" t="str">
        <f aca="false">IF($B59="","",IF(AE59&gt;=DAY($G$3),cfg_DAYS_M,MIN(AE59,cfg_DAYS_M)))</f>
        <v/>
      </c>
      <c r="G59" s="110" t="str">
        <f aca="false">IF($B59="","",SUMIFS('الحركات الشهرية'!$D$6:$D$1005,'الحركات الشهرية'!$B$6:$B$1005,$B59,'الحركات الشهرية'!$A$6:$A$1005,$C$3))</f>
        <v/>
      </c>
      <c r="H59" s="110" t="str">
        <f aca="false">IF($B59="","",SUMIFS('الحركات الشهرية'!$E$6:$E$1005,'الحركات الشهرية'!$B$6:$B$1005,$B59,'الحركات الشهرية'!$A$6:$A$1005,$C$3))</f>
        <v/>
      </c>
      <c r="I59" s="110" t="str">
        <f aca="false">IF($B59="","",MAX(0,F59-G59-H59))</f>
        <v/>
      </c>
      <c r="J59" s="90" t="str">
        <f aca="false">IF($B59="","",الموظفون!$J59*$I59/cfg_DAYS_M)</f>
        <v/>
      </c>
      <c r="K59" s="90" t="str">
        <f aca="false">IF($B59="","",الموظفون!$K59*$I59/cfg_DAYS_M)</f>
        <v/>
      </c>
      <c r="L59" s="90" t="str">
        <f aca="false">IF($B59="","",الموظفون!$L59*$I59/cfg_DAYS_M)</f>
        <v/>
      </c>
      <c r="M59" s="90" t="str">
        <f aca="false">IF($B59="","",الموظفون!$M59*$I59/cfg_DAYS_M)</f>
        <v/>
      </c>
      <c r="N59" s="110" t="str">
        <f aca="false">IF($B59="","",SUMIFS('الحركات الشهرية'!$F$6:$F$1005,'الحركات الشهرية'!$B$6:$B$1005,$B59,'الحركات الشهرية'!$A$6:$A$1005,$C$3))</f>
        <v/>
      </c>
      <c r="O59" s="90" t="str">
        <f aca="false">IF($B59="","",N59*(الموظفون!$N59+الموظفون!$J59*cfg_OT_P)/cfg_DAYS_M/cfg_HRS)</f>
        <v/>
      </c>
      <c r="P59" s="90" t="str">
        <f aca="false">IF($B59="","",SUMIFS('الحركات الشهرية'!$G$6:$G$1005,'الحركات الشهرية'!$B$6:$B$1005,$B59,'الحركات الشهرية'!$A$6:$A$1005,$C$3))</f>
        <v/>
      </c>
      <c r="Q59" s="90" t="str">
        <f aca="false">IF($B59="","",SUMIFS('الحركات الشهرية'!$H$6:$H$1005,'الحركات الشهرية'!$B$6:$B$1005,$B59,'الحركات الشهرية'!$A$6:$A$1005,$C$3))</f>
        <v/>
      </c>
      <c r="R59" s="111" t="str">
        <f aca="false">IF($B59="","",SUM(J59:M59)+SUM(O59:Q59))</f>
        <v/>
      </c>
      <c r="S59" s="90" t="str">
        <f aca="false">IF($B59="","",الموظفون!$Q59*IF(E59="سعودي",cfg_G_SE,cfg_G_NE)*F59/cfg_DAYS_M)</f>
        <v/>
      </c>
      <c r="T59" s="90" t="str">
        <f aca="false">IF($B59="","",SUMIFS('الحركات الشهرية'!$I$6:$I$1005,'الحركات الشهرية'!$B$6:$B$1005,$B59,'الحركات الشهرية'!$A$6:$A$1005,$C$3))</f>
        <v/>
      </c>
      <c r="U59" s="90" t="str">
        <f aca="false">IF($B59="","",SUMIFS('الحركات الشهرية'!$J$6:$J$1005,'الحركات الشهرية'!$B$6:$B$1005,$B59,'الحركات الشهرية'!$A$6:$A$1005,$C$3))</f>
        <v/>
      </c>
      <c r="V59" s="90" t="str">
        <f aca="false">IF($B59="","",SUM(S59:U59))</f>
        <v/>
      </c>
      <c r="W59" s="112" t="str">
        <f aca="false">IF($B59="","",R59-V59)</f>
        <v/>
      </c>
      <c r="X59" s="90" t="str">
        <f aca="false">IF($B59="","",الموظفون!$Q59*IF(E59="سعودي",cfg_G_SR,cfg_G_NR)*F59/cfg_DAYS_M)</f>
        <v/>
      </c>
      <c r="Y59" s="90" t="str">
        <f aca="false">IF($B59="","",الموظفون!$O59*(cfg_EOS_R1*(MIN(AC59,cfg_EOS_TH)-MIN(AD59,cfg_EOS_TH))+cfg_EOS_R2*(MAX(AC59-cfg_EOS_TH,0)-MAX(AD59-cfg_EOS_TH,0))))</f>
        <v/>
      </c>
      <c r="Z59" s="90" t="str">
        <f aca="false">IF($B59="","",IF(الموظفون!$R59&lt;&gt;"",الموظفون!$R59,IF(AC59&gt;=cfg_LV_TH,cfg_LV_D2,cfg_LV_D1))/cfg_DAYS_Y*AE59*الموظفون!$P59/cfg_DAYS_M)</f>
        <v/>
      </c>
      <c r="AA59" s="90" t="str">
        <f aca="false">IF($B59="","",IF(AND(الموظفون!$S59="نعم",N(الموظفون!$U59)&gt;0),الموظفون!$T59/الموظفون!$U59*12/cfg_DAYS_Y*AE59,0))</f>
        <v/>
      </c>
      <c r="AB59" s="113" t="str">
        <f aca="false">IF($B59="","",R59+SUM(X59:AA59))</f>
        <v/>
      </c>
      <c r="AC59" s="114" t="str">
        <f aca="false">IF($B59="","",MAX(0,IF(OR(الموظفون!$X59="",الموظفون!$X59&gt;$G$3),$G$3,الموظفون!$X59)-الموظفون!$H59+1)/cfg_DAYS_Y)</f>
        <v/>
      </c>
      <c r="AD59" s="114" t="str">
        <f aca="false">IF($B59="","",MAX(0,IF(OR(الموظفون!$X59="",الموظفون!$X59&gt;($E$3-1)),($E$3-1),الموظفون!$X59)-الموظفون!$H59+1)/cfg_DAYS_Y)</f>
        <v/>
      </c>
      <c r="AE59" s="115" t="str">
        <f aca="false">IF($B59="","",MAX(0,IF(OR(الموظفون!$X59="",الموظفون!$X59&gt;$G$3),$G$3,الموظفون!$X59)-MAX($E$3,الموظفون!$H59)+1))</f>
        <v/>
      </c>
    </row>
    <row r="60" customFormat="false" ht="15" hidden="false" customHeight="false" outlineLevel="0" collapsed="false">
      <c r="A60" s="83" t="str">
        <f aca="false">IF($B60="","",الموظفون!$A60)</f>
        <v/>
      </c>
      <c r="B60" s="74" t="str">
        <f aca="false">IF(الموظفون!$B60="","",الموظفون!$B60)</f>
        <v/>
      </c>
      <c r="C60" s="74" t="str">
        <f aca="false">IF($B60="","",الموظفون!$C60)</f>
        <v/>
      </c>
      <c r="D60" s="74" t="str">
        <f aca="false">IF($B60="","",الموظفون!$F60)</f>
        <v/>
      </c>
      <c r="E60" s="74" t="str">
        <f aca="false">IF($B60="","",الموظفون!$E60)</f>
        <v/>
      </c>
      <c r="F60" s="105" t="str">
        <f aca="false">IF($B60="","",IF(AE60&gt;=DAY($G$3),cfg_DAYS_M,MIN(AE60,cfg_DAYS_M)))</f>
        <v/>
      </c>
      <c r="G60" s="105" t="str">
        <f aca="false">IF($B60="","",SUMIFS('الحركات الشهرية'!$D$6:$D$1005,'الحركات الشهرية'!$B$6:$B$1005,$B60,'الحركات الشهرية'!$A$6:$A$1005,$C$3))</f>
        <v/>
      </c>
      <c r="H60" s="105" t="str">
        <f aca="false">IF($B60="","",SUMIFS('الحركات الشهرية'!$E$6:$E$1005,'الحركات الشهرية'!$B$6:$B$1005,$B60,'الحركات الشهرية'!$A$6:$A$1005,$C$3))</f>
        <v/>
      </c>
      <c r="I60" s="105" t="str">
        <f aca="false">IF($B60="","",MAX(0,F60-G60-H60))</f>
        <v/>
      </c>
      <c r="J60" s="86" t="str">
        <f aca="false">IF($B60="","",الموظفون!$J60*$I60/cfg_DAYS_M)</f>
        <v/>
      </c>
      <c r="K60" s="86" t="str">
        <f aca="false">IF($B60="","",الموظفون!$K60*$I60/cfg_DAYS_M)</f>
        <v/>
      </c>
      <c r="L60" s="86" t="str">
        <f aca="false">IF($B60="","",الموظفون!$L60*$I60/cfg_DAYS_M)</f>
        <v/>
      </c>
      <c r="M60" s="86" t="str">
        <f aca="false">IF($B60="","",الموظفون!$M60*$I60/cfg_DAYS_M)</f>
        <v/>
      </c>
      <c r="N60" s="105" t="str">
        <f aca="false">IF($B60="","",SUMIFS('الحركات الشهرية'!$F$6:$F$1005,'الحركات الشهرية'!$B$6:$B$1005,$B60,'الحركات الشهرية'!$A$6:$A$1005,$C$3))</f>
        <v/>
      </c>
      <c r="O60" s="86" t="str">
        <f aca="false">IF($B60="","",N60*(الموظفون!$N60+الموظفون!$J60*cfg_OT_P)/cfg_DAYS_M/cfg_HRS)</f>
        <v/>
      </c>
      <c r="P60" s="86" t="str">
        <f aca="false">IF($B60="","",SUMIFS('الحركات الشهرية'!$G$6:$G$1005,'الحركات الشهرية'!$B$6:$B$1005,$B60,'الحركات الشهرية'!$A$6:$A$1005,$C$3))</f>
        <v/>
      </c>
      <c r="Q60" s="86" t="str">
        <f aca="false">IF($B60="","",SUMIFS('الحركات الشهرية'!$H$6:$H$1005,'الحركات الشهرية'!$B$6:$B$1005,$B60,'الحركات الشهرية'!$A$6:$A$1005,$C$3))</f>
        <v/>
      </c>
      <c r="R60" s="106" t="str">
        <f aca="false">IF($B60="","",SUM(J60:M60)+SUM(O60:Q60))</f>
        <v/>
      </c>
      <c r="S60" s="86" t="str">
        <f aca="false">IF($B60="","",الموظفون!$Q60*IF(E60="سعودي",cfg_G_SE,cfg_G_NE)*F60/cfg_DAYS_M)</f>
        <v/>
      </c>
      <c r="T60" s="86" t="str">
        <f aca="false">IF($B60="","",SUMIFS('الحركات الشهرية'!$I$6:$I$1005,'الحركات الشهرية'!$B$6:$B$1005,$B60,'الحركات الشهرية'!$A$6:$A$1005,$C$3))</f>
        <v/>
      </c>
      <c r="U60" s="86" t="str">
        <f aca="false">IF($B60="","",SUMIFS('الحركات الشهرية'!$J$6:$J$1005,'الحركات الشهرية'!$B$6:$B$1005,$B60,'الحركات الشهرية'!$A$6:$A$1005,$C$3))</f>
        <v/>
      </c>
      <c r="V60" s="86" t="str">
        <f aca="false">IF($B60="","",SUM(S60:U60))</f>
        <v/>
      </c>
      <c r="W60" s="107" t="str">
        <f aca="false">IF($B60="","",R60-V60)</f>
        <v/>
      </c>
      <c r="X60" s="86" t="str">
        <f aca="false">IF($B60="","",الموظفون!$Q60*IF(E60="سعودي",cfg_G_SR,cfg_G_NR)*F60/cfg_DAYS_M)</f>
        <v/>
      </c>
      <c r="Y60" s="86" t="str">
        <f aca="false">IF($B60="","",الموظفون!$O60*(cfg_EOS_R1*(MIN(AC60,cfg_EOS_TH)-MIN(AD60,cfg_EOS_TH))+cfg_EOS_R2*(MAX(AC60-cfg_EOS_TH,0)-MAX(AD60-cfg_EOS_TH,0))))</f>
        <v/>
      </c>
      <c r="Z60" s="86" t="str">
        <f aca="false">IF($B60="","",IF(الموظفون!$R60&lt;&gt;"",الموظفون!$R60,IF(AC60&gt;=cfg_LV_TH,cfg_LV_D2,cfg_LV_D1))/cfg_DAYS_Y*AE60*الموظفون!$P60/cfg_DAYS_M)</f>
        <v/>
      </c>
      <c r="AA60" s="86" t="str">
        <f aca="false">IF($B60="","",IF(AND(الموظفون!$S60="نعم",N(الموظفون!$U60)&gt;0),الموظفون!$T60/الموظفون!$U60*12/cfg_DAYS_Y*AE60,0))</f>
        <v/>
      </c>
      <c r="AB60" s="108" t="str">
        <f aca="false">IF($B60="","",R60+SUM(X60:AA60))</f>
        <v/>
      </c>
      <c r="AC60" s="109" t="str">
        <f aca="false">IF($B60="","",MAX(0,IF(OR(الموظفون!$X60="",الموظفون!$X60&gt;$G$3),$G$3,الموظفون!$X60)-الموظفون!$H60+1)/cfg_DAYS_Y)</f>
        <v/>
      </c>
      <c r="AD60" s="109" t="str">
        <f aca="false">IF($B60="","",MAX(0,IF(OR(الموظفون!$X60="",الموظفون!$X60&gt;($E$3-1)),($E$3-1),الموظفون!$X60)-الموظفون!$H60+1)/cfg_DAYS_Y)</f>
        <v/>
      </c>
      <c r="AE60" s="51" t="str">
        <f aca="false">IF($B60="","",MAX(0,IF(OR(الموظفون!$X60="",الموظفون!$X60&gt;$G$3),$G$3,الموظفون!$X60)-MAX($E$3,الموظفون!$H60)+1))</f>
        <v/>
      </c>
    </row>
    <row r="61" customFormat="false" ht="15" hidden="false" customHeight="false" outlineLevel="0" collapsed="false">
      <c r="A61" s="89" t="str">
        <f aca="false">IF($B61="","",الموظفون!$A61)</f>
        <v/>
      </c>
      <c r="B61" s="91" t="str">
        <f aca="false">IF(الموظفون!$B61="","",الموظفون!$B61)</f>
        <v/>
      </c>
      <c r="C61" s="91" t="str">
        <f aca="false">IF($B61="","",الموظفون!$C61)</f>
        <v/>
      </c>
      <c r="D61" s="91" t="str">
        <f aca="false">IF($B61="","",الموظفون!$F61)</f>
        <v/>
      </c>
      <c r="E61" s="91" t="str">
        <f aca="false">IF($B61="","",الموظفون!$E61)</f>
        <v/>
      </c>
      <c r="F61" s="110" t="str">
        <f aca="false">IF($B61="","",IF(AE61&gt;=DAY($G$3),cfg_DAYS_M,MIN(AE61,cfg_DAYS_M)))</f>
        <v/>
      </c>
      <c r="G61" s="110" t="str">
        <f aca="false">IF($B61="","",SUMIFS('الحركات الشهرية'!$D$6:$D$1005,'الحركات الشهرية'!$B$6:$B$1005,$B61,'الحركات الشهرية'!$A$6:$A$1005,$C$3))</f>
        <v/>
      </c>
      <c r="H61" s="110" t="str">
        <f aca="false">IF($B61="","",SUMIFS('الحركات الشهرية'!$E$6:$E$1005,'الحركات الشهرية'!$B$6:$B$1005,$B61,'الحركات الشهرية'!$A$6:$A$1005,$C$3))</f>
        <v/>
      </c>
      <c r="I61" s="110" t="str">
        <f aca="false">IF($B61="","",MAX(0,F61-G61-H61))</f>
        <v/>
      </c>
      <c r="J61" s="90" t="str">
        <f aca="false">IF($B61="","",الموظفون!$J61*$I61/cfg_DAYS_M)</f>
        <v/>
      </c>
      <c r="K61" s="90" t="str">
        <f aca="false">IF($B61="","",الموظفون!$K61*$I61/cfg_DAYS_M)</f>
        <v/>
      </c>
      <c r="L61" s="90" t="str">
        <f aca="false">IF($B61="","",الموظفون!$L61*$I61/cfg_DAYS_M)</f>
        <v/>
      </c>
      <c r="M61" s="90" t="str">
        <f aca="false">IF($B61="","",الموظفون!$M61*$I61/cfg_DAYS_M)</f>
        <v/>
      </c>
      <c r="N61" s="110" t="str">
        <f aca="false">IF($B61="","",SUMIFS('الحركات الشهرية'!$F$6:$F$1005,'الحركات الشهرية'!$B$6:$B$1005,$B61,'الحركات الشهرية'!$A$6:$A$1005,$C$3))</f>
        <v/>
      </c>
      <c r="O61" s="90" t="str">
        <f aca="false">IF($B61="","",N61*(الموظفون!$N61+الموظفون!$J61*cfg_OT_P)/cfg_DAYS_M/cfg_HRS)</f>
        <v/>
      </c>
      <c r="P61" s="90" t="str">
        <f aca="false">IF($B61="","",SUMIFS('الحركات الشهرية'!$G$6:$G$1005,'الحركات الشهرية'!$B$6:$B$1005,$B61,'الحركات الشهرية'!$A$6:$A$1005,$C$3))</f>
        <v/>
      </c>
      <c r="Q61" s="90" t="str">
        <f aca="false">IF($B61="","",SUMIFS('الحركات الشهرية'!$H$6:$H$1005,'الحركات الشهرية'!$B$6:$B$1005,$B61,'الحركات الشهرية'!$A$6:$A$1005,$C$3))</f>
        <v/>
      </c>
      <c r="R61" s="111" t="str">
        <f aca="false">IF($B61="","",SUM(J61:M61)+SUM(O61:Q61))</f>
        <v/>
      </c>
      <c r="S61" s="90" t="str">
        <f aca="false">IF($B61="","",الموظفون!$Q61*IF(E61="سعودي",cfg_G_SE,cfg_G_NE)*F61/cfg_DAYS_M)</f>
        <v/>
      </c>
      <c r="T61" s="90" t="str">
        <f aca="false">IF($B61="","",SUMIFS('الحركات الشهرية'!$I$6:$I$1005,'الحركات الشهرية'!$B$6:$B$1005,$B61,'الحركات الشهرية'!$A$6:$A$1005,$C$3))</f>
        <v/>
      </c>
      <c r="U61" s="90" t="str">
        <f aca="false">IF($B61="","",SUMIFS('الحركات الشهرية'!$J$6:$J$1005,'الحركات الشهرية'!$B$6:$B$1005,$B61,'الحركات الشهرية'!$A$6:$A$1005,$C$3))</f>
        <v/>
      </c>
      <c r="V61" s="90" t="str">
        <f aca="false">IF($B61="","",SUM(S61:U61))</f>
        <v/>
      </c>
      <c r="W61" s="112" t="str">
        <f aca="false">IF($B61="","",R61-V61)</f>
        <v/>
      </c>
      <c r="X61" s="90" t="str">
        <f aca="false">IF($B61="","",الموظفون!$Q61*IF(E61="سعودي",cfg_G_SR,cfg_G_NR)*F61/cfg_DAYS_M)</f>
        <v/>
      </c>
      <c r="Y61" s="90" t="str">
        <f aca="false">IF($B61="","",الموظفون!$O61*(cfg_EOS_R1*(MIN(AC61,cfg_EOS_TH)-MIN(AD61,cfg_EOS_TH))+cfg_EOS_R2*(MAX(AC61-cfg_EOS_TH,0)-MAX(AD61-cfg_EOS_TH,0))))</f>
        <v/>
      </c>
      <c r="Z61" s="90" t="str">
        <f aca="false">IF($B61="","",IF(الموظفون!$R61&lt;&gt;"",الموظفون!$R61,IF(AC61&gt;=cfg_LV_TH,cfg_LV_D2,cfg_LV_D1))/cfg_DAYS_Y*AE61*الموظفون!$P61/cfg_DAYS_M)</f>
        <v/>
      </c>
      <c r="AA61" s="90" t="str">
        <f aca="false">IF($B61="","",IF(AND(الموظفون!$S61="نعم",N(الموظفون!$U61)&gt;0),الموظفون!$T61/الموظفون!$U61*12/cfg_DAYS_Y*AE61,0))</f>
        <v/>
      </c>
      <c r="AB61" s="113" t="str">
        <f aca="false">IF($B61="","",R61+SUM(X61:AA61))</f>
        <v/>
      </c>
      <c r="AC61" s="114" t="str">
        <f aca="false">IF($B61="","",MAX(0,IF(OR(الموظفون!$X61="",الموظفون!$X61&gt;$G$3),$G$3,الموظفون!$X61)-الموظفون!$H61+1)/cfg_DAYS_Y)</f>
        <v/>
      </c>
      <c r="AD61" s="114" t="str">
        <f aca="false">IF($B61="","",MAX(0,IF(OR(الموظفون!$X61="",الموظفون!$X61&gt;($E$3-1)),($E$3-1),الموظفون!$X61)-الموظفون!$H61+1)/cfg_DAYS_Y)</f>
        <v/>
      </c>
      <c r="AE61" s="115" t="str">
        <f aca="false">IF($B61="","",MAX(0,IF(OR(الموظفون!$X61="",الموظفون!$X61&gt;$G$3),$G$3,الموظفون!$X61)-MAX($E$3,الموظفون!$H61)+1))</f>
        <v/>
      </c>
    </row>
    <row r="62" customFormat="false" ht="15" hidden="false" customHeight="false" outlineLevel="0" collapsed="false">
      <c r="A62" s="83" t="str">
        <f aca="false">IF($B62="","",الموظفون!$A62)</f>
        <v/>
      </c>
      <c r="B62" s="74" t="str">
        <f aca="false">IF(الموظفون!$B62="","",الموظفون!$B62)</f>
        <v/>
      </c>
      <c r="C62" s="74" t="str">
        <f aca="false">IF($B62="","",الموظفون!$C62)</f>
        <v/>
      </c>
      <c r="D62" s="74" t="str">
        <f aca="false">IF($B62="","",الموظفون!$F62)</f>
        <v/>
      </c>
      <c r="E62" s="74" t="str">
        <f aca="false">IF($B62="","",الموظفون!$E62)</f>
        <v/>
      </c>
      <c r="F62" s="105" t="str">
        <f aca="false">IF($B62="","",IF(AE62&gt;=DAY($G$3),cfg_DAYS_M,MIN(AE62,cfg_DAYS_M)))</f>
        <v/>
      </c>
      <c r="G62" s="105" t="str">
        <f aca="false">IF($B62="","",SUMIFS('الحركات الشهرية'!$D$6:$D$1005,'الحركات الشهرية'!$B$6:$B$1005,$B62,'الحركات الشهرية'!$A$6:$A$1005,$C$3))</f>
        <v/>
      </c>
      <c r="H62" s="105" t="str">
        <f aca="false">IF($B62="","",SUMIFS('الحركات الشهرية'!$E$6:$E$1005,'الحركات الشهرية'!$B$6:$B$1005,$B62,'الحركات الشهرية'!$A$6:$A$1005,$C$3))</f>
        <v/>
      </c>
      <c r="I62" s="105" t="str">
        <f aca="false">IF($B62="","",MAX(0,F62-G62-H62))</f>
        <v/>
      </c>
      <c r="J62" s="86" t="str">
        <f aca="false">IF($B62="","",الموظفون!$J62*$I62/cfg_DAYS_M)</f>
        <v/>
      </c>
      <c r="K62" s="86" t="str">
        <f aca="false">IF($B62="","",الموظفون!$K62*$I62/cfg_DAYS_M)</f>
        <v/>
      </c>
      <c r="L62" s="86" t="str">
        <f aca="false">IF($B62="","",الموظفون!$L62*$I62/cfg_DAYS_M)</f>
        <v/>
      </c>
      <c r="M62" s="86" t="str">
        <f aca="false">IF($B62="","",الموظفون!$M62*$I62/cfg_DAYS_M)</f>
        <v/>
      </c>
      <c r="N62" s="105" t="str">
        <f aca="false">IF($B62="","",SUMIFS('الحركات الشهرية'!$F$6:$F$1005,'الحركات الشهرية'!$B$6:$B$1005,$B62,'الحركات الشهرية'!$A$6:$A$1005,$C$3))</f>
        <v/>
      </c>
      <c r="O62" s="86" t="str">
        <f aca="false">IF($B62="","",N62*(الموظفون!$N62+الموظفون!$J62*cfg_OT_P)/cfg_DAYS_M/cfg_HRS)</f>
        <v/>
      </c>
      <c r="P62" s="86" t="str">
        <f aca="false">IF($B62="","",SUMIFS('الحركات الشهرية'!$G$6:$G$1005,'الحركات الشهرية'!$B$6:$B$1005,$B62,'الحركات الشهرية'!$A$6:$A$1005,$C$3))</f>
        <v/>
      </c>
      <c r="Q62" s="86" t="str">
        <f aca="false">IF($B62="","",SUMIFS('الحركات الشهرية'!$H$6:$H$1005,'الحركات الشهرية'!$B$6:$B$1005,$B62,'الحركات الشهرية'!$A$6:$A$1005,$C$3))</f>
        <v/>
      </c>
      <c r="R62" s="106" t="str">
        <f aca="false">IF($B62="","",SUM(J62:M62)+SUM(O62:Q62))</f>
        <v/>
      </c>
      <c r="S62" s="86" t="str">
        <f aca="false">IF($B62="","",الموظفون!$Q62*IF(E62="سعودي",cfg_G_SE,cfg_G_NE)*F62/cfg_DAYS_M)</f>
        <v/>
      </c>
      <c r="T62" s="86" t="str">
        <f aca="false">IF($B62="","",SUMIFS('الحركات الشهرية'!$I$6:$I$1005,'الحركات الشهرية'!$B$6:$B$1005,$B62,'الحركات الشهرية'!$A$6:$A$1005,$C$3))</f>
        <v/>
      </c>
      <c r="U62" s="86" t="str">
        <f aca="false">IF($B62="","",SUMIFS('الحركات الشهرية'!$J$6:$J$1005,'الحركات الشهرية'!$B$6:$B$1005,$B62,'الحركات الشهرية'!$A$6:$A$1005,$C$3))</f>
        <v/>
      </c>
      <c r="V62" s="86" t="str">
        <f aca="false">IF($B62="","",SUM(S62:U62))</f>
        <v/>
      </c>
      <c r="W62" s="107" t="str">
        <f aca="false">IF($B62="","",R62-V62)</f>
        <v/>
      </c>
      <c r="X62" s="86" t="str">
        <f aca="false">IF($B62="","",الموظفون!$Q62*IF(E62="سعودي",cfg_G_SR,cfg_G_NR)*F62/cfg_DAYS_M)</f>
        <v/>
      </c>
      <c r="Y62" s="86" t="str">
        <f aca="false">IF($B62="","",الموظفون!$O62*(cfg_EOS_R1*(MIN(AC62,cfg_EOS_TH)-MIN(AD62,cfg_EOS_TH))+cfg_EOS_R2*(MAX(AC62-cfg_EOS_TH,0)-MAX(AD62-cfg_EOS_TH,0))))</f>
        <v/>
      </c>
      <c r="Z62" s="86" t="str">
        <f aca="false">IF($B62="","",IF(الموظفون!$R62&lt;&gt;"",الموظفون!$R62,IF(AC62&gt;=cfg_LV_TH,cfg_LV_D2,cfg_LV_D1))/cfg_DAYS_Y*AE62*الموظفون!$P62/cfg_DAYS_M)</f>
        <v/>
      </c>
      <c r="AA62" s="86" t="str">
        <f aca="false">IF($B62="","",IF(AND(الموظفون!$S62="نعم",N(الموظفون!$U62)&gt;0),الموظفون!$T62/الموظفون!$U62*12/cfg_DAYS_Y*AE62,0))</f>
        <v/>
      </c>
      <c r="AB62" s="108" t="str">
        <f aca="false">IF($B62="","",R62+SUM(X62:AA62))</f>
        <v/>
      </c>
      <c r="AC62" s="109" t="str">
        <f aca="false">IF($B62="","",MAX(0,IF(OR(الموظفون!$X62="",الموظفون!$X62&gt;$G$3),$G$3,الموظفون!$X62)-الموظفون!$H62+1)/cfg_DAYS_Y)</f>
        <v/>
      </c>
      <c r="AD62" s="109" t="str">
        <f aca="false">IF($B62="","",MAX(0,IF(OR(الموظفون!$X62="",الموظفون!$X62&gt;($E$3-1)),($E$3-1),الموظفون!$X62)-الموظفون!$H62+1)/cfg_DAYS_Y)</f>
        <v/>
      </c>
      <c r="AE62" s="51" t="str">
        <f aca="false">IF($B62="","",MAX(0,IF(OR(الموظفون!$X62="",الموظفون!$X62&gt;$G$3),$G$3,الموظفون!$X62)-MAX($E$3,الموظفون!$H62)+1))</f>
        <v/>
      </c>
    </row>
    <row r="63" customFormat="false" ht="15" hidden="false" customHeight="false" outlineLevel="0" collapsed="false">
      <c r="A63" s="89" t="str">
        <f aca="false">IF($B63="","",الموظفون!$A63)</f>
        <v/>
      </c>
      <c r="B63" s="91" t="str">
        <f aca="false">IF(الموظفون!$B63="","",الموظفون!$B63)</f>
        <v/>
      </c>
      <c r="C63" s="91" t="str">
        <f aca="false">IF($B63="","",الموظفون!$C63)</f>
        <v/>
      </c>
      <c r="D63" s="91" t="str">
        <f aca="false">IF($B63="","",الموظفون!$F63)</f>
        <v/>
      </c>
      <c r="E63" s="91" t="str">
        <f aca="false">IF($B63="","",الموظفون!$E63)</f>
        <v/>
      </c>
      <c r="F63" s="110" t="str">
        <f aca="false">IF($B63="","",IF(AE63&gt;=DAY($G$3),cfg_DAYS_M,MIN(AE63,cfg_DAYS_M)))</f>
        <v/>
      </c>
      <c r="G63" s="110" t="str">
        <f aca="false">IF($B63="","",SUMIFS('الحركات الشهرية'!$D$6:$D$1005,'الحركات الشهرية'!$B$6:$B$1005,$B63,'الحركات الشهرية'!$A$6:$A$1005,$C$3))</f>
        <v/>
      </c>
      <c r="H63" s="110" t="str">
        <f aca="false">IF($B63="","",SUMIFS('الحركات الشهرية'!$E$6:$E$1005,'الحركات الشهرية'!$B$6:$B$1005,$B63,'الحركات الشهرية'!$A$6:$A$1005,$C$3))</f>
        <v/>
      </c>
      <c r="I63" s="110" t="str">
        <f aca="false">IF($B63="","",MAX(0,F63-G63-H63))</f>
        <v/>
      </c>
      <c r="J63" s="90" t="str">
        <f aca="false">IF($B63="","",الموظفون!$J63*$I63/cfg_DAYS_M)</f>
        <v/>
      </c>
      <c r="K63" s="90" t="str">
        <f aca="false">IF($B63="","",الموظفون!$K63*$I63/cfg_DAYS_M)</f>
        <v/>
      </c>
      <c r="L63" s="90" t="str">
        <f aca="false">IF($B63="","",الموظفون!$L63*$I63/cfg_DAYS_M)</f>
        <v/>
      </c>
      <c r="M63" s="90" t="str">
        <f aca="false">IF($B63="","",الموظفون!$M63*$I63/cfg_DAYS_M)</f>
        <v/>
      </c>
      <c r="N63" s="110" t="str">
        <f aca="false">IF($B63="","",SUMIFS('الحركات الشهرية'!$F$6:$F$1005,'الحركات الشهرية'!$B$6:$B$1005,$B63,'الحركات الشهرية'!$A$6:$A$1005,$C$3))</f>
        <v/>
      </c>
      <c r="O63" s="90" t="str">
        <f aca="false">IF($B63="","",N63*(الموظفون!$N63+الموظفون!$J63*cfg_OT_P)/cfg_DAYS_M/cfg_HRS)</f>
        <v/>
      </c>
      <c r="P63" s="90" t="str">
        <f aca="false">IF($B63="","",SUMIFS('الحركات الشهرية'!$G$6:$G$1005,'الحركات الشهرية'!$B$6:$B$1005,$B63,'الحركات الشهرية'!$A$6:$A$1005,$C$3))</f>
        <v/>
      </c>
      <c r="Q63" s="90" t="str">
        <f aca="false">IF($B63="","",SUMIFS('الحركات الشهرية'!$H$6:$H$1005,'الحركات الشهرية'!$B$6:$B$1005,$B63,'الحركات الشهرية'!$A$6:$A$1005,$C$3))</f>
        <v/>
      </c>
      <c r="R63" s="111" t="str">
        <f aca="false">IF($B63="","",SUM(J63:M63)+SUM(O63:Q63))</f>
        <v/>
      </c>
      <c r="S63" s="90" t="str">
        <f aca="false">IF($B63="","",الموظفون!$Q63*IF(E63="سعودي",cfg_G_SE,cfg_G_NE)*F63/cfg_DAYS_M)</f>
        <v/>
      </c>
      <c r="T63" s="90" t="str">
        <f aca="false">IF($B63="","",SUMIFS('الحركات الشهرية'!$I$6:$I$1005,'الحركات الشهرية'!$B$6:$B$1005,$B63,'الحركات الشهرية'!$A$6:$A$1005,$C$3))</f>
        <v/>
      </c>
      <c r="U63" s="90" t="str">
        <f aca="false">IF($B63="","",SUMIFS('الحركات الشهرية'!$J$6:$J$1005,'الحركات الشهرية'!$B$6:$B$1005,$B63,'الحركات الشهرية'!$A$6:$A$1005,$C$3))</f>
        <v/>
      </c>
      <c r="V63" s="90" t="str">
        <f aca="false">IF($B63="","",SUM(S63:U63))</f>
        <v/>
      </c>
      <c r="W63" s="112" t="str">
        <f aca="false">IF($B63="","",R63-V63)</f>
        <v/>
      </c>
      <c r="X63" s="90" t="str">
        <f aca="false">IF($B63="","",الموظفون!$Q63*IF(E63="سعودي",cfg_G_SR,cfg_G_NR)*F63/cfg_DAYS_M)</f>
        <v/>
      </c>
      <c r="Y63" s="90" t="str">
        <f aca="false">IF($B63="","",الموظفون!$O63*(cfg_EOS_R1*(MIN(AC63,cfg_EOS_TH)-MIN(AD63,cfg_EOS_TH))+cfg_EOS_R2*(MAX(AC63-cfg_EOS_TH,0)-MAX(AD63-cfg_EOS_TH,0))))</f>
        <v/>
      </c>
      <c r="Z63" s="90" t="str">
        <f aca="false">IF($B63="","",IF(الموظفون!$R63&lt;&gt;"",الموظفون!$R63,IF(AC63&gt;=cfg_LV_TH,cfg_LV_D2,cfg_LV_D1))/cfg_DAYS_Y*AE63*الموظفون!$P63/cfg_DAYS_M)</f>
        <v/>
      </c>
      <c r="AA63" s="90" t="str">
        <f aca="false">IF($B63="","",IF(AND(الموظفون!$S63="نعم",N(الموظفون!$U63)&gt;0),الموظفون!$T63/الموظفون!$U63*12/cfg_DAYS_Y*AE63,0))</f>
        <v/>
      </c>
      <c r="AB63" s="113" t="str">
        <f aca="false">IF($B63="","",R63+SUM(X63:AA63))</f>
        <v/>
      </c>
      <c r="AC63" s="114" t="str">
        <f aca="false">IF($B63="","",MAX(0,IF(OR(الموظفون!$X63="",الموظفون!$X63&gt;$G$3),$G$3,الموظفون!$X63)-الموظفون!$H63+1)/cfg_DAYS_Y)</f>
        <v/>
      </c>
      <c r="AD63" s="114" t="str">
        <f aca="false">IF($B63="","",MAX(0,IF(OR(الموظفون!$X63="",الموظفون!$X63&gt;($E$3-1)),($E$3-1),الموظفون!$X63)-الموظفون!$H63+1)/cfg_DAYS_Y)</f>
        <v/>
      </c>
      <c r="AE63" s="115" t="str">
        <f aca="false">IF($B63="","",MAX(0,IF(OR(الموظفون!$X63="",الموظفون!$X63&gt;$G$3),$G$3,الموظفون!$X63)-MAX($E$3,الموظفون!$H63)+1))</f>
        <v/>
      </c>
    </row>
    <row r="64" customFormat="false" ht="15" hidden="false" customHeight="false" outlineLevel="0" collapsed="false">
      <c r="A64" s="83" t="str">
        <f aca="false">IF($B64="","",الموظفون!$A64)</f>
        <v/>
      </c>
      <c r="B64" s="74" t="str">
        <f aca="false">IF(الموظفون!$B64="","",الموظفون!$B64)</f>
        <v/>
      </c>
      <c r="C64" s="74" t="str">
        <f aca="false">IF($B64="","",الموظفون!$C64)</f>
        <v/>
      </c>
      <c r="D64" s="74" t="str">
        <f aca="false">IF($B64="","",الموظفون!$F64)</f>
        <v/>
      </c>
      <c r="E64" s="74" t="str">
        <f aca="false">IF($B64="","",الموظفون!$E64)</f>
        <v/>
      </c>
      <c r="F64" s="105" t="str">
        <f aca="false">IF($B64="","",IF(AE64&gt;=DAY($G$3),cfg_DAYS_M,MIN(AE64,cfg_DAYS_M)))</f>
        <v/>
      </c>
      <c r="G64" s="105" t="str">
        <f aca="false">IF($B64="","",SUMIFS('الحركات الشهرية'!$D$6:$D$1005,'الحركات الشهرية'!$B$6:$B$1005,$B64,'الحركات الشهرية'!$A$6:$A$1005,$C$3))</f>
        <v/>
      </c>
      <c r="H64" s="105" t="str">
        <f aca="false">IF($B64="","",SUMIFS('الحركات الشهرية'!$E$6:$E$1005,'الحركات الشهرية'!$B$6:$B$1005,$B64,'الحركات الشهرية'!$A$6:$A$1005,$C$3))</f>
        <v/>
      </c>
      <c r="I64" s="105" t="str">
        <f aca="false">IF($B64="","",MAX(0,F64-G64-H64))</f>
        <v/>
      </c>
      <c r="J64" s="86" t="str">
        <f aca="false">IF($B64="","",الموظفون!$J64*$I64/cfg_DAYS_M)</f>
        <v/>
      </c>
      <c r="K64" s="86" t="str">
        <f aca="false">IF($B64="","",الموظفون!$K64*$I64/cfg_DAYS_M)</f>
        <v/>
      </c>
      <c r="L64" s="86" t="str">
        <f aca="false">IF($B64="","",الموظفون!$L64*$I64/cfg_DAYS_M)</f>
        <v/>
      </c>
      <c r="M64" s="86" t="str">
        <f aca="false">IF($B64="","",الموظفون!$M64*$I64/cfg_DAYS_M)</f>
        <v/>
      </c>
      <c r="N64" s="105" t="str">
        <f aca="false">IF($B64="","",SUMIFS('الحركات الشهرية'!$F$6:$F$1005,'الحركات الشهرية'!$B$6:$B$1005,$B64,'الحركات الشهرية'!$A$6:$A$1005,$C$3))</f>
        <v/>
      </c>
      <c r="O64" s="86" t="str">
        <f aca="false">IF($B64="","",N64*(الموظفون!$N64+الموظفون!$J64*cfg_OT_P)/cfg_DAYS_M/cfg_HRS)</f>
        <v/>
      </c>
      <c r="P64" s="86" t="str">
        <f aca="false">IF($B64="","",SUMIFS('الحركات الشهرية'!$G$6:$G$1005,'الحركات الشهرية'!$B$6:$B$1005,$B64,'الحركات الشهرية'!$A$6:$A$1005,$C$3))</f>
        <v/>
      </c>
      <c r="Q64" s="86" t="str">
        <f aca="false">IF($B64="","",SUMIFS('الحركات الشهرية'!$H$6:$H$1005,'الحركات الشهرية'!$B$6:$B$1005,$B64,'الحركات الشهرية'!$A$6:$A$1005,$C$3))</f>
        <v/>
      </c>
      <c r="R64" s="106" t="str">
        <f aca="false">IF($B64="","",SUM(J64:M64)+SUM(O64:Q64))</f>
        <v/>
      </c>
      <c r="S64" s="86" t="str">
        <f aca="false">IF($B64="","",الموظفون!$Q64*IF(E64="سعودي",cfg_G_SE,cfg_G_NE)*F64/cfg_DAYS_M)</f>
        <v/>
      </c>
      <c r="T64" s="86" t="str">
        <f aca="false">IF($B64="","",SUMIFS('الحركات الشهرية'!$I$6:$I$1005,'الحركات الشهرية'!$B$6:$B$1005,$B64,'الحركات الشهرية'!$A$6:$A$1005,$C$3))</f>
        <v/>
      </c>
      <c r="U64" s="86" t="str">
        <f aca="false">IF($B64="","",SUMIFS('الحركات الشهرية'!$J$6:$J$1005,'الحركات الشهرية'!$B$6:$B$1005,$B64,'الحركات الشهرية'!$A$6:$A$1005,$C$3))</f>
        <v/>
      </c>
      <c r="V64" s="86" t="str">
        <f aca="false">IF($B64="","",SUM(S64:U64))</f>
        <v/>
      </c>
      <c r="W64" s="107" t="str">
        <f aca="false">IF($B64="","",R64-V64)</f>
        <v/>
      </c>
      <c r="X64" s="86" t="str">
        <f aca="false">IF($B64="","",الموظفون!$Q64*IF(E64="سعودي",cfg_G_SR,cfg_G_NR)*F64/cfg_DAYS_M)</f>
        <v/>
      </c>
      <c r="Y64" s="86" t="str">
        <f aca="false">IF($B64="","",الموظفون!$O64*(cfg_EOS_R1*(MIN(AC64,cfg_EOS_TH)-MIN(AD64,cfg_EOS_TH))+cfg_EOS_R2*(MAX(AC64-cfg_EOS_TH,0)-MAX(AD64-cfg_EOS_TH,0))))</f>
        <v/>
      </c>
      <c r="Z64" s="86" t="str">
        <f aca="false">IF($B64="","",IF(الموظفون!$R64&lt;&gt;"",الموظفون!$R64,IF(AC64&gt;=cfg_LV_TH,cfg_LV_D2,cfg_LV_D1))/cfg_DAYS_Y*AE64*الموظفون!$P64/cfg_DAYS_M)</f>
        <v/>
      </c>
      <c r="AA64" s="86" t="str">
        <f aca="false">IF($B64="","",IF(AND(الموظفون!$S64="نعم",N(الموظفون!$U64)&gt;0),الموظفون!$T64/الموظفون!$U64*12/cfg_DAYS_Y*AE64,0))</f>
        <v/>
      </c>
      <c r="AB64" s="108" t="str">
        <f aca="false">IF($B64="","",R64+SUM(X64:AA64))</f>
        <v/>
      </c>
      <c r="AC64" s="109" t="str">
        <f aca="false">IF($B64="","",MAX(0,IF(OR(الموظفون!$X64="",الموظفون!$X64&gt;$G$3),$G$3,الموظفون!$X64)-الموظفون!$H64+1)/cfg_DAYS_Y)</f>
        <v/>
      </c>
      <c r="AD64" s="109" t="str">
        <f aca="false">IF($B64="","",MAX(0,IF(OR(الموظفون!$X64="",الموظفون!$X64&gt;($E$3-1)),($E$3-1),الموظفون!$X64)-الموظفون!$H64+1)/cfg_DAYS_Y)</f>
        <v/>
      </c>
      <c r="AE64" s="51" t="str">
        <f aca="false">IF($B64="","",MAX(0,IF(OR(الموظفون!$X64="",الموظفون!$X64&gt;$G$3),$G$3,الموظفون!$X64)-MAX($E$3,الموظفون!$H64)+1))</f>
        <v/>
      </c>
    </row>
    <row r="65" customFormat="false" ht="15" hidden="false" customHeight="false" outlineLevel="0" collapsed="false">
      <c r="A65" s="89" t="str">
        <f aca="false">IF($B65="","",الموظفون!$A65)</f>
        <v/>
      </c>
      <c r="B65" s="91" t="str">
        <f aca="false">IF(الموظفون!$B65="","",الموظفون!$B65)</f>
        <v/>
      </c>
      <c r="C65" s="91" t="str">
        <f aca="false">IF($B65="","",الموظفون!$C65)</f>
        <v/>
      </c>
      <c r="D65" s="91" t="str">
        <f aca="false">IF($B65="","",الموظفون!$F65)</f>
        <v/>
      </c>
      <c r="E65" s="91" t="str">
        <f aca="false">IF($B65="","",الموظفون!$E65)</f>
        <v/>
      </c>
      <c r="F65" s="110" t="str">
        <f aca="false">IF($B65="","",IF(AE65&gt;=DAY($G$3),cfg_DAYS_M,MIN(AE65,cfg_DAYS_M)))</f>
        <v/>
      </c>
      <c r="G65" s="110" t="str">
        <f aca="false">IF($B65="","",SUMIFS('الحركات الشهرية'!$D$6:$D$1005,'الحركات الشهرية'!$B$6:$B$1005,$B65,'الحركات الشهرية'!$A$6:$A$1005,$C$3))</f>
        <v/>
      </c>
      <c r="H65" s="110" t="str">
        <f aca="false">IF($B65="","",SUMIFS('الحركات الشهرية'!$E$6:$E$1005,'الحركات الشهرية'!$B$6:$B$1005,$B65,'الحركات الشهرية'!$A$6:$A$1005,$C$3))</f>
        <v/>
      </c>
      <c r="I65" s="110" t="str">
        <f aca="false">IF($B65="","",MAX(0,F65-G65-H65))</f>
        <v/>
      </c>
      <c r="J65" s="90" t="str">
        <f aca="false">IF($B65="","",الموظفون!$J65*$I65/cfg_DAYS_M)</f>
        <v/>
      </c>
      <c r="K65" s="90" t="str">
        <f aca="false">IF($B65="","",الموظفون!$K65*$I65/cfg_DAYS_M)</f>
        <v/>
      </c>
      <c r="L65" s="90" t="str">
        <f aca="false">IF($B65="","",الموظفون!$L65*$I65/cfg_DAYS_M)</f>
        <v/>
      </c>
      <c r="M65" s="90" t="str">
        <f aca="false">IF($B65="","",الموظفون!$M65*$I65/cfg_DAYS_M)</f>
        <v/>
      </c>
      <c r="N65" s="110" t="str">
        <f aca="false">IF($B65="","",SUMIFS('الحركات الشهرية'!$F$6:$F$1005,'الحركات الشهرية'!$B$6:$B$1005,$B65,'الحركات الشهرية'!$A$6:$A$1005,$C$3))</f>
        <v/>
      </c>
      <c r="O65" s="90" t="str">
        <f aca="false">IF($B65="","",N65*(الموظفون!$N65+الموظفون!$J65*cfg_OT_P)/cfg_DAYS_M/cfg_HRS)</f>
        <v/>
      </c>
      <c r="P65" s="90" t="str">
        <f aca="false">IF($B65="","",SUMIFS('الحركات الشهرية'!$G$6:$G$1005,'الحركات الشهرية'!$B$6:$B$1005,$B65,'الحركات الشهرية'!$A$6:$A$1005,$C$3))</f>
        <v/>
      </c>
      <c r="Q65" s="90" t="str">
        <f aca="false">IF($B65="","",SUMIFS('الحركات الشهرية'!$H$6:$H$1005,'الحركات الشهرية'!$B$6:$B$1005,$B65,'الحركات الشهرية'!$A$6:$A$1005,$C$3))</f>
        <v/>
      </c>
      <c r="R65" s="111" t="str">
        <f aca="false">IF($B65="","",SUM(J65:M65)+SUM(O65:Q65))</f>
        <v/>
      </c>
      <c r="S65" s="90" t="str">
        <f aca="false">IF($B65="","",الموظفون!$Q65*IF(E65="سعودي",cfg_G_SE,cfg_G_NE)*F65/cfg_DAYS_M)</f>
        <v/>
      </c>
      <c r="T65" s="90" t="str">
        <f aca="false">IF($B65="","",SUMIFS('الحركات الشهرية'!$I$6:$I$1005,'الحركات الشهرية'!$B$6:$B$1005,$B65,'الحركات الشهرية'!$A$6:$A$1005,$C$3))</f>
        <v/>
      </c>
      <c r="U65" s="90" t="str">
        <f aca="false">IF($B65="","",SUMIFS('الحركات الشهرية'!$J$6:$J$1005,'الحركات الشهرية'!$B$6:$B$1005,$B65,'الحركات الشهرية'!$A$6:$A$1005,$C$3))</f>
        <v/>
      </c>
      <c r="V65" s="90" t="str">
        <f aca="false">IF($B65="","",SUM(S65:U65))</f>
        <v/>
      </c>
      <c r="W65" s="112" t="str">
        <f aca="false">IF($B65="","",R65-V65)</f>
        <v/>
      </c>
      <c r="X65" s="90" t="str">
        <f aca="false">IF($B65="","",الموظفون!$Q65*IF(E65="سعودي",cfg_G_SR,cfg_G_NR)*F65/cfg_DAYS_M)</f>
        <v/>
      </c>
      <c r="Y65" s="90" t="str">
        <f aca="false">IF($B65="","",الموظفون!$O65*(cfg_EOS_R1*(MIN(AC65,cfg_EOS_TH)-MIN(AD65,cfg_EOS_TH))+cfg_EOS_R2*(MAX(AC65-cfg_EOS_TH,0)-MAX(AD65-cfg_EOS_TH,0))))</f>
        <v/>
      </c>
      <c r="Z65" s="90" t="str">
        <f aca="false">IF($B65="","",IF(الموظفون!$R65&lt;&gt;"",الموظفون!$R65,IF(AC65&gt;=cfg_LV_TH,cfg_LV_D2,cfg_LV_D1))/cfg_DAYS_Y*AE65*الموظفون!$P65/cfg_DAYS_M)</f>
        <v/>
      </c>
      <c r="AA65" s="90" t="str">
        <f aca="false">IF($B65="","",IF(AND(الموظفون!$S65="نعم",N(الموظفون!$U65)&gt;0),الموظفون!$T65/الموظفون!$U65*12/cfg_DAYS_Y*AE65,0))</f>
        <v/>
      </c>
      <c r="AB65" s="113" t="str">
        <f aca="false">IF($B65="","",R65+SUM(X65:AA65))</f>
        <v/>
      </c>
      <c r="AC65" s="114" t="str">
        <f aca="false">IF($B65="","",MAX(0,IF(OR(الموظفون!$X65="",الموظفون!$X65&gt;$G$3),$G$3,الموظفون!$X65)-الموظفون!$H65+1)/cfg_DAYS_Y)</f>
        <v/>
      </c>
      <c r="AD65" s="114" t="str">
        <f aca="false">IF($B65="","",MAX(0,IF(OR(الموظفون!$X65="",الموظفون!$X65&gt;($E$3-1)),($E$3-1),الموظفون!$X65)-الموظفون!$H65+1)/cfg_DAYS_Y)</f>
        <v/>
      </c>
      <c r="AE65" s="115" t="str">
        <f aca="false">IF($B65="","",MAX(0,IF(OR(الموظفون!$X65="",الموظفون!$X65&gt;$G$3),$G$3,الموظفون!$X65)-MAX($E$3,الموظفون!$H65)+1))</f>
        <v/>
      </c>
    </row>
    <row r="66" customFormat="false" ht="15" hidden="false" customHeight="false" outlineLevel="0" collapsed="false">
      <c r="A66" s="83" t="str">
        <f aca="false">IF($B66="","",الموظفون!$A66)</f>
        <v/>
      </c>
      <c r="B66" s="74" t="str">
        <f aca="false">IF(الموظفون!$B66="","",الموظفون!$B66)</f>
        <v/>
      </c>
      <c r="C66" s="74" t="str">
        <f aca="false">IF($B66="","",الموظفون!$C66)</f>
        <v/>
      </c>
      <c r="D66" s="74" t="str">
        <f aca="false">IF($B66="","",الموظفون!$F66)</f>
        <v/>
      </c>
      <c r="E66" s="74" t="str">
        <f aca="false">IF($B66="","",الموظفون!$E66)</f>
        <v/>
      </c>
      <c r="F66" s="105" t="str">
        <f aca="false">IF($B66="","",IF(AE66&gt;=DAY($G$3),cfg_DAYS_M,MIN(AE66,cfg_DAYS_M)))</f>
        <v/>
      </c>
      <c r="G66" s="105" t="str">
        <f aca="false">IF($B66="","",SUMIFS('الحركات الشهرية'!$D$6:$D$1005,'الحركات الشهرية'!$B$6:$B$1005,$B66,'الحركات الشهرية'!$A$6:$A$1005,$C$3))</f>
        <v/>
      </c>
      <c r="H66" s="105" t="str">
        <f aca="false">IF($B66="","",SUMIFS('الحركات الشهرية'!$E$6:$E$1005,'الحركات الشهرية'!$B$6:$B$1005,$B66,'الحركات الشهرية'!$A$6:$A$1005,$C$3))</f>
        <v/>
      </c>
      <c r="I66" s="105" t="str">
        <f aca="false">IF($B66="","",MAX(0,F66-G66-H66))</f>
        <v/>
      </c>
      <c r="J66" s="86" t="str">
        <f aca="false">IF($B66="","",الموظفون!$J66*$I66/cfg_DAYS_M)</f>
        <v/>
      </c>
      <c r="K66" s="86" t="str">
        <f aca="false">IF($B66="","",الموظفون!$K66*$I66/cfg_DAYS_M)</f>
        <v/>
      </c>
      <c r="L66" s="86" t="str">
        <f aca="false">IF($B66="","",الموظفون!$L66*$I66/cfg_DAYS_M)</f>
        <v/>
      </c>
      <c r="M66" s="86" t="str">
        <f aca="false">IF($B66="","",الموظفون!$M66*$I66/cfg_DAYS_M)</f>
        <v/>
      </c>
      <c r="N66" s="105" t="str">
        <f aca="false">IF($B66="","",SUMIFS('الحركات الشهرية'!$F$6:$F$1005,'الحركات الشهرية'!$B$6:$B$1005,$B66,'الحركات الشهرية'!$A$6:$A$1005,$C$3))</f>
        <v/>
      </c>
      <c r="O66" s="86" t="str">
        <f aca="false">IF($B66="","",N66*(الموظفون!$N66+الموظفون!$J66*cfg_OT_P)/cfg_DAYS_M/cfg_HRS)</f>
        <v/>
      </c>
      <c r="P66" s="86" t="str">
        <f aca="false">IF($B66="","",SUMIFS('الحركات الشهرية'!$G$6:$G$1005,'الحركات الشهرية'!$B$6:$B$1005,$B66,'الحركات الشهرية'!$A$6:$A$1005,$C$3))</f>
        <v/>
      </c>
      <c r="Q66" s="86" t="str">
        <f aca="false">IF($B66="","",SUMIFS('الحركات الشهرية'!$H$6:$H$1005,'الحركات الشهرية'!$B$6:$B$1005,$B66,'الحركات الشهرية'!$A$6:$A$1005,$C$3))</f>
        <v/>
      </c>
      <c r="R66" s="106" t="str">
        <f aca="false">IF($B66="","",SUM(J66:M66)+SUM(O66:Q66))</f>
        <v/>
      </c>
      <c r="S66" s="86" t="str">
        <f aca="false">IF($B66="","",الموظفون!$Q66*IF(E66="سعودي",cfg_G_SE,cfg_G_NE)*F66/cfg_DAYS_M)</f>
        <v/>
      </c>
      <c r="T66" s="86" t="str">
        <f aca="false">IF($B66="","",SUMIFS('الحركات الشهرية'!$I$6:$I$1005,'الحركات الشهرية'!$B$6:$B$1005,$B66,'الحركات الشهرية'!$A$6:$A$1005,$C$3))</f>
        <v/>
      </c>
      <c r="U66" s="86" t="str">
        <f aca="false">IF($B66="","",SUMIFS('الحركات الشهرية'!$J$6:$J$1005,'الحركات الشهرية'!$B$6:$B$1005,$B66,'الحركات الشهرية'!$A$6:$A$1005,$C$3))</f>
        <v/>
      </c>
      <c r="V66" s="86" t="str">
        <f aca="false">IF($B66="","",SUM(S66:U66))</f>
        <v/>
      </c>
      <c r="W66" s="107" t="str">
        <f aca="false">IF($B66="","",R66-V66)</f>
        <v/>
      </c>
      <c r="X66" s="86" t="str">
        <f aca="false">IF($B66="","",الموظفون!$Q66*IF(E66="سعودي",cfg_G_SR,cfg_G_NR)*F66/cfg_DAYS_M)</f>
        <v/>
      </c>
      <c r="Y66" s="86" t="str">
        <f aca="false">IF($B66="","",الموظفون!$O66*(cfg_EOS_R1*(MIN(AC66,cfg_EOS_TH)-MIN(AD66,cfg_EOS_TH))+cfg_EOS_R2*(MAX(AC66-cfg_EOS_TH,0)-MAX(AD66-cfg_EOS_TH,0))))</f>
        <v/>
      </c>
      <c r="Z66" s="86" t="str">
        <f aca="false">IF($B66="","",IF(الموظفون!$R66&lt;&gt;"",الموظفون!$R66,IF(AC66&gt;=cfg_LV_TH,cfg_LV_D2,cfg_LV_D1))/cfg_DAYS_Y*AE66*الموظفون!$P66/cfg_DAYS_M)</f>
        <v/>
      </c>
      <c r="AA66" s="86" t="str">
        <f aca="false">IF($B66="","",IF(AND(الموظفون!$S66="نعم",N(الموظفون!$U66)&gt;0),الموظفون!$T66/الموظفون!$U66*12/cfg_DAYS_Y*AE66,0))</f>
        <v/>
      </c>
      <c r="AB66" s="108" t="str">
        <f aca="false">IF($B66="","",R66+SUM(X66:AA66))</f>
        <v/>
      </c>
      <c r="AC66" s="109" t="str">
        <f aca="false">IF($B66="","",MAX(0,IF(OR(الموظفون!$X66="",الموظفون!$X66&gt;$G$3),$G$3,الموظفون!$X66)-الموظفون!$H66+1)/cfg_DAYS_Y)</f>
        <v/>
      </c>
      <c r="AD66" s="109" t="str">
        <f aca="false">IF($B66="","",MAX(0,IF(OR(الموظفون!$X66="",الموظفون!$X66&gt;($E$3-1)),($E$3-1),الموظفون!$X66)-الموظفون!$H66+1)/cfg_DAYS_Y)</f>
        <v/>
      </c>
      <c r="AE66" s="51" t="str">
        <f aca="false">IF($B66="","",MAX(0,IF(OR(الموظفون!$X66="",الموظفون!$X66&gt;$G$3),$G$3,الموظفون!$X66)-MAX($E$3,الموظفون!$H66)+1))</f>
        <v/>
      </c>
    </row>
    <row r="67" customFormat="false" ht="15" hidden="false" customHeight="false" outlineLevel="0" collapsed="false">
      <c r="A67" s="89" t="str">
        <f aca="false">IF($B67="","",الموظفون!$A67)</f>
        <v/>
      </c>
      <c r="B67" s="91" t="str">
        <f aca="false">IF(الموظفون!$B67="","",الموظفون!$B67)</f>
        <v/>
      </c>
      <c r="C67" s="91" t="str">
        <f aca="false">IF($B67="","",الموظفون!$C67)</f>
        <v/>
      </c>
      <c r="D67" s="91" t="str">
        <f aca="false">IF($B67="","",الموظفون!$F67)</f>
        <v/>
      </c>
      <c r="E67" s="91" t="str">
        <f aca="false">IF($B67="","",الموظفون!$E67)</f>
        <v/>
      </c>
      <c r="F67" s="110" t="str">
        <f aca="false">IF($B67="","",IF(AE67&gt;=DAY($G$3),cfg_DAYS_M,MIN(AE67,cfg_DAYS_M)))</f>
        <v/>
      </c>
      <c r="G67" s="110" t="str">
        <f aca="false">IF($B67="","",SUMIFS('الحركات الشهرية'!$D$6:$D$1005,'الحركات الشهرية'!$B$6:$B$1005,$B67,'الحركات الشهرية'!$A$6:$A$1005,$C$3))</f>
        <v/>
      </c>
      <c r="H67" s="110" t="str">
        <f aca="false">IF($B67="","",SUMIFS('الحركات الشهرية'!$E$6:$E$1005,'الحركات الشهرية'!$B$6:$B$1005,$B67,'الحركات الشهرية'!$A$6:$A$1005,$C$3))</f>
        <v/>
      </c>
      <c r="I67" s="110" t="str">
        <f aca="false">IF($B67="","",MAX(0,F67-G67-H67))</f>
        <v/>
      </c>
      <c r="J67" s="90" t="str">
        <f aca="false">IF($B67="","",الموظفون!$J67*$I67/cfg_DAYS_M)</f>
        <v/>
      </c>
      <c r="K67" s="90" t="str">
        <f aca="false">IF($B67="","",الموظفون!$K67*$I67/cfg_DAYS_M)</f>
        <v/>
      </c>
      <c r="L67" s="90" t="str">
        <f aca="false">IF($B67="","",الموظفون!$L67*$I67/cfg_DAYS_M)</f>
        <v/>
      </c>
      <c r="M67" s="90" t="str">
        <f aca="false">IF($B67="","",الموظفون!$M67*$I67/cfg_DAYS_M)</f>
        <v/>
      </c>
      <c r="N67" s="110" t="str">
        <f aca="false">IF($B67="","",SUMIFS('الحركات الشهرية'!$F$6:$F$1005,'الحركات الشهرية'!$B$6:$B$1005,$B67,'الحركات الشهرية'!$A$6:$A$1005,$C$3))</f>
        <v/>
      </c>
      <c r="O67" s="90" t="str">
        <f aca="false">IF($B67="","",N67*(الموظفون!$N67+الموظفون!$J67*cfg_OT_P)/cfg_DAYS_M/cfg_HRS)</f>
        <v/>
      </c>
      <c r="P67" s="90" t="str">
        <f aca="false">IF($B67="","",SUMIFS('الحركات الشهرية'!$G$6:$G$1005,'الحركات الشهرية'!$B$6:$B$1005,$B67,'الحركات الشهرية'!$A$6:$A$1005,$C$3))</f>
        <v/>
      </c>
      <c r="Q67" s="90" t="str">
        <f aca="false">IF($B67="","",SUMIFS('الحركات الشهرية'!$H$6:$H$1005,'الحركات الشهرية'!$B$6:$B$1005,$B67,'الحركات الشهرية'!$A$6:$A$1005,$C$3))</f>
        <v/>
      </c>
      <c r="R67" s="111" t="str">
        <f aca="false">IF($B67="","",SUM(J67:M67)+SUM(O67:Q67))</f>
        <v/>
      </c>
      <c r="S67" s="90" t="str">
        <f aca="false">IF($B67="","",الموظفون!$Q67*IF(E67="سعودي",cfg_G_SE,cfg_G_NE)*F67/cfg_DAYS_M)</f>
        <v/>
      </c>
      <c r="T67" s="90" t="str">
        <f aca="false">IF($B67="","",SUMIFS('الحركات الشهرية'!$I$6:$I$1005,'الحركات الشهرية'!$B$6:$B$1005,$B67,'الحركات الشهرية'!$A$6:$A$1005,$C$3))</f>
        <v/>
      </c>
      <c r="U67" s="90" t="str">
        <f aca="false">IF($B67="","",SUMIFS('الحركات الشهرية'!$J$6:$J$1005,'الحركات الشهرية'!$B$6:$B$1005,$B67,'الحركات الشهرية'!$A$6:$A$1005,$C$3))</f>
        <v/>
      </c>
      <c r="V67" s="90" t="str">
        <f aca="false">IF($B67="","",SUM(S67:U67))</f>
        <v/>
      </c>
      <c r="W67" s="112" t="str">
        <f aca="false">IF($B67="","",R67-V67)</f>
        <v/>
      </c>
      <c r="X67" s="90" t="str">
        <f aca="false">IF($B67="","",الموظفون!$Q67*IF(E67="سعودي",cfg_G_SR,cfg_G_NR)*F67/cfg_DAYS_M)</f>
        <v/>
      </c>
      <c r="Y67" s="90" t="str">
        <f aca="false">IF($B67="","",الموظفون!$O67*(cfg_EOS_R1*(MIN(AC67,cfg_EOS_TH)-MIN(AD67,cfg_EOS_TH))+cfg_EOS_R2*(MAX(AC67-cfg_EOS_TH,0)-MAX(AD67-cfg_EOS_TH,0))))</f>
        <v/>
      </c>
      <c r="Z67" s="90" t="str">
        <f aca="false">IF($B67="","",IF(الموظفون!$R67&lt;&gt;"",الموظفون!$R67,IF(AC67&gt;=cfg_LV_TH,cfg_LV_D2,cfg_LV_D1))/cfg_DAYS_Y*AE67*الموظفون!$P67/cfg_DAYS_M)</f>
        <v/>
      </c>
      <c r="AA67" s="90" t="str">
        <f aca="false">IF($B67="","",IF(AND(الموظفون!$S67="نعم",N(الموظفون!$U67)&gt;0),الموظفون!$T67/الموظفون!$U67*12/cfg_DAYS_Y*AE67,0))</f>
        <v/>
      </c>
      <c r="AB67" s="113" t="str">
        <f aca="false">IF($B67="","",R67+SUM(X67:AA67))</f>
        <v/>
      </c>
      <c r="AC67" s="114" t="str">
        <f aca="false">IF($B67="","",MAX(0,IF(OR(الموظفون!$X67="",الموظفون!$X67&gt;$G$3),$G$3,الموظفون!$X67)-الموظفون!$H67+1)/cfg_DAYS_Y)</f>
        <v/>
      </c>
      <c r="AD67" s="114" t="str">
        <f aca="false">IF($B67="","",MAX(0,IF(OR(الموظفون!$X67="",الموظفون!$X67&gt;($E$3-1)),($E$3-1),الموظفون!$X67)-الموظفون!$H67+1)/cfg_DAYS_Y)</f>
        <v/>
      </c>
      <c r="AE67" s="115" t="str">
        <f aca="false">IF($B67="","",MAX(0,IF(OR(الموظفون!$X67="",الموظفون!$X67&gt;$G$3),$G$3,الموظفون!$X67)-MAX($E$3,الموظفون!$H67)+1))</f>
        <v/>
      </c>
    </row>
    <row r="68" customFormat="false" ht="15" hidden="false" customHeight="false" outlineLevel="0" collapsed="false">
      <c r="A68" s="83" t="str">
        <f aca="false">IF($B68="","",الموظفون!$A68)</f>
        <v/>
      </c>
      <c r="B68" s="74" t="str">
        <f aca="false">IF(الموظفون!$B68="","",الموظفون!$B68)</f>
        <v/>
      </c>
      <c r="C68" s="74" t="str">
        <f aca="false">IF($B68="","",الموظفون!$C68)</f>
        <v/>
      </c>
      <c r="D68" s="74" t="str">
        <f aca="false">IF($B68="","",الموظفون!$F68)</f>
        <v/>
      </c>
      <c r="E68" s="74" t="str">
        <f aca="false">IF($B68="","",الموظفون!$E68)</f>
        <v/>
      </c>
      <c r="F68" s="105" t="str">
        <f aca="false">IF($B68="","",IF(AE68&gt;=DAY($G$3),cfg_DAYS_M,MIN(AE68,cfg_DAYS_M)))</f>
        <v/>
      </c>
      <c r="G68" s="105" t="str">
        <f aca="false">IF($B68="","",SUMIFS('الحركات الشهرية'!$D$6:$D$1005,'الحركات الشهرية'!$B$6:$B$1005,$B68,'الحركات الشهرية'!$A$6:$A$1005,$C$3))</f>
        <v/>
      </c>
      <c r="H68" s="105" t="str">
        <f aca="false">IF($B68="","",SUMIFS('الحركات الشهرية'!$E$6:$E$1005,'الحركات الشهرية'!$B$6:$B$1005,$B68,'الحركات الشهرية'!$A$6:$A$1005,$C$3))</f>
        <v/>
      </c>
      <c r="I68" s="105" t="str">
        <f aca="false">IF($B68="","",MAX(0,F68-G68-H68))</f>
        <v/>
      </c>
      <c r="J68" s="86" t="str">
        <f aca="false">IF($B68="","",الموظفون!$J68*$I68/cfg_DAYS_M)</f>
        <v/>
      </c>
      <c r="K68" s="86" t="str">
        <f aca="false">IF($B68="","",الموظفون!$K68*$I68/cfg_DAYS_M)</f>
        <v/>
      </c>
      <c r="L68" s="86" t="str">
        <f aca="false">IF($B68="","",الموظفون!$L68*$I68/cfg_DAYS_M)</f>
        <v/>
      </c>
      <c r="M68" s="86" t="str">
        <f aca="false">IF($B68="","",الموظفون!$M68*$I68/cfg_DAYS_M)</f>
        <v/>
      </c>
      <c r="N68" s="105" t="str">
        <f aca="false">IF($B68="","",SUMIFS('الحركات الشهرية'!$F$6:$F$1005,'الحركات الشهرية'!$B$6:$B$1005,$B68,'الحركات الشهرية'!$A$6:$A$1005,$C$3))</f>
        <v/>
      </c>
      <c r="O68" s="86" t="str">
        <f aca="false">IF($B68="","",N68*(الموظفون!$N68+الموظفون!$J68*cfg_OT_P)/cfg_DAYS_M/cfg_HRS)</f>
        <v/>
      </c>
      <c r="P68" s="86" t="str">
        <f aca="false">IF($B68="","",SUMIFS('الحركات الشهرية'!$G$6:$G$1005,'الحركات الشهرية'!$B$6:$B$1005,$B68,'الحركات الشهرية'!$A$6:$A$1005,$C$3))</f>
        <v/>
      </c>
      <c r="Q68" s="86" t="str">
        <f aca="false">IF($B68="","",SUMIFS('الحركات الشهرية'!$H$6:$H$1005,'الحركات الشهرية'!$B$6:$B$1005,$B68,'الحركات الشهرية'!$A$6:$A$1005,$C$3))</f>
        <v/>
      </c>
      <c r="R68" s="106" t="str">
        <f aca="false">IF($B68="","",SUM(J68:M68)+SUM(O68:Q68))</f>
        <v/>
      </c>
      <c r="S68" s="86" t="str">
        <f aca="false">IF($B68="","",الموظفون!$Q68*IF(E68="سعودي",cfg_G_SE,cfg_G_NE)*F68/cfg_DAYS_M)</f>
        <v/>
      </c>
      <c r="T68" s="86" t="str">
        <f aca="false">IF($B68="","",SUMIFS('الحركات الشهرية'!$I$6:$I$1005,'الحركات الشهرية'!$B$6:$B$1005,$B68,'الحركات الشهرية'!$A$6:$A$1005,$C$3))</f>
        <v/>
      </c>
      <c r="U68" s="86" t="str">
        <f aca="false">IF($B68="","",SUMIFS('الحركات الشهرية'!$J$6:$J$1005,'الحركات الشهرية'!$B$6:$B$1005,$B68,'الحركات الشهرية'!$A$6:$A$1005,$C$3))</f>
        <v/>
      </c>
      <c r="V68" s="86" t="str">
        <f aca="false">IF($B68="","",SUM(S68:U68))</f>
        <v/>
      </c>
      <c r="W68" s="107" t="str">
        <f aca="false">IF($B68="","",R68-V68)</f>
        <v/>
      </c>
      <c r="X68" s="86" t="str">
        <f aca="false">IF($B68="","",الموظفون!$Q68*IF(E68="سعودي",cfg_G_SR,cfg_G_NR)*F68/cfg_DAYS_M)</f>
        <v/>
      </c>
      <c r="Y68" s="86" t="str">
        <f aca="false">IF($B68="","",الموظفون!$O68*(cfg_EOS_R1*(MIN(AC68,cfg_EOS_TH)-MIN(AD68,cfg_EOS_TH))+cfg_EOS_R2*(MAX(AC68-cfg_EOS_TH,0)-MAX(AD68-cfg_EOS_TH,0))))</f>
        <v/>
      </c>
      <c r="Z68" s="86" t="str">
        <f aca="false">IF($B68="","",IF(الموظفون!$R68&lt;&gt;"",الموظفون!$R68,IF(AC68&gt;=cfg_LV_TH,cfg_LV_D2,cfg_LV_D1))/cfg_DAYS_Y*AE68*الموظفون!$P68/cfg_DAYS_M)</f>
        <v/>
      </c>
      <c r="AA68" s="86" t="str">
        <f aca="false">IF($B68="","",IF(AND(الموظفون!$S68="نعم",N(الموظفون!$U68)&gt;0),الموظفون!$T68/الموظفون!$U68*12/cfg_DAYS_Y*AE68,0))</f>
        <v/>
      </c>
      <c r="AB68" s="108" t="str">
        <f aca="false">IF($B68="","",R68+SUM(X68:AA68))</f>
        <v/>
      </c>
      <c r="AC68" s="109" t="str">
        <f aca="false">IF($B68="","",MAX(0,IF(OR(الموظفون!$X68="",الموظفون!$X68&gt;$G$3),$G$3,الموظفون!$X68)-الموظفون!$H68+1)/cfg_DAYS_Y)</f>
        <v/>
      </c>
      <c r="AD68" s="109" t="str">
        <f aca="false">IF($B68="","",MAX(0,IF(OR(الموظفون!$X68="",الموظفون!$X68&gt;($E$3-1)),($E$3-1),الموظفون!$X68)-الموظفون!$H68+1)/cfg_DAYS_Y)</f>
        <v/>
      </c>
      <c r="AE68" s="51" t="str">
        <f aca="false">IF($B68="","",MAX(0,IF(OR(الموظفون!$X68="",الموظفون!$X68&gt;$G$3),$G$3,الموظفون!$X68)-MAX($E$3,الموظفون!$H68)+1))</f>
        <v/>
      </c>
    </row>
    <row r="69" customFormat="false" ht="15" hidden="false" customHeight="false" outlineLevel="0" collapsed="false">
      <c r="A69" s="89" t="str">
        <f aca="false">IF($B69="","",الموظفون!$A69)</f>
        <v/>
      </c>
      <c r="B69" s="91" t="str">
        <f aca="false">IF(الموظفون!$B69="","",الموظفون!$B69)</f>
        <v/>
      </c>
      <c r="C69" s="91" t="str">
        <f aca="false">IF($B69="","",الموظفون!$C69)</f>
        <v/>
      </c>
      <c r="D69" s="91" t="str">
        <f aca="false">IF($B69="","",الموظفون!$F69)</f>
        <v/>
      </c>
      <c r="E69" s="91" t="str">
        <f aca="false">IF($B69="","",الموظفون!$E69)</f>
        <v/>
      </c>
      <c r="F69" s="110" t="str">
        <f aca="false">IF($B69="","",IF(AE69&gt;=DAY($G$3),cfg_DAYS_M,MIN(AE69,cfg_DAYS_M)))</f>
        <v/>
      </c>
      <c r="G69" s="110" t="str">
        <f aca="false">IF($B69="","",SUMIFS('الحركات الشهرية'!$D$6:$D$1005,'الحركات الشهرية'!$B$6:$B$1005,$B69,'الحركات الشهرية'!$A$6:$A$1005,$C$3))</f>
        <v/>
      </c>
      <c r="H69" s="110" t="str">
        <f aca="false">IF($B69="","",SUMIFS('الحركات الشهرية'!$E$6:$E$1005,'الحركات الشهرية'!$B$6:$B$1005,$B69,'الحركات الشهرية'!$A$6:$A$1005,$C$3))</f>
        <v/>
      </c>
      <c r="I69" s="110" t="str">
        <f aca="false">IF($B69="","",MAX(0,F69-G69-H69))</f>
        <v/>
      </c>
      <c r="J69" s="90" t="str">
        <f aca="false">IF($B69="","",الموظفون!$J69*$I69/cfg_DAYS_M)</f>
        <v/>
      </c>
      <c r="K69" s="90" t="str">
        <f aca="false">IF($B69="","",الموظفون!$K69*$I69/cfg_DAYS_M)</f>
        <v/>
      </c>
      <c r="L69" s="90" t="str">
        <f aca="false">IF($B69="","",الموظفون!$L69*$I69/cfg_DAYS_M)</f>
        <v/>
      </c>
      <c r="M69" s="90" t="str">
        <f aca="false">IF($B69="","",الموظفون!$M69*$I69/cfg_DAYS_M)</f>
        <v/>
      </c>
      <c r="N69" s="110" t="str">
        <f aca="false">IF($B69="","",SUMIFS('الحركات الشهرية'!$F$6:$F$1005,'الحركات الشهرية'!$B$6:$B$1005,$B69,'الحركات الشهرية'!$A$6:$A$1005,$C$3))</f>
        <v/>
      </c>
      <c r="O69" s="90" t="str">
        <f aca="false">IF($B69="","",N69*(الموظفون!$N69+الموظفون!$J69*cfg_OT_P)/cfg_DAYS_M/cfg_HRS)</f>
        <v/>
      </c>
      <c r="P69" s="90" t="str">
        <f aca="false">IF($B69="","",SUMIFS('الحركات الشهرية'!$G$6:$G$1005,'الحركات الشهرية'!$B$6:$B$1005,$B69,'الحركات الشهرية'!$A$6:$A$1005,$C$3))</f>
        <v/>
      </c>
      <c r="Q69" s="90" t="str">
        <f aca="false">IF($B69="","",SUMIFS('الحركات الشهرية'!$H$6:$H$1005,'الحركات الشهرية'!$B$6:$B$1005,$B69,'الحركات الشهرية'!$A$6:$A$1005,$C$3))</f>
        <v/>
      </c>
      <c r="R69" s="111" t="str">
        <f aca="false">IF($B69="","",SUM(J69:M69)+SUM(O69:Q69))</f>
        <v/>
      </c>
      <c r="S69" s="90" t="str">
        <f aca="false">IF($B69="","",الموظفون!$Q69*IF(E69="سعودي",cfg_G_SE,cfg_G_NE)*F69/cfg_DAYS_M)</f>
        <v/>
      </c>
      <c r="T69" s="90" t="str">
        <f aca="false">IF($B69="","",SUMIFS('الحركات الشهرية'!$I$6:$I$1005,'الحركات الشهرية'!$B$6:$B$1005,$B69,'الحركات الشهرية'!$A$6:$A$1005,$C$3))</f>
        <v/>
      </c>
      <c r="U69" s="90" t="str">
        <f aca="false">IF($B69="","",SUMIFS('الحركات الشهرية'!$J$6:$J$1005,'الحركات الشهرية'!$B$6:$B$1005,$B69,'الحركات الشهرية'!$A$6:$A$1005,$C$3))</f>
        <v/>
      </c>
      <c r="V69" s="90" t="str">
        <f aca="false">IF($B69="","",SUM(S69:U69))</f>
        <v/>
      </c>
      <c r="W69" s="112" t="str">
        <f aca="false">IF($B69="","",R69-V69)</f>
        <v/>
      </c>
      <c r="X69" s="90" t="str">
        <f aca="false">IF($B69="","",الموظفون!$Q69*IF(E69="سعودي",cfg_G_SR,cfg_G_NR)*F69/cfg_DAYS_M)</f>
        <v/>
      </c>
      <c r="Y69" s="90" t="str">
        <f aca="false">IF($B69="","",الموظفون!$O69*(cfg_EOS_R1*(MIN(AC69,cfg_EOS_TH)-MIN(AD69,cfg_EOS_TH))+cfg_EOS_R2*(MAX(AC69-cfg_EOS_TH,0)-MAX(AD69-cfg_EOS_TH,0))))</f>
        <v/>
      </c>
      <c r="Z69" s="90" t="str">
        <f aca="false">IF($B69="","",IF(الموظفون!$R69&lt;&gt;"",الموظفون!$R69,IF(AC69&gt;=cfg_LV_TH,cfg_LV_D2,cfg_LV_D1))/cfg_DAYS_Y*AE69*الموظفون!$P69/cfg_DAYS_M)</f>
        <v/>
      </c>
      <c r="AA69" s="90" t="str">
        <f aca="false">IF($B69="","",IF(AND(الموظفون!$S69="نعم",N(الموظفون!$U69)&gt;0),الموظفون!$T69/الموظفون!$U69*12/cfg_DAYS_Y*AE69,0))</f>
        <v/>
      </c>
      <c r="AB69" s="113" t="str">
        <f aca="false">IF($B69="","",R69+SUM(X69:AA69))</f>
        <v/>
      </c>
      <c r="AC69" s="114" t="str">
        <f aca="false">IF($B69="","",MAX(0,IF(OR(الموظفون!$X69="",الموظفون!$X69&gt;$G$3),$G$3,الموظفون!$X69)-الموظفون!$H69+1)/cfg_DAYS_Y)</f>
        <v/>
      </c>
      <c r="AD69" s="114" t="str">
        <f aca="false">IF($B69="","",MAX(0,IF(OR(الموظفون!$X69="",الموظفون!$X69&gt;($E$3-1)),($E$3-1),الموظفون!$X69)-الموظفون!$H69+1)/cfg_DAYS_Y)</f>
        <v/>
      </c>
      <c r="AE69" s="115" t="str">
        <f aca="false">IF($B69="","",MAX(0,IF(OR(الموظفون!$X69="",الموظفون!$X69&gt;$G$3),$G$3,الموظفون!$X69)-MAX($E$3,الموظفون!$H69)+1))</f>
        <v/>
      </c>
    </row>
    <row r="70" customFormat="false" ht="15" hidden="false" customHeight="false" outlineLevel="0" collapsed="false">
      <c r="A70" s="83" t="str">
        <f aca="false">IF($B70="","",الموظفون!$A70)</f>
        <v/>
      </c>
      <c r="B70" s="74" t="str">
        <f aca="false">IF(الموظفون!$B70="","",الموظفون!$B70)</f>
        <v/>
      </c>
      <c r="C70" s="74" t="str">
        <f aca="false">IF($B70="","",الموظفون!$C70)</f>
        <v/>
      </c>
      <c r="D70" s="74" t="str">
        <f aca="false">IF($B70="","",الموظفون!$F70)</f>
        <v/>
      </c>
      <c r="E70" s="74" t="str">
        <f aca="false">IF($B70="","",الموظفون!$E70)</f>
        <v/>
      </c>
      <c r="F70" s="105" t="str">
        <f aca="false">IF($B70="","",IF(AE70&gt;=DAY($G$3),cfg_DAYS_M,MIN(AE70,cfg_DAYS_M)))</f>
        <v/>
      </c>
      <c r="G70" s="105" t="str">
        <f aca="false">IF($B70="","",SUMIFS('الحركات الشهرية'!$D$6:$D$1005,'الحركات الشهرية'!$B$6:$B$1005,$B70,'الحركات الشهرية'!$A$6:$A$1005,$C$3))</f>
        <v/>
      </c>
      <c r="H70" s="105" t="str">
        <f aca="false">IF($B70="","",SUMIFS('الحركات الشهرية'!$E$6:$E$1005,'الحركات الشهرية'!$B$6:$B$1005,$B70,'الحركات الشهرية'!$A$6:$A$1005,$C$3))</f>
        <v/>
      </c>
      <c r="I70" s="105" t="str">
        <f aca="false">IF($B70="","",MAX(0,F70-G70-H70))</f>
        <v/>
      </c>
      <c r="J70" s="86" t="str">
        <f aca="false">IF($B70="","",الموظفون!$J70*$I70/cfg_DAYS_M)</f>
        <v/>
      </c>
      <c r="K70" s="86" t="str">
        <f aca="false">IF($B70="","",الموظفون!$K70*$I70/cfg_DAYS_M)</f>
        <v/>
      </c>
      <c r="L70" s="86" t="str">
        <f aca="false">IF($B70="","",الموظفون!$L70*$I70/cfg_DAYS_M)</f>
        <v/>
      </c>
      <c r="M70" s="86" t="str">
        <f aca="false">IF($B70="","",الموظفون!$M70*$I70/cfg_DAYS_M)</f>
        <v/>
      </c>
      <c r="N70" s="105" t="str">
        <f aca="false">IF($B70="","",SUMIFS('الحركات الشهرية'!$F$6:$F$1005,'الحركات الشهرية'!$B$6:$B$1005,$B70,'الحركات الشهرية'!$A$6:$A$1005,$C$3))</f>
        <v/>
      </c>
      <c r="O70" s="86" t="str">
        <f aca="false">IF($B70="","",N70*(الموظفون!$N70+الموظفون!$J70*cfg_OT_P)/cfg_DAYS_M/cfg_HRS)</f>
        <v/>
      </c>
      <c r="P70" s="86" t="str">
        <f aca="false">IF($B70="","",SUMIFS('الحركات الشهرية'!$G$6:$G$1005,'الحركات الشهرية'!$B$6:$B$1005,$B70,'الحركات الشهرية'!$A$6:$A$1005,$C$3))</f>
        <v/>
      </c>
      <c r="Q70" s="86" t="str">
        <f aca="false">IF($B70="","",SUMIFS('الحركات الشهرية'!$H$6:$H$1005,'الحركات الشهرية'!$B$6:$B$1005,$B70,'الحركات الشهرية'!$A$6:$A$1005,$C$3))</f>
        <v/>
      </c>
      <c r="R70" s="106" t="str">
        <f aca="false">IF($B70="","",SUM(J70:M70)+SUM(O70:Q70))</f>
        <v/>
      </c>
      <c r="S70" s="86" t="str">
        <f aca="false">IF($B70="","",الموظفون!$Q70*IF(E70="سعودي",cfg_G_SE,cfg_G_NE)*F70/cfg_DAYS_M)</f>
        <v/>
      </c>
      <c r="T70" s="86" t="str">
        <f aca="false">IF($B70="","",SUMIFS('الحركات الشهرية'!$I$6:$I$1005,'الحركات الشهرية'!$B$6:$B$1005,$B70,'الحركات الشهرية'!$A$6:$A$1005,$C$3))</f>
        <v/>
      </c>
      <c r="U70" s="86" t="str">
        <f aca="false">IF($B70="","",SUMIFS('الحركات الشهرية'!$J$6:$J$1005,'الحركات الشهرية'!$B$6:$B$1005,$B70,'الحركات الشهرية'!$A$6:$A$1005,$C$3))</f>
        <v/>
      </c>
      <c r="V70" s="86" t="str">
        <f aca="false">IF($B70="","",SUM(S70:U70))</f>
        <v/>
      </c>
      <c r="W70" s="107" t="str">
        <f aca="false">IF($B70="","",R70-V70)</f>
        <v/>
      </c>
      <c r="X70" s="86" t="str">
        <f aca="false">IF($B70="","",الموظفون!$Q70*IF(E70="سعودي",cfg_G_SR,cfg_G_NR)*F70/cfg_DAYS_M)</f>
        <v/>
      </c>
      <c r="Y70" s="86" t="str">
        <f aca="false">IF($B70="","",الموظفون!$O70*(cfg_EOS_R1*(MIN(AC70,cfg_EOS_TH)-MIN(AD70,cfg_EOS_TH))+cfg_EOS_R2*(MAX(AC70-cfg_EOS_TH,0)-MAX(AD70-cfg_EOS_TH,0))))</f>
        <v/>
      </c>
      <c r="Z70" s="86" t="str">
        <f aca="false">IF($B70="","",IF(الموظفون!$R70&lt;&gt;"",الموظفون!$R70,IF(AC70&gt;=cfg_LV_TH,cfg_LV_D2,cfg_LV_D1))/cfg_DAYS_Y*AE70*الموظفون!$P70/cfg_DAYS_M)</f>
        <v/>
      </c>
      <c r="AA70" s="86" t="str">
        <f aca="false">IF($B70="","",IF(AND(الموظفون!$S70="نعم",N(الموظفون!$U70)&gt;0),الموظفون!$T70/الموظفون!$U70*12/cfg_DAYS_Y*AE70,0))</f>
        <v/>
      </c>
      <c r="AB70" s="108" t="str">
        <f aca="false">IF($B70="","",R70+SUM(X70:AA70))</f>
        <v/>
      </c>
      <c r="AC70" s="109" t="str">
        <f aca="false">IF($B70="","",MAX(0,IF(OR(الموظفون!$X70="",الموظفون!$X70&gt;$G$3),$G$3,الموظفون!$X70)-الموظفون!$H70+1)/cfg_DAYS_Y)</f>
        <v/>
      </c>
      <c r="AD70" s="109" t="str">
        <f aca="false">IF($B70="","",MAX(0,IF(OR(الموظفون!$X70="",الموظفون!$X70&gt;($E$3-1)),($E$3-1),الموظفون!$X70)-الموظفون!$H70+1)/cfg_DAYS_Y)</f>
        <v/>
      </c>
      <c r="AE70" s="51" t="str">
        <f aca="false">IF($B70="","",MAX(0,IF(OR(الموظفون!$X70="",الموظفون!$X70&gt;$G$3),$G$3,الموظفون!$X70)-MAX($E$3,الموظفون!$H70)+1))</f>
        <v/>
      </c>
    </row>
    <row r="71" customFormat="false" ht="15" hidden="false" customHeight="false" outlineLevel="0" collapsed="false">
      <c r="A71" s="89" t="str">
        <f aca="false">IF($B71="","",الموظفون!$A71)</f>
        <v/>
      </c>
      <c r="B71" s="91" t="str">
        <f aca="false">IF(الموظفون!$B71="","",الموظفون!$B71)</f>
        <v/>
      </c>
      <c r="C71" s="91" t="str">
        <f aca="false">IF($B71="","",الموظفون!$C71)</f>
        <v/>
      </c>
      <c r="D71" s="91" t="str">
        <f aca="false">IF($B71="","",الموظفون!$F71)</f>
        <v/>
      </c>
      <c r="E71" s="91" t="str">
        <f aca="false">IF($B71="","",الموظفون!$E71)</f>
        <v/>
      </c>
      <c r="F71" s="110" t="str">
        <f aca="false">IF($B71="","",IF(AE71&gt;=DAY($G$3),cfg_DAYS_M,MIN(AE71,cfg_DAYS_M)))</f>
        <v/>
      </c>
      <c r="G71" s="110" t="str">
        <f aca="false">IF($B71="","",SUMIFS('الحركات الشهرية'!$D$6:$D$1005,'الحركات الشهرية'!$B$6:$B$1005,$B71,'الحركات الشهرية'!$A$6:$A$1005,$C$3))</f>
        <v/>
      </c>
      <c r="H71" s="110" t="str">
        <f aca="false">IF($B71="","",SUMIFS('الحركات الشهرية'!$E$6:$E$1005,'الحركات الشهرية'!$B$6:$B$1005,$B71,'الحركات الشهرية'!$A$6:$A$1005,$C$3))</f>
        <v/>
      </c>
      <c r="I71" s="110" t="str">
        <f aca="false">IF($B71="","",MAX(0,F71-G71-H71))</f>
        <v/>
      </c>
      <c r="J71" s="90" t="str">
        <f aca="false">IF($B71="","",الموظفون!$J71*$I71/cfg_DAYS_M)</f>
        <v/>
      </c>
      <c r="K71" s="90" t="str">
        <f aca="false">IF($B71="","",الموظفون!$K71*$I71/cfg_DAYS_M)</f>
        <v/>
      </c>
      <c r="L71" s="90" t="str">
        <f aca="false">IF($B71="","",الموظفون!$L71*$I71/cfg_DAYS_M)</f>
        <v/>
      </c>
      <c r="M71" s="90" t="str">
        <f aca="false">IF($B71="","",الموظفون!$M71*$I71/cfg_DAYS_M)</f>
        <v/>
      </c>
      <c r="N71" s="110" t="str">
        <f aca="false">IF($B71="","",SUMIFS('الحركات الشهرية'!$F$6:$F$1005,'الحركات الشهرية'!$B$6:$B$1005,$B71,'الحركات الشهرية'!$A$6:$A$1005,$C$3))</f>
        <v/>
      </c>
      <c r="O71" s="90" t="str">
        <f aca="false">IF($B71="","",N71*(الموظفون!$N71+الموظفون!$J71*cfg_OT_P)/cfg_DAYS_M/cfg_HRS)</f>
        <v/>
      </c>
      <c r="P71" s="90" t="str">
        <f aca="false">IF($B71="","",SUMIFS('الحركات الشهرية'!$G$6:$G$1005,'الحركات الشهرية'!$B$6:$B$1005,$B71,'الحركات الشهرية'!$A$6:$A$1005,$C$3))</f>
        <v/>
      </c>
      <c r="Q71" s="90" t="str">
        <f aca="false">IF($B71="","",SUMIFS('الحركات الشهرية'!$H$6:$H$1005,'الحركات الشهرية'!$B$6:$B$1005,$B71,'الحركات الشهرية'!$A$6:$A$1005,$C$3))</f>
        <v/>
      </c>
      <c r="R71" s="111" t="str">
        <f aca="false">IF($B71="","",SUM(J71:M71)+SUM(O71:Q71))</f>
        <v/>
      </c>
      <c r="S71" s="90" t="str">
        <f aca="false">IF($B71="","",الموظفون!$Q71*IF(E71="سعودي",cfg_G_SE,cfg_G_NE)*F71/cfg_DAYS_M)</f>
        <v/>
      </c>
      <c r="T71" s="90" t="str">
        <f aca="false">IF($B71="","",SUMIFS('الحركات الشهرية'!$I$6:$I$1005,'الحركات الشهرية'!$B$6:$B$1005,$B71,'الحركات الشهرية'!$A$6:$A$1005,$C$3))</f>
        <v/>
      </c>
      <c r="U71" s="90" t="str">
        <f aca="false">IF($B71="","",SUMIFS('الحركات الشهرية'!$J$6:$J$1005,'الحركات الشهرية'!$B$6:$B$1005,$B71,'الحركات الشهرية'!$A$6:$A$1005,$C$3))</f>
        <v/>
      </c>
      <c r="V71" s="90" t="str">
        <f aca="false">IF($B71="","",SUM(S71:U71))</f>
        <v/>
      </c>
      <c r="W71" s="112" t="str">
        <f aca="false">IF($B71="","",R71-V71)</f>
        <v/>
      </c>
      <c r="X71" s="90" t="str">
        <f aca="false">IF($B71="","",الموظفون!$Q71*IF(E71="سعودي",cfg_G_SR,cfg_G_NR)*F71/cfg_DAYS_M)</f>
        <v/>
      </c>
      <c r="Y71" s="90" t="str">
        <f aca="false">IF($B71="","",الموظفون!$O71*(cfg_EOS_R1*(MIN(AC71,cfg_EOS_TH)-MIN(AD71,cfg_EOS_TH))+cfg_EOS_R2*(MAX(AC71-cfg_EOS_TH,0)-MAX(AD71-cfg_EOS_TH,0))))</f>
        <v/>
      </c>
      <c r="Z71" s="90" t="str">
        <f aca="false">IF($B71="","",IF(الموظفون!$R71&lt;&gt;"",الموظفون!$R71,IF(AC71&gt;=cfg_LV_TH,cfg_LV_D2,cfg_LV_D1))/cfg_DAYS_Y*AE71*الموظفون!$P71/cfg_DAYS_M)</f>
        <v/>
      </c>
      <c r="AA71" s="90" t="str">
        <f aca="false">IF($B71="","",IF(AND(الموظفون!$S71="نعم",N(الموظفون!$U71)&gt;0),الموظفون!$T71/الموظفون!$U71*12/cfg_DAYS_Y*AE71,0))</f>
        <v/>
      </c>
      <c r="AB71" s="113" t="str">
        <f aca="false">IF($B71="","",R71+SUM(X71:AA71))</f>
        <v/>
      </c>
      <c r="AC71" s="114" t="str">
        <f aca="false">IF($B71="","",MAX(0,IF(OR(الموظفون!$X71="",الموظفون!$X71&gt;$G$3),$G$3,الموظفون!$X71)-الموظفون!$H71+1)/cfg_DAYS_Y)</f>
        <v/>
      </c>
      <c r="AD71" s="114" t="str">
        <f aca="false">IF($B71="","",MAX(0,IF(OR(الموظفون!$X71="",الموظفون!$X71&gt;($E$3-1)),($E$3-1),الموظفون!$X71)-الموظفون!$H71+1)/cfg_DAYS_Y)</f>
        <v/>
      </c>
      <c r="AE71" s="115" t="str">
        <f aca="false">IF($B71="","",MAX(0,IF(OR(الموظفون!$X71="",الموظفون!$X71&gt;$G$3),$G$3,الموظفون!$X71)-MAX($E$3,الموظفون!$H71)+1))</f>
        <v/>
      </c>
    </row>
    <row r="72" customFormat="false" ht="15" hidden="false" customHeight="false" outlineLevel="0" collapsed="false">
      <c r="A72" s="83" t="str">
        <f aca="false">IF($B72="","",الموظفون!$A72)</f>
        <v/>
      </c>
      <c r="B72" s="74" t="str">
        <f aca="false">IF(الموظفون!$B72="","",الموظفون!$B72)</f>
        <v/>
      </c>
      <c r="C72" s="74" t="str">
        <f aca="false">IF($B72="","",الموظفون!$C72)</f>
        <v/>
      </c>
      <c r="D72" s="74" t="str">
        <f aca="false">IF($B72="","",الموظفون!$F72)</f>
        <v/>
      </c>
      <c r="E72" s="74" t="str">
        <f aca="false">IF($B72="","",الموظفون!$E72)</f>
        <v/>
      </c>
      <c r="F72" s="105" t="str">
        <f aca="false">IF($B72="","",IF(AE72&gt;=DAY($G$3),cfg_DAYS_M,MIN(AE72,cfg_DAYS_M)))</f>
        <v/>
      </c>
      <c r="G72" s="105" t="str">
        <f aca="false">IF($B72="","",SUMIFS('الحركات الشهرية'!$D$6:$D$1005,'الحركات الشهرية'!$B$6:$B$1005,$B72,'الحركات الشهرية'!$A$6:$A$1005,$C$3))</f>
        <v/>
      </c>
      <c r="H72" s="105" t="str">
        <f aca="false">IF($B72="","",SUMIFS('الحركات الشهرية'!$E$6:$E$1005,'الحركات الشهرية'!$B$6:$B$1005,$B72,'الحركات الشهرية'!$A$6:$A$1005,$C$3))</f>
        <v/>
      </c>
      <c r="I72" s="105" t="str">
        <f aca="false">IF($B72="","",MAX(0,F72-G72-H72))</f>
        <v/>
      </c>
      <c r="J72" s="86" t="str">
        <f aca="false">IF($B72="","",الموظفون!$J72*$I72/cfg_DAYS_M)</f>
        <v/>
      </c>
      <c r="K72" s="86" t="str">
        <f aca="false">IF($B72="","",الموظفون!$K72*$I72/cfg_DAYS_M)</f>
        <v/>
      </c>
      <c r="L72" s="86" t="str">
        <f aca="false">IF($B72="","",الموظفون!$L72*$I72/cfg_DAYS_M)</f>
        <v/>
      </c>
      <c r="M72" s="86" t="str">
        <f aca="false">IF($B72="","",الموظفون!$M72*$I72/cfg_DAYS_M)</f>
        <v/>
      </c>
      <c r="N72" s="105" t="str">
        <f aca="false">IF($B72="","",SUMIFS('الحركات الشهرية'!$F$6:$F$1005,'الحركات الشهرية'!$B$6:$B$1005,$B72,'الحركات الشهرية'!$A$6:$A$1005,$C$3))</f>
        <v/>
      </c>
      <c r="O72" s="86" t="str">
        <f aca="false">IF($B72="","",N72*(الموظفون!$N72+الموظفون!$J72*cfg_OT_P)/cfg_DAYS_M/cfg_HRS)</f>
        <v/>
      </c>
      <c r="P72" s="86" t="str">
        <f aca="false">IF($B72="","",SUMIFS('الحركات الشهرية'!$G$6:$G$1005,'الحركات الشهرية'!$B$6:$B$1005,$B72,'الحركات الشهرية'!$A$6:$A$1005,$C$3))</f>
        <v/>
      </c>
      <c r="Q72" s="86" t="str">
        <f aca="false">IF($B72="","",SUMIFS('الحركات الشهرية'!$H$6:$H$1005,'الحركات الشهرية'!$B$6:$B$1005,$B72,'الحركات الشهرية'!$A$6:$A$1005,$C$3))</f>
        <v/>
      </c>
      <c r="R72" s="106" t="str">
        <f aca="false">IF($B72="","",SUM(J72:M72)+SUM(O72:Q72))</f>
        <v/>
      </c>
      <c r="S72" s="86" t="str">
        <f aca="false">IF($B72="","",الموظفون!$Q72*IF(E72="سعودي",cfg_G_SE,cfg_G_NE)*F72/cfg_DAYS_M)</f>
        <v/>
      </c>
      <c r="T72" s="86" t="str">
        <f aca="false">IF($B72="","",SUMIFS('الحركات الشهرية'!$I$6:$I$1005,'الحركات الشهرية'!$B$6:$B$1005,$B72,'الحركات الشهرية'!$A$6:$A$1005,$C$3))</f>
        <v/>
      </c>
      <c r="U72" s="86" t="str">
        <f aca="false">IF($B72="","",SUMIFS('الحركات الشهرية'!$J$6:$J$1005,'الحركات الشهرية'!$B$6:$B$1005,$B72,'الحركات الشهرية'!$A$6:$A$1005,$C$3))</f>
        <v/>
      </c>
      <c r="V72" s="86" t="str">
        <f aca="false">IF($B72="","",SUM(S72:U72))</f>
        <v/>
      </c>
      <c r="W72" s="107" t="str">
        <f aca="false">IF($B72="","",R72-V72)</f>
        <v/>
      </c>
      <c r="X72" s="86" t="str">
        <f aca="false">IF($B72="","",الموظفون!$Q72*IF(E72="سعودي",cfg_G_SR,cfg_G_NR)*F72/cfg_DAYS_M)</f>
        <v/>
      </c>
      <c r="Y72" s="86" t="str">
        <f aca="false">IF($B72="","",الموظفون!$O72*(cfg_EOS_R1*(MIN(AC72,cfg_EOS_TH)-MIN(AD72,cfg_EOS_TH))+cfg_EOS_R2*(MAX(AC72-cfg_EOS_TH,0)-MAX(AD72-cfg_EOS_TH,0))))</f>
        <v/>
      </c>
      <c r="Z72" s="86" t="str">
        <f aca="false">IF($B72="","",IF(الموظفون!$R72&lt;&gt;"",الموظفون!$R72,IF(AC72&gt;=cfg_LV_TH,cfg_LV_D2,cfg_LV_D1))/cfg_DAYS_Y*AE72*الموظفون!$P72/cfg_DAYS_M)</f>
        <v/>
      </c>
      <c r="AA72" s="86" t="str">
        <f aca="false">IF($B72="","",IF(AND(الموظفون!$S72="نعم",N(الموظفون!$U72)&gt;0),الموظفون!$T72/الموظفون!$U72*12/cfg_DAYS_Y*AE72,0))</f>
        <v/>
      </c>
      <c r="AB72" s="108" t="str">
        <f aca="false">IF($B72="","",R72+SUM(X72:AA72))</f>
        <v/>
      </c>
      <c r="AC72" s="109" t="str">
        <f aca="false">IF($B72="","",MAX(0,IF(OR(الموظفون!$X72="",الموظفون!$X72&gt;$G$3),$G$3,الموظفون!$X72)-الموظفون!$H72+1)/cfg_DAYS_Y)</f>
        <v/>
      </c>
      <c r="AD72" s="109" t="str">
        <f aca="false">IF($B72="","",MAX(0,IF(OR(الموظفون!$X72="",الموظفون!$X72&gt;($E$3-1)),($E$3-1),الموظفون!$X72)-الموظفون!$H72+1)/cfg_DAYS_Y)</f>
        <v/>
      </c>
      <c r="AE72" s="51" t="str">
        <f aca="false">IF($B72="","",MAX(0,IF(OR(الموظفون!$X72="",الموظفون!$X72&gt;$G$3),$G$3,الموظفون!$X72)-MAX($E$3,الموظفون!$H72)+1))</f>
        <v/>
      </c>
    </row>
    <row r="73" customFormat="false" ht="15" hidden="false" customHeight="false" outlineLevel="0" collapsed="false">
      <c r="A73" s="89" t="str">
        <f aca="false">IF($B73="","",الموظفون!$A73)</f>
        <v/>
      </c>
      <c r="B73" s="91" t="str">
        <f aca="false">IF(الموظفون!$B73="","",الموظفون!$B73)</f>
        <v/>
      </c>
      <c r="C73" s="91" t="str">
        <f aca="false">IF($B73="","",الموظفون!$C73)</f>
        <v/>
      </c>
      <c r="D73" s="91" t="str">
        <f aca="false">IF($B73="","",الموظفون!$F73)</f>
        <v/>
      </c>
      <c r="E73" s="91" t="str">
        <f aca="false">IF($B73="","",الموظفون!$E73)</f>
        <v/>
      </c>
      <c r="F73" s="110" t="str">
        <f aca="false">IF($B73="","",IF(AE73&gt;=DAY($G$3),cfg_DAYS_M,MIN(AE73,cfg_DAYS_M)))</f>
        <v/>
      </c>
      <c r="G73" s="110" t="str">
        <f aca="false">IF($B73="","",SUMIFS('الحركات الشهرية'!$D$6:$D$1005,'الحركات الشهرية'!$B$6:$B$1005,$B73,'الحركات الشهرية'!$A$6:$A$1005,$C$3))</f>
        <v/>
      </c>
      <c r="H73" s="110" t="str">
        <f aca="false">IF($B73="","",SUMIFS('الحركات الشهرية'!$E$6:$E$1005,'الحركات الشهرية'!$B$6:$B$1005,$B73,'الحركات الشهرية'!$A$6:$A$1005,$C$3))</f>
        <v/>
      </c>
      <c r="I73" s="110" t="str">
        <f aca="false">IF($B73="","",MAX(0,F73-G73-H73))</f>
        <v/>
      </c>
      <c r="J73" s="90" t="str">
        <f aca="false">IF($B73="","",الموظفون!$J73*$I73/cfg_DAYS_M)</f>
        <v/>
      </c>
      <c r="K73" s="90" t="str">
        <f aca="false">IF($B73="","",الموظفون!$K73*$I73/cfg_DAYS_M)</f>
        <v/>
      </c>
      <c r="L73" s="90" t="str">
        <f aca="false">IF($B73="","",الموظفون!$L73*$I73/cfg_DAYS_M)</f>
        <v/>
      </c>
      <c r="M73" s="90" t="str">
        <f aca="false">IF($B73="","",الموظفون!$M73*$I73/cfg_DAYS_M)</f>
        <v/>
      </c>
      <c r="N73" s="110" t="str">
        <f aca="false">IF($B73="","",SUMIFS('الحركات الشهرية'!$F$6:$F$1005,'الحركات الشهرية'!$B$6:$B$1005,$B73,'الحركات الشهرية'!$A$6:$A$1005,$C$3))</f>
        <v/>
      </c>
      <c r="O73" s="90" t="str">
        <f aca="false">IF($B73="","",N73*(الموظفون!$N73+الموظفون!$J73*cfg_OT_P)/cfg_DAYS_M/cfg_HRS)</f>
        <v/>
      </c>
      <c r="P73" s="90" t="str">
        <f aca="false">IF($B73="","",SUMIFS('الحركات الشهرية'!$G$6:$G$1005,'الحركات الشهرية'!$B$6:$B$1005,$B73,'الحركات الشهرية'!$A$6:$A$1005,$C$3))</f>
        <v/>
      </c>
      <c r="Q73" s="90" t="str">
        <f aca="false">IF($B73="","",SUMIFS('الحركات الشهرية'!$H$6:$H$1005,'الحركات الشهرية'!$B$6:$B$1005,$B73,'الحركات الشهرية'!$A$6:$A$1005,$C$3))</f>
        <v/>
      </c>
      <c r="R73" s="111" t="str">
        <f aca="false">IF($B73="","",SUM(J73:M73)+SUM(O73:Q73))</f>
        <v/>
      </c>
      <c r="S73" s="90" t="str">
        <f aca="false">IF($B73="","",الموظفون!$Q73*IF(E73="سعودي",cfg_G_SE,cfg_G_NE)*F73/cfg_DAYS_M)</f>
        <v/>
      </c>
      <c r="T73" s="90" t="str">
        <f aca="false">IF($B73="","",SUMIFS('الحركات الشهرية'!$I$6:$I$1005,'الحركات الشهرية'!$B$6:$B$1005,$B73,'الحركات الشهرية'!$A$6:$A$1005,$C$3))</f>
        <v/>
      </c>
      <c r="U73" s="90" t="str">
        <f aca="false">IF($B73="","",SUMIFS('الحركات الشهرية'!$J$6:$J$1005,'الحركات الشهرية'!$B$6:$B$1005,$B73,'الحركات الشهرية'!$A$6:$A$1005,$C$3))</f>
        <v/>
      </c>
      <c r="V73" s="90" t="str">
        <f aca="false">IF($B73="","",SUM(S73:U73))</f>
        <v/>
      </c>
      <c r="W73" s="112" t="str">
        <f aca="false">IF($B73="","",R73-V73)</f>
        <v/>
      </c>
      <c r="X73" s="90" t="str">
        <f aca="false">IF($B73="","",الموظفون!$Q73*IF(E73="سعودي",cfg_G_SR,cfg_G_NR)*F73/cfg_DAYS_M)</f>
        <v/>
      </c>
      <c r="Y73" s="90" t="str">
        <f aca="false">IF($B73="","",الموظفون!$O73*(cfg_EOS_R1*(MIN(AC73,cfg_EOS_TH)-MIN(AD73,cfg_EOS_TH))+cfg_EOS_R2*(MAX(AC73-cfg_EOS_TH,0)-MAX(AD73-cfg_EOS_TH,0))))</f>
        <v/>
      </c>
      <c r="Z73" s="90" t="str">
        <f aca="false">IF($B73="","",IF(الموظفون!$R73&lt;&gt;"",الموظفون!$R73,IF(AC73&gt;=cfg_LV_TH,cfg_LV_D2,cfg_LV_D1))/cfg_DAYS_Y*AE73*الموظفون!$P73/cfg_DAYS_M)</f>
        <v/>
      </c>
      <c r="AA73" s="90" t="str">
        <f aca="false">IF($B73="","",IF(AND(الموظفون!$S73="نعم",N(الموظفون!$U73)&gt;0),الموظفون!$T73/الموظفون!$U73*12/cfg_DAYS_Y*AE73,0))</f>
        <v/>
      </c>
      <c r="AB73" s="113" t="str">
        <f aca="false">IF($B73="","",R73+SUM(X73:AA73))</f>
        <v/>
      </c>
      <c r="AC73" s="114" t="str">
        <f aca="false">IF($B73="","",MAX(0,IF(OR(الموظفون!$X73="",الموظفون!$X73&gt;$G$3),$G$3,الموظفون!$X73)-الموظفون!$H73+1)/cfg_DAYS_Y)</f>
        <v/>
      </c>
      <c r="AD73" s="114" t="str">
        <f aca="false">IF($B73="","",MAX(0,IF(OR(الموظفون!$X73="",الموظفون!$X73&gt;($E$3-1)),($E$3-1),الموظفون!$X73)-الموظفون!$H73+1)/cfg_DAYS_Y)</f>
        <v/>
      </c>
      <c r="AE73" s="115" t="str">
        <f aca="false">IF($B73="","",MAX(0,IF(OR(الموظفون!$X73="",الموظفون!$X73&gt;$G$3),$G$3,الموظفون!$X73)-MAX($E$3,الموظفون!$H73)+1))</f>
        <v/>
      </c>
    </row>
    <row r="74" customFormat="false" ht="15" hidden="false" customHeight="false" outlineLevel="0" collapsed="false">
      <c r="A74" s="83" t="str">
        <f aca="false">IF($B74="","",الموظفون!$A74)</f>
        <v/>
      </c>
      <c r="B74" s="74" t="str">
        <f aca="false">IF(الموظفون!$B74="","",الموظفون!$B74)</f>
        <v/>
      </c>
      <c r="C74" s="74" t="str">
        <f aca="false">IF($B74="","",الموظفون!$C74)</f>
        <v/>
      </c>
      <c r="D74" s="74" t="str">
        <f aca="false">IF($B74="","",الموظفون!$F74)</f>
        <v/>
      </c>
      <c r="E74" s="74" t="str">
        <f aca="false">IF($B74="","",الموظفون!$E74)</f>
        <v/>
      </c>
      <c r="F74" s="105" t="str">
        <f aca="false">IF($B74="","",IF(AE74&gt;=DAY($G$3),cfg_DAYS_M,MIN(AE74,cfg_DAYS_M)))</f>
        <v/>
      </c>
      <c r="G74" s="105" t="str">
        <f aca="false">IF($B74="","",SUMIFS('الحركات الشهرية'!$D$6:$D$1005,'الحركات الشهرية'!$B$6:$B$1005,$B74,'الحركات الشهرية'!$A$6:$A$1005,$C$3))</f>
        <v/>
      </c>
      <c r="H74" s="105" t="str">
        <f aca="false">IF($B74="","",SUMIFS('الحركات الشهرية'!$E$6:$E$1005,'الحركات الشهرية'!$B$6:$B$1005,$B74,'الحركات الشهرية'!$A$6:$A$1005,$C$3))</f>
        <v/>
      </c>
      <c r="I74" s="105" t="str">
        <f aca="false">IF($B74="","",MAX(0,F74-G74-H74))</f>
        <v/>
      </c>
      <c r="J74" s="86" t="str">
        <f aca="false">IF($B74="","",الموظفون!$J74*$I74/cfg_DAYS_M)</f>
        <v/>
      </c>
      <c r="K74" s="86" t="str">
        <f aca="false">IF($B74="","",الموظفون!$K74*$I74/cfg_DAYS_M)</f>
        <v/>
      </c>
      <c r="L74" s="86" t="str">
        <f aca="false">IF($B74="","",الموظفون!$L74*$I74/cfg_DAYS_M)</f>
        <v/>
      </c>
      <c r="M74" s="86" t="str">
        <f aca="false">IF($B74="","",الموظفون!$M74*$I74/cfg_DAYS_M)</f>
        <v/>
      </c>
      <c r="N74" s="105" t="str">
        <f aca="false">IF($B74="","",SUMIFS('الحركات الشهرية'!$F$6:$F$1005,'الحركات الشهرية'!$B$6:$B$1005,$B74,'الحركات الشهرية'!$A$6:$A$1005,$C$3))</f>
        <v/>
      </c>
      <c r="O74" s="86" t="str">
        <f aca="false">IF($B74="","",N74*(الموظفون!$N74+الموظفون!$J74*cfg_OT_P)/cfg_DAYS_M/cfg_HRS)</f>
        <v/>
      </c>
      <c r="P74" s="86" t="str">
        <f aca="false">IF($B74="","",SUMIFS('الحركات الشهرية'!$G$6:$G$1005,'الحركات الشهرية'!$B$6:$B$1005,$B74,'الحركات الشهرية'!$A$6:$A$1005,$C$3))</f>
        <v/>
      </c>
      <c r="Q74" s="86" t="str">
        <f aca="false">IF($B74="","",SUMIFS('الحركات الشهرية'!$H$6:$H$1005,'الحركات الشهرية'!$B$6:$B$1005,$B74,'الحركات الشهرية'!$A$6:$A$1005,$C$3))</f>
        <v/>
      </c>
      <c r="R74" s="106" t="str">
        <f aca="false">IF($B74="","",SUM(J74:M74)+SUM(O74:Q74))</f>
        <v/>
      </c>
      <c r="S74" s="86" t="str">
        <f aca="false">IF($B74="","",الموظفون!$Q74*IF(E74="سعودي",cfg_G_SE,cfg_G_NE)*F74/cfg_DAYS_M)</f>
        <v/>
      </c>
      <c r="T74" s="86" t="str">
        <f aca="false">IF($B74="","",SUMIFS('الحركات الشهرية'!$I$6:$I$1005,'الحركات الشهرية'!$B$6:$B$1005,$B74,'الحركات الشهرية'!$A$6:$A$1005,$C$3))</f>
        <v/>
      </c>
      <c r="U74" s="86" t="str">
        <f aca="false">IF($B74="","",SUMIFS('الحركات الشهرية'!$J$6:$J$1005,'الحركات الشهرية'!$B$6:$B$1005,$B74,'الحركات الشهرية'!$A$6:$A$1005,$C$3))</f>
        <v/>
      </c>
      <c r="V74" s="86" t="str">
        <f aca="false">IF($B74="","",SUM(S74:U74))</f>
        <v/>
      </c>
      <c r="W74" s="107" t="str">
        <f aca="false">IF($B74="","",R74-V74)</f>
        <v/>
      </c>
      <c r="X74" s="86" t="str">
        <f aca="false">IF($B74="","",الموظفون!$Q74*IF(E74="سعودي",cfg_G_SR,cfg_G_NR)*F74/cfg_DAYS_M)</f>
        <v/>
      </c>
      <c r="Y74" s="86" t="str">
        <f aca="false">IF($B74="","",الموظفون!$O74*(cfg_EOS_R1*(MIN(AC74,cfg_EOS_TH)-MIN(AD74,cfg_EOS_TH))+cfg_EOS_R2*(MAX(AC74-cfg_EOS_TH,0)-MAX(AD74-cfg_EOS_TH,0))))</f>
        <v/>
      </c>
      <c r="Z74" s="86" t="str">
        <f aca="false">IF($B74="","",IF(الموظفون!$R74&lt;&gt;"",الموظفون!$R74,IF(AC74&gt;=cfg_LV_TH,cfg_LV_D2,cfg_LV_D1))/cfg_DAYS_Y*AE74*الموظفون!$P74/cfg_DAYS_M)</f>
        <v/>
      </c>
      <c r="AA74" s="86" t="str">
        <f aca="false">IF($B74="","",IF(AND(الموظفون!$S74="نعم",N(الموظفون!$U74)&gt;0),الموظفون!$T74/الموظفون!$U74*12/cfg_DAYS_Y*AE74,0))</f>
        <v/>
      </c>
      <c r="AB74" s="108" t="str">
        <f aca="false">IF($B74="","",R74+SUM(X74:AA74))</f>
        <v/>
      </c>
      <c r="AC74" s="109" t="str">
        <f aca="false">IF($B74="","",MAX(0,IF(OR(الموظفون!$X74="",الموظفون!$X74&gt;$G$3),$G$3,الموظفون!$X74)-الموظفون!$H74+1)/cfg_DAYS_Y)</f>
        <v/>
      </c>
      <c r="AD74" s="109" t="str">
        <f aca="false">IF($B74="","",MAX(0,IF(OR(الموظفون!$X74="",الموظفون!$X74&gt;($E$3-1)),($E$3-1),الموظفون!$X74)-الموظفون!$H74+1)/cfg_DAYS_Y)</f>
        <v/>
      </c>
      <c r="AE74" s="51" t="str">
        <f aca="false">IF($B74="","",MAX(0,IF(OR(الموظفون!$X74="",الموظفون!$X74&gt;$G$3),$G$3,الموظفون!$X74)-MAX($E$3,الموظفون!$H74)+1))</f>
        <v/>
      </c>
    </row>
    <row r="75" customFormat="false" ht="15" hidden="false" customHeight="false" outlineLevel="0" collapsed="false">
      <c r="A75" s="89" t="str">
        <f aca="false">IF($B75="","",الموظفون!$A75)</f>
        <v/>
      </c>
      <c r="B75" s="91" t="str">
        <f aca="false">IF(الموظفون!$B75="","",الموظفون!$B75)</f>
        <v/>
      </c>
      <c r="C75" s="91" t="str">
        <f aca="false">IF($B75="","",الموظفون!$C75)</f>
        <v/>
      </c>
      <c r="D75" s="91" t="str">
        <f aca="false">IF($B75="","",الموظفون!$F75)</f>
        <v/>
      </c>
      <c r="E75" s="91" t="str">
        <f aca="false">IF($B75="","",الموظفون!$E75)</f>
        <v/>
      </c>
      <c r="F75" s="110" t="str">
        <f aca="false">IF($B75="","",IF(AE75&gt;=DAY($G$3),cfg_DAYS_M,MIN(AE75,cfg_DAYS_M)))</f>
        <v/>
      </c>
      <c r="G75" s="110" t="str">
        <f aca="false">IF($B75="","",SUMIFS('الحركات الشهرية'!$D$6:$D$1005,'الحركات الشهرية'!$B$6:$B$1005,$B75,'الحركات الشهرية'!$A$6:$A$1005,$C$3))</f>
        <v/>
      </c>
      <c r="H75" s="110" t="str">
        <f aca="false">IF($B75="","",SUMIFS('الحركات الشهرية'!$E$6:$E$1005,'الحركات الشهرية'!$B$6:$B$1005,$B75,'الحركات الشهرية'!$A$6:$A$1005,$C$3))</f>
        <v/>
      </c>
      <c r="I75" s="110" t="str">
        <f aca="false">IF($B75="","",MAX(0,F75-G75-H75))</f>
        <v/>
      </c>
      <c r="J75" s="90" t="str">
        <f aca="false">IF($B75="","",الموظفون!$J75*$I75/cfg_DAYS_M)</f>
        <v/>
      </c>
      <c r="K75" s="90" t="str">
        <f aca="false">IF($B75="","",الموظفون!$K75*$I75/cfg_DAYS_M)</f>
        <v/>
      </c>
      <c r="L75" s="90" t="str">
        <f aca="false">IF($B75="","",الموظفون!$L75*$I75/cfg_DAYS_M)</f>
        <v/>
      </c>
      <c r="M75" s="90" t="str">
        <f aca="false">IF($B75="","",الموظفون!$M75*$I75/cfg_DAYS_M)</f>
        <v/>
      </c>
      <c r="N75" s="110" t="str">
        <f aca="false">IF($B75="","",SUMIFS('الحركات الشهرية'!$F$6:$F$1005,'الحركات الشهرية'!$B$6:$B$1005,$B75,'الحركات الشهرية'!$A$6:$A$1005,$C$3))</f>
        <v/>
      </c>
      <c r="O75" s="90" t="str">
        <f aca="false">IF($B75="","",N75*(الموظفون!$N75+الموظفون!$J75*cfg_OT_P)/cfg_DAYS_M/cfg_HRS)</f>
        <v/>
      </c>
      <c r="P75" s="90" t="str">
        <f aca="false">IF($B75="","",SUMIFS('الحركات الشهرية'!$G$6:$G$1005,'الحركات الشهرية'!$B$6:$B$1005,$B75,'الحركات الشهرية'!$A$6:$A$1005,$C$3))</f>
        <v/>
      </c>
      <c r="Q75" s="90" t="str">
        <f aca="false">IF($B75="","",SUMIFS('الحركات الشهرية'!$H$6:$H$1005,'الحركات الشهرية'!$B$6:$B$1005,$B75,'الحركات الشهرية'!$A$6:$A$1005,$C$3))</f>
        <v/>
      </c>
      <c r="R75" s="111" t="str">
        <f aca="false">IF($B75="","",SUM(J75:M75)+SUM(O75:Q75))</f>
        <v/>
      </c>
      <c r="S75" s="90" t="str">
        <f aca="false">IF($B75="","",الموظفون!$Q75*IF(E75="سعودي",cfg_G_SE,cfg_G_NE)*F75/cfg_DAYS_M)</f>
        <v/>
      </c>
      <c r="T75" s="90" t="str">
        <f aca="false">IF($B75="","",SUMIFS('الحركات الشهرية'!$I$6:$I$1005,'الحركات الشهرية'!$B$6:$B$1005,$B75,'الحركات الشهرية'!$A$6:$A$1005,$C$3))</f>
        <v/>
      </c>
      <c r="U75" s="90" t="str">
        <f aca="false">IF($B75="","",SUMIFS('الحركات الشهرية'!$J$6:$J$1005,'الحركات الشهرية'!$B$6:$B$1005,$B75,'الحركات الشهرية'!$A$6:$A$1005,$C$3))</f>
        <v/>
      </c>
      <c r="V75" s="90" t="str">
        <f aca="false">IF($B75="","",SUM(S75:U75))</f>
        <v/>
      </c>
      <c r="W75" s="112" t="str">
        <f aca="false">IF($B75="","",R75-V75)</f>
        <v/>
      </c>
      <c r="X75" s="90" t="str">
        <f aca="false">IF($B75="","",الموظفون!$Q75*IF(E75="سعودي",cfg_G_SR,cfg_G_NR)*F75/cfg_DAYS_M)</f>
        <v/>
      </c>
      <c r="Y75" s="90" t="str">
        <f aca="false">IF($B75="","",الموظفون!$O75*(cfg_EOS_R1*(MIN(AC75,cfg_EOS_TH)-MIN(AD75,cfg_EOS_TH))+cfg_EOS_R2*(MAX(AC75-cfg_EOS_TH,0)-MAX(AD75-cfg_EOS_TH,0))))</f>
        <v/>
      </c>
      <c r="Z75" s="90" t="str">
        <f aca="false">IF($B75="","",IF(الموظفون!$R75&lt;&gt;"",الموظفون!$R75,IF(AC75&gt;=cfg_LV_TH,cfg_LV_D2,cfg_LV_D1))/cfg_DAYS_Y*AE75*الموظفون!$P75/cfg_DAYS_M)</f>
        <v/>
      </c>
      <c r="AA75" s="90" t="str">
        <f aca="false">IF($B75="","",IF(AND(الموظفون!$S75="نعم",N(الموظفون!$U75)&gt;0),الموظفون!$T75/الموظفون!$U75*12/cfg_DAYS_Y*AE75,0))</f>
        <v/>
      </c>
      <c r="AB75" s="113" t="str">
        <f aca="false">IF($B75="","",R75+SUM(X75:AA75))</f>
        <v/>
      </c>
      <c r="AC75" s="114" t="str">
        <f aca="false">IF($B75="","",MAX(0,IF(OR(الموظفون!$X75="",الموظفون!$X75&gt;$G$3),$G$3,الموظفون!$X75)-الموظفون!$H75+1)/cfg_DAYS_Y)</f>
        <v/>
      </c>
      <c r="AD75" s="114" t="str">
        <f aca="false">IF($B75="","",MAX(0,IF(OR(الموظفون!$X75="",الموظفون!$X75&gt;($E$3-1)),($E$3-1),الموظفون!$X75)-الموظفون!$H75+1)/cfg_DAYS_Y)</f>
        <v/>
      </c>
      <c r="AE75" s="115" t="str">
        <f aca="false">IF($B75="","",MAX(0,IF(OR(الموظفون!$X75="",الموظفون!$X75&gt;$G$3),$G$3,الموظفون!$X75)-MAX($E$3,الموظفون!$H75)+1))</f>
        <v/>
      </c>
    </row>
    <row r="76" customFormat="false" ht="15" hidden="false" customHeight="false" outlineLevel="0" collapsed="false">
      <c r="A76" s="83" t="str">
        <f aca="false">IF($B76="","",الموظفون!$A76)</f>
        <v/>
      </c>
      <c r="B76" s="74" t="str">
        <f aca="false">IF(الموظفون!$B76="","",الموظفون!$B76)</f>
        <v/>
      </c>
      <c r="C76" s="74" t="str">
        <f aca="false">IF($B76="","",الموظفون!$C76)</f>
        <v/>
      </c>
      <c r="D76" s="74" t="str">
        <f aca="false">IF($B76="","",الموظفون!$F76)</f>
        <v/>
      </c>
      <c r="E76" s="74" t="str">
        <f aca="false">IF($B76="","",الموظفون!$E76)</f>
        <v/>
      </c>
      <c r="F76" s="105" t="str">
        <f aca="false">IF($B76="","",IF(AE76&gt;=DAY($G$3),cfg_DAYS_M,MIN(AE76,cfg_DAYS_M)))</f>
        <v/>
      </c>
      <c r="G76" s="105" t="str">
        <f aca="false">IF($B76="","",SUMIFS('الحركات الشهرية'!$D$6:$D$1005,'الحركات الشهرية'!$B$6:$B$1005,$B76,'الحركات الشهرية'!$A$6:$A$1005,$C$3))</f>
        <v/>
      </c>
      <c r="H76" s="105" t="str">
        <f aca="false">IF($B76="","",SUMIFS('الحركات الشهرية'!$E$6:$E$1005,'الحركات الشهرية'!$B$6:$B$1005,$B76,'الحركات الشهرية'!$A$6:$A$1005,$C$3))</f>
        <v/>
      </c>
      <c r="I76" s="105" t="str">
        <f aca="false">IF($B76="","",MAX(0,F76-G76-H76))</f>
        <v/>
      </c>
      <c r="J76" s="86" t="str">
        <f aca="false">IF($B76="","",الموظفون!$J76*$I76/cfg_DAYS_M)</f>
        <v/>
      </c>
      <c r="K76" s="86" t="str">
        <f aca="false">IF($B76="","",الموظفون!$K76*$I76/cfg_DAYS_M)</f>
        <v/>
      </c>
      <c r="L76" s="86" t="str">
        <f aca="false">IF($B76="","",الموظفون!$L76*$I76/cfg_DAYS_M)</f>
        <v/>
      </c>
      <c r="M76" s="86" t="str">
        <f aca="false">IF($B76="","",الموظفون!$M76*$I76/cfg_DAYS_M)</f>
        <v/>
      </c>
      <c r="N76" s="105" t="str">
        <f aca="false">IF($B76="","",SUMIFS('الحركات الشهرية'!$F$6:$F$1005,'الحركات الشهرية'!$B$6:$B$1005,$B76,'الحركات الشهرية'!$A$6:$A$1005,$C$3))</f>
        <v/>
      </c>
      <c r="O76" s="86" t="str">
        <f aca="false">IF($B76="","",N76*(الموظفون!$N76+الموظفون!$J76*cfg_OT_P)/cfg_DAYS_M/cfg_HRS)</f>
        <v/>
      </c>
      <c r="P76" s="86" t="str">
        <f aca="false">IF($B76="","",SUMIFS('الحركات الشهرية'!$G$6:$G$1005,'الحركات الشهرية'!$B$6:$B$1005,$B76,'الحركات الشهرية'!$A$6:$A$1005,$C$3))</f>
        <v/>
      </c>
      <c r="Q76" s="86" t="str">
        <f aca="false">IF($B76="","",SUMIFS('الحركات الشهرية'!$H$6:$H$1005,'الحركات الشهرية'!$B$6:$B$1005,$B76,'الحركات الشهرية'!$A$6:$A$1005,$C$3))</f>
        <v/>
      </c>
      <c r="R76" s="106" t="str">
        <f aca="false">IF($B76="","",SUM(J76:M76)+SUM(O76:Q76))</f>
        <v/>
      </c>
      <c r="S76" s="86" t="str">
        <f aca="false">IF($B76="","",الموظفون!$Q76*IF(E76="سعودي",cfg_G_SE,cfg_G_NE)*F76/cfg_DAYS_M)</f>
        <v/>
      </c>
      <c r="T76" s="86" t="str">
        <f aca="false">IF($B76="","",SUMIFS('الحركات الشهرية'!$I$6:$I$1005,'الحركات الشهرية'!$B$6:$B$1005,$B76,'الحركات الشهرية'!$A$6:$A$1005,$C$3))</f>
        <v/>
      </c>
      <c r="U76" s="86" t="str">
        <f aca="false">IF($B76="","",SUMIFS('الحركات الشهرية'!$J$6:$J$1005,'الحركات الشهرية'!$B$6:$B$1005,$B76,'الحركات الشهرية'!$A$6:$A$1005,$C$3))</f>
        <v/>
      </c>
      <c r="V76" s="86" t="str">
        <f aca="false">IF($B76="","",SUM(S76:U76))</f>
        <v/>
      </c>
      <c r="W76" s="107" t="str">
        <f aca="false">IF($B76="","",R76-V76)</f>
        <v/>
      </c>
      <c r="X76" s="86" t="str">
        <f aca="false">IF($B76="","",الموظفون!$Q76*IF(E76="سعودي",cfg_G_SR,cfg_G_NR)*F76/cfg_DAYS_M)</f>
        <v/>
      </c>
      <c r="Y76" s="86" t="str">
        <f aca="false">IF($B76="","",الموظفون!$O76*(cfg_EOS_R1*(MIN(AC76,cfg_EOS_TH)-MIN(AD76,cfg_EOS_TH))+cfg_EOS_R2*(MAX(AC76-cfg_EOS_TH,0)-MAX(AD76-cfg_EOS_TH,0))))</f>
        <v/>
      </c>
      <c r="Z76" s="86" t="str">
        <f aca="false">IF($B76="","",IF(الموظفون!$R76&lt;&gt;"",الموظفون!$R76,IF(AC76&gt;=cfg_LV_TH,cfg_LV_D2,cfg_LV_D1))/cfg_DAYS_Y*AE76*الموظفون!$P76/cfg_DAYS_M)</f>
        <v/>
      </c>
      <c r="AA76" s="86" t="str">
        <f aca="false">IF($B76="","",IF(AND(الموظفون!$S76="نعم",N(الموظفون!$U76)&gt;0),الموظفون!$T76/الموظفون!$U76*12/cfg_DAYS_Y*AE76,0))</f>
        <v/>
      </c>
      <c r="AB76" s="108" t="str">
        <f aca="false">IF($B76="","",R76+SUM(X76:AA76))</f>
        <v/>
      </c>
      <c r="AC76" s="109" t="str">
        <f aca="false">IF($B76="","",MAX(0,IF(OR(الموظفون!$X76="",الموظفون!$X76&gt;$G$3),$G$3,الموظفون!$X76)-الموظفون!$H76+1)/cfg_DAYS_Y)</f>
        <v/>
      </c>
      <c r="AD76" s="109" t="str">
        <f aca="false">IF($B76="","",MAX(0,IF(OR(الموظفون!$X76="",الموظفون!$X76&gt;($E$3-1)),($E$3-1),الموظفون!$X76)-الموظفون!$H76+1)/cfg_DAYS_Y)</f>
        <v/>
      </c>
      <c r="AE76" s="51" t="str">
        <f aca="false">IF($B76="","",MAX(0,IF(OR(الموظفون!$X76="",الموظفون!$X76&gt;$G$3),$G$3,الموظفون!$X76)-MAX($E$3,الموظفون!$H76)+1))</f>
        <v/>
      </c>
    </row>
    <row r="77" customFormat="false" ht="15" hidden="false" customHeight="false" outlineLevel="0" collapsed="false">
      <c r="A77" s="89" t="str">
        <f aca="false">IF($B77="","",الموظفون!$A77)</f>
        <v/>
      </c>
      <c r="B77" s="91" t="str">
        <f aca="false">IF(الموظفون!$B77="","",الموظفون!$B77)</f>
        <v/>
      </c>
      <c r="C77" s="91" t="str">
        <f aca="false">IF($B77="","",الموظفون!$C77)</f>
        <v/>
      </c>
      <c r="D77" s="91" t="str">
        <f aca="false">IF($B77="","",الموظفون!$F77)</f>
        <v/>
      </c>
      <c r="E77" s="91" t="str">
        <f aca="false">IF($B77="","",الموظفون!$E77)</f>
        <v/>
      </c>
      <c r="F77" s="110" t="str">
        <f aca="false">IF($B77="","",IF(AE77&gt;=DAY($G$3),cfg_DAYS_M,MIN(AE77,cfg_DAYS_M)))</f>
        <v/>
      </c>
      <c r="G77" s="110" t="str">
        <f aca="false">IF($B77="","",SUMIFS('الحركات الشهرية'!$D$6:$D$1005,'الحركات الشهرية'!$B$6:$B$1005,$B77,'الحركات الشهرية'!$A$6:$A$1005,$C$3))</f>
        <v/>
      </c>
      <c r="H77" s="110" t="str">
        <f aca="false">IF($B77="","",SUMIFS('الحركات الشهرية'!$E$6:$E$1005,'الحركات الشهرية'!$B$6:$B$1005,$B77,'الحركات الشهرية'!$A$6:$A$1005,$C$3))</f>
        <v/>
      </c>
      <c r="I77" s="110" t="str">
        <f aca="false">IF($B77="","",MAX(0,F77-G77-H77))</f>
        <v/>
      </c>
      <c r="J77" s="90" t="str">
        <f aca="false">IF($B77="","",الموظفون!$J77*$I77/cfg_DAYS_M)</f>
        <v/>
      </c>
      <c r="K77" s="90" t="str">
        <f aca="false">IF($B77="","",الموظفون!$K77*$I77/cfg_DAYS_M)</f>
        <v/>
      </c>
      <c r="L77" s="90" t="str">
        <f aca="false">IF($B77="","",الموظفون!$L77*$I77/cfg_DAYS_M)</f>
        <v/>
      </c>
      <c r="M77" s="90" t="str">
        <f aca="false">IF($B77="","",الموظفون!$M77*$I77/cfg_DAYS_M)</f>
        <v/>
      </c>
      <c r="N77" s="110" t="str">
        <f aca="false">IF($B77="","",SUMIFS('الحركات الشهرية'!$F$6:$F$1005,'الحركات الشهرية'!$B$6:$B$1005,$B77,'الحركات الشهرية'!$A$6:$A$1005,$C$3))</f>
        <v/>
      </c>
      <c r="O77" s="90" t="str">
        <f aca="false">IF($B77="","",N77*(الموظفون!$N77+الموظفون!$J77*cfg_OT_P)/cfg_DAYS_M/cfg_HRS)</f>
        <v/>
      </c>
      <c r="P77" s="90" t="str">
        <f aca="false">IF($B77="","",SUMIFS('الحركات الشهرية'!$G$6:$G$1005,'الحركات الشهرية'!$B$6:$B$1005,$B77,'الحركات الشهرية'!$A$6:$A$1005,$C$3))</f>
        <v/>
      </c>
      <c r="Q77" s="90" t="str">
        <f aca="false">IF($B77="","",SUMIFS('الحركات الشهرية'!$H$6:$H$1005,'الحركات الشهرية'!$B$6:$B$1005,$B77,'الحركات الشهرية'!$A$6:$A$1005,$C$3))</f>
        <v/>
      </c>
      <c r="R77" s="111" t="str">
        <f aca="false">IF($B77="","",SUM(J77:M77)+SUM(O77:Q77))</f>
        <v/>
      </c>
      <c r="S77" s="90" t="str">
        <f aca="false">IF($B77="","",الموظفون!$Q77*IF(E77="سعودي",cfg_G_SE,cfg_G_NE)*F77/cfg_DAYS_M)</f>
        <v/>
      </c>
      <c r="T77" s="90" t="str">
        <f aca="false">IF($B77="","",SUMIFS('الحركات الشهرية'!$I$6:$I$1005,'الحركات الشهرية'!$B$6:$B$1005,$B77,'الحركات الشهرية'!$A$6:$A$1005,$C$3))</f>
        <v/>
      </c>
      <c r="U77" s="90" t="str">
        <f aca="false">IF($B77="","",SUMIFS('الحركات الشهرية'!$J$6:$J$1005,'الحركات الشهرية'!$B$6:$B$1005,$B77,'الحركات الشهرية'!$A$6:$A$1005,$C$3))</f>
        <v/>
      </c>
      <c r="V77" s="90" t="str">
        <f aca="false">IF($B77="","",SUM(S77:U77))</f>
        <v/>
      </c>
      <c r="W77" s="112" t="str">
        <f aca="false">IF($B77="","",R77-V77)</f>
        <v/>
      </c>
      <c r="X77" s="90" t="str">
        <f aca="false">IF($B77="","",الموظفون!$Q77*IF(E77="سعودي",cfg_G_SR,cfg_G_NR)*F77/cfg_DAYS_M)</f>
        <v/>
      </c>
      <c r="Y77" s="90" t="str">
        <f aca="false">IF($B77="","",الموظفون!$O77*(cfg_EOS_R1*(MIN(AC77,cfg_EOS_TH)-MIN(AD77,cfg_EOS_TH))+cfg_EOS_R2*(MAX(AC77-cfg_EOS_TH,0)-MAX(AD77-cfg_EOS_TH,0))))</f>
        <v/>
      </c>
      <c r="Z77" s="90" t="str">
        <f aca="false">IF($B77="","",IF(الموظفون!$R77&lt;&gt;"",الموظفون!$R77,IF(AC77&gt;=cfg_LV_TH,cfg_LV_D2,cfg_LV_D1))/cfg_DAYS_Y*AE77*الموظفون!$P77/cfg_DAYS_M)</f>
        <v/>
      </c>
      <c r="AA77" s="90" t="str">
        <f aca="false">IF($B77="","",IF(AND(الموظفون!$S77="نعم",N(الموظفون!$U77)&gt;0),الموظفون!$T77/الموظفون!$U77*12/cfg_DAYS_Y*AE77,0))</f>
        <v/>
      </c>
      <c r="AB77" s="113" t="str">
        <f aca="false">IF($B77="","",R77+SUM(X77:AA77))</f>
        <v/>
      </c>
      <c r="AC77" s="114" t="str">
        <f aca="false">IF($B77="","",MAX(0,IF(OR(الموظفون!$X77="",الموظفون!$X77&gt;$G$3),$G$3,الموظفون!$X77)-الموظفون!$H77+1)/cfg_DAYS_Y)</f>
        <v/>
      </c>
      <c r="AD77" s="114" t="str">
        <f aca="false">IF($B77="","",MAX(0,IF(OR(الموظفون!$X77="",الموظفون!$X77&gt;($E$3-1)),($E$3-1),الموظفون!$X77)-الموظفون!$H77+1)/cfg_DAYS_Y)</f>
        <v/>
      </c>
      <c r="AE77" s="115" t="str">
        <f aca="false">IF($B77="","",MAX(0,IF(OR(الموظفون!$X77="",الموظفون!$X77&gt;$G$3),$G$3,الموظفون!$X77)-MAX($E$3,الموظفون!$H77)+1))</f>
        <v/>
      </c>
    </row>
    <row r="78" customFormat="false" ht="15" hidden="false" customHeight="false" outlineLevel="0" collapsed="false">
      <c r="A78" s="83" t="str">
        <f aca="false">IF($B78="","",الموظفون!$A78)</f>
        <v/>
      </c>
      <c r="B78" s="74" t="str">
        <f aca="false">IF(الموظفون!$B78="","",الموظفون!$B78)</f>
        <v/>
      </c>
      <c r="C78" s="74" t="str">
        <f aca="false">IF($B78="","",الموظفون!$C78)</f>
        <v/>
      </c>
      <c r="D78" s="74" t="str">
        <f aca="false">IF($B78="","",الموظفون!$F78)</f>
        <v/>
      </c>
      <c r="E78" s="74" t="str">
        <f aca="false">IF($B78="","",الموظفون!$E78)</f>
        <v/>
      </c>
      <c r="F78" s="105" t="str">
        <f aca="false">IF($B78="","",IF(AE78&gt;=DAY($G$3),cfg_DAYS_M,MIN(AE78,cfg_DAYS_M)))</f>
        <v/>
      </c>
      <c r="G78" s="105" t="str">
        <f aca="false">IF($B78="","",SUMIFS('الحركات الشهرية'!$D$6:$D$1005,'الحركات الشهرية'!$B$6:$B$1005,$B78,'الحركات الشهرية'!$A$6:$A$1005,$C$3))</f>
        <v/>
      </c>
      <c r="H78" s="105" t="str">
        <f aca="false">IF($B78="","",SUMIFS('الحركات الشهرية'!$E$6:$E$1005,'الحركات الشهرية'!$B$6:$B$1005,$B78,'الحركات الشهرية'!$A$6:$A$1005,$C$3))</f>
        <v/>
      </c>
      <c r="I78" s="105" t="str">
        <f aca="false">IF($B78="","",MAX(0,F78-G78-H78))</f>
        <v/>
      </c>
      <c r="J78" s="86" t="str">
        <f aca="false">IF($B78="","",الموظفون!$J78*$I78/cfg_DAYS_M)</f>
        <v/>
      </c>
      <c r="K78" s="86" t="str">
        <f aca="false">IF($B78="","",الموظفون!$K78*$I78/cfg_DAYS_M)</f>
        <v/>
      </c>
      <c r="L78" s="86" t="str">
        <f aca="false">IF($B78="","",الموظفون!$L78*$I78/cfg_DAYS_M)</f>
        <v/>
      </c>
      <c r="M78" s="86" t="str">
        <f aca="false">IF($B78="","",الموظفون!$M78*$I78/cfg_DAYS_M)</f>
        <v/>
      </c>
      <c r="N78" s="105" t="str">
        <f aca="false">IF($B78="","",SUMIFS('الحركات الشهرية'!$F$6:$F$1005,'الحركات الشهرية'!$B$6:$B$1005,$B78,'الحركات الشهرية'!$A$6:$A$1005,$C$3))</f>
        <v/>
      </c>
      <c r="O78" s="86" t="str">
        <f aca="false">IF($B78="","",N78*(الموظفون!$N78+الموظفون!$J78*cfg_OT_P)/cfg_DAYS_M/cfg_HRS)</f>
        <v/>
      </c>
      <c r="P78" s="86" t="str">
        <f aca="false">IF($B78="","",SUMIFS('الحركات الشهرية'!$G$6:$G$1005,'الحركات الشهرية'!$B$6:$B$1005,$B78,'الحركات الشهرية'!$A$6:$A$1005,$C$3))</f>
        <v/>
      </c>
      <c r="Q78" s="86" t="str">
        <f aca="false">IF($B78="","",SUMIFS('الحركات الشهرية'!$H$6:$H$1005,'الحركات الشهرية'!$B$6:$B$1005,$B78,'الحركات الشهرية'!$A$6:$A$1005,$C$3))</f>
        <v/>
      </c>
      <c r="R78" s="106" t="str">
        <f aca="false">IF($B78="","",SUM(J78:M78)+SUM(O78:Q78))</f>
        <v/>
      </c>
      <c r="S78" s="86" t="str">
        <f aca="false">IF($B78="","",الموظفون!$Q78*IF(E78="سعودي",cfg_G_SE,cfg_G_NE)*F78/cfg_DAYS_M)</f>
        <v/>
      </c>
      <c r="T78" s="86" t="str">
        <f aca="false">IF($B78="","",SUMIFS('الحركات الشهرية'!$I$6:$I$1005,'الحركات الشهرية'!$B$6:$B$1005,$B78,'الحركات الشهرية'!$A$6:$A$1005,$C$3))</f>
        <v/>
      </c>
      <c r="U78" s="86" t="str">
        <f aca="false">IF($B78="","",SUMIFS('الحركات الشهرية'!$J$6:$J$1005,'الحركات الشهرية'!$B$6:$B$1005,$B78,'الحركات الشهرية'!$A$6:$A$1005,$C$3))</f>
        <v/>
      </c>
      <c r="V78" s="86" t="str">
        <f aca="false">IF($B78="","",SUM(S78:U78))</f>
        <v/>
      </c>
      <c r="W78" s="107" t="str">
        <f aca="false">IF($B78="","",R78-V78)</f>
        <v/>
      </c>
      <c r="X78" s="86" t="str">
        <f aca="false">IF($B78="","",الموظفون!$Q78*IF(E78="سعودي",cfg_G_SR,cfg_G_NR)*F78/cfg_DAYS_M)</f>
        <v/>
      </c>
      <c r="Y78" s="86" t="str">
        <f aca="false">IF($B78="","",الموظفون!$O78*(cfg_EOS_R1*(MIN(AC78,cfg_EOS_TH)-MIN(AD78,cfg_EOS_TH))+cfg_EOS_R2*(MAX(AC78-cfg_EOS_TH,0)-MAX(AD78-cfg_EOS_TH,0))))</f>
        <v/>
      </c>
      <c r="Z78" s="86" t="str">
        <f aca="false">IF($B78="","",IF(الموظفون!$R78&lt;&gt;"",الموظفون!$R78,IF(AC78&gt;=cfg_LV_TH,cfg_LV_D2,cfg_LV_D1))/cfg_DAYS_Y*AE78*الموظفون!$P78/cfg_DAYS_M)</f>
        <v/>
      </c>
      <c r="AA78" s="86" t="str">
        <f aca="false">IF($B78="","",IF(AND(الموظفون!$S78="نعم",N(الموظفون!$U78)&gt;0),الموظفون!$T78/الموظفون!$U78*12/cfg_DAYS_Y*AE78,0))</f>
        <v/>
      </c>
      <c r="AB78" s="108" t="str">
        <f aca="false">IF($B78="","",R78+SUM(X78:AA78))</f>
        <v/>
      </c>
      <c r="AC78" s="109" t="str">
        <f aca="false">IF($B78="","",MAX(0,IF(OR(الموظفون!$X78="",الموظفون!$X78&gt;$G$3),$G$3,الموظفون!$X78)-الموظفون!$H78+1)/cfg_DAYS_Y)</f>
        <v/>
      </c>
      <c r="AD78" s="109" t="str">
        <f aca="false">IF($B78="","",MAX(0,IF(OR(الموظفون!$X78="",الموظفون!$X78&gt;($E$3-1)),($E$3-1),الموظفون!$X78)-الموظفون!$H78+1)/cfg_DAYS_Y)</f>
        <v/>
      </c>
      <c r="AE78" s="51" t="str">
        <f aca="false">IF($B78="","",MAX(0,IF(OR(الموظفون!$X78="",الموظفون!$X78&gt;$G$3),$G$3,الموظفون!$X78)-MAX($E$3,الموظفون!$H78)+1))</f>
        <v/>
      </c>
    </row>
    <row r="79" customFormat="false" ht="15" hidden="false" customHeight="false" outlineLevel="0" collapsed="false">
      <c r="A79" s="89" t="str">
        <f aca="false">IF($B79="","",الموظفون!$A79)</f>
        <v/>
      </c>
      <c r="B79" s="91" t="str">
        <f aca="false">IF(الموظفون!$B79="","",الموظفون!$B79)</f>
        <v/>
      </c>
      <c r="C79" s="91" t="str">
        <f aca="false">IF($B79="","",الموظفون!$C79)</f>
        <v/>
      </c>
      <c r="D79" s="91" t="str">
        <f aca="false">IF($B79="","",الموظفون!$F79)</f>
        <v/>
      </c>
      <c r="E79" s="91" t="str">
        <f aca="false">IF($B79="","",الموظفون!$E79)</f>
        <v/>
      </c>
      <c r="F79" s="110" t="str">
        <f aca="false">IF($B79="","",IF(AE79&gt;=DAY($G$3),cfg_DAYS_M,MIN(AE79,cfg_DAYS_M)))</f>
        <v/>
      </c>
      <c r="G79" s="110" t="str">
        <f aca="false">IF($B79="","",SUMIFS('الحركات الشهرية'!$D$6:$D$1005,'الحركات الشهرية'!$B$6:$B$1005,$B79,'الحركات الشهرية'!$A$6:$A$1005,$C$3))</f>
        <v/>
      </c>
      <c r="H79" s="110" t="str">
        <f aca="false">IF($B79="","",SUMIFS('الحركات الشهرية'!$E$6:$E$1005,'الحركات الشهرية'!$B$6:$B$1005,$B79,'الحركات الشهرية'!$A$6:$A$1005,$C$3))</f>
        <v/>
      </c>
      <c r="I79" s="110" t="str">
        <f aca="false">IF($B79="","",MAX(0,F79-G79-H79))</f>
        <v/>
      </c>
      <c r="J79" s="90" t="str">
        <f aca="false">IF($B79="","",الموظفون!$J79*$I79/cfg_DAYS_M)</f>
        <v/>
      </c>
      <c r="K79" s="90" t="str">
        <f aca="false">IF($B79="","",الموظفون!$K79*$I79/cfg_DAYS_M)</f>
        <v/>
      </c>
      <c r="L79" s="90" t="str">
        <f aca="false">IF($B79="","",الموظفون!$L79*$I79/cfg_DAYS_M)</f>
        <v/>
      </c>
      <c r="M79" s="90" t="str">
        <f aca="false">IF($B79="","",الموظفون!$M79*$I79/cfg_DAYS_M)</f>
        <v/>
      </c>
      <c r="N79" s="110" t="str">
        <f aca="false">IF($B79="","",SUMIFS('الحركات الشهرية'!$F$6:$F$1005,'الحركات الشهرية'!$B$6:$B$1005,$B79,'الحركات الشهرية'!$A$6:$A$1005,$C$3))</f>
        <v/>
      </c>
      <c r="O79" s="90" t="str">
        <f aca="false">IF($B79="","",N79*(الموظفون!$N79+الموظفون!$J79*cfg_OT_P)/cfg_DAYS_M/cfg_HRS)</f>
        <v/>
      </c>
      <c r="P79" s="90" t="str">
        <f aca="false">IF($B79="","",SUMIFS('الحركات الشهرية'!$G$6:$G$1005,'الحركات الشهرية'!$B$6:$B$1005,$B79,'الحركات الشهرية'!$A$6:$A$1005,$C$3))</f>
        <v/>
      </c>
      <c r="Q79" s="90" t="str">
        <f aca="false">IF($B79="","",SUMIFS('الحركات الشهرية'!$H$6:$H$1005,'الحركات الشهرية'!$B$6:$B$1005,$B79,'الحركات الشهرية'!$A$6:$A$1005,$C$3))</f>
        <v/>
      </c>
      <c r="R79" s="111" t="str">
        <f aca="false">IF($B79="","",SUM(J79:M79)+SUM(O79:Q79))</f>
        <v/>
      </c>
      <c r="S79" s="90" t="str">
        <f aca="false">IF($B79="","",الموظفون!$Q79*IF(E79="سعودي",cfg_G_SE,cfg_G_NE)*F79/cfg_DAYS_M)</f>
        <v/>
      </c>
      <c r="T79" s="90" t="str">
        <f aca="false">IF($B79="","",SUMIFS('الحركات الشهرية'!$I$6:$I$1005,'الحركات الشهرية'!$B$6:$B$1005,$B79,'الحركات الشهرية'!$A$6:$A$1005,$C$3))</f>
        <v/>
      </c>
      <c r="U79" s="90" t="str">
        <f aca="false">IF($B79="","",SUMIFS('الحركات الشهرية'!$J$6:$J$1005,'الحركات الشهرية'!$B$6:$B$1005,$B79,'الحركات الشهرية'!$A$6:$A$1005,$C$3))</f>
        <v/>
      </c>
      <c r="V79" s="90" t="str">
        <f aca="false">IF($B79="","",SUM(S79:U79))</f>
        <v/>
      </c>
      <c r="W79" s="112" t="str">
        <f aca="false">IF($B79="","",R79-V79)</f>
        <v/>
      </c>
      <c r="X79" s="90" t="str">
        <f aca="false">IF($B79="","",الموظفون!$Q79*IF(E79="سعودي",cfg_G_SR,cfg_G_NR)*F79/cfg_DAYS_M)</f>
        <v/>
      </c>
      <c r="Y79" s="90" t="str">
        <f aca="false">IF($B79="","",الموظفون!$O79*(cfg_EOS_R1*(MIN(AC79,cfg_EOS_TH)-MIN(AD79,cfg_EOS_TH))+cfg_EOS_R2*(MAX(AC79-cfg_EOS_TH,0)-MAX(AD79-cfg_EOS_TH,0))))</f>
        <v/>
      </c>
      <c r="Z79" s="90" t="str">
        <f aca="false">IF($B79="","",IF(الموظفون!$R79&lt;&gt;"",الموظفون!$R79,IF(AC79&gt;=cfg_LV_TH,cfg_LV_D2,cfg_LV_D1))/cfg_DAYS_Y*AE79*الموظفون!$P79/cfg_DAYS_M)</f>
        <v/>
      </c>
      <c r="AA79" s="90" t="str">
        <f aca="false">IF($B79="","",IF(AND(الموظفون!$S79="نعم",N(الموظفون!$U79)&gt;0),الموظفون!$T79/الموظفون!$U79*12/cfg_DAYS_Y*AE79,0))</f>
        <v/>
      </c>
      <c r="AB79" s="113" t="str">
        <f aca="false">IF($B79="","",R79+SUM(X79:AA79))</f>
        <v/>
      </c>
      <c r="AC79" s="114" t="str">
        <f aca="false">IF($B79="","",MAX(0,IF(OR(الموظفون!$X79="",الموظفون!$X79&gt;$G$3),$G$3,الموظفون!$X79)-الموظفون!$H79+1)/cfg_DAYS_Y)</f>
        <v/>
      </c>
      <c r="AD79" s="114" t="str">
        <f aca="false">IF($B79="","",MAX(0,IF(OR(الموظفون!$X79="",الموظفون!$X79&gt;($E$3-1)),($E$3-1),الموظفون!$X79)-الموظفون!$H79+1)/cfg_DAYS_Y)</f>
        <v/>
      </c>
      <c r="AE79" s="115" t="str">
        <f aca="false">IF($B79="","",MAX(0,IF(OR(الموظفون!$X79="",الموظفون!$X79&gt;$G$3),$G$3,الموظفون!$X79)-MAX($E$3,الموظفون!$H79)+1))</f>
        <v/>
      </c>
    </row>
    <row r="80" customFormat="false" ht="15" hidden="false" customHeight="false" outlineLevel="0" collapsed="false">
      <c r="A80" s="83" t="str">
        <f aca="false">IF($B80="","",الموظفون!$A80)</f>
        <v/>
      </c>
      <c r="B80" s="74" t="str">
        <f aca="false">IF(الموظفون!$B80="","",الموظفون!$B80)</f>
        <v/>
      </c>
      <c r="C80" s="74" t="str">
        <f aca="false">IF($B80="","",الموظفون!$C80)</f>
        <v/>
      </c>
      <c r="D80" s="74" t="str">
        <f aca="false">IF($B80="","",الموظفون!$F80)</f>
        <v/>
      </c>
      <c r="E80" s="74" t="str">
        <f aca="false">IF($B80="","",الموظفون!$E80)</f>
        <v/>
      </c>
      <c r="F80" s="105" t="str">
        <f aca="false">IF($B80="","",IF(AE80&gt;=DAY($G$3),cfg_DAYS_M,MIN(AE80,cfg_DAYS_M)))</f>
        <v/>
      </c>
      <c r="G80" s="105" t="str">
        <f aca="false">IF($B80="","",SUMIFS('الحركات الشهرية'!$D$6:$D$1005,'الحركات الشهرية'!$B$6:$B$1005,$B80,'الحركات الشهرية'!$A$6:$A$1005,$C$3))</f>
        <v/>
      </c>
      <c r="H80" s="105" t="str">
        <f aca="false">IF($B80="","",SUMIFS('الحركات الشهرية'!$E$6:$E$1005,'الحركات الشهرية'!$B$6:$B$1005,$B80,'الحركات الشهرية'!$A$6:$A$1005,$C$3))</f>
        <v/>
      </c>
      <c r="I80" s="105" t="str">
        <f aca="false">IF($B80="","",MAX(0,F80-G80-H80))</f>
        <v/>
      </c>
      <c r="J80" s="86" t="str">
        <f aca="false">IF($B80="","",الموظفون!$J80*$I80/cfg_DAYS_M)</f>
        <v/>
      </c>
      <c r="K80" s="86" t="str">
        <f aca="false">IF($B80="","",الموظفون!$K80*$I80/cfg_DAYS_M)</f>
        <v/>
      </c>
      <c r="L80" s="86" t="str">
        <f aca="false">IF($B80="","",الموظفون!$L80*$I80/cfg_DAYS_M)</f>
        <v/>
      </c>
      <c r="M80" s="86" t="str">
        <f aca="false">IF($B80="","",الموظفون!$M80*$I80/cfg_DAYS_M)</f>
        <v/>
      </c>
      <c r="N80" s="105" t="str">
        <f aca="false">IF($B80="","",SUMIFS('الحركات الشهرية'!$F$6:$F$1005,'الحركات الشهرية'!$B$6:$B$1005,$B80,'الحركات الشهرية'!$A$6:$A$1005,$C$3))</f>
        <v/>
      </c>
      <c r="O80" s="86" t="str">
        <f aca="false">IF($B80="","",N80*(الموظفون!$N80+الموظفون!$J80*cfg_OT_P)/cfg_DAYS_M/cfg_HRS)</f>
        <v/>
      </c>
      <c r="P80" s="86" t="str">
        <f aca="false">IF($B80="","",SUMIFS('الحركات الشهرية'!$G$6:$G$1005,'الحركات الشهرية'!$B$6:$B$1005,$B80,'الحركات الشهرية'!$A$6:$A$1005,$C$3))</f>
        <v/>
      </c>
      <c r="Q80" s="86" t="str">
        <f aca="false">IF($B80="","",SUMIFS('الحركات الشهرية'!$H$6:$H$1005,'الحركات الشهرية'!$B$6:$B$1005,$B80,'الحركات الشهرية'!$A$6:$A$1005,$C$3))</f>
        <v/>
      </c>
      <c r="R80" s="106" t="str">
        <f aca="false">IF($B80="","",SUM(J80:M80)+SUM(O80:Q80))</f>
        <v/>
      </c>
      <c r="S80" s="86" t="str">
        <f aca="false">IF($B80="","",الموظفون!$Q80*IF(E80="سعودي",cfg_G_SE,cfg_G_NE)*F80/cfg_DAYS_M)</f>
        <v/>
      </c>
      <c r="T80" s="86" t="str">
        <f aca="false">IF($B80="","",SUMIFS('الحركات الشهرية'!$I$6:$I$1005,'الحركات الشهرية'!$B$6:$B$1005,$B80,'الحركات الشهرية'!$A$6:$A$1005,$C$3))</f>
        <v/>
      </c>
      <c r="U80" s="86" t="str">
        <f aca="false">IF($B80="","",SUMIFS('الحركات الشهرية'!$J$6:$J$1005,'الحركات الشهرية'!$B$6:$B$1005,$B80,'الحركات الشهرية'!$A$6:$A$1005,$C$3))</f>
        <v/>
      </c>
      <c r="V80" s="86" t="str">
        <f aca="false">IF($B80="","",SUM(S80:U80))</f>
        <v/>
      </c>
      <c r="W80" s="107" t="str">
        <f aca="false">IF($B80="","",R80-V80)</f>
        <v/>
      </c>
      <c r="X80" s="86" t="str">
        <f aca="false">IF($B80="","",الموظفون!$Q80*IF(E80="سعودي",cfg_G_SR,cfg_G_NR)*F80/cfg_DAYS_M)</f>
        <v/>
      </c>
      <c r="Y80" s="86" t="str">
        <f aca="false">IF($B80="","",الموظفون!$O80*(cfg_EOS_R1*(MIN(AC80,cfg_EOS_TH)-MIN(AD80,cfg_EOS_TH))+cfg_EOS_R2*(MAX(AC80-cfg_EOS_TH,0)-MAX(AD80-cfg_EOS_TH,0))))</f>
        <v/>
      </c>
      <c r="Z80" s="86" t="str">
        <f aca="false">IF($B80="","",IF(الموظفون!$R80&lt;&gt;"",الموظفون!$R80,IF(AC80&gt;=cfg_LV_TH,cfg_LV_D2,cfg_LV_D1))/cfg_DAYS_Y*AE80*الموظفون!$P80/cfg_DAYS_M)</f>
        <v/>
      </c>
      <c r="AA80" s="86" t="str">
        <f aca="false">IF($B80="","",IF(AND(الموظفون!$S80="نعم",N(الموظفون!$U80)&gt;0),الموظفون!$T80/الموظفون!$U80*12/cfg_DAYS_Y*AE80,0))</f>
        <v/>
      </c>
      <c r="AB80" s="108" t="str">
        <f aca="false">IF($B80="","",R80+SUM(X80:AA80))</f>
        <v/>
      </c>
      <c r="AC80" s="109" t="str">
        <f aca="false">IF($B80="","",MAX(0,IF(OR(الموظفون!$X80="",الموظفون!$X80&gt;$G$3),$G$3,الموظفون!$X80)-الموظفون!$H80+1)/cfg_DAYS_Y)</f>
        <v/>
      </c>
      <c r="AD80" s="109" t="str">
        <f aca="false">IF($B80="","",MAX(0,IF(OR(الموظفون!$X80="",الموظفون!$X80&gt;($E$3-1)),($E$3-1),الموظفون!$X80)-الموظفون!$H80+1)/cfg_DAYS_Y)</f>
        <v/>
      </c>
      <c r="AE80" s="51" t="str">
        <f aca="false">IF($B80="","",MAX(0,IF(OR(الموظفون!$X80="",الموظفون!$X80&gt;$G$3),$G$3,الموظفون!$X80)-MAX($E$3,الموظفون!$H80)+1))</f>
        <v/>
      </c>
    </row>
    <row r="81" customFormat="false" ht="15" hidden="false" customHeight="false" outlineLevel="0" collapsed="false">
      <c r="A81" s="89" t="str">
        <f aca="false">IF($B81="","",الموظفون!$A81)</f>
        <v/>
      </c>
      <c r="B81" s="91" t="str">
        <f aca="false">IF(الموظفون!$B81="","",الموظفون!$B81)</f>
        <v/>
      </c>
      <c r="C81" s="91" t="str">
        <f aca="false">IF($B81="","",الموظفون!$C81)</f>
        <v/>
      </c>
      <c r="D81" s="91" t="str">
        <f aca="false">IF($B81="","",الموظفون!$F81)</f>
        <v/>
      </c>
      <c r="E81" s="91" t="str">
        <f aca="false">IF($B81="","",الموظفون!$E81)</f>
        <v/>
      </c>
      <c r="F81" s="110" t="str">
        <f aca="false">IF($B81="","",IF(AE81&gt;=DAY($G$3),cfg_DAYS_M,MIN(AE81,cfg_DAYS_M)))</f>
        <v/>
      </c>
      <c r="G81" s="110" t="str">
        <f aca="false">IF($B81="","",SUMIFS('الحركات الشهرية'!$D$6:$D$1005,'الحركات الشهرية'!$B$6:$B$1005,$B81,'الحركات الشهرية'!$A$6:$A$1005,$C$3))</f>
        <v/>
      </c>
      <c r="H81" s="110" t="str">
        <f aca="false">IF($B81="","",SUMIFS('الحركات الشهرية'!$E$6:$E$1005,'الحركات الشهرية'!$B$6:$B$1005,$B81,'الحركات الشهرية'!$A$6:$A$1005,$C$3))</f>
        <v/>
      </c>
      <c r="I81" s="110" t="str">
        <f aca="false">IF($B81="","",MAX(0,F81-G81-H81))</f>
        <v/>
      </c>
      <c r="J81" s="90" t="str">
        <f aca="false">IF($B81="","",الموظفون!$J81*$I81/cfg_DAYS_M)</f>
        <v/>
      </c>
      <c r="K81" s="90" t="str">
        <f aca="false">IF($B81="","",الموظفون!$K81*$I81/cfg_DAYS_M)</f>
        <v/>
      </c>
      <c r="L81" s="90" t="str">
        <f aca="false">IF($B81="","",الموظفون!$L81*$I81/cfg_DAYS_M)</f>
        <v/>
      </c>
      <c r="M81" s="90" t="str">
        <f aca="false">IF($B81="","",الموظفون!$M81*$I81/cfg_DAYS_M)</f>
        <v/>
      </c>
      <c r="N81" s="110" t="str">
        <f aca="false">IF($B81="","",SUMIFS('الحركات الشهرية'!$F$6:$F$1005,'الحركات الشهرية'!$B$6:$B$1005,$B81,'الحركات الشهرية'!$A$6:$A$1005,$C$3))</f>
        <v/>
      </c>
      <c r="O81" s="90" t="str">
        <f aca="false">IF($B81="","",N81*(الموظفون!$N81+الموظفون!$J81*cfg_OT_P)/cfg_DAYS_M/cfg_HRS)</f>
        <v/>
      </c>
      <c r="P81" s="90" t="str">
        <f aca="false">IF($B81="","",SUMIFS('الحركات الشهرية'!$G$6:$G$1005,'الحركات الشهرية'!$B$6:$B$1005,$B81,'الحركات الشهرية'!$A$6:$A$1005,$C$3))</f>
        <v/>
      </c>
      <c r="Q81" s="90" t="str">
        <f aca="false">IF($B81="","",SUMIFS('الحركات الشهرية'!$H$6:$H$1005,'الحركات الشهرية'!$B$6:$B$1005,$B81,'الحركات الشهرية'!$A$6:$A$1005,$C$3))</f>
        <v/>
      </c>
      <c r="R81" s="111" t="str">
        <f aca="false">IF($B81="","",SUM(J81:M81)+SUM(O81:Q81))</f>
        <v/>
      </c>
      <c r="S81" s="90" t="str">
        <f aca="false">IF($B81="","",الموظفون!$Q81*IF(E81="سعودي",cfg_G_SE,cfg_G_NE)*F81/cfg_DAYS_M)</f>
        <v/>
      </c>
      <c r="T81" s="90" t="str">
        <f aca="false">IF($B81="","",SUMIFS('الحركات الشهرية'!$I$6:$I$1005,'الحركات الشهرية'!$B$6:$B$1005,$B81,'الحركات الشهرية'!$A$6:$A$1005,$C$3))</f>
        <v/>
      </c>
      <c r="U81" s="90" t="str">
        <f aca="false">IF($B81="","",SUMIFS('الحركات الشهرية'!$J$6:$J$1005,'الحركات الشهرية'!$B$6:$B$1005,$B81,'الحركات الشهرية'!$A$6:$A$1005,$C$3))</f>
        <v/>
      </c>
      <c r="V81" s="90" t="str">
        <f aca="false">IF($B81="","",SUM(S81:U81))</f>
        <v/>
      </c>
      <c r="W81" s="112" t="str">
        <f aca="false">IF($B81="","",R81-V81)</f>
        <v/>
      </c>
      <c r="X81" s="90" t="str">
        <f aca="false">IF($B81="","",الموظفون!$Q81*IF(E81="سعودي",cfg_G_SR,cfg_G_NR)*F81/cfg_DAYS_M)</f>
        <v/>
      </c>
      <c r="Y81" s="90" t="str">
        <f aca="false">IF($B81="","",الموظفون!$O81*(cfg_EOS_R1*(MIN(AC81,cfg_EOS_TH)-MIN(AD81,cfg_EOS_TH))+cfg_EOS_R2*(MAX(AC81-cfg_EOS_TH,0)-MAX(AD81-cfg_EOS_TH,0))))</f>
        <v/>
      </c>
      <c r="Z81" s="90" t="str">
        <f aca="false">IF($B81="","",IF(الموظفون!$R81&lt;&gt;"",الموظفون!$R81,IF(AC81&gt;=cfg_LV_TH,cfg_LV_D2,cfg_LV_D1))/cfg_DAYS_Y*AE81*الموظفون!$P81/cfg_DAYS_M)</f>
        <v/>
      </c>
      <c r="AA81" s="90" t="str">
        <f aca="false">IF($B81="","",IF(AND(الموظفون!$S81="نعم",N(الموظفون!$U81)&gt;0),الموظفون!$T81/الموظفون!$U81*12/cfg_DAYS_Y*AE81,0))</f>
        <v/>
      </c>
      <c r="AB81" s="113" t="str">
        <f aca="false">IF($B81="","",R81+SUM(X81:AA81))</f>
        <v/>
      </c>
      <c r="AC81" s="114" t="str">
        <f aca="false">IF($B81="","",MAX(0,IF(OR(الموظفون!$X81="",الموظفون!$X81&gt;$G$3),$G$3,الموظفون!$X81)-الموظفون!$H81+1)/cfg_DAYS_Y)</f>
        <v/>
      </c>
      <c r="AD81" s="114" t="str">
        <f aca="false">IF($B81="","",MAX(0,IF(OR(الموظفون!$X81="",الموظفون!$X81&gt;($E$3-1)),($E$3-1),الموظفون!$X81)-الموظفون!$H81+1)/cfg_DAYS_Y)</f>
        <v/>
      </c>
      <c r="AE81" s="115" t="str">
        <f aca="false">IF($B81="","",MAX(0,IF(OR(الموظفون!$X81="",الموظفون!$X81&gt;$G$3),$G$3,الموظفون!$X81)-MAX($E$3,الموظفون!$H81)+1))</f>
        <v/>
      </c>
    </row>
    <row r="82" customFormat="false" ht="15" hidden="false" customHeight="false" outlineLevel="0" collapsed="false">
      <c r="A82" s="83" t="str">
        <f aca="false">IF($B82="","",الموظفون!$A82)</f>
        <v/>
      </c>
      <c r="B82" s="74" t="str">
        <f aca="false">IF(الموظفون!$B82="","",الموظفون!$B82)</f>
        <v/>
      </c>
      <c r="C82" s="74" t="str">
        <f aca="false">IF($B82="","",الموظفون!$C82)</f>
        <v/>
      </c>
      <c r="D82" s="74" t="str">
        <f aca="false">IF($B82="","",الموظفون!$F82)</f>
        <v/>
      </c>
      <c r="E82" s="74" t="str">
        <f aca="false">IF($B82="","",الموظفون!$E82)</f>
        <v/>
      </c>
      <c r="F82" s="105" t="str">
        <f aca="false">IF($B82="","",IF(AE82&gt;=DAY($G$3),cfg_DAYS_M,MIN(AE82,cfg_DAYS_M)))</f>
        <v/>
      </c>
      <c r="G82" s="105" t="str">
        <f aca="false">IF($B82="","",SUMIFS('الحركات الشهرية'!$D$6:$D$1005,'الحركات الشهرية'!$B$6:$B$1005,$B82,'الحركات الشهرية'!$A$6:$A$1005,$C$3))</f>
        <v/>
      </c>
      <c r="H82" s="105" t="str">
        <f aca="false">IF($B82="","",SUMIFS('الحركات الشهرية'!$E$6:$E$1005,'الحركات الشهرية'!$B$6:$B$1005,$B82,'الحركات الشهرية'!$A$6:$A$1005,$C$3))</f>
        <v/>
      </c>
      <c r="I82" s="105" t="str">
        <f aca="false">IF($B82="","",MAX(0,F82-G82-H82))</f>
        <v/>
      </c>
      <c r="J82" s="86" t="str">
        <f aca="false">IF($B82="","",الموظفون!$J82*$I82/cfg_DAYS_M)</f>
        <v/>
      </c>
      <c r="K82" s="86" t="str">
        <f aca="false">IF($B82="","",الموظفون!$K82*$I82/cfg_DAYS_M)</f>
        <v/>
      </c>
      <c r="L82" s="86" t="str">
        <f aca="false">IF($B82="","",الموظفون!$L82*$I82/cfg_DAYS_M)</f>
        <v/>
      </c>
      <c r="M82" s="86" t="str">
        <f aca="false">IF($B82="","",الموظفون!$M82*$I82/cfg_DAYS_M)</f>
        <v/>
      </c>
      <c r="N82" s="105" t="str">
        <f aca="false">IF($B82="","",SUMIFS('الحركات الشهرية'!$F$6:$F$1005,'الحركات الشهرية'!$B$6:$B$1005,$B82,'الحركات الشهرية'!$A$6:$A$1005,$C$3))</f>
        <v/>
      </c>
      <c r="O82" s="86" t="str">
        <f aca="false">IF($B82="","",N82*(الموظفون!$N82+الموظفون!$J82*cfg_OT_P)/cfg_DAYS_M/cfg_HRS)</f>
        <v/>
      </c>
      <c r="P82" s="86" t="str">
        <f aca="false">IF($B82="","",SUMIFS('الحركات الشهرية'!$G$6:$G$1005,'الحركات الشهرية'!$B$6:$B$1005,$B82,'الحركات الشهرية'!$A$6:$A$1005,$C$3))</f>
        <v/>
      </c>
      <c r="Q82" s="86" t="str">
        <f aca="false">IF($B82="","",SUMIFS('الحركات الشهرية'!$H$6:$H$1005,'الحركات الشهرية'!$B$6:$B$1005,$B82,'الحركات الشهرية'!$A$6:$A$1005,$C$3))</f>
        <v/>
      </c>
      <c r="R82" s="106" t="str">
        <f aca="false">IF($B82="","",SUM(J82:M82)+SUM(O82:Q82))</f>
        <v/>
      </c>
      <c r="S82" s="86" t="str">
        <f aca="false">IF($B82="","",الموظفون!$Q82*IF(E82="سعودي",cfg_G_SE,cfg_G_NE)*F82/cfg_DAYS_M)</f>
        <v/>
      </c>
      <c r="T82" s="86" t="str">
        <f aca="false">IF($B82="","",SUMIFS('الحركات الشهرية'!$I$6:$I$1005,'الحركات الشهرية'!$B$6:$B$1005,$B82,'الحركات الشهرية'!$A$6:$A$1005,$C$3))</f>
        <v/>
      </c>
      <c r="U82" s="86" t="str">
        <f aca="false">IF($B82="","",SUMIFS('الحركات الشهرية'!$J$6:$J$1005,'الحركات الشهرية'!$B$6:$B$1005,$B82,'الحركات الشهرية'!$A$6:$A$1005,$C$3))</f>
        <v/>
      </c>
      <c r="V82" s="86" t="str">
        <f aca="false">IF($B82="","",SUM(S82:U82))</f>
        <v/>
      </c>
      <c r="W82" s="107" t="str">
        <f aca="false">IF($B82="","",R82-V82)</f>
        <v/>
      </c>
      <c r="X82" s="86" t="str">
        <f aca="false">IF($B82="","",الموظفون!$Q82*IF(E82="سعودي",cfg_G_SR,cfg_G_NR)*F82/cfg_DAYS_M)</f>
        <v/>
      </c>
      <c r="Y82" s="86" t="str">
        <f aca="false">IF($B82="","",الموظفون!$O82*(cfg_EOS_R1*(MIN(AC82,cfg_EOS_TH)-MIN(AD82,cfg_EOS_TH))+cfg_EOS_R2*(MAX(AC82-cfg_EOS_TH,0)-MAX(AD82-cfg_EOS_TH,0))))</f>
        <v/>
      </c>
      <c r="Z82" s="86" t="str">
        <f aca="false">IF($B82="","",IF(الموظفون!$R82&lt;&gt;"",الموظفون!$R82,IF(AC82&gt;=cfg_LV_TH,cfg_LV_D2,cfg_LV_D1))/cfg_DAYS_Y*AE82*الموظفون!$P82/cfg_DAYS_M)</f>
        <v/>
      </c>
      <c r="AA82" s="86" t="str">
        <f aca="false">IF($B82="","",IF(AND(الموظفون!$S82="نعم",N(الموظفون!$U82)&gt;0),الموظفون!$T82/الموظفون!$U82*12/cfg_DAYS_Y*AE82,0))</f>
        <v/>
      </c>
      <c r="AB82" s="108" t="str">
        <f aca="false">IF($B82="","",R82+SUM(X82:AA82))</f>
        <v/>
      </c>
      <c r="AC82" s="109" t="str">
        <f aca="false">IF($B82="","",MAX(0,IF(OR(الموظفون!$X82="",الموظفون!$X82&gt;$G$3),$G$3,الموظفون!$X82)-الموظفون!$H82+1)/cfg_DAYS_Y)</f>
        <v/>
      </c>
      <c r="AD82" s="109" t="str">
        <f aca="false">IF($B82="","",MAX(0,IF(OR(الموظفون!$X82="",الموظفون!$X82&gt;($E$3-1)),($E$3-1),الموظفون!$X82)-الموظفون!$H82+1)/cfg_DAYS_Y)</f>
        <v/>
      </c>
      <c r="AE82" s="51" t="str">
        <f aca="false">IF($B82="","",MAX(0,IF(OR(الموظفون!$X82="",الموظفون!$X82&gt;$G$3),$G$3,الموظفون!$X82)-MAX($E$3,الموظفون!$H82)+1))</f>
        <v/>
      </c>
    </row>
    <row r="83" customFormat="false" ht="15" hidden="false" customHeight="false" outlineLevel="0" collapsed="false">
      <c r="A83" s="89" t="str">
        <f aca="false">IF($B83="","",الموظفون!$A83)</f>
        <v/>
      </c>
      <c r="B83" s="91" t="str">
        <f aca="false">IF(الموظفون!$B83="","",الموظفون!$B83)</f>
        <v/>
      </c>
      <c r="C83" s="91" t="str">
        <f aca="false">IF($B83="","",الموظفون!$C83)</f>
        <v/>
      </c>
      <c r="D83" s="91" t="str">
        <f aca="false">IF($B83="","",الموظفون!$F83)</f>
        <v/>
      </c>
      <c r="E83" s="91" t="str">
        <f aca="false">IF($B83="","",الموظفون!$E83)</f>
        <v/>
      </c>
      <c r="F83" s="110" t="str">
        <f aca="false">IF($B83="","",IF(AE83&gt;=DAY($G$3),cfg_DAYS_M,MIN(AE83,cfg_DAYS_M)))</f>
        <v/>
      </c>
      <c r="G83" s="110" t="str">
        <f aca="false">IF($B83="","",SUMIFS('الحركات الشهرية'!$D$6:$D$1005,'الحركات الشهرية'!$B$6:$B$1005,$B83,'الحركات الشهرية'!$A$6:$A$1005,$C$3))</f>
        <v/>
      </c>
      <c r="H83" s="110" t="str">
        <f aca="false">IF($B83="","",SUMIFS('الحركات الشهرية'!$E$6:$E$1005,'الحركات الشهرية'!$B$6:$B$1005,$B83,'الحركات الشهرية'!$A$6:$A$1005,$C$3))</f>
        <v/>
      </c>
      <c r="I83" s="110" t="str">
        <f aca="false">IF($B83="","",MAX(0,F83-G83-H83))</f>
        <v/>
      </c>
      <c r="J83" s="90" t="str">
        <f aca="false">IF($B83="","",الموظفون!$J83*$I83/cfg_DAYS_M)</f>
        <v/>
      </c>
      <c r="K83" s="90" t="str">
        <f aca="false">IF($B83="","",الموظفون!$K83*$I83/cfg_DAYS_M)</f>
        <v/>
      </c>
      <c r="L83" s="90" t="str">
        <f aca="false">IF($B83="","",الموظفون!$L83*$I83/cfg_DAYS_M)</f>
        <v/>
      </c>
      <c r="M83" s="90" t="str">
        <f aca="false">IF($B83="","",الموظفون!$M83*$I83/cfg_DAYS_M)</f>
        <v/>
      </c>
      <c r="N83" s="110" t="str">
        <f aca="false">IF($B83="","",SUMIFS('الحركات الشهرية'!$F$6:$F$1005,'الحركات الشهرية'!$B$6:$B$1005,$B83,'الحركات الشهرية'!$A$6:$A$1005,$C$3))</f>
        <v/>
      </c>
      <c r="O83" s="90" t="str">
        <f aca="false">IF($B83="","",N83*(الموظفون!$N83+الموظفون!$J83*cfg_OT_P)/cfg_DAYS_M/cfg_HRS)</f>
        <v/>
      </c>
      <c r="P83" s="90" t="str">
        <f aca="false">IF($B83="","",SUMIFS('الحركات الشهرية'!$G$6:$G$1005,'الحركات الشهرية'!$B$6:$B$1005,$B83,'الحركات الشهرية'!$A$6:$A$1005,$C$3))</f>
        <v/>
      </c>
      <c r="Q83" s="90" t="str">
        <f aca="false">IF($B83="","",SUMIFS('الحركات الشهرية'!$H$6:$H$1005,'الحركات الشهرية'!$B$6:$B$1005,$B83,'الحركات الشهرية'!$A$6:$A$1005,$C$3))</f>
        <v/>
      </c>
      <c r="R83" s="111" t="str">
        <f aca="false">IF($B83="","",SUM(J83:M83)+SUM(O83:Q83))</f>
        <v/>
      </c>
      <c r="S83" s="90" t="str">
        <f aca="false">IF($B83="","",الموظفون!$Q83*IF(E83="سعودي",cfg_G_SE,cfg_G_NE)*F83/cfg_DAYS_M)</f>
        <v/>
      </c>
      <c r="T83" s="90" t="str">
        <f aca="false">IF($B83="","",SUMIFS('الحركات الشهرية'!$I$6:$I$1005,'الحركات الشهرية'!$B$6:$B$1005,$B83,'الحركات الشهرية'!$A$6:$A$1005,$C$3))</f>
        <v/>
      </c>
      <c r="U83" s="90" t="str">
        <f aca="false">IF($B83="","",SUMIFS('الحركات الشهرية'!$J$6:$J$1005,'الحركات الشهرية'!$B$6:$B$1005,$B83,'الحركات الشهرية'!$A$6:$A$1005,$C$3))</f>
        <v/>
      </c>
      <c r="V83" s="90" t="str">
        <f aca="false">IF($B83="","",SUM(S83:U83))</f>
        <v/>
      </c>
      <c r="W83" s="112" t="str">
        <f aca="false">IF($B83="","",R83-V83)</f>
        <v/>
      </c>
      <c r="X83" s="90" t="str">
        <f aca="false">IF($B83="","",الموظفون!$Q83*IF(E83="سعودي",cfg_G_SR,cfg_G_NR)*F83/cfg_DAYS_M)</f>
        <v/>
      </c>
      <c r="Y83" s="90" t="str">
        <f aca="false">IF($B83="","",الموظفون!$O83*(cfg_EOS_R1*(MIN(AC83,cfg_EOS_TH)-MIN(AD83,cfg_EOS_TH))+cfg_EOS_R2*(MAX(AC83-cfg_EOS_TH,0)-MAX(AD83-cfg_EOS_TH,0))))</f>
        <v/>
      </c>
      <c r="Z83" s="90" t="str">
        <f aca="false">IF($B83="","",IF(الموظفون!$R83&lt;&gt;"",الموظفون!$R83,IF(AC83&gt;=cfg_LV_TH,cfg_LV_D2,cfg_LV_D1))/cfg_DAYS_Y*AE83*الموظفون!$P83/cfg_DAYS_M)</f>
        <v/>
      </c>
      <c r="AA83" s="90" t="str">
        <f aca="false">IF($B83="","",IF(AND(الموظفون!$S83="نعم",N(الموظفون!$U83)&gt;0),الموظفون!$T83/الموظفون!$U83*12/cfg_DAYS_Y*AE83,0))</f>
        <v/>
      </c>
      <c r="AB83" s="113" t="str">
        <f aca="false">IF($B83="","",R83+SUM(X83:AA83))</f>
        <v/>
      </c>
      <c r="AC83" s="114" t="str">
        <f aca="false">IF($B83="","",MAX(0,IF(OR(الموظفون!$X83="",الموظفون!$X83&gt;$G$3),$G$3,الموظفون!$X83)-الموظفون!$H83+1)/cfg_DAYS_Y)</f>
        <v/>
      </c>
      <c r="AD83" s="114" t="str">
        <f aca="false">IF($B83="","",MAX(0,IF(OR(الموظفون!$X83="",الموظفون!$X83&gt;($E$3-1)),($E$3-1),الموظفون!$X83)-الموظفون!$H83+1)/cfg_DAYS_Y)</f>
        <v/>
      </c>
      <c r="AE83" s="115" t="str">
        <f aca="false">IF($B83="","",MAX(0,IF(OR(الموظفون!$X83="",الموظفون!$X83&gt;$G$3),$G$3,الموظفون!$X83)-MAX($E$3,الموظفون!$H83)+1))</f>
        <v/>
      </c>
    </row>
    <row r="84" customFormat="false" ht="15" hidden="false" customHeight="false" outlineLevel="0" collapsed="false">
      <c r="A84" s="83" t="str">
        <f aca="false">IF($B84="","",الموظفون!$A84)</f>
        <v/>
      </c>
      <c r="B84" s="74" t="str">
        <f aca="false">IF(الموظفون!$B84="","",الموظفون!$B84)</f>
        <v/>
      </c>
      <c r="C84" s="74" t="str">
        <f aca="false">IF($B84="","",الموظفون!$C84)</f>
        <v/>
      </c>
      <c r="D84" s="74" t="str">
        <f aca="false">IF($B84="","",الموظفون!$F84)</f>
        <v/>
      </c>
      <c r="E84" s="74" t="str">
        <f aca="false">IF($B84="","",الموظفون!$E84)</f>
        <v/>
      </c>
      <c r="F84" s="105" t="str">
        <f aca="false">IF($B84="","",IF(AE84&gt;=DAY($G$3),cfg_DAYS_M,MIN(AE84,cfg_DAYS_M)))</f>
        <v/>
      </c>
      <c r="G84" s="105" t="str">
        <f aca="false">IF($B84="","",SUMIFS('الحركات الشهرية'!$D$6:$D$1005,'الحركات الشهرية'!$B$6:$B$1005,$B84,'الحركات الشهرية'!$A$6:$A$1005,$C$3))</f>
        <v/>
      </c>
      <c r="H84" s="105" t="str">
        <f aca="false">IF($B84="","",SUMIFS('الحركات الشهرية'!$E$6:$E$1005,'الحركات الشهرية'!$B$6:$B$1005,$B84,'الحركات الشهرية'!$A$6:$A$1005,$C$3))</f>
        <v/>
      </c>
      <c r="I84" s="105" t="str">
        <f aca="false">IF($B84="","",MAX(0,F84-G84-H84))</f>
        <v/>
      </c>
      <c r="J84" s="86" t="str">
        <f aca="false">IF($B84="","",الموظفون!$J84*$I84/cfg_DAYS_M)</f>
        <v/>
      </c>
      <c r="K84" s="86" t="str">
        <f aca="false">IF($B84="","",الموظفون!$K84*$I84/cfg_DAYS_M)</f>
        <v/>
      </c>
      <c r="L84" s="86" t="str">
        <f aca="false">IF($B84="","",الموظفون!$L84*$I84/cfg_DAYS_M)</f>
        <v/>
      </c>
      <c r="M84" s="86" t="str">
        <f aca="false">IF($B84="","",الموظفون!$M84*$I84/cfg_DAYS_M)</f>
        <v/>
      </c>
      <c r="N84" s="105" t="str">
        <f aca="false">IF($B84="","",SUMIFS('الحركات الشهرية'!$F$6:$F$1005,'الحركات الشهرية'!$B$6:$B$1005,$B84,'الحركات الشهرية'!$A$6:$A$1005,$C$3))</f>
        <v/>
      </c>
      <c r="O84" s="86" t="str">
        <f aca="false">IF($B84="","",N84*(الموظفون!$N84+الموظفون!$J84*cfg_OT_P)/cfg_DAYS_M/cfg_HRS)</f>
        <v/>
      </c>
      <c r="P84" s="86" t="str">
        <f aca="false">IF($B84="","",SUMIFS('الحركات الشهرية'!$G$6:$G$1005,'الحركات الشهرية'!$B$6:$B$1005,$B84,'الحركات الشهرية'!$A$6:$A$1005,$C$3))</f>
        <v/>
      </c>
      <c r="Q84" s="86" t="str">
        <f aca="false">IF($B84="","",SUMIFS('الحركات الشهرية'!$H$6:$H$1005,'الحركات الشهرية'!$B$6:$B$1005,$B84,'الحركات الشهرية'!$A$6:$A$1005,$C$3))</f>
        <v/>
      </c>
      <c r="R84" s="106" t="str">
        <f aca="false">IF($B84="","",SUM(J84:M84)+SUM(O84:Q84))</f>
        <v/>
      </c>
      <c r="S84" s="86" t="str">
        <f aca="false">IF($B84="","",الموظفون!$Q84*IF(E84="سعودي",cfg_G_SE,cfg_G_NE)*F84/cfg_DAYS_M)</f>
        <v/>
      </c>
      <c r="T84" s="86" t="str">
        <f aca="false">IF($B84="","",SUMIFS('الحركات الشهرية'!$I$6:$I$1005,'الحركات الشهرية'!$B$6:$B$1005,$B84,'الحركات الشهرية'!$A$6:$A$1005,$C$3))</f>
        <v/>
      </c>
      <c r="U84" s="86" t="str">
        <f aca="false">IF($B84="","",SUMIFS('الحركات الشهرية'!$J$6:$J$1005,'الحركات الشهرية'!$B$6:$B$1005,$B84,'الحركات الشهرية'!$A$6:$A$1005,$C$3))</f>
        <v/>
      </c>
      <c r="V84" s="86" t="str">
        <f aca="false">IF($B84="","",SUM(S84:U84))</f>
        <v/>
      </c>
      <c r="W84" s="107" t="str">
        <f aca="false">IF($B84="","",R84-V84)</f>
        <v/>
      </c>
      <c r="X84" s="86" t="str">
        <f aca="false">IF($B84="","",الموظفون!$Q84*IF(E84="سعودي",cfg_G_SR,cfg_G_NR)*F84/cfg_DAYS_M)</f>
        <v/>
      </c>
      <c r="Y84" s="86" t="str">
        <f aca="false">IF($B84="","",الموظفون!$O84*(cfg_EOS_R1*(MIN(AC84,cfg_EOS_TH)-MIN(AD84,cfg_EOS_TH))+cfg_EOS_R2*(MAX(AC84-cfg_EOS_TH,0)-MAX(AD84-cfg_EOS_TH,0))))</f>
        <v/>
      </c>
      <c r="Z84" s="86" t="str">
        <f aca="false">IF($B84="","",IF(الموظفون!$R84&lt;&gt;"",الموظفون!$R84,IF(AC84&gt;=cfg_LV_TH,cfg_LV_D2,cfg_LV_D1))/cfg_DAYS_Y*AE84*الموظفون!$P84/cfg_DAYS_M)</f>
        <v/>
      </c>
      <c r="AA84" s="86" t="str">
        <f aca="false">IF($B84="","",IF(AND(الموظفون!$S84="نعم",N(الموظفون!$U84)&gt;0),الموظفون!$T84/الموظفون!$U84*12/cfg_DAYS_Y*AE84,0))</f>
        <v/>
      </c>
      <c r="AB84" s="108" t="str">
        <f aca="false">IF($B84="","",R84+SUM(X84:AA84))</f>
        <v/>
      </c>
      <c r="AC84" s="109" t="str">
        <f aca="false">IF($B84="","",MAX(0,IF(OR(الموظفون!$X84="",الموظفون!$X84&gt;$G$3),$G$3,الموظفون!$X84)-الموظفون!$H84+1)/cfg_DAYS_Y)</f>
        <v/>
      </c>
      <c r="AD84" s="109" t="str">
        <f aca="false">IF($B84="","",MAX(0,IF(OR(الموظفون!$X84="",الموظفون!$X84&gt;($E$3-1)),($E$3-1),الموظفون!$X84)-الموظفون!$H84+1)/cfg_DAYS_Y)</f>
        <v/>
      </c>
      <c r="AE84" s="51" t="str">
        <f aca="false">IF($B84="","",MAX(0,IF(OR(الموظفون!$X84="",الموظفون!$X84&gt;$G$3),$G$3,الموظفون!$X84)-MAX($E$3,الموظفون!$H84)+1))</f>
        <v/>
      </c>
    </row>
    <row r="85" customFormat="false" ht="15" hidden="false" customHeight="false" outlineLevel="0" collapsed="false">
      <c r="A85" s="89" t="str">
        <f aca="false">IF($B85="","",الموظفون!$A85)</f>
        <v/>
      </c>
      <c r="B85" s="91" t="str">
        <f aca="false">IF(الموظفون!$B85="","",الموظفون!$B85)</f>
        <v/>
      </c>
      <c r="C85" s="91" t="str">
        <f aca="false">IF($B85="","",الموظفون!$C85)</f>
        <v/>
      </c>
      <c r="D85" s="91" t="str">
        <f aca="false">IF($B85="","",الموظفون!$F85)</f>
        <v/>
      </c>
      <c r="E85" s="91" t="str">
        <f aca="false">IF($B85="","",الموظفون!$E85)</f>
        <v/>
      </c>
      <c r="F85" s="110" t="str">
        <f aca="false">IF($B85="","",IF(AE85&gt;=DAY($G$3),cfg_DAYS_M,MIN(AE85,cfg_DAYS_M)))</f>
        <v/>
      </c>
      <c r="G85" s="110" t="str">
        <f aca="false">IF($B85="","",SUMIFS('الحركات الشهرية'!$D$6:$D$1005,'الحركات الشهرية'!$B$6:$B$1005,$B85,'الحركات الشهرية'!$A$6:$A$1005,$C$3))</f>
        <v/>
      </c>
      <c r="H85" s="110" t="str">
        <f aca="false">IF($B85="","",SUMIFS('الحركات الشهرية'!$E$6:$E$1005,'الحركات الشهرية'!$B$6:$B$1005,$B85,'الحركات الشهرية'!$A$6:$A$1005,$C$3))</f>
        <v/>
      </c>
      <c r="I85" s="110" t="str">
        <f aca="false">IF($B85="","",MAX(0,F85-G85-H85))</f>
        <v/>
      </c>
      <c r="J85" s="90" t="str">
        <f aca="false">IF($B85="","",الموظفون!$J85*$I85/cfg_DAYS_M)</f>
        <v/>
      </c>
      <c r="K85" s="90" t="str">
        <f aca="false">IF($B85="","",الموظفون!$K85*$I85/cfg_DAYS_M)</f>
        <v/>
      </c>
      <c r="L85" s="90" t="str">
        <f aca="false">IF($B85="","",الموظفون!$L85*$I85/cfg_DAYS_M)</f>
        <v/>
      </c>
      <c r="M85" s="90" t="str">
        <f aca="false">IF($B85="","",الموظفون!$M85*$I85/cfg_DAYS_M)</f>
        <v/>
      </c>
      <c r="N85" s="110" t="str">
        <f aca="false">IF($B85="","",SUMIFS('الحركات الشهرية'!$F$6:$F$1005,'الحركات الشهرية'!$B$6:$B$1005,$B85,'الحركات الشهرية'!$A$6:$A$1005,$C$3))</f>
        <v/>
      </c>
      <c r="O85" s="90" t="str">
        <f aca="false">IF($B85="","",N85*(الموظفون!$N85+الموظفون!$J85*cfg_OT_P)/cfg_DAYS_M/cfg_HRS)</f>
        <v/>
      </c>
      <c r="P85" s="90" t="str">
        <f aca="false">IF($B85="","",SUMIFS('الحركات الشهرية'!$G$6:$G$1005,'الحركات الشهرية'!$B$6:$B$1005,$B85,'الحركات الشهرية'!$A$6:$A$1005,$C$3))</f>
        <v/>
      </c>
      <c r="Q85" s="90" t="str">
        <f aca="false">IF($B85="","",SUMIFS('الحركات الشهرية'!$H$6:$H$1005,'الحركات الشهرية'!$B$6:$B$1005,$B85,'الحركات الشهرية'!$A$6:$A$1005,$C$3))</f>
        <v/>
      </c>
      <c r="R85" s="111" t="str">
        <f aca="false">IF($B85="","",SUM(J85:M85)+SUM(O85:Q85))</f>
        <v/>
      </c>
      <c r="S85" s="90" t="str">
        <f aca="false">IF($B85="","",الموظفون!$Q85*IF(E85="سعودي",cfg_G_SE,cfg_G_NE)*F85/cfg_DAYS_M)</f>
        <v/>
      </c>
      <c r="T85" s="90" t="str">
        <f aca="false">IF($B85="","",SUMIFS('الحركات الشهرية'!$I$6:$I$1005,'الحركات الشهرية'!$B$6:$B$1005,$B85,'الحركات الشهرية'!$A$6:$A$1005,$C$3))</f>
        <v/>
      </c>
      <c r="U85" s="90" t="str">
        <f aca="false">IF($B85="","",SUMIFS('الحركات الشهرية'!$J$6:$J$1005,'الحركات الشهرية'!$B$6:$B$1005,$B85,'الحركات الشهرية'!$A$6:$A$1005,$C$3))</f>
        <v/>
      </c>
      <c r="V85" s="90" t="str">
        <f aca="false">IF($B85="","",SUM(S85:U85))</f>
        <v/>
      </c>
      <c r="W85" s="112" t="str">
        <f aca="false">IF($B85="","",R85-V85)</f>
        <v/>
      </c>
      <c r="X85" s="90" t="str">
        <f aca="false">IF($B85="","",الموظفون!$Q85*IF(E85="سعودي",cfg_G_SR,cfg_G_NR)*F85/cfg_DAYS_M)</f>
        <v/>
      </c>
      <c r="Y85" s="90" t="str">
        <f aca="false">IF($B85="","",الموظفون!$O85*(cfg_EOS_R1*(MIN(AC85,cfg_EOS_TH)-MIN(AD85,cfg_EOS_TH))+cfg_EOS_R2*(MAX(AC85-cfg_EOS_TH,0)-MAX(AD85-cfg_EOS_TH,0))))</f>
        <v/>
      </c>
      <c r="Z85" s="90" t="str">
        <f aca="false">IF($B85="","",IF(الموظفون!$R85&lt;&gt;"",الموظفون!$R85,IF(AC85&gt;=cfg_LV_TH,cfg_LV_D2,cfg_LV_D1))/cfg_DAYS_Y*AE85*الموظفون!$P85/cfg_DAYS_M)</f>
        <v/>
      </c>
      <c r="AA85" s="90" t="str">
        <f aca="false">IF($B85="","",IF(AND(الموظفون!$S85="نعم",N(الموظفون!$U85)&gt;0),الموظفون!$T85/الموظفون!$U85*12/cfg_DAYS_Y*AE85,0))</f>
        <v/>
      </c>
      <c r="AB85" s="113" t="str">
        <f aca="false">IF($B85="","",R85+SUM(X85:AA85))</f>
        <v/>
      </c>
      <c r="AC85" s="114" t="str">
        <f aca="false">IF($B85="","",MAX(0,IF(OR(الموظفون!$X85="",الموظفون!$X85&gt;$G$3),$G$3,الموظفون!$X85)-الموظفون!$H85+1)/cfg_DAYS_Y)</f>
        <v/>
      </c>
      <c r="AD85" s="114" t="str">
        <f aca="false">IF($B85="","",MAX(0,IF(OR(الموظفون!$X85="",الموظفون!$X85&gt;($E$3-1)),($E$3-1),الموظفون!$X85)-الموظفون!$H85+1)/cfg_DAYS_Y)</f>
        <v/>
      </c>
      <c r="AE85" s="115" t="str">
        <f aca="false">IF($B85="","",MAX(0,IF(OR(الموظفون!$X85="",الموظفون!$X85&gt;$G$3),$G$3,الموظفون!$X85)-MAX($E$3,الموظفون!$H85)+1))</f>
        <v/>
      </c>
    </row>
    <row r="86" customFormat="false" ht="15" hidden="false" customHeight="false" outlineLevel="0" collapsed="false">
      <c r="A86" s="83" t="str">
        <f aca="false">IF($B86="","",الموظفون!$A86)</f>
        <v/>
      </c>
      <c r="B86" s="74" t="str">
        <f aca="false">IF(الموظفون!$B86="","",الموظفون!$B86)</f>
        <v/>
      </c>
      <c r="C86" s="74" t="str">
        <f aca="false">IF($B86="","",الموظفون!$C86)</f>
        <v/>
      </c>
      <c r="D86" s="74" t="str">
        <f aca="false">IF($B86="","",الموظفون!$F86)</f>
        <v/>
      </c>
      <c r="E86" s="74" t="str">
        <f aca="false">IF($B86="","",الموظفون!$E86)</f>
        <v/>
      </c>
      <c r="F86" s="105" t="str">
        <f aca="false">IF($B86="","",IF(AE86&gt;=DAY($G$3),cfg_DAYS_M,MIN(AE86,cfg_DAYS_M)))</f>
        <v/>
      </c>
      <c r="G86" s="105" t="str">
        <f aca="false">IF($B86="","",SUMIFS('الحركات الشهرية'!$D$6:$D$1005,'الحركات الشهرية'!$B$6:$B$1005,$B86,'الحركات الشهرية'!$A$6:$A$1005,$C$3))</f>
        <v/>
      </c>
      <c r="H86" s="105" t="str">
        <f aca="false">IF($B86="","",SUMIFS('الحركات الشهرية'!$E$6:$E$1005,'الحركات الشهرية'!$B$6:$B$1005,$B86,'الحركات الشهرية'!$A$6:$A$1005,$C$3))</f>
        <v/>
      </c>
      <c r="I86" s="105" t="str">
        <f aca="false">IF($B86="","",MAX(0,F86-G86-H86))</f>
        <v/>
      </c>
      <c r="J86" s="86" t="str">
        <f aca="false">IF($B86="","",الموظفون!$J86*$I86/cfg_DAYS_M)</f>
        <v/>
      </c>
      <c r="K86" s="86" t="str">
        <f aca="false">IF($B86="","",الموظفون!$K86*$I86/cfg_DAYS_M)</f>
        <v/>
      </c>
      <c r="L86" s="86" t="str">
        <f aca="false">IF($B86="","",الموظفون!$L86*$I86/cfg_DAYS_M)</f>
        <v/>
      </c>
      <c r="M86" s="86" t="str">
        <f aca="false">IF($B86="","",الموظفون!$M86*$I86/cfg_DAYS_M)</f>
        <v/>
      </c>
      <c r="N86" s="105" t="str">
        <f aca="false">IF($B86="","",SUMIFS('الحركات الشهرية'!$F$6:$F$1005,'الحركات الشهرية'!$B$6:$B$1005,$B86,'الحركات الشهرية'!$A$6:$A$1005,$C$3))</f>
        <v/>
      </c>
      <c r="O86" s="86" t="str">
        <f aca="false">IF($B86="","",N86*(الموظفون!$N86+الموظفون!$J86*cfg_OT_P)/cfg_DAYS_M/cfg_HRS)</f>
        <v/>
      </c>
      <c r="P86" s="86" t="str">
        <f aca="false">IF($B86="","",SUMIFS('الحركات الشهرية'!$G$6:$G$1005,'الحركات الشهرية'!$B$6:$B$1005,$B86,'الحركات الشهرية'!$A$6:$A$1005,$C$3))</f>
        <v/>
      </c>
      <c r="Q86" s="86" t="str">
        <f aca="false">IF($B86="","",SUMIFS('الحركات الشهرية'!$H$6:$H$1005,'الحركات الشهرية'!$B$6:$B$1005,$B86,'الحركات الشهرية'!$A$6:$A$1005,$C$3))</f>
        <v/>
      </c>
      <c r="R86" s="106" t="str">
        <f aca="false">IF($B86="","",SUM(J86:M86)+SUM(O86:Q86))</f>
        <v/>
      </c>
      <c r="S86" s="86" t="str">
        <f aca="false">IF($B86="","",الموظفون!$Q86*IF(E86="سعودي",cfg_G_SE,cfg_G_NE)*F86/cfg_DAYS_M)</f>
        <v/>
      </c>
      <c r="T86" s="86" t="str">
        <f aca="false">IF($B86="","",SUMIFS('الحركات الشهرية'!$I$6:$I$1005,'الحركات الشهرية'!$B$6:$B$1005,$B86,'الحركات الشهرية'!$A$6:$A$1005,$C$3))</f>
        <v/>
      </c>
      <c r="U86" s="86" t="str">
        <f aca="false">IF($B86="","",SUMIFS('الحركات الشهرية'!$J$6:$J$1005,'الحركات الشهرية'!$B$6:$B$1005,$B86,'الحركات الشهرية'!$A$6:$A$1005,$C$3))</f>
        <v/>
      </c>
      <c r="V86" s="86" t="str">
        <f aca="false">IF($B86="","",SUM(S86:U86))</f>
        <v/>
      </c>
      <c r="W86" s="107" t="str">
        <f aca="false">IF($B86="","",R86-V86)</f>
        <v/>
      </c>
      <c r="X86" s="86" t="str">
        <f aca="false">IF($B86="","",الموظفون!$Q86*IF(E86="سعودي",cfg_G_SR,cfg_G_NR)*F86/cfg_DAYS_M)</f>
        <v/>
      </c>
      <c r="Y86" s="86" t="str">
        <f aca="false">IF($B86="","",الموظفون!$O86*(cfg_EOS_R1*(MIN(AC86,cfg_EOS_TH)-MIN(AD86,cfg_EOS_TH))+cfg_EOS_R2*(MAX(AC86-cfg_EOS_TH,0)-MAX(AD86-cfg_EOS_TH,0))))</f>
        <v/>
      </c>
      <c r="Z86" s="86" t="str">
        <f aca="false">IF($B86="","",IF(الموظفون!$R86&lt;&gt;"",الموظفون!$R86,IF(AC86&gt;=cfg_LV_TH,cfg_LV_D2,cfg_LV_D1))/cfg_DAYS_Y*AE86*الموظفون!$P86/cfg_DAYS_M)</f>
        <v/>
      </c>
      <c r="AA86" s="86" t="str">
        <f aca="false">IF($B86="","",IF(AND(الموظفون!$S86="نعم",N(الموظفون!$U86)&gt;0),الموظفون!$T86/الموظفون!$U86*12/cfg_DAYS_Y*AE86,0))</f>
        <v/>
      </c>
      <c r="AB86" s="108" t="str">
        <f aca="false">IF($B86="","",R86+SUM(X86:AA86))</f>
        <v/>
      </c>
      <c r="AC86" s="109" t="str">
        <f aca="false">IF($B86="","",MAX(0,IF(OR(الموظفون!$X86="",الموظفون!$X86&gt;$G$3),$G$3,الموظفون!$X86)-الموظفون!$H86+1)/cfg_DAYS_Y)</f>
        <v/>
      </c>
      <c r="AD86" s="109" t="str">
        <f aca="false">IF($B86="","",MAX(0,IF(OR(الموظفون!$X86="",الموظفون!$X86&gt;($E$3-1)),($E$3-1),الموظفون!$X86)-الموظفون!$H86+1)/cfg_DAYS_Y)</f>
        <v/>
      </c>
      <c r="AE86" s="51" t="str">
        <f aca="false">IF($B86="","",MAX(0,IF(OR(الموظفون!$X86="",الموظفون!$X86&gt;$G$3),$G$3,الموظفون!$X86)-MAX($E$3,الموظفون!$H86)+1))</f>
        <v/>
      </c>
    </row>
    <row r="87" customFormat="false" ht="15" hidden="false" customHeight="false" outlineLevel="0" collapsed="false">
      <c r="A87" s="89" t="str">
        <f aca="false">IF($B87="","",الموظفون!$A87)</f>
        <v/>
      </c>
      <c r="B87" s="91" t="str">
        <f aca="false">IF(الموظفون!$B87="","",الموظفون!$B87)</f>
        <v/>
      </c>
      <c r="C87" s="91" t="str">
        <f aca="false">IF($B87="","",الموظفون!$C87)</f>
        <v/>
      </c>
      <c r="D87" s="91" t="str">
        <f aca="false">IF($B87="","",الموظفون!$F87)</f>
        <v/>
      </c>
      <c r="E87" s="91" t="str">
        <f aca="false">IF($B87="","",الموظفون!$E87)</f>
        <v/>
      </c>
      <c r="F87" s="110" t="str">
        <f aca="false">IF($B87="","",IF(AE87&gt;=DAY($G$3),cfg_DAYS_M,MIN(AE87,cfg_DAYS_M)))</f>
        <v/>
      </c>
      <c r="G87" s="110" t="str">
        <f aca="false">IF($B87="","",SUMIFS('الحركات الشهرية'!$D$6:$D$1005,'الحركات الشهرية'!$B$6:$B$1005,$B87,'الحركات الشهرية'!$A$6:$A$1005,$C$3))</f>
        <v/>
      </c>
      <c r="H87" s="110" t="str">
        <f aca="false">IF($B87="","",SUMIFS('الحركات الشهرية'!$E$6:$E$1005,'الحركات الشهرية'!$B$6:$B$1005,$B87,'الحركات الشهرية'!$A$6:$A$1005,$C$3))</f>
        <v/>
      </c>
      <c r="I87" s="110" t="str">
        <f aca="false">IF($B87="","",MAX(0,F87-G87-H87))</f>
        <v/>
      </c>
      <c r="J87" s="90" t="str">
        <f aca="false">IF($B87="","",الموظفون!$J87*$I87/cfg_DAYS_M)</f>
        <v/>
      </c>
      <c r="K87" s="90" t="str">
        <f aca="false">IF($B87="","",الموظفون!$K87*$I87/cfg_DAYS_M)</f>
        <v/>
      </c>
      <c r="L87" s="90" t="str">
        <f aca="false">IF($B87="","",الموظفون!$L87*$I87/cfg_DAYS_M)</f>
        <v/>
      </c>
      <c r="M87" s="90" t="str">
        <f aca="false">IF($B87="","",الموظفون!$M87*$I87/cfg_DAYS_M)</f>
        <v/>
      </c>
      <c r="N87" s="110" t="str">
        <f aca="false">IF($B87="","",SUMIFS('الحركات الشهرية'!$F$6:$F$1005,'الحركات الشهرية'!$B$6:$B$1005,$B87,'الحركات الشهرية'!$A$6:$A$1005,$C$3))</f>
        <v/>
      </c>
      <c r="O87" s="90" t="str">
        <f aca="false">IF($B87="","",N87*(الموظفون!$N87+الموظفون!$J87*cfg_OT_P)/cfg_DAYS_M/cfg_HRS)</f>
        <v/>
      </c>
      <c r="P87" s="90" t="str">
        <f aca="false">IF($B87="","",SUMIFS('الحركات الشهرية'!$G$6:$G$1005,'الحركات الشهرية'!$B$6:$B$1005,$B87,'الحركات الشهرية'!$A$6:$A$1005,$C$3))</f>
        <v/>
      </c>
      <c r="Q87" s="90" t="str">
        <f aca="false">IF($B87="","",SUMIFS('الحركات الشهرية'!$H$6:$H$1005,'الحركات الشهرية'!$B$6:$B$1005,$B87,'الحركات الشهرية'!$A$6:$A$1005,$C$3))</f>
        <v/>
      </c>
      <c r="R87" s="111" t="str">
        <f aca="false">IF($B87="","",SUM(J87:M87)+SUM(O87:Q87))</f>
        <v/>
      </c>
      <c r="S87" s="90" t="str">
        <f aca="false">IF($B87="","",الموظفون!$Q87*IF(E87="سعودي",cfg_G_SE,cfg_G_NE)*F87/cfg_DAYS_M)</f>
        <v/>
      </c>
      <c r="T87" s="90" t="str">
        <f aca="false">IF($B87="","",SUMIFS('الحركات الشهرية'!$I$6:$I$1005,'الحركات الشهرية'!$B$6:$B$1005,$B87,'الحركات الشهرية'!$A$6:$A$1005,$C$3))</f>
        <v/>
      </c>
      <c r="U87" s="90" t="str">
        <f aca="false">IF($B87="","",SUMIFS('الحركات الشهرية'!$J$6:$J$1005,'الحركات الشهرية'!$B$6:$B$1005,$B87,'الحركات الشهرية'!$A$6:$A$1005,$C$3))</f>
        <v/>
      </c>
      <c r="V87" s="90" t="str">
        <f aca="false">IF($B87="","",SUM(S87:U87))</f>
        <v/>
      </c>
      <c r="W87" s="112" t="str">
        <f aca="false">IF($B87="","",R87-V87)</f>
        <v/>
      </c>
      <c r="X87" s="90" t="str">
        <f aca="false">IF($B87="","",الموظفون!$Q87*IF(E87="سعودي",cfg_G_SR,cfg_G_NR)*F87/cfg_DAYS_M)</f>
        <v/>
      </c>
      <c r="Y87" s="90" t="str">
        <f aca="false">IF($B87="","",الموظفون!$O87*(cfg_EOS_R1*(MIN(AC87,cfg_EOS_TH)-MIN(AD87,cfg_EOS_TH))+cfg_EOS_R2*(MAX(AC87-cfg_EOS_TH,0)-MAX(AD87-cfg_EOS_TH,0))))</f>
        <v/>
      </c>
      <c r="Z87" s="90" t="str">
        <f aca="false">IF($B87="","",IF(الموظفون!$R87&lt;&gt;"",الموظفون!$R87,IF(AC87&gt;=cfg_LV_TH,cfg_LV_D2,cfg_LV_D1))/cfg_DAYS_Y*AE87*الموظفون!$P87/cfg_DAYS_M)</f>
        <v/>
      </c>
      <c r="AA87" s="90" t="str">
        <f aca="false">IF($B87="","",IF(AND(الموظفون!$S87="نعم",N(الموظفون!$U87)&gt;0),الموظفون!$T87/الموظفون!$U87*12/cfg_DAYS_Y*AE87,0))</f>
        <v/>
      </c>
      <c r="AB87" s="113" t="str">
        <f aca="false">IF($B87="","",R87+SUM(X87:AA87))</f>
        <v/>
      </c>
      <c r="AC87" s="114" t="str">
        <f aca="false">IF($B87="","",MAX(0,IF(OR(الموظفون!$X87="",الموظفون!$X87&gt;$G$3),$G$3,الموظفون!$X87)-الموظفون!$H87+1)/cfg_DAYS_Y)</f>
        <v/>
      </c>
      <c r="AD87" s="114" t="str">
        <f aca="false">IF($B87="","",MAX(0,IF(OR(الموظفون!$X87="",الموظفون!$X87&gt;($E$3-1)),($E$3-1),الموظفون!$X87)-الموظفون!$H87+1)/cfg_DAYS_Y)</f>
        <v/>
      </c>
      <c r="AE87" s="115" t="str">
        <f aca="false">IF($B87="","",MAX(0,IF(OR(الموظفون!$X87="",الموظفون!$X87&gt;$G$3),$G$3,الموظفون!$X87)-MAX($E$3,الموظفون!$H87)+1))</f>
        <v/>
      </c>
    </row>
    <row r="88" customFormat="false" ht="15" hidden="false" customHeight="false" outlineLevel="0" collapsed="false">
      <c r="A88" s="83" t="str">
        <f aca="false">IF($B88="","",الموظفون!$A88)</f>
        <v/>
      </c>
      <c r="B88" s="74" t="str">
        <f aca="false">IF(الموظفون!$B88="","",الموظفون!$B88)</f>
        <v/>
      </c>
      <c r="C88" s="74" t="str">
        <f aca="false">IF($B88="","",الموظفون!$C88)</f>
        <v/>
      </c>
      <c r="D88" s="74" t="str">
        <f aca="false">IF($B88="","",الموظفون!$F88)</f>
        <v/>
      </c>
      <c r="E88" s="74" t="str">
        <f aca="false">IF($B88="","",الموظفون!$E88)</f>
        <v/>
      </c>
      <c r="F88" s="105" t="str">
        <f aca="false">IF($B88="","",IF(AE88&gt;=DAY($G$3),cfg_DAYS_M,MIN(AE88,cfg_DAYS_M)))</f>
        <v/>
      </c>
      <c r="G88" s="105" t="str">
        <f aca="false">IF($B88="","",SUMIFS('الحركات الشهرية'!$D$6:$D$1005,'الحركات الشهرية'!$B$6:$B$1005,$B88,'الحركات الشهرية'!$A$6:$A$1005,$C$3))</f>
        <v/>
      </c>
      <c r="H88" s="105" t="str">
        <f aca="false">IF($B88="","",SUMIFS('الحركات الشهرية'!$E$6:$E$1005,'الحركات الشهرية'!$B$6:$B$1005,$B88,'الحركات الشهرية'!$A$6:$A$1005,$C$3))</f>
        <v/>
      </c>
      <c r="I88" s="105" t="str">
        <f aca="false">IF($B88="","",MAX(0,F88-G88-H88))</f>
        <v/>
      </c>
      <c r="J88" s="86" t="str">
        <f aca="false">IF($B88="","",الموظفون!$J88*$I88/cfg_DAYS_M)</f>
        <v/>
      </c>
      <c r="K88" s="86" t="str">
        <f aca="false">IF($B88="","",الموظفون!$K88*$I88/cfg_DAYS_M)</f>
        <v/>
      </c>
      <c r="L88" s="86" t="str">
        <f aca="false">IF($B88="","",الموظفون!$L88*$I88/cfg_DAYS_M)</f>
        <v/>
      </c>
      <c r="M88" s="86" t="str">
        <f aca="false">IF($B88="","",الموظفون!$M88*$I88/cfg_DAYS_M)</f>
        <v/>
      </c>
      <c r="N88" s="105" t="str">
        <f aca="false">IF($B88="","",SUMIFS('الحركات الشهرية'!$F$6:$F$1005,'الحركات الشهرية'!$B$6:$B$1005,$B88,'الحركات الشهرية'!$A$6:$A$1005,$C$3))</f>
        <v/>
      </c>
      <c r="O88" s="86" t="str">
        <f aca="false">IF($B88="","",N88*(الموظفون!$N88+الموظفون!$J88*cfg_OT_P)/cfg_DAYS_M/cfg_HRS)</f>
        <v/>
      </c>
      <c r="P88" s="86" t="str">
        <f aca="false">IF($B88="","",SUMIFS('الحركات الشهرية'!$G$6:$G$1005,'الحركات الشهرية'!$B$6:$B$1005,$B88,'الحركات الشهرية'!$A$6:$A$1005,$C$3))</f>
        <v/>
      </c>
      <c r="Q88" s="86" t="str">
        <f aca="false">IF($B88="","",SUMIFS('الحركات الشهرية'!$H$6:$H$1005,'الحركات الشهرية'!$B$6:$B$1005,$B88,'الحركات الشهرية'!$A$6:$A$1005,$C$3))</f>
        <v/>
      </c>
      <c r="R88" s="106" t="str">
        <f aca="false">IF($B88="","",SUM(J88:M88)+SUM(O88:Q88))</f>
        <v/>
      </c>
      <c r="S88" s="86" t="str">
        <f aca="false">IF($B88="","",الموظفون!$Q88*IF(E88="سعودي",cfg_G_SE,cfg_G_NE)*F88/cfg_DAYS_M)</f>
        <v/>
      </c>
      <c r="T88" s="86" t="str">
        <f aca="false">IF($B88="","",SUMIFS('الحركات الشهرية'!$I$6:$I$1005,'الحركات الشهرية'!$B$6:$B$1005,$B88,'الحركات الشهرية'!$A$6:$A$1005,$C$3))</f>
        <v/>
      </c>
      <c r="U88" s="86" t="str">
        <f aca="false">IF($B88="","",SUMIFS('الحركات الشهرية'!$J$6:$J$1005,'الحركات الشهرية'!$B$6:$B$1005,$B88,'الحركات الشهرية'!$A$6:$A$1005,$C$3))</f>
        <v/>
      </c>
      <c r="V88" s="86" t="str">
        <f aca="false">IF($B88="","",SUM(S88:U88))</f>
        <v/>
      </c>
      <c r="W88" s="107" t="str">
        <f aca="false">IF($B88="","",R88-V88)</f>
        <v/>
      </c>
      <c r="X88" s="86" t="str">
        <f aca="false">IF($B88="","",الموظفون!$Q88*IF(E88="سعودي",cfg_G_SR,cfg_G_NR)*F88/cfg_DAYS_M)</f>
        <v/>
      </c>
      <c r="Y88" s="86" t="str">
        <f aca="false">IF($B88="","",الموظفون!$O88*(cfg_EOS_R1*(MIN(AC88,cfg_EOS_TH)-MIN(AD88,cfg_EOS_TH))+cfg_EOS_R2*(MAX(AC88-cfg_EOS_TH,0)-MAX(AD88-cfg_EOS_TH,0))))</f>
        <v/>
      </c>
      <c r="Z88" s="86" t="str">
        <f aca="false">IF($B88="","",IF(الموظفون!$R88&lt;&gt;"",الموظفون!$R88,IF(AC88&gt;=cfg_LV_TH,cfg_LV_D2,cfg_LV_D1))/cfg_DAYS_Y*AE88*الموظفون!$P88/cfg_DAYS_M)</f>
        <v/>
      </c>
      <c r="AA88" s="86" t="str">
        <f aca="false">IF($B88="","",IF(AND(الموظفون!$S88="نعم",N(الموظفون!$U88)&gt;0),الموظفون!$T88/الموظفون!$U88*12/cfg_DAYS_Y*AE88,0))</f>
        <v/>
      </c>
      <c r="AB88" s="108" t="str">
        <f aca="false">IF($B88="","",R88+SUM(X88:AA88))</f>
        <v/>
      </c>
      <c r="AC88" s="109" t="str">
        <f aca="false">IF($B88="","",MAX(0,IF(OR(الموظفون!$X88="",الموظفون!$X88&gt;$G$3),$G$3,الموظفون!$X88)-الموظفون!$H88+1)/cfg_DAYS_Y)</f>
        <v/>
      </c>
      <c r="AD88" s="109" t="str">
        <f aca="false">IF($B88="","",MAX(0,IF(OR(الموظفون!$X88="",الموظفون!$X88&gt;($E$3-1)),($E$3-1),الموظفون!$X88)-الموظفون!$H88+1)/cfg_DAYS_Y)</f>
        <v/>
      </c>
      <c r="AE88" s="51" t="str">
        <f aca="false">IF($B88="","",MAX(0,IF(OR(الموظفون!$X88="",الموظفون!$X88&gt;$G$3),$G$3,الموظفون!$X88)-MAX($E$3,الموظفون!$H88)+1))</f>
        <v/>
      </c>
    </row>
    <row r="89" customFormat="false" ht="15" hidden="false" customHeight="false" outlineLevel="0" collapsed="false">
      <c r="A89" s="89" t="str">
        <f aca="false">IF($B89="","",الموظفون!$A89)</f>
        <v/>
      </c>
      <c r="B89" s="91" t="str">
        <f aca="false">IF(الموظفون!$B89="","",الموظفون!$B89)</f>
        <v/>
      </c>
      <c r="C89" s="91" t="str">
        <f aca="false">IF($B89="","",الموظفون!$C89)</f>
        <v/>
      </c>
      <c r="D89" s="91" t="str">
        <f aca="false">IF($B89="","",الموظفون!$F89)</f>
        <v/>
      </c>
      <c r="E89" s="91" t="str">
        <f aca="false">IF($B89="","",الموظفون!$E89)</f>
        <v/>
      </c>
      <c r="F89" s="110" t="str">
        <f aca="false">IF($B89="","",IF(AE89&gt;=DAY($G$3),cfg_DAYS_M,MIN(AE89,cfg_DAYS_M)))</f>
        <v/>
      </c>
      <c r="G89" s="110" t="str">
        <f aca="false">IF($B89="","",SUMIFS('الحركات الشهرية'!$D$6:$D$1005,'الحركات الشهرية'!$B$6:$B$1005,$B89,'الحركات الشهرية'!$A$6:$A$1005,$C$3))</f>
        <v/>
      </c>
      <c r="H89" s="110" t="str">
        <f aca="false">IF($B89="","",SUMIFS('الحركات الشهرية'!$E$6:$E$1005,'الحركات الشهرية'!$B$6:$B$1005,$B89,'الحركات الشهرية'!$A$6:$A$1005,$C$3))</f>
        <v/>
      </c>
      <c r="I89" s="110" t="str">
        <f aca="false">IF($B89="","",MAX(0,F89-G89-H89))</f>
        <v/>
      </c>
      <c r="J89" s="90" t="str">
        <f aca="false">IF($B89="","",الموظفون!$J89*$I89/cfg_DAYS_M)</f>
        <v/>
      </c>
      <c r="K89" s="90" t="str">
        <f aca="false">IF($B89="","",الموظفون!$K89*$I89/cfg_DAYS_M)</f>
        <v/>
      </c>
      <c r="L89" s="90" t="str">
        <f aca="false">IF($B89="","",الموظفون!$L89*$I89/cfg_DAYS_M)</f>
        <v/>
      </c>
      <c r="M89" s="90" t="str">
        <f aca="false">IF($B89="","",الموظفون!$M89*$I89/cfg_DAYS_M)</f>
        <v/>
      </c>
      <c r="N89" s="110" t="str">
        <f aca="false">IF($B89="","",SUMIFS('الحركات الشهرية'!$F$6:$F$1005,'الحركات الشهرية'!$B$6:$B$1005,$B89,'الحركات الشهرية'!$A$6:$A$1005,$C$3))</f>
        <v/>
      </c>
      <c r="O89" s="90" t="str">
        <f aca="false">IF($B89="","",N89*(الموظفون!$N89+الموظفون!$J89*cfg_OT_P)/cfg_DAYS_M/cfg_HRS)</f>
        <v/>
      </c>
      <c r="P89" s="90" t="str">
        <f aca="false">IF($B89="","",SUMIFS('الحركات الشهرية'!$G$6:$G$1005,'الحركات الشهرية'!$B$6:$B$1005,$B89,'الحركات الشهرية'!$A$6:$A$1005,$C$3))</f>
        <v/>
      </c>
      <c r="Q89" s="90" t="str">
        <f aca="false">IF($B89="","",SUMIFS('الحركات الشهرية'!$H$6:$H$1005,'الحركات الشهرية'!$B$6:$B$1005,$B89,'الحركات الشهرية'!$A$6:$A$1005,$C$3))</f>
        <v/>
      </c>
      <c r="R89" s="111" t="str">
        <f aca="false">IF($B89="","",SUM(J89:M89)+SUM(O89:Q89))</f>
        <v/>
      </c>
      <c r="S89" s="90" t="str">
        <f aca="false">IF($B89="","",الموظفون!$Q89*IF(E89="سعودي",cfg_G_SE,cfg_G_NE)*F89/cfg_DAYS_M)</f>
        <v/>
      </c>
      <c r="T89" s="90" t="str">
        <f aca="false">IF($B89="","",SUMIFS('الحركات الشهرية'!$I$6:$I$1005,'الحركات الشهرية'!$B$6:$B$1005,$B89,'الحركات الشهرية'!$A$6:$A$1005,$C$3))</f>
        <v/>
      </c>
      <c r="U89" s="90" t="str">
        <f aca="false">IF($B89="","",SUMIFS('الحركات الشهرية'!$J$6:$J$1005,'الحركات الشهرية'!$B$6:$B$1005,$B89,'الحركات الشهرية'!$A$6:$A$1005,$C$3))</f>
        <v/>
      </c>
      <c r="V89" s="90" t="str">
        <f aca="false">IF($B89="","",SUM(S89:U89))</f>
        <v/>
      </c>
      <c r="W89" s="112" t="str">
        <f aca="false">IF($B89="","",R89-V89)</f>
        <v/>
      </c>
      <c r="X89" s="90" t="str">
        <f aca="false">IF($B89="","",الموظفون!$Q89*IF(E89="سعودي",cfg_G_SR,cfg_G_NR)*F89/cfg_DAYS_M)</f>
        <v/>
      </c>
      <c r="Y89" s="90" t="str">
        <f aca="false">IF($B89="","",الموظفون!$O89*(cfg_EOS_R1*(MIN(AC89,cfg_EOS_TH)-MIN(AD89,cfg_EOS_TH))+cfg_EOS_R2*(MAX(AC89-cfg_EOS_TH,0)-MAX(AD89-cfg_EOS_TH,0))))</f>
        <v/>
      </c>
      <c r="Z89" s="90" t="str">
        <f aca="false">IF($B89="","",IF(الموظفون!$R89&lt;&gt;"",الموظفون!$R89,IF(AC89&gt;=cfg_LV_TH,cfg_LV_D2,cfg_LV_D1))/cfg_DAYS_Y*AE89*الموظفون!$P89/cfg_DAYS_M)</f>
        <v/>
      </c>
      <c r="AA89" s="90" t="str">
        <f aca="false">IF($B89="","",IF(AND(الموظفون!$S89="نعم",N(الموظفون!$U89)&gt;0),الموظفون!$T89/الموظفون!$U89*12/cfg_DAYS_Y*AE89,0))</f>
        <v/>
      </c>
      <c r="AB89" s="113" t="str">
        <f aca="false">IF($B89="","",R89+SUM(X89:AA89))</f>
        <v/>
      </c>
      <c r="AC89" s="114" t="str">
        <f aca="false">IF($B89="","",MAX(0,IF(OR(الموظفون!$X89="",الموظفون!$X89&gt;$G$3),$G$3,الموظفون!$X89)-الموظفون!$H89+1)/cfg_DAYS_Y)</f>
        <v/>
      </c>
      <c r="AD89" s="114" t="str">
        <f aca="false">IF($B89="","",MAX(0,IF(OR(الموظفون!$X89="",الموظفون!$X89&gt;($E$3-1)),($E$3-1),الموظفون!$X89)-الموظفون!$H89+1)/cfg_DAYS_Y)</f>
        <v/>
      </c>
      <c r="AE89" s="115" t="str">
        <f aca="false">IF($B89="","",MAX(0,IF(OR(الموظفون!$X89="",الموظفون!$X89&gt;$G$3),$G$3,الموظفون!$X89)-MAX($E$3,الموظفون!$H89)+1))</f>
        <v/>
      </c>
    </row>
    <row r="90" customFormat="false" ht="15" hidden="false" customHeight="false" outlineLevel="0" collapsed="false">
      <c r="A90" s="83" t="str">
        <f aca="false">IF($B90="","",الموظفون!$A90)</f>
        <v/>
      </c>
      <c r="B90" s="74" t="str">
        <f aca="false">IF(الموظفون!$B90="","",الموظفون!$B90)</f>
        <v/>
      </c>
      <c r="C90" s="74" t="str">
        <f aca="false">IF($B90="","",الموظفون!$C90)</f>
        <v/>
      </c>
      <c r="D90" s="74" t="str">
        <f aca="false">IF($B90="","",الموظفون!$F90)</f>
        <v/>
      </c>
      <c r="E90" s="74" t="str">
        <f aca="false">IF($B90="","",الموظفون!$E90)</f>
        <v/>
      </c>
      <c r="F90" s="105" t="str">
        <f aca="false">IF($B90="","",IF(AE90&gt;=DAY($G$3),cfg_DAYS_M,MIN(AE90,cfg_DAYS_M)))</f>
        <v/>
      </c>
      <c r="G90" s="105" t="str">
        <f aca="false">IF($B90="","",SUMIFS('الحركات الشهرية'!$D$6:$D$1005,'الحركات الشهرية'!$B$6:$B$1005,$B90,'الحركات الشهرية'!$A$6:$A$1005,$C$3))</f>
        <v/>
      </c>
      <c r="H90" s="105" t="str">
        <f aca="false">IF($B90="","",SUMIFS('الحركات الشهرية'!$E$6:$E$1005,'الحركات الشهرية'!$B$6:$B$1005,$B90,'الحركات الشهرية'!$A$6:$A$1005,$C$3))</f>
        <v/>
      </c>
      <c r="I90" s="105" t="str">
        <f aca="false">IF($B90="","",MAX(0,F90-G90-H90))</f>
        <v/>
      </c>
      <c r="J90" s="86" t="str">
        <f aca="false">IF($B90="","",الموظفون!$J90*$I90/cfg_DAYS_M)</f>
        <v/>
      </c>
      <c r="K90" s="86" t="str">
        <f aca="false">IF($B90="","",الموظفون!$K90*$I90/cfg_DAYS_M)</f>
        <v/>
      </c>
      <c r="L90" s="86" t="str">
        <f aca="false">IF($B90="","",الموظفون!$L90*$I90/cfg_DAYS_M)</f>
        <v/>
      </c>
      <c r="M90" s="86" t="str">
        <f aca="false">IF($B90="","",الموظفون!$M90*$I90/cfg_DAYS_M)</f>
        <v/>
      </c>
      <c r="N90" s="105" t="str">
        <f aca="false">IF($B90="","",SUMIFS('الحركات الشهرية'!$F$6:$F$1005,'الحركات الشهرية'!$B$6:$B$1005,$B90,'الحركات الشهرية'!$A$6:$A$1005,$C$3))</f>
        <v/>
      </c>
      <c r="O90" s="86" t="str">
        <f aca="false">IF($B90="","",N90*(الموظفون!$N90+الموظفون!$J90*cfg_OT_P)/cfg_DAYS_M/cfg_HRS)</f>
        <v/>
      </c>
      <c r="P90" s="86" t="str">
        <f aca="false">IF($B90="","",SUMIFS('الحركات الشهرية'!$G$6:$G$1005,'الحركات الشهرية'!$B$6:$B$1005,$B90,'الحركات الشهرية'!$A$6:$A$1005,$C$3))</f>
        <v/>
      </c>
      <c r="Q90" s="86" t="str">
        <f aca="false">IF($B90="","",SUMIFS('الحركات الشهرية'!$H$6:$H$1005,'الحركات الشهرية'!$B$6:$B$1005,$B90,'الحركات الشهرية'!$A$6:$A$1005,$C$3))</f>
        <v/>
      </c>
      <c r="R90" s="106" t="str">
        <f aca="false">IF($B90="","",SUM(J90:M90)+SUM(O90:Q90))</f>
        <v/>
      </c>
      <c r="S90" s="86" t="str">
        <f aca="false">IF($B90="","",الموظفون!$Q90*IF(E90="سعودي",cfg_G_SE,cfg_G_NE)*F90/cfg_DAYS_M)</f>
        <v/>
      </c>
      <c r="T90" s="86" t="str">
        <f aca="false">IF($B90="","",SUMIFS('الحركات الشهرية'!$I$6:$I$1005,'الحركات الشهرية'!$B$6:$B$1005,$B90,'الحركات الشهرية'!$A$6:$A$1005,$C$3))</f>
        <v/>
      </c>
      <c r="U90" s="86" t="str">
        <f aca="false">IF($B90="","",SUMIFS('الحركات الشهرية'!$J$6:$J$1005,'الحركات الشهرية'!$B$6:$B$1005,$B90,'الحركات الشهرية'!$A$6:$A$1005,$C$3))</f>
        <v/>
      </c>
      <c r="V90" s="86" t="str">
        <f aca="false">IF($B90="","",SUM(S90:U90))</f>
        <v/>
      </c>
      <c r="W90" s="107" t="str">
        <f aca="false">IF($B90="","",R90-V90)</f>
        <v/>
      </c>
      <c r="X90" s="86" t="str">
        <f aca="false">IF($B90="","",الموظفون!$Q90*IF(E90="سعودي",cfg_G_SR,cfg_G_NR)*F90/cfg_DAYS_M)</f>
        <v/>
      </c>
      <c r="Y90" s="86" t="str">
        <f aca="false">IF($B90="","",الموظفون!$O90*(cfg_EOS_R1*(MIN(AC90,cfg_EOS_TH)-MIN(AD90,cfg_EOS_TH))+cfg_EOS_R2*(MAX(AC90-cfg_EOS_TH,0)-MAX(AD90-cfg_EOS_TH,0))))</f>
        <v/>
      </c>
      <c r="Z90" s="86" t="str">
        <f aca="false">IF($B90="","",IF(الموظفون!$R90&lt;&gt;"",الموظفون!$R90,IF(AC90&gt;=cfg_LV_TH,cfg_LV_D2,cfg_LV_D1))/cfg_DAYS_Y*AE90*الموظفون!$P90/cfg_DAYS_M)</f>
        <v/>
      </c>
      <c r="AA90" s="86" t="str">
        <f aca="false">IF($B90="","",IF(AND(الموظفون!$S90="نعم",N(الموظفون!$U90)&gt;0),الموظفون!$T90/الموظفون!$U90*12/cfg_DAYS_Y*AE90,0))</f>
        <v/>
      </c>
      <c r="AB90" s="108" t="str">
        <f aca="false">IF($B90="","",R90+SUM(X90:AA90))</f>
        <v/>
      </c>
      <c r="AC90" s="109" t="str">
        <f aca="false">IF($B90="","",MAX(0,IF(OR(الموظفون!$X90="",الموظفون!$X90&gt;$G$3),$G$3,الموظفون!$X90)-الموظفون!$H90+1)/cfg_DAYS_Y)</f>
        <v/>
      </c>
      <c r="AD90" s="109" t="str">
        <f aca="false">IF($B90="","",MAX(0,IF(OR(الموظفون!$X90="",الموظفون!$X90&gt;($E$3-1)),($E$3-1),الموظفون!$X90)-الموظفون!$H90+1)/cfg_DAYS_Y)</f>
        <v/>
      </c>
      <c r="AE90" s="51" t="str">
        <f aca="false">IF($B90="","",MAX(0,IF(OR(الموظفون!$X90="",الموظفون!$X90&gt;$G$3),$G$3,الموظفون!$X90)-MAX($E$3,الموظفون!$H90)+1))</f>
        <v/>
      </c>
    </row>
    <row r="91" customFormat="false" ht="15" hidden="false" customHeight="false" outlineLevel="0" collapsed="false">
      <c r="A91" s="89" t="str">
        <f aca="false">IF($B91="","",الموظفون!$A91)</f>
        <v/>
      </c>
      <c r="B91" s="91" t="str">
        <f aca="false">IF(الموظفون!$B91="","",الموظفون!$B91)</f>
        <v/>
      </c>
      <c r="C91" s="91" t="str">
        <f aca="false">IF($B91="","",الموظفون!$C91)</f>
        <v/>
      </c>
      <c r="D91" s="91" t="str">
        <f aca="false">IF($B91="","",الموظفون!$F91)</f>
        <v/>
      </c>
      <c r="E91" s="91" t="str">
        <f aca="false">IF($B91="","",الموظفون!$E91)</f>
        <v/>
      </c>
      <c r="F91" s="110" t="str">
        <f aca="false">IF($B91="","",IF(AE91&gt;=DAY($G$3),cfg_DAYS_M,MIN(AE91,cfg_DAYS_M)))</f>
        <v/>
      </c>
      <c r="G91" s="110" t="str">
        <f aca="false">IF($B91="","",SUMIFS('الحركات الشهرية'!$D$6:$D$1005,'الحركات الشهرية'!$B$6:$B$1005,$B91,'الحركات الشهرية'!$A$6:$A$1005,$C$3))</f>
        <v/>
      </c>
      <c r="H91" s="110" t="str">
        <f aca="false">IF($B91="","",SUMIFS('الحركات الشهرية'!$E$6:$E$1005,'الحركات الشهرية'!$B$6:$B$1005,$B91,'الحركات الشهرية'!$A$6:$A$1005,$C$3))</f>
        <v/>
      </c>
      <c r="I91" s="110" t="str">
        <f aca="false">IF($B91="","",MAX(0,F91-G91-H91))</f>
        <v/>
      </c>
      <c r="J91" s="90" t="str">
        <f aca="false">IF($B91="","",الموظفون!$J91*$I91/cfg_DAYS_M)</f>
        <v/>
      </c>
      <c r="K91" s="90" t="str">
        <f aca="false">IF($B91="","",الموظفون!$K91*$I91/cfg_DAYS_M)</f>
        <v/>
      </c>
      <c r="L91" s="90" t="str">
        <f aca="false">IF($B91="","",الموظفون!$L91*$I91/cfg_DAYS_M)</f>
        <v/>
      </c>
      <c r="M91" s="90" t="str">
        <f aca="false">IF($B91="","",الموظفون!$M91*$I91/cfg_DAYS_M)</f>
        <v/>
      </c>
      <c r="N91" s="110" t="str">
        <f aca="false">IF($B91="","",SUMIFS('الحركات الشهرية'!$F$6:$F$1005,'الحركات الشهرية'!$B$6:$B$1005,$B91,'الحركات الشهرية'!$A$6:$A$1005,$C$3))</f>
        <v/>
      </c>
      <c r="O91" s="90" t="str">
        <f aca="false">IF($B91="","",N91*(الموظفون!$N91+الموظفون!$J91*cfg_OT_P)/cfg_DAYS_M/cfg_HRS)</f>
        <v/>
      </c>
      <c r="P91" s="90" t="str">
        <f aca="false">IF($B91="","",SUMIFS('الحركات الشهرية'!$G$6:$G$1005,'الحركات الشهرية'!$B$6:$B$1005,$B91,'الحركات الشهرية'!$A$6:$A$1005,$C$3))</f>
        <v/>
      </c>
      <c r="Q91" s="90" t="str">
        <f aca="false">IF($B91="","",SUMIFS('الحركات الشهرية'!$H$6:$H$1005,'الحركات الشهرية'!$B$6:$B$1005,$B91,'الحركات الشهرية'!$A$6:$A$1005,$C$3))</f>
        <v/>
      </c>
      <c r="R91" s="111" t="str">
        <f aca="false">IF($B91="","",SUM(J91:M91)+SUM(O91:Q91))</f>
        <v/>
      </c>
      <c r="S91" s="90" t="str">
        <f aca="false">IF($B91="","",الموظفون!$Q91*IF(E91="سعودي",cfg_G_SE,cfg_G_NE)*F91/cfg_DAYS_M)</f>
        <v/>
      </c>
      <c r="T91" s="90" t="str">
        <f aca="false">IF($B91="","",SUMIFS('الحركات الشهرية'!$I$6:$I$1005,'الحركات الشهرية'!$B$6:$B$1005,$B91,'الحركات الشهرية'!$A$6:$A$1005,$C$3))</f>
        <v/>
      </c>
      <c r="U91" s="90" t="str">
        <f aca="false">IF($B91="","",SUMIFS('الحركات الشهرية'!$J$6:$J$1005,'الحركات الشهرية'!$B$6:$B$1005,$B91,'الحركات الشهرية'!$A$6:$A$1005,$C$3))</f>
        <v/>
      </c>
      <c r="V91" s="90" t="str">
        <f aca="false">IF($B91="","",SUM(S91:U91))</f>
        <v/>
      </c>
      <c r="W91" s="112" t="str">
        <f aca="false">IF($B91="","",R91-V91)</f>
        <v/>
      </c>
      <c r="X91" s="90" t="str">
        <f aca="false">IF($B91="","",الموظفون!$Q91*IF(E91="سعودي",cfg_G_SR,cfg_G_NR)*F91/cfg_DAYS_M)</f>
        <v/>
      </c>
      <c r="Y91" s="90" t="str">
        <f aca="false">IF($B91="","",الموظفون!$O91*(cfg_EOS_R1*(MIN(AC91,cfg_EOS_TH)-MIN(AD91,cfg_EOS_TH))+cfg_EOS_R2*(MAX(AC91-cfg_EOS_TH,0)-MAX(AD91-cfg_EOS_TH,0))))</f>
        <v/>
      </c>
      <c r="Z91" s="90" t="str">
        <f aca="false">IF($B91="","",IF(الموظفون!$R91&lt;&gt;"",الموظفون!$R91,IF(AC91&gt;=cfg_LV_TH,cfg_LV_D2,cfg_LV_D1))/cfg_DAYS_Y*AE91*الموظفون!$P91/cfg_DAYS_M)</f>
        <v/>
      </c>
      <c r="AA91" s="90" t="str">
        <f aca="false">IF($B91="","",IF(AND(الموظفون!$S91="نعم",N(الموظفون!$U91)&gt;0),الموظفون!$T91/الموظفون!$U91*12/cfg_DAYS_Y*AE91,0))</f>
        <v/>
      </c>
      <c r="AB91" s="113" t="str">
        <f aca="false">IF($B91="","",R91+SUM(X91:AA91))</f>
        <v/>
      </c>
      <c r="AC91" s="114" t="str">
        <f aca="false">IF($B91="","",MAX(0,IF(OR(الموظفون!$X91="",الموظفون!$X91&gt;$G$3),$G$3,الموظفون!$X91)-الموظفون!$H91+1)/cfg_DAYS_Y)</f>
        <v/>
      </c>
      <c r="AD91" s="114" t="str">
        <f aca="false">IF($B91="","",MAX(0,IF(OR(الموظفون!$X91="",الموظفون!$X91&gt;($E$3-1)),($E$3-1),الموظفون!$X91)-الموظفون!$H91+1)/cfg_DAYS_Y)</f>
        <v/>
      </c>
      <c r="AE91" s="115" t="str">
        <f aca="false">IF($B91="","",MAX(0,IF(OR(الموظفون!$X91="",الموظفون!$X91&gt;$G$3),$G$3,الموظفون!$X91)-MAX($E$3,الموظفون!$H91)+1))</f>
        <v/>
      </c>
    </row>
    <row r="92" customFormat="false" ht="15" hidden="false" customHeight="false" outlineLevel="0" collapsed="false">
      <c r="A92" s="83" t="str">
        <f aca="false">IF($B92="","",الموظفون!$A92)</f>
        <v/>
      </c>
      <c r="B92" s="74" t="str">
        <f aca="false">IF(الموظفون!$B92="","",الموظفون!$B92)</f>
        <v/>
      </c>
      <c r="C92" s="74" t="str">
        <f aca="false">IF($B92="","",الموظفون!$C92)</f>
        <v/>
      </c>
      <c r="D92" s="74" t="str">
        <f aca="false">IF($B92="","",الموظفون!$F92)</f>
        <v/>
      </c>
      <c r="E92" s="74" t="str">
        <f aca="false">IF($B92="","",الموظفون!$E92)</f>
        <v/>
      </c>
      <c r="F92" s="105" t="str">
        <f aca="false">IF($B92="","",IF(AE92&gt;=DAY($G$3),cfg_DAYS_M,MIN(AE92,cfg_DAYS_M)))</f>
        <v/>
      </c>
      <c r="G92" s="105" t="str">
        <f aca="false">IF($B92="","",SUMIFS('الحركات الشهرية'!$D$6:$D$1005,'الحركات الشهرية'!$B$6:$B$1005,$B92,'الحركات الشهرية'!$A$6:$A$1005,$C$3))</f>
        <v/>
      </c>
      <c r="H92" s="105" t="str">
        <f aca="false">IF($B92="","",SUMIFS('الحركات الشهرية'!$E$6:$E$1005,'الحركات الشهرية'!$B$6:$B$1005,$B92,'الحركات الشهرية'!$A$6:$A$1005,$C$3))</f>
        <v/>
      </c>
      <c r="I92" s="105" t="str">
        <f aca="false">IF($B92="","",MAX(0,F92-G92-H92))</f>
        <v/>
      </c>
      <c r="J92" s="86" t="str">
        <f aca="false">IF($B92="","",الموظفون!$J92*$I92/cfg_DAYS_M)</f>
        <v/>
      </c>
      <c r="K92" s="86" t="str">
        <f aca="false">IF($B92="","",الموظفون!$K92*$I92/cfg_DAYS_M)</f>
        <v/>
      </c>
      <c r="L92" s="86" t="str">
        <f aca="false">IF($B92="","",الموظفون!$L92*$I92/cfg_DAYS_M)</f>
        <v/>
      </c>
      <c r="M92" s="86" t="str">
        <f aca="false">IF($B92="","",الموظفون!$M92*$I92/cfg_DAYS_M)</f>
        <v/>
      </c>
      <c r="N92" s="105" t="str">
        <f aca="false">IF($B92="","",SUMIFS('الحركات الشهرية'!$F$6:$F$1005,'الحركات الشهرية'!$B$6:$B$1005,$B92,'الحركات الشهرية'!$A$6:$A$1005,$C$3))</f>
        <v/>
      </c>
      <c r="O92" s="86" t="str">
        <f aca="false">IF($B92="","",N92*(الموظفون!$N92+الموظفون!$J92*cfg_OT_P)/cfg_DAYS_M/cfg_HRS)</f>
        <v/>
      </c>
      <c r="P92" s="86" t="str">
        <f aca="false">IF($B92="","",SUMIFS('الحركات الشهرية'!$G$6:$G$1005,'الحركات الشهرية'!$B$6:$B$1005,$B92,'الحركات الشهرية'!$A$6:$A$1005,$C$3))</f>
        <v/>
      </c>
      <c r="Q92" s="86" t="str">
        <f aca="false">IF($B92="","",SUMIFS('الحركات الشهرية'!$H$6:$H$1005,'الحركات الشهرية'!$B$6:$B$1005,$B92,'الحركات الشهرية'!$A$6:$A$1005,$C$3))</f>
        <v/>
      </c>
      <c r="R92" s="106" t="str">
        <f aca="false">IF($B92="","",SUM(J92:M92)+SUM(O92:Q92))</f>
        <v/>
      </c>
      <c r="S92" s="86" t="str">
        <f aca="false">IF($B92="","",الموظفون!$Q92*IF(E92="سعودي",cfg_G_SE,cfg_G_NE)*F92/cfg_DAYS_M)</f>
        <v/>
      </c>
      <c r="T92" s="86" t="str">
        <f aca="false">IF($B92="","",SUMIFS('الحركات الشهرية'!$I$6:$I$1005,'الحركات الشهرية'!$B$6:$B$1005,$B92,'الحركات الشهرية'!$A$6:$A$1005,$C$3))</f>
        <v/>
      </c>
      <c r="U92" s="86" t="str">
        <f aca="false">IF($B92="","",SUMIFS('الحركات الشهرية'!$J$6:$J$1005,'الحركات الشهرية'!$B$6:$B$1005,$B92,'الحركات الشهرية'!$A$6:$A$1005,$C$3))</f>
        <v/>
      </c>
      <c r="V92" s="86" t="str">
        <f aca="false">IF($B92="","",SUM(S92:U92))</f>
        <v/>
      </c>
      <c r="W92" s="107" t="str">
        <f aca="false">IF($B92="","",R92-V92)</f>
        <v/>
      </c>
      <c r="X92" s="86" t="str">
        <f aca="false">IF($B92="","",الموظفون!$Q92*IF(E92="سعودي",cfg_G_SR,cfg_G_NR)*F92/cfg_DAYS_M)</f>
        <v/>
      </c>
      <c r="Y92" s="86" t="str">
        <f aca="false">IF($B92="","",الموظفون!$O92*(cfg_EOS_R1*(MIN(AC92,cfg_EOS_TH)-MIN(AD92,cfg_EOS_TH))+cfg_EOS_R2*(MAX(AC92-cfg_EOS_TH,0)-MAX(AD92-cfg_EOS_TH,0))))</f>
        <v/>
      </c>
      <c r="Z92" s="86" t="str">
        <f aca="false">IF($B92="","",IF(الموظفون!$R92&lt;&gt;"",الموظفون!$R92,IF(AC92&gt;=cfg_LV_TH,cfg_LV_D2,cfg_LV_D1))/cfg_DAYS_Y*AE92*الموظفون!$P92/cfg_DAYS_M)</f>
        <v/>
      </c>
      <c r="AA92" s="86" t="str">
        <f aca="false">IF($B92="","",IF(AND(الموظفون!$S92="نعم",N(الموظفون!$U92)&gt;0),الموظفون!$T92/الموظفون!$U92*12/cfg_DAYS_Y*AE92,0))</f>
        <v/>
      </c>
      <c r="AB92" s="108" t="str">
        <f aca="false">IF($B92="","",R92+SUM(X92:AA92))</f>
        <v/>
      </c>
      <c r="AC92" s="109" t="str">
        <f aca="false">IF($B92="","",MAX(0,IF(OR(الموظفون!$X92="",الموظفون!$X92&gt;$G$3),$G$3,الموظفون!$X92)-الموظفون!$H92+1)/cfg_DAYS_Y)</f>
        <v/>
      </c>
      <c r="AD92" s="109" t="str">
        <f aca="false">IF($B92="","",MAX(0,IF(OR(الموظفون!$X92="",الموظفون!$X92&gt;($E$3-1)),($E$3-1),الموظفون!$X92)-الموظفون!$H92+1)/cfg_DAYS_Y)</f>
        <v/>
      </c>
      <c r="AE92" s="51" t="str">
        <f aca="false">IF($B92="","",MAX(0,IF(OR(الموظفون!$X92="",الموظفون!$X92&gt;$G$3),$G$3,الموظفون!$X92)-MAX($E$3,الموظفون!$H92)+1))</f>
        <v/>
      </c>
    </row>
    <row r="93" customFormat="false" ht="15" hidden="false" customHeight="false" outlineLevel="0" collapsed="false">
      <c r="A93" s="89" t="str">
        <f aca="false">IF($B93="","",الموظفون!$A93)</f>
        <v/>
      </c>
      <c r="B93" s="91" t="str">
        <f aca="false">IF(الموظفون!$B93="","",الموظفون!$B93)</f>
        <v/>
      </c>
      <c r="C93" s="91" t="str">
        <f aca="false">IF($B93="","",الموظفون!$C93)</f>
        <v/>
      </c>
      <c r="D93" s="91" t="str">
        <f aca="false">IF($B93="","",الموظفون!$F93)</f>
        <v/>
      </c>
      <c r="E93" s="91" t="str">
        <f aca="false">IF($B93="","",الموظفون!$E93)</f>
        <v/>
      </c>
      <c r="F93" s="110" t="str">
        <f aca="false">IF($B93="","",IF(AE93&gt;=DAY($G$3),cfg_DAYS_M,MIN(AE93,cfg_DAYS_M)))</f>
        <v/>
      </c>
      <c r="G93" s="110" t="str">
        <f aca="false">IF($B93="","",SUMIFS('الحركات الشهرية'!$D$6:$D$1005,'الحركات الشهرية'!$B$6:$B$1005,$B93,'الحركات الشهرية'!$A$6:$A$1005,$C$3))</f>
        <v/>
      </c>
      <c r="H93" s="110" t="str">
        <f aca="false">IF($B93="","",SUMIFS('الحركات الشهرية'!$E$6:$E$1005,'الحركات الشهرية'!$B$6:$B$1005,$B93,'الحركات الشهرية'!$A$6:$A$1005,$C$3))</f>
        <v/>
      </c>
      <c r="I93" s="110" t="str">
        <f aca="false">IF($B93="","",MAX(0,F93-G93-H93))</f>
        <v/>
      </c>
      <c r="J93" s="90" t="str">
        <f aca="false">IF($B93="","",الموظفون!$J93*$I93/cfg_DAYS_M)</f>
        <v/>
      </c>
      <c r="K93" s="90" t="str">
        <f aca="false">IF($B93="","",الموظفون!$K93*$I93/cfg_DAYS_M)</f>
        <v/>
      </c>
      <c r="L93" s="90" t="str">
        <f aca="false">IF($B93="","",الموظفون!$L93*$I93/cfg_DAYS_M)</f>
        <v/>
      </c>
      <c r="M93" s="90" t="str">
        <f aca="false">IF($B93="","",الموظفون!$M93*$I93/cfg_DAYS_M)</f>
        <v/>
      </c>
      <c r="N93" s="110" t="str">
        <f aca="false">IF($B93="","",SUMIFS('الحركات الشهرية'!$F$6:$F$1005,'الحركات الشهرية'!$B$6:$B$1005,$B93,'الحركات الشهرية'!$A$6:$A$1005,$C$3))</f>
        <v/>
      </c>
      <c r="O93" s="90" t="str">
        <f aca="false">IF($B93="","",N93*(الموظفون!$N93+الموظفون!$J93*cfg_OT_P)/cfg_DAYS_M/cfg_HRS)</f>
        <v/>
      </c>
      <c r="P93" s="90" t="str">
        <f aca="false">IF($B93="","",SUMIFS('الحركات الشهرية'!$G$6:$G$1005,'الحركات الشهرية'!$B$6:$B$1005,$B93,'الحركات الشهرية'!$A$6:$A$1005,$C$3))</f>
        <v/>
      </c>
      <c r="Q93" s="90" t="str">
        <f aca="false">IF($B93="","",SUMIFS('الحركات الشهرية'!$H$6:$H$1005,'الحركات الشهرية'!$B$6:$B$1005,$B93,'الحركات الشهرية'!$A$6:$A$1005,$C$3))</f>
        <v/>
      </c>
      <c r="R93" s="111" t="str">
        <f aca="false">IF($B93="","",SUM(J93:M93)+SUM(O93:Q93))</f>
        <v/>
      </c>
      <c r="S93" s="90" t="str">
        <f aca="false">IF($B93="","",الموظفون!$Q93*IF(E93="سعودي",cfg_G_SE,cfg_G_NE)*F93/cfg_DAYS_M)</f>
        <v/>
      </c>
      <c r="T93" s="90" t="str">
        <f aca="false">IF($B93="","",SUMIFS('الحركات الشهرية'!$I$6:$I$1005,'الحركات الشهرية'!$B$6:$B$1005,$B93,'الحركات الشهرية'!$A$6:$A$1005,$C$3))</f>
        <v/>
      </c>
      <c r="U93" s="90" t="str">
        <f aca="false">IF($B93="","",SUMIFS('الحركات الشهرية'!$J$6:$J$1005,'الحركات الشهرية'!$B$6:$B$1005,$B93,'الحركات الشهرية'!$A$6:$A$1005,$C$3))</f>
        <v/>
      </c>
      <c r="V93" s="90" t="str">
        <f aca="false">IF($B93="","",SUM(S93:U93))</f>
        <v/>
      </c>
      <c r="W93" s="112" t="str">
        <f aca="false">IF($B93="","",R93-V93)</f>
        <v/>
      </c>
      <c r="X93" s="90" t="str">
        <f aca="false">IF($B93="","",الموظفون!$Q93*IF(E93="سعودي",cfg_G_SR,cfg_G_NR)*F93/cfg_DAYS_M)</f>
        <v/>
      </c>
      <c r="Y93" s="90" t="str">
        <f aca="false">IF($B93="","",الموظفون!$O93*(cfg_EOS_R1*(MIN(AC93,cfg_EOS_TH)-MIN(AD93,cfg_EOS_TH))+cfg_EOS_R2*(MAX(AC93-cfg_EOS_TH,0)-MAX(AD93-cfg_EOS_TH,0))))</f>
        <v/>
      </c>
      <c r="Z93" s="90" t="str">
        <f aca="false">IF($B93="","",IF(الموظفون!$R93&lt;&gt;"",الموظفون!$R93,IF(AC93&gt;=cfg_LV_TH,cfg_LV_D2,cfg_LV_D1))/cfg_DAYS_Y*AE93*الموظفون!$P93/cfg_DAYS_M)</f>
        <v/>
      </c>
      <c r="AA93" s="90" t="str">
        <f aca="false">IF($B93="","",IF(AND(الموظفون!$S93="نعم",N(الموظفون!$U93)&gt;0),الموظفون!$T93/الموظفون!$U93*12/cfg_DAYS_Y*AE93,0))</f>
        <v/>
      </c>
      <c r="AB93" s="113" t="str">
        <f aca="false">IF($B93="","",R93+SUM(X93:AA93))</f>
        <v/>
      </c>
      <c r="AC93" s="114" t="str">
        <f aca="false">IF($B93="","",MAX(0,IF(OR(الموظفون!$X93="",الموظفون!$X93&gt;$G$3),$G$3,الموظفون!$X93)-الموظفون!$H93+1)/cfg_DAYS_Y)</f>
        <v/>
      </c>
      <c r="AD93" s="114" t="str">
        <f aca="false">IF($B93="","",MAX(0,IF(OR(الموظفون!$X93="",الموظفون!$X93&gt;($E$3-1)),($E$3-1),الموظفون!$X93)-الموظفون!$H93+1)/cfg_DAYS_Y)</f>
        <v/>
      </c>
      <c r="AE93" s="115" t="str">
        <f aca="false">IF($B93="","",MAX(0,IF(OR(الموظفون!$X93="",الموظفون!$X93&gt;$G$3),$G$3,الموظفون!$X93)-MAX($E$3,الموظفون!$H93)+1))</f>
        <v/>
      </c>
    </row>
    <row r="94" customFormat="false" ht="15" hidden="false" customHeight="false" outlineLevel="0" collapsed="false">
      <c r="A94" s="83" t="str">
        <f aca="false">IF($B94="","",الموظفون!$A94)</f>
        <v/>
      </c>
      <c r="B94" s="74" t="str">
        <f aca="false">IF(الموظفون!$B94="","",الموظفون!$B94)</f>
        <v/>
      </c>
      <c r="C94" s="74" t="str">
        <f aca="false">IF($B94="","",الموظفون!$C94)</f>
        <v/>
      </c>
      <c r="D94" s="74" t="str">
        <f aca="false">IF($B94="","",الموظفون!$F94)</f>
        <v/>
      </c>
      <c r="E94" s="74" t="str">
        <f aca="false">IF($B94="","",الموظفون!$E94)</f>
        <v/>
      </c>
      <c r="F94" s="105" t="str">
        <f aca="false">IF($B94="","",IF(AE94&gt;=DAY($G$3),cfg_DAYS_M,MIN(AE94,cfg_DAYS_M)))</f>
        <v/>
      </c>
      <c r="G94" s="105" t="str">
        <f aca="false">IF($B94="","",SUMIFS('الحركات الشهرية'!$D$6:$D$1005,'الحركات الشهرية'!$B$6:$B$1005,$B94,'الحركات الشهرية'!$A$6:$A$1005,$C$3))</f>
        <v/>
      </c>
      <c r="H94" s="105" t="str">
        <f aca="false">IF($B94="","",SUMIFS('الحركات الشهرية'!$E$6:$E$1005,'الحركات الشهرية'!$B$6:$B$1005,$B94,'الحركات الشهرية'!$A$6:$A$1005,$C$3))</f>
        <v/>
      </c>
      <c r="I94" s="105" t="str">
        <f aca="false">IF($B94="","",MAX(0,F94-G94-H94))</f>
        <v/>
      </c>
      <c r="J94" s="86" t="str">
        <f aca="false">IF($B94="","",الموظفون!$J94*$I94/cfg_DAYS_M)</f>
        <v/>
      </c>
      <c r="K94" s="86" t="str">
        <f aca="false">IF($B94="","",الموظفون!$K94*$I94/cfg_DAYS_M)</f>
        <v/>
      </c>
      <c r="L94" s="86" t="str">
        <f aca="false">IF($B94="","",الموظفون!$L94*$I94/cfg_DAYS_M)</f>
        <v/>
      </c>
      <c r="M94" s="86" t="str">
        <f aca="false">IF($B94="","",الموظفون!$M94*$I94/cfg_DAYS_M)</f>
        <v/>
      </c>
      <c r="N94" s="105" t="str">
        <f aca="false">IF($B94="","",SUMIFS('الحركات الشهرية'!$F$6:$F$1005,'الحركات الشهرية'!$B$6:$B$1005,$B94,'الحركات الشهرية'!$A$6:$A$1005,$C$3))</f>
        <v/>
      </c>
      <c r="O94" s="86" t="str">
        <f aca="false">IF($B94="","",N94*(الموظفون!$N94+الموظفون!$J94*cfg_OT_P)/cfg_DAYS_M/cfg_HRS)</f>
        <v/>
      </c>
      <c r="P94" s="86" t="str">
        <f aca="false">IF($B94="","",SUMIFS('الحركات الشهرية'!$G$6:$G$1005,'الحركات الشهرية'!$B$6:$B$1005,$B94,'الحركات الشهرية'!$A$6:$A$1005,$C$3))</f>
        <v/>
      </c>
      <c r="Q94" s="86" t="str">
        <f aca="false">IF($B94="","",SUMIFS('الحركات الشهرية'!$H$6:$H$1005,'الحركات الشهرية'!$B$6:$B$1005,$B94,'الحركات الشهرية'!$A$6:$A$1005,$C$3))</f>
        <v/>
      </c>
      <c r="R94" s="106" t="str">
        <f aca="false">IF($B94="","",SUM(J94:M94)+SUM(O94:Q94))</f>
        <v/>
      </c>
      <c r="S94" s="86" t="str">
        <f aca="false">IF($B94="","",الموظفون!$Q94*IF(E94="سعودي",cfg_G_SE,cfg_G_NE)*F94/cfg_DAYS_M)</f>
        <v/>
      </c>
      <c r="T94" s="86" t="str">
        <f aca="false">IF($B94="","",SUMIFS('الحركات الشهرية'!$I$6:$I$1005,'الحركات الشهرية'!$B$6:$B$1005,$B94,'الحركات الشهرية'!$A$6:$A$1005,$C$3))</f>
        <v/>
      </c>
      <c r="U94" s="86" t="str">
        <f aca="false">IF($B94="","",SUMIFS('الحركات الشهرية'!$J$6:$J$1005,'الحركات الشهرية'!$B$6:$B$1005,$B94,'الحركات الشهرية'!$A$6:$A$1005,$C$3))</f>
        <v/>
      </c>
      <c r="V94" s="86" t="str">
        <f aca="false">IF($B94="","",SUM(S94:U94))</f>
        <v/>
      </c>
      <c r="W94" s="107" t="str">
        <f aca="false">IF($B94="","",R94-V94)</f>
        <v/>
      </c>
      <c r="X94" s="86" t="str">
        <f aca="false">IF($B94="","",الموظفون!$Q94*IF(E94="سعودي",cfg_G_SR,cfg_G_NR)*F94/cfg_DAYS_M)</f>
        <v/>
      </c>
      <c r="Y94" s="86" t="str">
        <f aca="false">IF($B94="","",الموظفون!$O94*(cfg_EOS_R1*(MIN(AC94,cfg_EOS_TH)-MIN(AD94,cfg_EOS_TH))+cfg_EOS_R2*(MAX(AC94-cfg_EOS_TH,0)-MAX(AD94-cfg_EOS_TH,0))))</f>
        <v/>
      </c>
      <c r="Z94" s="86" t="str">
        <f aca="false">IF($B94="","",IF(الموظفون!$R94&lt;&gt;"",الموظفون!$R94,IF(AC94&gt;=cfg_LV_TH,cfg_LV_D2,cfg_LV_D1))/cfg_DAYS_Y*AE94*الموظفون!$P94/cfg_DAYS_M)</f>
        <v/>
      </c>
      <c r="AA94" s="86" t="str">
        <f aca="false">IF($B94="","",IF(AND(الموظفون!$S94="نعم",N(الموظفون!$U94)&gt;0),الموظفون!$T94/الموظفون!$U94*12/cfg_DAYS_Y*AE94,0))</f>
        <v/>
      </c>
      <c r="AB94" s="108" t="str">
        <f aca="false">IF($B94="","",R94+SUM(X94:AA94))</f>
        <v/>
      </c>
      <c r="AC94" s="109" t="str">
        <f aca="false">IF($B94="","",MAX(0,IF(OR(الموظفون!$X94="",الموظفون!$X94&gt;$G$3),$G$3,الموظفون!$X94)-الموظفون!$H94+1)/cfg_DAYS_Y)</f>
        <v/>
      </c>
      <c r="AD94" s="109" t="str">
        <f aca="false">IF($B94="","",MAX(0,IF(OR(الموظفون!$X94="",الموظفون!$X94&gt;($E$3-1)),($E$3-1),الموظفون!$X94)-الموظفون!$H94+1)/cfg_DAYS_Y)</f>
        <v/>
      </c>
      <c r="AE94" s="51" t="str">
        <f aca="false">IF($B94="","",MAX(0,IF(OR(الموظفون!$X94="",الموظفون!$X94&gt;$G$3),$G$3,الموظفون!$X94)-MAX($E$3,الموظفون!$H94)+1))</f>
        <v/>
      </c>
    </row>
    <row r="95" customFormat="false" ht="15" hidden="false" customHeight="false" outlineLevel="0" collapsed="false">
      <c r="A95" s="89" t="str">
        <f aca="false">IF($B95="","",الموظفون!$A95)</f>
        <v/>
      </c>
      <c r="B95" s="91" t="str">
        <f aca="false">IF(الموظفون!$B95="","",الموظفون!$B95)</f>
        <v/>
      </c>
      <c r="C95" s="91" t="str">
        <f aca="false">IF($B95="","",الموظفون!$C95)</f>
        <v/>
      </c>
      <c r="D95" s="91" t="str">
        <f aca="false">IF($B95="","",الموظفون!$F95)</f>
        <v/>
      </c>
      <c r="E95" s="91" t="str">
        <f aca="false">IF($B95="","",الموظفون!$E95)</f>
        <v/>
      </c>
      <c r="F95" s="110" t="str">
        <f aca="false">IF($B95="","",IF(AE95&gt;=DAY($G$3),cfg_DAYS_M,MIN(AE95,cfg_DAYS_M)))</f>
        <v/>
      </c>
      <c r="G95" s="110" t="str">
        <f aca="false">IF($B95="","",SUMIFS('الحركات الشهرية'!$D$6:$D$1005,'الحركات الشهرية'!$B$6:$B$1005,$B95,'الحركات الشهرية'!$A$6:$A$1005,$C$3))</f>
        <v/>
      </c>
      <c r="H95" s="110" t="str">
        <f aca="false">IF($B95="","",SUMIFS('الحركات الشهرية'!$E$6:$E$1005,'الحركات الشهرية'!$B$6:$B$1005,$B95,'الحركات الشهرية'!$A$6:$A$1005,$C$3))</f>
        <v/>
      </c>
      <c r="I95" s="110" t="str">
        <f aca="false">IF($B95="","",MAX(0,F95-G95-H95))</f>
        <v/>
      </c>
      <c r="J95" s="90" t="str">
        <f aca="false">IF($B95="","",الموظفون!$J95*$I95/cfg_DAYS_M)</f>
        <v/>
      </c>
      <c r="K95" s="90" t="str">
        <f aca="false">IF($B95="","",الموظفون!$K95*$I95/cfg_DAYS_M)</f>
        <v/>
      </c>
      <c r="L95" s="90" t="str">
        <f aca="false">IF($B95="","",الموظفون!$L95*$I95/cfg_DAYS_M)</f>
        <v/>
      </c>
      <c r="M95" s="90" t="str">
        <f aca="false">IF($B95="","",الموظفون!$M95*$I95/cfg_DAYS_M)</f>
        <v/>
      </c>
      <c r="N95" s="110" t="str">
        <f aca="false">IF($B95="","",SUMIFS('الحركات الشهرية'!$F$6:$F$1005,'الحركات الشهرية'!$B$6:$B$1005,$B95,'الحركات الشهرية'!$A$6:$A$1005,$C$3))</f>
        <v/>
      </c>
      <c r="O95" s="90" t="str">
        <f aca="false">IF($B95="","",N95*(الموظفون!$N95+الموظفون!$J95*cfg_OT_P)/cfg_DAYS_M/cfg_HRS)</f>
        <v/>
      </c>
      <c r="P95" s="90" t="str">
        <f aca="false">IF($B95="","",SUMIFS('الحركات الشهرية'!$G$6:$G$1005,'الحركات الشهرية'!$B$6:$B$1005,$B95,'الحركات الشهرية'!$A$6:$A$1005,$C$3))</f>
        <v/>
      </c>
      <c r="Q95" s="90" t="str">
        <f aca="false">IF($B95="","",SUMIFS('الحركات الشهرية'!$H$6:$H$1005,'الحركات الشهرية'!$B$6:$B$1005,$B95,'الحركات الشهرية'!$A$6:$A$1005,$C$3))</f>
        <v/>
      </c>
      <c r="R95" s="111" t="str">
        <f aca="false">IF($B95="","",SUM(J95:M95)+SUM(O95:Q95))</f>
        <v/>
      </c>
      <c r="S95" s="90" t="str">
        <f aca="false">IF($B95="","",الموظفون!$Q95*IF(E95="سعودي",cfg_G_SE,cfg_G_NE)*F95/cfg_DAYS_M)</f>
        <v/>
      </c>
      <c r="T95" s="90" t="str">
        <f aca="false">IF($B95="","",SUMIFS('الحركات الشهرية'!$I$6:$I$1005,'الحركات الشهرية'!$B$6:$B$1005,$B95,'الحركات الشهرية'!$A$6:$A$1005,$C$3))</f>
        <v/>
      </c>
      <c r="U95" s="90" t="str">
        <f aca="false">IF($B95="","",SUMIFS('الحركات الشهرية'!$J$6:$J$1005,'الحركات الشهرية'!$B$6:$B$1005,$B95,'الحركات الشهرية'!$A$6:$A$1005,$C$3))</f>
        <v/>
      </c>
      <c r="V95" s="90" t="str">
        <f aca="false">IF($B95="","",SUM(S95:U95))</f>
        <v/>
      </c>
      <c r="W95" s="112" t="str">
        <f aca="false">IF($B95="","",R95-V95)</f>
        <v/>
      </c>
      <c r="X95" s="90" t="str">
        <f aca="false">IF($B95="","",الموظفون!$Q95*IF(E95="سعودي",cfg_G_SR,cfg_G_NR)*F95/cfg_DAYS_M)</f>
        <v/>
      </c>
      <c r="Y95" s="90" t="str">
        <f aca="false">IF($B95="","",الموظفون!$O95*(cfg_EOS_R1*(MIN(AC95,cfg_EOS_TH)-MIN(AD95,cfg_EOS_TH))+cfg_EOS_R2*(MAX(AC95-cfg_EOS_TH,0)-MAX(AD95-cfg_EOS_TH,0))))</f>
        <v/>
      </c>
      <c r="Z95" s="90" t="str">
        <f aca="false">IF($B95="","",IF(الموظفون!$R95&lt;&gt;"",الموظفون!$R95,IF(AC95&gt;=cfg_LV_TH,cfg_LV_D2,cfg_LV_D1))/cfg_DAYS_Y*AE95*الموظفون!$P95/cfg_DAYS_M)</f>
        <v/>
      </c>
      <c r="AA95" s="90" t="str">
        <f aca="false">IF($B95="","",IF(AND(الموظفون!$S95="نعم",N(الموظفون!$U95)&gt;0),الموظفون!$T95/الموظفون!$U95*12/cfg_DAYS_Y*AE95,0))</f>
        <v/>
      </c>
      <c r="AB95" s="113" t="str">
        <f aca="false">IF($B95="","",R95+SUM(X95:AA95))</f>
        <v/>
      </c>
      <c r="AC95" s="114" t="str">
        <f aca="false">IF($B95="","",MAX(0,IF(OR(الموظفون!$X95="",الموظفون!$X95&gt;$G$3),$G$3,الموظفون!$X95)-الموظفون!$H95+1)/cfg_DAYS_Y)</f>
        <v/>
      </c>
      <c r="AD95" s="114" t="str">
        <f aca="false">IF($B95="","",MAX(0,IF(OR(الموظفون!$X95="",الموظفون!$X95&gt;($E$3-1)),($E$3-1),الموظفون!$X95)-الموظفون!$H95+1)/cfg_DAYS_Y)</f>
        <v/>
      </c>
      <c r="AE95" s="115" t="str">
        <f aca="false">IF($B95="","",MAX(0,IF(OR(الموظفون!$X95="",الموظفون!$X95&gt;$G$3),$G$3,الموظفون!$X95)-MAX($E$3,الموظفون!$H95)+1))</f>
        <v/>
      </c>
    </row>
    <row r="96" customFormat="false" ht="15" hidden="false" customHeight="false" outlineLevel="0" collapsed="false">
      <c r="A96" s="83" t="str">
        <f aca="false">IF($B96="","",الموظفون!$A96)</f>
        <v/>
      </c>
      <c r="B96" s="74" t="str">
        <f aca="false">IF(الموظفون!$B96="","",الموظفون!$B96)</f>
        <v/>
      </c>
      <c r="C96" s="74" t="str">
        <f aca="false">IF($B96="","",الموظفون!$C96)</f>
        <v/>
      </c>
      <c r="D96" s="74" t="str">
        <f aca="false">IF($B96="","",الموظفون!$F96)</f>
        <v/>
      </c>
      <c r="E96" s="74" t="str">
        <f aca="false">IF($B96="","",الموظفون!$E96)</f>
        <v/>
      </c>
      <c r="F96" s="105" t="str">
        <f aca="false">IF($B96="","",IF(AE96&gt;=DAY($G$3),cfg_DAYS_M,MIN(AE96,cfg_DAYS_M)))</f>
        <v/>
      </c>
      <c r="G96" s="105" t="str">
        <f aca="false">IF($B96="","",SUMIFS('الحركات الشهرية'!$D$6:$D$1005,'الحركات الشهرية'!$B$6:$B$1005,$B96,'الحركات الشهرية'!$A$6:$A$1005,$C$3))</f>
        <v/>
      </c>
      <c r="H96" s="105" t="str">
        <f aca="false">IF($B96="","",SUMIFS('الحركات الشهرية'!$E$6:$E$1005,'الحركات الشهرية'!$B$6:$B$1005,$B96,'الحركات الشهرية'!$A$6:$A$1005,$C$3))</f>
        <v/>
      </c>
      <c r="I96" s="105" t="str">
        <f aca="false">IF($B96="","",MAX(0,F96-G96-H96))</f>
        <v/>
      </c>
      <c r="J96" s="86" t="str">
        <f aca="false">IF($B96="","",الموظفون!$J96*$I96/cfg_DAYS_M)</f>
        <v/>
      </c>
      <c r="K96" s="86" t="str">
        <f aca="false">IF($B96="","",الموظفون!$K96*$I96/cfg_DAYS_M)</f>
        <v/>
      </c>
      <c r="L96" s="86" t="str">
        <f aca="false">IF($B96="","",الموظفون!$L96*$I96/cfg_DAYS_M)</f>
        <v/>
      </c>
      <c r="M96" s="86" t="str">
        <f aca="false">IF($B96="","",الموظفون!$M96*$I96/cfg_DAYS_M)</f>
        <v/>
      </c>
      <c r="N96" s="105" t="str">
        <f aca="false">IF($B96="","",SUMIFS('الحركات الشهرية'!$F$6:$F$1005,'الحركات الشهرية'!$B$6:$B$1005,$B96,'الحركات الشهرية'!$A$6:$A$1005,$C$3))</f>
        <v/>
      </c>
      <c r="O96" s="86" t="str">
        <f aca="false">IF($B96="","",N96*(الموظفون!$N96+الموظفون!$J96*cfg_OT_P)/cfg_DAYS_M/cfg_HRS)</f>
        <v/>
      </c>
      <c r="P96" s="86" t="str">
        <f aca="false">IF($B96="","",SUMIFS('الحركات الشهرية'!$G$6:$G$1005,'الحركات الشهرية'!$B$6:$B$1005,$B96,'الحركات الشهرية'!$A$6:$A$1005,$C$3))</f>
        <v/>
      </c>
      <c r="Q96" s="86" t="str">
        <f aca="false">IF($B96="","",SUMIFS('الحركات الشهرية'!$H$6:$H$1005,'الحركات الشهرية'!$B$6:$B$1005,$B96,'الحركات الشهرية'!$A$6:$A$1005,$C$3))</f>
        <v/>
      </c>
      <c r="R96" s="106" t="str">
        <f aca="false">IF($B96="","",SUM(J96:M96)+SUM(O96:Q96))</f>
        <v/>
      </c>
      <c r="S96" s="86" t="str">
        <f aca="false">IF($B96="","",الموظفون!$Q96*IF(E96="سعودي",cfg_G_SE,cfg_G_NE)*F96/cfg_DAYS_M)</f>
        <v/>
      </c>
      <c r="T96" s="86" t="str">
        <f aca="false">IF($B96="","",SUMIFS('الحركات الشهرية'!$I$6:$I$1005,'الحركات الشهرية'!$B$6:$B$1005,$B96,'الحركات الشهرية'!$A$6:$A$1005,$C$3))</f>
        <v/>
      </c>
      <c r="U96" s="86" t="str">
        <f aca="false">IF($B96="","",SUMIFS('الحركات الشهرية'!$J$6:$J$1005,'الحركات الشهرية'!$B$6:$B$1005,$B96,'الحركات الشهرية'!$A$6:$A$1005,$C$3))</f>
        <v/>
      </c>
      <c r="V96" s="86" t="str">
        <f aca="false">IF($B96="","",SUM(S96:U96))</f>
        <v/>
      </c>
      <c r="W96" s="107" t="str">
        <f aca="false">IF($B96="","",R96-V96)</f>
        <v/>
      </c>
      <c r="X96" s="86" t="str">
        <f aca="false">IF($B96="","",الموظفون!$Q96*IF(E96="سعودي",cfg_G_SR,cfg_G_NR)*F96/cfg_DAYS_M)</f>
        <v/>
      </c>
      <c r="Y96" s="86" t="str">
        <f aca="false">IF($B96="","",الموظفون!$O96*(cfg_EOS_R1*(MIN(AC96,cfg_EOS_TH)-MIN(AD96,cfg_EOS_TH))+cfg_EOS_R2*(MAX(AC96-cfg_EOS_TH,0)-MAX(AD96-cfg_EOS_TH,0))))</f>
        <v/>
      </c>
      <c r="Z96" s="86" t="str">
        <f aca="false">IF($B96="","",IF(الموظفون!$R96&lt;&gt;"",الموظفون!$R96,IF(AC96&gt;=cfg_LV_TH,cfg_LV_D2,cfg_LV_D1))/cfg_DAYS_Y*AE96*الموظفون!$P96/cfg_DAYS_M)</f>
        <v/>
      </c>
      <c r="AA96" s="86" t="str">
        <f aca="false">IF($B96="","",IF(AND(الموظفون!$S96="نعم",N(الموظفون!$U96)&gt;0),الموظفون!$T96/الموظفون!$U96*12/cfg_DAYS_Y*AE96,0))</f>
        <v/>
      </c>
      <c r="AB96" s="108" t="str">
        <f aca="false">IF($B96="","",R96+SUM(X96:AA96))</f>
        <v/>
      </c>
      <c r="AC96" s="109" t="str">
        <f aca="false">IF($B96="","",MAX(0,IF(OR(الموظفون!$X96="",الموظفون!$X96&gt;$G$3),$G$3,الموظفون!$X96)-الموظفون!$H96+1)/cfg_DAYS_Y)</f>
        <v/>
      </c>
      <c r="AD96" s="109" t="str">
        <f aca="false">IF($B96="","",MAX(0,IF(OR(الموظفون!$X96="",الموظفون!$X96&gt;($E$3-1)),($E$3-1),الموظفون!$X96)-الموظفون!$H96+1)/cfg_DAYS_Y)</f>
        <v/>
      </c>
      <c r="AE96" s="51" t="str">
        <f aca="false">IF($B96="","",MAX(0,IF(OR(الموظفون!$X96="",الموظفون!$X96&gt;$G$3),$G$3,الموظفون!$X96)-MAX($E$3,الموظفون!$H96)+1))</f>
        <v/>
      </c>
    </row>
    <row r="97" customFormat="false" ht="15" hidden="false" customHeight="false" outlineLevel="0" collapsed="false">
      <c r="A97" s="89" t="str">
        <f aca="false">IF($B97="","",الموظفون!$A97)</f>
        <v/>
      </c>
      <c r="B97" s="91" t="str">
        <f aca="false">IF(الموظفون!$B97="","",الموظفون!$B97)</f>
        <v/>
      </c>
      <c r="C97" s="91" t="str">
        <f aca="false">IF($B97="","",الموظفون!$C97)</f>
        <v/>
      </c>
      <c r="D97" s="91" t="str">
        <f aca="false">IF($B97="","",الموظفون!$F97)</f>
        <v/>
      </c>
      <c r="E97" s="91" t="str">
        <f aca="false">IF($B97="","",الموظفون!$E97)</f>
        <v/>
      </c>
      <c r="F97" s="110" t="str">
        <f aca="false">IF($B97="","",IF(AE97&gt;=DAY($G$3),cfg_DAYS_M,MIN(AE97,cfg_DAYS_M)))</f>
        <v/>
      </c>
      <c r="G97" s="110" t="str">
        <f aca="false">IF($B97="","",SUMIFS('الحركات الشهرية'!$D$6:$D$1005,'الحركات الشهرية'!$B$6:$B$1005,$B97,'الحركات الشهرية'!$A$6:$A$1005,$C$3))</f>
        <v/>
      </c>
      <c r="H97" s="110" t="str">
        <f aca="false">IF($B97="","",SUMIFS('الحركات الشهرية'!$E$6:$E$1005,'الحركات الشهرية'!$B$6:$B$1005,$B97,'الحركات الشهرية'!$A$6:$A$1005,$C$3))</f>
        <v/>
      </c>
      <c r="I97" s="110" t="str">
        <f aca="false">IF($B97="","",MAX(0,F97-G97-H97))</f>
        <v/>
      </c>
      <c r="J97" s="90" t="str">
        <f aca="false">IF($B97="","",الموظفون!$J97*$I97/cfg_DAYS_M)</f>
        <v/>
      </c>
      <c r="K97" s="90" t="str">
        <f aca="false">IF($B97="","",الموظفون!$K97*$I97/cfg_DAYS_M)</f>
        <v/>
      </c>
      <c r="L97" s="90" t="str">
        <f aca="false">IF($B97="","",الموظفون!$L97*$I97/cfg_DAYS_M)</f>
        <v/>
      </c>
      <c r="M97" s="90" t="str">
        <f aca="false">IF($B97="","",الموظفون!$M97*$I97/cfg_DAYS_M)</f>
        <v/>
      </c>
      <c r="N97" s="110" t="str">
        <f aca="false">IF($B97="","",SUMIFS('الحركات الشهرية'!$F$6:$F$1005,'الحركات الشهرية'!$B$6:$B$1005,$B97,'الحركات الشهرية'!$A$6:$A$1005,$C$3))</f>
        <v/>
      </c>
      <c r="O97" s="90" t="str">
        <f aca="false">IF($B97="","",N97*(الموظفون!$N97+الموظفون!$J97*cfg_OT_P)/cfg_DAYS_M/cfg_HRS)</f>
        <v/>
      </c>
      <c r="P97" s="90" t="str">
        <f aca="false">IF($B97="","",SUMIFS('الحركات الشهرية'!$G$6:$G$1005,'الحركات الشهرية'!$B$6:$B$1005,$B97,'الحركات الشهرية'!$A$6:$A$1005,$C$3))</f>
        <v/>
      </c>
      <c r="Q97" s="90" t="str">
        <f aca="false">IF($B97="","",SUMIFS('الحركات الشهرية'!$H$6:$H$1005,'الحركات الشهرية'!$B$6:$B$1005,$B97,'الحركات الشهرية'!$A$6:$A$1005,$C$3))</f>
        <v/>
      </c>
      <c r="R97" s="111" t="str">
        <f aca="false">IF($B97="","",SUM(J97:M97)+SUM(O97:Q97))</f>
        <v/>
      </c>
      <c r="S97" s="90" t="str">
        <f aca="false">IF($B97="","",الموظفون!$Q97*IF(E97="سعودي",cfg_G_SE,cfg_G_NE)*F97/cfg_DAYS_M)</f>
        <v/>
      </c>
      <c r="T97" s="90" t="str">
        <f aca="false">IF($B97="","",SUMIFS('الحركات الشهرية'!$I$6:$I$1005,'الحركات الشهرية'!$B$6:$B$1005,$B97,'الحركات الشهرية'!$A$6:$A$1005,$C$3))</f>
        <v/>
      </c>
      <c r="U97" s="90" t="str">
        <f aca="false">IF($B97="","",SUMIFS('الحركات الشهرية'!$J$6:$J$1005,'الحركات الشهرية'!$B$6:$B$1005,$B97,'الحركات الشهرية'!$A$6:$A$1005,$C$3))</f>
        <v/>
      </c>
      <c r="V97" s="90" t="str">
        <f aca="false">IF($B97="","",SUM(S97:U97))</f>
        <v/>
      </c>
      <c r="W97" s="112" t="str">
        <f aca="false">IF($B97="","",R97-V97)</f>
        <v/>
      </c>
      <c r="X97" s="90" t="str">
        <f aca="false">IF($B97="","",الموظفون!$Q97*IF(E97="سعودي",cfg_G_SR,cfg_G_NR)*F97/cfg_DAYS_M)</f>
        <v/>
      </c>
      <c r="Y97" s="90" t="str">
        <f aca="false">IF($B97="","",الموظفون!$O97*(cfg_EOS_R1*(MIN(AC97,cfg_EOS_TH)-MIN(AD97,cfg_EOS_TH))+cfg_EOS_R2*(MAX(AC97-cfg_EOS_TH,0)-MAX(AD97-cfg_EOS_TH,0))))</f>
        <v/>
      </c>
      <c r="Z97" s="90" t="str">
        <f aca="false">IF($B97="","",IF(الموظفون!$R97&lt;&gt;"",الموظفون!$R97,IF(AC97&gt;=cfg_LV_TH,cfg_LV_D2,cfg_LV_D1))/cfg_DAYS_Y*AE97*الموظفون!$P97/cfg_DAYS_M)</f>
        <v/>
      </c>
      <c r="AA97" s="90" t="str">
        <f aca="false">IF($B97="","",IF(AND(الموظفون!$S97="نعم",N(الموظفون!$U97)&gt;0),الموظفون!$T97/الموظفون!$U97*12/cfg_DAYS_Y*AE97,0))</f>
        <v/>
      </c>
      <c r="AB97" s="113" t="str">
        <f aca="false">IF($B97="","",R97+SUM(X97:AA97))</f>
        <v/>
      </c>
      <c r="AC97" s="114" t="str">
        <f aca="false">IF($B97="","",MAX(0,IF(OR(الموظفون!$X97="",الموظفون!$X97&gt;$G$3),$G$3,الموظفون!$X97)-الموظفون!$H97+1)/cfg_DAYS_Y)</f>
        <v/>
      </c>
      <c r="AD97" s="114" t="str">
        <f aca="false">IF($B97="","",MAX(0,IF(OR(الموظفون!$X97="",الموظفون!$X97&gt;($E$3-1)),($E$3-1),الموظفون!$X97)-الموظفون!$H97+1)/cfg_DAYS_Y)</f>
        <v/>
      </c>
      <c r="AE97" s="115" t="str">
        <f aca="false">IF($B97="","",MAX(0,IF(OR(الموظفون!$X97="",الموظفون!$X97&gt;$G$3),$G$3,الموظفون!$X97)-MAX($E$3,الموظفون!$H97)+1))</f>
        <v/>
      </c>
    </row>
    <row r="98" customFormat="false" ht="15" hidden="false" customHeight="false" outlineLevel="0" collapsed="false">
      <c r="A98" s="83" t="str">
        <f aca="false">IF($B98="","",الموظفون!$A98)</f>
        <v/>
      </c>
      <c r="B98" s="74" t="str">
        <f aca="false">IF(الموظفون!$B98="","",الموظفون!$B98)</f>
        <v/>
      </c>
      <c r="C98" s="74" t="str">
        <f aca="false">IF($B98="","",الموظفون!$C98)</f>
        <v/>
      </c>
      <c r="D98" s="74" t="str">
        <f aca="false">IF($B98="","",الموظفون!$F98)</f>
        <v/>
      </c>
      <c r="E98" s="74" t="str">
        <f aca="false">IF($B98="","",الموظفون!$E98)</f>
        <v/>
      </c>
      <c r="F98" s="105" t="str">
        <f aca="false">IF($B98="","",IF(AE98&gt;=DAY($G$3),cfg_DAYS_M,MIN(AE98,cfg_DAYS_M)))</f>
        <v/>
      </c>
      <c r="G98" s="105" t="str">
        <f aca="false">IF($B98="","",SUMIFS('الحركات الشهرية'!$D$6:$D$1005,'الحركات الشهرية'!$B$6:$B$1005,$B98,'الحركات الشهرية'!$A$6:$A$1005,$C$3))</f>
        <v/>
      </c>
      <c r="H98" s="105" t="str">
        <f aca="false">IF($B98="","",SUMIFS('الحركات الشهرية'!$E$6:$E$1005,'الحركات الشهرية'!$B$6:$B$1005,$B98,'الحركات الشهرية'!$A$6:$A$1005,$C$3))</f>
        <v/>
      </c>
      <c r="I98" s="105" t="str">
        <f aca="false">IF($B98="","",MAX(0,F98-G98-H98))</f>
        <v/>
      </c>
      <c r="J98" s="86" t="str">
        <f aca="false">IF($B98="","",الموظفون!$J98*$I98/cfg_DAYS_M)</f>
        <v/>
      </c>
      <c r="K98" s="86" t="str">
        <f aca="false">IF($B98="","",الموظفون!$K98*$I98/cfg_DAYS_M)</f>
        <v/>
      </c>
      <c r="L98" s="86" t="str">
        <f aca="false">IF($B98="","",الموظفون!$L98*$I98/cfg_DAYS_M)</f>
        <v/>
      </c>
      <c r="M98" s="86" t="str">
        <f aca="false">IF($B98="","",الموظفون!$M98*$I98/cfg_DAYS_M)</f>
        <v/>
      </c>
      <c r="N98" s="105" t="str">
        <f aca="false">IF($B98="","",SUMIFS('الحركات الشهرية'!$F$6:$F$1005,'الحركات الشهرية'!$B$6:$B$1005,$B98,'الحركات الشهرية'!$A$6:$A$1005,$C$3))</f>
        <v/>
      </c>
      <c r="O98" s="86" t="str">
        <f aca="false">IF($B98="","",N98*(الموظفون!$N98+الموظفون!$J98*cfg_OT_P)/cfg_DAYS_M/cfg_HRS)</f>
        <v/>
      </c>
      <c r="P98" s="86" t="str">
        <f aca="false">IF($B98="","",SUMIFS('الحركات الشهرية'!$G$6:$G$1005,'الحركات الشهرية'!$B$6:$B$1005,$B98,'الحركات الشهرية'!$A$6:$A$1005,$C$3))</f>
        <v/>
      </c>
      <c r="Q98" s="86" t="str">
        <f aca="false">IF($B98="","",SUMIFS('الحركات الشهرية'!$H$6:$H$1005,'الحركات الشهرية'!$B$6:$B$1005,$B98,'الحركات الشهرية'!$A$6:$A$1005,$C$3))</f>
        <v/>
      </c>
      <c r="R98" s="106" t="str">
        <f aca="false">IF($B98="","",SUM(J98:M98)+SUM(O98:Q98))</f>
        <v/>
      </c>
      <c r="S98" s="86" t="str">
        <f aca="false">IF($B98="","",الموظفون!$Q98*IF(E98="سعودي",cfg_G_SE,cfg_G_NE)*F98/cfg_DAYS_M)</f>
        <v/>
      </c>
      <c r="T98" s="86" t="str">
        <f aca="false">IF($B98="","",SUMIFS('الحركات الشهرية'!$I$6:$I$1005,'الحركات الشهرية'!$B$6:$B$1005,$B98,'الحركات الشهرية'!$A$6:$A$1005,$C$3))</f>
        <v/>
      </c>
      <c r="U98" s="86" t="str">
        <f aca="false">IF($B98="","",SUMIFS('الحركات الشهرية'!$J$6:$J$1005,'الحركات الشهرية'!$B$6:$B$1005,$B98,'الحركات الشهرية'!$A$6:$A$1005,$C$3))</f>
        <v/>
      </c>
      <c r="V98" s="86" t="str">
        <f aca="false">IF($B98="","",SUM(S98:U98))</f>
        <v/>
      </c>
      <c r="W98" s="107" t="str">
        <f aca="false">IF($B98="","",R98-V98)</f>
        <v/>
      </c>
      <c r="X98" s="86" t="str">
        <f aca="false">IF($B98="","",الموظفون!$Q98*IF(E98="سعودي",cfg_G_SR,cfg_G_NR)*F98/cfg_DAYS_M)</f>
        <v/>
      </c>
      <c r="Y98" s="86" t="str">
        <f aca="false">IF($B98="","",الموظفون!$O98*(cfg_EOS_R1*(MIN(AC98,cfg_EOS_TH)-MIN(AD98,cfg_EOS_TH))+cfg_EOS_R2*(MAX(AC98-cfg_EOS_TH,0)-MAX(AD98-cfg_EOS_TH,0))))</f>
        <v/>
      </c>
      <c r="Z98" s="86" t="str">
        <f aca="false">IF($B98="","",IF(الموظفون!$R98&lt;&gt;"",الموظفون!$R98,IF(AC98&gt;=cfg_LV_TH,cfg_LV_D2,cfg_LV_D1))/cfg_DAYS_Y*AE98*الموظفون!$P98/cfg_DAYS_M)</f>
        <v/>
      </c>
      <c r="AA98" s="86" t="str">
        <f aca="false">IF($B98="","",IF(AND(الموظفون!$S98="نعم",N(الموظفون!$U98)&gt;0),الموظفون!$T98/الموظفون!$U98*12/cfg_DAYS_Y*AE98,0))</f>
        <v/>
      </c>
      <c r="AB98" s="108" t="str">
        <f aca="false">IF($B98="","",R98+SUM(X98:AA98))</f>
        <v/>
      </c>
      <c r="AC98" s="109" t="str">
        <f aca="false">IF($B98="","",MAX(0,IF(OR(الموظفون!$X98="",الموظفون!$X98&gt;$G$3),$G$3,الموظفون!$X98)-الموظفون!$H98+1)/cfg_DAYS_Y)</f>
        <v/>
      </c>
      <c r="AD98" s="109" t="str">
        <f aca="false">IF($B98="","",MAX(0,IF(OR(الموظفون!$X98="",الموظفون!$X98&gt;($E$3-1)),($E$3-1),الموظفون!$X98)-الموظفون!$H98+1)/cfg_DAYS_Y)</f>
        <v/>
      </c>
      <c r="AE98" s="51" t="str">
        <f aca="false">IF($B98="","",MAX(0,IF(OR(الموظفون!$X98="",الموظفون!$X98&gt;$G$3),$G$3,الموظفون!$X98)-MAX($E$3,الموظفون!$H98)+1))</f>
        <v/>
      </c>
    </row>
    <row r="99" customFormat="false" ht="15" hidden="false" customHeight="false" outlineLevel="0" collapsed="false">
      <c r="A99" s="89" t="str">
        <f aca="false">IF($B99="","",الموظفون!$A99)</f>
        <v/>
      </c>
      <c r="B99" s="91" t="str">
        <f aca="false">IF(الموظفون!$B99="","",الموظفون!$B99)</f>
        <v/>
      </c>
      <c r="C99" s="91" t="str">
        <f aca="false">IF($B99="","",الموظفون!$C99)</f>
        <v/>
      </c>
      <c r="D99" s="91" t="str">
        <f aca="false">IF($B99="","",الموظفون!$F99)</f>
        <v/>
      </c>
      <c r="E99" s="91" t="str">
        <f aca="false">IF($B99="","",الموظفون!$E99)</f>
        <v/>
      </c>
      <c r="F99" s="110" t="str">
        <f aca="false">IF($B99="","",IF(AE99&gt;=DAY($G$3),cfg_DAYS_M,MIN(AE99,cfg_DAYS_M)))</f>
        <v/>
      </c>
      <c r="G99" s="110" t="str">
        <f aca="false">IF($B99="","",SUMIFS('الحركات الشهرية'!$D$6:$D$1005,'الحركات الشهرية'!$B$6:$B$1005,$B99,'الحركات الشهرية'!$A$6:$A$1005,$C$3))</f>
        <v/>
      </c>
      <c r="H99" s="110" t="str">
        <f aca="false">IF($B99="","",SUMIFS('الحركات الشهرية'!$E$6:$E$1005,'الحركات الشهرية'!$B$6:$B$1005,$B99,'الحركات الشهرية'!$A$6:$A$1005,$C$3))</f>
        <v/>
      </c>
      <c r="I99" s="110" t="str">
        <f aca="false">IF($B99="","",MAX(0,F99-G99-H99))</f>
        <v/>
      </c>
      <c r="J99" s="90" t="str">
        <f aca="false">IF($B99="","",الموظفون!$J99*$I99/cfg_DAYS_M)</f>
        <v/>
      </c>
      <c r="K99" s="90" t="str">
        <f aca="false">IF($B99="","",الموظفون!$K99*$I99/cfg_DAYS_M)</f>
        <v/>
      </c>
      <c r="L99" s="90" t="str">
        <f aca="false">IF($B99="","",الموظفون!$L99*$I99/cfg_DAYS_M)</f>
        <v/>
      </c>
      <c r="M99" s="90" t="str">
        <f aca="false">IF($B99="","",الموظفون!$M99*$I99/cfg_DAYS_M)</f>
        <v/>
      </c>
      <c r="N99" s="110" t="str">
        <f aca="false">IF($B99="","",SUMIFS('الحركات الشهرية'!$F$6:$F$1005,'الحركات الشهرية'!$B$6:$B$1005,$B99,'الحركات الشهرية'!$A$6:$A$1005,$C$3))</f>
        <v/>
      </c>
      <c r="O99" s="90" t="str">
        <f aca="false">IF($B99="","",N99*(الموظفون!$N99+الموظفون!$J99*cfg_OT_P)/cfg_DAYS_M/cfg_HRS)</f>
        <v/>
      </c>
      <c r="P99" s="90" t="str">
        <f aca="false">IF($B99="","",SUMIFS('الحركات الشهرية'!$G$6:$G$1005,'الحركات الشهرية'!$B$6:$B$1005,$B99,'الحركات الشهرية'!$A$6:$A$1005,$C$3))</f>
        <v/>
      </c>
      <c r="Q99" s="90" t="str">
        <f aca="false">IF($B99="","",SUMIFS('الحركات الشهرية'!$H$6:$H$1005,'الحركات الشهرية'!$B$6:$B$1005,$B99,'الحركات الشهرية'!$A$6:$A$1005,$C$3))</f>
        <v/>
      </c>
      <c r="R99" s="111" t="str">
        <f aca="false">IF($B99="","",SUM(J99:M99)+SUM(O99:Q99))</f>
        <v/>
      </c>
      <c r="S99" s="90" t="str">
        <f aca="false">IF($B99="","",الموظفون!$Q99*IF(E99="سعودي",cfg_G_SE,cfg_G_NE)*F99/cfg_DAYS_M)</f>
        <v/>
      </c>
      <c r="T99" s="90" t="str">
        <f aca="false">IF($B99="","",SUMIFS('الحركات الشهرية'!$I$6:$I$1005,'الحركات الشهرية'!$B$6:$B$1005,$B99,'الحركات الشهرية'!$A$6:$A$1005,$C$3))</f>
        <v/>
      </c>
      <c r="U99" s="90" t="str">
        <f aca="false">IF($B99="","",SUMIFS('الحركات الشهرية'!$J$6:$J$1005,'الحركات الشهرية'!$B$6:$B$1005,$B99,'الحركات الشهرية'!$A$6:$A$1005,$C$3))</f>
        <v/>
      </c>
      <c r="V99" s="90" t="str">
        <f aca="false">IF($B99="","",SUM(S99:U99))</f>
        <v/>
      </c>
      <c r="W99" s="112" t="str">
        <f aca="false">IF($B99="","",R99-V99)</f>
        <v/>
      </c>
      <c r="X99" s="90" t="str">
        <f aca="false">IF($B99="","",الموظفون!$Q99*IF(E99="سعودي",cfg_G_SR,cfg_G_NR)*F99/cfg_DAYS_M)</f>
        <v/>
      </c>
      <c r="Y99" s="90" t="str">
        <f aca="false">IF($B99="","",الموظفون!$O99*(cfg_EOS_R1*(MIN(AC99,cfg_EOS_TH)-MIN(AD99,cfg_EOS_TH))+cfg_EOS_R2*(MAX(AC99-cfg_EOS_TH,0)-MAX(AD99-cfg_EOS_TH,0))))</f>
        <v/>
      </c>
      <c r="Z99" s="90" t="str">
        <f aca="false">IF($B99="","",IF(الموظفون!$R99&lt;&gt;"",الموظفون!$R99,IF(AC99&gt;=cfg_LV_TH,cfg_LV_D2,cfg_LV_D1))/cfg_DAYS_Y*AE99*الموظفون!$P99/cfg_DAYS_M)</f>
        <v/>
      </c>
      <c r="AA99" s="90" t="str">
        <f aca="false">IF($B99="","",IF(AND(الموظفون!$S99="نعم",N(الموظفون!$U99)&gt;0),الموظفون!$T99/الموظفون!$U99*12/cfg_DAYS_Y*AE99,0))</f>
        <v/>
      </c>
      <c r="AB99" s="113" t="str">
        <f aca="false">IF($B99="","",R99+SUM(X99:AA99))</f>
        <v/>
      </c>
      <c r="AC99" s="114" t="str">
        <f aca="false">IF($B99="","",MAX(0,IF(OR(الموظفون!$X99="",الموظفون!$X99&gt;$G$3),$G$3,الموظفون!$X99)-الموظفون!$H99+1)/cfg_DAYS_Y)</f>
        <v/>
      </c>
      <c r="AD99" s="114" t="str">
        <f aca="false">IF($B99="","",MAX(0,IF(OR(الموظفون!$X99="",الموظفون!$X99&gt;($E$3-1)),($E$3-1),الموظفون!$X99)-الموظفون!$H99+1)/cfg_DAYS_Y)</f>
        <v/>
      </c>
      <c r="AE99" s="115" t="str">
        <f aca="false">IF($B99="","",MAX(0,IF(OR(الموظفون!$X99="",الموظفون!$X99&gt;$G$3),$G$3,الموظفون!$X99)-MAX($E$3,الموظفون!$H99)+1))</f>
        <v/>
      </c>
    </row>
    <row r="100" customFormat="false" ht="15" hidden="false" customHeight="false" outlineLevel="0" collapsed="false">
      <c r="A100" s="83" t="str">
        <f aca="false">IF($B100="","",الموظفون!$A100)</f>
        <v/>
      </c>
      <c r="B100" s="74" t="str">
        <f aca="false">IF(الموظفون!$B100="","",الموظفون!$B100)</f>
        <v/>
      </c>
      <c r="C100" s="74" t="str">
        <f aca="false">IF($B100="","",الموظفون!$C100)</f>
        <v/>
      </c>
      <c r="D100" s="74" t="str">
        <f aca="false">IF($B100="","",الموظفون!$F100)</f>
        <v/>
      </c>
      <c r="E100" s="74" t="str">
        <f aca="false">IF($B100="","",الموظفون!$E100)</f>
        <v/>
      </c>
      <c r="F100" s="105" t="str">
        <f aca="false">IF($B100="","",IF(AE100&gt;=DAY($G$3),cfg_DAYS_M,MIN(AE100,cfg_DAYS_M)))</f>
        <v/>
      </c>
      <c r="G100" s="105" t="str">
        <f aca="false">IF($B100="","",SUMIFS('الحركات الشهرية'!$D$6:$D$1005,'الحركات الشهرية'!$B$6:$B$1005,$B100,'الحركات الشهرية'!$A$6:$A$1005,$C$3))</f>
        <v/>
      </c>
      <c r="H100" s="105" t="str">
        <f aca="false">IF($B100="","",SUMIFS('الحركات الشهرية'!$E$6:$E$1005,'الحركات الشهرية'!$B$6:$B$1005,$B100,'الحركات الشهرية'!$A$6:$A$1005,$C$3))</f>
        <v/>
      </c>
      <c r="I100" s="105" t="str">
        <f aca="false">IF($B100="","",MAX(0,F100-G100-H100))</f>
        <v/>
      </c>
      <c r="J100" s="86" t="str">
        <f aca="false">IF($B100="","",الموظفون!$J100*$I100/cfg_DAYS_M)</f>
        <v/>
      </c>
      <c r="K100" s="86" t="str">
        <f aca="false">IF($B100="","",الموظفون!$K100*$I100/cfg_DAYS_M)</f>
        <v/>
      </c>
      <c r="L100" s="86" t="str">
        <f aca="false">IF($B100="","",الموظفون!$L100*$I100/cfg_DAYS_M)</f>
        <v/>
      </c>
      <c r="M100" s="86" t="str">
        <f aca="false">IF($B100="","",الموظفون!$M100*$I100/cfg_DAYS_M)</f>
        <v/>
      </c>
      <c r="N100" s="105" t="str">
        <f aca="false">IF($B100="","",SUMIFS('الحركات الشهرية'!$F$6:$F$1005,'الحركات الشهرية'!$B$6:$B$1005,$B100,'الحركات الشهرية'!$A$6:$A$1005,$C$3))</f>
        <v/>
      </c>
      <c r="O100" s="86" t="str">
        <f aca="false">IF($B100="","",N100*(الموظفون!$N100+الموظفون!$J100*cfg_OT_P)/cfg_DAYS_M/cfg_HRS)</f>
        <v/>
      </c>
      <c r="P100" s="86" t="str">
        <f aca="false">IF($B100="","",SUMIFS('الحركات الشهرية'!$G$6:$G$1005,'الحركات الشهرية'!$B$6:$B$1005,$B100,'الحركات الشهرية'!$A$6:$A$1005,$C$3))</f>
        <v/>
      </c>
      <c r="Q100" s="86" t="str">
        <f aca="false">IF($B100="","",SUMIFS('الحركات الشهرية'!$H$6:$H$1005,'الحركات الشهرية'!$B$6:$B$1005,$B100,'الحركات الشهرية'!$A$6:$A$1005,$C$3))</f>
        <v/>
      </c>
      <c r="R100" s="106" t="str">
        <f aca="false">IF($B100="","",SUM(J100:M100)+SUM(O100:Q100))</f>
        <v/>
      </c>
      <c r="S100" s="86" t="str">
        <f aca="false">IF($B100="","",الموظفون!$Q100*IF(E100="سعودي",cfg_G_SE,cfg_G_NE)*F100/cfg_DAYS_M)</f>
        <v/>
      </c>
      <c r="T100" s="86" t="str">
        <f aca="false">IF($B100="","",SUMIFS('الحركات الشهرية'!$I$6:$I$1005,'الحركات الشهرية'!$B$6:$B$1005,$B100,'الحركات الشهرية'!$A$6:$A$1005,$C$3))</f>
        <v/>
      </c>
      <c r="U100" s="86" t="str">
        <f aca="false">IF($B100="","",SUMIFS('الحركات الشهرية'!$J$6:$J$1005,'الحركات الشهرية'!$B$6:$B$1005,$B100,'الحركات الشهرية'!$A$6:$A$1005,$C$3))</f>
        <v/>
      </c>
      <c r="V100" s="86" t="str">
        <f aca="false">IF($B100="","",SUM(S100:U100))</f>
        <v/>
      </c>
      <c r="W100" s="107" t="str">
        <f aca="false">IF($B100="","",R100-V100)</f>
        <v/>
      </c>
      <c r="X100" s="86" t="str">
        <f aca="false">IF($B100="","",الموظفون!$Q100*IF(E100="سعودي",cfg_G_SR,cfg_G_NR)*F100/cfg_DAYS_M)</f>
        <v/>
      </c>
      <c r="Y100" s="86" t="str">
        <f aca="false">IF($B100="","",الموظفون!$O100*(cfg_EOS_R1*(MIN(AC100,cfg_EOS_TH)-MIN(AD100,cfg_EOS_TH))+cfg_EOS_R2*(MAX(AC100-cfg_EOS_TH,0)-MAX(AD100-cfg_EOS_TH,0))))</f>
        <v/>
      </c>
      <c r="Z100" s="86" t="str">
        <f aca="false">IF($B100="","",IF(الموظفون!$R100&lt;&gt;"",الموظفون!$R100,IF(AC100&gt;=cfg_LV_TH,cfg_LV_D2,cfg_LV_D1))/cfg_DAYS_Y*AE100*الموظفون!$P100/cfg_DAYS_M)</f>
        <v/>
      </c>
      <c r="AA100" s="86" t="str">
        <f aca="false">IF($B100="","",IF(AND(الموظفون!$S100="نعم",N(الموظفون!$U100)&gt;0),الموظفون!$T100/الموظفون!$U100*12/cfg_DAYS_Y*AE100,0))</f>
        <v/>
      </c>
      <c r="AB100" s="108" t="str">
        <f aca="false">IF($B100="","",R100+SUM(X100:AA100))</f>
        <v/>
      </c>
      <c r="AC100" s="109" t="str">
        <f aca="false">IF($B100="","",MAX(0,IF(OR(الموظفون!$X100="",الموظفون!$X100&gt;$G$3),$G$3,الموظفون!$X100)-الموظفون!$H100+1)/cfg_DAYS_Y)</f>
        <v/>
      </c>
      <c r="AD100" s="109" t="str">
        <f aca="false">IF($B100="","",MAX(0,IF(OR(الموظفون!$X100="",الموظفون!$X100&gt;($E$3-1)),($E$3-1),الموظفون!$X100)-الموظفون!$H100+1)/cfg_DAYS_Y)</f>
        <v/>
      </c>
      <c r="AE100" s="51" t="str">
        <f aca="false">IF($B100="","",MAX(0,IF(OR(الموظفون!$X100="",الموظفون!$X100&gt;$G$3),$G$3,الموظفون!$X100)-MAX($E$3,الموظفون!$H100)+1))</f>
        <v/>
      </c>
    </row>
    <row r="101" customFormat="false" ht="15" hidden="false" customHeight="false" outlineLevel="0" collapsed="false">
      <c r="A101" s="89" t="str">
        <f aca="false">IF($B101="","",الموظفون!$A101)</f>
        <v/>
      </c>
      <c r="B101" s="91" t="str">
        <f aca="false">IF(الموظفون!$B101="","",الموظفون!$B101)</f>
        <v/>
      </c>
      <c r="C101" s="91" t="str">
        <f aca="false">IF($B101="","",الموظفون!$C101)</f>
        <v/>
      </c>
      <c r="D101" s="91" t="str">
        <f aca="false">IF($B101="","",الموظفون!$F101)</f>
        <v/>
      </c>
      <c r="E101" s="91" t="str">
        <f aca="false">IF($B101="","",الموظفون!$E101)</f>
        <v/>
      </c>
      <c r="F101" s="110" t="str">
        <f aca="false">IF($B101="","",IF(AE101&gt;=DAY($G$3),cfg_DAYS_M,MIN(AE101,cfg_DAYS_M)))</f>
        <v/>
      </c>
      <c r="G101" s="110" t="str">
        <f aca="false">IF($B101="","",SUMIFS('الحركات الشهرية'!$D$6:$D$1005,'الحركات الشهرية'!$B$6:$B$1005,$B101,'الحركات الشهرية'!$A$6:$A$1005,$C$3))</f>
        <v/>
      </c>
      <c r="H101" s="110" t="str">
        <f aca="false">IF($B101="","",SUMIFS('الحركات الشهرية'!$E$6:$E$1005,'الحركات الشهرية'!$B$6:$B$1005,$B101,'الحركات الشهرية'!$A$6:$A$1005,$C$3))</f>
        <v/>
      </c>
      <c r="I101" s="110" t="str">
        <f aca="false">IF($B101="","",MAX(0,F101-G101-H101))</f>
        <v/>
      </c>
      <c r="J101" s="90" t="str">
        <f aca="false">IF($B101="","",الموظفون!$J101*$I101/cfg_DAYS_M)</f>
        <v/>
      </c>
      <c r="K101" s="90" t="str">
        <f aca="false">IF($B101="","",الموظفون!$K101*$I101/cfg_DAYS_M)</f>
        <v/>
      </c>
      <c r="L101" s="90" t="str">
        <f aca="false">IF($B101="","",الموظفون!$L101*$I101/cfg_DAYS_M)</f>
        <v/>
      </c>
      <c r="M101" s="90" t="str">
        <f aca="false">IF($B101="","",الموظفون!$M101*$I101/cfg_DAYS_M)</f>
        <v/>
      </c>
      <c r="N101" s="110" t="str">
        <f aca="false">IF($B101="","",SUMIFS('الحركات الشهرية'!$F$6:$F$1005,'الحركات الشهرية'!$B$6:$B$1005,$B101,'الحركات الشهرية'!$A$6:$A$1005,$C$3))</f>
        <v/>
      </c>
      <c r="O101" s="90" t="str">
        <f aca="false">IF($B101="","",N101*(الموظفون!$N101+الموظفون!$J101*cfg_OT_P)/cfg_DAYS_M/cfg_HRS)</f>
        <v/>
      </c>
      <c r="P101" s="90" t="str">
        <f aca="false">IF($B101="","",SUMIFS('الحركات الشهرية'!$G$6:$G$1005,'الحركات الشهرية'!$B$6:$B$1005,$B101,'الحركات الشهرية'!$A$6:$A$1005,$C$3))</f>
        <v/>
      </c>
      <c r="Q101" s="90" t="str">
        <f aca="false">IF($B101="","",SUMIFS('الحركات الشهرية'!$H$6:$H$1005,'الحركات الشهرية'!$B$6:$B$1005,$B101,'الحركات الشهرية'!$A$6:$A$1005,$C$3))</f>
        <v/>
      </c>
      <c r="R101" s="111" t="str">
        <f aca="false">IF($B101="","",SUM(J101:M101)+SUM(O101:Q101))</f>
        <v/>
      </c>
      <c r="S101" s="90" t="str">
        <f aca="false">IF($B101="","",الموظفون!$Q101*IF(E101="سعودي",cfg_G_SE,cfg_G_NE)*F101/cfg_DAYS_M)</f>
        <v/>
      </c>
      <c r="T101" s="90" t="str">
        <f aca="false">IF($B101="","",SUMIFS('الحركات الشهرية'!$I$6:$I$1005,'الحركات الشهرية'!$B$6:$B$1005,$B101,'الحركات الشهرية'!$A$6:$A$1005,$C$3))</f>
        <v/>
      </c>
      <c r="U101" s="90" t="str">
        <f aca="false">IF($B101="","",SUMIFS('الحركات الشهرية'!$J$6:$J$1005,'الحركات الشهرية'!$B$6:$B$1005,$B101,'الحركات الشهرية'!$A$6:$A$1005,$C$3))</f>
        <v/>
      </c>
      <c r="V101" s="90" t="str">
        <f aca="false">IF($B101="","",SUM(S101:U101))</f>
        <v/>
      </c>
      <c r="W101" s="112" t="str">
        <f aca="false">IF($B101="","",R101-V101)</f>
        <v/>
      </c>
      <c r="X101" s="90" t="str">
        <f aca="false">IF($B101="","",الموظفون!$Q101*IF(E101="سعودي",cfg_G_SR,cfg_G_NR)*F101/cfg_DAYS_M)</f>
        <v/>
      </c>
      <c r="Y101" s="90" t="str">
        <f aca="false">IF($B101="","",الموظفون!$O101*(cfg_EOS_R1*(MIN(AC101,cfg_EOS_TH)-MIN(AD101,cfg_EOS_TH))+cfg_EOS_R2*(MAX(AC101-cfg_EOS_TH,0)-MAX(AD101-cfg_EOS_TH,0))))</f>
        <v/>
      </c>
      <c r="Z101" s="90" t="str">
        <f aca="false">IF($B101="","",IF(الموظفون!$R101&lt;&gt;"",الموظفون!$R101,IF(AC101&gt;=cfg_LV_TH,cfg_LV_D2,cfg_LV_D1))/cfg_DAYS_Y*AE101*الموظفون!$P101/cfg_DAYS_M)</f>
        <v/>
      </c>
      <c r="AA101" s="90" t="str">
        <f aca="false">IF($B101="","",IF(AND(الموظفون!$S101="نعم",N(الموظفون!$U101)&gt;0),الموظفون!$T101/الموظفون!$U101*12/cfg_DAYS_Y*AE101,0))</f>
        <v/>
      </c>
      <c r="AB101" s="113" t="str">
        <f aca="false">IF($B101="","",R101+SUM(X101:AA101))</f>
        <v/>
      </c>
      <c r="AC101" s="114" t="str">
        <f aca="false">IF($B101="","",MAX(0,IF(OR(الموظفون!$X101="",الموظفون!$X101&gt;$G$3),$G$3,الموظفون!$X101)-الموظفون!$H101+1)/cfg_DAYS_Y)</f>
        <v/>
      </c>
      <c r="AD101" s="114" t="str">
        <f aca="false">IF($B101="","",MAX(0,IF(OR(الموظفون!$X101="",الموظفون!$X101&gt;($E$3-1)),($E$3-1),الموظفون!$X101)-الموظفون!$H101+1)/cfg_DAYS_Y)</f>
        <v/>
      </c>
      <c r="AE101" s="115" t="str">
        <f aca="false">IF($B101="","",MAX(0,IF(OR(الموظفون!$X101="",الموظفون!$X101&gt;$G$3),$G$3,الموظفون!$X101)-MAX($E$3,الموظفون!$H101)+1))</f>
        <v/>
      </c>
    </row>
    <row r="102" customFormat="false" ht="15" hidden="false" customHeight="false" outlineLevel="0" collapsed="false">
      <c r="A102" s="83" t="str">
        <f aca="false">IF($B102="","",الموظفون!$A102)</f>
        <v/>
      </c>
      <c r="B102" s="74" t="str">
        <f aca="false">IF(الموظفون!$B102="","",الموظفون!$B102)</f>
        <v/>
      </c>
      <c r="C102" s="74" t="str">
        <f aca="false">IF($B102="","",الموظفون!$C102)</f>
        <v/>
      </c>
      <c r="D102" s="74" t="str">
        <f aca="false">IF($B102="","",الموظفون!$F102)</f>
        <v/>
      </c>
      <c r="E102" s="74" t="str">
        <f aca="false">IF($B102="","",الموظفون!$E102)</f>
        <v/>
      </c>
      <c r="F102" s="105" t="str">
        <f aca="false">IF($B102="","",IF(AE102&gt;=DAY($G$3),cfg_DAYS_M,MIN(AE102,cfg_DAYS_M)))</f>
        <v/>
      </c>
      <c r="G102" s="105" t="str">
        <f aca="false">IF($B102="","",SUMIFS('الحركات الشهرية'!$D$6:$D$1005,'الحركات الشهرية'!$B$6:$B$1005,$B102,'الحركات الشهرية'!$A$6:$A$1005,$C$3))</f>
        <v/>
      </c>
      <c r="H102" s="105" t="str">
        <f aca="false">IF($B102="","",SUMIFS('الحركات الشهرية'!$E$6:$E$1005,'الحركات الشهرية'!$B$6:$B$1005,$B102,'الحركات الشهرية'!$A$6:$A$1005,$C$3))</f>
        <v/>
      </c>
      <c r="I102" s="105" t="str">
        <f aca="false">IF($B102="","",MAX(0,F102-G102-H102))</f>
        <v/>
      </c>
      <c r="J102" s="86" t="str">
        <f aca="false">IF($B102="","",الموظفون!$J102*$I102/cfg_DAYS_M)</f>
        <v/>
      </c>
      <c r="K102" s="86" t="str">
        <f aca="false">IF($B102="","",الموظفون!$K102*$I102/cfg_DAYS_M)</f>
        <v/>
      </c>
      <c r="L102" s="86" t="str">
        <f aca="false">IF($B102="","",الموظفون!$L102*$I102/cfg_DAYS_M)</f>
        <v/>
      </c>
      <c r="M102" s="86" t="str">
        <f aca="false">IF($B102="","",الموظفون!$M102*$I102/cfg_DAYS_M)</f>
        <v/>
      </c>
      <c r="N102" s="105" t="str">
        <f aca="false">IF($B102="","",SUMIFS('الحركات الشهرية'!$F$6:$F$1005,'الحركات الشهرية'!$B$6:$B$1005,$B102,'الحركات الشهرية'!$A$6:$A$1005,$C$3))</f>
        <v/>
      </c>
      <c r="O102" s="86" t="str">
        <f aca="false">IF($B102="","",N102*(الموظفون!$N102+الموظفون!$J102*cfg_OT_P)/cfg_DAYS_M/cfg_HRS)</f>
        <v/>
      </c>
      <c r="P102" s="86" t="str">
        <f aca="false">IF($B102="","",SUMIFS('الحركات الشهرية'!$G$6:$G$1005,'الحركات الشهرية'!$B$6:$B$1005,$B102,'الحركات الشهرية'!$A$6:$A$1005,$C$3))</f>
        <v/>
      </c>
      <c r="Q102" s="86" t="str">
        <f aca="false">IF($B102="","",SUMIFS('الحركات الشهرية'!$H$6:$H$1005,'الحركات الشهرية'!$B$6:$B$1005,$B102,'الحركات الشهرية'!$A$6:$A$1005,$C$3))</f>
        <v/>
      </c>
      <c r="R102" s="106" t="str">
        <f aca="false">IF($B102="","",SUM(J102:M102)+SUM(O102:Q102))</f>
        <v/>
      </c>
      <c r="S102" s="86" t="str">
        <f aca="false">IF($B102="","",الموظفون!$Q102*IF(E102="سعودي",cfg_G_SE,cfg_G_NE)*F102/cfg_DAYS_M)</f>
        <v/>
      </c>
      <c r="T102" s="86" t="str">
        <f aca="false">IF($B102="","",SUMIFS('الحركات الشهرية'!$I$6:$I$1005,'الحركات الشهرية'!$B$6:$B$1005,$B102,'الحركات الشهرية'!$A$6:$A$1005,$C$3))</f>
        <v/>
      </c>
      <c r="U102" s="86" t="str">
        <f aca="false">IF($B102="","",SUMIFS('الحركات الشهرية'!$J$6:$J$1005,'الحركات الشهرية'!$B$6:$B$1005,$B102,'الحركات الشهرية'!$A$6:$A$1005,$C$3))</f>
        <v/>
      </c>
      <c r="V102" s="86" t="str">
        <f aca="false">IF($B102="","",SUM(S102:U102))</f>
        <v/>
      </c>
      <c r="W102" s="107" t="str">
        <f aca="false">IF($B102="","",R102-V102)</f>
        <v/>
      </c>
      <c r="X102" s="86" t="str">
        <f aca="false">IF($B102="","",الموظفون!$Q102*IF(E102="سعودي",cfg_G_SR,cfg_G_NR)*F102/cfg_DAYS_M)</f>
        <v/>
      </c>
      <c r="Y102" s="86" t="str">
        <f aca="false">IF($B102="","",الموظفون!$O102*(cfg_EOS_R1*(MIN(AC102,cfg_EOS_TH)-MIN(AD102,cfg_EOS_TH))+cfg_EOS_R2*(MAX(AC102-cfg_EOS_TH,0)-MAX(AD102-cfg_EOS_TH,0))))</f>
        <v/>
      </c>
      <c r="Z102" s="86" t="str">
        <f aca="false">IF($B102="","",IF(الموظفون!$R102&lt;&gt;"",الموظفون!$R102,IF(AC102&gt;=cfg_LV_TH,cfg_LV_D2,cfg_LV_D1))/cfg_DAYS_Y*AE102*الموظفون!$P102/cfg_DAYS_M)</f>
        <v/>
      </c>
      <c r="AA102" s="86" t="str">
        <f aca="false">IF($B102="","",IF(AND(الموظفون!$S102="نعم",N(الموظفون!$U102)&gt;0),الموظفون!$T102/الموظفون!$U102*12/cfg_DAYS_Y*AE102,0))</f>
        <v/>
      </c>
      <c r="AB102" s="108" t="str">
        <f aca="false">IF($B102="","",R102+SUM(X102:AA102))</f>
        <v/>
      </c>
      <c r="AC102" s="109" t="str">
        <f aca="false">IF($B102="","",MAX(0,IF(OR(الموظفون!$X102="",الموظفون!$X102&gt;$G$3),$G$3,الموظفون!$X102)-الموظفون!$H102+1)/cfg_DAYS_Y)</f>
        <v/>
      </c>
      <c r="AD102" s="109" t="str">
        <f aca="false">IF($B102="","",MAX(0,IF(OR(الموظفون!$X102="",الموظفون!$X102&gt;($E$3-1)),($E$3-1),الموظفون!$X102)-الموظفون!$H102+1)/cfg_DAYS_Y)</f>
        <v/>
      </c>
      <c r="AE102" s="51" t="str">
        <f aca="false">IF($B102="","",MAX(0,IF(OR(الموظفون!$X102="",الموظفون!$X102&gt;$G$3),$G$3,الموظفون!$X102)-MAX($E$3,الموظفون!$H102)+1))</f>
        <v/>
      </c>
    </row>
    <row r="103" customFormat="false" ht="15" hidden="false" customHeight="false" outlineLevel="0" collapsed="false">
      <c r="A103" s="89" t="str">
        <f aca="false">IF($B103="","",الموظفون!$A103)</f>
        <v/>
      </c>
      <c r="B103" s="91" t="str">
        <f aca="false">IF(الموظفون!$B103="","",الموظفون!$B103)</f>
        <v/>
      </c>
      <c r="C103" s="91" t="str">
        <f aca="false">IF($B103="","",الموظفون!$C103)</f>
        <v/>
      </c>
      <c r="D103" s="91" t="str">
        <f aca="false">IF($B103="","",الموظفون!$F103)</f>
        <v/>
      </c>
      <c r="E103" s="91" t="str">
        <f aca="false">IF($B103="","",الموظفون!$E103)</f>
        <v/>
      </c>
      <c r="F103" s="110" t="str">
        <f aca="false">IF($B103="","",IF(AE103&gt;=DAY($G$3),cfg_DAYS_M,MIN(AE103,cfg_DAYS_M)))</f>
        <v/>
      </c>
      <c r="G103" s="110" t="str">
        <f aca="false">IF($B103="","",SUMIFS('الحركات الشهرية'!$D$6:$D$1005,'الحركات الشهرية'!$B$6:$B$1005,$B103,'الحركات الشهرية'!$A$6:$A$1005,$C$3))</f>
        <v/>
      </c>
      <c r="H103" s="110" t="str">
        <f aca="false">IF($B103="","",SUMIFS('الحركات الشهرية'!$E$6:$E$1005,'الحركات الشهرية'!$B$6:$B$1005,$B103,'الحركات الشهرية'!$A$6:$A$1005,$C$3))</f>
        <v/>
      </c>
      <c r="I103" s="110" t="str">
        <f aca="false">IF($B103="","",MAX(0,F103-G103-H103))</f>
        <v/>
      </c>
      <c r="J103" s="90" t="str">
        <f aca="false">IF($B103="","",الموظفون!$J103*$I103/cfg_DAYS_M)</f>
        <v/>
      </c>
      <c r="K103" s="90" t="str">
        <f aca="false">IF($B103="","",الموظفون!$K103*$I103/cfg_DAYS_M)</f>
        <v/>
      </c>
      <c r="L103" s="90" t="str">
        <f aca="false">IF($B103="","",الموظفون!$L103*$I103/cfg_DAYS_M)</f>
        <v/>
      </c>
      <c r="M103" s="90" t="str">
        <f aca="false">IF($B103="","",الموظفون!$M103*$I103/cfg_DAYS_M)</f>
        <v/>
      </c>
      <c r="N103" s="110" t="str">
        <f aca="false">IF($B103="","",SUMIFS('الحركات الشهرية'!$F$6:$F$1005,'الحركات الشهرية'!$B$6:$B$1005,$B103,'الحركات الشهرية'!$A$6:$A$1005,$C$3))</f>
        <v/>
      </c>
      <c r="O103" s="90" t="str">
        <f aca="false">IF($B103="","",N103*(الموظفون!$N103+الموظفون!$J103*cfg_OT_P)/cfg_DAYS_M/cfg_HRS)</f>
        <v/>
      </c>
      <c r="P103" s="90" t="str">
        <f aca="false">IF($B103="","",SUMIFS('الحركات الشهرية'!$G$6:$G$1005,'الحركات الشهرية'!$B$6:$B$1005,$B103,'الحركات الشهرية'!$A$6:$A$1005,$C$3))</f>
        <v/>
      </c>
      <c r="Q103" s="90" t="str">
        <f aca="false">IF($B103="","",SUMIFS('الحركات الشهرية'!$H$6:$H$1005,'الحركات الشهرية'!$B$6:$B$1005,$B103,'الحركات الشهرية'!$A$6:$A$1005,$C$3))</f>
        <v/>
      </c>
      <c r="R103" s="111" t="str">
        <f aca="false">IF($B103="","",SUM(J103:M103)+SUM(O103:Q103))</f>
        <v/>
      </c>
      <c r="S103" s="90" t="str">
        <f aca="false">IF($B103="","",الموظفون!$Q103*IF(E103="سعودي",cfg_G_SE,cfg_G_NE)*F103/cfg_DAYS_M)</f>
        <v/>
      </c>
      <c r="T103" s="90" t="str">
        <f aca="false">IF($B103="","",SUMIFS('الحركات الشهرية'!$I$6:$I$1005,'الحركات الشهرية'!$B$6:$B$1005,$B103,'الحركات الشهرية'!$A$6:$A$1005,$C$3))</f>
        <v/>
      </c>
      <c r="U103" s="90" t="str">
        <f aca="false">IF($B103="","",SUMIFS('الحركات الشهرية'!$J$6:$J$1005,'الحركات الشهرية'!$B$6:$B$1005,$B103,'الحركات الشهرية'!$A$6:$A$1005,$C$3))</f>
        <v/>
      </c>
      <c r="V103" s="90" t="str">
        <f aca="false">IF($B103="","",SUM(S103:U103))</f>
        <v/>
      </c>
      <c r="W103" s="112" t="str">
        <f aca="false">IF($B103="","",R103-V103)</f>
        <v/>
      </c>
      <c r="X103" s="90" t="str">
        <f aca="false">IF($B103="","",الموظفون!$Q103*IF(E103="سعودي",cfg_G_SR,cfg_G_NR)*F103/cfg_DAYS_M)</f>
        <v/>
      </c>
      <c r="Y103" s="90" t="str">
        <f aca="false">IF($B103="","",الموظفون!$O103*(cfg_EOS_R1*(MIN(AC103,cfg_EOS_TH)-MIN(AD103,cfg_EOS_TH))+cfg_EOS_R2*(MAX(AC103-cfg_EOS_TH,0)-MAX(AD103-cfg_EOS_TH,0))))</f>
        <v/>
      </c>
      <c r="Z103" s="90" t="str">
        <f aca="false">IF($B103="","",IF(الموظفون!$R103&lt;&gt;"",الموظفون!$R103,IF(AC103&gt;=cfg_LV_TH,cfg_LV_D2,cfg_LV_D1))/cfg_DAYS_Y*AE103*الموظفون!$P103/cfg_DAYS_M)</f>
        <v/>
      </c>
      <c r="AA103" s="90" t="str">
        <f aca="false">IF($B103="","",IF(AND(الموظفون!$S103="نعم",N(الموظفون!$U103)&gt;0),الموظفون!$T103/الموظفون!$U103*12/cfg_DAYS_Y*AE103,0))</f>
        <v/>
      </c>
      <c r="AB103" s="113" t="str">
        <f aca="false">IF($B103="","",R103+SUM(X103:AA103))</f>
        <v/>
      </c>
      <c r="AC103" s="114" t="str">
        <f aca="false">IF($B103="","",MAX(0,IF(OR(الموظفون!$X103="",الموظفون!$X103&gt;$G$3),$G$3,الموظفون!$X103)-الموظفون!$H103+1)/cfg_DAYS_Y)</f>
        <v/>
      </c>
      <c r="AD103" s="114" t="str">
        <f aca="false">IF($B103="","",MAX(0,IF(OR(الموظفون!$X103="",الموظفون!$X103&gt;($E$3-1)),($E$3-1),الموظفون!$X103)-الموظفون!$H103+1)/cfg_DAYS_Y)</f>
        <v/>
      </c>
      <c r="AE103" s="115" t="str">
        <f aca="false">IF($B103="","",MAX(0,IF(OR(الموظفون!$X103="",الموظفون!$X103&gt;$G$3),$G$3,الموظفون!$X103)-MAX($E$3,الموظفون!$H103)+1))</f>
        <v/>
      </c>
    </row>
    <row r="104" customFormat="false" ht="15" hidden="false" customHeight="false" outlineLevel="0" collapsed="false">
      <c r="A104" s="83" t="str">
        <f aca="false">IF($B104="","",الموظفون!$A104)</f>
        <v/>
      </c>
      <c r="B104" s="74" t="str">
        <f aca="false">IF(الموظفون!$B104="","",الموظفون!$B104)</f>
        <v/>
      </c>
      <c r="C104" s="74" t="str">
        <f aca="false">IF($B104="","",الموظفون!$C104)</f>
        <v/>
      </c>
      <c r="D104" s="74" t="str">
        <f aca="false">IF($B104="","",الموظفون!$F104)</f>
        <v/>
      </c>
      <c r="E104" s="74" t="str">
        <f aca="false">IF($B104="","",الموظفون!$E104)</f>
        <v/>
      </c>
      <c r="F104" s="105" t="str">
        <f aca="false">IF($B104="","",IF(AE104&gt;=DAY($G$3),cfg_DAYS_M,MIN(AE104,cfg_DAYS_M)))</f>
        <v/>
      </c>
      <c r="G104" s="105" t="str">
        <f aca="false">IF($B104="","",SUMIFS('الحركات الشهرية'!$D$6:$D$1005,'الحركات الشهرية'!$B$6:$B$1005,$B104,'الحركات الشهرية'!$A$6:$A$1005,$C$3))</f>
        <v/>
      </c>
      <c r="H104" s="105" t="str">
        <f aca="false">IF($B104="","",SUMIFS('الحركات الشهرية'!$E$6:$E$1005,'الحركات الشهرية'!$B$6:$B$1005,$B104,'الحركات الشهرية'!$A$6:$A$1005,$C$3))</f>
        <v/>
      </c>
      <c r="I104" s="105" t="str">
        <f aca="false">IF($B104="","",MAX(0,F104-G104-H104))</f>
        <v/>
      </c>
      <c r="J104" s="86" t="str">
        <f aca="false">IF($B104="","",الموظفون!$J104*$I104/cfg_DAYS_M)</f>
        <v/>
      </c>
      <c r="K104" s="86" t="str">
        <f aca="false">IF($B104="","",الموظفون!$K104*$I104/cfg_DAYS_M)</f>
        <v/>
      </c>
      <c r="L104" s="86" t="str">
        <f aca="false">IF($B104="","",الموظفون!$L104*$I104/cfg_DAYS_M)</f>
        <v/>
      </c>
      <c r="M104" s="86" t="str">
        <f aca="false">IF($B104="","",الموظفون!$M104*$I104/cfg_DAYS_M)</f>
        <v/>
      </c>
      <c r="N104" s="105" t="str">
        <f aca="false">IF($B104="","",SUMIFS('الحركات الشهرية'!$F$6:$F$1005,'الحركات الشهرية'!$B$6:$B$1005,$B104,'الحركات الشهرية'!$A$6:$A$1005,$C$3))</f>
        <v/>
      </c>
      <c r="O104" s="86" t="str">
        <f aca="false">IF($B104="","",N104*(الموظفون!$N104+الموظفون!$J104*cfg_OT_P)/cfg_DAYS_M/cfg_HRS)</f>
        <v/>
      </c>
      <c r="P104" s="86" t="str">
        <f aca="false">IF($B104="","",SUMIFS('الحركات الشهرية'!$G$6:$G$1005,'الحركات الشهرية'!$B$6:$B$1005,$B104,'الحركات الشهرية'!$A$6:$A$1005,$C$3))</f>
        <v/>
      </c>
      <c r="Q104" s="86" t="str">
        <f aca="false">IF($B104="","",SUMIFS('الحركات الشهرية'!$H$6:$H$1005,'الحركات الشهرية'!$B$6:$B$1005,$B104,'الحركات الشهرية'!$A$6:$A$1005,$C$3))</f>
        <v/>
      </c>
      <c r="R104" s="106" t="str">
        <f aca="false">IF($B104="","",SUM(J104:M104)+SUM(O104:Q104))</f>
        <v/>
      </c>
      <c r="S104" s="86" t="str">
        <f aca="false">IF($B104="","",الموظفون!$Q104*IF(E104="سعودي",cfg_G_SE,cfg_G_NE)*F104/cfg_DAYS_M)</f>
        <v/>
      </c>
      <c r="T104" s="86" t="str">
        <f aca="false">IF($B104="","",SUMIFS('الحركات الشهرية'!$I$6:$I$1005,'الحركات الشهرية'!$B$6:$B$1005,$B104,'الحركات الشهرية'!$A$6:$A$1005,$C$3))</f>
        <v/>
      </c>
      <c r="U104" s="86" t="str">
        <f aca="false">IF($B104="","",SUMIFS('الحركات الشهرية'!$J$6:$J$1005,'الحركات الشهرية'!$B$6:$B$1005,$B104,'الحركات الشهرية'!$A$6:$A$1005,$C$3))</f>
        <v/>
      </c>
      <c r="V104" s="86" t="str">
        <f aca="false">IF($B104="","",SUM(S104:U104))</f>
        <v/>
      </c>
      <c r="W104" s="107" t="str">
        <f aca="false">IF($B104="","",R104-V104)</f>
        <v/>
      </c>
      <c r="X104" s="86" t="str">
        <f aca="false">IF($B104="","",الموظفون!$Q104*IF(E104="سعودي",cfg_G_SR,cfg_G_NR)*F104/cfg_DAYS_M)</f>
        <v/>
      </c>
      <c r="Y104" s="86" t="str">
        <f aca="false">IF($B104="","",الموظفون!$O104*(cfg_EOS_R1*(MIN(AC104,cfg_EOS_TH)-MIN(AD104,cfg_EOS_TH))+cfg_EOS_R2*(MAX(AC104-cfg_EOS_TH,0)-MAX(AD104-cfg_EOS_TH,0))))</f>
        <v/>
      </c>
      <c r="Z104" s="86" t="str">
        <f aca="false">IF($B104="","",IF(الموظفون!$R104&lt;&gt;"",الموظفون!$R104,IF(AC104&gt;=cfg_LV_TH,cfg_LV_D2,cfg_LV_D1))/cfg_DAYS_Y*AE104*الموظفون!$P104/cfg_DAYS_M)</f>
        <v/>
      </c>
      <c r="AA104" s="86" t="str">
        <f aca="false">IF($B104="","",IF(AND(الموظفون!$S104="نعم",N(الموظفون!$U104)&gt;0),الموظفون!$T104/الموظفون!$U104*12/cfg_DAYS_Y*AE104,0))</f>
        <v/>
      </c>
      <c r="AB104" s="108" t="str">
        <f aca="false">IF($B104="","",R104+SUM(X104:AA104))</f>
        <v/>
      </c>
      <c r="AC104" s="109" t="str">
        <f aca="false">IF($B104="","",MAX(0,IF(OR(الموظفون!$X104="",الموظفون!$X104&gt;$G$3),$G$3,الموظفون!$X104)-الموظفون!$H104+1)/cfg_DAYS_Y)</f>
        <v/>
      </c>
      <c r="AD104" s="109" t="str">
        <f aca="false">IF($B104="","",MAX(0,IF(OR(الموظفون!$X104="",الموظفون!$X104&gt;($E$3-1)),($E$3-1),الموظفون!$X104)-الموظفون!$H104+1)/cfg_DAYS_Y)</f>
        <v/>
      </c>
      <c r="AE104" s="51" t="str">
        <f aca="false">IF($B104="","",MAX(0,IF(OR(الموظفون!$X104="",الموظفون!$X104&gt;$G$3),$G$3,الموظفون!$X104)-MAX($E$3,الموظفون!$H104)+1))</f>
        <v/>
      </c>
    </row>
    <row r="105" customFormat="false" ht="15" hidden="false" customHeight="false" outlineLevel="0" collapsed="false">
      <c r="A105" s="89" t="str">
        <f aca="false">IF($B105="","",الموظفون!$A105)</f>
        <v/>
      </c>
      <c r="B105" s="91" t="str">
        <f aca="false">IF(الموظفون!$B105="","",الموظفون!$B105)</f>
        <v/>
      </c>
      <c r="C105" s="91" t="str">
        <f aca="false">IF($B105="","",الموظفون!$C105)</f>
        <v/>
      </c>
      <c r="D105" s="91" t="str">
        <f aca="false">IF($B105="","",الموظفون!$F105)</f>
        <v/>
      </c>
      <c r="E105" s="91" t="str">
        <f aca="false">IF($B105="","",الموظفون!$E105)</f>
        <v/>
      </c>
      <c r="F105" s="110" t="str">
        <f aca="false">IF($B105="","",IF(AE105&gt;=DAY($G$3),cfg_DAYS_M,MIN(AE105,cfg_DAYS_M)))</f>
        <v/>
      </c>
      <c r="G105" s="110" t="str">
        <f aca="false">IF($B105="","",SUMIFS('الحركات الشهرية'!$D$6:$D$1005,'الحركات الشهرية'!$B$6:$B$1005,$B105,'الحركات الشهرية'!$A$6:$A$1005,$C$3))</f>
        <v/>
      </c>
      <c r="H105" s="110" t="str">
        <f aca="false">IF($B105="","",SUMIFS('الحركات الشهرية'!$E$6:$E$1005,'الحركات الشهرية'!$B$6:$B$1005,$B105,'الحركات الشهرية'!$A$6:$A$1005,$C$3))</f>
        <v/>
      </c>
      <c r="I105" s="110" t="str">
        <f aca="false">IF($B105="","",MAX(0,F105-G105-H105))</f>
        <v/>
      </c>
      <c r="J105" s="90" t="str">
        <f aca="false">IF($B105="","",الموظفون!$J105*$I105/cfg_DAYS_M)</f>
        <v/>
      </c>
      <c r="K105" s="90" t="str">
        <f aca="false">IF($B105="","",الموظفون!$K105*$I105/cfg_DAYS_M)</f>
        <v/>
      </c>
      <c r="L105" s="90" t="str">
        <f aca="false">IF($B105="","",الموظفون!$L105*$I105/cfg_DAYS_M)</f>
        <v/>
      </c>
      <c r="M105" s="90" t="str">
        <f aca="false">IF($B105="","",الموظفون!$M105*$I105/cfg_DAYS_M)</f>
        <v/>
      </c>
      <c r="N105" s="110" t="str">
        <f aca="false">IF($B105="","",SUMIFS('الحركات الشهرية'!$F$6:$F$1005,'الحركات الشهرية'!$B$6:$B$1005,$B105,'الحركات الشهرية'!$A$6:$A$1005,$C$3))</f>
        <v/>
      </c>
      <c r="O105" s="90" t="str">
        <f aca="false">IF($B105="","",N105*(الموظفون!$N105+الموظفون!$J105*cfg_OT_P)/cfg_DAYS_M/cfg_HRS)</f>
        <v/>
      </c>
      <c r="P105" s="90" t="str">
        <f aca="false">IF($B105="","",SUMIFS('الحركات الشهرية'!$G$6:$G$1005,'الحركات الشهرية'!$B$6:$B$1005,$B105,'الحركات الشهرية'!$A$6:$A$1005,$C$3))</f>
        <v/>
      </c>
      <c r="Q105" s="90" t="str">
        <f aca="false">IF($B105="","",SUMIFS('الحركات الشهرية'!$H$6:$H$1005,'الحركات الشهرية'!$B$6:$B$1005,$B105,'الحركات الشهرية'!$A$6:$A$1005,$C$3))</f>
        <v/>
      </c>
      <c r="R105" s="111" t="str">
        <f aca="false">IF($B105="","",SUM(J105:M105)+SUM(O105:Q105))</f>
        <v/>
      </c>
      <c r="S105" s="90" t="str">
        <f aca="false">IF($B105="","",الموظفون!$Q105*IF(E105="سعودي",cfg_G_SE,cfg_G_NE)*F105/cfg_DAYS_M)</f>
        <v/>
      </c>
      <c r="T105" s="90" t="str">
        <f aca="false">IF($B105="","",SUMIFS('الحركات الشهرية'!$I$6:$I$1005,'الحركات الشهرية'!$B$6:$B$1005,$B105,'الحركات الشهرية'!$A$6:$A$1005,$C$3))</f>
        <v/>
      </c>
      <c r="U105" s="90" t="str">
        <f aca="false">IF($B105="","",SUMIFS('الحركات الشهرية'!$J$6:$J$1005,'الحركات الشهرية'!$B$6:$B$1005,$B105,'الحركات الشهرية'!$A$6:$A$1005,$C$3))</f>
        <v/>
      </c>
      <c r="V105" s="90" t="str">
        <f aca="false">IF($B105="","",SUM(S105:U105))</f>
        <v/>
      </c>
      <c r="W105" s="112" t="str">
        <f aca="false">IF($B105="","",R105-V105)</f>
        <v/>
      </c>
      <c r="X105" s="90" t="str">
        <f aca="false">IF($B105="","",الموظفون!$Q105*IF(E105="سعودي",cfg_G_SR,cfg_G_NR)*F105/cfg_DAYS_M)</f>
        <v/>
      </c>
      <c r="Y105" s="90" t="str">
        <f aca="false">IF($B105="","",الموظفون!$O105*(cfg_EOS_R1*(MIN(AC105,cfg_EOS_TH)-MIN(AD105,cfg_EOS_TH))+cfg_EOS_R2*(MAX(AC105-cfg_EOS_TH,0)-MAX(AD105-cfg_EOS_TH,0))))</f>
        <v/>
      </c>
      <c r="Z105" s="90" t="str">
        <f aca="false">IF($B105="","",IF(الموظفون!$R105&lt;&gt;"",الموظفون!$R105,IF(AC105&gt;=cfg_LV_TH,cfg_LV_D2,cfg_LV_D1))/cfg_DAYS_Y*AE105*الموظفون!$P105/cfg_DAYS_M)</f>
        <v/>
      </c>
      <c r="AA105" s="90" t="str">
        <f aca="false">IF($B105="","",IF(AND(الموظفون!$S105="نعم",N(الموظفون!$U105)&gt;0),الموظفون!$T105/الموظفون!$U105*12/cfg_DAYS_Y*AE105,0))</f>
        <v/>
      </c>
      <c r="AB105" s="113" t="str">
        <f aca="false">IF($B105="","",R105+SUM(X105:AA105))</f>
        <v/>
      </c>
      <c r="AC105" s="114" t="str">
        <f aca="false">IF($B105="","",MAX(0,IF(OR(الموظفون!$X105="",الموظفون!$X105&gt;$G$3),$G$3,الموظفون!$X105)-الموظفون!$H105+1)/cfg_DAYS_Y)</f>
        <v/>
      </c>
      <c r="AD105" s="114" t="str">
        <f aca="false">IF($B105="","",MAX(0,IF(OR(الموظفون!$X105="",الموظفون!$X105&gt;($E$3-1)),($E$3-1),الموظفون!$X105)-الموظفون!$H105+1)/cfg_DAYS_Y)</f>
        <v/>
      </c>
      <c r="AE105" s="115" t="str">
        <f aca="false">IF($B105="","",MAX(0,IF(OR(الموظفون!$X105="",الموظفون!$X105&gt;$G$3),$G$3,الموظفون!$X105)-MAX($E$3,الموظفون!$H105)+1))</f>
        <v/>
      </c>
    </row>
    <row r="106" customFormat="false" ht="24" hidden="false" customHeight="true" outlineLevel="0" collapsed="false">
      <c r="A106" s="92"/>
      <c r="B106" s="92" t="str">
        <f aca="false">COUNTIF(F6:F105,"&gt;0")&amp;" موظف"</f>
        <v>11 موظف</v>
      </c>
      <c r="C106" s="92" t="s">
        <v>101</v>
      </c>
      <c r="D106" s="92"/>
      <c r="E106" s="92"/>
      <c r="F106" s="92"/>
      <c r="G106" s="116" t="n">
        <f aca="false">SUM(G6:G105)</f>
        <v>0</v>
      </c>
      <c r="H106" s="116" t="n">
        <f aca="false">SUM(H6:H105)</f>
        <v>0</v>
      </c>
      <c r="I106" s="116" t="n">
        <f aca="false">SUM(I6:I105)</f>
        <v>330</v>
      </c>
      <c r="J106" s="92" t="n">
        <f aca="false">SUM(J6:J105)</f>
        <v>136500</v>
      </c>
      <c r="K106" s="92" t="n">
        <f aca="false">SUM(K6:K105)</f>
        <v>34125</v>
      </c>
      <c r="L106" s="92" t="n">
        <f aca="false">SUM(L6:L105)</f>
        <v>13650</v>
      </c>
      <c r="M106" s="92" t="n">
        <f aca="false">SUM(M6:M105)</f>
        <v>10300</v>
      </c>
      <c r="N106" s="116" t="n">
        <f aca="false">SUM(N6:N105)</f>
        <v>0</v>
      </c>
      <c r="O106" s="92" t="n">
        <f aca="false">SUM(O6:O105)</f>
        <v>0</v>
      </c>
      <c r="P106" s="92" t="n">
        <f aca="false">SUM(P6:P105)</f>
        <v>0</v>
      </c>
      <c r="Q106" s="92" t="n">
        <f aca="false">SUM(Q6:Q105)</f>
        <v>0</v>
      </c>
      <c r="R106" s="92" t="n">
        <f aca="false">SUM(R6:R105)</f>
        <v>194575</v>
      </c>
      <c r="S106" s="92" t="n">
        <f aca="false">SUM(S6:S105)</f>
        <v>12370.3125</v>
      </c>
      <c r="T106" s="92" t="n">
        <f aca="false">SUM(T6:T105)</f>
        <v>0</v>
      </c>
      <c r="U106" s="92" t="n">
        <f aca="false">SUM(U6:U105)</f>
        <v>0</v>
      </c>
      <c r="V106" s="92" t="n">
        <f aca="false">SUM(V6:V105)</f>
        <v>12370.3125</v>
      </c>
      <c r="W106" s="92" t="n">
        <f aca="false">SUM(W6:W105)</f>
        <v>182204.6875</v>
      </c>
      <c r="X106" s="92" t="n">
        <f aca="false">SUM(X6:X105)</f>
        <v>15782.8125</v>
      </c>
      <c r="Y106" s="92" t="n">
        <f aca="false">SUM(Y6:Y105)</f>
        <v>14016.8835616439</v>
      </c>
      <c r="Z106" s="92" t="n">
        <f aca="false">SUM(Z6:Z105)</f>
        <v>14670.4315068493</v>
      </c>
      <c r="AA106" s="92" t="n">
        <f aca="false">SUM(AA6:AA105)</f>
        <v>849.315068493151</v>
      </c>
      <c r="AB106" s="92" t="n">
        <f aca="false">SUM(AB6:AB105)</f>
        <v>239894.442636986</v>
      </c>
      <c r="AC106" s="92"/>
      <c r="AD106" s="92"/>
      <c r="AE106" s="92"/>
    </row>
    <row r="107" customFormat="false" ht="43.5" hidden="false" customHeight="true" outlineLevel="0" collapsed="false">
      <c r="A107" s="21" t="s">
        <v>347</v>
      </c>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row>
  </sheetData>
  <autoFilter ref="A5:AE105"/>
  <mergeCells count="4">
    <mergeCell ref="A1:AB1"/>
    <mergeCell ref="A2:AB2"/>
    <mergeCell ref="J3:K3"/>
    <mergeCell ref="A107:AE107"/>
  </mergeCells>
  <conditionalFormatting sqref="H3">
    <cfRule type="expression" priority="2" aboveAverage="0" equalAverage="0" bottom="0" percent="0" rank="0" text="" dxfId="0">
      <formula>ISNUMBER(SEARCH("✔",H3))</formula>
    </cfRule>
    <cfRule type="expression" priority="3" aboveAverage="0" equalAverage="0" bottom="0" percent="0" rank="0" text="" dxfId="1">
      <formula>ISNUMBER(SEARCH("✖",H3))</formula>
    </cfRule>
    <cfRule type="expression" priority="4" aboveAverage="0" equalAverage="0" bottom="0" percent="0" rank="0" text="" dxfId="2">
      <formula>ISNUMBER(SEARCH("⚠",H3))</formula>
    </cfRule>
  </conditionalFormatting>
  <conditionalFormatting sqref="A6:AE105">
    <cfRule type="expression" priority="5" aboveAverage="0" equalAverage="0" bottom="0" percent="0" rank="0" text="" dxfId="20">
      <formula>AND($B6&lt;&gt;"",$F6=0)</formula>
    </cfRule>
  </conditionalFormatting>
  <conditionalFormatting sqref="W6:W105">
    <cfRule type="expression" priority="6" aboveAverage="0" equalAverage="0" bottom="0" percent="0" rank="0" text="" dxfId="1">
      <formula>AND(ISNUMBER(W6),W6&lt;0)</formula>
    </cfRule>
  </conditionalFormatting>
  <hyperlinks>
    <hyperlink ref="J3" location="'مسير نوفمبر'!A1" display="◀ الشهر السابق"/>
    <hyperlink ref="O3" location="'الرئيسية'!A1" display="🏠 الرئيسية"/>
    <hyperlink ref="P3" location="'لوحة التحكم'!A1" display="📊 لوحة التحكم"/>
    <hyperlink ref="R3" location="'الموظفون'!A1" display="👥 الموظفون"/>
    <hyperlink ref="S3" location="'الحركات الشهرية'!A1" display="✍ الحركات"/>
    <hyperlink ref="U3" location="'الملخص الشهري'!A1" display="📅 الملخص الشهري"/>
    <hyperlink ref="W3" location="'قيود الرواتب'!A1" display="🧾 القيود"/>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35B1"/>
    <pageSetUpPr fitToPage="true"/>
  </sheetPr>
  <dimension ref="B1:R20"/>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3" min="3" style="0" width="6"/>
    <col collapsed="false" customWidth="true" hidden="false" outlineLevel="0" max="4" min="4" style="0" width="9"/>
    <col collapsed="false" customWidth="true" hidden="false" outlineLevel="0" max="6" min="5" style="0" width="14"/>
    <col collapsed="false" customWidth="true" hidden="false" outlineLevel="0" max="7" min="7" style="0" width="12"/>
    <col collapsed="false" customWidth="true" hidden="false" outlineLevel="0" max="8" min="8" style="0" width="13"/>
    <col collapsed="false" customWidth="true" hidden="false" outlineLevel="0" max="9" min="9" style="0" width="15"/>
    <col collapsed="false" customWidth="true" hidden="false" outlineLevel="0" max="11" min="10" style="0" width="12"/>
    <col collapsed="false" customWidth="true" hidden="false" outlineLevel="0" max="12" min="12" style="0" width="15"/>
    <col collapsed="false" customWidth="true" hidden="false" outlineLevel="0" max="14" min="13" style="0" width="13"/>
    <col collapsed="false" customWidth="true" hidden="false" outlineLevel="0" max="16" min="15" style="0" width="12"/>
    <col collapsed="false" customWidth="true" hidden="false" outlineLevel="0" max="17" min="17" style="0" width="15"/>
    <col collapsed="false" customWidth="true" hidden="false" outlineLevel="0" max="18" min="18" style="0" width="11"/>
  </cols>
  <sheetData>
    <row r="1" customFormat="false" ht="37.5" hidden="false" customHeight="true" outlineLevel="0" collapsed="false">
      <c r="B1" s="1" t="s">
        <v>349</v>
      </c>
      <c r="C1" s="1"/>
      <c r="D1" s="1"/>
      <c r="E1" s="1"/>
      <c r="F1" s="1"/>
      <c r="G1" s="1"/>
      <c r="H1" s="1"/>
      <c r="I1" s="1"/>
      <c r="J1" s="1"/>
      <c r="K1" s="1"/>
      <c r="L1" s="1"/>
      <c r="M1" s="1"/>
      <c r="N1" s="1"/>
      <c r="O1" s="1"/>
      <c r="P1" s="1"/>
      <c r="Q1" s="1"/>
      <c r="R1" s="1"/>
    </row>
    <row r="2" customFormat="false" ht="19.5" hidden="false" customHeight="true" outlineLevel="0" collapsed="false">
      <c r="B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C2" s="2"/>
      <c r="D2" s="2"/>
      <c r="E2" s="2"/>
      <c r="F2" s="2"/>
      <c r="G2" s="2"/>
      <c r="H2" s="2"/>
      <c r="I2" s="2"/>
      <c r="J2" s="2"/>
      <c r="K2" s="2"/>
      <c r="L2" s="2"/>
      <c r="M2" s="2"/>
      <c r="N2" s="2"/>
      <c r="O2" s="2"/>
      <c r="P2" s="2"/>
      <c r="Q2" s="2"/>
      <c r="R2" s="2"/>
    </row>
    <row r="3" customFormat="false" ht="25.5" hidden="false" customHeight="true" outlineLevel="0" collapsed="false">
      <c r="B3" s="22" t="s">
        <v>61</v>
      </c>
      <c r="C3" s="12" t="s">
        <v>111</v>
      </c>
      <c r="D3" s="23" t="s">
        <v>62</v>
      </c>
      <c r="E3" s="23" t="s">
        <v>63</v>
      </c>
      <c r="F3" s="23" t="s">
        <v>64</v>
      </c>
      <c r="G3" s="23" t="s">
        <v>65</v>
      </c>
      <c r="H3" s="23" t="s">
        <v>66</v>
      </c>
    </row>
    <row r="4" customFormat="false" ht="7.5" hidden="false" customHeight="true" outlineLevel="0" collapsed="false"/>
    <row r="5" customFormat="false" ht="39.75" hidden="false" customHeight="true" outlineLevel="0" collapsed="false">
      <c r="B5" s="6" t="s">
        <v>103</v>
      </c>
      <c r="C5" s="6" t="s">
        <v>350</v>
      </c>
      <c r="D5" s="6" t="s">
        <v>97</v>
      </c>
      <c r="E5" s="6" t="s">
        <v>351</v>
      </c>
      <c r="F5" s="6" t="s">
        <v>352</v>
      </c>
      <c r="G5" s="6" t="s">
        <v>353</v>
      </c>
      <c r="H5" s="6" t="s">
        <v>354</v>
      </c>
      <c r="I5" s="6" t="s">
        <v>74</v>
      </c>
      <c r="J5" s="6" t="s">
        <v>355</v>
      </c>
      <c r="K5" s="6" t="s">
        <v>105</v>
      </c>
      <c r="L5" s="6" t="s">
        <v>104</v>
      </c>
      <c r="M5" s="6" t="s">
        <v>356</v>
      </c>
      <c r="N5" s="6" t="s">
        <v>29</v>
      </c>
      <c r="O5" s="6" t="s">
        <v>78</v>
      </c>
      <c r="P5" s="6" t="s">
        <v>357</v>
      </c>
      <c r="Q5" s="6" t="s">
        <v>77</v>
      </c>
      <c r="R5" s="6" t="s">
        <v>358</v>
      </c>
    </row>
    <row r="6" customFormat="false" ht="15" hidden="false" customHeight="false" outlineLevel="0" collapsed="false">
      <c r="B6" s="117" t="s">
        <v>127</v>
      </c>
      <c r="C6" s="83" t="n">
        <v>1</v>
      </c>
      <c r="D6" s="51" t="n">
        <f aca="false">COUNTIF('مسير يناير'!$F$6:$F$105,"&gt;0")</f>
        <v>11</v>
      </c>
      <c r="E6" s="86" t="n">
        <f aca="false">'مسير يناير'!J106</f>
        <v>132283.333333333</v>
      </c>
      <c r="F6" s="86" t="n">
        <f aca="false">'مسير يناير'!K106+'مسير يناير'!L106+'مسير يناير'!M106</f>
        <v>56589.1666666667</v>
      </c>
      <c r="G6" s="86" t="n">
        <f aca="false">'مسير يناير'!O106</f>
        <v>1838.33333333333</v>
      </c>
      <c r="H6" s="86" t="n">
        <f aca="false">'مسير يناير'!P106+'مسير يناير'!Q106</f>
        <v>0</v>
      </c>
      <c r="I6" s="86" t="n">
        <f aca="false">'مسير يناير'!R106</f>
        <v>190710.833333333</v>
      </c>
      <c r="J6" s="86" t="n">
        <f aca="false">'مسير يناير'!S106</f>
        <v>11273.4375</v>
      </c>
      <c r="K6" s="86" t="n">
        <f aca="false">'مسير يناير'!T106+'مسير يناير'!U106</f>
        <v>1100</v>
      </c>
      <c r="L6" s="86" t="n">
        <f aca="false">'مسير يناير'!W106</f>
        <v>178337.395833333</v>
      </c>
      <c r="M6" s="86" t="n">
        <f aca="false">'مسير يناير'!X106</f>
        <v>14585.9375</v>
      </c>
      <c r="N6" s="86" t="n">
        <f aca="false">'مسير يناير'!Y106</f>
        <v>13708.0479452055</v>
      </c>
      <c r="O6" s="86" t="n">
        <f aca="false">'مسير يناير'!Z106</f>
        <v>14521.3767123288</v>
      </c>
      <c r="P6" s="86" t="n">
        <f aca="false">'مسير يناير'!AA106</f>
        <v>959.72602739726</v>
      </c>
      <c r="Q6" s="86" t="n">
        <f aca="false">'مسير يناير'!AB106</f>
        <v>234485.921518265</v>
      </c>
      <c r="R6" s="74" t="str">
        <f aca="false">IF(C6&lt;=cfg_VAL_M,"✔ فعلي","⚠ متوقع")</f>
        <v>✔ فعلي</v>
      </c>
    </row>
    <row r="7" customFormat="false" ht="15" hidden="false" customHeight="false" outlineLevel="0" collapsed="false">
      <c r="B7" s="118" t="s">
        <v>133</v>
      </c>
      <c r="C7" s="89" t="n">
        <v>2</v>
      </c>
      <c r="D7" s="115" t="n">
        <f aca="false">COUNTIF('مسير فبراير'!$F$6:$F$105,"&gt;0")</f>
        <v>11</v>
      </c>
      <c r="E7" s="90" t="n">
        <f aca="false">'مسير فبراير'!J106</f>
        <v>132500</v>
      </c>
      <c r="F7" s="90" t="n">
        <f aca="false">'مسير فبراير'!K106+'مسير فبراير'!L106+'مسير فبراير'!M106</f>
        <v>56675</v>
      </c>
      <c r="G7" s="90" t="n">
        <f aca="false">'مسير فبراير'!O106</f>
        <v>540.833333333333</v>
      </c>
      <c r="H7" s="90" t="n">
        <f aca="false">'مسير فبراير'!P106+'مسير فبراير'!Q106</f>
        <v>5000</v>
      </c>
      <c r="I7" s="90" t="n">
        <f aca="false">'مسير فبراير'!R106</f>
        <v>194715.833333333</v>
      </c>
      <c r="J7" s="90" t="n">
        <f aca="false">'مسير فبراير'!S106</f>
        <v>11273.4375</v>
      </c>
      <c r="K7" s="90" t="n">
        <f aca="false">'مسير فبراير'!T106+'مسير فبراير'!U106</f>
        <v>1000</v>
      </c>
      <c r="L7" s="90" t="n">
        <f aca="false">'مسير فبراير'!W106</f>
        <v>182442.395833333</v>
      </c>
      <c r="M7" s="90" t="n">
        <f aca="false">'مسير فبراير'!X106</f>
        <v>14585.9375</v>
      </c>
      <c r="N7" s="90" t="n">
        <f aca="false">'مسير فبراير'!Y106</f>
        <v>12712.1917808219</v>
      </c>
      <c r="O7" s="90" t="n">
        <f aca="false">'مسير فبراير'!Z106</f>
        <v>13116.0821917808</v>
      </c>
      <c r="P7" s="90" t="n">
        <f aca="false">'مسير فبراير'!AA106</f>
        <v>866.849315068493</v>
      </c>
      <c r="Q7" s="90" t="n">
        <f aca="false">'مسير فبراير'!AB106</f>
        <v>235996.894121005</v>
      </c>
      <c r="R7" s="91" t="str">
        <f aca="false">IF(C7&lt;=cfg_VAL_M,"✔ فعلي","⚠ متوقع")</f>
        <v>✔ فعلي</v>
      </c>
    </row>
    <row r="8" customFormat="false" ht="15" hidden="false" customHeight="false" outlineLevel="0" collapsed="false">
      <c r="B8" s="117" t="s">
        <v>138</v>
      </c>
      <c r="C8" s="83" t="n">
        <v>3</v>
      </c>
      <c r="D8" s="51" t="n">
        <f aca="false">COUNTIF('مسير مارس'!$F$6:$F$105,"&gt;0")</f>
        <v>11</v>
      </c>
      <c r="E8" s="86" t="n">
        <f aca="false">'مسير مارس'!J106</f>
        <v>132500</v>
      </c>
      <c r="F8" s="86" t="n">
        <f aca="false">'مسير مارس'!K106+'مسير مارس'!L106+'مسير مارس'!M106</f>
        <v>56675</v>
      </c>
      <c r="G8" s="86" t="n">
        <f aca="false">'مسير مارس'!O106</f>
        <v>881.25</v>
      </c>
      <c r="H8" s="86" t="n">
        <f aca="false">'مسير مارس'!P106+'مسير مارس'!Q106</f>
        <v>0</v>
      </c>
      <c r="I8" s="86" t="n">
        <f aca="false">'مسير مارس'!R106</f>
        <v>190056.25</v>
      </c>
      <c r="J8" s="86" t="n">
        <f aca="false">'مسير مارس'!S106</f>
        <v>11273.4375</v>
      </c>
      <c r="K8" s="86" t="n">
        <f aca="false">'مسير مارس'!T106+'مسير مارس'!U106</f>
        <v>1000</v>
      </c>
      <c r="L8" s="86" t="n">
        <f aca="false">'مسير مارس'!W106</f>
        <v>177782.8125</v>
      </c>
      <c r="M8" s="86" t="n">
        <f aca="false">'مسير مارس'!X106</f>
        <v>14585.9375</v>
      </c>
      <c r="N8" s="86" t="n">
        <f aca="false">'مسير مارس'!Y106</f>
        <v>14074.2123287672</v>
      </c>
      <c r="O8" s="86" t="n">
        <f aca="false">'مسير مارس'!Z106</f>
        <v>14521.3767123288</v>
      </c>
      <c r="P8" s="86" t="n">
        <f aca="false">'مسير مارس'!AA106</f>
        <v>959.72602739726</v>
      </c>
      <c r="Q8" s="86" t="n">
        <f aca="false">'مسير مارس'!AB106</f>
        <v>234197.502568493</v>
      </c>
      <c r="R8" s="74" t="str">
        <f aca="false">IF(C8&lt;=cfg_VAL_M,"✔ فعلي","⚠ متوقع")</f>
        <v>✔ فعلي</v>
      </c>
    </row>
    <row r="9" customFormat="false" ht="15" hidden="false" customHeight="false" outlineLevel="0" collapsed="false">
      <c r="B9" s="118" t="s">
        <v>143</v>
      </c>
      <c r="C9" s="89" t="n">
        <v>4</v>
      </c>
      <c r="D9" s="115" t="n">
        <f aca="false">COUNTIF('مسير أبريل'!$F$6:$F$105,"&gt;0")</f>
        <v>12</v>
      </c>
      <c r="E9" s="90" t="n">
        <f aca="false">'مسير أبريل'!J106</f>
        <v>136500</v>
      </c>
      <c r="F9" s="90" t="n">
        <f aca="false">'مسير أبريل'!K106+'مسير أبريل'!L106+'مسير أبريل'!M106</f>
        <v>57975</v>
      </c>
      <c r="G9" s="90" t="n">
        <f aca="false">'مسير أبريل'!O106</f>
        <v>0</v>
      </c>
      <c r="H9" s="90" t="n">
        <f aca="false">'مسير أبريل'!P106+'مسير أبريل'!Q106</f>
        <v>0</v>
      </c>
      <c r="I9" s="90" t="n">
        <f aca="false">'مسير أبريل'!R106</f>
        <v>194475</v>
      </c>
      <c r="J9" s="90" t="n">
        <f aca="false">'مسير أبريل'!S106</f>
        <v>11858.4375</v>
      </c>
      <c r="K9" s="90" t="n">
        <f aca="false">'مسير أبريل'!T106+'مسير أبريل'!U106</f>
        <v>1000</v>
      </c>
      <c r="L9" s="90" t="n">
        <f aca="false">'مسير أبريل'!W106</f>
        <v>181616.5625</v>
      </c>
      <c r="M9" s="90" t="n">
        <f aca="false">'مسير أبريل'!X106</f>
        <v>15290.9375</v>
      </c>
      <c r="N9" s="90" t="n">
        <f aca="false">'مسير أبريل'!Y106</f>
        <v>13886.506849315</v>
      </c>
      <c r="O9" s="90" t="n">
        <f aca="false">'مسير أبريل'!Z106</f>
        <v>14425.7671232877</v>
      </c>
      <c r="P9" s="90" t="n">
        <f aca="false">'مسير أبريل'!AA106</f>
        <v>928.767123287671</v>
      </c>
      <c r="Q9" s="90" t="n">
        <f aca="false">'مسير أبريل'!AB106</f>
        <v>239006.97859589</v>
      </c>
      <c r="R9" s="91" t="str">
        <f aca="false">IF(C9&lt;=cfg_VAL_M,"✔ فعلي","⚠ متوقع")</f>
        <v>✔ فعلي</v>
      </c>
    </row>
    <row r="10" customFormat="false" ht="15" hidden="false" customHeight="false" outlineLevel="0" collapsed="false">
      <c r="B10" s="117" t="s">
        <v>148</v>
      </c>
      <c r="C10" s="83" t="n">
        <v>5</v>
      </c>
      <c r="D10" s="51" t="n">
        <f aca="false">COUNTIF('مسير مايو'!$F$6:$F$105,"&gt;0")</f>
        <v>12</v>
      </c>
      <c r="E10" s="86" t="n">
        <f aca="false">'مسير مايو'!J106</f>
        <v>141500</v>
      </c>
      <c r="F10" s="86" t="n">
        <f aca="false">'مسير مايو'!K106+'مسير مايو'!L106+'مسير مايو'!M106</f>
        <v>59825</v>
      </c>
      <c r="G10" s="86" t="n">
        <f aca="false">'مسير مايو'!O106</f>
        <v>1156.66666666667</v>
      </c>
      <c r="H10" s="86" t="n">
        <f aca="false">'مسير مايو'!P106+'مسير مايو'!Q106</f>
        <v>0</v>
      </c>
      <c r="I10" s="86" t="n">
        <f aca="false">'مسير مايو'!R106</f>
        <v>202481.666666667</v>
      </c>
      <c r="J10" s="86" t="n">
        <f aca="false">'مسير مايو'!S106</f>
        <v>12370.3125</v>
      </c>
      <c r="K10" s="86" t="n">
        <f aca="false">'مسير مايو'!T106+'مسير مايو'!U106</f>
        <v>1000</v>
      </c>
      <c r="L10" s="86" t="n">
        <f aca="false">'مسير مايو'!W106</f>
        <v>189111.354166667</v>
      </c>
      <c r="M10" s="86" t="n">
        <f aca="false">'مسير مايو'!X106</f>
        <v>15907.8125</v>
      </c>
      <c r="N10" s="86" t="n">
        <f aca="false">'مسير مايو'!Y106</f>
        <v>14590.1712328767</v>
      </c>
      <c r="O10" s="86" t="n">
        <f aca="false">'مسير مايو'!Z106</f>
        <v>15243.7191780822</v>
      </c>
      <c r="P10" s="86" t="n">
        <f aca="false">'مسير مايو'!AA106</f>
        <v>959.72602739726</v>
      </c>
      <c r="Q10" s="86" t="n">
        <f aca="false">'مسير مايو'!AB106</f>
        <v>249183.095605023</v>
      </c>
      <c r="R10" s="74" t="str">
        <f aca="false">IF(C10&lt;=cfg_VAL_M,"✔ فعلي","⚠ متوقع")</f>
        <v>✔ فعلي</v>
      </c>
    </row>
    <row r="11" customFormat="false" ht="15" hidden="false" customHeight="false" outlineLevel="0" collapsed="false">
      <c r="B11" s="118" t="s">
        <v>151</v>
      </c>
      <c r="C11" s="89" t="n">
        <v>6</v>
      </c>
      <c r="D11" s="115" t="n">
        <f aca="false">COUNTIF('مسير يونيو'!$F$6:$F$105,"&gt;0")</f>
        <v>12</v>
      </c>
      <c r="E11" s="90" t="n">
        <f aca="false">'مسير يونيو'!J106</f>
        <v>141500</v>
      </c>
      <c r="F11" s="90" t="n">
        <f aca="false">'مسير يونيو'!K106+'مسير يونيو'!L106+'مسير يونيو'!M106</f>
        <v>59825</v>
      </c>
      <c r="G11" s="90" t="n">
        <f aca="false">'مسير يونيو'!O106</f>
        <v>0</v>
      </c>
      <c r="H11" s="90" t="n">
        <f aca="false">'مسير يونيو'!P106+'مسير يونيو'!Q106</f>
        <v>6500</v>
      </c>
      <c r="I11" s="90" t="n">
        <f aca="false">'مسير يونيو'!R106</f>
        <v>207825</v>
      </c>
      <c r="J11" s="90" t="n">
        <f aca="false">'مسير يونيو'!S106</f>
        <v>12370.3125</v>
      </c>
      <c r="K11" s="90" t="n">
        <f aca="false">'مسير يونيو'!T106+'مسير يونيو'!U106</f>
        <v>0</v>
      </c>
      <c r="L11" s="90" t="n">
        <f aca="false">'مسير يونيو'!W106</f>
        <v>195454.6875</v>
      </c>
      <c r="M11" s="90" t="n">
        <f aca="false">'مسير يونيو'!X106</f>
        <v>15907.8125</v>
      </c>
      <c r="N11" s="90" t="n">
        <f aca="false">'مسير يونيو'!Y106</f>
        <v>14119.5205479452</v>
      </c>
      <c r="O11" s="90" t="n">
        <f aca="false">'مسير يونيو'!Z106</f>
        <v>14751.9863013699</v>
      </c>
      <c r="P11" s="90" t="n">
        <f aca="false">'مسير يونيو'!AA106</f>
        <v>928.767123287671</v>
      </c>
      <c r="Q11" s="90" t="n">
        <f aca="false">'مسير يونيو'!AB106</f>
        <v>253533.086472603</v>
      </c>
      <c r="R11" s="91" t="str">
        <f aca="false">IF(C11&lt;=cfg_VAL_M,"✔ فعلي","⚠ متوقع")</f>
        <v>✔ فعلي</v>
      </c>
    </row>
    <row r="12" customFormat="false" ht="15" hidden="false" customHeight="false" outlineLevel="0" collapsed="false">
      <c r="B12" s="117" t="s">
        <v>154</v>
      </c>
      <c r="C12" s="83" t="n">
        <v>7</v>
      </c>
      <c r="D12" s="51" t="n">
        <f aca="false">COUNTIF('مسير يوليو'!$F$6:$F$105,"&gt;0")</f>
        <v>11</v>
      </c>
      <c r="E12" s="86" t="n">
        <f aca="false">'مسير يوليو'!J106</f>
        <v>136500</v>
      </c>
      <c r="F12" s="86" t="n">
        <f aca="false">'مسير يوليو'!K106+'مسير يوليو'!L106+'مسير يوليو'!M106</f>
        <v>58075</v>
      </c>
      <c r="G12" s="86" t="n">
        <f aca="false">'مسير يوليو'!O106</f>
        <v>0</v>
      </c>
      <c r="H12" s="86" t="n">
        <f aca="false">'مسير يوليو'!P106+'مسير يوليو'!Q106</f>
        <v>8297.2602739726</v>
      </c>
      <c r="I12" s="86" t="n">
        <f aca="false">'مسير يوليو'!R106</f>
        <v>202872.260273973</v>
      </c>
      <c r="J12" s="86" t="n">
        <f aca="false">'مسير يوليو'!S106</f>
        <v>12370.3125</v>
      </c>
      <c r="K12" s="86" t="n">
        <f aca="false">'مسير يوليو'!T106+'مسير يوليو'!U106</f>
        <v>0</v>
      </c>
      <c r="L12" s="86" t="n">
        <f aca="false">'مسير يوليو'!W106</f>
        <v>190501.947773973</v>
      </c>
      <c r="M12" s="86" t="n">
        <f aca="false">'مسير يوليو'!X106</f>
        <v>15782.8125</v>
      </c>
      <c r="N12" s="86" t="n">
        <f aca="false">'مسير يوليو'!Y106</f>
        <v>14016.8835616438</v>
      </c>
      <c r="O12" s="86" t="n">
        <f aca="false">'مسير يوليو'!Z106</f>
        <v>14670.4315068493</v>
      </c>
      <c r="P12" s="86" t="n">
        <f aca="false">'مسير يوليو'!AA106</f>
        <v>849.315068493151</v>
      </c>
      <c r="Q12" s="86" t="n">
        <f aca="false">'مسير يوليو'!AB106</f>
        <v>248191.702910959</v>
      </c>
      <c r="R12" s="74" t="str">
        <f aca="false">IF(C12&lt;=cfg_VAL_M,"✔ فعلي","⚠ متوقع")</f>
        <v>✔ فعلي</v>
      </c>
    </row>
    <row r="13" customFormat="false" ht="15" hidden="false" customHeight="false" outlineLevel="0" collapsed="false">
      <c r="B13" s="118" t="s">
        <v>157</v>
      </c>
      <c r="C13" s="89" t="n">
        <v>8</v>
      </c>
      <c r="D13" s="115" t="n">
        <f aca="false">COUNTIF('مسير أغسطس'!$F$6:$F$105,"&gt;0")</f>
        <v>11</v>
      </c>
      <c r="E13" s="90" t="n">
        <f aca="false">'مسير أغسطس'!J106</f>
        <v>135750</v>
      </c>
      <c r="F13" s="90" t="n">
        <f aca="false">'مسير أغسطس'!K106+'مسير أغسطس'!L106+'مسير أغسطس'!M106</f>
        <v>57812.5</v>
      </c>
      <c r="G13" s="90" t="n">
        <f aca="false">'مسير أغسطس'!O106</f>
        <v>0</v>
      </c>
      <c r="H13" s="90" t="n">
        <f aca="false">'مسير أغسطس'!P106+'مسير أغسطس'!Q106</f>
        <v>0</v>
      </c>
      <c r="I13" s="90" t="n">
        <f aca="false">'مسير أغسطس'!R106</f>
        <v>193562.5</v>
      </c>
      <c r="J13" s="90" t="n">
        <f aca="false">'مسير أغسطس'!S106</f>
        <v>12370.3125</v>
      </c>
      <c r="K13" s="90" t="n">
        <f aca="false">'مسير أغسطس'!T106+'مسير أغسطس'!U106</f>
        <v>0</v>
      </c>
      <c r="L13" s="90" t="n">
        <f aca="false">'مسير أغسطس'!W106</f>
        <v>181192.1875</v>
      </c>
      <c r="M13" s="90" t="n">
        <f aca="false">'مسير أغسطس'!X106</f>
        <v>15782.8125</v>
      </c>
      <c r="N13" s="90" t="n">
        <f aca="false">'مسير أغسطس'!Y106</f>
        <v>14016.8835616438</v>
      </c>
      <c r="O13" s="90" t="n">
        <f aca="false">'مسير أغسطس'!Z106</f>
        <v>14670.4315068493</v>
      </c>
      <c r="P13" s="90" t="n">
        <f aca="false">'مسير أغسطس'!AA106</f>
        <v>849.315068493151</v>
      </c>
      <c r="Q13" s="90" t="n">
        <f aca="false">'مسير أغسطس'!AB106</f>
        <v>238881.942636986</v>
      </c>
      <c r="R13" s="91" t="str">
        <f aca="false">IF(C13&lt;=cfg_VAL_M,"✔ فعلي","⚠ متوقع")</f>
        <v>✔ فعلي</v>
      </c>
    </row>
    <row r="14" customFormat="false" ht="15" hidden="false" customHeight="false" outlineLevel="0" collapsed="false">
      <c r="B14" s="117" t="s">
        <v>160</v>
      </c>
      <c r="C14" s="83" t="n">
        <v>9</v>
      </c>
      <c r="D14" s="51" t="n">
        <f aca="false">COUNTIF('مسير سبتمبر'!$F$6:$F$105,"&gt;0")</f>
        <v>11</v>
      </c>
      <c r="E14" s="86" t="n">
        <f aca="false">'مسير سبتمبر'!J106</f>
        <v>136500</v>
      </c>
      <c r="F14" s="86" t="n">
        <f aca="false">'مسير سبتمبر'!K106+'مسير سبتمبر'!L106+'مسير سبتمبر'!M106</f>
        <v>58075</v>
      </c>
      <c r="G14" s="86" t="n">
        <f aca="false">'مسير سبتمبر'!O106</f>
        <v>416.25</v>
      </c>
      <c r="H14" s="86" t="n">
        <f aca="false">'مسير سبتمبر'!P106+'مسير سبتمبر'!Q106</f>
        <v>1500</v>
      </c>
      <c r="I14" s="86" t="n">
        <f aca="false">'مسير سبتمبر'!R106</f>
        <v>196491.25</v>
      </c>
      <c r="J14" s="86" t="n">
        <f aca="false">'مسير سبتمبر'!S106</f>
        <v>12370.3125</v>
      </c>
      <c r="K14" s="86" t="n">
        <f aca="false">'مسير سبتمبر'!T106+'مسير سبتمبر'!U106</f>
        <v>250</v>
      </c>
      <c r="L14" s="86" t="n">
        <f aca="false">'مسير سبتمبر'!W106</f>
        <v>183870.9375</v>
      </c>
      <c r="M14" s="86" t="n">
        <f aca="false">'مسير سبتمبر'!X106</f>
        <v>15782.8125</v>
      </c>
      <c r="N14" s="86" t="n">
        <f aca="false">'مسير سبتمبر'!Y106</f>
        <v>13564.7260273973</v>
      </c>
      <c r="O14" s="86" t="n">
        <f aca="false">'مسير سبتمبر'!Z106</f>
        <v>14197.1917808219</v>
      </c>
      <c r="P14" s="86" t="n">
        <f aca="false">'مسير سبتمبر'!AA106</f>
        <v>821.917808219178</v>
      </c>
      <c r="Q14" s="86" t="n">
        <f aca="false">'مسير سبتمبر'!AB106</f>
        <v>240857.898116438</v>
      </c>
      <c r="R14" s="74" t="str">
        <f aca="false">IF(C14&lt;=cfg_VAL_M,"✔ فعلي","⚠ متوقع")</f>
        <v>✔ فعلي</v>
      </c>
    </row>
    <row r="15" customFormat="false" ht="15" hidden="false" customHeight="false" outlineLevel="0" collapsed="false">
      <c r="B15" s="118" t="s">
        <v>163</v>
      </c>
      <c r="C15" s="89" t="n">
        <v>10</v>
      </c>
      <c r="D15" s="115" t="n">
        <f aca="false">COUNTIF('مسير أكتوبر'!$F$6:$F$105,"&gt;0")</f>
        <v>11</v>
      </c>
      <c r="E15" s="90" t="n">
        <f aca="false">'مسير أكتوبر'!J106</f>
        <v>136500</v>
      </c>
      <c r="F15" s="90" t="n">
        <f aca="false">'مسير أكتوبر'!K106+'مسير أكتوبر'!L106+'مسير أكتوبر'!M106</f>
        <v>58075</v>
      </c>
      <c r="G15" s="90" t="n">
        <f aca="false">'مسير أكتوبر'!O106</f>
        <v>0</v>
      </c>
      <c r="H15" s="90" t="n">
        <f aca="false">'مسير أكتوبر'!P106+'مسير أكتوبر'!Q106</f>
        <v>0</v>
      </c>
      <c r="I15" s="90" t="n">
        <f aca="false">'مسير أكتوبر'!R106</f>
        <v>194575</v>
      </c>
      <c r="J15" s="90" t="n">
        <f aca="false">'مسير أكتوبر'!S106</f>
        <v>12370.3125</v>
      </c>
      <c r="K15" s="90" t="n">
        <f aca="false">'مسير أكتوبر'!T106+'مسير أكتوبر'!U106</f>
        <v>0</v>
      </c>
      <c r="L15" s="90" t="n">
        <f aca="false">'مسير أكتوبر'!W106</f>
        <v>182204.6875</v>
      </c>
      <c r="M15" s="90" t="n">
        <f aca="false">'مسير أكتوبر'!X106</f>
        <v>15782.8125</v>
      </c>
      <c r="N15" s="90" t="n">
        <f aca="false">'مسير أكتوبر'!Y106</f>
        <v>14016.8835616438</v>
      </c>
      <c r="O15" s="90" t="n">
        <f aca="false">'مسير أكتوبر'!Z106</f>
        <v>14670.4315068493</v>
      </c>
      <c r="P15" s="90" t="n">
        <f aca="false">'مسير أكتوبر'!AA106</f>
        <v>849.315068493151</v>
      </c>
      <c r="Q15" s="90" t="n">
        <f aca="false">'مسير أكتوبر'!AB106</f>
        <v>239894.442636986</v>
      </c>
      <c r="R15" s="91" t="str">
        <f aca="false">IF(C15&lt;=cfg_VAL_M,"✔ فعلي","⚠ متوقع")</f>
        <v>⚠ متوقع</v>
      </c>
    </row>
    <row r="16" customFormat="false" ht="15" hidden="false" customHeight="false" outlineLevel="0" collapsed="false">
      <c r="B16" s="117" t="s">
        <v>165</v>
      </c>
      <c r="C16" s="83" t="n">
        <v>11</v>
      </c>
      <c r="D16" s="51" t="n">
        <f aca="false">COUNTIF('مسير نوفمبر'!$F$6:$F$105,"&gt;0")</f>
        <v>11</v>
      </c>
      <c r="E16" s="86" t="n">
        <f aca="false">'مسير نوفمبر'!J106</f>
        <v>136500</v>
      </c>
      <c r="F16" s="86" t="n">
        <f aca="false">'مسير نوفمبر'!K106+'مسير نوفمبر'!L106+'مسير نوفمبر'!M106</f>
        <v>58075</v>
      </c>
      <c r="G16" s="86" t="n">
        <f aca="false">'مسير نوفمبر'!O106</f>
        <v>0</v>
      </c>
      <c r="H16" s="86" t="n">
        <f aca="false">'مسير نوفمبر'!P106+'مسير نوفمبر'!Q106</f>
        <v>0</v>
      </c>
      <c r="I16" s="86" t="n">
        <f aca="false">'مسير نوفمبر'!R106</f>
        <v>194575</v>
      </c>
      <c r="J16" s="86" t="n">
        <f aca="false">'مسير نوفمبر'!S106</f>
        <v>12370.3125</v>
      </c>
      <c r="K16" s="86" t="n">
        <f aca="false">'مسير نوفمبر'!T106+'مسير نوفمبر'!U106</f>
        <v>0</v>
      </c>
      <c r="L16" s="86" t="n">
        <f aca="false">'مسير نوفمبر'!W106</f>
        <v>182204.6875</v>
      </c>
      <c r="M16" s="86" t="n">
        <f aca="false">'مسير نوفمبر'!X106</f>
        <v>15782.8125</v>
      </c>
      <c r="N16" s="86" t="n">
        <f aca="false">'مسير نوفمبر'!Y106</f>
        <v>13564.7260273973</v>
      </c>
      <c r="O16" s="86" t="n">
        <f aca="false">'مسير نوفمبر'!Z106</f>
        <v>14197.1917808219</v>
      </c>
      <c r="P16" s="86" t="n">
        <f aca="false">'مسير نوفمبر'!AA106</f>
        <v>821.917808219178</v>
      </c>
      <c r="Q16" s="86" t="n">
        <f aca="false">'مسير نوفمبر'!AB106</f>
        <v>238941.648116438</v>
      </c>
      <c r="R16" s="74" t="str">
        <f aca="false">IF(C16&lt;=cfg_VAL_M,"✔ فعلي","⚠ متوقع")</f>
        <v>⚠ متوقع</v>
      </c>
    </row>
    <row r="17" customFormat="false" ht="15" hidden="false" customHeight="false" outlineLevel="0" collapsed="false">
      <c r="B17" s="118" t="s">
        <v>168</v>
      </c>
      <c r="C17" s="89" t="n">
        <v>12</v>
      </c>
      <c r="D17" s="115" t="n">
        <f aca="false">COUNTIF('مسير ديسمبر'!$F$6:$F$105,"&gt;0")</f>
        <v>11</v>
      </c>
      <c r="E17" s="90" t="n">
        <f aca="false">'مسير ديسمبر'!J106</f>
        <v>136500</v>
      </c>
      <c r="F17" s="90" t="n">
        <f aca="false">'مسير ديسمبر'!K106+'مسير ديسمبر'!L106+'مسير ديسمبر'!M106</f>
        <v>58075</v>
      </c>
      <c r="G17" s="90" t="n">
        <f aca="false">'مسير ديسمبر'!O106</f>
        <v>0</v>
      </c>
      <c r="H17" s="90" t="n">
        <f aca="false">'مسير ديسمبر'!P106+'مسير ديسمبر'!Q106</f>
        <v>0</v>
      </c>
      <c r="I17" s="90" t="n">
        <f aca="false">'مسير ديسمبر'!R106</f>
        <v>194575</v>
      </c>
      <c r="J17" s="90" t="n">
        <f aca="false">'مسير ديسمبر'!S106</f>
        <v>12370.3125</v>
      </c>
      <c r="K17" s="90" t="n">
        <f aca="false">'مسير ديسمبر'!T106+'مسير ديسمبر'!U106</f>
        <v>0</v>
      </c>
      <c r="L17" s="90" t="n">
        <f aca="false">'مسير ديسمبر'!W106</f>
        <v>182204.6875</v>
      </c>
      <c r="M17" s="90" t="n">
        <f aca="false">'مسير ديسمبر'!X106</f>
        <v>15782.8125</v>
      </c>
      <c r="N17" s="90" t="n">
        <f aca="false">'مسير ديسمبر'!Y106</f>
        <v>14016.8835616439</v>
      </c>
      <c r="O17" s="90" t="n">
        <f aca="false">'مسير ديسمبر'!Z106</f>
        <v>14670.4315068493</v>
      </c>
      <c r="P17" s="90" t="n">
        <f aca="false">'مسير ديسمبر'!AA106</f>
        <v>849.315068493151</v>
      </c>
      <c r="Q17" s="90" t="n">
        <f aca="false">'مسير ديسمبر'!AB106</f>
        <v>239894.442636986</v>
      </c>
      <c r="R17" s="91" t="str">
        <f aca="false">IF(C17&lt;=cfg_VAL_M,"✔ فعلي","⚠ متوقع")</f>
        <v>⚠ متوقع</v>
      </c>
    </row>
    <row r="18" customFormat="false" ht="24" hidden="false" customHeight="true" outlineLevel="0" collapsed="false">
      <c r="B18" s="92" t="s">
        <v>108</v>
      </c>
      <c r="C18" s="92"/>
      <c r="D18" s="92"/>
      <c r="E18" s="92" t="n">
        <f aca="false">SUM(E6:E17)</f>
        <v>1635033.33333333</v>
      </c>
      <c r="F18" s="92" t="n">
        <f aca="false">SUM(F6:F17)</f>
        <v>695751.666666667</v>
      </c>
      <c r="G18" s="92" t="n">
        <f aca="false">SUM(G6:G17)</f>
        <v>4833.33333333333</v>
      </c>
      <c r="H18" s="92" t="n">
        <f aca="false">SUM(H6:H17)</f>
        <v>21297.2602739726</v>
      </c>
      <c r="I18" s="92" t="n">
        <f aca="false">SUM(I6:I17)</f>
        <v>2356915.59360731</v>
      </c>
      <c r="J18" s="92" t="n">
        <f aca="false">SUM(J6:J17)</f>
        <v>144641.25</v>
      </c>
      <c r="K18" s="92" t="n">
        <f aca="false">SUM(K6:K17)</f>
        <v>5350</v>
      </c>
      <c r="L18" s="92" t="n">
        <f aca="false">SUM(L6:L17)</f>
        <v>2206924.34360731</v>
      </c>
      <c r="M18" s="92" t="n">
        <f aca="false">SUM(M6:M17)</f>
        <v>185561.25</v>
      </c>
      <c r="N18" s="92" t="n">
        <f aca="false">SUM(N6:N17)</f>
        <v>166287.636986301</v>
      </c>
      <c r="O18" s="92" t="n">
        <f aca="false">SUM(O6:O17)</f>
        <v>173656.417808219</v>
      </c>
      <c r="P18" s="92" t="n">
        <f aca="false">SUM(P6:P17)</f>
        <v>10644.6575342466</v>
      </c>
      <c r="Q18" s="92" t="n">
        <f aca="false">SUM(Q6:Q17)</f>
        <v>2893065.55593607</v>
      </c>
      <c r="R18" s="92"/>
    </row>
    <row r="19" customFormat="false" ht="15" hidden="false" customHeight="false" outlineLevel="0" collapsed="false">
      <c r="B19" s="119" t="str">
        <f aca="false">"حتى "&amp;INDEX(L_MONTH,cfg_VAL_M)</f>
        <v>حتى سبتمبر</v>
      </c>
      <c r="C19" s="120"/>
      <c r="D19" s="121" t="n">
        <f aca="false">INDEX(D6:D17,cfg_VAL_M)</f>
        <v>11</v>
      </c>
      <c r="E19" s="122" t="n">
        <f aca="false">SUMIF($C$6:$C$17,"&lt;="&amp;cfg_VAL_M,E6:E17)</f>
        <v>1225533.33333333</v>
      </c>
      <c r="F19" s="122" t="n">
        <f aca="false">SUMIF($C$6:$C$17,"&lt;="&amp;cfg_VAL_M,F6:F17)</f>
        <v>521526.666666667</v>
      </c>
      <c r="G19" s="122" t="n">
        <f aca="false">SUMIF($C$6:$C$17,"&lt;="&amp;cfg_VAL_M,G6:G17)</f>
        <v>4833.33333333333</v>
      </c>
      <c r="H19" s="122" t="n">
        <f aca="false">SUMIF($C$6:$C$17,"&lt;="&amp;cfg_VAL_M,H6:H17)</f>
        <v>21297.2602739726</v>
      </c>
      <c r="I19" s="122" t="n">
        <f aca="false">SUMIF($C$6:$C$17,"&lt;="&amp;cfg_VAL_M,I6:I17)</f>
        <v>1773190.59360731</v>
      </c>
      <c r="J19" s="122" t="n">
        <f aca="false">SUMIF($C$6:$C$17,"&lt;="&amp;cfg_VAL_M,J6:J17)</f>
        <v>107530.3125</v>
      </c>
      <c r="K19" s="122" t="n">
        <f aca="false">SUMIF($C$6:$C$17,"&lt;="&amp;cfg_VAL_M,K6:K17)</f>
        <v>5350</v>
      </c>
      <c r="L19" s="122" t="n">
        <f aca="false">SUMIF($C$6:$C$17,"&lt;="&amp;cfg_VAL_M,L6:L17)</f>
        <v>1660310.28110731</v>
      </c>
      <c r="M19" s="122" t="n">
        <f aca="false">SUMIF($C$6:$C$17,"&lt;="&amp;cfg_VAL_M,M6:M17)</f>
        <v>138212.8125</v>
      </c>
      <c r="N19" s="122" t="n">
        <f aca="false">SUMIF($C$6:$C$17,"&lt;="&amp;cfg_VAL_M,N6:N17)</f>
        <v>124689.143835616</v>
      </c>
      <c r="O19" s="122" t="n">
        <f aca="false">SUMIF($C$6:$C$17,"&lt;="&amp;cfg_VAL_M,O6:O17)</f>
        <v>130118.363013699</v>
      </c>
      <c r="P19" s="122" t="n">
        <f aca="false">SUMIF($C$6:$C$17,"&lt;="&amp;cfg_VAL_M,P6:P17)</f>
        <v>8124.1095890411</v>
      </c>
      <c r="Q19" s="122" t="n">
        <f aca="false">SUMIF($C$6:$C$17,"&lt;="&amp;cfg_VAL_M,Q6:Q17)</f>
        <v>2174335.02254566</v>
      </c>
      <c r="R19" s="120"/>
    </row>
    <row r="20" customFormat="false" ht="30" hidden="false" customHeight="true" outlineLevel="0" collapsed="false">
      <c r="B20" s="21" t="s">
        <v>359</v>
      </c>
      <c r="C20" s="21"/>
      <c r="D20" s="21"/>
      <c r="E20" s="21"/>
      <c r="F20" s="21"/>
      <c r="G20" s="21"/>
      <c r="H20" s="21"/>
      <c r="I20" s="21"/>
      <c r="J20" s="21"/>
      <c r="K20" s="21"/>
      <c r="L20" s="21"/>
      <c r="M20" s="21"/>
      <c r="N20" s="21"/>
      <c r="O20" s="21"/>
      <c r="P20" s="21"/>
      <c r="Q20" s="21"/>
      <c r="R20" s="21"/>
    </row>
  </sheetData>
  <mergeCells count="3">
    <mergeCell ref="B1:R1"/>
    <mergeCell ref="B2:R2"/>
    <mergeCell ref="B20:R20"/>
  </mergeCells>
  <conditionalFormatting sqref="R6:R17">
    <cfRule type="expression" priority="2" aboveAverage="0" equalAverage="0" bottom="0" percent="0" rank="0" text="" dxfId="0">
      <formula>ISNUMBER(SEARCH("✔",R6))</formula>
    </cfRule>
    <cfRule type="expression" priority="3" aboveAverage="0" equalAverage="0" bottom="0" percent="0" rank="0" text="" dxfId="1">
      <formula>ISNUMBER(SEARCH("✖",R6))</formula>
    </cfRule>
    <cfRule type="expression" priority="4" aboveAverage="0" equalAverage="0" bottom="0" percent="0" rank="0" text="" dxfId="2">
      <formula>ISNUMBER(SEARCH("⚠",R6))</formula>
    </cfRule>
  </conditionalFormatting>
  <conditionalFormatting sqref="B6:Q17">
    <cfRule type="expression" priority="5" aboveAverage="0" equalAverage="0" bottom="0" percent="0" rank="0" text="" dxfId="3">
      <formula>$C6=cfg_VAL_M</formula>
    </cfRule>
  </conditionalFormatting>
  <hyperlinks>
    <hyperlink ref="B3" location="'الرئيسية'!A1" display="🏠 الرئيسية"/>
    <hyperlink ref="C3" location="'لوحة التحكم'!A1" display="📊 لوحة التحكم"/>
    <hyperlink ref="D3" location="'الإعدادات'!A1" display="⚙ الإعدادات"/>
    <hyperlink ref="E3" location="'الموظفون'!A1" display="👥 الموظفون"/>
    <hyperlink ref="F3" location="'الحركات الشهرية'!A1" display="✍ الحركات"/>
    <hyperlink ref="G3" location="'قيود الرواتب'!A1" display="🧾 القيود"/>
    <hyperlink ref="H3" location="'قسيمة الراتب'!A1" display="💳 القسيمة"/>
    <hyperlink ref="B6" location="'مسير يناير'!A1" display="يناير"/>
    <hyperlink ref="B7" location="'مسير فبراير'!A1" display="فبراير"/>
    <hyperlink ref="B8" location="'مسير مارس'!A1" display="مارس"/>
    <hyperlink ref="B9" location="'مسير أبريل'!A1" display="أبريل"/>
    <hyperlink ref="B10" location="'مسير مايو'!A1" display="مايو"/>
    <hyperlink ref="B11" location="'مسير يونيو'!A1" display="يونيو"/>
    <hyperlink ref="B12" location="'مسير يوليو'!A1" display="يوليو"/>
    <hyperlink ref="B13" location="'مسير أغسطس'!A1" display="أغسطس"/>
    <hyperlink ref="B14" location="'مسير سبتمبر'!A1" display="سبتمبر"/>
    <hyperlink ref="B15" location="'مسير أكتوبر'!A1" display="أكتوبر"/>
    <hyperlink ref="B16" location="'مسير نوفمبر'!A1" display="نوفمبر"/>
    <hyperlink ref="B17" location="'مسير ديسمبر'!A1" display="ديسمبر"/>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35B1"/>
    <pageSetUpPr fitToPage="true"/>
  </sheetPr>
  <dimension ref="B1:AH106"/>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24"/>
    <col collapsed="false" customWidth="true" hidden="false" outlineLevel="0" max="4" min="4" style="0" width="15"/>
    <col collapsed="false" customWidth="true" hidden="false" outlineLevel="0" max="5" min="5" style="0" width="10"/>
    <col collapsed="false" customWidth="true" hidden="false" outlineLevel="0" max="17" min="6" style="0" width="10.5"/>
    <col collapsed="false" customWidth="true" hidden="false" outlineLevel="0" max="18" min="18" style="0" width="14"/>
    <col collapsed="false" customWidth="true" hidden="false" outlineLevel="0" max="19" min="19" style="0" width="3"/>
    <col collapsed="false" customWidth="true" hidden="false" outlineLevel="0" max="31" min="20" style="0" width="10.5"/>
    <col collapsed="false" customWidth="true" hidden="false" outlineLevel="0" max="34" min="32" style="0" width="14"/>
  </cols>
  <sheetData>
    <row r="1" customFormat="false" ht="37.5" hidden="false" customHeight="true" outlineLevel="0" collapsed="false">
      <c r="B1" s="1" t="s">
        <v>360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customFormat="false" ht="19.5" hidden="false" customHeight="true" outlineLevel="0" collapsed="false">
      <c r="B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row>
    <row r="3" customFormat="false" ht="25.5" hidden="false" customHeight="true" outlineLevel="0" collapsed="false">
      <c r="B3" s="22" t="s">
        <v>61</v>
      </c>
      <c r="C3" s="12" t="s">
        <v>111</v>
      </c>
      <c r="D3" s="23" t="s">
        <v>62</v>
      </c>
      <c r="E3" s="23" t="s">
        <v>63</v>
      </c>
      <c r="F3" s="23" t="s">
        <v>64</v>
      </c>
      <c r="G3" s="23" t="s">
        <v>39</v>
      </c>
      <c r="H3" s="23" t="s">
        <v>65</v>
      </c>
      <c r="I3" s="23" t="s">
        <v>66</v>
      </c>
    </row>
    <row r="4" customFormat="false" ht="21.75" hidden="false" customHeight="true" outlineLevel="0" collapsed="false">
      <c r="F4" s="19" t="s">
        <v>361</v>
      </c>
      <c r="G4" s="19"/>
      <c r="H4" s="19"/>
      <c r="I4" s="19"/>
      <c r="J4" s="19"/>
      <c r="K4" s="19"/>
      <c r="L4" s="19"/>
      <c r="M4" s="19"/>
      <c r="N4" s="19"/>
      <c r="O4" s="19"/>
      <c r="P4" s="19"/>
      <c r="Q4" s="19"/>
      <c r="R4" s="19"/>
      <c r="T4" s="63" t="s">
        <v>362</v>
      </c>
      <c r="U4" s="63"/>
      <c r="V4" s="63"/>
      <c r="W4" s="63"/>
      <c r="X4" s="63"/>
      <c r="Y4" s="63"/>
      <c r="Z4" s="63"/>
      <c r="AA4" s="63"/>
      <c r="AB4" s="63"/>
      <c r="AC4" s="63"/>
      <c r="AD4" s="63"/>
      <c r="AE4" s="63"/>
      <c r="AF4" s="63"/>
    </row>
    <row r="5" customFormat="false" ht="39.75" hidden="false" customHeight="true" outlineLevel="0" collapsed="false">
      <c r="B5" s="6" t="s">
        <v>363</v>
      </c>
      <c r="C5" s="6" t="s">
        <v>209</v>
      </c>
      <c r="D5" s="6" t="s">
        <v>96</v>
      </c>
      <c r="E5" s="6" t="s">
        <v>84</v>
      </c>
      <c r="F5" s="6" t="s">
        <v>127</v>
      </c>
      <c r="G5" s="6" t="s">
        <v>133</v>
      </c>
      <c r="H5" s="6" t="s">
        <v>138</v>
      </c>
      <c r="I5" s="6" t="s">
        <v>143</v>
      </c>
      <c r="J5" s="6" t="s">
        <v>148</v>
      </c>
      <c r="K5" s="6" t="s">
        <v>151</v>
      </c>
      <c r="L5" s="6" t="s">
        <v>154</v>
      </c>
      <c r="M5" s="6" t="s">
        <v>157</v>
      </c>
      <c r="N5" s="6" t="s">
        <v>160</v>
      </c>
      <c r="O5" s="6" t="s">
        <v>163</v>
      </c>
      <c r="P5" s="6" t="s">
        <v>165</v>
      </c>
      <c r="Q5" s="6" t="s">
        <v>168</v>
      </c>
      <c r="R5" s="6" t="s">
        <v>364</v>
      </c>
      <c r="T5" s="6" t="s">
        <v>127</v>
      </c>
      <c r="U5" s="6" t="s">
        <v>133</v>
      </c>
      <c r="V5" s="6" t="s">
        <v>138</v>
      </c>
      <c r="W5" s="6" t="s">
        <v>143</v>
      </c>
      <c r="X5" s="6" t="s">
        <v>148</v>
      </c>
      <c r="Y5" s="6" t="s">
        <v>151</v>
      </c>
      <c r="Z5" s="6" t="s">
        <v>154</v>
      </c>
      <c r="AA5" s="6" t="s">
        <v>157</v>
      </c>
      <c r="AB5" s="6" t="s">
        <v>160</v>
      </c>
      <c r="AC5" s="6" t="s">
        <v>163</v>
      </c>
      <c r="AD5" s="6" t="s">
        <v>165</v>
      </c>
      <c r="AE5" s="6" t="s">
        <v>168</v>
      </c>
      <c r="AF5" s="6" t="s">
        <v>365</v>
      </c>
      <c r="AG5" s="6" t="s">
        <v>366</v>
      </c>
      <c r="AH5" s="6" t="s">
        <v>367</v>
      </c>
    </row>
    <row r="6" customFormat="false" ht="15" hidden="false" customHeight="false" outlineLevel="0" collapsed="false">
      <c r="B6" s="74" t="str">
        <f aca="false">IF(الموظفون!$B6="","",الموظفون!$B6)</f>
        <v>E001</v>
      </c>
      <c r="C6" s="74" t="str">
        <f aca="false">IF(الموظفون!$B6="","",الموظفون!$C6)</f>
        <v>عبدالله محمد العتيبي</v>
      </c>
      <c r="D6" s="74" t="str">
        <f aca="false">IF(الموظفون!$B6="","",الموظفون!$F6)</f>
        <v>الإدارة العليا</v>
      </c>
      <c r="E6" s="74" t="str">
        <f aca="false">IF(الموظفون!$B6="","",الموظفون!$E6)</f>
        <v>سعودي</v>
      </c>
      <c r="F6" s="86" t="n">
        <f aca="false">IF($B6="","",'مسير يناير'!R6)</f>
        <v>40800</v>
      </c>
      <c r="G6" s="86" t="n">
        <f aca="false">IF($B6="","",'مسير فبراير'!R6)</f>
        <v>40800</v>
      </c>
      <c r="H6" s="86" t="n">
        <f aca="false">IF($B6="","",'مسير مارس'!R6)</f>
        <v>40800</v>
      </c>
      <c r="I6" s="86" t="n">
        <f aca="false">IF($B6="","",'مسير أبريل'!R6)</f>
        <v>40800</v>
      </c>
      <c r="J6" s="86" t="n">
        <f aca="false">IF($B6="","",'مسير مايو'!R6)</f>
        <v>40800</v>
      </c>
      <c r="K6" s="86" t="n">
        <f aca="false">IF($B6="","",'مسير يونيو'!R6)</f>
        <v>40800</v>
      </c>
      <c r="L6" s="86" t="n">
        <f aca="false">IF($B6="","",'مسير يوليو'!R6)</f>
        <v>40800</v>
      </c>
      <c r="M6" s="86" t="n">
        <f aca="false">IF($B6="","",'مسير أغسطس'!R6)</f>
        <v>40800</v>
      </c>
      <c r="N6" s="86" t="n">
        <f aca="false">IF($B6="","",'مسير سبتمبر'!R6)</f>
        <v>40800</v>
      </c>
      <c r="O6" s="86" t="n">
        <f aca="false">IF($B6="","",'مسير أكتوبر'!R6)</f>
        <v>40800</v>
      </c>
      <c r="P6" s="86" t="n">
        <f aca="false">IF($B6="","",'مسير نوفمبر'!R6)</f>
        <v>40800</v>
      </c>
      <c r="Q6" s="86" t="n">
        <f aca="false">IF($B6="","",'مسير ديسمبر'!R6)</f>
        <v>40800</v>
      </c>
      <c r="R6" s="123" t="n">
        <f aca="false">IF($B6="","",IF(1&lt;=cfg_VAL_M,'مسير يناير'!R6,0)+IF(2&lt;=cfg_VAL_M,'مسير فبراير'!R6,0)+IF(3&lt;=cfg_VAL_M,'مسير مارس'!R6,0)+IF(4&lt;=cfg_VAL_M,'مسير أبريل'!R6,0)+IF(5&lt;=cfg_VAL_M,'مسير مايو'!R6,0)+IF(6&lt;=cfg_VAL_M,'مسير يونيو'!R6,0)+IF(7&lt;=cfg_VAL_M,'مسير يوليو'!R6,0)+IF(8&lt;=cfg_VAL_M,'مسير أغسطس'!R6,0)+IF(9&lt;=cfg_VAL_M,'مسير سبتمبر'!R6,0)+IF(10&lt;=cfg_VAL_M,'مسير أكتوبر'!R6,0)+IF(11&lt;=cfg_VAL_M,'مسير نوفمبر'!R6,0)+IF(12&lt;=cfg_VAL_M,'مسير ديسمبر'!R6,0))</f>
        <v>367200</v>
      </c>
      <c r="T6" s="86" t="n">
        <f aca="false">IF($B6="","",'مسير يناير'!AB6)</f>
        <v>51333.3219178082</v>
      </c>
      <c r="U6" s="86" t="n">
        <f aca="false">IF($B6="","",'مسير فبراير'!AB6)</f>
        <v>50711.9520547946</v>
      </c>
      <c r="V6" s="86" t="n">
        <f aca="false">IF($B6="","",'مسير مارس'!AB6)</f>
        <v>51333.3219178082</v>
      </c>
      <c r="W6" s="86" t="n">
        <f aca="false">IF($B6="","",'مسير أبريل'!AB6)</f>
        <v>51126.198630137</v>
      </c>
      <c r="X6" s="86" t="n">
        <f aca="false">IF($B6="","",'مسير مايو'!AB6)</f>
        <v>51333.3219178082</v>
      </c>
      <c r="Y6" s="86" t="n">
        <f aca="false">IF($B6="","",'مسير يونيو'!AB6)</f>
        <v>51126.198630137</v>
      </c>
      <c r="Z6" s="86" t="n">
        <f aca="false">IF($B6="","",'مسير يوليو'!AB6)</f>
        <v>51333.3219178082</v>
      </c>
      <c r="AA6" s="86" t="n">
        <f aca="false">IF($B6="","",'مسير أغسطس'!AB6)</f>
        <v>51333.3219178082</v>
      </c>
      <c r="AB6" s="86" t="n">
        <f aca="false">IF($B6="","",'مسير سبتمبر'!AB6)</f>
        <v>51126.198630137</v>
      </c>
      <c r="AC6" s="86" t="n">
        <f aca="false">IF($B6="","",'مسير أكتوبر'!AB6)</f>
        <v>51333.3219178082</v>
      </c>
      <c r="AD6" s="86" t="n">
        <f aca="false">IF($B6="","",'مسير نوفمبر'!AB6)</f>
        <v>51126.198630137</v>
      </c>
      <c r="AE6" s="86" t="n">
        <f aca="false">IF($B6="","",'مسير ديسمبر'!AB6)</f>
        <v>51333.3219178082</v>
      </c>
      <c r="AF6" s="123" t="n">
        <f aca="false">IF($B6="","",IF(1&lt;=cfg_VAL_M,'مسير يناير'!AB6,0)+IF(2&lt;=cfg_VAL_M,'مسير فبراير'!AB6,0)+IF(3&lt;=cfg_VAL_M,'مسير مارس'!AB6,0)+IF(4&lt;=cfg_VAL_M,'مسير أبريل'!AB6,0)+IF(5&lt;=cfg_VAL_M,'مسير مايو'!AB6,0)+IF(6&lt;=cfg_VAL_M,'مسير يونيو'!AB6,0)+IF(7&lt;=cfg_VAL_M,'مسير يوليو'!AB6,0)+IF(8&lt;=cfg_VAL_M,'مسير أغسطس'!AB6,0)+IF(9&lt;=cfg_VAL_M,'مسير سبتمبر'!AB6,0)+IF(10&lt;=cfg_VAL_M,'مسير أكتوبر'!AB6,0)+IF(11&lt;=cfg_VAL_M,'مسير نوفمبر'!AB6,0)+IF(12&lt;=cfg_VAL_M,'مسير ديسمبر'!AB6,0))</f>
        <v>460757.157534247</v>
      </c>
      <c r="AG6" s="123" t="n">
        <f aca="false">IF($B6="","",IF(1&lt;=cfg_VAL_M,'مسير يناير'!W6,0)+IF(2&lt;=cfg_VAL_M,'مسير فبراير'!W6,0)+IF(3&lt;=cfg_VAL_M,'مسير مارس'!W6,0)+IF(4&lt;=cfg_VAL_M,'مسير أبريل'!W6,0)+IF(5&lt;=cfg_VAL_M,'مسير مايو'!W6,0)+IF(6&lt;=cfg_VAL_M,'مسير يونيو'!W6,0)+IF(7&lt;=cfg_VAL_M,'مسير يوليو'!W6,0)+IF(8&lt;=cfg_VAL_M,'مسير أغسطس'!W6,0)+IF(9&lt;=cfg_VAL_M,'مسير سبتمبر'!W6,0)+IF(10&lt;=cfg_VAL_M,'مسير أكتوبر'!W6,0)+IF(11&lt;=cfg_VAL_M,'مسير نوفمبر'!W6,0)+IF(12&lt;=cfg_VAL_M,'مسير ديسمبر'!W6,0))</f>
        <v>336487.5</v>
      </c>
      <c r="AH6" s="86" t="n">
        <f aca="false">IF($B6="","",AF6/cfg_VAL_M)</f>
        <v>51195.2397260274</v>
      </c>
    </row>
    <row r="7" customFormat="false" ht="15" hidden="false" customHeight="false" outlineLevel="0" collapsed="false">
      <c r="B7" s="91" t="str">
        <f aca="false">IF(الموظفون!$B7="","",الموظفون!$B7)</f>
        <v>E002</v>
      </c>
      <c r="C7" s="91" t="str">
        <f aca="false">IF(الموظفون!$B7="","",الموظفون!$C7)</f>
        <v>أحمد سعيد القحطاني</v>
      </c>
      <c r="D7" s="91" t="str">
        <f aca="false">IF(الموظفون!$B7="","",الموظفون!$F7)</f>
        <v>المالية</v>
      </c>
      <c r="E7" s="91" t="str">
        <f aca="false">IF(الموظفون!$B7="","",الموظفون!$E7)</f>
        <v>سعودي</v>
      </c>
      <c r="F7" s="90" t="n">
        <f aca="false">IF($B7="","",'مسير يناير'!R7)</f>
        <v>25300</v>
      </c>
      <c r="G7" s="90" t="n">
        <f aca="false">IF($B7="","",'مسير فبراير'!R7)</f>
        <v>25300</v>
      </c>
      <c r="H7" s="90" t="n">
        <f aca="false">IF($B7="","",'مسير مارس'!R7)</f>
        <v>25300</v>
      </c>
      <c r="I7" s="90" t="n">
        <f aca="false">IF($B7="","",'مسير أبريل'!R7)</f>
        <v>25300</v>
      </c>
      <c r="J7" s="90" t="n">
        <f aca="false">IF($B7="","",'مسير مايو'!R7)</f>
        <v>25300</v>
      </c>
      <c r="K7" s="90" t="n">
        <f aca="false">IF($B7="","",'مسير يونيو'!R7)</f>
        <v>25300</v>
      </c>
      <c r="L7" s="90" t="n">
        <f aca="false">IF($B7="","",'مسير يوليو'!R7)</f>
        <v>25300</v>
      </c>
      <c r="M7" s="90" t="n">
        <f aca="false">IF($B7="","",'مسير أغسطس'!R7)</f>
        <v>25300</v>
      </c>
      <c r="N7" s="90" t="n">
        <f aca="false">IF($B7="","",'مسير سبتمبر'!R7)</f>
        <v>25300</v>
      </c>
      <c r="O7" s="90" t="n">
        <f aca="false">IF($B7="","",'مسير أكتوبر'!R7)</f>
        <v>25300</v>
      </c>
      <c r="P7" s="90" t="n">
        <f aca="false">IF($B7="","",'مسير نوفمبر'!R7)</f>
        <v>25300</v>
      </c>
      <c r="Q7" s="90" t="n">
        <f aca="false">IF($B7="","",'مسير ديسمبر'!R7)</f>
        <v>25300</v>
      </c>
      <c r="R7" s="124" t="n">
        <f aca="false">IF($B7="","",IF(1&lt;=cfg_VAL_M,'مسير يناير'!R7,0)+IF(2&lt;=cfg_VAL_M,'مسير فبراير'!R7,0)+IF(3&lt;=cfg_VAL_M,'مسير مارس'!R7,0)+IF(4&lt;=cfg_VAL_M,'مسير أبريل'!R7,0)+IF(5&lt;=cfg_VAL_M,'مسير مايو'!R7,0)+IF(6&lt;=cfg_VAL_M,'مسير يونيو'!R7,0)+IF(7&lt;=cfg_VAL_M,'مسير يوليو'!R7,0)+IF(8&lt;=cfg_VAL_M,'مسير أغسطس'!R7,0)+IF(9&lt;=cfg_VAL_M,'مسير سبتمبر'!R7,0)+IF(10&lt;=cfg_VAL_M,'مسير أكتوبر'!R7,0)+IF(11&lt;=cfg_VAL_M,'مسير نوفمبر'!R7,0)+IF(12&lt;=cfg_VAL_M,'مسير ديسمبر'!R7,0))</f>
        <v>227700</v>
      </c>
      <c r="T7" s="90" t="n">
        <f aca="false">IF($B7="","",'مسير يناير'!AB7)</f>
        <v>32071.4212328767</v>
      </c>
      <c r="U7" s="90" t="n">
        <f aca="false">IF($B7="","",'مسير فبراير'!AB7)</f>
        <v>31671.9691780822</v>
      </c>
      <c r="V7" s="90" t="n">
        <f aca="false">IF($B7="","",'مسير مارس'!AB7)</f>
        <v>32071.4212328767</v>
      </c>
      <c r="W7" s="90" t="n">
        <f aca="false">IF($B7="","",'مسير أبريل'!AB7)</f>
        <v>31938.2705479452</v>
      </c>
      <c r="X7" s="90" t="n">
        <f aca="false">IF($B7="","",'مسير مايو'!AB7)</f>
        <v>32071.4212328767</v>
      </c>
      <c r="Y7" s="90" t="n">
        <f aca="false">IF($B7="","",'مسير يونيو'!AB7)</f>
        <v>31938.2705479452</v>
      </c>
      <c r="Z7" s="90" t="n">
        <f aca="false">IF($B7="","",'مسير يوليو'!AB7)</f>
        <v>32071.4212328767</v>
      </c>
      <c r="AA7" s="90" t="n">
        <f aca="false">IF($B7="","",'مسير أغسطس'!AB7)</f>
        <v>32071.4212328767</v>
      </c>
      <c r="AB7" s="90" t="n">
        <f aca="false">IF($B7="","",'مسير سبتمبر'!AB7)</f>
        <v>31938.2705479452</v>
      </c>
      <c r="AC7" s="90" t="n">
        <f aca="false">IF($B7="","",'مسير أكتوبر'!AB7)</f>
        <v>32071.4212328767</v>
      </c>
      <c r="AD7" s="90" t="n">
        <f aca="false">IF($B7="","",'مسير نوفمبر'!AB7)</f>
        <v>31938.2705479452</v>
      </c>
      <c r="AE7" s="90" t="n">
        <f aca="false">IF($B7="","",'مسير ديسمبر'!AB7)</f>
        <v>32071.4212328767</v>
      </c>
      <c r="AF7" s="124" t="n">
        <f aca="false">IF($B7="","",IF(1&lt;=cfg_VAL_M,'مسير يناير'!AB7,0)+IF(2&lt;=cfg_VAL_M,'مسير فبراير'!AB7,0)+IF(3&lt;=cfg_VAL_M,'مسير مارس'!AB7,0)+IF(4&lt;=cfg_VAL_M,'مسير أبريل'!AB7,0)+IF(5&lt;=cfg_VAL_M,'مسير مايو'!AB7,0)+IF(6&lt;=cfg_VAL_M,'مسير يونيو'!AB7,0)+IF(7&lt;=cfg_VAL_M,'مسير يوليو'!AB7,0)+IF(8&lt;=cfg_VAL_M,'مسير أغسطس'!AB7,0)+IF(9&lt;=cfg_VAL_M,'مسير سبتمبر'!AB7,0)+IF(10&lt;=cfg_VAL_M,'مسير أكتوبر'!AB7,0)+IF(11&lt;=cfg_VAL_M,'مسير نوفمبر'!AB7,0)+IF(12&lt;=cfg_VAL_M,'مسير ديسمبر'!AB7,0))</f>
        <v>287843.886986301</v>
      </c>
      <c r="AG7" s="124" t="n">
        <f aca="false">IF($B7="","",IF(1&lt;=cfg_VAL_M,'مسير يناير'!W7,0)+IF(2&lt;=cfg_VAL_M,'مسير فبراير'!W7,0)+IF(3&lt;=cfg_VAL_M,'مسير مارس'!W7,0)+IF(4&lt;=cfg_VAL_M,'مسير أبريل'!W7,0)+IF(5&lt;=cfg_VAL_M,'مسير مايو'!W7,0)+IF(6&lt;=cfg_VAL_M,'مسير يونيو'!W7,0)+IF(7&lt;=cfg_VAL_M,'مسير يوليو'!W7,0)+IF(8&lt;=cfg_VAL_M,'مسير أغسطس'!W7,0)+IF(9&lt;=cfg_VAL_M,'مسير سبتمبر'!W7,0)+IF(10&lt;=cfg_VAL_M,'مسير أكتوبر'!W7,0)+IF(11&lt;=cfg_VAL_M,'مسير نوفمبر'!W7,0)+IF(12&lt;=cfg_VAL_M,'مسير ديسمبر'!W7,0))</f>
        <v>207956.25</v>
      </c>
      <c r="AH7" s="90" t="n">
        <f aca="false">IF($B7="","",AF7/cfg_VAL_M)</f>
        <v>31982.654109589</v>
      </c>
    </row>
    <row r="8" customFormat="false" ht="15" hidden="false" customHeight="false" outlineLevel="0" collapsed="false">
      <c r="B8" s="74" t="str">
        <f aca="false">IF(الموظفون!$B8="","",الموظفون!$B8)</f>
        <v>E003</v>
      </c>
      <c r="C8" s="74" t="str">
        <f aca="false">IF(الموظفون!$B8="","",الموظفون!$C8)</f>
        <v>محمد علي حسن</v>
      </c>
      <c r="D8" s="74" t="str">
        <f aca="false">IF(الموظفون!$B8="","",الموظفون!$F8)</f>
        <v>المالية</v>
      </c>
      <c r="E8" s="74" t="str">
        <f aca="false">IF(الموظفون!$B8="","",الموظفون!$E8)</f>
        <v>غير سعودي</v>
      </c>
      <c r="F8" s="86" t="n">
        <f aca="false">IF($B8="","",'مسير يناير'!R8)</f>
        <v>12786.25</v>
      </c>
      <c r="G8" s="86" t="n">
        <f aca="false">IF($B8="","",'مسير فبراير'!R8)</f>
        <v>12515.8333333333</v>
      </c>
      <c r="H8" s="86" t="n">
        <f aca="false">IF($B8="","",'مسير مارس'!R8)</f>
        <v>11975</v>
      </c>
      <c r="I8" s="86" t="n">
        <f aca="false">IF($B8="","",'مسير أبريل'!R8)</f>
        <v>11975</v>
      </c>
      <c r="J8" s="86" t="n">
        <f aca="false">IF($B8="","",'مسير مايو'!R8)</f>
        <v>11975</v>
      </c>
      <c r="K8" s="86" t="n">
        <f aca="false">IF($B8="","",'مسير يونيو'!R8)</f>
        <v>11975</v>
      </c>
      <c r="L8" s="86" t="n">
        <f aca="false">IF($B8="","",'مسير يوليو'!R8)</f>
        <v>11975</v>
      </c>
      <c r="M8" s="86" t="n">
        <f aca="false">IF($B8="","",'مسير أغسطس'!R8)</f>
        <v>11975</v>
      </c>
      <c r="N8" s="86" t="n">
        <f aca="false">IF($B8="","",'مسير سبتمبر'!R8)</f>
        <v>11975</v>
      </c>
      <c r="O8" s="86" t="n">
        <f aca="false">IF($B8="","",'مسير أكتوبر'!R8)</f>
        <v>11975</v>
      </c>
      <c r="P8" s="86" t="n">
        <f aca="false">IF($B8="","",'مسير نوفمبر'!R8)</f>
        <v>11975</v>
      </c>
      <c r="Q8" s="86" t="n">
        <f aca="false">IF($B8="","",'مسير ديسمبر'!R8)</f>
        <v>11975</v>
      </c>
      <c r="R8" s="123" t="n">
        <f aca="false">IF($B8="","",IF(1&lt;=cfg_VAL_M,'مسير يناير'!R8,0)+IF(2&lt;=cfg_VAL_M,'مسير فبراير'!R8,0)+IF(3&lt;=cfg_VAL_M,'مسير مارس'!R8,0)+IF(4&lt;=cfg_VAL_M,'مسير أبريل'!R8,0)+IF(5&lt;=cfg_VAL_M,'مسير مايو'!R8,0)+IF(6&lt;=cfg_VAL_M,'مسير يونيو'!R8,0)+IF(7&lt;=cfg_VAL_M,'مسير يوليو'!R8,0)+IF(8&lt;=cfg_VAL_M,'مسير أغسطس'!R8,0)+IF(9&lt;=cfg_VAL_M,'مسير سبتمبر'!R8,0)+IF(10&lt;=cfg_VAL_M,'مسير أكتوبر'!R8,0)+IF(11&lt;=cfg_VAL_M,'مسير نوفمبر'!R8,0)+IF(12&lt;=cfg_VAL_M,'مسير ديسمبر'!R8,0))</f>
        <v>109127.083333333</v>
      </c>
      <c r="T8" s="86" t="n">
        <f aca="false">IF($B8="","",'مسير يناير'!AB8)</f>
        <v>15083.8184931507</v>
      </c>
      <c r="U8" s="86" t="n">
        <f aca="false">IF($B8="","",'مسير فبراير'!AB8)</f>
        <v>14611.6210045662</v>
      </c>
      <c r="V8" s="86" t="n">
        <f aca="false">IF($B8="","",'مسير مارس'!AB8)</f>
        <v>14272.5684931507</v>
      </c>
      <c r="W8" s="86" t="n">
        <f aca="false">IF($B8="","",'مسير أبريل'!AB8)</f>
        <v>14205.3082191781</v>
      </c>
      <c r="X8" s="86" t="n">
        <f aca="false">IF($B8="","",'مسير مايو'!AB8)</f>
        <v>14272.5684931507</v>
      </c>
      <c r="Y8" s="86" t="n">
        <f aca="false">IF($B8="","",'مسير يونيو'!AB8)</f>
        <v>14205.3082191781</v>
      </c>
      <c r="Z8" s="86" t="n">
        <f aca="false">IF($B8="","",'مسير يوليو'!AB8)</f>
        <v>14272.5684931507</v>
      </c>
      <c r="AA8" s="86" t="n">
        <f aca="false">IF($B8="","",'مسير أغسطس'!AB8)</f>
        <v>14272.5684931507</v>
      </c>
      <c r="AB8" s="86" t="n">
        <f aca="false">IF($B8="","",'مسير سبتمبر'!AB8)</f>
        <v>14205.3082191781</v>
      </c>
      <c r="AC8" s="86" t="n">
        <f aca="false">IF($B8="","",'مسير أكتوبر'!AB8)</f>
        <v>14272.5684931507</v>
      </c>
      <c r="AD8" s="86" t="n">
        <f aca="false">IF($B8="","",'مسير نوفمبر'!AB8)</f>
        <v>14205.3082191781</v>
      </c>
      <c r="AE8" s="86" t="n">
        <f aca="false">IF($B8="","",'مسير ديسمبر'!AB8)</f>
        <v>14272.5684931507</v>
      </c>
      <c r="AF8" s="123" t="n">
        <f aca="false">IF($B8="","",IF(1&lt;=cfg_VAL_M,'مسير يناير'!AB8,0)+IF(2&lt;=cfg_VAL_M,'مسير فبراير'!AB8,0)+IF(3&lt;=cfg_VAL_M,'مسير مارس'!AB8,0)+IF(4&lt;=cfg_VAL_M,'مسير أبريل'!AB8,0)+IF(5&lt;=cfg_VAL_M,'مسير مايو'!AB8,0)+IF(6&lt;=cfg_VAL_M,'مسير يونيو'!AB8,0)+IF(7&lt;=cfg_VAL_M,'مسير يوليو'!AB8,0)+IF(8&lt;=cfg_VAL_M,'مسير أغسطس'!AB8,0)+IF(9&lt;=cfg_VAL_M,'مسير سبتمبر'!AB8,0)+IF(10&lt;=cfg_VAL_M,'مسير أكتوبر'!AB8,0)+IF(11&lt;=cfg_VAL_M,'مسير نوفمبر'!AB8,0)+IF(12&lt;=cfg_VAL_M,'مسير ديسمبر'!AB8,0))</f>
        <v>129401.638127854</v>
      </c>
      <c r="AG8" s="123" t="n">
        <f aca="false">IF($B8="","",IF(1&lt;=cfg_VAL_M,'مسير يناير'!W8,0)+IF(2&lt;=cfg_VAL_M,'مسير فبراير'!W8,0)+IF(3&lt;=cfg_VAL_M,'مسير مارس'!W8,0)+IF(4&lt;=cfg_VAL_M,'مسير أبريل'!W8,0)+IF(5&lt;=cfg_VAL_M,'مسير مايو'!W8,0)+IF(6&lt;=cfg_VAL_M,'مسير يونيو'!W8,0)+IF(7&lt;=cfg_VAL_M,'مسير يوليو'!W8,0)+IF(8&lt;=cfg_VAL_M,'مسير أغسطس'!W8,0)+IF(9&lt;=cfg_VAL_M,'مسير سبتمبر'!W8,0)+IF(10&lt;=cfg_VAL_M,'مسير أكتوبر'!W8,0)+IF(11&lt;=cfg_VAL_M,'مسير نوفمبر'!W8,0)+IF(12&lt;=cfg_VAL_M,'مسير ديسمبر'!W8,0))</f>
        <v>104127.083333333</v>
      </c>
      <c r="AH8" s="86" t="n">
        <f aca="false">IF($B8="","",AF8/cfg_VAL_M)</f>
        <v>14377.9597919838</v>
      </c>
    </row>
    <row r="9" customFormat="false" ht="15" hidden="false" customHeight="false" outlineLevel="0" collapsed="false">
      <c r="B9" s="91" t="str">
        <f aca="false">IF(الموظفون!$B9="","",الموظفون!$B9)</f>
        <v>E004</v>
      </c>
      <c r="C9" s="91" t="str">
        <f aca="false">IF(الموظفون!$B9="","",الموظفون!$C9)</f>
        <v>نورة خالد الدوسري</v>
      </c>
      <c r="D9" s="91" t="str">
        <f aca="false">IF(الموظفون!$B9="","",الموظفون!$F9)</f>
        <v>الموارد البشرية</v>
      </c>
      <c r="E9" s="91" t="str">
        <f aca="false">IF(الموظفون!$B9="","",الموظفون!$E9)</f>
        <v>سعودي</v>
      </c>
      <c r="F9" s="90" t="n">
        <f aca="false">IF($B9="","",'مسير يناير'!R9)</f>
        <v>18900</v>
      </c>
      <c r="G9" s="90" t="n">
        <f aca="false">IF($B9="","",'مسير فبراير'!R9)</f>
        <v>18900</v>
      </c>
      <c r="H9" s="90" t="n">
        <f aca="false">IF($B9="","",'مسير مارس'!R9)</f>
        <v>18900</v>
      </c>
      <c r="I9" s="90" t="n">
        <f aca="false">IF($B9="","",'مسير أبريل'!R9)</f>
        <v>18900</v>
      </c>
      <c r="J9" s="90" t="n">
        <f aca="false">IF($B9="","",'مسير مايو'!R9)</f>
        <v>18900</v>
      </c>
      <c r="K9" s="90" t="n">
        <f aca="false">IF($B9="","",'مسير يونيو'!R9)</f>
        <v>18900</v>
      </c>
      <c r="L9" s="90" t="n">
        <f aca="false">IF($B9="","",'مسير يوليو'!R9)</f>
        <v>18900</v>
      </c>
      <c r="M9" s="90" t="n">
        <f aca="false">IF($B9="","",'مسير أغسطس'!R9)</f>
        <v>18900</v>
      </c>
      <c r="N9" s="90" t="n">
        <f aca="false">IF($B9="","",'مسير سبتمبر'!R9)</f>
        <v>18900</v>
      </c>
      <c r="O9" s="90" t="n">
        <f aca="false">IF($B9="","",'مسير أكتوبر'!R9)</f>
        <v>18900</v>
      </c>
      <c r="P9" s="90" t="n">
        <f aca="false">IF($B9="","",'مسير نوفمبر'!R9)</f>
        <v>18900</v>
      </c>
      <c r="Q9" s="90" t="n">
        <f aca="false">IF($B9="","",'مسير ديسمبر'!R9)</f>
        <v>18900</v>
      </c>
      <c r="R9" s="124" t="n">
        <f aca="false">IF($B9="","",IF(1&lt;=cfg_VAL_M,'مسير يناير'!R9,0)+IF(2&lt;=cfg_VAL_M,'مسير فبراير'!R9,0)+IF(3&lt;=cfg_VAL_M,'مسير مارس'!R9,0)+IF(4&lt;=cfg_VAL_M,'مسير أبريل'!R9,0)+IF(5&lt;=cfg_VAL_M,'مسير مايو'!R9,0)+IF(6&lt;=cfg_VAL_M,'مسير يونيو'!R9,0)+IF(7&lt;=cfg_VAL_M,'مسير يوليو'!R9,0)+IF(8&lt;=cfg_VAL_M,'مسير أغسطس'!R9,0)+IF(9&lt;=cfg_VAL_M,'مسير سبتمبر'!R9,0)+IF(10&lt;=cfg_VAL_M,'مسير أكتوبر'!R9,0)+IF(11&lt;=cfg_VAL_M,'مسير نوفمبر'!R9,0)+IF(12&lt;=cfg_VAL_M,'مسير ديسمبر'!R9,0))</f>
        <v>170100</v>
      </c>
      <c r="T9" s="90" t="n">
        <f aca="false">IF($B9="","",'مسير يناير'!AB9)</f>
        <v>24166.6609589041</v>
      </c>
      <c r="U9" s="90" t="n">
        <f aca="false">IF($B9="","",'مسير فبراير'!AB9)</f>
        <v>23855.9760273973</v>
      </c>
      <c r="V9" s="90" t="n">
        <f aca="false">IF($B9="","",'مسير مارس'!AB9)</f>
        <v>24166.6609589041</v>
      </c>
      <c r="W9" s="90" t="n">
        <f aca="false">IF($B9="","",'مسير أبريل'!AB9)</f>
        <v>24063.0993150685</v>
      </c>
      <c r="X9" s="90" t="n">
        <f aca="false">IF($B9="","",'مسير مايو'!AB9)</f>
        <v>24166.6609589041</v>
      </c>
      <c r="Y9" s="90" t="n">
        <f aca="false">IF($B9="","",'مسير يونيو'!AB9)</f>
        <v>24063.0993150685</v>
      </c>
      <c r="Z9" s="90" t="n">
        <f aca="false">IF($B9="","",'مسير يوليو'!AB9)</f>
        <v>24166.6609589041</v>
      </c>
      <c r="AA9" s="90" t="n">
        <f aca="false">IF($B9="","",'مسير أغسطس'!AB9)</f>
        <v>24166.6609589041</v>
      </c>
      <c r="AB9" s="90" t="n">
        <f aca="false">IF($B9="","",'مسير سبتمبر'!AB9)</f>
        <v>24063.0993150685</v>
      </c>
      <c r="AC9" s="90" t="n">
        <f aca="false">IF($B9="","",'مسير أكتوبر'!AB9)</f>
        <v>24166.6609589041</v>
      </c>
      <c r="AD9" s="90" t="n">
        <f aca="false">IF($B9="","",'مسير نوفمبر'!AB9)</f>
        <v>24063.0993150685</v>
      </c>
      <c r="AE9" s="90" t="n">
        <f aca="false">IF($B9="","",'مسير ديسمبر'!AB9)</f>
        <v>24166.6609589041</v>
      </c>
      <c r="AF9" s="124" t="n">
        <f aca="false">IF($B9="","",IF(1&lt;=cfg_VAL_M,'مسير يناير'!AB9,0)+IF(2&lt;=cfg_VAL_M,'مسير فبراير'!AB9,0)+IF(3&lt;=cfg_VAL_M,'مسير مارس'!AB9,0)+IF(4&lt;=cfg_VAL_M,'مسير أبريل'!AB9,0)+IF(5&lt;=cfg_VAL_M,'مسير مايو'!AB9,0)+IF(6&lt;=cfg_VAL_M,'مسير يونيو'!AB9,0)+IF(7&lt;=cfg_VAL_M,'مسير يوليو'!AB9,0)+IF(8&lt;=cfg_VAL_M,'مسير أغسطس'!AB9,0)+IF(9&lt;=cfg_VAL_M,'مسير سبتمبر'!AB9,0)+IF(10&lt;=cfg_VAL_M,'مسير أكتوبر'!AB9,0)+IF(11&lt;=cfg_VAL_M,'مسير نوفمبر'!AB9,0)+IF(12&lt;=cfg_VAL_M,'مسير ديسمبر'!AB9,0))</f>
        <v>216878.578767123</v>
      </c>
      <c r="AG9" s="124" t="n">
        <f aca="false">IF($B9="","",IF(1&lt;=cfg_VAL_M,'مسير يناير'!W9,0)+IF(2&lt;=cfg_VAL_M,'مسير فبراير'!W9,0)+IF(3&lt;=cfg_VAL_M,'مسير مارس'!W9,0)+IF(4&lt;=cfg_VAL_M,'مسير أبريل'!W9,0)+IF(5&lt;=cfg_VAL_M,'مسير مايو'!W9,0)+IF(6&lt;=cfg_VAL_M,'مسير يونيو'!W9,0)+IF(7&lt;=cfg_VAL_M,'مسير يوليو'!W9,0)+IF(8&lt;=cfg_VAL_M,'مسير أغسطس'!W9,0)+IF(9&lt;=cfg_VAL_M,'مسير سبتمبر'!W9,0)+IF(10&lt;=cfg_VAL_M,'مسير أكتوبر'!W9,0)+IF(11&lt;=cfg_VAL_M,'مسير نوفمبر'!W9,0)+IF(12&lt;=cfg_VAL_M,'مسير ديسمبر'!W9,0))</f>
        <v>154743.75</v>
      </c>
      <c r="AH9" s="90" t="n">
        <f aca="false">IF($B9="","",AF9/cfg_VAL_M)</f>
        <v>24097.6198630137</v>
      </c>
    </row>
    <row r="10" customFormat="false" ht="15" hidden="false" customHeight="false" outlineLevel="0" collapsed="false">
      <c r="B10" s="74" t="str">
        <f aca="false">IF(الموظفون!$B10="","",الموظفون!$B10)</f>
        <v>E005</v>
      </c>
      <c r="C10" s="74" t="str">
        <f aca="false">IF(الموظفون!$B10="","",الموظفون!$C10)</f>
        <v>راجيش كومار</v>
      </c>
      <c r="D10" s="74" t="str">
        <f aca="false">IF(الموظفون!$B10="","",الموظفون!$F10)</f>
        <v>تقنية المعلومات</v>
      </c>
      <c r="E10" s="74" t="str">
        <f aca="false">IF(الموظفون!$B10="","",الموظفون!$E10)</f>
        <v>غير سعودي</v>
      </c>
      <c r="F10" s="86" t="n">
        <f aca="false">IF($B10="","",'مسير يناير'!R10)</f>
        <v>12850</v>
      </c>
      <c r="G10" s="86" t="n">
        <f aca="false">IF($B10="","",'مسير فبراير'!R10)</f>
        <v>12850</v>
      </c>
      <c r="H10" s="86" t="n">
        <f aca="false">IF($B10="","",'مسير مارس'!R10)</f>
        <v>12850</v>
      </c>
      <c r="I10" s="86" t="n">
        <f aca="false">IF($B10="","",'مسير أبريل'!R10)</f>
        <v>12850</v>
      </c>
      <c r="J10" s="86" t="n">
        <f aca="false">IF($B10="","",'مسير مايو'!R10)</f>
        <v>14006.6666666667</v>
      </c>
      <c r="K10" s="86" t="n">
        <f aca="false">IF($B10="","",'مسير يونيو'!R10)</f>
        <v>12850</v>
      </c>
      <c r="L10" s="86" t="n">
        <f aca="false">IF($B10="","",'مسير يوليو'!R10)</f>
        <v>12850</v>
      </c>
      <c r="M10" s="86" t="n">
        <f aca="false">IF($B10="","",'مسير أغسطس'!R10)</f>
        <v>12850</v>
      </c>
      <c r="N10" s="86" t="n">
        <f aca="false">IF($B10="","",'مسير سبتمبر'!R10)</f>
        <v>12850</v>
      </c>
      <c r="O10" s="86" t="n">
        <f aca="false">IF($B10="","",'مسير أكتوبر'!R10)</f>
        <v>12850</v>
      </c>
      <c r="P10" s="86" t="n">
        <f aca="false">IF($B10="","",'مسير نوفمبر'!R10)</f>
        <v>12850</v>
      </c>
      <c r="Q10" s="86" t="n">
        <f aca="false">IF($B10="","",'مسير ديسمبر'!R10)</f>
        <v>12850</v>
      </c>
      <c r="R10" s="123" t="n">
        <f aca="false">IF($B10="","",IF(1&lt;=cfg_VAL_M,'مسير يناير'!R10,0)+IF(2&lt;=cfg_VAL_M,'مسير فبراير'!R10,0)+IF(3&lt;=cfg_VAL_M,'مسير مارس'!R10,0)+IF(4&lt;=cfg_VAL_M,'مسير أبريل'!R10,0)+IF(5&lt;=cfg_VAL_M,'مسير مايو'!R10,0)+IF(6&lt;=cfg_VAL_M,'مسير يونيو'!R10,0)+IF(7&lt;=cfg_VAL_M,'مسير يوليو'!R10,0)+IF(8&lt;=cfg_VAL_M,'مسير أغسطس'!R10,0)+IF(9&lt;=cfg_VAL_M,'مسير سبتمبر'!R10,0)+IF(10&lt;=cfg_VAL_M,'مسير أكتوبر'!R10,0)+IF(11&lt;=cfg_VAL_M,'مسير نوفمبر'!R10,0)+IF(12&lt;=cfg_VAL_M,'مسير ديسمبر'!R10,0))</f>
        <v>116806.666666667</v>
      </c>
      <c r="T10" s="86" t="n">
        <f aca="false">IF($B10="","",'مسير يناير'!AB10)</f>
        <v>15376.6438356164</v>
      </c>
      <c r="U10" s="86" t="n">
        <f aca="false">IF($B10="","",'مسير فبراير'!AB10)</f>
        <v>15153.904109589</v>
      </c>
      <c r="V10" s="86" t="n">
        <f aca="false">IF($B10="","",'مسير مارس'!AB10)</f>
        <v>15376.6438356164</v>
      </c>
      <c r="W10" s="86" t="n">
        <f aca="false">IF($B10="","",'مسير أبريل'!AB10)</f>
        <v>15302.397260274</v>
      </c>
      <c r="X10" s="86" t="n">
        <f aca="false">IF($B10="","",'مسير مايو'!AB10)</f>
        <v>16533.3105022831</v>
      </c>
      <c r="Y10" s="86" t="n">
        <f aca="false">IF($B10="","",'مسير يونيو'!AB10)</f>
        <v>15302.397260274</v>
      </c>
      <c r="Z10" s="86" t="n">
        <f aca="false">IF($B10="","",'مسير يوليو'!AB10)</f>
        <v>15376.6438356164</v>
      </c>
      <c r="AA10" s="86" t="n">
        <f aca="false">IF($B10="","",'مسير أغسطس'!AB10)</f>
        <v>15376.6438356164</v>
      </c>
      <c r="AB10" s="86" t="n">
        <f aca="false">IF($B10="","",'مسير سبتمبر'!AB10)</f>
        <v>15302.397260274</v>
      </c>
      <c r="AC10" s="86" t="n">
        <f aca="false">IF($B10="","",'مسير أكتوبر'!AB10)</f>
        <v>15376.6438356164</v>
      </c>
      <c r="AD10" s="86" t="n">
        <f aca="false">IF($B10="","",'مسير نوفمبر'!AB10)</f>
        <v>15302.397260274</v>
      </c>
      <c r="AE10" s="86" t="n">
        <f aca="false">IF($B10="","",'مسير ديسمبر'!AB10)</f>
        <v>15376.6438356164</v>
      </c>
      <c r="AF10" s="123" t="n">
        <f aca="false">IF($B10="","",IF(1&lt;=cfg_VAL_M,'مسير يناير'!AB10,0)+IF(2&lt;=cfg_VAL_M,'مسير فبراير'!AB10,0)+IF(3&lt;=cfg_VAL_M,'مسير مارس'!AB10,0)+IF(4&lt;=cfg_VAL_M,'مسير أبريل'!AB10,0)+IF(5&lt;=cfg_VAL_M,'مسير مايو'!AB10,0)+IF(6&lt;=cfg_VAL_M,'مسير يونيو'!AB10,0)+IF(7&lt;=cfg_VAL_M,'مسير يوليو'!AB10,0)+IF(8&lt;=cfg_VAL_M,'مسير أغسطس'!AB10,0)+IF(9&lt;=cfg_VAL_M,'مسير سبتمبر'!AB10,0)+IF(10&lt;=cfg_VAL_M,'مسير أكتوبر'!AB10,0)+IF(11&lt;=cfg_VAL_M,'مسير نوفمبر'!AB10,0)+IF(12&lt;=cfg_VAL_M,'مسير ديسمبر'!AB10,0))</f>
        <v>139100.98173516</v>
      </c>
      <c r="AG10" s="123" t="n">
        <f aca="false">IF($B10="","",IF(1&lt;=cfg_VAL_M,'مسير يناير'!W10,0)+IF(2&lt;=cfg_VAL_M,'مسير فبراير'!W10,0)+IF(3&lt;=cfg_VAL_M,'مسير مارس'!W10,0)+IF(4&lt;=cfg_VAL_M,'مسير أبريل'!W10,0)+IF(5&lt;=cfg_VAL_M,'مسير مايو'!W10,0)+IF(6&lt;=cfg_VAL_M,'مسير يونيو'!W10,0)+IF(7&lt;=cfg_VAL_M,'مسير يوليو'!W10,0)+IF(8&lt;=cfg_VAL_M,'مسير أغسطس'!W10,0)+IF(9&lt;=cfg_VAL_M,'مسير سبتمبر'!W10,0)+IF(10&lt;=cfg_VAL_M,'مسير أكتوبر'!W10,0)+IF(11&lt;=cfg_VAL_M,'مسير نوفمبر'!W10,0)+IF(12&lt;=cfg_VAL_M,'مسير ديسمبر'!W10,0))</f>
        <v>116806.666666667</v>
      </c>
      <c r="AH10" s="86" t="n">
        <f aca="false">IF($B10="","",AF10/cfg_VAL_M)</f>
        <v>15455.66463724</v>
      </c>
    </row>
    <row r="11" customFormat="false" ht="15" hidden="false" customHeight="false" outlineLevel="0" collapsed="false">
      <c r="B11" s="91" t="str">
        <f aca="false">IF(الموظفون!$B11="","",الموظفون!$B11)</f>
        <v>E006</v>
      </c>
      <c r="C11" s="91" t="str">
        <f aca="false">IF(الموظفون!$B11="","",الموظفون!$C11)</f>
        <v>فهد ناصر الشمري</v>
      </c>
      <c r="D11" s="91" t="str">
        <f aca="false">IF(الموظفون!$B11="","",الموظفون!$F11)</f>
        <v>المبيعات</v>
      </c>
      <c r="E11" s="91" t="str">
        <f aca="false">IF(الموظفون!$B11="","",الموظفون!$E11)</f>
        <v>سعودي</v>
      </c>
      <c r="F11" s="90" t="n">
        <f aca="false">IF($B11="","",'مسير يناير'!R11)</f>
        <v>20050</v>
      </c>
      <c r="G11" s="90" t="n">
        <f aca="false">IF($B11="","",'مسير فبراير'!R11)</f>
        <v>25050</v>
      </c>
      <c r="H11" s="90" t="n">
        <f aca="false">IF($B11="","",'مسير مارس'!R11)</f>
        <v>20050</v>
      </c>
      <c r="I11" s="90" t="n">
        <f aca="false">IF($B11="","",'مسير أبريل'!R11)</f>
        <v>20050</v>
      </c>
      <c r="J11" s="90" t="n">
        <f aca="false">IF($B11="","",'مسير مايو'!R11)</f>
        <v>20050</v>
      </c>
      <c r="K11" s="90" t="n">
        <f aca="false">IF($B11="","",'مسير يونيو'!R11)</f>
        <v>26550</v>
      </c>
      <c r="L11" s="90" t="n">
        <f aca="false">IF($B11="","",'مسير يوليو'!R11)</f>
        <v>20050</v>
      </c>
      <c r="M11" s="90" t="n">
        <f aca="false">IF($B11="","",'مسير أغسطس'!R11)</f>
        <v>20050</v>
      </c>
      <c r="N11" s="90" t="n">
        <f aca="false">IF($B11="","",'مسير سبتمبر'!R11)</f>
        <v>20050</v>
      </c>
      <c r="O11" s="90" t="n">
        <f aca="false">IF($B11="","",'مسير أكتوبر'!R11)</f>
        <v>20050</v>
      </c>
      <c r="P11" s="90" t="n">
        <f aca="false">IF($B11="","",'مسير نوفمبر'!R11)</f>
        <v>20050</v>
      </c>
      <c r="Q11" s="90" t="n">
        <f aca="false">IF($B11="","",'مسير ديسمبر'!R11)</f>
        <v>20050</v>
      </c>
      <c r="R11" s="124" t="n">
        <f aca="false">IF($B11="","",IF(1&lt;=cfg_VAL_M,'مسير يناير'!R11,0)+IF(2&lt;=cfg_VAL_M,'مسير فبراير'!R11,0)+IF(3&lt;=cfg_VAL_M,'مسير مارس'!R11,0)+IF(4&lt;=cfg_VAL_M,'مسير أبريل'!R11,0)+IF(5&lt;=cfg_VAL_M,'مسير مايو'!R11,0)+IF(6&lt;=cfg_VAL_M,'مسير يونيو'!R11,0)+IF(7&lt;=cfg_VAL_M,'مسير يوليو'!R11,0)+IF(8&lt;=cfg_VAL_M,'مسير أغسطس'!R11,0)+IF(9&lt;=cfg_VAL_M,'مسير سبتمبر'!R11,0)+IF(10&lt;=cfg_VAL_M,'مسير أكتوبر'!R11,0)+IF(11&lt;=cfg_VAL_M,'مسير نوفمبر'!R11,0)+IF(12&lt;=cfg_VAL_M,'مسير ديسمبر'!R11,0))</f>
        <v>191950</v>
      </c>
      <c r="T11" s="90" t="n">
        <f aca="false">IF($B11="","",'مسير يناير'!AB11)</f>
        <v>24940.470890411</v>
      </c>
      <c r="U11" s="90" t="n">
        <f aca="false">IF($B11="","",'مسير فبراير'!AB11)</f>
        <v>29651.977739726</v>
      </c>
      <c r="V11" s="90" t="n">
        <f aca="false">IF($B11="","",'مسير مارس'!AB11)</f>
        <v>24940.470890411</v>
      </c>
      <c r="W11" s="90" t="n">
        <f aca="false">IF($B11="","",'مسير أبريل'!AB11)</f>
        <v>24844.3065068493</v>
      </c>
      <c r="X11" s="90" t="n">
        <f aca="false">IF($B11="","",'مسير مايو'!AB11)</f>
        <v>24940.470890411</v>
      </c>
      <c r="Y11" s="90" t="n">
        <f aca="false">IF($B11="","",'مسير يونيو'!AB11)</f>
        <v>31344.3065068493</v>
      </c>
      <c r="Z11" s="90" t="n">
        <f aca="false">IF($B11="","",'مسير يوليو'!AB11)</f>
        <v>24940.4708904109</v>
      </c>
      <c r="AA11" s="90" t="n">
        <f aca="false">IF($B11="","",'مسير أغسطس'!AB11)</f>
        <v>24940.470890411</v>
      </c>
      <c r="AB11" s="90" t="n">
        <f aca="false">IF($B11="","",'مسير سبتمبر'!AB11)</f>
        <v>24844.3065068493</v>
      </c>
      <c r="AC11" s="90" t="n">
        <f aca="false">IF($B11="","",'مسير أكتوبر'!AB11)</f>
        <v>24940.470890411</v>
      </c>
      <c r="AD11" s="90" t="n">
        <f aca="false">IF($B11="","",'مسير نوفمبر'!AB11)</f>
        <v>24844.3065068493</v>
      </c>
      <c r="AE11" s="90" t="n">
        <f aca="false">IF($B11="","",'مسير ديسمبر'!AB11)</f>
        <v>24940.470890411</v>
      </c>
      <c r="AF11" s="124" t="n">
        <f aca="false">IF($B11="","",IF(1&lt;=cfg_VAL_M,'مسير يناير'!AB11,0)+IF(2&lt;=cfg_VAL_M,'مسير فبراير'!AB11,0)+IF(3&lt;=cfg_VAL_M,'مسير مارس'!AB11,0)+IF(4&lt;=cfg_VAL_M,'مسير أبريل'!AB11,0)+IF(5&lt;=cfg_VAL_M,'مسير مايو'!AB11,0)+IF(6&lt;=cfg_VAL_M,'مسير يونيو'!AB11,0)+IF(7&lt;=cfg_VAL_M,'مسير يوليو'!AB11,0)+IF(8&lt;=cfg_VAL_M,'مسير أغسطس'!AB11,0)+IF(9&lt;=cfg_VAL_M,'مسير سبتمبر'!AB11,0)+IF(10&lt;=cfg_VAL_M,'مسير أكتوبر'!AB11,0)+IF(11&lt;=cfg_VAL_M,'مسير نوفمبر'!AB11,0)+IF(12&lt;=cfg_VAL_M,'مسير ديسمبر'!AB11,0))</f>
        <v>235387.251712329</v>
      </c>
      <c r="AG11" s="124" t="n">
        <f aca="false">IF($B11="","",IF(1&lt;=cfg_VAL_M,'مسير يناير'!W11,0)+IF(2&lt;=cfg_VAL_M,'مسير فبراير'!W11,0)+IF(3&lt;=cfg_VAL_M,'مسير مارس'!W11,0)+IF(4&lt;=cfg_VAL_M,'مسير أبريل'!W11,0)+IF(5&lt;=cfg_VAL_M,'مسير مايو'!W11,0)+IF(6&lt;=cfg_VAL_M,'مسير يونيو'!W11,0)+IF(7&lt;=cfg_VAL_M,'مسير يوليو'!W11,0)+IF(8&lt;=cfg_VAL_M,'مسير أغسطس'!W11,0)+IF(9&lt;=cfg_VAL_M,'مسير سبتمبر'!W11,0)+IF(10&lt;=cfg_VAL_M,'مسير أكتوبر'!W11,0)+IF(11&lt;=cfg_VAL_M,'مسير نوفمبر'!W11,0)+IF(12&lt;=cfg_VAL_M,'مسير ديسمبر'!W11,0))</f>
        <v>177440.625</v>
      </c>
      <c r="AH11" s="90" t="n">
        <f aca="false">IF($B11="","",AF11/cfg_VAL_M)</f>
        <v>26154.1390791476</v>
      </c>
    </row>
    <row r="12" customFormat="false" ht="15" hidden="false" customHeight="false" outlineLevel="0" collapsed="false">
      <c r="B12" s="74" t="str">
        <f aca="false">IF(الموظفون!$B12="","",الموظفون!$B12)</f>
        <v>E007</v>
      </c>
      <c r="C12" s="74" t="str">
        <f aca="false">IF(الموظفون!$B12="","",الموظفون!$C12)</f>
        <v>خالد يوسف الأحمد</v>
      </c>
      <c r="D12" s="74" t="str">
        <f aca="false">IF(الموظفون!$B12="","",الموظفون!$F12)</f>
        <v>المشاريع</v>
      </c>
      <c r="E12" s="74" t="str">
        <f aca="false">IF(الموظفون!$B12="","",الموظفون!$E12)</f>
        <v>غير سعودي</v>
      </c>
      <c r="F12" s="86" t="n">
        <f aca="false">IF($B12="","",'مسير يناير'!R12)</f>
        <v>15650</v>
      </c>
      <c r="G12" s="86" t="n">
        <f aca="false">IF($B12="","",'مسير فبراير'!R12)</f>
        <v>15650</v>
      </c>
      <c r="H12" s="86" t="n">
        <f aca="false">IF($B12="","",'مسير مارس'!R12)</f>
        <v>16531.25</v>
      </c>
      <c r="I12" s="86" t="n">
        <f aca="false">IF($B12="","",'مسير أبريل'!R12)</f>
        <v>15650</v>
      </c>
      <c r="J12" s="86" t="n">
        <f aca="false">IF($B12="","",'مسير مايو'!R12)</f>
        <v>15650</v>
      </c>
      <c r="K12" s="86" t="n">
        <f aca="false">IF($B12="","",'مسير يونيو'!R12)</f>
        <v>15650</v>
      </c>
      <c r="L12" s="86" t="n">
        <f aca="false">IF($B12="","",'مسير يوليو'!R12)</f>
        <v>15650</v>
      </c>
      <c r="M12" s="86" t="n">
        <f aca="false">IF($B12="","",'مسير أغسطس'!R12)</f>
        <v>15650</v>
      </c>
      <c r="N12" s="86" t="n">
        <f aca="false">IF($B12="","",'مسير سبتمبر'!R12)</f>
        <v>15650</v>
      </c>
      <c r="O12" s="86" t="n">
        <f aca="false">IF($B12="","",'مسير أكتوبر'!R12)</f>
        <v>15650</v>
      </c>
      <c r="P12" s="86" t="n">
        <f aca="false">IF($B12="","",'مسير نوفمبر'!R12)</f>
        <v>15650</v>
      </c>
      <c r="Q12" s="86" t="n">
        <f aca="false">IF($B12="","",'مسير ديسمبر'!R12)</f>
        <v>15650</v>
      </c>
      <c r="R12" s="123" t="n">
        <f aca="false">IF($B12="","",IF(1&lt;=cfg_VAL_M,'مسير يناير'!R12,0)+IF(2&lt;=cfg_VAL_M,'مسير فبراير'!R12,0)+IF(3&lt;=cfg_VAL_M,'مسير مارس'!R12,0)+IF(4&lt;=cfg_VAL_M,'مسير أبريل'!R12,0)+IF(5&lt;=cfg_VAL_M,'مسير مايو'!R12,0)+IF(6&lt;=cfg_VAL_M,'مسير يونيو'!R12,0)+IF(7&lt;=cfg_VAL_M,'مسير يوليو'!R12,0)+IF(8&lt;=cfg_VAL_M,'مسير أغسطس'!R12,0)+IF(9&lt;=cfg_VAL_M,'مسير سبتمبر'!R12,0)+IF(10&lt;=cfg_VAL_M,'مسير أكتوبر'!R12,0)+IF(11&lt;=cfg_VAL_M,'مسير نوفمبر'!R12,0)+IF(12&lt;=cfg_VAL_M,'مسير ديسمبر'!R12,0))</f>
        <v>141731.25</v>
      </c>
      <c r="T12" s="86" t="n">
        <f aca="false">IF($B12="","",'مسير يناير'!AB12)</f>
        <v>18463.4931506849</v>
      </c>
      <c r="U12" s="86" t="n">
        <f aca="false">IF($B12="","",'مسير فبراير'!AB12)</f>
        <v>18548.5616438356</v>
      </c>
      <c r="V12" s="86" t="n">
        <f aca="false">IF($B12="","",'مسير مارس'!AB12)</f>
        <v>19710.9075342466</v>
      </c>
      <c r="W12" s="86" t="n">
        <f aca="false">IF($B12="","",'مسير أبريل'!AB12)</f>
        <v>18735.9589041096</v>
      </c>
      <c r="X12" s="86" t="n">
        <f aca="false">IF($B12="","",'مسير مايو'!AB12)</f>
        <v>18829.6575342466</v>
      </c>
      <c r="Y12" s="86" t="n">
        <f aca="false">IF($B12="","",'مسير يونيو'!AB12)</f>
        <v>18735.9589041096</v>
      </c>
      <c r="Z12" s="86" t="n">
        <f aca="false">IF($B12="","",'مسير يوليو'!AB12)</f>
        <v>18829.6575342466</v>
      </c>
      <c r="AA12" s="86" t="n">
        <f aca="false">IF($B12="","",'مسير أغسطس'!AB12)</f>
        <v>18829.6575342466</v>
      </c>
      <c r="AB12" s="86" t="n">
        <f aca="false">IF($B12="","",'مسير سبتمبر'!AB12)</f>
        <v>18735.9589041096</v>
      </c>
      <c r="AC12" s="86" t="n">
        <f aca="false">IF($B12="","",'مسير أكتوبر'!AB12)</f>
        <v>18829.6575342466</v>
      </c>
      <c r="AD12" s="86" t="n">
        <f aca="false">IF($B12="","",'مسير نوفمبر'!AB12)</f>
        <v>18735.9589041096</v>
      </c>
      <c r="AE12" s="86" t="n">
        <f aca="false">IF($B12="","",'مسير ديسمبر'!AB12)</f>
        <v>18829.6575342466</v>
      </c>
      <c r="AF12" s="123" t="n">
        <f aca="false">IF($B12="","",IF(1&lt;=cfg_VAL_M,'مسير يناير'!AB12,0)+IF(2&lt;=cfg_VAL_M,'مسير فبراير'!AB12,0)+IF(3&lt;=cfg_VAL_M,'مسير مارس'!AB12,0)+IF(4&lt;=cfg_VAL_M,'مسير أبريل'!AB12,0)+IF(5&lt;=cfg_VAL_M,'مسير مايو'!AB12,0)+IF(6&lt;=cfg_VAL_M,'مسير يونيو'!AB12,0)+IF(7&lt;=cfg_VAL_M,'مسير يوليو'!AB12,0)+IF(8&lt;=cfg_VAL_M,'مسير أغسطس'!AB12,0)+IF(9&lt;=cfg_VAL_M,'مسير سبتمبر'!AB12,0)+IF(10&lt;=cfg_VAL_M,'مسير أكتوبر'!AB12,0)+IF(11&lt;=cfg_VAL_M,'مسير نوفمبر'!AB12,0)+IF(12&lt;=cfg_VAL_M,'مسير ديسمبر'!AB12,0))</f>
        <v>169419.811643836</v>
      </c>
      <c r="AG12" s="123" t="n">
        <f aca="false">IF($B12="","",IF(1&lt;=cfg_VAL_M,'مسير يناير'!W12,0)+IF(2&lt;=cfg_VAL_M,'مسير فبراير'!W12,0)+IF(3&lt;=cfg_VAL_M,'مسير مارس'!W12,0)+IF(4&lt;=cfg_VAL_M,'مسير أبريل'!W12,0)+IF(5&lt;=cfg_VAL_M,'مسير مايو'!W12,0)+IF(6&lt;=cfg_VAL_M,'مسير يونيو'!W12,0)+IF(7&lt;=cfg_VAL_M,'مسير يوليو'!W12,0)+IF(8&lt;=cfg_VAL_M,'مسير أغسطس'!W12,0)+IF(9&lt;=cfg_VAL_M,'مسير سبتمبر'!W12,0)+IF(10&lt;=cfg_VAL_M,'مسير أكتوبر'!W12,0)+IF(11&lt;=cfg_VAL_M,'مسير نوفمبر'!W12,0)+IF(12&lt;=cfg_VAL_M,'مسير ديسمبر'!W12,0))</f>
        <v>141731.25</v>
      </c>
      <c r="AH12" s="86" t="n">
        <f aca="false">IF($B12="","",AF12/cfg_VAL_M)</f>
        <v>18824.4235159817</v>
      </c>
    </row>
    <row r="13" customFormat="false" ht="15" hidden="false" customHeight="false" outlineLevel="0" collapsed="false">
      <c r="B13" s="91" t="str">
        <f aca="false">IF(الموظفون!$B13="","",الموظفون!$B13)</f>
        <v>E008</v>
      </c>
      <c r="C13" s="91" t="str">
        <f aca="false">IF(الموظفون!$B13="","",الموظفون!$C13)</f>
        <v>سارة عبدالرحمن الزهراني</v>
      </c>
      <c r="D13" s="91" t="str">
        <f aca="false">IF(الموظفون!$B13="","",الموظفون!$F13)</f>
        <v>المالية</v>
      </c>
      <c r="E13" s="91" t="str">
        <f aca="false">IF(الموظفون!$B13="","",الموظفون!$E13)</f>
        <v>سعودي</v>
      </c>
      <c r="F13" s="90" t="n">
        <f aca="false">IF($B13="","",'مسير يناير'!R13)</f>
        <v>10125</v>
      </c>
      <c r="G13" s="90" t="n">
        <f aca="false">IF($B13="","",'مسير فبراير'!R13)</f>
        <v>10125</v>
      </c>
      <c r="H13" s="90" t="n">
        <f aca="false">IF($B13="","",'مسير مارس'!R13)</f>
        <v>10125</v>
      </c>
      <c r="I13" s="90" t="n">
        <f aca="false">IF($B13="","",'مسير أبريل'!R13)</f>
        <v>10125</v>
      </c>
      <c r="J13" s="90" t="n">
        <f aca="false">IF($B13="","",'مسير مايو'!R13)</f>
        <v>10125</v>
      </c>
      <c r="K13" s="90" t="n">
        <f aca="false">IF($B13="","",'مسير يونيو'!R13)</f>
        <v>10125</v>
      </c>
      <c r="L13" s="90" t="n">
        <f aca="false">IF($B13="","",'مسير يوليو'!R13)</f>
        <v>10125</v>
      </c>
      <c r="M13" s="90" t="n">
        <f aca="false">IF($B13="","",'مسير أغسطس'!R13)</f>
        <v>9112.5</v>
      </c>
      <c r="N13" s="90" t="n">
        <f aca="false">IF($B13="","",'مسير سبتمبر'!R13)</f>
        <v>10125</v>
      </c>
      <c r="O13" s="90" t="n">
        <f aca="false">IF($B13="","",'مسير أكتوبر'!R13)</f>
        <v>10125</v>
      </c>
      <c r="P13" s="90" t="n">
        <f aca="false">IF($B13="","",'مسير نوفمبر'!R13)</f>
        <v>10125</v>
      </c>
      <c r="Q13" s="90" t="n">
        <f aca="false">IF($B13="","",'مسير ديسمبر'!R13)</f>
        <v>10125</v>
      </c>
      <c r="R13" s="124" t="n">
        <f aca="false">IF($B13="","",IF(1&lt;=cfg_VAL_M,'مسير يناير'!R13,0)+IF(2&lt;=cfg_VAL_M,'مسير فبراير'!R13,0)+IF(3&lt;=cfg_VAL_M,'مسير مارس'!R13,0)+IF(4&lt;=cfg_VAL_M,'مسير أبريل'!R13,0)+IF(5&lt;=cfg_VAL_M,'مسير مايو'!R13,0)+IF(6&lt;=cfg_VAL_M,'مسير يونيو'!R13,0)+IF(7&lt;=cfg_VAL_M,'مسير يوليو'!R13,0)+IF(8&lt;=cfg_VAL_M,'مسير أغسطس'!R13,0)+IF(9&lt;=cfg_VAL_M,'مسير سبتمبر'!R13,0)+IF(10&lt;=cfg_VAL_M,'مسير أكتوبر'!R13,0)+IF(11&lt;=cfg_VAL_M,'مسير نوفمبر'!R13,0)+IF(12&lt;=cfg_VAL_M,'مسير ديسمبر'!R13,0))</f>
        <v>90112.5</v>
      </c>
      <c r="T13" s="90" t="n">
        <f aca="false">IF($B13="","",'مسير يناير'!AB13)</f>
        <v>12258.4803082192</v>
      </c>
      <c r="U13" s="90" t="n">
        <f aca="false">IF($B13="","",'مسير فبراير'!AB13)</f>
        <v>12158.6172945205</v>
      </c>
      <c r="V13" s="90" t="n">
        <f aca="false">IF($B13="","",'مسير مارس'!AB13)</f>
        <v>12258.4803082192</v>
      </c>
      <c r="W13" s="90" t="n">
        <f aca="false">IF($B13="","",'مسير أبريل'!AB13)</f>
        <v>12225.1926369863</v>
      </c>
      <c r="X13" s="90" t="n">
        <f aca="false">IF($B13="","",'مسير مايو'!AB13)</f>
        <v>12258.4803082192</v>
      </c>
      <c r="Y13" s="90" t="n">
        <f aca="false">IF($B13="","",'مسير يونيو'!AB13)</f>
        <v>12225.1926369863</v>
      </c>
      <c r="Z13" s="90" t="n">
        <f aca="false">IF($B13="","",'مسير يوليو'!AB13)</f>
        <v>12258.4803082192</v>
      </c>
      <c r="AA13" s="90" t="n">
        <f aca="false">IF($B13="","",'مسير أغسطس'!AB13)</f>
        <v>11245.9803082192</v>
      </c>
      <c r="AB13" s="90" t="n">
        <f aca="false">IF($B13="","",'مسير سبتمبر'!AB13)</f>
        <v>12225.1926369863</v>
      </c>
      <c r="AC13" s="90" t="n">
        <f aca="false">IF($B13="","",'مسير أكتوبر'!AB13)</f>
        <v>12258.4803082192</v>
      </c>
      <c r="AD13" s="90" t="n">
        <f aca="false">IF($B13="","",'مسير نوفمبر'!AB13)</f>
        <v>12225.1926369863</v>
      </c>
      <c r="AE13" s="90" t="n">
        <f aca="false">IF($B13="","",'مسير ديسمبر'!AB13)</f>
        <v>12258.4803082192</v>
      </c>
      <c r="AF13" s="124" t="n">
        <f aca="false">IF($B13="","",IF(1&lt;=cfg_VAL_M,'مسير يناير'!AB13,0)+IF(2&lt;=cfg_VAL_M,'مسير فبراير'!AB13,0)+IF(3&lt;=cfg_VAL_M,'مسير مارس'!AB13,0)+IF(4&lt;=cfg_VAL_M,'مسير أبريل'!AB13,0)+IF(5&lt;=cfg_VAL_M,'مسير مايو'!AB13,0)+IF(6&lt;=cfg_VAL_M,'مسير يونيو'!AB13,0)+IF(7&lt;=cfg_VAL_M,'مسير يوليو'!AB13,0)+IF(8&lt;=cfg_VAL_M,'مسير أغسطس'!AB13,0)+IF(9&lt;=cfg_VAL_M,'مسير سبتمبر'!AB13,0)+IF(10&lt;=cfg_VAL_M,'مسير أكتوبر'!AB13,0)+IF(11&lt;=cfg_VAL_M,'مسير نوفمبر'!AB13,0)+IF(12&lt;=cfg_VAL_M,'مسير ديسمبر'!AB13,0))</f>
        <v>109114.096746575</v>
      </c>
      <c r="AG13" s="124" t="n">
        <f aca="false">IF($B13="","",IF(1&lt;=cfg_VAL_M,'مسير يناير'!W13,0)+IF(2&lt;=cfg_VAL_M,'مسير فبراير'!W13,0)+IF(3&lt;=cfg_VAL_M,'مسير مارس'!W13,0)+IF(4&lt;=cfg_VAL_M,'مسير أبريل'!W13,0)+IF(5&lt;=cfg_VAL_M,'مسير مايو'!W13,0)+IF(6&lt;=cfg_VAL_M,'مسير يونيو'!W13,0)+IF(7&lt;=cfg_VAL_M,'مسير يوليو'!W13,0)+IF(8&lt;=cfg_VAL_M,'مسير أغسطس'!W13,0)+IF(9&lt;=cfg_VAL_M,'مسير سبتمبر'!W13,0)+IF(10&lt;=cfg_VAL_M,'مسير أكتوبر'!W13,0)+IF(11&lt;=cfg_VAL_M,'مسير نوفمبر'!W13,0)+IF(12&lt;=cfg_VAL_M,'مسير ديسمبر'!W13,0))</f>
        <v>81885.9375</v>
      </c>
      <c r="AH13" s="90" t="n">
        <f aca="false">IF($B13="","",AF13/cfg_VAL_M)</f>
        <v>12123.7885273973</v>
      </c>
    </row>
    <row r="14" customFormat="false" ht="15" hidden="false" customHeight="false" outlineLevel="0" collapsed="false">
      <c r="B14" s="74" t="str">
        <f aca="false">IF(الموظفون!$B14="","",الموظفون!$B14)</f>
        <v>E009</v>
      </c>
      <c r="C14" s="74" t="str">
        <f aca="false">IF(الموظفون!$B14="","",الموظفون!$C14)</f>
        <v>محمد رفيق</v>
      </c>
      <c r="D14" s="74" t="str">
        <f aca="false">IF(الموظفون!$B14="","",الموظفون!$F14)</f>
        <v>العمليات</v>
      </c>
      <c r="E14" s="74" t="str">
        <f aca="false">IF(الموظفون!$B14="","",الموظفون!$E14)</f>
        <v>غير سعودي</v>
      </c>
      <c r="F14" s="86" t="n">
        <f aca="false">IF($B14="","",'مسير يناير'!R14)</f>
        <v>9799.58333333333</v>
      </c>
      <c r="G14" s="86" t="n">
        <f aca="false">IF($B14="","",'مسير فبراير'!R14)</f>
        <v>9075</v>
      </c>
      <c r="H14" s="86" t="n">
        <f aca="false">IF($B14="","",'مسير مارس'!R14)</f>
        <v>9075</v>
      </c>
      <c r="I14" s="86" t="n">
        <f aca="false">IF($B14="","",'مسير أبريل'!R14)</f>
        <v>9075</v>
      </c>
      <c r="J14" s="86" t="n">
        <f aca="false">IF($B14="","",'مسير مايو'!R14)</f>
        <v>9075</v>
      </c>
      <c r="K14" s="86" t="n">
        <f aca="false">IF($B14="","",'مسير يونيو'!R14)</f>
        <v>9075</v>
      </c>
      <c r="L14" s="86" t="n">
        <f aca="false">IF($B14="","",'مسير يوليو'!R14)</f>
        <v>9075</v>
      </c>
      <c r="M14" s="86" t="n">
        <f aca="false">IF($B14="","",'مسير أغسطس'!R14)</f>
        <v>9075</v>
      </c>
      <c r="N14" s="86" t="n">
        <f aca="false">IF($B14="","",'مسير سبتمبر'!R14)</f>
        <v>9075</v>
      </c>
      <c r="O14" s="86" t="n">
        <f aca="false">IF($B14="","",'مسير أكتوبر'!R14)</f>
        <v>9075</v>
      </c>
      <c r="P14" s="86" t="n">
        <f aca="false">IF($B14="","",'مسير نوفمبر'!R14)</f>
        <v>9075</v>
      </c>
      <c r="Q14" s="86" t="n">
        <f aca="false">IF($B14="","",'مسير ديسمبر'!R14)</f>
        <v>9075</v>
      </c>
      <c r="R14" s="123" t="n">
        <f aca="false">IF($B14="","",IF(1&lt;=cfg_VAL_M,'مسير يناير'!R14,0)+IF(2&lt;=cfg_VAL_M,'مسير فبراير'!R14,0)+IF(3&lt;=cfg_VAL_M,'مسير مارس'!R14,0)+IF(4&lt;=cfg_VAL_M,'مسير أبريل'!R14,0)+IF(5&lt;=cfg_VAL_M,'مسير مايو'!R14,0)+IF(6&lt;=cfg_VAL_M,'مسير يونيو'!R14,0)+IF(7&lt;=cfg_VAL_M,'مسير يوليو'!R14,0)+IF(8&lt;=cfg_VAL_M,'مسير أغسطس'!R14,0)+IF(9&lt;=cfg_VAL_M,'مسير سبتمبر'!R14,0)+IF(10&lt;=cfg_VAL_M,'مسير أكتوبر'!R14,0)+IF(11&lt;=cfg_VAL_M,'مسير نوفمبر'!R14,0)+IF(12&lt;=cfg_VAL_M,'مسير ديسمبر'!R14,0))</f>
        <v>82399.5833333333</v>
      </c>
      <c r="T14" s="86" t="n">
        <f aca="false">IF($B14="","",'مسير يناير'!AB14)</f>
        <v>11546.055936073</v>
      </c>
      <c r="U14" s="86" t="n">
        <f aca="false">IF($B14="","",'مسير فبراير'!AB14)</f>
        <v>10668.1849315069</v>
      </c>
      <c r="V14" s="86" t="n">
        <f aca="false">IF($B14="","",'مسير مارس'!AB14)</f>
        <v>10821.4726027397</v>
      </c>
      <c r="W14" s="86" t="n">
        <f aca="false">IF($B14="","",'مسير أبريل'!AB14)</f>
        <v>10770.3767123288</v>
      </c>
      <c r="X14" s="86" t="n">
        <f aca="false">IF($B14="","",'مسير مايو'!AB14)</f>
        <v>10821.4726027397</v>
      </c>
      <c r="Y14" s="86" t="n">
        <f aca="false">IF($B14="","",'مسير يونيو'!AB14)</f>
        <v>10770.3767123288</v>
      </c>
      <c r="Z14" s="86" t="n">
        <f aca="false">IF($B14="","",'مسير يوليو'!AB14)</f>
        <v>10821.4726027397</v>
      </c>
      <c r="AA14" s="86" t="n">
        <f aca="false">IF($B14="","",'مسير أغسطس'!AB14)</f>
        <v>10821.4726027397</v>
      </c>
      <c r="AB14" s="86" t="n">
        <f aca="false">IF($B14="","",'مسير سبتمبر'!AB14)</f>
        <v>10770.3767123288</v>
      </c>
      <c r="AC14" s="86" t="n">
        <f aca="false">IF($B14="","",'مسير أكتوبر'!AB14)</f>
        <v>10821.4726027397</v>
      </c>
      <c r="AD14" s="86" t="n">
        <f aca="false">IF($B14="","",'مسير نوفمبر'!AB14)</f>
        <v>10770.3767123288</v>
      </c>
      <c r="AE14" s="86" t="n">
        <f aca="false">IF($B14="","",'مسير ديسمبر'!AB14)</f>
        <v>10821.4726027397</v>
      </c>
      <c r="AF14" s="123" t="n">
        <f aca="false">IF($B14="","",IF(1&lt;=cfg_VAL_M,'مسير يناير'!AB14,0)+IF(2&lt;=cfg_VAL_M,'مسير فبراير'!AB14,0)+IF(3&lt;=cfg_VAL_M,'مسير مارس'!AB14,0)+IF(4&lt;=cfg_VAL_M,'مسير أبريل'!AB14,0)+IF(5&lt;=cfg_VAL_M,'مسير مايو'!AB14,0)+IF(6&lt;=cfg_VAL_M,'مسير يونيو'!AB14,0)+IF(7&lt;=cfg_VAL_M,'مسير يوليو'!AB14,0)+IF(8&lt;=cfg_VAL_M,'مسير أغسطس'!AB14,0)+IF(9&lt;=cfg_VAL_M,'مسير سبتمبر'!AB14,0)+IF(10&lt;=cfg_VAL_M,'مسير أكتوبر'!AB14,0)+IF(11&lt;=cfg_VAL_M,'مسير نوفمبر'!AB14,0)+IF(12&lt;=cfg_VAL_M,'مسير ديسمبر'!AB14,0))</f>
        <v>97811.2614155251</v>
      </c>
      <c r="AG14" s="123" t="n">
        <f aca="false">IF($B14="","",IF(1&lt;=cfg_VAL_M,'مسير يناير'!W14,0)+IF(2&lt;=cfg_VAL_M,'مسير فبراير'!W14,0)+IF(3&lt;=cfg_VAL_M,'مسير مارس'!W14,0)+IF(4&lt;=cfg_VAL_M,'مسير أبريل'!W14,0)+IF(5&lt;=cfg_VAL_M,'مسير مايو'!W14,0)+IF(6&lt;=cfg_VAL_M,'مسير يونيو'!W14,0)+IF(7&lt;=cfg_VAL_M,'مسير يوليو'!W14,0)+IF(8&lt;=cfg_VAL_M,'مسير أغسطس'!W14,0)+IF(9&lt;=cfg_VAL_M,'مسير سبتمبر'!W14,0)+IF(10&lt;=cfg_VAL_M,'مسير أكتوبر'!W14,0)+IF(11&lt;=cfg_VAL_M,'مسير نوفمبر'!W14,0)+IF(12&lt;=cfg_VAL_M,'مسير ديسمبر'!W14,0))</f>
        <v>82299.5833333333</v>
      </c>
      <c r="AH14" s="86" t="n">
        <f aca="false">IF($B14="","",AF14/cfg_VAL_M)</f>
        <v>10867.9179350583</v>
      </c>
    </row>
    <row r="15" customFormat="false" ht="15" hidden="false" customHeight="false" outlineLevel="0" collapsed="false">
      <c r="B15" s="91" t="str">
        <f aca="false">IF(الموظفون!$B15="","",الموظفون!$B15)</f>
        <v>E010</v>
      </c>
      <c r="C15" s="91" t="str">
        <f aca="false">IF(الموظفون!$B15="","",الموظفون!$C15)</f>
        <v>ريم سلطان المطيري</v>
      </c>
      <c r="D15" s="91" t="str">
        <f aca="false">IF(الموظفون!$B15="","",الموظفون!$F15)</f>
        <v>المبيعات</v>
      </c>
      <c r="E15" s="91" t="str">
        <f aca="false">IF(الموظفون!$B15="","",الموظفون!$E15)</f>
        <v>سعودي</v>
      </c>
      <c r="F15" s="90" t="n">
        <f aca="false">IF($B15="","",'مسير يناير'!R15)</f>
        <v>0</v>
      </c>
      <c r="G15" s="90" t="n">
        <f aca="false">IF($B15="","",'مسير فبراير'!R15)</f>
        <v>0</v>
      </c>
      <c r="H15" s="90" t="n">
        <f aca="false">IF($B15="","",'مسير مارس'!R15)</f>
        <v>0</v>
      </c>
      <c r="I15" s="90" t="n">
        <f aca="false">IF($B15="","",'مسير أبريل'!R15)</f>
        <v>6480</v>
      </c>
      <c r="J15" s="90" t="n">
        <f aca="false">IF($B15="","",'مسير مايو'!R15)</f>
        <v>12150</v>
      </c>
      <c r="K15" s="90" t="n">
        <f aca="false">IF($B15="","",'مسير يونيو'!R15)</f>
        <v>12150</v>
      </c>
      <c r="L15" s="90" t="n">
        <f aca="false">IF($B15="","",'مسير يوليو'!R15)</f>
        <v>12150</v>
      </c>
      <c r="M15" s="90" t="n">
        <f aca="false">IF($B15="","",'مسير أغسطس'!R15)</f>
        <v>12150</v>
      </c>
      <c r="N15" s="90" t="n">
        <f aca="false">IF($B15="","",'مسير سبتمبر'!R15)</f>
        <v>14066.25</v>
      </c>
      <c r="O15" s="90" t="n">
        <f aca="false">IF($B15="","",'مسير أكتوبر'!R15)</f>
        <v>12150</v>
      </c>
      <c r="P15" s="90" t="n">
        <f aca="false">IF($B15="","",'مسير نوفمبر'!R15)</f>
        <v>12150</v>
      </c>
      <c r="Q15" s="90" t="n">
        <f aca="false">IF($B15="","",'مسير ديسمبر'!R15)</f>
        <v>12150</v>
      </c>
      <c r="R15" s="124" t="n">
        <f aca="false">IF($B15="","",IF(1&lt;=cfg_VAL_M,'مسير يناير'!R15,0)+IF(2&lt;=cfg_VAL_M,'مسير فبراير'!R15,0)+IF(3&lt;=cfg_VAL_M,'مسير مارس'!R15,0)+IF(4&lt;=cfg_VAL_M,'مسير أبريل'!R15,0)+IF(5&lt;=cfg_VAL_M,'مسير مايو'!R15,0)+IF(6&lt;=cfg_VAL_M,'مسير يونيو'!R15,0)+IF(7&lt;=cfg_VAL_M,'مسير يوليو'!R15,0)+IF(8&lt;=cfg_VAL_M,'مسير أغسطس'!R15,0)+IF(9&lt;=cfg_VAL_M,'مسير سبتمبر'!R15,0)+IF(10&lt;=cfg_VAL_M,'مسير أكتوبر'!R15,0)+IF(11&lt;=cfg_VAL_M,'مسير نوفمبر'!R15,0)+IF(12&lt;=cfg_VAL_M,'مسير ديسمبر'!R15,0))</f>
        <v>69146.25</v>
      </c>
      <c r="T15" s="90" t="n">
        <f aca="false">IF($B15="","",'مسير يناير'!AB15)</f>
        <v>0</v>
      </c>
      <c r="U15" s="90" t="n">
        <f aca="false">IF($B15="","",'مسير فبراير'!AB15)</f>
        <v>0</v>
      </c>
      <c r="V15" s="90" t="n">
        <f aca="false">IF($B15="","",'مسير مارس'!AB15)</f>
        <v>0</v>
      </c>
      <c r="W15" s="90" t="n">
        <f aca="false">IF($B15="","",'مسير أبريل'!AB15)</f>
        <v>7824.12328767123</v>
      </c>
      <c r="X15" s="90" t="n">
        <f aca="false">IF($B15="","",'مسير مايو'!AB15)</f>
        <v>14710.176369863</v>
      </c>
      <c r="Y15" s="90" t="n">
        <f aca="false">IF($B15="","",'مسير يونيو'!AB15)</f>
        <v>14670.2311643836</v>
      </c>
      <c r="Z15" s="90" t="n">
        <f aca="false">IF($B15="","",'مسير يوليو'!AB15)</f>
        <v>14710.176369863</v>
      </c>
      <c r="AA15" s="90" t="n">
        <f aca="false">IF($B15="","",'مسير أغسطس'!AB15)</f>
        <v>14710.176369863</v>
      </c>
      <c r="AB15" s="90" t="n">
        <f aca="false">IF($B15="","",'مسير سبتمبر'!AB15)</f>
        <v>16586.4811643836</v>
      </c>
      <c r="AC15" s="90" t="n">
        <f aca="false">IF($B15="","",'مسير أكتوبر'!AB15)</f>
        <v>14710.176369863</v>
      </c>
      <c r="AD15" s="90" t="n">
        <f aca="false">IF($B15="","",'مسير نوفمبر'!AB15)</f>
        <v>14670.2311643836</v>
      </c>
      <c r="AE15" s="90" t="n">
        <f aca="false">IF($B15="","",'مسير ديسمبر'!AB15)</f>
        <v>14710.176369863</v>
      </c>
      <c r="AF15" s="124" t="n">
        <f aca="false">IF($B15="","",IF(1&lt;=cfg_VAL_M,'مسير يناير'!AB15,0)+IF(2&lt;=cfg_VAL_M,'مسير فبراير'!AB15,0)+IF(3&lt;=cfg_VAL_M,'مسير مارس'!AB15,0)+IF(4&lt;=cfg_VAL_M,'مسير أبريل'!AB15,0)+IF(5&lt;=cfg_VAL_M,'مسير مايو'!AB15,0)+IF(6&lt;=cfg_VAL_M,'مسير يونيو'!AB15,0)+IF(7&lt;=cfg_VAL_M,'مسير يوليو'!AB15,0)+IF(8&lt;=cfg_VAL_M,'مسير أغسطس'!AB15,0)+IF(9&lt;=cfg_VAL_M,'مسير سبتمبر'!AB15,0)+IF(10&lt;=cfg_VAL_M,'مسير أكتوبر'!AB15,0)+IF(11&lt;=cfg_VAL_M,'مسير نوفمبر'!AB15,0)+IF(12&lt;=cfg_VAL_M,'مسير ديسمبر'!AB15,0))</f>
        <v>83211.3647260274</v>
      </c>
      <c r="AG15" s="124" t="n">
        <f aca="false">IF($B15="","",IF(1&lt;=cfg_VAL_M,'مسير يناير'!W15,0)+IF(2&lt;=cfg_VAL_M,'مسير فبراير'!W15,0)+IF(3&lt;=cfg_VAL_M,'مسير مارس'!W15,0)+IF(4&lt;=cfg_VAL_M,'مسير أبريل'!W15,0)+IF(5&lt;=cfg_VAL_M,'مسير مايو'!W15,0)+IF(6&lt;=cfg_VAL_M,'مسير يونيو'!W15,0)+IF(7&lt;=cfg_VAL_M,'مسير يوليو'!W15,0)+IF(8&lt;=cfg_VAL_M,'مسير أغسطس'!W15,0)+IF(9&lt;=cfg_VAL_M,'مسير سبتمبر'!W15,0)+IF(10&lt;=cfg_VAL_M,'مسير أكتوبر'!W15,0)+IF(11&lt;=cfg_VAL_M,'مسير نوفمبر'!W15,0)+IF(12&lt;=cfg_VAL_M,'مسير ديسمبر'!W15,0))</f>
        <v>63076.875</v>
      </c>
      <c r="AH15" s="90" t="n">
        <f aca="false">IF($B15="","",AF15/cfg_VAL_M)</f>
        <v>9245.70719178082</v>
      </c>
    </row>
    <row r="16" customFormat="false" ht="15" hidden="false" customHeight="false" outlineLevel="0" collapsed="false">
      <c r="B16" s="74" t="str">
        <f aca="false">IF(الموظفون!$B16="","",الموظفون!$B16)</f>
        <v>E011</v>
      </c>
      <c r="C16" s="74" t="str">
        <f aca="false">IF(الموظفون!$B16="","",الموظفون!$C16)</f>
        <v>جون ماتيو</v>
      </c>
      <c r="D16" s="74" t="str">
        <f aca="false">IF(الموظفون!$B16="","",الموظفون!$F16)</f>
        <v>العمليات</v>
      </c>
      <c r="E16" s="74" t="str">
        <f aca="false">IF(الموظفون!$B16="","",الموظفون!$E16)</f>
        <v>غير سعودي</v>
      </c>
      <c r="F16" s="86" t="n">
        <f aca="false">IF($B16="","",'مسير يناير'!R16)</f>
        <v>6750</v>
      </c>
      <c r="G16" s="86" t="n">
        <f aca="false">IF($B16="","",'مسير فبراير'!R16)</f>
        <v>6750</v>
      </c>
      <c r="H16" s="86" t="n">
        <f aca="false">IF($B16="","",'مسير مارس'!R16)</f>
        <v>6750</v>
      </c>
      <c r="I16" s="86" t="n">
        <f aca="false">IF($B16="","",'مسير أبريل'!R16)</f>
        <v>6750</v>
      </c>
      <c r="J16" s="86" t="n">
        <f aca="false">IF($B16="","",'مسير مايو'!R16)</f>
        <v>6750</v>
      </c>
      <c r="K16" s="86" t="n">
        <f aca="false">IF($B16="","",'مسير يونيو'!R16)</f>
        <v>6750</v>
      </c>
      <c r="L16" s="86" t="n">
        <f aca="false">IF($B16="","",'مسير يوليو'!R16)</f>
        <v>8297.2602739726</v>
      </c>
      <c r="M16" s="86" t="n">
        <f aca="false">IF($B16="","",'مسير أغسطس'!R16)</f>
        <v>0</v>
      </c>
      <c r="N16" s="86" t="n">
        <f aca="false">IF($B16="","",'مسير سبتمبر'!R16)</f>
        <v>0</v>
      </c>
      <c r="O16" s="86" t="n">
        <f aca="false">IF($B16="","",'مسير أكتوبر'!R16)</f>
        <v>0</v>
      </c>
      <c r="P16" s="86" t="n">
        <f aca="false">IF($B16="","",'مسير نوفمبر'!R16)</f>
        <v>0</v>
      </c>
      <c r="Q16" s="86" t="n">
        <f aca="false">IF($B16="","",'مسير ديسمبر'!R16)</f>
        <v>0</v>
      </c>
      <c r="R16" s="123" t="n">
        <f aca="false">IF($B16="","",IF(1&lt;=cfg_VAL_M,'مسير يناير'!R16,0)+IF(2&lt;=cfg_VAL_M,'مسير فبراير'!R16,0)+IF(3&lt;=cfg_VAL_M,'مسير مارس'!R16,0)+IF(4&lt;=cfg_VAL_M,'مسير أبريل'!R16,0)+IF(5&lt;=cfg_VAL_M,'مسير مايو'!R16,0)+IF(6&lt;=cfg_VAL_M,'مسير يونيو'!R16,0)+IF(7&lt;=cfg_VAL_M,'مسير يوليو'!R16,0)+IF(8&lt;=cfg_VAL_M,'مسير أغسطس'!R16,0)+IF(9&lt;=cfg_VAL_M,'مسير سبتمبر'!R16,0)+IF(10&lt;=cfg_VAL_M,'مسير أكتوبر'!R16,0)+IF(11&lt;=cfg_VAL_M,'مسير نوفمبر'!R16,0)+IF(12&lt;=cfg_VAL_M,'مسير ديسمبر'!R16,0))</f>
        <v>48797.2602739726</v>
      </c>
      <c r="T16" s="86" t="n">
        <f aca="false">IF($B16="","",'مسير يناير'!AB16)</f>
        <v>8131.98630136987</v>
      </c>
      <c r="U16" s="86" t="n">
        <f aca="false">IF($B16="","",'مسير فبراير'!AB16)</f>
        <v>8010.34246575343</v>
      </c>
      <c r="V16" s="86" t="n">
        <f aca="false">IF($B16="","",'مسير مارس'!AB16)</f>
        <v>8131.98630136986</v>
      </c>
      <c r="W16" s="86" t="n">
        <f aca="false">IF($B16="","",'مسير أبريل'!AB16)</f>
        <v>8091.43835616439</v>
      </c>
      <c r="X16" s="86" t="n">
        <f aca="false">IF($B16="","",'مسير مايو'!AB16)</f>
        <v>8131.98630136986</v>
      </c>
      <c r="Y16" s="86" t="n">
        <f aca="false">IF($B16="","",'مسير يونيو'!AB16)</f>
        <v>8091.43835616439</v>
      </c>
      <c r="Z16" s="86" t="n">
        <f aca="false">IF($B16="","",'مسير يوليو'!AB16)</f>
        <v>8297.2602739726</v>
      </c>
      <c r="AA16" s="86" t="n">
        <f aca="false">IF($B16="","",'مسير أغسطس'!AB16)</f>
        <v>0</v>
      </c>
      <c r="AB16" s="86" t="n">
        <f aca="false">IF($B16="","",'مسير سبتمبر'!AB16)</f>
        <v>0</v>
      </c>
      <c r="AC16" s="86" t="n">
        <f aca="false">IF($B16="","",'مسير أكتوبر'!AB16)</f>
        <v>0</v>
      </c>
      <c r="AD16" s="86" t="n">
        <f aca="false">IF($B16="","",'مسير نوفمبر'!AB16)</f>
        <v>0</v>
      </c>
      <c r="AE16" s="86" t="n">
        <f aca="false">IF($B16="","",'مسير ديسمبر'!AB16)</f>
        <v>0</v>
      </c>
      <c r="AF16" s="123" t="n">
        <f aca="false">IF($B16="","",IF(1&lt;=cfg_VAL_M,'مسير يناير'!AB16,0)+IF(2&lt;=cfg_VAL_M,'مسير فبراير'!AB16,0)+IF(3&lt;=cfg_VAL_M,'مسير مارس'!AB16,0)+IF(4&lt;=cfg_VAL_M,'مسير أبريل'!AB16,0)+IF(5&lt;=cfg_VAL_M,'مسير مايو'!AB16,0)+IF(6&lt;=cfg_VAL_M,'مسير يونيو'!AB16,0)+IF(7&lt;=cfg_VAL_M,'مسير يوليو'!AB16,0)+IF(8&lt;=cfg_VAL_M,'مسير أغسطس'!AB16,0)+IF(9&lt;=cfg_VAL_M,'مسير سبتمبر'!AB16,0)+IF(10&lt;=cfg_VAL_M,'مسير أكتوبر'!AB16,0)+IF(11&lt;=cfg_VAL_M,'مسير نوفمبر'!AB16,0)+IF(12&lt;=cfg_VAL_M,'مسير ديسمبر'!AB16,0))</f>
        <v>56886.4383561644</v>
      </c>
      <c r="AG16" s="123" t="n">
        <f aca="false">IF($B16="","",IF(1&lt;=cfg_VAL_M,'مسير يناير'!W16,0)+IF(2&lt;=cfg_VAL_M,'مسير فبراير'!W16,0)+IF(3&lt;=cfg_VAL_M,'مسير مارس'!W16,0)+IF(4&lt;=cfg_VAL_M,'مسير أبريل'!W16,0)+IF(5&lt;=cfg_VAL_M,'مسير مايو'!W16,0)+IF(6&lt;=cfg_VAL_M,'مسير يونيو'!W16,0)+IF(7&lt;=cfg_VAL_M,'مسير يوليو'!W16,0)+IF(8&lt;=cfg_VAL_M,'مسير أغسطس'!W16,0)+IF(9&lt;=cfg_VAL_M,'مسير سبتمبر'!W16,0)+IF(10&lt;=cfg_VAL_M,'مسير أكتوبر'!W16,0)+IF(11&lt;=cfg_VAL_M,'مسير نوفمبر'!W16,0)+IF(12&lt;=cfg_VAL_M,'مسير ديسمبر'!W16,0))</f>
        <v>48797.2602739726</v>
      </c>
      <c r="AH16" s="86" t="n">
        <f aca="false">IF($B16="","",AF16/cfg_VAL_M)</f>
        <v>6320.71537290715</v>
      </c>
    </row>
    <row r="17" customFormat="false" ht="15" hidden="false" customHeight="false" outlineLevel="0" collapsed="false">
      <c r="B17" s="91" t="str">
        <f aca="false">IF(الموظفون!$B17="","",الموظفون!$B17)</f>
        <v>E012</v>
      </c>
      <c r="C17" s="91" t="str">
        <f aca="false">IF(الموظفون!$B17="","",الموظفون!$C17)</f>
        <v>عمر حسين البيشي</v>
      </c>
      <c r="D17" s="91" t="str">
        <f aca="false">IF(الموظفون!$B17="","",الموظفون!$F17)</f>
        <v>تقنية المعلومات</v>
      </c>
      <c r="E17" s="91" t="str">
        <f aca="false">IF(الموظفون!$B17="","",الموظفون!$E17)</f>
        <v>سعودي</v>
      </c>
      <c r="F17" s="90" t="n">
        <f aca="false">IF($B17="","",'مسير يناير'!R17)</f>
        <v>17700</v>
      </c>
      <c r="G17" s="90" t="n">
        <f aca="false">IF($B17="","",'مسير فبراير'!R17)</f>
        <v>17700</v>
      </c>
      <c r="H17" s="90" t="n">
        <f aca="false">IF($B17="","",'مسير مارس'!R17)</f>
        <v>17700</v>
      </c>
      <c r="I17" s="90" t="n">
        <f aca="false">IF($B17="","",'مسير أبريل'!R17)</f>
        <v>16520</v>
      </c>
      <c r="J17" s="90" t="n">
        <f aca="false">IF($B17="","",'مسير مايو'!R17)</f>
        <v>17700</v>
      </c>
      <c r="K17" s="90" t="n">
        <f aca="false">IF($B17="","",'مسير يونيو'!R17)</f>
        <v>17700</v>
      </c>
      <c r="L17" s="90" t="n">
        <f aca="false">IF($B17="","",'مسير يوليو'!R17)</f>
        <v>17700</v>
      </c>
      <c r="M17" s="90" t="n">
        <f aca="false">IF($B17="","",'مسير أغسطس'!R17)</f>
        <v>17700</v>
      </c>
      <c r="N17" s="90" t="n">
        <f aca="false">IF($B17="","",'مسير سبتمبر'!R17)</f>
        <v>17700</v>
      </c>
      <c r="O17" s="90" t="n">
        <f aca="false">IF($B17="","",'مسير أكتوبر'!R17)</f>
        <v>17700</v>
      </c>
      <c r="P17" s="90" t="n">
        <f aca="false">IF($B17="","",'مسير نوفمبر'!R17)</f>
        <v>17700</v>
      </c>
      <c r="Q17" s="90" t="n">
        <f aca="false">IF($B17="","",'مسير ديسمبر'!R17)</f>
        <v>17700</v>
      </c>
      <c r="R17" s="124" t="n">
        <f aca="false">IF($B17="","",IF(1&lt;=cfg_VAL_M,'مسير يناير'!R17,0)+IF(2&lt;=cfg_VAL_M,'مسير فبراير'!R17,0)+IF(3&lt;=cfg_VAL_M,'مسير مارس'!R17,0)+IF(4&lt;=cfg_VAL_M,'مسير أبريل'!R17,0)+IF(5&lt;=cfg_VAL_M,'مسير مايو'!R17,0)+IF(6&lt;=cfg_VAL_M,'مسير يونيو'!R17,0)+IF(7&lt;=cfg_VAL_M,'مسير يوليو'!R17,0)+IF(8&lt;=cfg_VAL_M,'مسير أغسطس'!R17,0)+IF(9&lt;=cfg_VAL_M,'مسير سبتمبر'!R17,0)+IF(10&lt;=cfg_VAL_M,'مسير أكتوبر'!R17,0)+IF(11&lt;=cfg_VAL_M,'مسير نوفمبر'!R17,0)+IF(12&lt;=cfg_VAL_M,'مسير ديسمبر'!R17,0))</f>
        <v>158120</v>
      </c>
      <c r="T17" s="90" t="n">
        <f aca="false">IF($B17="","",'مسير يناير'!AB17)</f>
        <v>21113.5684931507</v>
      </c>
      <c r="U17" s="90" t="n">
        <f aca="false">IF($B17="","",'مسير فبراير'!AB17)</f>
        <v>20953.7876712329</v>
      </c>
      <c r="V17" s="90" t="n">
        <f aca="false">IF($B17="","",'مسير مارس'!AB17)</f>
        <v>21113.5684931507</v>
      </c>
      <c r="W17" s="90" t="n">
        <f aca="false">IF($B17="","",'مسير أبريل'!AB17)</f>
        <v>19880.3082191781</v>
      </c>
      <c r="X17" s="90" t="n">
        <f aca="false">IF($B17="","",'مسير مايو'!AB17)</f>
        <v>21113.5684931507</v>
      </c>
      <c r="Y17" s="90" t="n">
        <f aca="false">IF($B17="","",'مسير يونيو'!AB17)</f>
        <v>21060.3082191781</v>
      </c>
      <c r="Z17" s="90" t="n">
        <f aca="false">IF($B17="","",'مسير يوليو'!AB17)</f>
        <v>21113.5684931507</v>
      </c>
      <c r="AA17" s="90" t="n">
        <f aca="false">IF($B17="","",'مسير أغسطس'!AB17)</f>
        <v>21113.5684931507</v>
      </c>
      <c r="AB17" s="90" t="n">
        <f aca="false">IF($B17="","",'مسير سبتمبر'!AB17)</f>
        <v>21060.3082191781</v>
      </c>
      <c r="AC17" s="90" t="n">
        <f aca="false">IF($B17="","",'مسير أكتوبر'!AB17)</f>
        <v>21113.5684931507</v>
      </c>
      <c r="AD17" s="90" t="n">
        <f aca="false">IF($B17="","",'مسير نوفمبر'!AB17)</f>
        <v>21060.3082191781</v>
      </c>
      <c r="AE17" s="90" t="n">
        <f aca="false">IF($B17="","",'مسير ديسمبر'!AB17)</f>
        <v>21113.5684931507</v>
      </c>
      <c r="AF17" s="124" t="n">
        <f aca="false">IF($B17="","",IF(1&lt;=cfg_VAL_M,'مسير يناير'!AB17,0)+IF(2&lt;=cfg_VAL_M,'مسير فبراير'!AB17,0)+IF(3&lt;=cfg_VAL_M,'مسير مارس'!AB17,0)+IF(4&lt;=cfg_VAL_M,'مسير أبريل'!AB17,0)+IF(5&lt;=cfg_VAL_M,'مسير مايو'!AB17,0)+IF(6&lt;=cfg_VAL_M,'مسير يونيو'!AB17,0)+IF(7&lt;=cfg_VAL_M,'مسير يوليو'!AB17,0)+IF(8&lt;=cfg_VAL_M,'مسير أغسطس'!AB17,0)+IF(9&lt;=cfg_VAL_M,'مسير سبتمبر'!AB17,0)+IF(10&lt;=cfg_VAL_M,'مسير أكتوبر'!AB17,0)+IF(11&lt;=cfg_VAL_M,'مسير نوفمبر'!AB17,0)+IF(12&lt;=cfg_VAL_M,'مسير ديسمبر'!AB17,0))</f>
        <v>188522.554794521</v>
      </c>
      <c r="AG17" s="124" t="n">
        <f aca="false">IF($B17="","",IF(1&lt;=cfg_VAL_M,'مسير يناير'!W17,0)+IF(2&lt;=cfg_VAL_M,'مسير فبراير'!W17,0)+IF(3&lt;=cfg_VAL_M,'مسير مارس'!W17,0)+IF(4&lt;=cfg_VAL_M,'مسير أبريل'!W17,0)+IF(5&lt;=cfg_VAL_M,'مسير مايو'!W17,0)+IF(6&lt;=cfg_VAL_M,'مسير يونيو'!W17,0)+IF(7&lt;=cfg_VAL_M,'مسير يوليو'!W17,0)+IF(8&lt;=cfg_VAL_M,'مسير أغسطس'!W17,0)+IF(9&lt;=cfg_VAL_M,'مسير سبتمبر'!W17,0)+IF(10&lt;=cfg_VAL_M,'مسير أكتوبر'!W17,0)+IF(11&lt;=cfg_VAL_M,'مسير نوفمبر'!W17,0)+IF(12&lt;=cfg_VAL_M,'مسير ديسمبر'!W17,0))</f>
        <v>144957.5</v>
      </c>
      <c r="AH17" s="90" t="n">
        <f aca="false">IF($B17="","",AF17/cfg_VAL_M)</f>
        <v>20946.9505327245</v>
      </c>
    </row>
    <row r="18" customFormat="false" ht="15" hidden="false" customHeight="false" outlineLevel="0" collapsed="false">
      <c r="B18" s="74" t="str">
        <f aca="false">IF(الموظفون!$B18="","",الموظفون!$B18)</f>
        <v/>
      </c>
      <c r="C18" s="74" t="str">
        <f aca="false">IF(الموظفون!$B18="","",الموظفون!$C18)</f>
        <v/>
      </c>
      <c r="D18" s="74" t="str">
        <f aca="false">IF(الموظفون!$B18="","",الموظفون!$F18)</f>
        <v/>
      </c>
      <c r="E18" s="74" t="str">
        <f aca="false">IF(الموظفون!$B18="","",الموظفون!$E18)</f>
        <v/>
      </c>
      <c r="F18" s="86" t="str">
        <f aca="false">IF($B18="","",'مسير يناير'!R18)</f>
        <v/>
      </c>
      <c r="G18" s="86" t="str">
        <f aca="false">IF($B18="","",'مسير فبراير'!R18)</f>
        <v/>
      </c>
      <c r="H18" s="86" t="str">
        <f aca="false">IF($B18="","",'مسير مارس'!R18)</f>
        <v/>
      </c>
      <c r="I18" s="86" t="str">
        <f aca="false">IF($B18="","",'مسير أبريل'!R18)</f>
        <v/>
      </c>
      <c r="J18" s="86" t="str">
        <f aca="false">IF($B18="","",'مسير مايو'!R18)</f>
        <v/>
      </c>
      <c r="K18" s="86" t="str">
        <f aca="false">IF($B18="","",'مسير يونيو'!R18)</f>
        <v/>
      </c>
      <c r="L18" s="86" t="str">
        <f aca="false">IF($B18="","",'مسير يوليو'!R18)</f>
        <v/>
      </c>
      <c r="M18" s="86" t="str">
        <f aca="false">IF($B18="","",'مسير أغسطس'!R18)</f>
        <v/>
      </c>
      <c r="N18" s="86" t="str">
        <f aca="false">IF($B18="","",'مسير سبتمبر'!R18)</f>
        <v/>
      </c>
      <c r="O18" s="86" t="str">
        <f aca="false">IF($B18="","",'مسير أكتوبر'!R18)</f>
        <v/>
      </c>
      <c r="P18" s="86" t="str">
        <f aca="false">IF($B18="","",'مسير نوفمبر'!R18)</f>
        <v/>
      </c>
      <c r="Q18" s="86" t="str">
        <f aca="false">IF($B18="","",'مسير ديسمبر'!R18)</f>
        <v/>
      </c>
      <c r="R18" s="123" t="str">
        <f aca="false">IF($B18="","",IF(1&lt;=cfg_VAL_M,'مسير يناير'!R18,0)+IF(2&lt;=cfg_VAL_M,'مسير فبراير'!R18,0)+IF(3&lt;=cfg_VAL_M,'مسير مارس'!R18,0)+IF(4&lt;=cfg_VAL_M,'مسير أبريل'!R18,0)+IF(5&lt;=cfg_VAL_M,'مسير مايو'!R18,0)+IF(6&lt;=cfg_VAL_M,'مسير يونيو'!R18,0)+IF(7&lt;=cfg_VAL_M,'مسير يوليو'!R18,0)+IF(8&lt;=cfg_VAL_M,'مسير أغسطس'!R18,0)+IF(9&lt;=cfg_VAL_M,'مسير سبتمبر'!R18,0)+IF(10&lt;=cfg_VAL_M,'مسير أكتوبر'!R18,0)+IF(11&lt;=cfg_VAL_M,'مسير نوفمبر'!R18,0)+IF(12&lt;=cfg_VAL_M,'مسير ديسمبر'!R18,0))</f>
        <v/>
      </c>
      <c r="T18" s="86" t="str">
        <f aca="false">IF($B18="","",'مسير يناير'!AB18)</f>
        <v/>
      </c>
      <c r="U18" s="86" t="str">
        <f aca="false">IF($B18="","",'مسير فبراير'!AB18)</f>
        <v/>
      </c>
      <c r="V18" s="86" t="str">
        <f aca="false">IF($B18="","",'مسير مارس'!AB18)</f>
        <v/>
      </c>
      <c r="W18" s="86" t="str">
        <f aca="false">IF($B18="","",'مسير أبريل'!AB18)</f>
        <v/>
      </c>
      <c r="X18" s="86" t="str">
        <f aca="false">IF($B18="","",'مسير مايو'!AB18)</f>
        <v/>
      </c>
      <c r="Y18" s="86" t="str">
        <f aca="false">IF($B18="","",'مسير يونيو'!AB18)</f>
        <v/>
      </c>
      <c r="Z18" s="86" t="str">
        <f aca="false">IF($B18="","",'مسير يوليو'!AB18)</f>
        <v/>
      </c>
      <c r="AA18" s="86" t="str">
        <f aca="false">IF($B18="","",'مسير أغسطس'!AB18)</f>
        <v/>
      </c>
      <c r="AB18" s="86" t="str">
        <f aca="false">IF($B18="","",'مسير سبتمبر'!AB18)</f>
        <v/>
      </c>
      <c r="AC18" s="86" t="str">
        <f aca="false">IF($B18="","",'مسير أكتوبر'!AB18)</f>
        <v/>
      </c>
      <c r="AD18" s="86" t="str">
        <f aca="false">IF($B18="","",'مسير نوفمبر'!AB18)</f>
        <v/>
      </c>
      <c r="AE18" s="86" t="str">
        <f aca="false">IF($B18="","",'مسير ديسمبر'!AB18)</f>
        <v/>
      </c>
      <c r="AF18" s="123" t="str">
        <f aca="false">IF($B18="","",IF(1&lt;=cfg_VAL_M,'مسير يناير'!AB18,0)+IF(2&lt;=cfg_VAL_M,'مسير فبراير'!AB18,0)+IF(3&lt;=cfg_VAL_M,'مسير مارس'!AB18,0)+IF(4&lt;=cfg_VAL_M,'مسير أبريل'!AB18,0)+IF(5&lt;=cfg_VAL_M,'مسير مايو'!AB18,0)+IF(6&lt;=cfg_VAL_M,'مسير يونيو'!AB18,0)+IF(7&lt;=cfg_VAL_M,'مسير يوليو'!AB18,0)+IF(8&lt;=cfg_VAL_M,'مسير أغسطس'!AB18,0)+IF(9&lt;=cfg_VAL_M,'مسير سبتمبر'!AB18,0)+IF(10&lt;=cfg_VAL_M,'مسير أكتوبر'!AB18,0)+IF(11&lt;=cfg_VAL_M,'مسير نوفمبر'!AB18,0)+IF(12&lt;=cfg_VAL_M,'مسير ديسمبر'!AB18,0))</f>
        <v/>
      </c>
      <c r="AG18" s="123" t="str">
        <f aca="false">IF($B18="","",IF(1&lt;=cfg_VAL_M,'مسير يناير'!W18,0)+IF(2&lt;=cfg_VAL_M,'مسير فبراير'!W18,0)+IF(3&lt;=cfg_VAL_M,'مسير مارس'!W18,0)+IF(4&lt;=cfg_VAL_M,'مسير أبريل'!W18,0)+IF(5&lt;=cfg_VAL_M,'مسير مايو'!W18,0)+IF(6&lt;=cfg_VAL_M,'مسير يونيو'!W18,0)+IF(7&lt;=cfg_VAL_M,'مسير يوليو'!W18,0)+IF(8&lt;=cfg_VAL_M,'مسير أغسطس'!W18,0)+IF(9&lt;=cfg_VAL_M,'مسير سبتمبر'!W18,0)+IF(10&lt;=cfg_VAL_M,'مسير أكتوبر'!W18,0)+IF(11&lt;=cfg_VAL_M,'مسير نوفمبر'!W18,0)+IF(12&lt;=cfg_VAL_M,'مسير ديسمبر'!W18,0))</f>
        <v/>
      </c>
      <c r="AH18" s="86" t="str">
        <f aca="false">IF($B18="","",AF18/cfg_VAL_M)</f>
        <v/>
      </c>
    </row>
    <row r="19" customFormat="false" ht="15" hidden="false" customHeight="false" outlineLevel="0" collapsed="false">
      <c r="B19" s="91" t="str">
        <f aca="false">IF(الموظفون!$B19="","",الموظفون!$B19)</f>
        <v/>
      </c>
      <c r="C19" s="91" t="str">
        <f aca="false">IF(الموظفون!$B19="","",الموظفون!$C19)</f>
        <v/>
      </c>
      <c r="D19" s="91" t="str">
        <f aca="false">IF(الموظفون!$B19="","",الموظفون!$F19)</f>
        <v/>
      </c>
      <c r="E19" s="91" t="str">
        <f aca="false">IF(الموظفون!$B19="","",الموظفون!$E19)</f>
        <v/>
      </c>
      <c r="F19" s="90" t="str">
        <f aca="false">IF($B19="","",'مسير يناير'!R19)</f>
        <v/>
      </c>
      <c r="G19" s="90" t="str">
        <f aca="false">IF($B19="","",'مسير فبراير'!R19)</f>
        <v/>
      </c>
      <c r="H19" s="90" t="str">
        <f aca="false">IF($B19="","",'مسير مارس'!R19)</f>
        <v/>
      </c>
      <c r="I19" s="90" t="str">
        <f aca="false">IF($B19="","",'مسير أبريل'!R19)</f>
        <v/>
      </c>
      <c r="J19" s="90" t="str">
        <f aca="false">IF($B19="","",'مسير مايو'!R19)</f>
        <v/>
      </c>
      <c r="K19" s="90" t="str">
        <f aca="false">IF($B19="","",'مسير يونيو'!R19)</f>
        <v/>
      </c>
      <c r="L19" s="90" t="str">
        <f aca="false">IF($B19="","",'مسير يوليو'!R19)</f>
        <v/>
      </c>
      <c r="M19" s="90" t="str">
        <f aca="false">IF($B19="","",'مسير أغسطس'!R19)</f>
        <v/>
      </c>
      <c r="N19" s="90" t="str">
        <f aca="false">IF($B19="","",'مسير سبتمبر'!R19)</f>
        <v/>
      </c>
      <c r="O19" s="90" t="str">
        <f aca="false">IF($B19="","",'مسير أكتوبر'!R19)</f>
        <v/>
      </c>
      <c r="P19" s="90" t="str">
        <f aca="false">IF($B19="","",'مسير نوفمبر'!R19)</f>
        <v/>
      </c>
      <c r="Q19" s="90" t="str">
        <f aca="false">IF($B19="","",'مسير ديسمبر'!R19)</f>
        <v/>
      </c>
      <c r="R19" s="124" t="str">
        <f aca="false">IF($B19="","",IF(1&lt;=cfg_VAL_M,'مسير يناير'!R19,0)+IF(2&lt;=cfg_VAL_M,'مسير فبراير'!R19,0)+IF(3&lt;=cfg_VAL_M,'مسير مارس'!R19,0)+IF(4&lt;=cfg_VAL_M,'مسير أبريل'!R19,0)+IF(5&lt;=cfg_VAL_M,'مسير مايو'!R19,0)+IF(6&lt;=cfg_VAL_M,'مسير يونيو'!R19,0)+IF(7&lt;=cfg_VAL_M,'مسير يوليو'!R19,0)+IF(8&lt;=cfg_VAL_M,'مسير أغسطس'!R19,0)+IF(9&lt;=cfg_VAL_M,'مسير سبتمبر'!R19,0)+IF(10&lt;=cfg_VAL_M,'مسير أكتوبر'!R19,0)+IF(11&lt;=cfg_VAL_M,'مسير نوفمبر'!R19,0)+IF(12&lt;=cfg_VAL_M,'مسير ديسمبر'!R19,0))</f>
        <v/>
      </c>
      <c r="T19" s="90" t="str">
        <f aca="false">IF($B19="","",'مسير يناير'!AB19)</f>
        <v/>
      </c>
      <c r="U19" s="90" t="str">
        <f aca="false">IF($B19="","",'مسير فبراير'!AB19)</f>
        <v/>
      </c>
      <c r="V19" s="90" t="str">
        <f aca="false">IF($B19="","",'مسير مارس'!AB19)</f>
        <v/>
      </c>
      <c r="W19" s="90" t="str">
        <f aca="false">IF($B19="","",'مسير أبريل'!AB19)</f>
        <v/>
      </c>
      <c r="X19" s="90" t="str">
        <f aca="false">IF($B19="","",'مسير مايو'!AB19)</f>
        <v/>
      </c>
      <c r="Y19" s="90" t="str">
        <f aca="false">IF($B19="","",'مسير يونيو'!AB19)</f>
        <v/>
      </c>
      <c r="Z19" s="90" t="str">
        <f aca="false">IF($B19="","",'مسير يوليو'!AB19)</f>
        <v/>
      </c>
      <c r="AA19" s="90" t="str">
        <f aca="false">IF($B19="","",'مسير أغسطس'!AB19)</f>
        <v/>
      </c>
      <c r="AB19" s="90" t="str">
        <f aca="false">IF($B19="","",'مسير سبتمبر'!AB19)</f>
        <v/>
      </c>
      <c r="AC19" s="90" t="str">
        <f aca="false">IF($B19="","",'مسير أكتوبر'!AB19)</f>
        <v/>
      </c>
      <c r="AD19" s="90" t="str">
        <f aca="false">IF($B19="","",'مسير نوفمبر'!AB19)</f>
        <v/>
      </c>
      <c r="AE19" s="90" t="str">
        <f aca="false">IF($B19="","",'مسير ديسمبر'!AB19)</f>
        <v/>
      </c>
      <c r="AF19" s="124" t="str">
        <f aca="false">IF($B19="","",IF(1&lt;=cfg_VAL_M,'مسير يناير'!AB19,0)+IF(2&lt;=cfg_VAL_M,'مسير فبراير'!AB19,0)+IF(3&lt;=cfg_VAL_M,'مسير مارس'!AB19,0)+IF(4&lt;=cfg_VAL_M,'مسير أبريل'!AB19,0)+IF(5&lt;=cfg_VAL_M,'مسير مايو'!AB19,0)+IF(6&lt;=cfg_VAL_M,'مسير يونيو'!AB19,0)+IF(7&lt;=cfg_VAL_M,'مسير يوليو'!AB19,0)+IF(8&lt;=cfg_VAL_M,'مسير أغسطس'!AB19,0)+IF(9&lt;=cfg_VAL_M,'مسير سبتمبر'!AB19,0)+IF(10&lt;=cfg_VAL_M,'مسير أكتوبر'!AB19,0)+IF(11&lt;=cfg_VAL_M,'مسير نوفمبر'!AB19,0)+IF(12&lt;=cfg_VAL_M,'مسير ديسمبر'!AB19,0))</f>
        <v/>
      </c>
      <c r="AG19" s="124" t="str">
        <f aca="false">IF($B19="","",IF(1&lt;=cfg_VAL_M,'مسير يناير'!W19,0)+IF(2&lt;=cfg_VAL_M,'مسير فبراير'!W19,0)+IF(3&lt;=cfg_VAL_M,'مسير مارس'!W19,0)+IF(4&lt;=cfg_VAL_M,'مسير أبريل'!W19,0)+IF(5&lt;=cfg_VAL_M,'مسير مايو'!W19,0)+IF(6&lt;=cfg_VAL_M,'مسير يونيو'!W19,0)+IF(7&lt;=cfg_VAL_M,'مسير يوليو'!W19,0)+IF(8&lt;=cfg_VAL_M,'مسير أغسطس'!W19,0)+IF(9&lt;=cfg_VAL_M,'مسير سبتمبر'!W19,0)+IF(10&lt;=cfg_VAL_M,'مسير أكتوبر'!W19,0)+IF(11&lt;=cfg_VAL_M,'مسير نوفمبر'!W19,0)+IF(12&lt;=cfg_VAL_M,'مسير ديسمبر'!W19,0))</f>
        <v/>
      </c>
      <c r="AH19" s="90" t="str">
        <f aca="false">IF($B19="","",AF19/cfg_VAL_M)</f>
        <v/>
      </c>
    </row>
    <row r="20" customFormat="false" ht="15" hidden="false" customHeight="false" outlineLevel="0" collapsed="false">
      <c r="B20" s="74" t="str">
        <f aca="false">IF(الموظفون!$B20="","",الموظفون!$B20)</f>
        <v/>
      </c>
      <c r="C20" s="74" t="str">
        <f aca="false">IF(الموظفون!$B20="","",الموظفون!$C20)</f>
        <v/>
      </c>
      <c r="D20" s="74" t="str">
        <f aca="false">IF(الموظفون!$B20="","",الموظفون!$F20)</f>
        <v/>
      </c>
      <c r="E20" s="74" t="str">
        <f aca="false">IF(الموظفون!$B20="","",الموظفون!$E20)</f>
        <v/>
      </c>
      <c r="F20" s="86" t="str">
        <f aca="false">IF($B20="","",'مسير يناير'!R20)</f>
        <v/>
      </c>
      <c r="G20" s="86" t="str">
        <f aca="false">IF($B20="","",'مسير فبراير'!R20)</f>
        <v/>
      </c>
      <c r="H20" s="86" t="str">
        <f aca="false">IF($B20="","",'مسير مارس'!R20)</f>
        <v/>
      </c>
      <c r="I20" s="86" t="str">
        <f aca="false">IF($B20="","",'مسير أبريل'!R20)</f>
        <v/>
      </c>
      <c r="J20" s="86" t="str">
        <f aca="false">IF($B20="","",'مسير مايو'!R20)</f>
        <v/>
      </c>
      <c r="K20" s="86" t="str">
        <f aca="false">IF($B20="","",'مسير يونيو'!R20)</f>
        <v/>
      </c>
      <c r="L20" s="86" t="str">
        <f aca="false">IF($B20="","",'مسير يوليو'!R20)</f>
        <v/>
      </c>
      <c r="M20" s="86" t="str">
        <f aca="false">IF($B20="","",'مسير أغسطس'!R20)</f>
        <v/>
      </c>
      <c r="N20" s="86" t="str">
        <f aca="false">IF($B20="","",'مسير سبتمبر'!R20)</f>
        <v/>
      </c>
      <c r="O20" s="86" t="str">
        <f aca="false">IF($B20="","",'مسير أكتوبر'!R20)</f>
        <v/>
      </c>
      <c r="P20" s="86" t="str">
        <f aca="false">IF($B20="","",'مسير نوفمبر'!R20)</f>
        <v/>
      </c>
      <c r="Q20" s="86" t="str">
        <f aca="false">IF($B20="","",'مسير ديسمبر'!R20)</f>
        <v/>
      </c>
      <c r="R20" s="123" t="str">
        <f aca="false">IF($B20="","",IF(1&lt;=cfg_VAL_M,'مسير يناير'!R20,0)+IF(2&lt;=cfg_VAL_M,'مسير فبراير'!R20,0)+IF(3&lt;=cfg_VAL_M,'مسير مارس'!R20,0)+IF(4&lt;=cfg_VAL_M,'مسير أبريل'!R20,0)+IF(5&lt;=cfg_VAL_M,'مسير مايو'!R20,0)+IF(6&lt;=cfg_VAL_M,'مسير يونيو'!R20,0)+IF(7&lt;=cfg_VAL_M,'مسير يوليو'!R20,0)+IF(8&lt;=cfg_VAL_M,'مسير أغسطس'!R20,0)+IF(9&lt;=cfg_VAL_M,'مسير سبتمبر'!R20,0)+IF(10&lt;=cfg_VAL_M,'مسير أكتوبر'!R20,0)+IF(11&lt;=cfg_VAL_M,'مسير نوفمبر'!R20,0)+IF(12&lt;=cfg_VAL_M,'مسير ديسمبر'!R20,0))</f>
        <v/>
      </c>
      <c r="T20" s="86" t="str">
        <f aca="false">IF($B20="","",'مسير يناير'!AB20)</f>
        <v/>
      </c>
      <c r="U20" s="86" t="str">
        <f aca="false">IF($B20="","",'مسير فبراير'!AB20)</f>
        <v/>
      </c>
      <c r="V20" s="86" t="str">
        <f aca="false">IF($B20="","",'مسير مارس'!AB20)</f>
        <v/>
      </c>
      <c r="W20" s="86" t="str">
        <f aca="false">IF($B20="","",'مسير أبريل'!AB20)</f>
        <v/>
      </c>
      <c r="X20" s="86" t="str">
        <f aca="false">IF($B20="","",'مسير مايو'!AB20)</f>
        <v/>
      </c>
      <c r="Y20" s="86" t="str">
        <f aca="false">IF($B20="","",'مسير يونيو'!AB20)</f>
        <v/>
      </c>
      <c r="Z20" s="86" t="str">
        <f aca="false">IF($B20="","",'مسير يوليو'!AB20)</f>
        <v/>
      </c>
      <c r="AA20" s="86" t="str">
        <f aca="false">IF($B20="","",'مسير أغسطس'!AB20)</f>
        <v/>
      </c>
      <c r="AB20" s="86" t="str">
        <f aca="false">IF($B20="","",'مسير سبتمبر'!AB20)</f>
        <v/>
      </c>
      <c r="AC20" s="86" t="str">
        <f aca="false">IF($B20="","",'مسير أكتوبر'!AB20)</f>
        <v/>
      </c>
      <c r="AD20" s="86" t="str">
        <f aca="false">IF($B20="","",'مسير نوفمبر'!AB20)</f>
        <v/>
      </c>
      <c r="AE20" s="86" t="str">
        <f aca="false">IF($B20="","",'مسير ديسمبر'!AB20)</f>
        <v/>
      </c>
      <c r="AF20" s="123" t="str">
        <f aca="false">IF($B20="","",IF(1&lt;=cfg_VAL_M,'مسير يناير'!AB20,0)+IF(2&lt;=cfg_VAL_M,'مسير فبراير'!AB20,0)+IF(3&lt;=cfg_VAL_M,'مسير مارس'!AB20,0)+IF(4&lt;=cfg_VAL_M,'مسير أبريل'!AB20,0)+IF(5&lt;=cfg_VAL_M,'مسير مايو'!AB20,0)+IF(6&lt;=cfg_VAL_M,'مسير يونيو'!AB20,0)+IF(7&lt;=cfg_VAL_M,'مسير يوليو'!AB20,0)+IF(8&lt;=cfg_VAL_M,'مسير أغسطس'!AB20,0)+IF(9&lt;=cfg_VAL_M,'مسير سبتمبر'!AB20,0)+IF(10&lt;=cfg_VAL_M,'مسير أكتوبر'!AB20,0)+IF(11&lt;=cfg_VAL_M,'مسير نوفمبر'!AB20,0)+IF(12&lt;=cfg_VAL_M,'مسير ديسمبر'!AB20,0))</f>
        <v/>
      </c>
      <c r="AG20" s="123" t="str">
        <f aca="false">IF($B20="","",IF(1&lt;=cfg_VAL_M,'مسير يناير'!W20,0)+IF(2&lt;=cfg_VAL_M,'مسير فبراير'!W20,0)+IF(3&lt;=cfg_VAL_M,'مسير مارس'!W20,0)+IF(4&lt;=cfg_VAL_M,'مسير أبريل'!W20,0)+IF(5&lt;=cfg_VAL_M,'مسير مايو'!W20,0)+IF(6&lt;=cfg_VAL_M,'مسير يونيو'!W20,0)+IF(7&lt;=cfg_VAL_M,'مسير يوليو'!W20,0)+IF(8&lt;=cfg_VAL_M,'مسير أغسطس'!W20,0)+IF(9&lt;=cfg_VAL_M,'مسير سبتمبر'!W20,0)+IF(10&lt;=cfg_VAL_M,'مسير أكتوبر'!W20,0)+IF(11&lt;=cfg_VAL_M,'مسير نوفمبر'!W20,0)+IF(12&lt;=cfg_VAL_M,'مسير ديسمبر'!W20,0))</f>
        <v/>
      </c>
      <c r="AH20" s="86" t="str">
        <f aca="false">IF($B20="","",AF20/cfg_VAL_M)</f>
        <v/>
      </c>
    </row>
    <row r="21" customFormat="false" ht="15" hidden="false" customHeight="false" outlineLevel="0" collapsed="false">
      <c r="B21" s="91" t="str">
        <f aca="false">IF(الموظفون!$B21="","",الموظفون!$B21)</f>
        <v/>
      </c>
      <c r="C21" s="91" t="str">
        <f aca="false">IF(الموظفون!$B21="","",الموظفون!$C21)</f>
        <v/>
      </c>
      <c r="D21" s="91" t="str">
        <f aca="false">IF(الموظفون!$B21="","",الموظفون!$F21)</f>
        <v/>
      </c>
      <c r="E21" s="91" t="str">
        <f aca="false">IF(الموظفون!$B21="","",الموظفون!$E21)</f>
        <v/>
      </c>
      <c r="F21" s="90" t="str">
        <f aca="false">IF($B21="","",'مسير يناير'!R21)</f>
        <v/>
      </c>
      <c r="G21" s="90" t="str">
        <f aca="false">IF($B21="","",'مسير فبراير'!R21)</f>
        <v/>
      </c>
      <c r="H21" s="90" t="str">
        <f aca="false">IF($B21="","",'مسير مارس'!R21)</f>
        <v/>
      </c>
      <c r="I21" s="90" t="str">
        <f aca="false">IF($B21="","",'مسير أبريل'!R21)</f>
        <v/>
      </c>
      <c r="J21" s="90" t="str">
        <f aca="false">IF($B21="","",'مسير مايو'!R21)</f>
        <v/>
      </c>
      <c r="K21" s="90" t="str">
        <f aca="false">IF($B21="","",'مسير يونيو'!R21)</f>
        <v/>
      </c>
      <c r="L21" s="90" t="str">
        <f aca="false">IF($B21="","",'مسير يوليو'!R21)</f>
        <v/>
      </c>
      <c r="M21" s="90" t="str">
        <f aca="false">IF($B21="","",'مسير أغسطس'!R21)</f>
        <v/>
      </c>
      <c r="N21" s="90" t="str">
        <f aca="false">IF($B21="","",'مسير سبتمبر'!R21)</f>
        <v/>
      </c>
      <c r="O21" s="90" t="str">
        <f aca="false">IF($B21="","",'مسير أكتوبر'!R21)</f>
        <v/>
      </c>
      <c r="P21" s="90" t="str">
        <f aca="false">IF($B21="","",'مسير نوفمبر'!R21)</f>
        <v/>
      </c>
      <c r="Q21" s="90" t="str">
        <f aca="false">IF($B21="","",'مسير ديسمبر'!R21)</f>
        <v/>
      </c>
      <c r="R21" s="124" t="str">
        <f aca="false">IF($B21="","",IF(1&lt;=cfg_VAL_M,'مسير يناير'!R21,0)+IF(2&lt;=cfg_VAL_M,'مسير فبراير'!R21,0)+IF(3&lt;=cfg_VAL_M,'مسير مارس'!R21,0)+IF(4&lt;=cfg_VAL_M,'مسير أبريل'!R21,0)+IF(5&lt;=cfg_VAL_M,'مسير مايو'!R21,0)+IF(6&lt;=cfg_VAL_M,'مسير يونيو'!R21,0)+IF(7&lt;=cfg_VAL_M,'مسير يوليو'!R21,0)+IF(8&lt;=cfg_VAL_M,'مسير أغسطس'!R21,0)+IF(9&lt;=cfg_VAL_M,'مسير سبتمبر'!R21,0)+IF(10&lt;=cfg_VAL_M,'مسير أكتوبر'!R21,0)+IF(11&lt;=cfg_VAL_M,'مسير نوفمبر'!R21,0)+IF(12&lt;=cfg_VAL_M,'مسير ديسمبر'!R21,0))</f>
        <v/>
      </c>
      <c r="T21" s="90" t="str">
        <f aca="false">IF($B21="","",'مسير يناير'!AB21)</f>
        <v/>
      </c>
      <c r="U21" s="90" t="str">
        <f aca="false">IF($B21="","",'مسير فبراير'!AB21)</f>
        <v/>
      </c>
      <c r="V21" s="90" t="str">
        <f aca="false">IF($B21="","",'مسير مارس'!AB21)</f>
        <v/>
      </c>
      <c r="W21" s="90" t="str">
        <f aca="false">IF($B21="","",'مسير أبريل'!AB21)</f>
        <v/>
      </c>
      <c r="X21" s="90" t="str">
        <f aca="false">IF($B21="","",'مسير مايو'!AB21)</f>
        <v/>
      </c>
      <c r="Y21" s="90" t="str">
        <f aca="false">IF($B21="","",'مسير يونيو'!AB21)</f>
        <v/>
      </c>
      <c r="Z21" s="90" t="str">
        <f aca="false">IF($B21="","",'مسير يوليو'!AB21)</f>
        <v/>
      </c>
      <c r="AA21" s="90" t="str">
        <f aca="false">IF($B21="","",'مسير أغسطس'!AB21)</f>
        <v/>
      </c>
      <c r="AB21" s="90" t="str">
        <f aca="false">IF($B21="","",'مسير سبتمبر'!AB21)</f>
        <v/>
      </c>
      <c r="AC21" s="90" t="str">
        <f aca="false">IF($B21="","",'مسير أكتوبر'!AB21)</f>
        <v/>
      </c>
      <c r="AD21" s="90" t="str">
        <f aca="false">IF($B21="","",'مسير نوفمبر'!AB21)</f>
        <v/>
      </c>
      <c r="AE21" s="90" t="str">
        <f aca="false">IF($B21="","",'مسير ديسمبر'!AB21)</f>
        <v/>
      </c>
      <c r="AF21" s="124" t="str">
        <f aca="false">IF($B21="","",IF(1&lt;=cfg_VAL_M,'مسير يناير'!AB21,0)+IF(2&lt;=cfg_VAL_M,'مسير فبراير'!AB21,0)+IF(3&lt;=cfg_VAL_M,'مسير مارس'!AB21,0)+IF(4&lt;=cfg_VAL_M,'مسير أبريل'!AB21,0)+IF(5&lt;=cfg_VAL_M,'مسير مايو'!AB21,0)+IF(6&lt;=cfg_VAL_M,'مسير يونيو'!AB21,0)+IF(7&lt;=cfg_VAL_M,'مسير يوليو'!AB21,0)+IF(8&lt;=cfg_VAL_M,'مسير أغسطس'!AB21,0)+IF(9&lt;=cfg_VAL_M,'مسير سبتمبر'!AB21,0)+IF(10&lt;=cfg_VAL_M,'مسير أكتوبر'!AB21,0)+IF(11&lt;=cfg_VAL_M,'مسير نوفمبر'!AB21,0)+IF(12&lt;=cfg_VAL_M,'مسير ديسمبر'!AB21,0))</f>
        <v/>
      </c>
      <c r="AG21" s="124" t="str">
        <f aca="false">IF($B21="","",IF(1&lt;=cfg_VAL_M,'مسير يناير'!W21,0)+IF(2&lt;=cfg_VAL_M,'مسير فبراير'!W21,0)+IF(3&lt;=cfg_VAL_M,'مسير مارس'!W21,0)+IF(4&lt;=cfg_VAL_M,'مسير أبريل'!W21,0)+IF(5&lt;=cfg_VAL_M,'مسير مايو'!W21,0)+IF(6&lt;=cfg_VAL_M,'مسير يونيو'!W21,0)+IF(7&lt;=cfg_VAL_M,'مسير يوليو'!W21,0)+IF(8&lt;=cfg_VAL_M,'مسير أغسطس'!W21,0)+IF(9&lt;=cfg_VAL_M,'مسير سبتمبر'!W21,0)+IF(10&lt;=cfg_VAL_M,'مسير أكتوبر'!W21,0)+IF(11&lt;=cfg_VAL_M,'مسير نوفمبر'!W21,0)+IF(12&lt;=cfg_VAL_M,'مسير ديسمبر'!W21,0))</f>
        <v/>
      </c>
      <c r="AH21" s="90" t="str">
        <f aca="false">IF($B21="","",AF21/cfg_VAL_M)</f>
        <v/>
      </c>
    </row>
    <row r="22" customFormat="false" ht="15" hidden="false" customHeight="false" outlineLevel="0" collapsed="false">
      <c r="B22" s="74" t="str">
        <f aca="false">IF(الموظفون!$B22="","",الموظفون!$B22)</f>
        <v/>
      </c>
      <c r="C22" s="74" t="str">
        <f aca="false">IF(الموظفون!$B22="","",الموظفون!$C22)</f>
        <v/>
      </c>
      <c r="D22" s="74" t="str">
        <f aca="false">IF(الموظفون!$B22="","",الموظفون!$F22)</f>
        <v/>
      </c>
      <c r="E22" s="74" t="str">
        <f aca="false">IF(الموظفون!$B22="","",الموظفون!$E22)</f>
        <v/>
      </c>
      <c r="F22" s="86" t="str">
        <f aca="false">IF($B22="","",'مسير يناير'!R22)</f>
        <v/>
      </c>
      <c r="G22" s="86" t="str">
        <f aca="false">IF($B22="","",'مسير فبراير'!R22)</f>
        <v/>
      </c>
      <c r="H22" s="86" t="str">
        <f aca="false">IF($B22="","",'مسير مارس'!R22)</f>
        <v/>
      </c>
      <c r="I22" s="86" t="str">
        <f aca="false">IF($B22="","",'مسير أبريل'!R22)</f>
        <v/>
      </c>
      <c r="J22" s="86" t="str">
        <f aca="false">IF($B22="","",'مسير مايو'!R22)</f>
        <v/>
      </c>
      <c r="K22" s="86" t="str">
        <f aca="false">IF($B22="","",'مسير يونيو'!R22)</f>
        <v/>
      </c>
      <c r="L22" s="86" t="str">
        <f aca="false">IF($B22="","",'مسير يوليو'!R22)</f>
        <v/>
      </c>
      <c r="M22" s="86" t="str">
        <f aca="false">IF($B22="","",'مسير أغسطس'!R22)</f>
        <v/>
      </c>
      <c r="N22" s="86" t="str">
        <f aca="false">IF($B22="","",'مسير سبتمبر'!R22)</f>
        <v/>
      </c>
      <c r="O22" s="86" t="str">
        <f aca="false">IF($B22="","",'مسير أكتوبر'!R22)</f>
        <v/>
      </c>
      <c r="P22" s="86" t="str">
        <f aca="false">IF($B22="","",'مسير نوفمبر'!R22)</f>
        <v/>
      </c>
      <c r="Q22" s="86" t="str">
        <f aca="false">IF($B22="","",'مسير ديسمبر'!R22)</f>
        <v/>
      </c>
      <c r="R22" s="123" t="str">
        <f aca="false">IF($B22="","",IF(1&lt;=cfg_VAL_M,'مسير يناير'!R22,0)+IF(2&lt;=cfg_VAL_M,'مسير فبراير'!R22,0)+IF(3&lt;=cfg_VAL_M,'مسير مارس'!R22,0)+IF(4&lt;=cfg_VAL_M,'مسير أبريل'!R22,0)+IF(5&lt;=cfg_VAL_M,'مسير مايو'!R22,0)+IF(6&lt;=cfg_VAL_M,'مسير يونيو'!R22,0)+IF(7&lt;=cfg_VAL_M,'مسير يوليو'!R22,0)+IF(8&lt;=cfg_VAL_M,'مسير أغسطس'!R22,0)+IF(9&lt;=cfg_VAL_M,'مسير سبتمبر'!R22,0)+IF(10&lt;=cfg_VAL_M,'مسير أكتوبر'!R22,0)+IF(11&lt;=cfg_VAL_M,'مسير نوفمبر'!R22,0)+IF(12&lt;=cfg_VAL_M,'مسير ديسمبر'!R22,0))</f>
        <v/>
      </c>
      <c r="T22" s="86" t="str">
        <f aca="false">IF($B22="","",'مسير يناير'!AB22)</f>
        <v/>
      </c>
      <c r="U22" s="86" t="str">
        <f aca="false">IF($B22="","",'مسير فبراير'!AB22)</f>
        <v/>
      </c>
      <c r="V22" s="86" t="str">
        <f aca="false">IF($B22="","",'مسير مارس'!AB22)</f>
        <v/>
      </c>
      <c r="W22" s="86" t="str">
        <f aca="false">IF($B22="","",'مسير أبريل'!AB22)</f>
        <v/>
      </c>
      <c r="X22" s="86" t="str">
        <f aca="false">IF($B22="","",'مسير مايو'!AB22)</f>
        <v/>
      </c>
      <c r="Y22" s="86" t="str">
        <f aca="false">IF($B22="","",'مسير يونيو'!AB22)</f>
        <v/>
      </c>
      <c r="Z22" s="86" t="str">
        <f aca="false">IF($B22="","",'مسير يوليو'!AB22)</f>
        <v/>
      </c>
      <c r="AA22" s="86" t="str">
        <f aca="false">IF($B22="","",'مسير أغسطس'!AB22)</f>
        <v/>
      </c>
      <c r="AB22" s="86" t="str">
        <f aca="false">IF($B22="","",'مسير سبتمبر'!AB22)</f>
        <v/>
      </c>
      <c r="AC22" s="86" t="str">
        <f aca="false">IF($B22="","",'مسير أكتوبر'!AB22)</f>
        <v/>
      </c>
      <c r="AD22" s="86" t="str">
        <f aca="false">IF($B22="","",'مسير نوفمبر'!AB22)</f>
        <v/>
      </c>
      <c r="AE22" s="86" t="str">
        <f aca="false">IF($B22="","",'مسير ديسمبر'!AB22)</f>
        <v/>
      </c>
      <c r="AF22" s="123" t="str">
        <f aca="false">IF($B22="","",IF(1&lt;=cfg_VAL_M,'مسير يناير'!AB22,0)+IF(2&lt;=cfg_VAL_M,'مسير فبراير'!AB22,0)+IF(3&lt;=cfg_VAL_M,'مسير مارس'!AB22,0)+IF(4&lt;=cfg_VAL_M,'مسير أبريل'!AB22,0)+IF(5&lt;=cfg_VAL_M,'مسير مايو'!AB22,0)+IF(6&lt;=cfg_VAL_M,'مسير يونيو'!AB22,0)+IF(7&lt;=cfg_VAL_M,'مسير يوليو'!AB22,0)+IF(8&lt;=cfg_VAL_M,'مسير أغسطس'!AB22,0)+IF(9&lt;=cfg_VAL_M,'مسير سبتمبر'!AB22,0)+IF(10&lt;=cfg_VAL_M,'مسير أكتوبر'!AB22,0)+IF(11&lt;=cfg_VAL_M,'مسير نوفمبر'!AB22,0)+IF(12&lt;=cfg_VAL_M,'مسير ديسمبر'!AB22,0))</f>
        <v/>
      </c>
      <c r="AG22" s="123" t="str">
        <f aca="false">IF($B22="","",IF(1&lt;=cfg_VAL_M,'مسير يناير'!W22,0)+IF(2&lt;=cfg_VAL_M,'مسير فبراير'!W22,0)+IF(3&lt;=cfg_VAL_M,'مسير مارس'!W22,0)+IF(4&lt;=cfg_VAL_M,'مسير أبريل'!W22,0)+IF(5&lt;=cfg_VAL_M,'مسير مايو'!W22,0)+IF(6&lt;=cfg_VAL_M,'مسير يونيو'!W22,0)+IF(7&lt;=cfg_VAL_M,'مسير يوليو'!W22,0)+IF(8&lt;=cfg_VAL_M,'مسير أغسطس'!W22,0)+IF(9&lt;=cfg_VAL_M,'مسير سبتمبر'!W22,0)+IF(10&lt;=cfg_VAL_M,'مسير أكتوبر'!W22,0)+IF(11&lt;=cfg_VAL_M,'مسير نوفمبر'!W22,0)+IF(12&lt;=cfg_VAL_M,'مسير ديسمبر'!W22,0))</f>
        <v/>
      </c>
      <c r="AH22" s="86" t="str">
        <f aca="false">IF($B22="","",AF22/cfg_VAL_M)</f>
        <v/>
      </c>
    </row>
    <row r="23" customFormat="false" ht="15" hidden="false" customHeight="false" outlineLevel="0" collapsed="false">
      <c r="B23" s="91" t="str">
        <f aca="false">IF(الموظفون!$B23="","",الموظفون!$B23)</f>
        <v/>
      </c>
      <c r="C23" s="91" t="str">
        <f aca="false">IF(الموظفون!$B23="","",الموظفون!$C23)</f>
        <v/>
      </c>
      <c r="D23" s="91" t="str">
        <f aca="false">IF(الموظفون!$B23="","",الموظفون!$F23)</f>
        <v/>
      </c>
      <c r="E23" s="91" t="str">
        <f aca="false">IF(الموظفون!$B23="","",الموظفون!$E23)</f>
        <v/>
      </c>
      <c r="F23" s="90" t="str">
        <f aca="false">IF($B23="","",'مسير يناير'!R23)</f>
        <v/>
      </c>
      <c r="G23" s="90" t="str">
        <f aca="false">IF($B23="","",'مسير فبراير'!R23)</f>
        <v/>
      </c>
      <c r="H23" s="90" t="str">
        <f aca="false">IF($B23="","",'مسير مارس'!R23)</f>
        <v/>
      </c>
      <c r="I23" s="90" t="str">
        <f aca="false">IF($B23="","",'مسير أبريل'!R23)</f>
        <v/>
      </c>
      <c r="J23" s="90" t="str">
        <f aca="false">IF($B23="","",'مسير مايو'!R23)</f>
        <v/>
      </c>
      <c r="K23" s="90" t="str">
        <f aca="false">IF($B23="","",'مسير يونيو'!R23)</f>
        <v/>
      </c>
      <c r="L23" s="90" t="str">
        <f aca="false">IF($B23="","",'مسير يوليو'!R23)</f>
        <v/>
      </c>
      <c r="M23" s="90" t="str">
        <f aca="false">IF($B23="","",'مسير أغسطس'!R23)</f>
        <v/>
      </c>
      <c r="N23" s="90" t="str">
        <f aca="false">IF($B23="","",'مسير سبتمبر'!R23)</f>
        <v/>
      </c>
      <c r="O23" s="90" t="str">
        <f aca="false">IF($B23="","",'مسير أكتوبر'!R23)</f>
        <v/>
      </c>
      <c r="P23" s="90" t="str">
        <f aca="false">IF($B23="","",'مسير نوفمبر'!R23)</f>
        <v/>
      </c>
      <c r="Q23" s="90" t="str">
        <f aca="false">IF($B23="","",'مسير ديسمبر'!R23)</f>
        <v/>
      </c>
      <c r="R23" s="124" t="str">
        <f aca="false">IF($B23="","",IF(1&lt;=cfg_VAL_M,'مسير يناير'!R23,0)+IF(2&lt;=cfg_VAL_M,'مسير فبراير'!R23,0)+IF(3&lt;=cfg_VAL_M,'مسير مارس'!R23,0)+IF(4&lt;=cfg_VAL_M,'مسير أبريل'!R23,0)+IF(5&lt;=cfg_VAL_M,'مسير مايو'!R23,0)+IF(6&lt;=cfg_VAL_M,'مسير يونيو'!R23,0)+IF(7&lt;=cfg_VAL_M,'مسير يوليو'!R23,0)+IF(8&lt;=cfg_VAL_M,'مسير أغسطس'!R23,0)+IF(9&lt;=cfg_VAL_M,'مسير سبتمبر'!R23,0)+IF(10&lt;=cfg_VAL_M,'مسير أكتوبر'!R23,0)+IF(11&lt;=cfg_VAL_M,'مسير نوفمبر'!R23,0)+IF(12&lt;=cfg_VAL_M,'مسير ديسمبر'!R23,0))</f>
        <v/>
      </c>
      <c r="T23" s="90" t="str">
        <f aca="false">IF($B23="","",'مسير يناير'!AB23)</f>
        <v/>
      </c>
      <c r="U23" s="90" t="str">
        <f aca="false">IF($B23="","",'مسير فبراير'!AB23)</f>
        <v/>
      </c>
      <c r="V23" s="90" t="str">
        <f aca="false">IF($B23="","",'مسير مارس'!AB23)</f>
        <v/>
      </c>
      <c r="W23" s="90" t="str">
        <f aca="false">IF($B23="","",'مسير أبريل'!AB23)</f>
        <v/>
      </c>
      <c r="X23" s="90" t="str">
        <f aca="false">IF($B23="","",'مسير مايو'!AB23)</f>
        <v/>
      </c>
      <c r="Y23" s="90" t="str">
        <f aca="false">IF($B23="","",'مسير يونيو'!AB23)</f>
        <v/>
      </c>
      <c r="Z23" s="90" t="str">
        <f aca="false">IF($B23="","",'مسير يوليو'!AB23)</f>
        <v/>
      </c>
      <c r="AA23" s="90" t="str">
        <f aca="false">IF($B23="","",'مسير أغسطس'!AB23)</f>
        <v/>
      </c>
      <c r="AB23" s="90" t="str">
        <f aca="false">IF($B23="","",'مسير سبتمبر'!AB23)</f>
        <v/>
      </c>
      <c r="AC23" s="90" t="str">
        <f aca="false">IF($B23="","",'مسير أكتوبر'!AB23)</f>
        <v/>
      </c>
      <c r="AD23" s="90" t="str">
        <f aca="false">IF($B23="","",'مسير نوفمبر'!AB23)</f>
        <v/>
      </c>
      <c r="AE23" s="90" t="str">
        <f aca="false">IF($B23="","",'مسير ديسمبر'!AB23)</f>
        <v/>
      </c>
      <c r="AF23" s="124" t="str">
        <f aca="false">IF($B23="","",IF(1&lt;=cfg_VAL_M,'مسير يناير'!AB23,0)+IF(2&lt;=cfg_VAL_M,'مسير فبراير'!AB23,0)+IF(3&lt;=cfg_VAL_M,'مسير مارس'!AB23,0)+IF(4&lt;=cfg_VAL_M,'مسير أبريل'!AB23,0)+IF(5&lt;=cfg_VAL_M,'مسير مايو'!AB23,0)+IF(6&lt;=cfg_VAL_M,'مسير يونيو'!AB23,0)+IF(7&lt;=cfg_VAL_M,'مسير يوليو'!AB23,0)+IF(8&lt;=cfg_VAL_M,'مسير أغسطس'!AB23,0)+IF(9&lt;=cfg_VAL_M,'مسير سبتمبر'!AB23,0)+IF(10&lt;=cfg_VAL_M,'مسير أكتوبر'!AB23,0)+IF(11&lt;=cfg_VAL_M,'مسير نوفمبر'!AB23,0)+IF(12&lt;=cfg_VAL_M,'مسير ديسمبر'!AB23,0))</f>
        <v/>
      </c>
      <c r="AG23" s="124" t="str">
        <f aca="false">IF($B23="","",IF(1&lt;=cfg_VAL_M,'مسير يناير'!W23,0)+IF(2&lt;=cfg_VAL_M,'مسير فبراير'!W23,0)+IF(3&lt;=cfg_VAL_M,'مسير مارس'!W23,0)+IF(4&lt;=cfg_VAL_M,'مسير أبريل'!W23,0)+IF(5&lt;=cfg_VAL_M,'مسير مايو'!W23,0)+IF(6&lt;=cfg_VAL_M,'مسير يونيو'!W23,0)+IF(7&lt;=cfg_VAL_M,'مسير يوليو'!W23,0)+IF(8&lt;=cfg_VAL_M,'مسير أغسطس'!W23,0)+IF(9&lt;=cfg_VAL_M,'مسير سبتمبر'!W23,0)+IF(10&lt;=cfg_VAL_M,'مسير أكتوبر'!W23,0)+IF(11&lt;=cfg_VAL_M,'مسير نوفمبر'!W23,0)+IF(12&lt;=cfg_VAL_M,'مسير ديسمبر'!W23,0))</f>
        <v/>
      </c>
      <c r="AH23" s="90" t="str">
        <f aca="false">IF($B23="","",AF23/cfg_VAL_M)</f>
        <v/>
      </c>
    </row>
    <row r="24" customFormat="false" ht="15" hidden="false" customHeight="false" outlineLevel="0" collapsed="false">
      <c r="B24" s="74" t="str">
        <f aca="false">IF(الموظفون!$B24="","",الموظفون!$B24)</f>
        <v/>
      </c>
      <c r="C24" s="74" t="str">
        <f aca="false">IF(الموظفون!$B24="","",الموظفون!$C24)</f>
        <v/>
      </c>
      <c r="D24" s="74" t="str">
        <f aca="false">IF(الموظفون!$B24="","",الموظفون!$F24)</f>
        <v/>
      </c>
      <c r="E24" s="74" t="str">
        <f aca="false">IF(الموظفون!$B24="","",الموظفون!$E24)</f>
        <v/>
      </c>
      <c r="F24" s="86" t="str">
        <f aca="false">IF($B24="","",'مسير يناير'!R24)</f>
        <v/>
      </c>
      <c r="G24" s="86" t="str">
        <f aca="false">IF($B24="","",'مسير فبراير'!R24)</f>
        <v/>
      </c>
      <c r="H24" s="86" t="str">
        <f aca="false">IF($B24="","",'مسير مارس'!R24)</f>
        <v/>
      </c>
      <c r="I24" s="86" t="str">
        <f aca="false">IF($B24="","",'مسير أبريل'!R24)</f>
        <v/>
      </c>
      <c r="J24" s="86" t="str">
        <f aca="false">IF($B24="","",'مسير مايو'!R24)</f>
        <v/>
      </c>
      <c r="K24" s="86" t="str">
        <f aca="false">IF($B24="","",'مسير يونيو'!R24)</f>
        <v/>
      </c>
      <c r="L24" s="86" t="str">
        <f aca="false">IF($B24="","",'مسير يوليو'!R24)</f>
        <v/>
      </c>
      <c r="M24" s="86" t="str">
        <f aca="false">IF($B24="","",'مسير أغسطس'!R24)</f>
        <v/>
      </c>
      <c r="N24" s="86" t="str">
        <f aca="false">IF($B24="","",'مسير سبتمبر'!R24)</f>
        <v/>
      </c>
      <c r="O24" s="86" t="str">
        <f aca="false">IF($B24="","",'مسير أكتوبر'!R24)</f>
        <v/>
      </c>
      <c r="P24" s="86" t="str">
        <f aca="false">IF($B24="","",'مسير نوفمبر'!R24)</f>
        <v/>
      </c>
      <c r="Q24" s="86" t="str">
        <f aca="false">IF($B24="","",'مسير ديسمبر'!R24)</f>
        <v/>
      </c>
      <c r="R24" s="123" t="str">
        <f aca="false">IF($B24="","",IF(1&lt;=cfg_VAL_M,'مسير يناير'!R24,0)+IF(2&lt;=cfg_VAL_M,'مسير فبراير'!R24,0)+IF(3&lt;=cfg_VAL_M,'مسير مارس'!R24,0)+IF(4&lt;=cfg_VAL_M,'مسير أبريل'!R24,0)+IF(5&lt;=cfg_VAL_M,'مسير مايو'!R24,0)+IF(6&lt;=cfg_VAL_M,'مسير يونيو'!R24,0)+IF(7&lt;=cfg_VAL_M,'مسير يوليو'!R24,0)+IF(8&lt;=cfg_VAL_M,'مسير أغسطس'!R24,0)+IF(9&lt;=cfg_VAL_M,'مسير سبتمبر'!R24,0)+IF(10&lt;=cfg_VAL_M,'مسير أكتوبر'!R24,0)+IF(11&lt;=cfg_VAL_M,'مسير نوفمبر'!R24,0)+IF(12&lt;=cfg_VAL_M,'مسير ديسمبر'!R24,0))</f>
        <v/>
      </c>
      <c r="T24" s="86" t="str">
        <f aca="false">IF($B24="","",'مسير يناير'!AB24)</f>
        <v/>
      </c>
      <c r="U24" s="86" t="str">
        <f aca="false">IF($B24="","",'مسير فبراير'!AB24)</f>
        <v/>
      </c>
      <c r="V24" s="86" t="str">
        <f aca="false">IF($B24="","",'مسير مارس'!AB24)</f>
        <v/>
      </c>
      <c r="W24" s="86" t="str">
        <f aca="false">IF($B24="","",'مسير أبريل'!AB24)</f>
        <v/>
      </c>
      <c r="X24" s="86" t="str">
        <f aca="false">IF($B24="","",'مسير مايو'!AB24)</f>
        <v/>
      </c>
      <c r="Y24" s="86" t="str">
        <f aca="false">IF($B24="","",'مسير يونيو'!AB24)</f>
        <v/>
      </c>
      <c r="Z24" s="86" t="str">
        <f aca="false">IF($B24="","",'مسير يوليو'!AB24)</f>
        <v/>
      </c>
      <c r="AA24" s="86" t="str">
        <f aca="false">IF($B24="","",'مسير أغسطس'!AB24)</f>
        <v/>
      </c>
      <c r="AB24" s="86" t="str">
        <f aca="false">IF($B24="","",'مسير سبتمبر'!AB24)</f>
        <v/>
      </c>
      <c r="AC24" s="86" t="str">
        <f aca="false">IF($B24="","",'مسير أكتوبر'!AB24)</f>
        <v/>
      </c>
      <c r="AD24" s="86" t="str">
        <f aca="false">IF($B24="","",'مسير نوفمبر'!AB24)</f>
        <v/>
      </c>
      <c r="AE24" s="86" t="str">
        <f aca="false">IF($B24="","",'مسير ديسمبر'!AB24)</f>
        <v/>
      </c>
      <c r="AF24" s="123" t="str">
        <f aca="false">IF($B24="","",IF(1&lt;=cfg_VAL_M,'مسير يناير'!AB24,0)+IF(2&lt;=cfg_VAL_M,'مسير فبراير'!AB24,0)+IF(3&lt;=cfg_VAL_M,'مسير مارس'!AB24,0)+IF(4&lt;=cfg_VAL_M,'مسير أبريل'!AB24,0)+IF(5&lt;=cfg_VAL_M,'مسير مايو'!AB24,0)+IF(6&lt;=cfg_VAL_M,'مسير يونيو'!AB24,0)+IF(7&lt;=cfg_VAL_M,'مسير يوليو'!AB24,0)+IF(8&lt;=cfg_VAL_M,'مسير أغسطس'!AB24,0)+IF(9&lt;=cfg_VAL_M,'مسير سبتمبر'!AB24,0)+IF(10&lt;=cfg_VAL_M,'مسير أكتوبر'!AB24,0)+IF(11&lt;=cfg_VAL_M,'مسير نوفمبر'!AB24,0)+IF(12&lt;=cfg_VAL_M,'مسير ديسمبر'!AB24,0))</f>
        <v/>
      </c>
      <c r="AG24" s="123" t="str">
        <f aca="false">IF($B24="","",IF(1&lt;=cfg_VAL_M,'مسير يناير'!W24,0)+IF(2&lt;=cfg_VAL_M,'مسير فبراير'!W24,0)+IF(3&lt;=cfg_VAL_M,'مسير مارس'!W24,0)+IF(4&lt;=cfg_VAL_M,'مسير أبريل'!W24,0)+IF(5&lt;=cfg_VAL_M,'مسير مايو'!W24,0)+IF(6&lt;=cfg_VAL_M,'مسير يونيو'!W24,0)+IF(7&lt;=cfg_VAL_M,'مسير يوليو'!W24,0)+IF(8&lt;=cfg_VAL_M,'مسير أغسطس'!W24,0)+IF(9&lt;=cfg_VAL_M,'مسير سبتمبر'!W24,0)+IF(10&lt;=cfg_VAL_M,'مسير أكتوبر'!W24,0)+IF(11&lt;=cfg_VAL_M,'مسير نوفمبر'!W24,0)+IF(12&lt;=cfg_VAL_M,'مسير ديسمبر'!W24,0))</f>
        <v/>
      </c>
      <c r="AH24" s="86" t="str">
        <f aca="false">IF($B24="","",AF24/cfg_VAL_M)</f>
        <v/>
      </c>
    </row>
    <row r="25" customFormat="false" ht="15" hidden="false" customHeight="false" outlineLevel="0" collapsed="false">
      <c r="B25" s="91" t="str">
        <f aca="false">IF(الموظفون!$B25="","",الموظفون!$B25)</f>
        <v/>
      </c>
      <c r="C25" s="91" t="str">
        <f aca="false">IF(الموظفون!$B25="","",الموظفون!$C25)</f>
        <v/>
      </c>
      <c r="D25" s="91" t="str">
        <f aca="false">IF(الموظفون!$B25="","",الموظفون!$F25)</f>
        <v/>
      </c>
      <c r="E25" s="91" t="str">
        <f aca="false">IF(الموظفون!$B25="","",الموظفون!$E25)</f>
        <v/>
      </c>
      <c r="F25" s="90" t="str">
        <f aca="false">IF($B25="","",'مسير يناير'!R25)</f>
        <v/>
      </c>
      <c r="G25" s="90" t="str">
        <f aca="false">IF($B25="","",'مسير فبراير'!R25)</f>
        <v/>
      </c>
      <c r="H25" s="90" t="str">
        <f aca="false">IF($B25="","",'مسير مارس'!R25)</f>
        <v/>
      </c>
      <c r="I25" s="90" t="str">
        <f aca="false">IF($B25="","",'مسير أبريل'!R25)</f>
        <v/>
      </c>
      <c r="J25" s="90" t="str">
        <f aca="false">IF($B25="","",'مسير مايو'!R25)</f>
        <v/>
      </c>
      <c r="K25" s="90" t="str">
        <f aca="false">IF($B25="","",'مسير يونيو'!R25)</f>
        <v/>
      </c>
      <c r="L25" s="90" t="str">
        <f aca="false">IF($B25="","",'مسير يوليو'!R25)</f>
        <v/>
      </c>
      <c r="M25" s="90" t="str">
        <f aca="false">IF($B25="","",'مسير أغسطس'!R25)</f>
        <v/>
      </c>
      <c r="N25" s="90" t="str">
        <f aca="false">IF($B25="","",'مسير سبتمبر'!R25)</f>
        <v/>
      </c>
      <c r="O25" s="90" t="str">
        <f aca="false">IF($B25="","",'مسير أكتوبر'!R25)</f>
        <v/>
      </c>
      <c r="P25" s="90" t="str">
        <f aca="false">IF($B25="","",'مسير نوفمبر'!R25)</f>
        <v/>
      </c>
      <c r="Q25" s="90" t="str">
        <f aca="false">IF($B25="","",'مسير ديسمبر'!R25)</f>
        <v/>
      </c>
      <c r="R25" s="124" t="str">
        <f aca="false">IF($B25="","",IF(1&lt;=cfg_VAL_M,'مسير يناير'!R25,0)+IF(2&lt;=cfg_VAL_M,'مسير فبراير'!R25,0)+IF(3&lt;=cfg_VAL_M,'مسير مارس'!R25,0)+IF(4&lt;=cfg_VAL_M,'مسير أبريل'!R25,0)+IF(5&lt;=cfg_VAL_M,'مسير مايو'!R25,0)+IF(6&lt;=cfg_VAL_M,'مسير يونيو'!R25,0)+IF(7&lt;=cfg_VAL_M,'مسير يوليو'!R25,0)+IF(8&lt;=cfg_VAL_M,'مسير أغسطس'!R25,0)+IF(9&lt;=cfg_VAL_M,'مسير سبتمبر'!R25,0)+IF(10&lt;=cfg_VAL_M,'مسير أكتوبر'!R25,0)+IF(11&lt;=cfg_VAL_M,'مسير نوفمبر'!R25,0)+IF(12&lt;=cfg_VAL_M,'مسير ديسمبر'!R25,0))</f>
        <v/>
      </c>
      <c r="T25" s="90" t="str">
        <f aca="false">IF($B25="","",'مسير يناير'!AB25)</f>
        <v/>
      </c>
      <c r="U25" s="90" t="str">
        <f aca="false">IF($B25="","",'مسير فبراير'!AB25)</f>
        <v/>
      </c>
      <c r="V25" s="90" t="str">
        <f aca="false">IF($B25="","",'مسير مارس'!AB25)</f>
        <v/>
      </c>
      <c r="W25" s="90" t="str">
        <f aca="false">IF($B25="","",'مسير أبريل'!AB25)</f>
        <v/>
      </c>
      <c r="X25" s="90" t="str">
        <f aca="false">IF($B25="","",'مسير مايو'!AB25)</f>
        <v/>
      </c>
      <c r="Y25" s="90" t="str">
        <f aca="false">IF($B25="","",'مسير يونيو'!AB25)</f>
        <v/>
      </c>
      <c r="Z25" s="90" t="str">
        <f aca="false">IF($B25="","",'مسير يوليو'!AB25)</f>
        <v/>
      </c>
      <c r="AA25" s="90" t="str">
        <f aca="false">IF($B25="","",'مسير أغسطس'!AB25)</f>
        <v/>
      </c>
      <c r="AB25" s="90" t="str">
        <f aca="false">IF($B25="","",'مسير سبتمبر'!AB25)</f>
        <v/>
      </c>
      <c r="AC25" s="90" t="str">
        <f aca="false">IF($B25="","",'مسير أكتوبر'!AB25)</f>
        <v/>
      </c>
      <c r="AD25" s="90" t="str">
        <f aca="false">IF($B25="","",'مسير نوفمبر'!AB25)</f>
        <v/>
      </c>
      <c r="AE25" s="90" t="str">
        <f aca="false">IF($B25="","",'مسير ديسمبر'!AB25)</f>
        <v/>
      </c>
      <c r="AF25" s="124" t="str">
        <f aca="false">IF($B25="","",IF(1&lt;=cfg_VAL_M,'مسير يناير'!AB25,0)+IF(2&lt;=cfg_VAL_M,'مسير فبراير'!AB25,0)+IF(3&lt;=cfg_VAL_M,'مسير مارس'!AB25,0)+IF(4&lt;=cfg_VAL_M,'مسير أبريل'!AB25,0)+IF(5&lt;=cfg_VAL_M,'مسير مايو'!AB25,0)+IF(6&lt;=cfg_VAL_M,'مسير يونيو'!AB25,0)+IF(7&lt;=cfg_VAL_M,'مسير يوليو'!AB25,0)+IF(8&lt;=cfg_VAL_M,'مسير أغسطس'!AB25,0)+IF(9&lt;=cfg_VAL_M,'مسير سبتمبر'!AB25,0)+IF(10&lt;=cfg_VAL_M,'مسير أكتوبر'!AB25,0)+IF(11&lt;=cfg_VAL_M,'مسير نوفمبر'!AB25,0)+IF(12&lt;=cfg_VAL_M,'مسير ديسمبر'!AB25,0))</f>
        <v/>
      </c>
      <c r="AG25" s="124" t="str">
        <f aca="false">IF($B25="","",IF(1&lt;=cfg_VAL_M,'مسير يناير'!W25,0)+IF(2&lt;=cfg_VAL_M,'مسير فبراير'!W25,0)+IF(3&lt;=cfg_VAL_M,'مسير مارس'!W25,0)+IF(4&lt;=cfg_VAL_M,'مسير أبريل'!W25,0)+IF(5&lt;=cfg_VAL_M,'مسير مايو'!W25,0)+IF(6&lt;=cfg_VAL_M,'مسير يونيو'!W25,0)+IF(7&lt;=cfg_VAL_M,'مسير يوليو'!W25,0)+IF(8&lt;=cfg_VAL_M,'مسير أغسطس'!W25,0)+IF(9&lt;=cfg_VAL_M,'مسير سبتمبر'!W25,0)+IF(10&lt;=cfg_VAL_M,'مسير أكتوبر'!W25,0)+IF(11&lt;=cfg_VAL_M,'مسير نوفمبر'!W25,0)+IF(12&lt;=cfg_VAL_M,'مسير ديسمبر'!W25,0))</f>
        <v/>
      </c>
      <c r="AH25" s="90" t="str">
        <f aca="false">IF($B25="","",AF25/cfg_VAL_M)</f>
        <v/>
      </c>
    </row>
    <row r="26" customFormat="false" ht="15" hidden="false" customHeight="false" outlineLevel="0" collapsed="false">
      <c r="B26" s="74" t="str">
        <f aca="false">IF(الموظفون!$B26="","",الموظفون!$B26)</f>
        <v/>
      </c>
      <c r="C26" s="74" t="str">
        <f aca="false">IF(الموظفون!$B26="","",الموظفون!$C26)</f>
        <v/>
      </c>
      <c r="D26" s="74" t="str">
        <f aca="false">IF(الموظفون!$B26="","",الموظفون!$F26)</f>
        <v/>
      </c>
      <c r="E26" s="74" t="str">
        <f aca="false">IF(الموظفون!$B26="","",الموظفون!$E26)</f>
        <v/>
      </c>
      <c r="F26" s="86" t="str">
        <f aca="false">IF($B26="","",'مسير يناير'!R26)</f>
        <v/>
      </c>
      <c r="G26" s="86" t="str">
        <f aca="false">IF($B26="","",'مسير فبراير'!R26)</f>
        <v/>
      </c>
      <c r="H26" s="86" t="str">
        <f aca="false">IF($B26="","",'مسير مارس'!R26)</f>
        <v/>
      </c>
      <c r="I26" s="86" t="str">
        <f aca="false">IF($B26="","",'مسير أبريل'!R26)</f>
        <v/>
      </c>
      <c r="J26" s="86" t="str">
        <f aca="false">IF($B26="","",'مسير مايو'!R26)</f>
        <v/>
      </c>
      <c r="K26" s="86" t="str">
        <f aca="false">IF($B26="","",'مسير يونيو'!R26)</f>
        <v/>
      </c>
      <c r="L26" s="86" t="str">
        <f aca="false">IF($B26="","",'مسير يوليو'!R26)</f>
        <v/>
      </c>
      <c r="M26" s="86" t="str">
        <f aca="false">IF($B26="","",'مسير أغسطس'!R26)</f>
        <v/>
      </c>
      <c r="N26" s="86" t="str">
        <f aca="false">IF($B26="","",'مسير سبتمبر'!R26)</f>
        <v/>
      </c>
      <c r="O26" s="86" t="str">
        <f aca="false">IF($B26="","",'مسير أكتوبر'!R26)</f>
        <v/>
      </c>
      <c r="P26" s="86" t="str">
        <f aca="false">IF($B26="","",'مسير نوفمبر'!R26)</f>
        <v/>
      </c>
      <c r="Q26" s="86" t="str">
        <f aca="false">IF($B26="","",'مسير ديسمبر'!R26)</f>
        <v/>
      </c>
      <c r="R26" s="123" t="str">
        <f aca="false">IF($B26="","",IF(1&lt;=cfg_VAL_M,'مسير يناير'!R26,0)+IF(2&lt;=cfg_VAL_M,'مسير فبراير'!R26,0)+IF(3&lt;=cfg_VAL_M,'مسير مارس'!R26,0)+IF(4&lt;=cfg_VAL_M,'مسير أبريل'!R26,0)+IF(5&lt;=cfg_VAL_M,'مسير مايو'!R26,0)+IF(6&lt;=cfg_VAL_M,'مسير يونيو'!R26,0)+IF(7&lt;=cfg_VAL_M,'مسير يوليو'!R26,0)+IF(8&lt;=cfg_VAL_M,'مسير أغسطس'!R26,0)+IF(9&lt;=cfg_VAL_M,'مسير سبتمبر'!R26,0)+IF(10&lt;=cfg_VAL_M,'مسير أكتوبر'!R26,0)+IF(11&lt;=cfg_VAL_M,'مسير نوفمبر'!R26,0)+IF(12&lt;=cfg_VAL_M,'مسير ديسمبر'!R26,0))</f>
        <v/>
      </c>
      <c r="T26" s="86" t="str">
        <f aca="false">IF($B26="","",'مسير يناير'!AB26)</f>
        <v/>
      </c>
      <c r="U26" s="86" t="str">
        <f aca="false">IF($B26="","",'مسير فبراير'!AB26)</f>
        <v/>
      </c>
      <c r="V26" s="86" t="str">
        <f aca="false">IF($B26="","",'مسير مارس'!AB26)</f>
        <v/>
      </c>
      <c r="W26" s="86" t="str">
        <f aca="false">IF($B26="","",'مسير أبريل'!AB26)</f>
        <v/>
      </c>
      <c r="X26" s="86" t="str">
        <f aca="false">IF($B26="","",'مسير مايو'!AB26)</f>
        <v/>
      </c>
      <c r="Y26" s="86" t="str">
        <f aca="false">IF($B26="","",'مسير يونيو'!AB26)</f>
        <v/>
      </c>
      <c r="Z26" s="86" t="str">
        <f aca="false">IF($B26="","",'مسير يوليو'!AB26)</f>
        <v/>
      </c>
      <c r="AA26" s="86" t="str">
        <f aca="false">IF($B26="","",'مسير أغسطس'!AB26)</f>
        <v/>
      </c>
      <c r="AB26" s="86" t="str">
        <f aca="false">IF($B26="","",'مسير سبتمبر'!AB26)</f>
        <v/>
      </c>
      <c r="AC26" s="86" t="str">
        <f aca="false">IF($B26="","",'مسير أكتوبر'!AB26)</f>
        <v/>
      </c>
      <c r="AD26" s="86" t="str">
        <f aca="false">IF($B26="","",'مسير نوفمبر'!AB26)</f>
        <v/>
      </c>
      <c r="AE26" s="86" t="str">
        <f aca="false">IF($B26="","",'مسير ديسمبر'!AB26)</f>
        <v/>
      </c>
      <c r="AF26" s="123" t="str">
        <f aca="false">IF($B26="","",IF(1&lt;=cfg_VAL_M,'مسير يناير'!AB26,0)+IF(2&lt;=cfg_VAL_M,'مسير فبراير'!AB26,0)+IF(3&lt;=cfg_VAL_M,'مسير مارس'!AB26,0)+IF(4&lt;=cfg_VAL_M,'مسير أبريل'!AB26,0)+IF(5&lt;=cfg_VAL_M,'مسير مايو'!AB26,0)+IF(6&lt;=cfg_VAL_M,'مسير يونيو'!AB26,0)+IF(7&lt;=cfg_VAL_M,'مسير يوليو'!AB26,0)+IF(8&lt;=cfg_VAL_M,'مسير أغسطس'!AB26,0)+IF(9&lt;=cfg_VAL_M,'مسير سبتمبر'!AB26,0)+IF(10&lt;=cfg_VAL_M,'مسير أكتوبر'!AB26,0)+IF(11&lt;=cfg_VAL_M,'مسير نوفمبر'!AB26,0)+IF(12&lt;=cfg_VAL_M,'مسير ديسمبر'!AB26,0))</f>
        <v/>
      </c>
      <c r="AG26" s="123" t="str">
        <f aca="false">IF($B26="","",IF(1&lt;=cfg_VAL_M,'مسير يناير'!W26,0)+IF(2&lt;=cfg_VAL_M,'مسير فبراير'!W26,0)+IF(3&lt;=cfg_VAL_M,'مسير مارس'!W26,0)+IF(4&lt;=cfg_VAL_M,'مسير أبريل'!W26,0)+IF(5&lt;=cfg_VAL_M,'مسير مايو'!W26,0)+IF(6&lt;=cfg_VAL_M,'مسير يونيو'!W26,0)+IF(7&lt;=cfg_VAL_M,'مسير يوليو'!W26,0)+IF(8&lt;=cfg_VAL_M,'مسير أغسطس'!W26,0)+IF(9&lt;=cfg_VAL_M,'مسير سبتمبر'!W26,0)+IF(10&lt;=cfg_VAL_M,'مسير أكتوبر'!W26,0)+IF(11&lt;=cfg_VAL_M,'مسير نوفمبر'!W26,0)+IF(12&lt;=cfg_VAL_M,'مسير ديسمبر'!W26,0))</f>
        <v/>
      </c>
      <c r="AH26" s="86" t="str">
        <f aca="false">IF($B26="","",AF26/cfg_VAL_M)</f>
        <v/>
      </c>
    </row>
    <row r="27" customFormat="false" ht="15" hidden="false" customHeight="false" outlineLevel="0" collapsed="false">
      <c r="B27" s="91" t="str">
        <f aca="false">IF(الموظفون!$B27="","",الموظفون!$B27)</f>
        <v/>
      </c>
      <c r="C27" s="91" t="str">
        <f aca="false">IF(الموظفون!$B27="","",الموظفون!$C27)</f>
        <v/>
      </c>
      <c r="D27" s="91" t="str">
        <f aca="false">IF(الموظفون!$B27="","",الموظفون!$F27)</f>
        <v/>
      </c>
      <c r="E27" s="91" t="str">
        <f aca="false">IF(الموظفون!$B27="","",الموظفون!$E27)</f>
        <v/>
      </c>
      <c r="F27" s="90" t="str">
        <f aca="false">IF($B27="","",'مسير يناير'!R27)</f>
        <v/>
      </c>
      <c r="G27" s="90" t="str">
        <f aca="false">IF($B27="","",'مسير فبراير'!R27)</f>
        <v/>
      </c>
      <c r="H27" s="90" t="str">
        <f aca="false">IF($B27="","",'مسير مارس'!R27)</f>
        <v/>
      </c>
      <c r="I27" s="90" t="str">
        <f aca="false">IF($B27="","",'مسير أبريل'!R27)</f>
        <v/>
      </c>
      <c r="J27" s="90" t="str">
        <f aca="false">IF($B27="","",'مسير مايو'!R27)</f>
        <v/>
      </c>
      <c r="K27" s="90" t="str">
        <f aca="false">IF($B27="","",'مسير يونيو'!R27)</f>
        <v/>
      </c>
      <c r="L27" s="90" t="str">
        <f aca="false">IF($B27="","",'مسير يوليو'!R27)</f>
        <v/>
      </c>
      <c r="M27" s="90" t="str">
        <f aca="false">IF($B27="","",'مسير أغسطس'!R27)</f>
        <v/>
      </c>
      <c r="N27" s="90" t="str">
        <f aca="false">IF($B27="","",'مسير سبتمبر'!R27)</f>
        <v/>
      </c>
      <c r="O27" s="90" t="str">
        <f aca="false">IF($B27="","",'مسير أكتوبر'!R27)</f>
        <v/>
      </c>
      <c r="P27" s="90" t="str">
        <f aca="false">IF($B27="","",'مسير نوفمبر'!R27)</f>
        <v/>
      </c>
      <c r="Q27" s="90" t="str">
        <f aca="false">IF($B27="","",'مسير ديسمبر'!R27)</f>
        <v/>
      </c>
      <c r="R27" s="124" t="str">
        <f aca="false">IF($B27="","",IF(1&lt;=cfg_VAL_M,'مسير يناير'!R27,0)+IF(2&lt;=cfg_VAL_M,'مسير فبراير'!R27,0)+IF(3&lt;=cfg_VAL_M,'مسير مارس'!R27,0)+IF(4&lt;=cfg_VAL_M,'مسير أبريل'!R27,0)+IF(5&lt;=cfg_VAL_M,'مسير مايو'!R27,0)+IF(6&lt;=cfg_VAL_M,'مسير يونيو'!R27,0)+IF(7&lt;=cfg_VAL_M,'مسير يوليو'!R27,0)+IF(8&lt;=cfg_VAL_M,'مسير أغسطس'!R27,0)+IF(9&lt;=cfg_VAL_M,'مسير سبتمبر'!R27,0)+IF(10&lt;=cfg_VAL_M,'مسير أكتوبر'!R27,0)+IF(11&lt;=cfg_VAL_M,'مسير نوفمبر'!R27,0)+IF(12&lt;=cfg_VAL_M,'مسير ديسمبر'!R27,0))</f>
        <v/>
      </c>
      <c r="T27" s="90" t="str">
        <f aca="false">IF($B27="","",'مسير يناير'!AB27)</f>
        <v/>
      </c>
      <c r="U27" s="90" t="str">
        <f aca="false">IF($B27="","",'مسير فبراير'!AB27)</f>
        <v/>
      </c>
      <c r="V27" s="90" t="str">
        <f aca="false">IF($B27="","",'مسير مارس'!AB27)</f>
        <v/>
      </c>
      <c r="W27" s="90" t="str">
        <f aca="false">IF($B27="","",'مسير أبريل'!AB27)</f>
        <v/>
      </c>
      <c r="X27" s="90" t="str">
        <f aca="false">IF($B27="","",'مسير مايو'!AB27)</f>
        <v/>
      </c>
      <c r="Y27" s="90" t="str">
        <f aca="false">IF($B27="","",'مسير يونيو'!AB27)</f>
        <v/>
      </c>
      <c r="Z27" s="90" t="str">
        <f aca="false">IF($B27="","",'مسير يوليو'!AB27)</f>
        <v/>
      </c>
      <c r="AA27" s="90" t="str">
        <f aca="false">IF($B27="","",'مسير أغسطس'!AB27)</f>
        <v/>
      </c>
      <c r="AB27" s="90" t="str">
        <f aca="false">IF($B27="","",'مسير سبتمبر'!AB27)</f>
        <v/>
      </c>
      <c r="AC27" s="90" t="str">
        <f aca="false">IF($B27="","",'مسير أكتوبر'!AB27)</f>
        <v/>
      </c>
      <c r="AD27" s="90" t="str">
        <f aca="false">IF($B27="","",'مسير نوفمبر'!AB27)</f>
        <v/>
      </c>
      <c r="AE27" s="90" t="str">
        <f aca="false">IF($B27="","",'مسير ديسمبر'!AB27)</f>
        <v/>
      </c>
      <c r="AF27" s="124" t="str">
        <f aca="false">IF($B27="","",IF(1&lt;=cfg_VAL_M,'مسير يناير'!AB27,0)+IF(2&lt;=cfg_VAL_M,'مسير فبراير'!AB27,0)+IF(3&lt;=cfg_VAL_M,'مسير مارس'!AB27,0)+IF(4&lt;=cfg_VAL_M,'مسير أبريل'!AB27,0)+IF(5&lt;=cfg_VAL_M,'مسير مايو'!AB27,0)+IF(6&lt;=cfg_VAL_M,'مسير يونيو'!AB27,0)+IF(7&lt;=cfg_VAL_M,'مسير يوليو'!AB27,0)+IF(8&lt;=cfg_VAL_M,'مسير أغسطس'!AB27,0)+IF(9&lt;=cfg_VAL_M,'مسير سبتمبر'!AB27,0)+IF(10&lt;=cfg_VAL_M,'مسير أكتوبر'!AB27,0)+IF(11&lt;=cfg_VAL_M,'مسير نوفمبر'!AB27,0)+IF(12&lt;=cfg_VAL_M,'مسير ديسمبر'!AB27,0))</f>
        <v/>
      </c>
      <c r="AG27" s="124" t="str">
        <f aca="false">IF($B27="","",IF(1&lt;=cfg_VAL_M,'مسير يناير'!W27,0)+IF(2&lt;=cfg_VAL_M,'مسير فبراير'!W27,0)+IF(3&lt;=cfg_VAL_M,'مسير مارس'!W27,0)+IF(4&lt;=cfg_VAL_M,'مسير أبريل'!W27,0)+IF(5&lt;=cfg_VAL_M,'مسير مايو'!W27,0)+IF(6&lt;=cfg_VAL_M,'مسير يونيو'!W27,0)+IF(7&lt;=cfg_VAL_M,'مسير يوليو'!W27,0)+IF(8&lt;=cfg_VAL_M,'مسير أغسطس'!W27,0)+IF(9&lt;=cfg_VAL_M,'مسير سبتمبر'!W27,0)+IF(10&lt;=cfg_VAL_M,'مسير أكتوبر'!W27,0)+IF(11&lt;=cfg_VAL_M,'مسير نوفمبر'!W27,0)+IF(12&lt;=cfg_VAL_M,'مسير ديسمبر'!W27,0))</f>
        <v/>
      </c>
      <c r="AH27" s="90" t="str">
        <f aca="false">IF($B27="","",AF27/cfg_VAL_M)</f>
        <v/>
      </c>
    </row>
    <row r="28" customFormat="false" ht="15" hidden="false" customHeight="false" outlineLevel="0" collapsed="false">
      <c r="B28" s="74" t="str">
        <f aca="false">IF(الموظفون!$B28="","",الموظفون!$B28)</f>
        <v/>
      </c>
      <c r="C28" s="74" t="str">
        <f aca="false">IF(الموظفون!$B28="","",الموظفون!$C28)</f>
        <v/>
      </c>
      <c r="D28" s="74" t="str">
        <f aca="false">IF(الموظفون!$B28="","",الموظفون!$F28)</f>
        <v/>
      </c>
      <c r="E28" s="74" t="str">
        <f aca="false">IF(الموظفون!$B28="","",الموظفون!$E28)</f>
        <v/>
      </c>
      <c r="F28" s="86" t="str">
        <f aca="false">IF($B28="","",'مسير يناير'!R28)</f>
        <v/>
      </c>
      <c r="G28" s="86" t="str">
        <f aca="false">IF($B28="","",'مسير فبراير'!R28)</f>
        <v/>
      </c>
      <c r="H28" s="86" t="str">
        <f aca="false">IF($B28="","",'مسير مارس'!R28)</f>
        <v/>
      </c>
      <c r="I28" s="86" t="str">
        <f aca="false">IF($B28="","",'مسير أبريل'!R28)</f>
        <v/>
      </c>
      <c r="J28" s="86" t="str">
        <f aca="false">IF($B28="","",'مسير مايو'!R28)</f>
        <v/>
      </c>
      <c r="K28" s="86" t="str">
        <f aca="false">IF($B28="","",'مسير يونيو'!R28)</f>
        <v/>
      </c>
      <c r="L28" s="86" t="str">
        <f aca="false">IF($B28="","",'مسير يوليو'!R28)</f>
        <v/>
      </c>
      <c r="M28" s="86" t="str">
        <f aca="false">IF($B28="","",'مسير أغسطس'!R28)</f>
        <v/>
      </c>
      <c r="N28" s="86" t="str">
        <f aca="false">IF($B28="","",'مسير سبتمبر'!R28)</f>
        <v/>
      </c>
      <c r="O28" s="86" t="str">
        <f aca="false">IF($B28="","",'مسير أكتوبر'!R28)</f>
        <v/>
      </c>
      <c r="P28" s="86" t="str">
        <f aca="false">IF($B28="","",'مسير نوفمبر'!R28)</f>
        <v/>
      </c>
      <c r="Q28" s="86" t="str">
        <f aca="false">IF($B28="","",'مسير ديسمبر'!R28)</f>
        <v/>
      </c>
      <c r="R28" s="123" t="str">
        <f aca="false">IF($B28="","",IF(1&lt;=cfg_VAL_M,'مسير يناير'!R28,0)+IF(2&lt;=cfg_VAL_M,'مسير فبراير'!R28,0)+IF(3&lt;=cfg_VAL_M,'مسير مارس'!R28,0)+IF(4&lt;=cfg_VAL_M,'مسير أبريل'!R28,0)+IF(5&lt;=cfg_VAL_M,'مسير مايو'!R28,0)+IF(6&lt;=cfg_VAL_M,'مسير يونيو'!R28,0)+IF(7&lt;=cfg_VAL_M,'مسير يوليو'!R28,0)+IF(8&lt;=cfg_VAL_M,'مسير أغسطس'!R28,0)+IF(9&lt;=cfg_VAL_M,'مسير سبتمبر'!R28,0)+IF(10&lt;=cfg_VAL_M,'مسير أكتوبر'!R28,0)+IF(11&lt;=cfg_VAL_M,'مسير نوفمبر'!R28,0)+IF(12&lt;=cfg_VAL_M,'مسير ديسمبر'!R28,0))</f>
        <v/>
      </c>
      <c r="T28" s="86" t="str">
        <f aca="false">IF($B28="","",'مسير يناير'!AB28)</f>
        <v/>
      </c>
      <c r="U28" s="86" t="str">
        <f aca="false">IF($B28="","",'مسير فبراير'!AB28)</f>
        <v/>
      </c>
      <c r="V28" s="86" t="str">
        <f aca="false">IF($B28="","",'مسير مارس'!AB28)</f>
        <v/>
      </c>
      <c r="W28" s="86" t="str">
        <f aca="false">IF($B28="","",'مسير أبريل'!AB28)</f>
        <v/>
      </c>
      <c r="X28" s="86" t="str">
        <f aca="false">IF($B28="","",'مسير مايو'!AB28)</f>
        <v/>
      </c>
      <c r="Y28" s="86" t="str">
        <f aca="false">IF($B28="","",'مسير يونيو'!AB28)</f>
        <v/>
      </c>
      <c r="Z28" s="86" t="str">
        <f aca="false">IF($B28="","",'مسير يوليو'!AB28)</f>
        <v/>
      </c>
      <c r="AA28" s="86" t="str">
        <f aca="false">IF($B28="","",'مسير أغسطس'!AB28)</f>
        <v/>
      </c>
      <c r="AB28" s="86" t="str">
        <f aca="false">IF($B28="","",'مسير سبتمبر'!AB28)</f>
        <v/>
      </c>
      <c r="AC28" s="86" t="str">
        <f aca="false">IF($B28="","",'مسير أكتوبر'!AB28)</f>
        <v/>
      </c>
      <c r="AD28" s="86" t="str">
        <f aca="false">IF($B28="","",'مسير نوفمبر'!AB28)</f>
        <v/>
      </c>
      <c r="AE28" s="86" t="str">
        <f aca="false">IF($B28="","",'مسير ديسمبر'!AB28)</f>
        <v/>
      </c>
      <c r="AF28" s="123" t="str">
        <f aca="false">IF($B28="","",IF(1&lt;=cfg_VAL_M,'مسير يناير'!AB28,0)+IF(2&lt;=cfg_VAL_M,'مسير فبراير'!AB28,0)+IF(3&lt;=cfg_VAL_M,'مسير مارس'!AB28,0)+IF(4&lt;=cfg_VAL_M,'مسير أبريل'!AB28,0)+IF(5&lt;=cfg_VAL_M,'مسير مايو'!AB28,0)+IF(6&lt;=cfg_VAL_M,'مسير يونيو'!AB28,0)+IF(7&lt;=cfg_VAL_M,'مسير يوليو'!AB28,0)+IF(8&lt;=cfg_VAL_M,'مسير أغسطس'!AB28,0)+IF(9&lt;=cfg_VAL_M,'مسير سبتمبر'!AB28,0)+IF(10&lt;=cfg_VAL_M,'مسير أكتوبر'!AB28,0)+IF(11&lt;=cfg_VAL_M,'مسير نوفمبر'!AB28,0)+IF(12&lt;=cfg_VAL_M,'مسير ديسمبر'!AB28,0))</f>
        <v/>
      </c>
      <c r="AG28" s="123" t="str">
        <f aca="false">IF($B28="","",IF(1&lt;=cfg_VAL_M,'مسير يناير'!W28,0)+IF(2&lt;=cfg_VAL_M,'مسير فبراير'!W28,0)+IF(3&lt;=cfg_VAL_M,'مسير مارس'!W28,0)+IF(4&lt;=cfg_VAL_M,'مسير أبريل'!W28,0)+IF(5&lt;=cfg_VAL_M,'مسير مايو'!W28,0)+IF(6&lt;=cfg_VAL_M,'مسير يونيو'!W28,0)+IF(7&lt;=cfg_VAL_M,'مسير يوليو'!W28,0)+IF(8&lt;=cfg_VAL_M,'مسير أغسطس'!W28,0)+IF(9&lt;=cfg_VAL_M,'مسير سبتمبر'!W28,0)+IF(10&lt;=cfg_VAL_M,'مسير أكتوبر'!W28,0)+IF(11&lt;=cfg_VAL_M,'مسير نوفمبر'!W28,0)+IF(12&lt;=cfg_VAL_M,'مسير ديسمبر'!W28,0))</f>
        <v/>
      </c>
      <c r="AH28" s="86" t="str">
        <f aca="false">IF($B28="","",AF28/cfg_VAL_M)</f>
        <v/>
      </c>
    </row>
    <row r="29" customFormat="false" ht="15" hidden="false" customHeight="false" outlineLevel="0" collapsed="false">
      <c r="B29" s="91" t="str">
        <f aca="false">IF(الموظفون!$B29="","",الموظفون!$B29)</f>
        <v/>
      </c>
      <c r="C29" s="91" t="str">
        <f aca="false">IF(الموظفون!$B29="","",الموظفون!$C29)</f>
        <v/>
      </c>
      <c r="D29" s="91" t="str">
        <f aca="false">IF(الموظفون!$B29="","",الموظفون!$F29)</f>
        <v/>
      </c>
      <c r="E29" s="91" t="str">
        <f aca="false">IF(الموظفون!$B29="","",الموظفون!$E29)</f>
        <v/>
      </c>
      <c r="F29" s="90" t="str">
        <f aca="false">IF($B29="","",'مسير يناير'!R29)</f>
        <v/>
      </c>
      <c r="G29" s="90" t="str">
        <f aca="false">IF($B29="","",'مسير فبراير'!R29)</f>
        <v/>
      </c>
      <c r="H29" s="90" t="str">
        <f aca="false">IF($B29="","",'مسير مارس'!R29)</f>
        <v/>
      </c>
      <c r="I29" s="90" t="str">
        <f aca="false">IF($B29="","",'مسير أبريل'!R29)</f>
        <v/>
      </c>
      <c r="J29" s="90" t="str">
        <f aca="false">IF($B29="","",'مسير مايو'!R29)</f>
        <v/>
      </c>
      <c r="K29" s="90" t="str">
        <f aca="false">IF($B29="","",'مسير يونيو'!R29)</f>
        <v/>
      </c>
      <c r="L29" s="90" t="str">
        <f aca="false">IF($B29="","",'مسير يوليو'!R29)</f>
        <v/>
      </c>
      <c r="M29" s="90" t="str">
        <f aca="false">IF($B29="","",'مسير أغسطس'!R29)</f>
        <v/>
      </c>
      <c r="N29" s="90" t="str">
        <f aca="false">IF($B29="","",'مسير سبتمبر'!R29)</f>
        <v/>
      </c>
      <c r="O29" s="90" t="str">
        <f aca="false">IF($B29="","",'مسير أكتوبر'!R29)</f>
        <v/>
      </c>
      <c r="P29" s="90" t="str">
        <f aca="false">IF($B29="","",'مسير نوفمبر'!R29)</f>
        <v/>
      </c>
      <c r="Q29" s="90" t="str">
        <f aca="false">IF($B29="","",'مسير ديسمبر'!R29)</f>
        <v/>
      </c>
      <c r="R29" s="124" t="str">
        <f aca="false">IF($B29="","",IF(1&lt;=cfg_VAL_M,'مسير يناير'!R29,0)+IF(2&lt;=cfg_VAL_M,'مسير فبراير'!R29,0)+IF(3&lt;=cfg_VAL_M,'مسير مارس'!R29,0)+IF(4&lt;=cfg_VAL_M,'مسير أبريل'!R29,0)+IF(5&lt;=cfg_VAL_M,'مسير مايو'!R29,0)+IF(6&lt;=cfg_VAL_M,'مسير يونيو'!R29,0)+IF(7&lt;=cfg_VAL_M,'مسير يوليو'!R29,0)+IF(8&lt;=cfg_VAL_M,'مسير أغسطس'!R29,0)+IF(9&lt;=cfg_VAL_M,'مسير سبتمبر'!R29,0)+IF(10&lt;=cfg_VAL_M,'مسير أكتوبر'!R29,0)+IF(11&lt;=cfg_VAL_M,'مسير نوفمبر'!R29,0)+IF(12&lt;=cfg_VAL_M,'مسير ديسمبر'!R29,0))</f>
        <v/>
      </c>
      <c r="T29" s="90" t="str">
        <f aca="false">IF($B29="","",'مسير يناير'!AB29)</f>
        <v/>
      </c>
      <c r="U29" s="90" t="str">
        <f aca="false">IF($B29="","",'مسير فبراير'!AB29)</f>
        <v/>
      </c>
      <c r="V29" s="90" t="str">
        <f aca="false">IF($B29="","",'مسير مارس'!AB29)</f>
        <v/>
      </c>
      <c r="W29" s="90" t="str">
        <f aca="false">IF($B29="","",'مسير أبريل'!AB29)</f>
        <v/>
      </c>
      <c r="X29" s="90" t="str">
        <f aca="false">IF($B29="","",'مسير مايو'!AB29)</f>
        <v/>
      </c>
      <c r="Y29" s="90" t="str">
        <f aca="false">IF($B29="","",'مسير يونيو'!AB29)</f>
        <v/>
      </c>
      <c r="Z29" s="90" t="str">
        <f aca="false">IF($B29="","",'مسير يوليو'!AB29)</f>
        <v/>
      </c>
      <c r="AA29" s="90" t="str">
        <f aca="false">IF($B29="","",'مسير أغسطس'!AB29)</f>
        <v/>
      </c>
      <c r="AB29" s="90" t="str">
        <f aca="false">IF($B29="","",'مسير سبتمبر'!AB29)</f>
        <v/>
      </c>
      <c r="AC29" s="90" t="str">
        <f aca="false">IF($B29="","",'مسير أكتوبر'!AB29)</f>
        <v/>
      </c>
      <c r="AD29" s="90" t="str">
        <f aca="false">IF($B29="","",'مسير نوفمبر'!AB29)</f>
        <v/>
      </c>
      <c r="AE29" s="90" t="str">
        <f aca="false">IF($B29="","",'مسير ديسمبر'!AB29)</f>
        <v/>
      </c>
      <c r="AF29" s="124" t="str">
        <f aca="false">IF($B29="","",IF(1&lt;=cfg_VAL_M,'مسير يناير'!AB29,0)+IF(2&lt;=cfg_VAL_M,'مسير فبراير'!AB29,0)+IF(3&lt;=cfg_VAL_M,'مسير مارس'!AB29,0)+IF(4&lt;=cfg_VAL_M,'مسير أبريل'!AB29,0)+IF(5&lt;=cfg_VAL_M,'مسير مايو'!AB29,0)+IF(6&lt;=cfg_VAL_M,'مسير يونيو'!AB29,0)+IF(7&lt;=cfg_VAL_M,'مسير يوليو'!AB29,0)+IF(8&lt;=cfg_VAL_M,'مسير أغسطس'!AB29,0)+IF(9&lt;=cfg_VAL_M,'مسير سبتمبر'!AB29,0)+IF(10&lt;=cfg_VAL_M,'مسير أكتوبر'!AB29,0)+IF(11&lt;=cfg_VAL_M,'مسير نوفمبر'!AB29,0)+IF(12&lt;=cfg_VAL_M,'مسير ديسمبر'!AB29,0))</f>
        <v/>
      </c>
      <c r="AG29" s="124" t="str">
        <f aca="false">IF($B29="","",IF(1&lt;=cfg_VAL_M,'مسير يناير'!W29,0)+IF(2&lt;=cfg_VAL_M,'مسير فبراير'!W29,0)+IF(3&lt;=cfg_VAL_M,'مسير مارس'!W29,0)+IF(4&lt;=cfg_VAL_M,'مسير أبريل'!W29,0)+IF(5&lt;=cfg_VAL_M,'مسير مايو'!W29,0)+IF(6&lt;=cfg_VAL_M,'مسير يونيو'!W29,0)+IF(7&lt;=cfg_VAL_M,'مسير يوليو'!W29,0)+IF(8&lt;=cfg_VAL_M,'مسير أغسطس'!W29,0)+IF(9&lt;=cfg_VAL_M,'مسير سبتمبر'!W29,0)+IF(10&lt;=cfg_VAL_M,'مسير أكتوبر'!W29,0)+IF(11&lt;=cfg_VAL_M,'مسير نوفمبر'!W29,0)+IF(12&lt;=cfg_VAL_M,'مسير ديسمبر'!W29,0))</f>
        <v/>
      </c>
      <c r="AH29" s="90" t="str">
        <f aca="false">IF($B29="","",AF29/cfg_VAL_M)</f>
        <v/>
      </c>
    </row>
    <row r="30" customFormat="false" ht="15" hidden="false" customHeight="false" outlineLevel="0" collapsed="false">
      <c r="B30" s="74" t="str">
        <f aca="false">IF(الموظفون!$B30="","",الموظفون!$B30)</f>
        <v/>
      </c>
      <c r="C30" s="74" t="str">
        <f aca="false">IF(الموظفون!$B30="","",الموظفون!$C30)</f>
        <v/>
      </c>
      <c r="D30" s="74" t="str">
        <f aca="false">IF(الموظفون!$B30="","",الموظفون!$F30)</f>
        <v/>
      </c>
      <c r="E30" s="74" t="str">
        <f aca="false">IF(الموظفون!$B30="","",الموظفون!$E30)</f>
        <v/>
      </c>
      <c r="F30" s="86" t="str">
        <f aca="false">IF($B30="","",'مسير يناير'!R30)</f>
        <v/>
      </c>
      <c r="G30" s="86" t="str">
        <f aca="false">IF($B30="","",'مسير فبراير'!R30)</f>
        <v/>
      </c>
      <c r="H30" s="86" t="str">
        <f aca="false">IF($B30="","",'مسير مارس'!R30)</f>
        <v/>
      </c>
      <c r="I30" s="86" t="str">
        <f aca="false">IF($B30="","",'مسير أبريل'!R30)</f>
        <v/>
      </c>
      <c r="J30" s="86" t="str">
        <f aca="false">IF($B30="","",'مسير مايو'!R30)</f>
        <v/>
      </c>
      <c r="K30" s="86" t="str">
        <f aca="false">IF($B30="","",'مسير يونيو'!R30)</f>
        <v/>
      </c>
      <c r="L30" s="86" t="str">
        <f aca="false">IF($B30="","",'مسير يوليو'!R30)</f>
        <v/>
      </c>
      <c r="M30" s="86" t="str">
        <f aca="false">IF($B30="","",'مسير أغسطس'!R30)</f>
        <v/>
      </c>
      <c r="N30" s="86" t="str">
        <f aca="false">IF($B30="","",'مسير سبتمبر'!R30)</f>
        <v/>
      </c>
      <c r="O30" s="86" t="str">
        <f aca="false">IF($B30="","",'مسير أكتوبر'!R30)</f>
        <v/>
      </c>
      <c r="P30" s="86" t="str">
        <f aca="false">IF($B30="","",'مسير نوفمبر'!R30)</f>
        <v/>
      </c>
      <c r="Q30" s="86" t="str">
        <f aca="false">IF($B30="","",'مسير ديسمبر'!R30)</f>
        <v/>
      </c>
      <c r="R30" s="123" t="str">
        <f aca="false">IF($B30="","",IF(1&lt;=cfg_VAL_M,'مسير يناير'!R30,0)+IF(2&lt;=cfg_VAL_M,'مسير فبراير'!R30,0)+IF(3&lt;=cfg_VAL_M,'مسير مارس'!R30,0)+IF(4&lt;=cfg_VAL_M,'مسير أبريل'!R30,0)+IF(5&lt;=cfg_VAL_M,'مسير مايو'!R30,0)+IF(6&lt;=cfg_VAL_M,'مسير يونيو'!R30,0)+IF(7&lt;=cfg_VAL_M,'مسير يوليو'!R30,0)+IF(8&lt;=cfg_VAL_M,'مسير أغسطس'!R30,0)+IF(9&lt;=cfg_VAL_M,'مسير سبتمبر'!R30,0)+IF(10&lt;=cfg_VAL_M,'مسير أكتوبر'!R30,0)+IF(11&lt;=cfg_VAL_M,'مسير نوفمبر'!R30,0)+IF(12&lt;=cfg_VAL_M,'مسير ديسمبر'!R30,0))</f>
        <v/>
      </c>
      <c r="T30" s="86" t="str">
        <f aca="false">IF($B30="","",'مسير يناير'!AB30)</f>
        <v/>
      </c>
      <c r="U30" s="86" t="str">
        <f aca="false">IF($B30="","",'مسير فبراير'!AB30)</f>
        <v/>
      </c>
      <c r="V30" s="86" t="str">
        <f aca="false">IF($B30="","",'مسير مارس'!AB30)</f>
        <v/>
      </c>
      <c r="W30" s="86" t="str">
        <f aca="false">IF($B30="","",'مسير أبريل'!AB30)</f>
        <v/>
      </c>
      <c r="X30" s="86" t="str">
        <f aca="false">IF($B30="","",'مسير مايو'!AB30)</f>
        <v/>
      </c>
      <c r="Y30" s="86" t="str">
        <f aca="false">IF($B30="","",'مسير يونيو'!AB30)</f>
        <v/>
      </c>
      <c r="Z30" s="86" t="str">
        <f aca="false">IF($B30="","",'مسير يوليو'!AB30)</f>
        <v/>
      </c>
      <c r="AA30" s="86" t="str">
        <f aca="false">IF($B30="","",'مسير أغسطس'!AB30)</f>
        <v/>
      </c>
      <c r="AB30" s="86" t="str">
        <f aca="false">IF($B30="","",'مسير سبتمبر'!AB30)</f>
        <v/>
      </c>
      <c r="AC30" s="86" t="str">
        <f aca="false">IF($B30="","",'مسير أكتوبر'!AB30)</f>
        <v/>
      </c>
      <c r="AD30" s="86" t="str">
        <f aca="false">IF($B30="","",'مسير نوفمبر'!AB30)</f>
        <v/>
      </c>
      <c r="AE30" s="86" t="str">
        <f aca="false">IF($B30="","",'مسير ديسمبر'!AB30)</f>
        <v/>
      </c>
      <c r="AF30" s="123" t="str">
        <f aca="false">IF($B30="","",IF(1&lt;=cfg_VAL_M,'مسير يناير'!AB30,0)+IF(2&lt;=cfg_VAL_M,'مسير فبراير'!AB30,0)+IF(3&lt;=cfg_VAL_M,'مسير مارس'!AB30,0)+IF(4&lt;=cfg_VAL_M,'مسير أبريل'!AB30,0)+IF(5&lt;=cfg_VAL_M,'مسير مايو'!AB30,0)+IF(6&lt;=cfg_VAL_M,'مسير يونيو'!AB30,0)+IF(7&lt;=cfg_VAL_M,'مسير يوليو'!AB30,0)+IF(8&lt;=cfg_VAL_M,'مسير أغسطس'!AB30,0)+IF(9&lt;=cfg_VAL_M,'مسير سبتمبر'!AB30,0)+IF(10&lt;=cfg_VAL_M,'مسير أكتوبر'!AB30,0)+IF(11&lt;=cfg_VAL_M,'مسير نوفمبر'!AB30,0)+IF(12&lt;=cfg_VAL_M,'مسير ديسمبر'!AB30,0))</f>
        <v/>
      </c>
      <c r="AG30" s="123" t="str">
        <f aca="false">IF($B30="","",IF(1&lt;=cfg_VAL_M,'مسير يناير'!W30,0)+IF(2&lt;=cfg_VAL_M,'مسير فبراير'!W30,0)+IF(3&lt;=cfg_VAL_M,'مسير مارس'!W30,0)+IF(4&lt;=cfg_VAL_M,'مسير أبريل'!W30,0)+IF(5&lt;=cfg_VAL_M,'مسير مايو'!W30,0)+IF(6&lt;=cfg_VAL_M,'مسير يونيو'!W30,0)+IF(7&lt;=cfg_VAL_M,'مسير يوليو'!W30,0)+IF(8&lt;=cfg_VAL_M,'مسير أغسطس'!W30,0)+IF(9&lt;=cfg_VAL_M,'مسير سبتمبر'!W30,0)+IF(10&lt;=cfg_VAL_M,'مسير أكتوبر'!W30,0)+IF(11&lt;=cfg_VAL_M,'مسير نوفمبر'!W30,0)+IF(12&lt;=cfg_VAL_M,'مسير ديسمبر'!W30,0))</f>
        <v/>
      </c>
      <c r="AH30" s="86" t="str">
        <f aca="false">IF($B30="","",AF30/cfg_VAL_M)</f>
        <v/>
      </c>
    </row>
    <row r="31" customFormat="false" ht="15" hidden="false" customHeight="false" outlineLevel="0" collapsed="false">
      <c r="B31" s="91" t="str">
        <f aca="false">IF(الموظفون!$B31="","",الموظفون!$B31)</f>
        <v/>
      </c>
      <c r="C31" s="91" t="str">
        <f aca="false">IF(الموظفون!$B31="","",الموظفون!$C31)</f>
        <v/>
      </c>
      <c r="D31" s="91" t="str">
        <f aca="false">IF(الموظفون!$B31="","",الموظفون!$F31)</f>
        <v/>
      </c>
      <c r="E31" s="91" t="str">
        <f aca="false">IF(الموظفون!$B31="","",الموظفون!$E31)</f>
        <v/>
      </c>
      <c r="F31" s="90" t="str">
        <f aca="false">IF($B31="","",'مسير يناير'!R31)</f>
        <v/>
      </c>
      <c r="G31" s="90" t="str">
        <f aca="false">IF($B31="","",'مسير فبراير'!R31)</f>
        <v/>
      </c>
      <c r="H31" s="90" t="str">
        <f aca="false">IF($B31="","",'مسير مارس'!R31)</f>
        <v/>
      </c>
      <c r="I31" s="90" t="str">
        <f aca="false">IF($B31="","",'مسير أبريل'!R31)</f>
        <v/>
      </c>
      <c r="J31" s="90" t="str">
        <f aca="false">IF($B31="","",'مسير مايو'!R31)</f>
        <v/>
      </c>
      <c r="K31" s="90" t="str">
        <f aca="false">IF($B31="","",'مسير يونيو'!R31)</f>
        <v/>
      </c>
      <c r="L31" s="90" t="str">
        <f aca="false">IF($B31="","",'مسير يوليو'!R31)</f>
        <v/>
      </c>
      <c r="M31" s="90" t="str">
        <f aca="false">IF($B31="","",'مسير أغسطس'!R31)</f>
        <v/>
      </c>
      <c r="N31" s="90" t="str">
        <f aca="false">IF($B31="","",'مسير سبتمبر'!R31)</f>
        <v/>
      </c>
      <c r="O31" s="90" t="str">
        <f aca="false">IF($B31="","",'مسير أكتوبر'!R31)</f>
        <v/>
      </c>
      <c r="P31" s="90" t="str">
        <f aca="false">IF($B31="","",'مسير نوفمبر'!R31)</f>
        <v/>
      </c>
      <c r="Q31" s="90" t="str">
        <f aca="false">IF($B31="","",'مسير ديسمبر'!R31)</f>
        <v/>
      </c>
      <c r="R31" s="124" t="str">
        <f aca="false">IF($B31="","",IF(1&lt;=cfg_VAL_M,'مسير يناير'!R31,0)+IF(2&lt;=cfg_VAL_M,'مسير فبراير'!R31,0)+IF(3&lt;=cfg_VAL_M,'مسير مارس'!R31,0)+IF(4&lt;=cfg_VAL_M,'مسير أبريل'!R31,0)+IF(5&lt;=cfg_VAL_M,'مسير مايو'!R31,0)+IF(6&lt;=cfg_VAL_M,'مسير يونيو'!R31,0)+IF(7&lt;=cfg_VAL_M,'مسير يوليو'!R31,0)+IF(8&lt;=cfg_VAL_M,'مسير أغسطس'!R31,0)+IF(9&lt;=cfg_VAL_M,'مسير سبتمبر'!R31,0)+IF(10&lt;=cfg_VAL_M,'مسير أكتوبر'!R31,0)+IF(11&lt;=cfg_VAL_M,'مسير نوفمبر'!R31,0)+IF(12&lt;=cfg_VAL_M,'مسير ديسمبر'!R31,0))</f>
        <v/>
      </c>
      <c r="T31" s="90" t="str">
        <f aca="false">IF($B31="","",'مسير يناير'!AB31)</f>
        <v/>
      </c>
      <c r="U31" s="90" t="str">
        <f aca="false">IF($B31="","",'مسير فبراير'!AB31)</f>
        <v/>
      </c>
      <c r="V31" s="90" t="str">
        <f aca="false">IF($B31="","",'مسير مارس'!AB31)</f>
        <v/>
      </c>
      <c r="W31" s="90" t="str">
        <f aca="false">IF($B31="","",'مسير أبريل'!AB31)</f>
        <v/>
      </c>
      <c r="X31" s="90" t="str">
        <f aca="false">IF($B31="","",'مسير مايو'!AB31)</f>
        <v/>
      </c>
      <c r="Y31" s="90" t="str">
        <f aca="false">IF($B31="","",'مسير يونيو'!AB31)</f>
        <v/>
      </c>
      <c r="Z31" s="90" t="str">
        <f aca="false">IF($B31="","",'مسير يوليو'!AB31)</f>
        <v/>
      </c>
      <c r="AA31" s="90" t="str">
        <f aca="false">IF($B31="","",'مسير أغسطس'!AB31)</f>
        <v/>
      </c>
      <c r="AB31" s="90" t="str">
        <f aca="false">IF($B31="","",'مسير سبتمبر'!AB31)</f>
        <v/>
      </c>
      <c r="AC31" s="90" t="str">
        <f aca="false">IF($B31="","",'مسير أكتوبر'!AB31)</f>
        <v/>
      </c>
      <c r="AD31" s="90" t="str">
        <f aca="false">IF($B31="","",'مسير نوفمبر'!AB31)</f>
        <v/>
      </c>
      <c r="AE31" s="90" t="str">
        <f aca="false">IF($B31="","",'مسير ديسمبر'!AB31)</f>
        <v/>
      </c>
      <c r="AF31" s="124" t="str">
        <f aca="false">IF($B31="","",IF(1&lt;=cfg_VAL_M,'مسير يناير'!AB31,0)+IF(2&lt;=cfg_VAL_M,'مسير فبراير'!AB31,0)+IF(3&lt;=cfg_VAL_M,'مسير مارس'!AB31,0)+IF(4&lt;=cfg_VAL_M,'مسير أبريل'!AB31,0)+IF(5&lt;=cfg_VAL_M,'مسير مايو'!AB31,0)+IF(6&lt;=cfg_VAL_M,'مسير يونيو'!AB31,0)+IF(7&lt;=cfg_VAL_M,'مسير يوليو'!AB31,0)+IF(8&lt;=cfg_VAL_M,'مسير أغسطس'!AB31,0)+IF(9&lt;=cfg_VAL_M,'مسير سبتمبر'!AB31,0)+IF(10&lt;=cfg_VAL_M,'مسير أكتوبر'!AB31,0)+IF(11&lt;=cfg_VAL_M,'مسير نوفمبر'!AB31,0)+IF(12&lt;=cfg_VAL_M,'مسير ديسمبر'!AB31,0))</f>
        <v/>
      </c>
      <c r="AG31" s="124" t="str">
        <f aca="false">IF($B31="","",IF(1&lt;=cfg_VAL_M,'مسير يناير'!W31,0)+IF(2&lt;=cfg_VAL_M,'مسير فبراير'!W31,0)+IF(3&lt;=cfg_VAL_M,'مسير مارس'!W31,0)+IF(4&lt;=cfg_VAL_M,'مسير أبريل'!W31,0)+IF(5&lt;=cfg_VAL_M,'مسير مايو'!W31,0)+IF(6&lt;=cfg_VAL_M,'مسير يونيو'!W31,0)+IF(7&lt;=cfg_VAL_M,'مسير يوليو'!W31,0)+IF(8&lt;=cfg_VAL_M,'مسير أغسطس'!W31,0)+IF(9&lt;=cfg_VAL_M,'مسير سبتمبر'!W31,0)+IF(10&lt;=cfg_VAL_M,'مسير أكتوبر'!W31,0)+IF(11&lt;=cfg_VAL_M,'مسير نوفمبر'!W31,0)+IF(12&lt;=cfg_VAL_M,'مسير ديسمبر'!W31,0))</f>
        <v/>
      </c>
      <c r="AH31" s="90" t="str">
        <f aca="false">IF($B31="","",AF31/cfg_VAL_M)</f>
        <v/>
      </c>
    </row>
    <row r="32" customFormat="false" ht="15" hidden="false" customHeight="false" outlineLevel="0" collapsed="false">
      <c r="B32" s="74" t="str">
        <f aca="false">IF(الموظفون!$B32="","",الموظفون!$B32)</f>
        <v/>
      </c>
      <c r="C32" s="74" t="str">
        <f aca="false">IF(الموظفون!$B32="","",الموظفون!$C32)</f>
        <v/>
      </c>
      <c r="D32" s="74" t="str">
        <f aca="false">IF(الموظفون!$B32="","",الموظفون!$F32)</f>
        <v/>
      </c>
      <c r="E32" s="74" t="str">
        <f aca="false">IF(الموظفون!$B32="","",الموظفون!$E32)</f>
        <v/>
      </c>
      <c r="F32" s="86" t="str">
        <f aca="false">IF($B32="","",'مسير يناير'!R32)</f>
        <v/>
      </c>
      <c r="G32" s="86" t="str">
        <f aca="false">IF($B32="","",'مسير فبراير'!R32)</f>
        <v/>
      </c>
      <c r="H32" s="86" t="str">
        <f aca="false">IF($B32="","",'مسير مارس'!R32)</f>
        <v/>
      </c>
      <c r="I32" s="86" t="str">
        <f aca="false">IF($B32="","",'مسير أبريل'!R32)</f>
        <v/>
      </c>
      <c r="J32" s="86" t="str">
        <f aca="false">IF($B32="","",'مسير مايو'!R32)</f>
        <v/>
      </c>
      <c r="K32" s="86" t="str">
        <f aca="false">IF($B32="","",'مسير يونيو'!R32)</f>
        <v/>
      </c>
      <c r="L32" s="86" t="str">
        <f aca="false">IF($B32="","",'مسير يوليو'!R32)</f>
        <v/>
      </c>
      <c r="M32" s="86" t="str">
        <f aca="false">IF($B32="","",'مسير أغسطس'!R32)</f>
        <v/>
      </c>
      <c r="N32" s="86" t="str">
        <f aca="false">IF($B32="","",'مسير سبتمبر'!R32)</f>
        <v/>
      </c>
      <c r="O32" s="86" t="str">
        <f aca="false">IF($B32="","",'مسير أكتوبر'!R32)</f>
        <v/>
      </c>
      <c r="P32" s="86" t="str">
        <f aca="false">IF($B32="","",'مسير نوفمبر'!R32)</f>
        <v/>
      </c>
      <c r="Q32" s="86" t="str">
        <f aca="false">IF($B32="","",'مسير ديسمبر'!R32)</f>
        <v/>
      </c>
      <c r="R32" s="123" t="str">
        <f aca="false">IF($B32="","",IF(1&lt;=cfg_VAL_M,'مسير يناير'!R32,0)+IF(2&lt;=cfg_VAL_M,'مسير فبراير'!R32,0)+IF(3&lt;=cfg_VAL_M,'مسير مارس'!R32,0)+IF(4&lt;=cfg_VAL_M,'مسير أبريل'!R32,0)+IF(5&lt;=cfg_VAL_M,'مسير مايو'!R32,0)+IF(6&lt;=cfg_VAL_M,'مسير يونيو'!R32,0)+IF(7&lt;=cfg_VAL_M,'مسير يوليو'!R32,0)+IF(8&lt;=cfg_VAL_M,'مسير أغسطس'!R32,0)+IF(9&lt;=cfg_VAL_M,'مسير سبتمبر'!R32,0)+IF(10&lt;=cfg_VAL_M,'مسير أكتوبر'!R32,0)+IF(11&lt;=cfg_VAL_M,'مسير نوفمبر'!R32,0)+IF(12&lt;=cfg_VAL_M,'مسير ديسمبر'!R32,0))</f>
        <v/>
      </c>
      <c r="T32" s="86" t="str">
        <f aca="false">IF($B32="","",'مسير يناير'!AB32)</f>
        <v/>
      </c>
      <c r="U32" s="86" t="str">
        <f aca="false">IF($B32="","",'مسير فبراير'!AB32)</f>
        <v/>
      </c>
      <c r="V32" s="86" t="str">
        <f aca="false">IF($B32="","",'مسير مارس'!AB32)</f>
        <v/>
      </c>
      <c r="W32" s="86" t="str">
        <f aca="false">IF($B32="","",'مسير أبريل'!AB32)</f>
        <v/>
      </c>
      <c r="X32" s="86" t="str">
        <f aca="false">IF($B32="","",'مسير مايو'!AB32)</f>
        <v/>
      </c>
      <c r="Y32" s="86" t="str">
        <f aca="false">IF($B32="","",'مسير يونيو'!AB32)</f>
        <v/>
      </c>
      <c r="Z32" s="86" t="str">
        <f aca="false">IF($B32="","",'مسير يوليو'!AB32)</f>
        <v/>
      </c>
      <c r="AA32" s="86" t="str">
        <f aca="false">IF($B32="","",'مسير أغسطس'!AB32)</f>
        <v/>
      </c>
      <c r="AB32" s="86" t="str">
        <f aca="false">IF($B32="","",'مسير سبتمبر'!AB32)</f>
        <v/>
      </c>
      <c r="AC32" s="86" t="str">
        <f aca="false">IF($B32="","",'مسير أكتوبر'!AB32)</f>
        <v/>
      </c>
      <c r="AD32" s="86" t="str">
        <f aca="false">IF($B32="","",'مسير نوفمبر'!AB32)</f>
        <v/>
      </c>
      <c r="AE32" s="86" t="str">
        <f aca="false">IF($B32="","",'مسير ديسمبر'!AB32)</f>
        <v/>
      </c>
      <c r="AF32" s="123" t="str">
        <f aca="false">IF($B32="","",IF(1&lt;=cfg_VAL_M,'مسير يناير'!AB32,0)+IF(2&lt;=cfg_VAL_M,'مسير فبراير'!AB32,0)+IF(3&lt;=cfg_VAL_M,'مسير مارس'!AB32,0)+IF(4&lt;=cfg_VAL_M,'مسير أبريل'!AB32,0)+IF(5&lt;=cfg_VAL_M,'مسير مايو'!AB32,0)+IF(6&lt;=cfg_VAL_M,'مسير يونيو'!AB32,0)+IF(7&lt;=cfg_VAL_M,'مسير يوليو'!AB32,0)+IF(8&lt;=cfg_VAL_M,'مسير أغسطس'!AB32,0)+IF(9&lt;=cfg_VAL_M,'مسير سبتمبر'!AB32,0)+IF(10&lt;=cfg_VAL_M,'مسير أكتوبر'!AB32,0)+IF(11&lt;=cfg_VAL_M,'مسير نوفمبر'!AB32,0)+IF(12&lt;=cfg_VAL_M,'مسير ديسمبر'!AB32,0))</f>
        <v/>
      </c>
      <c r="AG32" s="123" t="str">
        <f aca="false">IF($B32="","",IF(1&lt;=cfg_VAL_M,'مسير يناير'!W32,0)+IF(2&lt;=cfg_VAL_M,'مسير فبراير'!W32,0)+IF(3&lt;=cfg_VAL_M,'مسير مارس'!W32,0)+IF(4&lt;=cfg_VAL_M,'مسير أبريل'!W32,0)+IF(5&lt;=cfg_VAL_M,'مسير مايو'!W32,0)+IF(6&lt;=cfg_VAL_M,'مسير يونيو'!W32,0)+IF(7&lt;=cfg_VAL_M,'مسير يوليو'!W32,0)+IF(8&lt;=cfg_VAL_M,'مسير أغسطس'!W32,0)+IF(9&lt;=cfg_VAL_M,'مسير سبتمبر'!W32,0)+IF(10&lt;=cfg_VAL_M,'مسير أكتوبر'!W32,0)+IF(11&lt;=cfg_VAL_M,'مسير نوفمبر'!W32,0)+IF(12&lt;=cfg_VAL_M,'مسير ديسمبر'!W32,0))</f>
        <v/>
      </c>
      <c r="AH32" s="86" t="str">
        <f aca="false">IF($B32="","",AF32/cfg_VAL_M)</f>
        <v/>
      </c>
    </row>
    <row r="33" customFormat="false" ht="15" hidden="false" customHeight="false" outlineLevel="0" collapsed="false">
      <c r="B33" s="91" t="str">
        <f aca="false">IF(الموظفون!$B33="","",الموظفون!$B33)</f>
        <v/>
      </c>
      <c r="C33" s="91" t="str">
        <f aca="false">IF(الموظفون!$B33="","",الموظفون!$C33)</f>
        <v/>
      </c>
      <c r="D33" s="91" t="str">
        <f aca="false">IF(الموظفون!$B33="","",الموظفون!$F33)</f>
        <v/>
      </c>
      <c r="E33" s="91" t="str">
        <f aca="false">IF(الموظفون!$B33="","",الموظفون!$E33)</f>
        <v/>
      </c>
      <c r="F33" s="90" t="str">
        <f aca="false">IF($B33="","",'مسير يناير'!R33)</f>
        <v/>
      </c>
      <c r="G33" s="90" t="str">
        <f aca="false">IF($B33="","",'مسير فبراير'!R33)</f>
        <v/>
      </c>
      <c r="H33" s="90" t="str">
        <f aca="false">IF($B33="","",'مسير مارس'!R33)</f>
        <v/>
      </c>
      <c r="I33" s="90" t="str">
        <f aca="false">IF($B33="","",'مسير أبريل'!R33)</f>
        <v/>
      </c>
      <c r="J33" s="90" t="str">
        <f aca="false">IF($B33="","",'مسير مايو'!R33)</f>
        <v/>
      </c>
      <c r="K33" s="90" t="str">
        <f aca="false">IF($B33="","",'مسير يونيو'!R33)</f>
        <v/>
      </c>
      <c r="L33" s="90" t="str">
        <f aca="false">IF($B33="","",'مسير يوليو'!R33)</f>
        <v/>
      </c>
      <c r="M33" s="90" t="str">
        <f aca="false">IF($B33="","",'مسير أغسطس'!R33)</f>
        <v/>
      </c>
      <c r="N33" s="90" t="str">
        <f aca="false">IF($B33="","",'مسير سبتمبر'!R33)</f>
        <v/>
      </c>
      <c r="O33" s="90" t="str">
        <f aca="false">IF($B33="","",'مسير أكتوبر'!R33)</f>
        <v/>
      </c>
      <c r="P33" s="90" t="str">
        <f aca="false">IF($B33="","",'مسير نوفمبر'!R33)</f>
        <v/>
      </c>
      <c r="Q33" s="90" t="str">
        <f aca="false">IF($B33="","",'مسير ديسمبر'!R33)</f>
        <v/>
      </c>
      <c r="R33" s="124" t="str">
        <f aca="false">IF($B33="","",IF(1&lt;=cfg_VAL_M,'مسير يناير'!R33,0)+IF(2&lt;=cfg_VAL_M,'مسير فبراير'!R33,0)+IF(3&lt;=cfg_VAL_M,'مسير مارس'!R33,0)+IF(4&lt;=cfg_VAL_M,'مسير أبريل'!R33,0)+IF(5&lt;=cfg_VAL_M,'مسير مايو'!R33,0)+IF(6&lt;=cfg_VAL_M,'مسير يونيو'!R33,0)+IF(7&lt;=cfg_VAL_M,'مسير يوليو'!R33,0)+IF(8&lt;=cfg_VAL_M,'مسير أغسطس'!R33,0)+IF(9&lt;=cfg_VAL_M,'مسير سبتمبر'!R33,0)+IF(10&lt;=cfg_VAL_M,'مسير أكتوبر'!R33,0)+IF(11&lt;=cfg_VAL_M,'مسير نوفمبر'!R33,0)+IF(12&lt;=cfg_VAL_M,'مسير ديسمبر'!R33,0))</f>
        <v/>
      </c>
      <c r="T33" s="90" t="str">
        <f aca="false">IF($B33="","",'مسير يناير'!AB33)</f>
        <v/>
      </c>
      <c r="U33" s="90" t="str">
        <f aca="false">IF($B33="","",'مسير فبراير'!AB33)</f>
        <v/>
      </c>
      <c r="V33" s="90" t="str">
        <f aca="false">IF($B33="","",'مسير مارس'!AB33)</f>
        <v/>
      </c>
      <c r="W33" s="90" t="str">
        <f aca="false">IF($B33="","",'مسير أبريل'!AB33)</f>
        <v/>
      </c>
      <c r="X33" s="90" t="str">
        <f aca="false">IF($B33="","",'مسير مايو'!AB33)</f>
        <v/>
      </c>
      <c r="Y33" s="90" t="str">
        <f aca="false">IF($B33="","",'مسير يونيو'!AB33)</f>
        <v/>
      </c>
      <c r="Z33" s="90" t="str">
        <f aca="false">IF($B33="","",'مسير يوليو'!AB33)</f>
        <v/>
      </c>
      <c r="AA33" s="90" t="str">
        <f aca="false">IF($B33="","",'مسير أغسطس'!AB33)</f>
        <v/>
      </c>
      <c r="AB33" s="90" t="str">
        <f aca="false">IF($B33="","",'مسير سبتمبر'!AB33)</f>
        <v/>
      </c>
      <c r="AC33" s="90" t="str">
        <f aca="false">IF($B33="","",'مسير أكتوبر'!AB33)</f>
        <v/>
      </c>
      <c r="AD33" s="90" t="str">
        <f aca="false">IF($B33="","",'مسير نوفمبر'!AB33)</f>
        <v/>
      </c>
      <c r="AE33" s="90" t="str">
        <f aca="false">IF($B33="","",'مسير ديسمبر'!AB33)</f>
        <v/>
      </c>
      <c r="AF33" s="124" t="str">
        <f aca="false">IF($B33="","",IF(1&lt;=cfg_VAL_M,'مسير يناير'!AB33,0)+IF(2&lt;=cfg_VAL_M,'مسير فبراير'!AB33,0)+IF(3&lt;=cfg_VAL_M,'مسير مارس'!AB33,0)+IF(4&lt;=cfg_VAL_M,'مسير أبريل'!AB33,0)+IF(5&lt;=cfg_VAL_M,'مسير مايو'!AB33,0)+IF(6&lt;=cfg_VAL_M,'مسير يونيو'!AB33,0)+IF(7&lt;=cfg_VAL_M,'مسير يوليو'!AB33,0)+IF(8&lt;=cfg_VAL_M,'مسير أغسطس'!AB33,0)+IF(9&lt;=cfg_VAL_M,'مسير سبتمبر'!AB33,0)+IF(10&lt;=cfg_VAL_M,'مسير أكتوبر'!AB33,0)+IF(11&lt;=cfg_VAL_M,'مسير نوفمبر'!AB33,0)+IF(12&lt;=cfg_VAL_M,'مسير ديسمبر'!AB33,0))</f>
        <v/>
      </c>
      <c r="AG33" s="124" t="str">
        <f aca="false">IF($B33="","",IF(1&lt;=cfg_VAL_M,'مسير يناير'!W33,0)+IF(2&lt;=cfg_VAL_M,'مسير فبراير'!W33,0)+IF(3&lt;=cfg_VAL_M,'مسير مارس'!W33,0)+IF(4&lt;=cfg_VAL_M,'مسير أبريل'!W33,0)+IF(5&lt;=cfg_VAL_M,'مسير مايو'!W33,0)+IF(6&lt;=cfg_VAL_M,'مسير يونيو'!W33,0)+IF(7&lt;=cfg_VAL_M,'مسير يوليو'!W33,0)+IF(8&lt;=cfg_VAL_M,'مسير أغسطس'!W33,0)+IF(9&lt;=cfg_VAL_M,'مسير سبتمبر'!W33,0)+IF(10&lt;=cfg_VAL_M,'مسير أكتوبر'!W33,0)+IF(11&lt;=cfg_VAL_M,'مسير نوفمبر'!W33,0)+IF(12&lt;=cfg_VAL_M,'مسير ديسمبر'!W33,0))</f>
        <v/>
      </c>
      <c r="AH33" s="90" t="str">
        <f aca="false">IF($B33="","",AF33/cfg_VAL_M)</f>
        <v/>
      </c>
    </row>
    <row r="34" customFormat="false" ht="15" hidden="false" customHeight="false" outlineLevel="0" collapsed="false">
      <c r="B34" s="74" t="str">
        <f aca="false">IF(الموظفون!$B34="","",الموظفون!$B34)</f>
        <v/>
      </c>
      <c r="C34" s="74" t="str">
        <f aca="false">IF(الموظفون!$B34="","",الموظفون!$C34)</f>
        <v/>
      </c>
      <c r="D34" s="74" t="str">
        <f aca="false">IF(الموظفون!$B34="","",الموظفون!$F34)</f>
        <v/>
      </c>
      <c r="E34" s="74" t="str">
        <f aca="false">IF(الموظفون!$B34="","",الموظفون!$E34)</f>
        <v/>
      </c>
      <c r="F34" s="86" t="str">
        <f aca="false">IF($B34="","",'مسير يناير'!R34)</f>
        <v/>
      </c>
      <c r="G34" s="86" t="str">
        <f aca="false">IF($B34="","",'مسير فبراير'!R34)</f>
        <v/>
      </c>
      <c r="H34" s="86" t="str">
        <f aca="false">IF($B34="","",'مسير مارس'!R34)</f>
        <v/>
      </c>
      <c r="I34" s="86" t="str">
        <f aca="false">IF($B34="","",'مسير أبريل'!R34)</f>
        <v/>
      </c>
      <c r="J34" s="86" t="str">
        <f aca="false">IF($B34="","",'مسير مايو'!R34)</f>
        <v/>
      </c>
      <c r="K34" s="86" t="str">
        <f aca="false">IF($B34="","",'مسير يونيو'!R34)</f>
        <v/>
      </c>
      <c r="L34" s="86" t="str">
        <f aca="false">IF($B34="","",'مسير يوليو'!R34)</f>
        <v/>
      </c>
      <c r="M34" s="86" t="str">
        <f aca="false">IF($B34="","",'مسير أغسطس'!R34)</f>
        <v/>
      </c>
      <c r="N34" s="86" t="str">
        <f aca="false">IF($B34="","",'مسير سبتمبر'!R34)</f>
        <v/>
      </c>
      <c r="O34" s="86" t="str">
        <f aca="false">IF($B34="","",'مسير أكتوبر'!R34)</f>
        <v/>
      </c>
      <c r="P34" s="86" t="str">
        <f aca="false">IF($B34="","",'مسير نوفمبر'!R34)</f>
        <v/>
      </c>
      <c r="Q34" s="86" t="str">
        <f aca="false">IF($B34="","",'مسير ديسمبر'!R34)</f>
        <v/>
      </c>
      <c r="R34" s="123" t="str">
        <f aca="false">IF($B34="","",IF(1&lt;=cfg_VAL_M,'مسير يناير'!R34,0)+IF(2&lt;=cfg_VAL_M,'مسير فبراير'!R34,0)+IF(3&lt;=cfg_VAL_M,'مسير مارس'!R34,0)+IF(4&lt;=cfg_VAL_M,'مسير أبريل'!R34,0)+IF(5&lt;=cfg_VAL_M,'مسير مايو'!R34,0)+IF(6&lt;=cfg_VAL_M,'مسير يونيو'!R34,0)+IF(7&lt;=cfg_VAL_M,'مسير يوليو'!R34,0)+IF(8&lt;=cfg_VAL_M,'مسير أغسطس'!R34,0)+IF(9&lt;=cfg_VAL_M,'مسير سبتمبر'!R34,0)+IF(10&lt;=cfg_VAL_M,'مسير أكتوبر'!R34,0)+IF(11&lt;=cfg_VAL_M,'مسير نوفمبر'!R34,0)+IF(12&lt;=cfg_VAL_M,'مسير ديسمبر'!R34,0))</f>
        <v/>
      </c>
      <c r="T34" s="86" t="str">
        <f aca="false">IF($B34="","",'مسير يناير'!AB34)</f>
        <v/>
      </c>
      <c r="U34" s="86" t="str">
        <f aca="false">IF($B34="","",'مسير فبراير'!AB34)</f>
        <v/>
      </c>
      <c r="V34" s="86" t="str">
        <f aca="false">IF($B34="","",'مسير مارس'!AB34)</f>
        <v/>
      </c>
      <c r="W34" s="86" t="str">
        <f aca="false">IF($B34="","",'مسير أبريل'!AB34)</f>
        <v/>
      </c>
      <c r="X34" s="86" t="str">
        <f aca="false">IF($B34="","",'مسير مايو'!AB34)</f>
        <v/>
      </c>
      <c r="Y34" s="86" t="str">
        <f aca="false">IF($B34="","",'مسير يونيو'!AB34)</f>
        <v/>
      </c>
      <c r="Z34" s="86" t="str">
        <f aca="false">IF($B34="","",'مسير يوليو'!AB34)</f>
        <v/>
      </c>
      <c r="AA34" s="86" t="str">
        <f aca="false">IF($B34="","",'مسير أغسطس'!AB34)</f>
        <v/>
      </c>
      <c r="AB34" s="86" t="str">
        <f aca="false">IF($B34="","",'مسير سبتمبر'!AB34)</f>
        <v/>
      </c>
      <c r="AC34" s="86" t="str">
        <f aca="false">IF($B34="","",'مسير أكتوبر'!AB34)</f>
        <v/>
      </c>
      <c r="AD34" s="86" t="str">
        <f aca="false">IF($B34="","",'مسير نوفمبر'!AB34)</f>
        <v/>
      </c>
      <c r="AE34" s="86" t="str">
        <f aca="false">IF($B34="","",'مسير ديسمبر'!AB34)</f>
        <v/>
      </c>
      <c r="AF34" s="123" t="str">
        <f aca="false">IF($B34="","",IF(1&lt;=cfg_VAL_M,'مسير يناير'!AB34,0)+IF(2&lt;=cfg_VAL_M,'مسير فبراير'!AB34,0)+IF(3&lt;=cfg_VAL_M,'مسير مارس'!AB34,0)+IF(4&lt;=cfg_VAL_M,'مسير أبريل'!AB34,0)+IF(5&lt;=cfg_VAL_M,'مسير مايو'!AB34,0)+IF(6&lt;=cfg_VAL_M,'مسير يونيو'!AB34,0)+IF(7&lt;=cfg_VAL_M,'مسير يوليو'!AB34,0)+IF(8&lt;=cfg_VAL_M,'مسير أغسطس'!AB34,0)+IF(9&lt;=cfg_VAL_M,'مسير سبتمبر'!AB34,0)+IF(10&lt;=cfg_VAL_M,'مسير أكتوبر'!AB34,0)+IF(11&lt;=cfg_VAL_M,'مسير نوفمبر'!AB34,0)+IF(12&lt;=cfg_VAL_M,'مسير ديسمبر'!AB34,0))</f>
        <v/>
      </c>
      <c r="AG34" s="123" t="str">
        <f aca="false">IF($B34="","",IF(1&lt;=cfg_VAL_M,'مسير يناير'!W34,0)+IF(2&lt;=cfg_VAL_M,'مسير فبراير'!W34,0)+IF(3&lt;=cfg_VAL_M,'مسير مارس'!W34,0)+IF(4&lt;=cfg_VAL_M,'مسير أبريل'!W34,0)+IF(5&lt;=cfg_VAL_M,'مسير مايو'!W34,0)+IF(6&lt;=cfg_VAL_M,'مسير يونيو'!W34,0)+IF(7&lt;=cfg_VAL_M,'مسير يوليو'!W34,0)+IF(8&lt;=cfg_VAL_M,'مسير أغسطس'!W34,0)+IF(9&lt;=cfg_VAL_M,'مسير سبتمبر'!W34,0)+IF(10&lt;=cfg_VAL_M,'مسير أكتوبر'!W34,0)+IF(11&lt;=cfg_VAL_M,'مسير نوفمبر'!W34,0)+IF(12&lt;=cfg_VAL_M,'مسير ديسمبر'!W34,0))</f>
        <v/>
      </c>
      <c r="AH34" s="86" t="str">
        <f aca="false">IF($B34="","",AF34/cfg_VAL_M)</f>
        <v/>
      </c>
    </row>
    <row r="35" customFormat="false" ht="15" hidden="false" customHeight="false" outlineLevel="0" collapsed="false">
      <c r="B35" s="91" t="str">
        <f aca="false">IF(الموظفون!$B35="","",الموظفون!$B35)</f>
        <v/>
      </c>
      <c r="C35" s="91" t="str">
        <f aca="false">IF(الموظفون!$B35="","",الموظفون!$C35)</f>
        <v/>
      </c>
      <c r="D35" s="91" t="str">
        <f aca="false">IF(الموظفون!$B35="","",الموظفون!$F35)</f>
        <v/>
      </c>
      <c r="E35" s="91" t="str">
        <f aca="false">IF(الموظفون!$B35="","",الموظفون!$E35)</f>
        <v/>
      </c>
      <c r="F35" s="90" t="str">
        <f aca="false">IF($B35="","",'مسير يناير'!R35)</f>
        <v/>
      </c>
      <c r="G35" s="90" t="str">
        <f aca="false">IF($B35="","",'مسير فبراير'!R35)</f>
        <v/>
      </c>
      <c r="H35" s="90" t="str">
        <f aca="false">IF($B35="","",'مسير مارس'!R35)</f>
        <v/>
      </c>
      <c r="I35" s="90" t="str">
        <f aca="false">IF($B35="","",'مسير أبريل'!R35)</f>
        <v/>
      </c>
      <c r="J35" s="90" t="str">
        <f aca="false">IF($B35="","",'مسير مايو'!R35)</f>
        <v/>
      </c>
      <c r="K35" s="90" t="str">
        <f aca="false">IF($B35="","",'مسير يونيو'!R35)</f>
        <v/>
      </c>
      <c r="L35" s="90" t="str">
        <f aca="false">IF($B35="","",'مسير يوليو'!R35)</f>
        <v/>
      </c>
      <c r="M35" s="90" t="str">
        <f aca="false">IF($B35="","",'مسير أغسطس'!R35)</f>
        <v/>
      </c>
      <c r="N35" s="90" t="str">
        <f aca="false">IF($B35="","",'مسير سبتمبر'!R35)</f>
        <v/>
      </c>
      <c r="O35" s="90" t="str">
        <f aca="false">IF($B35="","",'مسير أكتوبر'!R35)</f>
        <v/>
      </c>
      <c r="P35" s="90" t="str">
        <f aca="false">IF($B35="","",'مسير نوفمبر'!R35)</f>
        <v/>
      </c>
      <c r="Q35" s="90" t="str">
        <f aca="false">IF($B35="","",'مسير ديسمبر'!R35)</f>
        <v/>
      </c>
      <c r="R35" s="124" t="str">
        <f aca="false">IF($B35="","",IF(1&lt;=cfg_VAL_M,'مسير يناير'!R35,0)+IF(2&lt;=cfg_VAL_M,'مسير فبراير'!R35,0)+IF(3&lt;=cfg_VAL_M,'مسير مارس'!R35,0)+IF(4&lt;=cfg_VAL_M,'مسير أبريل'!R35,0)+IF(5&lt;=cfg_VAL_M,'مسير مايو'!R35,0)+IF(6&lt;=cfg_VAL_M,'مسير يونيو'!R35,0)+IF(7&lt;=cfg_VAL_M,'مسير يوليو'!R35,0)+IF(8&lt;=cfg_VAL_M,'مسير أغسطس'!R35,0)+IF(9&lt;=cfg_VAL_M,'مسير سبتمبر'!R35,0)+IF(10&lt;=cfg_VAL_M,'مسير أكتوبر'!R35,0)+IF(11&lt;=cfg_VAL_M,'مسير نوفمبر'!R35,0)+IF(12&lt;=cfg_VAL_M,'مسير ديسمبر'!R35,0))</f>
        <v/>
      </c>
      <c r="T35" s="90" t="str">
        <f aca="false">IF($B35="","",'مسير يناير'!AB35)</f>
        <v/>
      </c>
      <c r="U35" s="90" t="str">
        <f aca="false">IF($B35="","",'مسير فبراير'!AB35)</f>
        <v/>
      </c>
      <c r="V35" s="90" t="str">
        <f aca="false">IF($B35="","",'مسير مارس'!AB35)</f>
        <v/>
      </c>
      <c r="W35" s="90" t="str">
        <f aca="false">IF($B35="","",'مسير أبريل'!AB35)</f>
        <v/>
      </c>
      <c r="X35" s="90" t="str">
        <f aca="false">IF($B35="","",'مسير مايو'!AB35)</f>
        <v/>
      </c>
      <c r="Y35" s="90" t="str">
        <f aca="false">IF($B35="","",'مسير يونيو'!AB35)</f>
        <v/>
      </c>
      <c r="Z35" s="90" t="str">
        <f aca="false">IF($B35="","",'مسير يوليو'!AB35)</f>
        <v/>
      </c>
      <c r="AA35" s="90" t="str">
        <f aca="false">IF($B35="","",'مسير أغسطس'!AB35)</f>
        <v/>
      </c>
      <c r="AB35" s="90" t="str">
        <f aca="false">IF($B35="","",'مسير سبتمبر'!AB35)</f>
        <v/>
      </c>
      <c r="AC35" s="90" t="str">
        <f aca="false">IF($B35="","",'مسير أكتوبر'!AB35)</f>
        <v/>
      </c>
      <c r="AD35" s="90" t="str">
        <f aca="false">IF($B35="","",'مسير نوفمبر'!AB35)</f>
        <v/>
      </c>
      <c r="AE35" s="90" t="str">
        <f aca="false">IF($B35="","",'مسير ديسمبر'!AB35)</f>
        <v/>
      </c>
      <c r="AF35" s="124" t="str">
        <f aca="false">IF($B35="","",IF(1&lt;=cfg_VAL_M,'مسير يناير'!AB35,0)+IF(2&lt;=cfg_VAL_M,'مسير فبراير'!AB35,0)+IF(3&lt;=cfg_VAL_M,'مسير مارس'!AB35,0)+IF(4&lt;=cfg_VAL_M,'مسير أبريل'!AB35,0)+IF(5&lt;=cfg_VAL_M,'مسير مايو'!AB35,0)+IF(6&lt;=cfg_VAL_M,'مسير يونيو'!AB35,0)+IF(7&lt;=cfg_VAL_M,'مسير يوليو'!AB35,0)+IF(8&lt;=cfg_VAL_M,'مسير أغسطس'!AB35,0)+IF(9&lt;=cfg_VAL_M,'مسير سبتمبر'!AB35,0)+IF(10&lt;=cfg_VAL_M,'مسير أكتوبر'!AB35,0)+IF(11&lt;=cfg_VAL_M,'مسير نوفمبر'!AB35,0)+IF(12&lt;=cfg_VAL_M,'مسير ديسمبر'!AB35,0))</f>
        <v/>
      </c>
      <c r="AG35" s="124" t="str">
        <f aca="false">IF($B35="","",IF(1&lt;=cfg_VAL_M,'مسير يناير'!W35,0)+IF(2&lt;=cfg_VAL_M,'مسير فبراير'!W35,0)+IF(3&lt;=cfg_VAL_M,'مسير مارس'!W35,0)+IF(4&lt;=cfg_VAL_M,'مسير أبريل'!W35,0)+IF(5&lt;=cfg_VAL_M,'مسير مايو'!W35,0)+IF(6&lt;=cfg_VAL_M,'مسير يونيو'!W35,0)+IF(7&lt;=cfg_VAL_M,'مسير يوليو'!W35,0)+IF(8&lt;=cfg_VAL_M,'مسير أغسطس'!W35,0)+IF(9&lt;=cfg_VAL_M,'مسير سبتمبر'!W35,0)+IF(10&lt;=cfg_VAL_M,'مسير أكتوبر'!W35,0)+IF(11&lt;=cfg_VAL_M,'مسير نوفمبر'!W35,0)+IF(12&lt;=cfg_VAL_M,'مسير ديسمبر'!W35,0))</f>
        <v/>
      </c>
      <c r="AH35" s="90" t="str">
        <f aca="false">IF($B35="","",AF35/cfg_VAL_M)</f>
        <v/>
      </c>
    </row>
    <row r="36" customFormat="false" ht="15" hidden="false" customHeight="false" outlineLevel="0" collapsed="false">
      <c r="B36" s="74" t="str">
        <f aca="false">IF(الموظفون!$B36="","",الموظفون!$B36)</f>
        <v/>
      </c>
      <c r="C36" s="74" t="str">
        <f aca="false">IF(الموظفون!$B36="","",الموظفون!$C36)</f>
        <v/>
      </c>
      <c r="D36" s="74" t="str">
        <f aca="false">IF(الموظفون!$B36="","",الموظفون!$F36)</f>
        <v/>
      </c>
      <c r="E36" s="74" t="str">
        <f aca="false">IF(الموظفون!$B36="","",الموظفون!$E36)</f>
        <v/>
      </c>
      <c r="F36" s="86" t="str">
        <f aca="false">IF($B36="","",'مسير يناير'!R36)</f>
        <v/>
      </c>
      <c r="G36" s="86" t="str">
        <f aca="false">IF($B36="","",'مسير فبراير'!R36)</f>
        <v/>
      </c>
      <c r="H36" s="86" t="str">
        <f aca="false">IF($B36="","",'مسير مارس'!R36)</f>
        <v/>
      </c>
      <c r="I36" s="86" t="str">
        <f aca="false">IF($B36="","",'مسير أبريل'!R36)</f>
        <v/>
      </c>
      <c r="J36" s="86" t="str">
        <f aca="false">IF($B36="","",'مسير مايو'!R36)</f>
        <v/>
      </c>
      <c r="K36" s="86" t="str">
        <f aca="false">IF($B36="","",'مسير يونيو'!R36)</f>
        <v/>
      </c>
      <c r="L36" s="86" t="str">
        <f aca="false">IF($B36="","",'مسير يوليو'!R36)</f>
        <v/>
      </c>
      <c r="M36" s="86" t="str">
        <f aca="false">IF($B36="","",'مسير أغسطس'!R36)</f>
        <v/>
      </c>
      <c r="N36" s="86" t="str">
        <f aca="false">IF($B36="","",'مسير سبتمبر'!R36)</f>
        <v/>
      </c>
      <c r="O36" s="86" t="str">
        <f aca="false">IF($B36="","",'مسير أكتوبر'!R36)</f>
        <v/>
      </c>
      <c r="P36" s="86" t="str">
        <f aca="false">IF($B36="","",'مسير نوفمبر'!R36)</f>
        <v/>
      </c>
      <c r="Q36" s="86" t="str">
        <f aca="false">IF($B36="","",'مسير ديسمبر'!R36)</f>
        <v/>
      </c>
      <c r="R36" s="123" t="str">
        <f aca="false">IF($B36="","",IF(1&lt;=cfg_VAL_M,'مسير يناير'!R36,0)+IF(2&lt;=cfg_VAL_M,'مسير فبراير'!R36,0)+IF(3&lt;=cfg_VAL_M,'مسير مارس'!R36,0)+IF(4&lt;=cfg_VAL_M,'مسير أبريل'!R36,0)+IF(5&lt;=cfg_VAL_M,'مسير مايو'!R36,0)+IF(6&lt;=cfg_VAL_M,'مسير يونيو'!R36,0)+IF(7&lt;=cfg_VAL_M,'مسير يوليو'!R36,0)+IF(8&lt;=cfg_VAL_M,'مسير أغسطس'!R36,0)+IF(9&lt;=cfg_VAL_M,'مسير سبتمبر'!R36,0)+IF(10&lt;=cfg_VAL_M,'مسير أكتوبر'!R36,0)+IF(11&lt;=cfg_VAL_M,'مسير نوفمبر'!R36,0)+IF(12&lt;=cfg_VAL_M,'مسير ديسمبر'!R36,0))</f>
        <v/>
      </c>
      <c r="T36" s="86" t="str">
        <f aca="false">IF($B36="","",'مسير يناير'!AB36)</f>
        <v/>
      </c>
      <c r="U36" s="86" t="str">
        <f aca="false">IF($B36="","",'مسير فبراير'!AB36)</f>
        <v/>
      </c>
      <c r="V36" s="86" t="str">
        <f aca="false">IF($B36="","",'مسير مارس'!AB36)</f>
        <v/>
      </c>
      <c r="W36" s="86" t="str">
        <f aca="false">IF($B36="","",'مسير أبريل'!AB36)</f>
        <v/>
      </c>
      <c r="X36" s="86" t="str">
        <f aca="false">IF($B36="","",'مسير مايو'!AB36)</f>
        <v/>
      </c>
      <c r="Y36" s="86" t="str">
        <f aca="false">IF($B36="","",'مسير يونيو'!AB36)</f>
        <v/>
      </c>
      <c r="Z36" s="86" t="str">
        <f aca="false">IF($B36="","",'مسير يوليو'!AB36)</f>
        <v/>
      </c>
      <c r="AA36" s="86" t="str">
        <f aca="false">IF($B36="","",'مسير أغسطس'!AB36)</f>
        <v/>
      </c>
      <c r="AB36" s="86" t="str">
        <f aca="false">IF($B36="","",'مسير سبتمبر'!AB36)</f>
        <v/>
      </c>
      <c r="AC36" s="86" t="str">
        <f aca="false">IF($B36="","",'مسير أكتوبر'!AB36)</f>
        <v/>
      </c>
      <c r="AD36" s="86" t="str">
        <f aca="false">IF($B36="","",'مسير نوفمبر'!AB36)</f>
        <v/>
      </c>
      <c r="AE36" s="86" t="str">
        <f aca="false">IF($B36="","",'مسير ديسمبر'!AB36)</f>
        <v/>
      </c>
      <c r="AF36" s="123" t="str">
        <f aca="false">IF($B36="","",IF(1&lt;=cfg_VAL_M,'مسير يناير'!AB36,0)+IF(2&lt;=cfg_VAL_M,'مسير فبراير'!AB36,0)+IF(3&lt;=cfg_VAL_M,'مسير مارس'!AB36,0)+IF(4&lt;=cfg_VAL_M,'مسير أبريل'!AB36,0)+IF(5&lt;=cfg_VAL_M,'مسير مايو'!AB36,0)+IF(6&lt;=cfg_VAL_M,'مسير يونيو'!AB36,0)+IF(7&lt;=cfg_VAL_M,'مسير يوليو'!AB36,0)+IF(8&lt;=cfg_VAL_M,'مسير أغسطس'!AB36,0)+IF(9&lt;=cfg_VAL_M,'مسير سبتمبر'!AB36,0)+IF(10&lt;=cfg_VAL_M,'مسير أكتوبر'!AB36,0)+IF(11&lt;=cfg_VAL_M,'مسير نوفمبر'!AB36,0)+IF(12&lt;=cfg_VAL_M,'مسير ديسمبر'!AB36,0))</f>
        <v/>
      </c>
      <c r="AG36" s="123" t="str">
        <f aca="false">IF($B36="","",IF(1&lt;=cfg_VAL_M,'مسير يناير'!W36,0)+IF(2&lt;=cfg_VAL_M,'مسير فبراير'!W36,0)+IF(3&lt;=cfg_VAL_M,'مسير مارس'!W36,0)+IF(4&lt;=cfg_VAL_M,'مسير أبريل'!W36,0)+IF(5&lt;=cfg_VAL_M,'مسير مايو'!W36,0)+IF(6&lt;=cfg_VAL_M,'مسير يونيو'!W36,0)+IF(7&lt;=cfg_VAL_M,'مسير يوليو'!W36,0)+IF(8&lt;=cfg_VAL_M,'مسير أغسطس'!W36,0)+IF(9&lt;=cfg_VAL_M,'مسير سبتمبر'!W36,0)+IF(10&lt;=cfg_VAL_M,'مسير أكتوبر'!W36,0)+IF(11&lt;=cfg_VAL_M,'مسير نوفمبر'!W36,0)+IF(12&lt;=cfg_VAL_M,'مسير ديسمبر'!W36,0))</f>
        <v/>
      </c>
      <c r="AH36" s="86" t="str">
        <f aca="false">IF($B36="","",AF36/cfg_VAL_M)</f>
        <v/>
      </c>
    </row>
    <row r="37" customFormat="false" ht="15" hidden="false" customHeight="false" outlineLevel="0" collapsed="false">
      <c r="B37" s="91" t="str">
        <f aca="false">IF(الموظفون!$B37="","",الموظفون!$B37)</f>
        <v/>
      </c>
      <c r="C37" s="91" t="str">
        <f aca="false">IF(الموظفون!$B37="","",الموظفون!$C37)</f>
        <v/>
      </c>
      <c r="D37" s="91" t="str">
        <f aca="false">IF(الموظفون!$B37="","",الموظفون!$F37)</f>
        <v/>
      </c>
      <c r="E37" s="91" t="str">
        <f aca="false">IF(الموظفون!$B37="","",الموظفون!$E37)</f>
        <v/>
      </c>
      <c r="F37" s="90" t="str">
        <f aca="false">IF($B37="","",'مسير يناير'!R37)</f>
        <v/>
      </c>
      <c r="G37" s="90" t="str">
        <f aca="false">IF($B37="","",'مسير فبراير'!R37)</f>
        <v/>
      </c>
      <c r="H37" s="90" t="str">
        <f aca="false">IF($B37="","",'مسير مارس'!R37)</f>
        <v/>
      </c>
      <c r="I37" s="90" t="str">
        <f aca="false">IF($B37="","",'مسير أبريل'!R37)</f>
        <v/>
      </c>
      <c r="J37" s="90" t="str">
        <f aca="false">IF($B37="","",'مسير مايو'!R37)</f>
        <v/>
      </c>
      <c r="K37" s="90" t="str">
        <f aca="false">IF($B37="","",'مسير يونيو'!R37)</f>
        <v/>
      </c>
      <c r="L37" s="90" t="str">
        <f aca="false">IF($B37="","",'مسير يوليو'!R37)</f>
        <v/>
      </c>
      <c r="M37" s="90" t="str">
        <f aca="false">IF($B37="","",'مسير أغسطس'!R37)</f>
        <v/>
      </c>
      <c r="N37" s="90" t="str">
        <f aca="false">IF($B37="","",'مسير سبتمبر'!R37)</f>
        <v/>
      </c>
      <c r="O37" s="90" t="str">
        <f aca="false">IF($B37="","",'مسير أكتوبر'!R37)</f>
        <v/>
      </c>
      <c r="P37" s="90" t="str">
        <f aca="false">IF($B37="","",'مسير نوفمبر'!R37)</f>
        <v/>
      </c>
      <c r="Q37" s="90" t="str">
        <f aca="false">IF($B37="","",'مسير ديسمبر'!R37)</f>
        <v/>
      </c>
      <c r="R37" s="124" t="str">
        <f aca="false">IF($B37="","",IF(1&lt;=cfg_VAL_M,'مسير يناير'!R37,0)+IF(2&lt;=cfg_VAL_M,'مسير فبراير'!R37,0)+IF(3&lt;=cfg_VAL_M,'مسير مارس'!R37,0)+IF(4&lt;=cfg_VAL_M,'مسير أبريل'!R37,0)+IF(5&lt;=cfg_VAL_M,'مسير مايو'!R37,0)+IF(6&lt;=cfg_VAL_M,'مسير يونيو'!R37,0)+IF(7&lt;=cfg_VAL_M,'مسير يوليو'!R37,0)+IF(8&lt;=cfg_VAL_M,'مسير أغسطس'!R37,0)+IF(9&lt;=cfg_VAL_M,'مسير سبتمبر'!R37,0)+IF(10&lt;=cfg_VAL_M,'مسير أكتوبر'!R37,0)+IF(11&lt;=cfg_VAL_M,'مسير نوفمبر'!R37,0)+IF(12&lt;=cfg_VAL_M,'مسير ديسمبر'!R37,0))</f>
        <v/>
      </c>
      <c r="T37" s="90" t="str">
        <f aca="false">IF($B37="","",'مسير يناير'!AB37)</f>
        <v/>
      </c>
      <c r="U37" s="90" t="str">
        <f aca="false">IF($B37="","",'مسير فبراير'!AB37)</f>
        <v/>
      </c>
      <c r="V37" s="90" t="str">
        <f aca="false">IF($B37="","",'مسير مارس'!AB37)</f>
        <v/>
      </c>
      <c r="W37" s="90" t="str">
        <f aca="false">IF($B37="","",'مسير أبريل'!AB37)</f>
        <v/>
      </c>
      <c r="X37" s="90" t="str">
        <f aca="false">IF($B37="","",'مسير مايو'!AB37)</f>
        <v/>
      </c>
      <c r="Y37" s="90" t="str">
        <f aca="false">IF($B37="","",'مسير يونيو'!AB37)</f>
        <v/>
      </c>
      <c r="Z37" s="90" t="str">
        <f aca="false">IF($B37="","",'مسير يوليو'!AB37)</f>
        <v/>
      </c>
      <c r="AA37" s="90" t="str">
        <f aca="false">IF($B37="","",'مسير أغسطس'!AB37)</f>
        <v/>
      </c>
      <c r="AB37" s="90" t="str">
        <f aca="false">IF($B37="","",'مسير سبتمبر'!AB37)</f>
        <v/>
      </c>
      <c r="AC37" s="90" t="str">
        <f aca="false">IF($B37="","",'مسير أكتوبر'!AB37)</f>
        <v/>
      </c>
      <c r="AD37" s="90" t="str">
        <f aca="false">IF($B37="","",'مسير نوفمبر'!AB37)</f>
        <v/>
      </c>
      <c r="AE37" s="90" t="str">
        <f aca="false">IF($B37="","",'مسير ديسمبر'!AB37)</f>
        <v/>
      </c>
      <c r="AF37" s="124" t="str">
        <f aca="false">IF($B37="","",IF(1&lt;=cfg_VAL_M,'مسير يناير'!AB37,0)+IF(2&lt;=cfg_VAL_M,'مسير فبراير'!AB37,0)+IF(3&lt;=cfg_VAL_M,'مسير مارس'!AB37,0)+IF(4&lt;=cfg_VAL_M,'مسير أبريل'!AB37,0)+IF(5&lt;=cfg_VAL_M,'مسير مايو'!AB37,0)+IF(6&lt;=cfg_VAL_M,'مسير يونيو'!AB37,0)+IF(7&lt;=cfg_VAL_M,'مسير يوليو'!AB37,0)+IF(8&lt;=cfg_VAL_M,'مسير أغسطس'!AB37,0)+IF(9&lt;=cfg_VAL_M,'مسير سبتمبر'!AB37,0)+IF(10&lt;=cfg_VAL_M,'مسير أكتوبر'!AB37,0)+IF(11&lt;=cfg_VAL_M,'مسير نوفمبر'!AB37,0)+IF(12&lt;=cfg_VAL_M,'مسير ديسمبر'!AB37,0))</f>
        <v/>
      </c>
      <c r="AG37" s="124" t="str">
        <f aca="false">IF($B37="","",IF(1&lt;=cfg_VAL_M,'مسير يناير'!W37,0)+IF(2&lt;=cfg_VAL_M,'مسير فبراير'!W37,0)+IF(3&lt;=cfg_VAL_M,'مسير مارس'!W37,0)+IF(4&lt;=cfg_VAL_M,'مسير أبريل'!W37,0)+IF(5&lt;=cfg_VAL_M,'مسير مايو'!W37,0)+IF(6&lt;=cfg_VAL_M,'مسير يونيو'!W37,0)+IF(7&lt;=cfg_VAL_M,'مسير يوليو'!W37,0)+IF(8&lt;=cfg_VAL_M,'مسير أغسطس'!W37,0)+IF(9&lt;=cfg_VAL_M,'مسير سبتمبر'!W37,0)+IF(10&lt;=cfg_VAL_M,'مسير أكتوبر'!W37,0)+IF(11&lt;=cfg_VAL_M,'مسير نوفمبر'!W37,0)+IF(12&lt;=cfg_VAL_M,'مسير ديسمبر'!W37,0))</f>
        <v/>
      </c>
      <c r="AH37" s="90" t="str">
        <f aca="false">IF($B37="","",AF37/cfg_VAL_M)</f>
        <v/>
      </c>
    </row>
    <row r="38" customFormat="false" ht="15" hidden="false" customHeight="false" outlineLevel="0" collapsed="false">
      <c r="B38" s="74" t="str">
        <f aca="false">IF(الموظفون!$B38="","",الموظفون!$B38)</f>
        <v/>
      </c>
      <c r="C38" s="74" t="str">
        <f aca="false">IF(الموظفون!$B38="","",الموظفون!$C38)</f>
        <v/>
      </c>
      <c r="D38" s="74" t="str">
        <f aca="false">IF(الموظفون!$B38="","",الموظفون!$F38)</f>
        <v/>
      </c>
      <c r="E38" s="74" t="str">
        <f aca="false">IF(الموظفون!$B38="","",الموظفون!$E38)</f>
        <v/>
      </c>
      <c r="F38" s="86" t="str">
        <f aca="false">IF($B38="","",'مسير يناير'!R38)</f>
        <v/>
      </c>
      <c r="G38" s="86" t="str">
        <f aca="false">IF($B38="","",'مسير فبراير'!R38)</f>
        <v/>
      </c>
      <c r="H38" s="86" t="str">
        <f aca="false">IF($B38="","",'مسير مارس'!R38)</f>
        <v/>
      </c>
      <c r="I38" s="86" t="str">
        <f aca="false">IF($B38="","",'مسير أبريل'!R38)</f>
        <v/>
      </c>
      <c r="J38" s="86" t="str">
        <f aca="false">IF($B38="","",'مسير مايو'!R38)</f>
        <v/>
      </c>
      <c r="K38" s="86" t="str">
        <f aca="false">IF($B38="","",'مسير يونيو'!R38)</f>
        <v/>
      </c>
      <c r="L38" s="86" t="str">
        <f aca="false">IF($B38="","",'مسير يوليو'!R38)</f>
        <v/>
      </c>
      <c r="M38" s="86" t="str">
        <f aca="false">IF($B38="","",'مسير أغسطس'!R38)</f>
        <v/>
      </c>
      <c r="N38" s="86" t="str">
        <f aca="false">IF($B38="","",'مسير سبتمبر'!R38)</f>
        <v/>
      </c>
      <c r="O38" s="86" t="str">
        <f aca="false">IF($B38="","",'مسير أكتوبر'!R38)</f>
        <v/>
      </c>
      <c r="P38" s="86" t="str">
        <f aca="false">IF($B38="","",'مسير نوفمبر'!R38)</f>
        <v/>
      </c>
      <c r="Q38" s="86" t="str">
        <f aca="false">IF($B38="","",'مسير ديسمبر'!R38)</f>
        <v/>
      </c>
      <c r="R38" s="123" t="str">
        <f aca="false">IF($B38="","",IF(1&lt;=cfg_VAL_M,'مسير يناير'!R38,0)+IF(2&lt;=cfg_VAL_M,'مسير فبراير'!R38,0)+IF(3&lt;=cfg_VAL_M,'مسير مارس'!R38,0)+IF(4&lt;=cfg_VAL_M,'مسير أبريل'!R38,0)+IF(5&lt;=cfg_VAL_M,'مسير مايو'!R38,0)+IF(6&lt;=cfg_VAL_M,'مسير يونيو'!R38,0)+IF(7&lt;=cfg_VAL_M,'مسير يوليو'!R38,0)+IF(8&lt;=cfg_VAL_M,'مسير أغسطس'!R38,0)+IF(9&lt;=cfg_VAL_M,'مسير سبتمبر'!R38,0)+IF(10&lt;=cfg_VAL_M,'مسير أكتوبر'!R38,0)+IF(11&lt;=cfg_VAL_M,'مسير نوفمبر'!R38,0)+IF(12&lt;=cfg_VAL_M,'مسير ديسمبر'!R38,0))</f>
        <v/>
      </c>
      <c r="T38" s="86" t="str">
        <f aca="false">IF($B38="","",'مسير يناير'!AB38)</f>
        <v/>
      </c>
      <c r="U38" s="86" t="str">
        <f aca="false">IF($B38="","",'مسير فبراير'!AB38)</f>
        <v/>
      </c>
      <c r="V38" s="86" t="str">
        <f aca="false">IF($B38="","",'مسير مارس'!AB38)</f>
        <v/>
      </c>
      <c r="W38" s="86" t="str">
        <f aca="false">IF($B38="","",'مسير أبريل'!AB38)</f>
        <v/>
      </c>
      <c r="X38" s="86" t="str">
        <f aca="false">IF($B38="","",'مسير مايو'!AB38)</f>
        <v/>
      </c>
      <c r="Y38" s="86" t="str">
        <f aca="false">IF($B38="","",'مسير يونيو'!AB38)</f>
        <v/>
      </c>
      <c r="Z38" s="86" t="str">
        <f aca="false">IF($B38="","",'مسير يوليو'!AB38)</f>
        <v/>
      </c>
      <c r="AA38" s="86" t="str">
        <f aca="false">IF($B38="","",'مسير أغسطس'!AB38)</f>
        <v/>
      </c>
      <c r="AB38" s="86" t="str">
        <f aca="false">IF($B38="","",'مسير سبتمبر'!AB38)</f>
        <v/>
      </c>
      <c r="AC38" s="86" t="str">
        <f aca="false">IF($B38="","",'مسير أكتوبر'!AB38)</f>
        <v/>
      </c>
      <c r="AD38" s="86" t="str">
        <f aca="false">IF($B38="","",'مسير نوفمبر'!AB38)</f>
        <v/>
      </c>
      <c r="AE38" s="86" t="str">
        <f aca="false">IF($B38="","",'مسير ديسمبر'!AB38)</f>
        <v/>
      </c>
      <c r="AF38" s="123" t="str">
        <f aca="false">IF($B38="","",IF(1&lt;=cfg_VAL_M,'مسير يناير'!AB38,0)+IF(2&lt;=cfg_VAL_M,'مسير فبراير'!AB38,0)+IF(3&lt;=cfg_VAL_M,'مسير مارس'!AB38,0)+IF(4&lt;=cfg_VAL_M,'مسير أبريل'!AB38,0)+IF(5&lt;=cfg_VAL_M,'مسير مايو'!AB38,0)+IF(6&lt;=cfg_VAL_M,'مسير يونيو'!AB38,0)+IF(7&lt;=cfg_VAL_M,'مسير يوليو'!AB38,0)+IF(8&lt;=cfg_VAL_M,'مسير أغسطس'!AB38,0)+IF(9&lt;=cfg_VAL_M,'مسير سبتمبر'!AB38,0)+IF(10&lt;=cfg_VAL_M,'مسير أكتوبر'!AB38,0)+IF(11&lt;=cfg_VAL_M,'مسير نوفمبر'!AB38,0)+IF(12&lt;=cfg_VAL_M,'مسير ديسمبر'!AB38,0))</f>
        <v/>
      </c>
      <c r="AG38" s="123" t="str">
        <f aca="false">IF($B38="","",IF(1&lt;=cfg_VAL_M,'مسير يناير'!W38,0)+IF(2&lt;=cfg_VAL_M,'مسير فبراير'!W38,0)+IF(3&lt;=cfg_VAL_M,'مسير مارس'!W38,0)+IF(4&lt;=cfg_VAL_M,'مسير أبريل'!W38,0)+IF(5&lt;=cfg_VAL_M,'مسير مايو'!W38,0)+IF(6&lt;=cfg_VAL_M,'مسير يونيو'!W38,0)+IF(7&lt;=cfg_VAL_M,'مسير يوليو'!W38,0)+IF(8&lt;=cfg_VAL_M,'مسير أغسطس'!W38,0)+IF(9&lt;=cfg_VAL_M,'مسير سبتمبر'!W38,0)+IF(10&lt;=cfg_VAL_M,'مسير أكتوبر'!W38,0)+IF(11&lt;=cfg_VAL_M,'مسير نوفمبر'!W38,0)+IF(12&lt;=cfg_VAL_M,'مسير ديسمبر'!W38,0))</f>
        <v/>
      </c>
      <c r="AH38" s="86" t="str">
        <f aca="false">IF($B38="","",AF38/cfg_VAL_M)</f>
        <v/>
      </c>
    </row>
    <row r="39" customFormat="false" ht="15" hidden="false" customHeight="false" outlineLevel="0" collapsed="false">
      <c r="B39" s="91" t="str">
        <f aca="false">IF(الموظفون!$B39="","",الموظفون!$B39)</f>
        <v/>
      </c>
      <c r="C39" s="91" t="str">
        <f aca="false">IF(الموظفون!$B39="","",الموظفون!$C39)</f>
        <v/>
      </c>
      <c r="D39" s="91" t="str">
        <f aca="false">IF(الموظفون!$B39="","",الموظفون!$F39)</f>
        <v/>
      </c>
      <c r="E39" s="91" t="str">
        <f aca="false">IF(الموظفون!$B39="","",الموظفون!$E39)</f>
        <v/>
      </c>
      <c r="F39" s="90" t="str">
        <f aca="false">IF($B39="","",'مسير يناير'!R39)</f>
        <v/>
      </c>
      <c r="G39" s="90" t="str">
        <f aca="false">IF($B39="","",'مسير فبراير'!R39)</f>
        <v/>
      </c>
      <c r="H39" s="90" t="str">
        <f aca="false">IF($B39="","",'مسير مارس'!R39)</f>
        <v/>
      </c>
      <c r="I39" s="90" t="str">
        <f aca="false">IF($B39="","",'مسير أبريل'!R39)</f>
        <v/>
      </c>
      <c r="J39" s="90" t="str">
        <f aca="false">IF($B39="","",'مسير مايو'!R39)</f>
        <v/>
      </c>
      <c r="K39" s="90" t="str">
        <f aca="false">IF($B39="","",'مسير يونيو'!R39)</f>
        <v/>
      </c>
      <c r="L39" s="90" t="str">
        <f aca="false">IF($B39="","",'مسير يوليو'!R39)</f>
        <v/>
      </c>
      <c r="M39" s="90" t="str">
        <f aca="false">IF($B39="","",'مسير أغسطس'!R39)</f>
        <v/>
      </c>
      <c r="N39" s="90" t="str">
        <f aca="false">IF($B39="","",'مسير سبتمبر'!R39)</f>
        <v/>
      </c>
      <c r="O39" s="90" t="str">
        <f aca="false">IF($B39="","",'مسير أكتوبر'!R39)</f>
        <v/>
      </c>
      <c r="P39" s="90" t="str">
        <f aca="false">IF($B39="","",'مسير نوفمبر'!R39)</f>
        <v/>
      </c>
      <c r="Q39" s="90" t="str">
        <f aca="false">IF($B39="","",'مسير ديسمبر'!R39)</f>
        <v/>
      </c>
      <c r="R39" s="124" t="str">
        <f aca="false">IF($B39="","",IF(1&lt;=cfg_VAL_M,'مسير يناير'!R39,0)+IF(2&lt;=cfg_VAL_M,'مسير فبراير'!R39,0)+IF(3&lt;=cfg_VAL_M,'مسير مارس'!R39,0)+IF(4&lt;=cfg_VAL_M,'مسير أبريل'!R39,0)+IF(5&lt;=cfg_VAL_M,'مسير مايو'!R39,0)+IF(6&lt;=cfg_VAL_M,'مسير يونيو'!R39,0)+IF(7&lt;=cfg_VAL_M,'مسير يوليو'!R39,0)+IF(8&lt;=cfg_VAL_M,'مسير أغسطس'!R39,0)+IF(9&lt;=cfg_VAL_M,'مسير سبتمبر'!R39,0)+IF(10&lt;=cfg_VAL_M,'مسير أكتوبر'!R39,0)+IF(11&lt;=cfg_VAL_M,'مسير نوفمبر'!R39,0)+IF(12&lt;=cfg_VAL_M,'مسير ديسمبر'!R39,0))</f>
        <v/>
      </c>
      <c r="T39" s="90" t="str">
        <f aca="false">IF($B39="","",'مسير يناير'!AB39)</f>
        <v/>
      </c>
      <c r="U39" s="90" t="str">
        <f aca="false">IF($B39="","",'مسير فبراير'!AB39)</f>
        <v/>
      </c>
      <c r="V39" s="90" t="str">
        <f aca="false">IF($B39="","",'مسير مارس'!AB39)</f>
        <v/>
      </c>
      <c r="W39" s="90" t="str">
        <f aca="false">IF($B39="","",'مسير أبريل'!AB39)</f>
        <v/>
      </c>
      <c r="X39" s="90" t="str">
        <f aca="false">IF($B39="","",'مسير مايو'!AB39)</f>
        <v/>
      </c>
      <c r="Y39" s="90" t="str">
        <f aca="false">IF($B39="","",'مسير يونيو'!AB39)</f>
        <v/>
      </c>
      <c r="Z39" s="90" t="str">
        <f aca="false">IF($B39="","",'مسير يوليو'!AB39)</f>
        <v/>
      </c>
      <c r="AA39" s="90" t="str">
        <f aca="false">IF($B39="","",'مسير أغسطس'!AB39)</f>
        <v/>
      </c>
      <c r="AB39" s="90" t="str">
        <f aca="false">IF($B39="","",'مسير سبتمبر'!AB39)</f>
        <v/>
      </c>
      <c r="AC39" s="90" t="str">
        <f aca="false">IF($B39="","",'مسير أكتوبر'!AB39)</f>
        <v/>
      </c>
      <c r="AD39" s="90" t="str">
        <f aca="false">IF($B39="","",'مسير نوفمبر'!AB39)</f>
        <v/>
      </c>
      <c r="AE39" s="90" t="str">
        <f aca="false">IF($B39="","",'مسير ديسمبر'!AB39)</f>
        <v/>
      </c>
      <c r="AF39" s="124" t="str">
        <f aca="false">IF($B39="","",IF(1&lt;=cfg_VAL_M,'مسير يناير'!AB39,0)+IF(2&lt;=cfg_VAL_M,'مسير فبراير'!AB39,0)+IF(3&lt;=cfg_VAL_M,'مسير مارس'!AB39,0)+IF(4&lt;=cfg_VAL_M,'مسير أبريل'!AB39,0)+IF(5&lt;=cfg_VAL_M,'مسير مايو'!AB39,0)+IF(6&lt;=cfg_VAL_M,'مسير يونيو'!AB39,0)+IF(7&lt;=cfg_VAL_M,'مسير يوليو'!AB39,0)+IF(8&lt;=cfg_VAL_M,'مسير أغسطس'!AB39,0)+IF(9&lt;=cfg_VAL_M,'مسير سبتمبر'!AB39,0)+IF(10&lt;=cfg_VAL_M,'مسير أكتوبر'!AB39,0)+IF(11&lt;=cfg_VAL_M,'مسير نوفمبر'!AB39,0)+IF(12&lt;=cfg_VAL_M,'مسير ديسمبر'!AB39,0))</f>
        <v/>
      </c>
      <c r="AG39" s="124" t="str">
        <f aca="false">IF($B39="","",IF(1&lt;=cfg_VAL_M,'مسير يناير'!W39,0)+IF(2&lt;=cfg_VAL_M,'مسير فبراير'!W39,0)+IF(3&lt;=cfg_VAL_M,'مسير مارس'!W39,0)+IF(4&lt;=cfg_VAL_M,'مسير أبريل'!W39,0)+IF(5&lt;=cfg_VAL_M,'مسير مايو'!W39,0)+IF(6&lt;=cfg_VAL_M,'مسير يونيو'!W39,0)+IF(7&lt;=cfg_VAL_M,'مسير يوليو'!W39,0)+IF(8&lt;=cfg_VAL_M,'مسير أغسطس'!W39,0)+IF(9&lt;=cfg_VAL_M,'مسير سبتمبر'!W39,0)+IF(10&lt;=cfg_VAL_M,'مسير أكتوبر'!W39,0)+IF(11&lt;=cfg_VAL_M,'مسير نوفمبر'!W39,0)+IF(12&lt;=cfg_VAL_M,'مسير ديسمبر'!W39,0))</f>
        <v/>
      </c>
      <c r="AH39" s="90" t="str">
        <f aca="false">IF($B39="","",AF39/cfg_VAL_M)</f>
        <v/>
      </c>
    </row>
    <row r="40" customFormat="false" ht="15" hidden="false" customHeight="false" outlineLevel="0" collapsed="false">
      <c r="B40" s="74" t="str">
        <f aca="false">IF(الموظفون!$B40="","",الموظفون!$B40)</f>
        <v/>
      </c>
      <c r="C40" s="74" t="str">
        <f aca="false">IF(الموظفون!$B40="","",الموظفون!$C40)</f>
        <v/>
      </c>
      <c r="D40" s="74" t="str">
        <f aca="false">IF(الموظفون!$B40="","",الموظفون!$F40)</f>
        <v/>
      </c>
      <c r="E40" s="74" t="str">
        <f aca="false">IF(الموظفون!$B40="","",الموظفون!$E40)</f>
        <v/>
      </c>
      <c r="F40" s="86" t="str">
        <f aca="false">IF($B40="","",'مسير يناير'!R40)</f>
        <v/>
      </c>
      <c r="G40" s="86" t="str">
        <f aca="false">IF($B40="","",'مسير فبراير'!R40)</f>
        <v/>
      </c>
      <c r="H40" s="86" t="str">
        <f aca="false">IF($B40="","",'مسير مارس'!R40)</f>
        <v/>
      </c>
      <c r="I40" s="86" t="str">
        <f aca="false">IF($B40="","",'مسير أبريل'!R40)</f>
        <v/>
      </c>
      <c r="J40" s="86" t="str">
        <f aca="false">IF($B40="","",'مسير مايو'!R40)</f>
        <v/>
      </c>
      <c r="K40" s="86" t="str">
        <f aca="false">IF($B40="","",'مسير يونيو'!R40)</f>
        <v/>
      </c>
      <c r="L40" s="86" t="str">
        <f aca="false">IF($B40="","",'مسير يوليو'!R40)</f>
        <v/>
      </c>
      <c r="M40" s="86" t="str">
        <f aca="false">IF($B40="","",'مسير أغسطس'!R40)</f>
        <v/>
      </c>
      <c r="N40" s="86" t="str">
        <f aca="false">IF($B40="","",'مسير سبتمبر'!R40)</f>
        <v/>
      </c>
      <c r="O40" s="86" t="str">
        <f aca="false">IF($B40="","",'مسير أكتوبر'!R40)</f>
        <v/>
      </c>
      <c r="P40" s="86" t="str">
        <f aca="false">IF($B40="","",'مسير نوفمبر'!R40)</f>
        <v/>
      </c>
      <c r="Q40" s="86" t="str">
        <f aca="false">IF($B40="","",'مسير ديسمبر'!R40)</f>
        <v/>
      </c>
      <c r="R40" s="123" t="str">
        <f aca="false">IF($B40="","",IF(1&lt;=cfg_VAL_M,'مسير يناير'!R40,0)+IF(2&lt;=cfg_VAL_M,'مسير فبراير'!R40,0)+IF(3&lt;=cfg_VAL_M,'مسير مارس'!R40,0)+IF(4&lt;=cfg_VAL_M,'مسير أبريل'!R40,0)+IF(5&lt;=cfg_VAL_M,'مسير مايو'!R40,0)+IF(6&lt;=cfg_VAL_M,'مسير يونيو'!R40,0)+IF(7&lt;=cfg_VAL_M,'مسير يوليو'!R40,0)+IF(8&lt;=cfg_VAL_M,'مسير أغسطس'!R40,0)+IF(9&lt;=cfg_VAL_M,'مسير سبتمبر'!R40,0)+IF(10&lt;=cfg_VAL_M,'مسير أكتوبر'!R40,0)+IF(11&lt;=cfg_VAL_M,'مسير نوفمبر'!R40,0)+IF(12&lt;=cfg_VAL_M,'مسير ديسمبر'!R40,0))</f>
        <v/>
      </c>
      <c r="T40" s="86" t="str">
        <f aca="false">IF($B40="","",'مسير يناير'!AB40)</f>
        <v/>
      </c>
      <c r="U40" s="86" t="str">
        <f aca="false">IF($B40="","",'مسير فبراير'!AB40)</f>
        <v/>
      </c>
      <c r="V40" s="86" t="str">
        <f aca="false">IF($B40="","",'مسير مارس'!AB40)</f>
        <v/>
      </c>
      <c r="W40" s="86" t="str">
        <f aca="false">IF($B40="","",'مسير أبريل'!AB40)</f>
        <v/>
      </c>
      <c r="X40" s="86" t="str">
        <f aca="false">IF($B40="","",'مسير مايو'!AB40)</f>
        <v/>
      </c>
      <c r="Y40" s="86" t="str">
        <f aca="false">IF($B40="","",'مسير يونيو'!AB40)</f>
        <v/>
      </c>
      <c r="Z40" s="86" t="str">
        <f aca="false">IF($B40="","",'مسير يوليو'!AB40)</f>
        <v/>
      </c>
      <c r="AA40" s="86" t="str">
        <f aca="false">IF($B40="","",'مسير أغسطس'!AB40)</f>
        <v/>
      </c>
      <c r="AB40" s="86" t="str">
        <f aca="false">IF($B40="","",'مسير سبتمبر'!AB40)</f>
        <v/>
      </c>
      <c r="AC40" s="86" t="str">
        <f aca="false">IF($B40="","",'مسير أكتوبر'!AB40)</f>
        <v/>
      </c>
      <c r="AD40" s="86" t="str">
        <f aca="false">IF($B40="","",'مسير نوفمبر'!AB40)</f>
        <v/>
      </c>
      <c r="AE40" s="86" t="str">
        <f aca="false">IF($B40="","",'مسير ديسمبر'!AB40)</f>
        <v/>
      </c>
      <c r="AF40" s="123" t="str">
        <f aca="false">IF($B40="","",IF(1&lt;=cfg_VAL_M,'مسير يناير'!AB40,0)+IF(2&lt;=cfg_VAL_M,'مسير فبراير'!AB40,0)+IF(3&lt;=cfg_VAL_M,'مسير مارس'!AB40,0)+IF(4&lt;=cfg_VAL_M,'مسير أبريل'!AB40,0)+IF(5&lt;=cfg_VAL_M,'مسير مايو'!AB40,0)+IF(6&lt;=cfg_VAL_M,'مسير يونيو'!AB40,0)+IF(7&lt;=cfg_VAL_M,'مسير يوليو'!AB40,0)+IF(8&lt;=cfg_VAL_M,'مسير أغسطس'!AB40,0)+IF(9&lt;=cfg_VAL_M,'مسير سبتمبر'!AB40,0)+IF(10&lt;=cfg_VAL_M,'مسير أكتوبر'!AB40,0)+IF(11&lt;=cfg_VAL_M,'مسير نوفمبر'!AB40,0)+IF(12&lt;=cfg_VAL_M,'مسير ديسمبر'!AB40,0))</f>
        <v/>
      </c>
      <c r="AG40" s="123" t="str">
        <f aca="false">IF($B40="","",IF(1&lt;=cfg_VAL_M,'مسير يناير'!W40,0)+IF(2&lt;=cfg_VAL_M,'مسير فبراير'!W40,0)+IF(3&lt;=cfg_VAL_M,'مسير مارس'!W40,0)+IF(4&lt;=cfg_VAL_M,'مسير أبريل'!W40,0)+IF(5&lt;=cfg_VAL_M,'مسير مايو'!W40,0)+IF(6&lt;=cfg_VAL_M,'مسير يونيو'!W40,0)+IF(7&lt;=cfg_VAL_M,'مسير يوليو'!W40,0)+IF(8&lt;=cfg_VAL_M,'مسير أغسطس'!W40,0)+IF(9&lt;=cfg_VAL_M,'مسير سبتمبر'!W40,0)+IF(10&lt;=cfg_VAL_M,'مسير أكتوبر'!W40,0)+IF(11&lt;=cfg_VAL_M,'مسير نوفمبر'!W40,0)+IF(12&lt;=cfg_VAL_M,'مسير ديسمبر'!W40,0))</f>
        <v/>
      </c>
      <c r="AH40" s="86" t="str">
        <f aca="false">IF($B40="","",AF40/cfg_VAL_M)</f>
        <v/>
      </c>
    </row>
    <row r="41" customFormat="false" ht="15" hidden="false" customHeight="false" outlineLevel="0" collapsed="false">
      <c r="B41" s="91" t="str">
        <f aca="false">IF(الموظفون!$B41="","",الموظفون!$B41)</f>
        <v/>
      </c>
      <c r="C41" s="91" t="str">
        <f aca="false">IF(الموظفون!$B41="","",الموظفون!$C41)</f>
        <v/>
      </c>
      <c r="D41" s="91" t="str">
        <f aca="false">IF(الموظفون!$B41="","",الموظفون!$F41)</f>
        <v/>
      </c>
      <c r="E41" s="91" t="str">
        <f aca="false">IF(الموظفون!$B41="","",الموظفون!$E41)</f>
        <v/>
      </c>
      <c r="F41" s="90" t="str">
        <f aca="false">IF($B41="","",'مسير يناير'!R41)</f>
        <v/>
      </c>
      <c r="G41" s="90" t="str">
        <f aca="false">IF($B41="","",'مسير فبراير'!R41)</f>
        <v/>
      </c>
      <c r="H41" s="90" t="str">
        <f aca="false">IF($B41="","",'مسير مارس'!R41)</f>
        <v/>
      </c>
      <c r="I41" s="90" t="str">
        <f aca="false">IF($B41="","",'مسير أبريل'!R41)</f>
        <v/>
      </c>
      <c r="J41" s="90" t="str">
        <f aca="false">IF($B41="","",'مسير مايو'!R41)</f>
        <v/>
      </c>
      <c r="K41" s="90" t="str">
        <f aca="false">IF($B41="","",'مسير يونيو'!R41)</f>
        <v/>
      </c>
      <c r="L41" s="90" t="str">
        <f aca="false">IF($B41="","",'مسير يوليو'!R41)</f>
        <v/>
      </c>
      <c r="M41" s="90" t="str">
        <f aca="false">IF($B41="","",'مسير أغسطس'!R41)</f>
        <v/>
      </c>
      <c r="N41" s="90" t="str">
        <f aca="false">IF($B41="","",'مسير سبتمبر'!R41)</f>
        <v/>
      </c>
      <c r="O41" s="90" t="str">
        <f aca="false">IF($B41="","",'مسير أكتوبر'!R41)</f>
        <v/>
      </c>
      <c r="P41" s="90" t="str">
        <f aca="false">IF($B41="","",'مسير نوفمبر'!R41)</f>
        <v/>
      </c>
      <c r="Q41" s="90" t="str">
        <f aca="false">IF($B41="","",'مسير ديسمبر'!R41)</f>
        <v/>
      </c>
      <c r="R41" s="124" t="str">
        <f aca="false">IF($B41="","",IF(1&lt;=cfg_VAL_M,'مسير يناير'!R41,0)+IF(2&lt;=cfg_VAL_M,'مسير فبراير'!R41,0)+IF(3&lt;=cfg_VAL_M,'مسير مارس'!R41,0)+IF(4&lt;=cfg_VAL_M,'مسير أبريل'!R41,0)+IF(5&lt;=cfg_VAL_M,'مسير مايو'!R41,0)+IF(6&lt;=cfg_VAL_M,'مسير يونيو'!R41,0)+IF(7&lt;=cfg_VAL_M,'مسير يوليو'!R41,0)+IF(8&lt;=cfg_VAL_M,'مسير أغسطس'!R41,0)+IF(9&lt;=cfg_VAL_M,'مسير سبتمبر'!R41,0)+IF(10&lt;=cfg_VAL_M,'مسير أكتوبر'!R41,0)+IF(11&lt;=cfg_VAL_M,'مسير نوفمبر'!R41,0)+IF(12&lt;=cfg_VAL_M,'مسير ديسمبر'!R41,0))</f>
        <v/>
      </c>
      <c r="T41" s="90" t="str">
        <f aca="false">IF($B41="","",'مسير يناير'!AB41)</f>
        <v/>
      </c>
      <c r="U41" s="90" t="str">
        <f aca="false">IF($B41="","",'مسير فبراير'!AB41)</f>
        <v/>
      </c>
      <c r="V41" s="90" t="str">
        <f aca="false">IF($B41="","",'مسير مارس'!AB41)</f>
        <v/>
      </c>
      <c r="W41" s="90" t="str">
        <f aca="false">IF($B41="","",'مسير أبريل'!AB41)</f>
        <v/>
      </c>
      <c r="X41" s="90" t="str">
        <f aca="false">IF($B41="","",'مسير مايو'!AB41)</f>
        <v/>
      </c>
      <c r="Y41" s="90" t="str">
        <f aca="false">IF($B41="","",'مسير يونيو'!AB41)</f>
        <v/>
      </c>
      <c r="Z41" s="90" t="str">
        <f aca="false">IF($B41="","",'مسير يوليو'!AB41)</f>
        <v/>
      </c>
      <c r="AA41" s="90" t="str">
        <f aca="false">IF($B41="","",'مسير أغسطس'!AB41)</f>
        <v/>
      </c>
      <c r="AB41" s="90" t="str">
        <f aca="false">IF($B41="","",'مسير سبتمبر'!AB41)</f>
        <v/>
      </c>
      <c r="AC41" s="90" t="str">
        <f aca="false">IF($B41="","",'مسير أكتوبر'!AB41)</f>
        <v/>
      </c>
      <c r="AD41" s="90" t="str">
        <f aca="false">IF($B41="","",'مسير نوفمبر'!AB41)</f>
        <v/>
      </c>
      <c r="AE41" s="90" t="str">
        <f aca="false">IF($B41="","",'مسير ديسمبر'!AB41)</f>
        <v/>
      </c>
      <c r="AF41" s="124" t="str">
        <f aca="false">IF($B41="","",IF(1&lt;=cfg_VAL_M,'مسير يناير'!AB41,0)+IF(2&lt;=cfg_VAL_M,'مسير فبراير'!AB41,0)+IF(3&lt;=cfg_VAL_M,'مسير مارس'!AB41,0)+IF(4&lt;=cfg_VAL_M,'مسير أبريل'!AB41,0)+IF(5&lt;=cfg_VAL_M,'مسير مايو'!AB41,0)+IF(6&lt;=cfg_VAL_M,'مسير يونيو'!AB41,0)+IF(7&lt;=cfg_VAL_M,'مسير يوليو'!AB41,0)+IF(8&lt;=cfg_VAL_M,'مسير أغسطس'!AB41,0)+IF(9&lt;=cfg_VAL_M,'مسير سبتمبر'!AB41,0)+IF(10&lt;=cfg_VAL_M,'مسير أكتوبر'!AB41,0)+IF(11&lt;=cfg_VAL_M,'مسير نوفمبر'!AB41,0)+IF(12&lt;=cfg_VAL_M,'مسير ديسمبر'!AB41,0))</f>
        <v/>
      </c>
      <c r="AG41" s="124" t="str">
        <f aca="false">IF($B41="","",IF(1&lt;=cfg_VAL_M,'مسير يناير'!W41,0)+IF(2&lt;=cfg_VAL_M,'مسير فبراير'!W41,0)+IF(3&lt;=cfg_VAL_M,'مسير مارس'!W41,0)+IF(4&lt;=cfg_VAL_M,'مسير أبريل'!W41,0)+IF(5&lt;=cfg_VAL_M,'مسير مايو'!W41,0)+IF(6&lt;=cfg_VAL_M,'مسير يونيو'!W41,0)+IF(7&lt;=cfg_VAL_M,'مسير يوليو'!W41,0)+IF(8&lt;=cfg_VAL_M,'مسير أغسطس'!W41,0)+IF(9&lt;=cfg_VAL_M,'مسير سبتمبر'!W41,0)+IF(10&lt;=cfg_VAL_M,'مسير أكتوبر'!W41,0)+IF(11&lt;=cfg_VAL_M,'مسير نوفمبر'!W41,0)+IF(12&lt;=cfg_VAL_M,'مسير ديسمبر'!W41,0))</f>
        <v/>
      </c>
      <c r="AH41" s="90" t="str">
        <f aca="false">IF($B41="","",AF41/cfg_VAL_M)</f>
        <v/>
      </c>
    </row>
    <row r="42" customFormat="false" ht="15" hidden="false" customHeight="false" outlineLevel="0" collapsed="false">
      <c r="B42" s="74" t="str">
        <f aca="false">IF(الموظفون!$B42="","",الموظفون!$B42)</f>
        <v/>
      </c>
      <c r="C42" s="74" t="str">
        <f aca="false">IF(الموظفون!$B42="","",الموظفون!$C42)</f>
        <v/>
      </c>
      <c r="D42" s="74" t="str">
        <f aca="false">IF(الموظفون!$B42="","",الموظفون!$F42)</f>
        <v/>
      </c>
      <c r="E42" s="74" t="str">
        <f aca="false">IF(الموظفون!$B42="","",الموظفون!$E42)</f>
        <v/>
      </c>
      <c r="F42" s="86" t="str">
        <f aca="false">IF($B42="","",'مسير يناير'!R42)</f>
        <v/>
      </c>
      <c r="G42" s="86" t="str">
        <f aca="false">IF($B42="","",'مسير فبراير'!R42)</f>
        <v/>
      </c>
      <c r="H42" s="86" t="str">
        <f aca="false">IF($B42="","",'مسير مارس'!R42)</f>
        <v/>
      </c>
      <c r="I42" s="86" t="str">
        <f aca="false">IF($B42="","",'مسير أبريل'!R42)</f>
        <v/>
      </c>
      <c r="J42" s="86" t="str">
        <f aca="false">IF($B42="","",'مسير مايو'!R42)</f>
        <v/>
      </c>
      <c r="K42" s="86" t="str">
        <f aca="false">IF($B42="","",'مسير يونيو'!R42)</f>
        <v/>
      </c>
      <c r="L42" s="86" t="str">
        <f aca="false">IF($B42="","",'مسير يوليو'!R42)</f>
        <v/>
      </c>
      <c r="M42" s="86" t="str">
        <f aca="false">IF($B42="","",'مسير أغسطس'!R42)</f>
        <v/>
      </c>
      <c r="N42" s="86" t="str">
        <f aca="false">IF($B42="","",'مسير سبتمبر'!R42)</f>
        <v/>
      </c>
      <c r="O42" s="86" t="str">
        <f aca="false">IF($B42="","",'مسير أكتوبر'!R42)</f>
        <v/>
      </c>
      <c r="P42" s="86" t="str">
        <f aca="false">IF($B42="","",'مسير نوفمبر'!R42)</f>
        <v/>
      </c>
      <c r="Q42" s="86" t="str">
        <f aca="false">IF($B42="","",'مسير ديسمبر'!R42)</f>
        <v/>
      </c>
      <c r="R42" s="123" t="str">
        <f aca="false">IF($B42="","",IF(1&lt;=cfg_VAL_M,'مسير يناير'!R42,0)+IF(2&lt;=cfg_VAL_M,'مسير فبراير'!R42,0)+IF(3&lt;=cfg_VAL_M,'مسير مارس'!R42,0)+IF(4&lt;=cfg_VAL_M,'مسير أبريل'!R42,0)+IF(5&lt;=cfg_VAL_M,'مسير مايو'!R42,0)+IF(6&lt;=cfg_VAL_M,'مسير يونيو'!R42,0)+IF(7&lt;=cfg_VAL_M,'مسير يوليو'!R42,0)+IF(8&lt;=cfg_VAL_M,'مسير أغسطس'!R42,0)+IF(9&lt;=cfg_VAL_M,'مسير سبتمبر'!R42,0)+IF(10&lt;=cfg_VAL_M,'مسير أكتوبر'!R42,0)+IF(11&lt;=cfg_VAL_M,'مسير نوفمبر'!R42,0)+IF(12&lt;=cfg_VAL_M,'مسير ديسمبر'!R42,0))</f>
        <v/>
      </c>
      <c r="T42" s="86" t="str">
        <f aca="false">IF($B42="","",'مسير يناير'!AB42)</f>
        <v/>
      </c>
      <c r="U42" s="86" t="str">
        <f aca="false">IF($B42="","",'مسير فبراير'!AB42)</f>
        <v/>
      </c>
      <c r="V42" s="86" t="str">
        <f aca="false">IF($B42="","",'مسير مارس'!AB42)</f>
        <v/>
      </c>
      <c r="W42" s="86" t="str">
        <f aca="false">IF($B42="","",'مسير أبريل'!AB42)</f>
        <v/>
      </c>
      <c r="X42" s="86" t="str">
        <f aca="false">IF($B42="","",'مسير مايو'!AB42)</f>
        <v/>
      </c>
      <c r="Y42" s="86" t="str">
        <f aca="false">IF($B42="","",'مسير يونيو'!AB42)</f>
        <v/>
      </c>
      <c r="Z42" s="86" t="str">
        <f aca="false">IF($B42="","",'مسير يوليو'!AB42)</f>
        <v/>
      </c>
      <c r="AA42" s="86" t="str">
        <f aca="false">IF($B42="","",'مسير أغسطس'!AB42)</f>
        <v/>
      </c>
      <c r="AB42" s="86" t="str">
        <f aca="false">IF($B42="","",'مسير سبتمبر'!AB42)</f>
        <v/>
      </c>
      <c r="AC42" s="86" t="str">
        <f aca="false">IF($B42="","",'مسير أكتوبر'!AB42)</f>
        <v/>
      </c>
      <c r="AD42" s="86" t="str">
        <f aca="false">IF($B42="","",'مسير نوفمبر'!AB42)</f>
        <v/>
      </c>
      <c r="AE42" s="86" t="str">
        <f aca="false">IF($B42="","",'مسير ديسمبر'!AB42)</f>
        <v/>
      </c>
      <c r="AF42" s="123" t="str">
        <f aca="false">IF($B42="","",IF(1&lt;=cfg_VAL_M,'مسير يناير'!AB42,0)+IF(2&lt;=cfg_VAL_M,'مسير فبراير'!AB42,0)+IF(3&lt;=cfg_VAL_M,'مسير مارس'!AB42,0)+IF(4&lt;=cfg_VAL_M,'مسير أبريل'!AB42,0)+IF(5&lt;=cfg_VAL_M,'مسير مايو'!AB42,0)+IF(6&lt;=cfg_VAL_M,'مسير يونيو'!AB42,0)+IF(7&lt;=cfg_VAL_M,'مسير يوليو'!AB42,0)+IF(8&lt;=cfg_VAL_M,'مسير أغسطس'!AB42,0)+IF(9&lt;=cfg_VAL_M,'مسير سبتمبر'!AB42,0)+IF(10&lt;=cfg_VAL_M,'مسير أكتوبر'!AB42,0)+IF(11&lt;=cfg_VAL_M,'مسير نوفمبر'!AB42,0)+IF(12&lt;=cfg_VAL_M,'مسير ديسمبر'!AB42,0))</f>
        <v/>
      </c>
      <c r="AG42" s="123" t="str">
        <f aca="false">IF($B42="","",IF(1&lt;=cfg_VAL_M,'مسير يناير'!W42,0)+IF(2&lt;=cfg_VAL_M,'مسير فبراير'!W42,0)+IF(3&lt;=cfg_VAL_M,'مسير مارس'!W42,0)+IF(4&lt;=cfg_VAL_M,'مسير أبريل'!W42,0)+IF(5&lt;=cfg_VAL_M,'مسير مايو'!W42,0)+IF(6&lt;=cfg_VAL_M,'مسير يونيو'!W42,0)+IF(7&lt;=cfg_VAL_M,'مسير يوليو'!W42,0)+IF(8&lt;=cfg_VAL_M,'مسير أغسطس'!W42,0)+IF(9&lt;=cfg_VAL_M,'مسير سبتمبر'!W42,0)+IF(10&lt;=cfg_VAL_M,'مسير أكتوبر'!W42,0)+IF(11&lt;=cfg_VAL_M,'مسير نوفمبر'!W42,0)+IF(12&lt;=cfg_VAL_M,'مسير ديسمبر'!W42,0))</f>
        <v/>
      </c>
      <c r="AH42" s="86" t="str">
        <f aca="false">IF($B42="","",AF42/cfg_VAL_M)</f>
        <v/>
      </c>
    </row>
    <row r="43" customFormat="false" ht="15" hidden="false" customHeight="false" outlineLevel="0" collapsed="false">
      <c r="B43" s="91" t="str">
        <f aca="false">IF(الموظفون!$B43="","",الموظفون!$B43)</f>
        <v/>
      </c>
      <c r="C43" s="91" t="str">
        <f aca="false">IF(الموظفون!$B43="","",الموظفون!$C43)</f>
        <v/>
      </c>
      <c r="D43" s="91" t="str">
        <f aca="false">IF(الموظفون!$B43="","",الموظفون!$F43)</f>
        <v/>
      </c>
      <c r="E43" s="91" t="str">
        <f aca="false">IF(الموظفون!$B43="","",الموظفون!$E43)</f>
        <v/>
      </c>
      <c r="F43" s="90" t="str">
        <f aca="false">IF($B43="","",'مسير يناير'!R43)</f>
        <v/>
      </c>
      <c r="G43" s="90" t="str">
        <f aca="false">IF($B43="","",'مسير فبراير'!R43)</f>
        <v/>
      </c>
      <c r="H43" s="90" t="str">
        <f aca="false">IF($B43="","",'مسير مارس'!R43)</f>
        <v/>
      </c>
      <c r="I43" s="90" t="str">
        <f aca="false">IF($B43="","",'مسير أبريل'!R43)</f>
        <v/>
      </c>
      <c r="J43" s="90" t="str">
        <f aca="false">IF($B43="","",'مسير مايو'!R43)</f>
        <v/>
      </c>
      <c r="K43" s="90" t="str">
        <f aca="false">IF($B43="","",'مسير يونيو'!R43)</f>
        <v/>
      </c>
      <c r="L43" s="90" t="str">
        <f aca="false">IF($B43="","",'مسير يوليو'!R43)</f>
        <v/>
      </c>
      <c r="M43" s="90" t="str">
        <f aca="false">IF($B43="","",'مسير أغسطس'!R43)</f>
        <v/>
      </c>
      <c r="N43" s="90" t="str">
        <f aca="false">IF($B43="","",'مسير سبتمبر'!R43)</f>
        <v/>
      </c>
      <c r="O43" s="90" t="str">
        <f aca="false">IF($B43="","",'مسير أكتوبر'!R43)</f>
        <v/>
      </c>
      <c r="P43" s="90" t="str">
        <f aca="false">IF($B43="","",'مسير نوفمبر'!R43)</f>
        <v/>
      </c>
      <c r="Q43" s="90" t="str">
        <f aca="false">IF($B43="","",'مسير ديسمبر'!R43)</f>
        <v/>
      </c>
      <c r="R43" s="124" t="str">
        <f aca="false">IF($B43="","",IF(1&lt;=cfg_VAL_M,'مسير يناير'!R43,0)+IF(2&lt;=cfg_VAL_M,'مسير فبراير'!R43,0)+IF(3&lt;=cfg_VAL_M,'مسير مارس'!R43,0)+IF(4&lt;=cfg_VAL_M,'مسير أبريل'!R43,0)+IF(5&lt;=cfg_VAL_M,'مسير مايو'!R43,0)+IF(6&lt;=cfg_VAL_M,'مسير يونيو'!R43,0)+IF(7&lt;=cfg_VAL_M,'مسير يوليو'!R43,0)+IF(8&lt;=cfg_VAL_M,'مسير أغسطس'!R43,0)+IF(9&lt;=cfg_VAL_M,'مسير سبتمبر'!R43,0)+IF(10&lt;=cfg_VAL_M,'مسير أكتوبر'!R43,0)+IF(11&lt;=cfg_VAL_M,'مسير نوفمبر'!R43,0)+IF(12&lt;=cfg_VAL_M,'مسير ديسمبر'!R43,0))</f>
        <v/>
      </c>
      <c r="T43" s="90" t="str">
        <f aca="false">IF($B43="","",'مسير يناير'!AB43)</f>
        <v/>
      </c>
      <c r="U43" s="90" t="str">
        <f aca="false">IF($B43="","",'مسير فبراير'!AB43)</f>
        <v/>
      </c>
      <c r="V43" s="90" t="str">
        <f aca="false">IF($B43="","",'مسير مارس'!AB43)</f>
        <v/>
      </c>
      <c r="W43" s="90" t="str">
        <f aca="false">IF($B43="","",'مسير أبريل'!AB43)</f>
        <v/>
      </c>
      <c r="X43" s="90" t="str">
        <f aca="false">IF($B43="","",'مسير مايو'!AB43)</f>
        <v/>
      </c>
      <c r="Y43" s="90" t="str">
        <f aca="false">IF($B43="","",'مسير يونيو'!AB43)</f>
        <v/>
      </c>
      <c r="Z43" s="90" t="str">
        <f aca="false">IF($B43="","",'مسير يوليو'!AB43)</f>
        <v/>
      </c>
      <c r="AA43" s="90" t="str">
        <f aca="false">IF($B43="","",'مسير أغسطس'!AB43)</f>
        <v/>
      </c>
      <c r="AB43" s="90" t="str">
        <f aca="false">IF($B43="","",'مسير سبتمبر'!AB43)</f>
        <v/>
      </c>
      <c r="AC43" s="90" t="str">
        <f aca="false">IF($B43="","",'مسير أكتوبر'!AB43)</f>
        <v/>
      </c>
      <c r="AD43" s="90" t="str">
        <f aca="false">IF($B43="","",'مسير نوفمبر'!AB43)</f>
        <v/>
      </c>
      <c r="AE43" s="90" t="str">
        <f aca="false">IF($B43="","",'مسير ديسمبر'!AB43)</f>
        <v/>
      </c>
      <c r="AF43" s="124" t="str">
        <f aca="false">IF($B43="","",IF(1&lt;=cfg_VAL_M,'مسير يناير'!AB43,0)+IF(2&lt;=cfg_VAL_M,'مسير فبراير'!AB43,0)+IF(3&lt;=cfg_VAL_M,'مسير مارس'!AB43,0)+IF(4&lt;=cfg_VAL_M,'مسير أبريل'!AB43,0)+IF(5&lt;=cfg_VAL_M,'مسير مايو'!AB43,0)+IF(6&lt;=cfg_VAL_M,'مسير يونيو'!AB43,0)+IF(7&lt;=cfg_VAL_M,'مسير يوليو'!AB43,0)+IF(8&lt;=cfg_VAL_M,'مسير أغسطس'!AB43,0)+IF(9&lt;=cfg_VAL_M,'مسير سبتمبر'!AB43,0)+IF(10&lt;=cfg_VAL_M,'مسير أكتوبر'!AB43,0)+IF(11&lt;=cfg_VAL_M,'مسير نوفمبر'!AB43,0)+IF(12&lt;=cfg_VAL_M,'مسير ديسمبر'!AB43,0))</f>
        <v/>
      </c>
      <c r="AG43" s="124" t="str">
        <f aca="false">IF($B43="","",IF(1&lt;=cfg_VAL_M,'مسير يناير'!W43,0)+IF(2&lt;=cfg_VAL_M,'مسير فبراير'!W43,0)+IF(3&lt;=cfg_VAL_M,'مسير مارس'!W43,0)+IF(4&lt;=cfg_VAL_M,'مسير أبريل'!W43,0)+IF(5&lt;=cfg_VAL_M,'مسير مايو'!W43,0)+IF(6&lt;=cfg_VAL_M,'مسير يونيو'!W43,0)+IF(7&lt;=cfg_VAL_M,'مسير يوليو'!W43,0)+IF(8&lt;=cfg_VAL_M,'مسير أغسطس'!W43,0)+IF(9&lt;=cfg_VAL_M,'مسير سبتمبر'!W43,0)+IF(10&lt;=cfg_VAL_M,'مسير أكتوبر'!W43,0)+IF(11&lt;=cfg_VAL_M,'مسير نوفمبر'!W43,0)+IF(12&lt;=cfg_VAL_M,'مسير ديسمبر'!W43,0))</f>
        <v/>
      </c>
      <c r="AH43" s="90" t="str">
        <f aca="false">IF($B43="","",AF43/cfg_VAL_M)</f>
        <v/>
      </c>
    </row>
    <row r="44" customFormat="false" ht="15" hidden="false" customHeight="false" outlineLevel="0" collapsed="false">
      <c r="B44" s="74" t="str">
        <f aca="false">IF(الموظفون!$B44="","",الموظفون!$B44)</f>
        <v/>
      </c>
      <c r="C44" s="74" t="str">
        <f aca="false">IF(الموظفون!$B44="","",الموظفون!$C44)</f>
        <v/>
      </c>
      <c r="D44" s="74" t="str">
        <f aca="false">IF(الموظفون!$B44="","",الموظفون!$F44)</f>
        <v/>
      </c>
      <c r="E44" s="74" t="str">
        <f aca="false">IF(الموظفون!$B44="","",الموظفون!$E44)</f>
        <v/>
      </c>
      <c r="F44" s="86" t="str">
        <f aca="false">IF($B44="","",'مسير يناير'!R44)</f>
        <v/>
      </c>
      <c r="G44" s="86" t="str">
        <f aca="false">IF($B44="","",'مسير فبراير'!R44)</f>
        <v/>
      </c>
      <c r="H44" s="86" t="str">
        <f aca="false">IF($B44="","",'مسير مارس'!R44)</f>
        <v/>
      </c>
      <c r="I44" s="86" t="str">
        <f aca="false">IF($B44="","",'مسير أبريل'!R44)</f>
        <v/>
      </c>
      <c r="J44" s="86" t="str">
        <f aca="false">IF($B44="","",'مسير مايو'!R44)</f>
        <v/>
      </c>
      <c r="K44" s="86" t="str">
        <f aca="false">IF($B44="","",'مسير يونيو'!R44)</f>
        <v/>
      </c>
      <c r="L44" s="86" t="str">
        <f aca="false">IF($B44="","",'مسير يوليو'!R44)</f>
        <v/>
      </c>
      <c r="M44" s="86" t="str">
        <f aca="false">IF($B44="","",'مسير أغسطس'!R44)</f>
        <v/>
      </c>
      <c r="N44" s="86" t="str">
        <f aca="false">IF($B44="","",'مسير سبتمبر'!R44)</f>
        <v/>
      </c>
      <c r="O44" s="86" t="str">
        <f aca="false">IF($B44="","",'مسير أكتوبر'!R44)</f>
        <v/>
      </c>
      <c r="P44" s="86" t="str">
        <f aca="false">IF($B44="","",'مسير نوفمبر'!R44)</f>
        <v/>
      </c>
      <c r="Q44" s="86" t="str">
        <f aca="false">IF($B44="","",'مسير ديسمبر'!R44)</f>
        <v/>
      </c>
      <c r="R44" s="123" t="str">
        <f aca="false">IF($B44="","",IF(1&lt;=cfg_VAL_M,'مسير يناير'!R44,0)+IF(2&lt;=cfg_VAL_M,'مسير فبراير'!R44,0)+IF(3&lt;=cfg_VAL_M,'مسير مارس'!R44,0)+IF(4&lt;=cfg_VAL_M,'مسير أبريل'!R44,0)+IF(5&lt;=cfg_VAL_M,'مسير مايو'!R44,0)+IF(6&lt;=cfg_VAL_M,'مسير يونيو'!R44,0)+IF(7&lt;=cfg_VAL_M,'مسير يوليو'!R44,0)+IF(8&lt;=cfg_VAL_M,'مسير أغسطس'!R44,0)+IF(9&lt;=cfg_VAL_M,'مسير سبتمبر'!R44,0)+IF(10&lt;=cfg_VAL_M,'مسير أكتوبر'!R44,0)+IF(11&lt;=cfg_VAL_M,'مسير نوفمبر'!R44,0)+IF(12&lt;=cfg_VAL_M,'مسير ديسمبر'!R44,0))</f>
        <v/>
      </c>
      <c r="T44" s="86" t="str">
        <f aca="false">IF($B44="","",'مسير يناير'!AB44)</f>
        <v/>
      </c>
      <c r="U44" s="86" t="str">
        <f aca="false">IF($B44="","",'مسير فبراير'!AB44)</f>
        <v/>
      </c>
      <c r="V44" s="86" t="str">
        <f aca="false">IF($B44="","",'مسير مارس'!AB44)</f>
        <v/>
      </c>
      <c r="W44" s="86" t="str">
        <f aca="false">IF($B44="","",'مسير أبريل'!AB44)</f>
        <v/>
      </c>
      <c r="X44" s="86" t="str">
        <f aca="false">IF($B44="","",'مسير مايو'!AB44)</f>
        <v/>
      </c>
      <c r="Y44" s="86" t="str">
        <f aca="false">IF($B44="","",'مسير يونيو'!AB44)</f>
        <v/>
      </c>
      <c r="Z44" s="86" t="str">
        <f aca="false">IF($B44="","",'مسير يوليو'!AB44)</f>
        <v/>
      </c>
      <c r="AA44" s="86" t="str">
        <f aca="false">IF($B44="","",'مسير أغسطس'!AB44)</f>
        <v/>
      </c>
      <c r="AB44" s="86" t="str">
        <f aca="false">IF($B44="","",'مسير سبتمبر'!AB44)</f>
        <v/>
      </c>
      <c r="AC44" s="86" t="str">
        <f aca="false">IF($B44="","",'مسير أكتوبر'!AB44)</f>
        <v/>
      </c>
      <c r="AD44" s="86" t="str">
        <f aca="false">IF($B44="","",'مسير نوفمبر'!AB44)</f>
        <v/>
      </c>
      <c r="AE44" s="86" t="str">
        <f aca="false">IF($B44="","",'مسير ديسمبر'!AB44)</f>
        <v/>
      </c>
      <c r="AF44" s="123" t="str">
        <f aca="false">IF($B44="","",IF(1&lt;=cfg_VAL_M,'مسير يناير'!AB44,0)+IF(2&lt;=cfg_VAL_M,'مسير فبراير'!AB44,0)+IF(3&lt;=cfg_VAL_M,'مسير مارس'!AB44,0)+IF(4&lt;=cfg_VAL_M,'مسير أبريل'!AB44,0)+IF(5&lt;=cfg_VAL_M,'مسير مايو'!AB44,0)+IF(6&lt;=cfg_VAL_M,'مسير يونيو'!AB44,0)+IF(7&lt;=cfg_VAL_M,'مسير يوليو'!AB44,0)+IF(8&lt;=cfg_VAL_M,'مسير أغسطس'!AB44,0)+IF(9&lt;=cfg_VAL_M,'مسير سبتمبر'!AB44,0)+IF(10&lt;=cfg_VAL_M,'مسير أكتوبر'!AB44,0)+IF(11&lt;=cfg_VAL_M,'مسير نوفمبر'!AB44,0)+IF(12&lt;=cfg_VAL_M,'مسير ديسمبر'!AB44,0))</f>
        <v/>
      </c>
      <c r="AG44" s="123" t="str">
        <f aca="false">IF($B44="","",IF(1&lt;=cfg_VAL_M,'مسير يناير'!W44,0)+IF(2&lt;=cfg_VAL_M,'مسير فبراير'!W44,0)+IF(3&lt;=cfg_VAL_M,'مسير مارس'!W44,0)+IF(4&lt;=cfg_VAL_M,'مسير أبريل'!W44,0)+IF(5&lt;=cfg_VAL_M,'مسير مايو'!W44,0)+IF(6&lt;=cfg_VAL_M,'مسير يونيو'!W44,0)+IF(7&lt;=cfg_VAL_M,'مسير يوليو'!W44,0)+IF(8&lt;=cfg_VAL_M,'مسير أغسطس'!W44,0)+IF(9&lt;=cfg_VAL_M,'مسير سبتمبر'!W44,0)+IF(10&lt;=cfg_VAL_M,'مسير أكتوبر'!W44,0)+IF(11&lt;=cfg_VAL_M,'مسير نوفمبر'!W44,0)+IF(12&lt;=cfg_VAL_M,'مسير ديسمبر'!W44,0))</f>
        <v/>
      </c>
      <c r="AH44" s="86" t="str">
        <f aca="false">IF($B44="","",AF44/cfg_VAL_M)</f>
        <v/>
      </c>
    </row>
    <row r="45" customFormat="false" ht="15" hidden="false" customHeight="false" outlineLevel="0" collapsed="false">
      <c r="B45" s="91" t="str">
        <f aca="false">IF(الموظفون!$B45="","",الموظفون!$B45)</f>
        <v/>
      </c>
      <c r="C45" s="91" t="str">
        <f aca="false">IF(الموظفون!$B45="","",الموظفون!$C45)</f>
        <v/>
      </c>
      <c r="D45" s="91" t="str">
        <f aca="false">IF(الموظفون!$B45="","",الموظفون!$F45)</f>
        <v/>
      </c>
      <c r="E45" s="91" t="str">
        <f aca="false">IF(الموظفون!$B45="","",الموظفون!$E45)</f>
        <v/>
      </c>
      <c r="F45" s="90" t="str">
        <f aca="false">IF($B45="","",'مسير يناير'!R45)</f>
        <v/>
      </c>
      <c r="G45" s="90" t="str">
        <f aca="false">IF($B45="","",'مسير فبراير'!R45)</f>
        <v/>
      </c>
      <c r="H45" s="90" t="str">
        <f aca="false">IF($B45="","",'مسير مارس'!R45)</f>
        <v/>
      </c>
      <c r="I45" s="90" t="str">
        <f aca="false">IF($B45="","",'مسير أبريل'!R45)</f>
        <v/>
      </c>
      <c r="J45" s="90" t="str">
        <f aca="false">IF($B45="","",'مسير مايو'!R45)</f>
        <v/>
      </c>
      <c r="K45" s="90" t="str">
        <f aca="false">IF($B45="","",'مسير يونيو'!R45)</f>
        <v/>
      </c>
      <c r="L45" s="90" t="str">
        <f aca="false">IF($B45="","",'مسير يوليو'!R45)</f>
        <v/>
      </c>
      <c r="M45" s="90" t="str">
        <f aca="false">IF($B45="","",'مسير أغسطس'!R45)</f>
        <v/>
      </c>
      <c r="N45" s="90" t="str">
        <f aca="false">IF($B45="","",'مسير سبتمبر'!R45)</f>
        <v/>
      </c>
      <c r="O45" s="90" t="str">
        <f aca="false">IF($B45="","",'مسير أكتوبر'!R45)</f>
        <v/>
      </c>
      <c r="P45" s="90" t="str">
        <f aca="false">IF($B45="","",'مسير نوفمبر'!R45)</f>
        <v/>
      </c>
      <c r="Q45" s="90" t="str">
        <f aca="false">IF($B45="","",'مسير ديسمبر'!R45)</f>
        <v/>
      </c>
      <c r="R45" s="124" t="str">
        <f aca="false">IF($B45="","",IF(1&lt;=cfg_VAL_M,'مسير يناير'!R45,0)+IF(2&lt;=cfg_VAL_M,'مسير فبراير'!R45,0)+IF(3&lt;=cfg_VAL_M,'مسير مارس'!R45,0)+IF(4&lt;=cfg_VAL_M,'مسير أبريل'!R45,0)+IF(5&lt;=cfg_VAL_M,'مسير مايو'!R45,0)+IF(6&lt;=cfg_VAL_M,'مسير يونيو'!R45,0)+IF(7&lt;=cfg_VAL_M,'مسير يوليو'!R45,0)+IF(8&lt;=cfg_VAL_M,'مسير أغسطس'!R45,0)+IF(9&lt;=cfg_VAL_M,'مسير سبتمبر'!R45,0)+IF(10&lt;=cfg_VAL_M,'مسير أكتوبر'!R45,0)+IF(11&lt;=cfg_VAL_M,'مسير نوفمبر'!R45,0)+IF(12&lt;=cfg_VAL_M,'مسير ديسمبر'!R45,0))</f>
        <v/>
      </c>
      <c r="T45" s="90" t="str">
        <f aca="false">IF($B45="","",'مسير يناير'!AB45)</f>
        <v/>
      </c>
      <c r="U45" s="90" t="str">
        <f aca="false">IF($B45="","",'مسير فبراير'!AB45)</f>
        <v/>
      </c>
      <c r="V45" s="90" t="str">
        <f aca="false">IF($B45="","",'مسير مارس'!AB45)</f>
        <v/>
      </c>
      <c r="W45" s="90" t="str">
        <f aca="false">IF($B45="","",'مسير أبريل'!AB45)</f>
        <v/>
      </c>
      <c r="X45" s="90" t="str">
        <f aca="false">IF($B45="","",'مسير مايو'!AB45)</f>
        <v/>
      </c>
      <c r="Y45" s="90" t="str">
        <f aca="false">IF($B45="","",'مسير يونيو'!AB45)</f>
        <v/>
      </c>
      <c r="Z45" s="90" t="str">
        <f aca="false">IF($B45="","",'مسير يوليو'!AB45)</f>
        <v/>
      </c>
      <c r="AA45" s="90" t="str">
        <f aca="false">IF($B45="","",'مسير أغسطس'!AB45)</f>
        <v/>
      </c>
      <c r="AB45" s="90" t="str">
        <f aca="false">IF($B45="","",'مسير سبتمبر'!AB45)</f>
        <v/>
      </c>
      <c r="AC45" s="90" t="str">
        <f aca="false">IF($B45="","",'مسير أكتوبر'!AB45)</f>
        <v/>
      </c>
      <c r="AD45" s="90" t="str">
        <f aca="false">IF($B45="","",'مسير نوفمبر'!AB45)</f>
        <v/>
      </c>
      <c r="AE45" s="90" t="str">
        <f aca="false">IF($B45="","",'مسير ديسمبر'!AB45)</f>
        <v/>
      </c>
      <c r="AF45" s="124" t="str">
        <f aca="false">IF($B45="","",IF(1&lt;=cfg_VAL_M,'مسير يناير'!AB45,0)+IF(2&lt;=cfg_VAL_M,'مسير فبراير'!AB45,0)+IF(3&lt;=cfg_VAL_M,'مسير مارس'!AB45,0)+IF(4&lt;=cfg_VAL_M,'مسير أبريل'!AB45,0)+IF(5&lt;=cfg_VAL_M,'مسير مايو'!AB45,0)+IF(6&lt;=cfg_VAL_M,'مسير يونيو'!AB45,0)+IF(7&lt;=cfg_VAL_M,'مسير يوليو'!AB45,0)+IF(8&lt;=cfg_VAL_M,'مسير أغسطس'!AB45,0)+IF(9&lt;=cfg_VAL_M,'مسير سبتمبر'!AB45,0)+IF(10&lt;=cfg_VAL_M,'مسير أكتوبر'!AB45,0)+IF(11&lt;=cfg_VAL_M,'مسير نوفمبر'!AB45,0)+IF(12&lt;=cfg_VAL_M,'مسير ديسمبر'!AB45,0))</f>
        <v/>
      </c>
      <c r="AG45" s="124" t="str">
        <f aca="false">IF($B45="","",IF(1&lt;=cfg_VAL_M,'مسير يناير'!W45,0)+IF(2&lt;=cfg_VAL_M,'مسير فبراير'!W45,0)+IF(3&lt;=cfg_VAL_M,'مسير مارس'!W45,0)+IF(4&lt;=cfg_VAL_M,'مسير أبريل'!W45,0)+IF(5&lt;=cfg_VAL_M,'مسير مايو'!W45,0)+IF(6&lt;=cfg_VAL_M,'مسير يونيو'!W45,0)+IF(7&lt;=cfg_VAL_M,'مسير يوليو'!W45,0)+IF(8&lt;=cfg_VAL_M,'مسير أغسطس'!W45,0)+IF(9&lt;=cfg_VAL_M,'مسير سبتمبر'!W45,0)+IF(10&lt;=cfg_VAL_M,'مسير أكتوبر'!W45,0)+IF(11&lt;=cfg_VAL_M,'مسير نوفمبر'!W45,0)+IF(12&lt;=cfg_VAL_M,'مسير ديسمبر'!W45,0))</f>
        <v/>
      </c>
      <c r="AH45" s="90" t="str">
        <f aca="false">IF($B45="","",AF45/cfg_VAL_M)</f>
        <v/>
      </c>
    </row>
    <row r="46" customFormat="false" ht="15" hidden="false" customHeight="false" outlineLevel="0" collapsed="false">
      <c r="B46" s="74" t="str">
        <f aca="false">IF(الموظفون!$B46="","",الموظفون!$B46)</f>
        <v/>
      </c>
      <c r="C46" s="74" t="str">
        <f aca="false">IF(الموظفون!$B46="","",الموظفون!$C46)</f>
        <v/>
      </c>
      <c r="D46" s="74" t="str">
        <f aca="false">IF(الموظفون!$B46="","",الموظفون!$F46)</f>
        <v/>
      </c>
      <c r="E46" s="74" t="str">
        <f aca="false">IF(الموظفون!$B46="","",الموظفون!$E46)</f>
        <v/>
      </c>
      <c r="F46" s="86" t="str">
        <f aca="false">IF($B46="","",'مسير يناير'!R46)</f>
        <v/>
      </c>
      <c r="G46" s="86" t="str">
        <f aca="false">IF($B46="","",'مسير فبراير'!R46)</f>
        <v/>
      </c>
      <c r="H46" s="86" t="str">
        <f aca="false">IF($B46="","",'مسير مارس'!R46)</f>
        <v/>
      </c>
      <c r="I46" s="86" t="str">
        <f aca="false">IF($B46="","",'مسير أبريل'!R46)</f>
        <v/>
      </c>
      <c r="J46" s="86" t="str">
        <f aca="false">IF($B46="","",'مسير مايو'!R46)</f>
        <v/>
      </c>
      <c r="K46" s="86" t="str">
        <f aca="false">IF($B46="","",'مسير يونيو'!R46)</f>
        <v/>
      </c>
      <c r="L46" s="86" t="str">
        <f aca="false">IF($B46="","",'مسير يوليو'!R46)</f>
        <v/>
      </c>
      <c r="M46" s="86" t="str">
        <f aca="false">IF($B46="","",'مسير أغسطس'!R46)</f>
        <v/>
      </c>
      <c r="N46" s="86" t="str">
        <f aca="false">IF($B46="","",'مسير سبتمبر'!R46)</f>
        <v/>
      </c>
      <c r="O46" s="86" t="str">
        <f aca="false">IF($B46="","",'مسير أكتوبر'!R46)</f>
        <v/>
      </c>
      <c r="P46" s="86" t="str">
        <f aca="false">IF($B46="","",'مسير نوفمبر'!R46)</f>
        <v/>
      </c>
      <c r="Q46" s="86" t="str">
        <f aca="false">IF($B46="","",'مسير ديسمبر'!R46)</f>
        <v/>
      </c>
      <c r="R46" s="123" t="str">
        <f aca="false">IF($B46="","",IF(1&lt;=cfg_VAL_M,'مسير يناير'!R46,0)+IF(2&lt;=cfg_VAL_M,'مسير فبراير'!R46,0)+IF(3&lt;=cfg_VAL_M,'مسير مارس'!R46,0)+IF(4&lt;=cfg_VAL_M,'مسير أبريل'!R46,0)+IF(5&lt;=cfg_VAL_M,'مسير مايو'!R46,0)+IF(6&lt;=cfg_VAL_M,'مسير يونيو'!R46,0)+IF(7&lt;=cfg_VAL_M,'مسير يوليو'!R46,0)+IF(8&lt;=cfg_VAL_M,'مسير أغسطس'!R46,0)+IF(9&lt;=cfg_VAL_M,'مسير سبتمبر'!R46,0)+IF(10&lt;=cfg_VAL_M,'مسير أكتوبر'!R46,0)+IF(11&lt;=cfg_VAL_M,'مسير نوفمبر'!R46,0)+IF(12&lt;=cfg_VAL_M,'مسير ديسمبر'!R46,0))</f>
        <v/>
      </c>
      <c r="T46" s="86" t="str">
        <f aca="false">IF($B46="","",'مسير يناير'!AB46)</f>
        <v/>
      </c>
      <c r="U46" s="86" t="str">
        <f aca="false">IF($B46="","",'مسير فبراير'!AB46)</f>
        <v/>
      </c>
      <c r="V46" s="86" t="str">
        <f aca="false">IF($B46="","",'مسير مارس'!AB46)</f>
        <v/>
      </c>
      <c r="W46" s="86" t="str">
        <f aca="false">IF($B46="","",'مسير أبريل'!AB46)</f>
        <v/>
      </c>
      <c r="X46" s="86" t="str">
        <f aca="false">IF($B46="","",'مسير مايو'!AB46)</f>
        <v/>
      </c>
      <c r="Y46" s="86" t="str">
        <f aca="false">IF($B46="","",'مسير يونيو'!AB46)</f>
        <v/>
      </c>
      <c r="Z46" s="86" t="str">
        <f aca="false">IF($B46="","",'مسير يوليو'!AB46)</f>
        <v/>
      </c>
      <c r="AA46" s="86" t="str">
        <f aca="false">IF($B46="","",'مسير أغسطس'!AB46)</f>
        <v/>
      </c>
      <c r="AB46" s="86" t="str">
        <f aca="false">IF($B46="","",'مسير سبتمبر'!AB46)</f>
        <v/>
      </c>
      <c r="AC46" s="86" t="str">
        <f aca="false">IF($B46="","",'مسير أكتوبر'!AB46)</f>
        <v/>
      </c>
      <c r="AD46" s="86" t="str">
        <f aca="false">IF($B46="","",'مسير نوفمبر'!AB46)</f>
        <v/>
      </c>
      <c r="AE46" s="86" t="str">
        <f aca="false">IF($B46="","",'مسير ديسمبر'!AB46)</f>
        <v/>
      </c>
      <c r="AF46" s="123" t="str">
        <f aca="false">IF($B46="","",IF(1&lt;=cfg_VAL_M,'مسير يناير'!AB46,0)+IF(2&lt;=cfg_VAL_M,'مسير فبراير'!AB46,0)+IF(3&lt;=cfg_VAL_M,'مسير مارس'!AB46,0)+IF(4&lt;=cfg_VAL_M,'مسير أبريل'!AB46,0)+IF(5&lt;=cfg_VAL_M,'مسير مايو'!AB46,0)+IF(6&lt;=cfg_VAL_M,'مسير يونيو'!AB46,0)+IF(7&lt;=cfg_VAL_M,'مسير يوليو'!AB46,0)+IF(8&lt;=cfg_VAL_M,'مسير أغسطس'!AB46,0)+IF(9&lt;=cfg_VAL_M,'مسير سبتمبر'!AB46,0)+IF(10&lt;=cfg_VAL_M,'مسير أكتوبر'!AB46,0)+IF(11&lt;=cfg_VAL_M,'مسير نوفمبر'!AB46,0)+IF(12&lt;=cfg_VAL_M,'مسير ديسمبر'!AB46,0))</f>
        <v/>
      </c>
      <c r="AG46" s="123" t="str">
        <f aca="false">IF($B46="","",IF(1&lt;=cfg_VAL_M,'مسير يناير'!W46,0)+IF(2&lt;=cfg_VAL_M,'مسير فبراير'!W46,0)+IF(3&lt;=cfg_VAL_M,'مسير مارس'!W46,0)+IF(4&lt;=cfg_VAL_M,'مسير أبريل'!W46,0)+IF(5&lt;=cfg_VAL_M,'مسير مايو'!W46,0)+IF(6&lt;=cfg_VAL_M,'مسير يونيو'!W46,0)+IF(7&lt;=cfg_VAL_M,'مسير يوليو'!W46,0)+IF(8&lt;=cfg_VAL_M,'مسير أغسطس'!W46,0)+IF(9&lt;=cfg_VAL_M,'مسير سبتمبر'!W46,0)+IF(10&lt;=cfg_VAL_M,'مسير أكتوبر'!W46,0)+IF(11&lt;=cfg_VAL_M,'مسير نوفمبر'!W46,0)+IF(12&lt;=cfg_VAL_M,'مسير ديسمبر'!W46,0))</f>
        <v/>
      </c>
      <c r="AH46" s="86" t="str">
        <f aca="false">IF($B46="","",AF46/cfg_VAL_M)</f>
        <v/>
      </c>
    </row>
    <row r="47" customFormat="false" ht="15" hidden="false" customHeight="false" outlineLevel="0" collapsed="false">
      <c r="B47" s="91" t="str">
        <f aca="false">IF(الموظفون!$B47="","",الموظفون!$B47)</f>
        <v/>
      </c>
      <c r="C47" s="91" t="str">
        <f aca="false">IF(الموظفون!$B47="","",الموظفون!$C47)</f>
        <v/>
      </c>
      <c r="D47" s="91" t="str">
        <f aca="false">IF(الموظفون!$B47="","",الموظفون!$F47)</f>
        <v/>
      </c>
      <c r="E47" s="91" t="str">
        <f aca="false">IF(الموظفون!$B47="","",الموظفون!$E47)</f>
        <v/>
      </c>
      <c r="F47" s="90" t="str">
        <f aca="false">IF($B47="","",'مسير يناير'!R47)</f>
        <v/>
      </c>
      <c r="G47" s="90" t="str">
        <f aca="false">IF($B47="","",'مسير فبراير'!R47)</f>
        <v/>
      </c>
      <c r="H47" s="90" t="str">
        <f aca="false">IF($B47="","",'مسير مارس'!R47)</f>
        <v/>
      </c>
      <c r="I47" s="90" t="str">
        <f aca="false">IF($B47="","",'مسير أبريل'!R47)</f>
        <v/>
      </c>
      <c r="J47" s="90" t="str">
        <f aca="false">IF($B47="","",'مسير مايو'!R47)</f>
        <v/>
      </c>
      <c r="K47" s="90" t="str">
        <f aca="false">IF($B47="","",'مسير يونيو'!R47)</f>
        <v/>
      </c>
      <c r="L47" s="90" t="str">
        <f aca="false">IF($B47="","",'مسير يوليو'!R47)</f>
        <v/>
      </c>
      <c r="M47" s="90" t="str">
        <f aca="false">IF($B47="","",'مسير أغسطس'!R47)</f>
        <v/>
      </c>
      <c r="N47" s="90" t="str">
        <f aca="false">IF($B47="","",'مسير سبتمبر'!R47)</f>
        <v/>
      </c>
      <c r="O47" s="90" t="str">
        <f aca="false">IF($B47="","",'مسير أكتوبر'!R47)</f>
        <v/>
      </c>
      <c r="P47" s="90" t="str">
        <f aca="false">IF($B47="","",'مسير نوفمبر'!R47)</f>
        <v/>
      </c>
      <c r="Q47" s="90" t="str">
        <f aca="false">IF($B47="","",'مسير ديسمبر'!R47)</f>
        <v/>
      </c>
      <c r="R47" s="124" t="str">
        <f aca="false">IF($B47="","",IF(1&lt;=cfg_VAL_M,'مسير يناير'!R47,0)+IF(2&lt;=cfg_VAL_M,'مسير فبراير'!R47,0)+IF(3&lt;=cfg_VAL_M,'مسير مارس'!R47,0)+IF(4&lt;=cfg_VAL_M,'مسير أبريل'!R47,0)+IF(5&lt;=cfg_VAL_M,'مسير مايو'!R47,0)+IF(6&lt;=cfg_VAL_M,'مسير يونيو'!R47,0)+IF(7&lt;=cfg_VAL_M,'مسير يوليو'!R47,0)+IF(8&lt;=cfg_VAL_M,'مسير أغسطس'!R47,0)+IF(9&lt;=cfg_VAL_M,'مسير سبتمبر'!R47,0)+IF(10&lt;=cfg_VAL_M,'مسير أكتوبر'!R47,0)+IF(11&lt;=cfg_VAL_M,'مسير نوفمبر'!R47,0)+IF(12&lt;=cfg_VAL_M,'مسير ديسمبر'!R47,0))</f>
        <v/>
      </c>
      <c r="T47" s="90" t="str">
        <f aca="false">IF($B47="","",'مسير يناير'!AB47)</f>
        <v/>
      </c>
      <c r="U47" s="90" t="str">
        <f aca="false">IF($B47="","",'مسير فبراير'!AB47)</f>
        <v/>
      </c>
      <c r="V47" s="90" t="str">
        <f aca="false">IF($B47="","",'مسير مارس'!AB47)</f>
        <v/>
      </c>
      <c r="W47" s="90" t="str">
        <f aca="false">IF($B47="","",'مسير أبريل'!AB47)</f>
        <v/>
      </c>
      <c r="X47" s="90" t="str">
        <f aca="false">IF($B47="","",'مسير مايو'!AB47)</f>
        <v/>
      </c>
      <c r="Y47" s="90" t="str">
        <f aca="false">IF($B47="","",'مسير يونيو'!AB47)</f>
        <v/>
      </c>
      <c r="Z47" s="90" t="str">
        <f aca="false">IF($B47="","",'مسير يوليو'!AB47)</f>
        <v/>
      </c>
      <c r="AA47" s="90" t="str">
        <f aca="false">IF($B47="","",'مسير أغسطس'!AB47)</f>
        <v/>
      </c>
      <c r="AB47" s="90" t="str">
        <f aca="false">IF($B47="","",'مسير سبتمبر'!AB47)</f>
        <v/>
      </c>
      <c r="AC47" s="90" t="str">
        <f aca="false">IF($B47="","",'مسير أكتوبر'!AB47)</f>
        <v/>
      </c>
      <c r="AD47" s="90" t="str">
        <f aca="false">IF($B47="","",'مسير نوفمبر'!AB47)</f>
        <v/>
      </c>
      <c r="AE47" s="90" t="str">
        <f aca="false">IF($B47="","",'مسير ديسمبر'!AB47)</f>
        <v/>
      </c>
      <c r="AF47" s="124" t="str">
        <f aca="false">IF($B47="","",IF(1&lt;=cfg_VAL_M,'مسير يناير'!AB47,0)+IF(2&lt;=cfg_VAL_M,'مسير فبراير'!AB47,0)+IF(3&lt;=cfg_VAL_M,'مسير مارس'!AB47,0)+IF(4&lt;=cfg_VAL_M,'مسير أبريل'!AB47,0)+IF(5&lt;=cfg_VAL_M,'مسير مايو'!AB47,0)+IF(6&lt;=cfg_VAL_M,'مسير يونيو'!AB47,0)+IF(7&lt;=cfg_VAL_M,'مسير يوليو'!AB47,0)+IF(8&lt;=cfg_VAL_M,'مسير أغسطس'!AB47,0)+IF(9&lt;=cfg_VAL_M,'مسير سبتمبر'!AB47,0)+IF(10&lt;=cfg_VAL_M,'مسير أكتوبر'!AB47,0)+IF(11&lt;=cfg_VAL_M,'مسير نوفمبر'!AB47,0)+IF(12&lt;=cfg_VAL_M,'مسير ديسمبر'!AB47,0))</f>
        <v/>
      </c>
      <c r="AG47" s="124" t="str">
        <f aca="false">IF($B47="","",IF(1&lt;=cfg_VAL_M,'مسير يناير'!W47,0)+IF(2&lt;=cfg_VAL_M,'مسير فبراير'!W47,0)+IF(3&lt;=cfg_VAL_M,'مسير مارس'!W47,0)+IF(4&lt;=cfg_VAL_M,'مسير أبريل'!W47,0)+IF(5&lt;=cfg_VAL_M,'مسير مايو'!W47,0)+IF(6&lt;=cfg_VAL_M,'مسير يونيو'!W47,0)+IF(7&lt;=cfg_VAL_M,'مسير يوليو'!W47,0)+IF(8&lt;=cfg_VAL_M,'مسير أغسطس'!W47,0)+IF(9&lt;=cfg_VAL_M,'مسير سبتمبر'!W47,0)+IF(10&lt;=cfg_VAL_M,'مسير أكتوبر'!W47,0)+IF(11&lt;=cfg_VAL_M,'مسير نوفمبر'!W47,0)+IF(12&lt;=cfg_VAL_M,'مسير ديسمبر'!W47,0))</f>
        <v/>
      </c>
      <c r="AH47" s="90" t="str">
        <f aca="false">IF($B47="","",AF47/cfg_VAL_M)</f>
        <v/>
      </c>
    </row>
    <row r="48" customFormat="false" ht="15" hidden="false" customHeight="false" outlineLevel="0" collapsed="false">
      <c r="B48" s="74" t="str">
        <f aca="false">IF(الموظفون!$B48="","",الموظفون!$B48)</f>
        <v/>
      </c>
      <c r="C48" s="74" t="str">
        <f aca="false">IF(الموظفون!$B48="","",الموظفون!$C48)</f>
        <v/>
      </c>
      <c r="D48" s="74" t="str">
        <f aca="false">IF(الموظفون!$B48="","",الموظفون!$F48)</f>
        <v/>
      </c>
      <c r="E48" s="74" t="str">
        <f aca="false">IF(الموظفون!$B48="","",الموظفون!$E48)</f>
        <v/>
      </c>
      <c r="F48" s="86" t="str">
        <f aca="false">IF($B48="","",'مسير يناير'!R48)</f>
        <v/>
      </c>
      <c r="G48" s="86" t="str">
        <f aca="false">IF($B48="","",'مسير فبراير'!R48)</f>
        <v/>
      </c>
      <c r="H48" s="86" t="str">
        <f aca="false">IF($B48="","",'مسير مارس'!R48)</f>
        <v/>
      </c>
      <c r="I48" s="86" t="str">
        <f aca="false">IF($B48="","",'مسير أبريل'!R48)</f>
        <v/>
      </c>
      <c r="J48" s="86" t="str">
        <f aca="false">IF($B48="","",'مسير مايو'!R48)</f>
        <v/>
      </c>
      <c r="K48" s="86" t="str">
        <f aca="false">IF($B48="","",'مسير يونيو'!R48)</f>
        <v/>
      </c>
      <c r="L48" s="86" t="str">
        <f aca="false">IF($B48="","",'مسير يوليو'!R48)</f>
        <v/>
      </c>
      <c r="M48" s="86" t="str">
        <f aca="false">IF($B48="","",'مسير أغسطس'!R48)</f>
        <v/>
      </c>
      <c r="N48" s="86" t="str">
        <f aca="false">IF($B48="","",'مسير سبتمبر'!R48)</f>
        <v/>
      </c>
      <c r="O48" s="86" t="str">
        <f aca="false">IF($B48="","",'مسير أكتوبر'!R48)</f>
        <v/>
      </c>
      <c r="P48" s="86" t="str">
        <f aca="false">IF($B48="","",'مسير نوفمبر'!R48)</f>
        <v/>
      </c>
      <c r="Q48" s="86" t="str">
        <f aca="false">IF($B48="","",'مسير ديسمبر'!R48)</f>
        <v/>
      </c>
      <c r="R48" s="123" t="str">
        <f aca="false">IF($B48="","",IF(1&lt;=cfg_VAL_M,'مسير يناير'!R48,0)+IF(2&lt;=cfg_VAL_M,'مسير فبراير'!R48,0)+IF(3&lt;=cfg_VAL_M,'مسير مارس'!R48,0)+IF(4&lt;=cfg_VAL_M,'مسير أبريل'!R48,0)+IF(5&lt;=cfg_VAL_M,'مسير مايو'!R48,0)+IF(6&lt;=cfg_VAL_M,'مسير يونيو'!R48,0)+IF(7&lt;=cfg_VAL_M,'مسير يوليو'!R48,0)+IF(8&lt;=cfg_VAL_M,'مسير أغسطس'!R48,0)+IF(9&lt;=cfg_VAL_M,'مسير سبتمبر'!R48,0)+IF(10&lt;=cfg_VAL_M,'مسير أكتوبر'!R48,0)+IF(11&lt;=cfg_VAL_M,'مسير نوفمبر'!R48,0)+IF(12&lt;=cfg_VAL_M,'مسير ديسمبر'!R48,0))</f>
        <v/>
      </c>
      <c r="T48" s="86" t="str">
        <f aca="false">IF($B48="","",'مسير يناير'!AB48)</f>
        <v/>
      </c>
      <c r="U48" s="86" t="str">
        <f aca="false">IF($B48="","",'مسير فبراير'!AB48)</f>
        <v/>
      </c>
      <c r="V48" s="86" t="str">
        <f aca="false">IF($B48="","",'مسير مارس'!AB48)</f>
        <v/>
      </c>
      <c r="W48" s="86" t="str">
        <f aca="false">IF($B48="","",'مسير أبريل'!AB48)</f>
        <v/>
      </c>
      <c r="X48" s="86" t="str">
        <f aca="false">IF($B48="","",'مسير مايو'!AB48)</f>
        <v/>
      </c>
      <c r="Y48" s="86" t="str">
        <f aca="false">IF($B48="","",'مسير يونيو'!AB48)</f>
        <v/>
      </c>
      <c r="Z48" s="86" t="str">
        <f aca="false">IF($B48="","",'مسير يوليو'!AB48)</f>
        <v/>
      </c>
      <c r="AA48" s="86" t="str">
        <f aca="false">IF($B48="","",'مسير أغسطس'!AB48)</f>
        <v/>
      </c>
      <c r="AB48" s="86" t="str">
        <f aca="false">IF($B48="","",'مسير سبتمبر'!AB48)</f>
        <v/>
      </c>
      <c r="AC48" s="86" t="str">
        <f aca="false">IF($B48="","",'مسير أكتوبر'!AB48)</f>
        <v/>
      </c>
      <c r="AD48" s="86" t="str">
        <f aca="false">IF($B48="","",'مسير نوفمبر'!AB48)</f>
        <v/>
      </c>
      <c r="AE48" s="86" t="str">
        <f aca="false">IF($B48="","",'مسير ديسمبر'!AB48)</f>
        <v/>
      </c>
      <c r="AF48" s="123" t="str">
        <f aca="false">IF($B48="","",IF(1&lt;=cfg_VAL_M,'مسير يناير'!AB48,0)+IF(2&lt;=cfg_VAL_M,'مسير فبراير'!AB48,0)+IF(3&lt;=cfg_VAL_M,'مسير مارس'!AB48,0)+IF(4&lt;=cfg_VAL_M,'مسير أبريل'!AB48,0)+IF(5&lt;=cfg_VAL_M,'مسير مايو'!AB48,0)+IF(6&lt;=cfg_VAL_M,'مسير يونيو'!AB48,0)+IF(7&lt;=cfg_VAL_M,'مسير يوليو'!AB48,0)+IF(8&lt;=cfg_VAL_M,'مسير أغسطس'!AB48,0)+IF(9&lt;=cfg_VAL_M,'مسير سبتمبر'!AB48,0)+IF(10&lt;=cfg_VAL_M,'مسير أكتوبر'!AB48,0)+IF(11&lt;=cfg_VAL_M,'مسير نوفمبر'!AB48,0)+IF(12&lt;=cfg_VAL_M,'مسير ديسمبر'!AB48,0))</f>
        <v/>
      </c>
      <c r="AG48" s="123" t="str">
        <f aca="false">IF($B48="","",IF(1&lt;=cfg_VAL_M,'مسير يناير'!W48,0)+IF(2&lt;=cfg_VAL_M,'مسير فبراير'!W48,0)+IF(3&lt;=cfg_VAL_M,'مسير مارس'!W48,0)+IF(4&lt;=cfg_VAL_M,'مسير أبريل'!W48,0)+IF(5&lt;=cfg_VAL_M,'مسير مايو'!W48,0)+IF(6&lt;=cfg_VAL_M,'مسير يونيو'!W48,0)+IF(7&lt;=cfg_VAL_M,'مسير يوليو'!W48,0)+IF(8&lt;=cfg_VAL_M,'مسير أغسطس'!W48,0)+IF(9&lt;=cfg_VAL_M,'مسير سبتمبر'!W48,0)+IF(10&lt;=cfg_VAL_M,'مسير أكتوبر'!W48,0)+IF(11&lt;=cfg_VAL_M,'مسير نوفمبر'!W48,0)+IF(12&lt;=cfg_VAL_M,'مسير ديسمبر'!W48,0))</f>
        <v/>
      </c>
      <c r="AH48" s="86" t="str">
        <f aca="false">IF($B48="","",AF48/cfg_VAL_M)</f>
        <v/>
      </c>
    </row>
    <row r="49" customFormat="false" ht="15" hidden="false" customHeight="false" outlineLevel="0" collapsed="false">
      <c r="B49" s="91" t="str">
        <f aca="false">IF(الموظفون!$B49="","",الموظفون!$B49)</f>
        <v/>
      </c>
      <c r="C49" s="91" t="str">
        <f aca="false">IF(الموظفون!$B49="","",الموظفون!$C49)</f>
        <v/>
      </c>
      <c r="D49" s="91" t="str">
        <f aca="false">IF(الموظفون!$B49="","",الموظفون!$F49)</f>
        <v/>
      </c>
      <c r="E49" s="91" t="str">
        <f aca="false">IF(الموظفون!$B49="","",الموظفون!$E49)</f>
        <v/>
      </c>
      <c r="F49" s="90" t="str">
        <f aca="false">IF($B49="","",'مسير يناير'!R49)</f>
        <v/>
      </c>
      <c r="G49" s="90" t="str">
        <f aca="false">IF($B49="","",'مسير فبراير'!R49)</f>
        <v/>
      </c>
      <c r="H49" s="90" t="str">
        <f aca="false">IF($B49="","",'مسير مارس'!R49)</f>
        <v/>
      </c>
      <c r="I49" s="90" t="str">
        <f aca="false">IF($B49="","",'مسير أبريل'!R49)</f>
        <v/>
      </c>
      <c r="J49" s="90" t="str">
        <f aca="false">IF($B49="","",'مسير مايو'!R49)</f>
        <v/>
      </c>
      <c r="K49" s="90" t="str">
        <f aca="false">IF($B49="","",'مسير يونيو'!R49)</f>
        <v/>
      </c>
      <c r="L49" s="90" t="str">
        <f aca="false">IF($B49="","",'مسير يوليو'!R49)</f>
        <v/>
      </c>
      <c r="M49" s="90" t="str">
        <f aca="false">IF($B49="","",'مسير أغسطس'!R49)</f>
        <v/>
      </c>
      <c r="N49" s="90" t="str">
        <f aca="false">IF($B49="","",'مسير سبتمبر'!R49)</f>
        <v/>
      </c>
      <c r="O49" s="90" t="str">
        <f aca="false">IF($B49="","",'مسير أكتوبر'!R49)</f>
        <v/>
      </c>
      <c r="P49" s="90" t="str">
        <f aca="false">IF($B49="","",'مسير نوفمبر'!R49)</f>
        <v/>
      </c>
      <c r="Q49" s="90" t="str">
        <f aca="false">IF($B49="","",'مسير ديسمبر'!R49)</f>
        <v/>
      </c>
      <c r="R49" s="124" t="str">
        <f aca="false">IF($B49="","",IF(1&lt;=cfg_VAL_M,'مسير يناير'!R49,0)+IF(2&lt;=cfg_VAL_M,'مسير فبراير'!R49,0)+IF(3&lt;=cfg_VAL_M,'مسير مارس'!R49,0)+IF(4&lt;=cfg_VAL_M,'مسير أبريل'!R49,0)+IF(5&lt;=cfg_VAL_M,'مسير مايو'!R49,0)+IF(6&lt;=cfg_VAL_M,'مسير يونيو'!R49,0)+IF(7&lt;=cfg_VAL_M,'مسير يوليو'!R49,0)+IF(8&lt;=cfg_VAL_M,'مسير أغسطس'!R49,0)+IF(9&lt;=cfg_VAL_M,'مسير سبتمبر'!R49,0)+IF(10&lt;=cfg_VAL_M,'مسير أكتوبر'!R49,0)+IF(11&lt;=cfg_VAL_M,'مسير نوفمبر'!R49,0)+IF(12&lt;=cfg_VAL_M,'مسير ديسمبر'!R49,0))</f>
        <v/>
      </c>
      <c r="T49" s="90" t="str">
        <f aca="false">IF($B49="","",'مسير يناير'!AB49)</f>
        <v/>
      </c>
      <c r="U49" s="90" t="str">
        <f aca="false">IF($B49="","",'مسير فبراير'!AB49)</f>
        <v/>
      </c>
      <c r="V49" s="90" t="str">
        <f aca="false">IF($B49="","",'مسير مارس'!AB49)</f>
        <v/>
      </c>
      <c r="W49" s="90" t="str">
        <f aca="false">IF($B49="","",'مسير أبريل'!AB49)</f>
        <v/>
      </c>
      <c r="X49" s="90" t="str">
        <f aca="false">IF($B49="","",'مسير مايو'!AB49)</f>
        <v/>
      </c>
      <c r="Y49" s="90" t="str">
        <f aca="false">IF($B49="","",'مسير يونيو'!AB49)</f>
        <v/>
      </c>
      <c r="Z49" s="90" t="str">
        <f aca="false">IF($B49="","",'مسير يوليو'!AB49)</f>
        <v/>
      </c>
      <c r="AA49" s="90" t="str">
        <f aca="false">IF($B49="","",'مسير أغسطس'!AB49)</f>
        <v/>
      </c>
      <c r="AB49" s="90" t="str">
        <f aca="false">IF($B49="","",'مسير سبتمبر'!AB49)</f>
        <v/>
      </c>
      <c r="AC49" s="90" t="str">
        <f aca="false">IF($B49="","",'مسير أكتوبر'!AB49)</f>
        <v/>
      </c>
      <c r="AD49" s="90" t="str">
        <f aca="false">IF($B49="","",'مسير نوفمبر'!AB49)</f>
        <v/>
      </c>
      <c r="AE49" s="90" t="str">
        <f aca="false">IF($B49="","",'مسير ديسمبر'!AB49)</f>
        <v/>
      </c>
      <c r="AF49" s="124" t="str">
        <f aca="false">IF($B49="","",IF(1&lt;=cfg_VAL_M,'مسير يناير'!AB49,0)+IF(2&lt;=cfg_VAL_M,'مسير فبراير'!AB49,0)+IF(3&lt;=cfg_VAL_M,'مسير مارس'!AB49,0)+IF(4&lt;=cfg_VAL_M,'مسير أبريل'!AB49,0)+IF(5&lt;=cfg_VAL_M,'مسير مايو'!AB49,0)+IF(6&lt;=cfg_VAL_M,'مسير يونيو'!AB49,0)+IF(7&lt;=cfg_VAL_M,'مسير يوليو'!AB49,0)+IF(8&lt;=cfg_VAL_M,'مسير أغسطس'!AB49,0)+IF(9&lt;=cfg_VAL_M,'مسير سبتمبر'!AB49,0)+IF(10&lt;=cfg_VAL_M,'مسير أكتوبر'!AB49,0)+IF(11&lt;=cfg_VAL_M,'مسير نوفمبر'!AB49,0)+IF(12&lt;=cfg_VAL_M,'مسير ديسمبر'!AB49,0))</f>
        <v/>
      </c>
      <c r="AG49" s="124" t="str">
        <f aca="false">IF($B49="","",IF(1&lt;=cfg_VAL_M,'مسير يناير'!W49,0)+IF(2&lt;=cfg_VAL_M,'مسير فبراير'!W49,0)+IF(3&lt;=cfg_VAL_M,'مسير مارس'!W49,0)+IF(4&lt;=cfg_VAL_M,'مسير أبريل'!W49,0)+IF(5&lt;=cfg_VAL_M,'مسير مايو'!W49,0)+IF(6&lt;=cfg_VAL_M,'مسير يونيو'!W49,0)+IF(7&lt;=cfg_VAL_M,'مسير يوليو'!W49,0)+IF(8&lt;=cfg_VAL_M,'مسير أغسطس'!W49,0)+IF(9&lt;=cfg_VAL_M,'مسير سبتمبر'!W49,0)+IF(10&lt;=cfg_VAL_M,'مسير أكتوبر'!W49,0)+IF(11&lt;=cfg_VAL_M,'مسير نوفمبر'!W49,0)+IF(12&lt;=cfg_VAL_M,'مسير ديسمبر'!W49,0))</f>
        <v/>
      </c>
      <c r="AH49" s="90" t="str">
        <f aca="false">IF($B49="","",AF49/cfg_VAL_M)</f>
        <v/>
      </c>
    </row>
    <row r="50" customFormat="false" ht="15" hidden="false" customHeight="false" outlineLevel="0" collapsed="false">
      <c r="B50" s="74" t="str">
        <f aca="false">IF(الموظفون!$B50="","",الموظفون!$B50)</f>
        <v/>
      </c>
      <c r="C50" s="74" t="str">
        <f aca="false">IF(الموظفون!$B50="","",الموظفون!$C50)</f>
        <v/>
      </c>
      <c r="D50" s="74" t="str">
        <f aca="false">IF(الموظفون!$B50="","",الموظفون!$F50)</f>
        <v/>
      </c>
      <c r="E50" s="74" t="str">
        <f aca="false">IF(الموظفون!$B50="","",الموظفون!$E50)</f>
        <v/>
      </c>
      <c r="F50" s="86" t="str">
        <f aca="false">IF($B50="","",'مسير يناير'!R50)</f>
        <v/>
      </c>
      <c r="G50" s="86" t="str">
        <f aca="false">IF($B50="","",'مسير فبراير'!R50)</f>
        <v/>
      </c>
      <c r="H50" s="86" t="str">
        <f aca="false">IF($B50="","",'مسير مارس'!R50)</f>
        <v/>
      </c>
      <c r="I50" s="86" t="str">
        <f aca="false">IF($B50="","",'مسير أبريل'!R50)</f>
        <v/>
      </c>
      <c r="J50" s="86" t="str">
        <f aca="false">IF($B50="","",'مسير مايو'!R50)</f>
        <v/>
      </c>
      <c r="K50" s="86" t="str">
        <f aca="false">IF($B50="","",'مسير يونيو'!R50)</f>
        <v/>
      </c>
      <c r="L50" s="86" t="str">
        <f aca="false">IF($B50="","",'مسير يوليو'!R50)</f>
        <v/>
      </c>
      <c r="M50" s="86" t="str">
        <f aca="false">IF($B50="","",'مسير أغسطس'!R50)</f>
        <v/>
      </c>
      <c r="N50" s="86" t="str">
        <f aca="false">IF($B50="","",'مسير سبتمبر'!R50)</f>
        <v/>
      </c>
      <c r="O50" s="86" t="str">
        <f aca="false">IF($B50="","",'مسير أكتوبر'!R50)</f>
        <v/>
      </c>
      <c r="P50" s="86" t="str">
        <f aca="false">IF($B50="","",'مسير نوفمبر'!R50)</f>
        <v/>
      </c>
      <c r="Q50" s="86" t="str">
        <f aca="false">IF($B50="","",'مسير ديسمبر'!R50)</f>
        <v/>
      </c>
      <c r="R50" s="123" t="str">
        <f aca="false">IF($B50="","",IF(1&lt;=cfg_VAL_M,'مسير يناير'!R50,0)+IF(2&lt;=cfg_VAL_M,'مسير فبراير'!R50,0)+IF(3&lt;=cfg_VAL_M,'مسير مارس'!R50,0)+IF(4&lt;=cfg_VAL_M,'مسير أبريل'!R50,0)+IF(5&lt;=cfg_VAL_M,'مسير مايو'!R50,0)+IF(6&lt;=cfg_VAL_M,'مسير يونيو'!R50,0)+IF(7&lt;=cfg_VAL_M,'مسير يوليو'!R50,0)+IF(8&lt;=cfg_VAL_M,'مسير أغسطس'!R50,0)+IF(9&lt;=cfg_VAL_M,'مسير سبتمبر'!R50,0)+IF(10&lt;=cfg_VAL_M,'مسير أكتوبر'!R50,0)+IF(11&lt;=cfg_VAL_M,'مسير نوفمبر'!R50,0)+IF(12&lt;=cfg_VAL_M,'مسير ديسمبر'!R50,0))</f>
        <v/>
      </c>
      <c r="T50" s="86" t="str">
        <f aca="false">IF($B50="","",'مسير يناير'!AB50)</f>
        <v/>
      </c>
      <c r="U50" s="86" t="str">
        <f aca="false">IF($B50="","",'مسير فبراير'!AB50)</f>
        <v/>
      </c>
      <c r="V50" s="86" t="str">
        <f aca="false">IF($B50="","",'مسير مارس'!AB50)</f>
        <v/>
      </c>
      <c r="W50" s="86" t="str">
        <f aca="false">IF($B50="","",'مسير أبريل'!AB50)</f>
        <v/>
      </c>
      <c r="X50" s="86" t="str">
        <f aca="false">IF($B50="","",'مسير مايو'!AB50)</f>
        <v/>
      </c>
      <c r="Y50" s="86" t="str">
        <f aca="false">IF($B50="","",'مسير يونيو'!AB50)</f>
        <v/>
      </c>
      <c r="Z50" s="86" t="str">
        <f aca="false">IF($B50="","",'مسير يوليو'!AB50)</f>
        <v/>
      </c>
      <c r="AA50" s="86" t="str">
        <f aca="false">IF($B50="","",'مسير أغسطس'!AB50)</f>
        <v/>
      </c>
      <c r="AB50" s="86" t="str">
        <f aca="false">IF($B50="","",'مسير سبتمبر'!AB50)</f>
        <v/>
      </c>
      <c r="AC50" s="86" t="str">
        <f aca="false">IF($B50="","",'مسير أكتوبر'!AB50)</f>
        <v/>
      </c>
      <c r="AD50" s="86" t="str">
        <f aca="false">IF($B50="","",'مسير نوفمبر'!AB50)</f>
        <v/>
      </c>
      <c r="AE50" s="86" t="str">
        <f aca="false">IF($B50="","",'مسير ديسمبر'!AB50)</f>
        <v/>
      </c>
      <c r="AF50" s="123" t="str">
        <f aca="false">IF($B50="","",IF(1&lt;=cfg_VAL_M,'مسير يناير'!AB50,0)+IF(2&lt;=cfg_VAL_M,'مسير فبراير'!AB50,0)+IF(3&lt;=cfg_VAL_M,'مسير مارس'!AB50,0)+IF(4&lt;=cfg_VAL_M,'مسير أبريل'!AB50,0)+IF(5&lt;=cfg_VAL_M,'مسير مايو'!AB50,0)+IF(6&lt;=cfg_VAL_M,'مسير يونيو'!AB50,0)+IF(7&lt;=cfg_VAL_M,'مسير يوليو'!AB50,0)+IF(8&lt;=cfg_VAL_M,'مسير أغسطس'!AB50,0)+IF(9&lt;=cfg_VAL_M,'مسير سبتمبر'!AB50,0)+IF(10&lt;=cfg_VAL_M,'مسير أكتوبر'!AB50,0)+IF(11&lt;=cfg_VAL_M,'مسير نوفمبر'!AB50,0)+IF(12&lt;=cfg_VAL_M,'مسير ديسمبر'!AB50,0))</f>
        <v/>
      </c>
      <c r="AG50" s="123" t="str">
        <f aca="false">IF($B50="","",IF(1&lt;=cfg_VAL_M,'مسير يناير'!W50,0)+IF(2&lt;=cfg_VAL_M,'مسير فبراير'!W50,0)+IF(3&lt;=cfg_VAL_M,'مسير مارس'!W50,0)+IF(4&lt;=cfg_VAL_M,'مسير أبريل'!W50,0)+IF(5&lt;=cfg_VAL_M,'مسير مايو'!W50,0)+IF(6&lt;=cfg_VAL_M,'مسير يونيو'!W50,0)+IF(7&lt;=cfg_VAL_M,'مسير يوليو'!W50,0)+IF(8&lt;=cfg_VAL_M,'مسير أغسطس'!W50,0)+IF(9&lt;=cfg_VAL_M,'مسير سبتمبر'!W50,0)+IF(10&lt;=cfg_VAL_M,'مسير أكتوبر'!W50,0)+IF(11&lt;=cfg_VAL_M,'مسير نوفمبر'!W50,0)+IF(12&lt;=cfg_VAL_M,'مسير ديسمبر'!W50,0))</f>
        <v/>
      </c>
      <c r="AH50" s="86" t="str">
        <f aca="false">IF($B50="","",AF50/cfg_VAL_M)</f>
        <v/>
      </c>
    </row>
    <row r="51" customFormat="false" ht="15" hidden="false" customHeight="false" outlineLevel="0" collapsed="false">
      <c r="B51" s="91" t="str">
        <f aca="false">IF(الموظفون!$B51="","",الموظفون!$B51)</f>
        <v/>
      </c>
      <c r="C51" s="91" t="str">
        <f aca="false">IF(الموظفون!$B51="","",الموظفون!$C51)</f>
        <v/>
      </c>
      <c r="D51" s="91" t="str">
        <f aca="false">IF(الموظفون!$B51="","",الموظفون!$F51)</f>
        <v/>
      </c>
      <c r="E51" s="91" t="str">
        <f aca="false">IF(الموظفون!$B51="","",الموظفون!$E51)</f>
        <v/>
      </c>
      <c r="F51" s="90" t="str">
        <f aca="false">IF($B51="","",'مسير يناير'!R51)</f>
        <v/>
      </c>
      <c r="G51" s="90" t="str">
        <f aca="false">IF($B51="","",'مسير فبراير'!R51)</f>
        <v/>
      </c>
      <c r="H51" s="90" t="str">
        <f aca="false">IF($B51="","",'مسير مارس'!R51)</f>
        <v/>
      </c>
      <c r="I51" s="90" t="str">
        <f aca="false">IF($B51="","",'مسير أبريل'!R51)</f>
        <v/>
      </c>
      <c r="J51" s="90" t="str">
        <f aca="false">IF($B51="","",'مسير مايو'!R51)</f>
        <v/>
      </c>
      <c r="K51" s="90" t="str">
        <f aca="false">IF($B51="","",'مسير يونيو'!R51)</f>
        <v/>
      </c>
      <c r="L51" s="90" t="str">
        <f aca="false">IF($B51="","",'مسير يوليو'!R51)</f>
        <v/>
      </c>
      <c r="M51" s="90" t="str">
        <f aca="false">IF($B51="","",'مسير أغسطس'!R51)</f>
        <v/>
      </c>
      <c r="N51" s="90" t="str">
        <f aca="false">IF($B51="","",'مسير سبتمبر'!R51)</f>
        <v/>
      </c>
      <c r="O51" s="90" t="str">
        <f aca="false">IF($B51="","",'مسير أكتوبر'!R51)</f>
        <v/>
      </c>
      <c r="P51" s="90" t="str">
        <f aca="false">IF($B51="","",'مسير نوفمبر'!R51)</f>
        <v/>
      </c>
      <c r="Q51" s="90" t="str">
        <f aca="false">IF($B51="","",'مسير ديسمبر'!R51)</f>
        <v/>
      </c>
      <c r="R51" s="124" t="str">
        <f aca="false">IF($B51="","",IF(1&lt;=cfg_VAL_M,'مسير يناير'!R51,0)+IF(2&lt;=cfg_VAL_M,'مسير فبراير'!R51,0)+IF(3&lt;=cfg_VAL_M,'مسير مارس'!R51,0)+IF(4&lt;=cfg_VAL_M,'مسير أبريل'!R51,0)+IF(5&lt;=cfg_VAL_M,'مسير مايو'!R51,0)+IF(6&lt;=cfg_VAL_M,'مسير يونيو'!R51,0)+IF(7&lt;=cfg_VAL_M,'مسير يوليو'!R51,0)+IF(8&lt;=cfg_VAL_M,'مسير أغسطس'!R51,0)+IF(9&lt;=cfg_VAL_M,'مسير سبتمبر'!R51,0)+IF(10&lt;=cfg_VAL_M,'مسير أكتوبر'!R51,0)+IF(11&lt;=cfg_VAL_M,'مسير نوفمبر'!R51,0)+IF(12&lt;=cfg_VAL_M,'مسير ديسمبر'!R51,0))</f>
        <v/>
      </c>
      <c r="T51" s="90" t="str">
        <f aca="false">IF($B51="","",'مسير يناير'!AB51)</f>
        <v/>
      </c>
      <c r="U51" s="90" t="str">
        <f aca="false">IF($B51="","",'مسير فبراير'!AB51)</f>
        <v/>
      </c>
      <c r="V51" s="90" t="str">
        <f aca="false">IF($B51="","",'مسير مارس'!AB51)</f>
        <v/>
      </c>
      <c r="W51" s="90" t="str">
        <f aca="false">IF($B51="","",'مسير أبريل'!AB51)</f>
        <v/>
      </c>
      <c r="X51" s="90" t="str">
        <f aca="false">IF($B51="","",'مسير مايو'!AB51)</f>
        <v/>
      </c>
      <c r="Y51" s="90" t="str">
        <f aca="false">IF($B51="","",'مسير يونيو'!AB51)</f>
        <v/>
      </c>
      <c r="Z51" s="90" t="str">
        <f aca="false">IF($B51="","",'مسير يوليو'!AB51)</f>
        <v/>
      </c>
      <c r="AA51" s="90" t="str">
        <f aca="false">IF($B51="","",'مسير أغسطس'!AB51)</f>
        <v/>
      </c>
      <c r="AB51" s="90" t="str">
        <f aca="false">IF($B51="","",'مسير سبتمبر'!AB51)</f>
        <v/>
      </c>
      <c r="AC51" s="90" t="str">
        <f aca="false">IF($B51="","",'مسير أكتوبر'!AB51)</f>
        <v/>
      </c>
      <c r="AD51" s="90" t="str">
        <f aca="false">IF($B51="","",'مسير نوفمبر'!AB51)</f>
        <v/>
      </c>
      <c r="AE51" s="90" t="str">
        <f aca="false">IF($B51="","",'مسير ديسمبر'!AB51)</f>
        <v/>
      </c>
      <c r="AF51" s="124" t="str">
        <f aca="false">IF($B51="","",IF(1&lt;=cfg_VAL_M,'مسير يناير'!AB51,0)+IF(2&lt;=cfg_VAL_M,'مسير فبراير'!AB51,0)+IF(3&lt;=cfg_VAL_M,'مسير مارس'!AB51,0)+IF(4&lt;=cfg_VAL_M,'مسير أبريل'!AB51,0)+IF(5&lt;=cfg_VAL_M,'مسير مايو'!AB51,0)+IF(6&lt;=cfg_VAL_M,'مسير يونيو'!AB51,0)+IF(7&lt;=cfg_VAL_M,'مسير يوليو'!AB51,0)+IF(8&lt;=cfg_VAL_M,'مسير أغسطس'!AB51,0)+IF(9&lt;=cfg_VAL_M,'مسير سبتمبر'!AB51,0)+IF(10&lt;=cfg_VAL_M,'مسير أكتوبر'!AB51,0)+IF(11&lt;=cfg_VAL_M,'مسير نوفمبر'!AB51,0)+IF(12&lt;=cfg_VAL_M,'مسير ديسمبر'!AB51,0))</f>
        <v/>
      </c>
      <c r="AG51" s="124" t="str">
        <f aca="false">IF($B51="","",IF(1&lt;=cfg_VAL_M,'مسير يناير'!W51,0)+IF(2&lt;=cfg_VAL_M,'مسير فبراير'!W51,0)+IF(3&lt;=cfg_VAL_M,'مسير مارس'!W51,0)+IF(4&lt;=cfg_VAL_M,'مسير أبريل'!W51,0)+IF(5&lt;=cfg_VAL_M,'مسير مايو'!W51,0)+IF(6&lt;=cfg_VAL_M,'مسير يونيو'!W51,0)+IF(7&lt;=cfg_VAL_M,'مسير يوليو'!W51,0)+IF(8&lt;=cfg_VAL_M,'مسير أغسطس'!W51,0)+IF(9&lt;=cfg_VAL_M,'مسير سبتمبر'!W51,0)+IF(10&lt;=cfg_VAL_M,'مسير أكتوبر'!W51,0)+IF(11&lt;=cfg_VAL_M,'مسير نوفمبر'!W51,0)+IF(12&lt;=cfg_VAL_M,'مسير ديسمبر'!W51,0))</f>
        <v/>
      </c>
      <c r="AH51" s="90" t="str">
        <f aca="false">IF($B51="","",AF51/cfg_VAL_M)</f>
        <v/>
      </c>
    </row>
    <row r="52" customFormat="false" ht="15" hidden="false" customHeight="false" outlineLevel="0" collapsed="false">
      <c r="B52" s="74" t="str">
        <f aca="false">IF(الموظفون!$B52="","",الموظفون!$B52)</f>
        <v/>
      </c>
      <c r="C52" s="74" t="str">
        <f aca="false">IF(الموظفون!$B52="","",الموظفون!$C52)</f>
        <v/>
      </c>
      <c r="D52" s="74" t="str">
        <f aca="false">IF(الموظفون!$B52="","",الموظفون!$F52)</f>
        <v/>
      </c>
      <c r="E52" s="74" t="str">
        <f aca="false">IF(الموظفون!$B52="","",الموظفون!$E52)</f>
        <v/>
      </c>
      <c r="F52" s="86" t="str">
        <f aca="false">IF($B52="","",'مسير يناير'!R52)</f>
        <v/>
      </c>
      <c r="G52" s="86" t="str">
        <f aca="false">IF($B52="","",'مسير فبراير'!R52)</f>
        <v/>
      </c>
      <c r="H52" s="86" t="str">
        <f aca="false">IF($B52="","",'مسير مارس'!R52)</f>
        <v/>
      </c>
      <c r="I52" s="86" t="str">
        <f aca="false">IF($B52="","",'مسير أبريل'!R52)</f>
        <v/>
      </c>
      <c r="J52" s="86" t="str">
        <f aca="false">IF($B52="","",'مسير مايو'!R52)</f>
        <v/>
      </c>
      <c r="K52" s="86" t="str">
        <f aca="false">IF($B52="","",'مسير يونيو'!R52)</f>
        <v/>
      </c>
      <c r="L52" s="86" t="str">
        <f aca="false">IF($B52="","",'مسير يوليو'!R52)</f>
        <v/>
      </c>
      <c r="M52" s="86" t="str">
        <f aca="false">IF($B52="","",'مسير أغسطس'!R52)</f>
        <v/>
      </c>
      <c r="N52" s="86" t="str">
        <f aca="false">IF($B52="","",'مسير سبتمبر'!R52)</f>
        <v/>
      </c>
      <c r="O52" s="86" t="str">
        <f aca="false">IF($B52="","",'مسير أكتوبر'!R52)</f>
        <v/>
      </c>
      <c r="P52" s="86" t="str">
        <f aca="false">IF($B52="","",'مسير نوفمبر'!R52)</f>
        <v/>
      </c>
      <c r="Q52" s="86" t="str">
        <f aca="false">IF($B52="","",'مسير ديسمبر'!R52)</f>
        <v/>
      </c>
      <c r="R52" s="123" t="str">
        <f aca="false">IF($B52="","",IF(1&lt;=cfg_VAL_M,'مسير يناير'!R52,0)+IF(2&lt;=cfg_VAL_M,'مسير فبراير'!R52,0)+IF(3&lt;=cfg_VAL_M,'مسير مارس'!R52,0)+IF(4&lt;=cfg_VAL_M,'مسير أبريل'!R52,0)+IF(5&lt;=cfg_VAL_M,'مسير مايو'!R52,0)+IF(6&lt;=cfg_VAL_M,'مسير يونيو'!R52,0)+IF(7&lt;=cfg_VAL_M,'مسير يوليو'!R52,0)+IF(8&lt;=cfg_VAL_M,'مسير أغسطس'!R52,0)+IF(9&lt;=cfg_VAL_M,'مسير سبتمبر'!R52,0)+IF(10&lt;=cfg_VAL_M,'مسير أكتوبر'!R52,0)+IF(11&lt;=cfg_VAL_M,'مسير نوفمبر'!R52,0)+IF(12&lt;=cfg_VAL_M,'مسير ديسمبر'!R52,0))</f>
        <v/>
      </c>
      <c r="T52" s="86" t="str">
        <f aca="false">IF($B52="","",'مسير يناير'!AB52)</f>
        <v/>
      </c>
      <c r="U52" s="86" t="str">
        <f aca="false">IF($B52="","",'مسير فبراير'!AB52)</f>
        <v/>
      </c>
      <c r="V52" s="86" t="str">
        <f aca="false">IF($B52="","",'مسير مارس'!AB52)</f>
        <v/>
      </c>
      <c r="W52" s="86" t="str">
        <f aca="false">IF($B52="","",'مسير أبريل'!AB52)</f>
        <v/>
      </c>
      <c r="X52" s="86" t="str">
        <f aca="false">IF($B52="","",'مسير مايو'!AB52)</f>
        <v/>
      </c>
      <c r="Y52" s="86" t="str">
        <f aca="false">IF($B52="","",'مسير يونيو'!AB52)</f>
        <v/>
      </c>
      <c r="Z52" s="86" t="str">
        <f aca="false">IF($B52="","",'مسير يوليو'!AB52)</f>
        <v/>
      </c>
      <c r="AA52" s="86" t="str">
        <f aca="false">IF($B52="","",'مسير أغسطس'!AB52)</f>
        <v/>
      </c>
      <c r="AB52" s="86" t="str">
        <f aca="false">IF($B52="","",'مسير سبتمبر'!AB52)</f>
        <v/>
      </c>
      <c r="AC52" s="86" t="str">
        <f aca="false">IF($B52="","",'مسير أكتوبر'!AB52)</f>
        <v/>
      </c>
      <c r="AD52" s="86" t="str">
        <f aca="false">IF($B52="","",'مسير نوفمبر'!AB52)</f>
        <v/>
      </c>
      <c r="AE52" s="86" t="str">
        <f aca="false">IF($B52="","",'مسير ديسمبر'!AB52)</f>
        <v/>
      </c>
      <c r="AF52" s="123" t="str">
        <f aca="false">IF($B52="","",IF(1&lt;=cfg_VAL_M,'مسير يناير'!AB52,0)+IF(2&lt;=cfg_VAL_M,'مسير فبراير'!AB52,0)+IF(3&lt;=cfg_VAL_M,'مسير مارس'!AB52,0)+IF(4&lt;=cfg_VAL_M,'مسير أبريل'!AB52,0)+IF(5&lt;=cfg_VAL_M,'مسير مايو'!AB52,0)+IF(6&lt;=cfg_VAL_M,'مسير يونيو'!AB52,0)+IF(7&lt;=cfg_VAL_M,'مسير يوليو'!AB52,0)+IF(8&lt;=cfg_VAL_M,'مسير أغسطس'!AB52,0)+IF(9&lt;=cfg_VAL_M,'مسير سبتمبر'!AB52,0)+IF(10&lt;=cfg_VAL_M,'مسير أكتوبر'!AB52,0)+IF(11&lt;=cfg_VAL_M,'مسير نوفمبر'!AB52,0)+IF(12&lt;=cfg_VAL_M,'مسير ديسمبر'!AB52,0))</f>
        <v/>
      </c>
      <c r="AG52" s="123" t="str">
        <f aca="false">IF($B52="","",IF(1&lt;=cfg_VAL_M,'مسير يناير'!W52,0)+IF(2&lt;=cfg_VAL_M,'مسير فبراير'!W52,0)+IF(3&lt;=cfg_VAL_M,'مسير مارس'!W52,0)+IF(4&lt;=cfg_VAL_M,'مسير أبريل'!W52,0)+IF(5&lt;=cfg_VAL_M,'مسير مايو'!W52,0)+IF(6&lt;=cfg_VAL_M,'مسير يونيو'!W52,0)+IF(7&lt;=cfg_VAL_M,'مسير يوليو'!W52,0)+IF(8&lt;=cfg_VAL_M,'مسير أغسطس'!W52,0)+IF(9&lt;=cfg_VAL_M,'مسير سبتمبر'!W52,0)+IF(10&lt;=cfg_VAL_M,'مسير أكتوبر'!W52,0)+IF(11&lt;=cfg_VAL_M,'مسير نوفمبر'!W52,0)+IF(12&lt;=cfg_VAL_M,'مسير ديسمبر'!W52,0))</f>
        <v/>
      </c>
      <c r="AH52" s="86" t="str">
        <f aca="false">IF($B52="","",AF52/cfg_VAL_M)</f>
        <v/>
      </c>
    </row>
    <row r="53" customFormat="false" ht="15" hidden="false" customHeight="false" outlineLevel="0" collapsed="false">
      <c r="B53" s="91" t="str">
        <f aca="false">IF(الموظفون!$B53="","",الموظفون!$B53)</f>
        <v/>
      </c>
      <c r="C53" s="91" t="str">
        <f aca="false">IF(الموظفون!$B53="","",الموظفون!$C53)</f>
        <v/>
      </c>
      <c r="D53" s="91" t="str">
        <f aca="false">IF(الموظفون!$B53="","",الموظفون!$F53)</f>
        <v/>
      </c>
      <c r="E53" s="91" t="str">
        <f aca="false">IF(الموظفون!$B53="","",الموظفون!$E53)</f>
        <v/>
      </c>
      <c r="F53" s="90" t="str">
        <f aca="false">IF($B53="","",'مسير يناير'!R53)</f>
        <v/>
      </c>
      <c r="G53" s="90" t="str">
        <f aca="false">IF($B53="","",'مسير فبراير'!R53)</f>
        <v/>
      </c>
      <c r="H53" s="90" t="str">
        <f aca="false">IF($B53="","",'مسير مارس'!R53)</f>
        <v/>
      </c>
      <c r="I53" s="90" t="str">
        <f aca="false">IF($B53="","",'مسير أبريل'!R53)</f>
        <v/>
      </c>
      <c r="J53" s="90" t="str">
        <f aca="false">IF($B53="","",'مسير مايو'!R53)</f>
        <v/>
      </c>
      <c r="K53" s="90" t="str">
        <f aca="false">IF($B53="","",'مسير يونيو'!R53)</f>
        <v/>
      </c>
      <c r="L53" s="90" t="str">
        <f aca="false">IF($B53="","",'مسير يوليو'!R53)</f>
        <v/>
      </c>
      <c r="M53" s="90" t="str">
        <f aca="false">IF($B53="","",'مسير أغسطس'!R53)</f>
        <v/>
      </c>
      <c r="N53" s="90" t="str">
        <f aca="false">IF($B53="","",'مسير سبتمبر'!R53)</f>
        <v/>
      </c>
      <c r="O53" s="90" t="str">
        <f aca="false">IF($B53="","",'مسير أكتوبر'!R53)</f>
        <v/>
      </c>
      <c r="P53" s="90" t="str">
        <f aca="false">IF($B53="","",'مسير نوفمبر'!R53)</f>
        <v/>
      </c>
      <c r="Q53" s="90" t="str">
        <f aca="false">IF($B53="","",'مسير ديسمبر'!R53)</f>
        <v/>
      </c>
      <c r="R53" s="124" t="str">
        <f aca="false">IF($B53="","",IF(1&lt;=cfg_VAL_M,'مسير يناير'!R53,0)+IF(2&lt;=cfg_VAL_M,'مسير فبراير'!R53,0)+IF(3&lt;=cfg_VAL_M,'مسير مارس'!R53,0)+IF(4&lt;=cfg_VAL_M,'مسير أبريل'!R53,0)+IF(5&lt;=cfg_VAL_M,'مسير مايو'!R53,0)+IF(6&lt;=cfg_VAL_M,'مسير يونيو'!R53,0)+IF(7&lt;=cfg_VAL_M,'مسير يوليو'!R53,0)+IF(8&lt;=cfg_VAL_M,'مسير أغسطس'!R53,0)+IF(9&lt;=cfg_VAL_M,'مسير سبتمبر'!R53,0)+IF(10&lt;=cfg_VAL_M,'مسير أكتوبر'!R53,0)+IF(11&lt;=cfg_VAL_M,'مسير نوفمبر'!R53,0)+IF(12&lt;=cfg_VAL_M,'مسير ديسمبر'!R53,0))</f>
        <v/>
      </c>
      <c r="T53" s="90" t="str">
        <f aca="false">IF($B53="","",'مسير يناير'!AB53)</f>
        <v/>
      </c>
      <c r="U53" s="90" t="str">
        <f aca="false">IF($B53="","",'مسير فبراير'!AB53)</f>
        <v/>
      </c>
      <c r="V53" s="90" t="str">
        <f aca="false">IF($B53="","",'مسير مارس'!AB53)</f>
        <v/>
      </c>
      <c r="W53" s="90" t="str">
        <f aca="false">IF($B53="","",'مسير أبريل'!AB53)</f>
        <v/>
      </c>
      <c r="X53" s="90" t="str">
        <f aca="false">IF($B53="","",'مسير مايو'!AB53)</f>
        <v/>
      </c>
      <c r="Y53" s="90" t="str">
        <f aca="false">IF($B53="","",'مسير يونيو'!AB53)</f>
        <v/>
      </c>
      <c r="Z53" s="90" t="str">
        <f aca="false">IF($B53="","",'مسير يوليو'!AB53)</f>
        <v/>
      </c>
      <c r="AA53" s="90" t="str">
        <f aca="false">IF($B53="","",'مسير أغسطس'!AB53)</f>
        <v/>
      </c>
      <c r="AB53" s="90" t="str">
        <f aca="false">IF($B53="","",'مسير سبتمبر'!AB53)</f>
        <v/>
      </c>
      <c r="AC53" s="90" t="str">
        <f aca="false">IF($B53="","",'مسير أكتوبر'!AB53)</f>
        <v/>
      </c>
      <c r="AD53" s="90" t="str">
        <f aca="false">IF($B53="","",'مسير نوفمبر'!AB53)</f>
        <v/>
      </c>
      <c r="AE53" s="90" t="str">
        <f aca="false">IF($B53="","",'مسير ديسمبر'!AB53)</f>
        <v/>
      </c>
      <c r="AF53" s="124" t="str">
        <f aca="false">IF($B53="","",IF(1&lt;=cfg_VAL_M,'مسير يناير'!AB53,0)+IF(2&lt;=cfg_VAL_M,'مسير فبراير'!AB53,0)+IF(3&lt;=cfg_VAL_M,'مسير مارس'!AB53,0)+IF(4&lt;=cfg_VAL_M,'مسير أبريل'!AB53,0)+IF(5&lt;=cfg_VAL_M,'مسير مايو'!AB53,0)+IF(6&lt;=cfg_VAL_M,'مسير يونيو'!AB53,0)+IF(7&lt;=cfg_VAL_M,'مسير يوليو'!AB53,0)+IF(8&lt;=cfg_VAL_M,'مسير أغسطس'!AB53,0)+IF(9&lt;=cfg_VAL_M,'مسير سبتمبر'!AB53,0)+IF(10&lt;=cfg_VAL_M,'مسير أكتوبر'!AB53,0)+IF(11&lt;=cfg_VAL_M,'مسير نوفمبر'!AB53,0)+IF(12&lt;=cfg_VAL_M,'مسير ديسمبر'!AB53,0))</f>
        <v/>
      </c>
      <c r="AG53" s="124" t="str">
        <f aca="false">IF($B53="","",IF(1&lt;=cfg_VAL_M,'مسير يناير'!W53,0)+IF(2&lt;=cfg_VAL_M,'مسير فبراير'!W53,0)+IF(3&lt;=cfg_VAL_M,'مسير مارس'!W53,0)+IF(4&lt;=cfg_VAL_M,'مسير أبريل'!W53,0)+IF(5&lt;=cfg_VAL_M,'مسير مايو'!W53,0)+IF(6&lt;=cfg_VAL_M,'مسير يونيو'!W53,0)+IF(7&lt;=cfg_VAL_M,'مسير يوليو'!W53,0)+IF(8&lt;=cfg_VAL_M,'مسير أغسطس'!W53,0)+IF(9&lt;=cfg_VAL_M,'مسير سبتمبر'!W53,0)+IF(10&lt;=cfg_VAL_M,'مسير أكتوبر'!W53,0)+IF(11&lt;=cfg_VAL_M,'مسير نوفمبر'!W53,0)+IF(12&lt;=cfg_VAL_M,'مسير ديسمبر'!W53,0))</f>
        <v/>
      </c>
      <c r="AH53" s="90" t="str">
        <f aca="false">IF($B53="","",AF53/cfg_VAL_M)</f>
        <v/>
      </c>
    </row>
    <row r="54" customFormat="false" ht="15" hidden="false" customHeight="false" outlineLevel="0" collapsed="false">
      <c r="B54" s="74" t="str">
        <f aca="false">IF(الموظفون!$B54="","",الموظفون!$B54)</f>
        <v/>
      </c>
      <c r="C54" s="74" t="str">
        <f aca="false">IF(الموظفون!$B54="","",الموظفون!$C54)</f>
        <v/>
      </c>
      <c r="D54" s="74" t="str">
        <f aca="false">IF(الموظفون!$B54="","",الموظفون!$F54)</f>
        <v/>
      </c>
      <c r="E54" s="74" t="str">
        <f aca="false">IF(الموظفون!$B54="","",الموظفون!$E54)</f>
        <v/>
      </c>
      <c r="F54" s="86" t="str">
        <f aca="false">IF($B54="","",'مسير يناير'!R54)</f>
        <v/>
      </c>
      <c r="G54" s="86" t="str">
        <f aca="false">IF($B54="","",'مسير فبراير'!R54)</f>
        <v/>
      </c>
      <c r="H54" s="86" t="str">
        <f aca="false">IF($B54="","",'مسير مارس'!R54)</f>
        <v/>
      </c>
      <c r="I54" s="86" t="str">
        <f aca="false">IF($B54="","",'مسير أبريل'!R54)</f>
        <v/>
      </c>
      <c r="J54" s="86" t="str">
        <f aca="false">IF($B54="","",'مسير مايو'!R54)</f>
        <v/>
      </c>
      <c r="K54" s="86" t="str">
        <f aca="false">IF($B54="","",'مسير يونيو'!R54)</f>
        <v/>
      </c>
      <c r="L54" s="86" t="str">
        <f aca="false">IF($B54="","",'مسير يوليو'!R54)</f>
        <v/>
      </c>
      <c r="M54" s="86" t="str">
        <f aca="false">IF($B54="","",'مسير أغسطس'!R54)</f>
        <v/>
      </c>
      <c r="N54" s="86" t="str">
        <f aca="false">IF($B54="","",'مسير سبتمبر'!R54)</f>
        <v/>
      </c>
      <c r="O54" s="86" t="str">
        <f aca="false">IF($B54="","",'مسير أكتوبر'!R54)</f>
        <v/>
      </c>
      <c r="P54" s="86" t="str">
        <f aca="false">IF($B54="","",'مسير نوفمبر'!R54)</f>
        <v/>
      </c>
      <c r="Q54" s="86" t="str">
        <f aca="false">IF($B54="","",'مسير ديسمبر'!R54)</f>
        <v/>
      </c>
      <c r="R54" s="123" t="str">
        <f aca="false">IF($B54="","",IF(1&lt;=cfg_VAL_M,'مسير يناير'!R54,0)+IF(2&lt;=cfg_VAL_M,'مسير فبراير'!R54,0)+IF(3&lt;=cfg_VAL_M,'مسير مارس'!R54,0)+IF(4&lt;=cfg_VAL_M,'مسير أبريل'!R54,0)+IF(5&lt;=cfg_VAL_M,'مسير مايو'!R54,0)+IF(6&lt;=cfg_VAL_M,'مسير يونيو'!R54,0)+IF(7&lt;=cfg_VAL_M,'مسير يوليو'!R54,0)+IF(8&lt;=cfg_VAL_M,'مسير أغسطس'!R54,0)+IF(9&lt;=cfg_VAL_M,'مسير سبتمبر'!R54,0)+IF(10&lt;=cfg_VAL_M,'مسير أكتوبر'!R54,0)+IF(11&lt;=cfg_VAL_M,'مسير نوفمبر'!R54,0)+IF(12&lt;=cfg_VAL_M,'مسير ديسمبر'!R54,0))</f>
        <v/>
      </c>
      <c r="T54" s="86" t="str">
        <f aca="false">IF($B54="","",'مسير يناير'!AB54)</f>
        <v/>
      </c>
      <c r="U54" s="86" t="str">
        <f aca="false">IF($B54="","",'مسير فبراير'!AB54)</f>
        <v/>
      </c>
      <c r="V54" s="86" t="str">
        <f aca="false">IF($B54="","",'مسير مارس'!AB54)</f>
        <v/>
      </c>
      <c r="W54" s="86" t="str">
        <f aca="false">IF($B54="","",'مسير أبريل'!AB54)</f>
        <v/>
      </c>
      <c r="X54" s="86" t="str">
        <f aca="false">IF($B54="","",'مسير مايو'!AB54)</f>
        <v/>
      </c>
      <c r="Y54" s="86" t="str">
        <f aca="false">IF($B54="","",'مسير يونيو'!AB54)</f>
        <v/>
      </c>
      <c r="Z54" s="86" t="str">
        <f aca="false">IF($B54="","",'مسير يوليو'!AB54)</f>
        <v/>
      </c>
      <c r="AA54" s="86" t="str">
        <f aca="false">IF($B54="","",'مسير أغسطس'!AB54)</f>
        <v/>
      </c>
      <c r="AB54" s="86" t="str">
        <f aca="false">IF($B54="","",'مسير سبتمبر'!AB54)</f>
        <v/>
      </c>
      <c r="AC54" s="86" t="str">
        <f aca="false">IF($B54="","",'مسير أكتوبر'!AB54)</f>
        <v/>
      </c>
      <c r="AD54" s="86" t="str">
        <f aca="false">IF($B54="","",'مسير نوفمبر'!AB54)</f>
        <v/>
      </c>
      <c r="AE54" s="86" t="str">
        <f aca="false">IF($B54="","",'مسير ديسمبر'!AB54)</f>
        <v/>
      </c>
      <c r="AF54" s="123" t="str">
        <f aca="false">IF($B54="","",IF(1&lt;=cfg_VAL_M,'مسير يناير'!AB54,0)+IF(2&lt;=cfg_VAL_M,'مسير فبراير'!AB54,0)+IF(3&lt;=cfg_VAL_M,'مسير مارس'!AB54,0)+IF(4&lt;=cfg_VAL_M,'مسير أبريل'!AB54,0)+IF(5&lt;=cfg_VAL_M,'مسير مايو'!AB54,0)+IF(6&lt;=cfg_VAL_M,'مسير يونيو'!AB54,0)+IF(7&lt;=cfg_VAL_M,'مسير يوليو'!AB54,0)+IF(8&lt;=cfg_VAL_M,'مسير أغسطس'!AB54,0)+IF(9&lt;=cfg_VAL_M,'مسير سبتمبر'!AB54,0)+IF(10&lt;=cfg_VAL_M,'مسير أكتوبر'!AB54,0)+IF(11&lt;=cfg_VAL_M,'مسير نوفمبر'!AB54,0)+IF(12&lt;=cfg_VAL_M,'مسير ديسمبر'!AB54,0))</f>
        <v/>
      </c>
      <c r="AG54" s="123" t="str">
        <f aca="false">IF($B54="","",IF(1&lt;=cfg_VAL_M,'مسير يناير'!W54,0)+IF(2&lt;=cfg_VAL_M,'مسير فبراير'!W54,0)+IF(3&lt;=cfg_VAL_M,'مسير مارس'!W54,0)+IF(4&lt;=cfg_VAL_M,'مسير أبريل'!W54,0)+IF(5&lt;=cfg_VAL_M,'مسير مايو'!W54,0)+IF(6&lt;=cfg_VAL_M,'مسير يونيو'!W54,0)+IF(7&lt;=cfg_VAL_M,'مسير يوليو'!W54,0)+IF(8&lt;=cfg_VAL_M,'مسير أغسطس'!W54,0)+IF(9&lt;=cfg_VAL_M,'مسير سبتمبر'!W54,0)+IF(10&lt;=cfg_VAL_M,'مسير أكتوبر'!W54,0)+IF(11&lt;=cfg_VAL_M,'مسير نوفمبر'!W54,0)+IF(12&lt;=cfg_VAL_M,'مسير ديسمبر'!W54,0))</f>
        <v/>
      </c>
      <c r="AH54" s="86" t="str">
        <f aca="false">IF($B54="","",AF54/cfg_VAL_M)</f>
        <v/>
      </c>
    </row>
    <row r="55" customFormat="false" ht="15" hidden="false" customHeight="false" outlineLevel="0" collapsed="false">
      <c r="B55" s="91" t="str">
        <f aca="false">IF(الموظفون!$B55="","",الموظفون!$B55)</f>
        <v/>
      </c>
      <c r="C55" s="91" t="str">
        <f aca="false">IF(الموظفون!$B55="","",الموظفون!$C55)</f>
        <v/>
      </c>
      <c r="D55" s="91" t="str">
        <f aca="false">IF(الموظفون!$B55="","",الموظفون!$F55)</f>
        <v/>
      </c>
      <c r="E55" s="91" t="str">
        <f aca="false">IF(الموظفون!$B55="","",الموظفون!$E55)</f>
        <v/>
      </c>
      <c r="F55" s="90" t="str">
        <f aca="false">IF($B55="","",'مسير يناير'!R55)</f>
        <v/>
      </c>
      <c r="G55" s="90" t="str">
        <f aca="false">IF($B55="","",'مسير فبراير'!R55)</f>
        <v/>
      </c>
      <c r="H55" s="90" t="str">
        <f aca="false">IF($B55="","",'مسير مارس'!R55)</f>
        <v/>
      </c>
      <c r="I55" s="90" t="str">
        <f aca="false">IF($B55="","",'مسير أبريل'!R55)</f>
        <v/>
      </c>
      <c r="J55" s="90" t="str">
        <f aca="false">IF($B55="","",'مسير مايو'!R55)</f>
        <v/>
      </c>
      <c r="K55" s="90" t="str">
        <f aca="false">IF($B55="","",'مسير يونيو'!R55)</f>
        <v/>
      </c>
      <c r="L55" s="90" t="str">
        <f aca="false">IF($B55="","",'مسير يوليو'!R55)</f>
        <v/>
      </c>
      <c r="M55" s="90" t="str">
        <f aca="false">IF($B55="","",'مسير أغسطس'!R55)</f>
        <v/>
      </c>
      <c r="N55" s="90" t="str">
        <f aca="false">IF($B55="","",'مسير سبتمبر'!R55)</f>
        <v/>
      </c>
      <c r="O55" s="90" t="str">
        <f aca="false">IF($B55="","",'مسير أكتوبر'!R55)</f>
        <v/>
      </c>
      <c r="P55" s="90" t="str">
        <f aca="false">IF($B55="","",'مسير نوفمبر'!R55)</f>
        <v/>
      </c>
      <c r="Q55" s="90" t="str">
        <f aca="false">IF($B55="","",'مسير ديسمبر'!R55)</f>
        <v/>
      </c>
      <c r="R55" s="124" t="str">
        <f aca="false">IF($B55="","",IF(1&lt;=cfg_VAL_M,'مسير يناير'!R55,0)+IF(2&lt;=cfg_VAL_M,'مسير فبراير'!R55,0)+IF(3&lt;=cfg_VAL_M,'مسير مارس'!R55,0)+IF(4&lt;=cfg_VAL_M,'مسير أبريل'!R55,0)+IF(5&lt;=cfg_VAL_M,'مسير مايو'!R55,0)+IF(6&lt;=cfg_VAL_M,'مسير يونيو'!R55,0)+IF(7&lt;=cfg_VAL_M,'مسير يوليو'!R55,0)+IF(8&lt;=cfg_VAL_M,'مسير أغسطس'!R55,0)+IF(9&lt;=cfg_VAL_M,'مسير سبتمبر'!R55,0)+IF(10&lt;=cfg_VAL_M,'مسير أكتوبر'!R55,0)+IF(11&lt;=cfg_VAL_M,'مسير نوفمبر'!R55,0)+IF(12&lt;=cfg_VAL_M,'مسير ديسمبر'!R55,0))</f>
        <v/>
      </c>
      <c r="T55" s="90" t="str">
        <f aca="false">IF($B55="","",'مسير يناير'!AB55)</f>
        <v/>
      </c>
      <c r="U55" s="90" t="str">
        <f aca="false">IF($B55="","",'مسير فبراير'!AB55)</f>
        <v/>
      </c>
      <c r="V55" s="90" t="str">
        <f aca="false">IF($B55="","",'مسير مارس'!AB55)</f>
        <v/>
      </c>
      <c r="W55" s="90" t="str">
        <f aca="false">IF($B55="","",'مسير أبريل'!AB55)</f>
        <v/>
      </c>
      <c r="X55" s="90" t="str">
        <f aca="false">IF($B55="","",'مسير مايو'!AB55)</f>
        <v/>
      </c>
      <c r="Y55" s="90" t="str">
        <f aca="false">IF($B55="","",'مسير يونيو'!AB55)</f>
        <v/>
      </c>
      <c r="Z55" s="90" t="str">
        <f aca="false">IF($B55="","",'مسير يوليو'!AB55)</f>
        <v/>
      </c>
      <c r="AA55" s="90" t="str">
        <f aca="false">IF($B55="","",'مسير أغسطس'!AB55)</f>
        <v/>
      </c>
      <c r="AB55" s="90" t="str">
        <f aca="false">IF($B55="","",'مسير سبتمبر'!AB55)</f>
        <v/>
      </c>
      <c r="AC55" s="90" t="str">
        <f aca="false">IF($B55="","",'مسير أكتوبر'!AB55)</f>
        <v/>
      </c>
      <c r="AD55" s="90" t="str">
        <f aca="false">IF($B55="","",'مسير نوفمبر'!AB55)</f>
        <v/>
      </c>
      <c r="AE55" s="90" t="str">
        <f aca="false">IF($B55="","",'مسير ديسمبر'!AB55)</f>
        <v/>
      </c>
      <c r="AF55" s="124" t="str">
        <f aca="false">IF($B55="","",IF(1&lt;=cfg_VAL_M,'مسير يناير'!AB55,0)+IF(2&lt;=cfg_VAL_M,'مسير فبراير'!AB55,0)+IF(3&lt;=cfg_VAL_M,'مسير مارس'!AB55,0)+IF(4&lt;=cfg_VAL_M,'مسير أبريل'!AB55,0)+IF(5&lt;=cfg_VAL_M,'مسير مايو'!AB55,0)+IF(6&lt;=cfg_VAL_M,'مسير يونيو'!AB55,0)+IF(7&lt;=cfg_VAL_M,'مسير يوليو'!AB55,0)+IF(8&lt;=cfg_VAL_M,'مسير أغسطس'!AB55,0)+IF(9&lt;=cfg_VAL_M,'مسير سبتمبر'!AB55,0)+IF(10&lt;=cfg_VAL_M,'مسير أكتوبر'!AB55,0)+IF(11&lt;=cfg_VAL_M,'مسير نوفمبر'!AB55,0)+IF(12&lt;=cfg_VAL_M,'مسير ديسمبر'!AB55,0))</f>
        <v/>
      </c>
      <c r="AG55" s="124" t="str">
        <f aca="false">IF($B55="","",IF(1&lt;=cfg_VAL_M,'مسير يناير'!W55,0)+IF(2&lt;=cfg_VAL_M,'مسير فبراير'!W55,0)+IF(3&lt;=cfg_VAL_M,'مسير مارس'!W55,0)+IF(4&lt;=cfg_VAL_M,'مسير أبريل'!W55,0)+IF(5&lt;=cfg_VAL_M,'مسير مايو'!W55,0)+IF(6&lt;=cfg_VAL_M,'مسير يونيو'!W55,0)+IF(7&lt;=cfg_VAL_M,'مسير يوليو'!W55,0)+IF(8&lt;=cfg_VAL_M,'مسير أغسطس'!W55,0)+IF(9&lt;=cfg_VAL_M,'مسير سبتمبر'!W55,0)+IF(10&lt;=cfg_VAL_M,'مسير أكتوبر'!W55,0)+IF(11&lt;=cfg_VAL_M,'مسير نوفمبر'!W55,0)+IF(12&lt;=cfg_VAL_M,'مسير ديسمبر'!W55,0))</f>
        <v/>
      </c>
      <c r="AH55" s="90" t="str">
        <f aca="false">IF($B55="","",AF55/cfg_VAL_M)</f>
        <v/>
      </c>
    </row>
    <row r="56" customFormat="false" ht="15" hidden="false" customHeight="false" outlineLevel="0" collapsed="false">
      <c r="B56" s="74" t="str">
        <f aca="false">IF(الموظفون!$B56="","",الموظفون!$B56)</f>
        <v/>
      </c>
      <c r="C56" s="74" t="str">
        <f aca="false">IF(الموظفون!$B56="","",الموظفون!$C56)</f>
        <v/>
      </c>
      <c r="D56" s="74" t="str">
        <f aca="false">IF(الموظفون!$B56="","",الموظفون!$F56)</f>
        <v/>
      </c>
      <c r="E56" s="74" t="str">
        <f aca="false">IF(الموظفون!$B56="","",الموظفون!$E56)</f>
        <v/>
      </c>
      <c r="F56" s="86" t="str">
        <f aca="false">IF($B56="","",'مسير يناير'!R56)</f>
        <v/>
      </c>
      <c r="G56" s="86" t="str">
        <f aca="false">IF($B56="","",'مسير فبراير'!R56)</f>
        <v/>
      </c>
      <c r="H56" s="86" t="str">
        <f aca="false">IF($B56="","",'مسير مارس'!R56)</f>
        <v/>
      </c>
      <c r="I56" s="86" t="str">
        <f aca="false">IF($B56="","",'مسير أبريل'!R56)</f>
        <v/>
      </c>
      <c r="J56" s="86" t="str">
        <f aca="false">IF($B56="","",'مسير مايو'!R56)</f>
        <v/>
      </c>
      <c r="K56" s="86" t="str">
        <f aca="false">IF($B56="","",'مسير يونيو'!R56)</f>
        <v/>
      </c>
      <c r="L56" s="86" t="str">
        <f aca="false">IF($B56="","",'مسير يوليو'!R56)</f>
        <v/>
      </c>
      <c r="M56" s="86" t="str">
        <f aca="false">IF($B56="","",'مسير أغسطس'!R56)</f>
        <v/>
      </c>
      <c r="N56" s="86" t="str">
        <f aca="false">IF($B56="","",'مسير سبتمبر'!R56)</f>
        <v/>
      </c>
      <c r="O56" s="86" t="str">
        <f aca="false">IF($B56="","",'مسير أكتوبر'!R56)</f>
        <v/>
      </c>
      <c r="P56" s="86" t="str">
        <f aca="false">IF($B56="","",'مسير نوفمبر'!R56)</f>
        <v/>
      </c>
      <c r="Q56" s="86" t="str">
        <f aca="false">IF($B56="","",'مسير ديسمبر'!R56)</f>
        <v/>
      </c>
      <c r="R56" s="123" t="str">
        <f aca="false">IF($B56="","",IF(1&lt;=cfg_VAL_M,'مسير يناير'!R56,0)+IF(2&lt;=cfg_VAL_M,'مسير فبراير'!R56,0)+IF(3&lt;=cfg_VAL_M,'مسير مارس'!R56,0)+IF(4&lt;=cfg_VAL_M,'مسير أبريل'!R56,0)+IF(5&lt;=cfg_VAL_M,'مسير مايو'!R56,0)+IF(6&lt;=cfg_VAL_M,'مسير يونيو'!R56,0)+IF(7&lt;=cfg_VAL_M,'مسير يوليو'!R56,0)+IF(8&lt;=cfg_VAL_M,'مسير أغسطس'!R56,0)+IF(9&lt;=cfg_VAL_M,'مسير سبتمبر'!R56,0)+IF(10&lt;=cfg_VAL_M,'مسير أكتوبر'!R56,0)+IF(11&lt;=cfg_VAL_M,'مسير نوفمبر'!R56,0)+IF(12&lt;=cfg_VAL_M,'مسير ديسمبر'!R56,0))</f>
        <v/>
      </c>
      <c r="T56" s="86" t="str">
        <f aca="false">IF($B56="","",'مسير يناير'!AB56)</f>
        <v/>
      </c>
      <c r="U56" s="86" t="str">
        <f aca="false">IF($B56="","",'مسير فبراير'!AB56)</f>
        <v/>
      </c>
      <c r="V56" s="86" t="str">
        <f aca="false">IF($B56="","",'مسير مارس'!AB56)</f>
        <v/>
      </c>
      <c r="W56" s="86" t="str">
        <f aca="false">IF($B56="","",'مسير أبريل'!AB56)</f>
        <v/>
      </c>
      <c r="X56" s="86" t="str">
        <f aca="false">IF($B56="","",'مسير مايو'!AB56)</f>
        <v/>
      </c>
      <c r="Y56" s="86" t="str">
        <f aca="false">IF($B56="","",'مسير يونيو'!AB56)</f>
        <v/>
      </c>
      <c r="Z56" s="86" t="str">
        <f aca="false">IF($B56="","",'مسير يوليو'!AB56)</f>
        <v/>
      </c>
      <c r="AA56" s="86" t="str">
        <f aca="false">IF($B56="","",'مسير أغسطس'!AB56)</f>
        <v/>
      </c>
      <c r="AB56" s="86" t="str">
        <f aca="false">IF($B56="","",'مسير سبتمبر'!AB56)</f>
        <v/>
      </c>
      <c r="AC56" s="86" t="str">
        <f aca="false">IF($B56="","",'مسير أكتوبر'!AB56)</f>
        <v/>
      </c>
      <c r="AD56" s="86" t="str">
        <f aca="false">IF($B56="","",'مسير نوفمبر'!AB56)</f>
        <v/>
      </c>
      <c r="AE56" s="86" t="str">
        <f aca="false">IF($B56="","",'مسير ديسمبر'!AB56)</f>
        <v/>
      </c>
      <c r="AF56" s="123" t="str">
        <f aca="false">IF($B56="","",IF(1&lt;=cfg_VAL_M,'مسير يناير'!AB56,0)+IF(2&lt;=cfg_VAL_M,'مسير فبراير'!AB56,0)+IF(3&lt;=cfg_VAL_M,'مسير مارس'!AB56,0)+IF(4&lt;=cfg_VAL_M,'مسير أبريل'!AB56,0)+IF(5&lt;=cfg_VAL_M,'مسير مايو'!AB56,0)+IF(6&lt;=cfg_VAL_M,'مسير يونيو'!AB56,0)+IF(7&lt;=cfg_VAL_M,'مسير يوليو'!AB56,0)+IF(8&lt;=cfg_VAL_M,'مسير أغسطس'!AB56,0)+IF(9&lt;=cfg_VAL_M,'مسير سبتمبر'!AB56,0)+IF(10&lt;=cfg_VAL_M,'مسير أكتوبر'!AB56,0)+IF(11&lt;=cfg_VAL_M,'مسير نوفمبر'!AB56,0)+IF(12&lt;=cfg_VAL_M,'مسير ديسمبر'!AB56,0))</f>
        <v/>
      </c>
      <c r="AG56" s="123" t="str">
        <f aca="false">IF($B56="","",IF(1&lt;=cfg_VAL_M,'مسير يناير'!W56,0)+IF(2&lt;=cfg_VAL_M,'مسير فبراير'!W56,0)+IF(3&lt;=cfg_VAL_M,'مسير مارس'!W56,0)+IF(4&lt;=cfg_VAL_M,'مسير أبريل'!W56,0)+IF(5&lt;=cfg_VAL_M,'مسير مايو'!W56,0)+IF(6&lt;=cfg_VAL_M,'مسير يونيو'!W56,0)+IF(7&lt;=cfg_VAL_M,'مسير يوليو'!W56,0)+IF(8&lt;=cfg_VAL_M,'مسير أغسطس'!W56,0)+IF(9&lt;=cfg_VAL_M,'مسير سبتمبر'!W56,0)+IF(10&lt;=cfg_VAL_M,'مسير أكتوبر'!W56,0)+IF(11&lt;=cfg_VAL_M,'مسير نوفمبر'!W56,0)+IF(12&lt;=cfg_VAL_M,'مسير ديسمبر'!W56,0))</f>
        <v/>
      </c>
      <c r="AH56" s="86" t="str">
        <f aca="false">IF($B56="","",AF56/cfg_VAL_M)</f>
        <v/>
      </c>
    </row>
    <row r="57" customFormat="false" ht="15" hidden="false" customHeight="false" outlineLevel="0" collapsed="false">
      <c r="B57" s="91" t="str">
        <f aca="false">IF(الموظفون!$B57="","",الموظفون!$B57)</f>
        <v/>
      </c>
      <c r="C57" s="91" t="str">
        <f aca="false">IF(الموظفون!$B57="","",الموظفون!$C57)</f>
        <v/>
      </c>
      <c r="D57" s="91" t="str">
        <f aca="false">IF(الموظفون!$B57="","",الموظفون!$F57)</f>
        <v/>
      </c>
      <c r="E57" s="91" t="str">
        <f aca="false">IF(الموظفون!$B57="","",الموظفون!$E57)</f>
        <v/>
      </c>
      <c r="F57" s="90" t="str">
        <f aca="false">IF($B57="","",'مسير يناير'!R57)</f>
        <v/>
      </c>
      <c r="G57" s="90" t="str">
        <f aca="false">IF($B57="","",'مسير فبراير'!R57)</f>
        <v/>
      </c>
      <c r="H57" s="90" t="str">
        <f aca="false">IF($B57="","",'مسير مارس'!R57)</f>
        <v/>
      </c>
      <c r="I57" s="90" t="str">
        <f aca="false">IF($B57="","",'مسير أبريل'!R57)</f>
        <v/>
      </c>
      <c r="J57" s="90" t="str">
        <f aca="false">IF($B57="","",'مسير مايو'!R57)</f>
        <v/>
      </c>
      <c r="K57" s="90" t="str">
        <f aca="false">IF($B57="","",'مسير يونيو'!R57)</f>
        <v/>
      </c>
      <c r="L57" s="90" t="str">
        <f aca="false">IF($B57="","",'مسير يوليو'!R57)</f>
        <v/>
      </c>
      <c r="M57" s="90" t="str">
        <f aca="false">IF($B57="","",'مسير أغسطس'!R57)</f>
        <v/>
      </c>
      <c r="N57" s="90" t="str">
        <f aca="false">IF($B57="","",'مسير سبتمبر'!R57)</f>
        <v/>
      </c>
      <c r="O57" s="90" t="str">
        <f aca="false">IF($B57="","",'مسير أكتوبر'!R57)</f>
        <v/>
      </c>
      <c r="P57" s="90" t="str">
        <f aca="false">IF($B57="","",'مسير نوفمبر'!R57)</f>
        <v/>
      </c>
      <c r="Q57" s="90" t="str">
        <f aca="false">IF($B57="","",'مسير ديسمبر'!R57)</f>
        <v/>
      </c>
      <c r="R57" s="124" t="str">
        <f aca="false">IF($B57="","",IF(1&lt;=cfg_VAL_M,'مسير يناير'!R57,0)+IF(2&lt;=cfg_VAL_M,'مسير فبراير'!R57,0)+IF(3&lt;=cfg_VAL_M,'مسير مارس'!R57,0)+IF(4&lt;=cfg_VAL_M,'مسير أبريل'!R57,0)+IF(5&lt;=cfg_VAL_M,'مسير مايو'!R57,0)+IF(6&lt;=cfg_VAL_M,'مسير يونيو'!R57,0)+IF(7&lt;=cfg_VAL_M,'مسير يوليو'!R57,0)+IF(8&lt;=cfg_VAL_M,'مسير أغسطس'!R57,0)+IF(9&lt;=cfg_VAL_M,'مسير سبتمبر'!R57,0)+IF(10&lt;=cfg_VAL_M,'مسير أكتوبر'!R57,0)+IF(11&lt;=cfg_VAL_M,'مسير نوفمبر'!R57,0)+IF(12&lt;=cfg_VAL_M,'مسير ديسمبر'!R57,0))</f>
        <v/>
      </c>
      <c r="T57" s="90" t="str">
        <f aca="false">IF($B57="","",'مسير يناير'!AB57)</f>
        <v/>
      </c>
      <c r="U57" s="90" t="str">
        <f aca="false">IF($B57="","",'مسير فبراير'!AB57)</f>
        <v/>
      </c>
      <c r="V57" s="90" t="str">
        <f aca="false">IF($B57="","",'مسير مارس'!AB57)</f>
        <v/>
      </c>
      <c r="W57" s="90" t="str">
        <f aca="false">IF($B57="","",'مسير أبريل'!AB57)</f>
        <v/>
      </c>
      <c r="X57" s="90" t="str">
        <f aca="false">IF($B57="","",'مسير مايو'!AB57)</f>
        <v/>
      </c>
      <c r="Y57" s="90" t="str">
        <f aca="false">IF($B57="","",'مسير يونيو'!AB57)</f>
        <v/>
      </c>
      <c r="Z57" s="90" t="str">
        <f aca="false">IF($B57="","",'مسير يوليو'!AB57)</f>
        <v/>
      </c>
      <c r="AA57" s="90" t="str">
        <f aca="false">IF($B57="","",'مسير أغسطس'!AB57)</f>
        <v/>
      </c>
      <c r="AB57" s="90" t="str">
        <f aca="false">IF($B57="","",'مسير سبتمبر'!AB57)</f>
        <v/>
      </c>
      <c r="AC57" s="90" t="str">
        <f aca="false">IF($B57="","",'مسير أكتوبر'!AB57)</f>
        <v/>
      </c>
      <c r="AD57" s="90" t="str">
        <f aca="false">IF($B57="","",'مسير نوفمبر'!AB57)</f>
        <v/>
      </c>
      <c r="AE57" s="90" t="str">
        <f aca="false">IF($B57="","",'مسير ديسمبر'!AB57)</f>
        <v/>
      </c>
      <c r="AF57" s="124" t="str">
        <f aca="false">IF($B57="","",IF(1&lt;=cfg_VAL_M,'مسير يناير'!AB57,0)+IF(2&lt;=cfg_VAL_M,'مسير فبراير'!AB57,0)+IF(3&lt;=cfg_VAL_M,'مسير مارس'!AB57,0)+IF(4&lt;=cfg_VAL_M,'مسير أبريل'!AB57,0)+IF(5&lt;=cfg_VAL_M,'مسير مايو'!AB57,0)+IF(6&lt;=cfg_VAL_M,'مسير يونيو'!AB57,0)+IF(7&lt;=cfg_VAL_M,'مسير يوليو'!AB57,0)+IF(8&lt;=cfg_VAL_M,'مسير أغسطس'!AB57,0)+IF(9&lt;=cfg_VAL_M,'مسير سبتمبر'!AB57,0)+IF(10&lt;=cfg_VAL_M,'مسير أكتوبر'!AB57,0)+IF(11&lt;=cfg_VAL_M,'مسير نوفمبر'!AB57,0)+IF(12&lt;=cfg_VAL_M,'مسير ديسمبر'!AB57,0))</f>
        <v/>
      </c>
      <c r="AG57" s="124" t="str">
        <f aca="false">IF($B57="","",IF(1&lt;=cfg_VAL_M,'مسير يناير'!W57,0)+IF(2&lt;=cfg_VAL_M,'مسير فبراير'!W57,0)+IF(3&lt;=cfg_VAL_M,'مسير مارس'!W57,0)+IF(4&lt;=cfg_VAL_M,'مسير أبريل'!W57,0)+IF(5&lt;=cfg_VAL_M,'مسير مايو'!W57,0)+IF(6&lt;=cfg_VAL_M,'مسير يونيو'!W57,0)+IF(7&lt;=cfg_VAL_M,'مسير يوليو'!W57,0)+IF(8&lt;=cfg_VAL_M,'مسير أغسطس'!W57,0)+IF(9&lt;=cfg_VAL_M,'مسير سبتمبر'!W57,0)+IF(10&lt;=cfg_VAL_M,'مسير أكتوبر'!W57,0)+IF(11&lt;=cfg_VAL_M,'مسير نوفمبر'!W57,0)+IF(12&lt;=cfg_VAL_M,'مسير ديسمبر'!W57,0))</f>
        <v/>
      </c>
      <c r="AH57" s="90" t="str">
        <f aca="false">IF($B57="","",AF57/cfg_VAL_M)</f>
        <v/>
      </c>
    </row>
    <row r="58" customFormat="false" ht="15" hidden="false" customHeight="false" outlineLevel="0" collapsed="false">
      <c r="B58" s="74" t="str">
        <f aca="false">IF(الموظفون!$B58="","",الموظفون!$B58)</f>
        <v/>
      </c>
      <c r="C58" s="74" t="str">
        <f aca="false">IF(الموظفون!$B58="","",الموظفون!$C58)</f>
        <v/>
      </c>
      <c r="D58" s="74" t="str">
        <f aca="false">IF(الموظفون!$B58="","",الموظفون!$F58)</f>
        <v/>
      </c>
      <c r="E58" s="74" t="str">
        <f aca="false">IF(الموظفون!$B58="","",الموظفون!$E58)</f>
        <v/>
      </c>
      <c r="F58" s="86" t="str">
        <f aca="false">IF($B58="","",'مسير يناير'!R58)</f>
        <v/>
      </c>
      <c r="G58" s="86" t="str">
        <f aca="false">IF($B58="","",'مسير فبراير'!R58)</f>
        <v/>
      </c>
      <c r="H58" s="86" t="str">
        <f aca="false">IF($B58="","",'مسير مارس'!R58)</f>
        <v/>
      </c>
      <c r="I58" s="86" t="str">
        <f aca="false">IF($B58="","",'مسير أبريل'!R58)</f>
        <v/>
      </c>
      <c r="J58" s="86" t="str">
        <f aca="false">IF($B58="","",'مسير مايو'!R58)</f>
        <v/>
      </c>
      <c r="K58" s="86" t="str">
        <f aca="false">IF($B58="","",'مسير يونيو'!R58)</f>
        <v/>
      </c>
      <c r="L58" s="86" t="str">
        <f aca="false">IF($B58="","",'مسير يوليو'!R58)</f>
        <v/>
      </c>
      <c r="M58" s="86" t="str">
        <f aca="false">IF($B58="","",'مسير أغسطس'!R58)</f>
        <v/>
      </c>
      <c r="N58" s="86" t="str">
        <f aca="false">IF($B58="","",'مسير سبتمبر'!R58)</f>
        <v/>
      </c>
      <c r="O58" s="86" t="str">
        <f aca="false">IF($B58="","",'مسير أكتوبر'!R58)</f>
        <v/>
      </c>
      <c r="P58" s="86" t="str">
        <f aca="false">IF($B58="","",'مسير نوفمبر'!R58)</f>
        <v/>
      </c>
      <c r="Q58" s="86" t="str">
        <f aca="false">IF($B58="","",'مسير ديسمبر'!R58)</f>
        <v/>
      </c>
      <c r="R58" s="123" t="str">
        <f aca="false">IF($B58="","",IF(1&lt;=cfg_VAL_M,'مسير يناير'!R58,0)+IF(2&lt;=cfg_VAL_M,'مسير فبراير'!R58,0)+IF(3&lt;=cfg_VAL_M,'مسير مارس'!R58,0)+IF(4&lt;=cfg_VAL_M,'مسير أبريل'!R58,0)+IF(5&lt;=cfg_VAL_M,'مسير مايو'!R58,0)+IF(6&lt;=cfg_VAL_M,'مسير يونيو'!R58,0)+IF(7&lt;=cfg_VAL_M,'مسير يوليو'!R58,0)+IF(8&lt;=cfg_VAL_M,'مسير أغسطس'!R58,0)+IF(9&lt;=cfg_VAL_M,'مسير سبتمبر'!R58,0)+IF(10&lt;=cfg_VAL_M,'مسير أكتوبر'!R58,0)+IF(11&lt;=cfg_VAL_M,'مسير نوفمبر'!R58,0)+IF(12&lt;=cfg_VAL_M,'مسير ديسمبر'!R58,0))</f>
        <v/>
      </c>
      <c r="T58" s="86" t="str">
        <f aca="false">IF($B58="","",'مسير يناير'!AB58)</f>
        <v/>
      </c>
      <c r="U58" s="86" t="str">
        <f aca="false">IF($B58="","",'مسير فبراير'!AB58)</f>
        <v/>
      </c>
      <c r="V58" s="86" t="str">
        <f aca="false">IF($B58="","",'مسير مارس'!AB58)</f>
        <v/>
      </c>
      <c r="W58" s="86" t="str">
        <f aca="false">IF($B58="","",'مسير أبريل'!AB58)</f>
        <v/>
      </c>
      <c r="X58" s="86" t="str">
        <f aca="false">IF($B58="","",'مسير مايو'!AB58)</f>
        <v/>
      </c>
      <c r="Y58" s="86" t="str">
        <f aca="false">IF($B58="","",'مسير يونيو'!AB58)</f>
        <v/>
      </c>
      <c r="Z58" s="86" t="str">
        <f aca="false">IF($B58="","",'مسير يوليو'!AB58)</f>
        <v/>
      </c>
      <c r="AA58" s="86" t="str">
        <f aca="false">IF($B58="","",'مسير أغسطس'!AB58)</f>
        <v/>
      </c>
      <c r="AB58" s="86" t="str">
        <f aca="false">IF($B58="","",'مسير سبتمبر'!AB58)</f>
        <v/>
      </c>
      <c r="AC58" s="86" t="str">
        <f aca="false">IF($B58="","",'مسير أكتوبر'!AB58)</f>
        <v/>
      </c>
      <c r="AD58" s="86" t="str">
        <f aca="false">IF($B58="","",'مسير نوفمبر'!AB58)</f>
        <v/>
      </c>
      <c r="AE58" s="86" t="str">
        <f aca="false">IF($B58="","",'مسير ديسمبر'!AB58)</f>
        <v/>
      </c>
      <c r="AF58" s="123" t="str">
        <f aca="false">IF($B58="","",IF(1&lt;=cfg_VAL_M,'مسير يناير'!AB58,0)+IF(2&lt;=cfg_VAL_M,'مسير فبراير'!AB58,0)+IF(3&lt;=cfg_VAL_M,'مسير مارس'!AB58,0)+IF(4&lt;=cfg_VAL_M,'مسير أبريل'!AB58,0)+IF(5&lt;=cfg_VAL_M,'مسير مايو'!AB58,0)+IF(6&lt;=cfg_VAL_M,'مسير يونيو'!AB58,0)+IF(7&lt;=cfg_VAL_M,'مسير يوليو'!AB58,0)+IF(8&lt;=cfg_VAL_M,'مسير أغسطس'!AB58,0)+IF(9&lt;=cfg_VAL_M,'مسير سبتمبر'!AB58,0)+IF(10&lt;=cfg_VAL_M,'مسير أكتوبر'!AB58,0)+IF(11&lt;=cfg_VAL_M,'مسير نوفمبر'!AB58,0)+IF(12&lt;=cfg_VAL_M,'مسير ديسمبر'!AB58,0))</f>
        <v/>
      </c>
      <c r="AG58" s="123" t="str">
        <f aca="false">IF($B58="","",IF(1&lt;=cfg_VAL_M,'مسير يناير'!W58,0)+IF(2&lt;=cfg_VAL_M,'مسير فبراير'!W58,0)+IF(3&lt;=cfg_VAL_M,'مسير مارس'!W58,0)+IF(4&lt;=cfg_VAL_M,'مسير أبريل'!W58,0)+IF(5&lt;=cfg_VAL_M,'مسير مايو'!W58,0)+IF(6&lt;=cfg_VAL_M,'مسير يونيو'!W58,0)+IF(7&lt;=cfg_VAL_M,'مسير يوليو'!W58,0)+IF(8&lt;=cfg_VAL_M,'مسير أغسطس'!W58,0)+IF(9&lt;=cfg_VAL_M,'مسير سبتمبر'!W58,0)+IF(10&lt;=cfg_VAL_M,'مسير أكتوبر'!W58,0)+IF(11&lt;=cfg_VAL_M,'مسير نوفمبر'!W58,0)+IF(12&lt;=cfg_VAL_M,'مسير ديسمبر'!W58,0))</f>
        <v/>
      </c>
      <c r="AH58" s="86" t="str">
        <f aca="false">IF($B58="","",AF58/cfg_VAL_M)</f>
        <v/>
      </c>
    </row>
    <row r="59" customFormat="false" ht="15" hidden="false" customHeight="false" outlineLevel="0" collapsed="false">
      <c r="B59" s="91" t="str">
        <f aca="false">IF(الموظفون!$B59="","",الموظفون!$B59)</f>
        <v/>
      </c>
      <c r="C59" s="91" t="str">
        <f aca="false">IF(الموظفون!$B59="","",الموظفون!$C59)</f>
        <v/>
      </c>
      <c r="D59" s="91" t="str">
        <f aca="false">IF(الموظفون!$B59="","",الموظفون!$F59)</f>
        <v/>
      </c>
      <c r="E59" s="91" t="str">
        <f aca="false">IF(الموظفون!$B59="","",الموظفون!$E59)</f>
        <v/>
      </c>
      <c r="F59" s="90" t="str">
        <f aca="false">IF($B59="","",'مسير يناير'!R59)</f>
        <v/>
      </c>
      <c r="G59" s="90" t="str">
        <f aca="false">IF($B59="","",'مسير فبراير'!R59)</f>
        <v/>
      </c>
      <c r="H59" s="90" t="str">
        <f aca="false">IF($B59="","",'مسير مارس'!R59)</f>
        <v/>
      </c>
      <c r="I59" s="90" t="str">
        <f aca="false">IF($B59="","",'مسير أبريل'!R59)</f>
        <v/>
      </c>
      <c r="J59" s="90" t="str">
        <f aca="false">IF($B59="","",'مسير مايو'!R59)</f>
        <v/>
      </c>
      <c r="K59" s="90" t="str">
        <f aca="false">IF($B59="","",'مسير يونيو'!R59)</f>
        <v/>
      </c>
      <c r="L59" s="90" t="str">
        <f aca="false">IF($B59="","",'مسير يوليو'!R59)</f>
        <v/>
      </c>
      <c r="M59" s="90" t="str">
        <f aca="false">IF($B59="","",'مسير أغسطس'!R59)</f>
        <v/>
      </c>
      <c r="N59" s="90" t="str">
        <f aca="false">IF($B59="","",'مسير سبتمبر'!R59)</f>
        <v/>
      </c>
      <c r="O59" s="90" t="str">
        <f aca="false">IF($B59="","",'مسير أكتوبر'!R59)</f>
        <v/>
      </c>
      <c r="P59" s="90" t="str">
        <f aca="false">IF($B59="","",'مسير نوفمبر'!R59)</f>
        <v/>
      </c>
      <c r="Q59" s="90" t="str">
        <f aca="false">IF($B59="","",'مسير ديسمبر'!R59)</f>
        <v/>
      </c>
      <c r="R59" s="124" t="str">
        <f aca="false">IF($B59="","",IF(1&lt;=cfg_VAL_M,'مسير يناير'!R59,0)+IF(2&lt;=cfg_VAL_M,'مسير فبراير'!R59,0)+IF(3&lt;=cfg_VAL_M,'مسير مارس'!R59,0)+IF(4&lt;=cfg_VAL_M,'مسير أبريل'!R59,0)+IF(5&lt;=cfg_VAL_M,'مسير مايو'!R59,0)+IF(6&lt;=cfg_VAL_M,'مسير يونيو'!R59,0)+IF(7&lt;=cfg_VAL_M,'مسير يوليو'!R59,0)+IF(8&lt;=cfg_VAL_M,'مسير أغسطس'!R59,0)+IF(9&lt;=cfg_VAL_M,'مسير سبتمبر'!R59,0)+IF(10&lt;=cfg_VAL_M,'مسير أكتوبر'!R59,0)+IF(11&lt;=cfg_VAL_M,'مسير نوفمبر'!R59,0)+IF(12&lt;=cfg_VAL_M,'مسير ديسمبر'!R59,0))</f>
        <v/>
      </c>
      <c r="T59" s="90" t="str">
        <f aca="false">IF($B59="","",'مسير يناير'!AB59)</f>
        <v/>
      </c>
      <c r="U59" s="90" t="str">
        <f aca="false">IF($B59="","",'مسير فبراير'!AB59)</f>
        <v/>
      </c>
      <c r="V59" s="90" t="str">
        <f aca="false">IF($B59="","",'مسير مارس'!AB59)</f>
        <v/>
      </c>
      <c r="W59" s="90" t="str">
        <f aca="false">IF($B59="","",'مسير أبريل'!AB59)</f>
        <v/>
      </c>
      <c r="X59" s="90" t="str">
        <f aca="false">IF($B59="","",'مسير مايو'!AB59)</f>
        <v/>
      </c>
      <c r="Y59" s="90" t="str">
        <f aca="false">IF($B59="","",'مسير يونيو'!AB59)</f>
        <v/>
      </c>
      <c r="Z59" s="90" t="str">
        <f aca="false">IF($B59="","",'مسير يوليو'!AB59)</f>
        <v/>
      </c>
      <c r="AA59" s="90" t="str">
        <f aca="false">IF($B59="","",'مسير أغسطس'!AB59)</f>
        <v/>
      </c>
      <c r="AB59" s="90" t="str">
        <f aca="false">IF($B59="","",'مسير سبتمبر'!AB59)</f>
        <v/>
      </c>
      <c r="AC59" s="90" t="str">
        <f aca="false">IF($B59="","",'مسير أكتوبر'!AB59)</f>
        <v/>
      </c>
      <c r="AD59" s="90" t="str">
        <f aca="false">IF($B59="","",'مسير نوفمبر'!AB59)</f>
        <v/>
      </c>
      <c r="AE59" s="90" t="str">
        <f aca="false">IF($B59="","",'مسير ديسمبر'!AB59)</f>
        <v/>
      </c>
      <c r="AF59" s="124" t="str">
        <f aca="false">IF($B59="","",IF(1&lt;=cfg_VAL_M,'مسير يناير'!AB59,0)+IF(2&lt;=cfg_VAL_M,'مسير فبراير'!AB59,0)+IF(3&lt;=cfg_VAL_M,'مسير مارس'!AB59,0)+IF(4&lt;=cfg_VAL_M,'مسير أبريل'!AB59,0)+IF(5&lt;=cfg_VAL_M,'مسير مايو'!AB59,0)+IF(6&lt;=cfg_VAL_M,'مسير يونيو'!AB59,0)+IF(7&lt;=cfg_VAL_M,'مسير يوليو'!AB59,0)+IF(8&lt;=cfg_VAL_M,'مسير أغسطس'!AB59,0)+IF(9&lt;=cfg_VAL_M,'مسير سبتمبر'!AB59,0)+IF(10&lt;=cfg_VAL_M,'مسير أكتوبر'!AB59,0)+IF(11&lt;=cfg_VAL_M,'مسير نوفمبر'!AB59,0)+IF(12&lt;=cfg_VAL_M,'مسير ديسمبر'!AB59,0))</f>
        <v/>
      </c>
      <c r="AG59" s="124" t="str">
        <f aca="false">IF($B59="","",IF(1&lt;=cfg_VAL_M,'مسير يناير'!W59,0)+IF(2&lt;=cfg_VAL_M,'مسير فبراير'!W59,0)+IF(3&lt;=cfg_VAL_M,'مسير مارس'!W59,0)+IF(4&lt;=cfg_VAL_M,'مسير أبريل'!W59,0)+IF(5&lt;=cfg_VAL_M,'مسير مايو'!W59,0)+IF(6&lt;=cfg_VAL_M,'مسير يونيو'!W59,0)+IF(7&lt;=cfg_VAL_M,'مسير يوليو'!W59,0)+IF(8&lt;=cfg_VAL_M,'مسير أغسطس'!W59,0)+IF(9&lt;=cfg_VAL_M,'مسير سبتمبر'!W59,0)+IF(10&lt;=cfg_VAL_M,'مسير أكتوبر'!W59,0)+IF(11&lt;=cfg_VAL_M,'مسير نوفمبر'!W59,0)+IF(12&lt;=cfg_VAL_M,'مسير ديسمبر'!W59,0))</f>
        <v/>
      </c>
      <c r="AH59" s="90" t="str">
        <f aca="false">IF($B59="","",AF59/cfg_VAL_M)</f>
        <v/>
      </c>
    </row>
    <row r="60" customFormat="false" ht="15" hidden="false" customHeight="false" outlineLevel="0" collapsed="false">
      <c r="B60" s="74" t="str">
        <f aca="false">IF(الموظفون!$B60="","",الموظفون!$B60)</f>
        <v/>
      </c>
      <c r="C60" s="74" t="str">
        <f aca="false">IF(الموظفون!$B60="","",الموظفون!$C60)</f>
        <v/>
      </c>
      <c r="D60" s="74" t="str">
        <f aca="false">IF(الموظفون!$B60="","",الموظفون!$F60)</f>
        <v/>
      </c>
      <c r="E60" s="74" t="str">
        <f aca="false">IF(الموظفون!$B60="","",الموظفون!$E60)</f>
        <v/>
      </c>
      <c r="F60" s="86" t="str">
        <f aca="false">IF($B60="","",'مسير يناير'!R60)</f>
        <v/>
      </c>
      <c r="G60" s="86" t="str">
        <f aca="false">IF($B60="","",'مسير فبراير'!R60)</f>
        <v/>
      </c>
      <c r="H60" s="86" t="str">
        <f aca="false">IF($B60="","",'مسير مارس'!R60)</f>
        <v/>
      </c>
      <c r="I60" s="86" t="str">
        <f aca="false">IF($B60="","",'مسير أبريل'!R60)</f>
        <v/>
      </c>
      <c r="J60" s="86" t="str">
        <f aca="false">IF($B60="","",'مسير مايو'!R60)</f>
        <v/>
      </c>
      <c r="K60" s="86" t="str">
        <f aca="false">IF($B60="","",'مسير يونيو'!R60)</f>
        <v/>
      </c>
      <c r="L60" s="86" t="str">
        <f aca="false">IF($B60="","",'مسير يوليو'!R60)</f>
        <v/>
      </c>
      <c r="M60" s="86" t="str">
        <f aca="false">IF($B60="","",'مسير أغسطس'!R60)</f>
        <v/>
      </c>
      <c r="N60" s="86" t="str">
        <f aca="false">IF($B60="","",'مسير سبتمبر'!R60)</f>
        <v/>
      </c>
      <c r="O60" s="86" t="str">
        <f aca="false">IF($B60="","",'مسير أكتوبر'!R60)</f>
        <v/>
      </c>
      <c r="P60" s="86" t="str">
        <f aca="false">IF($B60="","",'مسير نوفمبر'!R60)</f>
        <v/>
      </c>
      <c r="Q60" s="86" t="str">
        <f aca="false">IF($B60="","",'مسير ديسمبر'!R60)</f>
        <v/>
      </c>
      <c r="R60" s="123" t="str">
        <f aca="false">IF($B60="","",IF(1&lt;=cfg_VAL_M,'مسير يناير'!R60,0)+IF(2&lt;=cfg_VAL_M,'مسير فبراير'!R60,0)+IF(3&lt;=cfg_VAL_M,'مسير مارس'!R60,0)+IF(4&lt;=cfg_VAL_M,'مسير أبريل'!R60,0)+IF(5&lt;=cfg_VAL_M,'مسير مايو'!R60,0)+IF(6&lt;=cfg_VAL_M,'مسير يونيو'!R60,0)+IF(7&lt;=cfg_VAL_M,'مسير يوليو'!R60,0)+IF(8&lt;=cfg_VAL_M,'مسير أغسطس'!R60,0)+IF(9&lt;=cfg_VAL_M,'مسير سبتمبر'!R60,0)+IF(10&lt;=cfg_VAL_M,'مسير أكتوبر'!R60,0)+IF(11&lt;=cfg_VAL_M,'مسير نوفمبر'!R60,0)+IF(12&lt;=cfg_VAL_M,'مسير ديسمبر'!R60,0))</f>
        <v/>
      </c>
      <c r="T60" s="86" t="str">
        <f aca="false">IF($B60="","",'مسير يناير'!AB60)</f>
        <v/>
      </c>
      <c r="U60" s="86" t="str">
        <f aca="false">IF($B60="","",'مسير فبراير'!AB60)</f>
        <v/>
      </c>
      <c r="V60" s="86" t="str">
        <f aca="false">IF($B60="","",'مسير مارس'!AB60)</f>
        <v/>
      </c>
      <c r="W60" s="86" t="str">
        <f aca="false">IF($B60="","",'مسير أبريل'!AB60)</f>
        <v/>
      </c>
      <c r="X60" s="86" t="str">
        <f aca="false">IF($B60="","",'مسير مايو'!AB60)</f>
        <v/>
      </c>
      <c r="Y60" s="86" t="str">
        <f aca="false">IF($B60="","",'مسير يونيو'!AB60)</f>
        <v/>
      </c>
      <c r="Z60" s="86" t="str">
        <f aca="false">IF($B60="","",'مسير يوليو'!AB60)</f>
        <v/>
      </c>
      <c r="AA60" s="86" t="str">
        <f aca="false">IF($B60="","",'مسير أغسطس'!AB60)</f>
        <v/>
      </c>
      <c r="AB60" s="86" t="str">
        <f aca="false">IF($B60="","",'مسير سبتمبر'!AB60)</f>
        <v/>
      </c>
      <c r="AC60" s="86" t="str">
        <f aca="false">IF($B60="","",'مسير أكتوبر'!AB60)</f>
        <v/>
      </c>
      <c r="AD60" s="86" t="str">
        <f aca="false">IF($B60="","",'مسير نوفمبر'!AB60)</f>
        <v/>
      </c>
      <c r="AE60" s="86" t="str">
        <f aca="false">IF($B60="","",'مسير ديسمبر'!AB60)</f>
        <v/>
      </c>
      <c r="AF60" s="123" t="str">
        <f aca="false">IF($B60="","",IF(1&lt;=cfg_VAL_M,'مسير يناير'!AB60,0)+IF(2&lt;=cfg_VAL_M,'مسير فبراير'!AB60,0)+IF(3&lt;=cfg_VAL_M,'مسير مارس'!AB60,0)+IF(4&lt;=cfg_VAL_M,'مسير أبريل'!AB60,0)+IF(5&lt;=cfg_VAL_M,'مسير مايو'!AB60,0)+IF(6&lt;=cfg_VAL_M,'مسير يونيو'!AB60,0)+IF(7&lt;=cfg_VAL_M,'مسير يوليو'!AB60,0)+IF(8&lt;=cfg_VAL_M,'مسير أغسطس'!AB60,0)+IF(9&lt;=cfg_VAL_M,'مسير سبتمبر'!AB60,0)+IF(10&lt;=cfg_VAL_M,'مسير أكتوبر'!AB60,0)+IF(11&lt;=cfg_VAL_M,'مسير نوفمبر'!AB60,0)+IF(12&lt;=cfg_VAL_M,'مسير ديسمبر'!AB60,0))</f>
        <v/>
      </c>
      <c r="AG60" s="123" t="str">
        <f aca="false">IF($B60="","",IF(1&lt;=cfg_VAL_M,'مسير يناير'!W60,0)+IF(2&lt;=cfg_VAL_M,'مسير فبراير'!W60,0)+IF(3&lt;=cfg_VAL_M,'مسير مارس'!W60,0)+IF(4&lt;=cfg_VAL_M,'مسير أبريل'!W60,0)+IF(5&lt;=cfg_VAL_M,'مسير مايو'!W60,0)+IF(6&lt;=cfg_VAL_M,'مسير يونيو'!W60,0)+IF(7&lt;=cfg_VAL_M,'مسير يوليو'!W60,0)+IF(8&lt;=cfg_VAL_M,'مسير أغسطس'!W60,0)+IF(9&lt;=cfg_VAL_M,'مسير سبتمبر'!W60,0)+IF(10&lt;=cfg_VAL_M,'مسير أكتوبر'!W60,0)+IF(11&lt;=cfg_VAL_M,'مسير نوفمبر'!W60,0)+IF(12&lt;=cfg_VAL_M,'مسير ديسمبر'!W60,0))</f>
        <v/>
      </c>
      <c r="AH60" s="86" t="str">
        <f aca="false">IF($B60="","",AF60/cfg_VAL_M)</f>
        <v/>
      </c>
    </row>
    <row r="61" customFormat="false" ht="15" hidden="false" customHeight="false" outlineLevel="0" collapsed="false">
      <c r="B61" s="91" t="str">
        <f aca="false">IF(الموظفون!$B61="","",الموظفون!$B61)</f>
        <v/>
      </c>
      <c r="C61" s="91" t="str">
        <f aca="false">IF(الموظفون!$B61="","",الموظفون!$C61)</f>
        <v/>
      </c>
      <c r="D61" s="91" t="str">
        <f aca="false">IF(الموظفون!$B61="","",الموظفون!$F61)</f>
        <v/>
      </c>
      <c r="E61" s="91" t="str">
        <f aca="false">IF(الموظفون!$B61="","",الموظفون!$E61)</f>
        <v/>
      </c>
      <c r="F61" s="90" t="str">
        <f aca="false">IF($B61="","",'مسير يناير'!R61)</f>
        <v/>
      </c>
      <c r="G61" s="90" t="str">
        <f aca="false">IF($B61="","",'مسير فبراير'!R61)</f>
        <v/>
      </c>
      <c r="H61" s="90" t="str">
        <f aca="false">IF($B61="","",'مسير مارس'!R61)</f>
        <v/>
      </c>
      <c r="I61" s="90" t="str">
        <f aca="false">IF($B61="","",'مسير أبريل'!R61)</f>
        <v/>
      </c>
      <c r="J61" s="90" t="str">
        <f aca="false">IF($B61="","",'مسير مايو'!R61)</f>
        <v/>
      </c>
      <c r="K61" s="90" t="str">
        <f aca="false">IF($B61="","",'مسير يونيو'!R61)</f>
        <v/>
      </c>
      <c r="L61" s="90" t="str">
        <f aca="false">IF($B61="","",'مسير يوليو'!R61)</f>
        <v/>
      </c>
      <c r="M61" s="90" t="str">
        <f aca="false">IF($B61="","",'مسير أغسطس'!R61)</f>
        <v/>
      </c>
      <c r="N61" s="90" t="str">
        <f aca="false">IF($B61="","",'مسير سبتمبر'!R61)</f>
        <v/>
      </c>
      <c r="O61" s="90" t="str">
        <f aca="false">IF($B61="","",'مسير أكتوبر'!R61)</f>
        <v/>
      </c>
      <c r="P61" s="90" t="str">
        <f aca="false">IF($B61="","",'مسير نوفمبر'!R61)</f>
        <v/>
      </c>
      <c r="Q61" s="90" t="str">
        <f aca="false">IF($B61="","",'مسير ديسمبر'!R61)</f>
        <v/>
      </c>
      <c r="R61" s="124" t="str">
        <f aca="false">IF($B61="","",IF(1&lt;=cfg_VAL_M,'مسير يناير'!R61,0)+IF(2&lt;=cfg_VAL_M,'مسير فبراير'!R61,0)+IF(3&lt;=cfg_VAL_M,'مسير مارس'!R61,0)+IF(4&lt;=cfg_VAL_M,'مسير أبريل'!R61,0)+IF(5&lt;=cfg_VAL_M,'مسير مايو'!R61,0)+IF(6&lt;=cfg_VAL_M,'مسير يونيو'!R61,0)+IF(7&lt;=cfg_VAL_M,'مسير يوليو'!R61,0)+IF(8&lt;=cfg_VAL_M,'مسير أغسطس'!R61,0)+IF(9&lt;=cfg_VAL_M,'مسير سبتمبر'!R61,0)+IF(10&lt;=cfg_VAL_M,'مسير أكتوبر'!R61,0)+IF(11&lt;=cfg_VAL_M,'مسير نوفمبر'!R61,0)+IF(12&lt;=cfg_VAL_M,'مسير ديسمبر'!R61,0))</f>
        <v/>
      </c>
      <c r="T61" s="90" t="str">
        <f aca="false">IF($B61="","",'مسير يناير'!AB61)</f>
        <v/>
      </c>
      <c r="U61" s="90" t="str">
        <f aca="false">IF($B61="","",'مسير فبراير'!AB61)</f>
        <v/>
      </c>
      <c r="V61" s="90" t="str">
        <f aca="false">IF($B61="","",'مسير مارس'!AB61)</f>
        <v/>
      </c>
      <c r="W61" s="90" t="str">
        <f aca="false">IF($B61="","",'مسير أبريل'!AB61)</f>
        <v/>
      </c>
      <c r="X61" s="90" t="str">
        <f aca="false">IF($B61="","",'مسير مايو'!AB61)</f>
        <v/>
      </c>
      <c r="Y61" s="90" t="str">
        <f aca="false">IF($B61="","",'مسير يونيو'!AB61)</f>
        <v/>
      </c>
      <c r="Z61" s="90" t="str">
        <f aca="false">IF($B61="","",'مسير يوليو'!AB61)</f>
        <v/>
      </c>
      <c r="AA61" s="90" t="str">
        <f aca="false">IF($B61="","",'مسير أغسطس'!AB61)</f>
        <v/>
      </c>
      <c r="AB61" s="90" t="str">
        <f aca="false">IF($B61="","",'مسير سبتمبر'!AB61)</f>
        <v/>
      </c>
      <c r="AC61" s="90" t="str">
        <f aca="false">IF($B61="","",'مسير أكتوبر'!AB61)</f>
        <v/>
      </c>
      <c r="AD61" s="90" t="str">
        <f aca="false">IF($B61="","",'مسير نوفمبر'!AB61)</f>
        <v/>
      </c>
      <c r="AE61" s="90" t="str">
        <f aca="false">IF($B61="","",'مسير ديسمبر'!AB61)</f>
        <v/>
      </c>
      <c r="AF61" s="124" t="str">
        <f aca="false">IF($B61="","",IF(1&lt;=cfg_VAL_M,'مسير يناير'!AB61,0)+IF(2&lt;=cfg_VAL_M,'مسير فبراير'!AB61,0)+IF(3&lt;=cfg_VAL_M,'مسير مارس'!AB61,0)+IF(4&lt;=cfg_VAL_M,'مسير أبريل'!AB61,0)+IF(5&lt;=cfg_VAL_M,'مسير مايو'!AB61,0)+IF(6&lt;=cfg_VAL_M,'مسير يونيو'!AB61,0)+IF(7&lt;=cfg_VAL_M,'مسير يوليو'!AB61,0)+IF(8&lt;=cfg_VAL_M,'مسير أغسطس'!AB61,0)+IF(9&lt;=cfg_VAL_M,'مسير سبتمبر'!AB61,0)+IF(10&lt;=cfg_VAL_M,'مسير أكتوبر'!AB61,0)+IF(11&lt;=cfg_VAL_M,'مسير نوفمبر'!AB61,0)+IF(12&lt;=cfg_VAL_M,'مسير ديسمبر'!AB61,0))</f>
        <v/>
      </c>
      <c r="AG61" s="124" t="str">
        <f aca="false">IF($B61="","",IF(1&lt;=cfg_VAL_M,'مسير يناير'!W61,0)+IF(2&lt;=cfg_VAL_M,'مسير فبراير'!W61,0)+IF(3&lt;=cfg_VAL_M,'مسير مارس'!W61,0)+IF(4&lt;=cfg_VAL_M,'مسير أبريل'!W61,0)+IF(5&lt;=cfg_VAL_M,'مسير مايو'!W61,0)+IF(6&lt;=cfg_VAL_M,'مسير يونيو'!W61,0)+IF(7&lt;=cfg_VAL_M,'مسير يوليو'!W61,0)+IF(8&lt;=cfg_VAL_M,'مسير أغسطس'!W61,0)+IF(9&lt;=cfg_VAL_M,'مسير سبتمبر'!W61,0)+IF(10&lt;=cfg_VAL_M,'مسير أكتوبر'!W61,0)+IF(11&lt;=cfg_VAL_M,'مسير نوفمبر'!W61,0)+IF(12&lt;=cfg_VAL_M,'مسير ديسمبر'!W61,0))</f>
        <v/>
      </c>
      <c r="AH61" s="90" t="str">
        <f aca="false">IF($B61="","",AF61/cfg_VAL_M)</f>
        <v/>
      </c>
    </row>
    <row r="62" customFormat="false" ht="15" hidden="false" customHeight="false" outlineLevel="0" collapsed="false">
      <c r="B62" s="74" t="str">
        <f aca="false">IF(الموظفون!$B62="","",الموظفون!$B62)</f>
        <v/>
      </c>
      <c r="C62" s="74" t="str">
        <f aca="false">IF(الموظفون!$B62="","",الموظفون!$C62)</f>
        <v/>
      </c>
      <c r="D62" s="74" t="str">
        <f aca="false">IF(الموظفون!$B62="","",الموظفون!$F62)</f>
        <v/>
      </c>
      <c r="E62" s="74" t="str">
        <f aca="false">IF(الموظفون!$B62="","",الموظفون!$E62)</f>
        <v/>
      </c>
      <c r="F62" s="86" t="str">
        <f aca="false">IF($B62="","",'مسير يناير'!R62)</f>
        <v/>
      </c>
      <c r="G62" s="86" t="str">
        <f aca="false">IF($B62="","",'مسير فبراير'!R62)</f>
        <v/>
      </c>
      <c r="H62" s="86" t="str">
        <f aca="false">IF($B62="","",'مسير مارس'!R62)</f>
        <v/>
      </c>
      <c r="I62" s="86" t="str">
        <f aca="false">IF($B62="","",'مسير أبريل'!R62)</f>
        <v/>
      </c>
      <c r="J62" s="86" t="str">
        <f aca="false">IF($B62="","",'مسير مايو'!R62)</f>
        <v/>
      </c>
      <c r="K62" s="86" t="str">
        <f aca="false">IF($B62="","",'مسير يونيو'!R62)</f>
        <v/>
      </c>
      <c r="L62" s="86" t="str">
        <f aca="false">IF($B62="","",'مسير يوليو'!R62)</f>
        <v/>
      </c>
      <c r="M62" s="86" t="str">
        <f aca="false">IF($B62="","",'مسير أغسطس'!R62)</f>
        <v/>
      </c>
      <c r="N62" s="86" t="str">
        <f aca="false">IF($B62="","",'مسير سبتمبر'!R62)</f>
        <v/>
      </c>
      <c r="O62" s="86" t="str">
        <f aca="false">IF($B62="","",'مسير أكتوبر'!R62)</f>
        <v/>
      </c>
      <c r="P62" s="86" t="str">
        <f aca="false">IF($B62="","",'مسير نوفمبر'!R62)</f>
        <v/>
      </c>
      <c r="Q62" s="86" t="str">
        <f aca="false">IF($B62="","",'مسير ديسمبر'!R62)</f>
        <v/>
      </c>
      <c r="R62" s="123" t="str">
        <f aca="false">IF($B62="","",IF(1&lt;=cfg_VAL_M,'مسير يناير'!R62,0)+IF(2&lt;=cfg_VAL_M,'مسير فبراير'!R62,0)+IF(3&lt;=cfg_VAL_M,'مسير مارس'!R62,0)+IF(4&lt;=cfg_VAL_M,'مسير أبريل'!R62,0)+IF(5&lt;=cfg_VAL_M,'مسير مايو'!R62,0)+IF(6&lt;=cfg_VAL_M,'مسير يونيو'!R62,0)+IF(7&lt;=cfg_VAL_M,'مسير يوليو'!R62,0)+IF(8&lt;=cfg_VAL_M,'مسير أغسطس'!R62,0)+IF(9&lt;=cfg_VAL_M,'مسير سبتمبر'!R62,0)+IF(10&lt;=cfg_VAL_M,'مسير أكتوبر'!R62,0)+IF(11&lt;=cfg_VAL_M,'مسير نوفمبر'!R62,0)+IF(12&lt;=cfg_VAL_M,'مسير ديسمبر'!R62,0))</f>
        <v/>
      </c>
      <c r="T62" s="86" t="str">
        <f aca="false">IF($B62="","",'مسير يناير'!AB62)</f>
        <v/>
      </c>
      <c r="U62" s="86" t="str">
        <f aca="false">IF($B62="","",'مسير فبراير'!AB62)</f>
        <v/>
      </c>
      <c r="V62" s="86" t="str">
        <f aca="false">IF($B62="","",'مسير مارس'!AB62)</f>
        <v/>
      </c>
      <c r="W62" s="86" t="str">
        <f aca="false">IF($B62="","",'مسير أبريل'!AB62)</f>
        <v/>
      </c>
      <c r="X62" s="86" t="str">
        <f aca="false">IF($B62="","",'مسير مايو'!AB62)</f>
        <v/>
      </c>
      <c r="Y62" s="86" t="str">
        <f aca="false">IF($B62="","",'مسير يونيو'!AB62)</f>
        <v/>
      </c>
      <c r="Z62" s="86" t="str">
        <f aca="false">IF($B62="","",'مسير يوليو'!AB62)</f>
        <v/>
      </c>
      <c r="AA62" s="86" t="str">
        <f aca="false">IF($B62="","",'مسير أغسطس'!AB62)</f>
        <v/>
      </c>
      <c r="AB62" s="86" t="str">
        <f aca="false">IF($B62="","",'مسير سبتمبر'!AB62)</f>
        <v/>
      </c>
      <c r="AC62" s="86" t="str">
        <f aca="false">IF($B62="","",'مسير أكتوبر'!AB62)</f>
        <v/>
      </c>
      <c r="AD62" s="86" t="str">
        <f aca="false">IF($B62="","",'مسير نوفمبر'!AB62)</f>
        <v/>
      </c>
      <c r="AE62" s="86" t="str">
        <f aca="false">IF($B62="","",'مسير ديسمبر'!AB62)</f>
        <v/>
      </c>
      <c r="AF62" s="123" t="str">
        <f aca="false">IF($B62="","",IF(1&lt;=cfg_VAL_M,'مسير يناير'!AB62,0)+IF(2&lt;=cfg_VAL_M,'مسير فبراير'!AB62,0)+IF(3&lt;=cfg_VAL_M,'مسير مارس'!AB62,0)+IF(4&lt;=cfg_VAL_M,'مسير أبريل'!AB62,0)+IF(5&lt;=cfg_VAL_M,'مسير مايو'!AB62,0)+IF(6&lt;=cfg_VAL_M,'مسير يونيو'!AB62,0)+IF(7&lt;=cfg_VAL_M,'مسير يوليو'!AB62,0)+IF(8&lt;=cfg_VAL_M,'مسير أغسطس'!AB62,0)+IF(9&lt;=cfg_VAL_M,'مسير سبتمبر'!AB62,0)+IF(10&lt;=cfg_VAL_M,'مسير أكتوبر'!AB62,0)+IF(11&lt;=cfg_VAL_M,'مسير نوفمبر'!AB62,0)+IF(12&lt;=cfg_VAL_M,'مسير ديسمبر'!AB62,0))</f>
        <v/>
      </c>
      <c r="AG62" s="123" t="str">
        <f aca="false">IF($B62="","",IF(1&lt;=cfg_VAL_M,'مسير يناير'!W62,0)+IF(2&lt;=cfg_VAL_M,'مسير فبراير'!W62,0)+IF(3&lt;=cfg_VAL_M,'مسير مارس'!W62,0)+IF(4&lt;=cfg_VAL_M,'مسير أبريل'!W62,0)+IF(5&lt;=cfg_VAL_M,'مسير مايو'!W62,0)+IF(6&lt;=cfg_VAL_M,'مسير يونيو'!W62,0)+IF(7&lt;=cfg_VAL_M,'مسير يوليو'!W62,0)+IF(8&lt;=cfg_VAL_M,'مسير أغسطس'!W62,0)+IF(9&lt;=cfg_VAL_M,'مسير سبتمبر'!W62,0)+IF(10&lt;=cfg_VAL_M,'مسير أكتوبر'!W62,0)+IF(11&lt;=cfg_VAL_M,'مسير نوفمبر'!W62,0)+IF(12&lt;=cfg_VAL_M,'مسير ديسمبر'!W62,0))</f>
        <v/>
      </c>
      <c r="AH62" s="86" t="str">
        <f aca="false">IF($B62="","",AF62/cfg_VAL_M)</f>
        <v/>
      </c>
    </row>
    <row r="63" customFormat="false" ht="15" hidden="false" customHeight="false" outlineLevel="0" collapsed="false">
      <c r="B63" s="91" t="str">
        <f aca="false">IF(الموظفون!$B63="","",الموظفون!$B63)</f>
        <v/>
      </c>
      <c r="C63" s="91" t="str">
        <f aca="false">IF(الموظفون!$B63="","",الموظفون!$C63)</f>
        <v/>
      </c>
      <c r="D63" s="91" t="str">
        <f aca="false">IF(الموظفون!$B63="","",الموظفون!$F63)</f>
        <v/>
      </c>
      <c r="E63" s="91" t="str">
        <f aca="false">IF(الموظفون!$B63="","",الموظفون!$E63)</f>
        <v/>
      </c>
      <c r="F63" s="90" t="str">
        <f aca="false">IF($B63="","",'مسير يناير'!R63)</f>
        <v/>
      </c>
      <c r="G63" s="90" t="str">
        <f aca="false">IF($B63="","",'مسير فبراير'!R63)</f>
        <v/>
      </c>
      <c r="H63" s="90" t="str">
        <f aca="false">IF($B63="","",'مسير مارس'!R63)</f>
        <v/>
      </c>
      <c r="I63" s="90" t="str">
        <f aca="false">IF($B63="","",'مسير أبريل'!R63)</f>
        <v/>
      </c>
      <c r="J63" s="90" t="str">
        <f aca="false">IF($B63="","",'مسير مايو'!R63)</f>
        <v/>
      </c>
      <c r="K63" s="90" t="str">
        <f aca="false">IF($B63="","",'مسير يونيو'!R63)</f>
        <v/>
      </c>
      <c r="L63" s="90" t="str">
        <f aca="false">IF($B63="","",'مسير يوليو'!R63)</f>
        <v/>
      </c>
      <c r="M63" s="90" t="str">
        <f aca="false">IF($B63="","",'مسير أغسطس'!R63)</f>
        <v/>
      </c>
      <c r="N63" s="90" t="str">
        <f aca="false">IF($B63="","",'مسير سبتمبر'!R63)</f>
        <v/>
      </c>
      <c r="O63" s="90" t="str">
        <f aca="false">IF($B63="","",'مسير أكتوبر'!R63)</f>
        <v/>
      </c>
      <c r="P63" s="90" t="str">
        <f aca="false">IF($B63="","",'مسير نوفمبر'!R63)</f>
        <v/>
      </c>
      <c r="Q63" s="90" t="str">
        <f aca="false">IF($B63="","",'مسير ديسمبر'!R63)</f>
        <v/>
      </c>
      <c r="R63" s="124" t="str">
        <f aca="false">IF($B63="","",IF(1&lt;=cfg_VAL_M,'مسير يناير'!R63,0)+IF(2&lt;=cfg_VAL_M,'مسير فبراير'!R63,0)+IF(3&lt;=cfg_VAL_M,'مسير مارس'!R63,0)+IF(4&lt;=cfg_VAL_M,'مسير أبريل'!R63,0)+IF(5&lt;=cfg_VAL_M,'مسير مايو'!R63,0)+IF(6&lt;=cfg_VAL_M,'مسير يونيو'!R63,0)+IF(7&lt;=cfg_VAL_M,'مسير يوليو'!R63,0)+IF(8&lt;=cfg_VAL_M,'مسير أغسطس'!R63,0)+IF(9&lt;=cfg_VAL_M,'مسير سبتمبر'!R63,0)+IF(10&lt;=cfg_VAL_M,'مسير أكتوبر'!R63,0)+IF(11&lt;=cfg_VAL_M,'مسير نوفمبر'!R63,0)+IF(12&lt;=cfg_VAL_M,'مسير ديسمبر'!R63,0))</f>
        <v/>
      </c>
      <c r="T63" s="90" t="str">
        <f aca="false">IF($B63="","",'مسير يناير'!AB63)</f>
        <v/>
      </c>
      <c r="U63" s="90" t="str">
        <f aca="false">IF($B63="","",'مسير فبراير'!AB63)</f>
        <v/>
      </c>
      <c r="V63" s="90" t="str">
        <f aca="false">IF($B63="","",'مسير مارس'!AB63)</f>
        <v/>
      </c>
      <c r="W63" s="90" t="str">
        <f aca="false">IF($B63="","",'مسير أبريل'!AB63)</f>
        <v/>
      </c>
      <c r="X63" s="90" t="str">
        <f aca="false">IF($B63="","",'مسير مايو'!AB63)</f>
        <v/>
      </c>
      <c r="Y63" s="90" t="str">
        <f aca="false">IF($B63="","",'مسير يونيو'!AB63)</f>
        <v/>
      </c>
      <c r="Z63" s="90" t="str">
        <f aca="false">IF($B63="","",'مسير يوليو'!AB63)</f>
        <v/>
      </c>
      <c r="AA63" s="90" t="str">
        <f aca="false">IF($B63="","",'مسير أغسطس'!AB63)</f>
        <v/>
      </c>
      <c r="AB63" s="90" t="str">
        <f aca="false">IF($B63="","",'مسير سبتمبر'!AB63)</f>
        <v/>
      </c>
      <c r="AC63" s="90" t="str">
        <f aca="false">IF($B63="","",'مسير أكتوبر'!AB63)</f>
        <v/>
      </c>
      <c r="AD63" s="90" t="str">
        <f aca="false">IF($B63="","",'مسير نوفمبر'!AB63)</f>
        <v/>
      </c>
      <c r="AE63" s="90" t="str">
        <f aca="false">IF($B63="","",'مسير ديسمبر'!AB63)</f>
        <v/>
      </c>
      <c r="AF63" s="124" t="str">
        <f aca="false">IF($B63="","",IF(1&lt;=cfg_VAL_M,'مسير يناير'!AB63,0)+IF(2&lt;=cfg_VAL_M,'مسير فبراير'!AB63,0)+IF(3&lt;=cfg_VAL_M,'مسير مارس'!AB63,0)+IF(4&lt;=cfg_VAL_M,'مسير أبريل'!AB63,0)+IF(5&lt;=cfg_VAL_M,'مسير مايو'!AB63,0)+IF(6&lt;=cfg_VAL_M,'مسير يونيو'!AB63,0)+IF(7&lt;=cfg_VAL_M,'مسير يوليو'!AB63,0)+IF(8&lt;=cfg_VAL_M,'مسير أغسطس'!AB63,0)+IF(9&lt;=cfg_VAL_M,'مسير سبتمبر'!AB63,0)+IF(10&lt;=cfg_VAL_M,'مسير أكتوبر'!AB63,0)+IF(11&lt;=cfg_VAL_M,'مسير نوفمبر'!AB63,0)+IF(12&lt;=cfg_VAL_M,'مسير ديسمبر'!AB63,0))</f>
        <v/>
      </c>
      <c r="AG63" s="124" t="str">
        <f aca="false">IF($B63="","",IF(1&lt;=cfg_VAL_M,'مسير يناير'!W63,0)+IF(2&lt;=cfg_VAL_M,'مسير فبراير'!W63,0)+IF(3&lt;=cfg_VAL_M,'مسير مارس'!W63,0)+IF(4&lt;=cfg_VAL_M,'مسير أبريل'!W63,0)+IF(5&lt;=cfg_VAL_M,'مسير مايو'!W63,0)+IF(6&lt;=cfg_VAL_M,'مسير يونيو'!W63,0)+IF(7&lt;=cfg_VAL_M,'مسير يوليو'!W63,0)+IF(8&lt;=cfg_VAL_M,'مسير أغسطس'!W63,0)+IF(9&lt;=cfg_VAL_M,'مسير سبتمبر'!W63,0)+IF(10&lt;=cfg_VAL_M,'مسير أكتوبر'!W63,0)+IF(11&lt;=cfg_VAL_M,'مسير نوفمبر'!W63,0)+IF(12&lt;=cfg_VAL_M,'مسير ديسمبر'!W63,0))</f>
        <v/>
      </c>
      <c r="AH63" s="90" t="str">
        <f aca="false">IF($B63="","",AF63/cfg_VAL_M)</f>
        <v/>
      </c>
    </row>
    <row r="64" customFormat="false" ht="15" hidden="false" customHeight="false" outlineLevel="0" collapsed="false">
      <c r="B64" s="74" t="str">
        <f aca="false">IF(الموظفون!$B64="","",الموظفون!$B64)</f>
        <v/>
      </c>
      <c r="C64" s="74" t="str">
        <f aca="false">IF(الموظفون!$B64="","",الموظفون!$C64)</f>
        <v/>
      </c>
      <c r="D64" s="74" t="str">
        <f aca="false">IF(الموظفون!$B64="","",الموظفون!$F64)</f>
        <v/>
      </c>
      <c r="E64" s="74" t="str">
        <f aca="false">IF(الموظفون!$B64="","",الموظفون!$E64)</f>
        <v/>
      </c>
      <c r="F64" s="86" t="str">
        <f aca="false">IF($B64="","",'مسير يناير'!R64)</f>
        <v/>
      </c>
      <c r="G64" s="86" t="str">
        <f aca="false">IF($B64="","",'مسير فبراير'!R64)</f>
        <v/>
      </c>
      <c r="H64" s="86" t="str">
        <f aca="false">IF($B64="","",'مسير مارس'!R64)</f>
        <v/>
      </c>
      <c r="I64" s="86" t="str">
        <f aca="false">IF($B64="","",'مسير أبريل'!R64)</f>
        <v/>
      </c>
      <c r="J64" s="86" t="str">
        <f aca="false">IF($B64="","",'مسير مايو'!R64)</f>
        <v/>
      </c>
      <c r="K64" s="86" t="str">
        <f aca="false">IF($B64="","",'مسير يونيو'!R64)</f>
        <v/>
      </c>
      <c r="L64" s="86" t="str">
        <f aca="false">IF($B64="","",'مسير يوليو'!R64)</f>
        <v/>
      </c>
      <c r="M64" s="86" t="str">
        <f aca="false">IF($B64="","",'مسير أغسطس'!R64)</f>
        <v/>
      </c>
      <c r="N64" s="86" t="str">
        <f aca="false">IF($B64="","",'مسير سبتمبر'!R64)</f>
        <v/>
      </c>
      <c r="O64" s="86" t="str">
        <f aca="false">IF($B64="","",'مسير أكتوبر'!R64)</f>
        <v/>
      </c>
      <c r="P64" s="86" t="str">
        <f aca="false">IF($B64="","",'مسير نوفمبر'!R64)</f>
        <v/>
      </c>
      <c r="Q64" s="86" t="str">
        <f aca="false">IF($B64="","",'مسير ديسمبر'!R64)</f>
        <v/>
      </c>
      <c r="R64" s="123" t="str">
        <f aca="false">IF($B64="","",IF(1&lt;=cfg_VAL_M,'مسير يناير'!R64,0)+IF(2&lt;=cfg_VAL_M,'مسير فبراير'!R64,0)+IF(3&lt;=cfg_VAL_M,'مسير مارس'!R64,0)+IF(4&lt;=cfg_VAL_M,'مسير أبريل'!R64,0)+IF(5&lt;=cfg_VAL_M,'مسير مايو'!R64,0)+IF(6&lt;=cfg_VAL_M,'مسير يونيو'!R64,0)+IF(7&lt;=cfg_VAL_M,'مسير يوليو'!R64,0)+IF(8&lt;=cfg_VAL_M,'مسير أغسطس'!R64,0)+IF(9&lt;=cfg_VAL_M,'مسير سبتمبر'!R64,0)+IF(10&lt;=cfg_VAL_M,'مسير أكتوبر'!R64,0)+IF(11&lt;=cfg_VAL_M,'مسير نوفمبر'!R64,0)+IF(12&lt;=cfg_VAL_M,'مسير ديسمبر'!R64,0))</f>
        <v/>
      </c>
      <c r="T64" s="86" t="str">
        <f aca="false">IF($B64="","",'مسير يناير'!AB64)</f>
        <v/>
      </c>
      <c r="U64" s="86" t="str">
        <f aca="false">IF($B64="","",'مسير فبراير'!AB64)</f>
        <v/>
      </c>
      <c r="V64" s="86" t="str">
        <f aca="false">IF($B64="","",'مسير مارس'!AB64)</f>
        <v/>
      </c>
      <c r="W64" s="86" t="str">
        <f aca="false">IF($B64="","",'مسير أبريل'!AB64)</f>
        <v/>
      </c>
      <c r="X64" s="86" t="str">
        <f aca="false">IF($B64="","",'مسير مايو'!AB64)</f>
        <v/>
      </c>
      <c r="Y64" s="86" t="str">
        <f aca="false">IF($B64="","",'مسير يونيو'!AB64)</f>
        <v/>
      </c>
      <c r="Z64" s="86" t="str">
        <f aca="false">IF($B64="","",'مسير يوليو'!AB64)</f>
        <v/>
      </c>
      <c r="AA64" s="86" t="str">
        <f aca="false">IF($B64="","",'مسير أغسطس'!AB64)</f>
        <v/>
      </c>
      <c r="AB64" s="86" t="str">
        <f aca="false">IF($B64="","",'مسير سبتمبر'!AB64)</f>
        <v/>
      </c>
      <c r="AC64" s="86" t="str">
        <f aca="false">IF($B64="","",'مسير أكتوبر'!AB64)</f>
        <v/>
      </c>
      <c r="AD64" s="86" t="str">
        <f aca="false">IF($B64="","",'مسير نوفمبر'!AB64)</f>
        <v/>
      </c>
      <c r="AE64" s="86" t="str">
        <f aca="false">IF($B64="","",'مسير ديسمبر'!AB64)</f>
        <v/>
      </c>
      <c r="AF64" s="123" t="str">
        <f aca="false">IF($B64="","",IF(1&lt;=cfg_VAL_M,'مسير يناير'!AB64,0)+IF(2&lt;=cfg_VAL_M,'مسير فبراير'!AB64,0)+IF(3&lt;=cfg_VAL_M,'مسير مارس'!AB64,0)+IF(4&lt;=cfg_VAL_M,'مسير أبريل'!AB64,0)+IF(5&lt;=cfg_VAL_M,'مسير مايو'!AB64,0)+IF(6&lt;=cfg_VAL_M,'مسير يونيو'!AB64,0)+IF(7&lt;=cfg_VAL_M,'مسير يوليو'!AB64,0)+IF(8&lt;=cfg_VAL_M,'مسير أغسطس'!AB64,0)+IF(9&lt;=cfg_VAL_M,'مسير سبتمبر'!AB64,0)+IF(10&lt;=cfg_VAL_M,'مسير أكتوبر'!AB64,0)+IF(11&lt;=cfg_VAL_M,'مسير نوفمبر'!AB64,0)+IF(12&lt;=cfg_VAL_M,'مسير ديسمبر'!AB64,0))</f>
        <v/>
      </c>
      <c r="AG64" s="123" t="str">
        <f aca="false">IF($B64="","",IF(1&lt;=cfg_VAL_M,'مسير يناير'!W64,0)+IF(2&lt;=cfg_VAL_M,'مسير فبراير'!W64,0)+IF(3&lt;=cfg_VAL_M,'مسير مارس'!W64,0)+IF(4&lt;=cfg_VAL_M,'مسير أبريل'!W64,0)+IF(5&lt;=cfg_VAL_M,'مسير مايو'!W64,0)+IF(6&lt;=cfg_VAL_M,'مسير يونيو'!W64,0)+IF(7&lt;=cfg_VAL_M,'مسير يوليو'!W64,0)+IF(8&lt;=cfg_VAL_M,'مسير أغسطس'!W64,0)+IF(9&lt;=cfg_VAL_M,'مسير سبتمبر'!W64,0)+IF(10&lt;=cfg_VAL_M,'مسير أكتوبر'!W64,0)+IF(11&lt;=cfg_VAL_M,'مسير نوفمبر'!W64,0)+IF(12&lt;=cfg_VAL_M,'مسير ديسمبر'!W64,0))</f>
        <v/>
      </c>
      <c r="AH64" s="86" t="str">
        <f aca="false">IF($B64="","",AF64/cfg_VAL_M)</f>
        <v/>
      </c>
    </row>
    <row r="65" customFormat="false" ht="15" hidden="false" customHeight="false" outlineLevel="0" collapsed="false">
      <c r="B65" s="91" t="str">
        <f aca="false">IF(الموظفون!$B65="","",الموظفون!$B65)</f>
        <v/>
      </c>
      <c r="C65" s="91" t="str">
        <f aca="false">IF(الموظفون!$B65="","",الموظفون!$C65)</f>
        <v/>
      </c>
      <c r="D65" s="91" t="str">
        <f aca="false">IF(الموظفون!$B65="","",الموظفون!$F65)</f>
        <v/>
      </c>
      <c r="E65" s="91" t="str">
        <f aca="false">IF(الموظفون!$B65="","",الموظفون!$E65)</f>
        <v/>
      </c>
      <c r="F65" s="90" t="str">
        <f aca="false">IF($B65="","",'مسير يناير'!R65)</f>
        <v/>
      </c>
      <c r="G65" s="90" t="str">
        <f aca="false">IF($B65="","",'مسير فبراير'!R65)</f>
        <v/>
      </c>
      <c r="H65" s="90" t="str">
        <f aca="false">IF($B65="","",'مسير مارس'!R65)</f>
        <v/>
      </c>
      <c r="I65" s="90" t="str">
        <f aca="false">IF($B65="","",'مسير أبريل'!R65)</f>
        <v/>
      </c>
      <c r="J65" s="90" t="str">
        <f aca="false">IF($B65="","",'مسير مايو'!R65)</f>
        <v/>
      </c>
      <c r="K65" s="90" t="str">
        <f aca="false">IF($B65="","",'مسير يونيو'!R65)</f>
        <v/>
      </c>
      <c r="L65" s="90" t="str">
        <f aca="false">IF($B65="","",'مسير يوليو'!R65)</f>
        <v/>
      </c>
      <c r="M65" s="90" t="str">
        <f aca="false">IF($B65="","",'مسير أغسطس'!R65)</f>
        <v/>
      </c>
      <c r="N65" s="90" t="str">
        <f aca="false">IF($B65="","",'مسير سبتمبر'!R65)</f>
        <v/>
      </c>
      <c r="O65" s="90" t="str">
        <f aca="false">IF($B65="","",'مسير أكتوبر'!R65)</f>
        <v/>
      </c>
      <c r="P65" s="90" t="str">
        <f aca="false">IF($B65="","",'مسير نوفمبر'!R65)</f>
        <v/>
      </c>
      <c r="Q65" s="90" t="str">
        <f aca="false">IF($B65="","",'مسير ديسمبر'!R65)</f>
        <v/>
      </c>
      <c r="R65" s="124" t="str">
        <f aca="false">IF($B65="","",IF(1&lt;=cfg_VAL_M,'مسير يناير'!R65,0)+IF(2&lt;=cfg_VAL_M,'مسير فبراير'!R65,0)+IF(3&lt;=cfg_VAL_M,'مسير مارس'!R65,0)+IF(4&lt;=cfg_VAL_M,'مسير أبريل'!R65,0)+IF(5&lt;=cfg_VAL_M,'مسير مايو'!R65,0)+IF(6&lt;=cfg_VAL_M,'مسير يونيو'!R65,0)+IF(7&lt;=cfg_VAL_M,'مسير يوليو'!R65,0)+IF(8&lt;=cfg_VAL_M,'مسير أغسطس'!R65,0)+IF(9&lt;=cfg_VAL_M,'مسير سبتمبر'!R65,0)+IF(10&lt;=cfg_VAL_M,'مسير أكتوبر'!R65,0)+IF(11&lt;=cfg_VAL_M,'مسير نوفمبر'!R65,0)+IF(12&lt;=cfg_VAL_M,'مسير ديسمبر'!R65,0))</f>
        <v/>
      </c>
      <c r="T65" s="90" t="str">
        <f aca="false">IF($B65="","",'مسير يناير'!AB65)</f>
        <v/>
      </c>
      <c r="U65" s="90" t="str">
        <f aca="false">IF($B65="","",'مسير فبراير'!AB65)</f>
        <v/>
      </c>
      <c r="V65" s="90" t="str">
        <f aca="false">IF($B65="","",'مسير مارس'!AB65)</f>
        <v/>
      </c>
      <c r="W65" s="90" t="str">
        <f aca="false">IF($B65="","",'مسير أبريل'!AB65)</f>
        <v/>
      </c>
      <c r="X65" s="90" t="str">
        <f aca="false">IF($B65="","",'مسير مايو'!AB65)</f>
        <v/>
      </c>
      <c r="Y65" s="90" t="str">
        <f aca="false">IF($B65="","",'مسير يونيو'!AB65)</f>
        <v/>
      </c>
      <c r="Z65" s="90" t="str">
        <f aca="false">IF($B65="","",'مسير يوليو'!AB65)</f>
        <v/>
      </c>
      <c r="AA65" s="90" t="str">
        <f aca="false">IF($B65="","",'مسير أغسطس'!AB65)</f>
        <v/>
      </c>
      <c r="AB65" s="90" t="str">
        <f aca="false">IF($B65="","",'مسير سبتمبر'!AB65)</f>
        <v/>
      </c>
      <c r="AC65" s="90" t="str">
        <f aca="false">IF($B65="","",'مسير أكتوبر'!AB65)</f>
        <v/>
      </c>
      <c r="AD65" s="90" t="str">
        <f aca="false">IF($B65="","",'مسير نوفمبر'!AB65)</f>
        <v/>
      </c>
      <c r="AE65" s="90" t="str">
        <f aca="false">IF($B65="","",'مسير ديسمبر'!AB65)</f>
        <v/>
      </c>
      <c r="AF65" s="124" t="str">
        <f aca="false">IF($B65="","",IF(1&lt;=cfg_VAL_M,'مسير يناير'!AB65,0)+IF(2&lt;=cfg_VAL_M,'مسير فبراير'!AB65,0)+IF(3&lt;=cfg_VAL_M,'مسير مارس'!AB65,0)+IF(4&lt;=cfg_VAL_M,'مسير أبريل'!AB65,0)+IF(5&lt;=cfg_VAL_M,'مسير مايو'!AB65,0)+IF(6&lt;=cfg_VAL_M,'مسير يونيو'!AB65,0)+IF(7&lt;=cfg_VAL_M,'مسير يوليو'!AB65,0)+IF(8&lt;=cfg_VAL_M,'مسير أغسطس'!AB65,0)+IF(9&lt;=cfg_VAL_M,'مسير سبتمبر'!AB65,0)+IF(10&lt;=cfg_VAL_M,'مسير أكتوبر'!AB65,0)+IF(11&lt;=cfg_VAL_M,'مسير نوفمبر'!AB65,0)+IF(12&lt;=cfg_VAL_M,'مسير ديسمبر'!AB65,0))</f>
        <v/>
      </c>
      <c r="AG65" s="124" t="str">
        <f aca="false">IF($B65="","",IF(1&lt;=cfg_VAL_M,'مسير يناير'!W65,0)+IF(2&lt;=cfg_VAL_M,'مسير فبراير'!W65,0)+IF(3&lt;=cfg_VAL_M,'مسير مارس'!W65,0)+IF(4&lt;=cfg_VAL_M,'مسير أبريل'!W65,0)+IF(5&lt;=cfg_VAL_M,'مسير مايو'!W65,0)+IF(6&lt;=cfg_VAL_M,'مسير يونيو'!W65,0)+IF(7&lt;=cfg_VAL_M,'مسير يوليو'!W65,0)+IF(8&lt;=cfg_VAL_M,'مسير أغسطس'!W65,0)+IF(9&lt;=cfg_VAL_M,'مسير سبتمبر'!W65,0)+IF(10&lt;=cfg_VAL_M,'مسير أكتوبر'!W65,0)+IF(11&lt;=cfg_VAL_M,'مسير نوفمبر'!W65,0)+IF(12&lt;=cfg_VAL_M,'مسير ديسمبر'!W65,0))</f>
        <v/>
      </c>
      <c r="AH65" s="90" t="str">
        <f aca="false">IF($B65="","",AF65/cfg_VAL_M)</f>
        <v/>
      </c>
    </row>
    <row r="66" customFormat="false" ht="15" hidden="false" customHeight="false" outlineLevel="0" collapsed="false">
      <c r="B66" s="74" t="str">
        <f aca="false">IF(الموظفون!$B66="","",الموظفون!$B66)</f>
        <v/>
      </c>
      <c r="C66" s="74" t="str">
        <f aca="false">IF(الموظفون!$B66="","",الموظفون!$C66)</f>
        <v/>
      </c>
      <c r="D66" s="74" t="str">
        <f aca="false">IF(الموظفون!$B66="","",الموظفون!$F66)</f>
        <v/>
      </c>
      <c r="E66" s="74" t="str">
        <f aca="false">IF(الموظفون!$B66="","",الموظفون!$E66)</f>
        <v/>
      </c>
      <c r="F66" s="86" t="str">
        <f aca="false">IF($B66="","",'مسير يناير'!R66)</f>
        <v/>
      </c>
      <c r="G66" s="86" t="str">
        <f aca="false">IF($B66="","",'مسير فبراير'!R66)</f>
        <v/>
      </c>
      <c r="H66" s="86" t="str">
        <f aca="false">IF($B66="","",'مسير مارس'!R66)</f>
        <v/>
      </c>
      <c r="I66" s="86" t="str">
        <f aca="false">IF($B66="","",'مسير أبريل'!R66)</f>
        <v/>
      </c>
      <c r="J66" s="86" t="str">
        <f aca="false">IF($B66="","",'مسير مايو'!R66)</f>
        <v/>
      </c>
      <c r="K66" s="86" t="str">
        <f aca="false">IF($B66="","",'مسير يونيو'!R66)</f>
        <v/>
      </c>
      <c r="L66" s="86" t="str">
        <f aca="false">IF($B66="","",'مسير يوليو'!R66)</f>
        <v/>
      </c>
      <c r="M66" s="86" t="str">
        <f aca="false">IF($B66="","",'مسير أغسطس'!R66)</f>
        <v/>
      </c>
      <c r="N66" s="86" t="str">
        <f aca="false">IF($B66="","",'مسير سبتمبر'!R66)</f>
        <v/>
      </c>
      <c r="O66" s="86" t="str">
        <f aca="false">IF($B66="","",'مسير أكتوبر'!R66)</f>
        <v/>
      </c>
      <c r="P66" s="86" t="str">
        <f aca="false">IF($B66="","",'مسير نوفمبر'!R66)</f>
        <v/>
      </c>
      <c r="Q66" s="86" t="str">
        <f aca="false">IF($B66="","",'مسير ديسمبر'!R66)</f>
        <v/>
      </c>
      <c r="R66" s="123" t="str">
        <f aca="false">IF($B66="","",IF(1&lt;=cfg_VAL_M,'مسير يناير'!R66,0)+IF(2&lt;=cfg_VAL_M,'مسير فبراير'!R66,0)+IF(3&lt;=cfg_VAL_M,'مسير مارس'!R66,0)+IF(4&lt;=cfg_VAL_M,'مسير أبريل'!R66,0)+IF(5&lt;=cfg_VAL_M,'مسير مايو'!R66,0)+IF(6&lt;=cfg_VAL_M,'مسير يونيو'!R66,0)+IF(7&lt;=cfg_VAL_M,'مسير يوليو'!R66,0)+IF(8&lt;=cfg_VAL_M,'مسير أغسطس'!R66,0)+IF(9&lt;=cfg_VAL_M,'مسير سبتمبر'!R66,0)+IF(10&lt;=cfg_VAL_M,'مسير أكتوبر'!R66,0)+IF(11&lt;=cfg_VAL_M,'مسير نوفمبر'!R66,0)+IF(12&lt;=cfg_VAL_M,'مسير ديسمبر'!R66,0))</f>
        <v/>
      </c>
      <c r="T66" s="86" t="str">
        <f aca="false">IF($B66="","",'مسير يناير'!AB66)</f>
        <v/>
      </c>
      <c r="U66" s="86" t="str">
        <f aca="false">IF($B66="","",'مسير فبراير'!AB66)</f>
        <v/>
      </c>
      <c r="V66" s="86" t="str">
        <f aca="false">IF($B66="","",'مسير مارس'!AB66)</f>
        <v/>
      </c>
      <c r="W66" s="86" t="str">
        <f aca="false">IF($B66="","",'مسير أبريل'!AB66)</f>
        <v/>
      </c>
      <c r="X66" s="86" t="str">
        <f aca="false">IF($B66="","",'مسير مايو'!AB66)</f>
        <v/>
      </c>
      <c r="Y66" s="86" t="str">
        <f aca="false">IF($B66="","",'مسير يونيو'!AB66)</f>
        <v/>
      </c>
      <c r="Z66" s="86" t="str">
        <f aca="false">IF($B66="","",'مسير يوليو'!AB66)</f>
        <v/>
      </c>
      <c r="AA66" s="86" t="str">
        <f aca="false">IF($B66="","",'مسير أغسطس'!AB66)</f>
        <v/>
      </c>
      <c r="AB66" s="86" t="str">
        <f aca="false">IF($B66="","",'مسير سبتمبر'!AB66)</f>
        <v/>
      </c>
      <c r="AC66" s="86" t="str">
        <f aca="false">IF($B66="","",'مسير أكتوبر'!AB66)</f>
        <v/>
      </c>
      <c r="AD66" s="86" t="str">
        <f aca="false">IF($B66="","",'مسير نوفمبر'!AB66)</f>
        <v/>
      </c>
      <c r="AE66" s="86" t="str">
        <f aca="false">IF($B66="","",'مسير ديسمبر'!AB66)</f>
        <v/>
      </c>
      <c r="AF66" s="123" t="str">
        <f aca="false">IF($B66="","",IF(1&lt;=cfg_VAL_M,'مسير يناير'!AB66,0)+IF(2&lt;=cfg_VAL_M,'مسير فبراير'!AB66,0)+IF(3&lt;=cfg_VAL_M,'مسير مارس'!AB66,0)+IF(4&lt;=cfg_VAL_M,'مسير أبريل'!AB66,0)+IF(5&lt;=cfg_VAL_M,'مسير مايو'!AB66,0)+IF(6&lt;=cfg_VAL_M,'مسير يونيو'!AB66,0)+IF(7&lt;=cfg_VAL_M,'مسير يوليو'!AB66,0)+IF(8&lt;=cfg_VAL_M,'مسير أغسطس'!AB66,0)+IF(9&lt;=cfg_VAL_M,'مسير سبتمبر'!AB66,0)+IF(10&lt;=cfg_VAL_M,'مسير أكتوبر'!AB66,0)+IF(11&lt;=cfg_VAL_M,'مسير نوفمبر'!AB66,0)+IF(12&lt;=cfg_VAL_M,'مسير ديسمبر'!AB66,0))</f>
        <v/>
      </c>
      <c r="AG66" s="123" t="str">
        <f aca="false">IF($B66="","",IF(1&lt;=cfg_VAL_M,'مسير يناير'!W66,0)+IF(2&lt;=cfg_VAL_M,'مسير فبراير'!W66,0)+IF(3&lt;=cfg_VAL_M,'مسير مارس'!W66,0)+IF(4&lt;=cfg_VAL_M,'مسير أبريل'!W66,0)+IF(5&lt;=cfg_VAL_M,'مسير مايو'!W66,0)+IF(6&lt;=cfg_VAL_M,'مسير يونيو'!W66,0)+IF(7&lt;=cfg_VAL_M,'مسير يوليو'!W66,0)+IF(8&lt;=cfg_VAL_M,'مسير أغسطس'!W66,0)+IF(9&lt;=cfg_VAL_M,'مسير سبتمبر'!W66,0)+IF(10&lt;=cfg_VAL_M,'مسير أكتوبر'!W66,0)+IF(11&lt;=cfg_VAL_M,'مسير نوفمبر'!W66,0)+IF(12&lt;=cfg_VAL_M,'مسير ديسمبر'!W66,0))</f>
        <v/>
      </c>
      <c r="AH66" s="86" t="str">
        <f aca="false">IF($B66="","",AF66/cfg_VAL_M)</f>
        <v/>
      </c>
    </row>
    <row r="67" customFormat="false" ht="15" hidden="false" customHeight="false" outlineLevel="0" collapsed="false">
      <c r="B67" s="91" t="str">
        <f aca="false">IF(الموظفون!$B67="","",الموظفون!$B67)</f>
        <v/>
      </c>
      <c r="C67" s="91" t="str">
        <f aca="false">IF(الموظفون!$B67="","",الموظفون!$C67)</f>
        <v/>
      </c>
      <c r="D67" s="91" t="str">
        <f aca="false">IF(الموظفون!$B67="","",الموظفون!$F67)</f>
        <v/>
      </c>
      <c r="E67" s="91" t="str">
        <f aca="false">IF(الموظفون!$B67="","",الموظفون!$E67)</f>
        <v/>
      </c>
      <c r="F67" s="90" t="str">
        <f aca="false">IF($B67="","",'مسير يناير'!R67)</f>
        <v/>
      </c>
      <c r="G67" s="90" t="str">
        <f aca="false">IF($B67="","",'مسير فبراير'!R67)</f>
        <v/>
      </c>
      <c r="H67" s="90" t="str">
        <f aca="false">IF($B67="","",'مسير مارس'!R67)</f>
        <v/>
      </c>
      <c r="I67" s="90" t="str">
        <f aca="false">IF($B67="","",'مسير أبريل'!R67)</f>
        <v/>
      </c>
      <c r="J67" s="90" t="str">
        <f aca="false">IF($B67="","",'مسير مايو'!R67)</f>
        <v/>
      </c>
      <c r="K67" s="90" t="str">
        <f aca="false">IF($B67="","",'مسير يونيو'!R67)</f>
        <v/>
      </c>
      <c r="L67" s="90" t="str">
        <f aca="false">IF($B67="","",'مسير يوليو'!R67)</f>
        <v/>
      </c>
      <c r="M67" s="90" t="str">
        <f aca="false">IF($B67="","",'مسير أغسطس'!R67)</f>
        <v/>
      </c>
      <c r="N67" s="90" t="str">
        <f aca="false">IF($B67="","",'مسير سبتمبر'!R67)</f>
        <v/>
      </c>
      <c r="O67" s="90" t="str">
        <f aca="false">IF($B67="","",'مسير أكتوبر'!R67)</f>
        <v/>
      </c>
      <c r="P67" s="90" t="str">
        <f aca="false">IF($B67="","",'مسير نوفمبر'!R67)</f>
        <v/>
      </c>
      <c r="Q67" s="90" t="str">
        <f aca="false">IF($B67="","",'مسير ديسمبر'!R67)</f>
        <v/>
      </c>
      <c r="R67" s="124" t="str">
        <f aca="false">IF($B67="","",IF(1&lt;=cfg_VAL_M,'مسير يناير'!R67,0)+IF(2&lt;=cfg_VAL_M,'مسير فبراير'!R67,0)+IF(3&lt;=cfg_VAL_M,'مسير مارس'!R67,0)+IF(4&lt;=cfg_VAL_M,'مسير أبريل'!R67,0)+IF(5&lt;=cfg_VAL_M,'مسير مايو'!R67,0)+IF(6&lt;=cfg_VAL_M,'مسير يونيو'!R67,0)+IF(7&lt;=cfg_VAL_M,'مسير يوليو'!R67,0)+IF(8&lt;=cfg_VAL_M,'مسير أغسطس'!R67,0)+IF(9&lt;=cfg_VAL_M,'مسير سبتمبر'!R67,0)+IF(10&lt;=cfg_VAL_M,'مسير أكتوبر'!R67,0)+IF(11&lt;=cfg_VAL_M,'مسير نوفمبر'!R67,0)+IF(12&lt;=cfg_VAL_M,'مسير ديسمبر'!R67,0))</f>
        <v/>
      </c>
      <c r="T67" s="90" t="str">
        <f aca="false">IF($B67="","",'مسير يناير'!AB67)</f>
        <v/>
      </c>
      <c r="U67" s="90" t="str">
        <f aca="false">IF($B67="","",'مسير فبراير'!AB67)</f>
        <v/>
      </c>
      <c r="V67" s="90" t="str">
        <f aca="false">IF($B67="","",'مسير مارس'!AB67)</f>
        <v/>
      </c>
      <c r="W67" s="90" t="str">
        <f aca="false">IF($B67="","",'مسير أبريل'!AB67)</f>
        <v/>
      </c>
      <c r="X67" s="90" t="str">
        <f aca="false">IF($B67="","",'مسير مايو'!AB67)</f>
        <v/>
      </c>
      <c r="Y67" s="90" t="str">
        <f aca="false">IF($B67="","",'مسير يونيو'!AB67)</f>
        <v/>
      </c>
      <c r="Z67" s="90" t="str">
        <f aca="false">IF($B67="","",'مسير يوليو'!AB67)</f>
        <v/>
      </c>
      <c r="AA67" s="90" t="str">
        <f aca="false">IF($B67="","",'مسير أغسطس'!AB67)</f>
        <v/>
      </c>
      <c r="AB67" s="90" t="str">
        <f aca="false">IF($B67="","",'مسير سبتمبر'!AB67)</f>
        <v/>
      </c>
      <c r="AC67" s="90" t="str">
        <f aca="false">IF($B67="","",'مسير أكتوبر'!AB67)</f>
        <v/>
      </c>
      <c r="AD67" s="90" t="str">
        <f aca="false">IF($B67="","",'مسير نوفمبر'!AB67)</f>
        <v/>
      </c>
      <c r="AE67" s="90" t="str">
        <f aca="false">IF($B67="","",'مسير ديسمبر'!AB67)</f>
        <v/>
      </c>
      <c r="AF67" s="124" t="str">
        <f aca="false">IF($B67="","",IF(1&lt;=cfg_VAL_M,'مسير يناير'!AB67,0)+IF(2&lt;=cfg_VAL_M,'مسير فبراير'!AB67,0)+IF(3&lt;=cfg_VAL_M,'مسير مارس'!AB67,0)+IF(4&lt;=cfg_VAL_M,'مسير أبريل'!AB67,0)+IF(5&lt;=cfg_VAL_M,'مسير مايو'!AB67,0)+IF(6&lt;=cfg_VAL_M,'مسير يونيو'!AB67,0)+IF(7&lt;=cfg_VAL_M,'مسير يوليو'!AB67,0)+IF(8&lt;=cfg_VAL_M,'مسير أغسطس'!AB67,0)+IF(9&lt;=cfg_VAL_M,'مسير سبتمبر'!AB67,0)+IF(10&lt;=cfg_VAL_M,'مسير أكتوبر'!AB67,0)+IF(11&lt;=cfg_VAL_M,'مسير نوفمبر'!AB67,0)+IF(12&lt;=cfg_VAL_M,'مسير ديسمبر'!AB67,0))</f>
        <v/>
      </c>
      <c r="AG67" s="124" t="str">
        <f aca="false">IF($B67="","",IF(1&lt;=cfg_VAL_M,'مسير يناير'!W67,0)+IF(2&lt;=cfg_VAL_M,'مسير فبراير'!W67,0)+IF(3&lt;=cfg_VAL_M,'مسير مارس'!W67,0)+IF(4&lt;=cfg_VAL_M,'مسير أبريل'!W67,0)+IF(5&lt;=cfg_VAL_M,'مسير مايو'!W67,0)+IF(6&lt;=cfg_VAL_M,'مسير يونيو'!W67,0)+IF(7&lt;=cfg_VAL_M,'مسير يوليو'!W67,0)+IF(8&lt;=cfg_VAL_M,'مسير أغسطس'!W67,0)+IF(9&lt;=cfg_VAL_M,'مسير سبتمبر'!W67,0)+IF(10&lt;=cfg_VAL_M,'مسير أكتوبر'!W67,0)+IF(11&lt;=cfg_VAL_M,'مسير نوفمبر'!W67,0)+IF(12&lt;=cfg_VAL_M,'مسير ديسمبر'!W67,0))</f>
        <v/>
      </c>
      <c r="AH67" s="90" t="str">
        <f aca="false">IF($B67="","",AF67/cfg_VAL_M)</f>
        <v/>
      </c>
    </row>
    <row r="68" customFormat="false" ht="15" hidden="false" customHeight="false" outlineLevel="0" collapsed="false">
      <c r="B68" s="74" t="str">
        <f aca="false">IF(الموظفون!$B68="","",الموظفون!$B68)</f>
        <v/>
      </c>
      <c r="C68" s="74" t="str">
        <f aca="false">IF(الموظفون!$B68="","",الموظفون!$C68)</f>
        <v/>
      </c>
      <c r="D68" s="74" t="str">
        <f aca="false">IF(الموظفون!$B68="","",الموظفون!$F68)</f>
        <v/>
      </c>
      <c r="E68" s="74" t="str">
        <f aca="false">IF(الموظفون!$B68="","",الموظفون!$E68)</f>
        <v/>
      </c>
      <c r="F68" s="86" t="str">
        <f aca="false">IF($B68="","",'مسير يناير'!R68)</f>
        <v/>
      </c>
      <c r="G68" s="86" t="str">
        <f aca="false">IF($B68="","",'مسير فبراير'!R68)</f>
        <v/>
      </c>
      <c r="H68" s="86" t="str">
        <f aca="false">IF($B68="","",'مسير مارس'!R68)</f>
        <v/>
      </c>
      <c r="I68" s="86" t="str">
        <f aca="false">IF($B68="","",'مسير أبريل'!R68)</f>
        <v/>
      </c>
      <c r="J68" s="86" t="str">
        <f aca="false">IF($B68="","",'مسير مايو'!R68)</f>
        <v/>
      </c>
      <c r="K68" s="86" t="str">
        <f aca="false">IF($B68="","",'مسير يونيو'!R68)</f>
        <v/>
      </c>
      <c r="L68" s="86" t="str">
        <f aca="false">IF($B68="","",'مسير يوليو'!R68)</f>
        <v/>
      </c>
      <c r="M68" s="86" t="str">
        <f aca="false">IF($B68="","",'مسير أغسطس'!R68)</f>
        <v/>
      </c>
      <c r="N68" s="86" t="str">
        <f aca="false">IF($B68="","",'مسير سبتمبر'!R68)</f>
        <v/>
      </c>
      <c r="O68" s="86" t="str">
        <f aca="false">IF($B68="","",'مسير أكتوبر'!R68)</f>
        <v/>
      </c>
      <c r="P68" s="86" t="str">
        <f aca="false">IF($B68="","",'مسير نوفمبر'!R68)</f>
        <v/>
      </c>
      <c r="Q68" s="86" t="str">
        <f aca="false">IF($B68="","",'مسير ديسمبر'!R68)</f>
        <v/>
      </c>
      <c r="R68" s="123" t="str">
        <f aca="false">IF($B68="","",IF(1&lt;=cfg_VAL_M,'مسير يناير'!R68,0)+IF(2&lt;=cfg_VAL_M,'مسير فبراير'!R68,0)+IF(3&lt;=cfg_VAL_M,'مسير مارس'!R68,0)+IF(4&lt;=cfg_VAL_M,'مسير أبريل'!R68,0)+IF(5&lt;=cfg_VAL_M,'مسير مايو'!R68,0)+IF(6&lt;=cfg_VAL_M,'مسير يونيو'!R68,0)+IF(7&lt;=cfg_VAL_M,'مسير يوليو'!R68,0)+IF(8&lt;=cfg_VAL_M,'مسير أغسطس'!R68,0)+IF(9&lt;=cfg_VAL_M,'مسير سبتمبر'!R68,0)+IF(10&lt;=cfg_VAL_M,'مسير أكتوبر'!R68,0)+IF(11&lt;=cfg_VAL_M,'مسير نوفمبر'!R68,0)+IF(12&lt;=cfg_VAL_M,'مسير ديسمبر'!R68,0))</f>
        <v/>
      </c>
      <c r="T68" s="86" t="str">
        <f aca="false">IF($B68="","",'مسير يناير'!AB68)</f>
        <v/>
      </c>
      <c r="U68" s="86" t="str">
        <f aca="false">IF($B68="","",'مسير فبراير'!AB68)</f>
        <v/>
      </c>
      <c r="V68" s="86" t="str">
        <f aca="false">IF($B68="","",'مسير مارس'!AB68)</f>
        <v/>
      </c>
      <c r="W68" s="86" t="str">
        <f aca="false">IF($B68="","",'مسير أبريل'!AB68)</f>
        <v/>
      </c>
      <c r="X68" s="86" t="str">
        <f aca="false">IF($B68="","",'مسير مايو'!AB68)</f>
        <v/>
      </c>
      <c r="Y68" s="86" t="str">
        <f aca="false">IF($B68="","",'مسير يونيو'!AB68)</f>
        <v/>
      </c>
      <c r="Z68" s="86" t="str">
        <f aca="false">IF($B68="","",'مسير يوليو'!AB68)</f>
        <v/>
      </c>
      <c r="AA68" s="86" t="str">
        <f aca="false">IF($B68="","",'مسير أغسطس'!AB68)</f>
        <v/>
      </c>
      <c r="AB68" s="86" t="str">
        <f aca="false">IF($B68="","",'مسير سبتمبر'!AB68)</f>
        <v/>
      </c>
      <c r="AC68" s="86" t="str">
        <f aca="false">IF($B68="","",'مسير أكتوبر'!AB68)</f>
        <v/>
      </c>
      <c r="AD68" s="86" t="str">
        <f aca="false">IF($B68="","",'مسير نوفمبر'!AB68)</f>
        <v/>
      </c>
      <c r="AE68" s="86" t="str">
        <f aca="false">IF($B68="","",'مسير ديسمبر'!AB68)</f>
        <v/>
      </c>
      <c r="AF68" s="123" t="str">
        <f aca="false">IF($B68="","",IF(1&lt;=cfg_VAL_M,'مسير يناير'!AB68,0)+IF(2&lt;=cfg_VAL_M,'مسير فبراير'!AB68,0)+IF(3&lt;=cfg_VAL_M,'مسير مارس'!AB68,0)+IF(4&lt;=cfg_VAL_M,'مسير أبريل'!AB68,0)+IF(5&lt;=cfg_VAL_M,'مسير مايو'!AB68,0)+IF(6&lt;=cfg_VAL_M,'مسير يونيو'!AB68,0)+IF(7&lt;=cfg_VAL_M,'مسير يوليو'!AB68,0)+IF(8&lt;=cfg_VAL_M,'مسير أغسطس'!AB68,0)+IF(9&lt;=cfg_VAL_M,'مسير سبتمبر'!AB68,0)+IF(10&lt;=cfg_VAL_M,'مسير أكتوبر'!AB68,0)+IF(11&lt;=cfg_VAL_M,'مسير نوفمبر'!AB68,0)+IF(12&lt;=cfg_VAL_M,'مسير ديسمبر'!AB68,0))</f>
        <v/>
      </c>
      <c r="AG68" s="123" t="str">
        <f aca="false">IF($B68="","",IF(1&lt;=cfg_VAL_M,'مسير يناير'!W68,0)+IF(2&lt;=cfg_VAL_M,'مسير فبراير'!W68,0)+IF(3&lt;=cfg_VAL_M,'مسير مارس'!W68,0)+IF(4&lt;=cfg_VAL_M,'مسير أبريل'!W68,0)+IF(5&lt;=cfg_VAL_M,'مسير مايو'!W68,0)+IF(6&lt;=cfg_VAL_M,'مسير يونيو'!W68,0)+IF(7&lt;=cfg_VAL_M,'مسير يوليو'!W68,0)+IF(8&lt;=cfg_VAL_M,'مسير أغسطس'!W68,0)+IF(9&lt;=cfg_VAL_M,'مسير سبتمبر'!W68,0)+IF(10&lt;=cfg_VAL_M,'مسير أكتوبر'!W68,0)+IF(11&lt;=cfg_VAL_M,'مسير نوفمبر'!W68,0)+IF(12&lt;=cfg_VAL_M,'مسير ديسمبر'!W68,0))</f>
        <v/>
      </c>
      <c r="AH68" s="86" t="str">
        <f aca="false">IF($B68="","",AF68/cfg_VAL_M)</f>
        <v/>
      </c>
    </row>
    <row r="69" customFormat="false" ht="15" hidden="false" customHeight="false" outlineLevel="0" collapsed="false">
      <c r="B69" s="91" t="str">
        <f aca="false">IF(الموظفون!$B69="","",الموظفون!$B69)</f>
        <v/>
      </c>
      <c r="C69" s="91" t="str">
        <f aca="false">IF(الموظفون!$B69="","",الموظفون!$C69)</f>
        <v/>
      </c>
      <c r="D69" s="91" t="str">
        <f aca="false">IF(الموظفون!$B69="","",الموظفون!$F69)</f>
        <v/>
      </c>
      <c r="E69" s="91" t="str">
        <f aca="false">IF(الموظفون!$B69="","",الموظفون!$E69)</f>
        <v/>
      </c>
      <c r="F69" s="90" t="str">
        <f aca="false">IF($B69="","",'مسير يناير'!R69)</f>
        <v/>
      </c>
      <c r="G69" s="90" t="str">
        <f aca="false">IF($B69="","",'مسير فبراير'!R69)</f>
        <v/>
      </c>
      <c r="H69" s="90" t="str">
        <f aca="false">IF($B69="","",'مسير مارس'!R69)</f>
        <v/>
      </c>
      <c r="I69" s="90" t="str">
        <f aca="false">IF($B69="","",'مسير أبريل'!R69)</f>
        <v/>
      </c>
      <c r="J69" s="90" t="str">
        <f aca="false">IF($B69="","",'مسير مايو'!R69)</f>
        <v/>
      </c>
      <c r="K69" s="90" t="str">
        <f aca="false">IF($B69="","",'مسير يونيو'!R69)</f>
        <v/>
      </c>
      <c r="L69" s="90" t="str">
        <f aca="false">IF($B69="","",'مسير يوليو'!R69)</f>
        <v/>
      </c>
      <c r="M69" s="90" t="str">
        <f aca="false">IF($B69="","",'مسير أغسطس'!R69)</f>
        <v/>
      </c>
      <c r="N69" s="90" t="str">
        <f aca="false">IF($B69="","",'مسير سبتمبر'!R69)</f>
        <v/>
      </c>
      <c r="O69" s="90" t="str">
        <f aca="false">IF($B69="","",'مسير أكتوبر'!R69)</f>
        <v/>
      </c>
      <c r="P69" s="90" t="str">
        <f aca="false">IF($B69="","",'مسير نوفمبر'!R69)</f>
        <v/>
      </c>
      <c r="Q69" s="90" t="str">
        <f aca="false">IF($B69="","",'مسير ديسمبر'!R69)</f>
        <v/>
      </c>
      <c r="R69" s="124" t="str">
        <f aca="false">IF($B69="","",IF(1&lt;=cfg_VAL_M,'مسير يناير'!R69,0)+IF(2&lt;=cfg_VAL_M,'مسير فبراير'!R69,0)+IF(3&lt;=cfg_VAL_M,'مسير مارس'!R69,0)+IF(4&lt;=cfg_VAL_M,'مسير أبريل'!R69,0)+IF(5&lt;=cfg_VAL_M,'مسير مايو'!R69,0)+IF(6&lt;=cfg_VAL_M,'مسير يونيو'!R69,0)+IF(7&lt;=cfg_VAL_M,'مسير يوليو'!R69,0)+IF(8&lt;=cfg_VAL_M,'مسير أغسطس'!R69,0)+IF(9&lt;=cfg_VAL_M,'مسير سبتمبر'!R69,0)+IF(10&lt;=cfg_VAL_M,'مسير أكتوبر'!R69,0)+IF(11&lt;=cfg_VAL_M,'مسير نوفمبر'!R69,0)+IF(12&lt;=cfg_VAL_M,'مسير ديسمبر'!R69,0))</f>
        <v/>
      </c>
      <c r="T69" s="90" t="str">
        <f aca="false">IF($B69="","",'مسير يناير'!AB69)</f>
        <v/>
      </c>
      <c r="U69" s="90" t="str">
        <f aca="false">IF($B69="","",'مسير فبراير'!AB69)</f>
        <v/>
      </c>
      <c r="V69" s="90" t="str">
        <f aca="false">IF($B69="","",'مسير مارس'!AB69)</f>
        <v/>
      </c>
      <c r="W69" s="90" t="str">
        <f aca="false">IF($B69="","",'مسير أبريل'!AB69)</f>
        <v/>
      </c>
      <c r="X69" s="90" t="str">
        <f aca="false">IF($B69="","",'مسير مايو'!AB69)</f>
        <v/>
      </c>
      <c r="Y69" s="90" t="str">
        <f aca="false">IF($B69="","",'مسير يونيو'!AB69)</f>
        <v/>
      </c>
      <c r="Z69" s="90" t="str">
        <f aca="false">IF($B69="","",'مسير يوليو'!AB69)</f>
        <v/>
      </c>
      <c r="AA69" s="90" t="str">
        <f aca="false">IF($B69="","",'مسير أغسطس'!AB69)</f>
        <v/>
      </c>
      <c r="AB69" s="90" t="str">
        <f aca="false">IF($B69="","",'مسير سبتمبر'!AB69)</f>
        <v/>
      </c>
      <c r="AC69" s="90" t="str">
        <f aca="false">IF($B69="","",'مسير أكتوبر'!AB69)</f>
        <v/>
      </c>
      <c r="AD69" s="90" t="str">
        <f aca="false">IF($B69="","",'مسير نوفمبر'!AB69)</f>
        <v/>
      </c>
      <c r="AE69" s="90" t="str">
        <f aca="false">IF($B69="","",'مسير ديسمبر'!AB69)</f>
        <v/>
      </c>
      <c r="AF69" s="124" t="str">
        <f aca="false">IF($B69="","",IF(1&lt;=cfg_VAL_M,'مسير يناير'!AB69,0)+IF(2&lt;=cfg_VAL_M,'مسير فبراير'!AB69,0)+IF(3&lt;=cfg_VAL_M,'مسير مارس'!AB69,0)+IF(4&lt;=cfg_VAL_M,'مسير أبريل'!AB69,0)+IF(5&lt;=cfg_VAL_M,'مسير مايو'!AB69,0)+IF(6&lt;=cfg_VAL_M,'مسير يونيو'!AB69,0)+IF(7&lt;=cfg_VAL_M,'مسير يوليو'!AB69,0)+IF(8&lt;=cfg_VAL_M,'مسير أغسطس'!AB69,0)+IF(9&lt;=cfg_VAL_M,'مسير سبتمبر'!AB69,0)+IF(10&lt;=cfg_VAL_M,'مسير أكتوبر'!AB69,0)+IF(11&lt;=cfg_VAL_M,'مسير نوفمبر'!AB69,0)+IF(12&lt;=cfg_VAL_M,'مسير ديسمبر'!AB69,0))</f>
        <v/>
      </c>
      <c r="AG69" s="124" t="str">
        <f aca="false">IF($B69="","",IF(1&lt;=cfg_VAL_M,'مسير يناير'!W69,0)+IF(2&lt;=cfg_VAL_M,'مسير فبراير'!W69,0)+IF(3&lt;=cfg_VAL_M,'مسير مارس'!W69,0)+IF(4&lt;=cfg_VAL_M,'مسير أبريل'!W69,0)+IF(5&lt;=cfg_VAL_M,'مسير مايو'!W69,0)+IF(6&lt;=cfg_VAL_M,'مسير يونيو'!W69,0)+IF(7&lt;=cfg_VAL_M,'مسير يوليو'!W69,0)+IF(8&lt;=cfg_VAL_M,'مسير أغسطس'!W69,0)+IF(9&lt;=cfg_VAL_M,'مسير سبتمبر'!W69,0)+IF(10&lt;=cfg_VAL_M,'مسير أكتوبر'!W69,0)+IF(11&lt;=cfg_VAL_M,'مسير نوفمبر'!W69,0)+IF(12&lt;=cfg_VAL_M,'مسير ديسمبر'!W69,0))</f>
        <v/>
      </c>
      <c r="AH69" s="90" t="str">
        <f aca="false">IF($B69="","",AF69/cfg_VAL_M)</f>
        <v/>
      </c>
    </row>
    <row r="70" customFormat="false" ht="15" hidden="false" customHeight="false" outlineLevel="0" collapsed="false">
      <c r="B70" s="74" t="str">
        <f aca="false">IF(الموظفون!$B70="","",الموظفون!$B70)</f>
        <v/>
      </c>
      <c r="C70" s="74" t="str">
        <f aca="false">IF(الموظفون!$B70="","",الموظفون!$C70)</f>
        <v/>
      </c>
      <c r="D70" s="74" t="str">
        <f aca="false">IF(الموظفون!$B70="","",الموظفون!$F70)</f>
        <v/>
      </c>
      <c r="E70" s="74" t="str">
        <f aca="false">IF(الموظفون!$B70="","",الموظفون!$E70)</f>
        <v/>
      </c>
      <c r="F70" s="86" t="str">
        <f aca="false">IF($B70="","",'مسير يناير'!R70)</f>
        <v/>
      </c>
      <c r="G70" s="86" t="str">
        <f aca="false">IF($B70="","",'مسير فبراير'!R70)</f>
        <v/>
      </c>
      <c r="H70" s="86" t="str">
        <f aca="false">IF($B70="","",'مسير مارس'!R70)</f>
        <v/>
      </c>
      <c r="I70" s="86" t="str">
        <f aca="false">IF($B70="","",'مسير أبريل'!R70)</f>
        <v/>
      </c>
      <c r="J70" s="86" t="str">
        <f aca="false">IF($B70="","",'مسير مايو'!R70)</f>
        <v/>
      </c>
      <c r="K70" s="86" t="str">
        <f aca="false">IF($B70="","",'مسير يونيو'!R70)</f>
        <v/>
      </c>
      <c r="L70" s="86" t="str">
        <f aca="false">IF($B70="","",'مسير يوليو'!R70)</f>
        <v/>
      </c>
      <c r="M70" s="86" t="str">
        <f aca="false">IF($B70="","",'مسير أغسطس'!R70)</f>
        <v/>
      </c>
      <c r="N70" s="86" t="str">
        <f aca="false">IF($B70="","",'مسير سبتمبر'!R70)</f>
        <v/>
      </c>
      <c r="O70" s="86" t="str">
        <f aca="false">IF($B70="","",'مسير أكتوبر'!R70)</f>
        <v/>
      </c>
      <c r="P70" s="86" t="str">
        <f aca="false">IF($B70="","",'مسير نوفمبر'!R70)</f>
        <v/>
      </c>
      <c r="Q70" s="86" t="str">
        <f aca="false">IF($B70="","",'مسير ديسمبر'!R70)</f>
        <v/>
      </c>
      <c r="R70" s="123" t="str">
        <f aca="false">IF($B70="","",IF(1&lt;=cfg_VAL_M,'مسير يناير'!R70,0)+IF(2&lt;=cfg_VAL_M,'مسير فبراير'!R70,0)+IF(3&lt;=cfg_VAL_M,'مسير مارس'!R70,0)+IF(4&lt;=cfg_VAL_M,'مسير أبريل'!R70,0)+IF(5&lt;=cfg_VAL_M,'مسير مايو'!R70,0)+IF(6&lt;=cfg_VAL_M,'مسير يونيو'!R70,0)+IF(7&lt;=cfg_VAL_M,'مسير يوليو'!R70,0)+IF(8&lt;=cfg_VAL_M,'مسير أغسطس'!R70,0)+IF(9&lt;=cfg_VAL_M,'مسير سبتمبر'!R70,0)+IF(10&lt;=cfg_VAL_M,'مسير أكتوبر'!R70,0)+IF(11&lt;=cfg_VAL_M,'مسير نوفمبر'!R70,0)+IF(12&lt;=cfg_VAL_M,'مسير ديسمبر'!R70,0))</f>
        <v/>
      </c>
      <c r="T70" s="86" t="str">
        <f aca="false">IF($B70="","",'مسير يناير'!AB70)</f>
        <v/>
      </c>
      <c r="U70" s="86" t="str">
        <f aca="false">IF($B70="","",'مسير فبراير'!AB70)</f>
        <v/>
      </c>
      <c r="V70" s="86" t="str">
        <f aca="false">IF($B70="","",'مسير مارس'!AB70)</f>
        <v/>
      </c>
      <c r="W70" s="86" t="str">
        <f aca="false">IF($B70="","",'مسير أبريل'!AB70)</f>
        <v/>
      </c>
      <c r="X70" s="86" t="str">
        <f aca="false">IF($B70="","",'مسير مايو'!AB70)</f>
        <v/>
      </c>
      <c r="Y70" s="86" t="str">
        <f aca="false">IF($B70="","",'مسير يونيو'!AB70)</f>
        <v/>
      </c>
      <c r="Z70" s="86" t="str">
        <f aca="false">IF($B70="","",'مسير يوليو'!AB70)</f>
        <v/>
      </c>
      <c r="AA70" s="86" t="str">
        <f aca="false">IF($B70="","",'مسير أغسطس'!AB70)</f>
        <v/>
      </c>
      <c r="AB70" s="86" t="str">
        <f aca="false">IF($B70="","",'مسير سبتمبر'!AB70)</f>
        <v/>
      </c>
      <c r="AC70" s="86" t="str">
        <f aca="false">IF($B70="","",'مسير أكتوبر'!AB70)</f>
        <v/>
      </c>
      <c r="AD70" s="86" t="str">
        <f aca="false">IF($B70="","",'مسير نوفمبر'!AB70)</f>
        <v/>
      </c>
      <c r="AE70" s="86" t="str">
        <f aca="false">IF($B70="","",'مسير ديسمبر'!AB70)</f>
        <v/>
      </c>
      <c r="AF70" s="123" t="str">
        <f aca="false">IF($B70="","",IF(1&lt;=cfg_VAL_M,'مسير يناير'!AB70,0)+IF(2&lt;=cfg_VAL_M,'مسير فبراير'!AB70,0)+IF(3&lt;=cfg_VAL_M,'مسير مارس'!AB70,0)+IF(4&lt;=cfg_VAL_M,'مسير أبريل'!AB70,0)+IF(5&lt;=cfg_VAL_M,'مسير مايو'!AB70,0)+IF(6&lt;=cfg_VAL_M,'مسير يونيو'!AB70,0)+IF(7&lt;=cfg_VAL_M,'مسير يوليو'!AB70,0)+IF(8&lt;=cfg_VAL_M,'مسير أغسطس'!AB70,0)+IF(9&lt;=cfg_VAL_M,'مسير سبتمبر'!AB70,0)+IF(10&lt;=cfg_VAL_M,'مسير أكتوبر'!AB70,0)+IF(11&lt;=cfg_VAL_M,'مسير نوفمبر'!AB70,0)+IF(12&lt;=cfg_VAL_M,'مسير ديسمبر'!AB70,0))</f>
        <v/>
      </c>
      <c r="AG70" s="123" t="str">
        <f aca="false">IF($B70="","",IF(1&lt;=cfg_VAL_M,'مسير يناير'!W70,0)+IF(2&lt;=cfg_VAL_M,'مسير فبراير'!W70,0)+IF(3&lt;=cfg_VAL_M,'مسير مارس'!W70,0)+IF(4&lt;=cfg_VAL_M,'مسير أبريل'!W70,0)+IF(5&lt;=cfg_VAL_M,'مسير مايو'!W70,0)+IF(6&lt;=cfg_VAL_M,'مسير يونيو'!W70,0)+IF(7&lt;=cfg_VAL_M,'مسير يوليو'!W70,0)+IF(8&lt;=cfg_VAL_M,'مسير أغسطس'!W70,0)+IF(9&lt;=cfg_VAL_M,'مسير سبتمبر'!W70,0)+IF(10&lt;=cfg_VAL_M,'مسير أكتوبر'!W70,0)+IF(11&lt;=cfg_VAL_M,'مسير نوفمبر'!W70,0)+IF(12&lt;=cfg_VAL_M,'مسير ديسمبر'!W70,0))</f>
        <v/>
      </c>
      <c r="AH70" s="86" t="str">
        <f aca="false">IF($B70="","",AF70/cfg_VAL_M)</f>
        <v/>
      </c>
    </row>
    <row r="71" customFormat="false" ht="15" hidden="false" customHeight="false" outlineLevel="0" collapsed="false">
      <c r="B71" s="91" t="str">
        <f aca="false">IF(الموظفون!$B71="","",الموظفون!$B71)</f>
        <v/>
      </c>
      <c r="C71" s="91" t="str">
        <f aca="false">IF(الموظفون!$B71="","",الموظفون!$C71)</f>
        <v/>
      </c>
      <c r="D71" s="91" t="str">
        <f aca="false">IF(الموظفون!$B71="","",الموظفون!$F71)</f>
        <v/>
      </c>
      <c r="E71" s="91" t="str">
        <f aca="false">IF(الموظفون!$B71="","",الموظفون!$E71)</f>
        <v/>
      </c>
      <c r="F71" s="90" t="str">
        <f aca="false">IF($B71="","",'مسير يناير'!R71)</f>
        <v/>
      </c>
      <c r="G71" s="90" t="str">
        <f aca="false">IF($B71="","",'مسير فبراير'!R71)</f>
        <v/>
      </c>
      <c r="H71" s="90" t="str">
        <f aca="false">IF($B71="","",'مسير مارس'!R71)</f>
        <v/>
      </c>
      <c r="I71" s="90" t="str">
        <f aca="false">IF($B71="","",'مسير أبريل'!R71)</f>
        <v/>
      </c>
      <c r="J71" s="90" t="str">
        <f aca="false">IF($B71="","",'مسير مايو'!R71)</f>
        <v/>
      </c>
      <c r="K71" s="90" t="str">
        <f aca="false">IF($B71="","",'مسير يونيو'!R71)</f>
        <v/>
      </c>
      <c r="L71" s="90" t="str">
        <f aca="false">IF($B71="","",'مسير يوليو'!R71)</f>
        <v/>
      </c>
      <c r="M71" s="90" t="str">
        <f aca="false">IF($B71="","",'مسير أغسطس'!R71)</f>
        <v/>
      </c>
      <c r="N71" s="90" t="str">
        <f aca="false">IF($B71="","",'مسير سبتمبر'!R71)</f>
        <v/>
      </c>
      <c r="O71" s="90" t="str">
        <f aca="false">IF($B71="","",'مسير أكتوبر'!R71)</f>
        <v/>
      </c>
      <c r="P71" s="90" t="str">
        <f aca="false">IF($B71="","",'مسير نوفمبر'!R71)</f>
        <v/>
      </c>
      <c r="Q71" s="90" t="str">
        <f aca="false">IF($B71="","",'مسير ديسمبر'!R71)</f>
        <v/>
      </c>
      <c r="R71" s="124" t="str">
        <f aca="false">IF($B71="","",IF(1&lt;=cfg_VAL_M,'مسير يناير'!R71,0)+IF(2&lt;=cfg_VAL_M,'مسير فبراير'!R71,0)+IF(3&lt;=cfg_VAL_M,'مسير مارس'!R71,0)+IF(4&lt;=cfg_VAL_M,'مسير أبريل'!R71,0)+IF(5&lt;=cfg_VAL_M,'مسير مايو'!R71,0)+IF(6&lt;=cfg_VAL_M,'مسير يونيو'!R71,0)+IF(7&lt;=cfg_VAL_M,'مسير يوليو'!R71,0)+IF(8&lt;=cfg_VAL_M,'مسير أغسطس'!R71,0)+IF(9&lt;=cfg_VAL_M,'مسير سبتمبر'!R71,0)+IF(10&lt;=cfg_VAL_M,'مسير أكتوبر'!R71,0)+IF(11&lt;=cfg_VAL_M,'مسير نوفمبر'!R71,0)+IF(12&lt;=cfg_VAL_M,'مسير ديسمبر'!R71,0))</f>
        <v/>
      </c>
      <c r="T71" s="90" t="str">
        <f aca="false">IF($B71="","",'مسير يناير'!AB71)</f>
        <v/>
      </c>
      <c r="U71" s="90" t="str">
        <f aca="false">IF($B71="","",'مسير فبراير'!AB71)</f>
        <v/>
      </c>
      <c r="V71" s="90" t="str">
        <f aca="false">IF($B71="","",'مسير مارس'!AB71)</f>
        <v/>
      </c>
      <c r="W71" s="90" t="str">
        <f aca="false">IF($B71="","",'مسير أبريل'!AB71)</f>
        <v/>
      </c>
      <c r="X71" s="90" t="str">
        <f aca="false">IF($B71="","",'مسير مايو'!AB71)</f>
        <v/>
      </c>
      <c r="Y71" s="90" t="str">
        <f aca="false">IF($B71="","",'مسير يونيو'!AB71)</f>
        <v/>
      </c>
      <c r="Z71" s="90" t="str">
        <f aca="false">IF($B71="","",'مسير يوليو'!AB71)</f>
        <v/>
      </c>
      <c r="AA71" s="90" t="str">
        <f aca="false">IF($B71="","",'مسير أغسطس'!AB71)</f>
        <v/>
      </c>
      <c r="AB71" s="90" t="str">
        <f aca="false">IF($B71="","",'مسير سبتمبر'!AB71)</f>
        <v/>
      </c>
      <c r="AC71" s="90" t="str">
        <f aca="false">IF($B71="","",'مسير أكتوبر'!AB71)</f>
        <v/>
      </c>
      <c r="AD71" s="90" t="str">
        <f aca="false">IF($B71="","",'مسير نوفمبر'!AB71)</f>
        <v/>
      </c>
      <c r="AE71" s="90" t="str">
        <f aca="false">IF($B71="","",'مسير ديسمبر'!AB71)</f>
        <v/>
      </c>
      <c r="AF71" s="124" t="str">
        <f aca="false">IF($B71="","",IF(1&lt;=cfg_VAL_M,'مسير يناير'!AB71,0)+IF(2&lt;=cfg_VAL_M,'مسير فبراير'!AB71,0)+IF(3&lt;=cfg_VAL_M,'مسير مارس'!AB71,0)+IF(4&lt;=cfg_VAL_M,'مسير أبريل'!AB71,0)+IF(5&lt;=cfg_VAL_M,'مسير مايو'!AB71,0)+IF(6&lt;=cfg_VAL_M,'مسير يونيو'!AB71,0)+IF(7&lt;=cfg_VAL_M,'مسير يوليو'!AB71,0)+IF(8&lt;=cfg_VAL_M,'مسير أغسطس'!AB71,0)+IF(9&lt;=cfg_VAL_M,'مسير سبتمبر'!AB71,0)+IF(10&lt;=cfg_VAL_M,'مسير أكتوبر'!AB71,0)+IF(11&lt;=cfg_VAL_M,'مسير نوفمبر'!AB71,0)+IF(12&lt;=cfg_VAL_M,'مسير ديسمبر'!AB71,0))</f>
        <v/>
      </c>
      <c r="AG71" s="124" t="str">
        <f aca="false">IF($B71="","",IF(1&lt;=cfg_VAL_M,'مسير يناير'!W71,0)+IF(2&lt;=cfg_VAL_M,'مسير فبراير'!W71,0)+IF(3&lt;=cfg_VAL_M,'مسير مارس'!W71,0)+IF(4&lt;=cfg_VAL_M,'مسير أبريل'!W71,0)+IF(5&lt;=cfg_VAL_M,'مسير مايو'!W71,0)+IF(6&lt;=cfg_VAL_M,'مسير يونيو'!W71,0)+IF(7&lt;=cfg_VAL_M,'مسير يوليو'!W71,0)+IF(8&lt;=cfg_VAL_M,'مسير أغسطس'!W71,0)+IF(9&lt;=cfg_VAL_M,'مسير سبتمبر'!W71,0)+IF(10&lt;=cfg_VAL_M,'مسير أكتوبر'!W71,0)+IF(11&lt;=cfg_VAL_M,'مسير نوفمبر'!W71,0)+IF(12&lt;=cfg_VAL_M,'مسير ديسمبر'!W71,0))</f>
        <v/>
      </c>
      <c r="AH71" s="90" t="str">
        <f aca="false">IF($B71="","",AF71/cfg_VAL_M)</f>
        <v/>
      </c>
    </row>
    <row r="72" customFormat="false" ht="15" hidden="false" customHeight="false" outlineLevel="0" collapsed="false">
      <c r="B72" s="74" t="str">
        <f aca="false">IF(الموظفون!$B72="","",الموظفون!$B72)</f>
        <v/>
      </c>
      <c r="C72" s="74" t="str">
        <f aca="false">IF(الموظفون!$B72="","",الموظفون!$C72)</f>
        <v/>
      </c>
      <c r="D72" s="74" t="str">
        <f aca="false">IF(الموظفون!$B72="","",الموظفون!$F72)</f>
        <v/>
      </c>
      <c r="E72" s="74" t="str">
        <f aca="false">IF(الموظفون!$B72="","",الموظفون!$E72)</f>
        <v/>
      </c>
      <c r="F72" s="86" t="str">
        <f aca="false">IF($B72="","",'مسير يناير'!R72)</f>
        <v/>
      </c>
      <c r="G72" s="86" t="str">
        <f aca="false">IF($B72="","",'مسير فبراير'!R72)</f>
        <v/>
      </c>
      <c r="H72" s="86" t="str">
        <f aca="false">IF($B72="","",'مسير مارس'!R72)</f>
        <v/>
      </c>
      <c r="I72" s="86" t="str">
        <f aca="false">IF($B72="","",'مسير أبريل'!R72)</f>
        <v/>
      </c>
      <c r="J72" s="86" t="str">
        <f aca="false">IF($B72="","",'مسير مايو'!R72)</f>
        <v/>
      </c>
      <c r="K72" s="86" t="str">
        <f aca="false">IF($B72="","",'مسير يونيو'!R72)</f>
        <v/>
      </c>
      <c r="L72" s="86" t="str">
        <f aca="false">IF($B72="","",'مسير يوليو'!R72)</f>
        <v/>
      </c>
      <c r="M72" s="86" t="str">
        <f aca="false">IF($B72="","",'مسير أغسطس'!R72)</f>
        <v/>
      </c>
      <c r="N72" s="86" t="str">
        <f aca="false">IF($B72="","",'مسير سبتمبر'!R72)</f>
        <v/>
      </c>
      <c r="O72" s="86" t="str">
        <f aca="false">IF($B72="","",'مسير أكتوبر'!R72)</f>
        <v/>
      </c>
      <c r="P72" s="86" t="str">
        <f aca="false">IF($B72="","",'مسير نوفمبر'!R72)</f>
        <v/>
      </c>
      <c r="Q72" s="86" t="str">
        <f aca="false">IF($B72="","",'مسير ديسمبر'!R72)</f>
        <v/>
      </c>
      <c r="R72" s="123" t="str">
        <f aca="false">IF($B72="","",IF(1&lt;=cfg_VAL_M,'مسير يناير'!R72,0)+IF(2&lt;=cfg_VAL_M,'مسير فبراير'!R72,0)+IF(3&lt;=cfg_VAL_M,'مسير مارس'!R72,0)+IF(4&lt;=cfg_VAL_M,'مسير أبريل'!R72,0)+IF(5&lt;=cfg_VAL_M,'مسير مايو'!R72,0)+IF(6&lt;=cfg_VAL_M,'مسير يونيو'!R72,0)+IF(7&lt;=cfg_VAL_M,'مسير يوليو'!R72,0)+IF(8&lt;=cfg_VAL_M,'مسير أغسطس'!R72,0)+IF(9&lt;=cfg_VAL_M,'مسير سبتمبر'!R72,0)+IF(10&lt;=cfg_VAL_M,'مسير أكتوبر'!R72,0)+IF(11&lt;=cfg_VAL_M,'مسير نوفمبر'!R72,0)+IF(12&lt;=cfg_VAL_M,'مسير ديسمبر'!R72,0))</f>
        <v/>
      </c>
      <c r="T72" s="86" t="str">
        <f aca="false">IF($B72="","",'مسير يناير'!AB72)</f>
        <v/>
      </c>
      <c r="U72" s="86" t="str">
        <f aca="false">IF($B72="","",'مسير فبراير'!AB72)</f>
        <v/>
      </c>
      <c r="V72" s="86" t="str">
        <f aca="false">IF($B72="","",'مسير مارس'!AB72)</f>
        <v/>
      </c>
      <c r="W72" s="86" t="str">
        <f aca="false">IF($B72="","",'مسير أبريل'!AB72)</f>
        <v/>
      </c>
      <c r="X72" s="86" t="str">
        <f aca="false">IF($B72="","",'مسير مايو'!AB72)</f>
        <v/>
      </c>
      <c r="Y72" s="86" t="str">
        <f aca="false">IF($B72="","",'مسير يونيو'!AB72)</f>
        <v/>
      </c>
      <c r="Z72" s="86" t="str">
        <f aca="false">IF($B72="","",'مسير يوليو'!AB72)</f>
        <v/>
      </c>
      <c r="AA72" s="86" t="str">
        <f aca="false">IF($B72="","",'مسير أغسطس'!AB72)</f>
        <v/>
      </c>
      <c r="AB72" s="86" t="str">
        <f aca="false">IF($B72="","",'مسير سبتمبر'!AB72)</f>
        <v/>
      </c>
      <c r="AC72" s="86" t="str">
        <f aca="false">IF($B72="","",'مسير أكتوبر'!AB72)</f>
        <v/>
      </c>
      <c r="AD72" s="86" t="str">
        <f aca="false">IF($B72="","",'مسير نوفمبر'!AB72)</f>
        <v/>
      </c>
      <c r="AE72" s="86" t="str">
        <f aca="false">IF($B72="","",'مسير ديسمبر'!AB72)</f>
        <v/>
      </c>
      <c r="AF72" s="123" t="str">
        <f aca="false">IF($B72="","",IF(1&lt;=cfg_VAL_M,'مسير يناير'!AB72,0)+IF(2&lt;=cfg_VAL_M,'مسير فبراير'!AB72,0)+IF(3&lt;=cfg_VAL_M,'مسير مارس'!AB72,0)+IF(4&lt;=cfg_VAL_M,'مسير أبريل'!AB72,0)+IF(5&lt;=cfg_VAL_M,'مسير مايو'!AB72,0)+IF(6&lt;=cfg_VAL_M,'مسير يونيو'!AB72,0)+IF(7&lt;=cfg_VAL_M,'مسير يوليو'!AB72,0)+IF(8&lt;=cfg_VAL_M,'مسير أغسطس'!AB72,0)+IF(9&lt;=cfg_VAL_M,'مسير سبتمبر'!AB72,0)+IF(10&lt;=cfg_VAL_M,'مسير أكتوبر'!AB72,0)+IF(11&lt;=cfg_VAL_M,'مسير نوفمبر'!AB72,0)+IF(12&lt;=cfg_VAL_M,'مسير ديسمبر'!AB72,0))</f>
        <v/>
      </c>
      <c r="AG72" s="123" t="str">
        <f aca="false">IF($B72="","",IF(1&lt;=cfg_VAL_M,'مسير يناير'!W72,0)+IF(2&lt;=cfg_VAL_M,'مسير فبراير'!W72,0)+IF(3&lt;=cfg_VAL_M,'مسير مارس'!W72,0)+IF(4&lt;=cfg_VAL_M,'مسير أبريل'!W72,0)+IF(5&lt;=cfg_VAL_M,'مسير مايو'!W72,0)+IF(6&lt;=cfg_VAL_M,'مسير يونيو'!W72,0)+IF(7&lt;=cfg_VAL_M,'مسير يوليو'!W72,0)+IF(8&lt;=cfg_VAL_M,'مسير أغسطس'!W72,0)+IF(9&lt;=cfg_VAL_M,'مسير سبتمبر'!W72,0)+IF(10&lt;=cfg_VAL_M,'مسير أكتوبر'!W72,0)+IF(11&lt;=cfg_VAL_M,'مسير نوفمبر'!W72,0)+IF(12&lt;=cfg_VAL_M,'مسير ديسمبر'!W72,0))</f>
        <v/>
      </c>
      <c r="AH72" s="86" t="str">
        <f aca="false">IF($B72="","",AF72/cfg_VAL_M)</f>
        <v/>
      </c>
    </row>
    <row r="73" customFormat="false" ht="15" hidden="false" customHeight="false" outlineLevel="0" collapsed="false">
      <c r="B73" s="91" t="str">
        <f aca="false">IF(الموظفون!$B73="","",الموظفون!$B73)</f>
        <v/>
      </c>
      <c r="C73" s="91" t="str">
        <f aca="false">IF(الموظفون!$B73="","",الموظفون!$C73)</f>
        <v/>
      </c>
      <c r="D73" s="91" t="str">
        <f aca="false">IF(الموظفون!$B73="","",الموظفون!$F73)</f>
        <v/>
      </c>
      <c r="E73" s="91" t="str">
        <f aca="false">IF(الموظفون!$B73="","",الموظفون!$E73)</f>
        <v/>
      </c>
      <c r="F73" s="90" t="str">
        <f aca="false">IF($B73="","",'مسير يناير'!R73)</f>
        <v/>
      </c>
      <c r="G73" s="90" t="str">
        <f aca="false">IF($B73="","",'مسير فبراير'!R73)</f>
        <v/>
      </c>
      <c r="H73" s="90" t="str">
        <f aca="false">IF($B73="","",'مسير مارس'!R73)</f>
        <v/>
      </c>
      <c r="I73" s="90" t="str">
        <f aca="false">IF($B73="","",'مسير أبريل'!R73)</f>
        <v/>
      </c>
      <c r="J73" s="90" t="str">
        <f aca="false">IF($B73="","",'مسير مايو'!R73)</f>
        <v/>
      </c>
      <c r="K73" s="90" t="str">
        <f aca="false">IF($B73="","",'مسير يونيو'!R73)</f>
        <v/>
      </c>
      <c r="L73" s="90" t="str">
        <f aca="false">IF($B73="","",'مسير يوليو'!R73)</f>
        <v/>
      </c>
      <c r="M73" s="90" t="str">
        <f aca="false">IF($B73="","",'مسير أغسطس'!R73)</f>
        <v/>
      </c>
      <c r="N73" s="90" t="str">
        <f aca="false">IF($B73="","",'مسير سبتمبر'!R73)</f>
        <v/>
      </c>
      <c r="O73" s="90" t="str">
        <f aca="false">IF($B73="","",'مسير أكتوبر'!R73)</f>
        <v/>
      </c>
      <c r="P73" s="90" t="str">
        <f aca="false">IF($B73="","",'مسير نوفمبر'!R73)</f>
        <v/>
      </c>
      <c r="Q73" s="90" t="str">
        <f aca="false">IF($B73="","",'مسير ديسمبر'!R73)</f>
        <v/>
      </c>
      <c r="R73" s="124" t="str">
        <f aca="false">IF($B73="","",IF(1&lt;=cfg_VAL_M,'مسير يناير'!R73,0)+IF(2&lt;=cfg_VAL_M,'مسير فبراير'!R73,0)+IF(3&lt;=cfg_VAL_M,'مسير مارس'!R73,0)+IF(4&lt;=cfg_VAL_M,'مسير أبريل'!R73,0)+IF(5&lt;=cfg_VAL_M,'مسير مايو'!R73,0)+IF(6&lt;=cfg_VAL_M,'مسير يونيو'!R73,0)+IF(7&lt;=cfg_VAL_M,'مسير يوليو'!R73,0)+IF(8&lt;=cfg_VAL_M,'مسير أغسطس'!R73,0)+IF(9&lt;=cfg_VAL_M,'مسير سبتمبر'!R73,0)+IF(10&lt;=cfg_VAL_M,'مسير أكتوبر'!R73,0)+IF(11&lt;=cfg_VAL_M,'مسير نوفمبر'!R73,0)+IF(12&lt;=cfg_VAL_M,'مسير ديسمبر'!R73,0))</f>
        <v/>
      </c>
      <c r="T73" s="90" t="str">
        <f aca="false">IF($B73="","",'مسير يناير'!AB73)</f>
        <v/>
      </c>
      <c r="U73" s="90" t="str">
        <f aca="false">IF($B73="","",'مسير فبراير'!AB73)</f>
        <v/>
      </c>
      <c r="V73" s="90" t="str">
        <f aca="false">IF($B73="","",'مسير مارس'!AB73)</f>
        <v/>
      </c>
      <c r="W73" s="90" t="str">
        <f aca="false">IF($B73="","",'مسير أبريل'!AB73)</f>
        <v/>
      </c>
      <c r="X73" s="90" t="str">
        <f aca="false">IF($B73="","",'مسير مايو'!AB73)</f>
        <v/>
      </c>
      <c r="Y73" s="90" t="str">
        <f aca="false">IF($B73="","",'مسير يونيو'!AB73)</f>
        <v/>
      </c>
      <c r="Z73" s="90" t="str">
        <f aca="false">IF($B73="","",'مسير يوليو'!AB73)</f>
        <v/>
      </c>
      <c r="AA73" s="90" t="str">
        <f aca="false">IF($B73="","",'مسير أغسطس'!AB73)</f>
        <v/>
      </c>
      <c r="AB73" s="90" t="str">
        <f aca="false">IF($B73="","",'مسير سبتمبر'!AB73)</f>
        <v/>
      </c>
      <c r="AC73" s="90" t="str">
        <f aca="false">IF($B73="","",'مسير أكتوبر'!AB73)</f>
        <v/>
      </c>
      <c r="AD73" s="90" t="str">
        <f aca="false">IF($B73="","",'مسير نوفمبر'!AB73)</f>
        <v/>
      </c>
      <c r="AE73" s="90" t="str">
        <f aca="false">IF($B73="","",'مسير ديسمبر'!AB73)</f>
        <v/>
      </c>
      <c r="AF73" s="124" t="str">
        <f aca="false">IF($B73="","",IF(1&lt;=cfg_VAL_M,'مسير يناير'!AB73,0)+IF(2&lt;=cfg_VAL_M,'مسير فبراير'!AB73,0)+IF(3&lt;=cfg_VAL_M,'مسير مارس'!AB73,0)+IF(4&lt;=cfg_VAL_M,'مسير أبريل'!AB73,0)+IF(5&lt;=cfg_VAL_M,'مسير مايو'!AB73,0)+IF(6&lt;=cfg_VAL_M,'مسير يونيو'!AB73,0)+IF(7&lt;=cfg_VAL_M,'مسير يوليو'!AB73,0)+IF(8&lt;=cfg_VAL_M,'مسير أغسطس'!AB73,0)+IF(9&lt;=cfg_VAL_M,'مسير سبتمبر'!AB73,0)+IF(10&lt;=cfg_VAL_M,'مسير أكتوبر'!AB73,0)+IF(11&lt;=cfg_VAL_M,'مسير نوفمبر'!AB73,0)+IF(12&lt;=cfg_VAL_M,'مسير ديسمبر'!AB73,0))</f>
        <v/>
      </c>
      <c r="AG73" s="124" t="str">
        <f aca="false">IF($B73="","",IF(1&lt;=cfg_VAL_M,'مسير يناير'!W73,0)+IF(2&lt;=cfg_VAL_M,'مسير فبراير'!W73,0)+IF(3&lt;=cfg_VAL_M,'مسير مارس'!W73,0)+IF(4&lt;=cfg_VAL_M,'مسير أبريل'!W73,0)+IF(5&lt;=cfg_VAL_M,'مسير مايو'!W73,0)+IF(6&lt;=cfg_VAL_M,'مسير يونيو'!W73,0)+IF(7&lt;=cfg_VAL_M,'مسير يوليو'!W73,0)+IF(8&lt;=cfg_VAL_M,'مسير أغسطس'!W73,0)+IF(9&lt;=cfg_VAL_M,'مسير سبتمبر'!W73,0)+IF(10&lt;=cfg_VAL_M,'مسير أكتوبر'!W73,0)+IF(11&lt;=cfg_VAL_M,'مسير نوفمبر'!W73,0)+IF(12&lt;=cfg_VAL_M,'مسير ديسمبر'!W73,0))</f>
        <v/>
      </c>
      <c r="AH73" s="90" t="str">
        <f aca="false">IF($B73="","",AF73/cfg_VAL_M)</f>
        <v/>
      </c>
    </row>
    <row r="74" customFormat="false" ht="15" hidden="false" customHeight="false" outlineLevel="0" collapsed="false">
      <c r="B74" s="74" t="str">
        <f aca="false">IF(الموظفون!$B74="","",الموظفون!$B74)</f>
        <v/>
      </c>
      <c r="C74" s="74" t="str">
        <f aca="false">IF(الموظفون!$B74="","",الموظفون!$C74)</f>
        <v/>
      </c>
      <c r="D74" s="74" t="str">
        <f aca="false">IF(الموظفون!$B74="","",الموظفون!$F74)</f>
        <v/>
      </c>
      <c r="E74" s="74" t="str">
        <f aca="false">IF(الموظفون!$B74="","",الموظفون!$E74)</f>
        <v/>
      </c>
      <c r="F74" s="86" t="str">
        <f aca="false">IF($B74="","",'مسير يناير'!R74)</f>
        <v/>
      </c>
      <c r="G74" s="86" t="str">
        <f aca="false">IF($B74="","",'مسير فبراير'!R74)</f>
        <v/>
      </c>
      <c r="H74" s="86" t="str">
        <f aca="false">IF($B74="","",'مسير مارس'!R74)</f>
        <v/>
      </c>
      <c r="I74" s="86" t="str">
        <f aca="false">IF($B74="","",'مسير أبريل'!R74)</f>
        <v/>
      </c>
      <c r="J74" s="86" t="str">
        <f aca="false">IF($B74="","",'مسير مايو'!R74)</f>
        <v/>
      </c>
      <c r="K74" s="86" t="str">
        <f aca="false">IF($B74="","",'مسير يونيو'!R74)</f>
        <v/>
      </c>
      <c r="L74" s="86" t="str">
        <f aca="false">IF($B74="","",'مسير يوليو'!R74)</f>
        <v/>
      </c>
      <c r="M74" s="86" t="str">
        <f aca="false">IF($B74="","",'مسير أغسطس'!R74)</f>
        <v/>
      </c>
      <c r="N74" s="86" t="str">
        <f aca="false">IF($B74="","",'مسير سبتمبر'!R74)</f>
        <v/>
      </c>
      <c r="O74" s="86" t="str">
        <f aca="false">IF($B74="","",'مسير أكتوبر'!R74)</f>
        <v/>
      </c>
      <c r="P74" s="86" t="str">
        <f aca="false">IF($B74="","",'مسير نوفمبر'!R74)</f>
        <v/>
      </c>
      <c r="Q74" s="86" t="str">
        <f aca="false">IF($B74="","",'مسير ديسمبر'!R74)</f>
        <v/>
      </c>
      <c r="R74" s="123" t="str">
        <f aca="false">IF($B74="","",IF(1&lt;=cfg_VAL_M,'مسير يناير'!R74,0)+IF(2&lt;=cfg_VAL_M,'مسير فبراير'!R74,0)+IF(3&lt;=cfg_VAL_M,'مسير مارس'!R74,0)+IF(4&lt;=cfg_VAL_M,'مسير أبريل'!R74,0)+IF(5&lt;=cfg_VAL_M,'مسير مايو'!R74,0)+IF(6&lt;=cfg_VAL_M,'مسير يونيو'!R74,0)+IF(7&lt;=cfg_VAL_M,'مسير يوليو'!R74,0)+IF(8&lt;=cfg_VAL_M,'مسير أغسطس'!R74,0)+IF(9&lt;=cfg_VAL_M,'مسير سبتمبر'!R74,0)+IF(10&lt;=cfg_VAL_M,'مسير أكتوبر'!R74,0)+IF(11&lt;=cfg_VAL_M,'مسير نوفمبر'!R74,0)+IF(12&lt;=cfg_VAL_M,'مسير ديسمبر'!R74,0))</f>
        <v/>
      </c>
      <c r="T74" s="86" t="str">
        <f aca="false">IF($B74="","",'مسير يناير'!AB74)</f>
        <v/>
      </c>
      <c r="U74" s="86" t="str">
        <f aca="false">IF($B74="","",'مسير فبراير'!AB74)</f>
        <v/>
      </c>
      <c r="V74" s="86" t="str">
        <f aca="false">IF($B74="","",'مسير مارس'!AB74)</f>
        <v/>
      </c>
      <c r="W74" s="86" t="str">
        <f aca="false">IF($B74="","",'مسير أبريل'!AB74)</f>
        <v/>
      </c>
      <c r="X74" s="86" t="str">
        <f aca="false">IF($B74="","",'مسير مايو'!AB74)</f>
        <v/>
      </c>
      <c r="Y74" s="86" t="str">
        <f aca="false">IF($B74="","",'مسير يونيو'!AB74)</f>
        <v/>
      </c>
      <c r="Z74" s="86" t="str">
        <f aca="false">IF($B74="","",'مسير يوليو'!AB74)</f>
        <v/>
      </c>
      <c r="AA74" s="86" t="str">
        <f aca="false">IF($B74="","",'مسير أغسطس'!AB74)</f>
        <v/>
      </c>
      <c r="AB74" s="86" t="str">
        <f aca="false">IF($B74="","",'مسير سبتمبر'!AB74)</f>
        <v/>
      </c>
      <c r="AC74" s="86" t="str">
        <f aca="false">IF($B74="","",'مسير أكتوبر'!AB74)</f>
        <v/>
      </c>
      <c r="AD74" s="86" t="str">
        <f aca="false">IF($B74="","",'مسير نوفمبر'!AB74)</f>
        <v/>
      </c>
      <c r="AE74" s="86" t="str">
        <f aca="false">IF($B74="","",'مسير ديسمبر'!AB74)</f>
        <v/>
      </c>
      <c r="AF74" s="123" t="str">
        <f aca="false">IF($B74="","",IF(1&lt;=cfg_VAL_M,'مسير يناير'!AB74,0)+IF(2&lt;=cfg_VAL_M,'مسير فبراير'!AB74,0)+IF(3&lt;=cfg_VAL_M,'مسير مارس'!AB74,0)+IF(4&lt;=cfg_VAL_M,'مسير أبريل'!AB74,0)+IF(5&lt;=cfg_VAL_M,'مسير مايو'!AB74,0)+IF(6&lt;=cfg_VAL_M,'مسير يونيو'!AB74,0)+IF(7&lt;=cfg_VAL_M,'مسير يوليو'!AB74,0)+IF(8&lt;=cfg_VAL_M,'مسير أغسطس'!AB74,0)+IF(9&lt;=cfg_VAL_M,'مسير سبتمبر'!AB74,0)+IF(10&lt;=cfg_VAL_M,'مسير أكتوبر'!AB74,0)+IF(11&lt;=cfg_VAL_M,'مسير نوفمبر'!AB74,0)+IF(12&lt;=cfg_VAL_M,'مسير ديسمبر'!AB74,0))</f>
        <v/>
      </c>
      <c r="AG74" s="123" t="str">
        <f aca="false">IF($B74="","",IF(1&lt;=cfg_VAL_M,'مسير يناير'!W74,0)+IF(2&lt;=cfg_VAL_M,'مسير فبراير'!W74,0)+IF(3&lt;=cfg_VAL_M,'مسير مارس'!W74,0)+IF(4&lt;=cfg_VAL_M,'مسير أبريل'!W74,0)+IF(5&lt;=cfg_VAL_M,'مسير مايو'!W74,0)+IF(6&lt;=cfg_VAL_M,'مسير يونيو'!W74,0)+IF(7&lt;=cfg_VAL_M,'مسير يوليو'!W74,0)+IF(8&lt;=cfg_VAL_M,'مسير أغسطس'!W74,0)+IF(9&lt;=cfg_VAL_M,'مسير سبتمبر'!W74,0)+IF(10&lt;=cfg_VAL_M,'مسير أكتوبر'!W74,0)+IF(11&lt;=cfg_VAL_M,'مسير نوفمبر'!W74,0)+IF(12&lt;=cfg_VAL_M,'مسير ديسمبر'!W74,0))</f>
        <v/>
      </c>
      <c r="AH74" s="86" t="str">
        <f aca="false">IF($B74="","",AF74/cfg_VAL_M)</f>
        <v/>
      </c>
    </row>
    <row r="75" customFormat="false" ht="15" hidden="false" customHeight="false" outlineLevel="0" collapsed="false">
      <c r="B75" s="91" t="str">
        <f aca="false">IF(الموظفون!$B75="","",الموظفون!$B75)</f>
        <v/>
      </c>
      <c r="C75" s="91" t="str">
        <f aca="false">IF(الموظفون!$B75="","",الموظفون!$C75)</f>
        <v/>
      </c>
      <c r="D75" s="91" t="str">
        <f aca="false">IF(الموظفون!$B75="","",الموظفون!$F75)</f>
        <v/>
      </c>
      <c r="E75" s="91" t="str">
        <f aca="false">IF(الموظفون!$B75="","",الموظفون!$E75)</f>
        <v/>
      </c>
      <c r="F75" s="90" t="str">
        <f aca="false">IF($B75="","",'مسير يناير'!R75)</f>
        <v/>
      </c>
      <c r="G75" s="90" t="str">
        <f aca="false">IF($B75="","",'مسير فبراير'!R75)</f>
        <v/>
      </c>
      <c r="H75" s="90" t="str">
        <f aca="false">IF($B75="","",'مسير مارس'!R75)</f>
        <v/>
      </c>
      <c r="I75" s="90" t="str">
        <f aca="false">IF($B75="","",'مسير أبريل'!R75)</f>
        <v/>
      </c>
      <c r="J75" s="90" t="str">
        <f aca="false">IF($B75="","",'مسير مايو'!R75)</f>
        <v/>
      </c>
      <c r="K75" s="90" t="str">
        <f aca="false">IF($B75="","",'مسير يونيو'!R75)</f>
        <v/>
      </c>
      <c r="L75" s="90" t="str">
        <f aca="false">IF($B75="","",'مسير يوليو'!R75)</f>
        <v/>
      </c>
      <c r="M75" s="90" t="str">
        <f aca="false">IF($B75="","",'مسير أغسطس'!R75)</f>
        <v/>
      </c>
      <c r="N75" s="90" t="str">
        <f aca="false">IF($B75="","",'مسير سبتمبر'!R75)</f>
        <v/>
      </c>
      <c r="O75" s="90" t="str">
        <f aca="false">IF($B75="","",'مسير أكتوبر'!R75)</f>
        <v/>
      </c>
      <c r="P75" s="90" t="str">
        <f aca="false">IF($B75="","",'مسير نوفمبر'!R75)</f>
        <v/>
      </c>
      <c r="Q75" s="90" t="str">
        <f aca="false">IF($B75="","",'مسير ديسمبر'!R75)</f>
        <v/>
      </c>
      <c r="R75" s="124" t="str">
        <f aca="false">IF($B75="","",IF(1&lt;=cfg_VAL_M,'مسير يناير'!R75,0)+IF(2&lt;=cfg_VAL_M,'مسير فبراير'!R75,0)+IF(3&lt;=cfg_VAL_M,'مسير مارس'!R75,0)+IF(4&lt;=cfg_VAL_M,'مسير أبريل'!R75,0)+IF(5&lt;=cfg_VAL_M,'مسير مايو'!R75,0)+IF(6&lt;=cfg_VAL_M,'مسير يونيو'!R75,0)+IF(7&lt;=cfg_VAL_M,'مسير يوليو'!R75,0)+IF(8&lt;=cfg_VAL_M,'مسير أغسطس'!R75,0)+IF(9&lt;=cfg_VAL_M,'مسير سبتمبر'!R75,0)+IF(10&lt;=cfg_VAL_M,'مسير أكتوبر'!R75,0)+IF(11&lt;=cfg_VAL_M,'مسير نوفمبر'!R75,0)+IF(12&lt;=cfg_VAL_M,'مسير ديسمبر'!R75,0))</f>
        <v/>
      </c>
      <c r="T75" s="90" t="str">
        <f aca="false">IF($B75="","",'مسير يناير'!AB75)</f>
        <v/>
      </c>
      <c r="U75" s="90" t="str">
        <f aca="false">IF($B75="","",'مسير فبراير'!AB75)</f>
        <v/>
      </c>
      <c r="V75" s="90" t="str">
        <f aca="false">IF($B75="","",'مسير مارس'!AB75)</f>
        <v/>
      </c>
      <c r="W75" s="90" t="str">
        <f aca="false">IF($B75="","",'مسير أبريل'!AB75)</f>
        <v/>
      </c>
      <c r="X75" s="90" t="str">
        <f aca="false">IF($B75="","",'مسير مايو'!AB75)</f>
        <v/>
      </c>
      <c r="Y75" s="90" t="str">
        <f aca="false">IF($B75="","",'مسير يونيو'!AB75)</f>
        <v/>
      </c>
      <c r="Z75" s="90" t="str">
        <f aca="false">IF($B75="","",'مسير يوليو'!AB75)</f>
        <v/>
      </c>
      <c r="AA75" s="90" t="str">
        <f aca="false">IF($B75="","",'مسير أغسطس'!AB75)</f>
        <v/>
      </c>
      <c r="AB75" s="90" t="str">
        <f aca="false">IF($B75="","",'مسير سبتمبر'!AB75)</f>
        <v/>
      </c>
      <c r="AC75" s="90" t="str">
        <f aca="false">IF($B75="","",'مسير أكتوبر'!AB75)</f>
        <v/>
      </c>
      <c r="AD75" s="90" t="str">
        <f aca="false">IF($B75="","",'مسير نوفمبر'!AB75)</f>
        <v/>
      </c>
      <c r="AE75" s="90" t="str">
        <f aca="false">IF($B75="","",'مسير ديسمبر'!AB75)</f>
        <v/>
      </c>
      <c r="AF75" s="124" t="str">
        <f aca="false">IF($B75="","",IF(1&lt;=cfg_VAL_M,'مسير يناير'!AB75,0)+IF(2&lt;=cfg_VAL_M,'مسير فبراير'!AB75,0)+IF(3&lt;=cfg_VAL_M,'مسير مارس'!AB75,0)+IF(4&lt;=cfg_VAL_M,'مسير أبريل'!AB75,0)+IF(5&lt;=cfg_VAL_M,'مسير مايو'!AB75,0)+IF(6&lt;=cfg_VAL_M,'مسير يونيو'!AB75,0)+IF(7&lt;=cfg_VAL_M,'مسير يوليو'!AB75,0)+IF(8&lt;=cfg_VAL_M,'مسير أغسطس'!AB75,0)+IF(9&lt;=cfg_VAL_M,'مسير سبتمبر'!AB75,0)+IF(10&lt;=cfg_VAL_M,'مسير أكتوبر'!AB75,0)+IF(11&lt;=cfg_VAL_M,'مسير نوفمبر'!AB75,0)+IF(12&lt;=cfg_VAL_M,'مسير ديسمبر'!AB75,0))</f>
        <v/>
      </c>
      <c r="AG75" s="124" t="str">
        <f aca="false">IF($B75="","",IF(1&lt;=cfg_VAL_M,'مسير يناير'!W75,0)+IF(2&lt;=cfg_VAL_M,'مسير فبراير'!W75,0)+IF(3&lt;=cfg_VAL_M,'مسير مارس'!W75,0)+IF(4&lt;=cfg_VAL_M,'مسير أبريل'!W75,0)+IF(5&lt;=cfg_VAL_M,'مسير مايو'!W75,0)+IF(6&lt;=cfg_VAL_M,'مسير يونيو'!W75,0)+IF(7&lt;=cfg_VAL_M,'مسير يوليو'!W75,0)+IF(8&lt;=cfg_VAL_M,'مسير أغسطس'!W75,0)+IF(9&lt;=cfg_VAL_M,'مسير سبتمبر'!W75,0)+IF(10&lt;=cfg_VAL_M,'مسير أكتوبر'!W75,0)+IF(11&lt;=cfg_VAL_M,'مسير نوفمبر'!W75,0)+IF(12&lt;=cfg_VAL_M,'مسير ديسمبر'!W75,0))</f>
        <v/>
      </c>
      <c r="AH75" s="90" t="str">
        <f aca="false">IF($B75="","",AF75/cfg_VAL_M)</f>
        <v/>
      </c>
    </row>
    <row r="76" customFormat="false" ht="15" hidden="false" customHeight="false" outlineLevel="0" collapsed="false">
      <c r="B76" s="74" t="str">
        <f aca="false">IF(الموظفون!$B76="","",الموظفون!$B76)</f>
        <v/>
      </c>
      <c r="C76" s="74" t="str">
        <f aca="false">IF(الموظفون!$B76="","",الموظفون!$C76)</f>
        <v/>
      </c>
      <c r="D76" s="74" t="str">
        <f aca="false">IF(الموظفون!$B76="","",الموظفون!$F76)</f>
        <v/>
      </c>
      <c r="E76" s="74" t="str">
        <f aca="false">IF(الموظفون!$B76="","",الموظفون!$E76)</f>
        <v/>
      </c>
      <c r="F76" s="86" t="str">
        <f aca="false">IF($B76="","",'مسير يناير'!R76)</f>
        <v/>
      </c>
      <c r="G76" s="86" t="str">
        <f aca="false">IF($B76="","",'مسير فبراير'!R76)</f>
        <v/>
      </c>
      <c r="H76" s="86" t="str">
        <f aca="false">IF($B76="","",'مسير مارس'!R76)</f>
        <v/>
      </c>
      <c r="I76" s="86" t="str">
        <f aca="false">IF($B76="","",'مسير أبريل'!R76)</f>
        <v/>
      </c>
      <c r="J76" s="86" t="str">
        <f aca="false">IF($B76="","",'مسير مايو'!R76)</f>
        <v/>
      </c>
      <c r="K76" s="86" t="str">
        <f aca="false">IF($B76="","",'مسير يونيو'!R76)</f>
        <v/>
      </c>
      <c r="L76" s="86" t="str">
        <f aca="false">IF($B76="","",'مسير يوليو'!R76)</f>
        <v/>
      </c>
      <c r="M76" s="86" t="str">
        <f aca="false">IF($B76="","",'مسير أغسطس'!R76)</f>
        <v/>
      </c>
      <c r="N76" s="86" t="str">
        <f aca="false">IF($B76="","",'مسير سبتمبر'!R76)</f>
        <v/>
      </c>
      <c r="O76" s="86" t="str">
        <f aca="false">IF($B76="","",'مسير أكتوبر'!R76)</f>
        <v/>
      </c>
      <c r="P76" s="86" t="str">
        <f aca="false">IF($B76="","",'مسير نوفمبر'!R76)</f>
        <v/>
      </c>
      <c r="Q76" s="86" t="str">
        <f aca="false">IF($B76="","",'مسير ديسمبر'!R76)</f>
        <v/>
      </c>
      <c r="R76" s="123" t="str">
        <f aca="false">IF($B76="","",IF(1&lt;=cfg_VAL_M,'مسير يناير'!R76,0)+IF(2&lt;=cfg_VAL_M,'مسير فبراير'!R76,0)+IF(3&lt;=cfg_VAL_M,'مسير مارس'!R76,0)+IF(4&lt;=cfg_VAL_M,'مسير أبريل'!R76,0)+IF(5&lt;=cfg_VAL_M,'مسير مايو'!R76,0)+IF(6&lt;=cfg_VAL_M,'مسير يونيو'!R76,0)+IF(7&lt;=cfg_VAL_M,'مسير يوليو'!R76,0)+IF(8&lt;=cfg_VAL_M,'مسير أغسطس'!R76,0)+IF(9&lt;=cfg_VAL_M,'مسير سبتمبر'!R76,0)+IF(10&lt;=cfg_VAL_M,'مسير أكتوبر'!R76,0)+IF(11&lt;=cfg_VAL_M,'مسير نوفمبر'!R76,0)+IF(12&lt;=cfg_VAL_M,'مسير ديسمبر'!R76,0))</f>
        <v/>
      </c>
      <c r="T76" s="86" t="str">
        <f aca="false">IF($B76="","",'مسير يناير'!AB76)</f>
        <v/>
      </c>
      <c r="U76" s="86" t="str">
        <f aca="false">IF($B76="","",'مسير فبراير'!AB76)</f>
        <v/>
      </c>
      <c r="V76" s="86" t="str">
        <f aca="false">IF($B76="","",'مسير مارس'!AB76)</f>
        <v/>
      </c>
      <c r="W76" s="86" t="str">
        <f aca="false">IF($B76="","",'مسير أبريل'!AB76)</f>
        <v/>
      </c>
      <c r="X76" s="86" t="str">
        <f aca="false">IF($B76="","",'مسير مايو'!AB76)</f>
        <v/>
      </c>
      <c r="Y76" s="86" t="str">
        <f aca="false">IF($B76="","",'مسير يونيو'!AB76)</f>
        <v/>
      </c>
      <c r="Z76" s="86" t="str">
        <f aca="false">IF($B76="","",'مسير يوليو'!AB76)</f>
        <v/>
      </c>
      <c r="AA76" s="86" t="str">
        <f aca="false">IF($B76="","",'مسير أغسطس'!AB76)</f>
        <v/>
      </c>
      <c r="AB76" s="86" t="str">
        <f aca="false">IF($B76="","",'مسير سبتمبر'!AB76)</f>
        <v/>
      </c>
      <c r="AC76" s="86" t="str">
        <f aca="false">IF($B76="","",'مسير أكتوبر'!AB76)</f>
        <v/>
      </c>
      <c r="AD76" s="86" t="str">
        <f aca="false">IF($B76="","",'مسير نوفمبر'!AB76)</f>
        <v/>
      </c>
      <c r="AE76" s="86" t="str">
        <f aca="false">IF($B76="","",'مسير ديسمبر'!AB76)</f>
        <v/>
      </c>
      <c r="AF76" s="123" t="str">
        <f aca="false">IF($B76="","",IF(1&lt;=cfg_VAL_M,'مسير يناير'!AB76,0)+IF(2&lt;=cfg_VAL_M,'مسير فبراير'!AB76,0)+IF(3&lt;=cfg_VAL_M,'مسير مارس'!AB76,0)+IF(4&lt;=cfg_VAL_M,'مسير أبريل'!AB76,0)+IF(5&lt;=cfg_VAL_M,'مسير مايو'!AB76,0)+IF(6&lt;=cfg_VAL_M,'مسير يونيو'!AB76,0)+IF(7&lt;=cfg_VAL_M,'مسير يوليو'!AB76,0)+IF(8&lt;=cfg_VAL_M,'مسير أغسطس'!AB76,0)+IF(9&lt;=cfg_VAL_M,'مسير سبتمبر'!AB76,0)+IF(10&lt;=cfg_VAL_M,'مسير أكتوبر'!AB76,0)+IF(11&lt;=cfg_VAL_M,'مسير نوفمبر'!AB76,0)+IF(12&lt;=cfg_VAL_M,'مسير ديسمبر'!AB76,0))</f>
        <v/>
      </c>
      <c r="AG76" s="123" t="str">
        <f aca="false">IF($B76="","",IF(1&lt;=cfg_VAL_M,'مسير يناير'!W76,0)+IF(2&lt;=cfg_VAL_M,'مسير فبراير'!W76,0)+IF(3&lt;=cfg_VAL_M,'مسير مارس'!W76,0)+IF(4&lt;=cfg_VAL_M,'مسير أبريل'!W76,0)+IF(5&lt;=cfg_VAL_M,'مسير مايو'!W76,0)+IF(6&lt;=cfg_VAL_M,'مسير يونيو'!W76,0)+IF(7&lt;=cfg_VAL_M,'مسير يوليو'!W76,0)+IF(8&lt;=cfg_VAL_M,'مسير أغسطس'!W76,0)+IF(9&lt;=cfg_VAL_M,'مسير سبتمبر'!W76,0)+IF(10&lt;=cfg_VAL_M,'مسير أكتوبر'!W76,0)+IF(11&lt;=cfg_VAL_M,'مسير نوفمبر'!W76,0)+IF(12&lt;=cfg_VAL_M,'مسير ديسمبر'!W76,0))</f>
        <v/>
      </c>
      <c r="AH76" s="86" t="str">
        <f aca="false">IF($B76="","",AF76/cfg_VAL_M)</f>
        <v/>
      </c>
    </row>
    <row r="77" customFormat="false" ht="15" hidden="false" customHeight="false" outlineLevel="0" collapsed="false">
      <c r="B77" s="91" t="str">
        <f aca="false">IF(الموظفون!$B77="","",الموظفون!$B77)</f>
        <v/>
      </c>
      <c r="C77" s="91" t="str">
        <f aca="false">IF(الموظفون!$B77="","",الموظفون!$C77)</f>
        <v/>
      </c>
      <c r="D77" s="91" t="str">
        <f aca="false">IF(الموظفون!$B77="","",الموظفون!$F77)</f>
        <v/>
      </c>
      <c r="E77" s="91" t="str">
        <f aca="false">IF(الموظفون!$B77="","",الموظفون!$E77)</f>
        <v/>
      </c>
      <c r="F77" s="90" t="str">
        <f aca="false">IF($B77="","",'مسير يناير'!R77)</f>
        <v/>
      </c>
      <c r="G77" s="90" t="str">
        <f aca="false">IF($B77="","",'مسير فبراير'!R77)</f>
        <v/>
      </c>
      <c r="H77" s="90" t="str">
        <f aca="false">IF($B77="","",'مسير مارس'!R77)</f>
        <v/>
      </c>
      <c r="I77" s="90" t="str">
        <f aca="false">IF($B77="","",'مسير أبريل'!R77)</f>
        <v/>
      </c>
      <c r="J77" s="90" t="str">
        <f aca="false">IF($B77="","",'مسير مايو'!R77)</f>
        <v/>
      </c>
      <c r="K77" s="90" t="str">
        <f aca="false">IF($B77="","",'مسير يونيو'!R77)</f>
        <v/>
      </c>
      <c r="L77" s="90" t="str">
        <f aca="false">IF($B77="","",'مسير يوليو'!R77)</f>
        <v/>
      </c>
      <c r="M77" s="90" t="str">
        <f aca="false">IF($B77="","",'مسير أغسطس'!R77)</f>
        <v/>
      </c>
      <c r="N77" s="90" t="str">
        <f aca="false">IF($B77="","",'مسير سبتمبر'!R77)</f>
        <v/>
      </c>
      <c r="O77" s="90" t="str">
        <f aca="false">IF($B77="","",'مسير أكتوبر'!R77)</f>
        <v/>
      </c>
      <c r="P77" s="90" t="str">
        <f aca="false">IF($B77="","",'مسير نوفمبر'!R77)</f>
        <v/>
      </c>
      <c r="Q77" s="90" t="str">
        <f aca="false">IF($B77="","",'مسير ديسمبر'!R77)</f>
        <v/>
      </c>
      <c r="R77" s="124" t="str">
        <f aca="false">IF($B77="","",IF(1&lt;=cfg_VAL_M,'مسير يناير'!R77,0)+IF(2&lt;=cfg_VAL_M,'مسير فبراير'!R77,0)+IF(3&lt;=cfg_VAL_M,'مسير مارس'!R77,0)+IF(4&lt;=cfg_VAL_M,'مسير أبريل'!R77,0)+IF(5&lt;=cfg_VAL_M,'مسير مايو'!R77,0)+IF(6&lt;=cfg_VAL_M,'مسير يونيو'!R77,0)+IF(7&lt;=cfg_VAL_M,'مسير يوليو'!R77,0)+IF(8&lt;=cfg_VAL_M,'مسير أغسطس'!R77,0)+IF(9&lt;=cfg_VAL_M,'مسير سبتمبر'!R77,0)+IF(10&lt;=cfg_VAL_M,'مسير أكتوبر'!R77,0)+IF(11&lt;=cfg_VAL_M,'مسير نوفمبر'!R77,0)+IF(12&lt;=cfg_VAL_M,'مسير ديسمبر'!R77,0))</f>
        <v/>
      </c>
      <c r="T77" s="90" t="str">
        <f aca="false">IF($B77="","",'مسير يناير'!AB77)</f>
        <v/>
      </c>
      <c r="U77" s="90" t="str">
        <f aca="false">IF($B77="","",'مسير فبراير'!AB77)</f>
        <v/>
      </c>
      <c r="V77" s="90" t="str">
        <f aca="false">IF($B77="","",'مسير مارس'!AB77)</f>
        <v/>
      </c>
      <c r="W77" s="90" t="str">
        <f aca="false">IF($B77="","",'مسير أبريل'!AB77)</f>
        <v/>
      </c>
      <c r="X77" s="90" t="str">
        <f aca="false">IF($B77="","",'مسير مايو'!AB77)</f>
        <v/>
      </c>
      <c r="Y77" s="90" t="str">
        <f aca="false">IF($B77="","",'مسير يونيو'!AB77)</f>
        <v/>
      </c>
      <c r="Z77" s="90" t="str">
        <f aca="false">IF($B77="","",'مسير يوليو'!AB77)</f>
        <v/>
      </c>
      <c r="AA77" s="90" t="str">
        <f aca="false">IF($B77="","",'مسير أغسطس'!AB77)</f>
        <v/>
      </c>
      <c r="AB77" s="90" t="str">
        <f aca="false">IF($B77="","",'مسير سبتمبر'!AB77)</f>
        <v/>
      </c>
      <c r="AC77" s="90" t="str">
        <f aca="false">IF($B77="","",'مسير أكتوبر'!AB77)</f>
        <v/>
      </c>
      <c r="AD77" s="90" t="str">
        <f aca="false">IF($B77="","",'مسير نوفمبر'!AB77)</f>
        <v/>
      </c>
      <c r="AE77" s="90" t="str">
        <f aca="false">IF($B77="","",'مسير ديسمبر'!AB77)</f>
        <v/>
      </c>
      <c r="AF77" s="124" t="str">
        <f aca="false">IF($B77="","",IF(1&lt;=cfg_VAL_M,'مسير يناير'!AB77,0)+IF(2&lt;=cfg_VAL_M,'مسير فبراير'!AB77,0)+IF(3&lt;=cfg_VAL_M,'مسير مارس'!AB77,0)+IF(4&lt;=cfg_VAL_M,'مسير أبريل'!AB77,0)+IF(5&lt;=cfg_VAL_M,'مسير مايو'!AB77,0)+IF(6&lt;=cfg_VAL_M,'مسير يونيو'!AB77,0)+IF(7&lt;=cfg_VAL_M,'مسير يوليو'!AB77,0)+IF(8&lt;=cfg_VAL_M,'مسير أغسطس'!AB77,0)+IF(9&lt;=cfg_VAL_M,'مسير سبتمبر'!AB77,0)+IF(10&lt;=cfg_VAL_M,'مسير أكتوبر'!AB77,0)+IF(11&lt;=cfg_VAL_M,'مسير نوفمبر'!AB77,0)+IF(12&lt;=cfg_VAL_M,'مسير ديسمبر'!AB77,0))</f>
        <v/>
      </c>
      <c r="AG77" s="124" t="str">
        <f aca="false">IF($B77="","",IF(1&lt;=cfg_VAL_M,'مسير يناير'!W77,0)+IF(2&lt;=cfg_VAL_M,'مسير فبراير'!W77,0)+IF(3&lt;=cfg_VAL_M,'مسير مارس'!W77,0)+IF(4&lt;=cfg_VAL_M,'مسير أبريل'!W77,0)+IF(5&lt;=cfg_VAL_M,'مسير مايو'!W77,0)+IF(6&lt;=cfg_VAL_M,'مسير يونيو'!W77,0)+IF(7&lt;=cfg_VAL_M,'مسير يوليو'!W77,0)+IF(8&lt;=cfg_VAL_M,'مسير أغسطس'!W77,0)+IF(9&lt;=cfg_VAL_M,'مسير سبتمبر'!W77,0)+IF(10&lt;=cfg_VAL_M,'مسير أكتوبر'!W77,0)+IF(11&lt;=cfg_VAL_M,'مسير نوفمبر'!W77,0)+IF(12&lt;=cfg_VAL_M,'مسير ديسمبر'!W77,0))</f>
        <v/>
      </c>
      <c r="AH77" s="90" t="str">
        <f aca="false">IF($B77="","",AF77/cfg_VAL_M)</f>
        <v/>
      </c>
    </row>
    <row r="78" customFormat="false" ht="15" hidden="false" customHeight="false" outlineLevel="0" collapsed="false">
      <c r="B78" s="74" t="str">
        <f aca="false">IF(الموظفون!$B78="","",الموظفون!$B78)</f>
        <v/>
      </c>
      <c r="C78" s="74" t="str">
        <f aca="false">IF(الموظفون!$B78="","",الموظفون!$C78)</f>
        <v/>
      </c>
      <c r="D78" s="74" t="str">
        <f aca="false">IF(الموظفون!$B78="","",الموظفون!$F78)</f>
        <v/>
      </c>
      <c r="E78" s="74" t="str">
        <f aca="false">IF(الموظفون!$B78="","",الموظفون!$E78)</f>
        <v/>
      </c>
      <c r="F78" s="86" t="str">
        <f aca="false">IF($B78="","",'مسير يناير'!R78)</f>
        <v/>
      </c>
      <c r="G78" s="86" t="str">
        <f aca="false">IF($B78="","",'مسير فبراير'!R78)</f>
        <v/>
      </c>
      <c r="H78" s="86" t="str">
        <f aca="false">IF($B78="","",'مسير مارس'!R78)</f>
        <v/>
      </c>
      <c r="I78" s="86" t="str">
        <f aca="false">IF($B78="","",'مسير أبريل'!R78)</f>
        <v/>
      </c>
      <c r="J78" s="86" t="str">
        <f aca="false">IF($B78="","",'مسير مايو'!R78)</f>
        <v/>
      </c>
      <c r="K78" s="86" t="str">
        <f aca="false">IF($B78="","",'مسير يونيو'!R78)</f>
        <v/>
      </c>
      <c r="L78" s="86" t="str">
        <f aca="false">IF($B78="","",'مسير يوليو'!R78)</f>
        <v/>
      </c>
      <c r="M78" s="86" t="str">
        <f aca="false">IF($B78="","",'مسير أغسطس'!R78)</f>
        <v/>
      </c>
      <c r="N78" s="86" t="str">
        <f aca="false">IF($B78="","",'مسير سبتمبر'!R78)</f>
        <v/>
      </c>
      <c r="O78" s="86" t="str">
        <f aca="false">IF($B78="","",'مسير أكتوبر'!R78)</f>
        <v/>
      </c>
      <c r="P78" s="86" t="str">
        <f aca="false">IF($B78="","",'مسير نوفمبر'!R78)</f>
        <v/>
      </c>
      <c r="Q78" s="86" t="str">
        <f aca="false">IF($B78="","",'مسير ديسمبر'!R78)</f>
        <v/>
      </c>
      <c r="R78" s="123" t="str">
        <f aca="false">IF($B78="","",IF(1&lt;=cfg_VAL_M,'مسير يناير'!R78,0)+IF(2&lt;=cfg_VAL_M,'مسير فبراير'!R78,0)+IF(3&lt;=cfg_VAL_M,'مسير مارس'!R78,0)+IF(4&lt;=cfg_VAL_M,'مسير أبريل'!R78,0)+IF(5&lt;=cfg_VAL_M,'مسير مايو'!R78,0)+IF(6&lt;=cfg_VAL_M,'مسير يونيو'!R78,0)+IF(7&lt;=cfg_VAL_M,'مسير يوليو'!R78,0)+IF(8&lt;=cfg_VAL_M,'مسير أغسطس'!R78,0)+IF(9&lt;=cfg_VAL_M,'مسير سبتمبر'!R78,0)+IF(10&lt;=cfg_VAL_M,'مسير أكتوبر'!R78,0)+IF(11&lt;=cfg_VAL_M,'مسير نوفمبر'!R78,0)+IF(12&lt;=cfg_VAL_M,'مسير ديسمبر'!R78,0))</f>
        <v/>
      </c>
      <c r="T78" s="86" t="str">
        <f aca="false">IF($B78="","",'مسير يناير'!AB78)</f>
        <v/>
      </c>
      <c r="U78" s="86" t="str">
        <f aca="false">IF($B78="","",'مسير فبراير'!AB78)</f>
        <v/>
      </c>
      <c r="V78" s="86" t="str">
        <f aca="false">IF($B78="","",'مسير مارس'!AB78)</f>
        <v/>
      </c>
      <c r="W78" s="86" t="str">
        <f aca="false">IF($B78="","",'مسير أبريل'!AB78)</f>
        <v/>
      </c>
      <c r="X78" s="86" t="str">
        <f aca="false">IF($B78="","",'مسير مايو'!AB78)</f>
        <v/>
      </c>
      <c r="Y78" s="86" t="str">
        <f aca="false">IF($B78="","",'مسير يونيو'!AB78)</f>
        <v/>
      </c>
      <c r="Z78" s="86" t="str">
        <f aca="false">IF($B78="","",'مسير يوليو'!AB78)</f>
        <v/>
      </c>
      <c r="AA78" s="86" t="str">
        <f aca="false">IF($B78="","",'مسير أغسطس'!AB78)</f>
        <v/>
      </c>
      <c r="AB78" s="86" t="str">
        <f aca="false">IF($B78="","",'مسير سبتمبر'!AB78)</f>
        <v/>
      </c>
      <c r="AC78" s="86" t="str">
        <f aca="false">IF($B78="","",'مسير أكتوبر'!AB78)</f>
        <v/>
      </c>
      <c r="AD78" s="86" t="str">
        <f aca="false">IF($B78="","",'مسير نوفمبر'!AB78)</f>
        <v/>
      </c>
      <c r="AE78" s="86" t="str">
        <f aca="false">IF($B78="","",'مسير ديسمبر'!AB78)</f>
        <v/>
      </c>
      <c r="AF78" s="123" t="str">
        <f aca="false">IF($B78="","",IF(1&lt;=cfg_VAL_M,'مسير يناير'!AB78,0)+IF(2&lt;=cfg_VAL_M,'مسير فبراير'!AB78,0)+IF(3&lt;=cfg_VAL_M,'مسير مارس'!AB78,0)+IF(4&lt;=cfg_VAL_M,'مسير أبريل'!AB78,0)+IF(5&lt;=cfg_VAL_M,'مسير مايو'!AB78,0)+IF(6&lt;=cfg_VAL_M,'مسير يونيو'!AB78,0)+IF(7&lt;=cfg_VAL_M,'مسير يوليو'!AB78,0)+IF(8&lt;=cfg_VAL_M,'مسير أغسطس'!AB78,0)+IF(9&lt;=cfg_VAL_M,'مسير سبتمبر'!AB78,0)+IF(10&lt;=cfg_VAL_M,'مسير أكتوبر'!AB78,0)+IF(11&lt;=cfg_VAL_M,'مسير نوفمبر'!AB78,0)+IF(12&lt;=cfg_VAL_M,'مسير ديسمبر'!AB78,0))</f>
        <v/>
      </c>
      <c r="AG78" s="123" t="str">
        <f aca="false">IF($B78="","",IF(1&lt;=cfg_VAL_M,'مسير يناير'!W78,0)+IF(2&lt;=cfg_VAL_M,'مسير فبراير'!W78,0)+IF(3&lt;=cfg_VAL_M,'مسير مارس'!W78,0)+IF(4&lt;=cfg_VAL_M,'مسير أبريل'!W78,0)+IF(5&lt;=cfg_VAL_M,'مسير مايو'!W78,0)+IF(6&lt;=cfg_VAL_M,'مسير يونيو'!W78,0)+IF(7&lt;=cfg_VAL_M,'مسير يوليو'!W78,0)+IF(8&lt;=cfg_VAL_M,'مسير أغسطس'!W78,0)+IF(9&lt;=cfg_VAL_M,'مسير سبتمبر'!W78,0)+IF(10&lt;=cfg_VAL_M,'مسير أكتوبر'!W78,0)+IF(11&lt;=cfg_VAL_M,'مسير نوفمبر'!W78,0)+IF(12&lt;=cfg_VAL_M,'مسير ديسمبر'!W78,0))</f>
        <v/>
      </c>
      <c r="AH78" s="86" t="str">
        <f aca="false">IF($B78="","",AF78/cfg_VAL_M)</f>
        <v/>
      </c>
    </row>
    <row r="79" customFormat="false" ht="15" hidden="false" customHeight="false" outlineLevel="0" collapsed="false">
      <c r="B79" s="91" t="str">
        <f aca="false">IF(الموظفون!$B79="","",الموظفون!$B79)</f>
        <v/>
      </c>
      <c r="C79" s="91" t="str">
        <f aca="false">IF(الموظفون!$B79="","",الموظفون!$C79)</f>
        <v/>
      </c>
      <c r="D79" s="91" t="str">
        <f aca="false">IF(الموظفون!$B79="","",الموظفون!$F79)</f>
        <v/>
      </c>
      <c r="E79" s="91" t="str">
        <f aca="false">IF(الموظفون!$B79="","",الموظفون!$E79)</f>
        <v/>
      </c>
      <c r="F79" s="90" t="str">
        <f aca="false">IF($B79="","",'مسير يناير'!R79)</f>
        <v/>
      </c>
      <c r="G79" s="90" t="str">
        <f aca="false">IF($B79="","",'مسير فبراير'!R79)</f>
        <v/>
      </c>
      <c r="H79" s="90" t="str">
        <f aca="false">IF($B79="","",'مسير مارس'!R79)</f>
        <v/>
      </c>
      <c r="I79" s="90" t="str">
        <f aca="false">IF($B79="","",'مسير أبريل'!R79)</f>
        <v/>
      </c>
      <c r="J79" s="90" t="str">
        <f aca="false">IF($B79="","",'مسير مايو'!R79)</f>
        <v/>
      </c>
      <c r="K79" s="90" t="str">
        <f aca="false">IF($B79="","",'مسير يونيو'!R79)</f>
        <v/>
      </c>
      <c r="L79" s="90" t="str">
        <f aca="false">IF($B79="","",'مسير يوليو'!R79)</f>
        <v/>
      </c>
      <c r="M79" s="90" t="str">
        <f aca="false">IF($B79="","",'مسير أغسطس'!R79)</f>
        <v/>
      </c>
      <c r="N79" s="90" t="str">
        <f aca="false">IF($B79="","",'مسير سبتمبر'!R79)</f>
        <v/>
      </c>
      <c r="O79" s="90" t="str">
        <f aca="false">IF($B79="","",'مسير أكتوبر'!R79)</f>
        <v/>
      </c>
      <c r="P79" s="90" t="str">
        <f aca="false">IF($B79="","",'مسير نوفمبر'!R79)</f>
        <v/>
      </c>
      <c r="Q79" s="90" t="str">
        <f aca="false">IF($B79="","",'مسير ديسمبر'!R79)</f>
        <v/>
      </c>
      <c r="R79" s="124" t="str">
        <f aca="false">IF($B79="","",IF(1&lt;=cfg_VAL_M,'مسير يناير'!R79,0)+IF(2&lt;=cfg_VAL_M,'مسير فبراير'!R79,0)+IF(3&lt;=cfg_VAL_M,'مسير مارس'!R79,0)+IF(4&lt;=cfg_VAL_M,'مسير أبريل'!R79,0)+IF(5&lt;=cfg_VAL_M,'مسير مايو'!R79,0)+IF(6&lt;=cfg_VAL_M,'مسير يونيو'!R79,0)+IF(7&lt;=cfg_VAL_M,'مسير يوليو'!R79,0)+IF(8&lt;=cfg_VAL_M,'مسير أغسطس'!R79,0)+IF(9&lt;=cfg_VAL_M,'مسير سبتمبر'!R79,0)+IF(10&lt;=cfg_VAL_M,'مسير أكتوبر'!R79,0)+IF(11&lt;=cfg_VAL_M,'مسير نوفمبر'!R79,0)+IF(12&lt;=cfg_VAL_M,'مسير ديسمبر'!R79,0))</f>
        <v/>
      </c>
      <c r="T79" s="90" t="str">
        <f aca="false">IF($B79="","",'مسير يناير'!AB79)</f>
        <v/>
      </c>
      <c r="U79" s="90" t="str">
        <f aca="false">IF($B79="","",'مسير فبراير'!AB79)</f>
        <v/>
      </c>
      <c r="V79" s="90" t="str">
        <f aca="false">IF($B79="","",'مسير مارس'!AB79)</f>
        <v/>
      </c>
      <c r="W79" s="90" t="str">
        <f aca="false">IF($B79="","",'مسير أبريل'!AB79)</f>
        <v/>
      </c>
      <c r="X79" s="90" t="str">
        <f aca="false">IF($B79="","",'مسير مايو'!AB79)</f>
        <v/>
      </c>
      <c r="Y79" s="90" t="str">
        <f aca="false">IF($B79="","",'مسير يونيو'!AB79)</f>
        <v/>
      </c>
      <c r="Z79" s="90" t="str">
        <f aca="false">IF($B79="","",'مسير يوليو'!AB79)</f>
        <v/>
      </c>
      <c r="AA79" s="90" t="str">
        <f aca="false">IF($B79="","",'مسير أغسطس'!AB79)</f>
        <v/>
      </c>
      <c r="AB79" s="90" t="str">
        <f aca="false">IF($B79="","",'مسير سبتمبر'!AB79)</f>
        <v/>
      </c>
      <c r="AC79" s="90" t="str">
        <f aca="false">IF($B79="","",'مسير أكتوبر'!AB79)</f>
        <v/>
      </c>
      <c r="AD79" s="90" t="str">
        <f aca="false">IF($B79="","",'مسير نوفمبر'!AB79)</f>
        <v/>
      </c>
      <c r="AE79" s="90" t="str">
        <f aca="false">IF($B79="","",'مسير ديسمبر'!AB79)</f>
        <v/>
      </c>
      <c r="AF79" s="124" t="str">
        <f aca="false">IF($B79="","",IF(1&lt;=cfg_VAL_M,'مسير يناير'!AB79,0)+IF(2&lt;=cfg_VAL_M,'مسير فبراير'!AB79,0)+IF(3&lt;=cfg_VAL_M,'مسير مارس'!AB79,0)+IF(4&lt;=cfg_VAL_M,'مسير أبريل'!AB79,0)+IF(5&lt;=cfg_VAL_M,'مسير مايو'!AB79,0)+IF(6&lt;=cfg_VAL_M,'مسير يونيو'!AB79,0)+IF(7&lt;=cfg_VAL_M,'مسير يوليو'!AB79,0)+IF(8&lt;=cfg_VAL_M,'مسير أغسطس'!AB79,0)+IF(9&lt;=cfg_VAL_M,'مسير سبتمبر'!AB79,0)+IF(10&lt;=cfg_VAL_M,'مسير أكتوبر'!AB79,0)+IF(11&lt;=cfg_VAL_M,'مسير نوفمبر'!AB79,0)+IF(12&lt;=cfg_VAL_M,'مسير ديسمبر'!AB79,0))</f>
        <v/>
      </c>
      <c r="AG79" s="124" t="str">
        <f aca="false">IF($B79="","",IF(1&lt;=cfg_VAL_M,'مسير يناير'!W79,0)+IF(2&lt;=cfg_VAL_M,'مسير فبراير'!W79,0)+IF(3&lt;=cfg_VAL_M,'مسير مارس'!W79,0)+IF(4&lt;=cfg_VAL_M,'مسير أبريل'!W79,0)+IF(5&lt;=cfg_VAL_M,'مسير مايو'!W79,0)+IF(6&lt;=cfg_VAL_M,'مسير يونيو'!W79,0)+IF(7&lt;=cfg_VAL_M,'مسير يوليو'!W79,0)+IF(8&lt;=cfg_VAL_M,'مسير أغسطس'!W79,0)+IF(9&lt;=cfg_VAL_M,'مسير سبتمبر'!W79,0)+IF(10&lt;=cfg_VAL_M,'مسير أكتوبر'!W79,0)+IF(11&lt;=cfg_VAL_M,'مسير نوفمبر'!W79,0)+IF(12&lt;=cfg_VAL_M,'مسير ديسمبر'!W79,0))</f>
        <v/>
      </c>
      <c r="AH79" s="90" t="str">
        <f aca="false">IF($B79="","",AF79/cfg_VAL_M)</f>
        <v/>
      </c>
    </row>
    <row r="80" customFormat="false" ht="15" hidden="false" customHeight="false" outlineLevel="0" collapsed="false">
      <c r="B80" s="74" t="str">
        <f aca="false">IF(الموظفون!$B80="","",الموظفون!$B80)</f>
        <v/>
      </c>
      <c r="C80" s="74" t="str">
        <f aca="false">IF(الموظفون!$B80="","",الموظفون!$C80)</f>
        <v/>
      </c>
      <c r="D80" s="74" t="str">
        <f aca="false">IF(الموظفون!$B80="","",الموظفون!$F80)</f>
        <v/>
      </c>
      <c r="E80" s="74" t="str">
        <f aca="false">IF(الموظفون!$B80="","",الموظفون!$E80)</f>
        <v/>
      </c>
      <c r="F80" s="86" t="str">
        <f aca="false">IF($B80="","",'مسير يناير'!R80)</f>
        <v/>
      </c>
      <c r="G80" s="86" t="str">
        <f aca="false">IF($B80="","",'مسير فبراير'!R80)</f>
        <v/>
      </c>
      <c r="H80" s="86" t="str">
        <f aca="false">IF($B80="","",'مسير مارس'!R80)</f>
        <v/>
      </c>
      <c r="I80" s="86" t="str">
        <f aca="false">IF($B80="","",'مسير أبريل'!R80)</f>
        <v/>
      </c>
      <c r="J80" s="86" t="str">
        <f aca="false">IF($B80="","",'مسير مايو'!R80)</f>
        <v/>
      </c>
      <c r="K80" s="86" t="str">
        <f aca="false">IF($B80="","",'مسير يونيو'!R80)</f>
        <v/>
      </c>
      <c r="L80" s="86" t="str">
        <f aca="false">IF($B80="","",'مسير يوليو'!R80)</f>
        <v/>
      </c>
      <c r="M80" s="86" t="str">
        <f aca="false">IF($B80="","",'مسير أغسطس'!R80)</f>
        <v/>
      </c>
      <c r="N80" s="86" t="str">
        <f aca="false">IF($B80="","",'مسير سبتمبر'!R80)</f>
        <v/>
      </c>
      <c r="O80" s="86" t="str">
        <f aca="false">IF($B80="","",'مسير أكتوبر'!R80)</f>
        <v/>
      </c>
      <c r="P80" s="86" t="str">
        <f aca="false">IF($B80="","",'مسير نوفمبر'!R80)</f>
        <v/>
      </c>
      <c r="Q80" s="86" t="str">
        <f aca="false">IF($B80="","",'مسير ديسمبر'!R80)</f>
        <v/>
      </c>
      <c r="R80" s="123" t="str">
        <f aca="false">IF($B80="","",IF(1&lt;=cfg_VAL_M,'مسير يناير'!R80,0)+IF(2&lt;=cfg_VAL_M,'مسير فبراير'!R80,0)+IF(3&lt;=cfg_VAL_M,'مسير مارس'!R80,0)+IF(4&lt;=cfg_VAL_M,'مسير أبريل'!R80,0)+IF(5&lt;=cfg_VAL_M,'مسير مايو'!R80,0)+IF(6&lt;=cfg_VAL_M,'مسير يونيو'!R80,0)+IF(7&lt;=cfg_VAL_M,'مسير يوليو'!R80,0)+IF(8&lt;=cfg_VAL_M,'مسير أغسطس'!R80,0)+IF(9&lt;=cfg_VAL_M,'مسير سبتمبر'!R80,0)+IF(10&lt;=cfg_VAL_M,'مسير أكتوبر'!R80,0)+IF(11&lt;=cfg_VAL_M,'مسير نوفمبر'!R80,0)+IF(12&lt;=cfg_VAL_M,'مسير ديسمبر'!R80,0))</f>
        <v/>
      </c>
      <c r="T80" s="86" t="str">
        <f aca="false">IF($B80="","",'مسير يناير'!AB80)</f>
        <v/>
      </c>
      <c r="U80" s="86" t="str">
        <f aca="false">IF($B80="","",'مسير فبراير'!AB80)</f>
        <v/>
      </c>
      <c r="V80" s="86" t="str">
        <f aca="false">IF($B80="","",'مسير مارس'!AB80)</f>
        <v/>
      </c>
      <c r="W80" s="86" t="str">
        <f aca="false">IF($B80="","",'مسير أبريل'!AB80)</f>
        <v/>
      </c>
      <c r="X80" s="86" t="str">
        <f aca="false">IF($B80="","",'مسير مايو'!AB80)</f>
        <v/>
      </c>
      <c r="Y80" s="86" t="str">
        <f aca="false">IF($B80="","",'مسير يونيو'!AB80)</f>
        <v/>
      </c>
      <c r="Z80" s="86" t="str">
        <f aca="false">IF($B80="","",'مسير يوليو'!AB80)</f>
        <v/>
      </c>
      <c r="AA80" s="86" t="str">
        <f aca="false">IF($B80="","",'مسير أغسطس'!AB80)</f>
        <v/>
      </c>
      <c r="AB80" s="86" t="str">
        <f aca="false">IF($B80="","",'مسير سبتمبر'!AB80)</f>
        <v/>
      </c>
      <c r="AC80" s="86" t="str">
        <f aca="false">IF($B80="","",'مسير أكتوبر'!AB80)</f>
        <v/>
      </c>
      <c r="AD80" s="86" t="str">
        <f aca="false">IF($B80="","",'مسير نوفمبر'!AB80)</f>
        <v/>
      </c>
      <c r="AE80" s="86" t="str">
        <f aca="false">IF($B80="","",'مسير ديسمبر'!AB80)</f>
        <v/>
      </c>
      <c r="AF80" s="123" t="str">
        <f aca="false">IF($B80="","",IF(1&lt;=cfg_VAL_M,'مسير يناير'!AB80,0)+IF(2&lt;=cfg_VAL_M,'مسير فبراير'!AB80,0)+IF(3&lt;=cfg_VAL_M,'مسير مارس'!AB80,0)+IF(4&lt;=cfg_VAL_M,'مسير أبريل'!AB80,0)+IF(5&lt;=cfg_VAL_M,'مسير مايو'!AB80,0)+IF(6&lt;=cfg_VAL_M,'مسير يونيو'!AB80,0)+IF(7&lt;=cfg_VAL_M,'مسير يوليو'!AB80,0)+IF(8&lt;=cfg_VAL_M,'مسير أغسطس'!AB80,0)+IF(9&lt;=cfg_VAL_M,'مسير سبتمبر'!AB80,0)+IF(10&lt;=cfg_VAL_M,'مسير أكتوبر'!AB80,0)+IF(11&lt;=cfg_VAL_M,'مسير نوفمبر'!AB80,0)+IF(12&lt;=cfg_VAL_M,'مسير ديسمبر'!AB80,0))</f>
        <v/>
      </c>
      <c r="AG80" s="123" t="str">
        <f aca="false">IF($B80="","",IF(1&lt;=cfg_VAL_M,'مسير يناير'!W80,0)+IF(2&lt;=cfg_VAL_M,'مسير فبراير'!W80,0)+IF(3&lt;=cfg_VAL_M,'مسير مارس'!W80,0)+IF(4&lt;=cfg_VAL_M,'مسير أبريل'!W80,0)+IF(5&lt;=cfg_VAL_M,'مسير مايو'!W80,0)+IF(6&lt;=cfg_VAL_M,'مسير يونيو'!W80,0)+IF(7&lt;=cfg_VAL_M,'مسير يوليو'!W80,0)+IF(8&lt;=cfg_VAL_M,'مسير أغسطس'!W80,0)+IF(9&lt;=cfg_VAL_M,'مسير سبتمبر'!W80,0)+IF(10&lt;=cfg_VAL_M,'مسير أكتوبر'!W80,0)+IF(11&lt;=cfg_VAL_M,'مسير نوفمبر'!W80,0)+IF(12&lt;=cfg_VAL_M,'مسير ديسمبر'!W80,0))</f>
        <v/>
      </c>
      <c r="AH80" s="86" t="str">
        <f aca="false">IF($B80="","",AF80/cfg_VAL_M)</f>
        <v/>
      </c>
    </row>
    <row r="81" customFormat="false" ht="15" hidden="false" customHeight="false" outlineLevel="0" collapsed="false">
      <c r="B81" s="91" t="str">
        <f aca="false">IF(الموظفون!$B81="","",الموظفون!$B81)</f>
        <v/>
      </c>
      <c r="C81" s="91" t="str">
        <f aca="false">IF(الموظفون!$B81="","",الموظفون!$C81)</f>
        <v/>
      </c>
      <c r="D81" s="91" t="str">
        <f aca="false">IF(الموظفون!$B81="","",الموظفون!$F81)</f>
        <v/>
      </c>
      <c r="E81" s="91" t="str">
        <f aca="false">IF(الموظفون!$B81="","",الموظفون!$E81)</f>
        <v/>
      </c>
      <c r="F81" s="90" t="str">
        <f aca="false">IF($B81="","",'مسير يناير'!R81)</f>
        <v/>
      </c>
      <c r="G81" s="90" t="str">
        <f aca="false">IF($B81="","",'مسير فبراير'!R81)</f>
        <v/>
      </c>
      <c r="H81" s="90" t="str">
        <f aca="false">IF($B81="","",'مسير مارس'!R81)</f>
        <v/>
      </c>
      <c r="I81" s="90" t="str">
        <f aca="false">IF($B81="","",'مسير أبريل'!R81)</f>
        <v/>
      </c>
      <c r="J81" s="90" t="str">
        <f aca="false">IF($B81="","",'مسير مايو'!R81)</f>
        <v/>
      </c>
      <c r="K81" s="90" t="str">
        <f aca="false">IF($B81="","",'مسير يونيو'!R81)</f>
        <v/>
      </c>
      <c r="L81" s="90" t="str">
        <f aca="false">IF($B81="","",'مسير يوليو'!R81)</f>
        <v/>
      </c>
      <c r="M81" s="90" t="str">
        <f aca="false">IF($B81="","",'مسير أغسطس'!R81)</f>
        <v/>
      </c>
      <c r="N81" s="90" t="str">
        <f aca="false">IF($B81="","",'مسير سبتمبر'!R81)</f>
        <v/>
      </c>
      <c r="O81" s="90" t="str">
        <f aca="false">IF($B81="","",'مسير أكتوبر'!R81)</f>
        <v/>
      </c>
      <c r="P81" s="90" t="str">
        <f aca="false">IF($B81="","",'مسير نوفمبر'!R81)</f>
        <v/>
      </c>
      <c r="Q81" s="90" t="str">
        <f aca="false">IF($B81="","",'مسير ديسمبر'!R81)</f>
        <v/>
      </c>
      <c r="R81" s="124" t="str">
        <f aca="false">IF($B81="","",IF(1&lt;=cfg_VAL_M,'مسير يناير'!R81,0)+IF(2&lt;=cfg_VAL_M,'مسير فبراير'!R81,0)+IF(3&lt;=cfg_VAL_M,'مسير مارس'!R81,0)+IF(4&lt;=cfg_VAL_M,'مسير أبريل'!R81,0)+IF(5&lt;=cfg_VAL_M,'مسير مايو'!R81,0)+IF(6&lt;=cfg_VAL_M,'مسير يونيو'!R81,0)+IF(7&lt;=cfg_VAL_M,'مسير يوليو'!R81,0)+IF(8&lt;=cfg_VAL_M,'مسير أغسطس'!R81,0)+IF(9&lt;=cfg_VAL_M,'مسير سبتمبر'!R81,0)+IF(10&lt;=cfg_VAL_M,'مسير أكتوبر'!R81,0)+IF(11&lt;=cfg_VAL_M,'مسير نوفمبر'!R81,0)+IF(12&lt;=cfg_VAL_M,'مسير ديسمبر'!R81,0))</f>
        <v/>
      </c>
      <c r="T81" s="90" t="str">
        <f aca="false">IF($B81="","",'مسير يناير'!AB81)</f>
        <v/>
      </c>
      <c r="U81" s="90" t="str">
        <f aca="false">IF($B81="","",'مسير فبراير'!AB81)</f>
        <v/>
      </c>
      <c r="V81" s="90" t="str">
        <f aca="false">IF($B81="","",'مسير مارس'!AB81)</f>
        <v/>
      </c>
      <c r="W81" s="90" t="str">
        <f aca="false">IF($B81="","",'مسير أبريل'!AB81)</f>
        <v/>
      </c>
      <c r="X81" s="90" t="str">
        <f aca="false">IF($B81="","",'مسير مايو'!AB81)</f>
        <v/>
      </c>
      <c r="Y81" s="90" t="str">
        <f aca="false">IF($B81="","",'مسير يونيو'!AB81)</f>
        <v/>
      </c>
      <c r="Z81" s="90" t="str">
        <f aca="false">IF($B81="","",'مسير يوليو'!AB81)</f>
        <v/>
      </c>
      <c r="AA81" s="90" t="str">
        <f aca="false">IF($B81="","",'مسير أغسطس'!AB81)</f>
        <v/>
      </c>
      <c r="AB81" s="90" t="str">
        <f aca="false">IF($B81="","",'مسير سبتمبر'!AB81)</f>
        <v/>
      </c>
      <c r="AC81" s="90" t="str">
        <f aca="false">IF($B81="","",'مسير أكتوبر'!AB81)</f>
        <v/>
      </c>
      <c r="AD81" s="90" t="str">
        <f aca="false">IF($B81="","",'مسير نوفمبر'!AB81)</f>
        <v/>
      </c>
      <c r="AE81" s="90" t="str">
        <f aca="false">IF($B81="","",'مسير ديسمبر'!AB81)</f>
        <v/>
      </c>
      <c r="AF81" s="124" t="str">
        <f aca="false">IF($B81="","",IF(1&lt;=cfg_VAL_M,'مسير يناير'!AB81,0)+IF(2&lt;=cfg_VAL_M,'مسير فبراير'!AB81,0)+IF(3&lt;=cfg_VAL_M,'مسير مارس'!AB81,0)+IF(4&lt;=cfg_VAL_M,'مسير أبريل'!AB81,0)+IF(5&lt;=cfg_VAL_M,'مسير مايو'!AB81,0)+IF(6&lt;=cfg_VAL_M,'مسير يونيو'!AB81,0)+IF(7&lt;=cfg_VAL_M,'مسير يوليو'!AB81,0)+IF(8&lt;=cfg_VAL_M,'مسير أغسطس'!AB81,0)+IF(9&lt;=cfg_VAL_M,'مسير سبتمبر'!AB81,0)+IF(10&lt;=cfg_VAL_M,'مسير أكتوبر'!AB81,0)+IF(11&lt;=cfg_VAL_M,'مسير نوفمبر'!AB81,0)+IF(12&lt;=cfg_VAL_M,'مسير ديسمبر'!AB81,0))</f>
        <v/>
      </c>
      <c r="AG81" s="124" t="str">
        <f aca="false">IF($B81="","",IF(1&lt;=cfg_VAL_M,'مسير يناير'!W81,0)+IF(2&lt;=cfg_VAL_M,'مسير فبراير'!W81,0)+IF(3&lt;=cfg_VAL_M,'مسير مارس'!W81,0)+IF(4&lt;=cfg_VAL_M,'مسير أبريل'!W81,0)+IF(5&lt;=cfg_VAL_M,'مسير مايو'!W81,0)+IF(6&lt;=cfg_VAL_M,'مسير يونيو'!W81,0)+IF(7&lt;=cfg_VAL_M,'مسير يوليو'!W81,0)+IF(8&lt;=cfg_VAL_M,'مسير أغسطس'!W81,0)+IF(9&lt;=cfg_VAL_M,'مسير سبتمبر'!W81,0)+IF(10&lt;=cfg_VAL_M,'مسير أكتوبر'!W81,0)+IF(11&lt;=cfg_VAL_M,'مسير نوفمبر'!W81,0)+IF(12&lt;=cfg_VAL_M,'مسير ديسمبر'!W81,0))</f>
        <v/>
      </c>
      <c r="AH81" s="90" t="str">
        <f aca="false">IF($B81="","",AF81/cfg_VAL_M)</f>
        <v/>
      </c>
    </row>
    <row r="82" customFormat="false" ht="15" hidden="false" customHeight="false" outlineLevel="0" collapsed="false">
      <c r="B82" s="74" t="str">
        <f aca="false">IF(الموظفون!$B82="","",الموظفون!$B82)</f>
        <v/>
      </c>
      <c r="C82" s="74" t="str">
        <f aca="false">IF(الموظفون!$B82="","",الموظفون!$C82)</f>
        <v/>
      </c>
      <c r="D82" s="74" t="str">
        <f aca="false">IF(الموظفون!$B82="","",الموظفون!$F82)</f>
        <v/>
      </c>
      <c r="E82" s="74" t="str">
        <f aca="false">IF(الموظفون!$B82="","",الموظفون!$E82)</f>
        <v/>
      </c>
      <c r="F82" s="86" t="str">
        <f aca="false">IF($B82="","",'مسير يناير'!R82)</f>
        <v/>
      </c>
      <c r="G82" s="86" t="str">
        <f aca="false">IF($B82="","",'مسير فبراير'!R82)</f>
        <v/>
      </c>
      <c r="H82" s="86" t="str">
        <f aca="false">IF($B82="","",'مسير مارس'!R82)</f>
        <v/>
      </c>
      <c r="I82" s="86" t="str">
        <f aca="false">IF($B82="","",'مسير أبريل'!R82)</f>
        <v/>
      </c>
      <c r="J82" s="86" t="str">
        <f aca="false">IF($B82="","",'مسير مايو'!R82)</f>
        <v/>
      </c>
      <c r="K82" s="86" t="str">
        <f aca="false">IF($B82="","",'مسير يونيو'!R82)</f>
        <v/>
      </c>
      <c r="L82" s="86" t="str">
        <f aca="false">IF($B82="","",'مسير يوليو'!R82)</f>
        <v/>
      </c>
      <c r="M82" s="86" t="str">
        <f aca="false">IF($B82="","",'مسير أغسطس'!R82)</f>
        <v/>
      </c>
      <c r="N82" s="86" t="str">
        <f aca="false">IF($B82="","",'مسير سبتمبر'!R82)</f>
        <v/>
      </c>
      <c r="O82" s="86" t="str">
        <f aca="false">IF($B82="","",'مسير أكتوبر'!R82)</f>
        <v/>
      </c>
      <c r="P82" s="86" t="str">
        <f aca="false">IF($B82="","",'مسير نوفمبر'!R82)</f>
        <v/>
      </c>
      <c r="Q82" s="86" t="str">
        <f aca="false">IF($B82="","",'مسير ديسمبر'!R82)</f>
        <v/>
      </c>
      <c r="R82" s="123" t="str">
        <f aca="false">IF($B82="","",IF(1&lt;=cfg_VAL_M,'مسير يناير'!R82,0)+IF(2&lt;=cfg_VAL_M,'مسير فبراير'!R82,0)+IF(3&lt;=cfg_VAL_M,'مسير مارس'!R82,0)+IF(4&lt;=cfg_VAL_M,'مسير أبريل'!R82,0)+IF(5&lt;=cfg_VAL_M,'مسير مايو'!R82,0)+IF(6&lt;=cfg_VAL_M,'مسير يونيو'!R82,0)+IF(7&lt;=cfg_VAL_M,'مسير يوليو'!R82,0)+IF(8&lt;=cfg_VAL_M,'مسير أغسطس'!R82,0)+IF(9&lt;=cfg_VAL_M,'مسير سبتمبر'!R82,0)+IF(10&lt;=cfg_VAL_M,'مسير أكتوبر'!R82,0)+IF(11&lt;=cfg_VAL_M,'مسير نوفمبر'!R82,0)+IF(12&lt;=cfg_VAL_M,'مسير ديسمبر'!R82,0))</f>
        <v/>
      </c>
      <c r="T82" s="86" t="str">
        <f aca="false">IF($B82="","",'مسير يناير'!AB82)</f>
        <v/>
      </c>
      <c r="U82" s="86" t="str">
        <f aca="false">IF($B82="","",'مسير فبراير'!AB82)</f>
        <v/>
      </c>
      <c r="V82" s="86" t="str">
        <f aca="false">IF($B82="","",'مسير مارس'!AB82)</f>
        <v/>
      </c>
      <c r="W82" s="86" t="str">
        <f aca="false">IF($B82="","",'مسير أبريل'!AB82)</f>
        <v/>
      </c>
      <c r="X82" s="86" t="str">
        <f aca="false">IF($B82="","",'مسير مايو'!AB82)</f>
        <v/>
      </c>
      <c r="Y82" s="86" t="str">
        <f aca="false">IF($B82="","",'مسير يونيو'!AB82)</f>
        <v/>
      </c>
      <c r="Z82" s="86" t="str">
        <f aca="false">IF($B82="","",'مسير يوليو'!AB82)</f>
        <v/>
      </c>
      <c r="AA82" s="86" t="str">
        <f aca="false">IF($B82="","",'مسير أغسطس'!AB82)</f>
        <v/>
      </c>
      <c r="AB82" s="86" t="str">
        <f aca="false">IF($B82="","",'مسير سبتمبر'!AB82)</f>
        <v/>
      </c>
      <c r="AC82" s="86" t="str">
        <f aca="false">IF($B82="","",'مسير أكتوبر'!AB82)</f>
        <v/>
      </c>
      <c r="AD82" s="86" t="str">
        <f aca="false">IF($B82="","",'مسير نوفمبر'!AB82)</f>
        <v/>
      </c>
      <c r="AE82" s="86" t="str">
        <f aca="false">IF($B82="","",'مسير ديسمبر'!AB82)</f>
        <v/>
      </c>
      <c r="AF82" s="123" t="str">
        <f aca="false">IF($B82="","",IF(1&lt;=cfg_VAL_M,'مسير يناير'!AB82,0)+IF(2&lt;=cfg_VAL_M,'مسير فبراير'!AB82,0)+IF(3&lt;=cfg_VAL_M,'مسير مارس'!AB82,0)+IF(4&lt;=cfg_VAL_M,'مسير أبريل'!AB82,0)+IF(5&lt;=cfg_VAL_M,'مسير مايو'!AB82,0)+IF(6&lt;=cfg_VAL_M,'مسير يونيو'!AB82,0)+IF(7&lt;=cfg_VAL_M,'مسير يوليو'!AB82,0)+IF(8&lt;=cfg_VAL_M,'مسير أغسطس'!AB82,0)+IF(9&lt;=cfg_VAL_M,'مسير سبتمبر'!AB82,0)+IF(10&lt;=cfg_VAL_M,'مسير أكتوبر'!AB82,0)+IF(11&lt;=cfg_VAL_M,'مسير نوفمبر'!AB82,0)+IF(12&lt;=cfg_VAL_M,'مسير ديسمبر'!AB82,0))</f>
        <v/>
      </c>
      <c r="AG82" s="123" t="str">
        <f aca="false">IF($B82="","",IF(1&lt;=cfg_VAL_M,'مسير يناير'!W82,0)+IF(2&lt;=cfg_VAL_M,'مسير فبراير'!W82,0)+IF(3&lt;=cfg_VAL_M,'مسير مارس'!W82,0)+IF(4&lt;=cfg_VAL_M,'مسير أبريل'!W82,0)+IF(5&lt;=cfg_VAL_M,'مسير مايو'!W82,0)+IF(6&lt;=cfg_VAL_M,'مسير يونيو'!W82,0)+IF(7&lt;=cfg_VAL_M,'مسير يوليو'!W82,0)+IF(8&lt;=cfg_VAL_M,'مسير أغسطس'!W82,0)+IF(9&lt;=cfg_VAL_M,'مسير سبتمبر'!W82,0)+IF(10&lt;=cfg_VAL_M,'مسير أكتوبر'!W82,0)+IF(11&lt;=cfg_VAL_M,'مسير نوفمبر'!W82,0)+IF(12&lt;=cfg_VAL_M,'مسير ديسمبر'!W82,0))</f>
        <v/>
      </c>
      <c r="AH82" s="86" t="str">
        <f aca="false">IF($B82="","",AF82/cfg_VAL_M)</f>
        <v/>
      </c>
    </row>
    <row r="83" customFormat="false" ht="15" hidden="false" customHeight="false" outlineLevel="0" collapsed="false">
      <c r="B83" s="91" t="str">
        <f aca="false">IF(الموظفون!$B83="","",الموظفون!$B83)</f>
        <v/>
      </c>
      <c r="C83" s="91" t="str">
        <f aca="false">IF(الموظفون!$B83="","",الموظفون!$C83)</f>
        <v/>
      </c>
      <c r="D83" s="91" t="str">
        <f aca="false">IF(الموظفون!$B83="","",الموظفون!$F83)</f>
        <v/>
      </c>
      <c r="E83" s="91" t="str">
        <f aca="false">IF(الموظفون!$B83="","",الموظفون!$E83)</f>
        <v/>
      </c>
      <c r="F83" s="90" t="str">
        <f aca="false">IF($B83="","",'مسير يناير'!R83)</f>
        <v/>
      </c>
      <c r="G83" s="90" t="str">
        <f aca="false">IF($B83="","",'مسير فبراير'!R83)</f>
        <v/>
      </c>
      <c r="H83" s="90" t="str">
        <f aca="false">IF($B83="","",'مسير مارس'!R83)</f>
        <v/>
      </c>
      <c r="I83" s="90" t="str">
        <f aca="false">IF($B83="","",'مسير أبريل'!R83)</f>
        <v/>
      </c>
      <c r="J83" s="90" t="str">
        <f aca="false">IF($B83="","",'مسير مايو'!R83)</f>
        <v/>
      </c>
      <c r="K83" s="90" t="str">
        <f aca="false">IF($B83="","",'مسير يونيو'!R83)</f>
        <v/>
      </c>
      <c r="L83" s="90" t="str">
        <f aca="false">IF($B83="","",'مسير يوليو'!R83)</f>
        <v/>
      </c>
      <c r="M83" s="90" t="str">
        <f aca="false">IF($B83="","",'مسير أغسطس'!R83)</f>
        <v/>
      </c>
      <c r="N83" s="90" t="str">
        <f aca="false">IF($B83="","",'مسير سبتمبر'!R83)</f>
        <v/>
      </c>
      <c r="O83" s="90" t="str">
        <f aca="false">IF($B83="","",'مسير أكتوبر'!R83)</f>
        <v/>
      </c>
      <c r="P83" s="90" t="str">
        <f aca="false">IF($B83="","",'مسير نوفمبر'!R83)</f>
        <v/>
      </c>
      <c r="Q83" s="90" t="str">
        <f aca="false">IF($B83="","",'مسير ديسمبر'!R83)</f>
        <v/>
      </c>
      <c r="R83" s="124" t="str">
        <f aca="false">IF($B83="","",IF(1&lt;=cfg_VAL_M,'مسير يناير'!R83,0)+IF(2&lt;=cfg_VAL_M,'مسير فبراير'!R83,0)+IF(3&lt;=cfg_VAL_M,'مسير مارس'!R83,0)+IF(4&lt;=cfg_VAL_M,'مسير أبريل'!R83,0)+IF(5&lt;=cfg_VAL_M,'مسير مايو'!R83,0)+IF(6&lt;=cfg_VAL_M,'مسير يونيو'!R83,0)+IF(7&lt;=cfg_VAL_M,'مسير يوليو'!R83,0)+IF(8&lt;=cfg_VAL_M,'مسير أغسطس'!R83,0)+IF(9&lt;=cfg_VAL_M,'مسير سبتمبر'!R83,0)+IF(10&lt;=cfg_VAL_M,'مسير أكتوبر'!R83,0)+IF(11&lt;=cfg_VAL_M,'مسير نوفمبر'!R83,0)+IF(12&lt;=cfg_VAL_M,'مسير ديسمبر'!R83,0))</f>
        <v/>
      </c>
      <c r="T83" s="90" t="str">
        <f aca="false">IF($B83="","",'مسير يناير'!AB83)</f>
        <v/>
      </c>
      <c r="U83" s="90" t="str">
        <f aca="false">IF($B83="","",'مسير فبراير'!AB83)</f>
        <v/>
      </c>
      <c r="V83" s="90" t="str">
        <f aca="false">IF($B83="","",'مسير مارس'!AB83)</f>
        <v/>
      </c>
      <c r="W83" s="90" t="str">
        <f aca="false">IF($B83="","",'مسير أبريل'!AB83)</f>
        <v/>
      </c>
      <c r="X83" s="90" t="str">
        <f aca="false">IF($B83="","",'مسير مايو'!AB83)</f>
        <v/>
      </c>
      <c r="Y83" s="90" t="str">
        <f aca="false">IF($B83="","",'مسير يونيو'!AB83)</f>
        <v/>
      </c>
      <c r="Z83" s="90" t="str">
        <f aca="false">IF($B83="","",'مسير يوليو'!AB83)</f>
        <v/>
      </c>
      <c r="AA83" s="90" t="str">
        <f aca="false">IF($B83="","",'مسير أغسطس'!AB83)</f>
        <v/>
      </c>
      <c r="AB83" s="90" t="str">
        <f aca="false">IF($B83="","",'مسير سبتمبر'!AB83)</f>
        <v/>
      </c>
      <c r="AC83" s="90" t="str">
        <f aca="false">IF($B83="","",'مسير أكتوبر'!AB83)</f>
        <v/>
      </c>
      <c r="AD83" s="90" t="str">
        <f aca="false">IF($B83="","",'مسير نوفمبر'!AB83)</f>
        <v/>
      </c>
      <c r="AE83" s="90" t="str">
        <f aca="false">IF($B83="","",'مسير ديسمبر'!AB83)</f>
        <v/>
      </c>
      <c r="AF83" s="124" t="str">
        <f aca="false">IF($B83="","",IF(1&lt;=cfg_VAL_M,'مسير يناير'!AB83,0)+IF(2&lt;=cfg_VAL_M,'مسير فبراير'!AB83,0)+IF(3&lt;=cfg_VAL_M,'مسير مارس'!AB83,0)+IF(4&lt;=cfg_VAL_M,'مسير أبريل'!AB83,0)+IF(5&lt;=cfg_VAL_M,'مسير مايو'!AB83,0)+IF(6&lt;=cfg_VAL_M,'مسير يونيو'!AB83,0)+IF(7&lt;=cfg_VAL_M,'مسير يوليو'!AB83,0)+IF(8&lt;=cfg_VAL_M,'مسير أغسطس'!AB83,0)+IF(9&lt;=cfg_VAL_M,'مسير سبتمبر'!AB83,0)+IF(10&lt;=cfg_VAL_M,'مسير أكتوبر'!AB83,0)+IF(11&lt;=cfg_VAL_M,'مسير نوفمبر'!AB83,0)+IF(12&lt;=cfg_VAL_M,'مسير ديسمبر'!AB83,0))</f>
        <v/>
      </c>
      <c r="AG83" s="124" t="str">
        <f aca="false">IF($B83="","",IF(1&lt;=cfg_VAL_M,'مسير يناير'!W83,0)+IF(2&lt;=cfg_VAL_M,'مسير فبراير'!W83,0)+IF(3&lt;=cfg_VAL_M,'مسير مارس'!W83,0)+IF(4&lt;=cfg_VAL_M,'مسير أبريل'!W83,0)+IF(5&lt;=cfg_VAL_M,'مسير مايو'!W83,0)+IF(6&lt;=cfg_VAL_M,'مسير يونيو'!W83,0)+IF(7&lt;=cfg_VAL_M,'مسير يوليو'!W83,0)+IF(8&lt;=cfg_VAL_M,'مسير أغسطس'!W83,0)+IF(9&lt;=cfg_VAL_M,'مسير سبتمبر'!W83,0)+IF(10&lt;=cfg_VAL_M,'مسير أكتوبر'!W83,0)+IF(11&lt;=cfg_VAL_M,'مسير نوفمبر'!W83,0)+IF(12&lt;=cfg_VAL_M,'مسير ديسمبر'!W83,0))</f>
        <v/>
      </c>
      <c r="AH83" s="90" t="str">
        <f aca="false">IF($B83="","",AF83/cfg_VAL_M)</f>
        <v/>
      </c>
    </row>
    <row r="84" customFormat="false" ht="15" hidden="false" customHeight="false" outlineLevel="0" collapsed="false">
      <c r="B84" s="74" t="str">
        <f aca="false">IF(الموظفون!$B84="","",الموظفون!$B84)</f>
        <v/>
      </c>
      <c r="C84" s="74" t="str">
        <f aca="false">IF(الموظفون!$B84="","",الموظفون!$C84)</f>
        <v/>
      </c>
      <c r="D84" s="74" t="str">
        <f aca="false">IF(الموظفون!$B84="","",الموظفون!$F84)</f>
        <v/>
      </c>
      <c r="E84" s="74" t="str">
        <f aca="false">IF(الموظفون!$B84="","",الموظفون!$E84)</f>
        <v/>
      </c>
      <c r="F84" s="86" t="str">
        <f aca="false">IF($B84="","",'مسير يناير'!R84)</f>
        <v/>
      </c>
      <c r="G84" s="86" t="str">
        <f aca="false">IF($B84="","",'مسير فبراير'!R84)</f>
        <v/>
      </c>
      <c r="H84" s="86" t="str">
        <f aca="false">IF($B84="","",'مسير مارس'!R84)</f>
        <v/>
      </c>
      <c r="I84" s="86" t="str">
        <f aca="false">IF($B84="","",'مسير أبريل'!R84)</f>
        <v/>
      </c>
      <c r="J84" s="86" t="str">
        <f aca="false">IF($B84="","",'مسير مايو'!R84)</f>
        <v/>
      </c>
      <c r="K84" s="86" t="str">
        <f aca="false">IF($B84="","",'مسير يونيو'!R84)</f>
        <v/>
      </c>
      <c r="L84" s="86" t="str">
        <f aca="false">IF($B84="","",'مسير يوليو'!R84)</f>
        <v/>
      </c>
      <c r="M84" s="86" t="str">
        <f aca="false">IF($B84="","",'مسير أغسطس'!R84)</f>
        <v/>
      </c>
      <c r="N84" s="86" t="str">
        <f aca="false">IF($B84="","",'مسير سبتمبر'!R84)</f>
        <v/>
      </c>
      <c r="O84" s="86" t="str">
        <f aca="false">IF($B84="","",'مسير أكتوبر'!R84)</f>
        <v/>
      </c>
      <c r="P84" s="86" t="str">
        <f aca="false">IF($B84="","",'مسير نوفمبر'!R84)</f>
        <v/>
      </c>
      <c r="Q84" s="86" t="str">
        <f aca="false">IF($B84="","",'مسير ديسمبر'!R84)</f>
        <v/>
      </c>
      <c r="R84" s="123" t="str">
        <f aca="false">IF($B84="","",IF(1&lt;=cfg_VAL_M,'مسير يناير'!R84,0)+IF(2&lt;=cfg_VAL_M,'مسير فبراير'!R84,0)+IF(3&lt;=cfg_VAL_M,'مسير مارس'!R84,0)+IF(4&lt;=cfg_VAL_M,'مسير أبريل'!R84,0)+IF(5&lt;=cfg_VAL_M,'مسير مايو'!R84,0)+IF(6&lt;=cfg_VAL_M,'مسير يونيو'!R84,0)+IF(7&lt;=cfg_VAL_M,'مسير يوليو'!R84,0)+IF(8&lt;=cfg_VAL_M,'مسير أغسطس'!R84,0)+IF(9&lt;=cfg_VAL_M,'مسير سبتمبر'!R84,0)+IF(10&lt;=cfg_VAL_M,'مسير أكتوبر'!R84,0)+IF(11&lt;=cfg_VAL_M,'مسير نوفمبر'!R84,0)+IF(12&lt;=cfg_VAL_M,'مسير ديسمبر'!R84,0))</f>
        <v/>
      </c>
      <c r="T84" s="86" t="str">
        <f aca="false">IF($B84="","",'مسير يناير'!AB84)</f>
        <v/>
      </c>
      <c r="U84" s="86" t="str">
        <f aca="false">IF($B84="","",'مسير فبراير'!AB84)</f>
        <v/>
      </c>
      <c r="V84" s="86" t="str">
        <f aca="false">IF($B84="","",'مسير مارس'!AB84)</f>
        <v/>
      </c>
      <c r="W84" s="86" t="str">
        <f aca="false">IF($B84="","",'مسير أبريل'!AB84)</f>
        <v/>
      </c>
      <c r="X84" s="86" t="str">
        <f aca="false">IF($B84="","",'مسير مايو'!AB84)</f>
        <v/>
      </c>
      <c r="Y84" s="86" t="str">
        <f aca="false">IF($B84="","",'مسير يونيو'!AB84)</f>
        <v/>
      </c>
      <c r="Z84" s="86" t="str">
        <f aca="false">IF($B84="","",'مسير يوليو'!AB84)</f>
        <v/>
      </c>
      <c r="AA84" s="86" t="str">
        <f aca="false">IF($B84="","",'مسير أغسطس'!AB84)</f>
        <v/>
      </c>
      <c r="AB84" s="86" t="str">
        <f aca="false">IF($B84="","",'مسير سبتمبر'!AB84)</f>
        <v/>
      </c>
      <c r="AC84" s="86" t="str">
        <f aca="false">IF($B84="","",'مسير أكتوبر'!AB84)</f>
        <v/>
      </c>
      <c r="AD84" s="86" t="str">
        <f aca="false">IF($B84="","",'مسير نوفمبر'!AB84)</f>
        <v/>
      </c>
      <c r="AE84" s="86" t="str">
        <f aca="false">IF($B84="","",'مسير ديسمبر'!AB84)</f>
        <v/>
      </c>
      <c r="AF84" s="123" t="str">
        <f aca="false">IF($B84="","",IF(1&lt;=cfg_VAL_M,'مسير يناير'!AB84,0)+IF(2&lt;=cfg_VAL_M,'مسير فبراير'!AB84,0)+IF(3&lt;=cfg_VAL_M,'مسير مارس'!AB84,0)+IF(4&lt;=cfg_VAL_M,'مسير أبريل'!AB84,0)+IF(5&lt;=cfg_VAL_M,'مسير مايو'!AB84,0)+IF(6&lt;=cfg_VAL_M,'مسير يونيو'!AB84,0)+IF(7&lt;=cfg_VAL_M,'مسير يوليو'!AB84,0)+IF(8&lt;=cfg_VAL_M,'مسير أغسطس'!AB84,0)+IF(9&lt;=cfg_VAL_M,'مسير سبتمبر'!AB84,0)+IF(10&lt;=cfg_VAL_M,'مسير أكتوبر'!AB84,0)+IF(11&lt;=cfg_VAL_M,'مسير نوفمبر'!AB84,0)+IF(12&lt;=cfg_VAL_M,'مسير ديسمبر'!AB84,0))</f>
        <v/>
      </c>
      <c r="AG84" s="123" t="str">
        <f aca="false">IF($B84="","",IF(1&lt;=cfg_VAL_M,'مسير يناير'!W84,0)+IF(2&lt;=cfg_VAL_M,'مسير فبراير'!W84,0)+IF(3&lt;=cfg_VAL_M,'مسير مارس'!W84,0)+IF(4&lt;=cfg_VAL_M,'مسير أبريل'!W84,0)+IF(5&lt;=cfg_VAL_M,'مسير مايو'!W84,0)+IF(6&lt;=cfg_VAL_M,'مسير يونيو'!W84,0)+IF(7&lt;=cfg_VAL_M,'مسير يوليو'!W84,0)+IF(8&lt;=cfg_VAL_M,'مسير أغسطس'!W84,0)+IF(9&lt;=cfg_VAL_M,'مسير سبتمبر'!W84,0)+IF(10&lt;=cfg_VAL_M,'مسير أكتوبر'!W84,0)+IF(11&lt;=cfg_VAL_M,'مسير نوفمبر'!W84,0)+IF(12&lt;=cfg_VAL_M,'مسير ديسمبر'!W84,0))</f>
        <v/>
      </c>
      <c r="AH84" s="86" t="str">
        <f aca="false">IF($B84="","",AF84/cfg_VAL_M)</f>
        <v/>
      </c>
    </row>
    <row r="85" customFormat="false" ht="15" hidden="false" customHeight="false" outlineLevel="0" collapsed="false">
      <c r="B85" s="91" t="str">
        <f aca="false">IF(الموظفون!$B85="","",الموظفون!$B85)</f>
        <v/>
      </c>
      <c r="C85" s="91" t="str">
        <f aca="false">IF(الموظفون!$B85="","",الموظفون!$C85)</f>
        <v/>
      </c>
      <c r="D85" s="91" t="str">
        <f aca="false">IF(الموظفون!$B85="","",الموظفون!$F85)</f>
        <v/>
      </c>
      <c r="E85" s="91" t="str">
        <f aca="false">IF(الموظفون!$B85="","",الموظفون!$E85)</f>
        <v/>
      </c>
      <c r="F85" s="90" t="str">
        <f aca="false">IF($B85="","",'مسير يناير'!R85)</f>
        <v/>
      </c>
      <c r="G85" s="90" t="str">
        <f aca="false">IF($B85="","",'مسير فبراير'!R85)</f>
        <v/>
      </c>
      <c r="H85" s="90" t="str">
        <f aca="false">IF($B85="","",'مسير مارس'!R85)</f>
        <v/>
      </c>
      <c r="I85" s="90" t="str">
        <f aca="false">IF($B85="","",'مسير أبريل'!R85)</f>
        <v/>
      </c>
      <c r="J85" s="90" t="str">
        <f aca="false">IF($B85="","",'مسير مايو'!R85)</f>
        <v/>
      </c>
      <c r="K85" s="90" t="str">
        <f aca="false">IF($B85="","",'مسير يونيو'!R85)</f>
        <v/>
      </c>
      <c r="L85" s="90" t="str">
        <f aca="false">IF($B85="","",'مسير يوليو'!R85)</f>
        <v/>
      </c>
      <c r="M85" s="90" t="str">
        <f aca="false">IF($B85="","",'مسير أغسطس'!R85)</f>
        <v/>
      </c>
      <c r="N85" s="90" t="str">
        <f aca="false">IF($B85="","",'مسير سبتمبر'!R85)</f>
        <v/>
      </c>
      <c r="O85" s="90" t="str">
        <f aca="false">IF($B85="","",'مسير أكتوبر'!R85)</f>
        <v/>
      </c>
      <c r="P85" s="90" t="str">
        <f aca="false">IF($B85="","",'مسير نوفمبر'!R85)</f>
        <v/>
      </c>
      <c r="Q85" s="90" t="str">
        <f aca="false">IF($B85="","",'مسير ديسمبر'!R85)</f>
        <v/>
      </c>
      <c r="R85" s="124" t="str">
        <f aca="false">IF($B85="","",IF(1&lt;=cfg_VAL_M,'مسير يناير'!R85,0)+IF(2&lt;=cfg_VAL_M,'مسير فبراير'!R85,0)+IF(3&lt;=cfg_VAL_M,'مسير مارس'!R85,0)+IF(4&lt;=cfg_VAL_M,'مسير أبريل'!R85,0)+IF(5&lt;=cfg_VAL_M,'مسير مايو'!R85,0)+IF(6&lt;=cfg_VAL_M,'مسير يونيو'!R85,0)+IF(7&lt;=cfg_VAL_M,'مسير يوليو'!R85,0)+IF(8&lt;=cfg_VAL_M,'مسير أغسطس'!R85,0)+IF(9&lt;=cfg_VAL_M,'مسير سبتمبر'!R85,0)+IF(10&lt;=cfg_VAL_M,'مسير أكتوبر'!R85,0)+IF(11&lt;=cfg_VAL_M,'مسير نوفمبر'!R85,0)+IF(12&lt;=cfg_VAL_M,'مسير ديسمبر'!R85,0))</f>
        <v/>
      </c>
      <c r="T85" s="90" t="str">
        <f aca="false">IF($B85="","",'مسير يناير'!AB85)</f>
        <v/>
      </c>
      <c r="U85" s="90" t="str">
        <f aca="false">IF($B85="","",'مسير فبراير'!AB85)</f>
        <v/>
      </c>
      <c r="V85" s="90" t="str">
        <f aca="false">IF($B85="","",'مسير مارس'!AB85)</f>
        <v/>
      </c>
      <c r="W85" s="90" t="str">
        <f aca="false">IF($B85="","",'مسير أبريل'!AB85)</f>
        <v/>
      </c>
      <c r="X85" s="90" t="str">
        <f aca="false">IF($B85="","",'مسير مايو'!AB85)</f>
        <v/>
      </c>
      <c r="Y85" s="90" t="str">
        <f aca="false">IF($B85="","",'مسير يونيو'!AB85)</f>
        <v/>
      </c>
      <c r="Z85" s="90" t="str">
        <f aca="false">IF($B85="","",'مسير يوليو'!AB85)</f>
        <v/>
      </c>
      <c r="AA85" s="90" t="str">
        <f aca="false">IF($B85="","",'مسير أغسطس'!AB85)</f>
        <v/>
      </c>
      <c r="AB85" s="90" t="str">
        <f aca="false">IF($B85="","",'مسير سبتمبر'!AB85)</f>
        <v/>
      </c>
      <c r="AC85" s="90" t="str">
        <f aca="false">IF($B85="","",'مسير أكتوبر'!AB85)</f>
        <v/>
      </c>
      <c r="AD85" s="90" t="str">
        <f aca="false">IF($B85="","",'مسير نوفمبر'!AB85)</f>
        <v/>
      </c>
      <c r="AE85" s="90" t="str">
        <f aca="false">IF($B85="","",'مسير ديسمبر'!AB85)</f>
        <v/>
      </c>
      <c r="AF85" s="124" t="str">
        <f aca="false">IF($B85="","",IF(1&lt;=cfg_VAL_M,'مسير يناير'!AB85,0)+IF(2&lt;=cfg_VAL_M,'مسير فبراير'!AB85,0)+IF(3&lt;=cfg_VAL_M,'مسير مارس'!AB85,0)+IF(4&lt;=cfg_VAL_M,'مسير أبريل'!AB85,0)+IF(5&lt;=cfg_VAL_M,'مسير مايو'!AB85,0)+IF(6&lt;=cfg_VAL_M,'مسير يونيو'!AB85,0)+IF(7&lt;=cfg_VAL_M,'مسير يوليو'!AB85,0)+IF(8&lt;=cfg_VAL_M,'مسير أغسطس'!AB85,0)+IF(9&lt;=cfg_VAL_M,'مسير سبتمبر'!AB85,0)+IF(10&lt;=cfg_VAL_M,'مسير أكتوبر'!AB85,0)+IF(11&lt;=cfg_VAL_M,'مسير نوفمبر'!AB85,0)+IF(12&lt;=cfg_VAL_M,'مسير ديسمبر'!AB85,0))</f>
        <v/>
      </c>
      <c r="AG85" s="124" t="str">
        <f aca="false">IF($B85="","",IF(1&lt;=cfg_VAL_M,'مسير يناير'!W85,0)+IF(2&lt;=cfg_VAL_M,'مسير فبراير'!W85,0)+IF(3&lt;=cfg_VAL_M,'مسير مارس'!W85,0)+IF(4&lt;=cfg_VAL_M,'مسير أبريل'!W85,0)+IF(5&lt;=cfg_VAL_M,'مسير مايو'!W85,0)+IF(6&lt;=cfg_VAL_M,'مسير يونيو'!W85,0)+IF(7&lt;=cfg_VAL_M,'مسير يوليو'!W85,0)+IF(8&lt;=cfg_VAL_M,'مسير أغسطس'!W85,0)+IF(9&lt;=cfg_VAL_M,'مسير سبتمبر'!W85,0)+IF(10&lt;=cfg_VAL_M,'مسير أكتوبر'!W85,0)+IF(11&lt;=cfg_VAL_M,'مسير نوفمبر'!W85,0)+IF(12&lt;=cfg_VAL_M,'مسير ديسمبر'!W85,0))</f>
        <v/>
      </c>
      <c r="AH85" s="90" t="str">
        <f aca="false">IF($B85="","",AF85/cfg_VAL_M)</f>
        <v/>
      </c>
    </row>
    <row r="86" customFormat="false" ht="15" hidden="false" customHeight="false" outlineLevel="0" collapsed="false">
      <c r="B86" s="74" t="str">
        <f aca="false">IF(الموظفون!$B86="","",الموظفون!$B86)</f>
        <v/>
      </c>
      <c r="C86" s="74" t="str">
        <f aca="false">IF(الموظفون!$B86="","",الموظفون!$C86)</f>
        <v/>
      </c>
      <c r="D86" s="74" t="str">
        <f aca="false">IF(الموظفون!$B86="","",الموظفون!$F86)</f>
        <v/>
      </c>
      <c r="E86" s="74" t="str">
        <f aca="false">IF(الموظفون!$B86="","",الموظفون!$E86)</f>
        <v/>
      </c>
      <c r="F86" s="86" t="str">
        <f aca="false">IF($B86="","",'مسير يناير'!R86)</f>
        <v/>
      </c>
      <c r="G86" s="86" t="str">
        <f aca="false">IF($B86="","",'مسير فبراير'!R86)</f>
        <v/>
      </c>
      <c r="H86" s="86" t="str">
        <f aca="false">IF($B86="","",'مسير مارس'!R86)</f>
        <v/>
      </c>
      <c r="I86" s="86" t="str">
        <f aca="false">IF($B86="","",'مسير أبريل'!R86)</f>
        <v/>
      </c>
      <c r="J86" s="86" t="str">
        <f aca="false">IF($B86="","",'مسير مايو'!R86)</f>
        <v/>
      </c>
      <c r="K86" s="86" t="str">
        <f aca="false">IF($B86="","",'مسير يونيو'!R86)</f>
        <v/>
      </c>
      <c r="L86" s="86" t="str">
        <f aca="false">IF($B86="","",'مسير يوليو'!R86)</f>
        <v/>
      </c>
      <c r="M86" s="86" t="str">
        <f aca="false">IF($B86="","",'مسير أغسطس'!R86)</f>
        <v/>
      </c>
      <c r="N86" s="86" t="str">
        <f aca="false">IF($B86="","",'مسير سبتمبر'!R86)</f>
        <v/>
      </c>
      <c r="O86" s="86" t="str">
        <f aca="false">IF($B86="","",'مسير أكتوبر'!R86)</f>
        <v/>
      </c>
      <c r="P86" s="86" t="str">
        <f aca="false">IF($B86="","",'مسير نوفمبر'!R86)</f>
        <v/>
      </c>
      <c r="Q86" s="86" t="str">
        <f aca="false">IF($B86="","",'مسير ديسمبر'!R86)</f>
        <v/>
      </c>
      <c r="R86" s="123" t="str">
        <f aca="false">IF($B86="","",IF(1&lt;=cfg_VAL_M,'مسير يناير'!R86,0)+IF(2&lt;=cfg_VAL_M,'مسير فبراير'!R86,0)+IF(3&lt;=cfg_VAL_M,'مسير مارس'!R86,0)+IF(4&lt;=cfg_VAL_M,'مسير أبريل'!R86,0)+IF(5&lt;=cfg_VAL_M,'مسير مايو'!R86,0)+IF(6&lt;=cfg_VAL_M,'مسير يونيو'!R86,0)+IF(7&lt;=cfg_VAL_M,'مسير يوليو'!R86,0)+IF(8&lt;=cfg_VAL_M,'مسير أغسطس'!R86,0)+IF(9&lt;=cfg_VAL_M,'مسير سبتمبر'!R86,0)+IF(10&lt;=cfg_VAL_M,'مسير أكتوبر'!R86,0)+IF(11&lt;=cfg_VAL_M,'مسير نوفمبر'!R86,0)+IF(12&lt;=cfg_VAL_M,'مسير ديسمبر'!R86,0))</f>
        <v/>
      </c>
      <c r="T86" s="86" t="str">
        <f aca="false">IF($B86="","",'مسير يناير'!AB86)</f>
        <v/>
      </c>
      <c r="U86" s="86" t="str">
        <f aca="false">IF($B86="","",'مسير فبراير'!AB86)</f>
        <v/>
      </c>
      <c r="V86" s="86" t="str">
        <f aca="false">IF($B86="","",'مسير مارس'!AB86)</f>
        <v/>
      </c>
      <c r="W86" s="86" t="str">
        <f aca="false">IF($B86="","",'مسير أبريل'!AB86)</f>
        <v/>
      </c>
      <c r="X86" s="86" t="str">
        <f aca="false">IF($B86="","",'مسير مايو'!AB86)</f>
        <v/>
      </c>
      <c r="Y86" s="86" t="str">
        <f aca="false">IF($B86="","",'مسير يونيو'!AB86)</f>
        <v/>
      </c>
      <c r="Z86" s="86" t="str">
        <f aca="false">IF($B86="","",'مسير يوليو'!AB86)</f>
        <v/>
      </c>
      <c r="AA86" s="86" t="str">
        <f aca="false">IF($B86="","",'مسير أغسطس'!AB86)</f>
        <v/>
      </c>
      <c r="AB86" s="86" t="str">
        <f aca="false">IF($B86="","",'مسير سبتمبر'!AB86)</f>
        <v/>
      </c>
      <c r="AC86" s="86" t="str">
        <f aca="false">IF($B86="","",'مسير أكتوبر'!AB86)</f>
        <v/>
      </c>
      <c r="AD86" s="86" t="str">
        <f aca="false">IF($B86="","",'مسير نوفمبر'!AB86)</f>
        <v/>
      </c>
      <c r="AE86" s="86" t="str">
        <f aca="false">IF($B86="","",'مسير ديسمبر'!AB86)</f>
        <v/>
      </c>
      <c r="AF86" s="123" t="str">
        <f aca="false">IF($B86="","",IF(1&lt;=cfg_VAL_M,'مسير يناير'!AB86,0)+IF(2&lt;=cfg_VAL_M,'مسير فبراير'!AB86,0)+IF(3&lt;=cfg_VAL_M,'مسير مارس'!AB86,0)+IF(4&lt;=cfg_VAL_M,'مسير أبريل'!AB86,0)+IF(5&lt;=cfg_VAL_M,'مسير مايو'!AB86,0)+IF(6&lt;=cfg_VAL_M,'مسير يونيو'!AB86,0)+IF(7&lt;=cfg_VAL_M,'مسير يوليو'!AB86,0)+IF(8&lt;=cfg_VAL_M,'مسير أغسطس'!AB86,0)+IF(9&lt;=cfg_VAL_M,'مسير سبتمبر'!AB86,0)+IF(10&lt;=cfg_VAL_M,'مسير أكتوبر'!AB86,0)+IF(11&lt;=cfg_VAL_M,'مسير نوفمبر'!AB86,0)+IF(12&lt;=cfg_VAL_M,'مسير ديسمبر'!AB86,0))</f>
        <v/>
      </c>
      <c r="AG86" s="123" t="str">
        <f aca="false">IF($B86="","",IF(1&lt;=cfg_VAL_M,'مسير يناير'!W86,0)+IF(2&lt;=cfg_VAL_M,'مسير فبراير'!W86,0)+IF(3&lt;=cfg_VAL_M,'مسير مارس'!W86,0)+IF(4&lt;=cfg_VAL_M,'مسير أبريل'!W86,0)+IF(5&lt;=cfg_VAL_M,'مسير مايو'!W86,0)+IF(6&lt;=cfg_VAL_M,'مسير يونيو'!W86,0)+IF(7&lt;=cfg_VAL_M,'مسير يوليو'!W86,0)+IF(8&lt;=cfg_VAL_M,'مسير أغسطس'!W86,0)+IF(9&lt;=cfg_VAL_M,'مسير سبتمبر'!W86,0)+IF(10&lt;=cfg_VAL_M,'مسير أكتوبر'!W86,0)+IF(11&lt;=cfg_VAL_M,'مسير نوفمبر'!W86,0)+IF(12&lt;=cfg_VAL_M,'مسير ديسمبر'!W86,0))</f>
        <v/>
      </c>
      <c r="AH86" s="86" t="str">
        <f aca="false">IF($B86="","",AF86/cfg_VAL_M)</f>
        <v/>
      </c>
    </row>
    <row r="87" customFormat="false" ht="15" hidden="false" customHeight="false" outlineLevel="0" collapsed="false">
      <c r="B87" s="91" t="str">
        <f aca="false">IF(الموظفون!$B87="","",الموظفون!$B87)</f>
        <v/>
      </c>
      <c r="C87" s="91" t="str">
        <f aca="false">IF(الموظفون!$B87="","",الموظفون!$C87)</f>
        <v/>
      </c>
      <c r="D87" s="91" t="str">
        <f aca="false">IF(الموظفون!$B87="","",الموظفون!$F87)</f>
        <v/>
      </c>
      <c r="E87" s="91" t="str">
        <f aca="false">IF(الموظفون!$B87="","",الموظفون!$E87)</f>
        <v/>
      </c>
      <c r="F87" s="90" t="str">
        <f aca="false">IF($B87="","",'مسير يناير'!R87)</f>
        <v/>
      </c>
      <c r="G87" s="90" t="str">
        <f aca="false">IF($B87="","",'مسير فبراير'!R87)</f>
        <v/>
      </c>
      <c r="H87" s="90" t="str">
        <f aca="false">IF($B87="","",'مسير مارس'!R87)</f>
        <v/>
      </c>
      <c r="I87" s="90" t="str">
        <f aca="false">IF($B87="","",'مسير أبريل'!R87)</f>
        <v/>
      </c>
      <c r="J87" s="90" t="str">
        <f aca="false">IF($B87="","",'مسير مايو'!R87)</f>
        <v/>
      </c>
      <c r="K87" s="90" t="str">
        <f aca="false">IF($B87="","",'مسير يونيو'!R87)</f>
        <v/>
      </c>
      <c r="L87" s="90" t="str">
        <f aca="false">IF($B87="","",'مسير يوليو'!R87)</f>
        <v/>
      </c>
      <c r="M87" s="90" t="str">
        <f aca="false">IF($B87="","",'مسير أغسطس'!R87)</f>
        <v/>
      </c>
      <c r="N87" s="90" t="str">
        <f aca="false">IF($B87="","",'مسير سبتمبر'!R87)</f>
        <v/>
      </c>
      <c r="O87" s="90" t="str">
        <f aca="false">IF($B87="","",'مسير أكتوبر'!R87)</f>
        <v/>
      </c>
      <c r="P87" s="90" t="str">
        <f aca="false">IF($B87="","",'مسير نوفمبر'!R87)</f>
        <v/>
      </c>
      <c r="Q87" s="90" t="str">
        <f aca="false">IF($B87="","",'مسير ديسمبر'!R87)</f>
        <v/>
      </c>
      <c r="R87" s="124" t="str">
        <f aca="false">IF($B87="","",IF(1&lt;=cfg_VAL_M,'مسير يناير'!R87,0)+IF(2&lt;=cfg_VAL_M,'مسير فبراير'!R87,0)+IF(3&lt;=cfg_VAL_M,'مسير مارس'!R87,0)+IF(4&lt;=cfg_VAL_M,'مسير أبريل'!R87,0)+IF(5&lt;=cfg_VAL_M,'مسير مايو'!R87,0)+IF(6&lt;=cfg_VAL_M,'مسير يونيو'!R87,0)+IF(7&lt;=cfg_VAL_M,'مسير يوليو'!R87,0)+IF(8&lt;=cfg_VAL_M,'مسير أغسطس'!R87,0)+IF(9&lt;=cfg_VAL_M,'مسير سبتمبر'!R87,0)+IF(10&lt;=cfg_VAL_M,'مسير أكتوبر'!R87,0)+IF(11&lt;=cfg_VAL_M,'مسير نوفمبر'!R87,0)+IF(12&lt;=cfg_VAL_M,'مسير ديسمبر'!R87,0))</f>
        <v/>
      </c>
      <c r="T87" s="90" t="str">
        <f aca="false">IF($B87="","",'مسير يناير'!AB87)</f>
        <v/>
      </c>
      <c r="U87" s="90" t="str">
        <f aca="false">IF($B87="","",'مسير فبراير'!AB87)</f>
        <v/>
      </c>
      <c r="V87" s="90" t="str">
        <f aca="false">IF($B87="","",'مسير مارس'!AB87)</f>
        <v/>
      </c>
      <c r="W87" s="90" t="str">
        <f aca="false">IF($B87="","",'مسير أبريل'!AB87)</f>
        <v/>
      </c>
      <c r="X87" s="90" t="str">
        <f aca="false">IF($B87="","",'مسير مايو'!AB87)</f>
        <v/>
      </c>
      <c r="Y87" s="90" t="str">
        <f aca="false">IF($B87="","",'مسير يونيو'!AB87)</f>
        <v/>
      </c>
      <c r="Z87" s="90" t="str">
        <f aca="false">IF($B87="","",'مسير يوليو'!AB87)</f>
        <v/>
      </c>
      <c r="AA87" s="90" t="str">
        <f aca="false">IF($B87="","",'مسير أغسطس'!AB87)</f>
        <v/>
      </c>
      <c r="AB87" s="90" t="str">
        <f aca="false">IF($B87="","",'مسير سبتمبر'!AB87)</f>
        <v/>
      </c>
      <c r="AC87" s="90" t="str">
        <f aca="false">IF($B87="","",'مسير أكتوبر'!AB87)</f>
        <v/>
      </c>
      <c r="AD87" s="90" t="str">
        <f aca="false">IF($B87="","",'مسير نوفمبر'!AB87)</f>
        <v/>
      </c>
      <c r="AE87" s="90" t="str">
        <f aca="false">IF($B87="","",'مسير ديسمبر'!AB87)</f>
        <v/>
      </c>
      <c r="AF87" s="124" t="str">
        <f aca="false">IF($B87="","",IF(1&lt;=cfg_VAL_M,'مسير يناير'!AB87,0)+IF(2&lt;=cfg_VAL_M,'مسير فبراير'!AB87,0)+IF(3&lt;=cfg_VAL_M,'مسير مارس'!AB87,0)+IF(4&lt;=cfg_VAL_M,'مسير أبريل'!AB87,0)+IF(5&lt;=cfg_VAL_M,'مسير مايو'!AB87,0)+IF(6&lt;=cfg_VAL_M,'مسير يونيو'!AB87,0)+IF(7&lt;=cfg_VAL_M,'مسير يوليو'!AB87,0)+IF(8&lt;=cfg_VAL_M,'مسير أغسطس'!AB87,0)+IF(9&lt;=cfg_VAL_M,'مسير سبتمبر'!AB87,0)+IF(10&lt;=cfg_VAL_M,'مسير أكتوبر'!AB87,0)+IF(11&lt;=cfg_VAL_M,'مسير نوفمبر'!AB87,0)+IF(12&lt;=cfg_VAL_M,'مسير ديسمبر'!AB87,0))</f>
        <v/>
      </c>
      <c r="AG87" s="124" t="str">
        <f aca="false">IF($B87="","",IF(1&lt;=cfg_VAL_M,'مسير يناير'!W87,0)+IF(2&lt;=cfg_VAL_M,'مسير فبراير'!W87,0)+IF(3&lt;=cfg_VAL_M,'مسير مارس'!W87,0)+IF(4&lt;=cfg_VAL_M,'مسير أبريل'!W87,0)+IF(5&lt;=cfg_VAL_M,'مسير مايو'!W87,0)+IF(6&lt;=cfg_VAL_M,'مسير يونيو'!W87,0)+IF(7&lt;=cfg_VAL_M,'مسير يوليو'!W87,0)+IF(8&lt;=cfg_VAL_M,'مسير أغسطس'!W87,0)+IF(9&lt;=cfg_VAL_M,'مسير سبتمبر'!W87,0)+IF(10&lt;=cfg_VAL_M,'مسير أكتوبر'!W87,0)+IF(11&lt;=cfg_VAL_M,'مسير نوفمبر'!W87,0)+IF(12&lt;=cfg_VAL_M,'مسير ديسمبر'!W87,0))</f>
        <v/>
      </c>
      <c r="AH87" s="90" t="str">
        <f aca="false">IF($B87="","",AF87/cfg_VAL_M)</f>
        <v/>
      </c>
    </row>
    <row r="88" customFormat="false" ht="15" hidden="false" customHeight="false" outlineLevel="0" collapsed="false">
      <c r="B88" s="74" t="str">
        <f aca="false">IF(الموظفون!$B88="","",الموظفون!$B88)</f>
        <v/>
      </c>
      <c r="C88" s="74" t="str">
        <f aca="false">IF(الموظفون!$B88="","",الموظفون!$C88)</f>
        <v/>
      </c>
      <c r="D88" s="74" t="str">
        <f aca="false">IF(الموظفون!$B88="","",الموظفون!$F88)</f>
        <v/>
      </c>
      <c r="E88" s="74" t="str">
        <f aca="false">IF(الموظفون!$B88="","",الموظفون!$E88)</f>
        <v/>
      </c>
      <c r="F88" s="86" t="str">
        <f aca="false">IF($B88="","",'مسير يناير'!R88)</f>
        <v/>
      </c>
      <c r="G88" s="86" t="str">
        <f aca="false">IF($B88="","",'مسير فبراير'!R88)</f>
        <v/>
      </c>
      <c r="H88" s="86" t="str">
        <f aca="false">IF($B88="","",'مسير مارس'!R88)</f>
        <v/>
      </c>
      <c r="I88" s="86" t="str">
        <f aca="false">IF($B88="","",'مسير أبريل'!R88)</f>
        <v/>
      </c>
      <c r="J88" s="86" t="str">
        <f aca="false">IF($B88="","",'مسير مايو'!R88)</f>
        <v/>
      </c>
      <c r="K88" s="86" t="str">
        <f aca="false">IF($B88="","",'مسير يونيو'!R88)</f>
        <v/>
      </c>
      <c r="L88" s="86" t="str">
        <f aca="false">IF($B88="","",'مسير يوليو'!R88)</f>
        <v/>
      </c>
      <c r="M88" s="86" t="str">
        <f aca="false">IF($B88="","",'مسير أغسطس'!R88)</f>
        <v/>
      </c>
      <c r="N88" s="86" t="str">
        <f aca="false">IF($B88="","",'مسير سبتمبر'!R88)</f>
        <v/>
      </c>
      <c r="O88" s="86" t="str">
        <f aca="false">IF($B88="","",'مسير أكتوبر'!R88)</f>
        <v/>
      </c>
      <c r="P88" s="86" t="str">
        <f aca="false">IF($B88="","",'مسير نوفمبر'!R88)</f>
        <v/>
      </c>
      <c r="Q88" s="86" t="str">
        <f aca="false">IF($B88="","",'مسير ديسمبر'!R88)</f>
        <v/>
      </c>
      <c r="R88" s="123" t="str">
        <f aca="false">IF($B88="","",IF(1&lt;=cfg_VAL_M,'مسير يناير'!R88,0)+IF(2&lt;=cfg_VAL_M,'مسير فبراير'!R88,0)+IF(3&lt;=cfg_VAL_M,'مسير مارس'!R88,0)+IF(4&lt;=cfg_VAL_M,'مسير أبريل'!R88,0)+IF(5&lt;=cfg_VAL_M,'مسير مايو'!R88,0)+IF(6&lt;=cfg_VAL_M,'مسير يونيو'!R88,0)+IF(7&lt;=cfg_VAL_M,'مسير يوليو'!R88,0)+IF(8&lt;=cfg_VAL_M,'مسير أغسطس'!R88,0)+IF(9&lt;=cfg_VAL_M,'مسير سبتمبر'!R88,0)+IF(10&lt;=cfg_VAL_M,'مسير أكتوبر'!R88,0)+IF(11&lt;=cfg_VAL_M,'مسير نوفمبر'!R88,0)+IF(12&lt;=cfg_VAL_M,'مسير ديسمبر'!R88,0))</f>
        <v/>
      </c>
      <c r="T88" s="86" t="str">
        <f aca="false">IF($B88="","",'مسير يناير'!AB88)</f>
        <v/>
      </c>
      <c r="U88" s="86" t="str">
        <f aca="false">IF($B88="","",'مسير فبراير'!AB88)</f>
        <v/>
      </c>
      <c r="V88" s="86" t="str">
        <f aca="false">IF($B88="","",'مسير مارس'!AB88)</f>
        <v/>
      </c>
      <c r="W88" s="86" t="str">
        <f aca="false">IF($B88="","",'مسير أبريل'!AB88)</f>
        <v/>
      </c>
      <c r="X88" s="86" t="str">
        <f aca="false">IF($B88="","",'مسير مايو'!AB88)</f>
        <v/>
      </c>
      <c r="Y88" s="86" t="str">
        <f aca="false">IF($B88="","",'مسير يونيو'!AB88)</f>
        <v/>
      </c>
      <c r="Z88" s="86" t="str">
        <f aca="false">IF($B88="","",'مسير يوليو'!AB88)</f>
        <v/>
      </c>
      <c r="AA88" s="86" t="str">
        <f aca="false">IF($B88="","",'مسير أغسطس'!AB88)</f>
        <v/>
      </c>
      <c r="AB88" s="86" t="str">
        <f aca="false">IF($B88="","",'مسير سبتمبر'!AB88)</f>
        <v/>
      </c>
      <c r="AC88" s="86" t="str">
        <f aca="false">IF($B88="","",'مسير أكتوبر'!AB88)</f>
        <v/>
      </c>
      <c r="AD88" s="86" t="str">
        <f aca="false">IF($B88="","",'مسير نوفمبر'!AB88)</f>
        <v/>
      </c>
      <c r="AE88" s="86" t="str">
        <f aca="false">IF($B88="","",'مسير ديسمبر'!AB88)</f>
        <v/>
      </c>
      <c r="AF88" s="123" t="str">
        <f aca="false">IF($B88="","",IF(1&lt;=cfg_VAL_M,'مسير يناير'!AB88,0)+IF(2&lt;=cfg_VAL_M,'مسير فبراير'!AB88,0)+IF(3&lt;=cfg_VAL_M,'مسير مارس'!AB88,0)+IF(4&lt;=cfg_VAL_M,'مسير أبريل'!AB88,0)+IF(5&lt;=cfg_VAL_M,'مسير مايو'!AB88,0)+IF(6&lt;=cfg_VAL_M,'مسير يونيو'!AB88,0)+IF(7&lt;=cfg_VAL_M,'مسير يوليو'!AB88,0)+IF(8&lt;=cfg_VAL_M,'مسير أغسطس'!AB88,0)+IF(9&lt;=cfg_VAL_M,'مسير سبتمبر'!AB88,0)+IF(10&lt;=cfg_VAL_M,'مسير أكتوبر'!AB88,0)+IF(11&lt;=cfg_VAL_M,'مسير نوفمبر'!AB88,0)+IF(12&lt;=cfg_VAL_M,'مسير ديسمبر'!AB88,0))</f>
        <v/>
      </c>
      <c r="AG88" s="123" t="str">
        <f aca="false">IF($B88="","",IF(1&lt;=cfg_VAL_M,'مسير يناير'!W88,0)+IF(2&lt;=cfg_VAL_M,'مسير فبراير'!W88,0)+IF(3&lt;=cfg_VAL_M,'مسير مارس'!W88,0)+IF(4&lt;=cfg_VAL_M,'مسير أبريل'!W88,0)+IF(5&lt;=cfg_VAL_M,'مسير مايو'!W88,0)+IF(6&lt;=cfg_VAL_M,'مسير يونيو'!W88,0)+IF(7&lt;=cfg_VAL_M,'مسير يوليو'!W88,0)+IF(8&lt;=cfg_VAL_M,'مسير أغسطس'!W88,0)+IF(9&lt;=cfg_VAL_M,'مسير سبتمبر'!W88,0)+IF(10&lt;=cfg_VAL_M,'مسير أكتوبر'!W88,0)+IF(11&lt;=cfg_VAL_M,'مسير نوفمبر'!W88,0)+IF(12&lt;=cfg_VAL_M,'مسير ديسمبر'!W88,0))</f>
        <v/>
      </c>
      <c r="AH88" s="86" t="str">
        <f aca="false">IF($B88="","",AF88/cfg_VAL_M)</f>
        <v/>
      </c>
    </row>
    <row r="89" customFormat="false" ht="15" hidden="false" customHeight="false" outlineLevel="0" collapsed="false">
      <c r="B89" s="91" t="str">
        <f aca="false">IF(الموظفون!$B89="","",الموظفون!$B89)</f>
        <v/>
      </c>
      <c r="C89" s="91" t="str">
        <f aca="false">IF(الموظفون!$B89="","",الموظفون!$C89)</f>
        <v/>
      </c>
      <c r="D89" s="91" t="str">
        <f aca="false">IF(الموظفون!$B89="","",الموظفون!$F89)</f>
        <v/>
      </c>
      <c r="E89" s="91" t="str">
        <f aca="false">IF(الموظفون!$B89="","",الموظفون!$E89)</f>
        <v/>
      </c>
      <c r="F89" s="90" t="str">
        <f aca="false">IF($B89="","",'مسير يناير'!R89)</f>
        <v/>
      </c>
      <c r="G89" s="90" t="str">
        <f aca="false">IF($B89="","",'مسير فبراير'!R89)</f>
        <v/>
      </c>
      <c r="H89" s="90" t="str">
        <f aca="false">IF($B89="","",'مسير مارس'!R89)</f>
        <v/>
      </c>
      <c r="I89" s="90" t="str">
        <f aca="false">IF($B89="","",'مسير أبريل'!R89)</f>
        <v/>
      </c>
      <c r="J89" s="90" t="str">
        <f aca="false">IF($B89="","",'مسير مايو'!R89)</f>
        <v/>
      </c>
      <c r="K89" s="90" t="str">
        <f aca="false">IF($B89="","",'مسير يونيو'!R89)</f>
        <v/>
      </c>
      <c r="L89" s="90" t="str">
        <f aca="false">IF($B89="","",'مسير يوليو'!R89)</f>
        <v/>
      </c>
      <c r="M89" s="90" t="str">
        <f aca="false">IF($B89="","",'مسير أغسطس'!R89)</f>
        <v/>
      </c>
      <c r="N89" s="90" t="str">
        <f aca="false">IF($B89="","",'مسير سبتمبر'!R89)</f>
        <v/>
      </c>
      <c r="O89" s="90" t="str">
        <f aca="false">IF($B89="","",'مسير أكتوبر'!R89)</f>
        <v/>
      </c>
      <c r="P89" s="90" t="str">
        <f aca="false">IF($B89="","",'مسير نوفمبر'!R89)</f>
        <v/>
      </c>
      <c r="Q89" s="90" t="str">
        <f aca="false">IF($B89="","",'مسير ديسمبر'!R89)</f>
        <v/>
      </c>
      <c r="R89" s="124" t="str">
        <f aca="false">IF($B89="","",IF(1&lt;=cfg_VAL_M,'مسير يناير'!R89,0)+IF(2&lt;=cfg_VAL_M,'مسير فبراير'!R89,0)+IF(3&lt;=cfg_VAL_M,'مسير مارس'!R89,0)+IF(4&lt;=cfg_VAL_M,'مسير أبريل'!R89,0)+IF(5&lt;=cfg_VAL_M,'مسير مايو'!R89,0)+IF(6&lt;=cfg_VAL_M,'مسير يونيو'!R89,0)+IF(7&lt;=cfg_VAL_M,'مسير يوليو'!R89,0)+IF(8&lt;=cfg_VAL_M,'مسير أغسطس'!R89,0)+IF(9&lt;=cfg_VAL_M,'مسير سبتمبر'!R89,0)+IF(10&lt;=cfg_VAL_M,'مسير أكتوبر'!R89,0)+IF(11&lt;=cfg_VAL_M,'مسير نوفمبر'!R89,0)+IF(12&lt;=cfg_VAL_M,'مسير ديسمبر'!R89,0))</f>
        <v/>
      </c>
      <c r="T89" s="90" t="str">
        <f aca="false">IF($B89="","",'مسير يناير'!AB89)</f>
        <v/>
      </c>
      <c r="U89" s="90" t="str">
        <f aca="false">IF($B89="","",'مسير فبراير'!AB89)</f>
        <v/>
      </c>
      <c r="V89" s="90" t="str">
        <f aca="false">IF($B89="","",'مسير مارس'!AB89)</f>
        <v/>
      </c>
      <c r="W89" s="90" t="str">
        <f aca="false">IF($B89="","",'مسير أبريل'!AB89)</f>
        <v/>
      </c>
      <c r="X89" s="90" t="str">
        <f aca="false">IF($B89="","",'مسير مايو'!AB89)</f>
        <v/>
      </c>
      <c r="Y89" s="90" t="str">
        <f aca="false">IF($B89="","",'مسير يونيو'!AB89)</f>
        <v/>
      </c>
      <c r="Z89" s="90" t="str">
        <f aca="false">IF($B89="","",'مسير يوليو'!AB89)</f>
        <v/>
      </c>
      <c r="AA89" s="90" t="str">
        <f aca="false">IF($B89="","",'مسير أغسطس'!AB89)</f>
        <v/>
      </c>
      <c r="AB89" s="90" t="str">
        <f aca="false">IF($B89="","",'مسير سبتمبر'!AB89)</f>
        <v/>
      </c>
      <c r="AC89" s="90" t="str">
        <f aca="false">IF($B89="","",'مسير أكتوبر'!AB89)</f>
        <v/>
      </c>
      <c r="AD89" s="90" t="str">
        <f aca="false">IF($B89="","",'مسير نوفمبر'!AB89)</f>
        <v/>
      </c>
      <c r="AE89" s="90" t="str">
        <f aca="false">IF($B89="","",'مسير ديسمبر'!AB89)</f>
        <v/>
      </c>
      <c r="AF89" s="124" t="str">
        <f aca="false">IF($B89="","",IF(1&lt;=cfg_VAL_M,'مسير يناير'!AB89,0)+IF(2&lt;=cfg_VAL_M,'مسير فبراير'!AB89,0)+IF(3&lt;=cfg_VAL_M,'مسير مارس'!AB89,0)+IF(4&lt;=cfg_VAL_M,'مسير أبريل'!AB89,0)+IF(5&lt;=cfg_VAL_M,'مسير مايو'!AB89,0)+IF(6&lt;=cfg_VAL_M,'مسير يونيو'!AB89,0)+IF(7&lt;=cfg_VAL_M,'مسير يوليو'!AB89,0)+IF(8&lt;=cfg_VAL_M,'مسير أغسطس'!AB89,0)+IF(9&lt;=cfg_VAL_M,'مسير سبتمبر'!AB89,0)+IF(10&lt;=cfg_VAL_M,'مسير أكتوبر'!AB89,0)+IF(11&lt;=cfg_VAL_M,'مسير نوفمبر'!AB89,0)+IF(12&lt;=cfg_VAL_M,'مسير ديسمبر'!AB89,0))</f>
        <v/>
      </c>
      <c r="AG89" s="124" t="str">
        <f aca="false">IF($B89="","",IF(1&lt;=cfg_VAL_M,'مسير يناير'!W89,0)+IF(2&lt;=cfg_VAL_M,'مسير فبراير'!W89,0)+IF(3&lt;=cfg_VAL_M,'مسير مارس'!W89,0)+IF(4&lt;=cfg_VAL_M,'مسير أبريل'!W89,0)+IF(5&lt;=cfg_VAL_M,'مسير مايو'!W89,0)+IF(6&lt;=cfg_VAL_M,'مسير يونيو'!W89,0)+IF(7&lt;=cfg_VAL_M,'مسير يوليو'!W89,0)+IF(8&lt;=cfg_VAL_M,'مسير أغسطس'!W89,0)+IF(9&lt;=cfg_VAL_M,'مسير سبتمبر'!W89,0)+IF(10&lt;=cfg_VAL_M,'مسير أكتوبر'!W89,0)+IF(11&lt;=cfg_VAL_M,'مسير نوفمبر'!W89,0)+IF(12&lt;=cfg_VAL_M,'مسير ديسمبر'!W89,0))</f>
        <v/>
      </c>
      <c r="AH89" s="90" t="str">
        <f aca="false">IF($B89="","",AF89/cfg_VAL_M)</f>
        <v/>
      </c>
    </row>
    <row r="90" customFormat="false" ht="15" hidden="false" customHeight="false" outlineLevel="0" collapsed="false">
      <c r="B90" s="74" t="str">
        <f aca="false">IF(الموظفون!$B90="","",الموظفون!$B90)</f>
        <v/>
      </c>
      <c r="C90" s="74" t="str">
        <f aca="false">IF(الموظفون!$B90="","",الموظفون!$C90)</f>
        <v/>
      </c>
      <c r="D90" s="74" t="str">
        <f aca="false">IF(الموظفون!$B90="","",الموظفون!$F90)</f>
        <v/>
      </c>
      <c r="E90" s="74" t="str">
        <f aca="false">IF(الموظفون!$B90="","",الموظفون!$E90)</f>
        <v/>
      </c>
      <c r="F90" s="86" t="str">
        <f aca="false">IF($B90="","",'مسير يناير'!R90)</f>
        <v/>
      </c>
      <c r="G90" s="86" t="str">
        <f aca="false">IF($B90="","",'مسير فبراير'!R90)</f>
        <v/>
      </c>
      <c r="H90" s="86" t="str">
        <f aca="false">IF($B90="","",'مسير مارس'!R90)</f>
        <v/>
      </c>
      <c r="I90" s="86" t="str">
        <f aca="false">IF($B90="","",'مسير أبريل'!R90)</f>
        <v/>
      </c>
      <c r="J90" s="86" t="str">
        <f aca="false">IF($B90="","",'مسير مايو'!R90)</f>
        <v/>
      </c>
      <c r="K90" s="86" t="str">
        <f aca="false">IF($B90="","",'مسير يونيو'!R90)</f>
        <v/>
      </c>
      <c r="L90" s="86" t="str">
        <f aca="false">IF($B90="","",'مسير يوليو'!R90)</f>
        <v/>
      </c>
      <c r="M90" s="86" t="str">
        <f aca="false">IF($B90="","",'مسير أغسطس'!R90)</f>
        <v/>
      </c>
      <c r="N90" s="86" t="str">
        <f aca="false">IF($B90="","",'مسير سبتمبر'!R90)</f>
        <v/>
      </c>
      <c r="O90" s="86" t="str">
        <f aca="false">IF($B90="","",'مسير أكتوبر'!R90)</f>
        <v/>
      </c>
      <c r="P90" s="86" t="str">
        <f aca="false">IF($B90="","",'مسير نوفمبر'!R90)</f>
        <v/>
      </c>
      <c r="Q90" s="86" t="str">
        <f aca="false">IF($B90="","",'مسير ديسمبر'!R90)</f>
        <v/>
      </c>
      <c r="R90" s="123" t="str">
        <f aca="false">IF($B90="","",IF(1&lt;=cfg_VAL_M,'مسير يناير'!R90,0)+IF(2&lt;=cfg_VAL_M,'مسير فبراير'!R90,0)+IF(3&lt;=cfg_VAL_M,'مسير مارس'!R90,0)+IF(4&lt;=cfg_VAL_M,'مسير أبريل'!R90,0)+IF(5&lt;=cfg_VAL_M,'مسير مايو'!R90,0)+IF(6&lt;=cfg_VAL_M,'مسير يونيو'!R90,0)+IF(7&lt;=cfg_VAL_M,'مسير يوليو'!R90,0)+IF(8&lt;=cfg_VAL_M,'مسير أغسطس'!R90,0)+IF(9&lt;=cfg_VAL_M,'مسير سبتمبر'!R90,0)+IF(10&lt;=cfg_VAL_M,'مسير أكتوبر'!R90,0)+IF(11&lt;=cfg_VAL_M,'مسير نوفمبر'!R90,0)+IF(12&lt;=cfg_VAL_M,'مسير ديسمبر'!R90,0))</f>
        <v/>
      </c>
      <c r="T90" s="86" t="str">
        <f aca="false">IF($B90="","",'مسير يناير'!AB90)</f>
        <v/>
      </c>
      <c r="U90" s="86" t="str">
        <f aca="false">IF($B90="","",'مسير فبراير'!AB90)</f>
        <v/>
      </c>
      <c r="V90" s="86" t="str">
        <f aca="false">IF($B90="","",'مسير مارس'!AB90)</f>
        <v/>
      </c>
      <c r="W90" s="86" t="str">
        <f aca="false">IF($B90="","",'مسير أبريل'!AB90)</f>
        <v/>
      </c>
      <c r="X90" s="86" t="str">
        <f aca="false">IF($B90="","",'مسير مايو'!AB90)</f>
        <v/>
      </c>
      <c r="Y90" s="86" t="str">
        <f aca="false">IF($B90="","",'مسير يونيو'!AB90)</f>
        <v/>
      </c>
      <c r="Z90" s="86" t="str">
        <f aca="false">IF($B90="","",'مسير يوليو'!AB90)</f>
        <v/>
      </c>
      <c r="AA90" s="86" t="str">
        <f aca="false">IF($B90="","",'مسير أغسطس'!AB90)</f>
        <v/>
      </c>
      <c r="AB90" s="86" t="str">
        <f aca="false">IF($B90="","",'مسير سبتمبر'!AB90)</f>
        <v/>
      </c>
      <c r="AC90" s="86" t="str">
        <f aca="false">IF($B90="","",'مسير أكتوبر'!AB90)</f>
        <v/>
      </c>
      <c r="AD90" s="86" t="str">
        <f aca="false">IF($B90="","",'مسير نوفمبر'!AB90)</f>
        <v/>
      </c>
      <c r="AE90" s="86" t="str">
        <f aca="false">IF($B90="","",'مسير ديسمبر'!AB90)</f>
        <v/>
      </c>
      <c r="AF90" s="123" t="str">
        <f aca="false">IF($B90="","",IF(1&lt;=cfg_VAL_M,'مسير يناير'!AB90,0)+IF(2&lt;=cfg_VAL_M,'مسير فبراير'!AB90,0)+IF(3&lt;=cfg_VAL_M,'مسير مارس'!AB90,0)+IF(4&lt;=cfg_VAL_M,'مسير أبريل'!AB90,0)+IF(5&lt;=cfg_VAL_M,'مسير مايو'!AB90,0)+IF(6&lt;=cfg_VAL_M,'مسير يونيو'!AB90,0)+IF(7&lt;=cfg_VAL_M,'مسير يوليو'!AB90,0)+IF(8&lt;=cfg_VAL_M,'مسير أغسطس'!AB90,0)+IF(9&lt;=cfg_VAL_M,'مسير سبتمبر'!AB90,0)+IF(10&lt;=cfg_VAL_M,'مسير أكتوبر'!AB90,0)+IF(11&lt;=cfg_VAL_M,'مسير نوفمبر'!AB90,0)+IF(12&lt;=cfg_VAL_M,'مسير ديسمبر'!AB90,0))</f>
        <v/>
      </c>
      <c r="AG90" s="123" t="str">
        <f aca="false">IF($B90="","",IF(1&lt;=cfg_VAL_M,'مسير يناير'!W90,0)+IF(2&lt;=cfg_VAL_M,'مسير فبراير'!W90,0)+IF(3&lt;=cfg_VAL_M,'مسير مارس'!W90,0)+IF(4&lt;=cfg_VAL_M,'مسير أبريل'!W90,0)+IF(5&lt;=cfg_VAL_M,'مسير مايو'!W90,0)+IF(6&lt;=cfg_VAL_M,'مسير يونيو'!W90,0)+IF(7&lt;=cfg_VAL_M,'مسير يوليو'!W90,0)+IF(8&lt;=cfg_VAL_M,'مسير أغسطس'!W90,0)+IF(9&lt;=cfg_VAL_M,'مسير سبتمبر'!W90,0)+IF(10&lt;=cfg_VAL_M,'مسير أكتوبر'!W90,0)+IF(11&lt;=cfg_VAL_M,'مسير نوفمبر'!W90,0)+IF(12&lt;=cfg_VAL_M,'مسير ديسمبر'!W90,0))</f>
        <v/>
      </c>
      <c r="AH90" s="86" t="str">
        <f aca="false">IF($B90="","",AF90/cfg_VAL_M)</f>
        <v/>
      </c>
    </row>
    <row r="91" customFormat="false" ht="15" hidden="false" customHeight="false" outlineLevel="0" collapsed="false">
      <c r="B91" s="91" t="str">
        <f aca="false">IF(الموظفون!$B91="","",الموظفون!$B91)</f>
        <v/>
      </c>
      <c r="C91" s="91" t="str">
        <f aca="false">IF(الموظفون!$B91="","",الموظفون!$C91)</f>
        <v/>
      </c>
      <c r="D91" s="91" t="str">
        <f aca="false">IF(الموظفون!$B91="","",الموظفون!$F91)</f>
        <v/>
      </c>
      <c r="E91" s="91" t="str">
        <f aca="false">IF(الموظفون!$B91="","",الموظفون!$E91)</f>
        <v/>
      </c>
      <c r="F91" s="90" t="str">
        <f aca="false">IF($B91="","",'مسير يناير'!R91)</f>
        <v/>
      </c>
      <c r="G91" s="90" t="str">
        <f aca="false">IF($B91="","",'مسير فبراير'!R91)</f>
        <v/>
      </c>
      <c r="H91" s="90" t="str">
        <f aca="false">IF($B91="","",'مسير مارس'!R91)</f>
        <v/>
      </c>
      <c r="I91" s="90" t="str">
        <f aca="false">IF($B91="","",'مسير أبريل'!R91)</f>
        <v/>
      </c>
      <c r="J91" s="90" t="str">
        <f aca="false">IF($B91="","",'مسير مايو'!R91)</f>
        <v/>
      </c>
      <c r="K91" s="90" t="str">
        <f aca="false">IF($B91="","",'مسير يونيو'!R91)</f>
        <v/>
      </c>
      <c r="L91" s="90" t="str">
        <f aca="false">IF($B91="","",'مسير يوليو'!R91)</f>
        <v/>
      </c>
      <c r="M91" s="90" t="str">
        <f aca="false">IF($B91="","",'مسير أغسطس'!R91)</f>
        <v/>
      </c>
      <c r="N91" s="90" t="str">
        <f aca="false">IF($B91="","",'مسير سبتمبر'!R91)</f>
        <v/>
      </c>
      <c r="O91" s="90" t="str">
        <f aca="false">IF($B91="","",'مسير أكتوبر'!R91)</f>
        <v/>
      </c>
      <c r="P91" s="90" t="str">
        <f aca="false">IF($B91="","",'مسير نوفمبر'!R91)</f>
        <v/>
      </c>
      <c r="Q91" s="90" t="str">
        <f aca="false">IF($B91="","",'مسير ديسمبر'!R91)</f>
        <v/>
      </c>
      <c r="R91" s="124" t="str">
        <f aca="false">IF($B91="","",IF(1&lt;=cfg_VAL_M,'مسير يناير'!R91,0)+IF(2&lt;=cfg_VAL_M,'مسير فبراير'!R91,0)+IF(3&lt;=cfg_VAL_M,'مسير مارس'!R91,0)+IF(4&lt;=cfg_VAL_M,'مسير أبريل'!R91,0)+IF(5&lt;=cfg_VAL_M,'مسير مايو'!R91,0)+IF(6&lt;=cfg_VAL_M,'مسير يونيو'!R91,0)+IF(7&lt;=cfg_VAL_M,'مسير يوليو'!R91,0)+IF(8&lt;=cfg_VAL_M,'مسير أغسطس'!R91,0)+IF(9&lt;=cfg_VAL_M,'مسير سبتمبر'!R91,0)+IF(10&lt;=cfg_VAL_M,'مسير أكتوبر'!R91,0)+IF(11&lt;=cfg_VAL_M,'مسير نوفمبر'!R91,0)+IF(12&lt;=cfg_VAL_M,'مسير ديسمبر'!R91,0))</f>
        <v/>
      </c>
      <c r="T91" s="90" t="str">
        <f aca="false">IF($B91="","",'مسير يناير'!AB91)</f>
        <v/>
      </c>
      <c r="U91" s="90" t="str">
        <f aca="false">IF($B91="","",'مسير فبراير'!AB91)</f>
        <v/>
      </c>
      <c r="V91" s="90" t="str">
        <f aca="false">IF($B91="","",'مسير مارس'!AB91)</f>
        <v/>
      </c>
      <c r="W91" s="90" t="str">
        <f aca="false">IF($B91="","",'مسير أبريل'!AB91)</f>
        <v/>
      </c>
      <c r="X91" s="90" t="str">
        <f aca="false">IF($B91="","",'مسير مايو'!AB91)</f>
        <v/>
      </c>
      <c r="Y91" s="90" t="str">
        <f aca="false">IF($B91="","",'مسير يونيو'!AB91)</f>
        <v/>
      </c>
      <c r="Z91" s="90" t="str">
        <f aca="false">IF($B91="","",'مسير يوليو'!AB91)</f>
        <v/>
      </c>
      <c r="AA91" s="90" t="str">
        <f aca="false">IF($B91="","",'مسير أغسطس'!AB91)</f>
        <v/>
      </c>
      <c r="AB91" s="90" t="str">
        <f aca="false">IF($B91="","",'مسير سبتمبر'!AB91)</f>
        <v/>
      </c>
      <c r="AC91" s="90" t="str">
        <f aca="false">IF($B91="","",'مسير أكتوبر'!AB91)</f>
        <v/>
      </c>
      <c r="AD91" s="90" t="str">
        <f aca="false">IF($B91="","",'مسير نوفمبر'!AB91)</f>
        <v/>
      </c>
      <c r="AE91" s="90" t="str">
        <f aca="false">IF($B91="","",'مسير ديسمبر'!AB91)</f>
        <v/>
      </c>
      <c r="AF91" s="124" t="str">
        <f aca="false">IF($B91="","",IF(1&lt;=cfg_VAL_M,'مسير يناير'!AB91,0)+IF(2&lt;=cfg_VAL_M,'مسير فبراير'!AB91,0)+IF(3&lt;=cfg_VAL_M,'مسير مارس'!AB91,0)+IF(4&lt;=cfg_VAL_M,'مسير أبريل'!AB91,0)+IF(5&lt;=cfg_VAL_M,'مسير مايو'!AB91,0)+IF(6&lt;=cfg_VAL_M,'مسير يونيو'!AB91,0)+IF(7&lt;=cfg_VAL_M,'مسير يوليو'!AB91,0)+IF(8&lt;=cfg_VAL_M,'مسير أغسطس'!AB91,0)+IF(9&lt;=cfg_VAL_M,'مسير سبتمبر'!AB91,0)+IF(10&lt;=cfg_VAL_M,'مسير أكتوبر'!AB91,0)+IF(11&lt;=cfg_VAL_M,'مسير نوفمبر'!AB91,0)+IF(12&lt;=cfg_VAL_M,'مسير ديسمبر'!AB91,0))</f>
        <v/>
      </c>
      <c r="AG91" s="124" t="str">
        <f aca="false">IF($B91="","",IF(1&lt;=cfg_VAL_M,'مسير يناير'!W91,0)+IF(2&lt;=cfg_VAL_M,'مسير فبراير'!W91,0)+IF(3&lt;=cfg_VAL_M,'مسير مارس'!W91,0)+IF(4&lt;=cfg_VAL_M,'مسير أبريل'!W91,0)+IF(5&lt;=cfg_VAL_M,'مسير مايو'!W91,0)+IF(6&lt;=cfg_VAL_M,'مسير يونيو'!W91,0)+IF(7&lt;=cfg_VAL_M,'مسير يوليو'!W91,0)+IF(8&lt;=cfg_VAL_M,'مسير أغسطس'!W91,0)+IF(9&lt;=cfg_VAL_M,'مسير سبتمبر'!W91,0)+IF(10&lt;=cfg_VAL_M,'مسير أكتوبر'!W91,0)+IF(11&lt;=cfg_VAL_M,'مسير نوفمبر'!W91,0)+IF(12&lt;=cfg_VAL_M,'مسير ديسمبر'!W91,0))</f>
        <v/>
      </c>
      <c r="AH91" s="90" t="str">
        <f aca="false">IF($B91="","",AF91/cfg_VAL_M)</f>
        <v/>
      </c>
    </row>
    <row r="92" customFormat="false" ht="15" hidden="false" customHeight="false" outlineLevel="0" collapsed="false">
      <c r="B92" s="74" t="str">
        <f aca="false">IF(الموظفون!$B92="","",الموظفون!$B92)</f>
        <v/>
      </c>
      <c r="C92" s="74" t="str">
        <f aca="false">IF(الموظفون!$B92="","",الموظفون!$C92)</f>
        <v/>
      </c>
      <c r="D92" s="74" t="str">
        <f aca="false">IF(الموظفون!$B92="","",الموظفون!$F92)</f>
        <v/>
      </c>
      <c r="E92" s="74" t="str">
        <f aca="false">IF(الموظفون!$B92="","",الموظفون!$E92)</f>
        <v/>
      </c>
      <c r="F92" s="86" t="str">
        <f aca="false">IF($B92="","",'مسير يناير'!R92)</f>
        <v/>
      </c>
      <c r="G92" s="86" t="str">
        <f aca="false">IF($B92="","",'مسير فبراير'!R92)</f>
        <v/>
      </c>
      <c r="H92" s="86" t="str">
        <f aca="false">IF($B92="","",'مسير مارس'!R92)</f>
        <v/>
      </c>
      <c r="I92" s="86" t="str">
        <f aca="false">IF($B92="","",'مسير أبريل'!R92)</f>
        <v/>
      </c>
      <c r="J92" s="86" t="str">
        <f aca="false">IF($B92="","",'مسير مايو'!R92)</f>
        <v/>
      </c>
      <c r="K92" s="86" t="str">
        <f aca="false">IF($B92="","",'مسير يونيو'!R92)</f>
        <v/>
      </c>
      <c r="L92" s="86" t="str">
        <f aca="false">IF($B92="","",'مسير يوليو'!R92)</f>
        <v/>
      </c>
      <c r="M92" s="86" t="str">
        <f aca="false">IF($B92="","",'مسير أغسطس'!R92)</f>
        <v/>
      </c>
      <c r="N92" s="86" t="str">
        <f aca="false">IF($B92="","",'مسير سبتمبر'!R92)</f>
        <v/>
      </c>
      <c r="O92" s="86" t="str">
        <f aca="false">IF($B92="","",'مسير أكتوبر'!R92)</f>
        <v/>
      </c>
      <c r="P92" s="86" t="str">
        <f aca="false">IF($B92="","",'مسير نوفمبر'!R92)</f>
        <v/>
      </c>
      <c r="Q92" s="86" t="str">
        <f aca="false">IF($B92="","",'مسير ديسمبر'!R92)</f>
        <v/>
      </c>
      <c r="R92" s="123" t="str">
        <f aca="false">IF($B92="","",IF(1&lt;=cfg_VAL_M,'مسير يناير'!R92,0)+IF(2&lt;=cfg_VAL_M,'مسير فبراير'!R92,0)+IF(3&lt;=cfg_VAL_M,'مسير مارس'!R92,0)+IF(4&lt;=cfg_VAL_M,'مسير أبريل'!R92,0)+IF(5&lt;=cfg_VAL_M,'مسير مايو'!R92,0)+IF(6&lt;=cfg_VAL_M,'مسير يونيو'!R92,0)+IF(7&lt;=cfg_VAL_M,'مسير يوليو'!R92,0)+IF(8&lt;=cfg_VAL_M,'مسير أغسطس'!R92,0)+IF(9&lt;=cfg_VAL_M,'مسير سبتمبر'!R92,0)+IF(10&lt;=cfg_VAL_M,'مسير أكتوبر'!R92,0)+IF(11&lt;=cfg_VAL_M,'مسير نوفمبر'!R92,0)+IF(12&lt;=cfg_VAL_M,'مسير ديسمبر'!R92,0))</f>
        <v/>
      </c>
      <c r="T92" s="86" t="str">
        <f aca="false">IF($B92="","",'مسير يناير'!AB92)</f>
        <v/>
      </c>
      <c r="U92" s="86" t="str">
        <f aca="false">IF($B92="","",'مسير فبراير'!AB92)</f>
        <v/>
      </c>
      <c r="V92" s="86" t="str">
        <f aca="false">IF($B92="","",'مسير مارس'!AB92)</f>
        <v/>
      </c>
      <c r="W92" s="86" t="str">
        <f aca="false">IF($B92="","",'مسير أبريل'!AB92)</f>
        <v/>
      </c>
      <c r="X92" s="86" t="str">
        <f aca="false">IF($B92="","",'مسير مايو'!AB92)</f>
        <v/>
      </c>
      <c r="Y92" s="86" t="str">
        <f aca="false">IF($B92="","",'مسير يونيو'!AB92)</f>
        <v/>
      </c>
      <c r="Z92" s="86" t="str">
        <f aca="false">IF($B92="","",'مسير يوليو'!AB92)</f>
        <v/>
      </c>
      <c r="AA92" s="86" t="str">
        <f aca="false">IF($B92="","",'مسير أغسطس'!AB92)</f>
        <v/>
      </c>
      <c r="AB92" s="86" t="str">
        <f aca="false">IF($B92="","",'مسير سبتمبر'!AB92)</f>
        <v/>
      </c>
      <c r="AC92" s="86" t="str">
        <f aca="false">IF($B92="","",'مسير أكتوبر'!AB92)</f>
        <v/>
      </c>
      <c r="AD92" s="86" t="str">
        <f aca="false">IF($B92="","",'مسير نوفمبر'!AB92)</f>
        <v/>
      </c>
      <c r="AE92" s="86" t="str">
        <f aca="false">IF($B92="","",'مسير ديسمبر'!AB92)</f>
        <v/>
      </c>
      <c r="AF92" s="123" t="str">
        <f aca="false">IF($B92="","",IF(1&lt;=cfg_VAL_M,'مسير يناير'!AB92,0)+IF(2&lt;=cfg_VAL_M,'مسير فبراير'!AB92,0)+IF(3&lt;=cfg_VAL_M,'مسير مارس'!AB92,0)+IF(4&lt;=cfg_VAL_M,'مسير أبريل'!AB92,0)+IF(5&lt;=cfg_VAL_M,'مسير مايو'!AB92,0)+IF(6&lt;=cfg_VAL_M,'مسير يونيو'!AB92,0)+IF(7&lt;=cfg_VAL_M,'مسير يوليو'!AB92,0)+IF(8&lt;=cfg_VAL_M,'مسير أغسطس'!AB92,0)+IF(9&lt;=cfg_VAL_M,'مسير سبتمبر'!AB92,0)+IF(10&lt;=cfg_VAL_M,'مسير أكتوبر'!AB92,0)+IF(11&lt;=cfg_VAL_M,'مسير نوفمبر'!AB92,0)+IF(12&lt;=cfg_VAL_M,'مسير ديسمبر'!AB92,0))</f>
        <v/>
      </c>
      <c r="AG92" s="123" t="str">
        <f aca="false">IF($B92="","",IF(1&lt;=cfg_VAL_M,'مسير يناير'!W92,0)+IF(2&lt;=cfg_VAL_M,'مسير فبراير'!W92,0)+IF(3&lt;=cfg_VAL_M,'مسير مارس'!W92,0)+IF(4&lt;=cfg_VAL_M,'مسير أبريل'!W92,0)+IF(5&lt;=cfg_VAL_M,'مسير مايو'!W92,0)+IF(6&lt;=cfg_VAL_M,'مسير يونيو'!W92,0)+IF(7&lt;=cfg_VAL_M,'مسير يوليو'!W92,0)+IF(8&lt;=cfg_VAL_M,'مسير أغسطس'!W92,0)+IF(9&lt;=cfg_VAL_M,'مسير سبتمبر'!W92,0)+IF(10&lt;=cfg_VAL_M,'مسير أكتوبر'!W92,0)+IF(11&lt;=cfg_VAL_M,'مسير نوفمبر'!W92,0)+IF(12&lt;=cfg_VAL_M,'مسير ديسمبر'!W92,0))</f>
        <v/>
      </c>
      <c r="AH92" s="86" t="str">
        <f aca="false">IF($B92="","",AF92/cfg_VAL_M)</f>
        <v/>
      </c>
    </row>
    <row r="93" customFormat="false" ht="15" hidden="false" customHeight="false" outlineLevel="0" collapsed="false">
      <c r="B93" s="91" t="str">
        <f aca="false">IF(الموظفون!$B93="","",الموظفون!$B93)</f>
        <v/>
      </c>
      <c r="C93" s="91" t="str">
        <f aca="false">IF(الموظفون!$B93="","",الموظفون!$C93)</f>
        <v/>
      </c>
      <c r="D93" s="91" t="str">
        <f aca="false">IF(الموظفون!$B93="","",الموظفون!$F93)</f>
        <v/>
      </c>
      <c r="E93" s="91" t="str">
        <f aca="false">IF(الموظفون!$B93="","",الموظفون!$E93)</f>
        <v/>
      </c>
      <c r="F93" s="90" t="str">
        <f aca="false">IF($B93="","",'مسير يناير'!R93)</f>
        <v/>
      </c>
      <c r="G93" s="90" t="str">
        <f aca="false">IF($B93="","",'مسير فبراير'!R93)</f>
        <v/>
      </c>
      <c r="H93" s="90" t="str">
        <f aca="false">IF($B93="","",'مسير مارس'!R93)</f>
        <v/>
      </c>
      <c r="I93" s="90" t="str">
        <f aca="false">IF($B93="","",'مسير أبريل'!R93)</f>
        <v/>
      </c>
      <c r="J93" s="90" t="str">
        <f aca="false">IF($B93="","",'مسير مايو'!R93)</f>
        <v/>
      </c>
      <c r="K93" s="90" t="str">
        <f aca="false">IF($B93="","",'مسير يونيو'!R93)</f>
        <v/>
      </c>
      <c r="L93" s="90" t="str">
        <f aca="false">IF($B93="","",'مسير يوليو'!R93)</f>
        <v/>
      </c>
      <c r="M93" s="90" t="str">
        <f aca="false">IF($B93="","",'مسير أغسطس'!R93)</f>
        <v/>
      </c>
      <c r="N93" s="90" t="str">
        <f aca="false">IF($B93="","",'مسير سبتمبر'!R93)</f>
        <v/>
      </c>
      <c r="O93" s="90" t="str">
        <f aca="false">IF($B93="","",'مسير أكتوبر'!R93)</f>
        <v/>
      </c>
      <c r="P93" s="90" t="str">
        <f aca="false">IF($B93="","",'مسير نوفمبر'!R93)</f>
        <v/>
      </c>
      <c r="Q93" s="90" t="str">
        <f aca="false">IF($B93="","",'مسير ديسمبر'!R93)</f>
        <v/>
      </c>
      <c r="R93" s="124" t="str">
        <f aca="false">IF($B93="","",IF(1&lt;=cfg_VAL_M,'مسير يناير'!R93,0)+IF(2&lt;=cfg_VAL_M,'مسير فبراير'!R93,0)+IF(3&lt;=cfg_VAL_M,'مسير مارس'!R93,0)+IF(4&lt;=cfg_VAL_M,'مسير أبريل'!R93,0)+IF(5&lt;=cfg_VAL_M,'مسير مايو'!R93,0)+IF(6&lt;=cfg_VAL_M,'مسير يونيو'!R93,0)+IF(7&lt;=cfg_VAL_M,'مسير يوليو'!R93,0)+IF(8&lt;=cfg_VAL_M,'مسير أغسطس'!R93,0)+IF(9&lt;=cfg_VAL_M,'مسير سبتمبر'!R93,0)+IF(10&lt;=cfg_VAL_M,'مسير أكتوبر'!R93,0)+IF(11&lt;=cfg_VAL_M,'مسير نوفمبر'!R93,0)+IF(12&lt;=cfg_VAL_M,'مسير ديسمبر'!R93,0))</f>
        <v/>
      </c>
      <c r="T93" s="90" t="str">
        <f aca="false">IF($B93="","",'مسير يناير'!AB93)</f>
        <v/>
      </c>
      <c r="U93" s="90" t="str">
        <f aca="false">IF($B93="","",'مسير فبراير'!AB93)</f>
        <v/>
      </c>
      <c r="V93" s="90" t="str">
        <f aca="false">IF($B93="","",'مسير مارس'!AB93)</f>
        <v/>
      </c>
      <c r="W93" s="90" t="str">
        <f aca="false">IF($B93="","",'مسير أبريل'!AB93)</f>
        <v/>
      </c>
      <c r="X93" s="90" t="str">
        <f aca="false">IF($B93="","",'مسير مايو'!AB93)</f>
        <v/>
      </c>
      <c r="Y93" s="90" t="str">
        <f aca="false">IF($B93="","",'مسير يونيو'!AB93)</f>
        <v/>
      </c>
      <c r="Z93" s="90" t="str">
        <f aca="false">IF($B93="","",'مسير يوليو'!AB93)</f>
        <v/>
      </c>
      <c r="AA93" s="90" t="str">
        <f aca="false">IF($B93="","",'مسير أغسطس'!AB93)</f>
        <v/>
      </c>
      <c r="AB93" s="90" t="str">
        <f aca="false">IF($B93="","",'مسير سبتمبر'!AB93)</f>
        <v/>
      </c>
      <c r="AC93" s="90" t="str">
        <f aca="false">IF($B93="","",'مسير أكتوبر'!AB93)</f>
        <v/>
      </c>
      <c r="AD93" s="90" t="str">
        <f aca="false">IF($B93="","",'مسير نوفمبر'!AB93)</f>
        <v/>
      </c>
      <c r="AE93" s="90" t="str">
        <f aca="false">IF($B93="","",'مسير ديسمبر'!AB93)</f>
        <v/>
      </c>
      <c r="AF93" s="124" t="str">
        <f aca="false">IF($B93="","",IF(1&lt;=cfg_VAL_M,'مسير يناير'!AB93,0)+IF(2&lt;=cfg_VAL_M,'مسير فبراير'!AB93,0)+IF(3&lt;=cfg_VAL_M,'مسير مارس'!AB93,0)+IF(4&lt;=cfg_VAL_M,'مسير أبريل'!AB93,0)+IF(5&lt;=cfg_VAL_M,'مسير مايو'!AB93,0)+IF(6&lt;=cfg_VAL_M,'مسير يونيو'!AB93,0)+IF(7&lt;=cfg_VAL_M,'مسير يوليو'!AB93,0)+IF(8&lt;=cfg_VAL_M,'مسير أغسطس'!AB93,0)+IF(9&lt;=cfg_VAL_M,'مسير سبتمبر'!AB93,0)+IF(10&lt;=cfg_VAL_M,'مسير أكتوبر'!AB93,0)+IF(11&lt;=cfg_VAL_M,'مسير نوفمبر'!AB93,0)+IF(12&lt;=cfg_VAL_M,'مسير ديسمبر'!AB93,0))</f>
        <v/>
      </c>
      <c r="AG93" s="124" t="str">
        <f aca="false">IF($B93="","",IF(1&lt;=cfg_VAL_M,'مسير يناير'!W93,0)+IF(2&lt;=cfg_VAL_M,'مسير فبراير'!W93,0)+IF(3&lt;=cfg_VAL_M,'مسير مارس'!W93,0)+IF(4&lt;=cfg_VAL_M,'مسير أبريل'!W93,0)+IF(5&lt;=cfg_VAL_M,'مسير مايو'!W93,0)+IF(6&lt;=cfg_VAL_M,'مسير يونيو'!W93,0)+IF(7&lt;=cfg_VAL_M,'مسير يوليو'!W93,0)+IF(8&lt;=cfg_VAL_M,'مسير أغسطس'!W93,0)+IF(9&lt;=cfg_VAL_M,'مسير سبتمبر'!W93,0)+IF(10&lt;=cfg_VAL_M,'مسير أكتوبر'!W93,0)+IF(11&lt;=cfg_VAL_M,'مسير نوفمبر'!W93,0)+IF(12&lt;=cfg_VAL_M,'مسير ديسمبر'!W93,0))</f>
        <v/>
      </c>
      <c r="AH93" s="90" t="str">
        <f aca="false">IF($B93="","",AF93/cfg_VAL_M)</f>
        <v/>
      </c>
    </row>
    <row r="94" customFormat="false" ht="15" hidden="false" customHeight="false" outlineLevel="0" collapsed="false">
      <c r="B94" s="74" t="str">
        <f aca="false">IF(الموظفون!$B94="","",الموظفون!$B94)</f>
        <v/>
      </c>
      <c r="C94" s="74" t="str">
        <f aca="false">IF(الموظفون!$B94="","",الموظفون!$C94)</f>
        <v/>
      </c>
      <c r="D94" s="74" t="str">
        <f aca="false">IF(الموظفون!$B94="","",الموظفون!$F94)</f>
        <v/>
      </c>
      <c r="E94" s="74" t="str">
        <f aca="false">IF(الموظفون!$B94="","",الموظفون!$E94)</f>
        <v/>
      </c>
      <c r="F94" s="86" t="str">
        <f aca="false">IF($B94="","",'مسير يناير'!R94)</f>
        <v/>
      </c>
      <c r="G94" s="86" t="str">
        <f aca="false">IF($B94="","",'مسير فبراير'!R94)</f>
        <v/>
      </c>
      <c r="H94" s="86" t="str">
        <f aca="false">IF($B94="","",'مسير مارس'!R94)</f>
        <v/>
      </c>
      <c r="I94" s="86" t="str">
        <f aca="false">IF($B94="","",'مسير أبريل'!R94)</f>
        <v/>
      </c>
      <c r="J94" s="86" t="str">
        <f aca="false">IF($B94="","",'مسير مايو'!R94)</f>
        <v/>
      </c>
      <c r="K94" s="86" t="str">
        <f aca="false">IF($B94="","",'مسير يونيو'!R94)</f>
        <v/>
      </c>
      <c r="L94" s="86" t="str">
        <f aca="false">IF($B94="","",'مسير يوليو'!R94)</f>
        <v/>
      </c>
      <c r="M94" s="86" t="str">
        <f aca="false">IF($B94="","",'مسير أغسطس'!R94)</f>
        <v/>
      </c>
      <c r="N94" s="86" t="str">
        <f aca="false">IF($B94="","",'مسير سبتمبر'!R94)</f>
        <v/>
      </c>
      <c r="O94" s="86" t="str">
        <f aca="false">IF($B94="","",'مسير أكتوبر'!R94)</f>
        <v/>
      </c>
      <c r="P94" s="86" t="str">
        <f aca="false">IF($B94="","",'مسير نوفمبر'!R94)</f>
        <v/>
      </c>
      <c r="Q94" s="86" t="str">
        <f aca="false">IF($B94="","",'مسير ديسمبر'!R94)</f>
        <v/>
      </c>
      <c r="R94" s="123" t="str">
        <f aca="false">IF($B94="","",IF(1&lt;=cfg_VAL_M,'مسير يناير'!R94,0)+IF(2&lt;=cfg_VAL_M,'مسير فبراير'!R94,0)+IF(3&lt;=cfg_VAL_M,'مسير مارس'!R94,0)+IF(4&lt;=cfg_VAL_M,'مسير أبريل'!R94,0)+IF(5&lt;=cfg_VAL_M,'مسير مايو'!R94,0)+IF(6&lt;=cfg_VAL_M,'مسير يونيو'!R94,0)+IF(7&lt;=cfg_VAL_M,'مسير يوليو'!R94,0)+IF(8&lt;=cfg_VAL_M,'مسير أغسطس'!R94,0)+IF(9&lt;=cfg_VAL_M,'مسير سبتمبر'!R94,0)+IF(10&lt;=cfg_VAL_M,'مسير أكتوبر'!R94,0)+IF(11&lt;=cfg_VAL_M,'مسير نوفمبر'!R94,0)+IF(12&lt;=cfg_VAL_M,'مسير ديسمبر'!R94,0))</f>
        <v/>
      </c>
      <c r="T94" s="86" t="str">
        <f aca="false">IF($B94="","",'مسير يناير'!AB94)</f>
        <v/>
      </c>
      <c r="U94" s="86" t="str">
        <f aca="false">IF($B94="","",'مسير فبراير'!AB94)</f>
        <v/>
      </c>
      <c r="V94" s="86" t="str">
        <f aca="false">IF($B94="","",'مسير مارس'!AB94)</f>
        <v/>
      </c>
      <c r="W94" s="86" t="str">
        <f aca="false">IF($B94="","",'مسير أبريل'!AB94)</f>
        <v/>
      </c>
      <c r="X94" s="86" t="str">
        <f aca="false">IF($B94="","",'مسير مايو'!AB94)</f>
        <v/>
      </c>
      <c r="Y94" s="86" t="str">
        <f aca="false">IF($B94="","",'مسير يونيو'!AB94)</f>
        <v/>
      </c>
      <c r="Z94" s="86" t="str">
        <f aca="false">IF($B94="","",'مسير يوليو'!AB94)</f>
        <v/>
      </c>
      <c r="AA94" s="86" t="str">
        <f aca="false">IF($B94="","",'مسير أغسطس'!AB94)</f>
        <v/>
      </c>
      <c r="AB94" s="86" t="str">
        <f aca="false">IF($B94="","",'مسير سبتمبر'!AB94)</f>
        <v/>
      </c>
      <c r="AC94" s="86" t="str">
        <f aca="false">IF($B94="","",'مسير أكتوبر'!AB94)</f>
        <v/>
      </c>
      <c r="AD94" s="86" t="str">
        <f aca="false">IF($B94="","",'مسير نوفمبر'!AB94)</f>
        <v/>
      </c>
      <c r="AE94" s="86" t="str">
        <f aca="false">IF($B94="","",'مسير ديسمبر'!AB94)</f>
        <v/>
      </c>
      <c r="AF94" s="123" t="str">
        <f aca="false">IF($B94="","",IF(1&lt;=cfg_VAL_M,'مسير يناير'!AB94,0)+IF(2&lt;=cfg_VAL_M,'مسير فبراير'!AB94,0)+IF(3&lt;=cfg_VAL_M,'مسير مارس'!AB94,0)+IF(4&lt;=cfg_VAL_M,'مسير أبريل'!AB94,0)+IF(5&lt;=cfg_VAL_M,'مسير مايو'!AB94,0)+IF(6&lt;=cfg_VAL_M,'مسير يونيو'!AB94,0)+IF(7&lt;=cfg_VAL_M,'مسير يوليو'!AB94,0)+IF(8&lt;=cfg_VAL_M,'مسير أغسطس'!AB94,0)+IF(9&lt;=cfg_VAL_M,'مسير سبتمبر'!AB94,0)+IF(10&lt;=cfg_VAL_M,'مسير أكتوبر'!AB94,0)+IF(11&lt;=cfg_VAL_M,'مسير نوفمبر'!AB94,0)+IF(12&lt;=cfg_VAL_M,'مسير ديسمبر'!AB94,0))</f>
        <v/>
      </c>
      <c r="AG94" s="123" t="str">
        <f aca="false">IF($B94="","",IF(1&lt;=cfg_VAL_M,'مسير يناير'!W94,0)+IF(2&lt;=cfg_VAL_M,'مسير فبراير'!W94,0)+IF(3&lt;=cfg_VAL_M,'مسير مارس'!W94,0)+IF(4&lt;=cfg_VAL_M,'مسير أبريل'!W94,0)+IF(5&lt;=cfg_VAL_M,'مسير مايو'!W94,0)+IF(6&lt;=cfg_VAL_M,'مسير يونيو'!W94,0)+IF(7&lt;=cfg_VAL_M,'مسير يوليو'!W94,0)+IF(8&lt;=cfg_VAL_M,'مسير أغسطس'!W94,0)+IF(9&lt;=cfg_VAL_M,'مسير سبتمبر'!W94,0)+IF(10&lt;=cfg_VAL_M,'مسير أكتوبر'!W94,0)+IF(11&lt;=cfg_VAL_M,'مسير نوفمبر'!W94,0)+IF(12&lt;=cfg_VAL_M,'مسير ديسمبر'!W94,0))</f>
        <v/>
      </c>
      <c r="AH94" s="86" t="str">
        <f aca="false">IF($B94="","",AF94/cfg_VAL_M)</f>
        <v/>
      </c>
    </row>
    <row r="95" customFormat="false" ht="15" hidden="false" customHeight="false" outlineLevel="0" collapsed="false">
      <c r="B95" s="91" t="str">
        <f aca="false">IF(الموظفون!$B95="","",الموظفون!$B95)</f>
        <v/>
      </c>
      <c r="C95" s="91" t="str">
        <f aca="false">IF(الموظفون!$B95="","",الموظفون!$C95)</f>
        <v/>
      </c>
      <c r="D95" s="91" t="str">
        <f aca="false">IF(الموظفون!$B95="","",الموظفون!$F95)</f>
        <v/>
      </c>
      <c r="E95" s="91" t="str">
        <f aca="false">IF(الموظفون!$B95="","",الموظفون!$E95)</f>
        <v/>
      </c>
      <c r="F95" s="90" t="str">
        <f aca="false">IF($B95="","",'مسير يناير'!R95)</f>
        <v/>
      </c>
      <c r="G95" s="90" t="str">
        <f aca="false">IF($B95="","",'مسير فبراير'!R95)</f>
        <v/>
      </c>
      <c r="H95" s="90" t="str">
        <f aca="false">IF($B95="","",'مسير مارس'!R95)</f>
        <v/>
      </c>
      <c r="I95" s="90" t="str">
        <f aca="false">IF($B95="","",'مسير أبريل'!R95)</f>
        <v/>
      </c>
      <c r="J95" s="90" t="str">
        <f aca="false">IF($B95="","",'مسير مايو'!R95)</f>
        <v/>
      </c>
      <c r="K95" s="90" t="str">
        <f aca="false">IF($B95="","",'مسير يونيو'!R95)</f>
        <v/>
      </c>
      <c r="L95" s="90" t="str">
        <f aca="false">IF($B95="","",'مسير يوليو'!R95)</f>
        <v/>
      </c>
      <c r="M95" s="90" t="str">
        <f aca="false">IF($B95="","",'مسير أغسطس'!R95)</f>
        <v/>
      </c>
      <c r="N95" s="90" t="str">
        <f aca="false">IF($B95="","",'مسير سبتمبر'!R95)</f>
        <v/>
      </c>
      <c r="O95" s="90" t="str">
        <f aca="false">IF($B95="","",'مسير أكتوبر'!R95)</f>
        <v/>
      </c>
      <c r="P95" s="90" t="str">
        <f aca="false">IF($B95="","",'مسير نوفمبر'!R95)</f>
        <v/>
      </c>
      <c r="Q95" s="90" t="str">
        <f aca="false">IF($B95="","",'مسير ديسمبر'!R95)</f>
        <v/>
      </c>
      <c r="R95" s="124" t="str">
        <f aca="false">IF($B95="","",IF(1&lt;=cfg_VAL_M,'مسير يناير'!R95,0)+IF(2&lt;=cfg_VAL_M,'مسير فبراير'!R95,0)+IF(3&lt;=cfg_VAL_M,'مسير مارس'!R95,0)+IF(4&lt;=cfg_VAL_M,'مسير أبريل'!R95,0)+IF(5&lt;=cfg_VAL_M,'مسير مايو'!R95,0)+IF(6&lt;=cfg_VAL_M,'مسير يونيو'!R95,0)+IF(7&lt;=cfg_VAL_M,'مسير يوليو'!R95,0)+IF(8&lt;=cfg_VAL_M,'مسير أغسطس'!R95,0)+IF(9&lt;=cfg_VAL_M,'مسير سبتمبر'!R95,0)+IF(10&lt;=cfg_VAL_M,'مسير أكتوبر'!R95,0)+IF(11&lt;=cfg_VAL_M,'مسير نوفمبر'!R95,0)+IF(12&lt;=cfg_VAL_M,'مسير ديسمبر'!R95,0))</f>
        <v/>
      </c>
      <c r="T95" s="90" t="str">
        <f aca="false">IF($B95="","",'مسير يناير'!AB95)</f>
        <v/>
      </c>
      <c r="U95" s="90" t="str">
        <f aca="false">IF($B95="","",'مسير فبراير'!AB95)</f>
        <v/>
      </c>
      <c r="V95" s="90" t="str">
        <f aca="false">IF($B95="","",'مسير مارس'!AB95)</f>
        <v/>
      </c>
      <c r="W95" s="90" t="str">
        <f aca="false">IF($B95="","",'مسير أبريل'!AB95)</f>
        <v/>
      </c>
      <c r="X95" s="90" t="str">
        <f aca="false">IF($B95="","",'مسير مايو'!AB95)</f>
        <v/>
      </c>
      <c r="Y95" s="90" t="str">
        <f aca="false">IF($B95="","",'مسير يونيو'!AB95)</f>
        <v/>
      </c>
      <c r="Z95" s="90" t="str">
        <f aca="false">IF($B95="","",'مسير يوليو'!AB95)</f>
        <v/>
      </c>
      <c r="AA95" s="90" t="str">
        <f aca="false">IF($B95="","",'مسير أغسطس'!AB95)</f>
        <v/>
      </c>
      <c r="AB95" s="90" t="str">
        <f aca="false">IF($B95="","",'مسير سبتمبر'!AB95)</f>
        <v/>
      </c>
      <c r="AC95" s="90" t="str">
        <f aca="false">IF($B95="","",'مسير أكتوبر'!AB95)</f>
        <v/>
      </c>
      <c r="AD95" s="90" t="str">
        <f aca="false">IF($B95="","",'مسير نوفمبر'!AB95)</f>
        <v/>
      </c>
      <c r="AE95" s="90" t="str">
        <f aca="false">IF($B95="","",'مسير ديسمبر'!AB95)</f>
        <v/>
      </c>
      <c r="AF95" s="124" t="str">
        <f aca="false">IF($B95="","",IF(1&lt;=cfg_VAL_M,'مسير يناير'!AB95,0)+IF(2&lt;=cfg_VAL_M,'مسير فبراير'!AB95,0)+IF(3&lt;=cfg_VAL_M,'مسير مارس'!AB95,0)+IF(4&lt;=cfg_VAL_M,'مسير أبريل'!AB95,0)+IF(5&lt;=cfg_VAL_M,'مسير مايو'!AB95,0)+IF(6&lt;=cfg_VAL_M,'مسير يونيو'!AB95,0)+IF(7&lt;=cfg_VAL_M,'مسير يوليو'!AB95,0)+IF(8&lt;=cfg_VAL_M,'مسير أغسطس'!AB95,0)+IF(9&lt;=cfg_VAL_M,'مسير سبتمبر'!AB95,0)+IF(10&lt;=cfg_VAL_M,'مسير أكتوبر'!AB95,0)+IF(11&lt;=cfg_VAL_M,'مسير نوفمبر'!AB95,0)+IF(12&lt;=cfg_VAL_M,'مسير ديسمبر'!AB95,0))</f>
        <v/>
      </c>
      <c r="AG95" s="124" t="str">
        <f aca="false">IF($B95="","",IF(1&lt;=cfg_VAL_M,'مسير يناير'!W95,0)+IF(2&lt;=cfg_VAL_M,'مسير فبراير'!W95,0)+IF(3&lt;=cfg_VAL_M,'مسير مارس'!W95,0)+IF(4&lt;=cfg_VAL_M,'مسير أبريل'!W95,0)+IF(5&lt;=cfg_VAL_M,'مسير مايو'!W95,0)+IF(6&lt;=cfg_VAL_M,'مسير يونيو'!W95,0)+IF(7&lt;=cfg_VAL_M,'مسير يوليو'!W95,0)+IF(8&lt;=cfg_VAL_M,'مسير أغسطس'!W95,0)+IF(9&lt;=cfg_VAL_M,'مسير سبتمبر'!W95,0)+IF(10&lt;=cfg_VAL_M,'مسير أكتوبر'!W95,0)+IF(11&lt;=cfg_VAL_M,'مسير نوفمبر'!W95,0)+IF(12&lt;=cfg_VAL_M,'مسير ديسمبر'!W95,0))</f>
        <v/>
      </c>
      <c r="AH95" s="90" t="str">
        <f aca="false">IF($B95="","",AF95/cfg_VAL_M)</f>
        <v/>
      </c>
    </row>
    <row r="96" customFormat="false" ht="15" hidden="false" customHeight="false" outlineLevel="0" collapsed="false">
      <c r="B96" s="74" t="str">
        <f aca="false">IF(الموظفون!$B96="","",الموظفون!$B96)</f>
        <v/>
      </c>
      <c r="C96" s="74" t="str">
        <f aca="false">IF(الموظفون!$B96="","",الموظفون!$C96)</f>
        <v/>
      </c>
      <c r="D96" s="74" t="str">
        <f aca="false">IF(الموظفون!$B96="","",الموظفون!$F96)</f>
        <v/>
      </c>
      <c r="E96" s="74" t="str">
        <f aca="false">IF(الموظفون!$B96="","",الموظفون!$E96)</f>
        <v/>
      </c>
      <c r="F96" s="86" t="str">
        <f aca="false">IF($B96="","",'مسير يناير'!R96)</f>
        <v/>
      </c>
      <c r="G96" s="86" t="str">
        <f aca="false">IF($B96="","",'مسير فبراير'!R96)</f>
        <v/>
      </c>
      <c r="H96" s="86" t="str">
        <f aca="false">IF($B96="","",'مسير مارس'!R96)</f>
        <v/>
      </c>
      <c r="I96" s="86" t="str">
        <f aca="false">IF($B96="","",'مسير أبريل'!R96)</f>
        <v/>
      </c>
      <c r="J96" s="86" t="str">
        <f aca="false">IF($B96="","",'مسير مايو'!R96)</f>
        <v/>
      </c>
      <c r="K96" s="86" t="str">
        <f aca="false">IF($B96="","",'مسير يونيو'!R96)</f>
        <v/>
      </c>
      <c r="L96" s="86" t="str">
        <f aca="false">IF($B96="","",'مسير يوليو'!R96)</f>
        <v/>
      </c>
      <c r="M96" s="86" t="str">
        <f aca="false">IF($B96="","",'مسير أغسطس'!R96)</f>
        <v/>
      </c>
      <c r="N96" s="86" t="str">
        <f aca="false">IF($B96="","",'مسير سبتمبر'!R96)</f>
        <v/>
      </c>
      <c r="O96" s="86" t="str">
        <f aca="false">IF($B96="","",'مسير أكتوبر'!R96)</f>
        <v/>
      </c>
      <c r="P96" s="86" t="str">
        <f aca="false">IF($B96="","",'مسير نوفمبر'!R96)</f>
        <v/>
      </c>
      <c r="Q96" s="86" t="str">
        <f aca="false">IF($B96="","",'مسير ديسمبر'!R96)</f>
        <v/>
      </c>
      <c r="R96" s="123" t="str">
        <f aca="false">IF($B96="","",IF(1&lt;=cfg_VAL_M,'مسير يناير'!R96,0)+IF(2&lt;=cfg_VAL_M,'مسير فبراير'!R96,0)+IF(3&lt;=cfg_VAL_M,'مسير مارس'!R96,0)+IF(4&lt;=cfg_VAL_M,'مسير أبريل'!R96,0)+IF(5&lt;=cfg_VAL_M,'مسير مايو'!R96,0)+IF(6&lt;=cfg_VAL_M,'مسير يونيو'!R96,0)+IF(7&lt;=cfg_VAL_M,'مسير يوليو'!R96,0)+IF(8&lt;=cfg_VAL_M,'مسير أغسطس'!R96,0)+IF(9&lt;=cfg_VAL_M,'مسير سبتمبر'!R96,0)+IF(10&lt;=cfg_VAL_M,'مسير أكتوبر'!R96,0)+IF(11&lt;=cfg_VAL_M,'مسير نوفمبر'!R96,0)+IF(12&lt;=cfg_VAL_M,'مسير ديسمبر'!R96,0))</f>
        <v/>
      </c>
      <c r="T96" s="86" t="str">
        <f aca="false">IF($B96="","",'مسير يناير'!AB96)</f>
        <v/>
      </c>
      <c r="U96" s="86" t="str">
        <f aca="false">IF($B96="","",'مسير فبراير'!AB96)</f>
        <v/>
      </c>
      <c r="V96" s="86" t="str">
        <f aca="false">IF($B96="","",'مسير مارس'!AB96)</f>
        <v/>
      </c>
      <c r="W96" s="86" t="str">
        <f aca="false">IF($B96="","",'مسير أبريل'!AB96)</f>
        <v/>
      </c>
      <c r="X96" s="86" t="str">
        <f aca="false">IF($B96="","",'مسير مايو'!AB96)</f>
        <v/>
      </c>
      <c r="Y96" s="86" t="str">
        <f aca="false">IF($B96="","",'مسير يونيو'!AB96)</f>
        <v/>
      </c>
      <c r="Z96" s="86" t="str">
        <f aca="false">IF($B96="","",'مسير يوليو'!AB96)</f>
        <v/>
      </c>
      <c r="AA96" s="86" t="str">
        <f aca="false">IF($B96="","",'مسير أغسطس'!AB96)</f>
        <v/>
      </c>
      <c r="AB96" s="86" t="str">
        <f aca="false">IF($B96="","",'مسير سبتمبر'!AB96)</f>
        <v/>
      </c>
      <c r="AC96" s="86" t="str">
        <f aca="false">IF($B96="","",'مسير أكتوبر'!AB96)</f>
        <v/>
      </c>
      <c r="AD96" s="86" t="str">
        <f aca="false">IF($B96="","",'مسير نوفمبر'!AB96)</f>
        <v/>
      </c>
      <c r="AE96" s="86" t="str">
        <f aca="false">IF($B96="","",'مسير ديسمبر'!AB96)</f>
        <v/>
      </c>
      <c r="AF96" s="123" t="str">
        <f aca="false">IF($B96="","",IF(1&lt;=cfg_VAL_M,'مسير يناير'!AB96,0)+IF(2&lt;=cfg_VAL_M,'مسير فبراير'!AB96,0)+IF(3&lt;=cfg_VAL_M,'مسير مارس'!AB96,0)+IF(4&lt;=cfg_VAL_M,'مسير أبريل'!AB96,0)+IF(5&lt;=cfg_VAL_M,'مسير مايو'!AB96,0)+IF(6&lt;=cfg_VAL_M,'مسير يونيو'!AB96,0)+IF(7&lt;=cfg_VAL_M,'مسير يوليو'!AB96,0)+IF(8&lt;=cfg_VAL_M,'مسير أغسطس'!AB96,0)+IF(9&lt;=cfg_VAL_M,'مسير سبتمبر'!AB96,0)+IF(10&lt;=cfg_VAL_M,'مسير أكتوبر'!AB96,0)+IF(11&lt;=cfg_VAL_M,'مسير نوفمبر'!AB96,0)+IF(12&lt;=cfg_VAL_M,'مسير ديسمبر'!AB96,0))</f>
        <v/>
      </c>
      <c r="AG96" s="123" t="str">
        <f aca="false">IF($B96="","",IF(1&lt;=cfg_VAL_M,'مسير يناير'!W96,0)+IF(2&lt;=cfg_VAL_M,'مسير فبراير'!W96,0)+IF(3&lt;=cfg_VAL_M,'مسير مارس'!W96,0)+IF(4&lt;=cfg_VAL_M,'مسير أبريل'!W96,0)+IF(5&lt;=cfg_VAL_M,'مسير مايو'!W96,0)+IF(6&lt;=cfg_VAL_M,'مسير يونيو'!W96,0)+IF(7&lt;=cfg_VAL_M,'مسير يوليو'!W96,0)+IF(8&lt;=cfg_VAL_M,'مسير أغسطس'!W96,0)+IF(9&lt;=cfg_VAL_M,'مسير سبتمبر'!W96,0)+IF(10&lt;=cfg_VAL_M,'مسير أكتوبر'!W96,0)+IF(11&lt;=cfg_VAL_M,'مسير نوفمبر'!W96,0)+IF(12&lt;=cfg_VAL_M,'مسير ديسمبر'!W96,0))</f>
        <v/>
      </c>
      <c r="AH96" s="86" t="str">
        <f aca="false">IF($B96="","",AF96/cfg_VAL_M)</f>
        <v/>
      </c>
    </row>
    <row r="97" customFormat="false" ht="15" hidden="false" customHeight="false" outlineLevel="0" collapsed="false">
      <c r="B97" s="91" t="str">
        <f aca="false">IF(الموظفون!$B97="","",الموظفون!$B97)</f>
        <v/>
      </c>
      <c r="C97" s="91" t="str">
        <f aca="false">IF(الموظفون!$B97="","",الموظفون!$C97)</f>
        <v/>
      </c>
      <c r="D97" s="91" t="str">
        <f aca="false">IF(الموظفون!$B97="","",الموظفون!$F97)</f>
        <v/>
      </c>
      <c r="E97" s="91" t="str">
        <f aca="false">IF(الموظفون!$B97="","",الموظفون!$E97)</f>
        <v/>
      </c>
      <c r="F97" s="90" t="str">
        <f aca="false">IF($B97="","",'مسير يناير'!R97)</f>
        <v/>
      </c>
      <c r="G97" s="90" t="str">
        <f aca="false">IF($B97="","",'مسير فبراير'!R97)</f>
        <v/>
      </c>
      <c r="H97" s="90" t="str">
        <f aca="false">IF($B97="","",'مسير مارس'!R97)</f>
        <v/>
      </c>
      <c r="I97" s="90" t="str">
        <f aca="false">IF($B97="","",'مسير أبريل'!R97)</f>
        <v/>
      </c>
      <c r="J97" s="90" t="str">
        <f aca="false">IF($B97="","",'مسير مايو'!R97)</f>
        <v/>
      </c>
      <c r="K97" s="90" t="str">
        <f aca="false">IF($B97="","",'مسير يونيو'!R97)</f>
        <v/>
      </c>
      <c r="L97" s="90" t="str">
        <f aca="false">IF($B97="","",'مسير يوليو'!R97)</f>
        <v/>
      </c>
      <c r="M97" s="90" t="str">
        <f aca="false">IF($B97="","",'مسير أغسطس'!R97)</f>
        <v/>
      </c>
      <c r="N97" s="90" t="str">
        <f aca="false">IF($B97="","",'مسير سبتمبر'!R97)</f>
        <v/>
      </c>
      <c r="O97" s="90" t="str">
        <f aca="false">IF($B97="","",'مسير أكتوبر'!R97)</f>
        <v/>
      </c>
      <c r="P97" s="90" t="str">
        <f aca="false">IF($B97="","",'مسير نوفمبر'!R97)</f>
        <v/>
      </c>
      <c r="Q97" s="90" t="str">
        <f aca="false">IF($B97="","",'مسير ديسمبر'!R97)</f>
        <v/>
      </c>
      <c r="R97" s="124" t="str">
        <f aca="false">IF($B97="","",IF(1&lt;=cfg_VAL_M,'مسير يناير'!R97,0)+IF(2&lt;=cfg_VAL_M,'مسير فبراير'!R97,0)+IF(3&lt;=cfg_VAL_M,'مسير مارس'!R97,0)+IF(4&lt;=cfg_VAL_M,'مسير أبريل'!R97,0)+IF(5&lt;=cfg_VAL_M,'مسير مايو'!R97,0)+IF(6&lt;=cfg_VAL_M,'مسير يونيو'!R97,0)+IF(7&lt;=cfg_VAL_M,'مسير يوليو'!R97,0)+IF(8&lt;=cfg_VAL_M,'مسير أغسطس'!R97,0)+IF(9&lt;=cfg_VAL_M,'مسير سبتمبر'!R97,0)+IF(10&lt;=cfg_VAL_M,'مسير أكتوبر'!R97,0)+IF(11&lt;=cfg_VAL_M,'مسير نوفمبر'!R97,0)+IF(12&lt;=cfg_VAL_M,'مسير ديسمبر'!R97,0))</f>
        <v/>
      </c>
      <c r="T97" s="90" t="str">
        <f aca="false">IF($B97="","",'مسير يناير'!AB97)</f>
        <v/>
      </c>
      <c r="U97" s="90" t="str">
        <f aca="false">IF($B97="","",'مسير فبراير'!AB97)</f>
        <v/>
      </c>
      <c r="V97" s="90" t="str">
        <f aca="false">IF($B97="","",'مسير مارس'!AB97)</f>
        <v/>
      </c>
      <c r="W97" s="90" t="str">
        <f aca="false">IF($B97="","",'مسير أبريل'!AB97)</f>
        <v/>
      </c>
      <c r="X97" s="90" t="str">
        <f aca="false">IF($B97="","",'مسير مايو'!AB97)</f>
        <v/>
      </c>
      <c r="Y97" s="90" t="str">
        <f aca="false">IF($B97="","",'مسير يونيو'!AB97)</f>
        <v/>
      </c>
      <c r="Z97" s="90" t="str">
        <f aca="false">IF($B97="","",'مسير يوليو'!AB97)</f>
        <v/>
      </c>
      <c r="AA97" s="90" t="str">
        <f aca="false">IF($B97="","",'مسير أغسطس'!AB97)</f>
        <v/>
      </c>
      <c r="AB97" s="90" t="str">
        <f aca="false">IF($B97="","",'مسير سبتمبر'!AB97)</f>
        <v/>
      </c>
      <c r="AC97" s="90" t="str">
        <f aca="false">IF($B97="","",'مسير أكتوبر'!AB97)</f>
        <v/>
      </c>
      <c r="AD97" s="90" t="str">
        <f aca="false">IF($B97="","",'مسير نوفمبر'!AB97)</f>
        <v/>
      </c>
      <c r="AE97" s="90" t="str">
        <f aca="false">IF($B97="","",'مسير ديسمبر'!AB97)</f>
        <v/>
      </c>
      <c r="AF97" s="124" t="str">
        <f aca="false">IF($B97="","",IF(1&lt;=cfg_VAL_M,'مسير يناير'!AB97,0)+IF(2&lt;=cfg_VAL_M,'مسير فبراير'!AB97,0)+IF(3&lt;=cfg_VAL_M,'مسير مارس'!AB97,0)+IF(4&lt;=cfg_VAL_M,'مسير أبريل'!AB97,0)+IF(5&lt;=cfg_VAL_M,'مسير مايو'!AB97,0)+IF(6&lt;=cfg_VAL_M,'مسير يونيو'!AB97,0)+IF(7&lt;=cfg_VAL_M,'مسير يوليو'!AB97,0)+IF(8&lt;=cfg_VAL_M,'مسير أغسطس'!AB97,0)+IF(9&lt;=cfg_VAL_M,'مسير سبتمبر'!AB97,0)+IF(10&lt;=cfg_VAL_M,'مسير أكتوبر'!AB97,0)+IF(11&lt;=cfg_VAL_M,'مسير نوفمبر'!AB97,0)+IF(12&lt;=cfg_VAL_M,'مسير ديسمبر'!AB97,0))</f>
        <v/>
      </c>
      <c r="AG97" s="124" t="str">
        <f aca="false">IF($B97="","",IF(1&lt;=cfg_VAL_M,'مسير يناير'!W97,0)+IF(2&lt;=cfg_VAL_M,'مسير فبراير'!W97,0)+IF(3&lt;=cfg_VAL_M,'مسير مارس'!W97,0)+IF(4&lt;=cfg_VAL_M,'مسير أبريل'!W97,0)+IF(5&lt;=cfg_VAL_M,'مسير مايو'!W97,0)+IF(6&lt;=cfg_VAL_M,'مسير يونيو'!W97,0)+IF(7&lt;=cfg_VAL_M,'مسير يوليو'!W97,0)+IF(8&lt;=cfg_VAL_M,'مسير أغسطس'!W97,0)+IF(9&lt;=cfg_VAL_M,'مسير سبتمبر'!W97,0)+IF(10&lt;=cfg_VAL_M,'مسير أكتوبر'!W97,0)+IF(11&lt;=cfg_VAL_M,'مسير نوفمبر'!W97,0)+IF(12&lt;=cfg_VAL_M,'مسير ديسمبر'!W97,0))</f>
        <v/>
      </c>
      <c r="AH97" s="90" t="str">
        <f aca="false">IF($B97="","",AF97/cfg_VAL_M)</f>
        <v/>
      </c>
    </row>
    <row r="98" customFormat="false" ht="15" hidden="false" customHeight="false" outlineLevel="0" collapsed="false">
      <c r="B98" s="74" t="str">
        <f aca="false">IF(الموظفون!$B98="","",الموظفون!$B98)</f>
        <v/>
      </c>
      <c r="C98" s="74" t="str">
        <f aca="false">IF(الموظفون!$B98="","",الموظفون!$C98)</f>
        <v/>
      </c>
      <c r="D98" s="74" t="str">
        <f aca="false">IF(الموظفون!$B98="","",الموظفون!$F98)</f>
        <v/>
      </c>
      <c r="E98" s="74" t="str">
        <f aca="false">IF(الموظفون!$B98="","",الموظفون!$E98)</f>
        <v/>
      </c>
      <c r="F98" s="86" t="str">
        <f aca="false">IF($B98="","",'مسير يناير'!R98)</f>
        <v/>
      </c>
      <c r="G98" s="86" t="str">
        <f aca="false">IF($B98="","",'مسير فبراير'!R98)</f>
        <v/>
      </c>
      <c r="H98" s="86" t="str">
        <f aca="false">IF($B98="","",'مسير مارس'!R98)</f>
        <v/>
      </c>
      <c r="I98" s="86" t="str">
        <f aca="false">IF($B98="","",'مسير أبريل'!R98)</f>
        <v/>
      </c>
      <c r="J98" s="86" t="str">
        <f aca="false">IF($B98="","",'مسير مايو'!R98)</f>
        <v/>
      </c>
      <c r="K98" s="86" t="str">
        <f aca="false">IF($B98="","",'مسير يونيو'!R98)</f>
        <v/>
      </c>
      <c r="L98" s="86" t="str">
        <f aca="false">IF($B98="","",'مسير يوليو'!R98)</f>
        <v/>
      </c>
      <c r="M98" s="86" t="str">
        <f aca="false">IF($B98="","",'مسير أغسطس'!R98)</f>
        <v/>
      </c>
      <c r="N98" s="86" t="str">
        <f aca="false">IF($B98="","",'مسير سبتمبر'!R98)</f>
        <v/>
      </c>
      <c r="O98" s="86" t="str">
        <f aca="false">IF($B98="","",'مسير أكتوبر'!R98)</f>
        <v/>
      </c>
      <c r="P98" s="86" t="str">
        <f aca="false">IF($B98="","",'مسير نوفمبر'!R98)</f>
        <v/>
      </c>
      <c r="Q98" s="86" t="str">
        <f aca="false">IF($B98="","",'مسير ديسمبر'!R98)</f>
        <v/>
      </c>
      <c r="R98" s="123" t="str">
        <f aca="false">IF($B98="","",IF(1&lt;=cfg_VAL_M,'مسير يناير'!R98,0)+IF(2&lt;=cfg_VAL_M,'مسير فبراير'!R98,0)+IF(3&lt;=cfg_VAL_M,'مسير مارس'!R98,0)+IF(4&lt;=cfg_VAL_M,'مسير أبريل'!R98,0)+IF(5&lt;=cfg_VAL_M,'مسير مايو'!R98,0)+IF(6&lt;=cfg_VAL_M,'مسير يونيو'!R98,0)+IF(7&lt;=cfg_VAL_M,'مسير يوليو'!R98,0)+IF(8&lt;=cfg_VAL_M,'مسير أغسطس'!R98,0)+IF(9&lt;=cfg_VAL_M,'مسير سبتمبر'!R98,0)+IF(10&lt;=cfg_VAL_M,'مسير أكتوبر'!R98,0)+IF(11&lt;=cfg_VAL_M,'مسير نوفمبر'!R98,0)+IF(12&lt;=cfg_VAL_M,'مسير ديسمبر'!R98,0))</f>
        <v/>
      </c>
      <c r="T98" s="86" t="str">
        <f aca="false">IF($B98="","",'مسير يناير'!AB98)</f>
        <v/>
      </c>
      <c r="U98" s="86" t="str">
        <f aca="false">IF($B98="","",'مسير فبراير'!AB98)</f>
        <v/>
      </c>
      <c r="V98" s="86" t="str">
        <f aca="false">IF($B98="","",'مسير مارس'!AB98)</f>
        <v/>
      </c>
      <c r="W98" s="86" t="str">
        <f aca="false">IF($B98="","",'مسير أبريل'!AB98)</f>
        <v/>
      </c>
      <c r="X98" s="86" t="str">
        <f aca="false">IF($B98="","",'مسير مايو'!AB98)</f>
        <v/>
      </c>
      <c r="Y98" s="86" t="str">
        <f aca="false">IF($B98="","",'مسير يونيو'!AB98)</f>
        <v/>
      </c>
      <c r="Z98" s="86" t="str">
        <f aca="false">IF($B98="","",'مسير يوليو'!AB98)</f>
        <v/>
      </c>
      <c r="AA98" s="86" t="str">
        <f aca="false">IF($B98="","",'مسير أغسطس'!AB98)</f>
        <v/>
      </c>
      <c r="AB98" s="86" t="str">
        <f aca="false">IF($B98="","",'مسير سبتمبر'!AB98)</f>
        <v/>
      </c>
      <c r="AC98" s="86" t="str">
        <f aca="false">IF($B98="","",'مسير أكتوبر'!AB98)</f>
        <v/>
      </c>
      <c r="AD98" s="86" t="str">
        <f aca="false">IF($B98="","",'مسير نوفمبر'!AB98)</f>
        <v/>
      </c>
      <c r="AE98" s="86" t="str">
        <f aca="false">IF($B98="","",'مسير ديسمبر'!AB98)</f>
        <v/>
      </c>
      <c r="AF98" s="123" t="str">
        <f aca="false">IF($B98="","",IF(1&lt;=cfg_VAL_M,'مسير يناير'!AB98,0)+IF(2&lt;=cfg_VAL_M,'مسير فبراير'!AB98,0)+IF(3&lt;=cfg_VAL_M,'مسير مارس'!AB98,0)+IF(4&lt;=cfg_VAL_M,'مسير أبريل'!AB98,0)+IF(5&lt;=cfg_VAL_M,'مسير مايو'!AB98,0)+IF(6&lt;=cfg_VAL_M,'مسير يونيو'!AB98,0)+IF(7&lt;=cfg_VAL_M,'مسير يوليو'!AB98,0)+IF(8&lt;=cfg_VAL_M,'مسير أغسطس'!AB98,0)+IF(9&lt;=cfg_VAL_M,'مسير سبتمبر'!AB98,0)+IF(10&lt;=cfg_VAL_M,'مسير أكتوبر'!AB98,0)+IF(11&lt;=cfg_VAL_M,'مسير نوفمبر'!AB98,0)+IF(12&lt;=cfg_VAL_M,'مسير ديسمبر'!AB98,0))</f>
        <v/>
      </c>
      <c r="AG98" s="123" t="str">
        <f aca="false">IF($B98="","",IF(1&lt;=cfg_VAL_M,'مسير يناير'!W98,0)+IF(2&lt;=cfg_VAL_M,'مسير فبراير'!W98,0)+IF(3&lt;=cfg_VAL_M,'مسير مارس'!W98,0)+IF(4&lt;=cfg_VAL_M,'مسير أبريل'!W98,0)+IF(5&lt;=cfg_VAL_M,'مسير مايو'!W98,0)+IF(6&lt;=cfg_VAL_M,'مسير يونيو'!W98,0)+IF(7&lt;=cfg_VAL_M,'مسير يوليو'!W98,0)+IF(8&lt;=cfg_VAL_M,'مسير أغسطس'!W98,0)+IF(9&lt;=cfg_VAL_M,'مسير سبتمبر'!W98,0)+IF(10&lt;=cfg_VAL_M,'مسير أكتوبر'!W98,0)+IF(11&lt;=cfg_VAL_M,'مسير نوفمبر'!W98,0)+IF(12&lt;=cfg_VAL_M,'مسير ديسمبر'!W98,0))</f>
        <v/>
      </c>
      <c r="AH98" s="86" t="str">
        <f aca="false">IF($B98="","",AF98/cfg_VAL_M)</f>
        <v/>
      </c>
    </row>
    <row r="99" customFormat="false" ht="15" hidden="false" customHeight="false" outlineLevel="0" collapsed="false">
      <c r="B99" s="91" t="str">
        <f aca="false">IF(الموظفون!$B99="","",الموظفون!$B99)</f>
        <v/>
      </c>
      <c r="C99" s="91" t="str">
        <f aca="false">IF(الموظفون!$B99="","",الموظفون!$C99)</f>
        <v/>
      </c>
      <c r="D99" s="91" t="str">
        <f aca="false">IF(الموظفون!$B99="","",الموظفون!$F99)</f>
        <v/>
      </c>
      <c r="E99" s="91" t="str">
        <f aca="false">IF(الموظفون!$B99="","",الموظفون!$E99)</f>
        <v/>
      </c>
      <c r="F99" s="90" t="str">
        <f aca="false">IF($B99="","",'مسير يناير'!R99)</f>
        <v/>
      </c>
      <c r="G99" s="90" t="str">
        <f aca="false">IF($B99="","",'مسير فبراير'!R99)</f>
        <v/>
      </c>
      <c r="H99" s="90" t="str">
        <f aca="false">IF($B99="","",'مسير مارس'!R99)</f>
        <v/>
      </c>
      <c r="I99" s="90" t="str">
        <f aca="false">IF($B99="","",'مسير أبريل'!R99)</f>
        <v/>
      </c>
      <c r="J99" s="90" t="str">
        <f aca="false">IF($B99="","",'مسير مايو'!R99)</f>
        <v/>
      </c>
      <c r="K99" s="90" t="str">
        <f aca="false">IF($B99="","",'مسير يونيو'!R99)</f>
        <v/>
      </c>
      <c r="L99" s="90" t="str">
        <f aca="false">IF($B99="","",'مسير يوليو'!R99)</f>
        <v/>
      </c>
      <c r="M99" s="90" t="str">
        <f aca="false">IF($B99="","",'مسير أغسطس'!R99)</f>
        <v/>
      </c>
      <c r="N99" s="90" t="str">
        <f aca="false">IF($B99="","",'مسير سبتمبر'!R99)</f>
        <v/>
      </c>
      <c r="O99" s="90" t="str">
        <f aca="false">IF($B99="","",'مسير أكتوبر'!R99)</f>
        <v/>
      </c>
      <c r="P99" s="90" t="str">
        <f aca="false">IF($B99="","",'مسير نوفمبر'!R99)</f>
        <v/>
      </c>
      <c r="Q99" s="90" t="str">
        <f aca="false">IF($B99="","",'مسير ديسمبر'!R99)</f>
        <v/>
      </c>
      <c r="R99" s="124" t="str">
        <f aca="false">IF($B99="","",IF(1&lt;=cfg_VAL_M,'مسير يناير'!R99,0)+IF(2&lt;=cfg_VAL_M,'مسير فبراير'!R99,0)+IF(3&lt;=cfg_VAL_M,'مسير مارس'!R99,0)+IF(4&lt;=cfg_VAL_M,'مسير أبريل'!R99,0)+IF(5&lt;=cfg_VAL_M,'مسير مايو'!R99,0)+IF(6&lt;=cfg_VAL_M,'مسير يونيو'!R99,0)+IF(7&lt;=cfg_VAL_M,'مسير يوليو'!R99,0)+IF(8&lt;=cfg_VAL_M,'مسير أغسطس'!R99,0)+IF(9&lt;=cfg_VAL_M,'مسير سبتمبر'!R99,0)+IF(10&lt;=cfg_VAL_M,'مسير أكتوبر'!R99,0)+IF(11&lt;=cfg_VAL_M,'مسير نوفمبر'!R99,0)+IF(12&lt;=cfg_VAL_M,'مسير ديسمبر'!R99,0))</f>
        <v/>
      </c>
      <c r="T99" s="90" t="str">
        <f aca="false">IF($B99="","",'مسير يناير'!AB99)</f>
        <v/>
      </c>
      <c r="U99" s="90" t="str">
        <f aca="false">IF($B99="","",'مسير فبراير'!AB99)</f>
        <v/>
      </c>
      <c r="V99" s="90" t="str">
        <f aca="false">IF($B99="","",'مسير مارس'!AB99)</f>
        <v/>
      </c>
      <c r="W99" s="90" t="str">
        <f aca="false">IF($B99="","",'مسير أبريل'!AB99)</f>
        <v/>
      </c>
      <c r="X99" s="90" t="str">
        <f aca="false">IF($B99="","",'مسير مايو'!AB99)</f>
        <v/>
      </c>
      <c r="Y99" s="90" t="str">
        <f aca="false">IF($B99="","",'مسير يونيو'!AB99)</f>
        <v/>
      </c>
      <c r="Z99" s="90" t="str">
        <f aca="false">IF($B99="","",'مسير يوليو'!AB99)</f>
        <v/>
      </c>
      <c r="AA99" s="90" t="str">
        <f aca="false">IF($B99="","",'مسير أغسطس'!AB99)</f>
        <v/>
      </c>
      <c r="AB99" s="90" t="str">
        <f aca="false">IF($B99="","",'مسير سبتمبر'!AB99)</f>
        <v/>
      </c>
      <c r="AC99" s="90" t="str">
        <f aca="false">IF($B99="","",'مسير أكتوبر'!AB99)</f>
        <v/>
      </c>
      <c r="AD99" s="90" t="str">
        <f aca="false">IF($B99="","",'مسير نوفمبر'!AB99)</f>
        <v/>
      </c>
      <c r="AE99" s="90" t="str">
        <f aca="false">IF($B99="","",'مسير ديسمبر'!AB99)</f>
        <v/>
      </c>
      <c r="AF99" s="124" t="str">
        <f aca="false">IF($B99="","",IF(1&lt;=cfg_VAL_M,'مسير يناير'!AB99,0)+IF(2&lt;=cfg_VAL_M,'مسير فبراير'!AB99,0)+IF(3&lt;=cfg_VAL_M,'مسير مارس'!AB99,0)+IF(4&lt;=cfg_VAL_M,'مسير أبريل'!AB99,0)+IF(5&lt;=cfg_VAL_M,'مسير مايو'!AB99,0)+IF(6&lt;=cfg_VAL_M,'مسير يونيو'!AB99,0)+IF(7&lt;=cfg_VAL_M,'مسير يوليو'!AB99,0)+IF(8&lt;=cfg_VAL_M,'مسير أغسطس'!AB99,0)+IF(9&lt;=cfg_VAL_M,'مسير سبتمبر'!AB99,0)+IF(10&lt;=cfg_VAL_M,'مسير أكتوبر'!AB99,0)+IF(11&lt;=cfg_VAL_M,'مسير نوفمبر'!AB99,0)+IF(12&lt;=cfg_VAL_M,'مسير ديسمبر'!AB99,0))</f>
        <v/>
      </c>
      <c r="AG99" s="124" t="str">
        <f aca="false">IF($B99="","",IF(1&lt;=cfg_VAL_M,'مسير يناير'!W99,0)+IF(2&lt;=cfg_VAL_M,'مسير فبراير'!W99,0)+IF(3&lt;=cfg_VAL_M,'مسير مارس'!W99,0)+IF(4&lt;=cfg_VAL_M,'مسير أبريل'!W99,0)+IF(5&lt;=cfg_VAL_M,'مسير مايو'!W99,0)+IF(6&lt;=cfg_VAL_M,'مسير يونيو'!W99,0)+IF(7&lt;=cfg_VAL_M,'مسير يوليو'!W99,0)+IF(8&lt;=cfg_VAL_M,'مسير أغسطس'!W99,0)+IF(9&lt;=cfg_VAL_M,'مسير سبتمبر'!W99,0)+IF(10&lt;=cfg_VAL_M,'مسير أكتوبر'!W99,0)+IF(11&lt;=cfg_VAL_M,'مسير نوفمبر'!W99,0)+IF(12&lt;=cfg_VAL_M,'مسير ديسمبر'!W99,0))</f>
        <v/>
      </c>
      <c r="AH99" s="90" t="str">
        <f aca="false">IF($B99="","",AF99/cfg_VAL_M)</f>
        <v/>
      </c>
    </row>
    <row r="100" customFormat="false" ht="15" hidden="false" customHeight="false" outlineLevel="0" collapsed="false">
      <c r="B100" s="74" t="str">
        <f aca="false">IF(الموظفون!$B100="","",الموظفون!$B100)</f>
        <v/>
      </c>
      <c r="C100" s="74" t="str">
        <f aca="false">IF(الموظفون!$B100="","",الموظفون!$C100)</f>
        <v/>
      </c>
      <c r="D100" s="74" t="str">
        <f aca="false">IF(الموظفون!$B100="","",الموظفون!$F100)</f>
        <v/>
      </c>
      <c r="E100" s="74" t="str">
        <f aca="false">IF(الموظفون!$B100="","",الموظفون!$E100)</f>
        <v/>
      </c>
      <c r="F100" s="86" t="str">
        <f aca="false">IF($B100="","",'مسير يناير'!R100)</f>
        <v/>
      </c>
      <c r="G100" s="86" t="str">
        <f aca="false">IF($B100="","",'مسير فبراير'!R100)</f>
        <v/>
      </c>
      <c r="H100" s="86" t="str">
        <f aca="false">IF($B100="","",'مسير مارس'!R100)</f>
        <v/>
      </c>
      <c r="I100" s="86" t="str">
        <f aca="false">IF($B100="","",'مسير أبريل'!R100)</f>
        <v/>
      </c>
      <c r="J100" s="86" t="str">
        <f aca="false">IF($B100="","",'مسير مايو'!R100)</f>
        <v/>
      </c>
      <c r="K100" s="86" t="str">
        <f aca="false">IF($B100="","",'مسير يونيو'!R100)</f>
        <v/>
      </c>
      <c r="L100" s="86" t="str">
        <f aca="false">IF($B100="","",'مسير يوليو'!R100)</f>
        <v/>
      </c>
      <c r="M100" s="86" t="str">
        <f aca="false">IF($B100="","",'مسير أغسطس'!R100)</f>
        <v/>
      </c>
      <c r="N100" s="86" t="str">
        <f aca="false">IF($B100="","",'مسير سبتمبر'!R100)</f>
        <v/>
      </c>
      <c r="O100" s="86" t="str">
        <f aca="false">IF($B100="","",'مسير أكتوبر'!R100)</f>
        <v/>
      </c>
      <c r="P100" s="86" t="str">
        <f aca="false">IF($B100="","",'مسير نوفمبر'!R100)</f>
        <v/>
      </c>
      <c r="Q100" s="86" t="str">
        <f aca="false">IF($B100="","",'مسير ديسمبر'!R100)</f>
        <v/>
      </c>
      <c r="R100" s="123" t="str">
        <f aca="false">IF($B100="","",IF(1&lt;=cfg_VAL_M,'مسير يناير'!R100,0)+IF(2&lt;=cfg_VAL_M,'مسير فبراير'!R100,0)+IF(3&lt;=cfg_VAL_M,'مسير مارس'!R100,0)+IF(4&lt;=cfg_VAL_M,'مسير أبريل'!R100,0)+IF(5&lt;=cfg_VAL_M,'مسير مايو'!R100,0)+IF(6&lt;=cfg_VAL_M,'مسير يونيو'!R100,0)+IF(7&lt;=cfg_VAL_M,'مسير يوليو'!R100,0)+IF(8&lt;=cfg_VAL_M,'مسير أغسطس'!R100,0)+IF(9&lt;=cfg_VAL_M,'مسير سبتمبر'!R100,0)+IF(10&lt;=cfg_VAL_M,'مسير أكتوبر'!R100,0)+IF(11&lt;=cfg_VAL_M,'مسير نوفمبر'!R100,0)+IF(12&lt;=cfg_VAL_M,'مسير ديسمبر'!R100,0))</f>
        <v/>
      </c>
      <c r="T100" s="86" t="str">
        <f aca="false">IF($B100="","",'مسير يناير'!AB100)</f>
        <v/>
      </c>
      <c r="U100" s="86" t="str">
        <f aca="false">IF($B100="","",'مسير فبراير'!AB100)</f>
        <v/>
      </c>
      <c r="V100" s="86" t="str">
        <f aca="false">IF($B100="","",'مسير مارس'!AB100)</f>
        <v/>
      </c>
      <c r="W100" s="86" t="str">
        <f aca="false">IF($B100="","",'مسير أبريل'!AB100)</f>
        <v/>
      </c>
      <c r="X100" s="86" t="str">
        <f aca="false">IF($B100="","",'مسير مايو'!AB100)</f>
        <v/>
      </c>
      <c r="Y100" s="86" t="str">
        <f aca="false">IF($B100="","",'مسير يونيو'!AB100)</f>
        <v/>
      </c>
      <c r="Z100" s="86" t="str">
        <f aca="false">IF($B100="","",'مسير يوليو'!AB100)</f>
        <v/>
      </c>
      <c r="AA100" s="86" t="str">
        <f aca="false">IF($B100="","",'مسير أغسطس'!AB100)</f>
        <v/>
      </c>
      <c r="AB100" s="86" t="str">
        <f aca="false">IF($B100="","",'مسير سبتمبر'!AB100)</f>
        <v/>
      </c>
      <c r="AC100" s="86" t="str">
        <f aca="false">IF($B100="","",'مسير أكتوبر'!AB100)</f>
        <v/>
      </c>
      <c r="AD100" s="86" t="str">
        <f aca="false">IF($B100="","",'مسير نوفمبر'!AB100)</f>
        <v/>
      </c>
      <c r="AE100" s="86" t="str">
        <f aca="false">IF($B100="","",'مسير ديسمبر'!AB100)</f>
        <v/>
      </c>
      <c r="AF100" s="123" t="str">
        <f aca="false">IF($B100="","",IF(1&lt;=cfg_VAL_M,'مسير يناير'!AB100,0)+IF(2&lt;=cfg_VAL_M,'مسير فبراير'!AB100,0)+IF(3&lt;=cfg_VAL_M,'مسير مارس'!AB100,0)+IF(4&lt;=cfg_VAL_M,'مسير أبريل'!AB100,0)+IF(5&lt;=cfg_VAL_M,'مسير مايو'!AB100,0)+IF(6&lt;=cfg_VAL_M,'مسير يونيو'!AB100,0)+IF(7&lt;=cfg_VAL_M,'مسير يوليو'!AB100,0)+IF(8&lt;=cfg_VAL_M,'مسير أغسطس'!AB100,0)+IF(9&lt;=cfg_VAL_M,'مسير سبتمبر'!AB100,0)+IF(10&lt;=cfg_VAL_M,'مسير أكتوبر'!AB100,0)+IF(11&lt;=cfg_VAL_M,'مسير نوفمبر'!AB100,0)+IF(12&lt;=cfg_VAL_M,'مسير ديسمبر'!AB100,0))</f>
        <v/>
      </c>
      <c r="AG100" s="123" t="str">
        <f aca="false">IF($B100="","",IF(1&lt;=cfg_VAL_M,'مسير يناير'!W100,0)+IF(2&lt;=cfg_VAL_M,'مسير فبراير'!W100,0)+IF(3&lt;=cfg_VAL_M,'مسير مارس'!W100,0)+IF(4&lt;=cfg_VAL_M,'مسير أبريل'!W100,0)+IF(5&lt;=cfg_VAL_M,'مسير مايو'!W100,0)+IF(6&lt;=cfg_VAL_M,'مسير يونيو'!W100,0)+IF(7&lt;=cfg_VAL_M,'مسير يوليو'!W100,0)+IF(8&lt;=cfg_VAL_M,'مسير أغسطس'!W100,0)+IF(9&lt;=cfg_VAL_M,'مسير سبتمبر'!W100,0)+IF(10&lt;=cfg_VAL_M,'مسير أكتوبر'!W100,0)+IF(11&lt;=cfg_VAL_M,'مسير نوفمبر'!W100,0)+IF(12&lt;=cfg_VAL_M,'مسير ديسمبر'!W100,0))</f>
        <v/>
      </c>
      <c r="AH100" s="86" t="str">
        <f aca="false">IF($B100="","",AF100/cfg_VAL_M)</f>
        <v/>
      </c>
    </row>
    <row r="101" customFormat="false" ht="15" hidden="false" customHeight="false" outlineLevel="0" collapsed="false">
      <c r="B101" s="91" t="str">
        <f aca="false">IF(الموظفون!$B101="","",الموظفون!$B101)</f>
        <v/>
      </c>
      <c r="C101" s="91" t="str">
        <f aca="false">IF(الموظفون!$B101="","",الموظفون!$C101)</f>
        <v/>
      </c>
      <c r="D101" s="91" t="str">
        <f aca="false">IF(الموظفون!$B101="","",الموظفون!$F101)</f>
        <v/>
      </c>
      <c r="E101" s="91" t="str">
        <f aca="false">IF(الموظفون!$B101="","",الموظفون!$E101)</f>
        <v/>
      </c>
      <c r="F101" s="90" t="str">
        <f aca="false">IF($B101="","",'مسير يناير'!R101)</f>
        <v/>
      </c>
      <c r="G101" s="90" t="str">
        <f aca="false">IF($B101="","",'مسير فبراير'!R101)</f>
        <v/>
      </c>
      <c r="H101" s="90" t="str">
        <f aca="false">IF($B101="","",'مسير مارس'!R101)</f>
        <v/>
      </c>
      <c r="I101" s="90" t="str">
        <f aca="false">IF($B101="","",'مسير أبريل'!R101)</f>
        <v/>
      </c>
      <c r="J101" s="90" t="str">
        <f aca="false">IF($B101="","",'مسير مايو'!R101)</f>
        <v/>
      </c>
      <c r="K101" s="90" t="str">
        <f aca="false">IF($B101="","",'مسير يونيو'!R101)</f>
        <v/>
      </c>
      <c r="L101" s="90" t="str">
        <f aca="false">IF($B101="","",'مسير يوليو'!R101)</f>
        <v/>
      </c>
      <c r="M101" s="90" t="str">
        <f aca="false">IF($B101="","",'مسير أغسطس'!R101)</f>
        <v/>
      </c>
      <c r="N101" s="90" t="str">
        <f aca="false">IF($B101="","",'مسير سبتمبر'!R101)</f>
        <v/>
      </c>
      <c r="O101" s="90" t="str">
        <f aca="false">IF($B101="","",'مسير أكتوبر'!R101)</f>
        <v/>
      </c>
      <c r="P101" s="90" t="str">
        <f aca="false">IF($B101="","",'مسير نوفمبر'!R101)</f>
        <v/>
      </c>
      <c r="Q101" s="90" t="str">
        <f aca="false">IF($B101="","",'مسير ديسمبر'!R101)</f>
        <v/>
      </c>
      <c r="R101" s="124" t="str">
        <f aca="false">IF($B101="","",IF(1&lt;=cfg_VAL_M,'مسير يناير'!R101,0)+IF(2&lt;=cfg_VAL_M,'مسير فبراير'!R101,0)+IF(3&lt;=cfg_VAL_M,'مسير مارس'!R101,0)+IF(4&lt;=cfg_VAL_M,'مسير أبريل'!R101,0)+IF(5&lt;=cfg_VAL_M,'مسير مايو'!R101,0)+IF(6&lt;=cfg_VAL_M,'مسير يونيو'!R101,0)+IF(7&lt;=cfg_VAL_M,'مسير يوليو'!R101,0)+IF(8&lt;=cfg_VAL_M,'مسير أغسطس'!R101,0)+IF(9&lt;=cfg_VAL_M,'مسير سبتمبر'!R101,0)+IF(10&lt;=cfg_VAL_M,'مسير أكتوبر'!R101,0)+IF(11&lt;=cfg_VAL_M,'مسير نوفمبر'!R101,0)+IF(12&lt;=cfg_VAL_M,'مسير ديسمبر'!R101,0))</f>
        <v/>
      </c>
      <c r="T101" s="90" t="str">
        <f aca="false">IF($B101="","",'مسير يناير'!AB101)</f>
        <v/>
      </c>
      <c r="U101" s="90" t="str">
        <f aca="false">IF($B101="","",'مسير فبراير'!AB101)</f>
        <v/>
      </c>
      <c r="V101" s="90" t="str">
        <f aca="false">IF($B101="","",'مسير مارس'!AB101)</f>
        <v/>
      </c>
      <c r="W101" s="90" t="str">
        <f aca="false">IF($B101="","",'مسير أبريل'!AB101)</f>
        <v/>
      </c>
      <c r="X101" s="90" t="str">
        <f aca="false">IF($B101="","",'مسير مايو'!AB101)</f>
        <v/>
      </c>
      <c r="Y101" s="90" t="str">
        <f aca="false">IF($B101="","",'مسير يونيو'!AB101)</f>
        <v/>
      </c>
      <c r="Z101" s="90" t="str">
        <f aca="false">IF($B101="","",'مسير يوليو'!AB101)</f>
        <v/>
      </c>
      <c r="AA101" s="90" t="str">
        <f aca="false">IF($B101="","",'مسير أغسطس'!AB101)</f>
        <v/>
      </c>
      <c r="AB101" s="90" t="str">
        <f aca="false">IF($B101="","",'مسير سبتمبر'!AB101)</f>
        <v/>
      </c>
      <c r="AC101" s="90" t="str">
        <f aca="false">IF($B101="","",'مسير أكتوبر'!AB101)</f>
        <v/>
      </c>
      <c r="AD101" s="90" t="str">
        <f aca="false">IF($B101="","",'مسير نوفمبر'!AB101)</f>
        <v/>
      </c>
      <c r="AE101" s="90" t="str">
        <f aca="false">IF($B101="","",'مسير ديسمبر'!AB101)</f>
        <v/>
      </c>
      <c r="AF101" s="124" t="str">
        <f aca="false">IF($B101="","",IF(1&lt;=cfg_VAL_M,'مسير يناير'!AB101,0)+IF(2&lt;=cfg_VAL_M,'مسير فبراير'!AB101,0)+IF(3&lt;=cfg_VAL_M,'مسير مارس'!AB101,0)+IF(4&lt;=cfg_VAL_M,'مسير أبريل'!AB101,0)+IF(5&lt;=cfg_VAL_M,'مسير مايو'!AB101,0)+IF(6&lt;=cfg_VAL_M,'مسير يونيو'!AB101,0)+IF(7&lt;=cfg_VAL_M,'مسير يوليو'!AB101,0)+IF(8&lt;=cfg_VAL_M,'مسير أغسطس'!AB101,0)+IF(9&lt;=cfg_VAL_M,'مسير سبتمبر'!AB101,0)+IF(10&lt;=cfg_VAL_M,'مسير أكتوبر'!AB101,0)+IF(11&lt;=cfg_VAL_M,'مسير نوفمبر'!AB101,0)+IF(12&lt;=cfg_VAL_M,'مسير ديسمبر'!AB101,0))</f>
        <v/>
      </c>
      <c r="AG101" s="124" t="str">
        <f aca="false">IF($B101="","",IF(1&lt;=cfg_VAL_M,'مسير يناير'!W101,0)+IF(2&lt;=cfg_VAL_M,'مسير فبراير'!W101,0)+IF(3&lt;=cfg_VAL_M,'مسير مارس'!W101,0)+IF(4&lt;=cfg_VAL_M,'مسير أبريل'!W101,0)+IF(5&lt;=cfg_VAL_M,'مسير مايو'!W101,0)+IF(6&lt;=cfg_VAL_M,'مسير يونيو'!W101,0)+IF(7&lt;=cfg_VAL_M,'مسير يوليو'!W101,0)+IF(8&lt;=cfg_VAL_M,'مسير أغسطس'!W101,0)+IF(9&lt;=cfg_VAL_M,'مسير سبتمبر'!W101,0)+IF(10&lt;=cfg_VAL_M,'مسير أكتوبر'!W101,0)+IF(11&lt;=cfg_VAL_M,'مسير نوفمبر'!W101,0)+IF(12&lt;=cfg_VAL_M,'مسير ديسمبر'!W101,0))</f>
        <v/>
      </c>
      <c r="AH101" s="90" t="str">
        <f aca="false">IF($B101="","",AF101/cfg_VAL_M)</f>
        <v/>
      </c>
    </row>
    <row r="102" customFormat="false" ht="15" hidden="false" customHeight="false" outlineLevel="0" collapsed="false">
      <c r="B102" s="74" t="str">
        <f aca="false">IF(الموظفون!$B102="","",الموظفون!$B102)</f>
        <v/>
      </c>
      <c r="C102" s="74" t="str">
        <f aca="false">IF(الموظفون!$B102="","",الموظفون!$C102)</f>
        <v/>
      </c>
      <c r="D102" s="74" t="str">
        <f aca="false">IF(الموظفون!$B102="","",الموظفون!$F102)</f>
        <v/>
      </c>
      <c r="E102" s="74" t="str">
        <f aca="false">IF(الموظفون!$B102="","",الموظفون!$E102)</f>
        <v/>
      </c>
      <c r="F102" s="86" t="str">
        <f aca="false">IF($B102="","",'مسير يناير'!R102)</f>
        <v/>
      </c>
      <c r="G102" s="86" t="str">
        <f aca="false">IF($B102="","",'مسير فبراير'!R102)</f>
        <v/>
      </c>
      <c r="H102" s="86" t="str">
        <f aca="false">IF($B102="","",'مسير مارس'!R102)</f>
        <v/>
      </c>
      <c r="I102" s="86" t="str">
        <f aca="false">IF($B102="","",'مسير أبريل'!R102)</f>
        <v/>
      </c>
      <c r="J102" s="86" t="str">
        <f aca="false">IF($B102="","",'مسير مايو'!R102)</f>
        <v/>
      </c>
      <c r="K102" s="86" t="str">
        <f aca="false">IF($B102="","",'مسير يونيو'!R102)</f>
        <v/>
      </c>
      <c r="L102" s="86" t="str">
        <f aca="false">IF($B102="","",'مسير يوليو'!R102)</f>
        <v/>
      </c>
      <c r="M102" s="86" t="str">
        <f aca="false">IF($B102="","",'مسير أغسطس'!R102)</f>
        <v/>
      </c>
      <c r="N102" s="86" t="str">
        <f aca="false">IF($B102="","",'مسير سبتمبر'!R102)</f>
        <v/>
      </c>
      <c r="O102" s="86" t="str">
        <f aca="false">IF($B102="","",'مسير أكتوبر'!R102)</f>
        <v/>
      </c>
      <c r="P102" s="86" t="str">
        <f aca="false">IF($B102="","",'مسير نوفمبر'!R102)</f>
        <v/>
      </c>
      <c r="Q102" s="86" t="str">
        <f aca="false">IF($B102="","",'مسير ديسمبر'!R102)</f>
        <v/>
      </c>
      <c r="R102" s="123" t="str">
        <f aca="false">IF($B102="","",IF(1&lt;=cfg_VAL_M,'مسير يناير'!R102,0)+IF(2&lt;=cfg_VAL_M,'مسير فبراير'!R102,0)+IF(3&lt;=cfg_VAL_M,'مسير مارس'!R102,0)+IF(4&lt;=cfg_VAL_M,'مسير أبريل'!R102,0)+IF(5&lt;=cfg_VAL_M,'مسير مايو'!R102,0)+IF(6&lt;=cfg_VAL_M,'مسير يونيو'!R102,0)+IF(7&lt;=cfg_VAL_M,'مسير يوليو'!R102,0)+IF(8&lt;=cfg_VAL_M,'مسير أغسطس'!R102,0)+IF(9&lt;=cfg_VAL_M,'مسير سبتمبر'!R102,0)+IF(10&lt;=cfg_VAL_M,'مسير أكتوبر'!R102,0)+IF(11&lt;=cfg_VAL_M,'مسير نوفمبر'!R102,0)+IF(12&lt;=cfg_VAL_M,'مسير ديسمبر'!R102,0))</f>
        <v/>
      </c>
      <c r="T102" s="86" t="str">
        <f aca="false">IF($B102="","",'مسير يناير'!AB102)</f>
        <v/>
      </c>
      <c r="U102" s="86" t="str">
        <f aca="false">IF($B102="","",'مسير فبراير'!AB102)</f>
        <v/>
      </c>
      <c r="V102" s="86" t="str">
        <f aca="false">IF($B102="","",'مسير مارس'!AB102)</f>
        <v/>
      </c>
      <c r="W102" s="86" t="str">
        <f aca="false">IF($B102="","",'مسير أبريل'!AB102)</f>
        <v/>
      </c>
      <c r="X102" s="86" t="str">
        <f aca="false">IF($B102="","",'مسير مايو'!AB102)</f>
        <v/>
      </c>
      <c r="Y102" s="86" t="str">
        <f aca="false">IF($B102="","",'مسير يونيو'!AB102)</f>
        <v/>
      </c>
      <c r="Z102" s="86" t="str">
        <f aca="false">IF($B102="","",'مسير يوليو'!AB102)</f>
        <v/>
      </c>
      <c r="AA102" s="86" t="str">
        <f aca="false">IF($B102="","",'مسير أغسطس'!AB102)</f>
        <v/>
      </c>
      <c r="AB102" s="86" t="str">
        <f aca="false">IF($B102="","",'مسير سبتمبر'!AB102)</f>
        <v/>
      </c>
      <c r="AC102" s="86" t="str">
        <f aca="false">IF($B102="","",'مسير أكتوبر'!AB102)</f>
        <v/>
      </c>
      <c r="AD102" s="86" t="str">
        <f aca="false">IF($B102="","",'مسير نوفمبر'!AB102)</f>
        <v/>
      </c>
      <c r="AE102" s="86" t="str">
        <f aca="false">IF($B102="","",'مسير ديسمبر'!AB102)</f>
        <v/>
      </c>
      <c r="AF102" s="123" t="str">
        <f aca="false">IF($B102="","",IF(1&lt;=cfg_VAL_M,'مسير يناير'!AB102,0)+IF(2&lt;=cfg_VAL_M,'مسير فبراير'!AB102,0)+IF(3&lt;=cfg_VAL_M,'مسير مارس'!AB102,0)+IF(4&lt;=cfg_VAL_M,'مسير أبريل'!AB102,0)+IF(5&lt;=cfg_VAL_M,'مسير مايو'!AB102,0)+IF(6&lt;=cfg_VAL_M,'مسير يونيو'!AB102,0)+IF(7&lt;=cfg_VAL_M,'مسير يوليو'!AB102,0)+IF(8&lt;=cfg_VAL_M,'مسير أغسطس'!AB102,0)+IF(9&lt;=cfg_VAL_M,'مسير سبتمبر'!AB102,0)+IF(10&lt;=cfg_VAL_M,'مسير أكتوبر'!AB102,0)+IF(11&lt;=cfg_VAL_M,'مسير نوفمبر'!AB102,0)+IF(12&lt;=cfg_VAL_M,'مسير ديسمبر'!AB102,0))</f>
        <v/>
      </c>
      <c r="AG102" s="123" t="str">
        <f aca="false">IF($B102="","",IF(1&lt;=cfg_VAL_M,'مسير يناير'!W102,0)+IF(2&lt;=cfg_VAL_M,'مسير فبراير'!W102,0)+IF(3&lt;=cfg_VAL_M,'مسير مارس'!W102,0)+IF(4&lt;=cfg_VAL_M,'مسير أبريل'!W102,0)+IF(5&lt;=cfg_VAL_M,'مسير مايو'!W102,0)+IF(6&lt;=cfg_VAL_M,'مسير يونيو'!W102,0)+IF(7&lt;=cfg_VAL_M,'مسير يوليو'!W102,0)+IF(8&lt;=cfg_VAL_M,'مسير أغسطس'!W102,0)+IF(9&lt;=cfg_VAL_M,'مسير سبتمبر'!W102,0)+IF(10&lt;=cfg_VAL_M,'مسير أكتوبر'!W102,0)+IF(11&lt;=cfg_VAL_M,'مسير نوفمبر'!W102,0)+IF(12&lt;=cfg_VAL_M,'مسير ديسمبر'!W102,0))</f>
        <v/>
      </c>
      <c r="AH102" s="86" t="str">
        <f aca="false">IF($B102="","",AF102/cfg_VAL_M)</f>
        <v/>
      </c>
    </row>
    <row r="103" customFormat="false" ht="15" hidden="false" customHeight="false" outlineLevel="0" collapsed="false">
      <c r="B103" s="91" t="str">
        <f aca="false">IF(الموظفون!$B103="","",الموظفون!$B103)</f>
        <v/>
      </c>
      <c r="C103" s="91" t="str">
        <f aca="false">IF(الموظفون!$B103="","",الموظفون!$C103)</f>
        <v/>
      </c>
      <c r="D103" s="91" t="str">
        <f aca="false">IF(الموظفون!$B103="","",الموظفون!$F103)</f>
        <v/>
      </c>
      <c r="E103" s="91" t="str">
        <f aca="false">IF(الموظفون!$B103="","",الموظفون!$E103)</f>
        <v/>
      </c>
      <c r="F103" s="90" t="str">
        <f aca="false">IF($B103="","",'مسير يناير'!R103)</f>
        <v/>
      </c>
      <c r="G103" s="90" t="str">
        <f aca="false">IF($B103="","",'مسير فبراير'!R103)</f>
        <v/>
      </c>
      <c r="H103" s="90" t="str">
        <f aca="false">IF($B103="","",'مسير مارس'!R103)</f>
        <v/>
      </c>
      <c r="I103" s="90" t="str">
        <f aca="false">IF($B103="","",'مسير أبريل'!R103)</f>
        <v/>
      </c>
      <c r="J103" s="90" t="str">
        <f aca="false">IF($B103="","",'مسير مايو'!R103)</f>
        <v/>
      </c>
      <c r="K103" s="90" t="str">
        <f aca="false">IF($B103="","",'مسير يونيو'!R103)</f>
        <v/>
      </c>
      <c r="L103" s="90" t="str">
        <f aca="false">IF($B103="","",'مسير يوليو'!R103)</f>
        <v/>
      </c>
      <c r="M103" s="90" t="str">
        <f aca="false">IF($B103="","",'مسير أغسطس'!R103)</f>
        <v/>
      </c>
      <c r="N103" s="90" t="str">
        <f aca="false">IF($B103="","",'مسير سبتمبر'!R103)</f>
        <v/>
      </c>
      <c r="O103" s="90" t="str">
        <f aca="false">IF($B103="","",'مسير أكتوبر'!R103)</f>
        <v/>
      </c>
      <c r="P103" s="90" t="str">
        <f aca="false">IF($B103="","",'مسير نوفمبر'!R103)</f>
        <v/>
      </c>
      <c r="Q103" s="90" t="str">
        <f aca="false">IF($B103="","",'مسير ديسمبر'!R103)</f>
        <v/>
      </c>
      <c r="R103" s="124" t="str">
        <f aca="false">IF($B103="","",IF(1&lt;=cfg_VAL_M,'مسير يناير'!R103,0)+IF(2&lt;=cfg_VAL_M,'مسير فبراير'!R103,0)+IF(3&lt;=cfg_VAL_M,'مسير مارس'!R103,0)+IF(4&lt;=cfg_VAL_M,'مسير أبريل'!R103,0)+IF(5&lt;=cfg_VAL_M,'مسير مايو'!R103,0)+IF(6&lt;=cfg_VAL_M,'مسير يونيو'!R103,0)+IF(7&lt;=cfg_VAL_M,'مسير يوليو'!R103,0)+IF(8&lt;=cfg_VAL_M,'مسير أغسطس'!R103,0)+IF(9&lt;=cfg_VAL_M,'مسير سبتمبر'!R103,0)+IF(10&lt;=cfg_VAL_M,'مسير أكتوبر'!R103,0)+IF(11&lt;=cfg_VAL_M,'مسير نوفمبر'!R103,0)+IF(12&lt;=cfg_VAL_M,'مسير ديسمبر'!R103,0))</f>
        <v/>
      </c>
      <c r="T103" s="90" t="str">
        <f aca="false">IF($B103="","",'مسير يناير'!AB103)</f>
        <v/>
      </c>
      <c r="U103" s="90" t="str">
        <f aca="false">IF($B103="","",'مسير فبراير'!AB103)</f>
        <v/>
      </c>
      <c r="V103" s="90" t="str">
        <f aca="false">IF($B103="","",'مسير مارس'!AB103)</f>
        <v/>
      </c>
      <c r="W103" s="90" t="str">
        <f aca="false">IF($B103="","",'مسير أبريل'!AB103)</f>
        <v/>
      </c>
      <c r="X103" s="90" t="str">
        <f aca="false">IF($B103="","",'مسير مايو'!AB103)</f>
        <v/>
      </c>
      <c r="Y103" s="90" t="str">
        <f aca="false">IF($B103="","",'مسير يونيو'!AB103)</f>
        <v/>
      </c>
      <c r="Z103" s="90" t="str">
        <f aca="false">IF($B103="","",'مسير يوليو'!AB103)</f>
        <v/>
      </c>
      <c r="AA103" s="90" t="str">
        <f aca="false">IF($B103="","",'مسير أغسطس'!AB103)</f>
        <v/>
      </c>
      <c r="AB103" s="90" t="str">
        <f aca="false">IF($B103="","",'مسير سبتمبر'!AB103)</f>
        <v/>
      </c>
      <c r="AC103" s="90" t="str">
        <f aca="false">IF($B103="","",'مسير أكتوبر'!AB103)</f>
        <v/>
      </c>
      <c r="AD103" s="90" t="str">
        <f aca="false">IF($B103="","",'مسير نوفمبر'!AB103)</f>
        <v/>
      </c>
      <c r="AE103" s="90" t="str">
        <f aca="false">IF($B103="","",'مسير ديسمبر'!AB103)</f>
        <v/>
      </c>
      <c r="AF103" s="124" t="str">
        <f aca="false">IF($B103="","",IF(1&lt;=cfg_VAL_M,'مسير يناير'!AB103,0)+IF(2&lt;=cfg_VAL_M,'مسير فبراير'!AB103,0)+IF(3&lt;=cfg_VAL_M,'مسير مارس'!AB103,0)+IF(4&lt;=cfg_VAL_M,'مسير أبريل'!AB103,0)+IF(5&lt;=cfg_VAL_M,'مسير مايو'!AB103,0)+IF(6&lt;=cfg_VAL_M,'مسير يونيو'!AB103,0)+IF(7&lt;=cfg_VAL_M,'مسير يوليو'!AB103,0)+IF(8&lt;=cfg_VAL_M,'مسير أغسطس'!AB103,0)+IF(9&lt;=cfg_VAL_M,'مسير سبتمبر'!AB103,0)+IF(10&lt;=cfg_VAL_M,'مسير أكتوبر'!AB103,0)+IF(11&lt;=cfg_VAL_M,'مسير نوفمبر'!AB103,0)+IF(12&lt;=cfg_VAL_M,'مسير ديسمبر'!AB103,0))</f>
        <v/>
      </c>
      <c r="AG103" s="124" t="str">
        <f aca="false">IF($B103="","",IF(1&lt;=cfg_VAL_M,'مسير يناير'!W103,0)+IF(2&lt;=cfg_VAL_M,'مسير فبراير'!W103,0)+IF(3&lt;=cfg_VAL_M,'مسير مارس'!W103,0)+IF(4&lt;=cfg_VAL_M,'مسير أبريل'!W103,0)+IF(5&lt;=cfg_VAL_M,'مسير مايو'!W103,0)+IF(6&lt;=cfg_VAL_M,'مسير يونيو'!W103,0)+IF(7&lt;=cfg_VAL_M,'مسير يوليو'!W103,0)+IF(8&lt;=cfg_VAL_M,'مسير أغسطس'!W103,0)+IF(9&lt;=cfg_VAL_M,'مسير سبتمبر'!W103,0)+IF(10&lt;=cfg_VAL_M,'مسير أكتوبر'!W103,0)+IF(11&lt;=cfg_VAL_M,'مسير نوفمبر'!W103,0)+IF(12&lt;=cfg_VAL_M,'مسير ديسمبر'!W103,0))</f>
        <v/>
      </c>
      <c r="AH103" s="90" t="str">
        <f aca="false">IF($B103="","",AF103/cfg_VAL_M)</f>
        <v/>
      </c>
    </row>
    <row r="104" customFormat="false" ht="15" hidden="false" customHeight="false" outlineLevel="0" collapsed="false">
      <c r="B104" s="74" t="str">
        <f aca="false">IF(الموظفون!$B104="","",الموظفون!$B104)</f>
        <v/>
      </c>
      <c r="C104" s="74" t="str">
        <f aca="false">IF(الموظفون!$B104="","",الموظفون!$C104)</f>
        <v/>
      </c>
      <c r="D104" s="74" t="str">
        <f aca="false">IF(الموظفون!$B104="","",الموظفون!$F104)</f>
        <v/>
      </c>
      <c r="E104" s="74" t="str">
        <f aca="false">IF(الموظفون!$B104="","",الموظفون!$E104)</f>
        <v/>
      </c>
      <c r="F104" s="86" t="str">
        <f aca="false">IF($B104="","",'مسير يناير'!R104)</f>
        <v/>
      </c>
      <c r="G104" s="86" t="str">
        <f aca="false">IF($B104="","",'مسير فبراير'!R104)</f>
        <v/>
      </c>
      <c r="H104" s="86" t="str">
        <f aca="false">IF($B104="","",'مسير مارس'!R104)</f>
        <v/>
      </c>
      <c r="I104" s="86" t="str">
        <f aca="false">IF($B104="","",'مسير أبريل'!R104)</f>
        <v/>
      </c>
      <c r="J104" s="86" t="str">
        <f aca="false">IF($B104="","",'مسير مايو'!R104)</f>
        <v/>
      </c>
      <c r="K104" s="86" t="str">
        <f aca="false">IF($B104="","",'مسير يونيو'!R104)</f>
        <v/>
      </c>
      <c r="L104" s="86" t="str">
        <f aca="false">IF($B104="","",'مسير يوليو'!R104)</f>
        <v/>
      </c>
      <c r="M104" s="86" t="str">
        <f aca="false">IF($B104="","",'مسير أغسطس'!R104)</f>
        <v/>
      </c>
      <c r="N104" s="86" t="str">
        <f aca="false">IF($B104="","",'مسير سبتمبر'!R104)</f>
        <v/>
      </c>
      <c r="O104" s="86" t="str">
        <f aca="false">IF($B104="","",'مسير أكتوبر'!R104)</f>
        <v/>
      </c>
      <c r="P104" s="86" t="str">
        <f aca="false">IF($B104="","",'مسير نوفمبر'!R104)</f>
        <v/>
      </c>
      <c r="Q104" s="86" t="str">
        <f aca="false">IF($B104="","",'مسير ديسمبر'!R104)</f>
        <v/>
      </c>
      <c r="R104" s="123" t="str">
        <f aca="false">IF($B104="","",IF(1&lt;=cfg_VAL_M,'مسير يناير'!R104,0)+IF(2&lt;=cfg_VAL_M,'مسير فبراير'!R104,0)+IF(3&lt;=cfg_VAL_M,'مسير مارس'!R104,0)+IF(4&lt;=cfg_VAL_M,'مسير أبريل'!R104,0)+IF(5&lt;=cfg_VAL_M,'مسير مايو'!R104,0)+IF(6&lt;=cfg_VAL_M,'مسير يونيو'!R104,0)+IF(7&lt;=cfg_VAL_M,'مسير يوليو'!R104,0)+IF(8&lt;=cfg_VAL_M,'مسير أغسطس'!R104,0)+IF(9&lt;=cfg_VAL_M,'مسير سبتمبر'!R104,0)+IF(10&lt;=cfg_VAL_M,'مسير أكتوبر'!R104,0)+IF(11&lt;=cfg_VAL_M,'مسير نوفمبر'!R104,0)+IF(12&lt;=cfg_VAL_M,'مسير ديسمبر'!R104,0))</f>
        <v/>
      </c>
      <c r="T104" s="86" t="str">
        <f aca="false">IF($B104="","",'مسير يناير'!AB104)</f>
        <v/>
      </c>
      <c r="U104" s="86" t="str">
        <f aca="false">IF($B104="","",'مسير فبراير'!AB104)</f>
        <v/>
      </c>
      <c r="V104" s="86" t="str">
        <f aca="false">IF($B104="","",'مسير مارس'!AB104)</f>
        <v/>
      </c>
      <c r="W104" s="86" t="str">
        <f aca="false">IF($B104="","",'مسير أبريل'!AB104)</f>
        <v/>
      </c>
      <c r="X104" s="86" t="str">
        <f aca="false">IF($B104="","",'مسير مايو'!AB104)</f>
        <v/>
      </c>
      <c r="Y104" s="86" t="str">
        <f aca="false">IF($B104="","",'مسير يونيو'!AB104)</f>
        <v/>
      </c>
      <c r="Z104" s="86" t="str">
        <f aca="false">IF($B104="","",'مسير يوليو'!AB104)</f>
        <v/>
      </c>
      <c r="AA104" s="86" t="str">
        <f aca="false">IF($B104="","",'مسير أغسطس'!AB104)</f>
        <v/>
      </c>
      <c r="AB104" s="86" t="str">
        <f aca="false">IF($B104="","",'مسير سبتمبر'!AB104)</f>
        <v/>
      </c>
      <c r="AC104" s="86" t="str">
        <f aca="false">IF($B104="","",'مسير أكتوبر'!AB104)</f>
        <v/>
      </c>
      <c r="AD104" s="86" t="str">
        <f aca="false">IF($B104="","",'مسير نوفمبر'!AB104)</f>
        <v/>
      </c>
      <c r="AE104" s="86" t="str">
        <f aca="false">IF($B104="","",'مسير ديسمبر'!AB104)</f>
        <v/>
      </c>
      <c r="AF104" s="123" t="str">
        <f aca="false">IF($B104="","",IF(1&lt;=cfg_VAL_M,'مسير يناير'!AB104,0)+IF(2&lt;=cfg_VAL_M,'مسير فبراير'!AB104,0)+IF(3&lt;=cfg_VAL_M,'مسير مارس'!AB104,0)+IF(4&lt;=cfg_VAL_M,'مسير أبريل'!AB104,0)+IF(5&lt;=cfg_VAL_M,'مسير مايو'!AB104,0)+IF(6&lt;=cfg_VAL_M,'مسير يونيو'!AB104,0)+IF(7&lt;=cfg_VAL_M,'مسير يوليو'!AB104,0)+IF(8&lt;=cfg_VAL_M,'مسير أغسطس'!AB104,0)+IF(9&lt;=cfg_VAL_M,'مسير سبتمبر'!AB104,0)+IF(10&lt;=cfg_VAL_M,'مسير أكتوبر'!AB104,0)+IF(11&lt;=cfg_VAL_M,'مسير نوفمبر'!AB104,0)+IF(12&lt;=cfg_VAL_M,'مسير ديسمبر'!AB104,0))</f>
        <v/>
      </c>
      <c r="AG104" s="123" t="str">
        <f aca="false">IF($B104="","",IF(1&lt;=cfg_VAL_M,'مسير يناير'!W104,0)+IF(2&lt;=cfg_VAL_M,'مسير فبراير'!W104,0)+IF(3&lt;=cfg_VAL_M,'مسير مارس'!W104,0)+IF(4&lt;=cfg_VAL_M,'مسير أبريل'!W104,0)+IF(5&lt;=cfg_VAL_M,'مسير مايو'!W104,0)+IF(6&lt;=cfg_VAL_M,'مسير يونيو'!W104,0)+IF(7&lt;=cfg_VAL_M,'مسير يوليو'!W104,0)+IF(8&lt;=cfg_VAL_M,'مسير أغسطس'!W104,0)+IF(9&lt;=cfg_VAL_M,'مسير سبتمبر'!W104,0)+IF(10&lt;=cfg_VAL_M,'مسير أكتوبر'!W104,0)+IF(11&lt;=cfg_VAL_M,'مسير نوفمبر'!W104,0)+IF(12&lt;=cfg_VAL_M,'مسير ديسمبر'!W104,0))</f>
        <v/>
      </c>
      <c r="AH104" s="86" t="str">
        <f aca="false">IF($B104="","",AF104/cfg_VAL_M)</f>
        <v/>
      </c>
    </row>
    <row r="105" customFormat="false" ht="15" hidden="false" customHeight="false" outlineLevel="0" collapsed="false">
      <c r="B105" s="91" t="str">
        <f aca="false">IF(الموظفون!$B105="","",الموظفون!$B105)</f>
        <v/>
      </c>
      <c r="C105" s="91" t="str">
        <f aca="false">IF(الموظفون!$B105="","",الموظفون!$C105)</f>
        <v/>
      </c>
      <c r="D105" s="91" t="str">
        <f aca="false">IF(الموظفون!$B105="","",الموظفون!$F105)</f>
        <v/>
      </c>
      <c r="E105" s="91" t="str">
        <f aca="false">IF(الموظفون!$B105="","",الموظفون!$E105)</f>
        <v/>
      </c>
      <c r="F105" s="90" t="str">
        <f aca="false">IF($B105="","",'مسير يناير'!R105)</f>
        <v/>
      </c>
      <c r="G105" s="90" t="str">
        <f aca="false">IF($B105="","",'مسير فبراير'!R105)</f>
        <v/>
      </c>
      <c r="H105" s="90" t="str">
        <f aca="false">IF($B105="","",'مسير مارس'!R105)</f>
        <v/>
      </c>
      <c r="I105" s="90" t="str">
        <f aca="false">IF($B105="","",'مسير أبريل'!R105)</f>
        <v/>
      </c>
      <c r="J105" s="90" t="str">
        <f aca="false">IF($B105="","",'مسير مايو'!R105)</f>
        <v/>
      </c>
      <c r="K105" s="90" t="str">
        <f aca="false">IF($B105="","",'مسير يونيو'!R105)</f>
        <v/>
      </c>
      <c r="L105" s="90" t="str">
        <f aca="false">IF($B105="","",'مسير يوليو'!R105)</f>
        <v/>
      </c>
      <c r="M105" s="90" t="str">
        <f aca="false">IF($B105="","",'مسير أغسطس'!R105)</f>
        <v/>
      </c>
      <c r="N105" s="90" t="str">
        <f aca="false">IF($B105="","",'مسير سبتمبر'!R105)</f>
        <v/>
      </c>
      <c r="O105" s="90" t="str">
        <f aca="false">IF($B105="","",'مسير أكتوبر'!R105)</f>
        <v/>
      </c>
      <c r="P105" s="90" t="str">
        <f aca="false">IF($B105="","",'مسير نوفمبر'!R105)</f>
        <v/>
      </c>
      <c r="Q105" s="90" t="str">
        <f aca="false">IF($B105="","",'مسير ديسمبر'!R105)</f>
        <v/>
      </c>
      <c r="R105" s="124" t="str">
        <f aca="false">IF($B105="","",IF(1&lt;=cfg_VAL_M,'مسير يناير'!R105,0)+IF(2&lt;=cfg_VAL_M,'مسير فبراير'!R105,0)+IF(3&lt;=cfg_VAL_M,'مسير مارس'!R105,0)+IF(4&lt;=cfg_VAL_M,'مسير أبريل'!R105,0)+IF(5&lt;=cfg_VAL_M,'مسير مايو'!R105,0)+IF(6&lt;=cfg_VAL_M,'مسير يونيو'!R105,0)+IF(7&lt;=cfg_VAL_M,'مسير يوليو'!R105,0)+IF(8&lt;=cfg_VAL_M,'مسير أغسطس'!R105,0)+IF(9&lt;=cfg_VAL_M,'مسير سبتمبر'!R105,0)+IF(10&lt;=cfg_VAL_M,'مسير أكتوبر'!R105,0)+IF(11&lt;=cfg_VAL_M,'مسير نوفمبر'!R105,0)+IF(12&lt;=cfg_VAL_M,'مسير ديسمبر'!R105,0))</f>
        <v/>
      </c>
      <c r="T105" s="90" t="str">
        <f aca="false">IF($B105="","",'مسير يناير'!AB105)</f>
        <v/>
      </c>
      <c r="U105" s="90" t="str">
        <f aca="false">IF($B105="","",'مسير فبراير'!AB105)</f>
        <v/>
      </c>
      <c r="V105" s="90" t="str">
        <f aca="false">IF($B105="","",'مسير مارس'!AB105)</f>
        <v/>
      </c>
      <c r="W105" s="90" t="str">
        <f aca="false">IF($B105="","",'مسير أبريل'!AB105)</f>
        <v/>
      </c>
      <c r="X105" s="90" t="str">
        <f aca="false">IF($B105="","",'مسير مايو'!AB105)</f>
        <v/>
      </c>
      <c r="Y105" s="90" t="str">
        <f aca="false">IF($B105="","",'مسير يونيو'!AB105)</f>
        <v/>
      </c>
      <c r="Z105" s="90" t="str">
        <f aca="false">IF($B105="","",'مسير يوليو'!AB105)</f>
        <v/>
      </c>
      <c r="AA105" s="90" t="str">
        <f aca="false">IF($B105="","",'مسير أغسطس'!AB105)</f>
        <v/>
      </c>
      <c r="AB105" s="90" t="str">
        <f aca="false">IF($B105="","",'مسير سبتمبر'!AB105)</f>
        <v/>
      </c>
      <c r="AC105" s="90" t="str">
        <f aca="false">IF($B105="","",'مسير أكتوبر'!AB105)</f>
        <v/>
      </c>
      <c r="AD105" s="90" t="str">
        <f aca="false">IF($B105="","",'مسير نوفمبر'!AB105)</f>
        <v/>
      </c>
      <c r="AE105" s="90" t="str">
        <f aca="false">IF($B105="","",'مسير ديسمبر'!AB105)</f>
        <v/>
      </c>
      <c r="AF105" s="124" t="str">
        <f aca="false">IF($B105="","",IF(1&lt;=cfg_VAL_M,'مسير يناير'!AB105,0)+IF(2&lt;=cfg_VAL_M,'مسير فبراير'!AB105,0)+IF(3&lt;=cfg_VAL_M,'مسير مارس'!AB105,0)+IF(4&lt;=cfg_VAL_M,'مسير أبريل'!AB105,0)+IF(5&lt;=cfg_VAL_M,'مسير مايو'!AB105,0)+IF(6&lt;=cfg_VAL_M,'مسير يونيو'!AB105,0)+IF(7&lt;=cfg_VAL_M,'مسير يوليو'!AB105,0)+IF(8&lt;=cfg_VAL_M,'مسير أغسطس'!AB105,0)+IF(9&lt;=cfg_VAL_M,'مسير سبتمبر'!AB105,0)+IF(10&lt;=cfg_VAL_M,'مسير أكتوبر'!AB105,0)+IF(11&lt;=cfg_VAL_M,'مسير نوفمبر'!AB105,0)+IF(12&lt;=cfg_VAL_M,'مسير ديسمبر'!AB105,0))</f>
        <v/>
      </c>
      <c r="AG105" s="124" t="str">
        <f aca="false">IF($B105="","",IF(1&lt;=cfg_VAL_M,'مسير يناير'!W105,0)+IF(2&lt;=cfg_VAL_M,'مسير فبراير'!W105,0)+IF(3&lt;=cfg_VAL_M,'مسير مارس'!W105,0)+IF(4&lt;=cfg_VAL_M,'مسير أبريل'!W105,0)+IF(5&lt;=cfg_VAL_M,'مسير مايو'!W105,0)+IF(6&lt;=cfg_VAL_M,'مسير يونيو'!W105,0)+IF(7&lt;=cfg_VAL_M,'مسير يوليو'!W105,0)+IF(8&lt;=cfg_VAL_M,'مسير أغسطس'!W105,0)+IF(9&lt;=cfg_VAL_M,'مسير سبتمبر'!W105,0)+IF(10&lt;=cfg_VAL_M,'مسير أكتوبر'!W105,0)+IF(11&lt;=cfg_VAL_M,'مسير نوفمبر'!W105,0)+IF(12&lt;=cfg_VAL_M,'مسير ديسمبر'!W105,0))</f>
        <v/>
      </c>
      <c r="AH105" s="90" t="str">
        <f aca="false">IF($B105="","",AF105/cfg_VAL_M)</f>
        <v/>
      </c>
    </row>
    <row r="106" customFormat="false" ht="24" hidden="false" customHeight="true" outlineLevel="0" collapsed="false">
      <c r="B106" s="92"/>
      <c r="C106" s="92" t="s">
        <v>101</v>
      </c>
      <c r="D106" s="92"/>
      <c r="E106" s="92"/>
      <c r="F106" s="92" t="n">
        <f aca="false">SUM(F6:F105)</f>
        <v>190710.833333333</v>
      </c>
      <c r="G106" s="92" t="n">
        <f aca="false">SUM(G6:G105)</f>
        <v>194715.833333333</v>
      </c>
      <c r="H106" s="92" t="n">
        <f aca="false">SUM(H6:H105)</f>
        <v>190056.25</v>
      </c>
      <c r="I106" s="92" t="n">
        <f aca="false">SUM(I6:I105)</f>
        <v>194475</v>
      </c>
      <c r="J106" s="92" t="n">
        <f aca="false">SUM(J6:J105)</f>
        <v>202481.666666667</v>
      </c>
      <c r="K106" s="92" t="n">
        <f aca="false">SUM(K6:K105)</f>
        <v>207825</v>
      </c>
      <c r="L106" s="92" t="n">
        <f aca="false">SUM(L6:L105)</f>
        <v>202872.260273973</v>
      </c>
      <c r="M106" s="92" t="n">
        <f aca="false">SUM(M6:M105)</f>
        <v>193562.5</v>
      </c>
      <c r="N106" s="92" t="n">
        <f aca="false">SUM(N6:N105)</f>
        <v>196491.25</v>
      </c>
      <c r="O106" s="92" t="n">
        <f aca="false">SUM(O6:O105)</f>
        <v>194575</v>
      </c>
      <c r="P106" s="92" t="n">
        <f aca="false">SUM(P6:P105)</f>
        <v>194575</v>
      </c>
      <c r="Q106" s="92" t="n">
        <f aca="false">SUM(Q6:Q105)</f>
        <v>194575</v>
      </c>
      <c r="R106" s="92" t="n">
        <f aca="false">SUM(R6:R105)</f>
        <v>1773190.59360731</v>
      </c>
      <c r="S106" s="125"/>
      <c r="T106" s="92" t="n">
        <f aca="false">SUM(T6:T105)</f>
        <v>234485.921518265</v>
      </c>
      <c r="U106" s="92" t="n">
        <f aca="false">SUM(U6:U105)</f>
        <v>235996.894121005</v>
      </c>
      <c r="V106" s="92" t="n">
        <f aca="false">SUM(V6:V105)</f>
        <v>234197.502568493</v>
      </c>
      <c r="W106" s="92" t="n">
        <f aca="false">SUM(W6:W105)</f>
        <v>239006.97859589</v>
      </c>
      <c r="X106" s="92" t="n">
        <f aca="false">SUM(X6:X105)</f>
        <v>249183.095605023</v>
      </c>
      <c r="Y106" s="92" t="n">
        <f aca="false">SUM(Y6:Y105)</f>
        <v>253533.086472603</v>
      </c>
      <c r="Z106" s="92" t="n">
        <f aca="false">SUM(Z6:Z105)</f>
        <v>248191.702910959</v>
      </c>
      <c r="AA106" s="92" t="n">
        <f aca="false">SUM(AA6:AA105)</f>
        <v>238881.942636986</v>
      </c>
      <c r="AB106" s="92" t="n">
        <f aca="false">SUM(AB6:AB105)</f>
        <v>240857.898116438</v>
      </c>
      <c r="AC106" s="92" t="n">
        <f aca="false">SUM(AC6:AC105)</f>
        <v>239894.442636986</v>
      </c>
      <c r="AD106" s="92" t="n">
        <f aca="false">SUM(AD6:AD105)</f>
        <v>238941.648116438</v>
      </c>
      <c r="AE106" s="92" t="n">
        <f aca="false">SUM(AE6:AE105)</f>
        <v>239894.442636986</v>
      </c>
      <c r="AF106" s="92" t="n">
        <f aca="false">SUM(AF6:AF105)</f>
        <v>2174335.02254566</v>
      </c>
      <c r="AG106" s="92" t="n">
        <f aca="false">SUM(AG6:AG105)</f>
        <v>1660310.28110731</v>
      </c>
      <c r="AH106" s="92" t="n">
        <f aca="false">SUM(AH6:AH105)</f>
        <v>241592.780282851</v>
      </c>
    </row>
  </sheetData>
  <mergeCells count="4">
    <mergeCell ref="B1:AH1"/>
    <mergeCell ref="B2:AH2"/>
    <mergeCell ref="F4:R4"/>
    <mergeCell ref="T4:AF4"/>
  </mergeCells>
  <hyperlinks>
    <hyperlink ref="B3" location="'الرئيسية'!A1" display="🏠 الرئيسية"/>
    <hyperlink ref="C3" location="'لوحة التحكم'!A1" display="📊 لوحة التحكم"/>
    <hyperlink ref="D3" location="'الإعدادات'!A1" display="⚙ الإعدادات"/>
    <hyperlink ref="E3" location="'الموظفون'!A1" display="👥 الموظفون"/>
    <hyperlink ref="F3" location="'الحركات الشهرية'!A1" display="✍ الحركات"/>
    <hyperlink ref="G3" location="'الملخص الشهري'!A1" display="📅 الملخص الشهري"/>
    <hyperlink ref="H3" location="'قيود الرواتب'!A1" display="🧾 القيود"/>
    <hyperlink ref="I3" location="'قسيمة الراتب'!A1" display="💳 القسيمة"/>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6B00"/>
    <pageSetUpPr fitToPage="true"/>
  </sheetPr>
  <dimension ref="B1:T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9"/>
    <col collapsed="false" customWidth="true" hidden="false" outlineLevel="0" max="3" min="3" style="0" width="24"/>
    <col collapsed="false" customWidth="true" hidden="false" outlineLevel="0" max="5" min="4" style="0" width="12"/>
    <col collapsed="false" customWidth="true" hidden="false" outlineLevel="0" max="6" min="6" style="0" width="22"/>
    <col collapsed="false" customWidth="true" hidden="false" outlineLevel="0" max="7" min="7" style="0" width="9"/>
    <col collapsed="false" customWidth="true" hidden="false" outlineLevel="0" max="8" min="8" style="0" width="12"/>
    <col collapsed="false" customWidth="true" hidden="false" outlineLevel="0" max="10" min="9" style="0" width="13"/>
    <col collapsed="false" customWidth="true" hidden="false" outlineLevel="0" max="11" min="11" style="0" width="14"/>
    <col collapsed="false" customWidth="true" hidden="false" outlineLevel="0" max="12" min="12" style="0" width="17"/>
    <col collapsed="false" customWidth="true" hidden="false" outlineLevel="0" max="13" min="13" style="0" width="11"/>
    <col collapsed="false" customWidth="true" hidden="false" outlineLevel="0" max="14" min="14" style="0" width="13"/>
    <col collapsed="false" customWidth="true" hidden="false" outlineLevel="0" max="15" min="15" style="0" width="15"/>
    <col collapsed="false" customWidth="true" hidden="false" outlineLevel="0" max="17" min="16" style="0" width="13"/>
    <col collapsed="false" customWidth="true" hidden="false" outlineLevel="0" max="18" min="18" style="0" width="12"/>
    <col collapsed="false" customWidth="true" hidden="false" outlineLevel="0" max="19" min="19" style="0" width="14"/>
    <col collapsed="false" customWidth="true" hidden="false" outlineLevel="0" max="20" min="20" style="0" width="18"/>
  </cols>
  <sheetData>
    <row r="1" customFormat="false" ht="37.5" hidden="false" customHeight="true" outlineLevel="0" collapsed="false">
      <c r="B1" s="1" t="str">
        <f aca="false">"🎁 مخصص مكافأة نهاية الخدمة كما في "&amp;TEXT(cfg_VAL_DATE,"yyyy/mm/dd")</f>
        <v>🎁 مخصص مكافأة نهاية الخدمة كما في 2026/09/30</v>
      </c>
      <c r="C1" s="1"/>
      <c r="D1" s="1"/>
      <c r="E1" s="1"/>
      <c r="F1" s="1"/>
      <c r="G1" s="1"/>
      <c r="H1" s="1"/>
      <c r="I1" s="1"/>
      <c r="J1" s="1"/>
      <c r="K1" s="1"/>
      <c r="L1" s="1"/>
      <c r="M1" s="1"/>
      <c r="N1" s="1"/>
      <c r="O1" s="1"/>
      <c r="P1" s="1"/>
      <c r="Q1" s="1"/>
      <c r="R1" s="1"/>
      <c r="S1" s="1"/>
      <c r="T1" s="1"/>
    </row>
    <row r="2" customFormat="false" ht="19.5" hidden="false" customHeight="true" outlineLevel="0" collapsed="false">
      <c r="B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C2" s="2"/>
      <c r="D2" s="2"/>
      <c r="E2" s="2"/>
      <c r="F2" s="2"/>
      <c r="G2" s="2"/>
      <c r="H2" s="2"/>
      <c r="I2" s="2"/>
      <c r="J2" s="2"/>
      <c r="K2" s="2"/>
      <c r="L2" s="2"/>
      <c r="M2" s="2"/>
      <c r="N2" s="2"/>
      <c r="O2" s="2"/>
      <c r="P2" s="2"/>
      <c r="Q2" s="2"/>
      <c r="R2" s="2"/>
      <c r="S2" s="2"/>
      <c r="T2" s="2"/>
    </row>
    <row r="3" customFormat="false" ht="25.5" hidden="false" customHeight="true" outlineLevel="0" collapsed="false">
      <c r="B3" s="22" t="s">
        <v>61</v>
      </c>
      <c r="C3" s="12" t="s">
        <v>111</v>
      </c>
      <c r="D3" s="23" t="s">
        <v>62</v>
      </c>
      <c r="E3" s="23" t="s">
        <v>63</v>
      </c>
      <c r="F3" s="23" t="s">
        <v>64</v>
      </c>
      <c r="G3" s="23" t="s">
        <v>39</v>
      </c>
      <c r="H3" s="23" t="s">
        <v>65</v>
      </c>
      <c r="I3" s="23" t="s">
        <v>66</v>
      </c>
    </row>
    <row r="4" customFormat="false" ht="7.5" hidden="false" customHeight="true" outlineLevel="0" collapsed="false"/>
    <row r="5" customFormat="false" ht="57.75" hidden="false" customHeight="true" outlineLevel="0" collapsed="false">
      <c r="B5" s="126" t="s">
        <v>363</v>
      </c>
      <c r="C5" s="126" t="s">
        <v>209</v>
      </c>
      <c r="D5" s="126" t="s">
        <v>212</v>
      </c>
      <c r="E5" s="126" t="s">
        <v>368</v>
      </c>
      <c r="F5" s="126" t="s">
        <v>369</v>
      </c>
      <c r="G5" s="126" t="s">
        <v>370</v>
      </c>
      <c r="H5" s="126" t="s">
        <v>371</v>
      </c>
      <c r="I5" s="126" t="s">
        <v>372</v>
      </c>
      <c r="J5" s="126" t="s">
        <v>373</v>
      </c>
      <c r="K5" s="126" t="s">
        <v>374</v>
      </c>
      <c r="L5" s="126" t="s">
        <v>375</v>
      </c>
      <c r="M5" s="126" t="s">
        <v>376</v>
      </c>
      <c r="N5" s="126" t="s">
        <v>377</v>
      </c>
      <c r="O5" s="126" t="s">
        <v>378</v>
      </c>
      <c r="P5" s="126" t="s">
        <v>379</v>
      </c>
      <c r="Q5" s="126" t="s">
        <v>380</v>
      </c>
      <c r="R5" s="126" t="s">
        <v>381</v>
      </c>
      <c r="S5" s="126" t="s">
        <v>382</v>
      </c>
      <c r="T5" s="126" t="s">
        <v>383</v>
      </c>
    </row>
    <row r="6" customFormat="false" ht="15" hidden="false" customHeight="false" outlineLevel="0" collapsed="false">
      <c r="B6" s="74" t="str">
        <f aca="false">IF(الموظفون!$B6="","",الموظفون!$B6)</f>
        <v>E001</v>
      </c>
      <c r="C6" s="74" t="str">
        <f aca="false">IF($B6="","",الموظفون!$C6)</f>
        <v>عبدالله محمد العتيبي</v>
      </c>
      <c r="D6" s="127" t="n">
        <f aca="false">IF($B6="","",الموظفون!$H6)</f>
        <v>40923</v>
      </c>
      <c r="E6" s="127" t="n">
        <f aca="false">IF($B6="","",IF(OR(الموظفون!$X6="",الموظفون!$X6&gt;cfg_VAL_DATE),cfg_VAL_DATE,الموظفون!$X6))</f>
        <v>46295</v>
      </c>
      <c r="F6" s="74" t="str">
        <f aca="false">IF($B6="","",IF(E6&lt;D6,"لم يباشر",DATEDIF(D6,E6+1,"y")&amp;" سنة "&amp;DATEDIF(D6,E6+1,"ym")&amp;" شهر "&amp;DATEDIF(D6,E6+1,"md")&amp;" يوم"))</f>
        <v>14 سنة 8 شهر 16 يوم</v>
      </c>
      <c r="G6" s="109" t="n">
        <f aca="false">IF($B6="","",MAX(0,E6-D6+1)/cfg_DAYS_Y)</f>
        <v>14.7205479452055</v>
      </c>
      <c r="H6" s="86" t="n">
        <f aca="false">IF($B6="","",الموظفون!$O6)</f>
        <v>37800</v>
      </c>
      <c r="I6" s="86" t="n">
        <f aca="false">IF($B6="","",H6*cfg_EOS_R1*MIN(G6,cfg_EOS_TH))</f>
        <v>94500</v>
      </c>
      <c r="J6" s="86" t="n">
        <f aca="false">IF($B6="","",H6*cfg_EOS_R2*MAX(G6-cfg_EOS_TH,0))</f>
        <v>367436.712328767</v>
      </c>
      <c r="K6" s="86" t="n">
        <f aca="false">IF($B6="","",I6+J6)</f>
        <v>461936.712328767</v>
      </c>
      <c r="L6" s="74" t="str">
        <f aca="false">IF($B6="","",IF(AND(الموظفون!$X6&lt;&gt;"",الموظفون!$X6&lt;=cfg_VAL_DATE),IF(الموظفون!$Y6="","⚠ حدد السبب",الموظفون!$Y6),"على رأس العمل"))</f>
        <v>على رأس العمل</v>
      </c>
      <c r="M6" s="52" t="n">
        <f aca="false">IF($B6="","",VLOOKUP(G6,cfg_RES,2,TRUE()))</f>
        <v>1</v>
      </c>
      <c r="N6" s="86" t="n">
        <f aca="false">IF($B6="","",K6*M6)</f>
        <v>461936.712328767</v>
      </c>
      <c r="O6" s="86" t="n">
        <f aca="false">IF($B6="","",IF(L6="استقالة",N6,K6))</f>
        <v>461936.712328767</v>
      </c>
      <c r="P6" s="86" t="n">
        <f aca="false">IF($B6="","",H6*(cfg_EOS_R1*MIN((MAX(0,IF(OR(الموظفون!$X6="",الموظفون!$X6&gt;=cfg_Y_START),cfg_Y_START-1,الموظفون!$X6)-D6+1)/cfg_DAYS_Y),cfg_EOS_TH)+cfg_EOS_R2*MAX((MAX(0,IF(OR(الموظفون!$X6="",الموظفون!$X6&gt;=cfg_Y_START),cfg_Y_START-1,الموظفون!$X6)-D6+1)/cfg_DAYS_Y)-cfg_EOS_TH,0)))</f>
        <v>433664.383561644</v>
      </c>
      <c r="Q6" s="86" t="n">
        <f aca="false">IF($B6="","",O6-P6)</f>
        <v>28272.3287671232</v>
      </c>
      <c r="R6" s="86" t="n">
        <f aca="false">IF($B6="","",SUMIFS('الحركات الشهرية'!$N$6:$N$1005,'الحركات الشهرية'!$B$6:$B$1005,B6,'الحركات الشهرية'!$A$6:$A$1005,"&lt;="&amp;cfg_VAL_M))</f>
        <v>0</v>
      </c>
      <c r="S6" s="128" t="n">
        <f aca="false">IF($B6="","",P6+Q6-R6)</f>
        <v>461936.712328767</v>
      </c>
      <c r="T6" s="74" t="str">
        <f aca="false">IF($B6="","",IF(S6&lt;-0.01,"✖ صرف أكثر من المستحق",IF(AND(L6&lt;&gt;"على رأس العمل",S6&gt;0.01),"⚠ مستحق لم يُصرف","✔ سليم")))</f>
        <v>✔ سليم</v>
      </c>
    </row>
    <row r="7" customFormat="false" ht="15" hidden="false" customHeight="false" outlineLevel="0" collapsed="false">
      <c r="B7" s="91" t="str">
        <f aca="false">IF(الموظفون!$B7="","",الموظفون!$B7)</f>
        <v>E002</v>
      </c>
      <c r="C7" s="91" t="str">
        <f aca="false">IF($B7="","",الموظفون!$C7)</f>
        <v>أحمد سعيد القحطاني</v>
      </c>
      <c r="D7" s="129" t="n">
        <f aca="false">IF($B7="","",الموظفون!$H7)</f>
        <v>42522</v>
      </c>
      <c r="E7" s="129" t="n">
        <f aca="false">IF($B7="","",IF(OR(الموظفون!$X7="",الموظفون!$X7&gt;cfg_VAL_DATE),cfg_VAL_DATE,الموظفون!$X7))</f>
        <v>46295</v>
      </c>
      <c r="F7" s="91" t="str">
        <f aca="false">IF($B7="","",IF(E7&lt;D7,"لم يباشر",DATEDIF(D7,E7+1,"y")&amp;" سنة "&amp;DATEDIF(D7,E7+1,"ym")&amp;" شهر "&amp;DATEDIF(D7,E7+1,"md")&amp;" يوم"))</f>
        <v>10 سنة 4 شهر 0 يوم</v>
      </c>
      <c r="G7" s="114" t="n">
        <f aca="false">IF($B7="","",MAX(0,E7-D7+1)/cfg_DAYS_Y)</f>
        <v>10.3397260273973</v>
      </c>
      <c r="H7" s="90" t="n">
        <f aca="false">IF($B7="","",الموظفون!$O7)</f>
        <v>24300</v>
      </c>
      <c r="I7" s="90" t="n">
        <f aca="false">IF($B7="","",H7*cfg_EOS_R1*MIN(G7,cfg_EOS_TH))</f>
        <v>60750</v>
      </c>
      <c r="J7" s="90" t="n">
        <f aca="false">IF($B7="","",H7*cfg_EOS_R2*MAX(G7-cfg_EOS_TH,0))</f>
        <v>129755.342465753</v>
      </c>
      <c r="K7" s="90" t="n">
        <f aca="false">IF($B7="","",I7+J7)</f>
        <v>190505.342465753</v>
      </c>
      <c r="L7" s="91" t="str">
        <f aca="false">IF($B7="","",IF(AND(الموظفون!$X7&lt;&gt;"",الموظفون!$X7&lt;=cfg_VAL_DATE),IF(الموظفون!$Y7="","⚠ حدد السبب",الموظفون!$Y7),"على رأس العمل"))</f>
        <v>على رأس العمل</v>
      </c>
      <c r="M7" s="130" t="n">
        <f aca="false">IF($B7="","",VLOOKUP(G7,cfg_RES,2,TRUE()))</f>
        <v>1</v>
      </c>
      <c r="N7" s="90" t="n">
        <f aca="false">IF($B7="","",K7*M7)</f>
        <v>190505.342465753</v>
      </c>
      <c r="O7" s="90" t="n">
        <f aca="false">IF($B7="","",IF(L7="استقالة",N7,K7))</f>
        <v>190505.342465753</v>
      </c>
      <c r="P7" s="90" t="n">
        <f aca="false">IF($B7="","",H7*(cfg_EOS_R1*MIN((MAX(0,IF(OR(الموظفون!$X7="",الموظفون!$X7&gt;=cfg_Y_START),cfg_Y_START-1,الموظفون!$X7)-D7+1)/cfg_DAYS_Y),cfg_EOS_TH)+cfg_EOS_R2*MAX((MAX(0,IF(OR(الموظفون!$X7="",الموظفون!$X7&gt;=cfg_Y_START),cfg_Y_START-1,الموظفون!$X7)-D7+1)/cfg_DAYS_Y)-cfg_EOS_TH,0)))</f>
        <v>172330.273972603</v>
      </c>
      <c r="Q7" s="90" t="n">
        <f aca="false">IF($B7="","",O7-P7)</f>
        <v>18175.0684931507</v>
      </c>
      <c r="R7" s="90" t="n">
        <f aca="false">IF($B7="","",SUMIFS('الحركات الشهرية'!$N$6:$N$1005,'الحركات الشهرية'!$B$6:$B$1005,B7,'الحركات الشهرية'!$A$6:$A$1005,"&lt;="&amp;cfg_VAL_M))</f>
        <v>0</v>
      </c>
      <c r="S7" s="131" t="n">
        <f aca="false">IF($B7="","",P7+Q7-R7)</f>
        <v>190505.342465753</v>
      </c>
      <c r="T7" s="91" t="str">
        <f aca="false">IF($B7="","",IF(S7&lt;-0.01,"✖ صرف أكثر من المستحق",IF(AND(L7&lt;&gt;"على رأس العمل",S7&gt;0.01),"⚠ مستحق لم يُصرف","✔ سليم")))</f>
        <v>✔ سليم</v>
      </c>
    </row>
    <row r="8" customFormat="false" ht="15" hidden="false" customHeight="false" outlineLevel="0" collapsed="false">
      <c r="B8" s="74" t="str">
        <f aca="false">IF(الموظفون!$B8="","",الموظفون!$B8)</f>
        <v>E003</v>
      </c>
      <c r="C8" s="74" t="str">
        <f aca="false">IF($B8="","",الموظفون!$C8)</f>
        <v>محمد علي حسن</v>
      </c>
      <c r="D8" s="127" t="n">
        <f aca="false">IF($B8="","",الموظفون!$H8)</f>
        <v>43353</v>
      </c>
      <c r="E8" s="127" t="n">
        <f aca="false">IF($B8="","",IF(OR(الموظفون!$X8="",الموظفون!$X8&gt;cfg_VAL_DATE),cfg_VAL_DATE,الموظفون!$X8))</f>
        <v>46295</v>
      </c>
      <c r="F8" s="74" t="str">
        <f aca="false">IF($B8="","",IF(E8&lt;D8,"لم يباشر",DATEDIF(D8,E8+1,"y")&amp;" سنة "&amp;DATEDIF(D8,E8+1,"ym")&amp;" شهر "&amp;DATEDIF(D8,E8+1,"md")&amp;" يوم"))</f>
        <v>8 سنة 0 شهر 21 يوم</v>
      </c>
      <c r="G8" s="109" t="n">
        <f aca="false">IF($B8="","",MAX(0,E8-D8+1)/cfg_DAYS_Y)</f>
        <v>8.06301369863014</v>
      </c>
      <c r="H8" s="86" t="n">
        <f aca="false">IF($B8="","",الموظفون!$O8)</f>
        <v>11475</v>
      </c>
      <c r="I8" s="86" t="n">
        <f aca="false">IF($B8="","",H8*cfg_EOS_R1*MIN(G8,cfg_EOS_TH))</f>
        <v>28687.5</v>
      </c>
      <c r="J8" s="86" t="n">
        <f aca="false">IF($B8="","",H8*cfg_EOS_R2*MAX(G8-cfg_EOS_TH,0))</f>
        <v>35148.0821917808</v>
      </c>
      <c r="K8" s="86" t="n">
        <f aca="false">IF($B8="","",I8+J8)</f>
        <v>63835.5821917808</v>
      </c>
      <c r="L8" s="74" t="str">
        <f aca="false">IF($B8="","",IF(AND(الموظفون!$X8&lt;&gt;"",الموظفون!$X8&lt;=cfg_VAL_DATE),IF(الموظفون!$Y8="","⚠ حدد السبب",الموظفون!$Y8),"على رأس العمل"))</f>
        <v>على رأس العمل</v>
      </c>
      <c r="M8" s="52" t="n">
        <f aca="false">IF($B8="","",VLOOKUP(G8,cfg_RES,2,TRUE()))</f>
        <v>0.666666666666667</v>
      </c>
      <c r="N8" s="86" t="n">
        <f aca="false">IF($B8="","",K8*M8)</f>
        <v>42557.0547945206</v>
      </c>
      <c r="O8" s="86" t="n">
        <f aca="false">IF($B8="","",IF(L8="استقالة",N8,K8))</f>
        <v>63835.5821917808</v>
      </c>
      <c r="P8" s="86" t="n">
        <f aca="false">IF($B8="","",H8*(cfg_EOS_R1*MIN((MAX(0,IF(OR(الموظفون!$X8="",الموظفون!$X8&gt;=cfg_Y_START),cfg_Y_START-1,الموظفون!$X8)-D8+1)/cfg_DAYS_Y),cfg_EOS_TH)+cfg_EOS_R2*MAX((MAX(0,IF(OR(الموظفون!$X8="",الموظفون!$X8&gt;=cfg_Y_START),cfg_Y_START-1,الموظفون!$X8)-D8+1)/cfg_DAYS_Y)-cfg_EOS_TH,0)))</f>
        <v>55252.9109589041</v>
      </c>
      <c r="Q8" s="86" t="n">
        <f aca="false">IF($B8="","",O8-P8)</f>
        <v>8582.67123287671</v>
      </c>
      <c r="R8" s="86" t="n">
        <f aca="false">IF($B8="","",SUMIFS('الحركات الشهرية'!$N$6:$N$1005,'الحركات الشهرية'!$B$6:$B$1005,B8,'الحركات الشهرية'!$A$6:$A$1005,"&lt;="&amp;cfg_VAL_M))</f>
        <v>0</v>
      </c>
      <c r="S8" s="128" t="n">
        <f aca="false">IF($B8="","",P8+Q8-R8)</f>
        <v>63835.5821917808</v>
      </c>
      <c r="T8" s="74" t="str">
        <f aca="false">IF($B8="","",IF(S8&lt;-0.01,"✖ صرف أكثر من المستحق",IF(AND(L8&lt;&gt;"على رأس العمل",S8&gt;0.01),"⚠ مستحق لم يُصرف","✔ سليم")))</f>
        <v>✔ سليم</v>
      </c>
    </row>
    <row r="9" customFormat="false" ht="15" hidden="false" customHeight="false" outlineLevel="0" collapsed="false">
      <c r="B9" s="91" t="str">
        <f aca="false">IF(الموظفون!$B9="","",الموظفون!$B9)</f>
        <v>E004</v>
      </c>
      <c r="C9" s="91" t="str">
        <f aca="false">IF($B9="","",الموظفون!$C9)</f>
        <v>نورة خالد الدوسري</v>
      </c>
      <c r="D9" s="129" t="n">
        <f aca="false">IF($B9="","",الموظفون!$H9)</f>
        <v>43497</v>
      </c>
      <c r="E9" s="129" t="n">
        <f aca="false">IF($B9="","",IF(OR(الموظفون!$X9="",الموظفون!$X9&gt;cfg_VAL_DATE),cfg_VAL_DATE,الموظفون!$X9))</f>
        <v>46295</v>
      </c>
      <c r="F9" s="91" t="str">
        <f aca="false">IF($B9="","",IF(E9&lt;D9,"لم يباشر",DATEDIF(D9,E9+1,"y")&amp;" سنة "&amp;DATEDIF(D9,E9+1,"ym")&amp;" شهر "&amp;DATEDIF(D9,E9+1,"md")&amp;" يوم"))</f>
        <v>7 سنة 8 شهر 0 يوم</v>
      </c>
      <c r="G9" s="114" t="n">
        <f aca="false">IF($B9="","",MAX(0,E9-D9+1)/cfg_DAYS_Y)</f>
        <v>7.66849315068493</v>
      </c>
      <c r="H9" s="90" t="n">
        <f aca="false">IF($B9="","",الموظفون!$O9)</f>
        <v>18900</v>
      </c>
      <c r="I9" s="90" t="n">
        <f aca="false">IF($B9="","",H9*cfg_EOS_R1*MIN(G9,cfg_EOS_TH))</f>
        <v>47250</v>
      </c>
      <c r="J9" s="90" t="n">
        <f aca="false">IF($B9="","",H9*cfg_EOS_R2*MAX(G9-cfg_EOS_TH,0))</f>
        <v>50434.5205479452</v>
      </c>
      <c r="K9" s="90" t="n">
        <f aca="false">IF($B9="","",I9+J9)</f>
        <v>97684.5205479452</v>
      </c>
      <c r="L9" s="91" t="str">
        <f aca="false">IF($B9="","",IF(AND(الموظفون!$X9&lt;&gt;"",الموظفون!$X9&lt;=cfg_VAL_DATE),IF(الموظفون!$Y9="","⚠ حدد السبب",الموظفون!$Y9),"على رأس العمل"))</f>
        <v>على رأس العمل</v>
      </c>
      <c r="M9" s="130" t="n">
        <f aca="false">IF($B9="","",VLOOKUP(G9,cfg_RES,2,TRUE()))</f>
        <v>0.666666666666667</v>
      </c>
      <c r="N9" s="90" t="n">
        <f aca="false">IF($B9="","",K9*M9)</f>
        <v>65123.0136986301</v>
      </c>
      <c r="O9" s="90" t="n">
        <f aca="false">IF($B9="","",IF(L9="استقالة",N9,K9))</f>
        <v>97684.5205479452</v>
      </c>
      <c r="P9" s="90" t="n">
        <f aca="false">IF($B9="","",H9*(cfg_EOS_R1*MIN((MAX(0,IF(OR(الموظفون!$X9="",الموظفون!$X9&gt;=cfg_Y_START),cfg_Y_START-1,الموظفون!$X9)-D9+1)/cfg_DAYS_Y),cfg_EOS_TH)+cfg_EOS_R2*MAX((MAX(0,IF(OR(الموظفون!$X9="",الموظفون!$X9&gt;=cfg_Y_START),cfg_Y_START-1,الموظفون!$X9)-D9+1)/cfg_DAYS_Y)-cfg_EOS_TH,0)))</f>
        <v>83548.3561643836</v>
      </c>
      <c r="Q9" s="90" t="n">
        <f aca="false">IF($B9="","",O9-P9)</f>
        <v>14136.1643835617</v>
      </c>
      <c r="R9" s="90" t="n">
        <f aca="false">IF($B9="","",SUMIFS('الحركات الشهرية'!$N$6:$N$1005,'الحركات الشهرية'!$B$6:$B$1005,B9,'الحركات الشهرية'!$A$6:$A$1005,"&lt;="&amp;cfg_VAL_M))</f>
        <v>0</v>
      </c>
      <c r="S9" s="131" t="n">
        <f aca="false">IF($B9="","",P9+Q9-R9)</f>
        <v>97684.5205479452</v>
      </c>
      <c r="T9" s="91" t="str">
        <f aca="false">IF($B9="","",IF(S9&lt;-0.01,"✖ صرف أكثر من المستحق",IF(AND(L9&lt;&gt;"على رأس العمل",S9&gt;0.01),"⚠ مستحق لم يُصرف","✔ سليم")))</f>
        <v>✔ سليم</v>
      </c>
    </row>
    <row r="10" customFormat="false" ht="15" hidden="false" customHeight="false" outlineLevel="0" collapsed="false">
      <c r="B10" s="74" t="str">
        <f aca="false">IF(الموظفون!$B10="","",الموظفون!$B10)</f>
        <v>E005</v>
      </c>
      <c r="C10" s="74" t="str">
        <f aca="false">IF($B10="","",الموظفون!$C10)</f>
        <v>راجيش كومار</v>
      </c>
      <c r="D10" s="127" t="n">
        <f aca="false">IF($B10="","",الموظفون!$H10)</f>
        <v>43933</v>
      </c>
      <c r="E10" s="127" t="n">
        <f aca="false">IF($B10="","",IF(OR(الموظفون!$X10="",الموظفون!$X10&gt;cfg_VAL_DATE),cfg_VAL_DATE,الموظفون!$X10))</f>
        <v>46295</v>
      </c>
      <c r="F10" s="74" t="str">
        <f aca="false">IF($B10="","",IF(E10&lt;D10,"لم يباشر",DATEDIF(D10,E10+1,"y")&amp;" سنة "&amp;DATEDIF(D10,E10+1,"ym")&amp;" شهر "&amp;DATEDIF(D10,E10+1,"md")&amp;" يوم"))</f>
        <v>6 سنة 5 شهر 19 يوم</v>
      </c>
      <c r="G10" s="109" t="n">
        <f aca="false">IF($B10="","",MAX(0,E10-D10+1)/cfg_DAYS_Y)</f>
        <v>6.47397260273973</v>
      </c>
      <c r="H10" s="86" t="n">
        <f aca="false">IF($B10="","",الموظفون!$O10)</f>
        <v>12150</v>
      </c>
      <c r="I10" s="86" t="n">
        <f aca="false">IF($B10="","",H10*cfg_EOS_R1*MIN(G10,cfg_EOS_TH))</f>
        <v>30375</v>
      </c>
      <c r="J10" s="86" t="n">
        <f aca="false">IF($B10="","",H10*cfg_EOS_R2*MAX(G10-cfg_EOS_TH,0))</f>
        <v>17908.7671232877</v>
      </c>
      <c r="K10" s="86" t="n">
        <f aca="false">IF($B10="","",I10+J10)</f>
        <v>48283.7671232877</v>
      </c>
      <c r="L10" s="74" t="str">
        <f aca="false">IF($B10="","",IF(AND(الموظفون!$X10&lt;&gt;"",الموظفون!$X10&lt;=cfg_VAL_DATE),IF(الموظفون!$Y10="","⚠ حدد السبب",الموظفون!$Y10),"على رأس العمل"))</f>
        <v>على رأس العمل</v>
      </c>
      <c r="M10" s="52" t="n">
        <f aca="false">IF($B10="","",VLOOKUP(G10,cfg_RES,2,TRUE()))</f>
        <v>0.666666666666667</v>
      </c>
      <c r="N10" s="86" t="n">
        <f aca="false">IF($B10="","",K10*M10)</f>
        <v>32189.1780821918</v>
      </c>
      <c r="O10" s="86" t="n">
        <f aca="false">IF($B10="","",IF(L10="استقالة",N10,K10))</f>
        <v>48283.7671232877</v>
      </c>
      <c r="P10" s="86" t="n">
        <f aca="false">IF($B10="","",H10*(cfg_EOS_R1*MIN((MAX(0,IF(OR(الموظفون!$X10="",الموظفون!$X10&gt;=cfg_Y_START),cfg_Y_START-1,الموظفون!$X10)-D10+1)/cfg_DAYS_Y),cfg_EOS_TH)+cfg_EOS_R2*MAX((MAX(0,IF(OR(الموظفون!$X10="",الموظفون!$X10&gt;=cfg_Y_START),cfg_Y_START-1,الموظفون!$X10)-D10+1)/cfg_DAYS_Y)-cfg_EOS_TH,0)))</f>
        <v>39196.2328767123</v>
      </c>
      <c r="Q10" s="86" t="n">
        <f aca="false">IF($B10="","",O10-P10)</f>
        <v>9087.53424657535</v>
      </c>
      <c r="R10" s="86" t="n">
        <f aca="false">IF($B10="","",SUMIFS('الحركات الشهرية'!$N$6:$N$1005,'الحركات الشهرية'!$B$6:$B$1005,B10,'الحركات الشهرية'!$A$6:$A$1005,"&lt;="&amp;cfg_VAL_M))</f>
        <v>0</v>
      </c>
      <c r="S10" s="128" t="n">
        <f aca="false">IF($B10="","",P10+Q10-R10)</f>
        <v>48283.7671232877</v>
      </c>
      <c r="T10" s="74" t="str">
        <f aca="false">IF($B10="","",IF(S10&lt;-0.01,"✖ صرف أكثر من المستحق",IF(AND(L10&lt;&gt;"على رأس العمل",S10&gt;0.01),"⚠ مستحق لم يُصرف","✔ سليم")))</f>
        <v>✔ سليم</v>
      </c>
    </row>
    <row r="11" customFormat="false" ht="15" hidden="false" customHeight="false" outlineLevel="0" collapsed="false">
      <c r="B11" s="91" t="str">
        <f aca="false">IF(الموظفون!$B11="","",الموظفون!$B11)</f>
        <v>E006</v>
      </c>
      <c r="C11" s="91" t="str">
        <f aca="false">IF($B11="","",الموظفون!$C11)</f>
        <v>فهد ناصر الشمري</v>
      </c>
      <c r="D11" s="129" t="n">
        <f aca="false">IF($B11="","",الموظفون!$H11)</f>
        <v>43044</v>
      </c>
      <c r="E11" s="129" t="n">
        <f aca="false">IF($B11="","",IF(OR(الموظفون!$X11="",الموظفون!$X11&gt;cfg_VAL_DATE),cfg_VAL_DATE,الموظفون!$X11))</f>
        <v>46295</v>
      </c>
      <c r="F11" s="91" t="str">
        <f aca="false">IF($B11="","",IF(E11&lt;D11,"لم يباشر",DATEDIF(D11,E11+1,"y")&amp;" سنة "&amp;DATEDIF(D11,E11+1,"ym")&amp;" شهر "&amp;DATEDIF(D11,E11+1,"md")&amp;" يوم"))</f>
        <v>8 سنة 10 شهر 26 يوم</v>
      </c>
      <c r="G11" s="114" t="n">
        <f aca="false">IF($B11="","",MAX(0,E11-D11+1)/cfg_DAYS_Y)</f>
        <v>8.90958904109589</v>
      </c>
      <c r="H11" s="90" t="n">
        <f aca="false">IF($B11="","",الموظفون!$O11)</f>
        <v>17550</v>
      </c>
      <c r="I11" s="90" t="n">
        <f aca="false">IF($B11="","",H11*cfg_EOS_R1*MIN(G11,cfg_EOS_TH))</f>
        <v>43875</v>
      </c>
      <c r="J11" s="90" t="n">
        <f aca="false">IF($B11="","",H11*cfg_EOS_R2*MAX(G11-cfg_EOS_TH,0))</f>
        <v>68613.2876712329</v>
      </c>
      <c r="K11" s="90" t="n">
        <f aca="false">IF($B11="","",I11+J11)</f>
        <v>112488.287671233</v>
      </c>
      <c r="L11" s="91" t="str">
        <f aca="false">IF($B11="","",IF(AND(الموظفون!$X11&lt;&gt;"",الموظفون!$X11&lt;=cfg_VAL_DATE),IF(الموظفون!$Y11="","⚠ حدد السبب",الموظفون!$Y11),"على رأس العمل"))</f>
        <v>على رأس العمل</v>
      </c>
      <c r="M11" s="130" t="n">
        <f aca="false">IF($B11="","",VLOOKUP(G11,cfg_RES,2,TRUE()))</f>
        <v>0.666666666666667</v>
      </c>
      <c r="N11" s="90" t="n">
        <f aca="false">IF($B11="","",K11*M11)</f>
        <v>74992.1917808219</v>
      </c>
      <c r="O11" s="90" t="n">
        <f aca="false">IF($B11="","",IF(L11="استقالة",N11,K11))</f>
        <v>112488.287671233</v>
      </c>
      <c r="P11" s="90" t="n">
        <f aca="false">IF($B11="","",H11*(cfg_EOS_R1*MIN((MAX(0,IF(OR(الموظفون!$X11="",الموظفون!$X11&gt;=cfg_Y_START),cfg_Y_START-1,الموظفون!$X11)-D11+1)/cfg_DAYS_Y),cfg_EOS_TH)+cfg_EOS_R2*MAX((MAX(0,IF(OR(الموظفون!$X11="",الموظفون!$X11&gt;=cfg_Y_START),cfg_Y_START-1,الموظفون!$X11)-D11+1)/cfg_DAYS_Y)-cfg_EOS_TH,0)))</f>
        <v>99361.8493150685</v>
      </c>
      <c r="Q11" s="90" t="n">
        <f aca="false">IF($B11="","",O11-P11)</f>
        <v>13126.4383561644</v>
      </c>
      <c r="R11" s="90" t="n">
        <f aca="false">IF($B11="","",SUMIFS('الحركات الشهرية'!$N$6:$N$1005,'الحركات الشهرية'!$B$6:$B$1005,B11,'الحركات الشهرية'!$A$6:$A$1005,"&lt;="&amp;cfg_VAL_M))</f>
        <v>0</v>
      </c>
      <c r="S11" s="131" t="n">
        <f aca="false">IF($B11="","",P11+Q11-R11)</f>
        <v>112488.287671233</v>
      </c>
      <c r="T11" s="91" t="str">
        <f aca="false">IF($B11="","",IF(S11&lt;-0.01,"✖ صرف أكثر من المستحق",IF(AND(L11&lt;&gt;"على رأس العمل",S11&gt;0.01),"⚠ مستحق لم يُصرف","✔ سليم")))</f>
        <v>✔ سليم</v>
      </c>
    </row>
    <row r="12" customFormat="false" ht="15" hidden="false" customHeight="false" outlineLevel="0" collapsed="false">
      <c r="B12" s="74" t="str">
        <f aca="false">IF(الموظفون!$B12="","",الموظفون!$B12)</f>
        <v>E007</v>
      </c>
      <c r="C12" s="74" t="str">
        <f aca="false">IF($B12="","",الموظفون!$C12)</f>
        <v>خالد يوسف الأحمد</v>
      </c>
      <c r="D12" s="127" t="n">
        <f aca="false">IF($B12="","",الموظفون!$H12)</f>
        <v>44216</v>
      </c>
      <c r="E12" s="127" t="n">
        <f aca="false">IF($B12="","",IF(OR(الموظفون!$X12="",الموظفون!$X12&gt;cfg_VAL_DATE),cfg_VAL_DATE,الموظفون!$X12))</f>
        <v>46295</v>
      </c>
      <c r="F12" s="74" t="str">
        <f aca="false">IF($B12="","",IF(E12&lt;D12,"لم يباشر",DATEDIF(D12,E12+1,"y")&amp;" سنة "&amp;DATEDIF(D12,E12+1,"ym")&amp;" شهر "&amp;DATEDIF(D12,E12+1,"md")&amp;" يوم"))</f>
        <v>5 سنة 8 شهر 11 يوم</v>
      </c>
      <c r="G12" s="109" t="n">
        <f aca="false">IF($B12="","",MAX(0,E12-D12+1)/cfg_DAYS_Y)</f>
        <v>5.6986301369863</v>
      </c>
      <c r="H12" s="86" t="n">
        <f aca="false">IF($B12="","",الموظفون!$O12)</f>
        <v>14850</v>
      </c>
      <c r="I12" s="86" t="n">
        <f aca="false">IF($B12="","",H12*cfg_EOS_R1*MIN(G12,cfg_EOS_TH))</f>
        <v>37125</v>
      </c>
      <c r="J12" s="86" t="n">
        <f aca="false">IF($B12="","",H12*cfg_EOS_R2*MAX(G12-cfg_EOS_TH,0))</f>
        <v>10374.6575342466</v>
      </c>
      <c r="K12" s="86" t="n">
        <f aca="false">IF($B12="","",I12+J12)</f>
        <v>47499.6575342466</v>
      </c>
      <c r="L12" s="74" t="str">
        <f aca="false">IF($B12="","",IF(AND(الموظفون!$X12&lt;&gt;"",الموظفون!$X12&lt;=cfg_VAL_DATE),IF(الموظفون!$Y12="","⚠ حدد السبب",الموظفون!$Y12),"على رأس العمل"))</f>
        <v>على رأس العمل</v>
      </c>
      <c r="M12" s="52" t="n">
        <f aca="false">IF($B12="","",VLOOKUP(G12,cfg_RES,2,TRUE()))</f>
        <v>0.666666666666667</v>
      </c>
      <c r="N12" s="86" t="n">
        <f aca="false">IF($B12="","",K12*M12)</f>
        <v>31666.4383561644</v>
      </c>
      <c r="O12" s="86" t="n">
        <f aca="false">IF($B12="","",IF(L12="استقالة",N12,K12))</f>
        <v>47499.6575342466</v>
      </c>
      <c r="P12" s="86" t="n">
        <f aca="false">IF($B12="","",H12*(cfg_EOS_R1*MIN((MAX(0,IF(OR(الموظفون!$X12="",الموظفون!$X12&gt;=cfg_Y_START),cfg_Y_START-1,الموظفون!$X12)-D12+1)/cfg_DAYS_Y),cfg_EOS_TH)+cfg_EOS_R2*MAX((MAX(0,IF(OR(الموظفون!$X12="",الموظفون!$X12&gt;=cfg_Y_START),cfg_Y_START-1,الموظفون!$X12)-D12+1)/cfg_DAYS_Y)-cfg_EOS_TH,0)))</f>
        <v>36758.8356164384</v>
      </c>
      <c r="Q12" s="86" t="n">
        <f aca="false">IF($B12="","",O12-P12)</f>
        <v>10740.8219178082</v>
      </c>
      <c r="R12" s="86" t="n">
        <f aca="false">IF($B12="","",SUMIFS('الحركات الشهرية'!$N$6:$N$1005,'الحركات الشهرية'!$B$6:$B$1005,B12,'الحركات الشهرية'!$A$6:$A$1005,"&lt;="&amp;cfg_VAL_M))</f>
        <v>0</v>
      </c>
      <c r="S12" s="128" t="n">
        <f aca="false">IF($B12="","",P12+Q12-R12)</f>
        <v>47499.6575342466</v>
      </c>
      <c r="T12" s="74" t="str">
        <f aca="false">IF($B12="","",IF(S12&lt;-0.01,"✖ صرف أكثر من المستحق",IF(AND(L12&lt;&gt;"على رأس العمل",S12&gt;0.01),"⚠ مستحق لم يُصرف","✔ سليم")))</f>
        <v>✔ سليم</v>
      </c>
    </row>
    <row r="13" customFormat="false" ht="15" hidden="false" customHeight="false" outlineLevel="0" collapsed="false">
      <c r="B13" s="91" t="str">
        <f aca="false">IF(الموظفون!$B13="","",الموظفون!$B13)</f>
        <v>E008</v>
      </c>
      <c r="C13" s="91" t="str">
        <f aca="false">IF($B13="","",الموظفون!$C13)</f>
        <v>سارة عبدالرحمن الزهراني</v>
      </c>
      <c r="D13" s="129" t="n">
        <f aca="false">IF($B13="","",الموظفون!$H13)</f>
        <v>44986</v>
      </c>
      <c r="E13" s="129" t="n">
        <f aca="false">IF($B13="","",IF(OR(الموظفون!$X13="",الموظفون!$X13&gt;cfg_VAL_DATE),cfg_VAL_DATE,الموظفون!$X13))</f>
        <v>46295</v>
      </c>
      <c r="F13" s="91" t="str">
        <f aca="false">IF($B13="","",IF(E13&lt;D13,"لم يباشر",DATEDIF(D13,E13+1,"y")&amp;" سنة "&amp;DATEDIF(D13,E13+1,"ym")&amp;" شهر "&amp;DATEDIF(D13,E13+1,"md")&amp;" يوم"))</f>
        <v>3 سنة 7 شهر 0 يوم</v>
      </c>
      <c r="G13" s="114" t="n">
        <f aca="false">IF($B13="","",MAX(0,E13-D13+1)/cfg_DAYS_Y)</f>
        <v>3.58904109589041</v>
      </c>
      <c r="H13" s="90" t="n">
        <f aca="false">IF($B13="","",الموظفون!$O13)</f>
        <v>10125</v>
      </c>
      <c r="I13" s="90" t="n">
        <f aca="false">IF($B13="","",H13*cfg_EOS_R1*MIN(G13,cfg_EOS_TH))</f>
        <v>18169.5205479452</v>
      </c>
      <c r="J13" s="90" t="n">
        <f aca="false">IF($B13="","",H13*cfg_EOS_R2*MAX(G13-cfg_EOS_TH,0))</f>
        <v>0</v>
      </c>
      <c r="K13" s="90" t="n">
        <f aca="false">IF($B13="","",I13+J13)</f>
        <v>18169.5205479452</v>
      </c>
      <c r="L13" s="91" t="str">
        <f aca="false">IF($B13="","",IF(AND(الموظفون!$X13&lt;&gt;"",الموظفون!$X13&lt;=cfg_VAL_DATE),IF(الموظفون!$Y13="","⚠ حدد السبب",الموظفون!$Y13),"على رأس العمل"))</f>
        <v>على رأس العمل</v>
      </c>
      <c r="M13" s="130" t="n">
        <f aca="false">IF($B13="","",VLOOKUP(G13,cfg_RES,2,TRUE()))</f>
        <v>0.333333333333333</v>
      </c>
      <c r="N13" s="90" t="n">
        <f aca="false">IF($B13="","",K13*M13)</f>
        <v>6056.50684931507</v>
      </c>
      <c r="O13" s="90" t="n">
        <f aca="false">IF($B13="","",IF(L13="استقالة",N13,K13))</f>
        <v>18169.5205479452</v>
      </c>
      <c r="P13" s="90" t="n">
        <f aca="false">IF($B13="","",H13*(cfg_EOS_R1*MIN((MAX(0,IF(OR(الموظفون!$X13="",الموظفون!$X13&gt;=cfg_Y_START),cfg_Y_START-1,الموظفون!$X13)-D13+1)/cfg_DAYS_Y),cfg_EOS_TH)+cfg_EOS_R2*MAX((MAX(0,IF(OR(الموظفون!$X13="",الموظفون!$X13&gt;=cfg_Y_START),cfg_Y_START-1,الموظفون!$X13)-D13+1)/cfg_DAYS_Y)-cfg_EOS_TH,0)))</f>
        <v>14383.0479452055</v>
      </c>
      <c r="Q13" s="90" t="n">
        <f aca="false">IF($B13="","",O13-P13)</f>
        <v>3786.47260273973</v>
      </c>
      <c r="R13" s="90" t="n">
        <f aca="false">IF($B13="","",SUMIFS('الحركات الشهرية'!$N$6:$N$1005,'الحركات الشهرية'!$B$6:$B$1005,B13,'الحركات الشهرية'!$A$6:$A$1005,"&lt;="&amp;cfg_VAL_M))</f>
        <v>0</v>
      </c>
      <c r="S13" s="131" t="n">
        <f aca="false">IF($B13="","",P13+Q13-R13)</f>
        <v>18169.5205479452</v>
      </c>
      <c r="T13" s="91" t="str">
        <f aca="false">IF($B13="","",IF(S13&lt;-0.01,"✖ صرف أكثر من المستحق",IF(AND(L13&lt;&gt;"على رأس العمل",S13&gt;0.01),"⚠ مستحق لم يُصرف","✔ سليم")))</f>
        <v>✔ سليم</v>
      </c>
    </row>
    <row r="14" customFormat="false" ht="15" hidden="false" customHeight="false" outlineLevel="0" collapsed="false">
      <c r="B14" s="74" t="str">
        <f aca="false">IF(الموظفون!$B14="","",الموظفون!$B14)</f>
        <v>E009</v>
      </c>
      <c r="C14" s="74" t="str">
        <f aca="false">IF($B14="","",الموظفون!$C14)</f>
        <v>محمد رفيق</v>
      </c>
      <c r="D14" s="127" t="n">
        <f aca="false">IF($B14="","",الموظفون!$H14)</f>
        <v>41869</v>
      </c>
      <c r="E14" s="127" t="n">
        <f aca="false">IF($B14="","",IF(OR(الموظفون!$X14="",الموظفون!$X14&gt;cfg_VAL_DATE),cfg_VAL_DATE,الموظفون!$X14))</f>
        <v>46295</v>
      </c>
      <c r="F14" s="74" t="str">
        <f aca="false">IF($B14="","",IF(E14&lt;D14,"لم يباشر",DATEDIF(D14,E14+1,"y")&amp;" سنة "&amp;DATEDIF(D14,E14+1,"ym")&amp;" شهر "&amp;DATEDIF(D14,E14+1,"md")&amp;" يوم"))</f>
        <v>12 سنة 1 شهر 13 يوم</v>
      </c>
      <c r="G14" s="109" t="n">
        <f aca="false">IF($B14="","",MAX(0,E14-D14+1)/cfg_DAYS_Y)</f>
        <v>12.1287671232877</v>
      </c>
      <c r="H14" s="86" t="n">
        <f aca="false">IF($B14="","",الموظفون!$O14)</f>
        <v>8775</v>
      </c>
      <c r="I14" s="86" t="n">
        <f aca="false">IF($B14="","",H14*cfg_EOS_R1*MIN(G14,cfg_EOS_TH))</f>
        <v>21937.5</v>
      </c>
      <c r="J14" s="86" t="n">
        <f aca="false">IF($B14="","",H14*cfg_EOS_R2*MAX(G14-cfg_EOS_TH,0))</f>
        <v>62554.9315068493</v>
      </c>
      <c r="K14" s="86" t="n">
        <f aca="false">IF($B14="","",I14+J14)</f>
        <v>84492.4315068493</v>
      </c>
      <c r="L14" s="74" t="str">
        <f aca="false">IF($B14="","",IF(AND(الموظفون!$X14&lt;&gt;"",الموظفون!$X14&lt;=cfg_VAL_DATE),IF(الموظفون!$Y14="","⚠ حدد السبب",الموظفون!$Y14),"على رأس العمل"))</f>
        <v>على رأس العمل</v>
      </c>
      <c r="M14" s="52" t="n">
        <f aca="false">IF($B14="","",VLOOKUP(G14,cfg_RES,2,TRUE()))</f>
        <v>1</v>
      </c>
      <c r="N14" s="86" t="n">
        <f aca="false">IF($B14="","",K14*M14)</f>
        <v>84492.4315068493</v>
      </c>
      <c r="O14" s="86" t="n">
        <f aca="false">IF($B14="","",IF(L14="استقالة",N14,K14))</f>
        <v>84492.4315068493</v>
      </c>
      <c r="P14" s="86" t="n">
        <f aca="false">IF($B14="","",H14*(cfg_EOS_R1*MIN((MAX(0,IF(OR(الموظفون!$X14="",الموظفون!$X14&gt;=cfg_Y_START),cfg_Y_START-1,الموظفون!$X14)-D14+1)/cfg_DAYS_Y),cfg_EOS_TH)+cfg_EOS_R2*MAX((MAX(0,IF(OR(الموظفون!$X14="",الموظفون!$X14&gt;=cfg_Y_START),cfg_Y_START-1,الموظفون!$X14)-D14+1)/cfg_DAYS_Y)-cfg_EOS_TH,0)))</f>
        <v>77929.2123287671</v>
      </c>
      <c r="Q14" s="86" t="n">
        <f aca="false">IF($B14="","",O14-P14)</f>
        <v>6563.21917808219</v>
      </c>
      <c r="R14" s="86" t="n">
        <f aca="false">IF($B14="","",SUMIFS('الحركات الشهرية'!$N$6:$N$1005,'الحركات الشهرية'!$B$6:$B$1005,B14,'الحركات الشهرية'!$A$6:$A$1005,"&lt;="&amp;cfg_VAL_M))</f>
        <v>0</v>
      </c>
      <c r="S14" s="128" t="n">
        <f aca="false">IF($B14="","",P14+Q14-R14)</f>
        <v>84492.4315068493</v>
      </c>
      <c r="T14" s="74" t="str">
        <f aca="false">IF($B14="","",IF(S14&lt;-0.01,"✖ صرف أكثر من المستحق",IF(AND(L14&lt;&gt;"على رأس العمل",S14&gt;0.01),"⚠ مستحق لم يُصرف","✔ سليم")))</f>
        <v>✔ سليم</v>
      </c>
    </row>
    <row r="15" customFormat="false" ht="15" hidden="false" customHeight="false" outlineLevel="0" collapsed="false">
      <c r="B15" s="91" t="str">
        <f aca="false">IF(الموظفون!$B15="","",الموظفون!$B15)</f>
        <v>E010</v>
      </c>
      <c r="C15" s="91" t="str">
        <f aca="false">IF($B15="","",الموظفون!$C15)</f>
        <v>ريم سلطان المطيري</v>
      </c>
      <c r="D15" s="129" t="n">
        <f aca="false">IF($B15="","",الموظفون!$H15)</f>
        <v>46127</v>
      </c>
      <c r="E15" s="129" t="n">
        <f aca="false">IF($B15="","",IF(OR(الموظفون!$X15="",الموظفون!$X15&gt;cfg_VAL_DATE),cfg_VAL_DATE,الموظفون!$X15))</f>
        <v>46295</v>
      </c>
      <c r="F15" s="91" t="str">
        <f aca="false">IF($B15="","",IF(E15&lt;D15,"لم يباشر",DATEDIF(D15,E15+1,"y")&amp;" سنة "&amp;DATEDIF(D15,E15+1,"ym")&amp;" شهر "&amp;DATEDIF(D15,E15+1,"md")&amp;" يوم"))</f>
        <v>0 سنة 5 شهر 16 يوم</v>
      </c>
      <c r="G15" s="114" t="n">
        <f aca="false">IF($B15="","",MAX(0,E15-D15+1)/cfg_DAYS_Y)</f>
        <v>0.463013698630137</v>
      </c>
      <c r="H15" s="90" t="n">
        <f aca="false">IF($B15="","",الموظفون!$O15)</f>
        <v>12150</v>
      </c>
      <c r="I15" s="90" t="n">
        <f aca="false">IF($B15="","",H15*cfg_EOS_R1*MIN(G15,cfg_EOS_TH))</f>
        <v>2812.80821917808</v>
      </c>
      <c r="J15" s="90" t="n">
        <f aca="false">IF($B15="","",H15*cfg_EOS_R2*MAX(G15-cfg_EOS_TH,0))</f>
        <v>0</v>
      </c>
      <c r="K15" s="90" t="n">
        <f aca="false">IF($B15="","",I15+J15)</f>
        <v>2812.80821917808</v>
      </c>
      <c r="L15" s="91" t="str">
        <f aca="false">IF($B15="","",IF(AND(الموظفون!$X15&lt;&gt;"",الموظفون!$X15&lt;=cfg_VAL_DATE),IF(الموظفون!$Y15="","⚠ حدد السبب",الموظفون!$Y15),"على رأس العمل"))</f>
        <v>على رأس العمل</v>
      </c>
      <c r="M15" s="130" t="n">
        <f aca="false">IF($B15="","",VLOOKUP(G15,cfg_RES,2,TRUE()))</f>
        <v>0</v>
      </c>
      <c r="N15" s="90" t="n">
        <f aca="false">IF($B15="","",K15*M15)</f>
        <v>0</v>
      </c>
      <c r="O15" s="90" t="n">
        <f aca="false">IF($B15="","",IF(L15="استقالة",N15,K15))</f>
        <v>2812.80821917808</v>
      </c>
      <c r="P15" s="90" t="n">
        <f aca="false">IF($B15="","",H15*(cfg_EOS_R1*MIN((MAX(0,IF(OR(الموظفون!$X15="",الموظفون!$X15&gt;=cfg_Y_START),cfg_Y_START-1,الموظفون!$X15)-D15+1)/cfg_DAYS_Y),cfg_EOS_TH)+cfg_EOS_R2*MAX((MAX(0,IF(OR(الموظفون!$X15="",الموظفون!$X15&gt;=cfg_Y_START),cfg_Y_START-1,الموظفون!$X15)-D15+1)/cfg_DAYS_Y)-cfg_EOS_TH,0)))</f>
        <v>0</v>
      </c>
      <c r="Q15" s="90" t="n">
        <f aca="false">IF($B15="","",O15-P15)</f>
        <v>2812.80821917808</v>
      </c>
      <c r="R15" s="90" t="n">
        <f aca="false">IF($B15="","",SUMIFS('الحركات الشهرية'!$N$6:$N$1005,'الحركات الشهرية'!$B$6:$B$1005,B15,'الحركات الشهرية'!$A$6:$A$1005,"&lt;="&amp;cfg_VAL_M))</f>
        <v>0</v>
      </c>
      <c r="S15" s="131" t="n">
        <f aca="false">IF($B15="","",P15+Q15-R15)</f>
        <v>2812.80821917808</v>
      </c>
      <c r="T15" s="91" t="str">
        <f aca="false">IF($B15="","",IF(S15&lt;-0.01,"✖ صرف أكثر من المستحق",IF(AND(L15&lt;&gt;"على رأس العمل",S15&gt;0.01),"⚠ مستحق لم يُصرف","✔ سليم")))</f>
        <v>✔ سليم</v>
      </c>
    </row>
    <row r="16" customFormat="false" ht="15" hidden="false" customHeight="false" outlineLevel="0" collapsed="false">
      <c r="B16" s="74" t="str">
        <f aca="false">IF(الموظفون!$B16="","",الموظفون!$B16)</f>
        <v>E011</v>
      </c>
      <c r="C16" s="74" t="str">
        <f aca="false">IF($B16="","",الموظفون!$C16)</f>
        <v>جون ماتيو</v>
      </c>
      <c r="D16" s="127" t="n">
        <f aca="false">IF($B16="","",الموظفون!$H16)</f>
        <v>43525</v>
      </c>
      <c r="E16" s="127" t="n">
        <f aca="false">IF($B16="","",IF(OR(الموظفون!$X16="",الموظفون!$X16&gt;cfg_VAL_DATE),cfg_VAL_DATE,الموظفون!$X16))</f>
        <v>46203</v>
      </c>
      <c r="F16" s="74" t="str">
        <f aca="false">IF($B16="","",IF(E16&lt;D16,"لم يباشر",DATEDIF(D16,E16+1,"y")&amp;" سنة "&amp;DATEDIF(D16,E16+1,"ym")&amp;" شهر "&amp;DATEDIF(D16,E16+1,"md")&amp;" يوم"))</f>
        <v>7 سنة 4 شهر 0 يوم</v>
      </c>
      <c r="G16" s="109" t="n">
        <f aca="false">IF($B16="","",MAX(0,E16-D16+1)/cfg_DAYS_Y)</f>
        <v>7.33972602739726</v>
      </c>
      <c r="H16" s="86" t="n">
        <f aca="false">IF($B16="","",الموظفون!$O16)</f>
        <v>6750</v>
      </c>
      <c r="I16" s="86" t="n">
        <f aca="false">IF($B16="","",H16*cfg_EOS_R1*MIN(G16,cfg_EOS_TH))</f>
        <v>16875</v>
      </c>
      <c r="J16" s="86" t="n">
        <f aca="false">IF($B16="","",H16*cfg_EOS_R2*MAX(G16-cfg_EOS_TH,0))</f>
        <v>15793.1506849315</v>
      </c>
      <c r="K16" s="86" t="n">
        <f aca="false">IF($B16="","",I16+J16)</f>
        <v>32668.1506849315</v>
      </c>
      <c r="L16" s="74" t="str">
        <f aca="false">IF($B16="","",IF(AND(الموظفون!$X16&lt;&gt;"",الموظفون!$X16&lt;=cfg_VAL_DATE),IF(الموظفون!$Y16="","⚠ حدد السبب",الموظفون!$Y16),"على رأس العمل"))</f>
        <v>استقالة</v>
      </c>
      <c r="M16" s="52" t="n">
        <f aca="false">IF($B16="","",VLOOKUP(G16,cfg_RES,2,TRUE()))</f>
        <v>0.666666666666667</v>
      </c>
      <c r="N16" s="86" t="n">
        <f aca="false">IF($B16="","",K16*M16)</f>
        <v>21778.7671232877</v>
      </c>
      <c r="O16" s="86" t="n">
        <f aca="false">IF($B16="","",IF(L16="استقالة",N16,K16))</f>
        <v>21778.7671232877</v>
      </c>
      <c r="P16" s="86" t="n">
        <f aca="false">IF($B16="","",H16*(cfg_EOS_R1*MIN((MAX(0,IF(OR(الموظفون!$X16="",الموظفون!$X16&gt;=cfg_Y_START),cfg_Y_START-1,الموظفون!$X16)-D16+1)/cfg_DAYS_Y),cfg_EOS_TH)+cfg_EOS_R2*MAX((MAX(0,IF(OR(الموظفون!$X16="",الموظفون!$X16&gt;=cfg_Y_START),cfg_Y_START-1,الموظفون!$X16)-D16+1)/cfg_DAYS_Y)-cfg_EOS_TH,0)))</f>
        <v>29320.8904109589</v>
      </c>
      <c r="Q16" s="86" t="n">
        <f aca="false">IF($B16="","",O16-P16)</f>
        <v>-7542.12328767124</v>
      </c>
      <c r="R16" s="86" t="n">
        <f aca="false">IF($B16="","",SUMIFS('الحركات الشهرية'!$N$6:$N$1005,'الحركات الشهرية'!$B$6:$B$1005,B16,'الحركات الشهرية'!$A$6:$A$1005,"&lt;="&amp;cfg_VAL_M))</f>
        <v>21778.7671232877</v>
      </c>
      <c r="S16" s="128" t="n">
        <f aca="false">IF($B16="","",P16+Q16-R16)</f>
        <v>0</v>
      </c>
      <c r="T16" s="74" t="str">
        <f aca="false">IF($B16="","",IF(S16&lt;-0.01,"✖ صرف أكثر من المستحق",IF(AND(L16&lt;&gt;"على رأس العمل",S16&gt;0.01),"⚠ مستحق لم يُصرف","✔ سليم")))</f>
        <v>✔ سليم</v>
      </c>
    </row>
    <row r="17" customFormat="false" ht="15" hidden="false" customHeight="false" outlineLevel="0" collapsed="false">
      <c r="B17" s="91" t="str">
        <f aca="false">IF(الموظفون!$B17="","",الموظفون!$B17)</f>
        <v>E012</v>
      </c>
      <c r="C17" s="91" t="str">
        <f aca="false">IF($B17="","",الموظفون!$C17)</f>
        <v>عمر حسين البيشي</v>
      </c>
      <c r="D17" s="129" t="n">
        <f aca="false">IF($B17="","",الموظفون!$H17)</f>
        <v>44752</v>
      </c>
      <c r="E17" s="129" t="n">
        <f aca="false">IF($B17="","",IF(OR(الموظفون!$X17="",الموظفون!$X17&gt;cfg_VAL_DATE),cfg_VAL_DATE,الموظفون!$X17))</f>
        <v>46295</v>
      </c>
      <c r="F17" s="91" t="str">
        <f aca="false">IF($B17="","",IF(E17&lt;D17,"لم يباشر",DATEDIF(D17,E17+1,"y")&amp;" سنة "&amp;DATEDIF(D17,E17+1,"ym")&amp;" شهر "&amp;DATEDIF(D17,E17+1,"md")&amp;" يوم"))</f>
        <v>4 سنة 2 شهر 21 يوم</v>
      </c>
      <c r="G17" s="114" t="n">
        <f aca="false">IF($B17="","",MAX(0,E17-D17+1)/cfg_DAYS_Y)</f>
        <v>4.23013698630137</v>
      </c>
      <c r="H17" s="90" t="n">
        <f aca="false">IF($B17="","",الموظفون!$O17)</f>
        <v>16200</v>
      </c>
      <c r="I17" s="90" t="n">
        <f aca="false">IF($B17="","",H17*cfg_EOS_R1*MIN(G17,cfg_EOS_TH))</f>
        <v>34264.1095890411</v>
      </c>
      <c r="J17" s="90" t="n">
        <f aca="false">IF($B17="","",H17*cfg_EOS_R2*MAX(G17-cfg_EOS_TH,0))</f>
        <v>0</v>
      </c>
      <c r="K17" s="90" t="n">
        <f aca="false">IF($B17="","",I17+J17)</f>
        <v>34264.1095890411</v>
      </c>
      <c r="L17" s="91" t="str">
        <f aca="false">IF($B17="","",IF(AND(الموظفون!$X17&lt;&gt;"",الموظفون!$X17&lt;=cfg_VAL_DATE),IF(الموظفون!$Y17="","⚠ حدد السبب",الموظفون!$Y17),"على رأس العمل"))</f>
        <v>على رأس العمل</v>
      </c>
      <c r="M17" s="130" t="n">
        <f aca="false">IF($B17="","",VLOOKUP(G17,cfg_RES,2,TRUE()))</f>
        <v>0.333333333333333</v>
      </c>
      <c r="N17" s="90" t="n">
        <f aca="false">IF($B17="","",K17*M17)</f>
        <v>11421.3698630137</v>
      </c>
      <c r="O17" s="90" t="n">
        <f aca="false">IF($B17="","",IF(L17="استقالة",N17,K17))</f>
        <v>34264.1095890411</v>
      </c>
      <c r="P17" s="90" t="n">
        <f aca="false">IF($B17="","",H17*(cfg_EOS_R1*MIN((MAX(0,IF(OR(الموظفون!$X17="",الموظفون!$X17&gt;=cfg_Y_START),cfg_Y_START-1,الموظفون!$X17)-D17+1)/cfg_DAYS_Y),cfg_EOS_TH)+cfg_EOS_R2*MAX((MAX(0,IF(OR(الموظفون!$X17="",الموظفون!$X17&gt;=cfg_Y_START),cfg_Y_START-1,الموظفون!$X17)-D17+1)/cfg_DAYS_Y)-cfg_EOS_TH,0)))</f>
        <v>28205.7534246575</v>
      </c>
      <c r="Q17" s="90" t="n">
        <f aca="false">IF($B17="","",O17-P17)</f>
        <v>6058.35616438357</v>
      </c>
      <c r="R17" s="90" t="n">
        <f aca="false">IF($B17="","",SUMIFS('الحركات الشهرية'!$N$6:$N$1005,'الحركات الشهرية'!$B$6:$B$1005,B17,'الحركات الشهرية'!$A$6:$A$1005,"&lt;="&amp;cfg_VAL_M))</f>
        <v>0</v>
      </c>
      <c r="S17" s="131" t="n">
        <f aca="false">IF($B17="","",P17+Q17-R17)</f>
        <v>34264.1095890411</v>
      </c>
      <c r="T17" s="91" t="str">
        <f aca="false">IF($B17="","",IF(S17&lt;-0.01,"✖ صرف أكثر من المستحق",IF(AND(L17&lt;&gt;"على رأس العمل",S17&gt;0.01),"⚠ مستحق لم يُصرف","✔ سليم")))</f>
        <v>✔ سليم</v>
      </c>
    </row>
    <row r="18" customFormat="false" ht="15" hidden="false" customHeight="false" outlineLevel="0" collapsed="false">
      <c r="B18" s="74" t="str">
        <f aca="false">IF(الموظفون!$B18="","",الموظفون!$B18)</f>
        <v/>
      </c>
      <c r="C18" s="74" t="str">
        <f aca="false">IF($B18="","",الموظفون!$C18)</f>
        <v/>
      </c>
      <c r="D18" s="127" t="str">
        <f aca="false">IF($B18="","",الموظفون!$H18)</f>
        <v/>
      </c>
      <c r="E18" s="127" t="str">
        <f aca="false">IF($B18="","",IF(OR(الموظفون!$X18="",الموظفون!$X18&gt;cfg_VAL_DATE),cfg_VAL_DATE,الموظفون!$X18))</f>
        <v/>
      </c>
      <c r="F18" s="74" t="str">
        <f aca="false">IF($B18="","",IF(E18&lt;D18,"لم يباشر",DATEDIF(D18,E18+1,"y")&amp;" سنة "&amp;DATEDIF(D18,E18+1,"ym")&amp;" شهر "&amp;DATEDIF(D18,E18+1,"md")&amp;" يوم"))</f>
        <v/>
      </c>
      <c r="G18" s="109" t="str">
        <f aca="false">IF($B18="","",MAX(0,E18-D18+1)/cfg_DAYS_Y)</f>
        <v/>
      </c>
      <c r="H18" s="86" t="str">
        <f aca="false">IF($B18="","",الموظفون!$O18)</f>
        <v/>
      </c>
      <c r="I18" s="86" t="str">
        <f aca="false">IF($B18="","",H18*cfg_EOS_R1*MIN(G18,cfg_EOS_TH))</f>
        <v/>
      </c>
      <c r="J18" s="86" t="str">
        <f aca="false">IF($B18="","",H18*cfg_EOS_R2*MAX(G18-cfg_EOS_TH,0))</f>
        <v/>
      </c>
      <c r="K18" s="86" t="str">
        <f aca="false">IF($B18="","",I18+J18)</f>
        <v/>
      </c>
      <c r="L18" s="74" t="str">
        <f aca="false">IF($B18="","",IF(AND(الموظفون!$X18&lt;&gt;"",الموظفون!$X18&lt;=cfg_VAL_DATE),IF(الموظفون!$Y18="","⚠ حدد السبب",الموظفون!$Y18),"على رأس العمل"))</f>
        <v/>
      </c>
      <c r="M18" s="52" t="str">
        <f aca="false">IF($B18="","",VLOOKUP(G18,cfg_RES,2,TRUE()))</f>
        <v/>
      </c>
      <c r="N18" s="86" t="str">
        <f aca="false">IF($B18="","",K18*M18)</f>
        <v/>
      </c>
      <c r="O18" s="86" t="str">
        <f aca="false">IF($B18="","",IF(L18="استقالة",N18,K18))</f>
        <v/>
      </c>
      <c r="P18" s="86" t="str">
        <f aca="false">IF($B18="","",H18*(cfg_EOS_R1*MIN((MAX(0,IF(OR(الموظفون!$X18="",الموظفون!$X18&gt;=cfg_Y_START),cfg_Y_START-1,الموظفون!$X18)-D18+1)/cfg_DAYS_Y),cfg_EOS_TH)+cfg_EOS_R2*MAX((MAX(0,IF(OR(الموظفون!$X18="",الموظفون!$X18&gt;=cfg_Y_START),cfg_Y_START-1,الموظفون!$X18)-D18+1)/cfg_DAYS_Y)-cfg_EOS_TH,0)))</f>
        <v/>
      </c>
      <c r="Q18" s="86" t="str">
        <f aca="false">IF($B18="","",O18-P18)</f>
        <v/>
      </c>
      <c r="R18" s="86" t="str">
        <f aca="false">IF($B18="","",SUMIFS('الحركات الشهرية'!$N$6:$N$1005,'الحركات الشهرية'!$B$6:$B$1005,B18,'الحركات الشهرية'!$A$6:$A$1005,"&lt;="&amp;cfg_VAL_M))</f>
        <v/>
      </c>
      <c r="S18" s="128" t="str">
        <f aca="false">IF($B18="","",P18+Q18-R18)</f>
        <v/>
      </c>
      <c r="T18" s="74" t="str">
        <f aca="false">IF($B18="","",IF(S18&lt;-0.01,"✖ صرف أكثر من المستحق",IF(AND(L18&lt;&gt;"على رأس العمل",S18&gt;0.01),"⚠ مستحق لم يُصرف","✔ سليم")))</f>
        <v/>
      </c>
    </row>
    <row r="19" customFormat="false" ht="15" hidden="false" customHeight="false" outlineLevel="0" collapsed="false">
      <c r="B19" s="91" t="str">
        <f aca="false">IF(الموظفون!$B19="","",الموظفون!$B19)</f>
        <v/>
      </c>
      <c r="C19" s="91" t="str">
        <f aca="false">IF($B19="","",الموظفون!$C19)</f>
        <v/>
      </c>
      <c r="D19" s="129" t="str">
        <f aca="false">IF($B19="","",الموظفون!$H19)</f>
        <v/>
      </c>
      <c r="E19" s="129" t="str">
        <f aca="false">IF($B19="","",IF(OR(الموظفون!$X19="",الموظفون!$X19&gt;cfg_VAL_DATE),cfg_VAL_DATE,الموظفون!$X19))</f>
        <v/>
      </c>
      <c r="F19" s="91" t="str">
        <f aca="false">IF($B19="","",IF(E19&lt;D19,"لم يباشر",DATEDIF(D19,E19+1,"y")&amp;" سنة "&amp;DATEDIF(D19,E19+1,"ym")&amp;" شهر "&amp;DATEDIF(D19,E19+1,"md")&amp;" يوم"))</f>
        <v/>
      </c>
      <c r="G19" s="114" t="str">
        <f aca="false">IF($B19="","",MAX(0,E19-D19+1)/cfg_DAYS_Y)</f>
        <v/>
      </c>
      <c r="H19" s="90" t="str">
        <f aca="false">IF($B19="","",الموظفون!$O19)</f>
        <v/>
      </c>
      <c r="I19" s="90" t="str">
        <f aca="false">IF($B19="","",H19*cfg_EOS_R1*MIN(G19,cfg_EOS_TH))</f>
        <v/>
      </c>
      <c r="J19" s="90" t="str">
        <f aca="false">IF($B19="","",H19*cfg_EOS_R2*MAX(G19-cfg_EOS_TH,0))</f>
        <v/>
      </c>
      <c r="K19" s="90" t="str">
        <f aca="false">IF($B19="","",I19+J19)</f>
        <v/>
      </c>
      <c r="L19" s="91" t="str">
        <f aca="false">IF($B19="","",IF(AND(الموظفون!$X19&lt;&gt;"",الموظفون!$X19&lt;=cfg_VAL_DATE),IF(الموظفون!$Y19="","⚠ حدد السبب",الموظفون!$Y19),"على رأس العمل"))</f>
        <v/>
      </c>
      <c r="M19" s="130" t="str">
        <f aca="false">IF($B19="","",VLOOKUP(G19,cfg_RES,2,TRUE()))</f>
        <v/>
      </c>
      <c r="N19" s="90" t="str">
        <f aca="false">IF($B19="","",K19*M19)</f>
        <v/>
      </c>
      <c r="O19" s="90" t="str">
        <f aca="false">IF($B19="","",IF(L19="استقالة",N19,K19))</f>
        <v/>
      </c>
      <c r="P19" s="90" t="str">
        <f aca="false">IF($B19="","",H19*(cfg_EOS_R1*MIN((MAX(0,IF(OR(الموظفون!$X19="",الموظفون!$X19&gt;=cfg_Y_START),cfg_Y_START-1,الموظفون!$X19)-D19+1)/cfg_DAYS_Y),cfg_EOS_TH)+cfg_EOS_R2*MAX((MAX(0,IF(OR(الموظفون!$X19="",الموظفون!$X19&gt;=cfg_Y_START),cfg_Y_START-1,الموظفون!$X19)-D19+1)/cfg_DAYS_Y)-cfg_EOS_TH,0)))</f>
        <v/>
      </c>
      <c r="Q19" s="90" t="str">
        <f aca="false">IF($B19="","",O19-P19)</f>
        <v/>
      </c>
      <c r="R19" s="90" t="str">
        <f aca="false">IF($B19="","",SUMIFS('الحركات الشهرية'!$N$6:$N$1005,'الحركات الشهرية'!$B$6:$B$1005,B19,'الحركات الشهرية'!$A$6:$A$1005,"&lt;="&amp;cfg_VAL_M))</f>
        <v/>
      </c>
      <c r="S19" s="131" t="str">
        <f aca="false">IF($B19="","",P19+Q19-R19)</f>
        <v/>
      </c>
      <c r="T19" s="91" t="str">
        <f aca="false">IF($B19="","",IF(S19&lt;-0.01,"✖ صرف أكثر من المستحق",IF(AND(L19&lt;&gt;"على رأس العمل",S19&gt;0.01),"⚠ مستحق لم يُصرف","✔ سليم")))</f>
        <v/>
      </c>
    </row>
    <row r="20" customFormat="false" ht="15" hidden="false" customHeight="false" outlineLevel="0" collapsed="false">
      <c r="B20" s="74" t="str">
        <f aca="false">IF(الموظفون!$B20="","",الموظفون!$B20)</f>
        <v/>
      </c>
      <c r="C20" s="74" t="str">
        <f aca="false">IF($B20="","",الموظفون!$C20)</f>
        <v/>
      </c>
      <c r="D20" s="127" t="str">
        <f aca="false">IF($B20="","",الموظفون!$H20)</f>
        <v/>
      </c>
      <c r="E20" s="127" t="str">
        <f aca="false">IF($B20="","",IF(OR(الموظفون!$X20="",الموظفون!$X20&gt;cfg_VAL_DATE),cfg_VAL_DATE,الموظفون!$X20))</f>
        <v/>
      </c>
      <c r="F20" s="74" t="str">
        <f aca="false">IF($B20="","",IF(E20&lt;D20,"لم يباشر",DATEDIF(D20,E20+1,"y")&amp;" سنة "&amp;DATEDIF(D20,E20+1,"ym")&amp;" شهر "&amp;DATEDIF(D20,E20+1,"md")&amp;" يوم"))</f>
        <v/>
      </c>
      <c r="G20" s="109" t="str">
        <f aca="false">IF($B20="","",MAX(0,E20-D20+1)/cfg_DAYS_Y)</f>
        <v/>
      </c>
      <c r="H20" s="86" t="str">
        <f aca="false">IF($B20="","",الموظفون!$O20)</f>
        <v/>
      </c>
      <c r="I20" s="86" t="str">
        <f aca="false">IF($B20="","",H20*cfg_EOS_R1*MIN(G20,cfg_EOS_TH))</f>
        <v/>
      </c>
      <c r="J20" s="86" t="str">
        <f aca="false">IF($B20="","",H20*cfg_EOS_R2*MAX(G20-cfg_EOS_TH,0))</f>
        <v/>
      </c>
      <c r="K20" s="86" t="str">
        <f aca="false">IF($B20="","",I20+J20)</f>
        <v/>
      </c>
      <c r="L20" s="74" t="str">
        <f aca="false">IF($B20="","",IF(AND(الموظفون!$X20&lt;&gt;"",الموظفون!$X20&lt;=cfg_VAL_DATE),IF(الموظفون!$Y20="","⚠ حدد السبب",الموظفون!$Y20),"على رأس العمل"))</f>
        <v/>
      </c>
      <c r="M20" s="52" t="str">
        <f aca="false">IF($B20="","",VLOOKUP(G20,cfg_RES,2,TRUE()))</f>
        <v/>
      </c>
      <c r="N20" s="86" t="str">
        <f aca="false">IF($B20="","",K20*M20)</f>
        <v/>
      </c>
      <c r="O20" s="86" t="str">
        <f aca="false">IF($B20="","",IF(L20="استقالة",N20,K20))</f>
        <v/>
      </c>
      <c r="P20" s="86" t="str">
        <f aca="false">IF($B20="","",H20*(cfg_EOS_R1*MIN((MAX(0,IF(OR(الموظفون!$X20="",الموظفون!$X20&gt;=cfg_Y_START),cfg_Y_START-1,الموظفون!$X20)-D20+1)/cfg_DAYS_Y),cfg_EOS_TH)+cfg_EOS_R2*MAX((MAX(0,IF(OR(الموظفون!$X20="",الموظفون!$X20&gt;=cfg_Y_START),cfg_Y_START-1,الموظفون!$X20)-D20+1)/cfg_DAYS_Y)-cfg_EOS_TH,0)))</f>
        <v/>
      </c>
      <c r="Q20" s="86" t="str">
        <f aca="false">IF($B20="","",O20-P20)</f>
        <v/>
      </c>
      <c r="R20" s="86" t="str">
        <f aca="false">IF($B20="","",SUMIFS('الحركات الشهرية'!$N$6:$N$1005,'الحركات الشهرية'!$B$6:$B$1005,B20,'الحركات الشهرية'!$A$6:$A$1005,"&lt;="&amp;cfg_VAL_M))</f>
        <v/>
      </c>
      <c r="S20" s="128" t="str">
        <f aca="false">IF($B20="","",P20+Q20-R20)</f>
        <v/>
      </c>
      <c r="T20" s="74" t="str">
        <f aca="false">IF($B20="","",IF(S20&lt;-0.01,"✖ صرف أكثر من المستحق",IF(AND(L20&lt;&gt;"على رأس العمل",S20&gt;0.01),"⚠ مستحق لم يُصرف","✔ سليم")))</f>
        <v/>
      </c>
    </row>
    <row r="21" customFormat="false" ht="15" hidden="false" customHeight="false" outlineLevel="0" collapsed="false">
      <c r="B21" s="91" t="str">
        <f aca="false">IF(الموظفون!$B21="","",الموظفون!$B21)</f>
        <v/>
      </c>
      <c r="C21" s="91" t="str">
        <f aca="false">IF($B21="","",الموظفون!$C21)</f>
        <v/>
      </c>
      <c r="D21" s="129" t="str">
        <f aca="false">IF($B21="","",الموظفون!$H21)</f>
        <v/>
      </c>
      <c r="E21" s="129" t="str">
        <f aca="false">IF($B21="","",IF(OR(الموظفون!$X21="",الموظفون!$X21&gt;cfg_VAL_DATE),cfg_VAL_DATE,الموظفون!$X21))</f>
        <v/>
      </c>
      <c r="F21" s="91" t="str">
        <f aca="false">IF($B21="","",IF(E21&lt;D21,"لم يباشر",DATEDIF(D21,E21+1,"y")&amp;" سنة "&amp;DATEDIF(D21,E21+1,"ym")&amp;" شهر "&amp;DATEDIF(D21,E21+1,"md")&amp;" يوم"))</f>
        <v/>
      </c>
      <c r="G21" s="114" t="str">
        <f aca="false">IF($B21="","",MAX(0,E21-D21+1)/cfg_DAYS_Y)</f>
        <v/>
      </c>
      <c r="H21" s="90" t="str">
        <f aca="false">IF($B21="","",الموظفون!$O21)</f>
        <v/>
      </c>
      <c r="I21" s="90" t="str">
        <f aca="false">IF($B21="","",H21*cfg_EOS_R1*MIN(G21,cfg_EOS_TH))</f>
        <v/>
      </c>
      <c r="J21" s="90" t="str">
        <f aca="false">IF($B21="","",H21*cfg_EOS_R2*MAX(G21-cfg_EOS_TH,0))</f>
        <v/>
      </c>
      <c r="K21" s="90" t="str">
        <f aca="false">IF($B21="","",I21+J21)</f>
        <v/>
      </c>
      <c r="L21" s="91" t="str">
        <f aca="false">IF($B21="","",IF(AND(الموظفون!$X21&lt;&gt;"",الموظفون!$X21&lt;=cfg_VAL_DATE),IF(الموظفون!$Y21="","⚠ حدد السبب",الموظفون!$Y21),"على رأس العمل"))</f>
        <v/>
      </c>
      <c r="M21" s="130" t="str">
        <f aca="false">IF($B21="","",VLOOKUP(G21,cfg_RES,2,TRUE()))</f>
        <v/>
      </c>
      <c r="N21" s="90" t="str">
        <f aca="false">IF($B21="","",K21*M21)</f>
        <v/>
      </c>
      <c r="O21" s="90" t="str">
        <f aca="false">IF($B21="","",IF(L21="استقالة",N21,K21))</f>
        <v/>
      </c>
      <c r="P21" s="90" t="str">
        <f aca="false">IF($B21="","",H21*(cfg_EOS_R1*MIN((MAX(0,IF(OR(الموظفون!$X21="",الموظفون!$X21&gt;=cfg_Y_START),cfg_Y_START-1,الموظفون!$X21)-D21+1)/cfg_DAYS_Y),cfg_EOS_TH)+cfg_EOS_R2*MAX((MAX(0,IF(OR(الموظفون!$X21="",الموظفون!$X21&gt;=cfg_Y_START),cfg_Y_START-1,الموظفون!$X21)-D21+1)/cfg_DAYS_Y)-cfg_EOS_TH,0)))</f>
        <v/>
      </c>
      <c r="Q21" s="90" t="str">
        <f aca="false">IF($B21="","",O21-P21)</f>
        <v/>
      </c>
      <c r="R21" s="90" t="str">
        <f aca="false">IF($B21="","",SUMIFS('الحركات الشهرية'!$N$6:$N$1005,'الحركات الشهرية'!$B$6:$B$1005,B21,'الحركات الشهرية'!$A$6:$A$1005,"&lt;="&amp;cfg_VAL_M))</f>
        <v/>
      </c>
      <c r="S21" s="131" t="str">
        <f aca="false">IF($B21="","",P21+Q21-R21)</f>
        <v/>
      </c>
      <c r="T21" s="91" t="str">
        <f aca="false">IF($B21="","",IF(S21&lt;-0.01,"✖ صرف أكثر من المستحق",IF(AND(L21&lt;&gt;"على رأس العمل",S21&gt;0.01),"⚠ مستحق لم يُصرف","✔ سليم")))</f>
        <v/>
      </c>
    </row>
    <row r="22" customFormat="false" ht="15" hidden="false" customHeight="false" outlineLevel="0" collapsed="false">
      <c r="B22" s="74" t="str">
        <f aca="false">IF(الموظفون!$B22="","",الموظفون!$B22)</f>
        <v/>
      </c>
      <c r="C22" s="74" t="str">
        <f aca="false">IF($B22="","",الموظفون!$C22)</f>
        <v/>
      </c>
      <c r="D22" s="127" t="str">
        <f aca="false">IF($B22="","",الموظفون!$H22)</f>
        <v/>
      </c>
      <c r="E22" s="127" t="str">
        <f aca="false">IF($B22="","",IF(OR(الموظفون!$X22="",الموظفون!$X22&gt;cfg_VAL_DATE),cfg_VAL_DATE,الموظفون!$X22))</f>
        <v/>
      </c>
      <c r="F22" s="74" t="str">
        <f aca="false">IF($B22="","",IF(E22&lt;D22,"لم يباشر",DATEDIF(D22,E22+1,"y")&amp;" سنة "&amp;DATEDIF(D22,E22+1,"ym")&amp;" شهر "&amp;DATEDIF(D22,E22+1,"md")&amp;" يوم"))</f>
        <v/>
      </c>
      <c r="G22" s="109" t="str">
        <f aca="false">IF($B22="","",MAX(0,E22-D22+1)/cfg_DAYS_Y)</f>
        <v/>
      </c>
      <c r="H22" s="86" t="str">
        <f aca="false">IF($B22="","",الموظفون!$O22)</f>
        <v/>
      </c>
      <c r="I22" s="86" t="str">
        <f aca="false">IF($B22="","",H22*cfg_EOS_R1*MIN(G22,cfg_EOS_TH))</f>
        <v/>
      </c>
      <c r="J22" s="86" t="str">
        <f aca="false">IF($B22="","",H22*cfg_EOS_R2*MAX(G22-cfg_EOS_TH,0))</f>
        <v/>
      </c>
      <c r="K22" s="86" t="str">
        <f aca="false">IF($B22="","",I22+J22)</f>
        <v/>
      </c>
      <c r="L22" s="74" t="str">
        <f aca="false">IF($B22="","",IF(AND(الموظفون!$X22&lt;&gt;"",الموظفون!$X22&lt;=cfg_VAL_DATE),IF(الموظفون!$Y22="","⚠ حدد السبب",الموظفون!$Y22),"على رأس العمل"))</f>
        <v/>
      </c>
      <c r="M22" s="52" t="str">
        <f aca="false">IF($B22="","",VLOOKUP(G22,cfg_RES,2,TRUE()))</f>
        <v/>
      </c>
      <c r="N22" s="86" t="str">
        <f aca="false">IF($B22="","",K22*M22)</f>
        <v/>
      </c>
      <c r="O22" s="86" t="str">
        <f aca="false">IF($B22="","",IF(L22="استقالة",N22,K22))</f>
        <v/>
      </c>
      <c r="P22" s="86" t="str">
        <f aca="false">IF($B22="","",H22*(cfg_EOS_R1*MIN((MAX(0,IF(OR(الموظفون!$X22="",الموظفون!$X22&gt;=cfg_Y_START),cfg_Y_START-1,الموظفون!$X22)-D22+1)/cfg_DAYS_Y),cfg_EOS_TH)+cfg_EOS_R2*MAX((MAX(0,IF(OR(الموظفون!$X22="",الموظفون!$X22&gt;=cfg_Y_START),cfg_Y_START-1,الموظفون!$X22)-D22+1)/cfg_DAYS_Y)-cfg_EOS_TH,0)))</f>
        <v/>
      </c>
      <c r="Q22" s="86" t="str">
        <f aca="false">IF($B22="","",O22-P22)</f>
        <v/>
      </c>
      <c r="R22" s="86" t="str">
        <f aca="false">IF($B22="","",SUMIFS('الحركات الشهرية'!$N$6:$N$1005,'الحركات الشهرية'!$B$6:$B$1005,B22,'الحركات الشهرية'!$A$6:$A$1005,"&lt;="&amp;cfg_VAL_M))</f>
        <v/>
      </c>
      <c r="S22" s="128" t="str">
        <f aca="false">IF($B22="","",P22+Q22-R22)</f>
        <v/>
      </c>
      <c r="T22" s="74" t="str">
        <f aca="false">IF($B22="","",IF(S22&lt;-0.01,"✖ صرف أكثر من المستحق",IF(AND(L22&lt;&gt;"على رأس العمل",S22&gt;0.01),"⚠ مستحق لم يُصرف","✔ سليم")))</f>
        <v/>
      </c>
    </row>
    <row r="23" customFormat="false" ht="15" hidden="false" customHeight="false" outlineLevel="0" collapsed="false">
      <c r="B23" s="91" t="str">
        <f aca="false">IF(الموظفون!$B23="","",الموظفون!$B23)</f>
        <v/>
      </c>
      <c r="C23" s="91" t="str">
        <f aca="false">IF($B23="","",الموظفون!$C23)</f>
        <v/>
      </c>
      <c r="D23" s="129" t="str">
        <f aca="false">IF($B23="","",الموظفون!$H23)</f>
        <v/>
      </c>
      <c r="E23" s="129" t="str">
        <f aca="false">IF($B23="","",IF(OR(الموظفون!$X23="",الموظفون!$X23&gt;cfg_VAL_DATE),cfg_VAL_DATE,الموظفون!$X23))</f>
        <v/>
      </c>
      <c r="F23" s="91" t="str">
        <f aca="false">IF($B23="","",IF(E23&lt;D23,"لم يباشر",DATEDIF(D23,E23+1,"y")&amp;" سنة "&amp;DATEDIF(D23,E23+1,"ym")&amp;" شهر "&amp;DATEDIF(D23,E23+1,"md")&amp;" يوم"))</f>
        <v/>
      </c>
      <c r="G23" s="114" t="str">
        <f aca="false">IF($B23="","",MAX(0,E23-D23+1)/cfg_DAYS_Y)</f>
        <v/>
      </c>
      <c r="H23" s="90" t="str">
        <f aca="false">IF($B23="","",الموظفون!$O23)</f>
        <v/>
      </c>
      <c r="I23" s="90" t="str">
        <f aca="false">IF($B23="","",H23*cfg_EOS_R1*MIN(G23,cfg_EOS_TH))</f>
        <v/>
      </c>
      <c r="J23" s="90" t="str">
        <f aca="false">IF($B23="","",H23*cfg_EOS_R2*MAX(G23-cfg_EOS_TH,0))</f>
        <v/>
      </c>
      <c r="K23" s="90" t="str">
        <f aca="false">IF($B23="","",I23+J23)</f>
        <v/>
      </c>
      <c r="L23" s="91" t="str">
        <f aca="false">IF($B23="","",IF(AND(الموظفون!$X23&lt;&gt;"",الموظفون!$X23&lt;=cfg_VAL_DATE),IF(الموظفون!$Y23="","⚠ حدد السبب",الموظفون!$Y23),"على رأس العمل"))</f>
        <v/>
      </c>
      <c r="M23" s="130" t="str">
        <f aca="false">IF($B23="","",VLOOKUP(G23,cfg_RES,2,TRUE()))</f>
        <v/>
      </c>
      <c r="N23" s="90" t="str">
        <f aca="false">IF($B23="","",K23*M23)</f>
        <v/>
      </c>
      <c r="O23" s="90" t="str">
        <f aca="false">IF($B23="","",IF(L23="استقالة",N23,K23))</f>
        <v/>
      </c>
      <c r="P23" s="90" t="str">
        <f aca="false">IF($B23="","",H23*(cfg_EOS_R1*MIN((MAX(0,IF(OR(الموظفون!$X23="",الموظفون!$X23&gt;=cfg_Y_START),cfg_Y_START-1,الموظفون!$X23)-D23+1)/cfg_DAYS_Y),cfg_EOS_TH)+cfg_EOS_R2*MAX((MAX(0,IF(OR(الموظفون!$X23="",الموظفون!$X23&gt;=cfg_Y_START),cfg_Y_START-1,الموظفون!$X23)-D23+1)/cfg_DAYS_Y)-cfg_EOS_TH,0)))</f>
        <v/>
      </c>
      <c r="Q23" s="90" t="str">
        <f aca="false">IF($B23="","",O23-P23)</f>
        <v/>
      </c>
      <c r="R23" s="90" t="str">
        <f aca="false">IF($B23="","",SUMIFS('الحركات الشهرية'!$N$6:$N$1005,'الحركات الشهرية'!$B$6:$B$1005,B23,'الحركات الشهرية'!$A$6:$A$1005,"&lt;="&amp;cfg_VAL_M))</f>
        <v/>
      </c>
      <c r="S23" s="131" t="str">
        <f aca="false">IF($B23="","",P23+Q23-R23)</f>
        <v/>
      </c>
      <c r="T23" s="91" t="str">
        <f aca="false">IF($B23="","",IF(S23&lt;-0.01,"✖ صرف أكثر من المستحق",IF(AND(L23&lt;&gt;"على رأس العمل",S23&gt;0.01),"⚠ مستحق لم يُصرف","✔ سليم")))</f>
        <v/>
      </c>
    </row>
    <row r="24" customFormat="false" ht="15" hidden="false" customHeight="false" outlineLevel="0" collapsed="false">
      <c r="B24" s="74" t="str">
        <f aca="false">IF(الموظفون!$B24="","",الموظفون!$B24)</f>
        <v/>
      </c>
      <c r="C24" s="74" t="str">
        <f aca="false">IF($B24="","",الموظفون!$C24)</f>
        <v/>
      </c>
      <c r="D24" s="127" t="str">
        <f aca="false">IF($B24="","",الموظفون!$H24)</f>
        <v/>
      </c>
      <c r="E24" s="127" t="str">
        <f aca="false">IF($B24="","",IF(OR(الموظفون!$X24="",الموظفون!$X24&gt;cfg_VAL_DATE),cfg_VAL_DATE,الموظفون!$X24))</f>
        <v/>
      </c>
      <c r="F24" s="74" t="str">
        <f aca="false">IF($B24="","",IF(E24&lt;D24,"لم يباشر",DATEDIF(D24,E24+1,"y")&amp;" سنة "&amp;DATEDIF(D24,E24+1,"ym")&amp;" شهر "&amp;DATEDIF(D24,E24+1,"md")&amp;" يوم"))</f>
        <v/>
      </c>
      <c r="G24" s="109" t="str">
        <f aca="false">IF($B24="","",MAX(0,E24-D24+1)/cfg_DAYS_Y)</f>
        <v/>
      </c>
      <c r="H24" s="86" t="str">
        <f aca="false">IF($B24="","",الموظفون!$O24)</f>
        <v/>
      </c>
      <c r="I24" s="86" t="str">
        <f aca="false">IF($B24="","",H24*cfg_EOS_R1*MIN(G24,cfg_EOS_TH))</f>
        <v/>
      </c>
      <c r="J24" s="86" t="str">
        <f aca="false">IF($B24="","",H24*cfg_EOS_R2*MAX(G24-cfg_EOS_TH,0))</f>
        <v/>
      </c>
      <c r="K24" s="86" t="str">
        <f aca="false">IF($B24="","",I24+J24)</f>
        <v/>
      </c>
      <c r="L24" s="74" t="str">
        <f aca="false">IF($B24="","",IF(AND(الموظفون!$X24&lt;&gt;"",الموظفون!$X24&lt;=cfg_VAL_DATE),IF(الموظفون!$Y24="","⚠ حدد السبب",الموظفون!$Y24),"على رأس العمل"))</f>
        <v/>
      </c>
      <c r="M24" s="52" t="str">
        <f aca="false">IF($B24="","",VLOOKUP(G24,cfg_RES,2,TRUE()))</f>
        <v/>
      </c>
      <c r="N24" s="86" t="str">
        <f aca="false">IF($B24="","",K24*M24)</f>
        <v/>
      </c>
      <c r="O24" s="86" t="str">
        <f aca="false">IF($B24="","",IF(L24="استقالة",N24,K24))</f>
        <v/>
      </c>
      <c r="P24" s="86" t="str">
        <f aca="false">IF($B24="","",H24*(cfg_EOS_R1*MIN((MAX(0,IF(OR(الموظفون!$X24="",الموظفون!$X24&gt;=cfg_Y_START),cfg_Y_START-1,الموظفون!$X24)-D24+1)/cfg_DAYS_Y),cfg_EOS_TH)+cfg_EOS_R2*MAX((MAX(0,IF(OR(الموظفون!$X24="",الموظفون!$X24&gt;=cfg_Y_START),cfg_Y_START-1,الموظفون!$X24)-D24+1)/cfg_DAYS_Y)-cfg_EOS_TH,0)))</f>
        <v/>
      </c>
      <c r="Q24" s="86" t="str">
        <f aca="false">IF($B24="","",O24-P24)</f>
        <v/>
      </c>
      <c r="R24" s="86" t="str">
        <f aca="false">IF($B24="","",SUMIFS('الحركات الشهرية'!$N$6:$N$1005,'الحركات الشهرية'!$B$6:$B$1005,B24,'الحركات الشهرية'!$A$6:$A$1005,"&lt;="&amp;cfg_VAL_M))</f>
        <v/>
      </c>
      <c r="S24" s="128" t="str">
        <f aca="false">IF($B24="","",P24+Q24-R24)</f>
        <v/>
      </c>
      <c r="T24" s="74" t="str">
        <f aca="false">IF($B24="","",IF(S24&lt;-0.01,"✖ صرف أكثر من المستحق",IF(AND(L24&lt;&gt;"على رأس العمل",S24&gt;0.01),"⚠ مستحق لم يُصرف","✔ سليم")))</f>
        <v/>
      </c>
    </row>
    <row r="25" customFormat="false" ht="15" hidden="false" customHeight="false" outlineLevel="0" collapsed="false">
      <c r="B25" s="91" t="str">
        <f aca="false">IF(الموظفون!$B25="","",الموظفون!$B25)</f>
        <v/>
      </c>
      <c r="C25" s="91" t="str">
        <f aca="false">IF($B25="","",الموظفون!$C25)</f>
        <v/>
      </c>
      <c r="D25" s="129" t="str">
        <f aca="false">IF($B25="","",الموظفون!$H25)</f>
        <v/>
      </c>
      <c r="E25" s="129" t="str">
        <f aca="false">IF($B25="","",IF(OR(الموظفون!$X25="",الموظفون!$X25&gt;cfg_VAL_DATE),cfg_VAL_DATE,الموظفون!$X25))</f>
        <v/>
      </c>
      <c r="F25" s="91" t="str">
        <f aca="false">IF($B25="","",IF(E25&lt;D25,"لم يباشر",DATEDIF(D25,E25+1,"y")&amp;" سنة "&amp;DATEDIF(D25,E25+1,"ym")&amp;" شهر "&amp;DATEDIF(D25,E25+1,"md")&amp;" يوم"))</f>
        <v/>
      </c>
      <c r="G25" s="114" t="str">
        <f aca="false">IF($B25="","",MAX(0,E25-D25+1)/cfg_DAYS_Y)</f>
        <v/>
      </c>
      <c r="H25" s="90" t="str">
        <f aca="false">IF($B25="","",الموظفون!$O25)</f>
        <v/>
      </c>
      <c r="I25" s="90" t="str">
        <f aca="false">IF($B25="","",H25*cfg_EOS_R1*MIN(G25,cfg_EOS_TH))</f>
        <v/>
      </c>
      <c r="J25" s="90" t="str">
        <f aca="false">IF($B25="","",H25*cfg_EOS_R2*MAX(G25-cfg_EOS_TH,0))</f>
        <v/>
      </c>
      <c r="K25" s="90" t="str">
        <f aca="false">IF($B25="","",I25+J25)</f>
        <v/>
      </c>
      <c r="L25" s="91" t="str">
        <f aca="false">IF($B25="","",IF(AND(الموظفون!$X25&lt;&gt;"",الموظفون!$X25&lt;=cfg_VAL_DATE),IF(الموظفون!$Y25="","⚠ حدد السبب",الموظفون!$Y25),"على رأس العمل"))</f>
        <v/>
      </c>
      <c r="M25" s="130" t="str">
        <f aca="false">IF($B25="","",VLOOKUP(G25,cfg_RES,2,TRUE()))</f>
        <v/>
      </c>
      <c r="N25" s="90" t="str">
        <f aca="false">IF($B25="","",K25*M25)</f>
        <v/>
      </c>
      <c r="O25" s="90" t="str">
        <f aca="false">IF($B25="","",IF(L25="استقالة",N25,K25))</f>
        <v/>
      </c>
      <c r="P25" s="90" t="str">
        <f aca="false">IF($B25="","",H25*(cfg_EOS_R1*MIN((MAX(0,IF(OR(الموظفون!$X25="",الموظفون!$X25&gt;=cfg_Y_START),cfg_Y_START-1,الموظفون!$X25)-D25+1)/cfg_DAYS_Y),cfg_EOS_TH)+cfg_EOS_R2*MAX((MAX(0,IF(OR(الموظفون!$X25="",الموظفون!$X25&gt;=cfg_Y_START),cfg_Y_START-1,الموظفون!$X25)-D25+1)/cfg_DAYS_Y)-cfg_EOS_TH,0)))</f>
        <v/>
      </c>
      <c r="Q25" s="90" t="str">
        <f aca="false">IF($B25="","",O25-P25)</f>
        <v/>
      </c>
      <c r="R25" s="90" t="str">
        <f aca="false">IF($B25="","",SUMIFS('الحركات الشهرية'!$N$6:$N$1005,'الحركات الشهرية'!$B$6:$B$1005,B25,'الحركات الشهرية'!$A$6:$A$1005,"&lt;="&amp;cfg_VAL_M))</f>
        <v/>
      </c>
      <c r="S25" s="131" t="str">
        <f aca="false">IF($B25="","",P25+Q25-R25)</f>
        <v/>
      </c>
      <c r="T25" s="91" t="str">
        <f aca="false">IF($B25="","",IF(S25&lt;-0.01,"✖ صرف أكثر من المستحق",IF(AND(L25&lt;&gt;"على رأس العمل",S25&gt;0.01),"⚠ مستحق لم يُصرف","✔ سليم")))</f>
        <v/>
      </c>
    </row>
    <row r="26" customFormat="false" ht="15" hidden="false" customHeight="false" outlineLevel="0" collapsed="false">
      <c r="B26" s="74" t="str">
        <f aca="false">IF(الموظفون!$B26="","",الموظفون!$B26)</f>
        <v/>
      </c>
      <c r="C26" s="74" t="str">
        <f aca="false">IF($B26="","",الموظفون!$C26)</f>
        <v/>
      </c>
      <c r="D26" s="127" t="str">
        <f aca="false">IF($B26="","",الموظفون!$H26)</f>
        <v/>
      </c>
      <c r="E26" s="127" t="str">
        <f aca="false">IF($B26="","",IF(OR(الموظفون!$X26="",الموظفون!$X26&gt;cfg_VAL_DATE),cfg_VAL_DATE,الموظفون!$X26))</f>
        <v/>
      </c>
      <c r="F26" s="74" t="str">
        <f aca="false">IF($B26="","",IF(E26&lt;D26,"لم يباشر",DATEDIF(D26,E26+1,"y")&amp;" سنة "&amp;DATEDIF(D26,E26+1,"ym")&amp;" شهر "&amp;DATEDIF(D26,E26+1,"md")&amp;" يوم"))</f>
        <v/>
      </c>
      <c r="G26" s="109" t="str">
        <f aca="false">IF($B26="","",MAX(0,E26-D26+1)/cfg_DAYS_Y)</f>
        <v/>
      </c>
      <c r="H26" s="86" t="str">
        <f aca="false">IF($B26="","",الموظفون!$O26)</f>
        <v/>
      </c>
      <c r="I26" s="86" t="str">
        <f aca="false">IF($B26="","",H26*cfg_EOS_R1*MIN(G26,cfg_EOS_TH))</f>
        <v/>
      </c>
      <c r="J26" s="86" t="str">
        <f aca="false">IF($B26="","",H26*cfg_EOS_R2*MAX(G26-cfg_EOS_TH,0))</f>
        <v/>
      </c>
      <c r="K26" s="86" t="str">
        <f aca="false">IF($B26="","",I26+J26)</f>
        <v/>
      </c>
      <c r="L26" s="74" t="str">
        <f aca="false">IF($B26="","",IF(AND(الموظفون!$X26&lt;&gt;"",الموظفون!$X26&lt;=cfg_VAL_DATE),IF(الموظفون!$Y26="","⚠ حدد السبب",الموظفون!$Y26),"على رأس العمل"))</f>
        <v/>
      </c>
      <c r="M26" s="52" t="str">
        <f aca="false">IF($B26="","",VLOOKUP(G26,cfg_RES,2,TRUE()))</f>
        <v/>
      </c>
      <c r="N26" s="86" t="str">
        <f aca="false">IF($B26="","",K26*M26)</f>
        <v/>
      </c>
      <c r="O26" s="86" t="str">
        <f aca="false">IF($B26="","",IF(L26="استقالة",N26,K26))</f>
        <v/>
      </c>
      <c r="P26" s="86" t="str">
        <f aca="false">IF($B26="","",H26*(cfg_EOS_R1*MIN((MAX(0,IF(OR(الموظفون!$X26="",الموظفون!$X26&gt;=cfg_Y_START),cfg_Y_START-1,الموظفون!$X26)-D26+1)/cfg_DAYS_Y),cfg_EOS_TH)+cfg_EOS_R2*MAX((MAX(0,IF(OR(الموظفون!$X26="",الموظفون!$X26&gt;=cfg_Y_START),cfg_Y_START-1,الموظفون!$X26)-D26+1)/cfg_DAYS_Y)-cfg_EOS_TH,0)))</f>
        <v/>
      </c>
      <c r="Q26" s="86" t="str">
        <f aca="false">IF($B26="","",O26-P26)</f>
        <v/>
      </c>
      <c r="R26" s="86" t="str">
        <f aca="false">IF($B26="","",SUMIFS('الحركات الشهرية'!$N$6:$N$1005,'الحركات الشهرية'!$B$6:$B$1005,B26,'الحركات الشهرية'!$A$6:$A$1005,"&lt;="&amp;cfg_VAL_M))</f>
        <v/>
      </c>
      <c r="S26" s="128" t="str">
        <f aca="false">IF($B26="","",P26+Q26-R26)</f>
        <v/>
      </c>
      <c r="T26" s="74" t="str">
        <f aca="false">IF($B26="","",IF(S26&lt;-0.01,"✖ صرف أكثر من المستحق",IF(AND(L26&lt;&gt;"على رأس العمل",S26&gt;0.01),"⚠ مستحق لم يُصرف","✔ سليم")))</f>
        <v/>
      </c>
    </row>
    <row r="27" customFormat="false" ht="15" hidden="false" customHeight="false" outlineLevel="0" collapsed="false">
      <c r="B27" s="91" t="str">
        <f aca="false">IF(الموظفون!$B27="","",الموظفون!$B27)</f>
        <v/>
      </c>
      <c r="C27" s="91" t="str">
        <f aca="false">IF($B27="","",الموظفون!$C27)</f>
        <v/>
      </c>
      <c r="D27" s="129" t="str">
        <f aca="false">IF($B27="","",الموظفون!$H27)</f>
        <v/>
      </c>
      <c r="E27" s="129" t="str">
        <f aca="false">IF($B27="","",IF(OR(الموظفون!$X27="",الموظفون!$X27&gt;cfg_VAL_DATE),cfg_VAL_DATE,الموظفون!$X27))</f>
        <v/>
      </c>
      <c r="F27" s="91" t="str">
        <f aca="false">IF($B27="","",IF(E27&lt;D27,"لم يباشر",DATEDIF(D27,E27+1,"y")&amp;" سنة "&amp;DATEDIF(D27,E27+1,"ym")&amp;" شهر "&amp;DATEDIF(D27,E27+1,"md")&amp;" يوم"))</f>
        <v/>
      </c>
      <c r="G27" s="114" t="str">
        <f aca="false">IF($B27="","",MAX(0,E27-D27+1)/cfg_DAYS_Y)</f>
        <v/>
      </c>
      <c r="H27" s="90" t="str">
        <f aca="false">IF($B27="","",الموظفون!$O27)</f>
        <v/>
      </c>
      <c r="I27" s="90" t="str">
        <f aca="false">IF($B27="","",H27*cfg_EOS_R1*MIN(G27,cfg_EOS_TH))</f>
        <v/>
      </c>
      <c r="J27" s="90" t="str">
        <f aca="false">IF($B27="","",H27*cfg_EOS_R2*MAX(G27-cfg_EOS_TH,0))</f>
        <v/>
      </c>
      <c r="K27" s="90" t="str">
        <f aca="false">IF($B27="","",I27+J27)</f>
        <v/>
      </c>
      <c r="L27" s="91" t="str">
        <f aca="false">IF($B27="","",IF(AND(الموظفون!$X27&lt;&gt;"",الموظفون!$X27&lt;=cfg_VAL_DATE),IF(الموظفون!$Y27="","⚠ حدد السبب",الموظفون!$Y27),"على رأس العمل"))</f>
        <v/>
      </c>
      <c r="M27" s="130" t="str">
        <f aca="false">IF($B27="","",VLOOKUP(G27,cfg_RES,2,TRUE()))</f>
        <v/>
      </c>
      <c r="N27" s="90" t="str">
        <f aca="false">IF($B27="","",K27*M27)</f>
        <v/>
      </c>
      <c r="O27" s="90" t="str">
        <f aca="false">IF($B27="","",IF(L27="استقالة",N27,K27))</f>
        <v/>
      </c>
      <c r="P27" s="90" t="str">
        <f aca="false">IF($B27="","",H27*(cfg_EOS_R1*MIN((MAX(0,IF(OR(الموظفون!$X27="",الموظفون!$X27&gt;=cfg_Y_START),cfg_Y_START-1,الموظفون!$X27)-D27+1)/cfg_DAYS_Y),cfg_EOS_TH)+cfg_EOS_R2*MAX((MAX(0,IF(OR(الموظفون!$X27="",الموظفون!$X27&gt;=cfg_Y_START),cfg_Y_START-1,الموظفون!$X27)-D27+1)/cfg_DAYS_Y)-cfg_EOS_TH,0)))</f>
        <v/>
      </c>
      <c r="Q27" s="90" t="str">
        <f aca="false">IF($B27="","",O27-P27)</f>
        <v/>
      </c>
      <c r="R27" s="90" t="str">
        <f aca="false">IF($B27="","",SUMIFS('الحركات الشهرية'!$N$6:$N$1005,'الحركات الشهرية'!$B$6:$B$1005,B27,'الحركات الشهرية'!$A$6:$A$1005,"&lt;="&amp;cfg_VAL_M))</f>
        <v/>
      </c>
      <c r="S27" s="131" t="str">
        <f aca="false">IF($B27="","",P27+Q27-R27)</f>
        <v/>
      </c>
      <c r="T27" s="91" t="str">
        <f aca="false">IF($B27="","",IF(S27&lt;-0.01,"✖ صرف أكثر من المستحق",IF(AND(L27&lt;&gt;"على رأس العمل",S27&gt;0.01),"⚠ مستحق لم يُصرف","✔ سليم")))</f>
        <v/>
      </c>
    </row>
    <row r="28" customFormat="false" ht="15" hidden="false" customHeight="false" outlineLevel="0" collapsed="false">
      <c r="B28" s="74" t="str">
        <f aca="false">IF(الموظفون!$B28="","",الموظفون!$B28)</f>
        <v/>
      </c>
      <c r="C28" s="74" t="str">
        <f aca="false">IF($B28="","",الموظفون!$C28)</f>
        <v/>
      </c>
      <c r="D28" s="127" t="str">
        <f aca="false">IF($B28="","",الموظفون!$H28)</f>
        <v/>
      </c>
      <c r="E28" s="127" t="str">
        <f aca="false">IF($B28="","",IF(OR(الموظفون!$X28="",الموظفون!$X28&gt;cfg_VAL_DATE),cfg_VAL_DATE,الموظفون!$X28))</f>
        <v/>
      </c>
      <c r="F28" s="74" t="str">
        <f aca="false">IF($B28="","",IF(E28&lt;D28,"لم يباشر",DATEDIF(D28,E28+1,"y")&amp;" سنة "&amp;DATEDIF(D28,E28+1,"ym")&amp;" شهر "&amp;DATEDIF(D28,E28+1,"md")&amp;" يوم"))</f>
        <v/>
      </c>
      <c r="G28" s="109" t="str">
        <f aca="false">IF($B28="","",MAX(0,E28-D28+1)/cfg_DAYS_Y)</f>
        <v/>
      </c>
      <c r="H28" s="86" t="str">
        <f aca="false">IF($B28="","",الموظفون!$O28)</f>
        <v/>
      </c>
      <c r="I28" s="86" t="str">
        <f aca="false">IF($B28="","",H28*cfg_EOS_R1*MIN(G28,cfg_EOS_TH))</f>
        <v/>
      </c>
      <c r="J28" s="86" t="str">
        <f aca="false">IF($B28="","",H28*cfg_EOS_R2*MAX(G28-cfg_EOS_TH,0))</f>
        <v/>
      </c>
      <c r="K28" s="86" t="str">
        <f aca="false">IF($B28="","",I28+J28)</f>
        <v/>
      </c>
      <c r="L28" s="74" t="str">
        <f aca="false">IF($B28="","",IF(AND(الموظفون!$X28&lt;&gt;"",الموظفون!$X28&lt;=cfg_VAL_DATE),IF(الموظفون!$Y28="","⚠ حدد السبب",الموظفون!$Y28),"على رأس العمل"))</f>
        <v/>
      </c>
      <c r="M28" s="52" t="str">
        <f aca="false">IF($B28="","",VLOOKUP(G28,cfg_RES,2,TRUE()))</f>
        <v/>
      </c>
      <c r="N28" s="86" t="str">
        <f aca="false">IF($B28="","",K28*M28)</f>
        <v/>
      </c>
      <c r="O28" s="86" t="str">
        <f aca="false">IF($B28="","",IF(L28="استقالة",N28,K28))</f>
        <v/>
      </c>
      <c r="P28" s="86" t="str">
        <f aca="false">IF($B28="","",H28*(cfg_EOS_R1*MIN((MAX(0,IF(OR(الموظفون!$X28="",الموظفون!$X28&gt;=cfg_Y_START),cfg_Y_START-1,الموظفون!$X28)-D28+1)/cfg_DAYS_Y),cfg_EOS_TH)+cfg_EOS_R2*MAX((MAX(0,IF(OR(الموظفون!$X28="",الموظفون!$X28&gt;=cfg_Y_START),cfg_Y_START-1,الموظفون!$X28)-D28+1)/cfg_DAYS_Y)-cfg_EOS_TH,0)))</f>
        <v/>
      </c>
      <c r="Q28" s="86" t="str">
        <f aca="false">IF($B28="","",O28-P28)</f>
        <v/>
      </c>
      <c r="R28" s="86" t="str">
        <f aca="false">IF($B28="","",SUMIFS('الحركات الشهرية'!$N$6:$N$1005,'الحركات الشهرية'!$B$6:$B$1005,B28,'الحركات الشهرية'!$A$6:$A$1005,"&lt;="&amp;cfg_VAL_M))</f>
        <v/>
      </c>
      <c r="S28" s="128" t="str">
        <f aca="false">IF($B28="","",P28+Q28-R28)</f>
        <v/>
      </c>
      <c r="T28" s="74" t="str">
        <f aca="false">IF($B28="","",IF(S28&lt;-0.01,"✖ صرف أكثر من المستحق",IF(AND(L28&lt;&gt;"على رأس العمل",S28&gt;0.01),"⚠ مستحق لم يُصرف","✔ سليم")))</f>
        <v/>
      </c>
    </row>
    <row r="29" customFormat="false" ht="15" hidden="false" customHeight="false" outlineLevel="0" collapsed="false">
      <c r="B29" s="91" t="str">
        <f aca="false">IF(الموظفون!$B29="","",الموظفون!$B29)</f>
        <v/>
      </c>
      <c r="C29" s="91" t="str">
        <f aca="false">IF($B29="","",الموظفون!$C29)</f>
        <v/>
      </c>
      <c r="D29" s="129" t="str">
        <f aca="false">IF($B29="","",الموظفون!$H29)</f>
        <v/>
      </c>
      <c r="E29" s="129" t="str">
        <f aca="false">IF($B29="","",IF(OR(الموظفون!$X29="",الموظفون!$X29&gt;cfg_VAL_DATE),cfg_VAL_DATE,الموظفون!$X29))</f>
        <v/>
      </c>
      <c r="F29" s="91" t="str">
        <f aca="false">IF($B29="","",IF(E29&lt;D29,"لم يباشر",DATEDIF(D29,E29+1,"y")&amp;" سنة "&amp;DATEDIF(D29,E29+1,"ym")&amp;" شهر "&amp;DATEDIF(D29,E29+1,"md")&amp;" يوم"))</f>
        <v/>
      </c>
      <c r="G29" s="114" t="str">
        <f aca="false">IF($B29="","",MAX(0,E29-D29+1)/cfg_DAYS_Y)</f>
        <v/>
      </c>
      <c r="H29" s="90" t="str">
        <f aca="false">IF($B29="","",الموظفون!$O29)</f>
        <v/>
      </c>
      <c r="I29" s="90" t="str">
        <f aca="false">IF($B29="","",H29*cfg_EOS_R1*MIN(G29,cfg_EOS_TH))</f>
        <v/>
      </c>
      <c r="J29" s="90" t="str">
        <f aca="false">IF($B29="","",H29*cfg_EOS_R2*MAX(G29-cfg_EOS_TH,0))</f>
        <v/>
      </c>
      <c r="K29" s="90" t="str">
        <f aca="false">IF($B29="","",I29+J29)</f>
        <v/>
      </c>
      <c r="L29" s="91" t="str">
        <f aca="false">IF($B29="","",IF(AND(الموظفون!$X29&lt;&gt;"",الموظفون!$X29&lt;=cfg_VAL_DATE),IF(الموظفون!$Y29="","⚠ حدد السبب",الموظفون!$Y29),"على رأس العمل"))</f>
        <v/>
      </c>
      <c r="M29" s="130" t="str">
        <f aca="false">IF($B29="","",VLOOKUP(G29,cfg_RES,2,TRUE()))</f>
        <v/>
      </c>
      <c r="N29" s="90" t="str">
        <f aca="false">IF($B29="","",K29*M29)</f>
        <v/>
      </c>
      <c r="O29" s="90" t="str">
        <f aca="false">IF($B29="","",IF(L29="استقالة",N29,K29))</f>
        <v/>
      </c>
      <c r="P29" s="90" t="str">
        <f aca="false">IF($B29="","",H29*(cfg_EOS_R1*MIN((MAX(0,IF(OR(الموظفون!$X29="",الموظفون!$X29&gt;=cfg_Y_START),cfg_Y_START-1,الموظفون!$X29)-D29+1)/cfg_DAYS_Y),cfg_EOS_TH)+cfg_EOS_R2*MAX((MAX(0,IF(OR(الموظفون!$X29="",الموظفون!$X29&gt;=cfg_Y_START),cfg_Y_START-1,الموظفون!$X29)-D29+1)/cfg_DAYS_Y)-cfg_EOS_TH,0)))</f>
        <v/>
      </c>
      <c r="Q29" s="90" t="str">
        <f aca="false">IF($B29="","",O29-P29)</f>
        <v/>
      </c>
      <c r="R29" s="90" t="str">
        <f aca="false">IF($B29="","",SUMIFS('الحركات الشهرية'!$N$6:$N$1005,'الحركات الشهرية'!$B$6:$B$1005,B29,'الحركات الشهرية'!$A$6:$A$1005,"&lt;="&amp;cfg_VAL_M))</f>
        <v/>
      </c>
      <c r="S29" s="131" t="str">
        <f aca="false">IF($B29="","",P29+Q29-R29)</f>
        <v/>
      </c>
      <c r="T29" s="91" t="str">
        <f aca="false">IF($B29="","",IF(S29&lt;-0.01,"✖ صرف أكثر من المستحق",IF(AND(L29&lt;&gt;"على رأس العمل",S29&gt;0.01),"⚠ مستحق لم يُصرف","✔ سليم")))</f>
        <v/>
      </c>
    </row>
    <row r="30" customFormat="false" ht="15" hidden="false" customHeight="false" outlineLevel="0" collapsed="false">
      <c r="B30" s="74" t="str">
        <f aca="false">IF(الموظفون!$B30="","",الموظفون!$B30)</f>
        <v/>
      </c>
      <c r="C30" s="74" t="str">
        <f aca="false">IF($B30="","",الموظفون!$C30)</f>
        <v/>
      </c>
      <c r="D30" s="127" t="str">
        <f aca="false">IF($B30="","",الموظفون!$H30)</f>
        <v/>
      </c>
      <c r="E30" s="127" t="str">
        <f aca="false">IF($B30="","",IF(OR(الموظفون!$X30="",الموظفون!$X30&gt;cfg_VAL_DATE),cfg_VAL_DATE,الموظفون!$X30))</f>
        <v/>
      </c>
      <c r="F30" s="74" t="str">
        <f aca="false">IF($B30="","",IF(E30&lt;D30,"لم يباشر",DATEDIF(D30,E30+1,"y")&amp;" سنة "&amp;DATEDIF(D30,E30+1,"ym")&amp;" شهر "&amp;DATEDIF(D30,E30+1,"md")&amp;" يوم"))</f>
        <v/>
      </c>
      <c r="G30" s="109" t="str">
        <f aca="false">IF($B30="","",MAX(0,E30-D30+1)/cfg_DAYS_Y)</f>
        <v/>
      </c>
      <c r="H30" s="86" t="str">
        <f aca="false">IF($B30="","",الموظفون!$O30)</f>
        <v/>
      </c>
      <c r="I30" s="86" t="str">
        <f aca="false">IF($B30="","",H30*cfg_EOS_R1*MIN(G30,cfg_EOS_TH))</f>
        <v/>
      </c>
      <c r="J30" s="86" t="str">
        <f aca="false">IF($B30="","",H30*cfg_EOS_R2*MAX(G30-cfg_EOS_TH,0))</f>
        <v/>
      </c>
      <c r="K30" s="86" t="str">
        <f aca="false">IF($B30="","",I30+J30)</f>
        <v/>
      </c>
      <c r="L30" s="74" t="str">
        <f aca="false">IF($B30="","",IF(AND(الموظفون!$X30&lt;&gt;"",الموظفون!$X30&lt;=cfg_VAL_DATE),IF(الموظفون!$Y30="","⚠ حدد السبب",الموظفون!$Y30),"على رأس العمل"))</f>
        <v/>
      </c>
      <c r="M30" s="52" t="str">
        <f aca="false">IF($B30="","",VLOOKUP(G30,cfg_RES,2,TRUE()))</f>
        <v/>
      </c>
      <c r="N30" s="86" t="str">
        <f aca="false">IF($B30="","",K30*M30)</f>
        <v/>
      </c>
      <c r="O30" s="86" t="str">
        <f aca="false">IF($B30="","",IF(L30="استقالة",N30,K30))</f>
        <v/>
      </c>
      <c r="P30" s="86" t="str">
        <f aca="false">IF($B30="","",H30*(cfg_EOS_R1*MIN((MAX(0,IF(OR(الموظفون!$X30="",الموظفون!$X30&gt;=cfg_Y_START),cfg_Y_START-1,الموظفون!$X30)-D30+1)/cfg_DAYS_Y),cfg_EOS_TH)+cfg_EOS_R2*MAX((MAX(0,IF(OR(الموظفون!$X30="",الموظفون!$X30&gt;=cfg_Y_START),cfg_Y_START-1,الموظفون!$X30)-D30+1)/cfg_DAYS_Y)-cfg_EOS_TH,0)))</f>
        <v/>
      </c>
      <c r="Q30" s="86" t="str">
        <f aca="false">IF($B30="","",O30-P30)</f>
        <v/>
      </c>
      <c r="R30" s="86" t="str">
        <f aca="false">IF($B30="","",SUMIFS('الحركات الشهرية'!$N$6:$N$1005,'الحركات الشهرية'!$B$6:$B$1005,B30,'الحركات الشهرية'!$A$6:$A$1005,"&lt;="&amp;cfg_VAL_M))</f>
        <v/>
      </c>
      <c r="S30" s="128" t="str">
        <f aca="false">IF($B30="","",P30+Q30-R30)</f>
        <v/>
      </c>
      <c r="T30" s="74" t="str">
        <f aca="false">IF($B30="","",IF(S30&lt;-0.01,"✖ صرف أكثر من المستحق",IF(AND(L30&lt;&gt;"على رأس العمل",S30&gt;0.01),"⚠ مستحق لم يُصرف","✔ سليم")))</f>
        <v/>
      </c>
    </row>
    <row r="31" customFormat="false" ht="15" hidden="false" customHeight="false" outlineLevel="0" collapsed="false">
      <c r="B31" s="91" t="str">
        <f aca="false">IF(الموظفون!$B31="","",الموظفون!$B31)</f>
        <v/>
      </c>
      <c r="C31" s="91" t="str">
        <f aca="false">IF($B31="","",الموظفون!$C31)</f>
        <v/>
      </c>
      <c r="D31" s="129" t="str">
        <f aca="false">IF($B31="","",الموظفون!$H31)</f>
        <v/>
      </c>
      <c r="E31" s="129" t="str">
        <f aca="false">IF($B31="","",IF(OR(الموظفون!$X31="",الموظفون!$X31&gt;cfg_VAL_DATE),cfg_VAL_DATE,الموظفون!$X31))</f>
        <v/>
      </c>
      <c r="F31" s="91" t="str">
        <f aca="false">IF($B31="","",IF(E31&lt;D31,"لم يباشر",DATEDIF(D31,E31+1,"y")&amp;" سنة "&amp;DATEDIF(D31,E31+1,"ym")&amp;" شهر "&amp;DATEDIF(D31,E31+1,"md")&amp;" يوم"))</f>
        <v/>
      </c>
      <c r="G31" s="114" t="str">
        <f aca="false">IF($B31="","",MAX(0,E31-D31+1)/cfg_DAYS_Y)</f>
        <v/>
      </c>
      <c r="H31" s="90" t="str">
        <f aca="false">IF($B31="","",الموظفون!$O31)</f>
        <v/>
      </c>
      <c r="I31" s="90" t="str">
        <f aca="false">IF($B31="","",H31*cfg_EOS_R1*MIN(G31,cfg_EOS_TH))</f>
        <v/>
      </c>
      <c r="J31" s="90" t="str">
        <f aca="false">IF($B31="","",H31*cfg_EOS_R2*MAX(G31-cfg_EOS_TH,0))</f>
        <v/>
      </c>
      <c r="K31" s="90" t="str">
        <f aca="false">IF($B31="","",I31+J31)</f>
        <v/>
      </c>
      <c r="L31" s="91" t="str">
        <f aca="false">IF($B31="","",IF(AND(الموظفون!$X31&lt;&gt;"",الموظفون!$X31&lt;=cfg_VAL_DATE),IF(الموظفون!$Y31="","⚠ حدد السبب",الموظفون!$Y31),"على رأس العمل"))</f>
        <v/>
      </c>
      <c r="M31" s="130" t="str">
        <f aca="false">IF($B31="","",VLOOKUP(G31,cfg_RES,2,TRUE()))</f>
        <v/>
      </c>
      <c r="N31" s="90" t="str">
        <f aca="false">IF($B31="","",K31*M31)</f>
        <v/>
      </c>
      <c r="O31" s="90" t="str">
        <f aca="false">IF($B31="","",IF(L31="استقالة",N31,K31))</f>
        <v/>
      </c>
      <c r="P31" s="90" t="str">
        <f aca="false">IF($B31="","",H31*(cfg_EOS_R1*MIN((MAX(0,IF(OR(الموظفون!$X31="",الموظفون!$X31&gt;=cfg_Y_START),cfg_Y_START-1,الموظفون!$X31)-D31+1)/cfg_DAYS_Y),cfg_EOS_TH)+cfg_EOS_R2*MAX((MAX(0,IF(OR(الموظفون!$X31="",الموظفون!$X31&gt;=cfg_Y_START),cfg_Y_START-1,الموظفون!$X31)-D31+1)/cfg_DAYS_Y)-cfg_EOS_TH,0)))</f>
        <v/>
      </c>
      <c r="Q31" s="90" t="str">
        <f aca="false">IF($B31="","",O31-P31)</f>
        <v/>
      </c>
      <c r="R31" s="90" t="str">
        <f aca="false">IF($B31="","",SUMIFS('الحركات الشهرية'!$N$6:$N$1005,'الحركات الشهرية'!$B$6:$B$1005,B31,'الحركات الشهرية'!$A$6:$A$1005,"&lt;="&amp;cfg_VAL_M))</f>
        <v/>
      </c>
      <c r="S31" s="131" t="str">
        <f aca="false">IF($B31="","",P31+Q31-R31)</f>
        <v/>
      </c>
      <c r="T31" s="91" t="str">
        <f aca="false">IF($B31="","",IF(S31&lt;-0.01,"✖ صرف أكثر من المستحق",IF(AND(L31&lt;&gt;"على رأس العمل",S31&gt;0.01),"⚠ مستحق لم يُصرف","✔ سليم")))</f>
        <v/>
      </c>
    </row>
    <row r="32" customFormat="false" ht="15" hidden="false" customHeight="false" outlineLevel="0" collapsed="false">
      <c r="B32" s="74" t="str">
        <f aca="false">IF(الموظفون!$B32="","",الموظفون!$B32)</f>
        <v/>
      </c>
      <c r="C32" s="74" t="str">
        <f aca="false">IF($B32="","",الموظفون!$C32)</f>
        <v/>
      </c>
      <c r="D32" s="127" t="str">
        <f aca="false">IF($B32="","",الموظفون!$H32)</f>
        <v/>
      </c>
      <c r="E32" s="127" t="str">
        <f aca="false">IF($B32="","",IF(OR(الموظفون!$X32="",الموظفون!$X32&gt;cfg_VAL_DATE),cfg_VAL_DATE,الموظفون!$X32))</f>
        <v/>
      </c>
      <c r="F32" s="74" t="str">
        <f aca="false">IF($B32="","",IF(E32&lt;D32,"لم يباشر",DATEDIF(D32,E32+1,"y")&amp;" سنة "&amp;DATEDIF(D32,E32+1,"ym")&amp;" شهر "&amp;DATEDIF(D32,E32+1,"md")&amp;" يوم"))</f>
        <v/>
      </c>
      <c r="G32" s="109" t="str">
        <f aca="false">IF($B32="","",MAX(0,E32-D32+1)/cfg_DAYS_Y)</f>
        <v/>
      </c>
      <c r="H32" s="86" t="str">
        <f aca="false">IF($B32="","",الموظفون!$O32)</f>
        <v/>
      </c>
      <c r="I32" s="86" t="str">
        <f aca="false">IF($B32="","",H32*cfg_EOS_R1*MIN(G32,cfg_EOS_TH))</f>
        <v/>
      </c>
      <c r="J32" s="86" t="str">
        <f aca="false">IF($B32="","",H32*cfg_EOS_R2*MAX(G32-cfg_EOS_TH,0))</f>
        <v/>
      </c>
      <c r="K32" s="86" t="str">
        <f aca="false">IF($B32="","",I32+J32)</f>
        <v/>
      </c>
      <c r="L32" s="74" t="str">
        <f aca="false">IF($B32="","",IF(AND(الموظفون!$X32&lt;&gt;"",الموظفون!$X32&lt;=cfg_VAL_DATE),IF(الموظفون!$Y32="","⚠ حدد السبب",الموظفون!$Y32),"على رأس العمل"))</f>
        <v/>
      </c>
      <c r="M32" s="52" t="str">
        <f aca="false">IF($B32="","",VLOOKUP(G32,cfg_RES,2,TRUE()))</f>
        <v/>
      </c>
      <c r="N32" s="86" t="str">
        <f aca="false">IF($B32="","",K32*M32)</f>
        <v/>
      </c>
      <c r="O32" s="86" t="str">
        <f aca="false">IF($B32="","",IF(L32="استقالة",N32,K32))</f>
        <v/>
      </c>
      <c r="P32" s="86" t="str">
        <f aca="false">IF($B32="","",H32*(cfg_EOS_R1*MIN((MAX(0,IF(OR(الموظفون!$X32="",الموظفون!$X32&gt;=cfg_Y_START),cfg_Y_START-1,الموظفون!$X32)-D32+1)/cfg_DAYS_Y),cfg_EOS_TH)+cfg_EOS_R2*MAX((MAX(0,IF(OR(الموظفون!$X32="",الموظفون!$X32&gt;=cfg_Y_START),cfg_Y_START-1,الموظفون!$X32)-D32+1)/cfg_DAYS_Y)-cfg_EOS_TH,0)))</f>
        <v/>
      </c>
      <c r="Q32" s="86" t="str">
        <f aca="false">IF($B32="","",O32-P32)</f>
        <v/>
      </c>
      <c r="R32" s="86" t="str">
        <f aca="false">IF($B32="","",SUMIFS('الحركات الشهرية'!$N$6:$N$1005,'الحركات الشهرية'!$B$6:$B$1005,B32,'الحركات الشهرية'!$A$6:$A$1005,"&lt;="&amp;cfg_VAL_M))</f>
        <v/>
      </c>
      <c r="S32" s="128" t="str">
        <f aca="false">IF($B32="","",P32+Q32-R32)</f>
        <v/>
      </c>
      <c r="T32" s="74" t="str">
        <f aca="false">IF($B32="","",IF(S32&lt;-0.01,"✖ صرف أكثر من المستحق",IF(AND(L32&lt;&gt;"على رأس العمل",S32&gt;0.01),"⚠ مستحق لم يُصرف","✔ سليم")))</f>
        <v/>
      </c>
    </row>
    <row r="33" customFormat="false" ht="15" hidden="false" customHeight="false" outlineLevel="0" collapsed="false">
      <c r="B33" s="91" t="str">
        <f aca="false">IF(الموظفون!$B33="","",الموظفون!$B33)</f>
        <v/>
      </c>
      <c r="C33" s="91" t="str">
        <f aca="false">IF($B33="","",الموظفون!$C33)</f>
        <v/>
      </c>
      <c r="D33" s="129" t="str">
        <f aca="false">IF($B33="","",الموظفون!$H33)</f>
        <v/>
      </c>
      <c r="E33" s="129" t="str">
        <f aca="false">IF($B33="","",IF(OR(الموظفون!$X33="",الموظفون!$X33&gt;cfg_VAL_DATE),cfg_VAL_DATE,الموظفون!$X33))</f>
        <v/>
      </c>
      <c r="F33" s="91" t="str">
        <f aca="false">IF($B33="","",IF(E33&lt;D33,"لم يباشر",DATEDIF(D33,E33+1,"y")&amp;" سنة "&amp;DATEDIF(D33,E33+1,"ym")&amp;" شهر "&amp;DATEDIF(D33,E33+1,"md")&amp;" يوم"))</f>
        <v/>
      </c>
      <c r="G33" s="114" t="str">
        <f aca="false">IF($B33="","",MAX(0,E33-D33+1)/cfg_DAYS_Y)</f>
        <v/>
      </c>
      <c r="H33" s="90" t="str">
        <f aca="false">IF($B33="","",الموظفون!$O33)</f>
        <v/>
      </c>
      <c r="I33" s="90" t="str">
        <f aca="false">IF($B33="","",H33*cfg_EOS_R1*MIN(G33,cfg_EOS_TH))</f>
        <v/>
      </c>
      <c r="J33" s="90" t="str">
        <f aca="false">IF($B33="","",H33*cfg_EOS_R2*MAX(G33-cfg_EOS_TH,0))</f>
        <v/>
      </c>
      <c r="K33" s="90" t="str">
        <f aca="false">IF($B33="","",I33+J33)</f>
        <v/>
      </c>
      <c r="L33" s="91" t="str">
        <f aca="false">IF($B33="","",IF(AND(الموظفون!$X33&lt;&gt;"",الموظفون!$X33&lt;=cfg_VAL_DATE),IF(الموظفون!$Y33="","⚠ حدد السبب",الموظفون!$Y33),"على رأس العمل"))</f>
        <v/>
      </c>
      <c r="M33" s="130" t="str">
        <f aca="false">IF($B33="","",VLOOKUP(G33,cfg_RES,2,TRUE()))</f>
        <v/>
      </c>
      <c r="N33" s="90" t="str">
        <f aca="false">IF($B33="","",K33*M33)</f>
        <v/>
      </c>
      <c r="O33" s="90" t="str">
        <f aca="false">IF($B33="","",IF(L33="استقالة",N33,K33))</f>
        <v/>
      </c>
      <c r="P33" s="90" t="str">
        <f aca="false">IF($B33="","",H33*(cfg_EOS_R1*MIN((MAX(0,IF(OR(الموظفون!$X33="",الموظفون!$X33&gt;=cfg_Y_START),cfg_Y_START-1,الموظفون!$X33)-D33+1)/cfg_DAYS_Y),cfg_EOS_TH)+cfg_EOS_R2*MAX((MAX(0,IF(OR(الموظفون!$X33="",الموظفون!$X33&gt;=cfg_Y_START),cfg_Y_START-1,الموظفون!$X33)-D33+1)/cfg_DAYS_Y)-cfg_EOS_TH,0)))</f>
        <v/>
      </c>
      <c r="Q33" s="90" t="str">
        <f aca="false">IF($B33="","",O33-P33)</f>
        <v/>
      </c>
      <c r="R33" s="90" t="str">
        <f aca="false">IF($B33="","",SUMIFS('الحركات الشهرية'!$N$6:$N$1005,'الحركات الشهرية'!$B$6:$B$1005,B33,'الحركات الشهرية'!$A$6:$A$1005,"&lt;="&amp;cfg_VAL_M))</f>
        <v/>
      </c>
      <c r="S33" s="131" t="str">
        <f aca="false">IF($B33="","",P33+Q33-R33)</f>
        <v/>
      </c>
      <c r="T33" s="91" t="str">
        <f aca="false">IF($B33="","",IF(S33&lt;-0.01,"✖ صرف أكثر من المستحق",IF(AND(L33&lt;&gt;"على رأس العمل",S33&gt;0.01),"⚠ مستحق لم يُصرف","✔ سليم")))</f>
        <v/>
      </c>
    </row>
    <row r="34" customFormat="false" ht="15" hidden="false" customHeight="false" outlineLevel="0" collapsed="false">
      <c r="B34" s="74" t="str">
        <f aca="false">IF(الموظفون!$B34="","",الموظفون!$B34)</f>
        <v/>
      </c>
      <c r="C34" s="74" t="str">
        <f aca="false">IF($B34="","",الموظفون!$C34)</f>
        <v/>
      </c>
      <c r="D34" s="127" t="str">
        <f aca="false">IF($B34="","",الموظفون!$H34)</f>
        <v/>
      </c>
      <c r="E34" s="127" t="str">
        <f aca="false">IF($B34="","",IF(OR(الموظفون!$X34="",الموظفون!$X34&gt;cfg_VAL_DATE),cfg_VAL_DATE,الموظفون!$X34))</f>
        <v/>
      </c>
      <c r="F34" s="74" t="str">
        <f aca="false">IF($B34="","",IF(E34&lt;D34,"لم يباشر",DATEDIF(D34,E34+1,"y")&amp;" سنة "&amp;DATEDIF(D34,E34+1,"ym")&amp;" شهر "&amp;DATEDIF(D34,E34+1,"md")&amp;" يوم"))</f>
        <v/>
      </c>
      <c r="G34" s="109" t="str">
        <f aca="false">IF($B34="","",MAX(0,E34-D34+1)/cfg_DAYS_Y)</f>
        <v/>
      </c>
      <c r="H34" s="86" t="str">
        <f aca="false">IF($B34="","",الموظفون!$O34)</f>
        <v/>
      </c>
      <c r="I34" s="86" t="str">
        <f aca="false">IF($B34="","",H34*cfg_EOS_R1*MIN(G34,cfg_EOS_TH))</f>
        <v/>
      </c>
      <c r="J34" s="86" t="str">
        <f aca="false">IF($B34="","",H34*cfg_EOS_R2*MAX(G34-cfg_EOS_TH,0))</f>
        <v/>
      </c>
      <c r="K34" s="86" t="str">
        <f aca="false">IF($B34="","",I34+J34)</f>
        <v/>
      </c>
      <c r="L34" s="74" t="str">
        <f aca="false">IF($B34="","",IF(AND(الموظفون!$X34&lt;&gt;"",الموظفون!$X34&lt;=cfg_VAL_DATE),IF(الموظفون!$Y34="","⚠ حدد السبب",الموظفون!$Y34),"على رأس العمل"))</f>
        <v/>
      </c>
      <c r="M34" s="52" t="str">
        <f aca="false">IF($B34="","",VLOOKUP(G34,cfg_RES,2,TRUE()))</f>
        <v/>
      </c>
      <c r="N34" s="86" t="str">
        <f aca="false">IF($B34="","",K34*M34)</f>
        <v/>
      </c>
      <c r="O34" s="86" t="str">
        <f aca="false">IF($B34="","",IF(L34="استقالة",N34,K34))</f>
        <v/>
      </c>
      <c r="P34" s="86" t="str">
        <f aca="false">IF($B34="","",H34*(cfg_EOS_R1*MIN((MAX(0,IF(OR(الموظفون!$X34="",الموظفون!$X34&gt;=cfg_Y_START),cfg_Y_START-1,الموظفون!$X34)-D34+1)/cfg_DAYS_Y),cfg_EOS_TH)+cfg_EOS_R2*MAX((MAX(0,IF(OR(الموظفون!$X34="",الموظفون!$X34&gt;=cfg_Y_START),cfg_Y_START-1,الموظفون!$X34)-D34+1)/cfg_DAYS_Y)-cfg_EOS_TH,0)))</f>
        <v/>
      </c>
      <c r="Q34" s="86" t="str">
        <f aca="false">IF($B34="","",O34-P34)</f>
        <v/>
      </c>
      <c r="R34" s="86" t="str">
        <f aca="false">IF($B34="","",SUMIFS('الحركات الشهرية'!$N$6:$N$1005,'الحركات الشهرية'!$B$6:$B$1005,B34,'الحركات الشهرية'!$A$6:$A$1005,"&lt;="&amp;cfg_VAL_M))</f>
        <v/>
      </c>
      <c r="S34" s="128" t="str">
        <f aca="false">IF($B34="","",P34+Q34-R34)</f>
        <v/>
      </c>
      <c r="T34" s="74" t="str">
        <f aca="false">IF($B34="","",IF(S34&lt;-0.01,"✖ صرف أكثر من المستحق",IF(AND(L34&lt;&gt;"على رأس العمل",S34&gt;0.01),"⚠ مستحق لم يُصرف","✔ سليم")))</f>
        <v/>
      </c>
    </row>
    <row r="35" customFormat="false" ht="15" hidden="false" customHeight="false" outlineLevel="0" collapsed="false">
      <c r="B35" s="91" t="str">
        <f aca="false">IF(الموظفون!$B35="","",الموظفون!$B35)</f>
        <v/>
      </c>
      <c r="C35" s="91" t="str">
        <f aca="false">IF($B35="","",الموظفون!$C35)</f>
        <v/>
      </c>
      <c r="D35" s="129" t="str">
        <f aca="false">IF($B35="","",الموظفون!$H35)</f>
        <v/>
      </c>
      <c r="E35" s="129" t="str">
        <f aca="false">IF($B35="","",IF(OR(الموظفون!$X35="",الموظفون!$X35&gt;cfg_VAL_DATE),cfg_VAL_DATE,الموظفون!$X35))</f>
        <v/>
      </c>
      <c r="F35" s="91" t="str">
        <f aca="false">IF($B35="","",IF(E35&lt;D35,"لم يباشر",DATEDIF(D35,E35+1,"y")&amp;" سنة "&amp;DATEDIF(D35,E35+1,"ym")&amp;" شهر "&amp;DATEDIF(D35,E35+1,"md")&amp;" يوم"))</f>
        <v/>
      </c>
      <c r="G35" s="114" t="str">
        <f aca="false">IF($B35="","",MAX(0,E35-D35+1)/cfg_DAYS_Y)</f>
        <v/>
      </c>
      <c r="H35" s="90" t="str">
        <f aca="false">IF($B35="","",الموظفون!$O35)</f>
        <v/>
      </c>
      <c r="I35" s="90" t="str">
        <f aca="false">IF($B35="","",H35*cfg_EOS_R1*MIN(G35,cfg_EOS_TH))</f>
        <v/>
      </c>
      <c r="J35" s="90" t="str">
        <f aca="false">IF($B35="","",H35*cfg_EOS_R2*MAX(G35-cfg_EOS_TH,0))</f>
        <v/>
      </c>
      <c r="K35" s="90" t="str">
        <f aca="false">IF($B35="","",I35+J35)</f>
        <v/>
      </c>
      <c r="L35" s="91" t="str">
        <f aca="false">IF($B35="","",IF(AND(الموظفون!$X35&lt;&gt;"",الموظفون!$X35&lt;=cfg_VAL_DATE),IF(الموظفون!$Y35="","⚠ حدد السبب",الموظفون!$Y35),"على رأس العمل"))</f>
        <v/>
      </c>
      <c r="M35" s="130" t="str">
        <f aca="false">IF($B35="","",VLOOKUP(G35,cfg_RES,2,TRUE()))</f>
        <v/>
      </c>
      <c r="N35" s="90" t="str">
        <f aca="false">IF($B35="","",K35*M35)</f>
        <v/>
      </c>
      <c r="O35" s="90" t="str">
        <f aca="false">IF($B35="","",IF(L35="استقالة",N35,K35))</f>
        <v/>
      </c>
      <c r="P35" s="90" t="str">
        <f aca="false">IF($B35="","",H35*(cfg_EOS_R1*MIN((MAX(0,IF(OR(الموظفون!$X35="",الموظفون!$X35&gt;=cfg_Y_START),cfg_Y_START-1,الموظفون!$X35)-D35+1)/cfg_DAYS_Y),cfg_EOS_TH)+cfg_EOS_R2*MAX((MAX(0,IF(OR(الموظفون!$X35="",الموظفون!$X35&gt;=cfg_Y_START),cfg_Y_START-1,الموظفون!$X35)-D35+1)/cfg_DAYS_Y)-cfg_EOS_TH,0)))</f>
        <v/>
      </c>
      <c r="Q35" s="90" t="str">
        <f aca="false">IF($B35="","",O35-P35)</f>
        <v/>
      </c>
      <c r="R35" s="90" t="str">
        <f aca="false">IF($B35="","",SUMIFS('الحركات الشهرية'!$N$6:$N$1005,'الحركات الشهرية'!$B$6:$B$1005,B35,'الحركات الشهرية'!$A$6:$A$1005,"&lt;="&amp;cfg_VAL_M))</f>
        <v/>
      </c>
      <c r="S35" s="131" t="str">
        <f aca="false">IF($B35="","",P35+Q35-R35)</f>
        <v/>
      </c>
      <c r="T35" s="91" t="str">
        <f aca="false">IF($B35="","",IF(S35&lt;-0.01,"✖ صرف أكثر من المستحق",IF(AND(L35&lt;&gt;"على رأس العمل",S35&gt;0.01),"⚠ مستحق لم يُصرف","✔ سليم")))</f>
        <v/>
      </c>
    </row>
    <row r="36" customFormat="false" ht="15" hidden="false" customHeight="false" outlineLevel="0" collapsed="false">
      <c r="B36" s="74" t="str">
        <f aca="false">IF(الموظفون!$B36="","",الموظفون!$B36)</f>
        <v/>
      </c>
      <c r="C36" s="74" t="str">
        <f aca="false">IF($B36="","",الموظفون!$C36)</f>
        <v/>
      </c>
      <c r="D36" s="127" t="str">
        <f aca="false">IF($B36="","",الموظفون!$H36)</f>
        <v/>
      </c>
      <c r="E36" s="127" t="str">
        <f aca="false">IF($B36="","",IF(OR(الموظفون!$X36="",الموظفون!$X36&gt;cfg_VAL_DATE),cfg_VAL_DATE,الموظفون!$X36))</f>
        <v/>
      </c>
      <c r="F36" s="74" t="str">
        <f aca="false">IF($B36="","",IF(E36&lt;D36,"لم يباشر",DATEDIF(D36,E36+1,"y")&amp;" سنة "&amp;DATEDIF(D36,E36+1,"ym")&amp;" شهر "&amp;DATEDIF(D36,E36+1,"md")&amp;" يوم"))</f>
        <v/>
      </c>
      <c r="G36" s="109" t="str">
        <f aca="false">IF($B36="","",MAX(0,E36-D36+1)/cfg_DAYS_Y)</f>
        <v/>
      </c>
      <c r="H36" s="86" t="str">
        <f aca="false">IF($B36="","",الموظفون!$O36)</f>
        <v/>
      </c>
      <c r="I36" s="86" t="str">
        <f aca="false">IF($B36="","",H36*cfg_EOS_R1*MIN(G36,cfg_EOS_TH))</f>
        <v/>
      </c>
      <c r="J36" s="86" t="str">
        <f aca="false">IF($B36="","",H36*cfg_EOS_R2*MAX(G36-cfg_EOS_TH,0))</f>
        <v/>
      </c>
      <c r="K36" s="86" t="str">
        <f aca="false">IF($B36="","",I36+J36)</f>
        <v/>
      </c>
      <c r="L36" s="74" t="str">
        <f aca="false">IF($B36="","",IF(AND(الموظفون!$X36&lt;&gt;"",الموظفون!$X36&lt;=cfg_VAL_DATE),IF(الموظفون!$Y36="","⚠ حدد السبب",الموظفون!$Y36),"على رأس العمل"))</f>
        <v/>
      </c>
      <c r="M36" s="52" t="str">
        <f aca="false">IF($B36="","",VLOOKUP(G36,cfg_RES,2,TRUE()))</f>
        <v/>
      </c>
      <c r="N36" s="86" t="str">
        <f aca="false">IF($B36="","",K36*M36)</f>
        <v/>
      </c>
      <c r="O36" s="86" t="str">
        <f aca="false">IF($B36="","",IF(L36="استقالة",N36,K36))</f>
        <v/>
      </c>
      <c r="P36" s="86" t="str">
        <f aca="false">IF($B36="","",H36*(cfg_EOS_R1*MIN((MAX(0,IF(OR(الموظفون!$X36="",الموظفون!$X36&gt;=cfg_Y_START),cfg_Y_START-1,الموظفون!$X36)-D36+1)/cfg_DAYS_Y),cfg_EOS_TH)+cfg_EOS_R2*MAX((MAX(0,IF(OR(الموظفون!$X36="",الموظفون!$X36&gt;=cfg_Y_START),cfg_Y_START-1,الموظفون!$X36)-D36+1)/cfg_DAYS_Y)-cfg_EOS_TH,0)))</f>
        <v/>
      </c>
      <c r="Q36" s="86" t="str">
        <f aca="false">IF($B36="","",O36-P36)</f>
        <v/>
      </c>
      <c r="R36" s="86" t="str">
        <f aca="false">IF($B36="","",SUMIFS('الحركات الشهرية'!$N$6:$N$1005,'الحركات الشهرية'!$B$6:$B$1005,B36,'الحركات الشهرية'!$A$6:$A$1005,"&lt;="&amp;cfg_VAL_M))</f>
        <v/>
      </c>
      <c r="S36" s="128" t="str">
        <f aca="false">IF($B36="","",P36+Q36-R36)</f>
        <v/>
      </c>
      <c r="T36" s="74" t="str">
        <f aca="false">IF($B36="","",IF(S36&lt;-0.01,"✖ صرف أكثر من المستحق",IF(AND(L36&lt;&gt;"على رأس العمل",S36&gt;0.01),"⚠ مستحق لم يُصرف","✔ سليم")))</f>
        <v/>
      </c>
    </row>
    <row r="37" customFormat="false" ht="15" hidden="false" customHeight="false" outlineLevel="0" collapsed="false">
      <c r="B37" s="91" t="str">
        <f aca="false">IF(الموظفون!$B37="","",الموظفون!$B37)</f>
        <v/>
      </c>
      <c r="C37" s="91" t="str">
        <f aca="false">IF($B37="","",الموظفون!$C37)</f>
        <v/>
      </c>
      <c r="D37" s="129" t="str">
        <f aca="false">IF($B37="","",الموظفون!$H37)</f>
        <v/>
      </c>
      <c r="E37" s="129" t="str">
        <f aca="false">IF($B37="","",IF(OR(الموظفون!$X37="",الموظفون!$X37&gt;cfg_VAL_DATE),cfg_VAL_DATE,الموظفون!$X37))</f>
        <v/>
      </c>
      <c r="F37" s="91" t="str">
        <f aca="false">IF($B37="","",IF(E37&lt;D37,"لم يباشر",DATEDIF(D37,E37+1,"y")&amp;" سنة "&amp;DATEDIF(D37,E37+1,"ym")&amp;" شهر "&amp;DATEDIF(D37,E37+1,"md")&amp;" يوم"))</f>
        <v/>
      </c>
      <c r="G37" s="114" t="str">
        <f aca="false">IF($B37="","",MAX(0,E37-D37+1)/cfg_DAYS_Y)</f>
        <v/>
      </c>
      <c r="H37" s="90" t="str">
        <f aca="false">IF($B37="","",الموظفون!$O37)</f>
        <v/>
      </c>
      <c r="I37" s="90" t="str">
        <f aca="false">IF($B37="","",H37*cfg_EOS_R1*MIN(G37,cfg_EOS_TH))</f>
        <v/>
      </c>
      <c r="J37" s="90" t="str">
        <f aca="false">IF($B37="","",H37*cfg_EOS_R2*MAX(G37-cfg_EOS_TH,0))</f>
        <v/>
      </c>
      <c r="K37" s="90" t="str">
        <f aca="false">IF($B37="","",I37+J37)</f>
        <v/>
      </c>
      <c r="L37" s="91" t="str">
        <f aca="false">IF($B37="","",IF(AND(الموظفون!$X37&lt;&gt;"",الموظفون!$X37&lt;=cfg_VAL_DATE),IF(الموظفون!$Y37="","⚠ حدد السبب",الموظفون!$Y37),"على رأس العمل"))</f>
        <v/>
      </c>
      <c r="M37" s="130" t="str">
        <f aca="false">IF($B37="","",VLOOKUP(G37,cfg_RES,2,TRUE()))</f>
        <v/>
      </c>
      <c r="N37" s="90" t="str">
        <f aca="false">IF($B37="","",K37*M37)</f>
        <v/>
      </c>
      <c r="O37" s="90" t="str">
        <f aca="false">IF($B37="","",IF(L37="استقالة",N37,K37))</f>
        <v/>
      </c>
      <c r="P37" s="90" t="str">
        <f aca="false">IF($B37="","",H37*(cfg_EOS_R1*MIN((MAX(0,IF(OR(الموظفون!$X37="",الموظفون!$X37&gt;=cfg_Y_START),cfg_Y_START-1,الموظفون!$X37)-D37+1)/cfg_DAYS_Y),cfg_EOS_TH)+cfg_EOS_R2*MAX((MAX(0,IF(OR(الموظفون!$X37="",الموظفون!$X37&gt;=cfg_Y_START),cfg_Y_START-1,الموظفون!$X37)-D37+1)/cfg_DAYS_Y)-cfg_EOS_TH,0)))</f>
        <v/>
      </c>
      <c r="Q37" s="90" t="str">
        <f aca="false">IF($B37="","",O37-P37)</f>
        <v/>
      </c>
      <c r="R37" s="90" t="str">
        <f aca="false">IF($B37="","",SUMIFS('الحركات الشهرية'!$N$6:$N$1005,'الحركات الشهرية'!$B$6:$B$1005,B37,'الحركات الشهرية'!$A$6:$A$1005,"&lt;="&amp;cfg_VAL_M))</f>
        <v/>
      </c>
      <c r="S37" s="131" t="str">
        <f aca="false">IF($B37="","",P37+Q37-R37)</f>
        <v/>
      </c>
      <c r="T37" s="91" t="str">
        <f aca="false">IF($B37="","",IF(S37&lt;-0.01,"✖ صرف أكثر من المستحق",IF(AND(L37&lt;&gt;"على رأس العمل",S37&gt;0.01),"⚠ مستحق لم يُصرف","✔ سليم")))</f>
        <v/>
      </c>
    </row>
    <row r="38" customFormat="false" ht="15" hidden="false" customHeight="false" outlineLevel="0" collapsed="false">
      <c r="B38" s="74" t="str">
        <f aca="false">IF(الموظفون!$B38="","",الموظفون!$B38)</f>
        <v/>
      </c>
      <c r="C38" s="74" t="str">
        <f aca="false">IF($B38="","",الموظفون!$C38)</f>
        <v/>
      </c>
      <c r="D38" s="127" t="str">
        <f aca="false">IF($B38="","",الموظفون!$H38)</f>
        <v/>
      </c>
      <c r="E38" s="127" t="str">
        <f aca="false">IF($B38="","",IF(OR(الموظفون!$X38="",الموظفون!$X38&gt;cfg_VAL_DATE),cfg_VAL_DATE,الموظفون!$X38))</f>
        <v/>
      </c>
      <c r="F38" s="74" t="str">
        <f aca="false">IF($B38="","",IF(E38&lt;D38,"لم يباشر",DATEDIF(D38,E38+1,"y")&amp;" سنة "&amp;DATEDIF(D38,E38+1,"ym")&amp;" شهر "&amp;DATEDIF(D38,E38+1,"md")&amp;" يوم"))</f>
        <v/>
      </c>
      <c r="G38" s="109" t="str">
        <f aca="false">IF($B38="","",MAX(0,E38-D38+1)/cfg_DAYS_Y)</f>
        <v/>
      </c>
      <c r="H38" s="86" t="str">
        <f aca="false">IF($B38="","",الموظفون!$O38)</f>
        <v/>
      </c>
      <c r="I38" s="86" t="str">
        <f aca="false">IF($B38="","",H38*cfg_EOS_R1*MIN(G38,cfg_EOS_TH))</f>
        <v/>
      </c>
      <c r="J38" s="86" t="str">
        <f aca="false">IF($B38="","",H38*cfg_EOS_R2*MAX(G38-cfg_EOS_TH,0))</f>
        <v/>
      </c>
      <c r="K38" s="86" t="str">
        <f aca="false">IF($B38="","",I38+J38)</f>
        <v/>
      </c>
      <c r="L38" s="74" t="str">
        <f aca="false">IF($B38="","",IF(AND(الموظفون!$X38&lt;&gt;"",الموظفون!$X38&lt;=cfg_VAL_DATE),IF(الموظفون!$Y38="","⚠ حدد السبب",الموظفون!$Y38),"على رأس العمل"))</f>
        <v/>
      </c>
      <c r="M38" s="52" t="str">
        <f aca="false">IF($B38="","",VLOOKUP(G38,cfg_RES,2,TRUE()))</f>
        <v/>
      </c>
      <c r="N38" s="86" t="str">
        <f aca="false">IF($B38="","",K38*M38)</f>
        <v/>
      </c>
      <c r="O38" s="86" t="str">
        <f aca="false">IF($B38="","",IF(L38="استقالة",N38,K38))</f>
        <v/>
      </c>
      <c r="P38" s="86" t="str">
        <f aca="false">IF($B38="","",H38*(cfg_EOS_R1*MIN((MAX(0,IF(OR(الموظفون!$X38="",الموظفون!$X38&gt;=cfg_Y_START),cfg_Y_START-1,الموظفون!$X38)-D38+1)/cfg_DAYS_Y),cfg_EOS_TH)+cfg_EOS_R2*MAX((MAX(0,IF(OR(الموظفون!$X38="",الموظفون!$X38&gt;=cfg_Y_START),cfg_Y_START-1,الموظفون!$X38)-D38+1)/cfg_DAYS_Y)-cfg_EOS_TH,0)))</f>
        <v/>
      </c>
      <c r="Q38" s="86" t="str">
        <f aca="false">IF($B38="","",O38-P38)</f>
        <v/>
      </c>
      <c r="R38" s="86" t="str">
        <f aca="false">IF($B38="","",SUMIFS('الحركات الشهرية'!$N$6:$N$1005,'الحركات الشهرية'!$B$6:$B$1005,B38,'الحركات الشهرية'!$A$6:$A$1005,"&lt;="&amp;cfg_VAL_M))</f>
        <v/>
      </c>
      <c r="S38" s="128" t="str">
        <f aca="false">IF($B38="","",P38+Q38-R38)</f>
        <v/>
      </c>
      <c r="T38" s="74" t="str">
        <f aca="false">IF($B38="","",IF(S38&lt;-0.01,"✖ صرف أكثر من المستحق",IF(AND(L38&lt;&gt;"على رأس العمل",S38&gt;0.01),"⚠ مستحق لم يُصرف","✔ سليم")))</f>
        <v/>
      </c>
    </row>
    <row r="39" customFormat="false" ht="15" hidden="false" customHeight="false" outlineLevel="0" collapsed="false">
      <c r="B39" s="91" t="str">
        <f aca="false">IF(الموظفون!$B39="","",الموظفون!$B39)</f>
        <v/>
      </c>
      <c r="C39" s="91" t="str">
        <f aca="false">IF($B39="","",الموظفون!$C39)</f>
        <v/>
      </c>
      <c r="D39" s="129" t="str">
        <f aca="false">IF($B39="","",الموظفون!$H39)</f>
        <v/>
      </c>
      <c r="E39" s="129" t="str">
        <f aca="false">IF($B39="","",IF(OR(الموظفون!$X39="",الموظفون!$X39&gt;cfg_VAL_DATE),cfg_VAL_DATE,الموظفون!$X39))</f>
        <v/>
      </c>
      <c r="F39" s="91" t="str">
        <f aca="false">IF($B39="","",IF(E39&lt;D39,"لم يباشر",DATEDIF(D39,E39+1,"y")&amp;" سنة "&amp;DATEDIF(D39,E39+1,"ym")&amp;" شهر "&amp;DATEDIF(D39,E39+1,"md")&amp;" يوم"))</f>
        <v/>
      </c>
      <c r="G39" s="114" t="str">
        <f aca="false">IF($B39="","",MAX(0,E39-D39+1)/cfg_DAYS_Y)</f>
        <v/>
      </c>
      <c r="H39" s="90" t="str">
        <f aca="false">IF($B39="","",الموظفون!$O39)</f>
        <v/>
      </c>
      <c r="I39" s="90" t="str">
        <f aca="false">IF($B39="","",H39*cfg_EOS_R1*MIN(G39,cfg_EOS_TH))</f>
        <v/>
      </c>
      <c r="J39" s="90" t="str">
        <f aca="false">IF($B39="","",H39*cfg_EOS_R2*MAX(G39-cfg_EOS_TH,0))</f>
        <v/>
      </c>
      <c r="K39" s="90" t="str">
        <f aca="false">IF($B39="","",I39+J39)</f>
        <v/>
      </c>
      <c r="L39" s="91" t="str">
        <f aca="false">IF($B39="","",IF(AND(الموظفون!$X39&lt;&gt;"",الموظفون!$X39&lt;=cfg_VAL_DATE),IF(الموظفون!$Y39="","⚠ حدد السبب",الموظفون!$Y39),"على رأس العمل"))</f>
        <v/>
      </c>
      <c r="M39" s="130" t="str">
        <f aca="false">IF($B39="","",VLOOKUP(G39,cfg_RES,2,TRUE()))</f>
        <v/>
      </c>
      <c r="N39" s="90" t="str">
        <f aca="false">IF($B39="","",K39*M39)</f>
        <v/>
      </c>
      <c r="O39" s="90" t="str">
        <f aca="false">IF($B39="","",IF(L39="استقالة",N39,K39))</f>
        <v/>
      </c>
      <c r="P39" s="90" t="str">
        <f aca="false">IF($B39="","",H39*(cfg_EOS_R1*MIN((MAX(0,IF(OR(الموظفون!$X39="",الموظفون!$X39&gt;=cfg_Y_START),cfg_Y_START-1,الموظفون!$X39)-D39+1)/cfg_DAYS_Y),cfg_EOS_TH)+cfg_EOS_R2*MAX((MAX(0,IF(OR(الموظفون!$X39="",الموظفون!$X39&gt;=cfg_Y_START),cfg_Y_START-1,الموظفون!$X39)-D39+1)/cfg_DAYS_Y)-cfg_EOS_TH,0)))</f>
        <v/>
      </c>
      <c r="Q39" s="90" t="str">
        <f aca="false">IF($B39="","",O39-P39)</f>
        <v/>
      </c>
      <c r="R39" s="90" t="str">
        <f aca="false">IF($B39="","",SUMIFS('الحركات الشهرية'!$N$6:$N$1005,'الحركات الشهرية'!$B$6:$B$1005,B39,'الحركات الشهرية'!$A$6:$A$1005,"&lt;="&amp;cfg_VAL_M))</f>
        <v/>
      </c>
      <c r="S39" s="131" t="str">
        <f aca="false">IF($B39="","",P39+Q39-R39)</f>
        <v/>
      </c>
      <c r="T39" s="91" t="str">
        <f aca="false">IF($B39="","",IF(S39&lt;-0.01,"✖ صرف أكثر من المستحق",IF(AND(L39&lt;&gt;"على رأس العمل",S39&gt;0.01),"⚠ مستحق لم يُصرف","✔ سليم")))</f>
        <v/>
      </c>
    </row>
    <row r="40" customFormat="false" ht="15" hidden="false" customHeight="false" outlineLevel="0" collapsed="false">
      <c r="B40" s="74" t="str">
        <f aca="false">IF(الموظفون!$B40="","",الموظفون!$B40)</f>
        <v/>
      </c>
      <c r="C40" s="74" t="str">
        <f aca="false">IF($B40="","",الموظفون!$C40)</f>
        <v/>
      </c>
      <c r="D40" s="127" t="str">
        <f aca="false">IF($B40="","",الموظفون!$H40)</f>
        <v/>
      </c>
      <c r="E40" s="127" t="str">
        <f aca="false">IF($B40="","",IF(OR(الموظفون!$X40="",الموظفون!$X40&gt;cfg_VAL_DATE),cfg_VAL_DATE,الموظفون!$X40))</f>
        <v/>
      </c>
      <c r="F40" s="74" t="str">
        <f aca="false">IF($B40="","",IF(E40&lt;D40,"لم يباشر",DATEDIF(D40,E40+1,"y")&amp;" سنة "&amp;DATEDIF(D40,E40+1,"ym")&amp;" شهر "&amp;DATEDIF(D40,E40+1,"md")&amp;" يوم"))</f>
        <v/>
      </c>
      <c r="G40" s="109" t="str">
        <f aca="false">IF($B40="","",MAX(0,E40-D40+1)/cfg_DAYS_Y)</f>
        <v/>
      </c>
      <c r="H40" s="86" t="str">
        <f aca="false">IF($B40="","",الموظفون!$O40)</f>
        <v/>
      </c>
      <c r="I40" s="86" t="str">
        <f aca="false">IF($B40="","",H40*cfg_EOS_R1*MIN(G40,cfg_EOS_TH))</f>
        <v/>
      </c>
      <c r="J40" s="86" t="str">
        <f aca="false">IF($B40="","",H40*cfg_EOS_R2*MAX(G40-cfg_EOS_TH,0))</f>
        <v/>
      </c>
      <c r="K40" s="86" t="str">
        <f aca="false">IF($B40="","",I40+J40)</f>
        <v/>
      </c>
      <c r="L40" s="74" t="str">
        <f aca="false">IF($B40="","",IF(AND(الموظفون!$X40&lt;&gt;"",الموظفون!$X40&lt;=cfg_VAL_DATE),IF(الموظفون!$Y40="","⚠ حدد السبب",الموظفون!$Y40),"على رأس العمل"))</f>
        <v/>
      </c>
      <c r="M40" s="52" t="str">
        <f aca="false">IF($B40="","",VLOOKUP(G40,cfg_RES,2,TRUE()))</f>
        <v/>
      </c>
      <c r="N40" s="86" t="str">
        <f aca="false">IF($B40="","",K40*M40)</f>
        <v/>
      </c>
      <c r="O40" s="86" t="str">
        <f aca="false">IF($B40="","",IF(L40="استقالة",N40,K40))</f>
        <v/>
      </c>
      <c r="P40" s="86" t="str">
        <f aca="false">IF($B40="","",H40*(cfg_EOS_R1*MIN((MAX(0,IF(OR(الموظفون!$X40="",الموظفون!$X40&gt;=cfg_Y_START),cfg_Y_START-1,الموظفون!$X40)-D40+1)/cfg_DAYS_Y),cfg_EOS_TH)+cfg_EOS_R2*MAX((MAX(0,IF(OR(الموظفون!$X40="",الموظفون!$X40&gt;=cfg_Y_START),cfg_Y_START-1,الموظفون!$X40)-D40+1)/cfg_DAYS_Y)-cfg_EOS_TH,0)))</f>
        <v/>
      </c>
      <c r="Q40" s="86" t="str">
        <f aca="false">IF($B40="","",O40-P40)</f>
        <v/>
      </c>
      <c r="R40" s="86" t="str">
        <f aca="false">IF($B40="","",SUMIFS('الحركات الشهرية'!$N$6:$N$1005,'الحركات الشهرية'!$B$6:$B$1005,B40,'الحركات الشهرية'!$A$6:$A$1005,"&lt;="&amp;cfg_VAL_M))</f>
        <v/>
      </c>
      <c r="S40" s="128" t="str">
        <f aca="false">IF($B40="","",P40+Q40-R40)</f>
        <v/>
      </c>
      <c r="T40" s="74" t="str">
        <f aca="false">IF($B40="","",IF(S40&lt;-0.01,"✖ صرف أكثر من المستحق",IF(AND(L40&lt;&gt;"على رأس العمل",S40&gt;0.01),"⚠ مستحق لم يُصرف","✔ سليم")))</f>
        <v/>
      </c>
    </row>
    <row r="41" customFormat="false" ht="15" hidden="false" customHeight="false" outlineLevel="0" collapsed="false">
      <c r="B41" s="91" t="str">
        <f aca="false">IF(الموظفون!$B41="","",الموظفون!$B41)</f>
        <v/>
      </c>
      <c r="C41" s="91" t="str">
        <f aca="false">IF($B41="","",الموظفون!$C41)</f>
        <v/>
      </c>
      <c r="D41" s="129" t="str">
        <f aca="false">IF($B41="","",الموظفون!$H41)</f>
        <v/>
      </c>
      <c r="E41" s="129" t="str">
        <f aca="false">IF($B41="","",IF(OR(الموظفون!$X41="",الموظفون!$X41&gt;cfg_VAL_DATE),cfg_VAL_DATE,الموظفون!$X41))</f>
        <v/>
      </c>
      <c r="F41" s="91" t="str">
        <f aca="false">IF($B41="","",IF(E41&lt;D41,"لم يباشر",DATEDIF(D41,E41+1,"y")&amp;" سنة "&amp;DATEDIF(D41,E41+1,"ym")&amp;" شهر "&amp;DATEDIF(D41,E41+1,"md")&amp;" يوم"))</f>
        <v/>
      </c>
      <c r="G41" s="114" t="str">
        <f aca="false">IF($B41="","",MAX(0,E41-D41+1)/cfg_DAYS_Y)</f>
        <v/>
      </c>
      <c r="H41" s="90" t="str">
        <f aca="false">IF($B41="","",الموظفون!$O41)</f>
        <v/>
      </c>
      <c r="I41" s="90" t="str">
        <f aca="false">IF($B41="","",H41*cfg_EOS_R1*MIN(G41,cfg_EOS_TH))</f>
        <v/>
      </c>
      <c r="J41" s="90" t="str">
        <f aca="false">IF($B41="","",H41*cfg_EOS_R2*MAX(G41-cfg_EOS_TH,0))</f>
        <v/>
      </c>
      <c r="K41" s="90" t="str">
        <f aca="false">IF($B41="","",I41+J41)</f>
        <v/>
      </c>
      <c r="L41" s="91" t="str">
        <f aca="false">IF($B41="","",IF(AND(الموظفون!$X41&lt;&gt;"",الموظفون!$X41&lt;=cfg_VAL_DATE),IF(الموظفون!$Y41="","⚠ حدد السبب",الموظفون!$Y41),"على رأس العمل"))</f>
        <v/>
      </c>
      <c r="M41" s="130" t="str">
        <f aca="false">IF($B41="","",VLOOKUP(G41,cfg_RES,2,TRUE()))</f>
        <v/>
      </c>
      <c r="N41" s="90" t="str">
        <f aca="false">IF($B41="","",K41*M41)</f>
        <v/>
      </c>
      <c r="O41" s="90" t="str">
        <f aca="false">IF($B41="","",IF(L41="استقالة",N41,K41))</f>
        <v/>
      </c>
      <c r="P41" s="90" t="str">
        <f aca="false">IF($B41="","",H41*(cfg_EOS_R1*MIN((MAX(0,IF(OR(الموظفون!$X41="",الموظفون!$X41&gt;=cfg_Y_START),cfg_Y_START-1,الموظفون!$X41)-D41+1)/cfg_DAYS_Y),cfg_EOS_TH)+cfg_EOS_R2*MAX((MAX(0,IF(OR(الموظفون!$X41="",الموظفون!$X41&gt;=cfg_Y_START),cfg_Y_START-1,الموظفون!$X41)-D41+1)/cfg_DAYS_Y)-cfg_EOS_TH,0)))</f>
        <v/>
      </c>
      <c r="Q41" s="90" t="str">
        <f aca="false">IF($B41="","",O41-P41)</f>
        <v/>
      </c>
      <c r="R41" s="90" t="str">
        <f aca="false">IF($B41="","",SUMIFS('الحركات الشهرية'!$N$6:$N$1005,'الحركات الشهرية'!$B$6:$B$1005,B41,'الحركات الشهرية'!$A$6:$A$1005,"&lt;="&amp;cfg_VAL_M))</f>
        <v/>
      </c>
      <c r="S41" s="131" t="str">
        <f aca="false">IF($B41="","",P41+Q41-R41)</f>
        <v/>
      </c>
      <c r="T41" s="91" t="str">
        <f aca="false">IF($B41="","",IF(S41&lt;-0.01,"✖ صرف أكثر من المستحق",IF(AND(L41&lt;&gt;"على رأس العمل",S41&gt;0.01),"⚠ مستحق لم يُصرف","✔ سليم")))</f>
        <v/>
      </c>
    </row>
    <row r="42" customFormat="false" ht="15" hidden="false" customHeight="false" outlineLevel="0" collapsed="false">
      <c r="B42" s="74" t="str">
        <f aca="false">IF(الموظفون!$B42="","",الموظفون!$B42)</f>
        <v/>
      </c>
      <c r="C42" s="74" t="str">
        <f aca="false">IF($B42="","",الموظفون!$C42)</f>
        <v/>
      </c>
      <c r="D42" s="127" t="str">
        <f aca="false">IF($B42="","",الموظفون!$H42)</f>
        <v/>
      </c>
      <c r="E42" s="127" t="str">
        <f aca="false">IF($B42="","",IF(OR(الموظفون!$X42="",الموظفون!$X42&gt;cfg_VAL_DATE),cfg_VAL_DATE,الموظفون!$X42))</f>
        <v/>
      </c>
      <c r="F42" s="74" t="str">
        <f aca="false">IF($B42="","",IF(E42&lt;D42,"لم يباشر",DATEDIF(D42,E42+1,"y")&amp;" سنة "&amp;DATEDIF(D42,E42+1,"ym")&amp;" شهر "&amp;DATEDIF(D42,E42+1,"md")&amp;" يوم"))</f>
        <v/>
      </c>
      <c r="G42" s="109" t="str">
        <f aca="false">IF($B42="","",MAX(0,E42-D42+1)/cfg_DAYS_Y)</f>
        <v/>
      </c>
      <c r="H42" s="86" t="str">
        <f aca="false">IF($B42="","",الموظفون!$O42)</f>
        <v/>
      </c>
      <c r="I42" s="86" t="str">
        <f aca="false">IF($B42="","",H42*cfg_EOS_R1*MIN(G42,cfg_EOS_TH))</f>
        <v/>
      </c>
      <c r="J42" s="86" t="str">
        <f aca="false">IF($B42="","",H42*cfg_EOS_R2*MAX(G42-cfg_EOS_TH,0))</f>
        <v/>
      </c>
      <c r="K42" s="86" t="str">
        <f aca="false">IF($B42="","",I42+J42)</f>
        <v/>
      </c>
      <c r="L42" s="74" t="str">
        <f aca="false">IF($B42="","",IF(AND(الموظفون!$X42&lt;&gt;"",الموظفون!$X42&lt;=cfg_VAL_DATE),IF(الموظفون!$Y42="","⚠ حدد السبب",الموظفون!$Y42),"على رأس العمل"))</f>
        <v/>
      </c>
      <c r="M42" s="52" t="str">
        <f aca="false">IF($B42="","",VLOOKUP(G42,cfg_RES,2,TRUE()))</f>
        <v/>
      </c>
      <c r="N42" s="86" t="str">
        <f aca="false">IF($B42="","",K42*M42)</f>
        <v/>
      </c>
      <c r="O42" s="86" t="str">
        <f aca="false">IF($B42="","",IF(L42="استقالة",N42,K42))</f>
        <v/>
      </c>
      <c r="P42" s="86" t="str">
        <f aca="false">IF($B42="","",H42*(cfg_EOS_R1*MIN((MAX(0,IF(OR(الموظفون!$X42="",الموظفون!$X42&gt;=cfg_Y_START),cfg_Y_START-1,الموظفون!$X42)-D42+1)/cfg_DAYS_Y),cfg_EOS_TH)+cfg_EOS_R2*MAX((MAX(0,IF(OR(الموظفون!$X42="",الموظفون!$X42&gt;=cfg_Y_START),cfg_Y_START-1,الموظفون!$X42)-D42+1)/cfg_DAYS_Y)-cfg_EOS_TH,0)))</f>
        <v/>
      </c>
      <c r="Q42" s="86" t="str">
        <f aca="false">IF($B42="","",O42-P42)</f>
        <v/>
      </c>
      <c r="R42" s="86" t="str">
        <f aca="false">IF($B42="","",SUMIFS('الحركات الشهرية'!$N$6:$N$1005,'الحركات الشهرية'!$B$6:$B$1005,B42,'الحركات الشهرية'!$A$6:$A$1005,"&lt;="&amp;cfg_VAL_M))</f>
        <v/>
      </c>
      <c r="S42" s="128" t="str">
        <f aca="false">IF($B42="","",P42+Q42-R42)</f>
        <v/>
      </c>
      <c r="T42" s="74" t="str">
        <f aca="false">IF($B42="","",IF(S42&lt;-0.01,"✖ صرف أكثر من المستحق",IF(AND(L42&lt;&gt;"على رأس العمل",S42&gt;0.01),"⚠ مستحق لم يُصرف","✔ سليم")))</f>
        <v/>
      </c>
    </row>
    <row r="43" customFormat="false" ht="15" hidden="false" customHeight="false" outlineLevel="0" collapsed="false">
      <c r="B43" s="91" t="str">
        <f aca="false">IF(الموظفون!$B43="","",الموظفون!$B43)</f>
        <v/>
      </c>
      <c r="C43" s="91" t="str">
        <f aca="false">IF($B43="","",الموظفون!$C43)</f>
        <v/>
      </c>
      <c r="D43" s="129" t="str">
        <f aca="false">IF($B43="","",الموظفون!$H43)</f>
        <v/>
      </c>
      <c r="E43" s="129" t="str">
        <f aca="false">IF($B43="","",IF(OR(الموظفون!$X43="",الموظفون!$X43&gt;cfg_VAL_DATE),cfg_VAL_DATE,الموظفون!$X43))</f>
        <v/>
      </c>
      <c r="F43" s="91" t="str">
        <f aca="false">IF($B43="","",IF(E43&lt;D43,"لم يباشر",DATEDIF(D43,E43+1,"y")&amp;" سنة "&amp;DATEDIF(D43,E43+1,"ym")&amp;" شهر "&amp;DATEDIF(D43,E43+1,"md")&amp;" يوم"))</f>
        <v/>
      </c>
      <c r="G43" s="114" t="str">
        <f aca="false">IF($B43="","",MAX(0,E43-D43+1)/cfg_DAYS_Y)</f>
        <v/>
      </c>
      <c r="H43" s="90" t="str">
        <f aca="false">IF($B43="","",الموظفون!$O43)</f>
        <v/>
      </c>
      <c r="I43" s="90" t="str">
        <f aca="false">IF($B43="","",H43*cfg_EOS_R1*MIN(G43,cfg_EOS_TH))</f>
        <v/>
      </c>
      <c r="J43" s="90" t="str">
        <f aca="false">IF($B43="","",H43*cfg_EOS_R2*MAX(G43-cfg_EOS_TH,0))</f>
        <v/>
      </c>
      <c r="K43" s="90" t="str">
        <f aca="false">IF($B43="","",I43+J43)</f>
        <v/>
      </c>
      <c r="L43" s="91" t="str">
        <f aca="false">IF($B43="","",IF(AND(الموظفون!$X43&lt;&gt;"",الموظفون!$X43&lt;=cfg_VAL_DATE),IF(الموظفون!$Y43="","⚠ حدد السبب",الموظفون!$Y43),"على رأس العمل"))</f>
        <v/>
      </c>
      <c r="M43" s="130" t="str">
        <f aca="false">IF($B43="","",VLOOKUP(G43,cfg_RES,2,TRUE()))</f>
        <v/>
      </c>
      <c r="N43" s="90" t="str">
        <f aca="false">IF($B43="","",K43*M43)</f>
        <v/>
      </c>
      <c r="O43" s="90" t="str">
        <f aca="false">IF($B43="","",IF(L43="استقالة",N43,K43))</f>
        <v/>
      </c>
      <c r="P43" s="90" t="str">
        <f aca="false">IF($B43="","",H43*(cfg_EOS_R1*MIN((MAX(0,IF(OR(الموظفون!$X43="",الموظفون!$X43&gt;=cfg_Y_START),cfg_Y_START-1,الموظفون!$X43)-D43+1)/cfg_DAYS_Y),cfg_EOS_TH)+cfg_EOS_R2*MAX((MAX(0,IF(OR(الموظفون!$X43="",الموظفون!$X43&gt;=cfg_Y_START),cfg_Y_START-1,الموظفون!$X43)-D43+1)/cfg_DAYS_Y)-cfg_EOS_TH,0)))</f>
        <v/>
      </c>
      <c r="Q43" s="90" t="str">
        <f aca="false">IF($B43="","",O43-P43)</f>
        <v/>
      </c>
      <c r="R43" s="90" t="str">
        <f aca="false">IF($B43="","",SUMIFS('الحركات الشهرية'!$N$6:$N$1005,'الحركات الشهرية'!$B$6:$B$1005,B43,'الحركات الشهرية'!$A$6:$A$1005,"&lt;="&amp;cfg_VAL_M))</f>
        <v/>
      </c>
      <c r="S43" s="131" t="str">
        <f aca="false">IF($B43="","",P43+Q43-R43)</f>
        <v/>
      </c>
      <c r="T43" s="91" t="str">
        <f aca="false">IF($B43="","",IF(S43&lt;-0.01,"✖ صرف أكثر من المستحق",IF(AND(L43&lt;&gt;"على رأس العمل",S43&gt;0.01),"⚠ مستحق لم يُصرف","✔ سليم")))</f>
        <v/>
      </c>
    </row>
    <row r="44" customFormat="false" ht="15" hidden="false" customHeight="false" outlineLevel="0" collapsed="false">
      <c r="B44" s="74" t="str">
        <f aca="false">IF(الموظفون!$B44="","",الموظفون!$B44)</f>
        <v/>
      </c>
      <c r="C44" s="74" t="str">
        <f aca="false">IF($B44="","",الموظفون!$C44)</f>
        <v/>
      </c>
      <c r="D44" s="127" t="str">
        <f aca="false">IF($B44="","",الموظفون!$H44)</f>
        <v/>
      </c>
      <c r="E44" s="127" t="str">
        <f aca="false">IF($B44="","",IF(OR(الموظفون!$X44="",الموظفون!$X44&gt;cfg_VAL_DATE),cfg_VAL_DATE,الموظفون!$X44))</f>
        <v/>
      </c>
      <c r="F44" s="74" t="str">
        <f aca="false">IF($B44="","",IF(E44&lt;D44,"لم يباشر",DATEDIF(D44,E44+1,"y")&amp;" سنة "&amp;DATEDIF(D44,E44+1,"ym")&amp;" شهر "&amp;DATEDIF(D44,E44+1,"md")&amp;" يوم"))</f>
        <v/>
      </c>
      <c r="G44" s="109" t="str">
        <f aca="false">IF($B44="","",MAX(0,E44-D44+1)/cfg_DAYS_Y)</f>
        <v/>
      </c>
      <c r="H44" s="86" t="str">
        <f aca="false">IF($B44="","",الموظفون!$O44)</f>
        <v/>
      </c>
      <c r="I44" s="86" t="str">
        <f aca="false">IF($B44="","",H44*cfg_EOS_R1*MIN(G44,cfg_EOS_TH))</f>
        <v/>
      </c>
      <c r="J44" s="86" t="str">
        <f aca="false">IF($B44="","",H44*cfg_EOS_R2*MAX(G44-cfg_EOS_TH,0))</f>
        <v/>
      </c>
      <c r="K44" s="86" t="str">
        <f aca="false">IF($B44="","",I44+J44)</f>
        <v/>
      </c>
      <c r="L44" s="74" t="str">
        <f aca="false">IF($B44="","",IF(AND(الموظفون!$X44&lt;&gt;"",الموظفون!$X44&lt;=cfg_VAL_DATE),IF(الموظفون!$Y44="","⚠ حدد السبب",الموظفون!$Y44),"على رأس العمل"))</f>
        <v/>
      </c>
      <c r="M44" s="52" t="str">
        <f aca="false">IF($B44="","",VLOOKUP(G44,cfg_RES,2,TRUE()))</f>
        <v/>
      </c>
      <c r="N44" s="86" t="str">
        <f aca="false">IF($B44="","",K44*M44)</f>
        <v/>
      </c>
      <c r="O44" s="86" t="str">
        <f aca="false">IF($B44="","",IF(L44="استقالة",N44,K44))</f>
        <v/>
      </c>
      <c r="P44" s="86" t="str">
        <f aca="false">IF($B44="","",H44*(cfg_EOS_R1*MIN((MAX(0,IF(OR(الموظفون!$X44="",الموظفون!$X44&gt;=cfg_Y_START),cfg_Y_START-1,الموظفون!$X44)-D44+1)/cfg_DAYS_Y),cfg_EOS_TH)+cfg_EOS_R2*MAX((MAX(0,IF(OR(الموظفون!$X44="",الموظفون!$X44&gt;=cfg_Y_START),cfg_Y_START-1,الموظفون!$X44)-D44+1)/cfg_DAYS_Y)-cfg_EOS_TH,0)))</f>
        <v/>
      </c>
      <c r="Q44" s="86" t="str">
        <f aca="false">IF($B44="","",O44-P44)</f>
        <v/>
      </c>
      <c r="R44" s="86" t="str">
        <f aca="false">IF($B44="","",SUMIFS('الحركات الشهرية'!$N$6:$N$1005,'الحركات الشهرية'!$B$6:$B$1005,B44,'الحركات الشهرية'!$A$6:$A$1005,"&lt;="&amp;cfg_VAL_M))</f>
        <v/>
      </c>
      <c r="S44" s="128" t="str">
        <f aca="false">IF($B44="","",P44+Q44-R44)</f>
        <v/>
      </c>
      <c r="T44" s="74" t="str">
        <f aca="false">IF($B44="","",IF(S44&lt;-0.01,"✖ صرف أكثر من المستحق",IF(AND(L44&lt;&gt;"على رأس العمل",S44&gt;0.01),"⚠ مستحق لم يُصرف","✔ سليم")))</f>
        <v/>
      </c>
    </row>
    <row r="45" customFormat="false" ht="15" hidden="false" customHeight="false" outlineLevel="0" collapsed="false">
      <c r="B45" s="91" t="str">
        <f aca="false">IF(الموظفون!$B45="","",الموظفون!$B45)</f>
        <v/>
      </c>
      <c r="C45" s="91" t="str">
        <f aca="false">IF($B45="","",الموظفون!$C45)</f>
        <v/>
      </c>
      <c r="D45" s="129" t="str">
        <f aca="false">IF($B45="","",الموظفون!$H45)</f>
        <v/>
      </c>
      <c r="E45" s="129" t="str">
        <f aca="false">IF($B45="","",IF(OR(الموظفون!$X45="",الموظفون!$X45&gt;cfg_VAL_DATE),cfg_VAL_DATE,الموظفون!$X45))</f>
        <v/>
      </c>
      <c r="F45" s="91" t="str">
        <f aca="false">IF($B45="","",IF(E45&lt;D45,"لم يباشر",DATEDIF(D45,E45+1,"y")&amp;" سنة "&amp;DATEDIF(D45,E45+1,"ym")&amp;" شهر "&amp;DATEDIF(D45,E45+1,"md")&amp;" يوم"))</f>
        <v/>
      </c>
      <c r="G45" s="114" t="str">
        <f aca="false">IF($B45="","",MAX(0,E45-D45+1)/cfg_DAYS_Y)</f>
        <v/>
      </c>
      <c r="H45" s="90" t="str">
        <f aca="false">IF($B45="","",الموظفون!$O45)</f>
        <v/>
      </c>
      <c r="I45" s="90" t="str">
        <f aca="false">IF($B45="","",H45*cfg_EOS_R1*MIN(G45,cfg_EOS_TH))</f>
        <v/>
      </c>
      <c r="J45" s="90" t="str">
        <f aca="false">IF($B45="","",H45*cfg_EOS_R2*MAX(G45-cfg_EOS_TH,0))</f>
        <v/>
      </c>
      <c r="K45" s="90" t="str">
        <f aca="false">IF($B45="","",I45+J45)</f>
        <v/>
      </c>
      <c r="L45" s="91" t="str">
        <f aca="false">IF($B45="","",IF(AND(الموظفون!$X45&lt;&gt;"",الموظفون!$X45&lt;=cfg_VAL_DATE),IF(الموظفون!$Y45="","⚠ حدد السبب",الموظفون!$Y45),"على رأس العمل"))</f>
        <v/>
      </c>
      <c r="M45" s="130" t="str">
        <f aca="false">IF($B45="","",VLOOKUP(G45,cfg_RES,2,TRUE()))</f>
        <v/>
      </c>
      <c r="N45" s="90" t="str">
        <f aca="false">IF($B45="","",K45*M45)</f>
        <v/>
      </c>
      <c r="O45" s="90" t="str">
        <f aca="false">IF($B45="","",IF(L45="استقالة",N45,K45))</f>
        <v/>
      </c>
      <c r="P45" s="90" t="str">
        <f aca="false">IF($B45="","",H45*(cfg_EOS_R1*MIN((MAX(0,IF(OR(الموظفون!$X45="",الموظفون!$X45&gt;=cfg_Y_START),cfg_Y_START-1,الموظفون!$X45)-D45+1)/cfg_DAYS_Y),cfg_EOS_TH)+cfg_EOS_R2*MAX((MAX(0,IF(OR(الموظفون!$X45="",الموظفون!$X45&gt;=cfg_Y_START),cfg_Y_START-1,الموظفون!$X45)-D45+1)/cfg_DAYS_Y)-cfg_EOS_TH,0)))</f>
        <v/>
      </c>
      <c r="Q45" s="90" t="str">
        <f aca="false">IF($B45="","",O45-P45)</f>
        <v/>
      </c>
      <c r="R45" s="90" t="str">
        <f aca="false">IF($B45="","",SUMIFS('الحركات الشهرية'!$N$6:$N$1005,'الحركات الشهرية'!$B$6:$B$1005,B45,'الحركات الشهرية'!$A$6:$A$1005,"&lt;="&amp;cfg_VAL_M))</f>
        <v/>
      </c>
      <c r="S45" s="131" t="str">
        <f aca="false">IF($B45="","",P45+Q45-R45)</f>
        <v/>
      </c>
      <c r="T45" s="91" t="str">
        <f aca="false">IF($B45="","",IF(S45&lt;-0.01,"✖ صرف أكثر من المستحق",IF(AND(L45&lt;&gt;"على رأس العمل",S45&gt;0.01),"⚠ مستحق لم يُصرف","✔ سليم")))</f>
        <v/>
      </c>
    </row>
    <row r="46" customFormat="false" ht="15" hidden="false" customHeight="false" outlineLevel="0" collapsed="false">
      <c r="B46" s="74" t="str">
        <f aca="false">IF(الموظفون!$B46="","",الموظفون!$B46)</f>
        <v/>
      </c>
      <c r="C46" s="74" t="str">
        <f aca="false">IF($B46="","",الموظفون!$C46)</f>
        <v/>
      </c>
      <c r="D46" s="127" t="str">
        <f aca="false">IF($B46="","",الموظفون!$H46)</f>
        <v/>
      </c>
      <c r="E46" s="127" t="str">
        <f aca="false">IF($B46="","",IF(OR(الموظفون!$X46="",الموظفون!$X46&gt;cfg_VAL_DATE),cfg_VAL_DATE,الموظفون!$X46))</f>
        <v/>
      </c>
      <c r="F46" s="74" t="str">
        <f aca="false">IF($B46="","",IF(E46&lt;D46,"لم يباشر",DATEDIF(D46,E46+1,"y")&amp;" سنة "&amp;DATEDIF(D46,E46+1,"ym")&amp;" شهر "&amp;DATEDIF(D46,E46+1,"md")&amp;" يوم"))</f>
        <v/>
      </c>
      <c r="G46" s="109" t="str">
        <f aca="false">IF($B46="","",MAX(0,E46-D46+1)/cfg_DAYS_Y)</f>
        <v/>
      </c>
      <c r="H46" s="86" t="str">
        <f aca="false">IF($B46="","",الموظفون!$O46)</f>
        <v/>
      </c>
      <c r="I46" s="86" t="str">
        <f aca="false">IF($B46="","",H46*cfg_EOS_R1*MIN(G46,cfg_EOS_TH))</f>
        <v/>
      </c>
      <c r="J46" s="86" t="str">
        <f aca="false">IF($B46="","",H46*cfg_EOS_R2*MAX(G46-cfg_EOS_TH,0))</f>
        <v/>
      </c>
      <c r="K46" s="86" t="str">
        <f aca="false">IF($B46="","",I46+J46)</f>
        <v/>
      </c>
      <c r="L46" s="74" t="str">
        <f aca="false">IF($B46="","",IF(AND(الموظفون!$X46&lt;&gt;"",الموظفون!$X46&lt;=cfg_VAL_DATE),IF(الموظفون!$Y46="","⚠ حدد السبب",الموظفون!$Y46),"على رأس العمل"))</f>
        <v/>
      </c>
      <c r="M46" s="52" t="str">
        <f aca="false">IF($B46="","",VLOOKUP(G46,cfg_RES,2,TRUE()))</f>
        <v/>
      </c>
      <c r="N46" s="86" t="str">
        <f aca="false">IF($B46="","",K46*M46)</f>
        <v/>
      </c>
      <c r="O46" s="86" t="str">
        <f aca="false">IF($B46="","",IF(L46="استقالة",N46,K46))</f>
        <v/>
      </c>
      <c r="P46" s="86" t="str">
        <f aca="false">IF($B46="","",H46*(cfg_EOS_R1*MIN((MAX(0,IF(OR(الموظفون!$X46="",الموظفون!$X46&gt;=cfg_Y_START),cfg_Y_START-1,الموظفون!$X46)-D46+1)/cfg_DAYS_Y),cfg_EOS_TH)+cfg_EOS_R2*MAX((MAX(0,IF(OR(الموظفون!$X46="",الموظفون!$X46&gt;=cfg_Y_START),cfg_Y_START-1,الموظفون!$X46)-D46+1)/cfg_DAYS_Y)-cfg_EOS_TH,0)))</f>
        <v/>
      </c>
      <c r="Q46" s="86" t="str">
        <f aca="false">IF($B46="","",O46-P46)</f>
        <v/>
      </c>
      <c r="R46" s="86" t="str">
        <f aca="false">IF($B46="","",SUMIFS('الحركات الشهرية'!$N$6:$N$1005,'الحركات الشهرية'!$B$6:$B$1005,B46,'الحركات الشهرية'!$A$6:$A$1005,"&lt;="&amp;cfg_VAL_M))</f>
        <v/>
      </c>
      <c r="S46" s="128" t="str">
        <f aca="false">IF($B46="","",P46+Q46-R46)</f>
        <v/>
      </c>
      <c r="T46" s="74" t="str">
        <f aca="false">IF($B46="","",IF(S46&lt;-0.01,"✖ صرف أكثر من المستحق",IF(AND(L46&lt;&gt;"على رأس العمل",S46&gt;0.01),"⚠ مستحق لم يُصرف","✔ سليم")))</f>
        <v/>
      </c>
    </row>
    <row r="47" customFormat="false" ht="15" hidden="false" customHeight="false" outlineLevel="0" collapsed="false">
      <c r="B47" s="91" t="str">
        <f aca="false">IF(الموظفون!$B47="","",الموظفون!$B47)</f>
        <v/>
      </c>
      <c r="C47" s="91" t="str">
        <f aca="false">IF($B47="","",الموظفون!$C47)</f>
        <v/>
      </c>
      <c r="D47" s="129" t="str">
        <f aca="false">IF($B47="","",الموظفون!$H47)</f>
        <v/>
      </c>
      <c r="E47" s="129" t="str">
        <f aca="false">IF($B47="","",IF(OR(الموظفون!$X47="",الموظفون!$X47&gt;cfg_VAL_DATE),cfg_VAL_DATE,الموظفون!$X47))</f>
        <v/>
      </c>
      <c r="F47" s="91" t="str">
        <f aca="false">IF($B47="","",IF(E47&lt;D47,"لم يباشر",DATEDIF(D47,E47+1,"y")&amp;" سنة "&amp;DATEDIF(D47,E47+1,"ym")&amp;" شهر "&amp;DATEDIF(D47,E47+1,"md")&amp;" يوم"))</f>
        <v/>
      </c>
      <c r="G47" s="114" t="str">
        <f aca="false">IF($B47="","",MAX(0,E47-D47+1)/cfg_DAYS_Y)</f>
        <v/>
      </c>
      <c r="H47" s="90" t="str">
        <f aca="false">IF($B47="","",الموظفون!$O47)</f>
        <v/>
      </c>
      <c r="I47" s="90" t="str">
        <f aca="false">IF($B47="","",H47*cfg_EOS_R1*MIN(G47,cfg_EOS_TH))</f>
        <v/>
      </c>
      <c r="J47" s="90" t="str">
        <f aca="false">IF($B47="","",H47*cfg_EOS_R2*MAX(G47-cfg_EOS_TH,0))</f>
        <v/>
      </c>
      <c r="K47" s="90" t="str">
        <f aca="false">IF($B47="","",I47+J47)</f>
        <v/>
      </c>
      <c r="L47" s="91" t="str">
        <f aca="false">IF($B47="","",IF(AND(الموظفون!$X47&lt;&gt;"",الموظفون!$X47&lt;=cfg_VAL_DATE),IF(الموظفون!$Y47="","⚠ حدد السبب",الموظفون!$Y47),"على رأس العمل"))</f>
        <v/>
      </c>
      <c r="M47" s="130" t="str">
        <f aca="false">IF($B47="","",VLOOKUP(G47,cfg_RES,2,TRUE()))</f>
        <v/>
      </c>
      <c r="N47" s="90" t="str">
        <f aca="false">IF($B47="","",K47*M47)</f>
        <v/>
      </c>
      <c r="O47" s="90" t="str">
        <f aca="false">IF($B47="","",IF(L47="استقالة",N47,K47))</f>
        <v/>
      </c>
      <c r="P47" s="90" t="str">
        <f aca="false">IF($B47="","",H47*(cfg_EOS_R1*MIN((MAX(0,IF(OR(الموظفون!$X47="",الموظفون!$X47&gt;=cfg_Y_START),cfg_Y_START-1,الموظفون!$X47)-D47+1)/cfg_DAYS_Y),cfg_EOS_TH)+cfg_EOS_R2*MAX((MAX(0,IF(OR(الموظفون!$X47="",الموظفون!$X47&gt;=cfg_Y_START),cfg_Y_START-1,الموظفون!$X47)-D47+1)/cfg_DAYS_Y)-cfg_EOS_TH,0)))</f>
        <v/>
      </c>
      <c r="Q47" s="90" t="str">
        <f aca="false">IF($B47="","",O47-P47)</f>
        <v/>
      </c>
      <c r="R47" s="90" t="str">
        <f aca="false">IF($B47="","",SUMIFS('الحركات الشهرية'!$N$6:$N$1005,'الحركات الشهرية'!$B$6:$B$1005,B47,'الحركات الشهرية'!$A$6:$A$1005,"&lt;="&amp;cfg_VAL_M))</f>
        <v/>
      </c>
      <c r="S47" s="131" t="str">
        <f aca="false">IF($B47="","",P47+Q47-R47)</f>
        <v/>
      </c>
      <c r="T47" s="91" t="str">
        <f aca="false">IF($B47="","",IF(S47&lt;-0.01,"✖ صرف أكثر من المستحق",IF(AND(L47&lt;&gt;"على رأس العمل",S47&gt;0.01),"⚠ مستحق لم يُصرف","✔ سليم")))</f>
        <v/>
      </c>
    </row>
    <row r="48" customFormat="false" ht="15" hidden="false" customHeight="false" outlineLevel="0" collapsed="false">
      <c r="B48" s="74" t="str">
        <f aca="false">IF(الموظفون!$B48="","",الموظفون!$B48)</f>
        <v/>
      </c>
      <c r="C48" s="74" t="str">
        <f aca="false">IF($B48="","",الموظفون!$C48)</f>
        <v/>
      </c>
      <c r="D48" s="127" t="str">
        <f aca="false">IF($B48="","",الموظفون!$H48)</f>
        <v/>
      </c>
      <c r="E48" s="127" t="str">
        <f aca="false">IF($B48="","",IF(OR(الموظفون!$X48="",الموظفون!$X48&gt;cfg_VAL_DATE),cfg_VAL_DATE,الموظفون!$X48))</f>
        <v/>
      </c>
      <c r="F48" s="74" t="str">
        <f aca="false">IF($B48="","",IF(E48&lt;D48,"لم يباشر",DATEDIF(D48,E48+1,"y")&amp;" سنة "&amp;DATEDIF(D48,E48+1,"ym")&amp;" شهر "&amp;DATEDIF(D48,E48+1,"md")&amp;" يوم"))</f>
        <v/>
      </c>
      <c r="G48" s="109" t="str">
        <f aca="false">IF($B48="","",MAX(0,E48-D48+1)/cfg_DAYS_Y)</f>
        <v/>
      </c>
      <c r="H48" s="86" t="str">
        <f aca="false">IF($B48="","",الموظفون!$O48)</f>
        <v/>
      </c>
      <c r="I48" s="86" t="str">
        <f aca="false">IF($B48="","",H48*cfg_EOS_R1*MIN(G48,cfg_EOS_TH))</f>
        <v/>
      </c>
      <c r="J48" s="86" t="str">
        <f aca="false">IF($B48="","",H48*cfg_EOS_R2*MAX(G48-cfg_EOS_TH,0))</f>
        <v/>
      </c>
      <c r="K48" s="86" t="str">
        <f aca="false">IF($B48="","",I48+J48)</f>
        <v/>
      </c>
      <c r="L48" s="74" t="str">
        <f aca="false">IF($B48="","",IF(AND(الموظفون!$X48&lt;&gt;"",الموظفون!$X48&lt;=cfg_VAL_DATE),IF(الموظفون!$Y48="","⚠ حدد السبب",الموظفون!$Y48),"على رأس العمل"))</f>
        <v/>
      </c>
      <c r="M48" s="52" t="str">
        <f aca="false">IF($B48="","",VLOOKUP(G48,cfg_RES,2,TRUE()))</f>
        <v/>
      </c>
      <c r="N48" s="86" t="str">
        <f aca="false">IF($B48="","",K48*M48)</f>
        <v/>
      </c>
      <c r="O48" s="86" t="str">
        <f aca="false">IF($B48="","",IF(L48="استقالة",N48,K48))</f>
        <v/>
      </c>
      <c r="P48" s="86" t="str">
        <f aca="false">IF($B48="","",H48*(cfg_EOS_R1*MIN((MAX(0,IF(OR(الموظفون!$X48="",الموظفون!$X48&gt;=cfg_Y_START),cfg_Y_START-1,الموظفون!$X48)-D48+1)/cfg_DAYS_Y),cfg_EOS_TH)+cfg_EOS_R2*MAX((MAX(0,IF(OR(الموظفون!$X48="",الموظفون!$X48&gt;=cfg_Y_START),cfg_Y_START-1,الموظفون!$X48)-D48+1)/cfg_DAYS_Y)-cfg_EOS_TH,0)))</f>
        <v/>
      </c>
      <c r="Q48" s="86" t="str">
        <f aca="false">IF($B48="","",O48-P48)</f>
        <v/>
      </c>
      <c r="R48" s="86" t="str">
        <f aca="false">IF($B48="","",SUMIFS('الحركات الشهرية'!$N$6:$N$1005,'الحركات الشهرية'!$B$6:$B$1005,B48,'الحركات الشهرية'!$A$6:$A$1005,"&lt;="&amp;cfg_VAL_M))</f>
        <v/>
      </c>
      <c r="S48" s="128" t="str">
        <f aca="false">IF($B48="","",P48+Q48-R48)</f>
        <v/>
      </c>
      <c r="T48" s="74" t="str">
        <f aca="false">IF($B48="","",IF(S48&lt;-0.01,"✖ صرف أكثر من المستحق",IF(AND(L48&lt;&gt;"على رأس العمل",S48&gt;0.01),"⚠ مستحق لم يُصرف","✔ سليم")))</f>
        <v/>
      </c>
    </row>
    <row r="49" customFormat="false" ht="15" hidden="false" customHeight="false" outlineLevel="0" collapsed="false">
      <c r="B49" s="91" t="str">
        <f aca="false">IF(الموظفون!$B49="","",الموظفون!$B49)</f>
        <v/>
      </c>
      <c r="C49" s="91" t="str">
        <f aca="false">IF($B49="","",الموظفون!$C49)</f>
        <v/>
      </c>
      <c r="D49" s="129" t="str">
        <f aca="false">IF($B49="","",الموظفون!$H49)</f>
        <v/>
      </c>
      <c r="E49" s="129" t="str">
        <f aca="false">IF($B49="","",IF(OR(الموظفون!$X49="",الموظفون!$X49&gt;cfg_VAL_DATE),cfg_VAL_DATE,الموظفون!$X49))</f>
        <v/>
      </c>
      <c r="F49" s="91" t="str">
        <f aca="false">IF($B49="","",IF(E49&lt;D49,"لم يباشر",DATEDIF(D49,E49+1,"y")&amp;" سنة "&amp;DATEDIF(D49,E49+1,"ym")&amp;" شهر "&amp;DATEDIF(D49,E49+1,"md")&amp;" يوم"))</f>
        <v/>
      </c>
      <c r="G49" s="114" t="str">
        <f aca="false">IF($B49="","",MAX(0,E49-D49+1)/cfg_DAYS_Y)</f>
        <v/>
      </c>
      <c r="H49" s="90" t="str">
        <f aca="false">IF($B49="","",الموظفون!$O49)</f>
        <v/>
      </c>
      <c r="I49" s="90" t="str">
        <f aca="false">IF($B49="","",H49*cfg_EOS_R1*MIN(G49,cfg_EOS_TH))</f>
        <v/>
      </c>
      <c r="J49" s="90" t="str">
        <f aca="false">IF($B49="","",H49*cfg_EOS_R2*MAX(G49-cfg_EOS_TH,0))</f>
        <v/>
      </c>
      <c r="K49" s="90" t="str">
        <f aca="false">IF($B49="","",I49+J49)</f>
        <v/>
      </c>
      <c r="L49" s="91" t="str">
        <f aca="false">IF($B49="","",IF(AND(الموظفون!$X49&lt;&gt;"",الموظفون!$X49&lt;=cfg_VAL_DATE),IF(الموظفون!$Y49="","⚠ حدد السبب",الموظفون!$Y49),"على رأس العمل"))</f>
        <v/>
      </c>
      <c r="M49" s="130" t="str">
        <f aca="false">IF($B49="","",VLOOKUP(G49,cfg_RES,2,TRUE()))</f>
        <v/>
      </c>
      <c r="N49" s="90" t="str">
        <f aca="false">IF($B49="","",K49*M49)</f>
        <v/>
      </c>
      <c r="O49" s="90" t="str">
        <f aca="false">IF($B49="","",IF(L49="استقالة",N49,K49))</f>
        <v/>
      </c>
      <c r="P49" s="90" t="str">
        <f aca="false">IF($B49="","",H49*(cfg_EOS_R1*MIN((MAX(0,IF(OR(الموظفون!$X49="",الموظفون!$X49&gt;=cfg_Y_START),cfg_Y_START-1,الموظفون!$X49)-D49+1)/cfg_DAYS_Y),cfg_EOS_TH)+cfg_EOS_R2*MAX((MAX(0,IF(OR(الموظفون!$X49="",الموظفون!$X49&gt;=cfg_Y_START),cfg_Y_START-1,الموظفون!$X49)-D49+1)/cfg_DAYS_Y)-cfg_EOS_TH,0)))</f>
        <v/>
      </c>
      <c r="Q49" s="90" t="str">
        <f aca="false">IF($B49="","",O49-P49)</f>
        <v/>
      </c>
      <c r="R49" s="90" t="str">
        <f aca="false">IF($B49="","",SUMIFS('الحركات الشهرية'!$N$6:$N$1005,'الحركات الشهرية'!$B$6:$B$1005,B49,'الحركات الشهرية'!$A$6:$A$1005,"&lt;="&amp;cfg_VAL_M))</f>
        <v/>
      </c>
      <c r="S49" s="131" t="str">
        <f aca="false">IF($B49="","",P49+Q49-R49)</f>
        <v/>
      </c>
      <c r="T49" s="91" t="str">
        <f aca="false">IF($B49="","",IF(S49&lt;-0.01,"✖ صرف أكثر من المستحق",IF(AND(L49&lt;&gt;"على رأس العمل",S49&gt;0.01),"⚠ مستحق لم يُصرف","✔ سليم")))</f>
        <v/>
      </c>
    </row>
    <row r="50" customFormat="false" ht="15" hidden="false" customHeight="false" outlineLevel="0" collapsed="false">
      <c r="B50" s="74" t="str">
        <f aca="false">IF(الموظفون!$B50="","",الموظفون!$B50)</f>
        <v/>
      </c>
      <c r="C50" s="74" t="str">
        <f aca="false">IF($B50="","",الموظفون!$C50)</f>
        <v/>
      </c>
      <c r="D50" s="127" t="str">
        <f aca="false">IF($B50="","",الموظفون!$H50)</f>
        <v/>
      </c>
      <c r="E50" s="127" t="str">
        <f aca="false">IF($B50="","",IF(OR(الموظفون!$X50="",الموظفون!$X50&gt;cfg_VAL_DATE),cfg_VAL_DATE,الموظفون!$X50))</f>
        <v/>
      </c>
      <c r="F50" s="74" t="str">
        <f aca="false">IF($B50="","",IF(E50&lt;D50,"لم يباشر",DATEDIF(D50,E50+1,"y")&amp;" سنة "&amp;DATEDIF(D50,E50+1,"ym")&amp;" شهر "&amp;DATEDIF(D50,E50+1,"md")&amp;" يوم"))</f>
        <v/>
      </c>
      <c r="G50" s="109" t="str">
        <f aca="false">IF($B50="","",MAX(0,E50-D50+1)/cfg_DAYS_Y)</f>
        <v/>
      </c>
      <c r="H50" s="86" t="str">
        <f aca="false">IF($B50="","",الموظفون!$O50)</f>
        <v/>
      </c>
      <c r="I50" s="86" t="str">
        <f aca="false">IF($B50="","",H50*cfg_EOS_R1*MIN(G50,cfg_EOS_TH))</f>
        <v/>
      </c>
      <c r="J50" s="86" t="str">
        <f aca="false">IF($B50="","",H50*cfg_EOS_R2*MAX(G50-cfg_EOS_TH,0))</f>
        <v/>
      </c>
      <c r="K50" s="86" t="str">
        <f aca="false">IF($B50="","",I50+J50)</f>
        <v/>
      </c>
      <c r="L50" s="74" t="str">
        <f aca="false">IF($B50="","",IF(AND(الموظفون!$X50&lt;&gt;"",الموظفون!$X50&lt;=cfg_VAL_DATE),IF(الموظفون!$Y50="","⚠ حدد السبب",الموظفون!$Y50),"على رأس العمل"))</f>
        <v/>
      </c>
      <c r="M50" s="52" t="str">
        <f aca="false">IF($B50="","",VLOOKUP(G50,cfg_RES,2,TRUE()))</f>
        <v/>
      </c>
      <c r="N50" s="86" t="str">
        <f aca="false">IF($B50="","",K50*M50)</f>
        <v/>
      </c>
      <c r="O50" s="86" t="str">
        <f aca="false">IF($B50="","",IF(L50="استقالة",N50,K50))</f>
        <v/>
      </c>
      <c r="P50" s="86" t="str">
        <f aca="false">IF($B50="","",H50*(cfg_EOS_R1*MIN((MAX(0,IF(OR(الموظفون!$X50="",الموظفون!$X50&gt;=cfg_Y_START),cfg_Y_START-1,الموظفون!$X50)-D50+1)/cfg_DAYS_Y),cfg_EOS_TH)+cfg_EOS_R2*MAX((MAX(0,IF(OR(الموظفون!$X50="",الموظفون!$X50&gt;=cfg_Y_START),cfg_Y_START-1,الموظفون!$X50)-D50+1)/cfg_DAYS_Y)-cfg_EOS_TH,0)))</f>
        <v/>
      </c>
      <c r="Q50" s="86" t="str">
        <f aca="false">IF($B50="","",O50-P50)</f>
        <v/>
      </c>
      <c r="R50" s="86" t="str">
        <f aca="false">IF($B50="","",SUMIFS('الحركات الشهرية'!$N$6:$N$1005,'الحركات الشهرية'!$B$6:$B$1005,B50,'الحركات الشهرية'!$A$6:$A$1005,"&lt;="&amp;cfg_VAL_M))</f>
        <v/>
      </c>
      <c r="S50" s="128" t="str">
        <f aca="false">IF($B50="","",P50+Q50-R50)</f>
        <v/>
      </c>
      <c r="T50" s="74" t="str">
        <f aca="false">IF($B50="","",IF(S50&lt;-0.01,"✖ صرف أكثر من المستحق",IF(AND(L50&lt;&gt;"على رأس العمل",S50&gt;0.01),"⚠ مستحق لم يُصرف","✔ سليم")))</f>
        <v/>
      </c>
    </row>
    <row r="51" customFormat="false" ht="15" hidden="false" customHeight="false" outlineLevel="0" collapsed="false">
      <c r="B51" s="91" t="str">
        <f aca="false">IF(الموظفون!$B51="","",الموظفون!$B51)</f>
        <v/>
      </c>
      <c r="C51" s="91" t="str">
        <f aca="false">IF($B51="","",الموظفون!$C51)</f>
        <v/>
      </c>
      <c r="D51" s="129" t="str">
        <f aca="false">IF($B51="","",الموظفون!$H51)</f>
        <v/>
      </c>
      <c r="E51" s="129" t="str">
        <f aca="false">IF($B51="","",IF(OR(الموظفون!$X51="",الموظفون!$X51&gt;cfg_VAL_DATE),cfg_VAL_DATE,الموظفون!$X51))</f>
        <v/>
      </c>
      <c r="F51" s="91" t="str">
        <f aca="false">IF($B51="","",IF(E51&lt;D51,"لم يباشر",DATEDIF(D51,E51+1,"y")&amp;" سنة "&amp;DATEDIF(D51,E51+1,"ym")&amp;" شهر "&amp;DATEDIF(D51,E51+1,"md")&amp;" يوم"))</f>
        <v/>
      </c>
      <c r="G51" s="114" t="str">
        <f aca="false">IF($B51="","",MAX(0,E51-D51+1)/cfg_DAYS_Y)</f>
        <v/>
      </c>
      <c r="H51" s="90" t="str">
        <f aca="false">IF($B51="","",الموظفون!$O51)</f>
        <v/>
      </c>
      <c r="I51" s="90" t="str">
        <f aca="false">IF($B51="","",H51*cfg_EOS_R1*MIN(G51,cfg_EOS_TH))</f>
        <v/>
      </c>
      <c r="J51" s="90" t="str">
        <f aca="false">IF($B51="","",H51*cfg_EOS_R2*MAX(G51-cfg_EOS_TH,0))</f>
        <v/>
      </c>
      <c r="K51" s="90" t="str">
        <f aca="false">IF($B51="","",I51+J51)</f>
        <v/>
      </c>
      <c r="L51" s="91" t="str">
        <f aca="false">IF($B51="","",IF(AND(الموظفون!$X51&lt;&gt;"",الموظفون!$X51&lt;=cfg_VAL_DATE),IF(الموظفون!$Y51="","⚠ حدد السبب",الموظفون!$Y51),"على رأس العمل"))</f>
        <v/>
      </c>
      <c r="M51" s="130" t="str">
        <f aca="false">IF($B51="","",VLOOKUP(G51,cfg_RES,2,TRUE()))</f>
        <v/>
      </c>
      <c r="N51" s="90" t="str">
        <f aca="false">IF($B51="","",K51*M51)</f>
        <v/>
      </c>
      <c r="O51" s="90" t="str">
        <f aca="false">IF($B51="","",IF(L51="استقالة",N51,K51))</f>
        <v/>
      </c>
      <c r="P51" s="90" t="str">
        <f aca="false">IF($B51="","",H51*(cfg_EOS_R1*MIN((MAX(0,IF(OR(الموظفون!$X51="",الموظفون!$X51&gt;=cfg_Y_START),cfg_Y_START-1,الموظفون!$X51)-D51+1)/cfg_DAYS_Y),cfg_EOS_TH)+cfg_EOS_R2*MAX((MAX(0,IF(OR(الموظفون!$X51="",الموظفون!$X51&gt;=cfg_Y_START),cfg_Y_START-1,الموظفون!$X51)-D51+1)/cfg_DAYS_Y)-cfg_EOS_TH,0)))</f>
        <v/>
      </c>
      <c r="Q51" s="90" t="str">
        <f aca="false">IF($B51="","",O51-P51)</f>
        <v/>
      </c>
      <c r="R51" s="90" t="str">
        <f aca="false">IF($B51="","",SUMIFS('الحركات الشهرية'!$N$6:$N$1005,'الحركات الشهرية'!$B$6:$B$1005,B51,'الحركات الشهرية'!$A$6:$A$1005,"&lt;="&amp;cfg_VAL_M))</f>
        <v/>
      </c>
      <c r="S51" s="131" t="str">
        <f aca="false">IF($B51="","",P51+Q51-R51)</f>
        <v/>
      </c>
      <c r="T51" s="91" t="str">
        <f aca="false">IF($B51="","",IF(S51&lt;-0.01,"✖ صرف أكثر من المستحق",IF(AND(L51&lt;&gt;"على رأس العمل",S51&gt;0.01),"⚠ مستحق لم يُصرف","✔ سليم")))</f>
        <v/>
      </c>
    </row>
    <row r="52" customFormat="false" ht="15" hidden="false" customHeight="false" outlineLevel="0" collapsed="false">
      <c r="B52" s="74" t="str">
        <f aca="false">IF(الموظفون!$B52="","",الموظفون!$B52)</f>
        <v/>
      </c>
      <c r="C52" s="74" t="str">
        <f aca="false">IF($B52="","",الموظفون!$C52)</f>
        <v/>
      </c>
      <c r="D52" s="127" t="str">
        <f aca="false">IF($B52="","",الموظفون!$H52)</f>
        <v/>
      </c>
      <c r="E52" s="127" t="str">
        <f aca="false">IF($B52="","",IF(OR(الموظفون!$X52="",الموظفون!$X52&gt;cfg_VAL_DATE),cfg_VAL_DATE,الموظفون!$X52))</f>
        <v/>
      </c>
      <c r="F52" s="74" t="str">
        <f aca="false">IF($B52="","",IF(E52&lt;D52,"لم يباشر",DATEDIF(D52,E52+1,"y")&amp;" سنة "&amp;DATEDIF(D52,E52+1,"ym")&amp;" شهر "&amp;DATEDIF(D52,E52+1,"md")&amp;" يوم"))</f>
        <v/>
      </c>
      <c r="G52" s="109" t="str">
        <f aca="false">IF($B52="","",MAX(0,E52-D52+1)/cfg_DAYS_Y)</f>
        <v/>
      </c>
      <c r="H52" s="86" t="str">
        <f aca="false">IF($B52="","",الموظفون!$O52)</f>
        <v/>
      </c>
      <c r="I52" s="86" t="str">
        <f aca="false">IF($B52="","",H52*cfg_EOS_R1*MIN(G52,cfg_EOS_TH))</f>
        <v/>
      </c>
      <c r="J52" s="86" t="str">
        <f aca="false">IF($B52="","",H52*cfg_EOS_R2*MAX(G52-cfg_EOS_TH,0))</f>
        <v/>
      </c>
      <c r="K52" s="86" t="str">
        <f aca="false">IF($B52="","",I52+J52)</f>
        <v/>
      </c>
      <c r="L52" s="74" t="str">
        <f aca="false">IF($B52="","",IF(AND(الموظفون!$X52&lt;&gt;"",الموظفون!$X52&lt;=cfg_VAL_DATE),IF(الموظفون!$Y52="","⚠ حدد السبب",الموظفون!$Y52),"على رأس العمل"))</f>
        <v/>
      </c>
      <c r="M52" s="52" t="str">
        <f aca="false">IF($B52="","",VLOOKUP(G52,cfg_RES,2,TRUE()))</f>
        <v/>
      </c>
      <c r="N52" s="86" t="str">
        <f aca="false">IF($B52="","",K52*M52)</f>
        <v/>
      </c>
      <c r="O52" s="86" t="str">
        <f aca="false">IF($B52="","",IF(L52="استقالة",N52,K52))</f>
        <v/>
      </c>
      <c r="P52" s="86" t="str">
        <f aca="false">IF($B52="","",H52*(cfg_EOS_R1*MIN((MAX(0,IF(OR(الموظفون!$X52="",الموظفون!$X52&gt;=cfg_Y_START),cfg_Y_START-1,الموظفون!$X52)-D52+1)/cfg_DAYS_Y),cfg_EOS_TH)+cfg_EOS_R2*MAX((MAX(0,IF(OR(الموظفون!$X52="",الموظفون!$X52&gt;=cfg_Y_START),cfg_Y_START-1,الموظفون!$X52)-D52+1)/cfg_DAYS_Y)-cfg_EOS_TH,0)))</f>
        <v/>
      </c>
      <c r="Q52" s="86" t="str">
        <f aca="false">IF($B52="","",O52-P52)</f>
        <v/>
      </c>
      <c r="R52" s="86" t="str">
        <f aca="false">IF($B52="","",SUMIFS('الحركات الشهرية'!$N$6:$N$1005,'الحركات الشهرية'!$B$6:$B$1005,B52,'الحركات الشهرية'!$A$6:$A$1005,"&lt;="&amp;cfg_VAL_M))</f>
        <v/>
      </c>
      <c r="S52" s="128" t="str">
        <f aca="false">IF($B52="","",P52+Q52-R52)</f>
        <v/>
      </c>
      <c r="T52" s="74" t="str">
        <f aca="false">IF($B52="","",IF(S52&lt;-0.01,"✖ صرف أكثر من المستحق",IF(AND(L52&lt;&gt;"على رأس العمل",S52&gt;0.01),"⚠ مستحق لم يُصرف","✔ سليم")))</f>
        <v/>
      </c>
    </row>
    <row r="53" customFormat="false" ht="15" hidden="false" customHeight="false" outlineLevel="0" collapsed="false">
      <c r="B53" s="91" t="str">
        <f aca="false">IF(الموظفون!$B53="","",الموظفون!$B53)</f>
        <v/>
      </c>
      <c r="C53" s="91" t="str">
        <f aca="false">IF($B53="","",الموظفون!$C53)</f>
        <v/>
      </c>
      <c r="D53" s="129" t="str">
        <f aca="false">IF($B53="","",الموظفون!$H53)</f>
        <v/>
      </c>
      <c r="E53" s="129" t="str">
        <f aca="false">IF($B53="","",IF(OR(الموظفون!$X53="",الموظفون!$X53&gt;cfg_VAL_DATE),cfg_VAL_DATE,الموظفون!$X53))</f>
        <v/>
      </c>
      <c r="F53" s="91" t="str">
        <f aca="false">IF($B53="","",IF(E53&lt;D53,"لم يباشر",DATEDIF(D53,E53+1,"y")&amp;" سنة "&amp;DATEDIF(D53,E53+1,"ym")&amp;" شهر "&amp;DATEDIF(D53,E53+1,"md")&amp;" يوم"))</f>
        <v/>
      </c>
      <c r="G53" s="114" t="str">
        <f aca="false">IF($B53="","",MAX(0,E53-D53+1)/cfg_DAYS_Y)</f>
        <v/>
      </c>
      <c r="H53" s="90" t="str">
        <f aca="false">IF($B53="","",الموظفون!$O53)</f>
        <v/>
      </c>
      <c r="I53" s="90" t="str">
        <f aca="false">IF($B53="","",H53*cfg_EOS_R1*MIN(G53,cfg_EOS_TH))</f>
        <v/>
      </c>
      <c r="J53" s="90" t="str">
        <f aca="false">IF($B53="","",H53*cfg_EOS_R2*MAX(G53-cfg_EOS_TH,0))</f>
        <v/>
      </c>
      <c r="K53" s="90" t="str">
        <f aca="false">IF($B53="","",I53+J53)</f>
        <v/>
      </c>
      <c r="L53" s="91" t="str">
        <f aca="false">IF($B53="","",IF(AND(الموظفون!$X53&lt;&gt;"",الموظفون!$X53&lt;=cfg_VAL_DATE),IF(الموظفون!$Y53="","⚠ حدد السبب",الموظفون!$Y53),"على رأس العمل"))</f>
        <v/>
      </c>
      <c r="M53" s="130" t="str">
        <f aca="false">IF($B53="","",VLOOKUP(G53,cfg_RES,2,TRUE()))</f>
        <v/>
      </c>
      <c r="N53" s="90" t="str">
        <f aca="false">IF($B53="","",K53*M53)</f>
        <v/>
      </c>
      <c r="O53" s="90" t="str">
        <f aca="false">IF($B53="","",IF(L53="استقالة",N53,K53))</f>
        <v/>
      </c>
      <c r="P53" s="90" t="str">
        <f aca="false">IF($B53="","",H53*(cfg_EOS_R1*MIN((MAX(0,IF(OR(الموظفون!$X53="",الموظفون!$X53&gt;=cfg_Y_START),cfg_Y_START-1,الموظفون!$X53)-D53+1)/cfg_DAYS_Y),cfg_EOS_TH)+cfg_EOS_R2*MAX((MAX(0,IF(OR(الموظفون!$X53="",الموظفون!$X53&gt;=cfg_Y_START),cfg_Y_START-1,الموظفون!$X53)-D53+1)/cfg_DAYS_Y)-cfg_EOS_TH,0)))</f>
        <v/>
      </c>
      <c r="Q53" s="90" t="str">
        <f aca="false">IF($B53="","",O53-P53)</f>
        <v/>
      </c>
      <c r="R53" s="90" t="str">
        <f aca="false">IF($B53="","",SUMIFS('الحركات الشهرية'!$N$6:$N$1005,'الحركات الشهرية'!$B$6:$B$1005,B53,'الحركات الشهرية'!$A$6:$A$1005,"&lt;="&amp;cfg_VAL_M))</f>
        <v/>
      </c>
      <c r="S53" s="131" t="str">
        <f aca="false">IF($B53="","",P53+Q53-R53)</f>
        <v/>
      </c>
      <c r="T53" s="91" t="str">
        <f aca="false">IF($B53="","",IF(S53&lt;-0.01,"✖ صرف أكثر من المستحق",IF(AND(L53&lt;&gt;"على رأس العمل",S53&gt;0.01),"⚠ مستحق لم يُصرف","✔ سليم")))</f>
        <v/>
      </c>
    </row>
    <row r="54" customFormat="false" ht="15" hidden="false" customHeight="false" outlineLevel="0" collapsed="false">
      <c r="B54" s="74" t="str">
        <f aca="false">IF(الموظفون!$B54="","",الموظفون!$B54)</f>
        <v/>
      </c>
      <c r="C54" s="74" t="str">
        <f aca="false">IF($B54="","",الموظفون!$C54)</f>
        <v/>
      </c>
      <c r="D54" s="127" t="str">
        <f aca="false">IF($B54="","",الموظفون!$H54)</f>
        <v/>
      </c>
      <c r="E54" s="127" t="str">
        <f aca="false">IF($B54="","",IF(OR(الموظفون!$X54="",الموظفون!$X54&gt;cfg_VAL_DATE),cfg_VAL_DATE,الموظفون!$X54))</f>
        <v/>
      </c>
      <c r="F54" s="74" t="str">
        <f aca="false">IF($B54="","",IF(E54&lt;D54,"لم يباشر",DATEDIF(D54,E54+1,"y")&amp;" سنة "&amp;DATEDIF(D54,E54+1,"ym")&amp;" شهر "&amp;DATEDIF(D54,E54+1,"md")&amp;" يوم"))</f>
        <v/>
      </c>
      <c r="G54" s="109" t="str">
        <f aca="false">IF($B54="","",MAX(0,E54-D54+1)/cfg_DAYS_Y)</f>
        <v/>
      </c>
      <c r="H54" s="86" t="str">
        <f aca="false">IF($B54="","",الموظفون!$O54)</f>
        <v/>
      </c>
      <c r="I54" s="86" t="str">
        <f aca="false">IF($B54="","",H54*cfg_EOS_R1*MIN(G54,cfg_EOS_TH))</f>
        <v/>
      </c>
      <c r="J54" s="86" t="str">
        <f aca="false">IF($B54="","",H54*cfg_EOS_R2*MAX(G54-cfg_EOS_TH,0))</f>
        <v/>
      </c>
      <c r="K54" s="86" t="str">
        <f aca="false">IF($B54="","",I54+J54)</f>
        <v/>
      </c>
      <c r="L54" s="74" t="str">
        <f aca="false">IF($B54="","",IF(AND(الموظفون!$X54&lt;&gt;"",الموظفون!$X54&lt;=cfg_VAL_DATE),IF(الموظفون!$Y54="","⚠ حدد السبب",الموظفون!$Y54),"على رأس العمل"))</f>
        <v/>
      </c>
      <c r="M54" s="52" t="str">
        <f aca="false">IF($B54="","",VLOOKUP(G54,cfg_RES,2,TRUE()))</f>
        <v/>
      </c>
      <c r="N54" s="86" t="str">
        <f aca="false">IF($B54="","",K54*M54)</f>
        <v/>
      </c>
      <c r="O54" s="86" t="str">
        <f aca="false">IF($B54="","",IF(L54="استقالة",N54,K54))</f>
        <v/>
      </c>
      <c r="P54" s="86" t="str">
        <f aca="false">IF($B54="","",H54*(cfg_EOS_R1*MIN((MAX(0,IF(OR(الموظفون!$X54="",الموظفون!$X54&gt;=cfg_Y_START),cfg_Y_START-1,الموظفون!$X54)-D54+1)/cfg_DAYS_Y),cfg_EOS_TH)+cfg_EOS_R2*MAX((MAX(0,IF(OR(الموظفون!$X54="",الموظفون!$X54&gt;=cfg_Y_START),cfg_Y_START-1,الموظفون!$X54)-D54+1)/cfg_DAYS_Y)-cfg_EOS_TH,0)))</f>
        <v/>
      </c>
      <c r="Q54" s="86" t="str">
        <f aca="false">IF($B54="","",O54-P54)</f>
        <v/>
      </c>
      <c r="R54" s="86" t="str">
        <f aca="false">IF($B54="","",SUMIFS('الحركات الشهرية'!$N$6:$N$1005,'الحركات الشهرية'!$B$6:$B$1005,B54,'الحركات الشهرية'!$A$6:$A$1005,"&lt;="&amp;cfg_VAL_M))</f>
        <v/>
      </c>
      <c r="S54" s="128" t="str">
        <f aca="false">IF($B54="","",P54+Q54-R54)</f>
        <v/>
      </c>
      <c r="T54" s="74" t="str">
        <f aca="false">IF($B54="","",IF(S54&lt;-0.01,"✖ صرف أكثر من المستحق",IF(AND(L54&lt;&gt;"على رأس العمل",S54&gt;0.01),"⚠ مستحق لم يُصرف","✔ سليم")))</f>
        <v/>
      </c>
    </row>
    <row r="55" customFormat="false" ht="15" hidden="false" customHeight="false" outlineLevel="0" collapsed="false">
      <c r="B55" s="91" t="str">
        <f aca="false">IF(الموظفون!$B55="","",الموظفون!$B55)</f>
        <v/>
      </c>
      <c r="C55" s="91" t="str">
        <f aca="false">IF($B55="","",الموظفون!$C55)</f>
        <v/>
      </c>
      <c r="D55" s="129" t="str">
        <f aca="false">IF($B55="","",الموظفون!$H55)</f>
        <v/>
      </c>
      <c r="E55" s="129" t="str">
        <f aca="false">IF($B55="","",IF(OR(الموظفون!$X55="",الموظفون!$X55&gt;cfg_VAL_DATE),cfg_VAL_DATE,الموظفون!$X55))</f>
        <v/>
      </c>
      <c r="F55" s="91" t="str">
        <f aca="false">IF($B55="","",IF(E55&lt;D55,"لم يباشر",DATEDIF(D55,E55+1,"y")&amp;" سنة "&amp;DATEDIF(D55,E55+1,"ym")&amp;" شهر "&amp;DATEDIF(D55,E55+1,"md")&amp;" يوم"))</f>
        <v/>
      </c>
      <c r="G55" s="114" t="str">
        <f aca="false">IF($B55="","",MAX(0,E55-D55+1)/cfg_DAYS_Y)</f>
        <v/>
      </c>
      <c r="H55" s="90" t="str">
        <f aca="false">IF($B55="","",الموظفون!$O55)</f>
        <v/>
      </c>
      <c r="I55" s="90" t="str">
        <f aca="false">IF($B55="","",H55*cfg_EOS_R1*MIN(G55,cfg_EOS_TH))</f>
        <v/>
      </c>
      <c r="J55" s="90" t="str">
        <f aca="false">IF($B55="","",H55*cfg_EOS_R2*MAX(G55-cfg_EOS_TH,0))</f>
        <v/>
      </c>
      <c r="K55" s="90" t="str">
        <f aca="false">IF($B55="","",I55+J55)</f>
        <v/>
      </c>
      <c r="L55" s="91" t="str">
        <f aca="false">IF($B55="","",IF(AND(الموظفون!$X55&lt;&gt;"",الموظفون!$X55&lt;=cfg_VAL_DATE),IF(الموظفون!$Y55="","⚠ حدد السبب",الموظفون!$Y55),"على رأس العمل"))</f>
        <v/>
      </c>
      <c r="M55" s="130" t="str">
        <f aca="false">IF($B55="","",VLOOKUP(G55,cfg_RES,2,TRUE()))</f>
        <v/>
      </c>
      <c r="N55" s="90" t="str">
        <f aca="false">IF($B55="","",K55*M55)</f>
        <v/>
      </c>
      <c r="O55" s="90" t="str">
        <f aca="false">IF($B55="","",IF(L55="استقالة",N55,K55))</f>
        <v/>
      </c>
      <c r="P55" s="90" t="str">
        <f aca="false">IF($B55="","",H55*(cfg_EOS_R1*MIN((MAX(0,IF(OR(الموظفون!$X55="",الموظفون!$X55&gt;=cfg_Y_START),cfg_Y_START-1,الموظفون!$X55)-D55+1)/cfg_DAYS_Y),cfg_EOS_TH)+cfg_EOS_R2*MAX((MAX(0,IF(OR(الموظفون!$X55="",الموظفون!$X55&gt;=cfg_Y_START),cfg_Y_START-1,الموظفون!$X55)-D55+1)/cfg_DAYS_Y)-cfg_EOS_TH,0)))</f>
        <v/>
      </c>
      <c r="Q55" s="90" t="str">
        <f aca="false">IF($B55="","",O55-P55)</f>
        <v/>
      </c>
      <c r="R55" s="90" t="str">
        <f aca="false">IF($B55="","",SUMIFS('الحركات الشهرية'!$N$6:$N$1005,'الحركات الشهرية'!$B$6:$B$1005,B55,'الحركات الشهرية'!$A$6:$A$1005,"&lt;="&amp;cfg_VAL_M))</f>
        <v/>
      </c>
      <c r="S55" s="131" t="str">
        <f aca="false">IF($B55="","",P55+Q55-R55)</f>
        <v/>
      </c>
      <c r="T55" s="91" t="str">
        <f aca="false">IF($B55="","",IF(S55&lt;-0.01,"✖ صرف أكثر من المستحق",IF(AND(L55&lt;&gt;"على رأس العمل",S55&gt;0.01),"⚠ مستحق لم يُصرف","✔ سليم")))</f>
        <v/>
      </c>
    </row>
    <row r="56" customFormat="false" ht="15" hidden="false" customHeight="false" outlineLevel="0" collapsed="false">
      <c r="B56" s="74" t="str">
        <f aca="false">IF(الموظفون!$B56="","",الموظفون!$B56)</f>
        <v/>
      </c>
      <c r="C56" s="74" t="str">
        <f aca="false">IF($B56="","",الموظفون!$C56)</f>
        <v/>
      </c>
      <c r="D56" s="127" t="str">
        <f aca="false">IF($B56="","",الموظفون!$H56)</f>
        <v/>
      </c>
      <c r="E56" s="127" t="str">
        <f aca="false">IF($B56="","",IF(OR(الموظفون!$X56="",الموظفون!$X56&gt;cfg_VAL_DATE),cfg_VAL_DATE,الموظفون!$X56))</f>
        <v/>
      </c>
      <c r="F56" s="74" t="str">
        <f aca="false">IF($B56="","",IF(E56&lt;D56,"لم يباشر",DATEDIF(D56,E56+1,"y")&amp;" سنة "&amp;DATEDIF(D56,E56+1,"ym")&amp;" شهر "&amp;DATEDIF(D56,E56+1,"md")&amp;" يوم"))</f>
        <v/>
      </c>
      <c r="G56" s="109" t="str">
        <f aca="false">IF($B56="","",MAX(0,E56-D56+1)/cfg_DAYS_Y)</f>
        <v/>
      </c>
      <c r="H56" s="86" t="str">
        <f aca="false">IF($B56="","",الموظفون!$O56)</f>
        <v/>
      </c>
      <c r="I56" s="86" t="str">
        <f aca="false">IF($B56="","",H56*cfg_EOS_R1*MIN(G56,cfg_EOS_TH))</f>
        <v/>
      </c>
      <c r="J56" s="86" t="str">
        <f aca="false">IF($B56="","",H56*cfg_EOS_R2*MAX(G56-cfg_EOS_TH,0))</f>
        <v/>
      </c>
      <c r="K56" s="86" t="str">
        <f aca="false">IF($B56="","",I56+J56)</f>
        <v/>
      </c>
      <c r="L56" s="74" t="str">
        <f aca="false">IF($B56="","",IF(AND(الموظفون!$X56&lt;&gt;"",الموظفون!$X56&lt;=cfg_VAL_DATE),IF(الموظفون!$Y56="","⚠ حدد السبب",الموظفون!$Y56),"على رأس العمل"))</f>
        <v/>
      </c>
      <c r="M56" s="52" t="str">
        <f aca="false">IF($B56="","",VLOOKUP(G56,cfg_RES,2,TRUE()))</f>
        <v/>
      </c>
      <c r="N56" s="86" t="str">
        <f aca="false">IF($B56="","",K56*M56)</f>
        <v/>
      </c>
      <c r="O56" s="86" t="str">
        <f aca="false">IF($B56="","",IF(L56="استقالة",N56,K56))</f>
        <v/>
      </c>
      <c r="P56" s="86" t="str">
        <f aca="false">IF($B56="","",H56*(cfg_EOS_R1*MIN((MAX(0,IF(OR(الموظفون!$X56="",الموظفون!$X56&gt;=cfg_Y_START),cfg_Y_START-1,الموظفون!$X56)-D56+1)/cfg_DAYS_Y),cfg_EOS_TH)+cfg_EOS_R2*MAX((MAX(0,IF(OR(الموظفون!$X56="",الموظفون!$X56&gt;=cfg_Y_START),cfg_Y_START-1,الموظفون!$X56)-D56+1)/cfg_DAYS_Y)-cfg_EOS_TH,0)))</f>
        <v/>
      </c>
      <c r="Q56" s="86" t="str">
        <f aca="false">IF($B56="","",O56-P56)</f>
        <v/>
      </c>
      <c r="R56" s="86" t="str">
        <f aca="false">IF($B56="","",SUMIFS('الحركات الشهرية'!$N$6:$N$1005,'الحركات الشهرية'!$B$6:$B$1005,B56,'الحركات الشهرية'!$A$6:$A$1005,"&lt;="&amp;cfg_VAL_M))</f>
        <v/>
      </c>
      <c r="S56" s="128" t="str">
        <f aca="false">IF($B56="","",P56+Q56-R56)</f>
        <v/>
      </c>
      <c r="T56" s="74" t="str">
        <f aca="false">IF($B56="","",IF(S56&lt;-0.01,"✖ صرف أكثر من المستحق",IF(AND(L56&lt;&gt;"على رأس العمل",S56&gt;0.01),"⚠ مستحق لم يُصرف","✔ سليم")))</f>
        <v/>
      </c>
    </row>
    <row r="57" customFormat="false" ht="15" hidden="false" customHeight="false" outlineLevel="0" collapsed="false">
      <c r="B57" s="91" t="str">
        <f aca="false">IF(الموظفون!$B57="","",الموظفون!$B57)</f>
        <v/>
      </c>
      <c r="C57" s="91" t="str">
        <f aca="false">IF($B57="","",الموظفون!$C57)</f>
        <v/>
      </c>
      <c r="D57" s="129" t="str">
        <f aca="false">IF($B57="","",الموظفون!$H57)</f>
        <v/>
      </c>
      <c r="E57" s="129" t="str">
        <f aca="false">IF($B57="","",IF(OR(الموظفون!$X57="",الموظفون!$X57&gt;cfg_VAL_DATE),cfg_VAL_DATE,الموظفون!$X57))</f>
        <v/>
      </c>
      <c r="F57" s="91" t="str">
        <f aca="false">IF($B57="","",IF(E57&lt;D57,"لم يباشر",DATEDIF(D57,E57+1,"y")&amp;" سنة "&amp;DATEDIF(D57,E57+1,"ym")&amp;" شهر "&amp;DATEDIF(D57,E57+1,"md")&amp;" يوم"))</f>
        <v/>
      </c>
      <c r="G57" s="114" t="str">
        <f aca="false">IF($B57="","",MAX(0,E57-D57+1)/cfg_DAYS_Y)</f>
        <v/>
      </c>
      <c r="H57" s="90" t="str">
        <f aca="false">IF($B57="","",الموظفون!$O57)</f>
        <v/>
      </c>
      <c r="I57" s="90" t="str">
        <f aca="false">IF($B57="","",H57*cfg_EOS_R1*MIN(G57,cfg_EOS_TH))</f>
        <v/>
      </c>
      <c r="J57" s="90" t="str">
        <f aca="false">IF($B57="","",H57*cfg_EOS_R2*MAX(G57-cfg_EOS_TH,0))</f>
        <v/>
      </c>
      <c r="K57" s="90" t="str">
        <f aca="false">IF($B57="","",I57+J57)</f>
        <v/>
      </c>
      <c r="L57" s="91" t="str">
        <f aca="false">IF($B57="","",IF(AND(الموظفون!$X57&lt;&gt;"",الموظفون!$X57&lt;=cfg_VAL_DATE),IF(الموظفون!$Y57="","⚠ حدد السبب",الموظفون!$Y57),"على رأس العمل"))</f>
        <v/>
      </c>
      <c r="M57" s="130" t="str">
        <f aca="false">IF($B57="","",VLOOKUP(G57,cfg_RES,2,TRUE()))</f>
        <v/>
      </c>
      <c r="N57" s="90" t="str">
        <f aca="false">IF($B57="","",K57*M57)</f>
        <v/>
      </c>
      <c r="O57" s="90" t="str">
        <f aca="false">IF($B57="","",IF(L57="استقالة",N57,K57))</f>
        <v/>
      </c>
      <c r="P57" s="90" t="str">
        <f aca="false">IF($B57="","",H57*(cfg_EOS_R1*MIN((MAX(0,IF(OR(الموظفون!$X57="",الموظفون!$X57&gt;=cfg_Y_START),cfg_Y_START-1,الموظفون!$X57)-D57+1)/cfg_DAYS_Y),cfg_EOS_TH)+cfg_EOS_R2*MAX((MAX(0,IF(OR(الموظفون!$X57="",الموظفون!$X57&gt;=cfg_Y_START),cfg_Y_START-1,الموظفون!$X57)-D57+1)/cfg_DAYS_Y)-cfg_EOS_TH,0)))</f>
        <v/>
      </c>
      <c r="Q57" s="90" t="str">
        <f aca="false">IF($B57="","",O57-P57)</f>
        <v/>
      </c>
      <c r="R57" s="90" t="str">
        <f aca="false">IF($B57="","",SUMIFS('الحركات الشهرية'!$N$6:$N$1005,'الحركات الشهرية'!$B$6:$B$1005,B57,'الحركات الشهرية'!$A$6:$A$1005,"&lt;="&amp;cfg_VAL_M))</f>
        <v/>
      </c>
      <c r="S57" s="131" t="str">
        <f aca="false">IF($B57="","",P57+Q57-R57)</f>
        <v/>
      </c>
      <c r="T57" s="91" t="str">
        <f aca="false">IF($B57="","",IF(S57&lt;-0.01,"✖ صرف أكثر من المستحق",IF(AND(L57&lt;&gt;"على رأس العمل",S57&gt;0.01),"⚠ مستحق لم يُصرف","✔ سليم")))</f>
        <v/>
      </c>
    </row>
    <row r="58" customFormat="false" ht="15" hidden="false" customHeight="false" outlineLevel="0" collapsed="false">
      <c r="B58" s="74" t="str">
        <f aca="false">IF(الموظفون!$B58="","",الموظفون!$B58)</f>
        <v/>
      </c>
      <c r="C58" s="74" t="str">
        <f aca="false">IF($B58="","",الموظفون!$C58)</f>
        <v/>
      </c>
      <c r="D58" s="127" t="str">
        <f aca="false">IF($B58="","",الموظفون!$H58)</f>
        <v/>
      </c>
      <c r="E58" s="127" t="str">
        <f aca="false">IF($B58="","",IF(OR(الموظفون!$X58="",الموظفون!$X58&gt;cfg_VAL_DATE),cfg_VAL_DATE,الموظفون!$X58))</f>
        <v/>
      </c>
      <c r="F58" s="74" t="str">
        <f aca="false">IF($B58="","",IF(E58&lt;D58,"لم يباشر",DATEDIF(D58,E58+1,"y")&amp;" سنة "&amp;DATEDIF(D58,E58+1,"ym")&amp;" شهر "&amp;DATEDIF(D58,E58+1,"md")&amp;" يوم"))</f>
        <v/>
      </c>
      <c r="G58" s="109" t="str">
        <f aca="false">IF($B58="","",MAX(0,E58-D58+1)/cfg_DAYS_Y)</f>
        <v/>
      </c>
      <c r="H58" s="86" t="str">
        <f aca="false">IF($B58="","",الموظفون!$O58)</f>
        <v/>
      </c>
      <c r="I58" s="86" t="str">
        <f aca="false">IF($B58="","",H58*cfg_EOS_R1*MIN(G58,cfg_EOS_TH))</f>
        <v/>
      </c>
      <c r="J58" s="86" t="str">
        <f aca="false">IF($B58="","",H58*cfg_EOS_R2*MAX(G58-cfg_EOS_TH,0))</f>
        <v/>
      </c>
      <c r="K58" s="86" t="str">
        <f aca="false">IF($B58="","",I58+J58)</f>
        <v/>
      </c>
      <c r="L58" s="74" t="str">
        <f aca="false">IF($B58="","",IF(AND(الموظفون!$X58&lt;&gt;"",الموظفون!$X58&lt;=cfg_VAL_DATE),IF(الموظفون!$Y58="","⚠ حدد السبب",الموظفون!$Y58),"على رأس العمل"))</f>
        <v/>
      </c>
      <c r="M58" s="52" t="str">
        <f aca="false">IF($B58="","",VLOOKUP(G58,cfg_RES,2,TRUE()))</f>
        <v/>
      </c>
      <c r="N58" s="86" t="str">
        <f aca="false">IF($B58="","",K58*M58)</f>
        <v/>
      </c>
      <c r="O58" s="86" t="str">
        <f aca="false">IF($B58="","",IF(L58="استقالة",N58,K58))</f>
        <v/>
      </c>
      <c r="P58" s="86" t="str">
        <f aca="false">IF($B58="","",H58*(cfg_EOS_R1*MIN((MAX(0,IF(OR(الموظفون!$X58="",الموظفون!$X58&gt;=cfg_Y_START),cfg_Y_START-1,الموظفون!$X58)-D58+1)/cfg_DAYS_Y),cfg_EOS_TH)+cfg_EOS_R2*MAX((MAX(0,IF(OR(الموظفون!$X58="",الموظفون!$X58&gt;=cfg_Y_START),cfg_Y_START-1,الموظفون!$X58)-D58+1)/cfg_DAYS_Y)-cfg_EOS_TH,0)))</f>
        <v/>
      </c>
      <c r="Q58" s="86" t="str">
        <f aca="false">IF($B58="","",O58-P58)</f>
        <v/>
      </c>
      <c r="R58" s="86" t="str">
        <f aca="false">IF($B58="","",SUMIFS('الحركات الشهرية'!$N$6:$N$1005,'الحركات الشهرية'!$B$6:$B$1005,B58,'الحركات الشهرية'!$A$6:$A$1005,"&lt;="&amp;cfg_VAL_M))</f>
        <v/>
      </c>
      <c r="S58" s="128" t="str">
        <f aca="false">IF($B58="","",P58+Q58-R58)</f>
        <v/>
      </c>
      <c r="T58" s="74" t="str">
        <f aca="false">IF($B58="","",IF(S58&lt;-0.01,"✖ صرف أكثر من المستحق",IF(AND(L58&lt;&gt;"على رأس العمل",S58&gt;0.01),"⚠ مستحق لم يُصرف","✔ سليم")))</f>
        <v/>
      </c>
    </row>
    <row r="59" customFormat="false" ht="15" hidden="false" customHeight="false" outlineLevel="0" collapsed="false">
      <c r="B59" s="91" t="str">
        <f aca="false">IF(الموظفون!$B59="","",الموظفون!$B59)</f>
        <v/>
      </c>
      <c r="C59" s="91" t="str">
        <f aca="false">IF($B59="","",الموظفون!$C59)</f>
        <v/>
      </c>
      <c r="D59" s="129" t="str">
        <f aca="false">IF($B59="","",الموظفون!$H59)</f>
        <v/>
      </c>
      <c r="E59" s="129" t="str">
        <f aca="false">IF($B59="","",IF(OR(الموظفون!$X59="",الموظفون!$X59&gt;cfg_VAL_DATE),cfg_VAL_DATE,الموظفون!$X59))</f>
        <v/>
      </c>
      <c r="F59" s="91" t="str">
        <f aca="false">IF($B59="","",IF(E59&lt;D59,"لم يباشر",DATEDIF(D59,E59+1,"y")&amp;" سنة "&amp;DATEDIF(D59,E59+1,"ym")&amp;" شهر "&amp;DATEDIF(D59,E59+1,"md")&amp;" يوم"))</f>
        <v/>
      </c>
      <c r="G59" s="114" t="str">
        <f aca="false">IF($B59="","",MAX(0,E59-D59+1)/cfg_DAYS_Y)</f>
        <v/>
      </c>
      <c r="H59" s="90" t="str">
        <f aca="false">IF($B59="","",الموظفون!$O59)</f>
        <v/>
      </c>
      <c r="I59" s="90" t="str">
        <f aca="false">IF($B59="","",H59*cfg_EOS_R1*MIN(G59,cfg_EOS_TH))</f>
        <v/>
      </c>
      <c r="J59" s="90" t="str">
        <f aca="false">IF($B59="","",H59*cfg_EOS_R2*MAX(G59-cfg_EOS_TH,0))</f>
        <v/>
      </c>
      <c r="K59" s="90" t="str">
        <f aca="false">IF($B59="","",I59+J59)</f>
        <v/>
      </c>
      <c r="L59" s="91" t="str">
        <f aca="false">IF($B59="","",IF(AND(الموظفون!$X59&lt;&gt;"",الموظفون!$X59&lt;=cfg_VAL_DATE),IF(الموظفون!$Y59="","⚠ حدد السبب",الموظفون!$Y59),"على رأس العمل"))</f>
        <v/>
      </c>
      <c r="M59" s="130" t="str">
        <f aca="false">IF($B59="","",VLOOKUP(G59,cfg_RES,2,TRUE()))</f>
        <v/>
      </c>
      <c r="N59" s="90" t="str">
        <f aca="false">IF($B59="","",K59*M59)</f>
        <v/>
      </c>
      <c r="O59" s="90" t="str">
        <f aca="false">IF($B59="","",IF(L59="استقالة",N59,K59))</f>
        <v/>
      </c>
      <c r="P59" s="90" t="str">
        <f aca="false">IF($B59="","",H59*(cfg_EOS_R1*MIN((MAX(0,IF(OR(الموظفون!$X59="",الموظفون!$X59&gt;=cfg_Y_START),cfg_Y_START-1,الموظفون!$X59)-D59+1)/cfg_DAYS_Y),cfg_EOS_TH)+cfg_EOS_R2*MAX((MAX(0,IF(OR(الموظفون!$X59="",الموظفون!$X59&gt;=cfg_Y_START),cfg_Y_START-1,الموظفون!$X59)-D59+1)/cfg_DAYS_Y)-cfg_EOS_TH,0)))</f>
        <v/>
      </c>
      <c r="Q59" s="90" t="str">
        <f aca="false">IF($B59="","",O59-P59)</f>
        <v/>
      </c>
      <c r="R59" s="90" t="str">
        <f aca="false">IF($B59="","",SUMIFS('الحركات الشهرية'!$N$6:$N$1005,'الحركات الشهرية'!$B$6:$B$1005,B59,'الحركات الشهرية'!$A$6:$A$1005,"&lt;="&amp;cfg_VAL_M))</f>
        <v/>
      </c>
      <c r="S59" s="131" t="str">
        <f aca="false">IF($B59="","",P59+Q59-R59)</f>
        <v/>
      </c>
      <c r="T59" s="91" t="str">
        <f aca="false">IF($B59="","",IF(S59&lt;-0.01,"✖ صرف أكثر من المستحق",IF(AND(L59&lt;&gt;"على رأس العمل",S59&gt;0.01),"⚠ مستحق لم يُصرف","✔ سليم")))</f>
        <v/>
      </c>
    </row>
    <row r="60" customFormat="false" ht="15" hidden="false" customHeight="false" outlineLevel="0" collapsed="false">
      <c r="B60" s="74" t="str">
        <f aca="false">IF(الموظفون!$B60="","",الموظفون!$B60)</f>
        <v/>
      </c>
      <c r="C60" s="74" t="str">
        <f aca="false">IF($B60="","",الموظفون!$C60)</f>
        <v/>
      </c>
      <c r="D60" s="127" t="str">
        <f aca="false">IF($B60="","",الموظفون!$H60)</f>
        <v/>
      </c>
      <c r="E60" s="127" t="str">
        <f aca="false">IF($B60="","",IF(OR(الموظفون!$X60="",الموظفون!$X60&gt;cfg_VAL_DATE),cfg_VAL_DATE,الموظفون!$X60))</f>
        <v/>
      </c>
      <c r="F60" s="74" t="str">
        <f aca="false">IF($B60="","",IF(E60&lt;D60,"لم يباشر",DATEDIF(D60,E60+1,"y")&amp;" سنة "&amp;DATEDIF(D60,E60+1,"ym")&amp;" شهر "&amp;DATEDIF(D60,E60+1,"md")&amp;" يوم"))</f>
        <v/>
      </c>
      <c r="G60" s="109" t="str">
        <f aca="false">IF($B60="","",MAX(0,E60-D60+1)/cfg_DAYS_Y)</f>
        <v/>
      </c>
      <c r="H60" s="86" t="str">
        <f aca="false">IF($B60="","",الموظفون!$O60)</f>
        <v/>
      </c>
      <c r="I60" s="86" t="str">
        <f aca="false">IF($B60="","",H60*cfg_EOS_R1*MIN(G60,cfg_EOS_TH))</f>
        <v/>
      </c>
      <c r="J60" s="86" t="str">
        <f aca="false">IF($B60="","",H60*cfg_EOS_R2*MAX(G60-cfg_EOS_TH,0))</f>
        <v/>
      </c>
      <c r="K60" s="86" t="str">
        <f aca="false">IF($B60="","",I60+J60)</f>
        <v/>
      </c>
      <c r="L60" s="74" t="str">
        <f aca="false">IF($B60="","",IF(AND(الموظفون!$X60&lt;&gt;"",الموظفون!$X60&lt;=cfg_VAL_DATE),IF(الموظفون!$Y60="","⚠ حدد السبب",الموظفون!$Y60),"على رأس العمل"))</f>
        <v/>
      </c>
      <c r="M60" s="52" t="str">
        <f aca="false">IF($B60="","",VLOOKUP(G60,cfg_RES,2,TRUE()))</f>
        <v/>
      </c>
      <c r="N60" s="86" t="str">
        <f aca="false">IF($B60="","",K60*M60)</f>
        <v/>
      </c>
      <c r="O60" s="86" t="str">
        <f aca="false">IF($B60="","",IF(L60="استقالة",N60,K60))</f>
        <v/>
      </c>
      <c r="P60" s="86" t="str">
        <f aca="false">IF($B60="","",H60*(cfg_EOS_R1*MIN((MAX(0,IF(OR(الموظفون!$X60="",الموظفون!$X60&gt;=cfg_Y_START),cfg_Y_START-1,الموظفون!$X60)-D60+1)/cfg_DAYS_Y),cfg_EOS_TH)+cfg_EOS_R2*MAX((MAX(0,IF(OR(الموظفون!$X60="",الموظفون!$X60&gt;=cfg_Y_START),cfg_Y_START-1,الموظفون!$X60)-D60+1)/cfg_DAYS_Y)-cfg_EOS_TH,0)))</f>
        <v/>
      </c>
      <c r="Q60" s="86" t="str">
        <f aca="false">IF($B60="","",O60-P60)</f>
        <v/>
      </c>
      <c r="R60" s="86" t="str">
        <f aca="false">IF($B60="","",SUMIFS('الحركات الشهرية'!$N$6:$N$1005,'الحركات الشهرية'!$B$6:$B$1005,B60,'الحركات الشهرية'!$A$6:$A$1005,"&lt;="&amp;cfg_VAL_M))</f>
        <v/>
      </c>
      <c r="S60" s="128" t="str">
        <f aca="false">IF($B60="","",P60+Q60-R60)</f>
        <v/>
      </c>
      <c r="T60" s="74" t="str">
        <f aca="false">IF($B60="","",IF(S60&lt;-0.01,"✖ صرف أكثر من المستحق",IF(AND(L60&lt;&gt;"على رأس العمل",S60&gt;0.01),"⚠ مستحق لم يُصرف","✔ سليم")))</f>
        <v/>
      </c>
    </row>
    <row r="61" customFormat="false" ht="15" hidden="false" customHeight="false" outlineLevel="0" collapsed="false">
      <c r="B61" s="91" t="str">
        <f aca="false">IF(الموظفون!$B61="","",الموظفون!$B61)</f>
        <v/>
      </c>
      <c r="C61" s="91" t="str">
        <f aca="false">IF($B61="","",الموظفون!$C61)</f>
        <v/>
      </c>
      <c r="D61" s="129" t="str">
        <f aca="false">IF($B61="","",الموظفون!$H61)</f>
        <v/>
      </c>
      <c r="E61" s="129" t="str">
        <f aca="false">IF($B61="","",IF(OR(الموظفون!$X61="",الموظفون!$X61&gt;cfg_VAL_DATE),cfg_VAL_DATE,الموظفون!$X61))</f>
        <v/>
      </c>
      <c r="F61" s="91" t="str">
        <f aca="false">IF($B61="","",IF(E61&lt;D61,"لم يباشر",DATEDIF(D61,E61+1,"y")&amp;" سنة "&amp;DATEDIF(D61,E61+1,"ym")&amp;" شهر "&amp;DATEDIF(D61,E61+1,"md")&amp;" يوم"))</f>
        <v/>
      </c>
      <c r="G61" s="114" t="str">
        <f aca="false">IF($B61="","",MAX(0,E61-D61+1)/cfg_DAYS_Y)</f>
        <v/>
      </c>
      <c r="H61" s="90" t="str">
        <f aca="false">IF($B61="","",الموظفون!$O61)</f>
        <v/>
      </c>
      <c r="I61" s="90" t="str">
        <f aca="false">IF($B61="","",H61*cfg_EOS_R1*MIN(G61,cfg_EOS_TH))</f>
        <v/>
      </c>
      <c r="J61" s="90" t="str">
        <f aca="false">IF($B61="","",H61*cfg_EOS_R2*MAX(G61-cfg_EOS_TH,0))</f>
        <v/>
      </c>
      <c r="K61" s="90" t="str">
        <f aca="false">IF($B61="","",I61+J61)</f>
        <v/>
      </c>
      <c r="L61" s="91" t="str">
        <f aca="false">IF($B61="","",IF(AND(الموظفون!$X61&lt;&gt;"",الموظفون!$X61&lt;=cfg_VAL_DATE),IF(الموظفون!$Y61="","⚠ حدد السبب",الموظفون!$Y61),"على رأس العمل"))</f>
        <v/>
      </c>
      <c r="M61" s="130" t="str">
        <f aca="false">IF($B61="","",VLOOKUP(G61,cfg_RES,2,TRUE()))</f>
        <v/>
      </c>
      <c r="N61" s="90" t="str">
        <f aca="false">IF($B61="","",K61*M61)</f>
        <v/>
      </c>
      <c r="O61" s="90" t="str">
        <f aca="false">IF($B61="","",IF(L61="استقالة",N61,K61))</f>
        <v/>
      </c>
      <c r="P61" s="90" t="str">
        <f aca="false">IF($B61="","",H61*(cfg_EOS_R1*MIN((MAX(0,IF(OR(الموظفون!$X61="",الموظفون!$X61&gt;=cfg_Y_START),cfg_Y_START-1,الموظفون!$X61)-D61+1)/cfg_DAYS_Y),cfg_EOS_TH)+cfg_EOS_R2*MAX((MAX(0,IF(OR(الموظفون!$X61="",الموظفون!$X61&gt;=cfg_Y_START),cfg_Y_START-1,الموظفون!$X61)-D61+1)/cfg_DAYS_Y)-cfg_EOS_TH,0)))</f>
        <v/>
      </c>
      <c r="Q61" s="90" t="str">
        <f aca="false">IF($B61="","",O61-P61)</f>
        <v/>
      </c>
      <c r="R61" s="90" t="str">
        <f aca="false">IF($B61="","",SUMIFS('الحركات الشهرية'!$N$6:$N$1005,'الحركات الشهرية'!$B$6:$B$1005,B61,'الحركات الشهرية'!$A$6:$A$1005,"&lt;="&amp;cfg_VAL_M))</f>
        <v/>
      </c>
      <c r="S61" s="131" t="str">
        <f aca="false">IF($B61="","",P61+Q61-R61)</f>
        <v/>
      </c>
      <c r="T61" s="91" t="str">
        <f aca="false">IF($B61="","",IF(S61&lt;-0.01,"✖ صرف أكثر من المستحق",IF(AND(L61&lt;&gt;"على رأس العمل",S61&gt;0.01),"⚠ مستحق لم يُصرف","✔ سليم")))</f>
        <v/>
      </c>
    </row>
    <row r="62" customFormat="false" ht="15" hidden="false" customHeight="false" outlineLevel="0" collapsed="false">
      <c r="B62" s="74" t="str">
        <f aca="false">IF(الموظفون!$B62="","",الموظفون!$B62)</f>
        <v/>
      </c>
      <c r="C62" s="74" t="str">
        <f aca="false">IF($B62="","",الموظفون!$C62)</f>
        <v/>
      </c>
      <c r="D62" s="127" t="str">
        <f aca="false">IF($B62="","",الموظفون!$H62)</f>
        <v/>
      </c>
      <c r="E62" s="127" t="str">
        <f aca="false">IF($B62="","",IF(OR(الموظفون!$X62="",الموظفون!$X62&gt;cfg_VAL_DATE),cfg_VAL_DATE,الموظفون!$X62))</f>
        <v/>
      </c>
      <c r="F62" s="74" t="str">
        <f aca="false">IF($B62="","",IF(E62&lt;D62,"لم يباشر",DATEDIF(D62,E62+1,"y")&amp;" سنة "&amp;DATEDIF(D62,E62+1,"ym")&amp;" شهر "&amp;DATEDIF(D62,E62+1,"md")&amp;" يوم"))</f>
        <v/>
      </c>
      <c r="G62" s="109" t="str">
        <f aca="false">IF($B62="","",MAX(0,E62-D62+1)/cfg_DAYS_Y)</f>
        <v/>
      </c>
      <c r="H62" s="86" t="str">
        <f aca="false">IF($B62="","",الموظفون!$O62)</f>
        <v/>
      </c>
      <c r="I62" s="86" t="str">
        <f aca="false">IF($B62="","",H62*cfg_EOS_R1*MIN(G62,cfg_EOS_TH))</f>
        <v/>
      </c>
      <c r="J62" s="86" t="str">
        <f aca="false">IF($B62="","",H62*cfg_EOS_R2*MAX(G62-cfg_EOS_TH,0))</f>
        <v/>
      </c>
      <c r="K62" s="86" t="str">
        <f aca="false">IF($B62="","",I62+J62)</f>
        <v/>
      </c>
      <c r="L62" s="74" t="str">
        <f aca="false">IF($B62="","",IF(AND(الموظفون!$X62&lt;&gt;"",الموظفون!$X62&lt;=cfg_VAL_DATE),IF(الموظفون!$Y62="","⚠ حدد السبب",الموظفون!$Y62),"على رأس العمل"))</f>
        <v/>
      </c>
      <c r="M62" s="52" t="str">
        <f aca="false">IF($B62="","",VLOOKUP(G62,cfg_RES,2,TRUE()))</f>
        <v/>
      </c>
      <c r="N62" s="86" t="str">
        <f aca="false">IF($B62="","",K62*M62)</f>
        <v/>
      </c>
      <c r="O62" s="86" t="str">
        <f aca="false">IF($B62="","",IF(L62="استقالة",N62,K62))</f>
        <v/>
      </c>
      <c r="P62" s="86" t="str">
        <f aca="false">IF($B62="","",H62*(cfg_EOS_R1*MIN((MAX(0,IF(OR(الموظفون!$X62="",الموظفون!$X62&gt;=cfg_Y_START),cfg_Y_START-1,الموظفون!$X62)-D62+1)/cfg_DAYS_Y),cfg_EOS_TH)+cfg_EOS_R2*MAX((MAX(0,IF(OR(الموظفون!$X62="",الموظفون!$X62&gt;=cfg_Y_START),cfg_Y_START-1,الموظفون!$X62)-D62+1)/cfg_DAYS_Y)-cfg_EOS_TH,0)))</f>
        <v/>
      </c>
      <c r="Q62" s="86" t="str">
        <f aca="false">IF($B62="","",O62-P62)</f>
        <v/>
      </c>
      <c r="R62" s="86" t="str">
        <f aca="false">IF($B62="","",SUMIFS('الحركات الشهرية'!$N$6:$N$1005,'الحركات الشهرية'!$B$6:$B$1005,B62,'الحركات الشهرية'!$A$6:$A$1005,"&lt;="&amp;cfg_VAL_M))</f>
        <v/>
      </c>
      <c r="S62" s="128" t="str">
        <f aca="false">IF($B62="","",P62+Q62-R62)</f>
        <v/>
      </c>
      <c r="T62" s="74" t="str">
        <f aca="false">IF($B62="","",IF(S62&lt;-0.01,"✖ صرف أكثر من المستحق",IF(AND(L62&lt;&gt;"على رأس العمل",S62&gt;0.01),"⚠ مستحق لم يُصرف","✔ سليم")))</f>
        <v/>
      </c>
    </row>
    <row r="63" customFormat="false" ht="15" hidden="false" customHeight="false" outlineLevel="0" collapsed="false">
      <c r="B63" s="91" t="str">
        <f aca="false">IF(الموظفون!$B63="","",الموظفون!$B63)</f>
        <v/>
      </c>
      <c r="C63" s="91" t="str">
        <f aca="false">IF($B63="","",الموظفون!$C63)</f>
        <v/>
      </c>
      <c r="D63" s="129" t="str">
        <f aca="false">IF($B63="","",الموظفون!$H63)</f>
        <v/>
      </c>
      <c r="E63" s="129" t="str">
        <f aca="false">IF($B63="","",IF(OR(الموظفون!$X63="",الموظفون!$X63&gt;cfg_VAL_DATE),cfg_VAL_DATE,الموظفون!$X63))</f>
        <v/>
      </c>
      <c r="F63" s="91" t="str">
        <f aca="false">IF($B63="","",IF(E63&lt;D63,"لم يباشر",DATEDIF(D63,E63+1,"y")&amp;" سنة "&amp;DATEDIF(D63,E63+1,"ym")&amp;" شهر "&amp;DATEDIF(D63,E63+1,"md")&amp;" يوم"))</f>
        <v/>
      </c>
      <c r="G63" s="114" t="str">
        <f aca="false">IF($B63="","",MAX(0,E63-D63+1)/cfg_DAYS_Y)</f>
        <v/>
      </c>
      <c r="H63" s="90" t="str">
        <f aca="false">IF($B63="","",الموظفون!$O63)</f>
        <v/>
      </c>
      <c r="I63" s="90" t="str">
        <f aca="false">IF($B63="","",H63*cfg_EOS_R1*MIN(G63,cfg_EOS_TH))</f>
        <v/>
      </c>
      <c r="J63" s="90" t="str">
        <f aca="false">IF($B63="","",H63*cfg_EOS_R2*MAX(G63-cfg_EOS_TH,0))</f>
        <v/>
      </c>
      <c r="K63" s="90" t="str">
        <f aca="false">IF($B63="","",I63+J63)</f>
        <v/>
      </c>
      <c r="L63" s="91" t="str">
        <f aca="false">IF($B63="","",IF(AND(الموظفون!$X63&lt;&gt;"",الموظفون!$X63&lt;=cfg_VAL_DATE),IF(الموظفون!$Y63="","⚠ حدد السبب",الموظفون!$Y63),"على رأس العمل"))</f>
        <v/>
      </c>
      <c r="M63" s="130" t="str">
        <f aca="false">IF($B63="","",VLOOKUP(G63,cfg_RES,2,TRUE()))</f>
        <v/>
      </c>
      <c r="N63" s="90" t="str">
        <f aca="false">IF($B63="","",K63*M63)</f>
        <v/>
      </c>
      <c r="O63" s="90" t="str">
        <f aca="false">IF($B63="","",IF(L63="استقالة",N63,K63))</f>
        <v/>
      </c>
      <c r="P63" s="90" t="str">
        <f aca="false">IF($B63="","",H63*(cfg_EOS_R1*MIN((MAX(0,IF(OR(الموظفون!$X63="",الموظفون!$X63&gt;=cfg_Y_START),cfg_Y_START-1,الموظفون!$X63)-D63+1)/cfg_DAYS_Y),cfg_EOS_TH)+cfg_EOS_R2*MAX((MAX(0,IF(OR(الموظفون!$X63="",الموظفون!$X63&gt;=cfg_Y_START),cfg_Y_START-1,الموظفون!$X63)-D63+1)/cfg_DAYS_Y)-cfg_EOS_TH,0)))</f>
        <v/>
      </c>
      <c r="Q63" s="90" t="str">
        <f aca="false">IF($B63="","",O63-P63)</f>
        <v/>
      </c>
      <c r="R63" s="90" t="str">
        <f aca="false">IF($B63="","",SUMIFS('الحركات الشهرية'!$N$6:$N$1005,'الحركات الشهرية'!$B$6:$B$1005,B63,'الحركات الشهرية'!$A$6:$A$1005,"&lt;="&amp;cfg_VAL_M))</f>
        <v/>
      </c>
      <c r="S63" s="131" t="str">
        <f aca="false">IF($B63="","",P63+Q63-R63)</f>
        <v/>
      </c>
      <c r="T63" s="91" t="str">
        <f aca="false">IF($B63="","",IF(S63&lt;-0.01,"✖ صرف أكثر من المستحق",IF(AND(L63&lt;&gt;"على رأس العمل",S63&gt;0.01),"⚠ مستحق لم يُصرف","✔ سليم")))</f>
        <v/>
      </c>
    </row>
    <row r="64" customFormat="false" ht="15" hidden="false" customHeight="false" outlineLevel="0" collapsed="false">
      <c r="B64" s="74" t="str">
        <f aca="false">IF(الموظفون!$B64="","",الموظفون!$B64)</f>
        <v/>
      </c>
      <c r="C64" s="74" t="str">
        <f aca="false">IF($B64="","",الموظفون!$C64)</f>
        <v/>
      </c>
      <c r="D64" s="127" t="str">
        <f aca="false">IF($B64="","",الموظفون!$H64)</f>
        <v/>
      </c>
      <c r="E64" s="127" t="str">
        <f aca="false">IF($B64="","",IF(OR(الموظفون!$X64="",الموظفون!$X64&gt;cfg_VAL_DATE),cfg_VAL_DATE,الموظفون!$X64))</f>
        <v/>
      </c>
      <c r="F64" s="74" t="str">
        <f aca="false">IF($B64="","",IF(E64&lt;D64,"لم يباشر",DATEDIF(D64,E64+1,"y")&amp;" سنة "&amp;DATEDIF(D64,E64+1,"ym")&amp;" شهر "&amp;DATEDIF(D64,E64+1,"md")&amp;" يوم"))</f>
        <v/>
      </c>
      <c r="G64" s="109" t="str">
        <f aca="false">IF($B64="","",MAX(0,E64-D64+1)/cfg_DAYS_Y)</f>
        <v/>
      </c>
      <c r="H64" s="86" t="str">
        <f aca="false">IF($B64="","",الموظفون!$O64)</f>
        <v/>
      </c>
      <c r="I64" s="86" t="str">
        <f aca="false">IF($B64="","",H64*cfg_EOS_R1*MIN(G64,cfg_EOS_TH))</f>
        <v/>
      </c>
      <c r="J64" s="86" t="str">
        <f aca="false">IF($B64="","",H64*cfg_EOS_R2*MAX(G64-cfg_EOS_TH,0))</f>
        <v/>
      </c>
      <c r="K64" s="86" t="str">
        <f aca="false">IF($B64="","",I64+J64)</f>
        <v/>
      </c>
      <c r="L64" s="74" t="str">
        <f aca="false">IF($B64="","",IF(AND(الموظفون!$X64&lt;&gt;"",الموظفون!$X64&lt;=cfg_VAL_DATE),IF(الموظفون!$Y64="","⚠ حدد السبب",الموظفون!$Y64),"على رأس العمل"))</f>
        <v/>
      </c>
      <c r="M64" s="52" t="str">
        <f aca="false">IF($B64="","",VLOOKUP(G64,cfg_RES,2,TRUE()))</f>
        <v/>
      </c>
      <c r="N64" s="86" t="str">
        <f aca="false">IF($B64="","",K64*M64)</f>
        <v/>
      </c>
      <c r="O64" s="86" t="str">
        <f aca="false">IF($B64="","",IF(L64="استقالة",N64,K64))</f>
        <v/>
      </c>
      <c r="P64" s="86" t="str">
        <f aca="false">IF($B64="","",H64*(cfg_EOS_R1*MIN((MAX(0,IF(OR(الموظفون!$X64="",الموظفون!$X64&gt;=cfg_Y_START),cfg_Y_START-1,الموظفون!$X64)-D64+1)/cfg_DAYS_Y),cfg_EOS_TH)+cfg_EOS_R2*MAX((MAX(0,IF(OR(الموظفون!$X64="",الموظفون!$X64&gt;=cfg_Y_START),cfg_Y_START-1,الموظفون!$X64)-D64+1)/cfg_DAYS_Y)-cfg_EOS_TH,0)))</f>
        <v/>
      </c>
      <c r="Q64" s="86" t="str">
        <f aca="false">IF($B64="","",O64-P64)</f>
        <v/>
      </c>
      <c r="R64" s="86" t="str">
        <f aca="false">IF($B64="","",SUMIFS('الحركات الشهرية'!$N$6:$N$1005,'الحركات الشهرية'!$B$6:$B$1005,B64,'الحركات الشهرية'!$A$6:$A$1005,"&lt;="&amp;cfg_VAL_M))</f>
        <v/>
      </c>
      <c r="S64" s="128" t="str">
        <f aca="false">IF($B64="","",P64+Q64-R64)</f>
        <v/>
      </c>
      <c r="T64" s="74" t="str">
        <f aca="false">IF($B64="","",IF(S64&lt;-0.01,"✖ صرف أكثر من المستحق",IF(AND(L64&lt;&gt;"على رأس العمل",S64&gt;0.01),"⚠ مستحق لم يُصرف","✔ سليم")))</f>
        <v/>
      </c>
    </row>
    <row r="65" customFormat="false" ht="15" hidden="false" customHeight="false" outlineLevel="0" collapsed="false">
      <c r="B65" s="91" t="str">
        <f aca="false">IF(الموظفون!$B65="","",الموظفون!$B65)</f>
        <v/>
      </c>
      <c r="C65" s="91" t="str">
        <f aca="false">IF($B65="","",الموظفون!$C65)</f>
        <v/>
      </c>
      <c r="D65" s="129" t="str">
        <f aca="false">IF($B65="","",الموظفون!$H65)</f>
        <v/>
      </c>
      <c r="E65" s="129" t="str">
        <f aca="false">IF($B65="","",IF(OR(الموظفون!$X65="",الموظفون!$X65&gt;cfg_VAL_DATE),cfg_VAL_DATE,الموظفون!$X65))</f>
        <v/>
      </c>
      <c r="F65" s="91" t="str">
        <f aca="false">IF($B65="","",IF(E65&lt;D65,"لم يباشر",DATEDIF(D65,E65+1,"y")&amp;" سنة "&amp;DATEDIF(D65,E65+1,"ym")&amp;" شهر "&amp;DATEDIF(D65,E65+1,"md")&amp;" يوم"))</f>
        <v/>
      </c>
      <c r="G65" s="114" t="str">
        <f aca="false">IF($B65="","",MAX(0,E65-D65+1)/cfg_DAYS_Y)</f>
        <v/>
      </c>
      <c r="H65" s="90" t="str">
        <f aca="false">IF($B65="","",الموظفون!$O65)</f>
        <v/>
      </c>
      <c r="I65" s="90" t="str">
        <f aca="false">IF($B65="","",H65*cfg_EOS_R1*MIN(G65,cfg_EOS_TH))</f>
        <v/>
      </c>
      <c r="J65" s="90" t="str">
        <f aca="false">IF($B65="","",H65*cfg_EOS_R2*MAX(G65-cfg_EOS_TH,0))</f>
        <v/>
      </c>
      <c r="K65" s="90" t="str">
        <f aca="false">IF($B65="","",I65+J65)</f>
        <v/>
      </c>
      <c r="L65" s="91" t="str">
        <f aca="false">IF($B65="","",IF(AND(الموظفون!$X65&lt;&gt;"",الموظفون!$X65&lt;=cfg_VAL_DATE),IF(الموظفون!$Y65="","⚠ حدد السبب",الموظفون!$Y65),"على رأس العمل"))</f>
        <v/>
      </c>
      <c r="M65" s="130" t="str">
        <f aca="false">IF($B65="","",VLOOKUP(G65,cfg_RES,2,TRUE()))</f>
        <v/>
      </c>
      <c r="N65" s="90" t="str">
        <f aca="false">IF($B65="","",K65*M65)</f>
        <v/>
      </c>
      <c r="O65" s="90" t="str">
        <f aca="false">IF($B65="","",IF(L65="استقالة",N65,K65))</f>
        <v/>
      </c>
      <c r="P65" s="90" t="str">
        <f aca="false">IF($B65="","",H65*(cfg_EOS_R1*MIN((MAX(0,IF(OR(الموظفون!$X65="",الموظفون!$X65&gt;=cfg_Y_START),cfg_Y_START-1,الموظفون!$X65)-D65+1)/cfg_DAYS_Y),cfg_EOS_TH)+cfg_EOS_R2*MAX((MAX(0,IF(OR(الموظفون!$X65="",الموظفون!$X65&gt;=cfg_Y_START),cfg_Y_START-1,الموظفون!$X65)-D65+1)/cfg_DAYS_Y)-cfg_EOS_TH,0)))</f>
        <v/>
      </c>
      <c r="Q65" s="90" t="str">
        <f aca="false">IF($B65="","",O65-P65)</f>
        <v/>
      </c>
      <c r="R65" s="90" t="str">
        <f aca="false">IF($B65="","",SUMIFS('الحركات الشهرية'!$N$6:$N$1005,'الحركات الشهرية'!$B$6:$B$1005,B65,'الحركات الشهرية'!$A$6:$A$1005,"&lt;="&amp;cfg_VAL_M))</f>
        <v/>
      </c>
      <c r="S65" s="131" t="str">
        <f aca="false">IF($B65="","",P65+Q65-R65)</f>
        <v/>
      </c>
      <c r="T65" s="91" t="str">
        <f aca="false">IF($B65="","",IF(S65&lt;-0.01,"✖ صرف أكثر من المستحق",IF(AND(L65&lt;&gt;"على رأس العمل",S65&gt;0.01),"⚠ مستحق لم يُصرف","✔ سليم")))</f>
        <v/>
      </c>
    </row>
    <row r="66" customFormat="false" ht="15" hidden="false" customHeight="false" outlineLevel="0" collapsed="false">
      <c r="B66" s="74" t="str">
        <f aca="false">IF(الموظفون!$B66="","",الموظفون!$B66)</f>
        <v/>
      </c>
      <c r="C66" s="74" t="str">
        <f aca="false">IF($B66="","",الموظفون!$C66)</f>
        <v/>
      </c>
      <c r="D66" s="127" t="str">
        <f aca="false">IF($B66="","",الموظفون!$H66)</f>
        <v/>
      </c>
      <c r="E66" s="127" t="str">
        <f aca="false">IF($B66="","",IF(OR(الموظفون!$X66="",الموظفون!$X66&gt;cfg_VAL_DATE),cfg_VAL_DATE,الموظفون!$X66))</f>
        <v/>
      </c>
      <c r="F66" s="74" t="str">
        <f aca="false">IF($B66="","",IF(E66&lt;D66,"لم يباشر",DATEDIF(D66,E66+1,"y")&amp;" سنة "&amp;DATEDIF(D66,E66+1,"ym")&amp;" شهر "&amp;DATEDIF(D66,E66+1,"md")&amp;" يوم"))</f>
        <v/>
      </c>
      <c r="G66" s="109" t="str">
        <f aca="false">IF($B66="","",MAX(0,E66-D66+1)/cfg_DAYS_Y)</f>
        <v/>
      </c>
      <c r="H66" s="86" t="str">
        <f aca="false">IF($B66="","",الموظفون!$O66)</f>
        <v/>
      </c>
      <c r="I66" s="86" t="str">
        <f aca="false">IF($B66="","",H66*cfg_EOS_R1*MIN(G66,cfg_EOS_TH))</f>
        <v/>
      </c>
      <c r="J66" s="86" t="str">
        <f aca="false">IF($B66="","",H66*cfg_EOS_R2*MAX(G66-cfg_EOS_TH,0))</f>
        <v/>
      </c>
      <c r="K66" s="86" t="str">
        <f aca="false">IF($B66="","",I66+J66)</f>
        <v/>
      </c>
      <c r="L66" s="74" t="str">
        <f aca="false">IF($B66="","",IF(AND(الموظفون!$X66&lt;&gt;"",الموظفون!$X66&lt;=cfg_VAL_DATE),IF(الموظفون!$Y66="","⚠ حدد السبب",الموظفون!$Y66),"على رأس العمل"))</f>
        <v/>
      </c>
      <c r="M66" s="52" t="str">
        <f aca="false">IF($B66="","",VLOOKUP(G66,cfg_RES,2,TRUE()))</f>
        <v/>
      </c>
      <c r="N66" s="86" t="str">
        <f aca="false">IF($B66="","",K66*M66)</f>
        <v/>
      </c>
      <c r="O66" s="86" t="str">
        <f aca="false">IF($B66="","",IF(L66="استقالة",N66,K66))</f>
        <v/>
      </c>
      <c r="P66" s="86" t="str">
        <f aca="false">IF($B66="","",H66*(cfg_EOS_R1*MIN((MAX(0,IF(OR(الموظفون!$X66="",الموظفون!$X66&gt;=cfg_Y_START),cfg_Y_START-1,الموظفون!$X66)-D66+1)/cfg_DAYS_Y),cfg_EOS_TH)+cfg_EOS_R2*MAX((MAX(0,IF(OR(الموظفون!$X66="",الموظفون!$X66&gt;=cfg_Y_START),cfg_Y_START-1,الموظفون!$X66)-D66+1)/cfg_DAYS_Y)-cfg_EOS_TH,0)))</f>
        <v/>
      </c>
      <c r="Q66" s="86" t="str">
        <f aca="false">IF($B66="","",O66-P66)</f>
        <v/>
      </c>
      <c r="R66" s="86" t="str">
        <f aca="false">IF($B66="","",SUMIFS('الحركات الشهرية'!$N$6:$N$1005,'الحركات الشهرية'!$B$6:$B$1005,B66,'الحركات الشهرية'!$A$6:$A$1005,"&lt;="&amp;cfg_VAL_M))</f>
        <v/>
      </c>
      <c r="S66" s="128" t="str">
        <f aca="false">IF($B66="","",P66+Q66-R66)</f>
        <v/>
      </c>
      <c r="T66" s="74" t="str">
        <f aca="false">IF($B66="","",IF(S66&lt;-0.01,"✖ صرف أكثر من المستحق",IF(AND(L66&lt;&gt;"على رأس العمل",S66&gt;0.01),"⚠ مستحق لم يُصرف","✔ سليم")))</f>
        <v/>
      </c>
    </row>
    <row r="67" customFormat="false" ht="15" hidden="false" customHeight="false" outlineLevel="0" collapsed="false">
      <c r="B67" s="91" t="str">
        <f aca="false">IF(الموظفون!$B67="","",الموظفون!$B67)</f>
        <v/>
      </c>
      <c r="C67" s="91" t="str">
        <f aca="false">IF($B67="","",الموظفون!$C67)</f>
        <v/>
      </c>
      <c r="D67" s="129" t="str">
        <f aca="false">IF($B67="","",الموظفون!$H67)</f>
        <v/>
      </c>
      <c r="E67" s="129" t="str">
        <f aca="false">IF($B67="","",IF(OR(الموظفون!$X67="",الموظفون!$X67&gt;cfg_VAL_DATE),cfg_VAL_DATE,الموظفون!$X67))</f>
        <v/>
      </c>
      <c r="F67" s="91" t="str">
        <f aca="false">IF($B67="","",IF(E67&lt;D67,"لم يباشر",DATEDIF(D67,E67+1,"y")&amp;" سنة "&amp;DATEDIF(D67,E67+1,"ym")&amp;" شهر "&amp;DATEDIF(D67,E67+1,"md")&amp;" يوم"))</f>
        <v/>
      </c>
      <c r="G67" s="114" t="str">
        <f aca="false">IF($B67="","",MAX(0,E67-D67+1)/cfg_DAYS_Y)</f>
        <v/>
      </c>
      <c r="H67" s="90" t="str">
        <f aca="false">IF($B67="","",الموظفون!$O67)</f>
        <v/>
      </c>
      <c r="I67" s="90" t="str">
        <f aca="false">IF($B67="","",H67*cfg_EOS_R1*MIN(G67,cfg_EOS_TH))</f>
        <v/>
      </c>
      <c r="J67" s="90" t="str">
        <f aca="false">IF($B67="","",H67*cfg_EOS_R2*MAX(G67-cfg_EOS_TH,0))</f>
        <v/>
      </c>
      <c r="K67" s="90" t="str">
        <f aca="false">IF($B67="","",I67+J67)</f>
        <v/>
      </c>
      <c r="L67" s="91" t="str">
        <f aca="false">IF($B67="","",IF(AND(الموظفون!$X67&lt;&gt;"",الموظفون!$X67&lt;=cfg_VAL_DATE),IF(الموظفون!$Y67="","⚠ حدد السبب",الموظفون!$Y67),"على رأس العمل"))</f>
        <v/>
      </c>
      <c r="M67" s="130" t="str">
        <f aca="false">IF($B67="","",VLOOKUP(G67,cfg_RES,2,TRUE()))</f>
        <v/>
      </c>
      <c r="N67" s="90" t="str">
        <f aca="false">IF($B67="","",K67*M67)</f>
        <v/>
      </c>
      <c r="O67" s="90" t="str">
        <f aca="false">IF($B67="","",IF(L67="استقالة",N67,K67))</f>
        <v/>
      </c>
      <c r="P67" s="90" t="str">
        <f aca="false">IF($B67="","",H67*(cfg_EOS_R1*MIN((MAX(0,IF(OR(الموظفون!$X67="",الموظفون!$X67&gt;=cfg_Y_START),cfg_Y_START-1,الموظفون!$X67)-D67+1)/cfg_DAYS_Y),cfg_EOS_TH)+cfg_EOS_R2*MAX((MAX(0,IF(OR(الموظفون!$X67="",الموظفون!$X67&gt;=cfg_Y_START),cfg_Y_START-1,الموظفون!$X67)-D67+1)/cfg_DAYS_Y)-cfg_EOS_TH,0)))</f>
        <v/>
      </c>
      <c r="Q67" s="90" t="str">
        <f aca="false">IF($B67="","",O67-P67)</f>
        <v/>
      </c>
      <c r="R67" s="90" t="str">
        <f aca="false">IF($B67="","",SUMIFS('الحركات الشهرية'!$N$6:$N$1005,'الحركات الشهرية'!$B$6:$B$1005,B67,'الحركات الشهرية'!$A$6:$A$1005,"&lt;="&amp;cfg_VAL_M))</f>
        <v/>
      </c>
      <c r="S67" s="131" t="str">
        <f aca="false">IF($B67="","",P67+Q67-R67)</f>
        <v/>
      </c>
      <c r="T67" s="91" t="str">
        <f aca="false">IF($B67="","",IF(S67&lt;-0.01,"✖ صرف أكثر من المستحق",IF(AND(L67&lt;&gt;"على رأس العمل",S67&gt;0.01),"⚠ مستحق لم يُصرف","✔ سليم")))</f>
        <v/>
      </c>
    </row>
    <row r="68" customFormat="false" ht="15" hidden="false" customHeight="false" outlineLevel="0" collapsed="false">
      <c r="B68" s="74" t="str">
        <f aca="false">IF(الموظفون!$B68="","",الموظفون!$B68)</f>
        <v/>
      </c>
      <c r="C68" s="74" t="str">
        <f aca="false">IF($B68="","",الموظفون!$C68)</f>
        <v/>
      </c>
      <c r="D68" s="127" t="str">
        <f aca="false">IF($B68="","",الموظفون!$H68)</f>
        <v/>
      </c>
      <c r="E68" s="127" t="str">
        <f aca="false">IF($B68="","",IF(OR(الموظفون!$X68="",الموظفون!$X68&gt;cfg_VAL_DATE),cfg_VAL_DATE,الموظفون!$X68))</f>
        <v/>
      </c>
      <c r="F68" s="74" t="str">
        <f aca="false">IF($B68="","",IF(E68&lt;D68,"لم يباشر",DATEDIF(D68,E68+1,"y")&amp;" سنة "&amp;DATEDIF(D68,E68+1,"ym")&amp;" شهر "&amp;DATEDIF(D68,E68+1,"md")&amp;" يوم"))</f>
        <v/>
      </c>
      <c r="G68" s="109" t="str">
        <f aca="false">IF($B68="","",MAX(0,E68-D68+1)/cfg_DAYS_Y)</f>
        <v/>
      </c>
      <c r="H68" s="86" t="str">
        <f aca="false">IF($B68="","",الموظفون!$O68)</f>
        <v/>
      </c>
      <c r="I68" s="86" t="str">
        <f aca="false">IF($B68="","",H68*cfg_EOS_R1*MIN(G68,cfg_EOS_TH))</f>
        <v/>
      </c>
      <c r="J68" s="86" t="str">
        <f aca="false">IF($B68="","",H68*cfg_EOS_R2*MAX(G68-cfg_EOS_TH,0))</f>
        <v/>
      </c>
      <c r="K68" s="86" t="str">
        <f aca="false">IF($B68="","",I68+J68)</f>
        <v/>
      </c>
      <c r="L68" s="74" t="str">
        <f aca="false">IF($B68="","",IF(AND(الموظفون!$X68&lt;&gt;"",الموظفون!$X68&lt;=cfg_VAL_DATE),IF(الموظفون!$Y68="","⚠ حدد السبب",الموظفون!$Y68),"على رأس العمل"))</f>
        <v/>
      </c>
      <c r="M68" s="52" t="str">
        <f aca="false">IF($B68="","",VLOOKUP(G68,cfg_RES,2,TRUE()))</f>
        <v/>
      </c>
      <c r="N68" s="86" t="str">
        <f aca="false">IF($B68="","",K68*M68)</f>
        <v/>
      </c>
      <c r="O68" s="86" t="str">
        <f aca="false">IF($B68="","",IF(L68="استقالة",N68,K68))</f>
        <v/>
      </c>
      <c r="P68" s="86" t="str">
        <f aca="false">IF($B68="","",H68*(cfg_EOS_R1*MIN((MAX(0,IF(OR(الموظفون!$X68="",الموظفون!$X68&gt;=cfg_Y_START),cfg_Y_START-1,الموظفون!$X68)-D68+1)/cfg_DAYS_Y),cfg_EOS_TH)+cfg_EOS_R2*MAX((MAX(0,IF(OR(الموظفون!$X68="",الموظفون!$X68&gt;=cfg_Y_START),cfg_Y_START-1,الموظفون!$X68)-D68+1)/cfg_DAYS_Y)-cfg_EOS_TH,0)))</f>
        <v/>
      </c>
      <c r="Q68" s="86" t="str">
        <f aca="false">IF($B68="","",O68-P68)</f>
        <v/>
      </c>
      <c r="R68" s="86" t="str">
        <f aca="false">IF($B68="","",SUMIFS('الحركات الشهرية'!$N$6:$N$1005,'الحركات الشهرية'!$B$6:$B$1005,B68,'الحركات الشهرية'!$A$6:$A$1005,"&lt;="&amp;cfg_VAL_M))</f>
        <v/>
      </c>
      <c r="S68" s="128" t="str">
        <f aca="false">IF($B68="","",P68+Q68-R68)</f>
        <v/>
      </c>
      <c r="T68" s="74" t="str">
        <f aca="false">IF($B68="","",IF(S68&lt;-0.01,"✖ صرف أكثر من المستحق",IF(AND(L68&lt;&gt;"على رأس العمل",S68&gt;0.01),"⚠ مستحق لم يُصرف","✔ سليم")))</f>
        <v/>
      </c>
    </row>
    <row r="69" customFormat="false" ht="15" hidden="false" customHeight="false" outlineLevel="0" collapsed="false">
      <c r="B69" s="91" t="str">
        <f aca="false">IF(الموظفون!$B69="","",الموظفون!$B69)</f>
        <v/>
      </c>
      <c r="C69" s="91" t="str">
        <f aca="false">IF($B69="","",الموظفون!$C69)</f>
        <v/>
      </c>
      <c r="D69" s="129" t="str">
        <f aca="false">IF($B69="","",الموظفون!$H69)</f>
        <v/>
      </c>
      <c r="E69" s="129" t="str">
        <f aca="false">IF($B69="","",IF(OR(الموظفون!$X69="",الموظفون!$X69&gt;cfg_VAL_DATE),cfg_VAL_DATE,الموظفون!$X69))</f>
        <v/>
      </c>
      <c r="F69" s="91" t="str">
        <f aca="false">IF($B69="","",IF(E69&lt;D69,"لم يباشر",DATEDIF(D69,E69+1,"y")&amp;" سنة "&amp;DATEDIF(D69,E69+1,"ym")&amp;" شهر "&amp;DATEDIF(D69,E69+1,"md")&amp;" يوم"))</f>
        <v/>
      </c>
      <c r="G69" s="114" t="str">
        <f aca="false">IF($B69="","",MAX(0,E69-D69+1)/cfg_DAYS_Y)</f>
        <v/>
      </c>
      <c r="H69" s="90" t="str">
        <f aca="false">IF($B69="","",الموظفون!$O69)</f>
        <v/>
      </c>
      <c r="I69" s="90" t="str">
        <f aca="false">IF($B69="","",H69*cfg_EOS_R1*MIN(G69,cfg_EOS_TH))</f>
        <v/>
      </c>
      <c r="J69" s="90" t="str">
        <f aca="false">IF($B69="","",H69*cfg_EOS_R2*MAX(G69-cfg_EOS_TH,0))</f>
        <v/>
      </c>
      <c r="K69" s="90" t="str">
        <f aca="false">IF($B69="","",I69+J69)</f>
        <v/>
      </c>
      <c r="L69" s="91" t="str">
        <f aca="false">IF($B69="","",IF(AND(الموظفون!$X69&lt;&gt;"",الموظفون!$X69&lt;=cfg_VAL_DATE),IF(الموظفون!$Y69="","⚠ حدد السبب",الموظفون!$Y69),"على رأس العمل"))</f>
        <v/>
      </c>
      <c r="M69" s="130" t="str">
        <f aca="false">IF($B69="","",VLOOKUP(G69,cfg_RES,2,TRUE()))</f>
        <v/>
      </c>
      <c r="N69" s="90" t="str">
        <f aca="false">IF($B69="","",K69*M69)</f>
        <v/>
      </c>
      <c r="O69" s="90" t="str">
        <f aca="false">IF($B69="","",IF(L69="استقالة",N69,K69))</f>
        <v/>
      </c>
      <c r="P69" s="90" t="str">
        <f aca="false">IF($B69="","",H69*(cfg_EOS_R1*MIN((MAX(0,IF(OR(الموظفون!$X69="",الموظفون!$X69&gt;=cfg_Y_START),cfg_Y_START-1,الموظفون!$X69)-D69+1)/cfg_DAYS_Y),cfg_EOS_TH)+cfg_EOS_R2*MAX((MAX(0,IF(OR(الموظفون!$X69="",الموظفون!$X69&gt;=cfg_Y_START),cfg_Y_START-1,الموظفون!$X69)-D69+1)/cfg_DAYS_Y)-cfg_EOS_TH,0)))</f>
        <v/>
      </c>
      <c r="Q69" s="90" t="str">
        <f aca="false">IF($B69="","",O69-P69)</f>
        <v/>
      </c>
      <c r="R69" s="90" t="str">
        <f aca="false">IF($B69="","",SUMIFS('الحركات الشهرية'!$N$6:$N$1005,'الحركات الشهرية'!$B$6:$B$1005,B69,'الحركات الشهرية'!$A$6:$A$1005,"&lt;="&amp;cfg_VAL_M))</f>
        <v/>
      </c>
      <c r="S69" s="131" t="str">
        <f aca="false">IF($B69="","",P69+Q69-R69)</f>
        <v/>
      </c>
      <c r="T69" s="91" t="str">
        <f aca="false">IF($B69="","",IF(S69&lt;-0.01,"✖ صرف أكثر من المستحق",IF(AND(L69&lt;&gt;"على رأس العمل",S69&gt;0.01),"⚠ مستحق لم يُصرف","✔ سليم")))</f>
        <v/>
      </c>
    </row>
    <row r="70" customFormat="false" ht="15" hidden="false" customHeight="false" outlineLevel="0" collapsed="false">
      <c r="B70" s="74" t="str">
        <f aca="false">IF(الموظفون!$B70="","",الموظفون!$B70)</f>
        <v/>
      </c>
      <c r="C70" s="74" t="str">
        <f aca="false">IF($B70="","",الموظفون!$C70)</f>
        <v/>
      </c>
      <c r="D70" s="127" t="str">
        <f aca="false">IF($B70="","",الموظفون!$H70)</f>
        <v/>
      </c>
      <c r="E70" s="127" t="str">
        <f aca="false">IF($B70="","",IF(OR(الموظفون!$X70="",الموظفون!$X70&gt;cfg_VAL_DATE),cfg_VAL_DATE,الموظفون!$X70))</f>
        <v/>
      </c>
      <c r="F70" s="74" t="str">
        <f aca="false">IF($B70="","",IF(E70&lt;D70,"لم يباشر",DATEDIF(D70,E70+1,"y")&amp;" سنة "&amp;DATEDIF(D70,E70+1,"ym")&amp;" شهر "&amp;DATEDIF(D70,E70+1,"md")&amp;" يوم"))</f>
        <v/>
      </c>
      <c r="G70" s="109" t="str">
        <f aca="false">IF($B70="","",MAX(0,E70-D70+1)/cfg_DAYS_Y)</f>
        <v/>
      </c>
      <c r="H70" s="86" t="str">
        <f aca="false">IF($B70="","",الموظفون!$O70)</f>
        <v/>
      </c>
      <c r="I70" s="86" t="str">
        <f aca="false">IF($B70="","",H70*cfg_EOS_R1*MIN(G70,cfg_EOS_TH))</f>
        <v/>
      </c>
      <c r="J70" s="86" t="str">
        <f aca="false">IF($B70="","",H70*cfg_EOS_R2*MAX(G70-cfg_EOS_TH,0))</f>
        <v/>
      </c>
      <c r="K70" s="86" t="str">
        <f aca="false">IF($B70="","",I70+J70)</f>
        <v/>
      </c>
      <c r="L70" s="74" t="str">
        <f aca="false">IF($B70="","",IF(AND(الموظفون!$X70&lt;&gt;"",الموظفون!$X70&lt;=cfg_VAL_DATE),IF(الموظفون!$Y70="","⚠ حدد السبب",الموظفون!$Y70),"على رأس العمل"))</f>
        <v/>
      </c>
      <c r="M70" s="52" t="str">
        <f aca="false">IF($B70="","",VLOOKUP(G70,cfg_RES,2,TRUE()))</f>
        <v/>
      </c>
      <c r="N70" s="86" t="str">
        <f aca="false">IF($B70="","",K70*M70)</f>
        <v/>
      </c>
      <c r="O70" s="86" t="str">
        <f aca="false">IF($B70="","",IF(L70="استقالة",N70,K70))</f>
        <v/>
      </c>
      <c r="P70" s="86" t="str">
        <f aca="false">IF($B70="","",H70*(cfg_EOS_R1*MIN((MAX(0,IF(OR(الموظفون!$X70="",الموظفون!$X70&gt;=cfg_Y_START),cfg_Y_START-1,الموظفون!$X70)-D70+1)/cfg_DAYS_Y),cfg_EOS_TH)+cfg_EOS_R2*MAX((MAX(0,IF(OR(الموظفون!$X70="",الموظفون!$X70&gt;=cfg_Y_START),cfg_Y_START-1,الموظفون!$X70)-D70+1)/cfg_DAYS_Y)-cfg_EOS_TH,0)))</f>
        <v/>
      </c>
      <c r="Q70" s="86" t="str">
        <f aca="false">IF($B70="","",O70-P70)</f>
        <v/>
      </c>
      <c r="R70" s="86" t="str">
        <f aca="false">IF($B70="","",SUMIFS('الحركات الشهرية'!$N$6:$N$1005,'الحركات الشهرية'!$B$6:$B$1005,B70,'الحركات الشهرية'!$A$6:$A$1005,"&lt;="&amp;cfg_VAL_M))</f>
        <v/>
      </c>
      <c r="S70" s="128" t="str">
        <f aca="false">IF($B70="","",P70+Q70-R70)</f>
        <v/>
      </c>
      <c r="T70" s="74" t="str">
        <f aca="false">IF($B70="","",IF(S70&lt;-0.01,"✖ صرف أكثر من المستحق",IF(AND(L70&lt;&gt;"على رأس العمل",S70&gt;0.01),"⚠ مستحق لم يُصرف","✔ سليم")))</f>
        <v/>
      </c>
    </row>
    <row r="71" customFormat="false" ht="15" hidden="false" customHeight="false" outlineLevel="0" collapsed="false">
      <c r="B71" s="91" t="str">
        <f aca="false">IF(الموظفون!$B71="","",الموظفون!$B71)</f>
        <v/>
      </c>
      <c r="C71" s="91" t="str">
        <f aca="false">IF($B71="","",الموظفون!$C71)</f>
        <v/>
      </c>
      <c r="D71" s="129" t="str">
        <f aca="false">IF($B71="","",الموظفون!$H71)</f>
        <v/>
      </c>
      <c r="E71" s="129" t="str">
        <f aca="false">IF($B71="","",IF(OR(الموظفون!$X71="",الموظفون!$X71&gt;cfg_VAL_DATE),cfg_VAL_DATE,الموظفون!$X71))</f>
        <v/>
      </c>
      <c r="F71" s="91" t="str">
        <f aca="false">IF($B71="","",IF(E71&lt;D71,"لم يباشر",DATEDIF(D71,E71+1,"y")&amp;" سنة "&amp;DATEDIF(D71,E71+1,"ym")&amp;" شهر "&amp;DATEDIF(D71,E71+1,"md")&amp;" يوم"))</f>
        <v/>
      </c>
      <c r="G71" s="114" t="str">
        <f aca="false">IF($B71="","",MAX(0,E71-D71+1)/cfg_DAYS_Y)</f>
        <v/>
      </c>
      <c r="H71" s="90" t="str">
        <f aca="false">IF($B71="","",الموظفون!$O71)</f>
        <v/>
      </c>
      <c r="I71" s="90" t="str">
        <f aca="false">IF($B71="","",H71*cfg_EOS_R1*MIN(G71,cfg_EOS_TH))</f>
        <v/>
      </c>
      <c r="J71" s="90" t="str">
        <f aca="false">IF($B71="","",H71*cfg_EOS_R2*MAX(G71-cfg_EOS_TH,0))</f>
        <v/>
      </c>
      <c r="K71" s="90" t="str">
        <f aca="false">IF($B71="","",I71+J71)</f>
        <v/>
      </c>
      <c r="L71" s="91" t="str">
        <f aca="false">IF($B71="","",IF(AND(الموظفون!$X71&lt;&gt;"",الموظفون!$X71&lt;=cfg_VAL_DATE),IF(الموظفون!$Y71="","⚠ حدد السبب",الموظفون!$Y71),"على رأس العمل"))</f>
        <v/>
      </c>
      <c r="M71" s="130" t="str">
        <f aca="false">IF($B71="","",VLOOKUP(G71,cfg_RES,2,TRUE()))</f>
        <v/>
      </c>
      <c r="N71" s="90" t="str">
        <f aca="false">IF($B71="","",K71*M71)</f>
        <v/>
      </c>
      <c r="O71" s="90" t="str">
        <f aca="false">IF($B71="","",IF(L71="استقالة",N71,K71))</f>
        <v/>
      </c>
      <c r="P71" s="90" t="str">
        <f aca="false">IF($B71="","",H71*(cfg_EOS_R1*MIN((MAX(0,IF(OR(الموظفون!$X71="",الموظفون!$X71&gt;=cfg_Y_START),cfg_Y_START-1,الموظفون!$X71)-D71+1)/cfg_DAYS_Y),cfg_EOS_TH)+cfg_EOS_R2*MAX((MAX(0,IF(OR(الموظفون!$X71="",الموظفون!$X71&gt;=cfg_Y_START),cfg_Y_START-1,الموظفون!$X71)-D71+1)/cfg_DAYS_Y)-cfg_EOS_TH,0)))</f>
        <v/>
      </c>
      <c r="Q71" s="90" t="str">
        <f aca="false">IF($B71="","",O71-P71)</f>
        <v/>
      </c>
      <c r="R71" s="90" t="str">
        <f aca="false">IF($B71="","",SUMIFS('الحركات الشهرية'!$N$6:$N$1005,'الحركات الشهرية'!$B$6:$B$1005,B71,'الحركات الشهرية'!$A$6:$A$1005,"&lt;="&amp;cfg_VAL_M))</f>
        <v/>
      </c>
      <c r="S71" s="131" t="str">
        <f aca="false">IF($B71="","",P71+Q71-R71)</f>
        <v/>
      </c>
      <c r="T71" s="91" t="str">
        <f aca="false">IF($B71="","",IF(S71&lt;-0.01,"✖ صرف أكثر من المستحق",IF(AND(L71&lt;&gt;"على رأس العمل",S71&gt;0.01),"⚠ مستحق لم يُصرف","✔ سليم")))</f>
        <v/>
      </c>
    </row>
    <row r="72" customFormat="false" ht="15" hidden="false" customHeight="false" outlineLevel="0" collapsed="false">
      <c r="B72" s="74" t="str">
        <f aca="false">IF(الموظفون!$B72="","",الموظفون!$B72)</f>
        <v/>
      </c>
      <c r="C72" s="74" t="str">
        <f aca="false">IF($B72="","",الموظفون!$C72)</f>
        <v/>
      </c>
      <c r="D72" s="127" t="str">
        <f aca="false">IF($B72="","",الموظفون!$H72)</f>
        <v/>
      </c>
      <c r="E72" s="127" t="str">
        <f aca="false">IF($B72="","",IF(OR(الموظفون!$X72="",الموظفون!$X72&gt;cfg_VAL_DATE),cfg_VAL_DATE,الموظفون!$X72))</f>
        <v/>
      </c>
      <c r="F72" s="74" t="str">
        <f aca="false">IF($B72="","",IF(E72&lt;D72,"لم يباشر",DATEDIF(D72,E72+1,"y")&amp;" سنة "&amp;DATEDIF(D72,E72+1,"ym")&amp;" شهر "&amp;DATEDIF(D72,E72+1,"md")&amp;" يوم"))</f>
        <v/>
      </c>
      <c r="G72" s="109" t="str">
        <f aca="false">IF($B72="","",MAX(0,E72-D72+1)/cfg_DAYS_Y)</f>
        <v/>
      </c>
      <c r="H72" s="86" t="str">
        <f aca="false">IF($B72="","",الموظفون!$O72)</f>
        <v/>
      </c>
      <c r="I72" s="86" t="str">
        <f aca="false">IF($B72="","",H72*cfg_EOS_R1*MIN(G72,cfg_EOS_TH))</f>
        <v/>
      </c>
      <c r="J72" s="86" t="str">
        <f aca="false">IF($B72="","",H72*cfg_EOS_R2*MAX(G72-cfg_EOS_TH,0))</f>
        <v/>
      </c>
      <c r="K72" s="86" t="str">
        <f aca="false">IF($B72="","",I72+J72)</f>
        <v/>
      </c>
      <c r="L72" s="74" t="str">
        <f aca="false">IF($B72="","",IF(AND(الموظفون!$X72&lt;&gt;"",الموظفون!$X72&lt;=cfg_VAL_DATE),IF(الموظفون!$Y72="","⚠ حدد السبب",الموظفون!$Y72),"على رأس العمل"))</f>
        <v/>
      </c>
      <c r="M72" s="52" t="str">
        <f aca="false">IF($B72="","",VLOOKUP(G72,cfg_RES,2,TRUE()))</f>
        <v/>
      </c>
      <c r="N72" s="86" t="str">
        <f aca="false">IF($B72="","",K72*M72)</f>
        <v/>
      </c>
      <c r="O72" s="86" t="str">
        <f aca="false">IF($B72="","",IF(L72="استقالة",N72,K72))</f>
        <v/>
      </c>
      <c r="P72" s="86" t="str">
        <f aca="false">IF($B72="","",H72*(cfg_EOS_R1*MIN((MAX(0,IF(OR(الموظفون!$X72="",الموظفون!$X72&gt;=cfg_Y_START),cfg_Y_START-1,الموظفون!$X72)-D72+1)/cfg_DAYS_Y),cfg_EOS_TH)+cfg_EOS_R2*MAX((MAX(0,IF(OR(الموظفون!$X72="",الموظفون!$X72&gt;=cfg_Y_START),cfg_Y_START-1,الموظفون!$X72)-D72+1)/cfg_DAYS_Y)-cfg_EOS_TH,0)))</f>
        <v/>
      </c>
      <c r="Q72" s="86" t="str">
        <f aca="false">IF($B72="","",O72-P72)</f>
        <v/>
      </c>
      <c r="R72" s="86" t="str">
        <f aca="false">IF($B72="","",SUMIFS('الحركات الشهرية'!$N$6:$N$1005,'الحركات الشهرية'!$B$6:$B$1005,B72,'الحركات الشهرية'!$A$6:$A$1005,"&lt;="&amp;cfg_VAL_M))</f>
        <v/>
      </c>
      <c r="S72" s="128" t="str">
        <f aca="false">IF($B72="","",P72+Q72-R72)</f>
        <v/>
      </c>
      <c r="T72" s="74" t="str">
        <f aca="false">IF($B72="","",IF(S72&lt;-0.01,"✖ صرف أكثر من المستحق",IF(AND(L72&lt;&gt;"على رأس العمل",S72&gt;0.01),"⚠ مستحق لم يُصرف","✔ سليم")))</f>
        <v/>
      </c>
    </row>
    <row r="73" customFormat="false" ht="15" hidden="false" customHeight="false" outlineLevel="0" collapsed="false">
      <c r="B73" s="91" t="str">
        <f aca="false">IF(الموظفون!$B73="","",الموظفون!$B73)</f>
        <v/>
      </c>
      <c r="C73" s="91" t="str">
        <f aca="false">IF($B73="","",الموظفون!$C73)</f>
        <v/>
      </c>
      <c r="D73" s="129" t="str">
        <f aca="false">IF($B73="","",الموظفون!$H73)</f>
        <v/>
      </c>
      <c r="E73" s="129" t="str">
        <f aca="false">IF($B73="","",IF(OR(الموظفون!$X73="",الموظفون!$X73&gt;cfg_VAL_DATE),cfg_VAL_DATE,الموظفون!$X73))</f>
        <v/>
      </c>
      <c r="F73" s="91" t="str">
        <f aca="false">IF($B73="","",IF(E73&lt;D73,"لم يباشر",DATEDIF(D73,E73+1,"y")&amp;" سنة "&amp;DATEDIF(D73,E73+1,"ym")&amp;" شهر "&amp;DATEDIF(D73,E73+1,"md")&amp;" يوم"))</f>
        <v/>
      </c>
      <c r="G73" s="114" t="str">
        <f aca="false">IF($B73="","",MAX(0,E73-D73+1)/cfg_DAYS_Y)</f>
        <v/>
      </c>
      <c r="H73" s="90" t="str">
        <f aca="false">IF($B73="","",الموظفون!$O73)</f>
        <v/>
      </c>
      <c r="I73" s="90" t="str">
        <f aca="false">IF($B73="","",H73*cfg_EOS_R1*MIN(G73,cfg_EOS_TH))</f>
        <v/>
      </c>
      <c r="J73" s="90" t="str">
        <f aca="false">IF($B73="","",H73*cfg_EOS_R2*MAX(G73-cfg_EOS_TH,0))</f>
        <v/>
      </c>
      <c r="K73" s="90" t="str">
        <f aca="false">IF($B73="","",I73+J73)</f>
        <v/>
      </c>
      <c r="L73" s="91" t="str">
        <f aca="false">IF($B73="","",IF(AND(الموظفون!$X73&lt;&gt;"",الموظفون!$X73&lt;=cfg_VAL_DATE),IF(الموظفون!$Y73="","⚠ حدد السبب",الموظفون!$Y73),"على رأس العمل"))</f>
        <v/>
      </c>
      <c r="M73" s="130" t="str">
        <f aca="false">IF($B73="","",VLOOKUP(G73,cfg_RES,2,TRUE()))</f>
        <v/>
      </c>
      <c r="N73" s="90" t="str">
        <f aca="false">IF($B73="","",K73*M73)</f>
        <v/>
      </c>
      <c r="O73" s="90" t="str">
        <f aca="false">IF($B73="","",IF(L73="استقالة",N73,K73))</f>
        <v/>
      </c>
      <c r="P73" s="90" t="str">
        <f aca="false">IF($B73="","",H73*(cfg_EOS_R1*MIN((MAX(0,IF(OR(الموظفون!$X73="",الموظفون!$X73&gt;=cfg_Y_START),cfg_Y_START-1,الموظفون!$X73)-D73+1)/cfg_DAYS_Y),cfg_EOS_TH)+cfg_EOS_R2*MAX((MAX(0,IF(OR(الموظفون!$X73="",الموظفون!$X73&gt;=cfg_Y_START),cfg_Y_START-1,الموظفون!$X73)-D73+1)/cfg_DAYS_Y)-cfg_EOS_TH,0)))</f>
        <v/>
      </c>
      <c r="Q73" s="90" t="str">
        <f aca="false">IF($B73="","",O73-P73)</f>
        <v/>
      </c>
      <c r="R73" s="90" t="str">
        <f aca="false">IF($B73="","",SUMIFS('الحركات الشهرية'!$N$6:$N$1005,'الحركات الشهرية'!$B$6:$B$1005,B73,'الحركات الشهرية'!$A$6:$A$1005,"&lt;="&amp;cfg_VAL_M))</f>
        <v/>
      </c>
      <c r="S73" s="131" t="str">
        <f aca="false">IF($B73="","",P73+Q73-R73)</f>
        <v/>
      </c>
      <c r="T73" s="91" t="str">
        <f aca="false">IF($B73="","",IF(S73&lt;-0.01,"✖ صرف أكثر من المستحق",IF(AND(L73&lt;&gt;"على رأس العمل",S73&gt;0.01),"⚠ مستحق لم يُصرف","✔ سليم")))</f>
        <v/>
      </c>
    </row>
    <row r="74" customFormat="false" ht="15" hidden="false" customHeight="false" outlineLevel="0" collapsed="false">
      <c r="B74" s="74" t="str">
        <f aca="false">IF(الموظفون!$B74="","",الموظفون!$B74)</f>
        <v/>
      </c>
      <c r="C74" s="74" t="str">
        <f aca="false">IF($B74="","",الموظفون!$C74)</f>
        <v/>
      </c>
      <c r="D74" s="127" t="str">
        <f aca="false">IF($B74="","",الموظفون!$H74)</f>
        <v/>
      </c>
      <c r="E74" s="127" t="str">
        <f aca="false">IF($B74="","",IF(OR(الموظفون!$X74="",الموظفون!$X74&gt;cfg_VAL_DATE),cfg_VAL_DATE,الموظفون!$X74))</f>
        <v/>
      </c>
      <c r="F74" s="74" t="str">
        <f aca="false">IF($B74="","",IF(E74&lt;D74,"لم يباشر",DATEDIF(D74,E74+1,"y")&amp;" سنة "&amp;DATEDIF(D74,E74+1,"ym")&amp;" شهر "&amp;DATEDIF(D74,E74+1,"md")&amp;" يوم"))</f>
        <v/>
      </c>
      <c r="G74" s="109" t="str">
        <f aca="false">IF($B74="","",MAX(0,E74-D74+1)/cfg_DAYS_Y)</f>
        <v/>
      </c>
      <c r="H74" s="86" t="str">
        <f aca="false">IF($B74="","",الموظفون!$O74)</f>
        <v/>
      </c>
      <c r="I74" s="86" t="str">
        <f aca="false">IF($B74="","",H74*cfg_EOS_R1*MIN(G74,cfg_EOS_TH))</f>
        <v/>
      </c>
      <c r="J74" s="86" t="str">
        <f aca="false">IF($B74="","",H74*cfg_EOS_R2*MAX(G74-cfg_EOS_TH,0))</f>
        <v/>
      </c>
      <c r="K74" s="86" t="str">
        <f aca="false">IF($B74="","",I74+J74)</f>
        <v/>
      </c>
      <c r="L74" s="74" t="str">
        <f aca="false">IF($B74="","",IF(AND(الموظفون!$X74&lt;&gt;"",الموظفون!$X74&lt;=cfg_VAL_DATE),IF(الموظفون!$Y74="","⚠ حدد السبب",الموظفون!$Y74),"على رأس العمل"))</f>
        <v/>
      </c>
      <c r="M74" s="52" t="str">
        <f aca="false">IF($B74="","",VLOOKUP(G74,cfg_RES,2,TRUE()))</f>
        <v/>
      </c>
      <c r="N74" s="86" t="str">
        <f aca="false">IF($B74="","",K74*M74)</f>
        <v/>
      </c>
      <c r="O74" s="86" t="str">
        <f aca="false">IF($B74="","",IF(L74="استقالة",N74,K74))</f>
        <v/>
      </c>
      <c r="P74" s="86" t="str">
        <f aca="false">IF($B74="","",H74*(cfg_EOS_R1*MIN((MAX(0,IF(OR(الموظفون!$X74="",الموظفون!$X74&gt;=cfg_Y_START),cfg_Y_START-1,الموظفون!$X74)-D74+1)/cfg_DAYS_Y),cfg_EOS_TH)+cfg_EOS_R2*MAX((MAX(0,IF(OR(الموظفون!$X74="",الموظفون!$X74&gt;=cfg_Y_START),cfg_Y_START-1,الموظفون!$X74)-D74+1)/cfg_DAYS_Y)-cfg_EOS_TH,0)))</f>
        <v/>
      </c>
      <c r="Q74" s="86" t="str">
        <f aca="false">IF($B74="","",O74-P74)</f>
        <v/>
      </c>
      <c r="R74" s="86" t="str">
        <f aca="false">IF($B74="","",SUMIFS('الحركات الشهرية'!$N$6:$N$1005,'الحركات الشهرية'!$B$6:$B$1005,B74,'الحركات الشهرية'!$A$6:$A$1005,"&lt;="&amp;cfg_VAL_M))</f>
        <v/>
      </c>
      <c r="S74" s="128" t="str">
        <f aca="false">IF($B74="","",P74+Q74-R74)</f>
        <v/>
      </c>
      <c r="T74" s="74" t="str">
        <f aca="false">IF($B74="","",IF(S74&lt;-0.01,"✖ صرف أكثر من المستحق",IF(AND(L74&lt;&gt;"على رأس العمل",S74&gt;0.01),"⚠ مستحق لم يُصرف","✔ سليم")))</f>
        <v/>
      </c>
    </row>
    <row r="75" customFormat="false" ht="15" hidden="false" customHeight="false" outlineLevel="0" collapsed="false">
      <c r="B75" s="91" t="str">
        <f aca="false">IF(الموظفون!$B75="","",الموظفون!$B75)</f>
        <v/>
      </c>
      <c r="C75" s="91" t="str">
        <f aca="false">IF($B75="","",الموظفون!$C75)</f>
        <v/>
      </c>
      <c r="D75" s="129" t="str">
        <f aca="false">IF($B75="","",الموظفون!$H75)</f>
        <v/>
      </c>
      <c r="E75" s="129" t="str">
        <f aca="false">IF($B75="","",IF(OR(الموظفون!$X75="",الموظفون!$X75&gt;cfg_VAL_DATE),cfg_VAL_DATE,الموظفون!$X75))</f>
        <v/>
      </c>
      <c r="F75" s="91" t="str">
        <f aca="false">IF($B75="","",IF(E75&lt;D75,"لم يباشر",DATEDIF(D75,E75+1,"y")&amp;" سنة "&amp;DATEDIF(D75,E75+1,"ym")&amp;" شهر "&amp;DATEDIF(D75,E75+1,"md")&amp;" يوم"))</f>
        <v/>
      </c>
      <c r="G75" s="114" t="str">
        <f aca="false">IF($B75="","",MAX(0,E75-D75+1)/cfg_DAYS_Y)</f>
        <v/>
      </c>
      <c r="H75" s="90" t="str">
        <f aca="false">IF($B75="","",الموظفون!$O75)</f>
        <v/>
      </c>
      <c r="I75" s="90" t="str">
        <f aca="false">IF($B75="","",H75*cfg_EOS_R1*MIN(G75,cfg_EOS_TH))</f>
        <v/>
      </c>
      <c r="J75" s="90" t="str">
        <f aca="false">IF($B75="","",H75*cfg_EOS_R2*MAX(G75-cfg_EOS_TH,0))</f>
        <v/>
      </c>
      <c r="K75" s="90" t="str">
        <f aca="false">IF($B75="","",I75+J75)</f>
        <v/>
      </c>
      <c r="L75" s="91" t="str">
        <f aca="false">IF($B75="","",IF(AND(الموظفون!$X75&lt;&gt;"",الموظفون!$X75&lt;=cfg_VAL_DATE),IF(الموظفون!$Y75="","⚠ حدد السبب",الموظفون!$Y75),"على رأس العمل"))</f>
        <v/>
      </c>
      <c r="M75" s="130" t="str">
        <f aca="false">IF($B75="","",VLOOKUP(G75,cfg_RES,2,TRUE()))</f>
        <v/>
      </c>
      <c r="N75" s="90" t="str">
        <f aca="false">IF($B75="","",K75*M75)</f>
        <v/>
      </c>
      <c r="O75" s="90" t="str">
        <f aca="false">IF($B75="","",IF(L75="استقالة",N75,K75))</f>
        <v/>
      </c>
      <c r="P75" s="90" t="str">
        <f aca="false">IF($B75="","",H75*(cfg_EOS_R1*MIN((MAX(0,IF(OR(الموظفون!$X75="",الموظفون!$X75&gt;=cfg_Y_START),cfg_Y_START-1,الموظفون!$X75)-D75+1)/cfg_DAYS_Y),cfg_EOS_TH)+cfg_EOS_R2*MAX((MAX(0,IF(OR(الموظفون!$X75="",الموظفون!$X75&gt;=cfg_Y_START),cfg_Y_START-1,الموظفون!$X75)-D75+1)/cfg_DAYS_Y)-cfg_EOS_TH,0)))</f>
        <v/>
      </c>
      <c r="Q75" s="90" t="str">
        <f aca="false">IF($B75="","",O75-P75)</f>
        <v/>
      </c>
      <c r="R75" s="90" t="str">
        <f aca="false">IF($B75="","",SUMIFS('الحركات الشهرية'!$N$6:$N$1005,'الحركات الشهرية'!$B$6:$B$1005,B75,'الحركات الشهرية'!$A$6:$A$1005,"&lt;="&amp;cfg_VAL_M))</f>
        <v/>
      </c>
      <c r="S75" s="131" t="str">
        <f aca="false">IF($B75="","",P75+Q75-R75)</f>
        <v/>
      </c>
      <c r="T75" s="91" t="str">
        <f aca="false">IF($B75="","",IF(S75&lt;-0.01,"✖ صرف أكثر من المستحق",IF(AND(L75&lt;&gt;"على رأس العمل",S75&gt;0.01),"⚠ مستحق لم يُصرف","✔ سليم")))</f>
        <v/>
      </c>
    </row>
    <row r="76" customFormat="false" ht="15" hidden="false" customHeight="false" outlineLevel="0" collapsed="false">
      <c r="B76" s="74" t="str">
        <f aca="false">IF(الموظفون!$B76="","",الموظفون!$B76)</f>
        <v/>
      </c>
      <c r="C76" s="74" t="str">
        <f aca="false">IF($B76="","",الموظفون!$C76)</f>
        <v/>
      </c>
      <c r="D76" s="127" t="str">
        <f aca="false">IF($B76="","",الموظفون!$H76)</f>
        <v/>
      </c>
      <c r="E76" s="127" t="str">
        <f aca="false">IF($B76="","",IF(OR(الموظفون!$X76="",الموظفون!$X76&gt;cfg_VAL_DATE),cfg_VAL_DATE,الموظفون!$X76))</f>
        <v/>
      </c>
      <c r="F76" s="74" t="str">
        <f aca="false">IF($B76="","",IF(E76&lt;D76,"لم يباشر",DATEDIF(D76,E76+1,"y")&amp;" سنة "&amp;DATEDIF(D76,E76+1,"ym")&amp;" شهر "&amp;DATEDIF(D76,E76+1,"md")&amp;" يوم"))</f>
        <v/>
      </c>
      <c r="G76" s="109" t="str">
        <f aca="false">IF($B76="","",MAX(0,E76-D76+1)/cfg_DAYS_Y)</f>
        <v/>
      </c>
      <c r="H76" s="86" t="str">
        <f aca="false">IF($B76="","",الموظفون!$O76)</f>
        <v/>
      </c>
      <c r="I76" s="86" t="str">
        <f aca="false">IF($B76="","",H76*cfg_EOS_R1*MIN(G76,cfg_EOS_TH))</f>
        <v/>
      </c>
      <c r="J76" s="86" t="str">
        <f aca="false">IF($B76="","",H76*cfg_EOS_R2*MAX(G76-cfg_EOS_TH,0))</f>
        <v/>
      </c>
      <c r="K76" s="86" t="str">
        <f aca="false">IF($B76="","",I76+J76)</f>
        <v/>
      </c>
      <c r="L76" s="74" t="str">
        <f aca="false">IF($B76="","",IF(AND(الموظفون!$X76&lt;&gt;"",الموظفون!$X76&lt;=cfg_VAL_DATE),IF(الموظفون!$Y76="","⚠ حدد السبب",الموظفون!$Y76),"على رأس العمل"))</f>
        <v/>
      </c>
      <c r="M76" s="52" t="str">
        <f aca="false">IF($B76="","",VLOOKUP(G76,cfg_RES,2,TRUE()))</f>
        <v/>
      </c>
      <c r="N76" s="86" t="str">
        <f aca="false">IF($B76="","",K76*M76)</f>
        <v/>
      </c>
      <c r="O76" s="86" t="str">
        <f aca="false">IF($B76="","",IF(L76="استقالة",N76,K76))</f>
        <v/>
      </c>
      <c r="P76" s="86" t="str">
        <f aca="false">IF($B76="","",H76*(cfg_EOS_R1*MIN((MAX(0,IF(OR(الموظفون!$X76="",الموظفون!$X76&gt;=cfg_Y_START),cfg_Y_START-1,الموظفون!$X76)-D76+1)/cfg_DAYS_Y),cfg_EOS_TH)+cfg_EOS_R2*MAX((MAX(0,IF(OR(الموظفون!$X76="",الموظفون!$X76&gt;=cfg_Y_START),cfg_Y_START-1,الموظفون!$X76)-D76+1)/cfg_DAYS_Y)-cfg_EOS_TH,0)))</f>
        <v/>
      </c>
      <c r="Q76" s="86" t="str">
        <f aca="false">IF($B76="","",O76-P76)</f>
        <v/>
      </c>
      <c r="R76" s="86" t="str">
        <f aca="false">IF($B76="","",SUMIFS('الحركات الشهرية'!$N$6:$N$1005,'الحركات الشهرية'!$B$6:$B$1005,B76,'الحركات الشهرية'!$A$6:$A$1005,"&lt;="&amp;cfg_VAL_M))</f>
        <v/>
      </c>
      <c r="S76" s="128" t="str">
        <f aca="false">IF($B76="","",P76+Q76-R76)</f>
        <v/>
      </c>
      <c r="T76" s="74" t="str">
        <f aca="false">IF($B76="","",IF(S76&lt;-0.01,"✖ صرف أكثر من المستحق",IF(AND(L76&lt;&gt;"على رأس العمل",S76&gt;0.01),"⚠ مستحق لم يُصرف","✔ سليم")))</f>
        <v/>
      </c>
    </row>
    <row r="77" customFormat="false" ht="15" hidden="false" customHeight="false" outlineLevel="0" collapsed="false">
      <c r="B77" s="91" t="str">
        <f aca="false">IF(الموظفون!$B77="","",الموظفون!$B77)</f>
        <v/>
      </c>
      <c r="C77" s="91" t="str">
        <f aca="false">IF($B77="","",الموظفون!$C77)</f>
        <v/>
      </c>
      <c r="D77" s="129" t="str">
        <f aca="false">IF($B77="","",الموظفون!$H77)</f>
        <v/>
      </c>
      <c r="E77" s="129" t="str">
        <f aca="false">IF($B77="","",IF(OR(الموظفون!$X77="",الموظفون!$X77&gt;cfg_VAL_DATE),cfg_VAL_DATE,الموظفون!$X77))</f>
        <v/>
      </c>
      <c r="F77" s="91" t="str">
        <f aca="false">IF($B77="","",IF(E77&lt;D77,"لم يباشر",DATEDIF(D77,E77+1,"y")&amp;" سنة "&amp;DATEDIF(D77,E77+1,"ym")&amp;" شهر "&amp;DATEDIF(D77,E77+1,"md")&amp;" يوم"))</f>
        <v/>
      </c>
      <c r="G77" s="114" t="str">
        <f aca="false">IF($B77="","",MAX(0,E77-D77+1)/cfg_DAYS_Y)</f>
        <v/>
      </c>
      <c r="H77" s="90" t="str">
        <f aca="false">IF($B77="","",الموظفون!$O77)</f>
        <v/>
      </c>
      <c r="I77" s="90" t="str">
        <f aca="false">IF($B77="","",H77*cfg_EOS_R1*MIN(G77,cfg_EOS_TH))</f>
        <v/>
      </c>
      <c r="J77" s="90" t="str">
        <f aca="false">IF($B77="","",H77*cfg_EOS_R2*MAX(G77-cfg_EOS_TH,0))</f>
        <v/>
      </c>
      <c r="K77" s="90" t="str">
        <f aca="false">IF($B77="","",I77+J77)</f>
        <v/>
      </c>
      <c r="L77" s="91" t="str">
        <f aca="false">IF($B77="","",IF(AND(الموظفون!$X77&lt;&gt;"",الموظفون!$X77&lt;=cfg_VAL_DATE),IF(الموظفون!$Y77="","⚠ حدد السبب",الموظفون!$Y77),"على رأس العمل"))</f>
        <v/>
      </c>
      <c r="M77" s="130" t="str">
        <f aca="false">IF($B77="","",VLOOKUP(G77,cfg_RES,2,TRUE()))</f>
        <v/>
      </c>
      <c r="N77" s="90" t="str">
        <f aca="false">IF($B77="","",K77*M77)</f>
        <v/>
      </c>
      <c r="O77" s="90" t="str">
        <f aca="false">IF($B77="","",IF(L77="استقالة",N77,K77))</f>
        <v/>
      </c>
      <c r="P77" s="90" t="str">
        <f aca="false">IF($B77="","",H77*(cfg_EOS_R1*MIN((MAX(0,IF(OR(الموظفون!$X77="",الموظفون!$X77&gt;=cfg_Y_START),cfg_Y_START-1,الموظفون!$X77)-D77+1)/cfg_DAYS_Y),cfg_EOS_TH)+cfg_EOS_R2*MAX((MAX(0,IF(OR(الموظفون!$X77="",الموظفون!$X77&gt;=cfg_Y_START),cfg_Y_START-1,الموظفون!$X77)-D77+1)/cfg_DAYS_Y)-cfg_EOS_TH,0)))</f>
        <v/>
      </c>
      <c r="Q77" s="90" t="str">
        <f aca="false">IF($B77="","",O77-P77)</f>
        <v/>
      </c>
      <c r="R77" s="90" t="str">
        <f aca="false">IF($B77="","",SUMIFS('الحركات الشهرية'!$N$6:$N$1005,'الحركات الشهرية'!$B$6:$B$1005,B77,'الحركات الشهرية'!$A$6:$A$1005,"&lt;="&amp;cfg_VAL_M))</f>
        <v/>
      </c>
      <c r="S77" s="131" t="str">
        <f aca="false">IF($B77="","",P77+Q77-R77)</f>
        <v/>
      </c>
      <c r="T77" s="91" t="str">
        <f aca="false">IF($B77="","",IF(S77&lt;-0.01,"✖ صرف أكثر من المستحق",IF(AND(L77&lt;&gt;"على رأس العمل",S77&gt;0.01),"⚠ مستحق لم يُصرف","✔ سليم")))</f>
        <v/>
      </c>
    </row>
    <row r="78" customFormat="false" ht="15" hidden="false" customHeight="false" outlineLevel="0" collapsed="false">
      <c r="B78" s="74" t="str">
        <f aca="false">IF(الموظفون!$B78="","",الموظفون!$B78)</f>
        <v/>
      </c>
      <c r="C78" s="74" t="str">
        <f aca="false">IF($B78="","",الموظفون!$C78)</f>
        <v/>
      </c>
      <c r="D78" s="127" t="str">
        <f aca="false">IF($B78="","",الموظفون!$H78)</f>
        <v/>
      </c>
      <c r="E78" s="127" t="str">
        <f aca="false">IF($B78="","",IF(OR(الموظفون!$X78="",الموظفون!$X78&gt;cfg_VAL_DATE),cfg_VAL_DATE,الموظفون!$X78))</f>
        <v/>
      </c>
      <c r="F78" s="74" t="str">
        <f aca="false">IF($B78="","",IF(E78&lt;D78,"لم يباشر",DATEDIF(D78,E78+1,"y")&amp;" سنة "&amp;DATEDIF(D78,E78+1,"ym")&amp;" شهر "&amp;DATEDIF(D78,E78+1,"md")&amp;" يوم"))</f>
        <v/>
      </c>
      <c r="G78" s="109" t="str">
        <f aca="false">IF($B78="","",MAX(0,E78-D78+1)/cfg_DAYS_Y)</f>
        <v/>
      </c>
      <c r="H78" s="86" t="str">
        <f aca="false">IF($B78="","",الموظفون!$O78)</f>
        <v/>
      </c>
      <c r="I78" s="86" t="str">
        <f aca="false">IF($B78="","",H78*cfg_EOS_R1*MIN(G78,cfg_EOS_TH))</f>
        <v/>
      </c>
      <c r="J78" s="86" t="str">
        <f aca="false">IF($B78="","",H78*cfg_EOS_R2*MAX(G78-cfg_EOS_TH,0))</f>
        <v/>
      </c>
      <c r="K78" s="86" t="str">
        <f aca="false">IF($B78="","",I78+J78)</f>
        <v/>
      </c>
      <c r="L78" s="74" t="str">
        <f aca="false">IF($B78="","",IF(AND(الموظفون!$X78&lt;&gt;"",الموظفون!$X78&lt;=cfg_VAL_DATE),IF(الموظفون!$Y78="","⚠ حدد السبب",الموظفون!$Y78),"على رأس العمل"))</f>
        <v/>
      </c>
      <c r="M78" s="52" t="str">
        <f aca="false">IF($B78="","",VLOOKUP(G78,cfg_RES,2,TRUE()))</f>
        <v/>
      </c>
      <c r="N78" s="86" t="str">
        <f aca="false">IF($B78="","",K78*M78)</f>
        <v/>
      </c>
      <c r="O78" s="86" t="str">
        <f aca="false">IF($B78="","",IF(L78="استقالة",N78,K78))</f>
        <v/>
      </c>
      <c r="P78" s="86" t="str">
        <f aca="false">IF($B78="","",H78*(cfg_EOS_R1*MIN((MAX(0,IF(OR(الموظفون!$X78="",الموظفون!$X78&gt;=cfg_Y_START),cfg_Y_START-1,الموظفون!$X78)-D78+1)/cfg_DAYS_Y),cfg_EOS_TH)+cfg_EOS_R2*MAX((MAX(0,IF(OR(الموظفون!$X78="",الموظفون!$X78&gt;=cfg_Y_START),cfg_Y_START-1,الموظفون!$X78)-D78+1)/cfg_DAYS_Y)-cfg_EOS_TH,0)))</f>
        <v/>
      </c>
      <c r="Q78" s="86" t="str">
        <f aca="false">IF($B78="","",O78-P78)</f>
        <v/>
      </c>
      <c r="R78" s="86" t="str">
        <f aca="false">IF($B78="","",SUMIFS('الحركات الشهرية'!$N$6:$N$1005,'الحركات الشهرية'!$B$6:$B$1005,B78,'الحركات الشهرية'!$A$6:$A$1005,"&lt;="&amp;cfg_VAL_M))</f>
        <v/>
      </c>
      <c r="S78" s="128" t="str">
        <f aca="false">IF($B78="","",P78+Q78-R78)</f>
        <v/>
      </c>
      <c r="T78" s="74" t="str">
        <f aca="false">IF($B78="","",IF(S78&lt;-0.01,"✖ صرف أكثر من المستحق",IF(AND(L78&lt;&gt;"على رأس العمل",S78&gt;0.01),"⚠ مستحق لم يُصرف","✔ سليم")))</f>
        <v/>
      </c>
    </row>
    <row r="79" customFormat="false" ht="15" hidden="false" customHeight="false" outlineLevel="0" collapsed="false">
      <c r="B79" s="91" t="str">
        <f aca="false">IF(الموظفون!$B79="","",الموظفون!$B79)</f>
        <v/>
      </c>
      <c r="C79" s="91" t="str">
        <f aca="false">IF($B79="","",الموظفون!$C79)</f>
        <v/>
      </c>
      <c r="D79" s="129" t="str">
        <f aca="false">IF($B79="","",الموظفون!$H79)</f>
        <v/>
      </c>
      <c r="E79" s="129" t="str">
        <f aca="false">IF($B79="","",IF(OR(الموظفون!$X79="",الموظفون!$X79&gt;cfg_VAL_DATE),cfg_VAL_DATE,الموظفون!$X79))</f>
        <v/>
      </c>
      <c r="F79" s="91" t="str">
        <f aca="false">IF($B79="","",IF(E79&lt;D79,"لم يباشر",DATEDIF(D79,E79+1,"y")&amp;" سنة "&amp;DATEDIF(D79,E79+1,"ym")&amp;" شهر "&amp;DATEDIF(D79,E79+1,"md")&amp;" يوم"))</f>
        <v/>
      </c>
      <c r="G79" s="114" t="str">
        <f aca="false">IF($B79="","",MAX(0,E79-D79+1)/cfg_DAYS_Y)</f>
        <v/>
      </c>
      <c r="H79" s="90" t="str">
        <f aca="false">IF($B79="","",الموظفون!$O79)</f>
        <v/>
      </c>
      <c r="I79" s="90" t="str">
        <f aca="false">IF($B79="","",H79*cfg_EOS_R1*MIN(G79,cfg_EOS_TH))</f>
        <v/>
      </c>
      <c r="J79" s="90" t="str">
        <f aca="false">IF($B79="","",H79*cfg_EOS_R2*MAX(G79-cfg_EOS_TH,0))</f>
        <v/>
      </c>
      <c r="K79" s="90" t="str">
        <f aca="false">IF($B79="","",I79+J79)</f>
        <v/>
      </c>
      <c r="L79" s="91" t="str">
        <f aca="false">IF($B79="","",IF(AND(الموظفون!$X79&lt;&gt;"",الموظفون!$X79&lt;=cfg_VAL_DATE),IF(الموظفون!$Y79="","⚠ حدد السبب",الموظفون!$Y79),"على رأس العمل"))</f>
        <v/>
      </c>
      <c r="M79" s="130" t="str">
        <f aca="false">IF($B79="","",VLOOKUP(G79,cfg_RES,2,TRUE()))</f>
        <v/>
      </c>
      <c r="N79" s="90" t="str">
        <f aca="false">IF($B79="","",K79*M79)</f>
        <v/>
      </c>
      <c r="O79" s="90" t="str">
        <f aca="false">IF($B79="","",IF(L79="استقالة",N79,K79))</f>
        <v/>
      </c>
      <c r="P79" s="90" t="str">
        <f aca="false">IF($B79="","",H79*(cfg_EOS_R1*MIN((MAX(0,IF(OR(الموظفون!$X79="",الموظفون!$X79&gt;=cfg_Y_START),cfg_Y_START-1,الموظفون!$X79)-D79+1)/cfg_DAYS_Y),cfg_EOS_TH)+cfg_EOS_R2*MAX((MAX(0,IF(OR(الموظفون!$X79="",الموظفون!$X79&gt;=cfg_Y_START),cfg_Y_START-1,الموظفون!$X79)-D79+1)/cfg_DAYS_Y)-cfg_EOS_TH,0)))</f>
        <v/>
      </c>
      <c r="Q79" s="90" t="str">
        <f aca="false">IF($B79="","",O79-P79)</f>
        <v/>
      </c>
      <c r="R79" s="90" t="str">
        <f aca="false">IF($B79="","",SUMIFS('الحركات الشهرية'!$N$6:$N$1005,'الحركات الشهرية'!$B$6:$B$1005,B79,'الحركات الشهرية'!$A$6:$A$1005,"&lt;="&amp;cfg_VAL_M))</f>
        <v/>
      </c>
      <c r="S79" s="131" t="str">
        <f aca="false">IF($B79="","",P79+Q79-R79)</f>
        <v/>
      </c>
      <c r="T79" s="91" t="str">
        <f aca="false">IF($B79="","",IF(S79&lt;-0.01,"✖ صرف أكثر من المستحق",IF(AND(L79&lt;&gt;"على رأس العمل",S79&gt;0.01),"⚠ مستحق لم يُصرف","✔ سليم")))</f>
        <v/>
      </c>
    </row>
    <row r="80" customFormat="false" ht="15" hidden="false" customHeight="false" outlineLevel="0" collapsed="false">
      <c r="B80" s="74" t="str">
        <f aca="false">IF(الموظفون!$B80="","",الموظفون!$B80)</f>
        <v/>
      </c>
      <c r="C80" s="74" t="str">
        <f aca="false">IF($B80="","",الموظفون!$C80)</f>
        <v/>
      </c>
      <c r="D80" s="127" t="str">
        <f aca="false">IF($B80="","",الموظفون!$H80)</f>
        <v/>
      </c>
      <c r="E80" s="127" t="str">
        <f aca="false">IF($B80="","",IF(OR(الموظفون!$X80="",الموظفون!$X80&gt;cfg_VAL_DATE),cfg_VAL_DATE,الموظفون!$X80))</f>
        <v/>
      </c>
      <c r="F80" s="74" t="str">
        <f aca="false">IF($B80="","",IF(E80&lt;D80,"لم يباشر",DATEDIF(D80,E80+1,"y")&amp;" سنة "&amp;DATEDIF(D80,E80+1,"ym")&amp;" شهر "&amp;DATEDIF(D80,E80+1,"md")&amp;" يوم"))</f>
        <v/>
      </c>
      <c r="G80" s="109" t="str">
        <f aca="false">IF($B80="","",MAX(0,E80-D80+1)/cfg_DAYS_Y)</f>
        <v/>
      </c>
      <c r="H80" s="86" t="str">
        <f aca="false">IF($B80="","",الموظفون!$O80)</f>
        <v/>
      </c>
      <c r="I80" s="86" t="str">
        <f aca="false">IF($B80="","",H80*cfg_EOS_R1*MIN(G80,cfg_EOS_TH))</f>
        <v/>
      </c>
      <c r="J80" s="86" t="str">
        <f aca="false">IF($B80="","",H80*cfg_EOS_R2*MAX(G80-cfg_EOS_TH,0))</f>
        <v/>
      </c>
      <c r="K80" s="86" t="str">
        <f aca="false">IF($B80="","",I80+J80)</f>
        <v/>
      </c>
      <c r="L80" s="74" t="str">
        <f aca="false">IF($B80="","",IF(AND(الموظفون!$X80&lt;&gt;"",الموظفون!$X80&lt;=cfg_VAL_DATE),IF(الموظفون!$Y80="","⚠ حدد السبب",الموظفون!$Y80),"على رأس العمل"))</f>
        <v/>
      </c>
      <c r="M80" s="52" t="str">
        <f aca="false">IF($B80="","",VLOOKUP(G80,cfg_RES,2,TRUE()))</f>
        <v/>
      </c>
      <c r="N80" s="86" t="str">
        <f aca="false">IF($B80="","",K80*M80)</f>
        <v/>
      </c>
      <c r="O80" s="86" t="str">
        <f aca="false">IF($B80="","",IF(L80="استقالة",N80,K80))</f>
        <v/>
      </c>
      <c r="P80" s="86" t="str">
        <f aca="false">IF($B80="","",H80*(cfg_EOS_R1*MIN((MAX(0,IF(OR(الموظفون!$X80="",الموظفون!$X80&gt;=cfg_Y_START),cfg_Y_START-1,الموظفون!$X80)-D80+1)/cfg_DAYS_Y),cfg_EOS_TH)+cfg_EOS_R2*MAX((MAX(0,IF(OR(الموظفون!$X80="",الموظفون!$X80&gt;=cfg_Y_START),cfg_Y_START-1,الموظفون!$X80)-D80+1)/cfg_DAYS_Y)-cfg_EOS_TH,0)))</f>
        <v/>
      </c>
      <c r="Q80" s="86" t="str">
        <f aca="false">IF($B80="","",O80-P80)</f>
        <v/>
      </c>
      <c r="R80" s="86" t="str">
        <f aca="false">IF($B80="","",SUMIFS('الحركات الشهرية'!$N$6:$N$1005,'الحركات الشهرية'!$B$6:$B$1005,B80,'الحركات الشهرية'!$A$6:$A$1005,"&lt;="&amp;cfg_VAL_M))</f>
        <v/>
      </c>
      <c r="S80" s="128" t="str">
        <f aca="false">IF($B80="","",P80+Q80-R80)</f>
        <v/>
      </c>
      <c r="T80" s="74" t="str">
        <f aca="false">IF($B80="","",IF(S80&lt;-0.01,"✖ صرف أكثر من المستحق",IF(AND(L80&lt;&gt;"على رأس العمل",S80&gt;0.01),"⚠ مستحق لم يُصرف","✔ سليم")))</f>
        <v/>
      </c>
    </row>
    <row r="81" customFormat="false" ht="15" hidden="false" customHeight="false" outlineLevel="0" collapsed="false">
      <c r="B81" s="91" t="str">
        <f aca="false">IF(الموظفون!$B81="","",الموظفون!$B81)</f>
        <v/>
      </c>
      <c r="C81" s="91" t="str">
        <f aca="false">IF($B81="","",الموظفون!$C81)</f>
        <v/>
      </c>
      <c r="D81" s="129" t="str">
        <f aca="false">IF($B81="","",الموظفون!$H81)</f>
        <v/>
      </c>
      <c r="E81" s="129" t="str">
        <f aca="false">IF($B81="","",IF(OR(الموظفون!$X81="",الموظفون!$X81&gt;cfg_VAL_DATE),cfg_VAL_DATE,الموظفون!$X81))</f>
        <v/>
      </c>
      <c r="F81" s="91" t="str">
        <f aca="false">IF($B81="","",IF(E81&lt;D81,"لم يباشر",DATEDIF(D81,E81+1,"y")&amp;" سنة "&amp;DATEDIF(D81,E81+1,"ym")&amp;" شهر "&amp;DATEDIF(D81,E81+1,"md")&amp;" يوم"))</f>
        <v/>
      </c>
      <c r="G81" s="114" t="str">
        <f aca="false">IF($B81="","",MAX(0,E81-D81+1)/cfg_DAYS_Y)</f>
        <v/>
      </c>
      <c r="H81" s="90" t="str">
        <f aca="false">IF($B81="","",الموظفون!$O81)</f>
        <v/>
      </c>
      <c r="I81" s="90" t="str">
        <f aca="false">IF($B81="","",H81*cfg_EOS_R1*MIN(G81,cfg_EOS_TH))</f>
        <v/>
      </c>
      <c r="J81" s="90" t="str">
        <f aca="false">IF($B81="","",H81*cfg_EOS_R2*MAX(G81-cfg_EOS_TH,0))</f>
        <v/>
      </c>
      <c r="K81" s="90" t="str">
        <f aca="false">IF($B81="","",I81+J81)</f>
        <v/>
      </c>
      <c r="L81" s="91" t="str">
        <f aca="false">IF($B81="","",IF(AND(الموظفون!$X81&lt;&gt;"",الموظفون!$X81&lt;=cfg_VAL_DATE),IF(الموظفون!$Y81="","⚠ حدد السبب",الموظفون!$Y81),"على رأس العمل"))</f>
        <v/>
      </c>
      <c r="M81" s="130" t="str">
        <f aca="false">IF($B81="","",VLOOKUP(G81,cfg_RES,2,TRUE()))</f>
        <v/>
      </c>
      <c r="N81" s="90" t="str">
        <f aca="false">IF($B81="","",K81*M81)</f>
        <v/>
      </c>
      <c r="O81" s="90" t="str">
        <f aca="false">IF($B81="","",IF(L81="استقالة",N81,K81))</f>
        <v/>
      </c>
      <c r="P81" s="90" t="str">
        <f aca="false">IF($B81="","",H81*(cfg_EOS_R1*MIN((MAX(0,IF(OR(الموظفون!$X81="",الموظفون!$X81&gt;=cfg_Y_START),cfg_Y_START-1,الموظفون!$X81)-D81+1)/cfg_DAYS_Y),cfg_EOS_TH)+cfg_EOS_R2*MAX((MAX(0,IF(OR(الموظفون!$X81="",الموظفون!$X81&gt;=cfg_Y_START),cfg_Y_START-1,الموظفون!$X81)-D81+1)/cfg_DAYS_Y)-cfg_EOS_TH,0)))</f>
        <v/>
      </c>
      <c r="Q81" s="90" t="str">
        <f aca="false">IF($B81="","",O81-P81)</f>
        <v/>
      </c>
      <c r="R81" s="90" t="str">
        <f aca="false">IF($B81="","",SUMIFS('الحركات الشهرية'!$N$6:$N$1005,'الحركات الشهرية'!$B$6:$B$1005,B81,'الحركات الشهرية'!$A$6:$A$1005,"&lt;="&amp;cfg_VAL_M))</f>
        <v/>
      </c>
      <c r="S81" s="131" t="str">
        <f aca="false">IF($B81="","",P81+Q81-R81)</f>
        <v/>
      </c>
      <c r="T81" s="91" t="str">
        <f aca="false">IF($B81="","",IF(S81&lt;-0.01,"✖ صرف أكثر من المستحق",IF(AND(L81&lt;&gt;"على رأس العمل",S81&gt;0.01),"⚠ مستحق لم يُصرف","✔ سليم")))</f>
        <v/>
      </c>
    </row>
    <row r="82" customFormat="false" ht="15" hidden="false" customHeight="false" outlineLevel="0" collapsed="false">
      <c r="B82" s="74" t="str">
        <f aca="false">IF(الموظفون!$B82="","",الموظفون!$B82)</f>
        <v/>
      </c>
      <c r="C82" s="74" t="str">
        <f aca="false">IF($B82="","",الموظفون!$C82)</f>
        <v/>
      </c>
      <c r="D82" s="127" t="str">
        <f aca="false">IF($B82="","",الموظفون!$H82)</f>
        <v/>
      </c>
      <c r="E82" s="127" t="str">
        <f aca="false">IF($B82="","",IF(OR(الموظفون!$X82="",الموظفون!$X82&gt;cfg_VAL_DATE),cfg_VAL_DATE,الموظفون!$X82))</f>
        <v/>
      </c>
      <c r="F82" s="74" t="str">
        <f aca="false">IF($B82="","",IF(E82&lt;D82,"لم يباشر",DATEDIF(D82,E82+1,"y")&amp;" سنة "&amp;DATEDIF(D82,E82+1,"ym")&amp;" شهر "&amp;DATEDIF(D82,E82+1,"md")&amp;" يوم"))</f>
        <v/>
      </c>
      <c r="G82" s="109" t="str">
        <f aca="false">IF($B82="","",MAX(0,E82-D82+1)/cfg_DAYS_Y)</f>
        <v/>
      </c>
      <c r="H82" s="86" t="str">
        <f aca="false">IF($B82="","",الموظفون!$O82)</f>
        <v/>
      </c>
      <c r="I82" s="86" t="str">
        <f aca="false">IF($B82="","",H82*cfg_EOS_R1*MIN(G82,cfg_EOS_TH))</f>
        <v/>
      </c>
      <c r="J82" s="86" t="str">
        <f aca="false">IF($B82="","",H82*cfg_EOS_R2*MAX(G82-cfg_EOS_TH,0))</f>
        <v/>
      </c>
      <c r="K82" s="86" t="str">
        <f aca="false">IF($B82="","",I82+J82)</f>
        <v/>
      </c>
      <c r="L82" s="74" t="str">
        <f aca="false">IF($B82="","",IF(AND(الموظفون!$X82&lt;&gt;"",الموظفون!$X82&lt;=cfg_VAL_DATE),IF(الموظفون!$Y82="","⚠ حدد السبب",الموظفون!$Y82),"على رأس العمل"))</f>
        <v/>
      </c>
      <c r="M82" s="52" t="str">
        <f aca="false">IF($B82="","",VLOOKUP(G82,cfg_RES,2,TRUE()))</f>
        <v/>
      </c>
      <c r="N82" s="86" t="str">
        <f aca="false">IF($B82="","",K82*M82)</f>
        <v/>
      </c>
      <c r="O82" s="86" t="str">
        <f aca="false">IF($B82="","",IF(L82="استقالة",N82,K82))</f>
        <v/>
      </c>
      <c r="P82" s="86" t="str">
        <f aca="false">IF($B82="","",H82*(cfg_EOS_R1*MIN((MAX(0,IF(OR(الموظفون!$X82="",الموظفون!$X82&gt;=cfg_Y_START),cfg_Y_START-1,الموظفون!$X82)-D82+1)/cfg_DAYS_Y),cfg_EOS_TH)+cfg_EOS_R2*MAX((MAX(0,IF(OR(الموظفون!$X82="",الموظفون!$X82&gt;=cfg_Y_START),cfg_Y_START-1,الموظفون!$X82)-D82+1)/cfg_DAYS_Y)-cfg_EOS_TH,0)))</f>
        <v/>
      </c>
      <c r="Q82" s="86" t="str">
        <f aca="false">IF($B82="","",O82-P82)</f>
        <v/>
      </c>
      <c r="R82" s="86" t="str">
        <f aca="false">IF($B82="","",SUMIFS('الحركات الشهرية'!$N$6:$N$1005,'الحركات الشهرية'!$B$6:$B$1005,B82,'الحركات الشهرية'!$A$6:$A$1005,"&lt;="&amp;cfg_VAL_M))</f>
        <v/>
      </c>
      <c r="S82" s="128" t="str">
        <f aca="false">IF($B82="","",P82+Q82-R82)</f>
        <v/>
      </c>
      <c r="T82" s="74" t="str">
        <f aca="false">IF($B82="","",IF(S82&lt;-0.01,"✖ صرف أكثر من المستحق",IF(AND(L82&lt;&gt;"على رأس العمل",S82&gt;0.01),"⚠ مستحق لم يُصرف","✔ سليم")))</f>
        <v/>
      </c>
    </row>
    <row r="83" customFormat="false" ht="15" hidden="false" customHeight="false" outlineLevel="0" collapsed="false">
      <c r="B83" s="91" t="str">
        <f aca="false">IF(الموظفون!$B83="","",الموظفون!$B83)</f>
        <v/>
      </c>
      <c r="C83" s="91" t="str">
        <f aca="false">IF($B83="","",الموظفون!$C83)</f>
        <v/>
      </c>
      <c r="D83" s="129" t="str">
        <f aca="false">IF($B83="","",الموظفون!$H83)</f>
        <v/>
      </c>
      <c r="E83" s="129" t="str">
        <f aca="false">IF($B83="","",IF(OR(الموظفون!$X83="",الموظفون!$X83&gt;cfg_VAL_DATE),cfg_VAL_DATE,الموظفون!$X83))</f>
        <v/>
      </c>
      <c r="F83" s="91" t="str">
        <f aca="false">IF($B83="","",IF(E83&lt;D83,"لم يباشر",DATEDIF(D83,E83+1,"y")&amp;" سنة "&amp;DATEDIF(D83,E83+1,"ym")&amp;" شهر "&amp;DATEDIF(D83,E83+1,"md")&amp;" يوم"))</f>
        <v/>
      </c>
      <c r="G83" s="114" t="str">
        <f aca="false">IF($B83="","",MAX(0,E83-D83+1)/cfg_DAYS_Y)</f>
        <v/>
      </c>
      <c r="H83" s="90" t="str">
        <f aca="false">IF($B83="","",الموظفون!$O83)</f>
        <v/>
      </c>
      <c r="I83" s="90" t="str">
        <f aca="false">IF($B83="","",H83*cfg_EOS_R1*MIN(G83,cfg_EOS_TH))</f>
        <v/>
      </c>
      <c r="J83" s="90" t="str">
        <f aca="false">IF($B83="","",H83*cfg_EOS_R2*MAX(G83-cfg_EOS_TH,0))</f>
        <v/>
      </c>
      <c r="K83" s="90" t="str">
        <f aca="false">IF($B83="","",I83+J83)</f>
        <v/>
      </c>
      <c r="L83" s="91" t="str">
        <f aca="false">IF($B83="","",IF(AND(الموظفون!$X83&lt;&gt;"",الموظفون!$X83&lt;=cfg_VAL_DATE),IF(الموظفون!$Y83="","⚠ حدد السبب",الموظفون!$Y83),"على رأس العمل"))</f>
        <v/>
      </c>
      <c r="M83" s="130" t="str">
        <f aca="false">IF($B83="","",VLOOKUP(G83,cfg_RES,2,TRUE()))</f>
        <v/>
      </c>
      <c r="N83" s="90" t="str">
        <f aca="false">IF($B83="","",K83*M83)</f>
        <v/>
      </c>
      <c r="O83" s="90" t="str">
        <f aca="false">IF($B83="","",IF(L83="استقالة",N83,K83))</f>
        <v/>
      </c>
      <c r="P83" s="90" t="str">
        <f aca="false">IF($B83="","",H83*(cfg_EOS_R1*MIN((MAX(0,IF(OR(الموظفون!$X83="",الموظفون!$X83&gt;=cfg_Y_START),cfg_Y_START-1,الموظفون!$X83)-D83+1)/cfg_DAYS_Y),cfg_EOS_TH)+cfg_EOS_R2*MAX((MAX(0,IF(OR(الموظفون!$X83="",الموظفون!$X83&gt;=cfg_Y_START),cfg_Y_START-1,الموظفون!$X83)-D83+1)/cfg_DAYS_Y)-cfg_EOS_TH,0)))</f>
        <v/>
      </c>
      <c r="Q83" s="90" t="str">
        <f aca="false">IF($B83="","",O83-P83)</f>
        <v/>
      </c>
      <c r="R83" s="90" t="str">
        <f aca="false">IF($B83="","",SUMIFS('الحركات الشهرية'!$N$6:$N$1005,'الحركات الشهرية'!$B$6:$B$1005,B83,'الحركات الشهرية'!$A$6:$A$1005,"&lt;="&amp;cfg_VAL_M))</f>
        <v/>
      </c>
      <c r="S83" s="131" t="str">
        <f aca="false">IF($B83="","",P83+Q83-R83)</f>
        <v/>
      </c>
      <c r="T83" s="91" t="str">
        <f aca="false">IF($B83="","",IF(S83&lt;-0.01,"✖ صرف أكثر من المستحق",IF(AND(L83&lt;&gt;"على رأس العمل",S83&gt;0.01),"⚠ مستحق لم يُصرف","✔ سليم")))</f>
        <v/>
      </c>
    </row>
    <row r="84" customFormat="false" ht="15" hidden="false" customHeight="false" outlineLevel="0" collapsed="false">
      <c r="B84" s="74" t="str">
        <f aca="false">IF(الموظفون!$B84="","",الموظفون!$B84)</f>
        <v/>
      </c>
      <c r="C84" s="74" t="str">
        <f aca="false">IF($B84="","",الموظفون!$C84)</f>
        <v/>
      </c>
      <c r="D84" s="127" t="str">
        <f aca="false">IF($B84="","",الموظفون!$H84)</f>
        <v/>
      </c>
      <c r="E84" s="127" t="str">
        <f aca="false">IF($B84="","",IF(OR(الموظفون!$X84="",الموظفون!$X84&gt;cfg_VAL_DATE),cfg_VAL_DATE,الموظفون!$X84))</f>
        <v/>
      </c>
      <c r="F84" s="74" t="str">
        <f aca="false">IF($B84="","",IF(E84&lt;D84,"لم يباشر",DATEDIF(D84,E84+1,"y")&amp;" سنة "&amp;DATEDIF(D84,E84+1,"ym")&amp;" شهر "&amp;DATEDIF(D84,E84+1,"md")&amp;" يوم"))</f>
        <v/>
      </c>
      <c r="G84" s="109" t="str">
        <f aca="false">IF($B84="","",MAX(0,E84-D84+1)/cfg_DAYS_Y)</f>
        <v/>
      </c>
      <c r="H84" s="86" t="str">
        <f aca="false">IF($B84="","",الموظفون!$O84)</f>
        <v/>
      </c>
      <c r="I84" s="86" t="str">
        <f aca="false">IF($B84="","",H84*cfg_EOS_R1*MIN(G84,cfg_EOS_TH))</f>
        <v/>
      </c>
      <c r="J84" s="86" t="str">
        <f aca="false">IF($B84="","",H84*cfg_EOS_R2*MAX(G84-cfg_EOS_TH,0))</f>
        <v/>
      </c>
      <c r="K84" s="86" t="str">
        <f aca="false">IF($B84="","",I84+J84)</f>
        <v/>
      </c>
      <c r="L84" s="74" t="str">
        <f aca="false">IF($B84="","",IF(AND(الموظفون!$X84&lt;&gt;"",الموظفون!$X84&lt;=cfg_VAL_DATE),IF(الموظفون!$Y84="","⚠ حدد السبب",الموظفون!$Y84),"على رأس العمل"))</f>
        <v/>
      </c>
      <c r="M84" s="52" t="str">
        <f aca="false">IF($B84="","",VLOOKUP(G84,cfg_RES,2,TRUE()))</f>
        <v/>
      </c>
      <c r="N84" s="86" t="str">
        <f aca="false">IF($B84="","",K84*M84)</f>
        <v/>
      </c>
      <c r="O84" s="86" t="str">
        <f aca="false">IF($B84="","",IF(L84="استقالة",N84,K84))</f>
        <v/>
      </c>
      <c r="P84" s="86" t="str">
        <f aca="false">IF($B84="","",H84*(cfg_EOS_R1*MIN((MAX(0,IF(OR(الموظفون!$X84="",الموظفون!$X84&gt;=cfg_Y_START),cfg_Y_START-1,الموظفون!$X84)-D84+1)/cfg_DAYS_Y),cfg_EOS_TH)+cfg_EOS_R2*MAX((MAX(0,IF(OR(الموظفون!$X84="",الموظفون!$X84&gt;=cfg_Y_START),cfg_Y_START-1,الموظفون!$X84)-D84+1)/cfg_DAYS_Y)-cfg_EOS_TH,0)))</f>
        <v/>
      </c>
      <c r="Q84" s="86" t="str">
        <f aca="false">IF($B84="","",O84-P84)</f>
        <v/>
      </c>
      <c r="R84" s="86" t="str">
        <f aca="false">IF($B84="","",SUMIFS('الحركات الشهرية'!$N$6:$N$1005,'الحركات الشهرية'!$B$6:$B$1005,B84,'الحركات الشهرية'!$A$6:$A$1005,"&lt;="&amp;cfg_VAL_M))</f>
        <v/>
      </c>
      <c r="S84" s="128" t="str">
        <f aca="false">IF($B84="","",P84+Q84-R84)</f>
        <v/>
      </c>
      <c r="T84" s="74" t="str">
        <f aca="false">IF($B84="","",IF(S84&lt;-0.01,"✖ صرف أكثر من المستحق",IF(AND(L84&lt;&gt;"على رأس العمل",S84&gt;0.01),"⚠ مستحق لم يُصرف","✔ سليم")))</f>
        <v/>
      </c>
    </row>
    <row r="85" customFormat="false" ht="15" hidden="false" customHeight="false" outlineLevel="0" collapsed="false">
      <c r="B85" s="91" t="str">
        <f aca="false">IF(الموظفون!$B85="","",الموظفون!$B85)</f>
        <v/>
      </c>
      <c r="C85" s="91" t="str">
        <f aca="false">IF($B85="","",الموظفون!$C85)</f>
        <v/>
      </c>
      <c r="D85" s="129" t="str">
        <f aca="false">IF($B85="","",الموظفون!$H85)</f>
        <v/>
      </c>
      <c r="E85" s="129" t="str">
        <f aca="false">IF($B85="","",IF(OR(الموظفون!$X85="",الموظفون!$X85&gt;cfg_VAL_DATE),cfg_VAL_DATE,الموظفون!$X85))</f>
        <v/>
      </c>
      <c r="F85" s="91" t="str">
        <f aca="false">IF($B85="","",IF(E85&lt;D85,"لم يباشر",DATEDIF(D85,E85+1,"y")&amp;" سنة "&amp;DATEDIF(D85,E85+1,"ym")&amp;" شهر "&amp;DATEDIF(D85,E85+1,"md")&amp;" يوم"))</f>
        <v/>
      </c>
      <c r="G85" s="114" t="str">
        <f aca="false">IF($B85="","",MAX(0,E85-D85+1)/cfg_DAYS_Y)</f>
        <v/>
      </c>
      <c r="H85" s="90" t="str">
        <f aca="false">IF($B85="","",الموظفون!$O85)</f>
        <v/>
      </c>
      <c r="I85" s="90" t="str">
        <f aca="false">IF($B85="","",H85*cfg_EOS_R1*MIN(G85,cfg_EOS_TH))</f>
        <v/>
      </c>
      <c r="J85" s="90" t="str">
        <f aca="false">IF($B85="","",H85*cfg_EOS_R2*MAX(G85-cfg_EOS_TH,0))</f>
        <v/>
      </c>
      <c r="K85" s="90" t="str">
        <f aca="false">IF($B85="","",I85+J85)</f>
        <v/>
      </c>
      <c r="L85" s="91" t="str">
        <f aca="false">IF($B85="","",IF(AND(الموظفون!$X85&lt;&gt;"",الموظفون!$X85&lt;=cfg_VAL_DATE),IF(الموظفون!$Y85="","⚠ حدد السبب",الموظفون!$Y85),"على رأس العمل"))</f>
        <v/>
      </c>
      <c r="M85" s="130" t="str">
        <f aca="false">IF($B85="","",VLOOKUP(G85,cfg_RES,2,TRUE()))</f>
        <v/>
      </c>
      <c r="N85" s="90" t="str">
        <f aca="false">IF($B85="","",K85*M85)</f>
        <v/>
      </c>
      <c r="O85" s="90" t="str">
        <f aca="false">IF($B85="","",IF(L85="استقالة",N85,K85))</f>
        <v/>
      </c>
      <c r="P85" s="90" t="str">
        <f aca="false">IF($B85="","",H85*(cfg_EOS_R1*MIN((MAX(0,IF(OR(الموظفون!$X85="",الموظفون!$X85&gt;=cfg_Y_START),cfg_Y_START-1,الموظفون!$X85)-D85+1)/cfg_DAYS_Y),cfg_EOS_TH)+cfg_EOS_R2*MAX((MAX(0,IF(OR(الموظفون!$X85="",الموظفون!$X85&gt;=cfg_Y_START),cfg_Y_START-1,الموظفون!$X85)-D85+1)/cfg_DAYS_Y)-cfg_EOS_TH,0)))</f>
        <v/>
      </c>
      <c r="Q85" s="90" t="str">
        <f aca="false">IF($B85="","",O85-P85)</f>
        <v/>
      </c>
      <c r="R85" s="90" t="str">
        <f aca="false">IF($B85="","",SUMIFS('الحركات الشهرية'!$N$6:$N$1005,'الحركات الشهرية'!$B$6:$B$1005,B85,'الحركات الشهرية'!$A$6:$A$1005,"&lt;="&amp;cfg_VAL_M))</f>
        <v/>
      </c>
      <c r="S85" s="131" t="str">
        <f aca="false">IF($B85="","",P85+Q85-R85)</f>
        <v/>
      </c>
      <c r="T85" s="91" t="str">
        <f aca="false">IF($B85="","",IF(S85&lt;-0.01,"✖ صرف أكثر من المستحق",IF(AND(L85&lt;&gt;"على رأس العمل",S85&gt;0.01),"⚠ مستحق لم يُصرف","✔ سليم")))</f>
        <v/>
      </c>
    </row>
    <row r="86" customFormat="false" ht="15" hidden="false" customHeight="false" outlineLevel="0" collapsed="false">
      <c r="B86" s="74" t="str">
        <f aca="false">IF(الموظفون!$B86="","",الموظفون!$B86)</f>
        <v/>
      </c>
      <c r="C86" s="74" t="str">
        <f aca="false">IF($B86="","",الموظفون!$C86)</f>
        <v/>
      </c>
      <c r="D86" s="127" t="str">
        <f aca="false">IF($B86="","",الموظفون!$H86)</f>
        <v/>
      </c>
      <c r="E86" s="127" t="str">
        <f aca="false">IF($B86="","",IF(OR(الموظفون!$X86="",الموظفون!$X86&gt;cfg_VAL_DATE),cfg_VAL_DATE,الموظفون!$X86))</f>
        <v/>
      </c>
      <c r="F86" s="74" t="str">
        <f aca="false">IF($B86="","",IF(E86&lt;D86,"لم يباشر",DATEDIF(D86,E86+1,"y")&amp;" سنة "&amp;DATEDIF(D86,E86+1,"ym")&amp;" شهر "&amp;DATEDIF(D86,E86+1,"md")&amp;" يوم"))</f>
        <v/>
      </c>
      <c r="G86" s="109" t="str">
        <f aca="false">IF($B86="","",MAX(0,E86-D86+1)/cfg_DAYS_Y)</f>
        <v/>
      </c>
      <c r="H86" s="86" t="str">
        <f aca="false">IF($B86="","",الموظفون!$O86)</f>
        <v/>
      </c>
      <c r="I86" s="86" t="str">
        <f aca="false">IF($B86="","",H86*cfg_EOS_R1*MIN(G86,cfg_EOS_TH))</f>
        <v/>
      </c>
      <c r="J86" s="86" t="str">
        <f aca="false">IF($B86="","",H86*cfg_EOS_R2*MAX(G86-cfg_EOS_TH,0))</f>
        <v/>
      </c>
      <c r="K86" s="86" t="str">
        <f aca="false">IF($B86="","",I86+J86)</f>
        <v/>
      </c>
      <c r="L86" s="74" t="str">
        <f aca="false">IF($B86="","",IF(AND(الموظفون!$X86&lt;&gt;"",الموظفون!$X86&lt;=cfg_VAL_DATE),IF(الموظفون!$Y86="","⚠ حدد السبب",الموظفون!$Y86),"على رأس العمل"))</f>
        <v/>
      </c>
      <c r="M86" s="52" t="str">
        <f aca="false">IF($B86="","",VLOOKUP(G86,cfg_RES,2,TRUE()))</f>
        <v/>
      </c>
      <c r="N86" s="86" t="str">
        <f aca="false">IF($B86="","",K86*M86)</f>
        <v/>
      </c>
      <c r="O86" s="86" t="str">
        <f aca="false">IF($B86="","",IF(L86="استقالة",N86,K86))</f>
        <v/>
      </c>
      <c r="P86" s="86" t="str">
        <f aca="false">IF($B86="","",H86*(cfg_EOS_R1*MIN((MAX(0,IF(OR(الموظفون!$X86="",الموظفون!$X86&gt;=cfg_Y_START),cfg_Y_START-1,الموظفون!$X86)-D86+1)/cfg_DAYS_Y),cfg_EOS_TH)+cfg_EOS_R2*MAX((MAX(0,IF(OR(الموظفون!$X86="",الموظفون!$X86&gt;=cfg_Y_START),cfg_Y_START-1,الموظفون!$X86)-D86+1)/cfg_DAYS_Y)-cfg_EOS_TH,0)))</f>
        <v/>
      </c>
      <c r="Q86" s="86" t="str">
        <f aca="false">IF($B86="","",O86-P86)</f>
        <v/>
      </c>
      <c r="R86" s="86" t="str">
        <f aca="false">IF($B86="","",SUMIFS('الحركات الشهرية'!$N$6:$N$1005,'الحركات الشهرية'!$B$6:$B$1005,B86,'الحركات الشهرية'!$A$6:$A$1005,"&lt;="&amp;cfg_VAL_M))</f>
        <v/>
      </c>
      <c r="S86" s="128" t="str">
        <f aca="false">IF($B86="","",P86+Q86-R86)</f>
        <v/>
      </c>
      <c r="T86" s="74" t="str">
        <f aca="false">IF($B86="","",IF(S86&lt;-0.01,"✖ صرف أكثر من المستحق",IF(AND(L86&lt;&gt;"على رأس العمل",S86&gt;0.01),"⚠ مستحق لم يُصرف","✔ سليم")))</f>
        <v/>
      </c>
    </row>
    <row r="87" customFormat="false" ht="15" hidden="false" customHeight="false" outlineLevel="0" collapsed="false">
      <c r="B87" s="91" t="str">
        <f aca="false">IF(الموظفون!$B87="","",الموظفون!$B87)</f>
        <v/>
      </c>
      <c r="C87" s="91" t="str">
        <f aca="false">IF($B87="","",الموظفون!$C87)</f>
        <v/>
      </c>
      <c r="D87" s="129" t="str">
        <f aca="false">IF($B87="","",الموظفون!$H87)</f>
        <v/>
      </c>
      <c r="E87" s="129" t="str">
        <f aca="false">IF($B87="","",IF(OR(الموظفون!$X87="",الموظفون!$X87&gt;cfg_VAL_DATE),cfg_VAL_DATE,الموظفون!$X87))</f>
        <v/>
      </c>
      <c r="F87" s="91" t="str">
        <f aca="false">IF($B87="","",IF(E87&lt;D87,"لم يباشر",DATEDIF(D87,E87+1,"y")&amp;" سنة "&amp;DATEDIF(D87,E87+1,"ym")&amp;" شهر "&amp;DATEDIF(D87,E87+1,"md")&amp;" يوم"))</f>
        <v/>
      </c>
      <c r="G87" s="114" t="str">
        <f aca="false">IF($B87="","",MAX(0,E87-D87+1)/cfg_DAYS_Y)</f>
        <v/>
      </c>
      <c r="H87" s="90" t="str">
        <f aca="false">IF($B87="","",الموظفون!$O87)</f>
        <v/>
      </c>
      <c r="I87" s="90" t="str">
        <f aca="false">IF($B87="","",H87*cfg_EOS_R1*MIN(G87,cfg_EOS_TH))</f>
        <v/>
      </c>
      <c r="J87" s="90" t="str">
        <f aca="false">IF($B87="","",H87*cfg_EOS_R2*MAX(G87-cfg_EOS_TH,0))</f>
        <v/>
      </c>
      <c r="K87" s="90" t="str">
        <f aca="false">IF($B87="","",I87+J87)</f>
        <v/>
      </c>
      <c r="L87" s="91" t="str">
        <f aca="false">IF($B87="","",IF(AND(الموظفون!$X87&lt;&gt;"",الموظفون!$X87&lt;=cfg_VAL_DATE),IF(الموظفون!$Y87="","⚠ حدد السبب",الموظفون!$Y87),"على رأس العمل"))</f>
        <v/>
      </c>
      <c r="M87" s="130" t="str">
        <f aca="false">IF($B87="","",VLOOKUP(G87,cfg_RES,2,TRUE()))</f>
        <v/>
      </c>
      <c r="N87" s="90" t="str">
        <f aca="false">IF($B87="","",K87*M87)</f>
        <v/>
      </c>
      <c r="O87" s="90" t="str">
        <f aca="false">IF($B87="","",IF(L87="استقالة",N87,K87))</f>
        <v/>
      </c>
      <c r="P87" s="90" t="str">
        <f aca="false">IF($B87="","",H87*(cfg_EOS_R1*MIN((MAX(0,IF(OR(الموظفون!$X87="",الموظفون!$X87&gt;=cfg_Y_START),cfg_Y_START-1,الموظفون!$X87)-D87+1)/cfg_DAYS_Y),cfg_EOS_TH)+cfg_EOS_R2*MAX((MAX(0,IF(OR(الموظفون!$X87="",الموظفون!$X87&gt;=cfg_Y_START),cfg_Y_START-1,الموظفون!$X87)-D87+1)/cfg_DAYS_Y)-cfg_EOS_TH,0)))</f>
        <v/>
      </c>
      <c r="Q87" s="90" t="str">
        <f aca="false">IF($B87="","",O87-P87)</f>
        <v/>
      </c>
      <c r="R87" s="90" t="str">
        <f aca="false">IF($B87="","",SUMIFS('الحركات الشهرية'!$N$6:$N$1005,'الحركات الشهرية'!$B$6:$B$1005,B87,'الحركات الشهرية'!$A$6:$A$1005,"&lt;="&amp;cfg_VAL_M))</f>
        <v/>
      </c>
      <c r="S87" s="131" t="str">
        <f aca="false">IF($B87="","",P87+Q87-R87)</f>
        <v/>
      </c>
      <c r="T87" s="91" t="str">
        <f aca="false">IF($B87="","",IF(S87&lt;-0.01,"✖ صرف أكثر من المستحق",IF(AND(L87&lt;&gt;"على رأس العمل",S87&gt;0.01),"⚠ مستحق لم يُصرف","✔ سليم")))</f>
        <v/>
      </c>
    </row>
    <row r="88" customFormat="false" ht="15" hidden="false" customHeight="false" outlineLevel="0" collapsed="false">
      <c r="B88" s="74" t="str">
        <f aca="false">IF(الموظفون!$B88="","",الموظفون!$B88)</f>
        <v/>
      </c>
      <c r="C88" s="74" t="str">
        <f aca="false">IF($B88="","",الموظفون!$C88)</f>
        <v/>
      </c>
      <c r="D88" s="127" t="str">
        <f aca="false">IF($B88="","",الموظفون!$H88)</f>
        <v/>
      </c>
      <c r="E88" s="127" t="str">
        <f aca="false">IF($B88="","",IF(OR(الموظفون!$X88="",الموظفون!$X88&gt;cfg_VAL_DATE),cfg_VAL_DATE,الموظفون!$X88))</f>
        <v/>
      </c>
      <c r="F88" s="74" t="str">
        <f aca="false">IF($B88="","",IF(E88&lt;D88,"لم يباشر",DATEDIF(D88,E88+1,"y")&amp;" سنة "&amp;DATEDIF(D88,E88+1,"ym")&amp;" شهر "&amp;DATEDIF(D88,E88+1,"md")&amp;" يوم"))</f>
        <v/>
      </c>
      <c r="G88" s="109" t="str">
        <f aca="false">IF($B88="","",MAX(0,E88-D88+1)/cfg_DAYS_Y)</f>
        <v/>
      </c>
      <c r="H88" s="86" t="str">
        <f aca="false">IF($B88="","",الموظفون!$O88)</f>
        <v/>
      </c>
      <c r="I88" s="86" t="str">
        <f aca="false">IF($B88="","",H88*cfg_EOS_R1*MIN(G88,cfg_EOS_TH))</f>
        <v/>
      </c>
      <c r="J88" s="86" t="str">
        <f aca="false">IF($B88="","",H88*cfg_EOS_R2*MAX(G88-cfg_EOS_TH,0))</f>
        <v/>
      </c>
      <c r="K88" s="86" t="str">
        <f aca="false">IF($B88="","",I88+J88)</f>
        <v/>
      </c>
      <c r="L88" s="74" t="str">
        <f aca="false">IF($B88="","",IF(AND(الموظفون!$X88&lt;&gt;"",الموظفون!$X88&lt;=cfg_VAL_DATE),IF(الموظفون!$Y88="","⚠ حدد السبب",الموظفون!$Y88),"على رأس العمل"))</f>
        <v/>
      </c>
      <c r="M88" s="52" t="str">
        <f aca="false">IF($B88="","",VLOOKUP(G88,cfg_RES,2,TRUE()))</f>
        <v/>
      </c>
      <c r="N88" s="86" t="str">
        <f aca="false">IF($B88="","",K88*M88)</f>
        <v/>
      </c>
      <c r="O88" s="86" t="str">
        <f aca="false">IF($B88="","",IF(L88="استقالة",N88,K88))</f>
        <v/>
      </c>
      <c r="P88" s="86" t="str">
        <f aca="false">IF($B88="","",H88*(cfg_EOS_R1*MIN((MAX(0,IF(OR(الموظفون!$X88="",الموظفون!$X88&gt;=cfg_Y_START),cfg_Y_START-1,الموظفون!$X88)-D88+1)/cfg_DAYS_Y),cfg_EOS_TH)+cfg_EOS_R2*MAX((MAX(0,IF(OR(الموظفون!$X88="",الموظفون!$X88&gt;=cfg_Y_START),cfg_Y_START-1,الموظفون!$X88)-D88+1)/cfg_DAYS_Y)-cfg_EOS_TH,0)))</f>
        <v/>
      </c>
      <c r="Q88" s="86" t="str">
        <f aca="false">IF($B88="","",O88-P88)</f>
        <v/>
      </c>
      <c r="R88" s="86" t="str">
        <f aca="false">IF($B88="","",SUMIFS('الحركات الشهرية'!$N$6:$N$1005,'الحركات الشهرية'!$B$6:$B$1005,B88,'الحركات الشهرية'!$A$6:$A$1005,"&lt;="&amp;cfg_VAL_M))</f>
        <v/>
      </c>
      <c r="S88" s="128" t="str">
        <f aca="false">IF($B88="","",P88+Q88-R88)</f>
        <v/>
      </c>
      <c r="T88" s="74" t="str">
        <f aca="false">IF($B88="","",IF(S88&lt;-0.01,"✖ صرف أكثر من المستحق",IF(AND(L88&lt;&gt;"على رأس العمل",S88&gt;0.01),"⚠ مستحق لم يُصرف","✔ سليم")))</f>
        <v/>
      </c>
    </row>
    <row r="89" customFormat="false" ht="15" hidden="false" customHeight="false" outlineLevel="0" collapsed="false">
      <c r="B89" s="91" t="str">
        <f aca="false">IF(الموظفون!$B89="","",الموظفون!$B89)</f>
        <v/>
      </c>
      <c r="C89" s="91" t="str">
        <f aca="false">IF($B89="","",الموظفون!$C89)</f>
        <v/>
      </c>
      <c r="D89" s="129" t="str">
        <f aca="false">IF($B89="","",الموظفون!$H89)</f>
        <v/>
      </c>
      <c r="E89" s="129" t="str">
        <f aca="false">IF($B89="","",IF(OR(الموظفون!$X89="",الموظفون!$X89&gt;cfg_VAL_DATE),cfg_VAL_DATE,الموظفون!$X89))</f>
        <v/>
      </c>
      <c r="F89" s="91" t="str">
        <f aca="false">IF($B89="","",IF(E89&lt;D89,"لم يباشر",DATEDIF(D89,E89+1,"y")&amp;" سنة "&amp;DATEDIF(D89,E89+1,"ym")&amp;" شهر "&amp;DATEDIF(D89,E89+1,"md")&amp;" يوم"))</f>
        <v/>
      </c>
      <c r="G89" s="114" t="str">
        <f aca="false">IF($B89="","",MAX(0,E89-D89+1)/cfg_DAYS_Y)</f>
        <v/>
      </c>
      <c r="H89" s="90" t="str">
        <f aca="false">IF($B89="","",الموظفون!$O89)</f>
        <v/>
      </c>
      <c r="I89" s="90" t="str">
        <f aca="false">IF($B89="","",H89*cfg_EOS_R1*MIN(G89,cfg_EOS_TH))</f>
        <v/>
      </c>
      <c r="J89" s="90" t="str">
        <f aca="false">IF($B89="","",H89*cfg_EOS_R2*MAX(G89-cfg_EOS_TH,0))</f>
        <v/>
      </c>
      <c r="K89" s="90" t="str">
        <f aca="false">IF($B89="","",I89+J89)</f>
        <v/>
      </c>
      <c r="L89" s="91" t="str">
        <f aca="false">IF($B89="","",IF(AND(الموظفون!$X89&lt;&gt;"",الموظفون!$X89&lt;=cfg_VAL_DATE),IF(الموظفون!$Y89="","⚠ حدد السبب",الموظفون!$Y89),"على رأس العمل"))</f>
        <v/>
      </c>
      <c r="M89" s="130" t="str">
        <f aca="false">IF($B89="","",VLOOKUP(G89,cfg_RES,2,TRUE()))</f>
        <v/>
      </c>
      <c r="N89" s="90" t="str">
        <f aca="false">IF($B89="","",K89*M89)</f>
        <v/>
      </c>
      <c r="O89" s="90" t="str">
        <f aca="false">IF($B89="","",IF(L89="استقالة",N89,K89))</f>
        <v/>
      </c>
      <c r="P89" s="90" t="str">
        <f aca="false">IF($B89="","",H89*(cfg_EOS_R1*MIN((MAX(0,IF(OR(الموظفون!$X89="",الموظفون!$X89&gt;=cfg_Y_START),cfg_Y_START-1,الموظفون!$X89)-D89+1)/cfg_DAYS_Y),cfg_EOS_TH)+cfg_EOS_R2*MAX((MAX(0,IF(OR(الموظفون!$X89="",الموظفون!$X89&gt;=cfg_Y_START),cfg_Y_START-1,الموظفون!$X89)-D89+1)/cfg_DAYS_Y)-cfg_EOS_TH,0)))</f>
        <v/>
      </c>
      <c r="Q89" s="90" t="str">
        <f aca="false">IF($B89="","",O89-P89)</f>
        <v/>
      </c>
      <c r="R89" s="90" t="str">
        <f aca="false">IF($B89="","",SUMIFS('الحركات الشهرية'!$N$6:$N$1005,'الحركات الشهرية'!$B$6:$B$1005,B89,'الحركات الشهرية'!$A$6:$A$1005,"&lt;="&amp;cfg_VAL_M))</f>
        <v/>
      </c>
      <c r="S89" s="131" t="str">
        <f aca="false">IF($B89="","",P89+Q89-R89)</f>
        <v/>
      </c>
      <c r="T89" s="91" t="str">
        <f aca="false">IF($B89="","",IF(S89&lt;-0.01,"✖ صرف أكثر من المستحق",IF(AND(L89&lt;&gt;"على رأس العمل",S89&gt;0.01),"⚠ مستحق لم يُصرف","✔ سليم")))</f>
        <v/>
      </c>
    </row>
    <row r="90" customFormat="false" ht="15" hidden="false" customHeight="false" outlineLevel="0" collapsed="false">
      <c r="B90" s="74" t="str">
        <f aca="false">IF(الموظفون!$B90="","",الموظفون!$B90)</f>
        <v/>
      </c>
      <c r="C90" s="74" t="str">
        <f aca="false">IF($B90="","",الموظفون!$C90)</f>
        <v/>
      </c>
      <c r="D90" s="127" t="str">
        <f aca="false">IF($B90="","",الموظفون!$H90)</f>
        <v/>
      </c>
      <c r="E90" s="127" t="str">
        <f aca="false">IF($B90="","",IF(OR(الموظفون!$X90="",الموظفون!$X90&gt;cfg_VAL_DATE),cfg_VAL_DATE,الموظفون!$X90))</f>
        <v/>
      </c>
      <c r="F90" s="74" t="str">
        <f aca="false">IF($B90="","",IF(E90&lt;D90,"لم يباشر",DATEDIF(D90,E90+1,"y")&amp;" سنة "&amp;DATEDIF(D90,E90+1,"ym")&amp;" شهر "&amp;DATEDIF(D90,E90+1,"md")&amp;" يوم"))</f>
        <v/>
      </c>
      <c r="G90" s="109" t="str">
        <f aca="false">IF($B90="","",MAX(0,E90-D90+1)/cfg_DAYS_Y)</f>
        <v/>
      </c>
      <c r="H90" s="86" t="str">
        <f aca="false">IF($B90="","",الموظفون!$O90)</f>
        <v/>
      </c>
      <c r="I90" s="86" t="str">
        <f aca="false">IF($B90="","",H90*cfg_EOS_R1*MIN(G90,cfg_EOS_TH))</f>
        <v/>
      </c>
      <c r="J90" s="86" t="str">
        <f aca="false">IF($B90="","",H90*cfg_EOS_R2*MAX(G90-cfg_EOS_TH,0))</f>
        <v/>
      </c>
      <c r="K90" s="86" t="str">
        <f aca="false">IF($B90="","",I90+J90)</f>
        <v/>
      </c>
      <c r="L90" s="74" t="str">
        <f aca="false">IF($B90="","",IF(AND(الموظفون!$X90&lt;&gt;"",الموظفون!$X90&lt;=cfg_VAL_DATE),IF(الموظفون!$Y90="","⚠ حدد السبب",الموظفون!$Y90),"على رأس العمل"))</f>
        <v/>
      </c>
      <c r="M90" s="52" t="str">
        <f aca="false">IF($B90="","",VLOOKUP(G90,cfg_RES,2,TRUE()))</f>
        <v/>
      </c>
      <c r="N90" s="86" t="str">
        <f aca="false">IF($B90="","",K90*M90)</f>
        <v/>
      </c>
      <c r="O90" s="86" t="str">
        <f aca="false">IF($B90="","",IF(L90="استقالة",N90,K90))</f>
        <v/>
      </c>
      <c r="P90" s="86" t="str">
        <f aca="false">IF($B90="","",H90*(cfg_EOS_R1*MIN((MAX(0,IF(OR(الموظفون!$X90="",الموظفون!$X90&gt;=cfg_Y_START),cfg_Y_START-1,الموظفون!$X90)-D90+1)/cfg_DAYS_Y),cfg_EOS_TH)+cfg_EOS_R2*MAX((MAX(0,IF(OR(الموظفون!$X90="",الموظفون!$X90&gt;=cfg_Y_START),cfg_Y_START-1,الموظفون!$X90)-D90+1)/cfg_DAYS_Y)-cfg_EOS_TH,0)))</f>
        <v/>
      </c>
      <c r="Q90" s="86" t="str">
        <f aca="false">IF($B90="","",O90-P90)</f>
        <v/>
      </c>
      <c r="R90" s="86" t="str">
        <f aca="false">IF($B90="","",SUMIFS('الحركات الشهرية'!$N$6:$N$1005,'الحركات الشهرية'!$B$6:$B$1005,B90,'الحركات الشهرية'!$A$6:$A$1005,"&lt;="&amp;cfg_VAL_M))</f>
        <v/>
      </c>
      <c r="S90" s="128" t="str">
        <f aca="false">IF($B90="","",P90+Q90-R90)</f>
        <v/>
      </c>
      <c r="T90" s="74" t="str">
        <f aca="false">IF($B90="","",IF(S90&lt;-0.01,"✖ صرف أكثر من المستحق",IF(AND(L90&lt;&gt;"على رأس العمل",S90&gt;0.01),"⚠ مستحق لم يُصرف","✔ سليم")))</f>
        <v/>
      </c>
    </row>
    <row r="91" customFormat="false" ht="15" hidden="false" customHeight="false" outlineLevel="0" collapsed="false">
      <c r="B91" s="91" t="str">
        <f aca="false">IF(الموظفون!$B91="","",الموظفون!$B91)</f>
        <v/>
      </c>
      <c r="C91" s="91" t="str">
        <f aca="false">IF($B91="","",الموظفون!$C91)</f>
        <v/>
      </c>
      <c r="D91" s="129" t="str">
        <f aca="false">IF($B91="","",الموظفون!$H91)</f>
        <v/>
      </c>
      <c r="E91" s="129" t="str">
        <f aca="false">IF($B91="","",IF(OR(الموظفون!$X91="",الموظفون!$X91&gt;cfg_VAL_DATE),cfg_VAL_DATE,الموظفون!$X91))</f>
        <v/>
      </c>
      <c r="F91" s="91" t="str">
        <f aca="false">IF($B91="","",IF(E91&lt;D91,"لم يباشر",DATEDIF(D91,E91+1,"y")&amp;" سنة "&amp;DATEDIF(D91,E91+1,"ym")&amp;" شهر "&amp;DATEDIF(D91,E91+1,"md")&amp;" يوم"))</f>
        <v/>
      </c>
      <c r="G91" s="114" t="str">
        <f aca="false">IF($B91="","",MAX(0,E91-D91+1)/cfg_DAYS_Y)</f>
        <v/>
      </c>
      <c r="H91" s="90" t="str">
        <f aca="false">IF($B91="","",الموظفون!$O91)</f>
        <v/>
      </c>
      <c r="I91" s="90" t="str">
        <f aca="false">IF($B91="","",H91*cfg_EOS_R1*MIN(G91,cfg_EOS_TH))</f>
        <v/>
      </c>
      <c r="J91" s="90" t="str">
        <f aca="false">IF($B91="","",H91*cfg_EOS_R2*MAX(G91-cfg_EOS_TH,0))</f>
        <v/>
      </c>
      <c r="K91" s="90" t="str">
        <f aca="false">IF($B91="","",I91+J91)</f>
        <v/>
      </c>
      <c r="L91" s="91" t="str">
        <f aca="false">IF($B91="","",IF(AND(الموظفون!$X91&lt;&gt;"",الموظفون!$X91&lt;=cfg_VAL_DATE),IF(الموظفون!$Y91="","⚠ حدد السبب",الموظفون!$Y91),"على رأس العمل"))</f>
        <v/>
      </c>
      <c r="M91" s="130" t="str">
        <f aca="false">IF($B91="","",VLOOKUP(G91,cfg_RES,2,TRUE()))</f>
        <v/>
      </c>
      <c r="N91" s="90" t="str">
        <f aca="false">IF($B91="","",K91*M91)</f>
        <v/>
      </c>
      <c r="O91" s="90" t="str">
        <f aca="false">IF($B91="","",IF(L91="استقالة",N91,K91))</f>
        <v/>
      </c>
      <c r="P91" s="90" t="str">
        <f aca="false">IF($B91="","",H91*(cfg_EOS_R1*MIN((MAX(0,IF(OR(الموظفون!$X91="",الموظفون!$X91&gt;=cfg_Y_START),cfg_Y_START-1,الموظفون!$X91)-D91+1)/cfg_DAYS_Y),cfg_EOS_TH)+cfg_EOS_R2*MAX((MAX(0,IF(OR(الموظفون!$X91="",الموظفون!$X91&gt;=cfg_Y_START),cfg_Y_START-1,الموظفون!$X91)-D91+1)/cfg_DAYS_Y)-cfg_EOS_TH,0)))</f>
        <v/>
      </c>
      <c r="Q91" s="90" t="str">
        <f aca="false">IF($B91="","",O91-P91)</f>
        <v/>
      </c>
      <c r="R91" s="90" t="str">
        <f aca="false">IF($B91="","",SUMIFS('الحركات الشهرية'!$N$6:$N$1005,'الحركات الشهرية'!$B$6:$B$1005,B91,'الحركات الشهرية'!$A$6:$A$1005,"&lt;="&amp;cfg_VAL_M))</f>
        <v/>
      </c>
      <c r="S91" s="131" t="str">
        <f aca="false">IF($B91="","",P91+Q91-R91)</f>
        <v/>
      </c>
      <c r="T91" s="91" t="str">
        <f aca="false">IF($B91="","",IF(S91&lt;-0.01,"✖ صرف أكثر من المستحق",IF(AND(L91&lt;&gt;"على رأس العمل",S91&gt;0.01),"⚠ مستحق لم يُصرف","✔ سليم")))</f>
        <v/>
      </c>
    </row>
    <row r="92" customFormat="false" ht="15" hidden="false" customHeight="false" outlineLevel="0" collapsed="false">
      <c r="B92" s="74" t="str">
        <f aca="false">IF(الموظفون!$B92="","",الموظفون!$B92)</f>
        <v/>
      </c>
      <c r="C92" s="74" t="str">
        <f aca="false">IF($B92="","",الموظفون!$C92)</f>
        <v/>
      </c>
      <c r="D92" s="127" t="str">
        <f aca="false">IF($B92="","",الموظفون!$H92)</f>
        <v/>
      </c>
      <c r="E92" s="127" t="str">
        <f aca="false">IF($B92="","",IF(OR(الموظفون!$X92="",الموظفون!$X92&gt;cfg_VAL_DATE),cfg_VAL_DATE,الموظفون!$X92))</f>
        <v/>
      </c>
      <c r="F92" s="74" t="str">
        <f aca="false">IF($B92="","",IF(E92&lt;D92,"لم يباشر",DATEDIF(D92,E92+1,"y")&amp;" سنة "&amp;DATEDIF(D92,E92+1,"ym")&amp;" شهر "&amp;DATEDIF(D92,E92+1,"md")&amp;" يوم"))</f>
        <v/>
      </c>
      <c r="G92" s="109" t="str">
        <f aca="false">IF($B92="","",MAX(0,E92-D92+1)/cfg_DAYS_Y)</f>
        <v/>
      </c>
      <c r="H92" s="86" t="str">
        <f aca="false">IF($B92="","",الموظفون!$O92)</f>
        <v/>
      </c>
      <c r="I92" s="86" t="str">
        <f aca="false">IF($B92="","",H92*cfg_EOS_R1*MIN(G92,cfg_EOS_TH))</f>
        <v/>
      </c>
      <c r="J92" s="86" t="str">
        <f aca="false">IF($B92="","",H92*cfg_EOS_R2*MAX(G92-cfg_EOS_TH,0))</f>
        <v/>
      </c>
      <c r="K92" s="86" t="str">
        <f aca="false">IF($B92="","",I92+J92)</f>
        <v/>
      </c>
      <c r="L92" s="74" t="str">
        <f aca="false">IF($B92="","",IF(AND(الموظفون!$X92&lt;&gt;"",الموظفون!$X92&lt;=cfg_VAL_DATE),IF(الموظفون!$Y92="","⚠ حدد السبب",الموظفون!$Y92),"على رأس العمل"))</f>
        <v/>
      </c>
      <c r="M92" s="52" t="str">
        <f aca="false">IF($B92="","",VLOOKUP(G92,cfg_RES,2,TRUE()))</f>
        <v/>
      </c>
      <c r="N92" s="86" t="str">
        <f aca="false">IF($B92="","",K92*M92)</f>
        <v/>
      </c>
      <c r="O92" s="86" t="str">
        <f aca="false">IF($B92="","",IF(L92="استقالة",N92,K92))</f>
        <v/>
      </c>
      <c r="P92" s="86" t="str">
        <f aca="false">IF($B92="","",H92*(cfg_EOS_R1*MIN((MAX(0,IF(OR(الموظفون!$X92="",الموظفون!$X92&gt;=cfg_Y_START),cfg_Y_START-1,الموظفون!$X92)-D92+1)/cfg_DAYS_Y),cfg_EOS_TH)+cfg_EOS_R2*MAX((MAX(0,IF(OR(الموظفون!$X92="",الموظفون!$X92&gt;=cfg_Y_START),cfg_Y_START-1,الموظفون!$X92)-D92+1)/cfg_DAYS_Y)-cfg_EOS_TH,0)))</f>
        <v/>
      </c>
      <c r="Q92" s="86" t="str">
        <f aca="false">IF($B92="","",O92-P92)</f>
        <v/>
      </c>
      <c r="R92" s="86" t="str">
        <f aca="false">IF($B92="","",SUMIFS('الحركات الشهرية'!$N$6:$N$1005,'الحركات الشهرية'!$B$6:$B$1005,B92,'الحركات الشهرية'!$A$6:$A$1005,"&lt;="&amp;cfg_VAL_M))</f>
        <v/>
      </c>
      <c r="S92" s="128" t="str">
        <f aca="false">IF($B92="","",P92+Q92-R92)</f>
        <v/>
      </c>
      <c r="T92" s="74" t="str">
        <f aca="false">IF($B92="","",IF(S92&lt;-0.01,"✖ صرف أكثر من المستحق",IF(AND(L92&lt;&gt;"على رأس العمل",S92&gt;0.01),"⚠ مستحق لم يُصرف","✔ سليم")))</f>
        <v/>
      </c>
    </row>
    <row r="93" customFormat="false" ht="15" hidden="false" customHeight="false" outlineLevel="0" collapsed="false">
      <c r="B93" s="91" t="str">
        <f aca="false">IF(الموظفون!$B93="","",الموظفون!$B93)</f>
        <v/>
      </c>
      <c r="C93" s="91" t="str">
        <f aca="false">IF($B93="","",الموظفون!$C93)</f>
        <v/>
      </c>
      <c r="D93" s="129" t="str">
        <f aca="false">IF($B93="","",الموظفون!$H93)</f>
        <v/>
      </c>
      <c r="E93" s="129" t="str">
        <f aca="false">IF($B93="","",IF(OR(الموظفون!$X93="",الموظفون!$X93&gt;cfg_VAL_DATE),cfg_VAL_DATE,الموظفون!$X93))</f>
        <v/>
      </c>
      <c r="F93" s="91" t="str">
        <f aca="false">IF($B93="","",IF(E93&lt;D93,"لم يباشر",DATEDIF(D93,E93+1,"y")&amp;" سنة "&amp;DATEDIF(D93,E93+1,"ym")&amp;" شهر "&amp;DATEDIF(D93,E93+1,"md")&amp;" يوم"))</f>
        <v/>
      </c>
      <c r="G93" s="114" t="str">
        <f aca="false">IF($B93="","",MAX(0,E93-D93+1)/cfg_DAYS_Y)</f>
        <v/>
      </c>
      <c r="H93" s="90" t="str">
        <f aca="false">IF($B93="","",الموظفون!$O93)</f>
        <v/>
      </c>
      <c r="I93" s="90" t="str">
        <f aca="false">IF($B93="","",H93*cfg_EOS_R1*MIN(G93,cfg_EOS_TH))</f>
        <v/>
      </c>
      <c r="J93" s="90" t="str">
        <f aca="false">IF($B93="","",H93*cfg_EOS_R2*MAX(G93-cfg_EOS_TH,0))</f>
        <v/>
      </c>
      <c r="K93" s="90" t="str">
        <f aca="false">IF($B93="","",I93+J93)</f>
        <v/>
      </c>
      <c r="L93" s="91" t="str">
        <f aca="false">IF($B93="","",IF(AND(الموظفون!$X93&lt;&gt;"",الموظفون!$X93&lt;=cfg_VAL_DATE),IF(الموظفون!$Y93="","⚠ حدد السبب",الموظفون!$Y93),"على رأس العمل"))</f>
        <v/>
      </c>
      <c r="M93" s="130" t="str">
        <f aca="false">IF($B93="","",VLOOKUP(G93,cfg_RES,2,TRUE()))</f>
        <v/>
      </c>
      <c r="N93" s="90" t="str">
        <f aca="false">IF($B93="","",K93*M93)</f>
        <v/>
      </c>
      <c r="O93" s="90" t="str">
        <f aca="false">IF($B93="","",IF(L93="استقالة",N93,K93))</f>
        <v/>
      </c>
      <c r="P93" s="90" t="str">
        <f aca="false">IF($B93="","",H93*(cfg_EOS_R1*MIN((MAX(0,IF(OR(الموظفون!$X93="",الموظفون!$X93&gt;=cfg_Y_START),cfg_Y_START-1,الموظفون!$X93)-D93+1)/cfg_DAYS_Y),cfg_EOS_TH)+cfg_EOS_R2*MAX((MAX(0,IF(OR(الموظفون!$X93="",الموظفون!$X93&gt;=cfg_Y_START),cfg_Y_START-1,الموظفون!$X93)-D93+1)/cfg_DAYS_Y)-cfg_EOS_TH,0)))</f>
        <v/>
      </c>
      <c r="Q93" s="90" t="str">
        <f aca="false">IF($B93="","",O93-P93)</f>
        <v/>
      </c>
      <c r="R93" s="90" t="str">
        <f aca="false">IF($B93="","",SUMIFS('الحركات الشهرية'!$N$6:$N$1005,'الحركات الشهرية'!$B$6:$B$1005,B93,'الحركات الشهرية'!$A$6:$A$1005,"&lt;="&amp;cfg_VAL_M))</f>
        <v/>
      </c>
      <c r="S93" s="131" t="str">
        <f aca="false">IF($B93="","",P93+Q93-R93)</f>
        <v/>
      </c>
      <c r="T93" s="91" t="str">
        <f aca="false">IF($B93="","",IF(S93&lt;-0.01,"✖ صرف أكثر من المستحق",IF(AND(L93&lt;&gt;"على رأس العمل",S93&gt;0.01),"⚠ مستحق لم يُصرف","✔ سليم")))</f>
        <v/>
      </c>
    </row>
    <row r="94" customFormat="false" ht="15" hidden="false" customHeight="false" outlineLevel="0" collapsed="false">
      <c r="B94" s="74" t="str">
        <f aca="false">IF(الموظفون!$B94="","",الموظفون!$B94)</f>
        <v/>
      </c>
      <c r="C94" s="74" t="str">
        <f aca="false">IF($B94="","",الموظفون!$C94)</f>
        <v/>
      </c>
      <c r="D94" s="127" t="str">
        <f aca="false">IF($B94="","",الموظفون!$H94)</f>
        <v/>
      </c>
      <c r="E94" s="127" t="str">
        <f aca="false">IF($B94="","",IF(OR(الموظفون!$X94="",الموظفون!$X94&gt;cfg_VAL_DATE),cfg_VAL_DATE,الموظفون!$X94))</f>
        <v/>
      </c>
      <c r="F94" s="74" t="str">
        <f aca="false">IF($B94="","",IF(E94&lt;D94,"لم يباشر",DATEDIF(D94,E94+1,"y")&amp;" سنة "&amp;DATEDIF(D94,E94+1,"ym")&amp;" شهر "&amp;DATEDIF(D94,E94+1,"md")&amp;" يوم"))</f>
        <v/>
      </c>
      <c r="G94" s="109" t="str">
        <f aca="false">IF($B94="","",MAX(0,E94-D94+1)/cfg_DAYS_Y)</f>
        <v/>
      </c>
      <c r="H94" s="86" t="str">
        <f aca="false">IF($B94="","",الموظفون!$O94)</f>
        <v/>
      </c>
      <c r="I94" s="86" t="str">
        <f aca="false">IF($B94="","",H94*cfg_EOS_R1*MIN(G94,cfg_EOS_TH))</f>
        <v/>
      </c>
      <c r="J94" s="86" t="str">
        <f aca="false">IF($B94="","",H94*cfg_EOS_R2*MAX(G94-cfg_EOS_TH,0))</f>
        <v/>
      </c>
      <c r="K94" s="86" t="str">
        <f aca="false">IF($B94="","",I94+J94)</f>
        <v/>
      </c>
      <c r="L94" s="74" t="str">
        <f aca="false">IF($B94="","",IF(AND(الموظفون!$X94&lt;&gt;"",الموظفون!$X94&lt;=cfg_VAL_DATE),IF(الموظفون!$Y94="","⚠ حدد السبب",الموظفون!$Y94),"على رأس العمل"))</f>
        <v/>
      </c>
      <c r="M94" s="52" t="str">
        <f aca="false">IF($B94="","",VLOOKUP(G94,cfg_RES,2,TRUE()))</f>
        <v/>
      </c>
      <c r="N94" s="86" t="str">
        <f aca="false">IF($B94="","",K94*M94)</f>
        <v/>
      </c>
      <c r="O94" s="86" t="str">
        <f aca="false">IF($B94="","",IF(L94="استقالة",N94,K94))</f>
        <v/>
      </c>
      <c r="P94" s="86" t="str">
        <f aca="false">IF($B94="","",H94*(cfg_EOS_R1*MIN((MAX(0,IF(OR(الموظفون!$X94="",الموظفون!$X94&gt;=cfg_Y_START),cfg_Y_START-1,الموظفون!$X94)-D94+1)/cfg_DAYS_Y),cfg_EOS_TH)+cfg_EOS_R2*MAX((MAX(0,IF(OR(الموظفون!$X94="",الموظفون!$X94&gt;=cfg_Y_START),cfg_Y_START-1,الموظفون!$X94)-D94+1)/cfg_DAYS_Y)-cfg_EOS_TH,0)))</f>
        <v/>
      </c>
      <c r="Q94" s="86" t="str">
        <f aca="false">IF($B94="","",O94-P94)</f>
        <v/>
      </c>
      <c r="R94" s="86" t="str">
        <f aca="false">IF($B94="","",SUMIFS('الحركات الشهرية'!$N$6:$N$1005,'الحركات الشهرية'!$B$6:$B$1005,B94,'الحركات الشهرية'!$A$6:$A$1005,"&lt;="&amp;cfg_VAL_M))</f>
        <v/>
      </c>
      <c r="S94" s="128" t="str">
        <f aca="false">IF($B94="","",P94+Q94-R94)</f>
        <v/>
      </c>
      <c r="T94" s="74" t="str">
        <f aca="false">IF($B94="","",IF(S94&lt;-0.01,"✖ صرف أكثر من المستحق",IF(AND(L94&lt;&gt;"على رأس العمل",S94&gt;0.01),"⚠ مستحق لم يُصرف","✔ سليم")))</f>
        <v/>
      </c>
    </row>
    <row r="95" customFormat="false" ht="15" hidden="false" customHeight="false" outlineLevel="0" collapsed="false">
      <c r="B95" s="91" t="str">
        <f aca="false">IF(الموظفون!$B95="","",الموظفون!$B95)</f>
        <v/>
      </c>
      <c r="C95" s="91" t="str">
        <f aca="false">IF($B95="","",الموظفون!$C95)</f>
        <v/>
      </c>
      <c r="D95" s="129" t="str">
        <f aca="false">IF($B95="","",الموظفون!$H95)</f>
        <v/>
      </c>
      <c r="E95" s="129" t="str">
        <f aca="false">IF($B95="","",IF(OR(الموظفون!$X95="",الموظفون!$X95&gt;cfg_VAL_DATE),cfg_VAL_DATE,الموظفون!$X95))</f>
        <v/>
      </c>
      <c r="F95" s="91" t="str">
        <f aca="false">IF($B95="","",IF(E95&lt;D95,"لم يباشر",DATEDIF(D95,E95+1,"y")&amp;" سنة "&amp;DATEDIF(D95,E95+1,"ym")&amp;" شهر "&amp;DATEDIF(D95,E95+1,"md")&amp;" يوم"))</f>
        <v/>
      </c>
      <c r="G95" s="114" t="str">
        <f aca="false">IF($B95="","",MAX(0,E95-D95+1)/cfg_DAYS_Y)</f>
        <v/>
      </c>
      <c r="H95" s="90" t="str">
        <f aca="false">IF($B95="","",الموظفون!$O95)</f>
        <v/>
      </c>
      <c r="I95" s="90" t="str">
        <f aca="false">IF($B95="","",H95*cfg_EOS_R1*MIN(G95,cfg_EOS_TH))</f>
        <v/>
      </c>
      <c r="J95" s="90" t="str">
        <f aca="false">IF($B95="","",H95*cfg_EOS_R2*MAX(G95-cfg_EOS_TH,0))</f>
        <v/>
      </c>
      <c r="K95" s="90" t="str">
        <f aca="false">IF($B95="","",I95+J95)</f>
        <v/>
      </c>
      <c r="L95" s="91" t="str">
        <f aca="false">IF($B95="","",IF(AND(الموظفون!$X95&lt;&gt;"",الموظفون!$X95&lt;=cfg_VAL_DATE),IF(الموظفون!$Y95="","⚠ حدد السبب",الموظفون!$Y95),"على رأس العمل"))</f>
        <v/>
      </c>
      <c r="M95" s="130" t="str">
        <f aca="false">IF($B95="","",VLOOKUP(G95,cfg_RES,2,TRUE()))</f>
        <v/>
      </c>
      <c r="N95" s="90" t="str">
        <f aca="false">IF($B95="","",K95*M95)</f>
        <v/>
      </c>
      <c r="O95" s="90" t="str">
        <f aca="false">IF($B95="","",IF(L95="استقالة",N95,K95))</f>
        <v/>
      </c>
      <c r="P95" s="90" t="str">
        <f aca="false">IF($B95="","",H95*(cfg_EOS_R1*MIN((MAX(0,IF(OR(الموظفون!$X95="",الموظفون!$X95&gt;=cfg_Y_START),cfg_Y_START-1,الموظفون!$X95)-D95+1)/cfg_DAYS_Y),cfg_EOS_TH)+cfg_EOS_R2*MAX((MAX(0,IF(OR(الموظفون!$X95="",الموظفون!$X95&gt;=cfg_Y_START),cfg_Y_START-1,الموظفون!$X95)-D95+1)/cfg_DAYS_Y)-cfg_EOS_TH,0)))</f>
        <v/>
      </c>
      <c r="Q95" s="90" t="str">
        <f aca="false">IF($B95="","",O95-P95)</f>
        <v/>
      </c>
      <c r="R95" s="90" t="str">
        <f aca="false">IF($B95="","",SUMIFS('الحركات الشهرية'!$N$6:$N$1005,'الحركات الشهرية'!$B$6:$B$1005,B95,'الحركات الشهرية'!$A$6:$A$1005,"&lt;="&amp;cfg_VAL_M))</f>
        <v/>
      </c>
      <c r="S95" s="131" t="str">
        <f aca="false">IF($B95="","",P95+Q95-R95)</f>
        <v/>
      </c>
      <c r="T95" s="91" t="str">
        <f aca="false">IF($B95="","",IF(S95&lt;-0.01,"✖ صرف أكثر من المستحق",IF(AND(L95&lt;&gt;"على رأس العمل",S95&gt;0.01),"⚠ مستحق لم يُصرف","✔ سليم")))</f>
        <v/>
      </c>
    </row>
    <row r="96" customFormat="false" ht="15" hidden="false" customHeight="false" outlineLevel="0" collapsed="false">
      <c r="B96" s="74" t="str">
        <f aca="false">IF(الموظفون!$B96="","",الموظفون!$B96)</f>
        <v/>
      </c>
      <c r="C96" s="74" t="str">
        <f aca="false">IF($B96="","",الموظفون!$C96)</f>
        <v/>
      </c>
      <c r="D96" s="127" t="str">
        <f aca="false">IF($B96="","",الموظفون!$H96)</f>
        <v/>
      </c>
      <c r="E96" s="127" t="str">
        <f aca="false">IF($B96="","",IF(OR(الموظفون!$X96="",الموظفون!$X96&gt;cfg_VAL_DATE),cfg_VAL_DATE,الموظفون!$X96))</f>
        <v/>
      </c>
      <c r="F96" s="74" t="str">
        <f aca="false">IF($B96="","",IF(E96&lt;D96,"لم يباشر",DATEDIF(D96,E96+1,"y")&amp;" سنة "&amp;DATEDIF(D96,E96+1,"ym")&amp;" شهر "&amp;DATEDIF(D96,E96+1,"md")&amp;" يوم"))</f>
        <v/>
      </c>
      <c r="G96" s="109" t="str">
        <f aca="false">IF($B96="","",MAX(0,E96-D96+1)/cfg_DAYS_Y)</f>
        <v/>
      </c>
      <c r="H96" s="86" t="str">
        <f aca="false">IF($B96="","",الموظفون!$O96)</f>
        <v/>
      </c>
      <c r="I96" s="86" t="str">
        <f aca="false">IF($B96="","",H96*cfg_EOS_R1*MIN(G96,cfg_EOS_TH))</f>
        <v/>
      </c>
      <c r="J96" s="86" t="str">
        <f aca="false">IF($B96="","",H96*cfg_EOS_R2*MAX(G96-cfg_EOS_TH,0))</f>
        <v/>
      </c>
      <c r="K96" s="86" t="str">
        <f aca="false">IF($B96="","",I96+J96)</f>
        <v/>
      </c>
      <c r="L96" s="74" t="str">
        <f aca="false">IF($B96="","",IF(AND(الموظفون!$X96&lt;&gt;"",الموظفون!$X96&lt;=cfg_VAL_DATE),IF(الموظفون!$Y96="","⚠ حدد السبب",الموظفون!$Y96),"على رأس العمل"))</f>
        <v/>
      </c>
      <c r="M96" s="52" t="str">
        <f aca="false">IF($B96="","",VLOOKUP(G96,cfg_RES,2,TRUE()))</f>
        <v/>
      </c>
      <c r="N96" s="86" t="str">
        <f aca="false">IF($B96="","",K96*M96)</f>
        <v/>
      </c>
      <c r="O96" s="86" t="str">
        <f aca="false">IF($B96="","",IF(L96="استقالة",N96,K96))</f>
        <v/>
      </c>
      <c r="P96" s="86" t="str">
        <f aca="false">IF($B96="","",H96*(cfg_EOS_R1*MIN((MAX(0,IF(OR(الموظفون!$X96="",الموظفون!$X96&gt;=cfg_Y_START),cfg_Y_START-1,الموظفون!$X96)-D96+1)/cfg_DAYS_Y),cfg_EOS_TH)+cfg_EOS_R2*MAX((MAX(0,IF(OR(الموظفون!$X96="",الموظفون!$X96&gt;=cfg_Y_START),cfg_Y_START-1,الموظفون!$X96)-D96+1)/cfg_DAYS_Y)-cfg_EOS_TH,0)))</f>
        <v/>
      </c>
      <c r="Q96" s="86" t="str">
        <f aca="false">IF($B96="","",O96-P96)</f>
        <v/>
      </c>
      <c r="R96" s="86" t="str">
        <f aca="false">IF($B96="","",SUMIFS('الحركات الشهرية'!$N$6:$N$1005,'الحركات الشهرية'!$B$6:$B$1005,B96,'الحركات الشهرية'!$A$6:$A$1005,"&lt;="&amp;cfg_VAL_M))</f>
        <v/>
      </c>
      <c r="S96" s="128" t="str">
        <f aca="false">IF($B96="","",P96+Q96-R96)</f>
        <v/>
      </c>
      <c r="T96" s="74" t="str">
        <f aca="false">IF($B96="","",IF(S96&lt;-0.01,"✖ صرف أكثر من المستحق",IF(AND(L96&lt;&gt;"على رأس العمل",S96&gt;0.01),"⚠ مستحق لم يُصرف","✔ سليم")))</f>
        <v/>
      </c>
    </row>
    <row r="97" customFormat="false" ht="15" hidden="false" customHeight="false" outlineLevel="0" collapsed="false">
      <c r="B97" s="91" t="str">
        <f aca="false">IF(الموظفون!$B97="","",الموظفون!$B97)</f>
        <v/>
      </c>
      <c r="C97" s="91" t="str">
        <f aca="false">IF($B97="","",الموظفون!$C97)</f>
        <v/>
      </c>
      <c r="D97" s="129" t="str">
        <f aca="false">IF($B97="","",الموظفون!$H97)</f>
        <v/>
      </c>
      <c r="E97" s="129" t="str">
        <f aca="false">IF($B97="","",IF(OR(الموظفون!$X97="",الموظفون!$X97&gt;cfg_VAL_DATE),cfg_VAL_DATE,الموظفون!$X97))</f>
        <v/>
      </c>
      <c r="F97" s="91" t="str">
        <f aca="false">IF($B97="","",IF(E97&lt;D97,"لم يباشر",DATEDIF(D97,E97+1,"y")&amp;" سنة "&amp;DATEDIF(D97,E97+1,"ym")&amp;" شهر "&amp;DATEDIF(D97,E97+1,"md")&amp;" يوم"))</f>
        <v/>
      </c>
      <c r="G97" s="114" t="str">
        <f aca="false">IF($B97="","",MAX(0,E97-D97+1)/cfg_DAYS_Y)</f>
        <v/>
      </c>
      <c r="H97" s="90" t="str">
        <f aca="false">IF($B97="","",الموظفون!$O97)</f>
        <v/>
      </c>
      <c r="I97" s="90" t="str">
        <f aca="false">IF($B97="","",H97*cfg_EOS_R1*MIN(G97,cfg_EOS_TH))</f>
        <v/>
      </c>
      <c r="J97" s="90" t="str">
        <f aca="false">IF($B97="","",H97*cfg_EOS_R2*MAX(G97-cfg_EOS_TH,0))</f>
        <v/>
      </c>
      <c r="K97" s="90" t="str">
        <f aca="false">IF($B97="","",I97+J97)</f>
        <v/>
      </c>
      <c r="L97" s="91" t="str">
        <f aca="false">IF($B97="","",IF(AND(الموظفون!$X97&lt;&gt;"",الموظفون!$X97&lt;=cfg_VAL_DATE),IF(الموظفون!$Y97="","⚠ حدد السبب",الموظفون!$Y97),"على رأس العمل"))</f>
        <v/>
      </c>
      <c r="M97" s="130" t="str">
        <f aca="false">IF($B97="","",VLOOKUP(G97,cfg_RES,2,TRUE()))</f>
        <v/>
      </c>
      <c r="N97" s="90" t="str">
        <f aca="false">IF($B97="","",K97*M97)</f>
        <v/>
      </c>
      <c r="O97" s="90" t="str">
        <f aca="false">IF($B97="","",IF(L97="استقالة",N97,K97))</f>
        <v/>
      </c>
      <c r="P97" s="90" t="str">
        <f aca="false">IF($B97="","",H97*(cfg_EOS_R1*MIN((MAX(0,IF(OR(الموظفون!$X97="",الموظفون!$X97&gt;=cfg_Y_START),cfg_Y_START-1,الموظفون!$X97)-D97+1)/cfg_DAYS_Y),cfg_EOS_TH)+cfg_EOS_R2*MAX((MAX(0,IF(OR(الموظفون!$X97="",الموظفون!$X97&gt;=cfg_Y_START),cfg_Y_START-1,الموظفون!$X97)-D97+1)/cfg_DAYS_Y)-cfg_EOS_TH,0)))</f>
        <v/>
      </c>
      <c r="Q97" s="90" t="str">
        <f aca="false">IF($B97="","",O97-P97)</f>
        <v/>
      </c>
      <c r="R97" s="90" t="str">
        <f aca="false">IF($B97="","",SUMIFS('الحركات الشهرية'!$N$6:$N$1005,'الحركات الشهرية'!$B$6:$B$1005,B97,'الحركات الشهرية'!$A$6:$A$1005,"&lt;="&amp;cfg_VAL_M))</f>
        <v/>
      </c>
      <c r="S97" s="131" t="str">
        <f aca="false">IF($B97="","",P97+Q97-R97)</f>
        <v/>
      </c>
      <c r="T97" s="91" t="str">
        <f aca="false">IF($B97="","",IF(S97&lt;-0.01,"✖ صرف أكثر من المستحق",IF(AND(L97&lt;&gt;"على رأس العمل",S97&gt;0.01),"⚠ مستحق لم يُصرف","✔ سليم")))</f>
        <v/>
      </c>
    </row>
    <row r="98" customFormat="false" ht="15" hidden="false" customHeight="false" outlineLevel="0" collapsed="false">
      <c r="B98" s="74" t="str">
        <f aca="false">IF(الموظفون!$B98="","",الموظفون!$B98)</f>
        <v/>
      </c>
      <c r="C98" s="74" t="str">
        <f aca="false">IF($B98="","",الموظفون!$C98)</f>
        <v/>
      </c>
      <c r="D98" s="127" t="str">
        <f aca="false">IF($B98="","",الموظفون!$H98)</f>
        <v/>
      </c>
      <c r="E98" s="127" t="str">
        <f aca="false">IF($B98="","",IF(OR(الموظفون!$X98="",الموظفون!$X98&gt;cfg_VAL_DATE),cfg_VAL_DATE,الموظفون!$X98))</f>
        <v/>
      </c>
      <c r="F98" s="74" t="str">
        <f aca="false">IF($B98="","",IF(E98&lt;D98,"لم يباشر",DATEDIF(D98,E98+1,"y")&amp;" سنة "&amp;DATEDIF(D98,E98+1,"ym")&amp;" شهر "&amp;DATEDIF(D98,E98+1,"md")&amp;" يوم"))</f>
        <v/>
      </c>
      <c r="G98" s="109" t="str">
        <f aca="false">IF($B98="","",MAX(0,E98-D98+1)/cfg_DAYS_Y)</f>
        <v/>
      </c>
      <c r="H98" s="86" t="str">
        <f aca="false">IF($B98="","",الموظفون!$O98)</f>
        <v/>
      </c>
      <c r="I98" s="86" t="str">
        <f aca="false">IF($B98="","",H98*cfg_EOS_R1*MIN(G98,cfg_EOS_TH))</f>
        <v/>
      </c>
      <c r="J98" s="86" t="str">
        <f aca="false">IF($B98="","",H98*cfg_EOS_R2*MAX(G98-cfg_EOS_TH,0))</f>
        <v/>
      </c>
      <c r="K98" s="86" t="str">
        <f aca="false">IF($B98="","",I98+J98)</f>
        <v/>
      </c>
      <c r="L98" s="74" t="str">
        <f aca="false">IF($B98="","",IF(AND(الموظفون!$X98&lt;&gt;"",الموظفون!$X98&lt;=cfg_VAL_DATE),IF(الموظفون!$Y98="","⚠ حدد السبب",الموظفون!$Y98),"على رأس العمل"))</f>
        <v/>
      </c>
      <c r="M98" s="52" t="str">
        <f aca="false">IF($B98="","",VLOOKUP(G98,cfg_RES,2,TRUE()))</f>
        <v/>
      </c>
      <c r="N98" s="86" t="str">
        <f aca="false">IF($B98="","",K98*M98)</f>
        <v/>
      </c>
      <c r="O98" s="86" t="str">
        <f aca="false">IF($B98="","",IF(L98="استقالة",N98,K98))</f>
        <v/>
      </c>
      <c r="P98" s="86" t="str">
        <f aca="false">IF($B98="","",H98*(cfg_EOS_R1*MIN((MAX(0,IF(OR(الموظفون!$X98="",الموظفون!$X98&gt;=cfg_Y_START),cfg_Y_START-1,الموظفون!$X98)-D98+1)/cfg_DAYS_Y),cfg_EOS_TH)+cfg_EOS_R2*MAX((MAX(0,IF(OR(الموظفون!$X98="",الموظفون!$X98&gt;=cfg_Y_START),cfg_Y_START-1,الموظفون!$X98)-D98+1)/cfg_DAYS_Y)-cfg_EOS_TH,0)))</f>
        <v/>
      </c>
      <c r="Q98" s="86" t="str">
        <f aca="false">IF($B98="","",O98-P98)</f>
        <v/>
      </c>
      <c r="R98" s="86" t="str">
        <f aca="false">IF($B98="","",SUMIFS('الحركات الشهرية'!$N$6:$N$1005,'الحركات الشهرية'!$B$6:$B$1005,B98,'الحركات الشهرية'!$A$6:$A$1005,"&lt;="&amp;cfg_VAL_M))</f>
        <v/>
      </c>
      <c r="S98" s="128" t="str">
        <f aca="false">IF($B98="","",P98+Q98-R98)</f>
        <v/>
      </c>
      <c r="T98" s="74" t="str">
        <f aca="false">IF($B98="","",IF(S98&lt;-0.01,"✖ صرف أكثر من المستحق",IF(AND(L98&lt;&gt;"على رأس العمل",S98&gt;0.01),"⚠ مستحق لم يُصرف","✔ سليم")))</f>
        <v/>
      </c>
    </row>
    <row r="99" customFormat="false" ht="15" hidden="false" customHeight="false" outlineLevel="0" collapsed="false">
      <c r="B99" s="91" t="str">
        <f aca="false">IF(الموظفون!$B99="","",الموظفون!$B99)</f>
        <v/>
      </c>
      <c r="C99" s="91" t="str">
        <f aca="false">IF($B99="","",الموظفون!$C99)</f>
        <v/>
      </c>
      <c r="D99" s="129" t="str">
        <f aca="false">IF($B99="","",الموظفون!$H99)</f>
        <v/>
      </c>
      <c r="E99" s="129" t="str">
        <f aca="false">IF($B99="","",IF(OR(الموظفون!$X99="",الموظفون!$X99&gt;cfg_VAL_DATE),cfg_VAL_DATE,الموظفون!$X99))</f>
        <v/>
      </c>
      <c r="F99" s="91" t="str">
        <f aca="false">IF($B99="","",IF(E99&lt;D99,"لم يباشر",DATEDIF(D99,E99+1,"y")&amp;" سنة "&amp;DATEDIF(D99,E99+1,"ym")&amp;" شهر "&amp;DATEDIF(D99,E99+1,"md")&amp;" يوم"))</f>
        <v/>
      </c>
      <c r="G99" s="114" t="str">
        <f aca="false">IF($B99="","",MAX(0,E99-D99+1)/cfg_DAYS_Y)</f>
        <v/>
      </c>
      <c r="H99" s="90" t="str">
        <f aca="false">IF($B99="","",الموظفون!$O99)</f>
        <v/>
      </c>
      <c r="I99" s="90" t="str">
        <f aca="false">IF($B99="","",H99*cfg_EOS_R1*MIN(G99,cfg_EOS_TH))</f>
        <v/>
      </c>
      <c r="J99" s="90" t="str">
        <f aca="false">IF($B99="","",H99*cfg_EOS_R2*MAX(G99-cfg_EOS_TH,0))</f>
        <v/>
      </c>
      <c r="K99" s="90" t="str">
        <f aca="false">IF($B99="","",I99+J99)</f>
        <v/>
      </c>
      <c r="L99" s="91" t="str">
        <f aca="false">IF($B99="","",IF(AND(الموظفون!$X99&lt;&gt;"",الموظفون!$X99&lt;=cfg_VAL_DATE),IF(الموظفون!$Y99="","⚠ حدد السبب",الموظفون!$Y99),"على رأس العمل"))</f>
        <v/>
      </c>
      <c r="M99" s="130" t="str">
        <f aca="false">IF($B99="","",VLOOKUP(G99,cfg_RES,2,TRUE()))</f>
        <v/>
      </c>
      <c r="N99" s="90" t="str">
        <f aca="false">IF($B99="","",K99*M99)</f>
        <v/>
      </c>
      <c r="O99" s="90" t="str">
        <f aca="false">IF($B99="","",IF(L99="استقالة",N99,K99))</f>
        <v/>
      </c>
      <c r="P99" s="90" t="str">
        <f aca="false">IF($B99="","",H99*(cfg_EOS_R1*MIN((MAX(0,IF(OR(الموظفون!$X99="",الموظفون!$X99&gt;=cfg_Y_START),cfg_Y_START-1,الموظفون!$X99)-D99+1)/cfg_DAYS_Y),cfg_EOS_TH)+cfg_EOS_R2*MAX((MAX(0,IF(OR(الموظفون!$X99="",الموظفون!$X99&gt;=cfg_Y_START),cfg_Y_START-1,الموظفون!$X99)-D99+1)/cfg_DAYS_Y)-cfg_EOS_TH,0)))</f>
        <v/>
      </c>
      <c r="Q99" s="90" t="str">
        <f aca="false">IF($B99="","",O99-P99)</f>
        <v/>
      </c>
      <c r="R99" s="90" t="str">
        <f aca="false">IF($B99="","",SUMIFS('الحركات الشهرية'!$N$6:$N$1005,'الحركات الشهرية'!$B$6:$B$1005,B99,'الحركات الشهرية'!$A$6:$A$1005,"&lt;="&amp;cfg_VAL_M))</f>
        <v/>
      </c>
      <c r="S99" s="131" t="str">
        <f aca="false">IF($B99="","",P99+Q99-R99)</f>
        <v/>
      </c>
      <c r="T99" s="91" t="str">
        <f aca="false">IF($B99="","",IF(S99&lt;-0.01,"✖ صرف أكثر من المستحق",IF(AND(L99&lt;&gt;"على رأس العمل",S99&gt;0.01),"⚠ مستحق لم يُصرف","✔ سليم")))</f>
        <v/>
      </c>
    </row>
    <row r="100" customFormat="false" ht="15" hidden="false" customHeight="false" outlineLevel="0" collapsed="false">
      <c r="B100" s="74" t="str">
        <f aca="false">IF(الموظفون!$B100="","",الموظفون!$B100)</f>
        <v/>
      </c>
      <c r="C100" s="74" t="str">
        <f aca="false">IF($B100="","",الموظفون!$C100)</f>
        <v/>
      </c>
      <c r="D100" s="127" t="str">
        <f aca="false">IF($B100="","",الموظفون!$H100)</f>
        <v/>
      </c>
      <c r="E100" s="127" t="str">
        <f aca="false">IF($B100="","",IF(OR(الموظفون!$X100="",الموظفون!$X100&gt;cfg_VAL_DATE),cfg_VAL_DATE,الموظفون!$X100))</f>
        <v/>
      </c>
      <c r="F100" s="74" t="str">
        <f aca="false">IF($B100="","",IF(E100&lt;D100,"لم يباشر",DATEDIF(D100,E100+1,"y")&amp;" سنة "&amp;DATEDIF(D100,E100+1,"ym")&amp;" شهر "&amp;DATEDIF(D100,E100+1,"md")&amp;" يوم"))</f>
        <v/>
      </c>
      <c r="G100" s="109" t="str">
        <f aca="false">IF($B100="","",MAX(0,E100-D100+1)/cfg_DAYS_Y)</f>
        <v/>
      </c>
      <c r="H100" s="86" t="str">
        <f aca="false">IF($B100="","",الموظفون!$O100)</f>
        <v/>
      </c>
      <c r="I100" s="86" t="str">
        <f aca="false">IF($B100="","",H100*cfg_EOS_R1*MIN(G100,cfg_EOS_TH))</f>
        <v/>
      </c>
      <c r="J100" s="86" t="str">
        <f aca="false">IF($B100="","",H100*cfg_EOS_R2*MAX(G100-cfg_EOS_TH,0))</f>
        <v/>
      </c>
      <c r="K100" s="86" t="str">
        <f aca="false">IF($B100="","",I100+J100)</f>
        <v/>
      </c>
      <c r="L100" s="74" t="str">
        <f aca="false">IF($B100="","",IF(AND(الموظفون!$X100&lt;&gt;"",الموظفون!$X100&lt;=cfg_VAL_DATE),IF(الموظفون!$Y100="","⚠ حدد السبب",الموظفون!$Y100),"على رأس العمل"))</f>
        <v/>
      </c>
      <c r="M100" s="52" t="str">
        <f aca="false">IF($B100="","",VLOOKUP(G100,cfg_RES,2,TRUE()))</f>
        <v/>
      </c>
      <c r="N100" s="86" t="str">
        <f aca="false">IF($B100="","",K100*M100)</f>
        <v/>
      </c>
      <c r="O100" s="86" t="str">
        <f aca="false">IF($B100="","",IF(L100="استقالة",N100,K100))</f>
        <v/>
      </c>
      <c r="P100" s="86" t="str">
        <f aca="false">IF($B100="","",H100*(cfg_EOS_R1*MIN((MAX(0,IF(OR(الموظفون!$X100="",الموظفون!$X100&gt;=cfg_Y_START),cfg_Y_START-1,الموظفون!$X100)-D100+1)/cfg_DAYS_Y),cfg_EOS_TH)+cfg_EOS_R2*MAX((MAX(0,IF(OR(الموظفون!$X100="",الموظفون!$X100&gt;=cfg_Y_START),cfg_Y_START-1,الموظفون!$X100)-D100+1)/cfg_DAYS_Y)-cfg_EOS_TH,0)))</f>
        <v/>
      </c>
      <c r="Q100" s="86" t="str">
        <f aca="false">IF($B100="","",O100-P100)</f>
        <v/>
      </c>
      <c r="R100" s="86" t="str">
        <f aca="false">IF($B100="","",SUMIFS('الحركات الشهرية'!$N$6:$N$1005,'الحركات الشهرية'!$B$6:$B$1005,B100,'الحركات الشهرية'!$A$6:$A$1005,"&lt;="&amp;cfg_VAL_M))</f>
        <v/>
      </c>
      <c r="S100" s="128" t="str">
        <f aca="false">IF($B100="","",P100+Q100-R100)</f>
        <v/>
      </c>
      <c r="T100" s="74" t="str">
        <f aca="false">IF($B100="","",IF(S100&lt;-0.01,"✖ صرف أكثر من المستحق",IF(AND(L100&lt;&gt;"على رأس العمل",S100&gt;0.01),"⚠ مستحق لم يُصرف","✔ سليم")))</f>
        <v/>
      </c>
    </row>
    <row r="101" customFormat="false" ht="15" hidden="false" customHeight="false" outlineLevel="0" collapsed="false">
      <c r="B101" s="91" t="str">
        <f aca="false">IF(الموظفون!$B101="","",الموظفون!$B101)</f>
        <v/>
      </c>
      <c r="C101" s="91" t="str">
        <f aca="false">IF($B101="","",الموظفون!$C101)</f>
        <v/>
      </c>
      <c r="D101" s="129" t="str">
        <f aca="false">IF($B101="","",الموظفون!$H101)</f>
        <v/>
      </c>
      <c r="E101" s="129" t="str">
        <f aca="false">IF($B101="","",IF(OR(الموظفون!$X101="",الموظفون!$X101&gt;cfg_VAL_DATE),cfg_VAL_DATE,الموظفون!$X101))</f>
        <v/>
      </c>
      <c r="F101" s="91" t="str">
        <f aca="false">IF($B101="","",IF(E101&lt;D101,"لم يباشر",DATEDIF(D101,E101+1,"y")&amp;" سنة "&amp;DATEDIF(D101,E101+1,"ym")&amp;" شهر "&amp;DATEDIF(D101,E101+1,"md")&amp;" يوم"))</f>
        <v/>
      </c>
      <c r="G101" s="114" t="str">
        <f aca="false">IF($B101="","",MAX(0,E101-D101+1)/cfg_DAYS_Y)</f>
        <v/>
      </c>
      <c r="H101" s="90" t="str">
        <f aca="false">IF($B101="","",الموظفون!$O101)</f>
        <v/>
      </c>
      <c r="I101" s="90" t="str">
        <f aca="false">IF($B101="","",H101*cfg_EOS_R1*MIN(G101,cfg_EOS_TH))</f>
        <v/>
      </c>
      <c r="J101" s="90" t="str">
        <f aca="false">IF($B101="","",H101*cfg_EOS_R2*MAX(G101-cfg_EOS_TH,0))</f>
        <v/>
      </c>
      <c r="K101" s="90" t="str">
        <f aca="false">IF($B101="","",I101+J101)</f>
        <v/>
      </c>
      <c r="L101" s="91" t="str">
        <f aca="false">IF($B101="","",IF(AND(الموظفون!$X101&lt;&gt;"",الموظفون!$X101&lt;=cfg_VAL_DATE),IF(الموظفون!$Y101="","⚠ حدد السبب",الموظفون!$Y101),"على رأس العمل"))</f>
        <v/>
      </c>
      <c r="M101" s="130" t="str">
        <f aca="false">IF($B101="","",VLOOKUP(G101,cfg_RES,2,TRUE()))</f>
        <v/>
      </c>
      <c r="N101" s="90" t="str">
        <f aca="false">IF($B101="","",K101*M101)</f>
        <v/>
      </c>
      <c r="O101" s="90" t="str">
        <f aca="false">IF($B101="","",IF(L101="استقالة",N101,K101))</f>
        <v/>
      </c>
      <c r="P101" s="90" t="str">
        <f aca="false">IF($B101="","",H101*(cfg_EOS_R1*MIN((MAX(0,IF(OR(الموظفون!$X101="",الموظفون!$X101&gt;=cfg_Y_START),cfg_Y_START-1,الموظفون!$X101)-D101+1)/cfg_DAYS_Y),cfg_EOS_TH)+cfg_EOS_R2*MAX((MAX(0,IF(OR(الموظفون!$X101="",الموظفون!$X101&gt;=cfg_Y_START),cfg_Y_START-1,الموظفون!$X101)-D101+1)/cfg_DAYS_Y)-cfg_EOS_TH,0)))</f>
        <v/>
      </c>
      <c r="Q101" s="90" t="str">
        <f aca="false">IF($B101="","",O101-P101)</f>
        <v/>
      </c>
      <c r="R101" s="90" t="str">
        <f aca="false">IF($B101="","",SUMIFS('الحركات الشهرية'!$N$6:$N$1005,'الحركات الشهرية'!$B$6:$B$1005,B101,'الحركات الشهرية'!$A$6:$A$1005,"&lt;="&amp;cfg_VAL_M))</f>
        <v/>
      </c>
      <c r="S101" s="131" t="str">
        <f aca="false">IF($B101="","",P101+Q101-R101)</f>
        <v/>
      </c>
      <c r="T101" s="91" t="str">
        <f aca="false">IF($B101="","",IF(S101&lt;-0.01,"✖ صرف أكثر من المستحق",IF(AND(L101&lt;&gt;"على رأس العمل",S101&gt;0.01),"⚠ مستحق لم يُصرف","✔ سليم")))</f>
        <v/>
      </c>
    </row>
    <row r="102" customFormat="false" ht="15" hidden="false" customHeight="false" outlineLevel="0" collapsed="false">
      <c r="B102" s="74" t="str">
        <f aca="false">IF(الموظفون!$B102="","",الموظفون!$B102)</f>
        <v/>
      </c>
      <c r="C102" s="74" t="str">
        <f aca="false">IF($B102="","",الموظفون!$C102)</f>
        <v/>
      </c>
      <c r="D102" s="127" t="str">
        <f aca="false">IF($B102="","",الموظفون!$H102)</f>
        <v/>
      </c>
      <c r="E102" s="127" t="str">
        <f aca="false">IF($B102="","",IF(OR(الموظفون!$X102="",الموظفون!$X102&gt;cfg_VAL_DATE),cfg_VAL_DATE,الموظفون!$X102))</f>
        <v/>
      </c>
      <c r="F102" s="74" t="str">
        <f aca="false">IF($B102="","",IF(E102&lt;D102,"لم يباشر",DATEDIF(D102,E102+1,"y")&amp;" سنة "&amp;DATEDIF(D102,E102+1,"ym")&amp;" شهر "&amp;DATEDIF(D102,E102+1,"md")&amp;" يوم"))</f>
        <v/>
      </c>
      <c r="G102" s="109" t="str">
        <f aca="false">IF($B102="","",MAX(0,E102-D102+1)/cfg_DAYS_Y)</f>
        <v/>
      </c>
      <c r="H102" s="86" t="str">
        <f aca="false">IF($B102="","",الموظفون!$O102)</f>
        <v/>
      </c>
      <c r="I102" s="86" t="str">
        <f aca="false">IF($B102="","",H102*cfg_EOS_R1*MIN(G102,cfg_EOS_TH))</f>
        <v/>
      </c>
      <c r="J102" s="86" t="str">
        <f aca="false">IF($B102="","",H102*cfg_EOS_R2*MAX(G102-cfg_EOS_TH,0))</f>
        <v/>
      </c>
      <c r="K102" s="86" t="str">
        <f aca="false">IF($B102="","",I102+J102)</f>
        <v/>
      </c>
      <c r="L102" s="74" t="str">
        <f aca="false">IF($B102="","",IF(AND(الموظفون!$X102&lt;&gt;"",الموظفون!$X102&lt;=cfg_VAL_DATE),IF(الموظفون!$Y102="","⚠ حدد السبب",الموظفون!$Y102),"على رأس العمل"))</f>
        <v/>
      </c>
      <c r="M102" s="52" t="str">
        <f aca="false">IF($B102="","",VLOOKUP(G102,cfg_RES,2,TRUE()))</f>
        <v/>
      </c>
      <c r="N102" s="86" t="str">
        <f aca="false">IF($B102="","",K102*M102)</f>
        <v/>
      </c>
      <c r="O102" s="86" t="str">
        <f aca="false">IF($B102="","",IF(L102="استقالة",N102,K102))</f>
        <v/>
      </c>
      <c r="P102" s="86" t="str">
        <f aca="false">IF($B102="","",H102*(cfg_EOS_R1*MIN((MAX(0,IF(OR(الموظفون!$X102="",الموظفون!$X102&gt;=cfg_Y_START),cfg_Y_START-1,الموظفون!$X102)-D102+1)/cfg_DAYS_Y),cfg_EOS_TH)+cfg_EOS_R2*MAX((MAX(0,IF(OR(الموظفون!$X102="",الموظفون!$X102&gt;=cfg_Y_START),cfg_Y_START-1,الموظفون!$X102)-D102+1)/cfg_DAYS_Y)-cfg_EOS_TH,0)))</f>
        <v/>
      </c>
      <c r="Q102" s="86" t="str">
        <f aca="false">IF($B102="","",O102-P102)</f>
        <v/>
      </c>
      <c r="R102" s="86" t="str">
        <f aca="false">IF($B102="","",SUMIFS('الحركات الشهرية'!$N$6:$N$1005,'الحركات الشهرية'!$B$6:$B$1005,B102,'الحركات الشهرية'!$A$6:$A$1005,"&lt;="&amp;cfg_VAL_M))</f>
        <v/>
      </c>
      <c r="S102" s="128" t="str">
        <f aca="false">IF($B102="","",P102+Q102-R102)</f>
        <v/>
      </c>
      <c r="T102" s="74" t="str">
        <f aca="false">IF($B102="","",IF(S102&lt;-0.01,"✖ صرف أكثر من المستحق",IF(AND(L102&lt;&gt;"على رأس العمل",S102&gt;0.01),"⚠ مستحق لم يُصرف","✔ سليم")))</f>
        <v/>
      </c>
    </row>
    <row r="103" customFormat="false" ht="15" hidden="false" customHeight="false" outlineLevel="0" collapsed="false">
      <c r="B103" s="91" t="str">
        <f aca="false">IF(الموظفون!$B103="","",الموظفون!$B103)</f>
        <v/>
      </c>
      <c r="C103" s="91" t="str">
        <f aca="false">IF($B103="","",الموظفون!$C103)</f>
        <v/>
      </c>
      <c r="D103" s="129" t="str">
        <f aca="false">IF($B103="","",الموظفون!$H103)</f>
        <v/>
      </c>
      <c r="E103" s="129" t="str">
        <f aca="false">IF($B103="","",IF(OR(الموظفون!$X103="",الموظفون!$X103&gt;cfg_VAL_DATE),cfg_VAL_DATE,الموظفون!$X103))</f>
        <v/>
      </c>
      <c r="F103" s="91" t="str">
        <f aca="false">IF($B103="","",IF(E103&lt;D103,"لم يباشر",DATEDIF(D103,E103+1,"y")&amp;" سنة "&amp;DATEDIF(D103,E103+1,"ym")&amp;" شهر "&amp;DATEDIF(D103,E103+1,"md")&amp;" يوم"))</f>
        <v/>
      </c>
      <c r="G103" s="114" t="str">
        <f aca="false">IF($B103="","",MAX(0,E103-D103+1)/cfg_DAYS_Y)</f>
        <v/>
      </c>
      <c r="H103" s="90" t="str">
        <f aca="false">IF($B103="","",الموظفون!$O103)</f>
        <v/>
      </c>
      <c r="I103" s="90" t="str">
        <f aca="false">IF($B103="","",H103*cfg_EOS_R1*MIN(G103,cfg_EOS_TH))</f>
        <v/>
      </c>
      <c r="J103" s="90" t="str">
        <f aca="false">IF($B103="","",H103*cfg_EOS_R2*MAX(G103-cfg_EOS_TH,0))</f>
        <v/>
      </c>
      <c r="K103" s="90" t="str">
        <f aca="false">IF($B103="","",I103+J103)</f>
        <v/>
      </c>
      <c r="L103" s="91" t="str">
        <f aca="false">IF($B103="","",IF(AND(الموظفون!$X103&lt;&gt;"",الموظفون!$X103&lt;=cfg_VAL_DATE),IF(الموظفون!$Y103="","⚠ حدد السبب",الموظفون!$Y103),"على رأس العمل"))</f>
        <v/>
      </c>
      <c r="M103" s="130" t="str">
        <f aca="false">IF($B103="","",VLOOKUP(G103,cfg_RES,2,TRUE()))</f>
        <v/>
      </c>
      <c r="N103" s="90" t="str">
        <f aca="false">IF($B103="","",K103*M103)</f>
        <v/>
      </c>
      <c r="O103" s="90" t="str">
        <f aca="false">IF($B103="","",IF(L103="استقالة",N103,K103))</f>
        <v/>
      </c>
      <c r="P103" s="90" t="str">
        <f aca="false">IF($B103="","",H103*(cfg_EOS_R1*MIN((MAX(0,IF(OR(الموظفون!$X103="",الموظفون!$X103&gt;=cfg_Y_START),cfg_Y_START-1,الموظفون!$X103)-D103+1)/cfg_DAYS_Y),cfg_EOS_TH)+cfg_EOS_R2*MAX((MAX(0,IF(OR(الموظفون!$X103="",الموظفون!$X103&gt;=cfg_Y_START),cfg_Y_START-1,الموظفون!$X103)-D103+1)/cfg_DAYS_Y)-cfg_EOS_TH,0)))</f>
        <v/>
      </c>
      <c r="Q103" s="90" t="str">
        <f aca="false">IF($B103="","",O103-P103)</f>
        <v/>
      </c>
      <c r="R103" s="90" t="str">
        <f aca="false">IF($B103="","",SUMIFS('الحركات الشهرية'!$N$6:$N$1005,'الحركات الشهرية'!$B$6:$B$1005,B103,'الحركات الشهرية'!$A$6:$A$1005,"&lt;="&amp;cfg_VAL_M))</f>
        <v/>
      </c>
      <c r="S103" s="131" t="str">
        <f aca="false">IF($B103="","",P103+Q103-R103)</f>
        <v/>
      </c>
      <c r="T103" s="91" t="str">
        <f aca="false">IF($B103="","",IF(S103&lt;-0.01,"✖ صرف أكثر من المستحق",IF(AND(L103&lt;&gt;"على رأس العمل",S103&gt;0.01),"⚠ مستحق لم يُصرف","✔ سليم")))</f>
        <v/>
      </c>
    </row>
    <row r="104" customFormat="false" ht="15" hidden="false" customHeight="false" outlineLevel="0" collapsed="false">
      <c r="B104" s="74" t="str">
        <f aca="false">IF(الموظفون!$B104="","",الموظفون!$B104)</f>
        <v/>
      </c>
      <c r="C104" s="74" t="str">
        <f aca="false">IF($B104="","",الموظفون!$C104)</f>
        <v/>
      </c>
      <c r="D104" s="127" t="str">
        <f aca="false">IF($B104="","",الموظفون!$H104)</f>
        <v/>
      </c>
      <c r="E104" s="127" t="str">
        <f aca="false">IF($B104="","",IF(OR(الموظفون!$X104="",الموظفون!$X104&gt;cfg_VAL_DATE),cfg_VAL_DATE,الموظفون!$X104))</f>
        <v/>
      </c>
      <c r="F104" s="74" t="str">
        <f aca="false">IF($B104="","",IF(E104&lt;D104,"لم يباشر",DATEDIF(D104,E104+1,"y")&amp;" سنة "&amp;DATEDIF(D104,E104+1,"ym")&amp;" شهر "&amp;DATEDIF(D104,E104+1,"md")&amp;" يوم"))</f>
        <v/>
      </c>
      <c r="G104" s="109" t="str">
        <f aca="false">IF($B104="","",MAX(0,E104-D104+1)/cfg_DAYS_Y)</f>
        <v/>
      </c>
      <c r="H104" s="86" t="str">
        <f aca="false">IF($B104="","",الموظفون!$O104)</f>
        <v/>
      </c>
      <c r="I104" s="86" t="str">
        <f aca="false">IF($B104="","",H104*cfg_EOS_R1*MIN(G104,cfg_EOS_TH))</f>
        <v/>
      </c>
      <c r="J104" s="86" t="str">
        <f aca="false">IF($B104="","",H104*cfg_EOS_R2*MAX(G104-cfg_EOS_TH,0))</f>
        <v/>
      </c>
      <c r="K104" s="86" t="str">
        <f aca="false">IF($B104="","",I104+J104)</f>
        <v/>
      </c>
      <c r="L104" s="74" t="str">
        <f aca="false">IF($B104="","",IF(AND(الموظفون!$X104&lt;&gt;"",الموظفون!$X104&lt;=cfg_VAL_DATE),IF(الموظفون!$Y104="","⚠ حدد السبب",الموظفون!$Y104),"على رأس العمل"))</f>
        <v/>
      </c>
      <c r="M104" s="52" t="str">
        <f aca="false">IF($B104="","",VLOOKUP(G104,cfg_RES,2,TRUE()))</f>
        <v/>
      </c>
      <c r="N104" s="86" t="str">
        <f aca="false">IF($B104="","",K104*M104)</f>
        <v/>
      </c>
      <c r="O104" s="86" t="str">
        <f aca="false">IF($B104="","",IF(L104="استقالة",N104,K104))</f>
        <v/>
      </c>
      <c r="P104" s="86" t="str">
        <f aca="false">IF($B104="","",H104*(cfg_EOS_R1*MIN((MAX(0,IF(OR(الموظفون!$X104="",الموظفون!$X104&gt;=cfg_Y_START),cfg_Y_START-1,الموظفون!$X104)-D104+1)/cfg_DAYS_Y),cfg_EOS_TH)+cfg_EOS_R2*MAX((MAX(0,IF(OR(الموظفون!$X104="",الموظفون!$X104&gt;=cfg_Y_START),cfg_Y_START-1,الموظفون!$X104)-D104+1)/cfg_DAYS_Y)-cfg_EOS_TH,0)))</f>
        <v/>
      </c>
      <c r="Q104" s="86" t="str">
        <f aca="false">IF($B104="","",O104-P104)</f>
        <v/>
      </c>
      <c r="R104" s="86" t="str">
        <f aca="false">IF($B104="","",SUMIFS('الحركات الشهرية'!$N$6:$N$1005,'الحركات الشهرية'!$B$6:$B$1005,B104,'الحركات الشهرية'!$A$6:$A$1005,"&lt;="&amp;cfg_VAL_M))</f>
        <v/>
      </c>
      <c r="S104" s="128" t="str">
        <f aca="false">IF($B104="","",P104+Q104-R104)</f>
        <v/>
      </c>
      <c r="T104" s="74" t="str">
        <f aca="false">IF($B104="","",IF(S104&lt;-0.01,"✖ صرف أكثر من المستحق",IF(AND(L104&lt;&gt;"على رأس العمل",S104&gt;0.01),"⚠ مستحق لم يُصرف","✔ سليم")))</f>
        <v/>
      </c>
    </row>
    <row r="105" customFormat="false" ht="15" hidden="false" customHeight="false" outlineLevel="0" collapsed="false">
      <c r="B105" s="91" t="str">
        <f aca="false">IF(الموظفون!$B105="","",الموظفون!$B105)</f>
        <v/>
      </c>
      <c r="C105" s="91" t="str">
        <f aca="false">IF($B105="","",الموظفون!$C105)</f>
        <v/>
      </c>
      <c r="D105" s="129" t="str">
        <f aca="false">IF($B105="","",الموظفون!$H105)</f>
        <v/>
      </c>
      <c r="E105" s="129" t="str">
        <f aca="false">IF($B105="","",IF(OR(الموظفون!$X105="",الموظفون!$X105&gt;cfg_VAL_DATE),cfg_VAL_DATE,الموظفون!$X105))</f>
        <v/>
      </c>
      <c r="F105" s="91" t="str">
        <f aca="false">IF($B105="","",IF(E105&lt;D105,"لم يباشر",DATEDIF(D105,E105+1,"y")&amp;" سنة "&amp;DATEDIF(D105,E105+1,"ym")&amp;" شهر "&amp;DATEDIF(D105,E105+1,"md")&amp;" يوم"))</f>
        <v/>
      </c>
      <c r="G105" s="114" t="str">
        <f aca="false">IF($B105="","",MAX(0,E105-D105+1)/cfg_DAYS_Y)</f>
        <v/>
      </c>
      <c r="H105" s="90" t="str">
        <f aca="false">IF($B105="","",الموظفون!$O105)</f>
        <v/>
      </c>
      <c r="I105" s="90" t="str">
        <f aca="false">IF($B105="","",H105*cfg_EOS_R1*MIN(G105,cfg_EOS_TH))</f>
        <v/>
      </c>
      <c r="J105" s="90" t="str">
        <f aca="false">IF($B105="","",H105*cfg_EOS_R2*MAX(G105-cfg_EOS_TH,0))</f>
        <v/>
      </c>
      <c r="K105" s="90" t="str">
        <f aca="false">IF($B105="","",I105+J105)</f>
        <v/>
      </c>
      <c r="L105" s="91" t="str">
        <f aca="false">IF($B105="","",IF(AND(الموظفون!$X105&lt;&gt;"",الموظفون!$X105&lt;=cfg_VAL_DATE),IF(الموظفون!$Y105="","⚠ حدد السبب",الموظفون!$Y105),"على رأس العمل"))</f>
        <v/>
      </c>
      <c r="M105" s="130" t="str">
        <f aca="false">IF($B105="","",VLOOKUP(G105,cfg_RES,2,TRUE()))</f>
        <v/>
      </c>
      <c r="N105" s="90" t="str">
        <f aca="false">IF($B105="","",K105*M105)</f>
        <v/>
      </c>
      <c r="O105" s="90" t="str">
        <f aca="false">IF($B105="","",IF(L105="استقالة",N105,K105))</f>
        <v/>
      </c>
      <c r="P105" s="90" t="str">
        <f aca="false">IF($B105="","",H105*(cfg_EOS_R1*MIN((MAX(0,IF(OR(الموظفون!$X105="",الموظفون!$X105&gt;=cfg_Y_START),cfg_Y_START-1,الموظفون!$X105)-D105+1)/cfg_DAYS_Y),cfg_EOS_TH)+cfg_EOS_R2*MAX((MAX(0,IF(OR(الموظفون!$X105="",الموظفون!$X105&gt;=cfg_Y_START),cfg_Y_START-1,الموظفون!$X105)-D105+1)/cfg_DAYS_Y)-cfg_EOS_TH,0)))</f>
        <v/>
      </c>
      <c r="Q105" s="90" t="str">
        <f aca="false">IF($B105="","",O105-P105)</f>
        <v/>
      </c>
      <c r="R105" s="90" t="str">
        <f aca="false">IF($B105="","",SUMIFS('الحركات الشهرية'!$N$6:$N$1005,'الحركات الشهرية'!$B$6:$B$1005,B105,'الحركات الشهرية'!$A$6:$A$1005,"&lt;="&amp;cfg_VAL_M))</f>
        <v/>
      </c>
      <c r="S105" s="131" t="str">
        <f aca="false">IF($B105="","",P105+Q105-R105)</f>
        <v/>
      </c>
      <c r="T105" s="91" t="str">
        <f aca="false">IF($B105="","",IF(S105&lt;-0.01,"✖ صرف أكثر من المستحق",IF(AND(L105&lt;&gt;"على رأس العمل",S105&gt;0.01),"⚠ مستحق لم يُصرف","✔ سليم")))</f>
        <v/>
      </c>
    </row>
    <row r="106" customFormat="false" ht="24" hidden="false" customHeight="true" outlineLevel="0" collapsed="false">
      <c r="B106" s="92"/>
      <c r="C106" s="92" t="s">
        <v>101</v>
      </c>
      <c r="D106" s="92"/>
      <c r="E106" s="92"/>
      <c r="F106" s="92"/>
      <c r="G106" s="92"/>
      <c r="H106" s="92"/>
      <c r="I106" s="92" t="n">
        <f aca="false">SUM(I6:I105)</f>
        <v>436621.438356164</v>
      </c>
      <c r="J106" s="92" t="n">
        <f aca="false">SUM(J6:J105)</f>
        <v>758019.452054795</v>
      </c>
      <c r="K106" s="92" t="n">
        <f aca="false">SUM(K6:K105)</f>
        <v>1194640.89041096</v>
      </c>
      <c r="L106" s="92"/>
      <c r="M106" s="92"/>
      <c r="N106" s="92" t="n">
        <f aca="false">SUM(N6:N105)</f>
        <v>1022719.00684932</v>
      </c>
      <c r="O106" s="92" t="n">
        <f aca="false">SUM(O6:O105)</f>
        <v>1183751.50684932</v>
      </c>
      <c r="P106" s="92" t="n">
        <f aca="false">SUM(P6:P105)</f>
        <v>1069951.74657534</v>
      </c>
      <c r="Q106" s="92" t="n">
        <f aca="false">SUM(Q6:Q105)</f>
        <v>113799.760273973</v>
      </c>
      <c r="R106" s="92" t="n">
        <f aca="false">SUM(R6:R105)</f>
        <v>21778.7671232877</v>
      </c>
      <c r="S106" s="92" t="n">
        <f aca="false">SUM(S6:S105)</f>
        <v>1161972.73972603</v>
      </c>
      <c r="T106" s="92"/>
    </row>
    <row r="107" customFormat="false" ht="43.5" hidden="false" customHeight="true" outlineLevel="0" collapsed="false">
      <c r="B107" s="21" t="s">
        <v>384</v>
      </c>
      <c r="C107" s="21"/>
      <c r="D107" s="21"/>
      <c r="E107" s="21"/>
      <c r="F107" s="21"/>
      <c r="G107" s="21"/>
      <c r="H107" s="21"/>
      <c r="I107" s="21"/>
      <c r="J107" s="21"/>
      <c r="K107" s="21"/>
      <c r="L107" s="21"/>
      <c r="M107" s="21"/>
      <c r="N107" s="21"/>
      <c r="O107" s="21"/>
      <c r="P107" s="21"/>
      <c r="Q107" s="21"/>
      <c r="R107" s="21"/>
      <c r="S107" s="21"/>
      <c r="T107" s="21"/>
    </row>
  </sheetData>
  <mergeCells count="3">
    <mergeCell ref="B1:T1"/>
    <mergeCell ref="B2:T2"/>
    <mergeCell ref="B107:T107"/>
  </mergeCells>
  <conditionalFormatting sqref="T6:T105">
    <cfRule type="expression" priority="2" aboveAverage="0" equalAverage="0" bottom="0" percent="0" rank="0" text="" dxfId="0">
      <formula>ISNUMBER(SEARCH("✔",T6))</formula>
    </cfRule>
    <cfRule type="expression" priority="3" aboveAverage="0" equalAverage="0" bottom="0" percent="0" rank="0" text="" dxfId="1">
      <formula>ISNUMBER(SEARCH("✖",T6))</formula>
    </cfRule>
    <cfRule type="expression" priority="4" aboveAverage="0" equalAverage="0" bottom="0" percent="0" rank="0" text="" dxfId="2">
      <formula>ISNUMBER(SEARCH("⚠",T6))</formula>
    </cfRule>
  </conditionalFormatting>
  <hyperlinks>
    <hyperlink ref="B3" location="'الرئيسية'!A1" display="🏠 الرئيسية"/>
    <hyperlink ref="C3" location="'لوحة التحكم'!A1" display="📊 لوحة التحكم"/>
    <hyperlink ref="D3" location="'الإعدادات'!A1" display="⚙ الإعدادات"/>
    <hyperlink ref="E3" location="'الموظفون'!A1" display="👥 الموظفون"/>
    <hyperlink ref="F3" location="'الحركات الشهرية'!A1" display="✍ الحركات"/>
    <hyperlink ref="G3" location="'الملخص الشهري'!A1" display="📅 الملخص الشهري"/>
    <hyperlink ref="H3" location="'قيود الرواتب'!A1" display="🧾 القيود"/>
    <hyperlink ref="I3" location="'قسيمة الراتب'!A1" display="💳 القسيمة"/>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true"/>
  </sheetPr>
  <dimension ref="B1:S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9"/>
    <col collapsed="false" customWidth="true" hidden="false" outlineLevel="0" max="3" min="3" style="0" width="24"/>
    <col collapsed="false" customWidth="true" hidden="false" outlineLevel="0" max="4" min="4" style="0" width="12"/>
    <col collapsed="false" customWidth="true" hidden="false" outlineLevel="0" max="5" min="5" style="0" width="9"/>
    <col collapsed="false" customWidth="true" hidden="false" outlineLevel="0" max="6" min="6" style="0" width="10"/>
    <col collapsed="false" customWidth="true" hidden="false" outlineLevel="0" max="7" min="7" style="0" width="11"/>
    <col collapsed="false" customWidth="true" hidden="false" outlineLevel="0" max="8" min="8" style="0" width="10"/>
    <col collapsed="false" customWidth="true" hidden="false" outlineLevel="0" max="10" min="9" style="0" width="12"/>
    <col collapsed="false" customWidth="true" hidden="false" outlineLevel="0" max="14" min="11" style="0" width="10"/>
    <col collapsed="false" customWidth="true" hidden="false" outlineLevel="0" max="15" min="15" style="0" width="11"/>
    <col collapsed="false" customWidth="true" hidden="false" outlineLevel="0" max="16" min="16" style="0" width="14"/>
    <col collapsed="false" customWidth="true" hidden="false" outlineLevel="0" max="18" min="17" style="0" width="13"/>
    <col collapsed="false" customWidth="true" hidden="false" outlineLevel="0" max="19" min="19" style="0" width="18"/>
  </cols>
  <sheetData>
    <row r="1" customFormat="false" ht="37.5" hidden="false" customHeight="true" outlineLevel="0" collapsed="false">
      <c r="B1" s="1" t="str">
        <f aca="false">"🌴 مخصص الإجازات السنوية كما في "&amp;TEXT(cfg_VAL_DATE,"yyyy/mm/dd")</f>
        <v>🌴 مخصص الإجازات السنوية كما في 2026/09/30</v>
      </c>
      <c r="C1" s="1"/>
      <c r="D1" s="1"/>
      <c r="E1" s="1"/>
      <c r="F1" s="1"/>
      <c r="G1" s="1"/>
      <c r="H1" s="1"/>
      <c r="I1" s="1"/>
      <c r="J1" s="1"/>
      <c r="K1" s="1"/>
      <c r="L1" s="1"/>
      <c r="M1" s="1"/>
      <c r="N1" s="1"/>
      <c r="O1" s="1"/>
      <c r="P1" s="1"/>
      <c r="Q1" s="1"/>
      <c r="R1" s="1"/>
      <c r="S1" s="1"/>
    </row>
    <row r="2" customFormat="false" ht="19.5" hidden="false" customHeight="true" outlineLevel="0" collapsed="false">
      <c r="B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C2" s="2"/>
      <c r="D2" s="2"/>
      <c r="E2" s="2"/>
      <c r="F2" s="2"/>
      <c r="G2" s="2"/>
      <c r="H2" s="2"/>
      <c r="I2" s="2"/>
      <c r="J2" s="2"/>
      <c r="K2" s="2"/>
      <c r="L2" s="2"/>
      <c r="M2" s="2"/>
      <c r="N2" s="2"/>
      <c r="O2" s="2"/>
      <c r="P2" s="2"/>
      <c r="Q2" s="2"/>
      <c r="R2" s="2"/>
      <c r="S2" s="2"/>
    </row>
    <row r="3" customFormat="false" ht="25.5" hidden="false" customHeight="true" outlineLevel="0" collapsed="false">
      <c r="B3" s="22" t="s">
        <v>61</v>
      </c>
      <c r="C3" s="12" t="s">
        <v>111</v>
      </c>
      <c r="D3" s="23" t="s">
        <v>62</v>
      </c>
      <c r="E3" s="23" t="s">
        <v>63</v>
      </c>
      <c r="F3" s="23" t="s">
        <v>64</v>
      </c>
      <c r="G3" s="23" t="s">
        <v>39</v>
      </c>
      <c r="H3" s="23" t="s">
        <v>65</v>
      </c>
      <c r="I3" s="23" t="s">
        <v>66</v>
      </c>
    </row>
    <row r="4" customFormat="false" ht="7.5" hidden="false" customHeight="true" outlineLevel="0" collapsed="false"/>
    <row r="5" customFormat="false" ht="51.75" hidden="false" customHeight="true" outlineLevel="0" collapsed="false">
      <c r="B5" s="49" t="s">
        <v>363</v>
      </c>
      <c r="C5" s="49" t="s">
        <v>209</v>
      </c>
      <c r="D5" s="49" t="s">
        <v>212</v>
      </c>
      <c r="E5" s="49" t="s">
        <v>370</v>
      </c>
      <c r="F5" s="49" t="s">
        <v>385</v>
      </c>
      <c r="G5" s="49" t="s">
        <v>386</v>
      </c>
      <c r="H5" s="49" t="s">
        <v>387</v>
      </c>
      <c r="I5" s="49" t="s">
        <v>388</v>
      </c>
      <c r="J5" s="49" t="s">
        <v>389</v>
      </c>
      <c r="K5" s="49" t="s">
        <v>390</v>
      </c>
      <c r="L5" s="49" t="s">
        <v>391</v>
      </c>
      <c r="M5" s="49" t="s">
        <v>392</v>
      </c>
      <c r="N5" s="49" t="s">
        <v>393</v>
      </c>
      <c r="O5" s="49" t="s">
        <v>394</v>
      </c>
      <c r="P5" s="49" t="s">
        <v>395</v>
      </c>
      <c r="Q5" s="49" t="s">
        <v>396</v>
      </c>
      <c r="R5" s="49" t="s">
        <v>397</v>
      </c>
      <c r="S5" s="49" t="s">
        <v>383</v>
      </c>
    </row>
    <row r="6" customFormat="false" ht="15" hidden="false" customHeight="false" outlineLevel="0" collapsed="false">
      <c r="B6" s="74" t="str">
        <f aca="false">IF(الموظفون!$B6="","",الموظفون!$B6)</f>
        <v>E001</v>
      </c>
      <c r="C6" s="74" t="str">
        <f aca="false">IF($B6="","",الموظفون!$C6)</f>
        <v>عبدالله محمد العتيبي</v>
      </c>
      <c r="D6" s="127" t="n">
        <f aca="false">IF($B6="","",الموظفون!$H6)</f>
        <v>40923</v>
      </c>
      <c r="E6" s="132" t="n">
        <f aca="false">IF($B6="","",MAX(0,J6-D6+1)/cfg_DAYS_Y)</f>
        <v>14.7205479452055</v>
      </c>
      <c r="F6" s="51" t="n">
        <f aca="false">IF($B6="","",IF(الموظفون!$R6&lt;&gt;"",الموظفون!$R6,IF(E6&gt;=cfg_LV_TH,cfg_LV_D2,cfg_LV_D1)))</f>
        <v>30</v>
      </c>
      <c r="G6" s="86" t="n">
        <f aca="false">IF($B6="","",الموظفون!$P6/cfg_DAYS_M)</f>
        <v>1260</v>
      </c>
      <c r="H6" s="105" t="n">
        <f aca="false">IF($B6="","",N(الموظفون!$V6))</f>
        <v>18</v>
      </c>
      <c r="I6" s="127" t="n">
        <f aca="false">IF($B6="","",MAX(cfg_Y_START,D6))</f>
        <v>46023</v>
      </c>
      <c r="J6" s="127" t="n">
        <f aca="false">IF($B6="","",IF(OR(الموظفون!$X6="",الموظفون!$X6&gt;cfg_VAL_DATE),cfg_VAL_DATE,الموظفون!$X6))</f>
        <v>46295</v>
      </c>
      <c r="K6" s="51" t="n">
        <f aca="false">IF($B6="","",MAX(0,J6-I6+1))</f>
        <v>273</v>
      </c>
      <c r="L6" s="105" t="n">
        <f aca="false">IF($B6="","",F6/cfg_DAYS_Y*K6)</f>
        <v>22.4383561643836</v>
      </c>
      <c r="M6" s="105" t="n">
        <f aca="false">IF($B6="","",SUMIFS('الحركات الشهرية'!$K$6:$K$1005,'الحركات الشهرية'!$B$6:$B$1005,B6,'الحركات الشهرية'!$A$6:$A$1005,"&lt;="&amp;cfg_VAL_M))</f>
        <v>10</v>
      </c>
      <c r="N6" s="105" t="n">
        <f aca="false">IF($B6="","",SUMIFS('الحركات الشهرية'!$L$6:$L$1005,'الحركات الشهرية'!$B$6:$B$1005,B6,'الحركات الشهرية'!$A$6:$A$1005,"&lt;="&amp;cfg_VAL_M))</f>
        <v>0</v>
      </c>
      <c r="O6" s="105" t="n">
        <f aca="false">IF($B6="","",H6+L6-M6-N6)</f>
        <v>30.4383561643836</v>
      </c>
      <c r="P6" s="107" t="n">
        <f aca="false">IF($B6="","",O6*G6)</f>
        <v>38352.3287671233</v>
      </c>
      <c r="Q6" s="86" t="n">
        <f aca="false">IF($B6="","",H6*G6)</f>
        <v>22680</v>
      </c>
      <c r="R6" s="86" t="n">
        <f aca="false">IF($B6="","",(M6+N6)*G6)</f>
        <v>12600</v>
      </c>
      <c r="S6" s="74" t="str">
        <f aca="false">IF($B6="","",IF(O6&lt;-0.01,"✖ رصيد سالب",IF(O6&gt;F6*2,"⚠ رصيد مرتفع (أكثر من سنتين)",IF(AND(الموظفون!$X6&lt;&gt;"",الموظفون!$X6&lt;=cfg_VAL_DATE,O6&gt;0.01),"⚠ منتهي الخدمة برصيد","✔ سليم"))))</f>
        <v>✔ سليم</v>
      </c>
    </row>
    <row r="7" customFormat="false" ht="15" hidden="false" customHeight="false" outlineLevel="0" collapsed="false">
      <c r="B7" s="91" t="str">
        <f aca="false">IF(الموظفون!$B7="","",الموظفون!$B7)</f>
        <v>E002</v>
      </c>
      <c r="C7" s="91" t="str">
        <f aca="false">IF($B7="","",الموظفون!$C7)</f>
        <v>أحمد سعيد القحطاني</v>
      </c>
      <c r="D7" s="129" t="n">
        <f aca="false">IF($B7="","",الموظفون!$H7)</f>
        <v>42522</v>
      </c>
      <c r="E7" s="133" t="n">
        <f aca="false">IF($B7="","",MAX(0,J7-D7+1)/cfg_DAYS_Y)</f>
        <v>10.3397260273973</v>
      </c>
      <c r="F7" s="115" t="n">
        <f aca="false">IF($B7="","",IF(الموظفون!$R7&lt;&gt;"",الموظفون!$R7,IF(E7&gt;=cfg_LV_TH,cfg_LV_D2,cfg_LV_D1)))</f>
        <v>30</v>
      </c>
      <c r="G7" s="90" t="n">
        <f aca="false">IF($B7="","",الموظفون!$P7/cfg_DAYS_M)</f>
        <v>810</v>
      </c>
      <c r="H7" s="110" t="n">
        <f aca="false">IF($B7="","",N(الموظفون!$V7))</f>
        <v>12</v>
      </c>
      <c r="I7" s="129" t="n">
        <f aca="false">IF($B7="","",MAX(cfg_Y_START,D7))</f>
        <v>46023</v>
      </c>
      <c r="J7" s="129" t="n">
        <f aca="false">IF($B7="","",IF(OR(الموظفون!$X7="",الموظفون!$X7&gt;cfg_VAL_DATE),cfg_VAL_DATE,الموظفون!$X7))</f>
        <v>46295</v>
      </c>
      <c r="K7" s="115" t="n">
        <f aca="false">IF($B7="","",MAX(0,J7-I7+1))</f>
        <v>273</v>
      </c>
      <c r="L7" s="110" t="n">
        <f aca="false">IF($B7="","",F7/cfg_DAYS_Y*K7)</f>
        <v>22.4383561643836</v>
      </c>
      <c r="M7" s="110" t="n">
        <f aca="false">IF($B7="","",SUMIFS('الحركات الشهرية'!$K$6:$K$1005,'الحركات الشهرية'!$B$6:$B$1005,B7,'الحركات الشهرية'!$A$6:$A$1005,"&lt;="&amp;cfg_VAL_M))</f>
        <v>20</v>
      </c>
      <c r="N7" s="110" t="n">
        <f aca="false">IF($B7="","",SUMIFS('الحركات الشهرية'!$L$6:$L$1005,'الحركات الشهرية'!$B$6:$B$1005,B7,'الحركات الشهرية'!$A$6:$A$1005,"&lt;="&amp;cfg_VAL_M))</f>
        <v>0</v>
      </c>
      <c r="O7" s="110" t="n">
        <f aca="false">IF($B7="","",H7+L7-M7-N7)</f>
        <v>14.4383561643836</v>
      </c>
      <c r="P7" s="112" t="n">
        <f aca="false">IF($B7="","",O7*G7)</f>
        <v>11695.0684931507</v>
      </c>
      <c r="Q7" s="90" t="n">
        <f aca="false">IF($B7="","",H7*G7)</f>
        <v>9720</v>
      </c>
      <c r="R7" s="90" t="n">
        <f aca="false">IF($B7="","",(M7+N7)*G7)</f>
        <v>16200</v>
      </c>
      <c r="S7" s="91" t="str">
        <f aca="false">IF($B7="","",IF(O7&lt;-0.01,"✖ رصيد سالب",IF(O7&gt;F7*2,"⚠ رصيد مرتفع (أكثر من سنتين)",IF(AND(الموظفون!$X7&lt;&gt;"",الموظفون!$X7&lt;=cfg_VAL_DATE,O7&gt;0.01),"⚠ منتهي الخدمة برصيد","✔ سليم"))))</f>
        <v>✔ سليم</v>
      </c>
    </row>
    <row r="8" customFormat="false" ht="15" hidden="false" customHeight="false" outlineLevel="0" collapsed="false">
      <c r="B8" s="74" t="str">
        <f aca="false">IF(الموظفون!$B8="","",الموظفون!$B8)</f>
        <v>E003</v>
      </c>
      <c r="C8" s="74" t="str">
        <f aca="false">IF($B8="","",الموظفون!$C8)</f>
        <v>محمد علي حسن</v>
      </c>
      <c r="D8" s="127" t="n">
        <f aca="false">IF($B8="","",الموظفون!$H8)</f>
        <v>43353</v>
      </c>
      <c r="E8" s="132" t="n">
        <f aca="false">IF($B8="","",MAX(0,J8-D8+1)/cfg_DAYS_Y)</f>
        <v>8.06301369863014</v>
      </c>
      <c r="F8" s="51" t="n">
        <f aca="false">IF($B8="","",IF(الموظفون!$R8&lt;&gt;"",الموظفون!$R8,IF(E8&gt;=cfg_LV_TH,cfg_LV_D2,cfg_LV_D1)))</f>
        <v>30</v>
      </c>
      <c r="G8" s="86" t="n">
        <f aca="false">IF($B8="","",الموظفون!$P8/cfg_DAYS_M)</f>
        <v>382.5</v>
      </c>
      <c r="H8" s="105" t="n">
        <f aca="false">IF($B8="","",N(الموظفون!$V8))</f>
        <v>20</v>
      </c>
      <c r="I8" s="127" t="n">
        <f aca="false">IF($B8="","",MAX(cfg_Y_START,D8))</f>
        <v>46023</v>
      </c>
      <c r="J8" s="127" t="n">
        <f aca="false">IF($B8="","",IF(OR(الموظفون!$X8="",الموظفون!$X8&gt;cfg_VAL_DATE),cfg_VAL_DATE,الموظفون!$X8))</f>
        <v>46295</v>
      </c>
      <c r="K8" s="51" t="n">
        <f aca="false">IF($B8="","",MAX(0,J8-I8+1))</f>
        <v>273</v>
      </c>
      <c r="L8" s="105" t="n">
        <f aca="false">IF($B8="","",F8/cfg_DAYS_Y*K8)</f>
        <v>22.4383561643836</v>
      </c>
      <c r="M8" s="105" t="n">
        <f aca="false">IF($B8="","",SUMIFS('الحركات الشهرية'!$K$6:$K$1005,'الحركات الشهرية'!$B$6:$B$1005,B8,'الحركات الشهرية'!$A$6:$A$1005,"&lt;="&amp;cfg_VAL_M))</f>
        <v>0</v>
      </c>
      <c r="N8" s="105" t="n">
        <f aca="false">IF($B8="","",SUMIFS('الحركات الشهرية'!$L$6:$L$1005,'الحركات الشهرية'!$B$6:$B$1005,B8,'الحركات الشهرية'!$A$6:$A$1005,"&lt;="&amp;cfg_VAL_M))</f>
        <v>0</v>
      </c>
      <c r="O8" s="105" t="n">
        <f aca="false">IF($B8="","",H8+L8-M8-N8)</f>
        <v>42.4383561643836</v>
      </c>
      <c r="P8" s="107" t="n">
        <f aca="false">IF($B8="","",O8*G8)</f>
        <v>16232.6712328767</v>
      </c>
      <c r="Q8" s="86" t="n">
        <f aca="false">IF($B8="","",H8*G8)</f>
        <v>7650</v>
      </c>
      <c r="R8" s="86" t="n">
        <f aca="false">IF($B8="","",(M8+N8)*G8)</f>
        <v>0</v>
      </c>
      <c r="S8" s="74" t="str">
        <f aca="false">IF($B8="","",IF(O8&lt;-0.01,"✖ رصيد سالب",IF(O8&gt;F8*2,"⚠ رصيد مرتفع (أكثر من سنتين)",IF(AND(الموظفون!$X8&lt;&gt;"",الموظفون!$X8&lt;=cfg_VAL_DATE,O8&gt;0.01),"⚠ منتهي الخدمة برصيد","✔ سليم"))))</f>
        <v>✔ سليم</v>
      </c>
    </row>
    <row r="9" customFormat="false" ht="15" hidden="false" customHeight="false" outlineLevel="0" collapsed="false">
      <c r="B9" s="91" t="str">
        <f aca="false">IF(الموظفون!$B9="","",الموظفون!$B9)</f>
        <v>E004</v>
      </c>
      <c r="C9" s="91" t="str">
        <f aca="false">IF($B9="","",الموظفون!$C9)</f>
        <v>نورة خالد الدوسري</v>
      </c>
      <c r="D9" s="129" t="n">
        <f aca="false">IF($B9="","",الموظفون!$H9)</f>
        <v>43497</v>
      </c>
      <c r="E9" s="133" t="n">
        <f aca="false">IF($B9="","",MAX(0,J9-D9+1)/cfg_DAYS_Y)</f>
        <v>7.66849315068493</v>
      </c>
      <c r="F9" s="115" t="n">
        <f aca="false">IF($B9="","",IF(الموظفون!$R9&lt;&gt;"",الموظفون!$R9,IF(E9&gt;=cfg_LV_TH,cfg_LV_D2,cfg_LV_D1)))</f>
        <v>30</v>
      </c>
      <c r="G9" s="90" t="n">
        <f aca="false">IF($B9="","",الموظفون!$P9/cfg_DAYS_M)</f>
        <v>630</v>
      </c>
      <c r="H9" s="110" t="n">
        <f aca="false">IF($B9="","",N(الموظفون!$V9))</f>
        <v>9</v>
      </c>
      <c r="I9" s="129" t="n">
        <f aca="false">IF($B9="","",MAX(cfg_Y_START,D9))</f>
        <v>46023</v>
      </c>
      <c r="J9" s="129" t="n">
        <f aca="false">IF($B9="","",IF(OR(الموظفون!$X9="",الموظفون!$X9&gt;cfg_VAL_DATE),cfg_VAL_DATE,الموظفون!$X9))</f>
        <v>46295</v>
      </c>
      <c r="K9" s="115" t="n">
        <f aca="false">IF($B9="","",MAX(0,J9-I9+1))</f>
        <v>273</v>
      </c>
      <c r="L9" s="110" t="n">
        <f aca="false">IF($B9="","",F9/cfg_DAYS_Y*K9)</f>
        <v>22.4383561643836</v>
      </c>
      <c r="M9" s="110" t="n">
        <f aca="false">IF($B9="","",SUMIFS('الحركات الشهرية'!$K$6:$K$1005,'الحركات الشهرية'!$B$6:$B$1005,B9,'الحركات الشهرية'!$A$6:$A$1005,"&lt;="&amp;cfg_VAL_M))</f>
        <v>15</v>
      </c>
      <c r="N9" s="110" t="n">
        <f aca="false">IF($B9="","",SUMIFS('الحركات الشهرية'!$L$6:$L$1005,'الحركات الشهرية'!$B$6:$B$1005,B9,'الحركات الشهرية'!$A$6:$A$1005,"&lt;="&amp;cfg_VAL_M))</f>
        <v>0</v>
      </c>
      <c r="O9" s="110" t="n">
        <f aca="false">IF($B9="","",H9+L9-M9-N9)</f>
        <v>16.4383561643836</v>
      </c>
      <c r="P9" s="112" t="n">
        <f aca="false">IF($B9="","",O9*G9)</f>
        <v>10356.1643835616</v>
      </c>
      <c r="Q9" s="90" t="n">
        <f aca="false">IF($B9="","",H9*G9)</f>
        <v>5670</v>
      </c>
      <c r="R9" s="90" t="n">
        <f aca="false">IF($B9="","",(M9+N9)*G9)</f>
        <v>9450</v>
      </c>
      <c r="S9" s="91" t="str">
        <f aca="false">IF($B9="","",IF(O9&lt;-0.01,"✖ رصيد سالب",IF(O9&gt;F9*2,"⚠ رصيد مرتفع (أكثر من سنتين)",IF(AND(الموظفون!$X9&lt;&gt;"",الموظفون!$X9&lt;=cfg_VAL_DATE,O9&gt;0.01),"⚠ منتهي الخدمة برصيد","✔ سليم"))))</f>
        <v>✔ سليم</v>
      </c>
    </row>
    <row r="10" customFormat="false" ht="15" hidden="false" customHeight="false" outlineLevel="0" collapsed="false">
      <c r="B10" s="74" t="str">
        <f aca="false">IF(الموظفون!$B10="","",الموظفون!$B10)</f>
        <v>E005</v>
      </c>
      <c r="C10" s="74" t="str">
        <f aca="false">IF($B10="","",الموظفون!$C10)</f>
        <v>راجيش كومار</v>
      </c>
      <c r="D10" s="127" t="n">
        <f aca="false">IF($B10="","",الموظفون!$H10)</f>
        <v>43933</v>
      </c>
      <c r="E10" s="132" t="n">
        <f aca="false">IF($B10="","",MAX(0,J10-D10+1)/cfg_DAYS_Y)</f>
        <v>6.47397260273973</v>
      </c>
      <c r="F10" s="51" t="n">
        <f aca="false">IF($B10="","",IF(الموظفون!$R10&lt;&gt;"",الموظفون!$R10,IF(E10&gt;=cfg_LV_TH,cfg_LV_D2,cfg_LV_D1)))</f>
        <v>30</v>
      </c>
      <c r="G10" s="86" t="n">
        <f aca="false">IF($B10="","",الموظفون!$P10/cfg_DAYS_M)</f>
        <v>405</v>
      </c>
      <c r="H10" s="105" t="n">
        <f aca="false">IF($B10="","",N(الموظفون!$V10))</f>
        <v>14</v>
      </c>
      <c r="I10" s="127" t="n">
        <f aca="false">IF($B10="","",MAX(cfg_Y_START,D10))</f>
        <v>46023</v>
      </c>
      <c r="J10" s="127" t="n">
        <f aca="false">IF($B10="","",IF(OR(الموظفون!$X10="",الموظفون!$X10&gt;cfg_VAL_DATE),cfg_VAL_DATE,الموظفون!$X10))</f>
        <v>46295</v>
      </c>
      <c r="K10" s="51" t="n">
        <f aca="false">IF($B10="","",MAX(0,J10-I10+1))</f>
        <v>273</v>
      </c>
      <c r="L10" s="105" t="n">
        <f aca="false">IF($B10="","",F10/cfg_DAYS_Y*K10)</f>
        <v>22.4383561643836</v>
      </c>
      <c r="M10" s="105" t="n">
        <f aca="false">IF($B10="","",SUMIFS('الحركات الشهرية'!$K$6:$K$1005,'الحركات الشهرية'!$B$6:$B$1005,B10,'الحركات الشهرية'!$A$6:$A$1005,"&lt;="&amp;cfg_VAL_M))</f>
        <v>21</v>
      </c>
      <c r="N10" s="105" t="n">
        <f aca="false">IF($B10="","",SUMIFS('الحركات الشهرية'!$L$6:$L$1005,'الحركات الشهرية'!$B$6:$B$1005,B10,'الحركات الشهرية'!$A$6:$A$1005,"&lt;="&amp;cfg_VAL_M))</f>
        <v>0</v>
      </c>
      <c r="O10" s="105" t="n">
        <f aca="false">IF($B10="","",H10+L10-M10-N10)</f>
        <v>15.4383561643836</v>
      </c>
      <c r="P10" s="107" t="n">
        <f aca="false">IF($B10="","",O10*G10)</f>
        <v>6252.53424657534</v>
      </c>
      <c r="Q10" s="86" t="n">
        <f aca="false">IF($B10="","",H10*G10)</f>
        <v>5670</v>
      </c>
      <c r="R10" s="86" t="n">
        <f aca="false">IF($B10="","",(M10+N10)*G10)</f>
        <v>8505</v>
      </c>
      <c r="S10" s="74" t="str">
        <f aca="false">IF($B10="","",IF(O10&lt;-0.01,"✖ رصيد سالب",IF(O10&gt;F10*2,"⚠ رصيد مرتفع (أكثر من سنتين)",IF(AND(الموظفون!$X10&lt;&gt;"",الموظفون!$X10&lt;=cfg_VAL_DATE,O10&gt;0.01),"⚠ منتهي الخدمة برصيد","✔ سليم"))))</f>
        <v>✔ سليم</v>
      </c>
    </row>
    <row r="11" customFormat="false" ht="15" hidden="false" customHeight="false" outlineLevel="0" collapsed="false">
      <c r="B11" s="91" t="str">
        <f aca="false">IF(الموظفون!$B11="","",الموظفون!$B11)</f>
        <v>E006</v>
      </c>
      <c r="C11" s="91" t="str">
        <f aca="false">IF($B11="","",الموظفون!$C11)</f>
        <v>فهد ناصر الشمري</v>
      </c>
      <c r="D11" s="129" t="n">
        <f aca="false">IF($B11="","",الموظفون!$H11)</f>
        <v>43044</v>
      </c>
      <c r="E11" s="133" t="n">
        <f aca="false">IF($B11="","",MAX(0,J11-D11+1)/cfg_DAYS_Y)</f>
        <v>8.90958904109589</v>
      </c>
      <c r="F11" s="115" t="n">
        <f aca="false">IF($B11="","",IF(الموظفون!$R11&lt;&gt;"",الموظفون!$R11,IF(E11&gt;=cfg_LV_TH,cfg_LV_D2,cfg_LV_D1)))</f>
        <v>30</v>
      </c>
      <c r="G11" s="90" t="n">
        <f aca="false">IF($B11="","",الموظفون!$P11/cfg_DAYS_M)</f>
        <v>585</v>
      </c>
      <c r="H11" s="110" t="n">
        <f aca="false">IF($B11="","",N(الموظفون!$V11))</f>
        <v>25</v>
      </c>
      <c r="I11" s="129" t="n">
        <f aca="false">IF($B11="","",MAX(cfg_Y_START,D11))</f>
        <v>46023</v>
      </c>
      <c r="J11" s="129" t="n">
        <f aca="false">IF($B11="","",IF(OR(الموظفون!$X11="",الموظفون!$X11&gt;cfg_VAL_DATE),cfg_VAL_DATE,الموظفون!$X11))</f>
        <v>46295</v>
      </c>
      <c r="K11" s="115" t="n">
        <f aca="false">IF($B11="","",MAX(0,J11-I11+1))</f>
        <v>273</v>
      </c>
      <c r="L11" s="110" t="n">
        <f aca="false">IF($B11="","",F11/cfg_DAYS_Y*K11)</f>
        <v>22.4383561643836</v>
      </c>
      <c r="M11" s="110" t="n">
        <f aca="false">IF($B11="","",SUMIFS('الحركات الشهرية'!$K$6:$K$1005,'الحركات الشهرية'!$B$6:$B$1005,B11,'الحركات الشهرية'!$A$6:$A$1005,"&lt;="&amp;cfg_VAL_M))</f>
        <v>0</v>
      </c>
      <c r="N11" s="110" t="n">
        <f aca="false">IF($B11="","",SUMIFS('الحركات الشهرية'!$L$6:$L$1005,'الحركات الشهرية'!$B$6:$B$1005,B11,'الحركات الشهرية'!$A$6:$A$1005,"&lt;="&amp;cfg_VAL_M))</f>
        <v>0</v>
      </c>
      <c r="O11" s="110" t="n">
        <f aca="false">IF($B11="","",H11+L11-M11-N11)</f>
        <v>47.4383561643836</v>
      </c>
      <c r="P11" s="112" t="n">
        <f aca="false">IF($B11="","",O11*G11)</f>
        <v>27751.4383561644</v>
      </c>
      <c r="Q11" s="90" t="n">
        <f aca="false">IF($B11="","",H11*G11)</f>
        <v>14625</v>
      </c>
      <c r="R11" s="90" t="n">
        <f aca="false">IF($B11="","",(M11+N11)*G11)</f>
        <v>0</v>
      </c>
      <c r="S11" s="91" t="str">
        <f aca="false">IF($B11="","",IF(O11&lt;-0.01,"✖ رصيد سالب",IF(O11&gt;F11*2,"⚠ رصيد مرتفع (أكثر من سنتين)",IF(AND(الموظفون!$X11&lt;&gt;"",الموظفون!$X11&lt;=cfg_VAL_DATE,O11&gt;0.01),"⚠ منتهي الخدمة برصيد","✔ سليم"))))</f>
        <v>✔ سليم</v>
      </c>
    </row>
    <row r="12" customFormat="false" ht="15" hidden="false" customHeight="false" outlineLevel="0" collapsed="false">
      <c r="B12" s="74" t="str">
        <f aca="false">IF(الموظفون!$B12="","",الموظفون!$B12)</f>
        <v>E007</v>
      </c>
      <c r="C12" s="74" t="str">
        <f aca="false">IF($B12="","",الموظفون!$C12)</f>
        <v>خالد يوسف الأحمد</v>
      </c>
      <c r="D12" s="127" t="n">
        <f aca="false">IF($B12="","",الموظفون!$H12)</f>
        <v>44216</v>
      </c>
      <c r="E12" s="132" t="n">
        <f aca="false">IF($B12="","",MAX(0,J12-D12+1)/cfg_DAYS_Y)</f>
        <v>5.6986301369863</v>
      </c>
      <c r="F12" s="51" t="n">
        <f aca="false">IF($B12="","",IF(الموظفون!$R12&lt;&gt;"",الموظفون!$R12,IF(E12&gt;=cfg_LV_TH,cfg_LV_D2,cfg_LV_D1)))</f>
        <v>30</v>
      </c>
      <c r="G12" s="86" t="n">
        <f aca="false">IF($B12="","",الموظفون!$P12/cfg_DAYS_M)</f>
        <v>495</v>
      </c>
      <c r="H12" s="105" t="n">
        <f aca="false">IF($B12="","",N(الموظفون!$V12))</f>
        <v>16</v>
      </c>
      <c r="I12" s="127" t="n">
        <f aca="false">IF($B12="","",MAX(cfg_Y_START,D12))</f>
        <v>46023</v>
      </c>
      <c r="J12" s="127" t="n">
        <f aca="false">IF($B12="","",IF(OR(الموظفون!$X12="",الموظفون!$X12&gt;cfg_VAL_DATE),cfg_VAL_DATE,الموظفون!$X12))</f>
        <v>46295</v>
      </c>
      <c r="K12" s="51" t="n">
        <f aca="false">IF($B12="","",MAX(0,J12-I12+1))</f>
        <v>273</v>
      </c>
      <c r="L12" s="105" t="n">
        <f aca="false">IF($B12="","",F12/cfg_DAYS_Y*K12)</f>
        <v>22.4383561643836</v>
      </c>
      <c r="M12" s="105" t="n">
        <f aca="false">IF($B12="","",SUMIFS('الحركات الشهرية'!$K$6:$K$1005,'الحركات الشهرية'!$B$6:$B$1005,B12,'الحركات الشهرية'!$A$6:$A$1005,"&lt;="&amp;cfg_VAL_M))</f>
        <v>21</v>
      </c>
      <c r="N12" s="105" t="n">
        <f aca="false">IF($B12="","",SUMIFS('الحركات الشهرية'!$L$6:$L$1005,'الحركات الشهرية'!$B$6:$B$1005,B12,'الحركات الشهرية'!$A$6:$A$1005,"&lt;="&amp;cfg_VAL_M))</f>
        <v>0</v>
      </c>
      <c r="O12" s="105" t="n">
        <f aca="false">IF($B12="","",H12+L12-M12-N12)</f>
        <v>17.4383561643836</v>
      </c>
      <c r="P12" s="107" t="n">
        <f aca="false">IF($B12="","",O12*G12)</f>
        <v>8631.98630136986</v>
      </c>
      <c r="Q12" s="86" t="n">
        <f aca="false">IF($B12="","",H12*G12)</f>
        <v>7920</v>
      </c>
      <c r="R12" s="86" t="n">
        <f aca="false">IF($B12="","",(M12+N12)*G12)</f>
        <v>10395</v>
      </c>
      <c r="S12" s="74" t="str">
        <f aca="false">IF($B12="","",IF(O12&lt;-0.01,"✖ رصيد سالب",IF(O12&gt;F12*2,"⚠ رصيد مرتفع (أكثر من سنتين)",IF(AND(الموظفون!$X12&lt;&gt;"",الموظفون!$X12&lt;=cfg_VAL_DATE,O12&gt;0.01),"⚠ منتهي الخدمة برصيد","✔ سليم"))))</f>
        <v>✔ سليم</v>
      </c>
    </row>
    <row r="13" customFormat="false" ht="15" hidden="false" customHeight="false" outlineLevel="0" collapsed="false">
      <c r="B13" s="91" t="str">
        <f aca="false">IF(الموظفون!$B13="","",الموظفون!$B13)</f>
        <v>E008</v>
      </c>
      <c r="C13" s="91" t="str">
        <f aca="false">IF($B13="","",الموظفون!$C13)</f>
        <v>سارة عبدالرحمن الزهراني</v>
      </c>
      <c r="D13" s="129" t="n">
        <f aca="false">IF($B13="","",الموظفون!$H13)</f>
        <v>44986</v>
      </c>
      <c r="E13" s="133" t="n">
        <f aca="false">IF($B13="","",MAX(0,J13-D13+1)/cfg_DAYS_Y)</f>
        <v>3.58904109589041</v>
      </c>
      <c r="F13" s="115" t="n">
        <f aca="false">IF($B13="","",IF(الموظفون!$R13&lt;&gt;"",الموظفون!$R13,IF(E13&gt;=cfg_LV_TH,cfg_LV_D2,cfg_LV_D1)))</f>
        <v>21</v>
      </c>
      <c r="G13" s="90" t="n">
        <f aca="false">IF($B13="","",الموظفون!$P13/cfg_DAYS_M)</f>
        <v>337.5</v>
      </c>
      <c r="H13" s="110" t="n">
        <f aca="false">IF($B13="","",N(الموظفون!$V13))</f>
        <v>6</v>
      </c>
      <c r="I13" s="129" t="n">
        <f aca="false">IF($B13="","",MAX(cfg_Y_START,D13))</f>
        <v>46023</v>
      </c>
      <c r="J13" s="129" t="n">
        <f aca="false">IF($B13="","",IF(OR(الموظفون!$X13="",الموظفون!$X13&gt;cfg_VAL_DATE),cfg_VAL_DATE,الموظفون!$X13))</f>
        <v>46295</v>
      </c>
      <c r="K13" s="115" t="n">
        <f aca="false">IF($B13="","",MAX(0,J13-I13+1))</f>
        <v>273</v>
      </c>
      <c r="L13" s="110" t="n">
        <f aca="false">IF($B13="","",F13/cfg_DAYS_Y*K13)</f>
        <v>15.7068493150685</v>
      </c>
      <c r="M13" s="110" t="n">
        <f aca="false">IF($B13="","",SUMIFS('الحركات الشهرية'!$K$6:$K$1005,'الحركات الشهرية'!$B$6:$B$1005,B13,'الحركات الشهرية'!$A$6:$A$1005,"&lt;="&amp;cfg_VAL_M))</f>
        <v>0</v>
      </c>
      <c r="N13" s="110" t="n">
        <f aca="false">IF($B13="","",SUMIFS('الحركات الشهرية'!$L$6:$L$1005,'الحركات الشهرية'!$B$6:$B$1005,B13,'الحركات الشهرية'!$A$6:$A$1005,"&lt;="&amp;cfg_VAL_M))</f>
        <v>0</v>
      </c>
      <c r="O13" s="110" t="n">
        <f aca="false">IF($B13="","",H13+L13-M13-N13)</f>
        <v>21.7068493150685</v>
      </c>
      <c r="P13" s="112" t="n">
        <f aca="false">IF($B13="","",O13*G13)</f>
        <v>7326.06164383562</v>
      </c>
      <c r="Q13" s="90" t="n">
        <f aca="false">IF($B13="","",H13*G13)</f>
        <v>2025</v>
      </c>
      <c r="R13" s="90" t="n">
        <f aca="false">IF($B13="","",(M13+N13)*G13)</f>
        <v>0</v>
      </c>
      <c r="S13" s="91" t="str">
        <f aca="false">IF($B13="","",IF(O13&lt;-0.01,"✖ رصيد سالب",IF(O13&gt;F13*2,"⚠ رصيد مرتفع (أكثر من سنتين)",IF(AND(الموظفون!$X13&lt;&gt;"",الموظفون!$X13&lt;=cfg_VAL_DATE,O13&gt;0.01),"⚠ منتهي الخدمة برصيد","✔ سليم"))))</f>
        <v>✔ سليم</v>
      </c>
    </row>
    <row r="14" customFormat="false" ht="15" hidden="false" customHeight="false" outlineLevel="0" collapsed="false">
      <c r="B14" s="74" t="str">
        <f aca="false">IF(الموظفون!$B14="","",الموظفون!$B14)</f>
        <v>E009</v>
      </c>
      <c r="C14" s="74" t="str">
        <f aca="false">IF($B14="","",الموظفون!$C14)</f>
        <v>محمد رفيق</v>
      </c>
      <c r="D14" s="127" t="n">
        <f aca="false">IF($B14="","",الموظفون!$H14)</f>
        <v>41869</v>
      </c>
      <c r="E14" s="132" t="n">
        <f aca="false">IF($B14="","",MAX(0,J14-D14+1)/cfg_DAYS_Y)</f>
        <v>12.1287671232877</v>
      </c>
      <c r="F14" s="51" t="n">
        <f aca="false">IF($B14="","",IF(الموظفون!$R14&lt;&gt;"",الموظفون!$R14,IF(E14&gt;=cfg_LV_TH,cfg_LV_D2,cfg_LV_D1)))</f>
        <v>30</v>
      </c>
      <c r="G14" s="86" t="n">
        <f aca="false">IF($B14="","",الموظفون!$P14/cfg_DAYS_M)</f>
        <v>292.5</v>
      </c>
      <c r="H14" s="105" t="n">
        <f aca="false">IF($B14="","",N(الموظفون!$V14))</f>
        <v>35</v>
      </c>
      <c r="I14" s="127" t="n">
        <f aca="false">IF($B14="","",MAX(cfg_Y_START,D14))</f>
        <v>46023</v>
      </c>
      <c r="J14" s="127" t="n">
        <f aca="false">IF($B14="","",IF(OR(الموظفون!$X14="",الموظفون!$X14&gt;cfg_VAL_DATE),cfg_VAL_DATE,الموظفون!$X14))</f>
        <v>46295</v>
      </c>
      <c r="K14" s="51" t="n">
        <f aca="false">IF($B14="","",MAX(0,J14-I14+1))</f>
        <v>273</v>
      </c>
      <c r="L14" s="105" t="n">
        <f aca="false">IF($B14="","",F14/cfg_DAYS_Y*K14)</f>
        <v>22.4383561643836</v>
      </c>
      <c r="M14" s="105" t="n">
        <f aca="false">IF($B14="","",SUMIFS('الحركات الشهرية'!$K$6:$K$1005,'الحركات الشهرية'!$B$6:$B$1005,B14,'الحركات الشهرية'!$A$6:$A$1005,"&lt;="&amp;cfg_VAL_M))</f>
        <v>30</v>
      </c>
      <c r="N14" s="105" t="n">
        <f aca="false">IF($B14="","",SUMIFS('الحركات الشهرية'!$L$6:$L$1005,'الحركات الشهرية'!$B$6:$B$1005,B14,'الحركات الشهرية'!$A$6:$A$1005,"&lt;="&amp;cfg_VAL_M))</f>
        <v>0</v>
      </c>
      <c r="O14" s="105" t="n">
        <f aca="false">IF($B14="","",H14+L14-M14-N14)</f>
        <v>27.4383561643836</v>
      </c>
      <c r="P14" s="107" t="n">
        <f aca="false">IF($B14="","",O14*G14)</f>
        <v>8025.71917808219</v>
      </c>
      <c r="Q14" s="86" t="n">
        <f aca="false">IF($B14="","",H14*G14)</f>
        <v>10237.5</v>
      </c>
      <c r="R14" s="86" t="n">
        <f aca="false">IF($B14="","",(M14+N14)*G14)</f>
        <v>8775</v>
      </c>
      <c r="S14" s="74" t="str">
        <f aca="false">IF($B14="","",IF(O14&lt;-0.01,"✖ رصيد سالب",IF(O14&gt;F14*2,"⚠ رصيد مرتفع (أكثر من سنتين)",IF(AND(الموظفون!$X14&lt;&gt;"",الموظفون!$X14&lt;=cfg_VAL_DATE,O14&gt;0.01),"⚠ منتهي الخدمة برصيد","✔ سليم"))))</f>
        <v>✔ سليم</v>
      </c>
    </row>
    <row r="15" customFormat="false" ht="15" hidden="false" customHeight="false" outlineLevel="0" collapsed="false">
      <c r="B15" s="91" t="str">
        <f aca="false">IF(الموظفون!$B15="","",الموظفون!$B15)</f>
        <v>E010</v>
      </c>
      <c r="C15" s="91" t="str">
        <f aca="false">IF($B15="","",الموظفون!$C15)</f>
        <v>ريم سلطان المطيري</v>
      </c>
      <c r="D15" s="129" t="n">
        <f aca="false">IF($B15="","",الموظفون!$H15)</f>
        <v>46127</v>
      </c>
      <c r="E15" s="133" t="n">
        <f aca="false">IF($B15="","",MAX(0,J15-D15+1)/cfg_DAYS_Y)</f>
        <v>0.463013698630137</v>
      </c>
      <c r="F15" s="115" t="n">
        <f aca="false">IF($B15="","",IF(الموظفون!$R15&lt;&gt;"",الموظفون!$R15,IF(E15&gt;=cfg_LV_TH,cfg_LV_D2,cfg_LV_D1)))</f>
        <v>21</v>
      </c>
      <c r="G15" s="90" t="n">
        <f aca="false">IF($B15="","",الموظفون!$P15/cfg_DAYS_M)</f>
        <v>405</v>
      </c>
      <c r="H15" s="110" t="n">
        <f aca="false">IF($B15="","",N(الموظفون!$V15))</f>
        <v>0</v>
      </c>
      <c r="I15" s="129" t="n">
        <f aca="false">IF($B15="","",MAX(cfg_Y_START,D15))</f>
        <v>46127</v>
      </c>
      <c r="J15" s="129" t="n">
        <f aca="false">IF($B15="","",IF(OR(الموظفون!$X15="",الموظفون!$X15&gt;cfg_VAL_DATE),cfg_VAL_DATE,الموظفون!$X15))</f>
        <v>46295</v>
      </c>
      <c r="K15" s="115" t="n">
        <f aca="false">IF($B15="","",MAX(0,J15-I15+1))</f>
        <v>169</v>
      </c>
      <c r="L15" s="110" t="n">
        <f aca="false">IF($B15="","",F15/cfg_DAYS_Y*K15)</f>
        <v>9.72328767123288</v>
      </c>
      <c r="M15" s="110" t="n">
        <f aca="false">IF($B15="","",SUMIFS('الحركات الشهرية'!$K$6:$K$1005,'الحركات الشهرية'!$B$6:$B$1005,B15,'الحركات الشهرية'!$A$6:$A$1005,"&lt;="&amp;cfg_VAL_M))</f>
        <v>0</v>
      </c>
      <c r="N15" s="110" t="n">
        <f aca="false">IF($B15="","",SUMIFS('الحركات الشهرية'!$L$6:$L$1005,'الحركات الشهرية'!$B$6:$B$1005,B15,'الحركات الشهرية'!$A$6:$A$1005,"&lt;="&amp;cfg_VAL_M))</f>
        <v>0</v>
      </c>
      <c r="O15" s="110" t="n">
        <f aca="false">IF($B15="","",H15+L15-M15-N15)</f>
        <v>9.72328767123288</v>
      </c>
      <c r="P15" s="112" t="n">
        <f aca="false">IF($B15="","",O15*G15)</f>
        <v>3937.93150684932</v>
      </c>
      <c r="Q15" s="90" t="n">
        <f aca="false">IF($B15="","",H15*G15)</f>
        <v>0</v>
      </c>
      <c r="R15" s="90" t="n">
        <f aca="false">IF($B15="","",(M15+N15)*G15)</f>
        <v>0</v>
      </c>
      <c r="S15" s="91" t="str">
        <f aca="false">IF($B15="","",IF(O15&lt;-0.01,"✖ رصيد سالب",IF(O15&gt;F15*2,"⚠ رصيد مرتفع (أكثر من سنتين)",IF(AND(الموظفون!$X15&lt;&gt;"",الموظفون!$X15&lt;=cfg_VAL_DATE,O15&gt;0.01),"⚠ منتهي الخدمة برصيد","✔ سليم"))))</f>
        <v>✔ سليم</v>
      </c>
    </row>
    <row r="16" customFormat="false" ht="15" hidden="false" customHeight="false" outlineLevel="0" collapsed="false">
      <c r="B16" s="74" t="str">
        <f aca="false">IF(الموظفون!$B16="","",الموظفون!$B16)</f>
        <v>E011</v>
      </c>
      <c r="C16" s="74" t="str">
        <f aca="false">IF($B16="","",الموظفون!$C16)</f>
        <v>جون ماتيو</v>
      </c>
      <c r="D16" s="127" t="n">
        <f aca="false">IF($B16="","",الموظفون!$H16)</f>
        <v>43525</v>
      </c>
      <c r="E16" s="132" t="n">
        <f aca="false">IF($B16="","",MAX(0,J16-D16+1)/cfg_DAYS_Y)</f>
        <v>7.33972602739726</v>
      </c>
      <c r="F16" s="51" t="n">
        <f aca="false">IF($B16="","",IF(الموظفون!$R16&lt;&gt;"",الموظفون!$R16,IF(E16&gt;=cfg_LV_TH,cfg_LV_D2,cfg_LV_D1)))</f>
        <v>30</v>
      </c>
      <c r="G16" s="86" t="n">
        <f aca="false">IF($B16="","",الموظفون!$P16/cfg_DAYS_M)</f>
        <v>225</v>
      </c>
      <c r="H16" s="105" t="n">
        <f aca="false">IF($B16="","",N(الموظفون!$V16))</f>
        <v>22</v>
      </c>
      <c r="I16" s="127" t="n">
        <f aca="false">IF($B16="","",MAX(cfg_Y_START,D16))</f>
        <v>46023</v>
      </c>
      <c r="J16" s="127" t="n">
        <f aca="false">IF($B16="","",IF(OR(الموظفون!$X16="",الموظفون!$X16&gt;cfg_VAL_DATE),cfg_VAL_DATE,الموظفون!$X16))</f>
        <v>46203</v>
      </c>
      <c r="K16" s="51" t="n">
        <f aca="false">IF($B16="","",MAX(0,J16-I16+1))</f>
        <v>181</v>
      </c>
      <c r="L16" s="105" t="n">
        <f aca="false">IF($B16="","",F16/cfg_DAYS_Y*K16)</f>
        <v>14.8767123287671</v>
      </c>
      <c r="M16" s="105" t="n">
        <f aca="false">IF($B16="","",SUMIFS('الحركات الشهرية'!$K$6:$K$1005,'الحركات الشهرية'!$B$6:$B$1005,B16,'الحركات الشهرية'!$A$6:$A$1005,"&lt;="&amp;cfg_VAL_M))</f>
        <v>0</v>
      </c>
      <c r="N16" s="105" t="n">
        <f aca="false">IF($B16="","",SUMIFS('الحركات الشهرية'!$L$6:$L$1005,'الحركات الشهرية'!$B$6:$B$1005,B16,'الحركات الشهرية'!$A$6:$A$1005,"&lt;="&amp;cfg_VAL_M))</f>
        <v>36.8767123287671</v>
      </c>
      <c r="O16" s="105" t="n">
        <f aca="false">IF($B16="","",H16+L16-M16-N16)</f>
        <v>0</v>
      </c>
      <c r="P16" s="107" t="n">
        <f aca="false">IF($B16="","",O16*G16)</f>
        <v>0</v>
      </c>
      <c r="Q16" s="86" t="n">
        <f aca="false">IF($B16="","",H16*G16)</f>
        <v>4950</v>
      </c>
      <c r="R16" s="86" t="n">
        <f aca="false">IF($B16="","",(M16+N16)*G16)</f>
        <v>8297.2602739726</v>
      </c>
      <c r="S16" s="74" t="str">
        <f aca="false">IF($B16="","",IF(O16&lt;-0.01,"✖ رصيد سالب",IF(O16&gt;F16*2,"⚠ رصيد مرتفع (أكثر من سنتين)",IF(AND(الموظفون!$X16&lt;&gt;"",الموظفون!$X16&lt;=cfg_VAL_DATE,O16&gt;0.01),"⚠ منتهي الخدمة برصيد","✔ سليم"))))</f>
        <v>✔ سليم</v>
      </c>
    </row>
    <row r="17" customFormat="false" ht="15" hidden="false" customHeight="false" outlineLevel="0" collapsed="false">
      <c r="B17" s="91" t="str">
        <f aca="false">IF(الموظفون!$B17="","",الموظفون!$B17)</f>
        <v>E012</v>
      </c>
      <c r="C17" s="91" t="str">
        <f aca="false">IF($B17="","",الموظفون!$C17)</f>
        <v>عمر حسين البيشي</v>
      </c>
      <c r="D17" s="129" t="n">
        <f aca="false">IF($B17="","",الموظفون!$H17)</f>
        <v>44752</v>
      </c>
      <c r="E17" s="133" t="n">
        <f aca="false">IF($B17="","",MAX(0,J17-D17+1)/cfg_DAYS_Y)</f>
        <v>4.23013698630137</v>
      </c>
      <c r="F17" s="115" t="n">
        <f aca="false">IF($B17="","",IF(الموظفون!$R17&lt;&gt;"",الموظفون!$R17,IF(E17&gt;=cfg_LV_TH,cfg_LV_D2,cfg_LV_D1)))</f>
        <v>21</v>
      </c>
      <c r="G17" s="90" t="n">
        <f aca="false">IF($B17="","",الموظفون!$P17/cfg_DAYS_M)</f>
        <v>540</v>
      </c>
      <c r="H17" s="110" t="n">
        <f aca="false">IF($B17="","",N(الموظفون!$V17))</f>
        <v>10</v>
      </c>
      <c r="I17" s="129" t="n">
        <f aca="false">IF($B17="","",MAX(cfg_Y_START,D17))</f>
        <v>46023</v>
      </c>
      <c r="J17" s="129" t="n">
        <f aca="false">IF($B17="","",IF(OR(الموظفون!$X17="",الموظفون!$X17&gt;cfg_VAL_DATE),cfg_VAL_DATE,الموظفون!$X17))</f>
        <v>46295</v>
      </c>
      <c r="K17" s="115" t="n">
        <f aca="false">IF($B17="","",MAX(0,J17-I17+1))</f>
        <v>273</v>
      </c>
      <c r="L17" s="110" t="n">
        <f aca="false">IF($B17="","",F17/cfg_DAYS_Y*K17)</f>
        <v>15.7068493150685</v>
      </c>
      <c r="M17" s="110" t="n">
        <f aca="false">IF($B17="","",SUMIFS('الحركات الشهرية'!$K$6:$K$1005,'الحركات الشهرية'!$B$6:$B$1005,B17,'الحركات الشهرية'!$A$6:$A$1005,"&lt;="&amp;cfg_VAL_M))</f>
        <v>0</v>
      </c>
      <c r="N17" s="110" t="n">
        <f aca="false">IF($B17="","",SUMIFS('الحركات الشهرية'!$L$6:$L$1005,'الحركات الشهرية'!$B$6:$B$1005,B17,'الحركات الشهرية'!$A$6:$A$1005,"&lt;="&amp;cfg_VAL_M))</f>
        <v>0</v>
      </c>
      <c r="O17" s="110" t="n">
        <f aca="false">IF($B17="","",H17+L17-M17-N17)</f>
        <v>25.7068493150685</v>
      </c>
      <c r="P17" s="112" t="n">
        <f aca="false">IF($B17="","",O17*G17)</f>
        <v>13881.698630137</v>
      </c>
      <c r="Q17" s="90" t="n">
        <f aca="false">IF($B17="","",H17*G17)</f>
        <v>5400</v>
      </c>
      <c r="R17" s="90" t="n">
        <f aca="false">IF($B17="","",(M17+N17)*G17)</f>
        <v>0</v>
      </c>
      <c r="S17" s="91" t="str">
        <f aca="false">IF($B17="","",IF(O17&lt;-0.01,"✖ رصيد سالب",IF(O17&gt;F17*2,"⚠ رصيد مرتفع (أكثر من سنتين)",IF(AND(الموظفون!$X17&lt;&gt;"",الموظفون!$X17&lt;=cfg_VAL_DATE,O17&gt;0.01),"⚠ منتهي الخدمة برصيد","✔ سليم"))))</f>
        <v>✔ سليم</v>
      </c>
    </row>
    <row r="18" customFormat="false" ht="15" hidden="false" customHeight="false" outlineLevel="0" collapsed="false">
      <c r="B18" s="74" t="str">
        <f aca="false">IF(الموظفون!$B18="","",الموظفون!$B18)</f>
        <v/>
      </c>
      <c r="C18" s="74" t="str">
        <f aca="false">IF($B18="","",الموظفون!$C18)</f>
        <v/>
      </c>
      <c r="D18" s="127" t="str">
        <f aca="false">IF($B18="","",الموظفون!$H18)</f>
        <v/>
      </c>
      <c r="E18" s="132" t="str">
        <f aca="false">IF($B18="","",MAX(0,J18-D18+1)/cfg_DAYS_Y)</f>
        <v/>
      </c>
      <c r="F18" s="51" t="str">
        <f aca="false">IF($B18="","",IF(الموظفون!$R18&lt;&gt;"",الموظفون!$R18,IF(E18&gt;=cfg_LV_TH,cfg_LV_D2,cfg_LV_D1)))</f>
        <v/>
      </c>
      <c r="G18" s="86" t="str">
        <f aca="false">IF($B18="","",الموظفون!$P18/cfg_DAYS_M)</f>
        <v/>
      </c>
      <c r="H18" s="105" t="str">
        <f aca="false">IF($B18="","",N(الموظفون!$V18))</f>
        <v/>
      </c>
      <c r="I18" s="127" t="str">
        <f aca="false">IF($B18="","",MAX(cfg_Y_START,D18))</f>
        <v/>
      </c>
      <c r="J18" s="127" t="str">
        <f aca="false">IF($B18="","",IF(OR(الموظفون!$X18="",الموظفون!$X18&gt;cfg_VAL_DATE),cfg_VAL_DATE,الموظفون!$X18))</f>
        <v/>
      </c>
      <c r="K18" s="51" t="str">
        <f aca="false">IF($B18="","",MAX(0,J18-I18+1))</f>
        <v/>
      </c>
      <c r="L18" s="105" t="str">
        <f aca="false">IF($B18="","",F18/cfg_DAYS_Y*K18)</f>
        <v/>
      </c>
      <c r="M18" s="105" t="str">
        <f aca="false">IF($B18="","",SUMIFS('الحركات الشهرية'!$K$6:$K$1005,'الحركات الشهرية'!$B$6:$B$1005,B18,'الحركات الشهرية'!$A$6:$A$1005,"&lt;="&amp;cfg_VAL_M))</f>
        <v/>
      </c>
      <c r="N18" s="105" t="str">
        <f aca="false">IF($B18="","",SUMIFS('الحركات الشهرية'!$L$6:$L$1005,'الحركات الشهرية'!$B$6:$B$1005,B18,'الحركات الشهرية'!$A$6:$A$1005,"&lt;="&amp;cfg_VAL_M))</f>
        <v/>
      </c>
      <c r="O18" s="105" t="str">
        <f aca="false">IF($B18="","",H18+L18-M18-N18)</f>
        <v/>
      </c>
      <c r="P18" s="107" t="str">
        <f aca="false">IF($B18="","",O18*G18)</f>
        <v/>
      </c>
      <c r="Q18" s="86" t="str">
        <f aca="false">IF($B18="","",H18*G18)</f>
        <v/>
      </c>
      <c r="R18" s="86" t="str">
        <f aca="false">IF($B18="","",(M18+N18)*G18)</f>
        <v/>
      </c>
      <c r="S18" s="74" t="str">
        <f aca="false">IF($B18="","",IF(O18&lt;-0.01,"✖ رصيد سالب",IF(O18&gt;F18*2,"⚠ رصيد مرتفع (أكثر من سنتين)",IF(AND(الموظفون!$X18&lt;&gt;"",الموظفون!$X18&lt;=cfg_VAL_DATE,O18&gt;0.01),"⚠ منتهي الخدمة برصيد","✔ سليم"))))</f>
        <v/>
      </c>
    </row>
    <row r="19" customFormat="false" ht="15" hidden="false" customHeight="false" outlineLevel="0" collapsed="false">
      <c r="B19" s="91" t="str">
        <f aca="false">IF(الموظفون!$B19="","",الموظفون!$B19)</f>
        <v/>
      </c>
      <c r="C19" s="91" t="str">
        <f aca="false">IF($B19="","",الموظفون!$C19)</f>
        <v/>
      </c>
      <c r="D19" s="129" t="str">
        <f aca="false">IF($B19="","",الموظفون!$H19)</f>
        <v/>
      </c>
      <c r="E19" s="133" t="str">
        <f aca="false">IF($B19="","",MAX(0,J19-D19+1)/cfg_DAYS_Y)</f>
        <v/>
      </c>
      <c r="F19" s="115" t="str">
        <f aca="false">IF($B19="","",IF(الموظفون!$R19&lt;&gt;"",الموظفون!$R19,IF(E19&gt;=cfg_LV_TH,cfg_LV_D2,cfg_LV_D1)))</f>
        <v/>
      </c>
      <c r="G19" s="90" t="str">
        <f aca="false">IF($B19="","",الموظفون!$P19/cfg_DAYS_M)</f>
        <v/>
      </c>
      <c r="H19" s="110" t="str">
        <f aca="false">IF($B19="","",N(الموظفون!$V19))</f>
        <v/>
      </c>
      <c r="I19" s="129" t="str">
        <f aca="false">IF($B19="","",MAX(cfg_Y_START,D19))</f>
        <v/>
      </c>
      <c r="J19" s="129" t="str">
        <f aca="false">IF($B19="","",IF(OR(الموظفون!$X19="",الموظفون!$X19&gt;cfg_VAL_DATE),cfg_VAL_DATE,الموظفون!$X19))</f>
        <v/>
      </c>
      <c r="K19" s="115" t="str">
        <f aca="false">IF($B19="","",MAX(0,J19-I19+1))</f>
        <v/>
      </c>
      <c r="L19" s="110" t="str">
        <f aca="false">IF($B19="","",F19/cfg_DAYS_Y*K19)</f>
        <v/>
      </c>
      <c r="M19" s="110" t="str">
        <f aca="false">IF($B19="","",SUMIFS('الحركات الشهرية'!$K$6:$K$1005,'الحركات الشهرية'!$B$6:$B$1005,B19,'الحركات الشهرية'!$A$6:$A$1005,"&lt;="&amp;cfg_VAL_M))</f>
        <v/>
      </c>
      <c r="N19" s="110" t="str">
        <f aca="false">IF($B19="","",SUMIFS('الحركات الشهرية'!$L$6:$L$1005,'الحركات الشهرية'!$B$6:$B$1005,B19,'الحركات الشهرية'!$A$6:$A$1005,"&lt;="&amp;cfg_VAL_M))</f>
        <v/>
      </c>
      <c r="O19" s="110" t="str">
        <f aca="false">IF($B19="","",H19+L19-M19-N19)</f>
        <v/>
      </c>
      <c r="P19" s="112" t="str">
        <f aca="false">IF($B19="","",O19*G19)</f>
        <v/>
      </c>
      <c r="Q19" s="90" t="str">
        <f aca="false">IF($B19="","",H19*G19)</f>
        <v/>
      </c>
      <c r="R19" s="90" t="str">
        <f aca="false">IF($B19="","",(M19+N19)*G19)</f>
        <v/>
      </c>
      <c r="S19" s="91" t="str">
        <f aca="false">IF($B19="","",IF(O19&lt;-0.01,"✖ رصيد سالب",IF(O19&gt;F19*2,"⚠ رصيد مرتفع (أكثر من سنتين)",IF(AND(الموظفون!$X19&lt;&gt;"",الموظفون!$X19&lt;=cfg_VAL_DATE,O19&gt;0.01),"⚠ منتهي الخدمة برصيد","✔ سليم"))))</f>
        <v/>
      </c>
    </row>
    <row r="20" customFormat="false" ht="15" hidden="false" customHeight="false" outlineLevel="0" collapsed="false">
      <c r="B20" s="74" t="str">
        <f aca="false">IF(الموظفون!$B20="","",الموظفون!$B20)</f>
        <v/>
      </c>
      <c r="C20" s="74" t="str">
        <f aca="false">IF($B20="","",الموظفون!$C20)</f>
        <v/>
      </c>
      <c r="D20" s="127" t="str">
        <f aca="false">IF($B20="","",الموظفون!$H20)</f>
        <v/>
      </c>
      <c r="E20" s="132" t="str">
        <f aca="false">IF($B20="","",MAX(0,J20-D20+1)/cfg_DAYS_Y)</f>
        <v/>
      </c>
      <c r="F20" s="51" t="str">
        <f aca="false">IF($B20="","",IF(الموظفون!$R20&lt;&gt;"",الموظفون!$R20,IF(E20&gt;=cfg_LV_TH,cfg_LV_D2,cfg_LV_D1)))</f>
        <v/>
      </c>
      <c r="G20" s="86" t="str">
        <f aca="false">IF($B20="","",الموظفون!$P20/cfg_DAYS_M)</f>
        <v/>
      </c>
      <c r="H20" s="105" t="str">
        <f aca="false">IF($B20="","",N(الموظفون!$V20))</f>
        <v/>
      </c>
      <c r="I20" s="127" t="str">
        <f aca="false">IF($B20="","",MAX(cfg_Y_START,D20))</f>
        <v/>
      </c>
      <c r="J20" s="127" t="str">
        <f aca="false">IF($B20="","",IF(OR(الموظفون!$X20="",الموظفون!$X20&gt;cfg_VAL_DATE),cfg_VAL_DATE,الموظفون!$X20))</f>
        <v/>
      </c>
      <c r="K20" s="51" t="str">
        <f aca="false">IF($B20="","",MAX(0,J20-I20+1))</f>
        <v/>
      </c>
      <c r="L20" s="105" t="str">
        <f aca="false">IF($B20="","",F20/cfg_DAYS_Y*K20)</f>
        <v/>
      </c>
      <c r="M20" s="105" t="str">
        <f aca="false">IF($B20="","",SUMIFS('الحركات الشهرية'!$K$6:$K$1005,'الحركات الشهرية'!$B$6:$B$1005,B20,'الحركات الشهرية'!$A$6:$A$1005,"&lt;="&amp;cfg_VAL_M))</f>
        <v/>
      </c>
      <c r="N20" s="105" t="str">
        <f aca="false">IF($B20="","",SUMIFS('الحركات الشهرية'!$L$6:$L$1005,'الحركات الشهرية'!$B$6:$B$1005,B20,'الحركات الشهرية'!$A$6:$A$1005,"&lt;="&amp;cfg_VAL_M))</f>
        <v/>
      </c>
      <c r="O20" s="105" t="str">
        <f aca="false">IF($B20="","",H20+L20-M20-N20)</f>
        <v/>
      </c>
      <c r="P20" s="107" t="str">
        <f aca="false">IF($B20="","",O20*G20)</f>
        <v/>
      </c>
      <c r="Q20" s="86" t="str">
        <f aca="false">IF($B20="","",H20*G20)</f>
        <v/>
      </c>
      <c r="R20" s="86" t="str">
        <f aca="false">IF($B20="","",(M20+N20)*G20)</f>
        <v/>
      </c>
      <c r="S20" s="74" t="str">
        <f aca="false">IF($B20="","",IF(O20&lt;-0.01,"✖ رصيد سالب",IF(O20&gt;F20*2,"⚠ رصيد مرتفع (أكثر من سنتين)",IF(AND(الموظفون!$X20&lt;&gt;"",الموظفون!$X20&lt;=cfg_VAL_DATE,O20&gt;0.01),"⚠ منتهي الخدمة برصيد","✔ سليم"))))</f>
        <v/>
      </c>
    </row>
    <row r="21" customFormat="false" ht="15" hidden="false" customHeight="false" outlineLevel="0" collapsed="false">
      <c r="B21" s="91" t="str">
        <f aca="false">IF(الموظفون!$B21="","",الموظفون!$B21)</f>
        <v/>
      </c>
      <c r="C21" s="91" t="str">
        <f aca="false">IF($B21="","",الموظفون!$C21)</f>
        <v/>
      </c>
      <c r="D21" s="129" t="str">
        <f aca="false">IF($B21="","",الموظفون!$H21)</f>
        <v/>
      </c>
      <c r="E21" s="133" t="str">
        <f aca="false">IF($B21="","",MAX(0,J21-D21+1)/cfg_DAYS_Y)</f>
        <v/>
      </c>
      <c r="F21" s="115" t="str">
        <f aca="false">IF($B21="","",IF(الموظفون!$R21&lt;&gt;"",الموظفون!$R21,IF(E21&gt;=cfg_LV_TH,cfg_LV_D2,cfg_LV_D1)))</f>
        <v/>
      </c>
      <c r="G21" s="90" t="str">
        <f aca="false">IF($B21="","",الموظفون!$P21/cfg_DAYS_M)</f>
        <v/>
      </c>
      <c r="H21" s="110" t="str">
        <f aca="false">IF($B21="","",N(الموظفون!$V21))</f>
        <v/>
      </c>
      <c r="I21" s="129" t="str">
        <f aca="false">IF($B21="","",MAX(cfg_Y_START,D21))</f>
        <v/>
      </c>
      <c r="J21" s="129" t="str">
        <f aca="false">IF($B21="","",IF(OR(الموظفون!$X21="",الموظفون!$X21&gt;cfg_VAL_DATE),cfg_VAL_DATE,الموظفون!$X21))</f>
        <v/>
      </c>
      <c r="K21" s="115" t="str">
        <f aca="false">IF($B21="","",MAX(0,J21-I21+1))</f>
        <v/>
      </c>
      <c r="L21" s="110" t="str">
        <f aca="false">IF($B21="","",F21/cfg_DAYS_Y*K21)</f>
        <v/>
      </c>
      <c r="M21" s="110" t="str">
        <f aca="false">IF($B21="","",SUMIFS('الحركات الشهرية'!$K$6:$K$1005,'الحركات الشهرية'!$B$6:$B$1005,B21,'الحركات الشهرية'!$A$6:$A$1005,"&lt;="&amp;cfg_VAL_M))</f>
        <v/>
      </c>
      <c r="N21" s="110" t="str">
        <f aca="false">IF($B21="","",SUMIFS('الحركات الشهرية'!$L$6:$L$1005,'الحركات الشهرية'!$B$6:$B$1005,B21,'الحركات الشهرية'!$A$6:$A$1005,"&lt;="&amp;cfg_VAL_M))</f>
        <v/>
      </c>
      <c r="O21" s="110" t="str">
        <f aca="false">IF($B21="","",H21+L21-M21-N21)</f>
        <v/>
      </c>
      <c r="P21" s="112" t="str">
        <f aca="false">IF($B21="","",O21*G21)</f>
        <v/>
      </c>
      <c r="Q21" s="90" t="str">
        <f aca="false">IF($B21="","",H21*G21)</f>
        <v/>
      </c>
      <c r="R21" s="90" t="str">
        <f aca="false">IF($B21="","",(M21+N21)*G21)</f>
        <v/>
      </c>
      <c r="S21" s="91" t="str">
        <f aca="false">IF($B21="","",IF(O21&lt;-0.01,"✖ رصيد سالب",IF(O21&gt;F21*2,"⚠ رصيد مرتفع (أكثر من سنتين)",IF(AND(الموظفون!$X21&lt;&gt;"",الموظفون!$X21&lt;=cfg_VAL_DATE,O21&gt;0.01),"⚠ منتهي الخدمة برصيد","✔ سليم"))))</f>
        <v/>
      </c>
    </row>
    <row r="22" customFormat="false" ht="15" hidden="false" customHeight="false" outlineLevel="0" collapsed="false">
      <c r="B22" s="74" t="str">
        <f aca="false">IF(الموظفون!$B22="","",الموظفون!$B22)</f>
        <v/>
      </c>
      <c r="C22" s="74" t="str">
        <f aca="false">IF($B22="","",الموظفون!$C22)</f>
        <v/>
      </c>
      <c r="D22" s="127" t="str">
        <f aca="false">IF($B22="","",الموظفون!$H22)</f>
        <v/>
      </c>
      <c r="E22" s="132" t="str">
        <f aca="false">IF($B22="","",MAX(0,J22-D22+1)/cfg_DAYS_Y)</f>
        <v/>
      </c>
      <c r="F22" s="51" t="str">
        <f aca="false">IF($B22="","",IF(الموظفون!$R22&lt;&gt;"",الموظفون!$R22,IF(E22&gt;=cfg_LV_TH,cfg_LV_D2,cfg_LV_D1)))</f>
        <v/>
      </c>
      <c r="G22" s="86" t="str">
        <f aca="false">IF($B22="","",الموظفون!$P22/cfg_DAYS_M)</f>
        <v/>
      </c>
      <c r="H22" s="105" t="str">
        <f aca="false">IF($B22="","",N(الموظفون!$V22))</f>
        <v/>
      </c>
      <c r="I22" s="127" t="str">
        <f aca="false">IF($B22="","",MAX(cfg_Y_START,D22))</f>
        <v/>
      </c>
      <c r="J22" s="127" t="str">
        <f aca="false">IF($B22="","",IF(OR(الموظفون!$X22="",الموظفون!$X22&gt;cfg_VAL_DATE),cfg_VAL_DATE,الموظفون!$X22))</f>
        <v/>
      </c>
      <c r="K22" s="51" t="str">
        <f aca="false">IF($B22="","",MAX(0,J22-I22+1))</f>
        <v/>
      </c>
      <c r="L22" s="105" t="str">
        <f aca="false">IF($B22="","",F22/cfg_DAYS_Y*K22)</f>
        <v/>
      </c>
      <c r="M22" s="105" t="str">
        <f aca="false">IF($B22="","",SUMIFS('الحركات الشهرية'!$K$6:$K$1005,'الحركات الشهرية'!$B$6:$B$1005,B22,'الحركات الشهرية'!$A$6:$A$1005,"&lt;="&amp;cfg_VAL_M))</f>
        <v/>
      </c>
      <c r="N22" s="105" t="str">
        <f aca="false">IF($B22="","",SUMIFS('الحركات الشهرية'!$L$6:$L$1005,'الحركات الشهرية'!$B$6:$B$1005,B22,'الحركات الشهرية'!$A$6:$A$1005,"&lt;="&amp;cfg_VAL_M))</f>
        <v/>
      </c>
      <c r="O22" s="105" t="str">
        <f aca="false">IF($B22="","",H22+L22-M22-N22)</f>
        <v/>
      </c>
      <c r="P22" s="107" t="str">
        <f aca="false">IF($B22="","",O22*G22)</f>
        <v/>
      </c>
      <c r="Q22" s="86" t="str">
        <f aca="false">IF($B22="","",H22*G22)</f>
        <v/>
      </c>
      <c r="R22" s="86" t="str">
        <f aca="false">IF($B22="","",(M22+N22)*G22)</f>
        <v/>
      </c>
      <c r="S22" s="74" t="str">
        <f aca="false">IF($B22="","",IF(O22&lt;-0.01,"✖ رصيد سالب",IF(O22&gt;F22*2,"⚠ رصيد مرتفع (أكثر من سنتين)",IF(AND(الموظفون!$X22&lt;&gt;"",الموظفون!$X22&lt;=cfg_VAL_DATE,O22&gt;0.01),"⚠ منتهي الخدمة برصيد","✔ سليم"))))</f>
        <v/>
      </c>
    </row>
    <row r="23" customFormat="false" ht="15" hidden="false" customHeight="false" outlineLevel="0" collapsed="false">
      <c r="B23" s="91" t="str">
        <f aca="false">IF(الموظفون!$B23="","",الموظفون!$B23)</f>
        <v/>
      </c>
      <c r="C23" s="91" t="str">
        <f aca="false">IF($B23="","",الموظفون!$C23)</f>
        <v/>
      </c>
      <c r="D23" s="129" t="str">
        <f aca="false">IF($B23="","",الموظفون!$H23)</f>
        <v/>
      </c>
      <c r="E23" s="133" t="str">
        <f aca="false">IF($B23="","",MAX(0,J23-D23+1)/cfg_DAYS_Y)</f>
        <v/>
      </c>
      <c r="F23" s="115" t="str">
        <f aca="false">IF($B23="","",IF(الموظفون!$R23&lt;&gt;"",الموظفون!$R23,IF(E23&gt;=cfg_LV_TH,cfg_LV_D2,cfg_LV_D1)))</f>
        <v/>
      </c>
      <c r="G23" s="90" t="str">
        <f aca="false">IF($B23="","",الموظفون!$P23/cfg_DAYS_M)</f>
        <v/>
      </c>
      <c r="H23" s="110" t="str">
        <f aca="false">IF($B23="","",N(الموظفون!$V23))</f>
        <v/>
      </c>
      <c r="I23" s="129" t="str">
        <f aca="false">IF($B23="","",MAX(cfg_Y_START,D23))</f>
        <v/>
      </c>
      <c r="J23" s="129" t="str">
        <f aca="false">IF($B23="","",IF(OR(الموظفون!$X23="",الموظفون!$X23&gt;cfg_VAL_DATE),cfg_VAL_DATE,الموظفون!$X23))</f>
        <v/>
      </c>
      <c r="K23" s="115" t="str">
        <f aca="false">IF($B23="","",MAX(0,J23-I23+1))</f>
        <v/>
      </c>
      <c r="L23" s="110" t="str">
        <f aca="false">IF($B23="","",F23/cfg_DAYS_Y*K23)</f>
        <v/>
      </c>
      <c r="M23" s="110" t="str">
        <f aca="false">IF($B23="","",SUMIFS('الحركات الشهرية'!$K$6:$K$1005,'الحركات الشهرية'!$B$6:$B$1005,B23,'الحركات الشهرية'!$A$6:$A$1005,"&lt;="&amp;cfg_VAL_M))</f>
        <v/>
      </c>
      <c r="N23" s="110" t="str">
        <f aca="false">IF($B23="","",SUMIFS('الحركات الشهرية'!$L$6:$L$1005,'الحركات الشهرية'!$B$6:$B$1005,B23,'الحركات الشهرية'!$A$6:$A$1005,"&lt;="&amp;cfg_VAL_M))</f>
        <v/>
      </c>
      <c r="O23" s="110" t="str">
        <f aca="false">IF($B23="","",H23+L23-M23-N23)</f>
        <v/>
      </c>
      <c r="P23" s="112" t="str">
        <f aca="false">IF($B23="","",O23*G23)</f>
        <v/>
      </c>
      <c r="Q23" s="90" t="str">
        <f aca="false">IF($B23="","",H23*G23)</f>
        <v/>
      </c>
      <c r="R23" s="90" t="str">
        <f aca="false">IF($B23="","",(M23+N23)*G23)</f>
        <v/>
      </c>
      <c r="S23" s="91" t="str">
        <f aca="false">IF($B23="","",IF(O23&lt;-0.01,"✖ رصيد سالب",IF(O23&gt;F23*2,"⚠ رصيد مرتفع (أكثر من سنتين)",IF(AND(الموظفون!$X23&lt;&gt;"",الموظفون!$X23&lt;=cfg_VAL_DATE,O23&gt;0.01),"⚠ منتهي الخدمة برصيد","✔ سليم"))))</f>
        <v/>
      </c>
    </row>
    <row r="24" customFormat="false" ht="15" hidden="false" customHeight="false" outlineLevel="0" collapsed="false">
      <c r="B24" s="74" t="str">
        <f aca="false">IF(الموظفون!$B24="","",الموظفون!$B24)</f>
        <v/>
      </c>
      <c r="C24" s="74" t="str">
        <f aca="false">IF($B24="","",الموظفون!$C24)</f>
        <v/>
      </c>
      <c r="D24" s="127" t="str">
        <f aca="false">IF($B24="","",الموظفون!$H24)</f>
        <v/>
      </c>
      <c r="E24" s="132" t="str">
        <f aca="false">IF($B24="","",MAX(0,J24-D24+1)/cfg_DAYS_Y)</f>
        <v/>
      </c>
      <c r="F24" s="51" t="str">
        <f aca="false">IF($B24="","",IF(الموظفون!$R24&lt;&gt;"",الموظفون!$R24,IF(E24&gt;=cfg_LV_TH,cfg_LV_D2,cfg_LV_D1)))</f>
        <v/>
      </c>
      <c r="G24" s="86" t="str">
        <f aca="false">IF($B24="","",الموظفون!$P24/cfg_DAYS_M)</f>
        <v/>
      </c>
      <c r="H24" s="105" t="str">
        <f aca="false">IF($B24="","",N(الموظفون!$V24))</f>
        <v/>
      </c>
      <c r="I24" s="127" t="str">
        <f aca="false">IF($B24="","",MAX(cfg_Y_START,D24))</f>
        <v/>
      </c>
      <c r="J24" s="127" t="str">
        <f aca="false">IF($B24="","",IF(OR(الموظفون!$X24="",الموظفون!$X24&gt;cfg_VAL_DATE),cfg_VAL_DATE,الموظفون!$X24))</f>
        <v/>
      </c>
      <c r="K24" s="51" t="str">
        <f aca="false">IF($B24="","",MAX(0,J24-I24+1))</f>
        <v/>
      </c>
      <c r="L24" s="105" t="str">
        <f aca="false">IF($B24="","",F24/cfg_DAYS_Y*K24)</f>
        <v/>
      </c>
      <c r="M24" s="105" t="str">
        <f aca="false">IF($B24="","",SUMIFS('الحركات الشهرية'!$K$6:$K$1005,'الحركات الشهرية'!$B$6:$B$1005,B24,'الحركات الشهرية'!$A$6:$A$1005,"&lt;="&amp;cfg_VAL_M))</f>
        <v/>
      </c>
      <c r="N24" s="105" t="str">
        <f aca="false">IF($B24="","",SUMIFS('الحركات الشهرية'!$L$6:$L$1005,'الحركات الشهرية'!$B$6:$B$1005,B24,'الحركات الشهرية'!$A$6:$A$1005,"&lt;="&amp;cfg_VAL_M))</f>
        <v/>
      </c>
      <c r="O24" s="105" t="str">
        <f aca="false">IF($B24="","",H24+L24-M24-N24)</f>
        <v/>
      </c>
      <c r="P24" s="107" t="str">
        <f aca="false">IF($B24="","",O24*G24)</f>
        <v/>
      </c>
      <c r="Q24" s="86" t="str">
        <f aca="false">IF($B24="","",H24*G24)</f>
        <v/>
      </c>
      <c r="R24" s="86" t="str">
        <f aca="false">IF($B24="","",(M24+N24)*G24)</f>
        <v/>
      </c>
      <c r="S24" s="74" t="str">
        <f aca="false">IF($B24="","",IF(O24&lt;-0.01,"✖ رصيد سالب",IF(O24&gt;F24*2,"⚠ رصيد مرتفع (أكثر من سنتين)",IF(AND(الموظفون!$X24&lt;&gt;"",الموظفون!$X24&lt;=cfg_VAL_DATE,O24&gt;0.01),"⚠ منتهي الخدمة برصيد","✔ سليم"))))</f>
        <v/>
      </c>
    </row>
    <row r="25" customFormat="false" ht="15" hidden="false" customHeight="false" outlineLevel="0" collapsed="false">
      <c r="B25" s="91" t="str">
        <f aca="false">IF(الموظفون!$B25="","",الموظفون!$B25)</f>
        <v/>
      </c>
      <c r="C25" s="91" t="str">
        <f aca="false">IF($B25="","",الموظفون!$C25)</f>
        <v/>
      </c>
      <c r="D25" s="129" t="str">
        <f aca="false">IF($B25="","",الموظفون!$H25)</f>
        <v/>
      </c>
      <c r="E25" s="133" t="str">
        <f aca="false">IF($B25="","",MAX(0,J25-D25+1)/cfg_DAYS_Y)</f>
        <v/>
      </c>
      <c r="F25" s="115" t="str">
        <f aca="false">IF($B25="","",IF(الموظفون!$R25&lt;&gt;"",الموظفون!$R25,IF(E25&gt;=cfg_LV_TH,cfg_LV_D2,cfg_LV_D1)))</f>
        <v/>
      </c>
      <c r="G25" s="90" t="str">
        <f aca="false">IF($B25="","",الموظفون!$P25/cfg_DAYS_M)</f>
        <v/>
      </c>
      <c r="H25" s="110" t="str">
        <f aca="false">IF($B25="","",N(الموظفون!$V25))</f>
        <v/>
      </c>
      <c r="I25" s="129" t="str">
        <f aca="false">IF($B25="","",MAX(cfg_Y_START,D25))</f>
        <v/>
      </c>
      <c r="J25" s="129" t="str">
        <f aca="false">IF($B25="","",IF(OR(الموظفون!$X25="",الموظفون!$X25&gt;cfg_VAL_DATE),cfg_VAL_DATE,الموظفون!$X25))</f>
        <v/>
      </c>
      <c r="K25" s="115" t="str">
        <f aca="false">IF($B25="","",MAX(0,J25-I25+1))</f>
        <v/>
      </c>
      <c r="L25" s="110" t="str">
        <f aca="false">IF($B25="","",F25/cfg_DAYS_Y*K25)</f>
        <v/>
      </c>
      <c r="M25" s="110" t="str">
        <f aca="false">IF($B25="","",SUMIFS('الحركات الشهرية'!$K$6:$K$1005,'الحركات الشهرية'!$B$6:$B$1005,B25,'الحركات الشهرية'!$A$6:$A$1005,"&lt;="&amp;cfg_VAL_M))</f>
        <v/>
      </c>
      <c r="N25" s="110" t="str">
        <f aca="false">IF($B25="","",SUMIFS('الحركات الشهرية'!$L$6:$L$1005,'الحركات الشهرية'!$B$6:$B$1005,B25,'الحركات الشهرية'!$A$6:$A$1005,"&lt;="&amp;cfg_VAL_M))</f>
        <v/>
      </c>
      <c r="O25" s="110" t="str">
        <f aca="false">IF($B25="","",H25+L25-M25-N25)</f>
        <v/>
      </c>
      <c r="P25" s="112" t="str">
        <f aca="false">IF($B25="","",O25*G25)</f>
        <v/>
      </c>
      <c r="Q25" s="90" t="str">
        <f aca="false">IF($B25="","",H25*G25)</f>
        <v/>
      </c>
      <c r="R25" s="90" t="str">
        <f aca="false">IF($B25="","",(M25+N25)*G25)</f>
        <v/>
      </c>
      <c r="S25" s="91" t="str">
        <f aca="false">IF($B25="","",IF(O25&lt;-0.01,"✖ رصيد سالب",IF(O25&gt;F25*2,"⚠ رصيد مرتفع (أكثر من سنتين)",IF(AND(الموظفون!$X25&lt;&gt;"",الموظفون!$X25&lt;=cfg_VAL_DATE,O25&gt;0.01),"⚠ منتهي الخدمة برصيد","✔ سليم"))))</f>
        <v/>
      </c>
    </row>
    <row r="26" customFormat="false" ht="15" hidden="false" customHeight="false" outlineLevel="0" collapsed="false">
      <c r="B26" s="74" t="str">
        <f aca="false">IF(الموظفون!$B26="","",الموظفون!$B26)</f>
        <v/>
      </c>
      <c r="C26" s="74" t="str">
        <f aca="false">IF($B26="","",الموظفون!$C26)</f>
        <v/>
      </c>
      <c r="D26" s="127" t="str">
        <f aca="false">IF($B26="","",الموظفون!$H26)</f>
        <v/>
      </c>
      <c r="E26" s="132" t="str">
        <f aca="false">IF($B26="","",MAX(0,J26-D26+1)/cfg_DAYS_Y)</f>
        <v/>
      </c>
      <c r="F26" s="51" t="str">
        <f aca="false">IF($B26="","",IF(الموظفون!$R26&lt;&gt;"",الموظفون!$R26,IF(E26&gt;=cfg_LV_TH,cfg_LV_D2,cfg_LV_D1)))</f>
        <v/>
      </c>
      <c r="G26" s="86" t="str">
        <f aca="false">IF($B26="","",الموظفون!$P26/cfg_DAYS_M)</f>
        <v/>
      </c>
      <c r="H26" s="105" t="str">
        <f aca="false">IF($B26="","",N(الموظفون!$V26))</f>
        <v/>
      </c>
      <c r="I26" s="127" t="str">
        <f aca="false">IF($B26="","",MAX(cfg_Y_START,D26))</f>
        <v/>
      </c>
      <c r="J26" s="127" t="str">
        <f aca="false">IF($B26="","",IF(OR(الموظفون!$X26="",الموظفون!$X26&gt;cfg_VAL_DATE),cfg_VAL_DATE,الموظفون!$X26))</f>
        <v/>
      </c>
      <c r="K26" s="51" t="str">
        <f aca="false">IF($B26="","",MAX(0,J26-I26+1))</f>
        <v/>
      </c>
      <c r="L26" s="105" t="str">
        <f aca="false">IF($B26="","",F26/cfg_DAYS_Y*K26)</f>
        <v/>
      </c>
      <c r="M26" s="105" t="str">
        <f aca="false">IF($B26="","",SUMIFS('الحركات الشهرية'!$K$6:$K$1005,'الحركات الشهرية'!$B$6:$B$1005,B26,'الحركات الشهرية'!$A$6:$A$1005,"&lt;="&amp;cfg_VAL_M))</f>
        <v/>
      </c>
      <c r="N26" s="105" t="str">
        <f aca="false">IF($B26="","",SUMIFS('الحركات الشهرية'!$L$6:$L$1005,'الحركات الشهرية'!$B$6:$B$1005,B26,'الحركات الشهرية'!$A$6:$A$1005,"&lt;="&amp;cfg_VAL_M))</f>
        <v/>
      </c>
      <c r="O26" s="105" t="str">
        <f aca="false">IF($B26="","",H26+L26-M26-N26)</f>
        <v/>
      </c>
      <c r="P26" s="107" t="str">
        <f aca="false">IF($B26="","",O26*G26)</f>
        <v/>
      </c>
      <c r="Q26" s="86" t="str">
        <f aca="false">IF($B26="","",H26*G26)</f>
        <v/>
      </c>
      <c r="R26" s="86" t="str">
        <f aca="false">IF($B26="","",(M26+N26)*G26)</f>
        <v/>
      </c>
      <c r="S26" s="74" t="str">
        <f aca="false">IF($B26="","",IF(O26&lt;-0.01,"✖ رصيد سالب",IF(O26&gt;F26*2,"⚠ رصيد مرتفع (أكثر من سنتين)",IF(AND(الموظفون!$X26&lt;&gt;"",الموظفون!$X26&lt;=cfg_VAL_DATE,O26&gt;0.01),"⚠ منتهي الخدمة برصيد","✔ سليم"))))</f>
        <v/>
      </c>
    </row>
    <row r="27" customFormat="false" ht="15" hidden="false" customHeight="false" outlineLevel="0" collapsed="false">
      <c r="B27" s="91" t="str">
        <f aca="false">IF(الموظفون!$B27="","",الموظفون!$B27)</f>
        <v/>
      </c>
      <c r="C27" s="91" t="str">
        <f aca="false">IF($B27="","",الموظفون!$C27)</f>
        <v/>
      </c>
      <c r="D27" s="129" t="str">
        <f aca="false">IF($B27="","",الموظفون!$H27)</f>
        <v/>
      </c>
      <c r="E27" s="133" t="str">
        <f aca="false">IF($B27="","",MAX(0,J27-D27+1)/cfg_DAYS_Y)</f>
        <v/>
      </c>
      <c r="F27" s="115" t="str">
        <f aca="false">IF($B27="","",IF(الموظفون!$R27&lt;&gt;"",الموظفون!$R27,IF(E27&gt;=cfg_LV_TH,cfg_LV_D2,cfg_LV_D1)))</f>
        <v/>
      </c>
      <c r="G27" s="90" t="str">
        <f aca="false">IF($B27="","",الموظفون!$P27/cfg_DAYS_M)</f>
        <v/>
      </c>
      <c r="H27" s="110" t="str">
        <f aca="false">IF($B27="","",N(الموظفون!$V27))</f>
        <v/>
      </c>
      <c r="I27" s="129" t="str">
        <f aca="false">IF($B27="","",MAX(cfg_Y_START,D27))</f>
        <v/>
      </c>
      <c r="J27" s="129" t="str">
        <f aca="false">IF($B27="","",IF(OR(الموظفون!$X27="",الموظفون!$X27&gt;cfg_VAL_DATE),cfg_VAL_DATE,الموظفون!$X27))</f>
        <v/>
      </c>
      <c r="K27" s="115" t="str">
        <f aca="false">IF($B27="","",MAX(0,J27-I27+1))</f>
        <v/>
      </c>
      <c r="L27" s="110" t="str">
        <f aca="false">IF($B27="","",F27/cfg_DAYS_Y*K27)</f>
        <v/>
      </c>
      <c r="M27" s="110" t="str">
        <f aca="false">IF($B27="","",SUMIFS('الحركات الشهرية'!$K$6:$K$1005,'الحركات الشهرية'!$B$6:$B$1005,B27,'الحركات الشهرية'!$A$6:$A$1005,"&lt;="&amp;cfg_VAL_M))</f>
        <v/>
      </c>
      <c r="N27" s="110" t="str">
        <f aca="false">IF($B27="","",SUMIFS('الحركات الشهرية'!$L$6:$L$1005,'الحركات الشهرية'!$B$6:$B$1005,B27,'الحركات الشهرية'!$A$6:$A$1005,"&lt;="&amp;cfg_VAL_M))</f>
        <v/>
      </c>
      <c r="O27" s="110" t="str">
        <f aca="false">IF($B27="","",H27+L27-M27-N27)</f>
        <v/>
      </c>
      <c r="P27" s="112" t="str">
        <f aca="false">IF($B27="","",O27*G27)</f>
        <v/>
      </c>
      <c r="Q27" s="90" t="str">
        <f aca="false">IF($B27="","",H27*G27)</f>
        <v/>
      </c>
      <c r="R27" s="90" t="str">
        <f aca="false">IF($B27="","",(M27+N27)*G27)</f>
        <v/>
      </c>
      <c r="S27" s="91" t="str">
        <f aca="false">IF($B27="","",IF(O27&lt;-0.01,"✖ رصيد سالب",IF(O27&gt;F27*2,"⚠ رصيد مرتفع (أكثر من سنتين)",IF(AND(الموظفون!$X27&lt;&gt;"",الموظفون!$X27&lt;=cfg_VAL_DATE,O27&gt;0.01),"⚠ منتهي الخدمة برصيد","✔ سليم"))))</f>
        <v/>
      </c>
    </row>
    <row r="28" customFormat="false" ht="15" hidden="false" customHeight="false" outlineLevel="0" collapsed="false">
      <c r="B28" s="74" t="str">
        <f aca="false">IF(الموظفون!$B28="","",الموظفون!$B28)</f>
        <v/>
      </c>
      <c r="C28" s="74" t="str">
        <f aca="false">IF($B28="","",الموظفون!$C28)</f>
        <v/>
      </c>
      <c r="D28" s="127" t="str">
        <f aca="false">IF($B28="","",الموظفون!$H28)</f>
        <v/>
      </c>
      <c r="E28" s="132" t="str">
        <f aca="false">IF($B28="","",MAX(0,J28-D28+1)/cfg_DAYS_Y)</f>
        <v/>
      </c>
      <c r="F28" s="51" t="str">
        <f aca="false">IF($B28="","",IF(الموظفون!$R28&lt;&gt;"",الموظفون!$R28,IF(E28&gt;=cfg_LV_TH,cfg_LV_D2,cfg_LV_D1)))</f>
        <v/>
      </c>
      <c r="G28" s="86" t="str">
        <f aca="false">IF($B28="","",الموظفون!$P28/cfg_DAYS_M)</f>
        <v/>
      </c>
      <c r="H28" s="105" t="str">
        <f aca="false">IF($B28="","",N(الموظفون!$V28))</f>
        <v/>
      </c>
      <c r="I28" s="127" t="str">
        <f aca="false">IF($B28="","",MAX(cfg_Y_START,D28))</f>
        <v/>
      </c>
      <c r="J28" s="127" t="str">
        <f aca="false">IF($B28="","",IF(OR(الموظفون!$X28="",الموظفون!$X28&gt;cfg_VAL_DATE),cfg_VAL_DATE,الموظفون!$X28))</f>
        <v/>
      </c>
      <c r="K28" s="51" t="str">
        <f aca="false">IF($B28="","",MAX(0,J28-I28+1))</f>
        <v/>
      </c>
      <c r="L28" s="105" t="str">
        <f aca="false">IF($B28="","",F28/cfg_DAYS_Y*K28)</f>
        <v/>
      </c>
      <c r="M28" s="105" t="str">
        <f aca="false">IF($B28="","",SUMIFS('الحركات الشهرية'!$K$6:$K$1005,'الحركات الشهرية'!$B$6:$B$1005,B28,'الحركات الشهرية'!$A$6:$A$1005,"&lt;="&amp;cfg_VAL_M))</f>
        <v/>
      </c>
      <c r="N28" s="105" t="str">
        <f aca="false">IF($B28="","",SUMIFS('الحركات الشهرية'!$L$6:$L$1005,'الحركات الشهرية'!$B$6:$B$1005,B28,'الحركات الشهرية'!$A$6:$A$1005,"&lt;="&amp;cfg_VAL_M))</f>
        <v/>
      </c>
      <c r="O28" s="105" t="str">
        <f aca="false">IF($B28="","",H28+L28-M28-N28)</f>
        <v/>
      </c>
      <c r="P28" s="107" t="str">
        <f aca="false">IF($B28="","",O28*G28)</f>
        <v/>
      </c>
      <c r="Q28" s="86" t="str">
        <f aca="false">IF($B28="","",H28*G28)</f>
        <v/>
      </c>
      <c r="R28" s="86" t="str">
        <f aca="false">IF($B28="","",(M28+N28)*G28)</f>
        <v/>
      </c>
      <c r="S28" s="74" t="str">
        <f aca="false">IF($B28="","",IF(O28&lt;-0.01,"✖ رصيد سالب",IF(O28&gt;F28*2,"⚠ رصيد مرتفع (أكثر من سنتين)",IF(AND(الموظفون!$X28&lt;&gt;"",الموظفون!$X28&lt;=cfg_VAL_DATE,O28&gt;0.01),"⚠ منتهي الخدمة برصيد","✔ سليم"))))</f>
        <v/>
      </c>
    </row>
    <row r="29" customFormat="false" ht="15" hidden="false" customHeight="false" outlineLevel="0" collapsed="false">
      <c r="B29" s="91" t="str">
        <f aca="false">IF(الموظفون!$B29="","",الموظفون!$B29)</f>
        <v/>
      </c>
      <c r="C29" s="91" t="str">
        <f aca="false">IF($B29="","",الموظفون!$C29)</f>
        <v/>
      </c>
      <c r="D29" s="129" t="str">
        <f aca="false">IF($B29="","",الموظفون!$H29)</f>
        <v/>
      </c>
      <c r="E29" s="133" t="str">
        <f aca="false">IF($B29="","",MAX(0,J29-D29+1)/cfg_DAYS_Y)</f>
        <v/>
      </c>
      <c r="F29" s="115" t="str">
        <f aca="false">IF($B29="","",IF(الموظفون!$R29&lt;&gt;"",الموظفون!$R29,IF(E29&gt;=cfg_LV_TH,cfg_LV_D2,cfg_LV_D1)))</f>
        <v/>
      </c>
      <c r="G29" s="90" t="str">
        <f aca="false">IF($B29="","",الموظفون!$P29/cfg_DAYS_M)</f>
        <v/>
      </c>
      <c r="H29" s="110" t="str">
        <f aca="false">IF($B29="","",N(الموظفون!$V29))</f>
        <v/>
      </c>
      <c r="I29" s="129" t="str">
        <f aca="false">IF($B29="","",MAX(cfg_Y_START,D29))</f>
        <v/>
      </c>
      <c r="J29" s="129" t="str">
        <f aca="false">IF($B29="","",IF(OR(الموظفون!$X29="",الموظفون!$X29&gt;cfg_VAL_DATE),cfg_VAL_DATE,الموظفون!$X29))</f>
        <v/>
      </c>
      <c r="K29" s="115" t="str">
        <f aca="false">IF($B29="","",MAX(0,J29-I29+1))</f>
        <v/>
      </c>
      <c r="L29" s="110" t="str">
        <f aca="false">IF($B29="","",F29/cfg_DAYS_Y*K29)</f>
        <v/>
      </c>
      <c r="M29" s="110" t="str">
        <f aca="false">IF($B29="","",SUMIFS('الحركات الشهرية'!$K$6:$K$1005,'الحركات الشهرية'!$B$6:$B$1005,B29,'الحركات الشهرية'!$A$6:$A$1005,"&lt;="&amp;cfg_VAL_M))</f>
        <v/>
      </c>
      <c r="N29" s="110" t="str">
        <f aca="false">IF($B29="","",SUMIFS('الحركات الشهرية'!$L$6:$L$1005,'الحركات الشهرية'!$B$6:$B$1005,B29,'الحركات الشهرية'!$A$6:$A$1005,"&lt;="&amp;cfg_VAL_M))</f>
        <v/>
      </c>
      <c r="O29" s="110" t="str">
        <f aca="false">IF($B29="","",H29+L29-M29-N29)</f>
        <v/>
      </c>
      <c r="P29" s="112" t="str">
        <f aca="false">IF($B29="","",O29*G29)</f>
        <v/>
      </c>
      <c r="Q29" s="90" t="str">
        <f aca="false">IF($B29="","",H29*G29)</f>
        <v/>
      </c>
      <c r="R29" s="90" t="str">
        <f aca="false">IF($B29="","",(M29+N29)*G29)</f>
        <v/>
      </c>
      <c r="S29" s="91" t="str">
        <f aca="false">IF($B29="","",IF(O29&lt;-0.01,"✖ رصيد سالب",IF(O29&gt;F29*2,"⚠ رصيد مرتفع (أكثر من سنتين)",IF(AND(الموظفون!$X29&lt;&gt;"",الموظفون!$X29&lt;=cfg_VAL_DATE,O29&gt;0.01),"⚠ منتهي الخدمة برصيد","✔ سليم"))))</f>
        <v/>
      </c>
    </row>
    <row r="30" customFormat="false" ht="15" hidden="false" customHeight="false" outlineLevel="0" collapsed="false">
      <c r="B30" s="74" t="str">
        <f aca="false">IF(الموظفون!$B30="","",الموظفون!$B30)</f>
        <v/>
      </c>
      <c r="C30" s="74" t="str">
        <f aca="false">IF($B30="","",الموظفون!$C30)</f>
        <v/>
      </c>
      <c r="D30" s="127" t="str">
        <f aca="false">IF($B30="","",الموظفون!$H30)</f>
        <v/>
      </c>
      <c r="E30" s="132" t="str">
        <f aca="false">IF($B30="","",MAX(0,J30-D30+1)/cfg_DAYS_Y)</f>
        <v/>
      </c>
      <c r="F30" s="51" t="str">
        <f aca="false">IF($B30="","",IF(الموظفون!$R30&lt;&gt;"",الموظفون!$R30,IF(E30&gt;=cfg_LV_TH,cfg_LV_D2,cfg_LV_D1)))</f>
        <v/>
      </c>
      <c r="G30" s="86" t="str">
        <f aca="false">IF($B30="","",الموظفون!$P30/cfg_DAYS_M)</f>
        <v/>
      </c>
      <c r="H30" s="105" t="str">
        <f aca="false">IF($B30="","",N(الموظفون!$V30))</f>
        <v/>
      </c>
      <c r="I30" s="127" t="str">
        <f aca="false">IF($B30="","",MAX(cfg_Y_START,D30))</f>
        <v/>
      </c>
      <c r="J30" s="127" t="str">
        <f aca="false">IF($B30="","",IF(OR(الموظفون!$X30="",الموظفون!$X30&gt;cfg_VAL_DATE),cfg_VAL_DATE,الموظفون!$X30))</f>
        <v/>
      </c>
      <c r="K30" s="51" t="str">
        <f aca="false">IF($B30="","",MAX(0,J30-I30+1))</f>
        <v/>
      </c>
      <c r="L30" s="105" t="str">
        <f aca="false">IF($B30="","",F30/cfg_DAYS_Y*K30)</f>
        <v/>
      </c>
      <c r="M30" s="105" t="str">
        <f aca="false">IF($B30="","",SUMIFS('الحركات الشهرية'!$K$6:$K$1005,'الحركات الشهرية'!$B$6:$B$1005,B30,'الحركات الشهرية'!$A$6:$A$1005,"&lt;="&amp;cfg_VAL_M))</f>
        <v/>
      </c>
      <c r="N30" s="105" t="str">
        <f aca="false">IF($B30="","",SUMIFS('الحركات الشهرية'!$L$6:$L$1005,'الحركات الشهرية'!$B$6:$B$1005,B30,'الحركات الشهرية'!$A$6:$A$1005,"&lt;="&amp;cfg_VAL_M))</f>
        <v/>
      </c>
      <c r="O30" s="105" t="str">
        <f aca="false">IF($B30="","",H30+L30-M30-N30)</f>
        <v/>
      </c>
      <c r="P30" s="107" t="str">
        <f aca="false">IF($B30="","",O30*G30)</f>
        <v/>
      </c>
      <c r="Q30" s="86" t="str">
        <f aca="false">IF($B30="","",H30*G30)</f>
        <v/>
      </c>
      <c r="R30" s="86" t="str">
        <f aca="false">IF($B30="","",(M30+N30)*G30)</f>
        <v/>
      </c>
      <c r="S30" s="74" t="str">
        <f aca="false">IF($B30="","",IF(O30&lt;-0.01,"✖ رصيد سالب",IF(O30&gt;F30*2,"⚠ رصيد مرتفع (أكثر من سنتين)",IF(AND(الموظفون!$X30&lt;&gt;"",الموظفون!$X30&lt;=cfg_VAL_DATE,O30&gt;0.01),"⚠ منتهي الخدمة برصيد","✔ سليم"))))</f>
        <v/>
      </c>
    </row>
    <row r="31" customFormat="false" ht="15" hidden="false" customHeight="false" outlineLevel="0" collapsed="false">
      <c r="B31" s="91" t="str">
        <f aca="false">IF(الموظفون!$B31="","",الموظفون!$B31)</f>
        <v/>
      </c>
      <c r="C31" s="91" t="str">
        <f aca="false">IF($B31="","",الموظفون!$C31)</f>
        <v/>
      </c>
      <c r="D31" s="129" t="str">
        <f aca="false">IF($B31="","",الموظفون!$H31)</f>
        <v/>
      </c>
      <c r="E31" s="133" t="str">
        <f aca="false">IF($B31="","",MAX(0,J31-D31+1)/cfg_DAYS_Y)</f>
        <v/>
      </c>
      <c r="F31" s="115" t="str">
        <f aca="false">IF($B31="","",IF(الموظفون!$R31&lt;&gt;"",الموظفون!$R31,IF(E31&gt;=cfg_LV_TH,cfg_LV_D2,cfg_LV_D1)))</f>
        <v/>
      </c>
      <c r="G31" s="90" t="str">
        <f aca="false">IF($B31="","",الموظفون!$P31/cfg_DAYS_M)</f>
        <v/>
      </c>
      <c r="H31" s="110" t="str">
        <f aca="false">IF($B31="","",N(الموظفون!$V31))</f>
        <v/>
      </c>
      <c r="I31" s="129" t="str">
        <f aca="false">IF($B31="","",MAX(cfg_Y_START,D31))</f>
        <v/>
      </c>
      <c r="J31" s="129" t="str">
        <f aca="false">IF($B31="","",IF(OR(الموظفون!$X31="",الموظفون!$X31&gt;cfg_VAL_DATE),cfg_VAL_DATE,الموظفون!$X31))</f>
        <v/>
      </c>
      <c r="K31" s="115" t="str">
        <f aca="false">IF($B31="","",MAX(0,J31-I31+1))</f>
        <v/>
      </c>
      <c r="L31" s="110" t="str">
        <f aca="false">IF($B31="","",F31/cfg_DAYS_Y*K31)</f>
        <v/>
      </c>
      <c r="M31" s="110" t="str">
        <f aca="false">IF($B31="","",SUMIFS('الحركات الشهرية'!$K$6:$K$1005,'الحركات الشهرية'!$B$6:$B$1005,B31,'الحركات الشهرية'!$A$6:$A$1005,"&lt;="&amp;cfg_VAL_M))</f>
        <v/>
      </c>
      <c r="N31" s="110" t="str">
        <f aca="false">IF($B31="","",SUMIFS('الحركات الشهرية'!$L$6:$L$1005,'الحركات الشهرية'!$B$6:$B$1005,B31,'الحركات الشهرية'!$A$6:$A$1005,"&lt;="&amp;cfg_VAL_M))</f>
        <v/>
      </c>
      <c r="O31" s="110" t="str">
        <f aca="false">IF($B31="","",H31+L31-M31-N31)</f>
        <v/>
      </c>
      <c r="P31" s="112" t="str">
        <f aca="false">IF($B31="","",O31*G31)</f>
        <v/>
      </c>
      <c r="Q31" s="90" t="str">
        <f aca="false">IF($B31="","",H31*G31)</f>
        <v/>
      </c>
      <c r="R31" s="90" t="str">
        <f aca="false">IF($B31="","",(M31+N31)*G31)</f>
        <v/>
      </c>
      <c r="S31" s="91" t="str">
        <f aca="false">IF($B31="","",IF(O31&lt;-0.01,"✖ رصيد سالب",IF(O31&gt;F31*2,"⚠ رصيد مرتفع (أكثر من سنتين)",IF(AND(الموظفون!$X31&lt;&gt;"",الموظفون!$X31&lt;=cfg_VAL_DATE,O31&gt;0.01),"⚠ منتهي الخدمة برصيد","✔ سليم"))))</f>
        <v/>
      </c>
    </row>
    <row r="32" customFormat="false" ht="15" hidden="false" customHeight="false" outlineLevel="0" collapsed="false">
      <c r="B32" s="74" t="str">
        <f aca="false">IF(الموظفون!$B32="","",الموظفون!$B32)</f>
        <v/>
      </c>
      <c r="C32" s="74" t="str">
        <f aca="false">IF($B32="","",الموظفون!$C32)</f>
        <v/>
      </c>
      <c r="D32" s="127" t="str">
        <f aca="false">IF($B32="","",الموظفون!$H32)</f>
        <v/>
      </c>
      <c r="E32" s="132" t="str">
        <f aca="false">IF($B32="","",MAX(0,J32-D32+1)/cfg_DAYS_Y)</f>
        <v/>
      </c>
      <c r="F32" s="51" t="str">
        <f aca="false">IF($B32="","",IF(الموظفون!$R32&lt;&gt;"",الموظفون!$R32,IF(E32&gt;=cfg_LV_TH,cfg_LV_D2,cfg_LV_D1)))</f>
        <v/>
      </c>
      <c r="G32" s="86" t="str">
        <f aca="false">IF($B32="","",الموظفون!$P32/cfg_DAYS_M)</f>
        <v/>
      </c>
      <c r="H32" s="105" t="str">
        <f aca="false">IF($B32="","",N(الموظفون!$V32))</f>
        <v/>
      </c>
      <c r="I32" s="127" t="str">
        <f aca="false">IF($B32="","",MAX(cfg_Y_START,D32))</f>
        <v/>
      </c>
      <c r="J32" s="127" t="str">
        <f aca="false">IF($B32="","",IF(OR(الموظفون!$X32="",الموظفون!$X32&gt;cfg_VAL_DATE),cfg_VAL_DATE,الموظفون!$X32))</f>
        <v/>
      </c>
      <c r="K32" s="51" t="str">
        <f aca="false">IF($B32="","",MAX(0,J32-I32+1))</f>
        <v/>
      </c>
      <c r="L32" s="105" t="str">
        <f aca="false">IF($B32="","",F32/cfg_DAYS_Y*K32)</f>
        <v/>
      </c>
      <c r="M32" s="105" t="str">
        <f aca="false">IF($B32="","",SUMIFS('الحركات الشهرية'!$K$6:$K$1005,'الحركات الشهرية'!$B$6:$B$1005,B32,'الحركات الشهرية'!$A$6:$A$1005,"&lt;="&amp;cfg_VAL_M))</f>
        <v/>
      </c>
      <c r="N32" s="105" t="str">
        <f aca="false">IF($B32="","",SUMIFS('الحركات الشهرية'!$L$6:$L$1005,'الحركات الشهرية'!$B$6:$B$1005,B32,'الحركات الشهرية'!$A$6:$A$1005,"&lt;="&amp;cfg_VAL_M))</f>
        <v/>
      </c>
      <c r="O32" s="105" t="str">
        <f aca="false">IF($B32="","",H32+L32-M32-N32)</f>
        <v/>
      </c>
      <c r="P32" s="107" t="str">
        <f aca="false">IF($B32="","",O32*G32)</f>
        <v/>
      </c>
      <c r="Q32" s="86" t="str">
        <f aca="false">IF($B32="","",H32*G32)</f>
        <v/>
      </c>
      <c r="R32" s="86" t="str">
        <f aca="false">IF($B32="","",(M32+N32)*G32)</f>
        <v/>
      </c>
      <c r="S32" s="74" t="str">
        <f aca="false">IF($B32="","",IF(O32&lt;-0.01,"✖ رصيد سالب",IF(O32&gt;F32*2,"⚠ رصيد مرتفع (أكثر من سنتين)",IF(AND(الموظفون!$X32&lt;&gt;"",الموظفون!$X32&lt;=cfg_VAL_DATE,O32&gt;0.01),"⚠ منتهي الخدمة برصيد","✔ سليم"))))</f>
        <v/>
      </c>
    </row>
    <row r="33" customFormat="false" ht="15" hidden="false" customHeight="false" outlineLevel="0" collapsed="false">
      <c r="B33" s="91" t="str">
        <f aca="false">IF(الموظفون!$B33="","",الموظفون!$B33)</f>
        <v/>
      </c>
      <c r="C33" s="91" t="str">
        <f aca="false">IF($B33="","",الموظفون!$C33)</f>
        <v/>
      </c>
      <c r="D33" s="129" t="str">
        <f aca="false">IF($B33="","",الموظفون!$H33)</f>
        <v/>
      </c>
      <c r="E33" s="133" t="str">
        <f aca="false">IF($B33="","",MAX(0,J33-D33+1)/cfg_DAYS_Y)</f>
        <v/>
      </c>
      <c r="F33" s="115" t="str">
        <f aca="false">IF($B33="","",IF(الموظفون!$R33&lt;&gt;"",الموظفون!$R33,IF(E33&gt;=cfg_LV_TH,cfg_LV_D2,cfg_LV_D1)))</f>
        <v/>
      </c>
      <c r="G33" s="90" t="str">
        <f aca="false">IF($B33="","",الموظفون!$P33/cfg_DAYS_M)</f>
        <v/>
      </c>
      <c r="H33" s="110" t="str">
        <f aca="false">IF($B33="","",N(الموظفون!$V33))</f>
        <v/>
      </c>
      <c r="I33" s="129" t="str">
        <f aca="false">IF($B33="","",MAX(cfg_Y_START,D33))</f>
        <v/>
      </c>
      <c r="J33" s="129" t="str">
        <f aca="false">IF($B33="","",IF(OR(الموظفون!$X33="",الموظفون!$X33&gt;cfg_VAL_DATE),cfg_VAL_DATE,الموظفون!$X33))</f>
        <v/>
      </c>
      <c r="K33" s="115" t="str">
        <f aca="false">IF($B33="","",MAX(0,J33-I33+1))</f>
        <v/>
      </c>
      <c r="L33" s="110" t="str">
        <f aca="false">IF($B33="","",F33/cfg_DAYS_Y*K33)</f>
        <v/>
      </c>
      <c r="M33" s="110" t="str">
        <f aca="false">IF($B33="","",SUMIFS('الحركات الشهرية'!$K$6:$K$1005,'الحركات الشهرية'!$B$6:$B$1005,B33,'الحركات الشهرية'!$A$6:$A$1005,"&lt;="&amp;cfg_VAL_M))</f>
        <v/>
      </c>
      <c r="N33" s="110" t="str">
        <f aca="false">IF($B33="","",SUMIFS('الحركات الشهرية'!$L$6:$L$1005,'الحركات الشهرية'!$B$6:$B$1005,B33,'الحركات الشهرية'!$A$6:$A$1005,"&lt;="&amp;cfg_VAL_M))</f>
        <v/>
      </c>
      <c r="O33" s="110" t="str">
        <f aca="false">IF($B33="","",H33+L33-M33-N33)</f>
        <v/>
      </c>
      <c r="P33" s="112" t="str">
        <f aca="false">IF($B33="","",O33*G33)</f>
        <v/>
      </c>
      <c r="Q33" s="90" t="str">
        <f aca="false">IF($B33="","",H33*G33)</f>
        <v/>
      </c>
      <c r="R33" s="90" t="str">
        <f aca="false">IF($B33="","",(M33+N33)*G33)</f>
        <v/>
      </c>
      <c r="S33" s="91" t="str">
        <f aca="false">IF($B33="","",IF(O33&lt;-0.01,"✖ رصيد سالب",IF(O33&gt;F33*2,"⚠ رصيد مرتفع (أكثر من سنتين)",IF(AND(الموظفون!$X33&lt;&gt;"",الموظفون!$X33&lt;=cfg_VAL_DATE,O33&gt;0.01),"⚠ منتهي الخدمة برصيد","✔ سليم"))))</f>
        <v/>
      </c>
    </row>
    <row r="34" customFormat="false" ht="15" hidden="false" customHeight="false" outlineLevel="0" collapsed="false">
      <c r="B34" s="74" t="str">
        <f aca="false">IF(الموظفون!$B34="","",الموظفون!$B34)</f>
        <v/>
      </c>
      <c r="C34" s="74" t="str">
        <f aca="false">IF($B34="","",الموظفون!$C34)</f>
        <v/>
      </c>
      <c r="D34" s="127" t="str">
        <f aca="false">IF($B34="","",الموظفون!$H34)</f>
        <v/>
      </c>
      <c r="E34" s="132" t="str">
        <f aca="false">IF($B34="","",MAX(0,J34-D34+1)/cfg_DAYS_Y)</f>
        <v/>
      </c>
      <c r="F34" s="51" t="str">
        <f aca="false">IF($B34="","",IF(الموظفون!$R34&lt;&gt;"",الموظفون!$R34,IF(E34&gt;=cfg_LV_TH,cfg_LV_D2,cfg_LV_D1)))</f>
        <v/>
      </c>
      <c r="G34" s="86" t="str">
        <f aca="false">IF($B34="","",الموظفون!$P34/cfg_DAYS_M)</f>
        <v/>
      </c>
      <c r="H34" s="105" t="str">
        <f aca="false">IF($B34="","",N(الموظفون!$V34))</f>
        <v/>
      </c>
      <c r="I34" s="127" t="str">
        <f aca="false">IF($B34="","",MAX(cfg_Y_START,D34))</f>
        <v/>
      </c>
      <c r="J34" s="127" t="str">
        <f aca="false">IF($B34="","",IF(OR(الموظفون!$X34="",الموظفون!$X34&gt;cfg_VAL_DATE),cfg_VAL_DATE,الموظفون!$X34))</f>
        <v/>
      </c>
      <c r="K34" s="51" t="str">
        <f aca="false">IF($B34="","",MAX(0,J34-I34+1))</f>
        <v/>
      </c>
      <c r="L34" s="105" t="str">
        <f aca="false">IF($B34="","",F34/cfg_DAYS_Y*K34)</f>
        <v/>
      </c>
      <c r="M34" s="105" t="str">
        <f aca="false">IF($B34="","",SUMIFS('الحركات الشهرية'!$K$6:$K$1005,'الحركات الشهرية'!$B$6:$B$1005,B34,'الحركات الشهرية'!$A$6:$A$1005,"&lt;="&amp;cfg_VAL_M))</f>
        <v/>
      </c>
      <c r="N34" s="105" t="str">
        <f aca="false">IF($B34="","",SUMIFS('الحركات الشهرية'!$L$6:$L$1005,'الحركات الشهرية'!$B$6:$B$1005,B34,'الحركات الشهرية'!$A$6:$A$1005,"&lt;="&amp;cfg_VAL_M))</f>
        <v/>
      </c>
      <c r="O34" s="105" t="str">
        <f aca="false">IF($B34="","",H34+L34-M34-N34)</f>
        <v/>
      </c>
      <c r="P34" s="107" t="str">
        <f aca="false">IF($B34="","",O34*G34)</f>
        <v/>
      </c>
      <c r="Q34" s="86" t="str">
        <f aca="false">IF($B34="","",H34*G34)</f>
        <v/>
      </c>
      <c r="R34" s="86" t="str">
        <f aca="false">IF($B34="","",(M34+N34)*G34)</f>
        <v/>
      </c>
      <c r="S34" s="74" t="str">
        <f aca="false">IF($B34="","",IF(O34&lt;-0.01,"✖ رصيد سالب",IF(O34&gt;F34*2,"⚠ رصيد مرتفع (أكثر من سنتين)",IF(AND(الموظفون!$X34&lt;&gt;"",الموظفون!$X34&lt;=cfg_VAL_DATE,O34&gt;0.01),"⚠ منتهي الخدمة برصيد","✔ سليم"))))</f>
        <v/>
      </c>
    </row>
    <row r="35" customFormat="false" ht="15" hidden="false" customHeight="false" outlineLevel="0" collapsed="false">
      <c r="B35" s="91" t="str">
        <f aca="false">IF(الموظفون!$B35="","",الموظفون!$B35)</f>
        <v/>
      </c>
      <c r="C35" s="91" t="str">
        <f aca="false">IF($B35="","",الموظفون!$C35)</f>
        <v/>
      </c>
      <c r="D35" s="129" t="str">
        <f aca="false">IF($B35="","",الموظفون!$H35)</f>
        <v/>
      </c>
      <c r="E35" s="133" t="str">
        <f aca="false">IF($B35="","",MAX(0,J35-D35+1)/cfg_DAYS_Y)</f>
        <v/>
      </c>
      <c r="F35" s="115" t="str">
        <f aca="false">IF($B35="","",IF(الموظفون!$R35&lt;&gt;"",الموظفون!$R35,IF(E35&gt;=cfg_LV_TH,cfg_LV_D2,cfg_LV_D1)))</f>
        <v/>
      </c>
      <c r="G35" s="90" t="str">
        <f aca="false">IF($B35="","",الموظفون!$P35/cfg_DAYS_M)</f>
        <v/>
      </c>
      <c r="H35" s="110" t="str">
        <f aca="false">IF($B35="","",N(الموظفون!$V35))</f>
        <v/>
      </c>
      <c r="I35" s="129" t="str">
        <f aca="false">IF($B35="","",MAX(cfg_Y_START,D35))</f>
        <v/>
      </c>
      <c r="J35" s="129" t="str">
        <f aca="false">IF($B35="","",IF(OR(الموظفون!$X35="",الموظفون!$X35&gt;cfg_VAL_DATE),cfg_VAL_DATE,الموظفون!$X35))</f>
        <v/>
      </c>
      <c r="K35" s="115" t="str">
        <f aca="false">IF($B35="","",MAX(0,J35-I35+1))</f>
        <v/>
      </c>
      <c r="L35" s="110" t="str">
        <f aca="false">IF($B35="","",F35/cfg_DAYS_Y*K35)</f>
        <v/>
      </c>
      <c r="M35" s="110" t="str">
        <f aca="false">IF($B35="","",SUMIFS('الحركات الشهرية'!$K$6:$K$1005,'الحركات الشهرية'!$B$6:$B$1005,B35,'الحركات الشهرية'!$A$6:$A$1005,"&lt;="&amp;cfg_VAL_M))</f>
        <v/>
      </c>
      <c r="N35" s="110" t="str">
        <f aca="false">IF($B35="","",SUMIFS('الحركات الشهرية'!$L$6:$L$1005,'الحركات الشهرية'!$B$6:$B$1005,B35,'الحركات الشهرية'!$A$6:$A$1005,"&lt;="&amp;cfg_VAL_M))</f>
        <v/>
      </c>
      <c r="O35" s="110" t="str">
        <f aca="false">IF($B35="","",H35+L35-M35-N35)</f>
        <v/>
      </c>
      <c r="P35" s="112" t="str">
        <f aca="false">IF($B35="","",O35*G35)</f>
        <v/>
      </c>
      <c r="Q35" s="90" t="str">
        <f aca="false">IF($B35="","",H35*G35)</f>
        <v/>
      </c>
      <c r="R35" s="90" t="str">
        <f aca="false">IF($B35="","",(M35+N35)*G35)</f>
        <v/>
      </c>
      <c r="S35" s="91" t="str">
        <f aca="false">IF($B35="","",IF(O35&lt;-0.01,"✖ رصيد سالب",IF(O35&gt;F35*2,"⚠ رصيد مرتفع (أكثر من سنتين)",IF(AND(الموظفون!$X35&lt;&gt;"",الموظفون!$X35&lt;=cfg_VAL_DATE,O35&gt;0.01),"⚠ منتهي الخدمة برصيد","✔ سليم"))))</f>
        <v/>
      </c>
    </row>
    <row r="36" customFormat="false" ht="15" hidden="false" customHeight="false" outlineLevel="0" collapsed="false">
      <c r="B36" s="74" t="str">
        <f aca="false">IF(الموظفون!$B36="","",الموظفون!$B36)</f>
        <v/>
      </c>
      <c r="C36" s="74" t="str">
        <f aca="false">IF($B36="","",الموظفون!$C36)</f>
        <v/>
      </c>
      <c r="D36" s="127" t="str">
        <f aca="false">IF($B36="","",الموظفون!$H36)</f>
        <v/>
      </c>
      <c r="E36" s="132" t="str">
        <f aca="false">IF($B36="","",MAX(0,J36-D36+1)/cfg_DAYS_Y)</f>
        <v/>
      </c>
      <c r="F36" s="51" t="str">
        <f aca="false">IF($B36="","",IF(الموظفون!$R36&lt;&gt;"",الموظفون!$R36,IF(E36&gt;=cfg_LV_TH,cfg_LV_D2,cfg_LV_D1)))</f>
        <v/>
      </c>
      <c r="G36" s="86" t="str">
        <f aca="false">IF($B36="","",الموظفون!$P36/cfg_DAYS_M)</f>
        <v/>
      </c>
      <c r="H36" s="105" t="str">
        <f aca="false">IF($B36="","",N(الموظفون!$V36))</f>
        <v/>
      </c>
      <c r="I36" s="127" t="str">
        <f aca="false">IF($B36="","",MAX(cfg_Y_START,D36))</f>
        <v/>
      </c>
      <c r="J36" s="127" t="str">
        <f aca="false">IF($B36="","",IF(OR(الموظفون!$X36="",الموظفون!$X36&gt;cfg_VAL_DATE),cfg_VAL_DATE,الموظفون!$X36))</f>
        <v/>
      </c>
      <c r="K36" s="51" t="str">
        <f aca="false">IF($B36="","",MAX(0,J36-I36+1))</f>
        <v/>
      </c>
      <c r="L36" s="105" t="str">
        <f aca="false">IF($B36="","",F36/cfg_DAYS_Y*K36)</f>
        <v/>
      </c>
      <c r="M36" s="105" t="str">
        <f aca="false">IF($B36="","",SUMIFS('الحركات الشهرية'!$K$6:$K$1005,'الحركات الشهرية'!$B$6:$B$1005,B36,'الحركات الشهرية'!$A$6:$A$1005,"&lt;="&amp;cfg_VAL_M))</f>
        <v/>
      </c>
      <c r="N36" s="105" t="str">
        <f aca="false">IF($B36="","",SUMIFS('الحركات الشهرية'!$L$6:$L$1005,'الحركات الشهرية'!$B$6:$B$1005,B36,'الحركات الشهرية'!$A$6:$A$1005,"&lt;="&amp;cfg_VAL_M))</f>
        <v/>
      </c>
      <c r="O36" s="105" t="str">
        <f aca="false">IF($B36="","",H36+L36-M36-N36)</f>
        <v/>
      </c>
      <c r="P36" s="107" t="str">
        <f aca="false">IF($B36="","",O36*G36)</f>
        <v/>
      </c>
      <c r="Q36" s="86" t="str">
        <f aca="false">IF($B36="","",H36*G36)</f>
        <v/>
      </c>
      <c r="R36" s="86" t="str">
        <f aca="false">IF($B36="","",(M36+N36)*G36)</f>
        <v/>
      </c>
      <c r="S36" s="74" t="str">
        <f aca="false">IF($B36="","",IF(O36&lt;-0.01,"✖ رصيد سالب",IF(O36&gt;F36*2,"⚠ رصيد مرتفع (أكثر من سنتين)",IF(AND(الموظفون!$X36&lt;&gt;"",الموظفون!$X36&lt;=cfg_VAL_DATE,O36&gt;0.01),"⚠ منتهي الخدمة برصيد","✔ سليم"))))</f>
        <v/>
      </c>
    </row>
    <row r="37" customFormat="false" ht="15" hidden="false" customHeight="false" outlineLevel="0" collapsed="false">
      <c r="B37" s="91" t="str">
        <f aca="false">IF(الموظفون!$B37="","",الموظفون!$B37)</f>
        <v/>
      </c>
      <c r="C37" s="91" t="str">
        <f aca="false">IF($B37="","",الموظفون!$C37)</f>
        <v/>
      </c>
      <c r="D37" s="129" t="str">
        <f aca="false">IF($B37="","",الموظفون!$H37)</f>
        <v/>
      </c>
      <c r="E37" s="133" t="str">
        <f aca="false">IF($B37="","",MAX(0,J37-D37+1)/cfg_DAYS_Y)</f>
        <v/>
      </c>
      <c r="F37" s="115" t="str">
        <f aca="false">IF($B37="","",IF(الموظفون!$R37&lt;&gt;"",الموظفون!$R37,IF(E37&gt;=cfg_LV_TH,cfg_LV_D2,cfg_LV_D1)))</f>
        <v/>
      </c>
      <c r="G37" s="90" t="str">
        <f aca="false">IF($B37="","",الموظفون!$P37/cfg_DAYS_M)</f>
        <v/>
      </c>
      <c r="H37" s="110" t="str">
        <f aca="false">IF($B37="","",N(الموظفون!$V37))</f>
        <v/>
      </c>
      <c r="I37" s="129" t="str">
        <f aca="false">IF($B37="","",MAX(cfg_Y_START,D37))</f>
        <v/>
      </c>
      <c r="J37" s="129" t="str">
        <f aca="false">IF($B37="","",IF(OR(الموظفون!$X37="",الموظفون!$X37&gt;cfg_VAL_DATE),cfg_VAL_DATE,الموظفون!$X37))</f>
        <v/>
      </c>
      <c r="K37" s="115" t="str">
        <f aca="false">IF($B37="","",MAX(0,J37-I37+1))</f>
        <v/>
      </c>
      <c r="L37" s="110" t="str">
        <f aca="false">IF($B37="","",F37/cfg_DAYS_Y*K37)</f>
        <v/>
      </c>
      <c r="M37" s="110" t="str">
        <f aca="false">IF($B37="","",SUMIFS('الحركات الشهرية'!$K$6:$K$1005,'الحركات الشهرية'!$B$6:$B$1005,B37,'الحركات الشهرية'!$A$6:$A$1005,"&lt;="&amp;cfg_VAL_M))</f>
        <v/>
      </c>
      <c r="N37" s="110" t="str">
        <f aca="false">IF($B37="","",SUMIFS('الحركات الشهرية'!$L$6:$L$1005,'الحركات الشهرية'!$B$6:$B$1005,B37,'الحركات الشهرية'!$A$6:$A$1005,"&lt;="&amp;cfg_VAL_M))</f>
        <v/>
      </c>
      <c r="O37" s="110" t="str">
        <f aca="false">IF($B37="","",H37+L37-M37-N37)</f>
        <v/>
      </c>
      <c r="P37" s="112" t="str">
        <f aca="false">IF($B37="","",O37*G37)</f>
        <v/>
      </c>
      <c r="Q37" s="90" t="str">
        <f aca="false">IF($B37="","",H37*G37)</f>
        <v/>
      </c>
      <c r="R37" s="90" t="str">
        <f aca="false">IF($B37="","",(M37+N37)*G37)</f>
        <v/>
      </c>
      <c r="S37" s="91" t="str">
        <f aca="false">IF($B37="","",IF(O37&lt;-0.01,"✖ رصيد سالب",IF(O37&gt;F37*2,"⚠ رصيد مرتفع (أكثر من سنتين)",IF(AND(الموظفون!$X37&lt;&gt;"",الموظفون!$X37&lt;=cfg_VAL_DATE,O37&gt;0.01),"⚠ منتهي الخدمة برصيد","✔ سليم"))))</f>
        <v/>
      </c>
    </row>
    <row r="38" customFormat="false" ht="15" hidden="false" customHeight="false" outlineLevel="0" collapsed="false">
      <c r="B38" s="74" t="str">
        <f aca="false">IF(الموظفون!$B38="","",الموظفون!$B38)</f>
        <v/>
      </c>
      <c r="C38" s="74" t="str">
        <f aca="false">IF($B38="","",الموظفون!$C38)</f>
        <v/>
      </c>
      <c r="D38" s="127" t="str">
        <f aca="false">IF($B38="","",الموظفون!$H38)</f>
        <v/>
      </c>
      <c r="E38" s="132" t="str">
        <f aca="false">IF($B38="","",MAX(0,J38-D38+1)/cfg_DAYS_Y)</f>
        <v/>
      </c>
      <c r="F38" s="51" t="str">
        <f aca="false">IF($B38="","",IF(الموظفون!$R38&lt;&gt;"",الموظفون!$R38,IF(E38&gt;=cfg_LV_TH,cfg_LV_D2,cfg_LV_D1)))</f>
        <v/>
      </c>
      <c r="G38" s="86" t="str">
        <f aca="false">IF($B38="","",الموظفون!$P38/cfg_DAYS_M)</f>
        <v/>
      </c>
      <c r="H38" s="105" t="str">
        <f aca="false">IF($B38="","",N(الموظفون!$V38))</f>
        <v/>
      </c>
      <c r="I38" s="127" t="str">
        <f aca="false">IF($B38="","",MAX(cfg_Y_START,D38))</f>
        <v/>
      </c>
      <c r="J38" s="127" t="str">
        <f aca="false">IF($B38="","",IF(OR(الموظفون!$X38="",الموظفون!$X38&gt;cfg_VAL_DATE),cfg_VAL_DATE,الموظفون!$X38))</f>
        <v/>
      </c>
      <c r="K38" s="51" t="str">
        <f aca="false">IF($B38="","",MAX(0,J38-I38+1))</f>
        <v/>
      </c>
      <c r="L38" s="105" t="str">
        <f aca="false">IF($B38="","",F38/cfg_DAYS_Y*K38)</f>
        <v/>
      </c>
      <c r="M38" s="105" t="str">
        <f aca="false">IF($B38="","",SUMIFS('الحركات الشهرية'!$K$6:$K$1005,'الحركات الشهرية'!$B$6:$B$1005,B38,'الحركات الشهرية'!$A$6:$A$1005,"&lt;="&amp;cfg_VAL_M))</f>
        <v/>
      </c>
      <c r="N38" s="105" t="str">
        <f aca="false">IF($B38="","",SUMIFS('الحركات الشهرية'!$L$6:$L$1005,'الحركات الشهرية'!$B$6:$B$1005,B38,'الحركات الشهرية'!$A$6:$A$1005,"&lt;="&amp;cfg_VAL_M))</f>
        <v/>
      </c>
      <c r="O38" s="105" t="str">
        <f aca="false">IF($B38="","",H38+L38-M38-N38)</f>
        <v/>
      </c>
      <c r="P38" s="107" t="str">
        <f aca="false">IF($B38="","",O38*G38)</f>
        <v/>
      </c>
      <c r="Q38" s="86" t="str">
        <f aca="false">IF($B38="","",H38*G38)</f>
        <v/>
      </c>
      <c r="R38" s="86" t="str">
        <f aca="false">IF($B38="","",(M38+N38)*G38)</f>
        <v/>
      </c>
      <c r="S38" s="74" t="str">
        <f aca="false">IF($B38="","",IF(O38&lt;-0.01,"✖ رصيد سالب",IF(O38&gt;F38*2,"⚠ رصيد مرتفع (أكثر من سنتين)",IF(AND(الموظفون!$X38&lt;&gt;"",الموظفون!$X38&lt;=cfg_VAL_DATE,O38&gt;0.01),"⚠ منتهي الخدمة برصيد","✔ سليم"))))</f>
        <v/>
      </c>
    </row>
    <row r="39" customFormat="false" ht="15" hidden="false" customHeight="false" outlineLevel="0" collapsed="false">
      <c r="B39" s="91" t="str">
        <f aca="false">IF(الموظفون!$B39="","",الموظفون!$B39)</f>
        <v/>
      </c>
      <c r="C39" s="91" t="str">
        <f aca="false">IF($B39="","",الموظفون!$C39)</f>
        <v/>
      </c>
      <c r="D39" s="129" t="str">
        <f aca="false">IF($B39="","",الموظفون!$H39)</f>
        <v/>
      </c>
      <c r="E39" s="133" t="str">
        <f aca="false">IF($B39="","",MAX(0,J39-D39+1)/cfg_DAYS_Y)</f>
        <v/>
      </c>
      <c r="F39" s="115" t="str">
        <f aca="false">IF($B39="","",IF(الموظفون!$R39&lt;&gt;"",الموظفون!$R39,IF(E39&gt;=cfg_LV_TH,cfg_LV_D2,cfg_LV_D1)))</f>
        <v/>
      </c>
      <c r="G39" s="90" t="str">
        <f aca="false">IF($B39="","",الموظفون!$P39/cfg_DAYS_M)</f>
        <v/>
      </c>
      <c r="H39" s="110" t="str">
        <f aca="false">IF($B39="","",N(الموظفون!$V39))</f>
        <v/>
      </c>
      <c r="I39" s="129" t="str">
        <f aca="false">IF($B39="","",MAX(cfg_Y_START,D39))</f>
        <v/>
      </c>
      <c r="J39" s="129" t="str">
        <f aca="false">IF($B39="","",IF(OR(الموظفون!$X39="",الموظفون!$X39&gt;cfg_VAL_DATE),cfg_VAL_DATE,الموظفون!$X39))</f>
        <v/>
      </c>
      <c r="K39" s="115" t="str">
        <f aca="false">IF($B39="","",MAX(0,J39-I39+1))</f>
        <v/>
      </c>
      <c r="L39" s="110" t="str">
        <f aca="false">IF($B39="","",F39/cfg_DAYS_Y*K39)</f>
        <v/>
      </c>
      <c r="M39" s="110" t="str">
        <f aca="false">IF($B39="","",SUMIFS('الحركات الشهرية'!$K$6:$K$1005,'الحركات الشهرية'!$B$6:$B$1005,B39,'الحركات الشهرية'!$A$6:$A$1005,"&lt;="&amp;cfg_VAL_M))</f>
        <v/>
      </c>
      <c r="N39" s="110" t="str">
        <f aca="false">IF($B39="","",SUMIFS('الحركات الشهرية'!$L$6:$L$1005,'الحركات الشهرية'!$B$6:$B$1005,B39,'الحركات الشهرية'!$A$6:$A$1005,"&lt;="&amp;cfg_VAL_M))</f>
        <v/>
      </c>
      <c r="O39" s="110" t="str">
        <f aca="false">IF($B39="","",H39+L39-M39-N39)</f>
        <v/>
      </c>
      <c r="P39" s="112" t="str">
        <f aca="false">IF($B39="","",O39*G39)</f>
        <v/>
      </c>
      <c r="Q39" s="90" t="str">
        <f aca="false">IF($B39="","",H39*G39)</f>
        <v/>
      </c>
      <c r="R39" s="90" t="str">
        <f aca="false">IF($B39="","",(M39+N39)*G39)</f>
        <v/>
      </c>
      <c r="S39" s="91" t="str">
        <f aca="false">IF($B39="","",IF(O39&lt;-0.01,"✖ رصيد سالب",IF(O39&gt;F39*2,"⚠ رصيد مرتفع (أكثر من سنتين)",IF(AND(الموظفون!$X39&lt;&gt;"",الموظفون!$X39&lt;=cfg_VAL_DATE,O39&gt;0.01),"⚠ منتهي الخدمة برصيد","✔ سليم"))))</f>
        <v/>
      </c>
    </row>
    <row r="40" customFormat="false" ht="15" hidden="false" customHeight="false" outlineLevel="0" collapsed="false">
      <c r="B40" s="74" t="str">
        <f aca="false">IF(الموظفون!$B40="","",الموظفون!$B40)</f>
        <v/>
      </c>
      <c r="C40" s="74" t="str">
        <f aca="false">IF($B40="","",الموظفون!$C40)</f>
        <v/>
      </c>
      <c r="D40" s="127" t="str">
        <f aca="false">IF($B40="","",الموظفون!$H40)</f>
        <v/>
      </c>
      <c r="E40" s="132" t="str">
        <f aca="false">IF($B40="","",MAX(0,J40-D40+1)/cfg_DAYS_Y)</f>
        <v/>
      </c>
      <c r="F40" s="51" t="str">
        <f aca="false">IF($B40="","",IF(الموظفون!$R40&lt;&gt;"",الموظفون!$R40,IF(E40&gt;=cfg_LV_TH,cfg_LV_D2,cfg_LV_D1)))</f>
        <v/>
      </c>
      <c r="G40" s="86" t="str">
        <f aca="false">IF($B40="","",الموظفون!$P40/cfg_DAYS_M)</f>
        <v/>
      </c>
      <c r="H40" s="105" t="str">
        <f aca="false">IF($B40="","",N(الموظفون!$V40))</f>
        <v/>
      </c>
      <c r="I40" s="127" t="str">
        <f aca="false">IF($B40="","",MAX(cfg_Y_START,D40))</f>
        <v/>
      </c>
      <c r="J40" s="127" t="str">
        <f aca="false">IF($B40="","",IF(OR(الموظفون!$X40="",الموظفون!$X40&gt;cfg_VAL_DATE),cfg_VAL_DATE,الموظفون!$X40))</f>
        <v/>
      </c>
      <c r="K40" s="51" t="str">
        <f aca="false">IF($B40="","",MAX(0,J40-I40+1))</f>
        <v/>
      </c>
      <c r="L40" s="105" t="str">
        <f aca="false">IF($B40="","",F40/cfg_DAYS_Y*K40)</f>
        <v/>
      </c>
      <c r="M40" s="105" t="str">
        <f aca="false">IF($B40="","",SUMIFS('الحركات الشهرية'!$K$6:$K$1005,'الحركات الشهرية'!$B$6:$B$1005,B40,'الحركات الشهرية'!$A$6:$A$1005,"&lt;="&amp;cfg_VAL_M))</f>
        <v/>
      </c>
      <c r="N40" s="105" t="str">
        <f aca="false">IF($B40="","",SUMIFS('الحركات الشهرية'!$L$6:$L$1005,'الحركات الشهرية'!$B$6:$B$1005,B40,'الحركات الشهرية'!$A$6:$A$1005,"&lt;="&amp;cfg_VAL_M))</f>
        <v/>
      </c>
      <c r="O40" s="105" t="str">
        <f aca="false">IF($B40="","",H40+L40-M40-N40)</f>
        <v/>
      </c>
      <c r="P40" s="107" t="str">
        <f aca="false">IF($B40="","",O40*G40)</f>
        <v/>
      </c>
      <c r="Q40" s="86" t="str">
        <f aca="false">IF($B40="","",H40*G40)</f>
        <v/>
      </c>
      <c r="R40" s="86" t="str">
        <f aca="false">IF($B40="","",(M40+N40)*G40)</f>
        <v/>
      </c>
      <c r="S40" s="74" t="str">
        <f aca="false">IF($B40="","",IF(O40&lt;-0.01,"✖ رصيد سالب",IF(O40&gt;F40*2,"⚠ رصيد مرتفع (أكثر من سنتين)",IF(AND(الموظفون!$X40&lt;&gt;"",الموظفون!$X40&lt;=cfg_VAL_DATE,O40&gt;0.01),"⚠ منتهي الخدمة برصيد","✔ سليم"))))</f>
        <v/>
      </c>
    </row>
    <row r="41" customFormat="false" ht="15" hidden="false" customHeight="false" outlineLevel="0" collapsed="false">
      <c r="B41" s="91" t="str">
        <f aca="false">IF(الموظفون!$B41="","",الموظفون!$B41)</f>
        <v/>
      </c>
      <c r="C41" s="91" t="str">
        <f aca="false">IF($B41="","",الموظفون!$C41)</f>
        <v/>
      </c>
      <c r="D41" s="129" t="str">
        <f aca="false">IF($B41="","",الموظفون!$H41)</f>
        <v/>
      </c>
      <c r="E41" s="133" t="str">
        <f aca="false">IF($B41="","",MAX(0,J41-D41+1)/cfg_DAYS_Y)</f>
        <v/>
      </c>
      <c r="F41" s="115" t="str">
        <f aca="false">IF($B41="","",IF(الموظفون!$R41&lt;&gt;"",الموظفون!$R41,IF(E41&gt;=cfg_LV_TH,cfg_LV_D2,cfg_LV_D1)))</f>
        <v/>
      </c>
      <c r="G41" s="90" t="str">
        <f aca="false">IF($B41="","",الموظفون!$P41/cfg_DAYS_M)</f>
        <v/>
      </c>
      <c r="H41" s="110" t="str">
        <f aca="false">IF($B41="","",N(الموظفون!$V41))</f>
        <v/>
      </c>
      <c r="I41" s="129" t="str">
        <f aca="false">IF($B41="","",MAX(cfg_Y_START,D41))</f>
        <v/>
      </c>
      <c r="J41" s="129" t="str">
        <f aca="false">IF($B41="","",IF(OR(الموظفون!$X41="",الموظفون!$X41&gt;cfg_VAL_DATE),cfg_VAL_DATE,الموظفون!$X41))</f>
        <v/>
      </c>
      <c r="K41" s="115" t="str">
        <f aca="false">IF($B41="","",MAX(0,J41-I41+1))</f>
        <v/>
      </c>
      <c r="L41" s="110" t="str">
        <f aca="false">IF($B41="","",F41/cfg_DAYS_Y*K41)</f>
        <v/>
      </c>
      <c r="M41" s="110" t="str">
        <f aca="false">IF($B41="","",SUMIFS('الحركات الشهرية'!$K$6:$K$1005,'الحركات الشهرية'!$B$6:$B$1005,B41,'الحركات الشهرية'!$A$6:$A$1005,"&lt;="&amp;cfg_VAL_M))</f>
        <v/>
      </c>
      <c r="N41" s="110" t="str">
        <f aca="false">IF($B41="","",SUMIFS('الحركات الشهرية'!$L$6:$L$1005,'الحركات الشهرية'!$B$6:$B$1005,B41,'الحركات الشهرية'!$A$6:$A$1005,"&lt;="&amp;cfg_VAL_M))</f>
        <v/>
      </c>
      <c r="O41" s="110" t="str">
        <f aca="false">IF($B41="","",H41+L41-M41-N41)</f>
        <v/>
      </c>
      <c r="P41" s="112" t="str">
        <f aca="false">IF($B41="","",O41*G41)</f>
        <v/>
      </c>
      <c r="Q41" s="90" t="str">
        <f aca="false">IF($B41="","",H41*G41)</f>
        <v/>
      </c>
      <c r="R41" s="90" t="str">
        <f aca="false">IF($B41="","",(M41+N41)*G41)</f>
        <v/>
      </c>
      <c r="S41" s="91" t="str">
        <f aca="false">IF($B41="","",IF(O41&lt;-0.01,"✖ رصيد سالب",IF(O41&gt;F41*2,"⚠ رصيد مرتفع (أكثر من سنتين)",IF(AND(الموظفون!$X41&lt;&gt;"",الموظفون!$X41&lt;=cfg_VAL_DATE,O41&gt;0.01),"⚠ منتهي الخدمة برصيد","✔ سليم"))))</f>
        <v/>
      </c>
    </row>
    <row r="42" customFormat="false" ht="15" hidden="false" customHeight="false" outlineLevel="0" collapsed="false">
      <c r="B42" s="74" t="str">
        <f aca="false">IF(الموظفون!$B42="","",الموظفون!$B42)</f>
        <v/>
      </c>
      <c r="C42" s="74" t="str">
        <f aca="false">IF($B42="","",الموظفون!$C42)</f>
        <v/>
      </c>
      <c r="D42" s="127" t="str">
        <f aca="false">IF($B42="","",الموظفون!$H42)</f>
        <v/>
      </c>
      <c r="E42" s="132" t="str">
        <f aca="false">IF($B42="","",MAX(0,J42-D42+1)/cfg_DAYS_Y)</f>
        <v/>
      </c>
      <c r="F42" s="51" t="str">
        <f aca="false">IF($B42="","",IF(الموظفون!$R42&lt;&gt;"",الموظفون!$R42,IF(E42&gt;=cfg_LV_TH,cfg_LV_D2,cfg_LV_D1)))</f>
        <v/>
      </c>
      <c r="G42" s="86" t="str">
        <f aca="false">IF($B42="","",الموظفون!$P42/cfg_DAYS_M)</f>
        <v/>
      </c>
      <c r="H42" s="105" t="str">
        <f aca="false">IF($B42="","",N(الموظفون!$V42))</f>
        <v/>
      </c>
      <c r="I42" s="127" t="str">
        <f aca="false">IF($B42="","",MAX(cfg_Y_START,D42))</f>
        <v/>
      </c>
      <c r="J42" s="127" t="str">
        <f aca="false">IF($B42="","",IF(OR(الموظفون!$X42="",الموظفون!$X42&gt;cfg_VAL_DATE),cfg_VAL_DATE,الموظفون!$X42))</f>
        <v/>
      </c>
      <c r="K42" s="51" t="str">
        <f aca="false">IF($B42="","",MAX(0,J42-I42+1))</f>
        <v/>
      </c>
      <c r="L42" s="105" t="str">
        <f aca="false">IF($B42="","",F42/cfg_DAYS_Y*K42)</f>
        <v/>
      </c>
      <c r="M42" s="105" t="str">
        <f aca="false">IF($B42="","",SUMIFS('الحركات الشهرية'!$K$6:$K$1005,'الحركات الشهرية'!$B$6:$B$1005,B42,'الحركات الشهرية'!$A$6:$A$1005,"&lt;="&amp;cfg_VAL_M))</f>
        <v/>
      </c>
      <c r="N42" s="105" t="str">
        <f aca="false">IF($B42="","",SUMIFS('الحركات الشهرية'!$L$6:$L$1005,'الحركات الشهرية'!$B$6:$B$1005,B42,'الحركات الشهرية'!$A$6:$A$1005,"&lt;="&amp;cfg_VAL_M))</f>
        <v/>
      </c>
      <c r="O42" s="105" t="str">
        <f aca="false">IF($B42="","",H42+L42-M42-N42)</f>
        <v/>
      </c>
      <c r="P42" s="107" t="str">
        <f aca="false">IF($B42="","",O42*G42)</f>
        <v/>
      </c>
      <c r="Q42" s="86" t="str">
        <f aca="false">IF($B42="","",H42*G42)</f>
        <v/>
      </c>
      <c r="R42" s="86" t="str">
        <f aca="false">IF($B42="","",(M42+N42)*G42)</f>
        <v/>
      </c>
      <c r="S42" s="74" t="str">
        <f aca="false">IF($B42="","",IF(O42&lt;-0.01,"✖ رصيد سالب",IF(O42&gt;F42*2,"⚠ رصيد مرتفع (أكثر من سنتين)",IF(AND(الموظفون!$X42&lt;&gt;"",الموظفون!$X42&lt;=cfg_VAL_DATE,O42&gt;0.01),"⚠ منتهي الخدمة برصيد","✔ سليم"))))</f>
        <v/>
      </c>
    </row>
    <row r="43" customFormat="false" ht="15" hidden="false" customHeight="false" outlineLevel="0" collapsed="false">
      <c r="B43" s="91" t="str">
        <f aca="false">IF(الموظفون!$B43="","",الموظفون!$B43)</f>
        <v/>
      </c>
      <c r="C43" s="91" t="str">
        <f aca="false">IF($B43="","",الموظفون!$C43)</f>
        <v/>
      </c>
      <c r="D43" s="129" t="str">
        <f aca="false">IF($B43="","",الموظفون!$H43)</f>
        <v/>
      </c>
      <c r="E43" s="133" t="str">
        <f aca="false">IF($B43="","",MAX(0,J43-D43+1)/cfg_DAYS_Y)</f>
        <v/>
      </c>
      <c r="F43" s="115" t="str">
        <f aca="false">IF($B43="","",IF(الموظفون!$R43&lt;&gt;"",الموظفون!$R43,IF(E43&gt;=cfg_LV_TH,cfg_LV_D2,cfg_LV_D1)))</f>
        <v/>
      </c>
      <c r="G43" s="90" t="str">
        <f aca="false">IF($B43="","",الموظفون!$P43/cfg_DAYS_M)</f>
        <v/>
      </c>
      <c r="H43" s="110" t="str">
        <f aca="false">IF($B43="","",N(الموظفون!$V43))</f>
        <v/>
      </c>
      <c r="I43" s="129" t="str">
        <f aca="false">IF($B43="","",MAX(cfg_Y_START,D43))</f>
        <v/>
      </c>
      <c r="J43" s="129" t="str">
        <f aca="false">IF($B43="","",IF(OR(الموظفون!$X43="",الموظفون!$X43&gt;cfg_VAL_DATE),cfg_VAL_DATE,الموظفون!$X43))</f>
        <v/>
      </c>
      <c r="K43" s="115" t="str">
        <f aca="false">IF($B43="","",MAX(0,J43-I43+1))</f>
        <v/>
      </c>
      <c r="L43" s="110" t="str">
        <f aca="false">IF($B43="","",F43/cfg_DAYS_Y*K43)</f>
        <v/>
      </c>
      <c r="M43" s="110" t="str">
        <f aca="false">IF($B43="","",SUMIFS('الحركات الشهرية'!$K$6:$K$1005,'الحركات الشهرية'!$B$6:$B$1005,B43,'الحركات الشهرية'!$A$6:$A$1005,"&lt;="&amp;cfg_VAL_M))</f>
        <v/>
      </c>
      <c r="N43" s="110" t="str">
        <f aca="false">IF($B43="","",SUMIFS('الحركات الشهرية'!$L$6:$L$1005,'الحركات الشهرية'!$B$6:$B$1005,B43,'الحركات الشهرية'!$A$6:$A$1005,"&lt;="&amp;cfg_VAL_M))</f>
        <v/>
      </c>
      <c r="O43" s="110" t="str">
        <f aca="false">IF($B43="","",H43+L43-M43-N43)</f>
        <v/>
      </c>
      <c r="P43" s="112" t="str">
        <f aca="false">IF($B43="","",O43*G43)</f>
        <v/>
      </c>
      <c r="Q43" s="90" t="str">
        <f aca="false">IF($B43="","",H43*G43)</f>
        <v/>
      </c>
      <c r="R43" s="90" t="str">
        <f aca="false">IF($B43="","",(M43+N43)*G43)</f>
        <v/>
      </c>
      <c r="S43" s="91" t="str">
        <f aca="false">IF($B43="","",IF(O43&lt;-0.01,"✖ رصيد سالب",IF(O43&gt;F43*2,"⚠ رصيد مرتفع (أكثر من سنتين)",IF(AND(الموظفون!$X43&lt;&gt;"",الموظفون!$X43&lt;=cfg_VAL_DATE,O43&gt;0.01),"⚠ منتهي الخدمة برصيد","✔ سليم"))))</f>
        <v/>
      </c>
    </row>
    <row r="44" customFormat="false" ht="15" hidden="false" customHeight="false" outlineLevel="0" collapsed="false">
      <c r="B44" s="74" t="str">
        <f aca="false">IF(الموظفون!$B44="","",الموظفون!$B44)</f>
        <v/>
      </c>
      <c r="C44" s="74" t="str">
        <f aca="false">IF($B44="","",الموظفون!$C44)</f>
        <v/>
      </c>
      <c r="D44" s="127" t="str">
        <f aca="false">IF($B44="","",الموظفون!$H44)</f>
        <v/>
      </c>
      <c r="E44" s="132" t="str">
        <f aca="false">IF($B44="","",MAX(0,J44-D44+1)/cfg_DAYS_Y)</f>
        <v/>
      </c>
      <c r="F44" s="51" t="str">
        <f aca="false">IF($B44="","",IF(الموظفون!$R44&lt;&gt;"",الموظفون!$R44,IF(E44&gt;=cfg_LV_TH,cfg_LV_D2,cfg_LV_D1)))</f>
        <v/>
      </c>
      <c r="G44" s="86" t="str">
        <f aca="false">IF($B44="","",الموظفون!$P44/cfg_DAYS_M)</f>
        <v/>
      </c>
      <c r="H44" s="105" t="str">
        <f aca="false">IF($B44="","",N(الموظفون!$V44))</f>
        <v/>
      </c>
      <c r="I44" s="127" t="str">
        <f aca="false">IF($B44="","",MAX(cfg_Y_START,D44))</f>
        <v/>
      </c>
      <c r="J44" s="127" t="str">
        <f aca="false">IF($B44="","",IF(OR(الموظفون!$X44="",الموظفون!$X44&gt;cfg_VAL_DATE),cfg_VAL_DATE,الموظفون!$X44))</f>
        <v/>
      </c>
      <c r="K44" s="51" t="str">
        <f aca="false">IF($B44="","",MAX(0,J44-I44+1))</f>
        <v/>
      </c>
      <c r="L44" s="105" t="str">
        <f aca="false">IF($B44="","",F44/cfg_DAYS_Y*K44)</f>
        <v/>
      </c>
      <c r="M44" s="105" t="str">
        <f aca="false">IF($B44="","",SUMIFS('الحركات الشهرية'!$K$6:$K$1005,'الحركات الشهرية'!$B$6:$B$1005,B44,'الحركات الشهرية'!$A$6:$A$1005,"&lt;="&amp;cfg_VAL_M))</f>
        <v/>
      </c>
      <c r="N44" s="105" t="str">
        <f aca="false">IF($B44="","",SUMIFS('الحركات الشهرية'!$L$6:$L$1005,'الحركات الشهرية'!$B$6:$B$1005,B44,'الحركات الشهرية'!$A$6:$A$1005,"&lt;="&amp;cfg_VAL_M))</f>
        <v/>
      </c>
      <c r="O44" s="105" t="str">
        <f aca="false">IF($B44="","",H44+L44-M44-N44)</f>
        <v/>
      </c>
      <c r="P44" s="107" t="str">
        <f aca="false">IF($B44="","",O44*G44)</f>
        <v/>
      </c>
      <c r="Q44" s="86" t="str">
        <f aca="false">IF($B44="","",H44*G44)</f>
        <v/>
      </c>
      <c r="R44" s="86" t="str">
        <f aca="false">IF($B44="","",(M44+N44)*G44)</f>
        <v/>
      </c>
      <c r="S44" s="74" t="str">
        <f aca="false">IF($B44="","",IF(O44&lt;-0.01,"✖ رصيد سالب",IF(O44&gt;F44*2,"⚠ رصيد مرتفع (أكثر من سنتين)",IF(AND(الموظفون!$X44&lt;&gt;"",الموظفون!$X44&lt;=cfg_VAL_DATE,O44&gt;0.01),"⚠ منتهي الخدمة برصيد","✔ سليم"))))</f>
        <v/>
      </c>
    </row>
    <row r="45" customFormat="false" ht="15" hidden="false" customHeight="false" outlineLevel="0" collapsed="false">
      <c r="B45" s="91" t="str">
        <f aca="false">IF(الموظفون!$B45="","",الموظفون!$B45)</f>
        <v/>
      </c>
      <c r="C45" s="91" t="str">
        <f aca="false">IF($B45="","",الموظفون!$C45)</f>
        <v/>
      </c>
      <c r="D45" s="129" t="str">
        <f aca="false">IF($B45="","",الموظفون!$H45)</f>
        <v/>
      </c>
      <c r="E45" s="133" t="str">
        <f aca="false">IF($B45="","",MAX(0,J45-D45+1)/cfg_DAYS_Y)</f>
        <v/>
      </c>
      <c r="F45" s="115" t="str">
        <f aca="false">IF($B45="","",IF(الموظفون!$R45&lt;&gt;"",الموظفون!$R45,IF(E45&gt;=cfg_LV_TH,cfg_LV_D2,cfg_LV_D1)))</f>
        <v/>
      </c>
      <c r="G45" s="90" t="str">
        <f aca="false">IF($B45="","",الموظفون!$P45/cfg_DAYS_M)</f>
        <v/>
      </c>
      <c r="H45" s="110" t="str">
        <f aca="false">IF($B45="","",N(الموظفون!$V45))</f>
        <v/>
      </c>
      <c r="I45" s="129" t="str">
        <f aca="false">IF($B45="","",MAX(cfg_Y_START,D45))</f>
        <v/>
      </c>
      <c r="J45" s="129" t="str">
        <f aca="false">IF($B45="","",IF(OR(الموظفون!$X45="",الموظفون!$X45&gt;cfg_VAL_DATE),cfg_VAL_DATE,الموظفون!$X45))</f>
        <v/>
      </c>
      <c r="K45" s="115" t="str">
        <f aca="false">IF($B45="","",MAX(0,J45-I45+1))</f>
        <v/>
      </c>
      <c r="L45" s="110" t="str">
        <f aca="false">IF($B45="","",F45/cfg_DAYS_Y*K45)</f>
        <v/>
      </c>
      <c r="M45" s="110" t="str">
        <f aca="false">IF($B45="","",SUMIFS('الحركات الشهرية'!$K$6:$K$1005,'الحركات الشهرية'!$B$6:$B$1005,B45,'الحركات الشهرية'!$A$6:$A$1005,"&lt;="&amp;cfg_VAL_M))</f>
        <v/>
      </c>
      <c r="N45" s="110" t="str">
        <f aca="false">IF($B45="","",SUMIFS('الحركات الشهرية'!$L$6:$L$1005,'الحركات الشهرية'!$B$6:$B$1005,B45,'الحركات الشهرية'!$A$6:$A$1005,"&lt;="&amp;cfg_VAL_M))</f>
        <v/>
      </c>
      <c r="O45" s="110" t="str">
        <f aca="false">IF($B45="","",H45+L45-M45-N45)</f>
        <v/>
      </c>
      <c r="P45" s="112" t="str">
        <f aca="false">IF($B45="","",O45*G45)</f>
        <v/>
      </c>
      <c r="Q45" s="90" t="str">
        <f aca="false">IF($B45="","",H45*G45)</f>
        <v/>
      </c>
      <c r="R45" s="90" t="str">
        <f aca="false">IF($B45="","",(M45+N45)*G45)</f>
        <v/>
      </c>
      <c r="S45" s="91" t="str">
        <f aca="false">IF($B45="","",IF(O45&lt;-0.01,"✖ رصيد سالب",IF(O45&gt;F45*2,"⚠ رصيد مرتفع (أكثر من سنتين)",IF(AND(الموظفون!$X45&lt;&gt;"",الموظفون!$X45&lt;=cfg_VAL_DATE,O45&gt;0.01),"⚠ منتهي الخدمة برصيد","✔ سليم"))))</f>
        <v/>
      </c>
    </row>
    <row r="46" customFormat="false" ht="15" hidden="false" customHeight="false" outlineLevel="0" collapsed="false">
      <c r="B46" s="74" t="str">
        <f aca="false">IF(الموظفون!$B46="","",الموظفون!$B46)</f>
        <v/>
      </c>
      <c r="C46" s="74" t="str">
        <f aca="false">IF($B46="","",الموظفون!$C46)</f>
        <v/>
      </c>
      <c r="D46" s="127" t="str">
        <f aca="false">IF($B46="","",الموظفون!$H46)</f>
        <v/>
      </c>
      <c r="E46" s="132" t="str">
        <f aca="false">IF($B46="","",MAX(0,J46-D46+1)/cfg_DAYS_Y)</f>
        <v/>
      </c>
      <c r="F46" s="51" t="str">
        <f aca="false">IF($B46="","",IF(الموظفون!$R46&lt;&gt;"",الموظفون!$R46,IF(E46&gt;=cfg_LV_TH,cfg_LV_D2,cfg_LV_D1)))</f>
        <v/>
      </c>
      <c r="G46" s="86" t="str">
        <f aca="false">IF($B46="","",الموظفون!$P46/cfg_DAYS_M)</f>
        <v/>
      </c>
      <c r="H46" s="105" t="str">
        <f aca="false">IF($B46="","",N(الموظفون!$V46))</f>
        <v/>
      </c>
      <c r="I46" s="127" t="str">
        <f aca="false">IF($B46="","",MAX(cfg_Y_START,D46))</f>
        <v/>
      </c>
      <c r="J46" s="127" t="str">
        <f aca="false">IF($B46="","",IF(OR(الموظفون!$X46="",الموظفون!$X46&gt;cfg_VAL_DATE),cfg_VAL_DATE,الموظفون!$X46))</f>
        <v/>
      </c>
      <c r="K46" s="51" t="str">
        <f aca="false">IF($B46="","",MAX(0,J46-I46+1))</f>
        <v/>
      </c>
      <c r="L46" s="105" t="str">
        <f aca="false">IF($B46="","",F46/cfg_DAYS_Y*K46)</f>
        <v/>
      </c>
      <c r="M46" s="105" t="str">
        <f aca="false">IF($B46="","",SUMIFS('الحركات الشهرية'!$K$6:$K$1005,'الحركات الشهرية'!$B$6:$B$1005,B46,'الحركات الشهرية'!$A$6:$A$1005,"&lt;="&amp;cfg_VAL_M))</f>
        <v/>
      </c>
      <c r="N46" s="105" t="str">
        <f aca="false">IF($B46="","",SUMIFS('الحركات الشهرية'!$L$6:$L$1005,'الحركات الشهرية'!$B$6:$B$1005,B46,'الحركات الشهرية'!$A$6:$A$1005,"&lt;="&amp;cfg_VAL_M))</f>
        <v/>
      </c>
      <c r="O46" s="105" t="str">
        <f aca="false">IF($B46="","",H46+L46-M46-N46)</f>
        <v/>
      </c>
      <c r="P46" s="107" t="str">
        <f aca="false">IF($B46="","",O46*G46)</f>
        <v/>
      </c>
      <c r="Q46" s="86" t="str">
        <f aca="false">IF($B46="","",H46*G46)</f>
        <v/>
      </c>
      <c r="R46" s="86" t="str">
        <f aca="false">IF($B46="","",(M46+N46)*G46)</f>
        <v/>
      </c>
      <c r="S46" s="74" t="str">
        <f aca="false">IF($B46="","",IF(O46&lt;-0.01,"✖ رصيد سالب",IF(O46&gt;F46*2,"⚠ رصيد مرتفع (أكثر من سنتين)",IF(AND(الموظفون!$X46&lt;&gt;"",الموظفون!$X46&lt;=cfg_VAL_DATE,O46&gt;0.01),"⚠ منتهي الخدمة برصيد","✔ سليم"))))</f>
        <v/>
      </c>
    </row>
    <row r="47" customFormat="false" ht="15" hidden="false" customHeight="false" outlineLevel="0" collapsed="false">
      <c r="B47" s="91" t="str">
        <f aca="false">IF(الموظفون!$B47="","",الموظفون!$B47)</f>
        <v/>
      </c>
      <c r="C47" s="91" t="str">
        <f aca="false">IF($B47="","",الموظفون!$C47)</f>
        <v/>
      </c>
      <c r="D47" s="129" t="str">
        <f aca="false">IF($B47="","",الموظفون!$H47)</f>
        <v/>
      </c>
      <c r="E47" s="133" t="str">
        <f aca="false">IF($B47="","",MAX(0,J47-D47+1)/cfg_DAYS_Y)</f>
        <v/>
      </c>
      <c r="F47" s="115" t="str">
        <f aca="false">IF($B47="","",IF(الموظفون!$R47&lt;&gt;"",الموظفون!$R47,IF(E47&gt;=cfg_LV_TH,cfg_LV_D2,cfg_LV_D1)))</f>
        <v/>
      </c>
      <c r="G47" s="90" t="str">
        <f aca="false">IF($B47="","",الموظفون!$P47/cfg_DAYS_M)</f>
        <v/>
      </c>
      <c r="H47" s="110" t="str">
        <f aca="false">IF($B47="","",N(الموظفون!$V47))</f>
        <v/>
      </c>
      <c r="I47" s="129" t="str">
        <f aca="false">IF($B47="","",MAX(cfg_Y_START,D47))</f>
        <v/>
      </c>
      <c r="J47" s="129" t="str">
        <f aca="false">IF($B47="","",IF(OR(الموظفون!$X47="",الموظفون!$X47&gt;cfg_VAL_DATE),cfg_VAL_DATE,الموظفون!$X47))</f>
        <v/>
      </c>
      <c r="K47" s="115" t="str">
        <f aca="false">IF($B47="","",MAX(0,J47-I47+1))</f>
        <v/>
      </c>
      <c r="L47" s="110" t="str">
        <f aca="false">IF($B47="","",F47/cfg_DAYS_Y*K47)</f>
        <v/>
      </c>
      <c r="M47" s="110" t="str">
        <f aca="false">IF($B47="","",SUMIFS('الحركات الشهرية'!$K$6:$K$1005,'الحركات الشهرية'!$B$6:$B$1005,B47,'الحركات الشهرية'!$A$6:$A$1005,"&lt;="&amp;cfg_VAL_M))</f>
        <v/>
      </c>
      <c r="N47" s="110" t="str">
        <f aca="false">IF($B47="","",SUMIFS('الحركات الشهرية'!$L$6:$L$1005,'الحركات الشهرية'!$B$6:$B$1005,B47,'الحركات الشهرية'!$A$6:$A$1005,"&lt;="&amp;cfg_VAL_M))</f>
        <v/>
      </c>
      <c r="O47" s="110" t="str">
        <f aca="false">IF($B47="","",H47+L47-M47-N47)</f>
        <v/>
      </c>
      <c r="P47" s="112" t="str">
        <f aca="false">IF($B47="","",O47*G47)</f>
        <v/>
      </c>
      <c r="Q47" s="90" t="str">
        <f aca="false">IF($B47="","",H47*G47)</f>
        <v/>
      </c>
      <c r="R47" s="90" t="str">
        <f aca="false">IF($B47="","",(M47+N47)*G47)</f>
        <v/>
      </c>
      <c r="S47" s="91" t="str">
        <f aca="false">IF($B47="","",IF(O47&lt;-0.01,"✖ رصيد سالب",IF(O47&gt;F47*2,"⚠ رصيد مرتفع (أكثر من سنتين)",IF(AND(الموظفون!$X47&lt;&gt;"",الموظفون!$X47&lt;=cfg_VAL_DATE,O47&gt;0.01),"⚠ منتهي الخدمة برصيد","✔ سليم"))))</f>
        <v/>
      </c>
    </row>
    <row r="48" customFormat="false" ht="15" hidden="false" customHeight="false" outlineLevel="0" collapsed="false">
      <c r="B48" s="74" t="str">
        <f aca="false">IF(الموظفون!$B48="","",الموظفون!$B48)</f>
        <v/>
      </c>
      <c r="C48" s="74" t="str">
        <f aca="false">IF($B48="","",الموظفون!$C48)</f>
        <v/>
      </c>
      <c r="D48" s="127" t="str">
        <f aca="false">IF($B48="","",الموظفون!$H48)</f>
        <v/>
      </c>
      <c r="E48" s="132" t="str">
        <f aca="false">IF($B48="","",MAX(0,J48-D48+1)/cfg_DAYS_Y)</f>
        <v/>
      </c>
      <c r="F48" s="51" t="str">
        <f aca="false">IF($B48="","",IF(الموظفون!$R48&lt;&gt;"",الموظفون!$R48,IF(E48&gt;=cfg_LV_TH,cfg_LV_D2,cfg_LV_D1)))</f>
        <v/>
      </c>
      <c r="G48" s="86" t="str">
        <f aca="false">IF($B48="","",الموظفون!$P48/cfg_DAYS_M)</f>
        <v/>
      </c>
      <c r="H48" s="105" t="str">
        <f aca="false">IF($B48="","",N(الموظفون!$V48))</f>
        <v/>
      </c>
      <c r="I48" s="127" t="str">
        <f aca="false">IF($B48="","",MAX(cfg_Y_START,D48))</f>
        <v/>
      </c>
      <c r="J48" s="127" t="str">
        <f aca="false">IF($B48="","",IF(OR(الموظفون!$X48="",الموظفون!$X48&gt;cfg_VAL_DATE),cfg_VAL_DATE,الموظفون!$X48))</f>
        <v/>
      </c>
      <c r="K48" s="51" t="str">
        <f aca="false">IF($B48="","",MAX(0,J48-I48+1))</f>
        <v/>
      </c>
      <c r="L48" s="105" t="str">
        <f aca="false">IF($B48="","",F48/cfg_DAYS_Y*K48)</f>
        <v/>
      </c>
      <c r="M48" s="105" t="str">
        <f aca="false">IF($B48="","",SUMIFS('الحركات الشهرية'!$K$6:$K$1005,'الحركات الشهرية'!$B$6:$B$1005,B48,'الحركات الشهرية'!$A$6:$A$1005,"&lt;="&amp;cfg_VAL_M))</f>
        <v/>
      </c>
      <c r="N48" s="105" t="str">
        <f aca="false">IF($B48="","",SUMIFS('الحركات الشهرية'!$L$6:$L$1005,'الحركات الشهرية'!$B$6:$B$1005,B48,'الحركات الشهرية'!$A$6:$A$1005,"&lt;="&amp;cfg_VAL_M))</f>
        <v/>
      </c>
      <c r="O48" s="105" t="str">
        <f aca="false">IF($B48="","",H48+L48-M48-N48)</f>
        <v/>
      </c>
      <c r="P48" s="107" t="str">
        <f aca="false">IF($B48="","",O48*G48)</f>
        <v/>
      </c>
      <c r="Q48" s="86" t="str">
        <f aca="false">IF($B48="","",H48*G48)</f>
        <v/>
      </c>
      <c r="R48" s="86" t="str">
        <f aca="false">IF($B48="","",(M48+N48)*G48)</f>
        <v/>
      </c>
      <c r="S48" s="74" t="str">
        <f aca="false">IF($B48="","",IF(O48&lt;-0.01,"✖ رصيد سالب",IF(O48&gt;F48*2,"⚠ رصيد مرتفع (أكثر من سنتين)",IF(AND(الموظفون!$X48&lt;&gt;"",الموظفون!$X48&lt;=cfg_VAL_DATE,O48&gt;0.01),"⚠ منتهي الخدمة برصيد","✔ سليم"))))</f>
        <v/>
      </c>
    </row>
    <row r="49" customFormat="false" ht="15" hidden="false" customHeight="false" outlineLevel="0" collapsed="false">
      <c r="B49" s="91" t="str">
        <f aca="false">IF(الموظفون!$B49="","",الموظفون!$B49)</f>
        <v/>
      </c>
      <c r="C49" s="91" t="str">
        <f aca="false">IF($B49="","",الموظفون!$C49)</f>
        <v/>
      </c>
      <c r="D49" s="129" t="str">
        <f aca="false">IF($B49="","",الموظفون!$H49)</f>
        <v/>
      </c>
      <c r="E49" s="133" t="str">
        <f aca="false">IF($B49="","",MAX(0,J49-D49+1)/cfg_DAYS_Y)</f>
        <v/>
      </c>
      <c r="F49" s="115" t="str">
        <f aca="false">IF($B49="","",IF(الموظفون!$R49&lt;&gt;"",الموظفون!$R49,IF(E49&gt;=cfg_LV_TH,cfg_LV_D2,cfg_LV_D1)))</f>
        <v/>
      </c>
      <c r="G49" s="90" t="str">
        <f aca="false">IF($B49="","",الموظفون!$P49/cfg_DAYS_M)</f>
        <v/>
      </c>
      <c r="H49" s="110" t="str">
        <f aca="false">IF($B49="","",N(الموظفون!$V49))</f>
        <v/>
      </c>
      <c r="I49" s="129" t="str">
        <f aca="false">IF($B49="","",MAX(cfg_Y_START,D49))</f>
        <v/>
      </c>
      <c r="J49" s="129" t="str">
        <f aca="false">IF($B49="","",IF(OR(الموظفون!$X49="",الموظفون!$X49&gt;cfg_VAL_DATE),cfg_VAL_DATE,الموظفون!$X49))</f>
        <v/>
      </c>
      <c r="K49" s="115" t="str">
        <f aca="false">IF($B49="","",MAX(0,J49-I49+1))</f>
        <v/>
      </c>
      <c r="L49" s="110" t="str">
        <f aca="false">IF($B49="","",F49/cfg_DAYS_Y*K49)</f>
        <v/>
      </c>
      <c r="M49" s="110" t="str">
        <f aca="false">IF($B49="","",SUMIFS('الحركات الشهرية'!$K$6:$K$1005,'الحركات الشهرية'!$B$6:$B$1005,B49,'الحركات الشهرية'!$A$6:$A$1005,"&lt;="&amp;cfg_VAL_M))</f>
        <v/>
      </c>
      <c r="N49" s="110" t="str">
        <f aca="false">IF($B49="","",SUMIFS('الحركات الشهرية'!$L$6:$L$1005,'الحركات الشهرية'!$B$6:$B$1005,B49,'الحركات الشهرية'!$A$6:$A$1005,"&lt;="&amp;cfg_VAL_M))</f>
        <v/>
      </c>
      <c r="O49" s="110" t="str">
        <f aca="false">IF($B49="","",H49+L49-M49-N49)</f>
        <v/>
      </c>
      <c r="P49" s="112" t="str">
        <f aca="false">IF($B49="","",O49*G49)</f>
        <v/>
      </c>
      <c r="Q49" s="90" t="str">
        <f aca="false">IF($B49="","",H49*G49)</f>
        <v/>
      </c>
      <c r="R49" s="90" t="str">
        <f aca="false">IF($B49="","",(M49+N49)*G49)</f>
        <v/>
      </c>
      <c r="S49" s="91" t="str">
        <f aca="false">IF($B49="","",IF(O49&lt;-0.01,"✖ رصيد سالب",IF(O49&gt;F49*2,"⚠ رصيد مرتفع (أكثر من سنتين)",IF(AND(الموظفون!$X49&lt;&gt;"",الموظفون!$X49&lt;=cfg_VAL_DATE,O49&gt;0.01),"⚠ منتهي الخدمة برصيد","✔ سليم"))))</f>
        <v/>
      </c>
    </row>
    <row r="50" customFormat="false" ht="15" hidden="false" customHeight="false" outlineLevel="0" collapsed="false">
      <c r="B50" s="74" t="str">
        <f aca="false">IF(الموظفون!$B50="","",الموظفون!$B50)</f>
        <v/>
      </c>
      <c r="C50" s="74" t="str">
        <f aca="false">IF($B50="","",الموظفون!$C50)</f>
        <v/>
      </c>
      <c r="D50" s="127" t="str">
        <f aca="false">IF($B50="","",الموظفون!$H50)</f>
        <v/>
      </c>
      <c r="E50" s="132" t="str">
        <f aca="false">IF($B50="","",MAX(0,J50-D50+1)/cfg_DAYS_Y)</f>
        <v/>
      </c>
      <c r="F50" s="51" t="str">
        <f aca="false">IF($B50="","",IF(الموظفون!$R50&lt;&gt;"",الموظفون!$R50,IF(E50&gt;=cfg_LV_TH,cfg_LV_D2,cfg_LV_D1)))</f>
        <v/>
      </c>
      <c r="G50" s="86" t="str">
        <f aca="false">IF($B50="","",الموظفون!$P50/cfg_DAYS_M)</f>
        <v/>
      </c>
      <c r="H50" s="105" t="str">
        <f aca="false">IF($B50="","",N(الموظفون!$V50))</f>
        <v/>
      </c>
      <c r="I50" s="127" t="str">
        <f aca="false">IF($B50="","",MAX(cfg_Y_START,D50))</f>
        <v/>
      </c>
      <c r="J50" s="127" t="str">
        <f aca="false">IF($B50="","",IF(OR(الموظفون!$X50="",الموظفون!$X50&gt;cfg_VAL_DATE),cfg_VAL_DATE,الموظفون!$X50))</f>
        <v/>
      </c>
      <c r="K50" s="51" t="str">
        <f aca="false">IF($B50="","",MAX(0,J50-I50+1))</f>
        <v/>
      </c>
      <c r="L50" s="105" t="str">
        <f aca="false">IF($B50="","",F50/cfg_DAYS_Y*K50)</f>
        <v/>
      </c>
      <c r="M50" s="105" t="str">
        <f aca="false">IF($B50="","",SUMIFS('الحركات الشهرية'!$K$6:$K$1005,'الحركات الشهرية'!$B$6:$B$1005,B50,'الحركات الشهرية'!$A$6:$A$1005,"&lt;="&amp;cfg_VAL_M))</f>
        <v/>
      </c>
      <c r="N50" s="105" t="str">
        <f aca="false">IF($B50="","",SUMIFS('الحركات الشهرية'!$L$6:$L$1005,'الحركات الشهرية'!$B$6:$B$1005,B50,'الحركات الشهرية'!$A$6:$A$1005,"&lt;="&amp;cfg_VAL_M))</f>
        <v/>
      </c>
      <c r="O50" s="105" t="str">
        <f aca="false">IF($B50="","",H50+L50-M50-N50)</f>
        <v/>
      </c>
      <c r="P50" s="107" t="str">
        <f aca="false">IF($B50="","",O50*G50)</f>
        <v/>
      </c>
      <c r="Q50" s="86" t="str">
        <f aca="false">IF($B50="","",H50*G50)</f>
        <v/>
      </c>
      <c r="R50" s="86" t="str">
        <f aca="false">IF($B50="","",(M50+N50)*G50)</f>
        <v/>
      </c>
      <c r="S50" s="74" t="str">
        <f aca="false">IF($B50="","",IF(O50&lt;-0.01,"✖ رصيد سالب",IF(O50&gt;F50*2,"⚠ رصيد مرتفع (أكثر من سنتين)",IF(AND(الموظفون!$X50&lt;&gt;"",الموظفون!$X50&lt;=cfg_VAL_DATE,O50&gt;0.01),"⚠ منتهي الخدمة برصيد","✔ سليم"))))</f>
        <v/>
      </c>
    </row>
    <row r="51" customFormat="false" ht="15" hidden="false" customHeight="false" outlineLevel="0" collapsed="false">
      <c r="B51" s="91" t="str">
        <f aca="false">IF(الموظفون!$B51="","",الموظفون!$B51)</f>
        <v/>
      </c>
      <c r="C51" s="91" t="str">
        <f aca="false">IF($B51="","",الموظفون!$C51)</f>
        <v/>
      </c>
      <c r="D51" s="129" t="str">
        <f aca="false">IF($B51="","",الموظفون!$H51)</f>
        <v/>
      </c>
      <c r="E51" s="133" t="str">
        <f aca="false">IF($B51="","",MAX(0,J51-D51+1)/cfg_DAYS_Y)</f>
        <v/>
      </c>
      <c r="F51" s="115" t="str">
        <f aca="false">IF($B51="","",IF(الموظفون!$R51&lt;&gt;"",الموظفون!$R51,IF(E51&gt;=cfg_LV_TH,cfg_LV_D2,cfg_LV_D1)))</f>
        <v/>
      </c>
      <c r="G51" s="90" t="str">
        <f aca="false">IF($B51="","",الموظفون!$P51/cfg_DAYS_M)</f>
        <v/>
      </c>
      <c r="H51" s="110" t="str">
        <f aca="false">IF($B51="","",N(الموظفون!$V51))</f>
        <v/>
      </c>
      <c r="I51" s="129" t="str">
        <f aca="false">IF($B51="","",MAX(cfg_Y_START,D51))</f>
        <v/>
      </c>
      <c r="J51" s="129" t="str">
        <f aca="false">IF($B51="","",IF(OR(الموظفون!$X51="",الموظفون!$X51&gt;cfg_VAL_DATE),cfg_VAL_DATE,الموظفون!$X51))</f>
        <v/>
      </c>
      <c r="K51" s="115" t="str">
        <f aca="false">IF($B51="","",MAX(0,J51-I51+1))</f>
        <v/>
      </c>
      <c r="L51" s="110" t="str">
        <f aca="false">IF($B51="","",F51/cfg_DAYS_Y*K51)</f>
        <v/>
      </c>
      <c r="M51" s="110" t="str">
        <f aca="false">IF($B51="","",SUMIFS('الحركات الشهرية'!$K$6:$K$1005,'الحركات الشهرية'!$B$6:$B$1005,B51,'الحركات الشهرية'!$A$6:$A$1005,"&lt;="&amp;cfg_VAL_M))</f>
        <v/>
      </c>
      <c r="N51" s="110" t="str">
        <f aca="false">IF($B51="","",SUMIFS('الحركات الشهرية'!$L$6:$L$1005,'الحركات الشهرية'!$B$6:$B$1005,B51,'الحركات الشهرية'!$A$6:$A$1005,"&lt;="&amp;cfg_VAL_M))</f>
        <v/>
      </c>
      <c r="O51" s="110" t="str">
        <f aca="false">IF($B51="","",H51+L51-M51-N51)</f>
        <v/>
      </c>
      <c r="P51" s="112" t="str">
        <f aca="false">IF($B51="","",O51*G51)</f>
        <v/>
      </c>
      <c r="Q51" s="90" t="str">
        <f aca="false">IF($B51="","",H51*G51)</f>
        <v/>
      </c>
      <c r="R51" s="90" t="str">
        <f aca="false">IF($B51="","",(M51+N51)*G51)</f>
        <v/>
      </c>
      <c r="S51" s="91" t="str">
        <f aca="false">IF($B51="","",IF(O51&lt;-0.01,"✖ رصيد سالب",IF(O51&gt;F51*2,"⚠ رصيد مرتفع (أكثر من سنتين)",IF(AND(الموظفون!$X51&lt;&gt;"",الموظفون!$X51&lt;=cfg_VAL_DATE,O51&gt;0.01),"⚠ منتهي الخدمة برصيد","✔ سليم"))))</f>
        <v/>
      </c>
    </row>
    <row r="52" customFormat="false" ht="15" hidden="false" customHeight="false" outlineLevel="0" collapsed="false">
      <c r="B52" s="74" t="str">
        <f aca="false">IF(الموظفون!$B52="","",الموظفون!$B52)</f>
        <v/>
      </c>
      <c r="C52" s="74" t="str">
        <f aca="false">IF($B52="","",الموظفون!$C52)</f>
        <v/>
      </c>
      <c r="D52" s="127" t="str">
        <f aca="false">IF($B52="","",الموظفون!$H52)</f>
        <v/>
      </c>
      <c r="E52" s="132" t="str">
        <f aca="false">IF($B52="","",MAX(0,J52-D52+1)/cfg_DAYS_Y)</f>
        <v/>
      </c>
      <c r="F52" s="51" t="str">
        <f aca="false">IF($B52="","",IF(الموظفون!$R52&lt;&gt;"",الموظفون!$R52,IF(E52&gt;=cfg_LV_TH,cfg_LV_D2,cfg_LV_D1)))</f>
        <v/>
      </c>
      <c r="G52" s="86" t="str">
        <f aca="false">IF($B52="","",الموظفون!$P52/cfg_DAYS_M)</f>
        <v/>
      </c>
      <c r="H52" s="105" t="str">
        <f aca="false">IF($B52="","",N(الموظفون!$V52))</f>
        <v/>
      </c>
      <c r="I52" s="127" t="str">
        <f aca="false">IF($B52="","",MAX(cfg_Y_START,D52))</f>
        <v/>
      </c>
      <c r="J52" s="127" t="str">
        <f aca="false">IF($B52="","",IF(OR(الموظفون!$X52="",الموظفون!$X52&gt;cfg_VAL_DATE),cfg_VAL_DATE,الموظفون!$X52))</f>
        <v/>
      </c>
      <c r="K52" s="51" t="str">
        <f aca="false">IF($B52="","",MAX(0,J52-I52+1))</f>
        <v/>
      </c>
      <c r="L52" s="105" t="str">
        <f aca="false">IF($B52="","",F52/cfg_DAYS_Y*K52)</f>
        <v/>
      </c>
      <c r="M52" s="105" t="str">
        <f aca="false">IF($B52="","",SUMIFS('الحركات الشهرية'!$K$6:$K$1005,'الحركات الشهرية'!$B$6:$B$1005,B52,'الحركات الشهرية'!$A$6:$A$1005,"&lt;="&amp;cfg_VAL_M))</f>
        <v/>
      </c>
      <c r="N52" s="105" t="str">
        <f aca="false">IF($B52="","",SUMIFS('الحركات الشهرية'!$L$6:$L$1005,'الحركات الشهرية'!$B$6:$B$1005,B52,'الحركات الشهرية'!$A$6:$A$1005,"&lt;="&amp;cfg_VAL_M))</f>
        <v/>
      </c>
      <c r="O52" s="105" t="str">
        <f aca="false">IF($B52="","",H52+L52-M52-N52)</f>
        <v/>
      </c>
      <c r="P52" s="107" t="str">
        <f aca="false">IF($B52="","",O52*G52)</f>
        <v/>
      </c>
      <c r="Q52" s="86" t="str">
        <f aca="false">IF($B52="","",H52*G52)</f>
        <v/>
      </c>
      <c r="R52" s="86" t="str">
        <f aca="false">IF($B52="","",(M52+N52)*G52)</f>
        <v/>
      </c>
      <c r="S52" s="74" t="str">
        <f aca="false">IF($B52="","",IF(O52&lt;-0.01,"✖ رصيد سالب",IF(O52&gt;F52*2,"⚠ رصيد مرتفع (أكثر من سنتين)",IF(AND(الموظفون!$X52&lt;&gt;"",الموظفون!$X52&lt;=cfg_VAL_DATE,O52&gt;0.01),"⚠ منتهي الخدمة برصيد","✔ سليم"))))</f>
        <v/>
      </c>
    </row>
    <row r="53" customFormat="false" ht="15" hidden="false" customHeight="false" outlineLevel="0" collapsed="false">
      <c r="B53" s="91" t="str">
        <f aca="false">IF(الموظفون!$B53="","",الموظفون!$B53)</f>
        <v/>
      </c>
      <c r="C53" s="91" t="str">
        <f aca="false">IF($B53="","",الموظفون!$C53)</f>
        <v/>
      </c>
      <c r="D53" s="129" t="str">
        <f aca="false">IF($B53="","",الموظفون!$H53)</f>
        <v/>
      </c>
      <c r="E53" s="133" t="str">
        <f aca="false">IF($B53="","",MAX(0,J53-D53+1)/cfg_DAYS_Y)</f>
        <v/>
      </c>
      <c r="F53" s="115" t="str">
        <f aca="false">IF($B53="","",IF(الموظفون!$R53&lt;&gt;"",الموظفون!$R53,IF(E53&gt;=cfg_LV_TH,cfg_LV_D2,cfg_LV_D1)))</f>
        <v/>
      </c>
      <c r="G53" s="90" t="str">
        <f aca="false">IF($B53="","",الموظفون!$P53/cfg_DAYS_M)</f>
        <v/>
      </c>
      <c r="H53" s="110" t="str">
        <f aca="false">IF($B53="","",N(الموظفون!$V53))</f>
        <v/>
      </c>
      <c r="I53" s="129" t="str">
        <f aca="false">IF($B53="","",MAX(cfg_Y_START,D53))</f>
        <v/>
      </c>
      <c r="J53" s="129" t="str">
        <f aca="false">IF($B53="","",IF(OR(الموظفون!$X53="",الموظفون!$X53&gt;cfg_VAL_DATE),cfg_VAL_DATE,الموظفون!$X53))</f>
        <v/>
      </c>
      <c r="K53" s="115" t="str">
        <f aca="false">IF($B53="","",MAX(0,J53-I53+1))</f>
        <v/>
      </c>
      <c r="L53" s="110" t="str">
        <f aca="false">IF($B53="","",F53/cfg_DAYS_Y*K53)</f>
        <v/>
      </c>
      <c r="M53" s="110" t="str">
        <f aca="false">IF($B53="","",SUMIFS('الحركات الشهرية'!$K$6:$K$1005,'الحركات الشهرية'!$B$6:$B$1005,B53,'الحركات الشهرية'!$A$6:$A$1005,"&lt;="&amp;cfg_VAL_M))</f>
        <v/>
      </c>
      <c r="N53" s="110" t="str">
        <f aca="false">IF($B53="","",SUMIFS('الحركات الشهرية'!$L$6:$L$1005,'الحركات الشهرية'!$B$6:$B$1005,B53,'الحركات الشهرية'!$A$6:$A$1005,"&lt;="&amp;cfg_VAL_M))</f>
        <v/>
      </c>
      <c r="O53" s="110" t="str">
        <f aca="false">IF($B53="","",H53+L53-M53-N53)</f>
        <v/>
      </c>
      <c r="P53" s="112" t="str">
        <f aca="false">IF($B53="","",O53*G53)</f>
        <v/>
      </c>
      <c r="Q53" s="90" t="str">
        <f aca="false">IF($B53="","",H53*G53)</f>
        <v/>
      </c>
      <c r="R53" s="90" t="str">
        <f aca="false">IF($B53="","",(M53+N53)*G53)</f>
        <v/>
      </c>
      <c r="S53" s="91" t="str">
        <f aca="false">IF($B53="","",IF(O53&lt;-0.01,"✖ رصيد سالب",IF(O53&gt;F53*2,"⚠ رصيد مرتفع (أكثر من سنتين)",IF(AND(الموظفون!$X53&lt;&gt;"",الموظفون!$X53&lt;=cfg_VAL_DATE,O53&gt;0.01),"⚠ منتهي الخدمة برصيد","✔ سليم"))))</f>
        <v/>
      </c>
    </row>
    <row r="54" customFormat="false" ht="15" hidden="false" customHeight="false" outlineLevel="0" collapsed="false">
      <c r="B54" s="74" t="str">
        <f aca="false">IF(الموظفون!$B54="","",الموظفون!$B54)</f>
        <v/>
      </c>
      <c r="C54" s="74" t="str">
        <f aca="false">IF($B54="","",الموظفون!$C54)</f>
        <v/>
      </c>
      <c r="D54" s="127" t="str">
        <f aca="false">IF($B54="","",الموظفون!$H54)</f>
        <v/>
      </c>
      <c r="E54" s="132" t="str">
        <f aca="false">IF($B54="","",MAX(0,J54-D54+1)/cfg_DAYS_Y)</f>
        <v/>
      </c>
      <c r="F54" s="51" t="str">
        <f aca="false">IF($B54="","",IF(الموظفون!$R54&lt;&gt;"",الموظفون!$R54,IF(E54&gt;=cfg_LV_TH,cfg_LV_D2,cfg_LV_D1)))</f>
        <v/>
      </c>
      <c r="G54" s="86" t="str">
        <f aca="false">IF($B54="","",الموظفون!$P54/cfg_DAYS_M)</f>
        <v/>
      </c>
      <c r="H54" s="105" t="str">
        <f aca="false">IF($B54="","",N(الموظفون!$V54))</f>
        <v/>
      </c>
      <c r="I54" s="127" t="str">
        <f aca="false">IF($B54="","",MAX(cfg_Y_START,D54))</f>
        <v/>
      </c>
      <c r="J54" s="127" t="str">
        <f aca="false">IF($B54="","",IF(OR(الموظفون!$X54="",الموظفون!$X54&gt;cfg_VAL_DATE),cfg_VAL_DATE,الموظفون!$X54))</f>
        <v/>
      </c>
      <c r="K54" s="51" t="str">
        <f aca="false">IF($B54="","",MAX(0,J54-I54+1))</f>
        <v/>
      </c>
      <c r="L54" s="105" t="str">
        <f aca="false">IF($B54="","",F54/cfg_DAYS_Y*K54)</f>
        <v/>
      </c>
      <c r="M54" s="105" t="str">
        <f aca="false">IF($B54="","",SUMIFS('الحركات الشهرية'!$K$6:$K$1005,'الحركات الشهرية'!$B$6:$B$1005,B54,'الحركات الشهرية'!$A$6:$A$1005,"&lt;="&amp;cfg_VAL_M))</f>
        <v/>
      </c>
      <c r="N54" s="105" t="str">
        <f aca="false">IF($B54="","",SUMIFS('الحركات الشهرية'!$L$6:$L$1005,'الحركات الشهرية'!$B$6:$B$1005,B54,'الحركات الشهرية'!$A$6:$A$1005,"&lt;="&amp;cfg_VAL_M))</f>
        <v/>
      </c>
      <c r="O54" s="105" t="str">
        <f aca="false">IF($B54="","",H54+L54-M54-N54)</f>
        <v/>
      </c>
      <c r="P54" s="107" t="str">
        <f aca="false">IF($B54="","",O54*G54)</f>
        <v/>
      </c>
      <c r="Q54" s="86" t="str">
        <f aca="false">IF($B54="","",H54*G54)</f>
        <v/>
      </c>
      <c r="R54" s="86" t="str">
        <f aca="false">IF($B54="","",(M54+N54)*G54)</f>
        <v/>
      </c>
      <c r="S54" s="74" t="str">
        <f aca="false">IF($B54="","",IF(O54&lt;-0.01,"✖ رصيد سالب",IF(O54&gt;F54*2,"⚠ رصيد مرتفع (أكثر من سنتين)",IF(AND(الموظفون!$X54&lt;&gt;"",الموظفون!$X54&lt;=cfg_VAL_DATE,O54&gt;0.01),"⚠ منتهي الخدمة برصيد","✔ سليم"))))</f>
        <v/>
      </c>
    </row>
    <row r="55" customFormat="false" ht="15" hidden="false" customHeight="false" outlineLevel="0" collapsed="false">
      <c r="B55" s="91" t="str">
        <f aca="false">IF(الموظفون!$B55="","",الموظفون!$B55)</f>
        <v/>
      </c>
      <c r="C55" s="91" t="str">
        <f aca="false">IF($B55="","",الموظفون!$C55)</f>
        <v/>
      </c>
      <c r="D55" s="129" t="str">
        <f aca="false">IF($B55="","",الموظفون!$H55)</f>
        <v/>
      </c>
      <c r="E55" s="133" t="str">
        <f aca="false">IF($B55="","",MAX(0,J55-D55+1)/cfg_DAYS_Y)</f>
        <v/>
      </c>
      <c r="F55" s="115" t="str">
        <f aca="false">IF($B55="","",IF(الموظفون!$R55&lt;&gt;"",الموظفون!$R55,IF(E55&gt;=cfg_LV_TH,cfg_LV_D2,cfg_LV_D1)))</f>
        <v/>
      </c>
      <c r="G55" s="90" t="str">
        <f aca="false">IF($B55="","",الموظفون!$P55/cfg_DAYS_M)</f>
        <v/>
      </c>
      <c r="H55" s="110" t="str">
        <f aca="false">IF($B55="","",N(الموظفون!$V55))</f>
        <v/>
      </c>
      <c r="I55" s="129" t="str">
        <f aca="false">IF($B55="","",MAX(cfg_Y_START,D55))</f>
        <v/>
      </c>
      <c r="J55" s="129" t="str">
        <f aca="false">IF($B55="","",IF(OR(الموظفون!$X55="",الموظفون!$X55&gt;cfg_VAL_DATE),cfg_VAL_DATE,الموظفون!$X55))</f>
        <v/>
      </c>
      <c r="K55" s="115" t="str">
        <f aca="false">IF($B55="","",MAX(0,J55-I55+1))</f>
        <v/>
      </c>
      <c r="L55" s="110" t="str">
        <f aca="false">IF($B55="","",F55/cfg_DAYS_Y*K55)</f>
        <v/>
      </c>
      <c r="M55" s="110" t="str">
        <f aca="false">IF($B55="","",SUMIFS('الحركات الشهرية'!$K$6:$K$1005,'الحركات الشهرية'!$B$6:$B$1005,B55,'الحركات الشهرية'!$A$6:$A$1005,"&lt;="&amp;cfg_VAL_M))</f>
        <v/>
      </c>
      <c r="N55" s="110" t="str">
        <f aca="false">IF($B55="","",SUMIFS('الحركات الشهرية'!$L$6:$L$1005,'الحركات الشهرية'!$B$6:$B$1005,B55,'الحركات الشهرية'!$A$6:$A$1005,"&lt;="&amp;cfg_VAL_M))</f>
        <v/>
      </c>
      <c r="O55" s="110" t="str">
        <f aca="false">IF($B55="","",H55+L55-M55-N55)</f>
        <v/>
      </c>
      <c r="P55" s="112" t="str">
        <f aca="false">IF($B55="","",O55*G55)</f>
        <v/>
      </c>
      <c r="Q55" s="90" t="str">
        <f aca="false">IF($B55="","",H55*G55)</f>
        <v/>
      </c>
      <c r="R55" s="90" t="str">
        <f aca="false">IF($B55="","",(M55+N55)*G55)</f>
        <v/>
      </c>
      <c r="S55" s="91" t="str">
        <f aca="false">IF($B55="","",IF(O55&lt;-0.01,"✖ رصيد سالب",IF(O55&gt;F55*2,"⚠ رصيد مرتفع (أكثر من سنتين)",IF(AND(الموظفون!$X55&lt;&gt;"",الموظفون!$X55&lt;=cfg_VAL_DATE,O55&gt;0.01),"⚠ منتهي الخدمة برصيد","✔ سليم"))))</f>
        <v/>
      </c>
    </row>
    <row r="56" customFormat="false" ht="15" hidden="false" customHeight="false" outlineLevel="0" collapsed="false">
      <c r="B56" s="74" t="str">
        <f aca="false">IF(الموظفون!$B56="","",الموظفون!$B56)</f>
        <v/>
      </c>
      <c r="C56" s="74" t="str">
        <f aca="false">IF($B56="","",الموظفون!$C56)</f>
        <v/>
      </c>
      <c r="D56" s="127" t="str">
        <f aca="false">IF($B56="","",الموظفون!$H56)</f>
        <v/>
      </c>
      <c r="E56" s="132" t="str">
        <f aca="false">IF($B56="","",MAX(0,J56-D56+1)/cfg_DAYS_Y)</f>
        <v/>
      </c>
      <c r="F56" s="51" t="str">
        <f aca="false">IF($B56="","",IF(الموظفون!$R56&lt;&gt;"",الموظفون!$R56,IF(E56&gt;=cfg_LV_TH,cfg_LV_D2,cfg_LV_D1)))</f>
        <v/>
      </c>
      <c r="G56" s="86" t="str">
        <f aca="false">IF($B56="","",الموظفون!$P56/cfg_DAYS_M)</f>
        <v/>
      </c>
      <c r="H56" s="105" t="str">
        <f aca="false">IF($B56="","",N(الموظفون!$V56))</f>
        <v/>
      </c>
      <c r="I56" s="127" t="str">
        <f aca="false">IF($B56="","",MAX(cfg_Y_START,D56))</f>
        <v/>
      </c>
      <c r="J56" s="127" t="str">
        <f aca="false">IF($B56="","",IF(OR(الموظفون!$X56="",الموظفون!$X56&gt;cfg_VAL_DATE),cfg_VAL_DATE,الموظفون!$X56))</f>
        <v/>
      </c>
      <c r="K56" s="51" t="str">
        <f aca="false">IF($B56="","",MAX(0,J56-I56+1))</f>
        <v/>
      </c>
      <c r="L56" s="105" t="str">
        <f aca="false">IF($B56="","",F56/cfg_DAYS_Y*K56)</f>
        <v/>
      </c>
      <c r="M56" s="105" t="str">
        <f aca="false">IF($B56="","",SUMIFS('الحركات الشهرية'!$K$6:$K$1005,'الحركات الشهرية'!$B$6:$B$1005,B56,'الحركات الشهرية'!$A$6:$A$1005,"&lt;="&amp;cfg_VAL_M))</f>
        <v/>
      </c>
      <c r="N56" s="105" t="str">
        <f aca="false">IF($B56="","",SUMIFS('الحركات الشهرية'!$L$6:$L$1005,'الحركات الشهرية'!$B$6:$B$1005,B56,'الحركات الشهرية'!$A$6:$A$1005,"&lt;="&amp;cfg_VAL_M))</f>
        <v/>
      </c>
      <c r="O56" s="105" t="str">
        <f aca="false">IF($B56="","",H56+L56-M56-N56)</f>
        <v/>
      </c>
      <c r="P56" s="107" t="str">
        <f aca="false">IF($B56="","",O56*G56)</f>
        <v/>
      </c>
      <c r="Q56" s="86" t="str">
        <f aca="false">IF($B56="","",H56*G56)</f>
        <v/>
      </c>
      <c r="R56" s="86" t="str">
        <f aca="false">IF($B56="","",(M56+N56)*G56)</f>
        <v/>
      </c>
      <c r="S56" s="74" t="str">
        <f aca="false">IF($B56="","",IF(O56&lt;-0.01,"✖ رصيد سالب",IF(O56&gt;F56*2,"⚠ رصيد مرتفع (أكثر من سنتين)",IF(AND(الموظفون!$X56&lt;&gt;"",الموظفون!$X56&lt;=cfg_VAL_DATE,O56&gt;0.01),"⚠ منتهي الخدمة برصيد","✔ سليم"))))</f>
        <v/>
      </c>
    </row>
    <row r="57" customFormat="false" ht="15" hidden="false" customHeight="false" outlineLevel="0" collapsed="false">
      <c r="B57" s="91" t="str">
        <f aca="false">IF(الموظفون!$B57="","",الموظفون!$B57)</f>
        <v/>
      </c>
      <c r="C57" s="91" t="str">
        <f aca="false">IF($B57="","",الموظفون!$C57)</f>
        <v/>
      </c>
      <c r="D57" s="129" t="str">
        <f aca="false">IF($B57="","",الموظفون!$H57)</f>
        <v/>
      </c>
      <c r="E57" s="133" t="str">
        <f aca="false">IF($B57="","",MAX(0,J57-D57+1)/cfg_DAYS_Y)</f>
        <v/>
      </c>
      <c r="F57" s="115" t="str">
        <f aca="false">IF($B57="","",IF(الموظفون!$R57&lt;&gt;"",الموظفون!$R57,IF(E57&gt;=cfg_LV_TH,cfg_LV_D2,cfg_LV_D1)))</f>
        <v/>
      </c>
      <c r="G57" s="90" t="str">
        <f aca="false">IF($B57="","",الموظفون!$P57/cfg_DAYS_M)</f>
        <v/>
      </c>
      <c r="H57" s="110" t="str">
        <f aca="false">IF($B57="","",N(الموظفون!$V57))</f>
        <v/>
      </c>
      <c r="I57" s="129" t="str">
        <f aca="false">IF($B57="","",MAX(cfg_Y_START,D57))</f>
        <v/>
      </c>
      <c r="J57" s="129" t="str">
        <f aca="false">IF($B57="","",IF(OR(الموظفون!$X57="",الموظفون!$X57&gt;cfg_VAL_DATE),cfg_VAL_DATE,الموظفون!$X57))</f>
        <v/>
      </c>
      <c r="K57" s="115" t="str">
        <f aca="false">IF($B57="","",MAX(0,J57-I57+1))</f>
        <v/>
      </c>
      <c r="L57" s="110" t="str">
        <f aca="false">IF($B57="","",F57/cfg_DAYS_Y*K57)</f>
        <v/>
      </c>
      <c r="M57" s="110" t="str">
        <f aca="false">IF($B57="","",SUMIFS('الحركات الشهرية'!$K$6:$K$1005,'الحركات الشهرية'!$B$6:$B$1005,B57,'الحركات الشهرية'!$A$6:$A$1005,"&lt;="&amp;cfg_VAL_M))</f>
        <v/>
      </c>
      <c r="N57" s="110" t="str">
        <f aca="false">IF($B57="","",SUMIFS('الحركات الشهرية'!$L$6:$L$1005,'الحركات الشهرية'!$B$6:$B$1005,B57,'الحركات الشهرية'!$A$6:$A$1005,"&lt;="&amp;cfg_VAL_M))</f>
        <v/>
      </c>
      <c r="O57" s="110" t="str">
        <f aca="false">IF($B57="","",H57+L57-M57-N57)</f>
        <v/>
      </c>
      <c r="P57" s="112" t="str">
        <f aca="false">IF($B57="","",O57*G57)</f>
        <v/>
      </c>
      <c r="Q57" s="90" t="str">
        <f aca="false">IF($B57="","",H57*G57)</f>
        <v/>
      </c>
      <c r="R57" s="90" t="str">
        <f aca="false">IF($B57="","",(M57+N57)*G57)</f>
        <v/>
      </c>
      <c r="S57" s="91" t="str">
        <f aca="false">IF($B57="","",IF(O57&lt;-0.01,"✖ رصيد سالب",IF(O57&gt;F57*2,"⚠ رصيد مرتفع (أكثر من سنتين)",IF(AND(الموظفون!$X57&lt;&gt;"",الموظفون!$X57&lt;=cfg_VAL_DATE,O57&gt;0.01),"⚠ منتهي الخدمة برصيد","✔ سليم"))))</f>
        <v/>
      </c>
    </row>
    <row r="58" customFormat="false" ht="15" hidden="false" customHeight="false" outlineLevel="0" collapsed="false">
      <c r="B58" s="74" t="str">
        <f aca="false">IF(الموظفون!$B58="","",الموظفون!$B58)</f>
        <v/>
      </c>
      <c r="C58" s="74" t="str">
        <f aca="false">IF($B58="","",الموظفون!$C58)</f>
        <v/>
      </c>
      <c r="D58" s="127" t="str">
        <f aca="false">IF($B58="","",الموظفون!$H58)</f>
        <v/>
      </c>
      <c r="E58" s="132" t="str">
        <f aca="false">IF($B58="","",MAX(0,J58-D58+1)/cfg_DAYS_Y)</f>
        <v/>
      </c>
      <c r="F58" s="51" t="str">
        <f aca="false">IF($B58="","",IF(الموظفون!$R58&lt;&gt;"",الموظفون!$R58,IF(E58&gt;=cfg_LV_TH,cfg_LV_D2,cfg_LV_D1)))</f>
        <v/>
      </c>
      <c r="G58" s="86" t="str">
        <f aca="false">IF($B58="","",الموظفون!$P58/cfg_DAYS_M)</f>
        <v/>
      </c>
      <c r="H58" s="105" t="str">
        <f aca="false">IF($B58="","",N(الموظفون!$V58))</f>
        <v/>
      </c>
      <c r="I58" s="127" t="str">
        <f aca="false">IF($B58="","",MAX(cfg_Y_START,D58))</f>
        <v/>
      </c>
      <c r="J58" s="127" t="str">
        <f aca="false">IF($B58="","",IF(OR(الموظفون!$X58="",الموظفون!$X58&gt;cfg_VAL_DATE),cfg_VAL_DATE,الموظفون!$X58))</f>
        <v/>
      </c>
      <c r="K58" s="51" t="str">
        <f aca="false">IF($B58="","",MAX(0,J58-I58+1))</f>
        <v/>
      </c>
      <c r="L58" s="105" t="str">
        <f aca="false">IF($B58="","",F58/cfg_DAYS_Y*K58)</f>
        <v/>
      </c>
      <c r="M58" s="105" t="str">
        <f aca="false">IF($B58="","",SUMIFS('الحركات الشهرية'!$K$6:$K$1005,'الحركات الشهرية'!$B$6:$B$1005,B58,'الحركات الشهرية'!$A$6:$A$1005,"&lt;="&amp;cfg_VAL_M))</f>
        <v/>
      </c>
      <c r="N58" s="105" t="str">
        <f aca="false">IF($B58="","",SUMIFS('الحركات الشهرية'!$L$6:$L$1005,'الحركات الشهرية'!$B$6:$B$1005,B58,'الحركات الشهرية'!$A$6:$A$1005,"&lt;="&amp;cfg_VAL_M))</f>
        <v/>
      </c>
      <c r="O58" s="105" t="str">
        <f aca="false">IF($B58="","",H58+L58-M58-N58)</f>
        <v/>
      </c>
      <c r="P58" s="107" t="str">
        <f aca="false">IF($B58="","",O58*G58)</f>
        <v/>
      </c>
      <c r="Q58" s="86" t="str">
        <f aca="false">IF($B58="","",H58*G58)</f>
        <v/>
      </c>
      <c r="R58" s="86" t="str">
        <f aca="false">IF($B58="","",(M58+N58)*G58)</f>
        <v/>
      </c>
      <c r="S58" s="74" t="str">
        <f aca="false">IF($B58="","",IF(O58&lt;-0.01,"✖ رصيد سالب",IF(O58&gt;F58*2,"⚠ رصيد مرتفع (أكثر من سنتين)",IF(AND(الموظفون!$X58&lt;&gt;"",الموظفون!$X58&lt;=cfg_VAL_DATE,O58&gt;0.01),"⚠ منتهي الخدمة برصيد","✔ سليم"))))</f>
        <v/>
      </c>
    </row>
    <row r="59" customFormat="false" ht="15" hidden="false" customHeight="false" outlineLevel="0" collapsed="false">
      <c r="B59" s="91" t="str">
        <f aca="false">IF(الموظفون!$B59="","",الموظفون!$B59)</f>
        <v/>
      </c>
      <c r="C59" s="91" t="str">
        <f aca="false">IF($B59="","",الموظفون!$C59)</f>
        <v/>
      </c>
      <c r="D59" s="129" t="str">
        <f aca="false">IF($B59="","",الموظفون!$H59)</f>
        <v/>
      </c>
      <c r="E59" s="133" t="str">
        <f aca="false">IF($B59="","",MAX(0,J59-D59+1)/cfg_DAYS_Y)</f>
        <v/>
      </c>
      <c r="F59" s="115" t="str">
        <f aca="false">IF($B59="","",IF(الموظفون!$R59&lt;&gt;"",الموظفون!$R59,IF(E59&gt;=cfg_LV_TH,cfg_LV_D2,cfg_LV_D1)))</f>
        <v/>
      </c>
      <c r="G59" s="90" t="str">
        <f aca="false">IF($B59="","",الموظفون!$P59/cfg_DAYS_M)</f>
        <v/>
      </c>
      <c r="H59" s="110" t="str">
        <f aca="false">IF($B59="","",N(الموظفون!$V59))</f>
        <v/>
      </c>
      <c r="I59" s="129" t="str">
        <f aca="false">IF($B59="","",MAX(cfg_Y_START,D59))</f>
        <v/>
      </c>
      <c r="J59" s="129" t="str">
        <f aca="false">IF($B59="","",IF(OR(الموظفون!$X59="",الموظفون!$X59&gt;cfg_VAL_DATE),cfg_VAL_DATE,الموظفون!$X59))</f>
        <v/>
      </c>
      <c r="K59" s="115" t="str">
        <f aca="false">IF($B59="","",MAX(0,J59-I59+1))</f>
        <v/>
      </c>
      <c r="L59" s="110" t="str">
        <f aca="false">IF($B59="","",F59/cfg_DAYS_Y*K59)</f>
        <v/>
      </c>
      <c r="M59" s="110" t="str">
        <f aca="false">IF($B59="","",SUMIFS('الحركات الشهرية'!$K$6:$K$1005,'الحركات الشهرية'!$B$6:$B$1005,B59,'الحركات الشهرية'!$A$6:$A$1005,"&lt;="&amp;cfg_VAL_M))</f>
        <v/>
      </c>
      <c r="N59" s="110" t="str">
        <f aca="false">IF($B59="","",SUMIFS('الحركات الشهرية'!$L$6:$L$1005,'الحركات الشهرية'!$B$6:$B$1005,B59,'الحركات الشهرية'!$A$6:$A$1005,"&lt;="&amp;cfg_VAL_M))</f>
        <v/>
      </c>
      <c r="O59" s="110" t="str">
        <f aca="false">IF($B59="","",H59+L59-M59-N59)</f>
        <v/>
      </c>
      <c r="P59" s="112" t="str">
        <f aca="false">IF($B59="","",O59*G59)</f>
        <v/>
      </c>
      <c r="Q59" s="90" t="str">
        <f aca="false">IF($B59="","",H59*G59)</f>
        <v/>
      </c>
      <c r="R59" s="90" t="str">
        <f aca="false">IF($B59="","",(M59+N59)*G59)</f>
        <v/>
      </c>
      <c r="S59" s="91" t="str">
        <f aca="false">IF($B59="","",IF(O59&lt;-0.01,"✖ رصيد سالب",IF(O59&gt;F59*2,"⚠ رصيد مرتفع (أكثر من سنتين)",IF(AND(الموظفون!$X59&lt;&gt;"",الموظفون!$X59&lt;=cfg_VAL_DATE,O59&gt;0.01),"⚠ منتهي الخدمة برصيد","✔ سليم"))))</f>
        <v/>
      </c>
    </row>
    <row r="60" customFormat="false" ht="15" hidden="false" customHeight="false" outlineLevel="0" collapsed="false">
      <c r="B60" s="74" t="str">
        <f aca="false">IF(الموظفون!$B60="","",الموظفون!$B60)</f>
        <v/>
      </c>
      <c r="C60" s="74" t="str">
        <f aca="false">IF($B60="","",الموظفون!$C60)</f>
        <v/>
      </c>
      <c r="D60" s="127" t="str">
        <f aca="false">IF($B60="","",الموظفون!$H60)</f>
        <v/>
      </c>
      <c r="E60" s="132" t="str">
        <f aca="false">IF($B60="","",MAX(0,J60-D60+1)/cfg_DAYS_Y)</f>
        <v/>
      </c>
      <c r="F60" s="51" t="str">
        <f aca="false">IF($B60="","",IF(الموظفون!$R60&lt;&gt;"",الموظفون!$R60,IF(E60&gt;=cfg_LV_TH,cfg_LV_D2,cfg_LV_D1)))</f>
        <v/>
      </c>
      <c r="G60" s="86" t="str">
        <f aca="false">IF($B60="","",الموظفون!$P60/cfg_DAYS_M)</f>
        <v/>
      </c>
      <c r="H60" s="105" t="str">
        <f aca="false">IF($B60="","",N(الموظفون!$V60))</f>
        <v/>
      </c>
      <c r="I60" s="127" t="str">
        <f aca="false">IF($B60="","",MAX(cfg_Y_START,D60))</f>
        <v/>
      </c>
      <c r="J60" s="127" t="str">
        <f aca="false">IF($B60="","",IF(OR(الموظفون!$X60="",الموظفون!$X60&gt;cfg_VAL_DATE),cfg_VAL_DATE,الموظفون!$X60))</f>
        <v/>
      </c>
      <c r="K60" s="51" t="str">
        <f aca="false">IF($B60="","",MAX(0,J60-I60+1))</f>
        <v/>
      </c>
      <c r="L60" s="105" t="str">
        <f aca="false">IF($B60="","",F60/cfg_DAYS_Y*K60)</f>
        <v/>
      </c>
      <c r="M60" s="105" t="str">
        <f aca="false">IF($B60="","",SUMIFS('الحركات الشهرية'!$K$6:$K$1005,'الحركات الشهرية'!$B$6:$B$1005,B60,'الحركات الشهرية'!$A$6:$A$1005,"&lt;="&amp;cfg_VAL_M))</f>
        <v/>
      </c>
      <c r="N60" s="105" t="str">
        <f aca="false">IF($B60="","",SUMIFS('الحركات الشهرية'!$L$6:$L$1005,'الحركات الشهرية'!$B$6:$B$1005,B60,'الحركات الشهرية'!$A$6:$A$1005,"&lt;="&amp;cfg_VAL_M))</f>
        <v/>
      </c>
      <c r="O60" s="105" t="str">
        <f aca="false">IF($B60="","",H60+L60-M60-N60)</f>
        <v/>
      </c>
      <c r="P60" s="107" t="str">
        <f aca="false">IF($B60="","",O60*G60)</f>
        <v/>
      </c>
      <c r="Q60" s="86" t="str">
        <f aca="false">IF($B60="","",H60*G60)</f>
        <v/>
      </c>
      <c r="R60" s="86" t="str">
        <f aca="false">IF($B60="","",(M60+N60)*G60)</f>
        <v/>
      </c>
      <c r="S60" s="74" t="str">
        <f aca="false">IF($B60="","",IF(O60&lt;-0.01,"✖ رصيد سالب",IF(O60&gt;F60*2,"⚠ رصيد مرتفع (أكثر من سنتين)",IF(AND(الموظفون!$X60&lt;&gt;"",الموظفون!$X60&lt;=cfg_VAL_DATE,O60&gt;0.01),"⚠ منتهي الخدمة برصيد","✔ سليم"))))</f>
        <v/>
      </c>
    </row>
    <row r="61" customFormat="false" ht="15" hidden="false" customHeight="false" outlineLevel="0" collapsed="false">
      <c r="B61" s="91" t="str">
        <f aca="false">IF(الموظفون!$B61="","",الموظفون!$B61)</f>
        <v/>
      </c>
      <c r="C61" s="91" t="str">
        <f aca="false">IF($B61="","",الموظفون!$C61)</f>
        <v/>
      </c>
      <c r="D61" s="129" t="str">
        <f aca="false">IF($B61="","",الموظفون!$H61)</f>
        <v/>
      </c>
      <c r="E61" s="133" t="str">
        <f aca="false">IF($B61="","",MAX(0,J61-D61+1)/cfg_DAYS_Y)</f>
        <v/>
      </c>
      <c r="F61" s="115" t="str">
        <f aca="false">IF($B61="","",IF(الموظفون!$R61&lt;&gt;"",الموظفون!$R61,IF(E61&gt;=cfg_LV_TH,cfg_LV_D2,cfg_LV_D1)))</f>
        <v/>
      </c>
      <c r="G61" s="90" t="str">
        <f aca="false">IF($B61="","",الموظفون!$P61/cfg_DAYS_M)</f>
        <v/>
      </c>
      <c r="H61" s="110" t="str">
        <f aca="false">IF($B61="","",N(الموظفون!$V61))</f>
        <v/>
      </c>
      <c r="I61" s="129" t="str">
        <f aca="false">IF($B61="","",MAX(cfg_Y_START,D61))</f>
        <v/>
      </c>
      <c r="J61" s="129" t="str">
        <f aca="false">IF($B61="","",IF(OR(الموظفون!$X61="",الموظفون!$X61&gt;cfg_VAL_DATE),cfg_VAL_DATE,الموظفون!$X61))</f>
        <v/>
      </c>
      <c r="K61" s="115" t="str">
        <f aca="false">IF($B61="","",MAX(0,J61-I61+1))</f>
        <v/>
      </c>
      <c r="L61" s="110" t="str">
        <f aca="false">IF($B61="","",F61/cfg_DAYS_Y*K61)</f>
        <v/>
      </c>
      <c r="M61" s="110" t="str">
        <f aca="false">IF($B61="","",SUMIFS('الحركات الشهرية'!$K$6:$K$1005,'الحركات الشهرية'!$B$6:$B$1005,B61,'الحركات الشهرية'!$A$6:$A$1005,"&lt;="&amp;cfg_VAL_M))</f>
        <v/>
      </c>
      <c r="N61" s="110" t="str">
        <f aca="false">IF($B61="","",SUMIFS('الحركات الشهرية'!$L$6:$L$1005,'الحركات الشهرية'!$B$6:$B$1005,B61,'الحركات الشهرية'!$A$6:$A$1005,"&lt;="&amp;cfg_VAL_M))</f>
        <v/>
      </c>
      <c r="O61" s="110" t="str">
        <f aca="false">IF($B61="","",H61+L61-M61-N61)</f>
        <v/>
      </c>
      <c r="P61" s="112" t="str">
        <f aca="false">IF($B61="","",O61*G61)</f>
        <v/>
      </c>
      <c r="Q61" s="90" t="str">
        <f aca="false">IF($B61="","",H61*G61)</f>
        <v/>
      </c>
      <c r="R61" s="90" t="str">
        <f aca="false">IF($B61="","",(M61+N61)*G61)</f>
        <v/>
      </c>
      <c r="S61" s="91" t="str">
        <f aca="false">IF($B61="","",IF(O61&lt;-0.01,"✖ رصيد سالب",IF(O61&gt;F61*2,"⚠ رصيد مرتفع (أكثر من سنتين)",IF(AND(الموظفون!$X61&lt;&gt;"",الموظفون!$X61&lt;=cfg_VAL_DATE,O61&gt;0.01),"⚠ منتهي الخدمة برصيد","✔ سليم"))))</f>
        <v/>
      </c>
    </row>
    <row r="62" customFormat="false" ht="15" hidden="false" customHeight="false" outlineLevel="0" collapsed="false">
      <c r="B62" s="74" t="str">
        <f aca="false">IF(الموظفون!$B62="","",الموظفون!$B62)</f>
        <v/>
      </c>
      <c r="C62" s="74" t="str">
        <f aca="false">IF($B62="","",الموظفون!$C62)</f>
        <v/>
      </c>
      <c r="D62" s="127" t="str">
        <f aca="false">IF($B62="","",الموظفون!$H62)</f>
        <v/>
      </c>
      <c r="E62" s="132" t="str">
        <f aca="false">IF($B62="","",MAX(0,J62-D62+1)/cfg_DAYS_Y)</f>
        <v/>
      </c>
      <c r="F62" s="51" t="str">
        <f aca="false">IF($B62="","",IF(الموظفون!$R62&lt;&gt;"",الموظفون!$R62,IF(E62&gt;=cfg_LV_TH,cfg_LV_D2,cfg_LV_D1)))</f>
        <v/>
      </c>
      <c r="G62" s="86" t="str">
        <f aca="false">IF($B62="","",الموظفون!$P62/cfg_DAYS_M)</f>
        <v/>
      </c>
      <c r="H62" s="105" t="str">
        <f aca="false">IF($B62="","",N(الموظفون!$V62))</f>
        <v/>
      </c>
      <c r="I62" s="127" t="str">
        <f aca="false">IF($B62="","",MAX(cfg_Y_START,D62))</f>
        <v/>
      </c>
      <c r="J62" s="127" t="str">
        <f aca="false">IF($B62="","",IF(OR(الموظفون!$X62="",الموظفون!$X62&gt;cfg_VAL_DATE),cfg_VAL_DATE,الموظفون!$X62))</f>
        <v/>
      </c>
      <c r="K62" s="51" t="str">
        <f aca="false">IF($B62="","",MAX(0,J62-I62+1))</f>
        <v/>
      </c>
      <c r="L62" s="105" t="str">
        <f aca="false">IF($B62="","",F62/cfg_DAYS_Y*K62)</f>
        <v/>
      </c>
      <c r="M62" s="105" t="str">
        <f aca="false">IF($B62="","",SUMIFS('الحركات الشهرية'!$K$6:$K$1005,'الحركات الشهرية'!$B$6:$B$1005,B62,'الحركات الشهرية'!$A$6:$A$1005,"&lt;="&amp;cfg_VAL_M))</f>
        <v/>
      </c>
      <c r="N62" s="105" t="str">
        <f aca="false">IF($B62="","",SUMIFS('الحركات الشهرية'!$L$6:$L$1005,'الحركات الشهرية'!$B$6:$B$1005,B62,'الحركات الشهرية'!$A$6:$A$1005,"&lt;="&amp;cfg_VAL_M))</f>
        <v/>
      </c>
      <c r="O62" s="105" t="str">
        <f aca="false">IF($B62="","",H62+L62-M62-N62)</f>
        <v/>
      </c>
      <c r="P62" s="107" t="str">
        <f aca="false">IF($B62="","",O62*G62)</f>
        <v/>
      </c>
      <c r="Q62" s="86" t="str">
        <f aca="false">IF($B62="","",H62*G62)</f>
        <v/>
      </c>
      <c r="R62" s="86" t="str">
        <f aca="false">IF($B62="","",(M62+N62)*G62)</f>
        <v/>
      </c>
      <c r="S62" s="74" t="str">
        <f aca="false">IF($B62="","",IF(O62&lt;-0.01,"✖ رصيد سالب",IF(O62&gt;F62*2,"⚠ رصيد مرتفع (أكثر من سنتين)",IF(AND(الموظفون!$X62&lt;&gt;"",الموظفون!$X62&lt;=cfg_VAL_DATE,O62&gt;0.01),"⚠ منتهي الخدمة برصيد","✔ سليم"))))</f>
        <v/>
      </c>
    </row>
    <row r="63" customFormat="false" ht="15" hidden="false" customHeight="false" outlineLevel="0" collapsed="false">
      <c r="B63" s="91" t="str">
        <f aca="false">IF(الموظفون!$B63="","",الموظفون!$B63)</f>
        <v/>
      </c>
      <c r="C63" s="91" t="str">
        <f aca="false">IF($B63="","",الموظفون!$C63)</f>
        <v/>
      </c>
      <c r="D63" s="129" t="str">
        <f aca="false">IF($B63="","",الموظفون!$H63)</f>
        <v/>
      </c>
      <c r="E63" s="133" t="str">
        <f aca="false">IF($B63="","",MAX(0,J63-D63+1)/cfg_DAYS_Y)</f>
        <v/>
      </c>
      <c r="F63" s="115" t="str">
        <f aca="false">IF($B63="","",IF(الموظفون!$R63&lt;&gt;"",الموظفون!$R63,IF(E63&gt;=cfg_LV_TH,cfg_LV_D2,cfg_LV_D1)))</f>
        <v/>
      </c>
      <c r="G63" s="90" t="str">
        <f aca="false">IF($B63="","",الموظفون!$P63/cfg_DAYS_M)</f>
        <v/>
      </c>
      <c r="H63" s="110" t="str">
        <f aca="false">IF($B63="","",N(الموظفون!$V63))</f>
        <v/>
      </c>
      <c r="I63" s="129" t="str">
        <f aca="false">IF($B63="","",MAX(cfg_Y_START,D63))</f>
        <v/>
      </c>
      <c r="J63" s="129" t="str">
        <f aca="false">IF($B63="","",IF(OR(الموظفون!$X63="",الموظفون!$X63&gt;cfg_VAL_DATE),cfg_VAL_DATE,الموظفون!$X63))</f>
        <v/>
      </c>
      <c r="K63" s="115" t="str">
        <f aca="false">IF($B63="","",MAX(0,J63-I63+1))</f>
        <v/>
      </c>
      <c r="L63" s="110" t="str">
        <f aca="false">IF($B63="","",F63/cfg_DAYS_Y*K63)</f>
        <v/>
      </c>
      <c r="M63" s="110" t="str">
        <f aca="false">IF($B63="","",SUMIFS('الحركات الشهرية'!$K$6:$K$1005,'الحركات الشهرية'!$B$6:$B$1005,B63,'الحركات الشهرية'!$A$6:$A$1005,"&lt;="&amp;cfg_VAL_M))</f>
        <v/>
      </c>
      <c r="N63" s="110" t="str">
        <f aca="false">IF($B63="","",SUMIFS('الحركات الشهرية'!$L$6:$L$1005,'الحركات الشهرية'!$B$6:$B$1005,B63,'الحركات الشهرية'!$A$6:$A$1005,"&lt;="&amp;cfg_VAL_M))</f>
        <v/>
      </c>
      <c r="O63" s="110" t="str">
        <f aca="false">IF($B63="","",H63+L63-M63-N63)</f>
        <v/>
      </c>
      <c r="P63" s="112" t="str">
        <f aca="false">IF($B63="","",O63*G63)</f>
        <v/>
      </c>
      <c r="Q63" s="90" t="str">
        <f aca="false">IF($B63="","",H63*G63)</f>
        <v/>
      </c>
      <c r="R63" s="90" t="str">
        <f aca="false">IF($B63="","",(M63+N63)*G63)</f>
        <v/>
      </c>
      <c r="S63" s="91" t="str">
        <f aca="false">IF($B63="","",IF(O63&lt;-0.01,"✖ رصيد سالب",IF(O63&gt;F63*2,"⚠ رصيد مرتفع (أكثر من سنتين)",IF(AND(الموظفون!$X63&lt;&gt;"",الموظفون!$X63&lt;=cfg_VAL_DATE,O63&gt;0.01),"⚠ منتهي الخدمة برصيد","✔ سليم"))))</f>
        <v/>
      </c>
    </row>
    <row r="64" customFormat="false" ht="15" hidden="false" customHeight="false" outlineLevel="0" collapsed="false">
      <c r="B64" s="74" t="str">
        <f aca="false">IF(الموظفون!$B64="","",الموظفون!$B64)</f>
        <v/>
      </c>
      <c r="C64" s="74" t="str">
        <f aca="false">IF($B64="","",الموظفون!$C64)</f>
        <v/>
      </c>
      <c r="D64" s="127" t="str">
        <f aca="false">IF($B64="","",الموظفون!$H64)</f>
        <v/>
      </c>
      <c r="E64" s="132" t="str">
        <f aca="false">IF($B64="","",MAX(0,J64-D64+1)/cfg_DAYS_Y)</f>
        <v/>
      </c>
      <c r="F64" s="51" t="str">
        <f aca="false">IF($B64="","",IF(الموظفون!$R64&lt;&gt;"",الموظفون!$R64,IF(E64&gt;=cfg_LV_TH,cfg_LV_D2,cfg_LV_D1)))</f>
        <v/>
      </c>
      <c r="G64" s="86" t="str">
        <f aca="false">IF($B64="","",الموظفون!$P64/cfg_DAYS_M)</f>
        <v/>
      </c>
      <c r="H64" s="105" t="str">
        <f aca="false">IF($B64="","",N(الموظفون!$V64))</f>
        <v/>
      </c>
      <c r="I64" s="127" t="str">
        <f aca="false">IF($B64="","",MAX(cfg_Y_START,D64))</f>
        <v/>
      </c>
      <c r="J64" s="127" t="str">
        <f aca="false">IF($B64="","",IF(OR(الموظفون!$X64="",الموظفون!$X64&gt;cfg_VAL_DATE),cfg_VAL_DATE,الموظفون!$X64))</f>
        <v/>
      </c>
      <c r="K64" s="51" t="str">
        <f aca="false">IF($B64="","",MAX(0,J64-I64+1))</f>
        <v/>
      </c>
      <c r="L64" s="105" t="str">
        <f aca="false">IF($B64="","",F64/cfg_DAYS_Y*K64)</f>
        <v/>
      </c>
      <c r="M64" s="105" t="str">
        <f aca="false">IF($B64="","",SUMIFS('الحركات الشهرية'!$K$6:$K$1005,'الحركات الشهرية'!$B$6:$B$1005,B64,'الحركات الشهرية'!$A$6:$A$1005,"&lt;="&amp;cfg_VAL_M))</f>
        <v/>
      </c>
      <c r="N64" s="105" t="str">
        <f aca="false">IF($B64="","",SUMIFS('الحركات الشهرية'!$L$6:$L$1005,'الحركات الشهرية'!$B$6:$B$1005,B64,'الحركات الشهرية'!$A$6:$A$1005,"&lt;="&amp;cfg_VAL_M))</f>
        <v/>
      </c>
      <c r="O64" s="105" t="str">
        <f aca="false">IF($B64="","",H64+L64-M64-N64)</f>
        <v/>
      </c>
      <c r="P64" s="107" t="str">
        <f aca="false">IF($B64="","",O64*G64)</f>
        <v/>
      </c>
      <c r="Q64" s="86" t="str">
        <f aca="false">IF($B64="","",H64*G64)</f>
        <v/>
      </c>
      <c r="R64" s="86" t="str">
        <f aca="false">IF($B64="","",(M64+N64)*G64)</f>
        <v/>
      </c>
      <c r="S64" s="74" t="str">
        <f aca="false">IF($B64="","",IF(O64&lt;-0.01,"✖ رصيد سالب",IF(O64&gt;F64*2,"⚠ رصيد مرتفع (أكثر من سنتين)",IF(AND(الموظفون!$X64&lt;&gt;"",الموظفون!$X64&lt;=cfg_VAL_DATE,O64&gt;0.01),"⚠ منتهي الخدمة برصيد","✔ سليم"))))</f>
        <v/>
      </c>
    </row>
    <row r="65" customFormat="false" ht="15" hidden="false" customHeight="false" outlineLevel="0" collapsed="false">
      <c r="B65" s="91" t="str">
        <f aca="false">IF(الموظفون!$B65="","",الموظفون!$B65)</f>
        <v/>
      </c>
      <c r="C65" s="91" t="str">
        <f aca="false">IF($B65="","",الموظفون!$C65)</f>
        <v/>
      </c>
      <c r="D65" s="129" t="str">
        <f aca="false">IF($B65="","",الموظفون!$H65)</f>
        <v/>
      </c>
      <c r="E65" s="133" t="str">
        <f aca="false">IF($B65="","",MAX(0,J65-D65+1)/cfg_DAYS_Y)</f>
        <v/>
      </c>
      <c r="F65" s="115" t="str">
        <f aca="false">IF($B65="","",IF(الموظفون!$R65&lt;&gt;"",الموظفون!$R65,IF(E65&gt;=cfg_LV_TH,cfg_LV_D2,cfg_LV_D1)))</f>
        <v/>
      </c>
      <c r="G65" s="90" t="str">
        <f aca="false">IF($B65="","",الموظفون!$P65/cfg_DAYS_M)</f>
        <v/>
      </c>
      <c r="H65" s="110" t="str">
        <f aca="false">IF($B65="","",N(الموظفون!$V65))</f>
        <v/>
      </c>
      <c r="I65" s="129" t="str">
        <f aca="false">IF($B65="","",MAX(cfg_Y_START,D65))</f>
        <v/>
      </c>
      <c r="J65" s="129" t="str">
        <f aca="false">IF($B65="","",IF(OR(الموظفون!$X65="",الموظفون!$X65&gt;cfg_VAL_DATE),cfg_VAL_DATE,الموظفون!$X65))</f>
        <v/>
      </c>
      <c r="K65" s="115" t="str">
        <f aca="false">IF($B65="","",MAX(0,J65-I65+1))</f>
        <v/>
      </c>
      <c r="L65" s="110" t="str">
        <f aca="false">IF($B65="","",F65/cfg_DAYS_Y*K65)</f>
        <v/>
      </c>
      <c r="M65" s="110" t="str">
        <f aca="false">IF($B65="","",SUMIFS('الحركات الشهرية'!$K$6:$K$1005,'الحركات الشهرية'!$B$6:$B$1005,B65,'الحركات الشهرية'!$A$6:$A$1005,"&lt;="&amp;cfg_VAL_M))</f>
        <v/>
      </c>
      <c r="N65" s="110" t="str">
        <f aca="false">IF($B65="","",SUMIFS('الحركات الشهرية'!$L$6:$L$1005,'الحركات الشهرية'!$B$6:$B$1005,B65,'الحركات الشهرية'!$A$6:$A$1005,"&lt;="&amp;cfg_VAL_M))</f>
        <v/>
      </c>
      <c r="O65" s="110" t="str">
        <f aca="false">IF($B65="","",H65+L65-M65-N65)</f>
        <v/>
      </c>
      <c r="P65" s="112" t="str">
        <f aca="false">IF($B65="","",O65*G65)</f>
        <v/>
      </c>
      <c r="Q65" s="90" t="str">
        <f aca="false">IF($B65="","",H65*G65)</f>
        <v/>
      </c>
      <c r="R65" s="90" t="str">
        <f aca="false">IF($B65="","",(M65+N65)*G65)</f>
        <v/>
      </c>
      <c r="S65" s="91" t="str">
        <f aca="false">IF($B65="","",IF(O65&lt;-0.01,"✖ رصيد سالب",IF(O65&gt;F65*2,"⚠ رصيد مرتفع (أكثر من سنتين)",IF(AND(الموظفون!$X65&lt;&gt;"",الموظفون!$X65&lt;=cfg_VAL_DATE,O65&gt;0.01),"⚠ منتهي الخدمة برصيد","✔ سليم"))))</f>
        <v/>
      </c>
    </row>
    <row r="66" customFormat="false" ht="15" hidden="false" customHeight="false" outlineLevel="0" collapsed="false">
      <c r="B66" s="74" t="str">
        <f aca="false">IF(الموظفون!$B66="","",الموظفون!$B66)</f>
        <v/>
      </c>
      <c r="C66" s="74" t="str">
        <f aca="false">IF($B66="","",الموظفون!$C66)</f>
        <v/>
      </c>
      <c r="D66" s="127" t="str">
        <f aca="false">IF($B66="","",الموظفون!$H66)</f>
        <v/>
      </c>
      <c r="E66" s="132" t="str">
        <f aca="false">IF($B66="","",MAX(0,J66-D66+1)/cfg_DAYS_Y)</f>
        <v/>
      </c>
      <c r="F66" s="51" t="str">
        <f aca="false">IF($B66="","",IF(الموظفون!$R66&lt;&gt;"",الموظفون!$R66,IF(E66&gt;=cfg_LV_TH,cfg_LV_D2,cfg_LV_D1)))</f>
        <v/>
      </c>
      <c r="G66" s="86" t="str">
        <f aca="false">IF($B66="","",الموظفون!$P66/cfg_DAYS_M)</f>
        <v/>
      </c>
      <c r="H66" s="105" t="str">
        <f aca="false">IF($B66="","",N(الموظفون!$V66))</f>
        <v/>
      </c>
      <c r="I66" s="127" t="str">
        <f aca="false">IF($B66="","",MAX(cfg_Y_START,D66))</f>
        <v/>
      </c>
      <c r="J66" s="127" t="str">
        <f aca="false">IF($B66="","",IF(OR(الموظفون!$X66="",الموظفون!$X66&gt;cfg_VAL_DATE),cfg_VAL_DATE,الموظفون!$X66))</f>
        <v/>
      </c>
      <c r="K66" s="51" t="str">
        <f aca="false">IF($B66="","",MAX(0,J66-I66+1))</f>
        <v/>
      </c>
      <c r="L66" s="105" t="str">
        <f aca="false">IF($B66="","",F66/cfg_DAYS_Y*K66)</f>
        <v/>
      </c>
      <c r="M66" s="105" t="str">
        <f aca="false">IF($B66="","",SUMIFS('الحركات الشهرية'!$K$6:$K$1005,'الحركات الشهرية'!$B$6:$B$1005,B66,'الحركات الشهرية'!$A$6:$A$1005,"&lt;="&amp;cfg_VAL_M))</f>
        <v/>
      </c>
      <c r="N66" s="105" t="str">
        <f aca="false">IF($B66="","",SUMIFS('الحركات الشهرية'!$L$6:$L$1005,'الحركات الشهرية'!$B$6:$B$1005,B66,'الحركات الشهرية'!$A$6:$A$1005,"&lt;="&amp;cfg_VAL_M))</f>
        <v/>
      </c>
      <c r="O66" s="105" t="str">
        <f aca="false">IF($B66="","",H66+L66-M66-N66)</f>
        <v/>
      </c>
      <c r="P66" s="107" t="str">
        <f aca="false">IF($B66="","",O66*G66)</f>
        <v/>
      </c>
      <c r="Q66" s="86" t="str">
        <f aca="false">IF($B66="","",H66*G66)</f>
        <v/>
      </c>
      <c r="R66" s="86" t="str">
        <f aca="false">IF($B66="","",(M66+N66)*G66)</f>
        <v/>
      </c>
      <c r="S66" s="74" t="str">
        <f aca="false">IF($B66="","",IF(O66&lt;-0.01,"✖ رصيد سالب",IF(O66&gt;F66*2,"⚠ رصيد مرتفع (أكثر من سنتين)",IF(AND(الموظفون!$X66&lt;&gt;"",الموظفون!$X66&lt;=cfg_VAL_DATE,O66&gt;0.01),"⚠ منتهي الخدمة برصيد","✔ سليم"))))</f>
        <v/>
      </c>
    </row>
    <row r="67" customFormat="false" ht="15" hidden="false" customHeight="false" outlineLevel="0" collapsed="false">
      <c r="B67" s="91" t="str">
        <f aca="false">IF(الموظفون!$B67="","",الموظفون!$B67)</f>
        <v/>
      </c>
      <c r="C67" s="91" t="str">
        <f aca="false">IF($B67="","",الموظفون!$C67)</f>
        <v/>
      </c>
      <c r="D67" s="129" t="str">
        <f aca="false">IF($B67="","",الموظفون!$H67)</f>
        <v/>
      </c>
      <c r="E67" s="133" t="str">
        <f aca="false">IF($B67="","",MAX(0,J67-D67+1)/cfg_DAYS_Y)</f>
        <v/>
      </c>
      <c r="F67" s="115" t="str">
        <f aca="false">IF($B67="","",IF(الموظفون!$R67&lt;&gt;"",الموظفون!$R67,IF(E67&gt;=cfg_LV_TH,cfg_LV_D2,cfg_LV_D1)))</f>
        <v/>
      </c>
      <c r="G67" s="90" t="str">
        <f aca="false">IF($B67="","",الموظفون!$P67/cfg_DAYS_M)</f>
        <v/>
      </c>
      <c r="H67" s="110" t="str">
        <f aca="false">IF($B67="","",N(الموظفون!$V67))</f>
        <v/>
      </c>
      <c r="I67" s="129" t="str">
        <f aca="false">IF($B67="","",MAX(cfg_Y_START,D67))</f>
        <v/>
      </c>
      <c r="J67" s="129" t="str">
        <f aca="false">IF($B67="","",IF(OR(الموظفون!$X67="",الموظفون!$X67&gt;cfg_VAL_DATE),cfg_VAL_DATE,الموظفون!$X67))</f>
        <v/>
      </c>
      <c r="K67" s="115" t="str">
        <f aca="false">IF($B67="","",MAX(0,J67-I67+1))</f>
        <v/>
      </c>
      <c r="L67" s="110" t="str">
        <f aca="false">IF($B67="","",F67/cfg_DAYS_Y*K67)</f>
        <v/>
      </c>
      <c r="M67" s="110" t="str">
        <f aca="false">IF($B67="","",SUMIFS('الحركات الشهرية'!$K$6:$K$1005,'الحركات الشهرية'!$B$6:$B$1005,B67,'الحركات الشهرية'!$A$6:$A$1005,"&lt;="&amp;cfg_VAL_M))</f>
        <v/>
      </c>
      <c r="N67" s="110" t="str">
        <f aca="false">IF($B67="","",SUMIFS('الحركات الشهرية'!$L$6:$L$1005,'الحركات الشهرية'!$B$6:$B$1005,B67,'الحركات الشهرية'!$A$6:$A$1005,"&lt;="&amp;cfg_VAL_M))</f>
        <v/>
      </c>
      <c r="O67" s="110" t="str">
        <f aca="false">IF($B67="","",H67+L67-M67-N67)</f>
        <v/>
      </c>
      <c r="P67" s="112" t="str">
        <f aca="false">IF($B67="","",O67*G67)</f>
        <v/>
      </c>
      <c r="Q67" s="90" t="str">
        <f aca="false">IF($B67="","",H67*G67)</f>
        <v/>
      </c>
      <c r="R67" s="90" t="str">
        <f aca="false">IF($B67="","",(M67+N67)*G67)</f>
        <v/>
      </c>
      <c r="S67" s="91" t="str">
        <f aca="false">IF($B67="","",IF(O67&lt;-0.01,"✖ رصيد سالب",IF(O67&gt;F67*2,"⚠ رصيد مرتفع (أكثر من سنتين)",IF(AND(الموظفون!$X67&lt;&gt;"",الموظفون!$X67&lt;=cfg_VAL_DATE,O67&gt;0.01),"⚠ منتهي الخدمة برصيد","✔ سليم"))))</f>
        <v/>
      </c>
    </row>
    <row r="68" customFormat="false" ht="15" hidden="false" customHeight="false" outlineLevel="0" collapsed="false">
      <c r="B68" s="74" t="str">
        <f aca="false">IF(الموظفون!$B68="","",الموظفون!$B68)</f>
        <v/>
      </c>
      <c r="C68" s="74" t="str">
        <f aca="false">IF($B68="","",الموظفون!$C68)</f>
        <v/>
      </c>
      <c r="D68" s="127" t="str">
        <f aca="false">IF($B68="","",الموظفون!$H68)</f>
        <v/>
      </c>
      <c r="E68" s="132" t="str">
        <f aca="false">IF($B68="","",MAX(0,J68-D68+1)/cfg_DAYS_Y)</f>
        <v/>
      </c>
      <c r="F68" s="51" t="str">
        <f aca="false">IF($B68="","",IF(الموظفون!$R68&lt;&gt;"",الموظفون!$R68,IF(E68&gt;=cfg_LV_TH,cfg_LV_D2,cfg_LV_D1)))</f>
        <v/>
      </c>
      <c r="G68" s="86" t="str">
        <f aca="false">IF($B68="","",الموظفون!$P68/cfg_DAYS_M)</f>
        <v/>
      </c>
      <c r="H68" s="105" t="str">
        <f aca="false">IF($B68="","",N(الموظفون!$V68))</f>
        <v/>
      </c>
      <c r="I68" s="127" t="str">
        <f aca="false">IF($B68="","",MAX(cfg_Y_START,D68))</f>
        <v/>
      </c>
      <c r="J68" s="127" t="str">
        <f aca="false">IF($B68="","",IF(OR(الموظفون!$X68="",الموظفون!$X68&gt;cfg_VAL_DATE),cfg_VAL_DATE,الموظفون!$X68))</f>
        <v/>
      </c>
      <c r="K68" s="51" t="str">
        <f aca="false">IF($B68="","",MAX(0,J68-I68+1))</f>
        <v/>
      </c>
      <c r="L68" s="105" t="str">
        <f aca="false">IF($B68="","",F68/cfg_DAYS_Y*K68)</f>
        <v/>
      </c>
      <c r="M68" s="105" t="str">
        <f aca="false">IF($B68="","",SUMIFS('الحركات الشهرية'!$K$6:$K$1005,'الحركات الشهرية'!$B$6:$B$1005,B68,'الحركات الشهرية'!$A$6:$A$1005,"&lt;="&amp;cfg_VAL_M))</f>
        <v/>
      </c>
      <c r="N68" s="105" t="str">
        <f aca="false">IF($B68="","",SUMIFS('الحركات الشهرية'!$L$6:$L$1005,'الحركات الشهرية'!$B$6:$B$1005,B68,'الحركات الشهرية'!$A$6:$A$1005,"&lt;="&amp;cfg_VAL_M))</f>
        <v/>
      </c>
      <c r="O68" s="105" t="str">
        <f aca="false">IF($B68="","",H68+L68-M68-N68)</f>
        <v/>
      </c>
      <c r="P68" s="107" t="str">
        <f aca="false">IF($B68="","",O68*G68)</f>
        <v/>
      </c>
      <c r="Q68" s="86" t="str">
        <f aca="false">IF($B68="","",H68*G68)</f>
        <v/>
      </c>
      <c r="R68" s="86" t="str">
        <f aca="false">IF($B68="","",(M68+N68)*G68)</f>
        <v/>
      </c>
      <c r="S68" s="74" t="str">
        <f aca="false">IF($B68="","",IF(O68&lt;-0.01,"✖ رصيد سالب",IF(O68&gt;F68*2,"⚠ رصيد مرتفع (أكثر من سنتين)",IF(AND(الموظفون!$X68&lt;&gt;"",الموظفون!$X68&lt;=cfg_VAL_DATE,O68&gt;0.01),"⚠ منتهي الخدمة برصيد","✔ سليم"))))</f>
        <v/>
      </c>
    </row>
    <row r="69" customFormat="false" ht="15" hidden="false" customHeight="false" outlineLevel="0" collapsed="false">
      <c r="B69" s="91" t="str">
        <f aca="false">IF(الموظفون!$B69="","",الموظفون!$B69)</f>
        <v/>
      </c>
      <c r="C69" s="91" t="str">
        <f aca="false">IF($B69="","",الموظفون!$C69)</f>
        <v/>
      </c>
      <c r="D69" s="129" t="str">
        <f aca="false">IF($B69="","",الموظفون!$H69)</f>
        <v/>
      </c>
      <c r="E69" s="133" t="str">
        <f aca="false">IF($B69="","",MAX(0,J69-D69+1)/cfg_DAYS_Y)</f>
        <v/>
      </c>
      <c r="F69" s="115" t="str">
        <f aca="false">IF($B69="","",IF(الموظفون!$R69&lt;&gt;"",الموظفون!$R69,IF(E69&gt;=cfg_LV_TH,cfg_LV_D2,cfg_LV_D1)))</f>
        <v/>
      </c>
      <c r="G69" s="90" t="str">
        <f aca="false">IF($B69="","",الموظفون!$P69/cfg_DAYS_M)</f>
        <v/>
      </c>
      <c r="H69" s="110" t="str">
        <f aca="false">IF($B69="","",N(الموظفون!$V69))</f>
        <v/>
      </c>
      <c r="I69" s="129" t="str">
        <f aca="false">IF($B69="","",MAX(cfg_Y_START,D69))</f>
        <v/>
      </c>
      <c r="J69" s="129" t="str">
        <f aca="false">IF($B69="","",IF(OR(الموظفون!$X69="",الموظفون!$X69&gt;cfg_VAL_DATE),cfg_VAL_DATE,الموظفون!$X69))</f>
        <v/>
      </c>
      <c r="K69" s="115" t="str">
        <f aca="false">IF($B69="","",MAX(0,J69-I69+1))</f>
        <v/>
      </c>
      <c r="L69" s="110" t="str">
        <f aca="false">IF($B69="","",F69/cfg_DAYS_Y*K69)</f>
        <v/>
      </c>
      <c r="M69" s="110" t="str">
        <f aca="false">IF($B69="","",SUMIFS('الحركات الشهرية'!$K$6:$K$1005,'الحركات الشهرية'!$B$6:$B$1005,B69,'الحركات الشهرية'!$A$6:$A$1005,"&lt;="&amp;cfg_VAL_M))</f>
        <v/>
      </c>
      <c r="N69" s="110" t="str">
        <f aca="false">IF($B69="","",SUMIFS('الحركات الشهرية'!$L$6:$L$1005,'الحركات الشهرية'!$B$6:$B$1005,B69,'الحركات الشهرية'!$A$6:$A$1005,"&lt;="&amp;cfg_VAL_M))</f>
        <v/>
      </c>
      <c r="O69" s="110" t="str">
        <f aca="false">IF($B69="","",H69+L69-M69-N69)</f>
        <v/>
      </c>
      <c r="P69" s="112" t="str">
        <f aca="false">IF($B69="","",O69*G69)</f>
        <v/>
      </c>
      <c r="Q69" s="90" t="str">
        <f aca="false">IF($B69="","",H69*G69)</f>
        <v/>
      </c>
      <c r="R69" s="90" t="str">
        <f aca="false">IF($B69="","",(M69+N69)*G69)</f>
        <v/>
      </c>
      <c r="S69" s="91" t="str">
        <f aca="false">IF($B69="","",IF(O69&lt;-0.01,"✖ رصيد سالب",IF(O69&gt;F69*2,"⚠ رصيد مرتفع (أكثر من سنتين)",IF(AND(الموظفون!$X69&lt;&gt;"",الموظفون!$X69&lt;=cfg_VAL_DATE,O69&gt;0.01),"⚠ منتهي الخدمة برصيد","✔ سليم"))))</f>
        <v/>
      </c>
    </row>
    <row r="70" customFormat="false" ht="15" hidden="false" customHeight="false" outlineLevel="0" collapsed="false">
      <c r="B70" s="74" t="str">
        <f aca="false">IF(الموظفون!$B70="","",الموظفون!$B70)</f>
        <v/>
      </c>
      <c r="C70" s="74" t="str">
        <f aca="false">IF($B70="","",الموظفون!$C70)</f>
        <v/>
      </c>
      <c r="D70" s="127" t="str">
        <f aca="false">IF($B70="","",الموظفون!$H70)</f>
        <v/>
      </c>
      <c r="E70" s="132" t="str">
        <f aca="false">IF($B70="","",MAX(0,J70-D70+1)/cfg_DAYS_Y)</f>
        <v/>
      </c>
      <c r="F70" s="51" t="str">
        <f aca="false">IF($B70="","",IF(الموظفون!$R70&lt;&gt;"",الموظفون!$R70,IF(E70&gt;=cfg_LV_TH,cfg_LV_D2,cfg_LV_D1)))</f>
        <v/>
      </c>
      <c r="G70" s="86" t="str">
        <f aca="false">IF($B70="","",الموظفون!$P70/cfg_DAYS_M)</f>
        <v/>
      </c>
      <c r="H70" s="105" t="str">
        <f aca="false">IF($B70="","",N(الموظفون!$V70))</f>
        <v/>
      </c>
      <c r="I70" s="127" t="str">
        <f aca="false">IF($B70="","",MAX(cfg_Y_START,D70))</f>
        <v/>
      </c>
      <c r="J70" s="127" t="str">
        <f aca="false">IF($B70="","",IF(OR(الموظفون!$X70="",الموظفون!$X70&gt;cfg_VAL_DATE),cfg_VAL_DATE,الموظفون!$X70))</f>
        <v/>
      </c>
      <c r="K70" s="51" t="str">
        <f aca="false">IF($B70="","",MAX(0,J70-I70+1))</f>
        <v/>
      </c>
      <c r="L70" s="105" t="str">
        <f aca="false">IF($B70="","",F70/cfg_DAYS_Y*K70)</f>
        <v/>
      </c>
      <c r="M70" s="105" t="str">
        <f aca="false">IF($B70="","",SUMIFS('الحركات الشهرية'!$K$6:$K$1005,'الحركات الشهرية'!$B$6:$B$1005,B70,'الحركات الشهرية'!$A$6:$A$1005,"&lt;="&amp;cfg_VAL_M))</f>
        <v/>
      </c>
      <c r="N70" s="105" t="str">
        <f aca="false">IF($B70="","",SUMIFS('الحركات الشهرية'!$L$6:$L$1005,'الحركات الشهرية'!$B$6:$B$1005,B70,'الحركات الشهرية'!$A$6:$A$1005,"&lt;="&amp;cfg_VAL_M))</f>
        <v/>
      </c>
      <c r="O70" s="105" t="str">
        <f aca="false">IF($B70="","",H70+L70-M70-N70)</f>
        <v/>
      </c>
      <c r="P70" s="107" t="str">
        <f aca="false">IF($B70="","",O70*G70)</f>
        <v/>
      </c>
      <c r="Q70" s="86" t="str">
        <f aca="false">IF($B70="","",H70*G70)</f>
        <v/>
      </c>
      <c r="R70" s="86" t="str">
        <f aca="false">IF($B70="","",(M70+N70)*G70)</f>
        <v/>
      </c>
      <c r="S70" s="74" t="str">
        <f aca="false">IF($B70="","",IF(O70&lt;-0.01,"✖ رصيد سالب",IF(O70&gt;F70*2,"⚠ رصيد مرتفع (أكثر من سنتين)",IF(AND(الموظفون!$X70&lt;&gt;"",الموظفون!$X70&lt;=cfg_VAL_DATE,O70&gt;0.01),"⚠ منتهي الخدمة برصيد","✔ سليم"))))</f>
        <v/>
      </c>
    </row>
    <row r="71" customFormat="false" ht="15" hidden="false" customHeight="false" outlineLevel="0" collapsed="false">
      <c r="B71" s="91" t="str">
        <f aca="false">IF(الموظفون!$B71="","",الموظفون!$B71)</f>
        <v/>
      </c>
      <c r="C71" s="91" t="str">
        <f aca="false">IF($B71="","",الموظفون!$C71)</f>
        <v/>
      </c>
      <c r="D71" s="129" t="str">
        <f aca="false">IF($B71="","",الموظفون!$H71)</f>
        <v/>
      </c>
      <c r="E71" s="133" t="str">
        <f aca="false">IF($B71="","",MAX(0,J71-D71+1)/cfg_DAYS_Y)</f>
        <v/>
      </c>
      <c r="F71" s="115" t="str">
        <f aca="false">IF($B71="","",IF(الموظفون!$R71&lt;&gt;"",الموظفون!$R71,IF(E71&gt;=cfg_LV_TH,cfg_LV_D2,cfg_LV_D1)))</f>
        <v/>
      </c>
      <c r="G71" s="90" t="str">
        <f aca="false">IF($B71="","",الموظفون!$P71/cfg_DAYS_M)</f>
        <v/>
      </c>
      <c r="H71" s="110" t="str">
        <f aca="false">IF($B71="","",N(الموظفون!$V71))</f>
        <v/>
      </c>
      <c r="I71" s="129" t="str">
        <f aca="false">IF($B71="","",MAX(cfg_Y_START,D71))</f>
        <v/>
      </c>
      <c r="J71" s="129" t="str">
        <f aca="false">IF($B71="","",IF(OR(الموظفون!$X71="",الموظفون!$X71&gt;cfg_VAL_DATE),cfg_VAL_DATE,الموظفون!$X71))</f>
        <v/>
      </c>
      <c r="K71" s="115" t="str">
        <f aca="false">IF($B71="","",MAX(0,J71-I71+1))</f>
        <v/>
      </c>
      <c r="L71" s="110" t="str">
        <f aca="false">IF($B71="","",F71/cfg_DAYS_Y*K71)</f>
        <v/>
      </c>
      <c r="M71" s="110" t="str">
        <f aca="false">IF($B71="","",SUMIFS('الحركات الشهرية'!$K$6:$K$1005,'الحركات الشهرية'!$B$6:$B$1005,B71,'الحركات الشهرية'!$A$6:$A$1005,"&lt;="&amp;cfg_VAL_M))</f>
        <v/>
      </c>
      <c r="N71" s="110" t="str">
        <f aca="false">IF($B71="","",SUMIFS('الحركات الشهرية'!$L$6:$L$1005,'الحركات الشهرية'!$B$6:$B$1005,B71,'الحركات الشهرية'!$A$6:$A$1005,"&lt;="&amp;cfg_VAL_M))</f>
        <v/>
      </c>
      <c r="O71" s="110" t="str">
        <f aca="false">IF($B71="","",H71+L71-M71-N71)</f>
        <v/>
      </c>
      <c r="P71" s="112" t="str">
        <f aca="false">IF($B71="","",O71*G71)</f>
        <v/>
      </c>
      <c r="Q71" s="90" t="str">
        <f aca="false">IF($B71="","",H71*G71)</f>
        <v/>
      </c>
      <c r="R71" s="90" t="str">
        <f aca="false">IF($B71="","",(M71+N71)*G71)</f>
        <v/>
      </c>
      <c r="S71" s="91" t="str">
        <f aca="false">IF($B71="","",IF(O71&lt;-0.01,"✖ رصيد سالب",IF(O71&gt;F71*2,"⚠ رصيد مرتفع (أكثر من سنتين)",IF(AND(الموظفون!$X71&lt;&gt;"",الموظفون!$X71&lt;=cfg_VAL_DATE,O71&gt;0.01),"⚠ منتهي الخدمة برصيد","✔ سليم"))))</f>
        <v/>
      </c>
    </row>
    <row r="72" customFormat="false" ht="15" hidden="false" customHeight="false" outlineLevel="0" collapsed="false">
      <c r="B72" s="74" t="str">
        <f aca="false">IF(الموظفون!$B72="","",الموظفون!$B72)</f>
        <v/>
      </c>
      <c r="C72" s="74" t="str">
        <f aca="false">IF($B72="","",الموظفون!$C72)</f>
        <v/>
      </c>
      <c r="D72" s="127" t="str">
        <f aca="false">IF($B72="","",الموظفون!$H72)</f>
        <v/>
      </c>
      <c r="E72" s="132" t="str">
        <f aca="false">IF($B72="","",MAX(0,J72-D72+1)/cfg_DAYS_Y)</f>
        <v/>
      </c>
      <c r="F72" s="51" t="str">
        <f aca="false">IF($B72="","",IF(الموظفون!$R72&lt;&gt;"",الموظفون!$R72,IF(E72&gt;=cfg_LV_TH,cfg_LV_D2,cfg_LV_D1)))</f>
        <v/>
      </c>
      <c r="G72" s="86" t="str">
        <f aca="false">IF($B72="","",الموظفون!$P72/cfg_DAYS_M)</f>
        <v/>
      </c>
      <c r="H72" s="105" t="str">
        <f aca="false">IF($B72="","",N(الموظفون!$V72))</f>
        <v/>
      </c>
      <c r="I72" s="127" t="str">
        <f aca="false">IF($B72="","",MAX(cfg_Y_START,D72))</f>
        <v/>
      </c>
      <c r="J72" s="127" t="str">
        <f aca="false">IF($B72="","",IF(OR(الموظفون!$X72="",الموظفون!$X72&gt;cfg_VAL_DATE),cfg_VAL_DATE,الموظفون!$X72))</f>
        <v/>
      </c>
      <c r="K72" s="51" t="str">
        <f aca="false">IF($B72="","",MAX(0,J72-I72+1))</f>
        <v/>
      </c>
      <c r="L72" s="105" t="str">
        <f aca="false">IF($B72="","",F72/cfg_DAYS_Y*K72)</f>
        <v/>
      </c>
      <c r="M72" s="105" t="str">
        <f aca="false">IF($B72="","",SUMIFS('الحركات الشهرية'!$K$6:$K$1005,'الحركات الشهرية'!$B$6:$B$1005,B72,'الحركات الشهرية'!$A$6:$A$1005,"&lt;="&amp;cfg_VAL_M))</f>
        <v/>
      </c>
      <c r="N72" s="105" t="str">
        <f aca="false">IF($B72="","",SUMIFS('الحركات الشهرية'!$L$6:$L$1005,'الحركات الشهرية'!$B$6:$B$1005,B72,'الحركات الشهرية'!$A$6:$A$1005,"&lt;="&amp;cfg_VAL_M))</f>
        <v/>
      </c>
      <c r="O72" s="105" t="str">
        <f aca="false">IF($B72="","",H72+L72-M72-N72)</f>
        <v/>
      </c>
      <c r="P72" s="107" t="str">
        <f aca="false">IF($B72="","",O72*G72)</f>
        <v/>
      </c>
      <c r="Q72" s="86" t="str">
        <f aca="false">IF($B72="","",H72*G72)</f>
        <v/>
      </c>
      <c r="R72" s="86" t="str">
        <f aca="false">IF($B72="","",(M72+N72)*G72)</f>
        <v/>
      </c>
      <c r="S72" s="74" t="str">
        <f aca="false">IF($B72="","",IF(O72&lt;-0.01,"✖ رصيد سالب",IF(O72&gt;F72*2,"⚠ رصيد مرتفع (أكثر من سنتين)",IF(AND(الموظفون!$X72&lt;&gt;"",الموظفون!$X72&lt;=cfg_VAL_DATE,O72&gt;0.01),"⚠ منتهي الخدمة برصيد","✔ سليم"))))</f>
        <v/>
      </c>
    </row>
    <row r="73" customFormat="false" ht="15" hidden="false" customHeight="false" outlineLevel="0" collapsed="false">
      <c r="B73" s="91" t="str">
        <f aca="false">IF(الموظفون!$B73="","",الموظفون!$B73)</f>
        <v/>
      </c>
      <c r="C73" s="91" t="str">
        <f aca="false">IF($B73="","",الموظفون!$C73)</f>
        <v/>
      </c>
      <c r="D73" s="129" t="str">
        <f aca="false">IF($B73="","",الموظفون!$H73)</f>
        <v/>
      </c>
      <c r="E73" s="133" t="str">
        <f aca="false">IF($B73="","",MAX(0,J73-D73+1)/cfg_DAYS_Y)</f>
        <v/>
      </c>
      <c r="F73" s="115" t="str">
        <f aca="false">IF($B73="","",IF(الموظفون!$R73&lt;&gt;"",الموظفون!$R73,IF(E73&gt;=cfg_LV_TH,cfg_LV_D2,cfg_LV_D1)))</f>
        <v/>
      </c>
      <c r="G73" s="90" t="str">
        <f aca="false">IF($B73="","",الموظفون!$P73/cfg_DAYS_M)</f>
        <v/>
      </c>
      <c r="H73" s="110" t="str">
        <f aca="false">IF($B73="","",N(الموظفون!$V73))</f>
        <v/>
      </c>
      <c r="I73" s="129" t="str">
        <f aca="false">IF($B73="","",MAX(cfg_Y_START,D73))</f>
        <v/>
      </c>
      <c r="J73" s="129" t="str">
        <f aca="false">IF($B73="","",IF(OR(الموظفون!$X73="",الموظفون!$X73&gt;cfg_VAL_DATE),cfg_VAL_DATE,الموظفون!$X73))</f>
        <v/>
      </c>
      <c r="K73" s="115" t="str">
        <f aca="false">IF($B73="","",MAX(0,J73-I73+1))</f>
        <v/>
      </c>
      <c r="L73" s="110" t="str">
        <f aca="false">IF($B73="","",F73/cfg_DAYS_Y*K73)</f>
        <v/>
      </c>
      <c r="M73" s="110" t="str">
        <f aca="false">IF($B73="","",SUMIFS('الحركات الشهرية'!$K$6:$K$1005,'الحركات الشهرية'!$B$6:$B$1005,B73,'الحركات الشهرية'!$A$6:$A$1005,"&lt;="&amp;cfg_VAL_M))</f>
        <v/>
      </c>
      <c r="N73" s="110" t="str">
        <f aca="false">IF($B73="","",SUMIFS('الحركات الشهرية'!$L$6:$L$1005,'الحركات الشهرية'!$B$6:$B$1005,B73,'الحركات الشهرية'!$A$6:$A$1005,"&lt;="&amp;cfg_VAL_M))</f>
        <v/>
      </c>
      <c r="O73" s="110" t="str">
        <f aca="false">IF($B73="","",H73+L73-M73-N73)</f>
        <v/>
      </c>
      <c r="P73" s="112" t="str">
        <f aca="false">IF($B73="","",O73*G73)</f>
        <v/>
      </c>
      <c r="Q73" s="90" t="str">
        <f aca="false">IF($B73="","",H73*G73)</f>
        <v/>
      </c>
      <c r="R73" s="90" t="str">
        <f aca="false">IF($B73="","",(M73+N73)*G73)</f>
        <v/>
      </c>
      <c r="S73" s="91" t="str">
        <f aca="false">IF($B73="","",IF(O73&lt;-0.01,"✖ رصيد سالب",IF(O73&gt;F73*2,"⚠ رصيد مرتفع (أكثر من سنتين)",IF(AND(الموظفون!$X73&lt;&gt;"",الموظفون!$X73&lt;=cfg_VAL_DATE,O73&gt;0.01),"⚠ منتهي الخدمة برصيد","✔ سليم"))))</f>
        <v/>
      </c>
    </row>
    <row r="74" customFormat="false" ht="15" hidden="false" customHeight="false" outlineLevel="0" collapsed="false">
      <c r="B74" s="74" t="str">
        <f aca="false">IF(الموظفون!$B74="","",الموظفون!$B74)</f>
        <v/>
      </c>
      <c r="C74" s="74" t="str">
        <f aca="false">IF($B74="","",الموظفون!$C74)</f>
        <v/>
      </c>
      <c r="D74" s="127" t="str">
        <f aca="false">IF($B74="","",الموظفون!$H74)</f>
        <v/>
      </c>
      <c r="E74" s="132" t="str">
        <f aca="false">IF($B74="","",MAX(0,J74-D74+1)/cfg_DAYS_Y)</f>
        <v/>
      </c>
      <c r="F74" s="51" t="str">
        <f aca="false">IF($B74="","",IF(الموظفون!$R74&lt;&gt;"",الموظفون!$R74,IF(E74&gt;=cfg_LV_TH,cfg_LV_D2,cfg_LV_D1)))</f>
        <v/>
      </c>
      <c r="G74" s="86" t="str">
        <f aca="false">IF($B74="","",الموظفون!$P74/cfg_DAYS_M)</f>
        <v/>
      </c>
      <c r="H74" s="105" t="str">
        <f aca="false">IF($B74="","",N(الموظفون!$V74))</f>
        <v/>
      </c>
      <c r="I74" s="127" t="str">
        <f aca="false">IF($B74="","",MAX(cfg_Y_START,D74))</f>
        <v/>
      </c>
      <c r="J74" s="127" t="str">
        <f aca="false">IF($B74="","",IF(OR(الموظفون!$X74="",الموظفون!$X74&gt;cfg_VAL_DATE),cfg_VAL_DATE,الموظفون!$X74))</f>
        <v/>
      </c>
      <c r="K74" s="51" t="str">
        <f aca="false">IF($B74="","",MAX(0,J74-I74+1))</f>
        <v/>
      </c>
      <c r="L74" s="105" t="str">
        <f aca="false">IF($B74="","",F74/cfg_DAYS_Y*K74)</f>
        <v/>
      </c>
      <c r="M74" s="105" t="str">
        <f aca="false">IF($B74="","",SUMIFS('الحركات الشهرية'!$K$6:$K$1005,'الحركات الشهرية'!$B$6:$B$1005,B74,'الحركات الشهرية'!$A$6:$A$1005,"&lt;="&amp;cfg_VAL_M))</f>
        <v/>
      </c>
      <c r="N74" s="105" t="str">
        <f aca="false">IF($B74="","",SUMIFS('الحركات الشهرية'!$L$6:$L$1005,'الحركات الشهرية'!$B$6:$B$1005,B74,'الحركات الشهرية'!$A$6:$A$1005,"&lt;="&amp;cfg_VAL_M))</f>
        <v/>
      </c>
      <c r="O74" s="105" t="str">
        <f aca="false">IF($B74="","",H74+L74-M74-N74)</f>
        <v/>
      </c>
      <c r="P74" s="107" t="str">
        <f aca="false">IF($B74="","",O74*G74)</f>
        <v/>
      </c>
      <c r="Q74" s="86" t="str">
        <f aca="false">IF($B74="","",H74*G74)</f>
        <v/>
      </c>
      <c r="R74" s="86" t="str">
        <f aca="false">IF($B74="","",(M74+N74)*G74)</f>
        <v/>
      </c>
      <c r="S74" s="74" t="str">
        <f aca="false">IF($B74="","",IF(O74&lt;-0.01,"✖ رصيد سالب",IF(O74&gt;F74*2,"⚠ رصيد مرتفع (أكثر من سنتين)",IF(AND(الموظفون!$X74&lt;&gt;"",الموظفون!$X74&lt;=cfg_VAL_DATE,O74&gt;0.01),"⚠ منتهي الخدمة برصيد","✔ سليم"))))</f>
        <v/>
      </c>
    </row>
    <row r="75" customFormat="false" ht="15" hidden="false" customHeight="false" outlineLevel="0" collapsed="false">
      <c r="B75" s="91" t="str">
        <f aca="false">IF(الموظفون!$B75="","",الموظفون!$B75)</f>
        <v/>
      </c>
      <c r="C75" s="91" t="str">
        <f aca="false">IF($B75="","",الموظفون!$C75)</f>
        <v/>
      </c>
      <c r="D75" s="129" t="str">
        <f aca="false">IF($B75="","",الموظفون!$H75)</f>
        <v/>
      </c>
      <c r="E75" s="133" t="str">
        <f aca="false">IF($B75="","",MAX(0,J75-D75+1)/cfg_DAYS_Y)</f>
        <v/>
      </c>
      <c r="F75" s="115" t="str">
        <f aca="false">IF($B75="","",IF(الموظفون!$R75&lt;&gt;"",الموظفون!$R75,IF(E75&gt;=cfg_LV_TH,cfg_LV_D2,cfg_LV_D1)))</f>
        <v/>
      </c>
      <c r="G75" s="90" t="str">
        <f aca="false">IF($B75="","",الموظفون!$P75/cfg_DAYS_M)</f>
        <v/>
      </c>
      <c r="H75" s="110" t="str">
        <f aca="false">IF($B75="","",N(الموظفون!$V75))</f>
        <v/>
      </c>
      <c r="I75" s="129" t="str">
        <f aca="false">IF($B75="","",MAX(cfg_Y_START,D75))</f>
        <v/>
      </c>
      <c r="J75" s="129" t="str">
        <f aca="false">IF($B75="","",IF(OR(الموظفون!$X75="",الموظفون!$X75&gt;cfg_VAL_DATE),cfg_VAL_DATE,الموظفون!$X75))</f>
        <v/>
      </c>
      <c r="K75" s="115" t="str">
        <f aca="false">IF($B75="","",MAX(0,J75-I75+1))</f>
        <v/>
      </c>
      <c r="L75" s="110" t="str">
        <f aca="false">IF($B75="","",F75/cfg_DAYS_Y*K75)</f>
        <v/>
      </c>
      <c r="M75" s="110" t="str">
        <f aca="false">IF($B75="","",SUMIFS('الحركات الشهرية'!$K$6:$K$1005,'الحركات الشهرية'!$B$6:$B$1005,B75,'الحركات الشهرية'!$A$6:$A$1005,"&lt;="&amp;cfg_VAL_M))</f>
        <v/>
      </c>
      <c r="N75" s="110" t="str">
        <f aca="false">IF($B75="","",SUMIFS('الحركات الشهرية'!$L$6:$L$1005,'الحركات الشهرية'!$B$6:$B$1005,B75,'الحركات الشهرية'!$A$6:$A$1005,"&lt;="&amp;cfg_VAL_M))</f>
        <v/>
      </c>
      <c r="O75" s="110" t="str">
        <f aca="false">IF($B75="","",H75+L75-M75-N75)</f>
        <v/>
      </c>
      <c r="P75" s="112" t="str">
        <f aca="false">IF($B75="","",O75*G75)</f>
        <v/>
      </c>
      <c r="Q75" s="90" t="str">
        <f aca="false">IF($B75="","",H75*G75)</f>
        <v/>
      </c>
      <c r="R75" s="90" t="str">
        <f aca="false">IF($B75="","",(M75+N75)*G75)</f>
        <v/>
      </c>
      <c r="S75" s="91" t="str">
        <f aca="false">IF($B75="","",IF(O75&lt;-0.01,"✖ رصيد سالب",IF(O75&gt;F75*2,"⚠ رصيد مرتفع (أكثر من سنتين)",IF(AND(الموظفون!$X75&lt;&gt;"",الموظفون!$X75&lt;=cfg_VAL_DATE,O75&gt;0.01),"⚠ منتهي الخدمة برصيد","✔ سليم"))))</f>
        <v/>
      </c>
    </row>
    <row r="76" customFormat="false" ht="15" hidden="false" customHeight="false" outlineLevel="0" collapsed="false">
      <c r="B76" s="74" t="str">
        <f aca="false">IF(الموظفون!$B76="","",الموظفون!$B76)</f>
        <v/>
      </c>
      <c r="C76" s="74" t="str">
        <f aca="false">IF($B76="","",الموظفون!$C76)</f>
        <v/>
      </c>
      <c r="D76" s="127" t="str">
        <f aca="false">IF($B76="","",الموظفون!$H76)</f>
        <v/>
      </c>
      <c r="E76" s="132" t="str">
        <f aca="false">IF($B76="","",MAX(0,J76-D76+1)/cfg_DAYS_Y)</f>
        <v/>
      </c>
      <c r="F76" s="51" t="str">
        <f aca="false">IF($B76="","",IF(الموظفون!$R76&lt;&gt;"",الموظفون!$R76,IF(E76&gt;=cfg_LV_TH,cfg_LV_D2,cfg_LV_D1)))</f>
        <v/>
      </c>
      <c r="G76" s="86" t="str">
        <f aca="false">IF($B76="","",الموظفون!$P76/cfg_DAYS_M)</f>
        <v/>
      </c>
      <c r="H76" s="105" t="str">
        <f aca="false">IF($B76="","",N(الموظفون!$V76))</f>
        <v/>
      </c>
      <c r="I76" s="127" t="str">
        <f aca="false">IF($B76="","",MAX(cfg_Y_START,D76))</f>
        <v/>
      </c>
      <c r="J76" s="127" t="str">
        <f aca="false">IF($B76="","",IF(OR(الموظفون!$X76="",الموظفون!$X76&gt;cfg_VAL_DATE),cfg_VAL_DATE,الموظفون!$X76))</f>
        <v/>
      </c>
      <c r="K76" s="51" t="str">
        <f aca="false">IF($B76="","",MAX(0,J76-I76+1))</f>
        <v/>
      </c>
      <c r="L76" s="105" t="str">
        <f aca="false">IF($B76="","",F76/cfg_DAYS_Y*K76)</f>
        <v/>
      </c>
      <c r="M76" s="105" t="str">
        <f aca="false">IF($B76="","",SUMIFS('الحركات الشهرية'!$K$6:$K$1005,'الحركات الشهرية'!$B$6:$B$1005,B76,'الحركات الشهرية'!$A$6:$A$1005,"&lt;="&amp;cfg_VAL_M))</f>
        <v/>
      </c>
      <c r="N76" s="105" t="str">
        <f aca="false">IF($B76="","",SUMIFS('الحركات الشهرية'!$L$6:$L$1005,'الحركات الشهرية'!$B$6:$B$1005,B76,'الحركات الشهرية'!$A$6:$A$1005,"&lt;="&amp;cfg_VAL_M))</f>
        <v/>
      </c>
      <c r="O76" s="105" t="str">
        <f aca="false">IF($B76="","",H76+L76-M76-N76)</f>
        <v/>
      </c>
      <c r="P76" s="107" t="str">
        <f aca="false">IF($B76="","",O76*G76)</f>
        <v/>
      </c>
      <c r="Q76" s="86" t="str">
        <f aca="false">IF($B76="","",H76*G76)</f>
        <v/>
      </c>
      <c r="R76" s="86" t="str">
        <f aca="false">IF($B76="","",(M76+N76)*G76)</f>
        <v/>
      </c>
      <c r="S76" s="74" t="str">
        <f aca="false">IF($B76="","",IF(O76&lt;-0.01,"✖ رصيد سالب",IF(O76&gt;F76*2,"⚠ رصيد مرتفع (أكثر من سنتين)",IF(AND(الموظفون!$X76&lt;&gt;"",الموظفون!$X76&lt;=cfg_VAL_DATE,O76&gt;0.01),"⚠ منتهي الخدمة برصيد","✔ سليم"))))</f>
        <v/>
      </c>
    </row>
    <row r="77" customFormat="false" ht="15" hidden="false" customHeight="false" outlineLevel="0" collapsed="false">
      <c r="B77" s="91" t="str">
        <f aca="false">IF(الموظفون!$B77="","",الموظفون!$B77)</f>
        <v/>
      </c>
      <c r="C77" s="91" t="str">
        <f aca="false">IF($B77="","",الموظفون!$C77)</f>
        <v/>
      </c>
      <c r="D77" s="129" t="str">
        <f aca="false">IF($B77="","",الموظفون!$H77)</f>
        <v/>
      </c>
      <c r="E77" s="133" t="str">
        <f aca="false">IF($B77="","",MAX(0,J77-D77+1)/cfg_DAYS_Y)</f>
        <v/>
      </c>
      <c r="F77" s="115" t="str">
        <f aca="false">IF($B77="","",IF(الموظفون!$R77&lt;&gt;"",الموظفون!$R77,IF(E77&gt;=cfg_LV_TH,cfg_LV_D2,cfg_LV_D1)))</f>
        <v/>
      </c>
      <c r="G77" s="90" t="str">
        <f aca="false">IF($B77="","",الموظفون!$P77/cfg_DAYS_M)</f>
        <v/>
      </c>
      <c r="H77" s="110" t="str">
        <f aca="false">IF($B77="","",N(الموظفون!$V77))</f>
        <v/>
      </c>
      <c r="I77" s="129" t="str">
        <f aca="false">IF($B77="","",MAX(cfg_Y_START,D77))</f>
        <v/>
      </c>
      <c r="J77" s="129" t="str">
        <f aca="false">IF($B77="","",IF(OR(الموظفون!$X77="",الموظفون!$X77&gt;cfg_VAL_DATE),cfg_VAL_DATE,الموظفون!$X77))</f>
        <v/>
      </c>
      <c r="K77" s="115" t="str">
        <f aca="false">IF($B77="","",MAX(0,J77-I77+1))</f>
        <v/>
      </c>
      <c r="L77" s="110" t="str">
        <f aca="false">IF($B77="","",F77/cfg_DAYS_Y*K77)</f>
        <v/>
      </c>
      <c r="M77" s="110" t="str">
        <f aca="false">IF($B77="","",SUMIFS('الحركات الشهرية'!$K$6:$K$1005,'الحركات الشهرية'!$B$6:$B$1005,B77,'الحركات الشهرية'!$A$6:$A$1005,"&lt;="&amp;cfg_VAL_M))</f>
        <v/>
      </c>
      <c r="N77" s="110" t="str">
        <f aca="false">IF($B77="","",SUMIFS('الحركات الشهرية'!$L$6:$L$1005,'الحركات الشهرية'!$B$6:$B$1005,B77,'الحركات الشهرية'!$A$6:$A$1005,"&lt;="&amp;cfg_VAL_M))</f>
        <v/>
      </c>
      <c r="O77" s="110" t="str">
        <f aca="false">IF($B77="","",H77+L77-M77-N77)</f>
        <v/>
      </c>
      <c r="P77" s="112" t="str">
        <f aca="false">IF($B77="","",O77*G77)</f>
        <v/>
      </c>
      <c r="Q77" s="90" t="str">
        <f aca="false">IF($B77="","",H77*G77)</f>
        <v/>
      </c>
      <c r="R77" s="90" t="str">
        <f aca="false">IF($B77="","",(M77+N77)*G77)</f>
        <v/>
      </c>
      <c r="S77" s="91" t="str">
        <f aca="false">IF($B77="","",IF(O77&lt;-0.01,"✖ رصيد سالب",IF(O77&gt;F77*2,"⚠ رصيد مرتفع (أكثر من سنتين)",IF(AND(الموظفون!$X77&lt;&gt;"",الموظفون!$X77&lt;=cfg_VAL_DATE,O77&gt;0.01),"⚠ منتهي الخدمة برصيد","✔ سليم"))))</f>
        <v/>
      </c>
    </row>
    <row r="78" customFormat="false" ht="15" hidden="false" customHeight="false" outlineLevel="0" collapsed="false">
      <c r="B78" s="74" t="str">
        <f aca="false">IF(الموظفون!$B78="","",الموظفون!$B78)</f>
        <v/>
      </c>
      <c r="C78" s="74" t="str">
        <f aca="false">IF($B78="","",الموظفون!$C78)</f>
        <v/>
      </c>
      <c r="D78" s="127" t="str">
        <f aca="false">IF($B78="","",الموظفون!$H78)</f>
        <v/>
      </c>
      <c r="E78" s="132" t="str">
        <f aca="false">IF($B78="","",MAX(0,J78-D78+1)/cfg_DAYS_Y)</f>
        <v/>
      </c>
      <c r="F78" s="51" t="str">
        <f aca="false">IF($B78="","",IF(الموظفون!$R78&lt;&gt;"",الموظفون!$R78,IF(E78&gt;=cfg_LV_TH,cfg_LV_D2,cfg_LV_D1)))</f>
        <v/>
      </c>
      <c r="G78" s="86" t="str">
        <f aca="false">IF($B78="","",الموظفون!$P78/cfg_DAYS_M)</f>
        <v/>
      </c>
      <c r="H78" s="105" t="str">
        <f aca="false">IF($B78="","",N(الموظفون!$V78))</f>
        <v/>
      </c>
      <c r="I78" s="127" t="str">
        <f aca="false">IF($B78="","",MAX(cfg_Y_START,D78))</f>
        <v/>
      </c>
      <c r="J78" s="127" t="str">
        <f aca="false">IF($B78="","",IF(OR(الموظفون!$X78="",الموظفون!$X78&gt;cfg_VAL_DATE),cfg_VAL_DATE,الموظفون!$X78))</f>
        <v/>
      </c>
      <c r="K78" s="51" t="str">
        <f aca="false">IF($B78="","",MAX(0,J78-I78+1))</f>
        <v/>
      </c>
      <c r="L78" s="105" t="str">
        <f aca="false">IF($B78="","",F78/cfg_DAYS_Y*K78)</f>
        <v/>
      </c>
      <c r="M78" s="105" t="str">
        <f aca="false">IF($B78="","",SUMIFS('الحركات الشهرية'!$K$6:$K$1005,'الحركات الشهرية'!$B$6:$B$1005,B78,'الحركات الشهرية'!$A$6:$A$1005,"&lt;="&amp;cfg_VAL_M))</f>
        <v/>
      </c>
      <c r="N78" s="105" t="str">
        <f aca="false">IF($B78="","",SUMIFS('الحركات الشهرية'!$L$6:$L$1005,'الحركات الشهرية'!$B$6:$B$1005,B78,'الحركات الشهرية'!$A$6:$A$1005,"&lt;="&amp;cfg_VAL_M))</f>
        <v/>
      </c>
      <c r="O78" s="105" t="str">
        <f aca="false">IF($B78="","",H78+L78-M78-N78)</f>
        <v/>
      </c>
      <c r="P78" s="107" t="str">
        <f aca="false">IF($B78="","",O78*G78)</f>
        <v/>
      </c>
      <c r="Q78" s="86" t="str">
        <f aca="false">IF($B78="","",H78*G78)</f>
        <v/>
      </c>
      <c r="R78" s="86" t="str">
        <f aca="false">IF($B78="","",(M78+N78)*G78)</f>
        <v/>
      </c>
      <c r="S78" s="74" t="str">
        <f aca="false">IF($B78="","",IF(O78&lt;-0.01,"✖ رصيد سالب",IF(O78&gt;F78*2,"⚠ رصيد مرتفع (أكثر من سنتين)",IF(AND(الموظفون!$X78&lt;&gt;"",الموظفون!$X78&lt;=cfg_VAL_DATE,O78&gt;0.01),"⚠ منتهي الخدمة برصيد","✔ سليم"))))</f>
        <v/>
      </c>
    </row>
    <row r="79" customFormat="false" ht="15" hidden="false" customHeight="false" outlineLevel="0" collapsed="false">
      <c r="B79" s="91" t="str">
        <f aca="false">IF(الموظفون!$B79="","",الموظفون!$B79)</f>
        <v/>
      </c>
      <c r="C79" s="91" t="str">
        <f aca="false">IF($B79="","",الموظفون!$C79)</f>
        <v/>
      </c>
      <c r="D79" s="129" t="str">
        <f aca="false">IF($B79="","",الموظفون!$H79)</f>
        <v/>
      </c>
      <c r="E79" s="133" t="str">
        <f aca="false">IF($B79="","",MAX(0,J79-D79+1)/cfg_DAYS_Y)</f>
        <v/>
      </c>
      <c r="F79" s="115" t="str">
        <f aca="false">IF($B79="","",IF(الموظفون!$R79&lt;&gt;"",الموظفون!$R79,IF(E79&gt;=cfg_LV_TH,cfg_LV_D2,cfg_LV_D1)))</f>
        <v/>
      </c>
      <c r="G79" s="90" t="str">
        <f aca="false">IF($B79="","",الموظفون!$P79/cfg_DAYS_M)</f>
        <v/>
      </c>
      <c r="H79" s="110" t="str">
        <f aca="false">IF($B79="","",N(الموظفون!$V79))</f>
        <v/>
      </c>
      <c r="I79" s="129" t="str">
        <f aca="false">IF($B79="","",MAX(cfg_Y_START,D79))</f>
        <v/>
      </c>
      <c r="J79" s="129" t="str">
        <f aca="false">IF($B79="","",IF(OR(الموظفون!$X79="",الموظفون!$X79&gt;cfg_VAL_DATE),cfg_VAL_DATE,الموظفون!$X79))</f>
        <v/>
      </c>
      <c r="K79" s="115" t="str">
        <f aca="false">IF($B79="","",MAX(0,J79-I79+1))</f>
        <v/>
      </c>
      <c r="L79" s="110" t="str">
        <f aca="false">IF($B79="","",F79/cfg_DAYS_Y*K79)</f>
        <v/>
      </c>
      <c r="M79" s="110" t="str">
        <f aca="false">IF($B79="","",SUMIFS('الحركات الشهرية'!$K$6:$K$1005,'الحركات الشهرية'!$B$6:$B$1005,B79,'الحركات الشهرية'!$A$6:$A$1005,"&lt;="&amp;cfg_VAL_M))</f>
        <v/>
      </c>
      <c r="N79" s="110" t="str">
        <f aca="false">IF($B79="","",SUMIFS('الحركات الشهرية'!$L$6:$L$1005,'الحركات الشهرية'!$B$6:$B$1005,B79,'الحركات الشهرية'!$A$6:$A$1005,"&lt;="&amp;cfg_VAL_M))</f>
        <v/>
      </c>
      <c r="O79" s="110" t="str">
        <f aca="false">IF($B79="","",H79+L79-M79-N79)</f>
        <v/>
      </c>
      <c r="P79" s="112" t="str">
        <f aca="false">IF($B79="","",O79*G79)</f>
        <v/>
      </c>
      <c r="Q79" s="90" t="str">
        <f aca="false">IF($B79="","",H79*G79)</f>
        <v/>
      </c>
      <c r="R79" s="90" t="str">
        <f aca="false">IF($B79="","",(M79+N79)*G79)</f>
        <v/>
      </c>
      <c r="S79" s="91" t="str">
        <f aca="false">IF($B79="","",IF(O79&lt;-0.01,"✖ رصيد سالب",IF(O79&gt;F79*2,"⚠ رصيد مرتفع (أكثر من سنتين)",IF(AND(الموظفون!$X79&lt;&gt;"",الموظفون!$X79&lt;=cfg_VAL_DATE,O79&gt;0.01),"⚠ منتهي الخدمة برصيد","✔ سليم"))))</f>
        <v/>
      </c>
    </row>
    <row r="80" customFormat="false" ht="15" hidden="false" customHeight="false" outlineLevel="0" collapsed="false">
      <c r="B80" s="74" t="str">
        <f aca="false">IF(الموظفون!$B80="","",الموظفون!$B80)</f>
        <v/>
      </c>
      <c r="C80" s="74" t="str">
        <f aca="false">IF($B80="","",الموظفون!$C80)</f>
        <v/>
      </c>
      <c r="D80" s="127" t="str">
        <f aca="false">IF($B80="","",الموظفون!$H80)</f>
        <v/>
      </c>
      <c r="E80" s="132" t="str">
        <f aca="false">IF($B80="","",MAX(0,J80-D80+1)/cfg_DAYS_Y)</f>
        <v/>
      </c>
      <c r="F80" s="51" t="str">
        <f aca="false">IF($B80="","",IF(الموظفون!$R80&lt;&gt;"",الموظفون!$R80,IF(E80&gt;=cfg_LV_TH,cfg_LV_D2,cfg_LV_D1)))</f>
        <v/>
      </c>
      <c r="G80" s="86" t="str">
        <f aca="false">IF($B80="","",الموظفون!$P80/cfg_DAYS_M)</f>
        <v/>
      </c>
      <c r="H80" s="105" t="str">
        <f aca="false">IF($B80="","",N(الموظفون!$V80))</f>
        <v/>
      </c>
      <c r="I80" s="127" t="str">
        <f aca="false">IF($B80="","",MAX(cfg_Y_START,D80))</f>
        <v/>
      </c>
      <c r="J80" s="127" t="str">
        <f aca="false">IF($B80="","",IF(OR(الموظفون!$X80="",الموظفون!$X80&gt;cfg_VAL_DATE),cfg_VAL_DATE,الموظفون!$X80))</f>
        <v/>
      </c>
      <c r="K80" s="51" t="str">
        <f aca="false">IF($B80="","",MAX(0,J80-I80+1))</f>
        <v/>
      </c>
      <c r="L80" s="105" t="str">
        <f aca="false">IF($B80="","",F80/cfg_DAYS_Y*K80)</f>
        <v/>
      </c>
      <c r="M80" s="105" t="str">
        <f aca="false">IF($B80="","",SUMIFS('الحركات الشهرية'!$K$6:$K$1005,'الحركات الشهرية'!$B$6:$B$1005,B80,'الحركات الشهرية'!$A$6:$A$1005,"&lt;="&amp;cfg_VAL_M))</f>
        <v/>
      </c>
      <c r="N80" s="105" t="str">
        <f aca="false">IF($B80="","",SUMIFS('الحركات الشهرية'!$L$6:$L$1005,'الحركات الشهرية'!$B$6:$B$1005,B80,'الحركات الشهرية'!$A$6:$A$1005,"&lt;="&amp;cfg_VAL_M))</f>
        <v/>
      </c>
      <c r="O80" s="105" t="str">
        <f aca="false">IF($B80="","",H80+L80-M80-N80)</f>
        <v/>
      </c>
      <c r="P80" s="107" t="str">
        <f aca="false">IF($B80="","",O80*G80)</f>
        <v/>
      </c>
      <c r="Q80" s="86" t="str">
        <f aca="false">IF($B80="","",H80*G80)</f>
        <v/>
      </c>
      <c r="R80" s="86" t="str">
        <f aca="false">IF($B80="","",(M80+N80)*G80)</f>
        <v/>
      </c>
      <c r="S80" s="74" t="str">
        <f aca="false">IF($B80="","",IF(O80&lt;-0.01,"✖ رصيد سالب",IF(O80&gt;F80*2,"⚠ رصيد مرتفع (أكثر من سنتين)",IF(AND(الموظفون!$X80&lt;&gt;"",الموظفون!$X80&lt;=cfg_VAL_DATE,O80&gt;0.01),"⚠ منتهي الخدمة برصيد","✔ سليم"))))</f>
        <v/>
      </c>
    </row>
    <row r="81" customFormat="false" ht="15" hidden="false" customHeight="false" outlineLevel="0" collapsed="false">
      <c r="B81" s="91" t="str">
        <f aca="false">IF(الموظفون!$B81="","",الموظفون!$B81)</f>
        <v/>
      </c>
      <c r="C81" s="91" t="str">
        <f aca="false">IF($B81="","",الموظفون!$C81)</f>
        <v/>
      </c>
      <c r="D81" s="129" t="str">
        <f aca="false">IF($B81="","",الموظفون!$H81)</f>
        <v/>
      </c>
      <c r="E81" s="133" t="str">
        <f aca="false">IF($B81="","",MAX(0,J81-D81+1)/cfg_DAYS_Y)</f>
        <v/>
      </c>
      <c r="F81" s="115" t="str">
        <f aca="false">IF($B81="","",IF(الموظفون!$R81&lt;&gt;"",الموظفون!$R81,IF(E81&gt;=cfg_LV_TH,cfg_LV_D2,cfg_LV_D1)))</f>
        <v/>
      </c>
      <c r="G81" s="90" t="str">
        <f aca="false">IF($B81="","",الموظفون!$P81/cfg_DAYS_M)</f>
        <v/>
      </c>
      <c r="H81" s="110" t="str">
        <f aca="false">IF($B81="","",N(الموظفون!$V81))</f>
        <v/>
      </c>
      <c r="I81" s="129" t="str">
        <f aca="false">IF($B81="","",MAX(cfg_Y_START,D81))</f>
        <v/>
      </c>
      <c r="J81" s="129" t="str">
        <f aca="false">IF($B81="","",IF(OR(الموظفون!$X81="",الموظفون!$X81&gt;cfg_VAL_DATE),cfg_VAL_DATE,الموظفون!$X81))</f>
        <v/>
      </c>
      <c r="K81" s="115" t="str">
        <f aca="false">IF($B81="","",MAX(0,J81-I81+1))</f>
        <v/>
      </c>
      <c r="L81" s="110" t="str">
        <f aca="false">IF($B81="","",F81/cfg_DAYS_Y*K81)</f>
        <v/>
      </c>
      <c r="M81" s="110" t="str">
        <f aca="false">IF($B81="","",SUMIFS('الحركات الشهرية'!$K$6:$K$1005,'الحركات الشهرية'!$B$6:$B$1005,B81,'الحركات الشهرية'!$A$6:$A$1005,"&lt;="&amp;cfg_VAL_M))</f>
        <v/>
      </c>
      <c r="N81" s="110" t="str">
        <f aca="false">IF($B81="","",SUMIFS('الحركات الشهرية'!$L$6:$L$1005,'الحركات الشهرية'!$B$6:$B$1005,B81,'الحركات الشهرية'!$A$6:$A$1005,"&lt;="&amp;cfg_VAL_M))</f>
        <v/>
      </c>
      <c r="O81" s="110" t="str">
        <f aca="false">IF($B81="","",H81+L81-M81-N81)</f>
        <v/>
      </c>
      <c r="P81" s="112" t="str">
        <f aca="false">IF($B81="","",O81*G81)</f>
        <v/>
      </c>
      <c r="Q81" s="90" t="str">
        <f aca="false">IF($B81="","",H81*G81)</f>
        <v/>
      </c>
      <c r="R81" s="90" t="str">
        <f aca="false">IF($B81="","",(M81+N81)*G81)</f>
        <v/>
      </c>
      <c r="S81" s="91" t="str">
        <f aca="false">IF($B81="","",IF(O81&lt;-0.01,"✖ رصيد سالب",IF(O81&gt;F81*2,"⚠ رصيد مرتفع (أكثر من سنتين)",IF(AND(الموظفون!$X81&lt;&gt;"",الموظفون!$X81&lt;=cfg_VAL_DATE,O81&gt;0.01),"⚠ منتهي الخدمة برصيد","✔ سليم"))))</f>
        <v/>
      </c>
    </row>
    <row r="82" customFormat="false" ht="15" hidden="false" customHeight="false" outlineLevel="0" collapsed="false">
      <c r="B82" s="74" t="str">
        <f aca="false">IF(الموظفون!$B82="","",الموظفون!$B82)</f>
        <v/>
      </c>
      <c r="C82" s="74" t="str">
        <f aca="false">IF($B82="","",الموظفون!$C82)</f>
        <v/>
      </c>
      <c r="D82" s="127" t="str">
        <f aca="false">IF($B82="","",الموظفون!$H82)</f>
        <v/>
      </c>
      <c r="E82" s="132" t="str">
        <f aca="false">IF($B82="","",MAX(0,J82-D82+1)/cfg_DAYS_Y)</f>
        <v/>
      </c>
      <c r="F82" s="51" t="str">
        <f aca="false">IF($B82="","",IF(الموظفون!$R82&lt;&gt;"",الموظفون!$R82,IF(E82&gt;=cfg_LV_TH,cfg_LV_D2,cfg_LV_D1)))</f>
        <v/>
      </c>
      <c r="G82" s="86" t="str">
        <f aca="false">IF($B82="","",الموظفون!$P82/cfg_DAYS_M)</f>
        <v/>
      </c>
      <c r="H82" s="105" t="str">
        <f aca="false">IF($B82="","",N(الموظفون!$V82))</f>
        <v/>
      </c>
      <c r="I82" s="127" t="str">
        <f aca="false">IF($B82="","",MAX(cfg_Y_START,D82))</f>
        <v/>
      </c>
      <c r="J82" s="127" t="str">
        <f aca="false">IF($B82="","",IF(OR(الموظفون!$X82="",الموظفون!$X82&gt;cfg_VAL_DATE),cfg_VAL_DATE,الموظفون!$X82))</f>
        <v/>
      </c>
      <c r="K82" s="51" t="str">
        <f aca="false">IF($B82="","",MAX(0,J82-I82+1))</f>
        <v/>
      </c>
      <c r="L82" s="105" t="str">
        <f aca="false">IF($B82="","",F82/cfg_DAYS_Y*K82)</f>
        <v/>
      </c>
      <c r="M82" s="105" t="str">
        <f aca="false">IF($B82="","",SUMIFS('الحركات الشهرية'!$K$6:$K$1005,'الحركات الشهرية'!$B$6:$B$1005,B82,'الحركات الشهرية'!$A$6:$A$1005,"&lt;="&amp;cfg_VAL_M))</f>
        <v/>
      </c>
      <c r="N82" s="105" t="str">
        <f aca="false">IF($B82="","",SUMIFS('الحركات الشهرية'!$L$6:$L$1005,'الحركات الشهرية'!$B$6:$B$1005,B82,'الحركات الشهرية'!$A$6:$A$1005,"&lt;="&amp;cfg_VAL_M))</f>
        <v/>
      </c>
      <c r="O82" s="105" t="str">
        <f aca="false">IF($B82="","",H82+L82-M82-N82)</f>
        <v/>
      </c>
      <c r="P82" s="107" t="str">
        <f aca="false">IF($B82="","",O82*G82)</f>
        <v/>
      </c>
      <c r="Q82" s="86" t="str">
        <f aca="false">IF($B82="","",H82*G82)</f>
        <v/>
      </c>
      <c r="R82" s="86" t="str">
        <f aca="false">IF($B82="","",(M82+N82)*G82)</f>
        <v/>
      </c>
      <c r="S82" s="74" t="str">
        <f aca="false">IF($B82="","",IF(O82&lt;-0.01,"✖ رصيد سالب",IF(O82&gt;F82*2,"⚠ رصيد مرتفع (أكثر من سنتين)",IF(AND(الموظفون!$X82&lt;&gt;"",الموظفون!$X82&lt;=cfg_VAL_DATE,O82&gt;0.01),"⚠ منتهي الخدمة برصيد","✔ سليم"))))</f>
        <v/>
      </c>
    </row>
    <row r="83" customFormat="false" ht="15" hidden="false" customHeight="false" outlineLevel="0" collapsed="false">
      <c r="B83" s="91" t="str">
        <f aca="false">IF(الموظفون!$B83="","",الموظفون!$B83)</f>
        <v/>
      </c>
      <c r="C83" s="91" t="str">
        <f aca="false">IF($B83="","",الموظفون!$C83)</f>
        <v/>
      </c>
      <c r="D83" s="129" t="str">
        <f aca="false">IF($B83="","",الموظفون!$H83)</f>
        <v/>
      </c>
      <c r="E83" s="133" t="str">
        <f aca="false">IF($B83="","",MAX(0,J83-D83+1)/cfg_DAYS_Y)</f>
        <v/>
      </c>
      <c r="F83" s="115" t="str">
        <f aca="false">IF($B83="","",IF(الموظفون!$R83&lt;&gt;"",الموظفون!$R83,IF(E83&gt;=cfg_LV_TH,cfg_LV_D2,cfg_LV_D1)))</f>
        <v/>
      </c>
      <c r="G83" s="90" t="str">
        <f aca="false">IF($B83="","",الموظفون!$P83/cfg_DAYS_M)</f>
        <v/>
      </c>
      <c r="H83" s="110" t="str">
        <f aca="false">IF($B83="","",N(الموظفون!$V83))</f>
        <v/>
      </c>
      <c r="I83" s="129" t="str">
        <f aca="false">IF($B83="","",MAX(cfg_Y_START,D83))</f>
        <v/>
      </c>
      <c r="J83" s="129" t="str">
        <f aca="false">IF($B83="","",IF(OR(الموظفون!$X83="",الموظفون!$X83&gt;cfg_VAL_DATE),cfg_VAL_DATE,الموظفون!$X83))</f>
        <v/>
      </c>
      <c r="K83" s="115" t="str">
        <f aca="false">IF($B83="","",MAX(0,J83-I83+1))</f>
        <v/>
      </c>
      <c r="L83" s="110" t="str">
        <f aca="false">IF($B83="","",F83/cfg_DAYS_Y*K83)</f>
        <v/>
      </c>
      <c r="M83" s="110" t="str">
        <f aca="false">IF($B83="","",SUMIFS('الحركات الشهرية'!$K$6:$K$1005,'الحركات الشهرية'!$B$6:$B$1005,B83,'الحركات الشهرية'!$A$6:$A$1005,"&lt;="&amp;cfg_VAL_M))</f>
        <v/>
      </c>
      <c r="N83" s="110" t="str">
        <f aca="false">IF($B83="","",SUMIFS('الحركات الشهرية'!$L$6:$L$1005,'الحركات الشهرية'!$B$6:$B$1005,B83,'الحركات الشهرية'!$A$6:$A$1005,"&lt;="&amp;cfg_VAL_M))</f>
        <v/>
      </c>
      <c r="O83" s="110" t="str">
        <f aca="false">IF($B83="","",H83+L83-M83-N83)</f>
        <v/>
      </c>
      <c r="P83" s="112" t="str">
        <f aca="false">IF($B83="","",O83*G83)</f>
        <v/>
      </c>
      <c r="Q83" s="90" t="str">
        <f aca="false">IF($B83="","",H83*G83)</f>
        <v/>
      </c>
      <c r="R83" s="90" t="str">
        <f aca="false">IF($B83="","",(M83+N83)*G83)</f>
        <v/>
      </c>
      <c r="S83" s="91" t="str">
        <f aca="false">IF($B83="","",IF(O83&lt;-0.01,"✖ رصيد سالب",IF(O83&gt;F83*2,"⚠ رصيد مرتفع (أكثر من سنتين)",IF(AND(الموظفون!$X83&lt;&gt;"",الموظفون!$X83&lt;=cfg_VAL_DATE,O83&gt;0.01),"⚠ منتهي الخدمة برصيد","✔ سليم"))))</f>
        <v/>
      </c>
    </row>
    <row r="84" customFormat="false" ht="15" hidden="false" customHeight="false" outlineLevel="0" collapsed="false">
      <c r="B84" s="74" t="str">
        <f aca="false">IF(الموظفون!$B84="","",الموظفون!$B84)</f>
        <v/>
      </c>
      <c r="C84" s="74" t="str">
        <f aca="false">IF($B84="","",الموظفون!$C84)</f>
        <v/>
      </c>
      <c r="D84" s="127" t="str">
        <f aca="false">IF($B84="","",الموظفون!$H84)</f>
        <v/>
      </c>
      <c r="E84" s="132" t="str">
        <f aca="false">IF($B84="","",MAX(0,J84-D84+1)/cfg_DAYS_Y)</f>
        <v/>
      </c>
      <c r="F84" s="51" t="str">
        <f aca="false">IF($B84="","",IF(الموظفون!$R84&lt;&gt;"",الموظفون!$R84,IF(E84&gt;=cfg_LV_TH,cfg_LV_D2,cfg_LV_D1)))</f>
        <v/>
      </c>
      <c r="G84" s="86" t="str">
        <f aca="false">IF($B84="","",الموظفون!$P84/cfg_DAYS_M)</f>
        <v/>
      </c>
      <c r="H84" s="105" t="str">
        <f aca="false">IF($B84="","",N(الموظفون!$V84))</f>
        <v/>
      </c>
      <c r="I84" s="127" t="str">
        <f aca="false">IF($B84="","",MAX(cfg_Y_START,D84))</f>
        <v/>
      </c>
      <c r="J84" s="127" t="str">
        <f aca="false">IF($B84="","",IF(OR(الموظفون!$X84="",الموظفون!$X84&gt;cfg_VAL_DATE),cfg_VAL_DATE,الموظفون!$X84))</f>
        <v/>
      </c>
      <c r="K84" s="51" t="str">
        <f aca="false">IF($B84="","",MAX(0,J84-I84+1))</f>
        <v/>
      </c>
      <c r="L84" s="105" t="str">
        <f aca="false">IF($B84="","",F84/cfg_DAYS_Y*K84)</f>
        <v/>
      </c>
      <c r="M84" s="105" t="str">
        <f aca="false">IF($B84="","",SUMIFS('الحركات الشهرية'!$K$6:$K$1005,'الحركات الشهرية'!$B$6:$B$1005,B84,'الحركات الشهرية'!$A$6:$A$1005,"&lt;="&amp;cfg_VAL_M))</f>
        <v/>
      </c>
      <c r="N84" s="105" t="str">
        <f aca="false">IF($B84="","",SUMIFS('الحركات الشهرية'!$L$6:$L$1005,'الحركات الشهرية'!$B$6:$B$1005,B84,'الحركات الشهرية'!$A$6:$A$1005,"&lt;="&amp;cfg_VAL_M))</f>
        <v/>
      </c>
      <c r="O84" s="105" t="str">
        <f aca="false">IF($B84="","",H84+L84-M84-N84)</f>
        <v/>
      </c>
      <c r="P84" s="107" t="str">
        <f aca="false">IF($B84="","",O84*G84)</f>
        <v/>
      </c>
      <c r="Q84" s="86" t="str">
        <f aca="false">IF($B84="","",H84*G84)</f>
        <v/>
      </c>
      <c r="R84" s="86" t="str">
        <f aca="false">IF($B84="","",(M84+N84)*G84)</f>
        <v/>
      </c>
      <c r="S84" s="74" t="str">
        <f aca="false">IF($B84="","",IF(O84&lt;-0.01,"✖ رصيد سالب",IF(O84&gt;F84*2,"⚠ رصيد مرتفع (أكثر من سنتين)",IF(AND(الموظفون!$X84&lt;&gt;"",الموظفون!$X84&lt;=cfg_VAL_DATE,O84&gt;0.01),"⚠ منتهي الخدمة برصيد","✔ سليم"))))</f>
        <v/>
      </c>
    </row>
    <row r="85" customFormat="false" ht="15" hidden="false" customHeight="false" outlineLevel="0" collapsed="false">
      <c r="B85" s="91" t="str">
        <f aca="false">IF(الموظفون!$B85="","",الموظفون!$B85)</f>
        <v/>
      </c>
      <c r="C85" s="91" t="str">
        <f aca="false">IF($B85="","",الموظفون!$C85)</f>
        <v/>
      </c>
      <c r="D85" s="129" t="str">
        <f aca="false">IF($B85="","",الموظفون!$H85)</f>
        <v/>
      </c>
      <c r="E85" s="133" t="str">
        <f aca="false">IF($B85="","",MAX(0,J85-D85+1)/cfg_DAYS_Y)</f>
        <v/>
      </c>
      <c r="F85" s="115" t="str">
        <f aca="false">IF($B85="","",IF(الموظفون!$R85&lt;&gt;"",الموظفون!$R85,IF(E85&gt;=cfg_LV_TH,cfg_LV_D2,cfg_LV_D1)))</f>
        <v/>
      </c>
      <c r="G85" s="90" t="str">
        <f aca="false">IF($B85="","",الموظفون!$P85/cfg_DAYS_M)</f>
        <v/>
      </c>
      <c r="H85" s="110" t="str">
        <f aca="false">IF($B85="","",N(الموظفون!$V85))</f>
        <v/>
      </c>
      <c r="I85" s="129" t="str">
        <f aca="false">IF($B85="","",MAX(cfg_Y_START,D85))</f>
        <v/>
      </c>
      <c r="J85" s="129" t="str">
        <f aca="false">IF($B85="","",IF(OR(الموظفون!$X85="",الموظفون!$X85&gt;cfg_VAL_DATE),cfg_VAL_DATE,الموظفون!$X85))</f>
        <v/>
      </c>
      <c r="K85" s="115" t="str">
        <f aca="false">IF($B85="","",MAX(0,J85-I85+1))</f>
        <v/>
      </c>
      <c r="L85" s="110" t="str">
        <f aca="false">IF($B85="","",F85/cfg_DAYS_Y*K85)</f>
        <v/>
      </c>
      <c r="M85" s="110" t="str">
        <f aca="false">IF($B85="","",SUMIFS('الحركات الشهرية'!$K$6:$K$1005,'الحركات الشهرية'!$B$6:$B$1005,B85,'الحركات الشهرية'!$A$6:$A$1005,"&lt;="&amp;cfg_VAL_M))</f>
        <v/>
      </c>
      <c r="N85" s="110" t="str">
        <f aca="false">IF($B85="","",SUMIFS('الحركات الشهرية'!$L$6:$L$1005,'الحركات الشهرية'!$B$6:$B$1005,B85,'الحركات الشهرية'!$A$6:$A$1005,"&lt;="&amp;cfg_VAL_M))</f>
        <v/>
      </c>
      <c r="O85" s="110" t="str">
        <f aca="false">IF($B85="","",H85+L85-M85-N85)</f>
        <v/>
      </c>
      <c r="P85" s="112" t="str">
        <f aca="false">IF($B85="","",O85*G85)</f>
        <v/>
      </c>
      <c r="Q85" s="90" t="str">
        <f aca="false">IF($B85="","",H85*G85)</f>
        <v/>
      </c>
      <c r="R85" s="90" t="str">
        <f aca="false">IF($B85="","",(M85+N85)*G85)</f>
        <v/>
      </c>
      <c r="S85" s="91" t="str">
        <f aca="false">IF($B85="","",IF(O85&lt;-0.01,"✖ رصيد سالب",IF(O85&gt;F85*2,"⚠ رصيد مرتفع (أكثر من سنتين)",IF(AND(الموظفون!$X85&lt;&gt;"",الموظفون!$X85&lt;=cfg_VAL_DATE,O85&gt;0.01),"⚠ منتهي الخدمة برصيد","✔ سليم"))))</f>
        <v/>
      </c>
    </row>
    <row r="86" customFormat="false" ht="15" hidden="false" customHeight="false" outlineLevel="0" collapsed="false">
      <c r="B86" s="74" t="str">
        <f aca="false">IF(الموظفون!$B86="","",الموظفون!$B86)</f>
        <v/>
      </c>
      <c r="C86" s="74" t="str">
        <f aca="false">IF($B86="","",الموظفون!$C86)</f>
        <v/>
      </c>
      <c r="D86" s="127" t="str">
        <f aca="false">IF($B86="","",الموظفون!$H86)</f>
        <v/>
      </c>
      <c r="E86" s="132" t="str">
        <f aca="false">IF($B86="","",MAX(0,J86-D86+1)/cfg_DAYS_Y)</f>
        <v/>
      </c>
      <c r="F86" s="51" t="str">
        <f aca="false">IF($B86="","",IF(الموظفون!$R86&lt;&gt;"",الموظفون!$R86,IF(E86&gt;=cfg_LV_TH,cfg_LV_D2,cfg_LV_D1)))</f>
        <v/>
      </c>
      <c r="G86" s="86" t="str">
        <f aca="false">IF($B86="","",الموظفون!$P86/cfg_DAYS_M)</f>
        <v/>
      </c>
      <c r="H86" s="105" t="str">
        <f aca="false">IF($B86="","",N(الموظفون!$V86))</f>
        <v/>
      </c>
      <c r="I86" s="127" t="str">
        <f aca="false">IF($B86="","",MAX(cfg_Y_START,D86))</f>
        <v/>
      </c>
      <c r="J86" s="127" t="str">
        <f aca="false">IF($B86="","",IF(OR(الموظفون!$X86="",الموظفون!$X86&gt;cfg_VAL_DATE),cfg_VAL_DATE,الموظفون!$X86))</f>
        <v/>
      </c>
      <c r="K86" s="51" t="str">
        <f aca="false">IF($B86="","",MAX(0,J86-I86+1))</f>
        <v/>
      </c>
      <c r="L86" s="105" t="str">
        <f aca="false">IF($B86="","",F86/cfg_DAYS_Y*K86)</f>
        <v/>
      </c>
      <c r="M86" s="105" t="str">
        <f aca="false">IF($B86="","",SUMIFS('الحركات الشهرية'!$K$6:$K$1005,'الحركات الشهرية'!$B$6:$B$1005,B86,'الحركات الشهرية'!$A$6:$A$1005,"&lt;="&amp;cfg_VAL_M))</f>
        <v/>
      </c>
      <c r="N86" s="105" t="str">
        <f aca="false">IF($B86="","",SUMIFS('الحركات الشهرية'!$L$6:$L$1005,'الحركات الشهرية'!$B$6:$B$1005,B86,'الحركات الشهرية'!$A$6:$A$1005,"&lt;="&amp;cfg_VAL_M))</f>
        <v/>
      </c>
      <c r="O86" s="105" t="str">
        <f aca="false">IF($B86="","",H86+L86-M86-N86)</f>
        <v/>
      </c>
      <c r="P86" s="107" t="str">
        <f aca="false">IF($B86="","",O86*G86)</f>
        <v/>
      </c>
      <c r="Q86" s="86" t="str">
        <f aca="false">IF($B86="","",H86*G86)</f>
        <v/>
      </c>
      <c r="R86" s="86" t="str">
        <f aca="false">IF($B86="","",(M86+N86)*G86)</f>
        <v/>
      </c>
      <c r="S86" s="74" t="str">
        <f aca="false">IF($B86="","",IF(O86&lt;-0.01,"✖ رصيد سالب",IF(O86&gt;F86*2,"⚠ رصيد مرتفع (أكثر من سنتين)",IF(AND(الموظفون!$X86&lt;&gt;"",الموظفون!$X86&lt;=cfg_VAL_DATE,O86&gt;0.01),"⚠ منتهي الخدمة برصيد","✔ سليم"))))</f>
        <v/>
      </c>
    </row>
    <row r="87" customFormat="false" ht="15" hidden="false" customHeight="false" outlineLevel="0" collapsed="false">
      <c r="B87" s="91" t="str">
        <f aca="false">IF(الموظفون!$B87="","",الموظفون!$B87)</f>
        <v/>
      </c>
      <c r="C87" s="91" t="str">
        <f aca="false">IF($B87="","",الموظفون!$C87)</f>
        <v/>
      </c>
      <c r="D87" s="129" t="str">
        <f aca="false">IF($B87="","",الموظفون!$H87)</f>
        <v/>
      </c>
      <c r="E87" s="133" t="str">
        <f aca="false">IF($B87="","",MAX(0,J87-D87+1)/cfg_DAYS_Y)</f>
        <v/>
      </c>
      <c r="F87" s="115" t="str">
        <f aca="false">IF($B87="","",IF(الموظفون!$R87&lt;&gt;"",الموظفون!$R87,IF(E87&gt;=cfg_LV_TH,cfg_LV_D2,cfg_LV_D1)))</f>
        <v/>
      </c>
      <c r="G87" s="90" t="str">
        <f aca="false">IF($B87="","",الموظفون!$P87/cfg_DAYS_M)</f>
        <v/>
      </c>
      <c r="H87" s="110" t="str">
        <f aca="false">IF($B87="","",N(الموظفون!$V87))</f>
        <v/>
      </c>
      <c r="I87" s="129" t="str">
        <f aca="false">IF($B87="","",MAX(cfg_Y_START,D87))</f>
        <v/>
      </c>
      <c r="J87" s="129" t="str">
        <f aca="false">IF($B87="","",IF(OR(الموظفون!$X87="",الموظفون!$X87&gt;cfg_VAL_DATE),cfg_VAL_DATE,الموظفون!$X87))</f>
        <v/>
      </c>
      <c r="K87" s="115" t="str">
        <f aca="false">IF($B87="","",MAX(0,J87-I87+1))</f>
        <v/>
      </c>
      <c r="L87" s="110" t="str">
        <f aca="false">IF($B87="","",F87/cfg_DAYS_Y*K87)</f>
        <v/>
      </c>
      <c r="M87" s="110" t="str">
        <f aca="false">IF($B87="","",SUMIFS('الحركات الشهرية'!$K$6:$K$1005,'الحركات الشهرية'!$B$6:$B$1005,B87,'الحركات الشهرية'!$A$6:$A$1005,"&lt;="&amp;cfg_VAL_M))</f>
        <v/>
      </c>
      <c r="N87" s="110" t="str">
        <f aca="false">IF($B87="","",SUMIFS('الحركات الشهرية'!$L$6:$L$1005,'الحركات الشهرية'!$B$6:$B$1005,B87,'الحركات الشهرية'!$A$6:$A$1005,"&lt;="&amp;cfg_VAL_M))</f>
        <v/>
      </c>
      <c r="O87" s="110" t="str">
        <f aca="false">IF($B87="","",H87+L87-M87-N87)</f>
        <v/>
      </c>
      <c r="P87" s="112" t="str">
        <f aca="false">IF($B87="","",O87*G87)</f>
        <v/>
      </c>
      <c r="Q87" s="90" t="str">
        <f aca="false">IF($B87="","",H87*G87)</f>
        <v/>
      </c>
      <c r="R87" s="90" t="str">
        <f aca="false">IF($B87="","",(M87+N87)*G87)</f>
        <v/>
      </c>
      <c r="S87" s="91" t="str">
        <f aca="false">IF($B87="","",IF(O87&lt;-0.01,"✖ رصيد سالب",IF(O87&gt;F87*2,"⚠ رصيد مرتفع (أكثر من سنتين)",IF(AND(الموظفون!$X87&lt;&gt;"",الموظفون!$X87&lt;=cfg_VAL_DATE,O87&gt;0.01),"⚠ منتهي الخدمة برصيد","✔ سليم"))))</f>
        <v/>
      </c>
    </row>
    <row r="88" customFormat="false" ht="15" hidden="false" customHeight="false" outlineLevel="0" collapsed="false">
      <c r="B88" s="74" t="str">
        <f aca="false">IF(الموظفون!$B88="","",الموظفون!$B88)</f>
        <v/>
      </c>
      <c r="C88" s="74" t="str">
        <f aca="false">IF($B88="","",الموظفون!$C88)</f>
        <v/>
      </c>
      <c r="D88" s="127" t="str">
        <f aca="false">IF($B88="","",الموظفون!$H88)</f>
        <v/>
      </c>
      <c r="E88" s="132" t="str">
        <f aca="false">IF($B88="","",MAX(0,J88-D88+1)/cfg_DAYS_Y)</f>
        <v/>
      </c>
      <c r="F88" s="51" t="str">
        <f aca="false">IF($B88="","",IF(الموظفون!$R88&lt;&gt;"",الموظفون!$R88,IF(E88&gt;=cfg_LV_TH,cfg_LV_D2,cfg_LV_D1)))</f>
        <v/>
      </c>
      <c r="G88" s="86" t="str">
        <f aca="false">IF($B88="","",الموظفون!$P88/cfg_DAYS_M)</f>
        <v/>
      </c>
      <c r="H88" s="105" t="str">
        <f aca="false">IF($B88="","",N(الموظفون!$V88))</f>
        <v/>
      </c>
      <c r="I88" s="127" t="str">
        <f aca="false">IF($B88="","",MAX(cfg_Y_START,D88))</f>
        <v/>
      </c>
      <c r="J88" s="127" t="str">
        <f aca="false">IF($B88="","",IF(OR(الموظفون!$X88="",الموظفون!$X88&gt;cfg_VAL_DATE),cfg_VAL_DATE,الموظفون!$X88))</f>
        <v/>
      </c>
      <c r="K88" s="51" t="str">
        <f aca="false">IF($B88="","",MAX(0,J88-I88+1))</f>
        <v/>
      </c>
      <c r="L88" s="105" t="str">
        <f aca="false">IF($B88="","",F88/cfg_DAYS_Y*K88)</f>
        <v/>
      </c>
      <c r="M88" s="105" t="str">
        <f aca="false">IF($B88="","",SUMIFS('الحركات الشهرية'!$K$6:$K$1005,'الحركات الشهرية'!$B$6:$B$1005,B88,'الحركات الشهرية'!$A$6:$A$1005,"&lt;="&amp;cfg_VAL_M))</f>
        <v/>
      </c>
      <c r="N88" s="105" t="str">
        <f aca="false">IF($B88="","",SUMIFS('الحركات الشهرية'!$L$6:$L$1005,'الحركات الشهرية'!$B$6:$B$1005,B88,'الحركات الشهرية'!$A$6:$A$1005,"&lt;="&amp;cfg_VAL_M))</f>
        <v/>
      </c>
      <c r="O88" s="105" t="str">
        <f aca="false">IF($B88="","",H88+L88-M88-N88)</f>
        <v/>
      </c>
      <c r="P88" s="107" t="str">
        <f aca="false">IF($B88="","",O88*G88)</f>
        <v/>
      </c>
      <c r="Q88" s="86" t="str">
        <f aca="false">IF($B88="","",H88*G88)</f>
        <v/>
      </c>
      <c r="R88" s="86" t="str">
        <f aca="false">IF($B88="","",(M88+N88)*G88)</f>
        <v/>
      </c>
      <c r="S88" s="74" t="str">
        <f aca="false">IF($B88="","",IF(O88&lt;-0.01,"✖ رصيد سالب",IF(O88&gt;F88*2,"⚠ رصيد مرتفع (أكثر من سنتين)",IF(AND(الموظفون!$X88&lt;&gt;"",الموظفون!$X88&lt;=cfg_VAL_DATE,O88&gt;0.01),"⚠ منتهي الخدمة برصيد","✔ سليم"))))</f>
        <v/>
      </c>
    </row>
    <row r="89" customFormat="false" ht="15" hidden="false" customHeight="false" outlineLevel="0" collapsed="false">
      <c r="B89" s="91" t="str">
        <f aca="false">IF(الموظفون!$B89="","",الموظفون!$B89)</f>
        <v/>
      </c>
      <c r="C89" s="91" t="str">
        <f aca="false">IF($B89="","",الموظفون!$C89)</f>
        <v/>
      </c>
      <c r="D89" s="129" t="str">
        <f aca="false">IF($B89="","",الموظفون!$H89)</f>
        <v/>
      </c>
      <c r="E89" s="133" t="str">
        <f aca="false">IF($B89="","",MAX(0,J89-D89+1)/cfg_DAYS_Y)</f>
        <v/>
      </c>
      <c r="F89" s="115" t="str">
        <f aca="false">IF($B89="","",IF(الموظفون!$R89&lt;&gt;"",الموظفون!$R89,IF(E89&gt;=cfg_LV_TH,cfg_LV_D2,cfg_LV_D1)))</f>
        <v/>
      </c>
      <c r="G89" s="90" t="str">
        <f aca="false">IF($B89="","",الموظفون!$P89/cfg_DAYS_M)</f>
        <v/>
      </c>
      <c r="H89" s="110" t="str">
        <f aca="false">IF($B89="","",N(الموظفون!$V89))</f>
        <v/>
      </c>
      <c r="I89" s="129" t="str">
        <f aca="false">IF($B89="","",MAX(cfg_Y_START,D89))</f>
        <v/>
      </c>
      <c r="J89" s="129" t="str">
        <f aca="false">IF($B89="","",IF(OR(الموظفون!$X89="",الموظفون!$X89&gt;cfg_VAL_DATE),cfg_VAL_DATE,الموظفون!$X89))</f>
        <v/>
      </c>
      <c r="K89" s="115" t="str">
        <f aca="false">IF($B89="","",MAX(0,J89-I89+1))</f>
        <v/>
      </c>
      <c r="L89" s="110" t="str">
        <f aca="false">IF($B89="","",F89/cfg_DAYS_Y*K89)</f>
        <v/>
      </c>
      <c r="M89" s="110" t="str">
        <f aca="false">IF($B89="","",SUMIFS('الحركات الشهرية'!$K$6:$K$1005,'الحركات الشهرية'!$B$6:$B$1005,B89,'الحركات الشهرية'!$A$6:$A$1005,"&lt;="&amp;cfg_VAL_M))</f>
        <v/>
      </c>
      <c r="N89" s="110" t="str">
        <f aca="false">IF($B89="","",SUMIFS('الحركات الشهرية'!$L$6:$L$1005,'الحركات الشهرية'!$B$6:$B$1005,B89,'الحركات الشهرية'!$A$6:$A$1005,"&lt;="&amp;cfg_VAL_M))</f>
        <v/>
      </c>
      <c r="O89" s="110" t="str">
        <f aca="false">IF($B89="","",H89+L89-M89-N89)</f>
        <v/>
      </c>
      <c r="P89" s="112" t="str">
        <f aca="false">IF($B89="","",O89*G89)</f>
        <v/>
      </c>
      <c r="Q89" s="90" t="str">
        <f aca="false">IF($B89="","",H89*G89)</f>
        <v/>
      </c>
      <c r="R89" s="90" t="str">
        <f aca="false">IF($B89="","",(M89+N89)*G89)</f>
        <v/>
      </c>
      <c r="S89" s="91" t="str">
        <f aca="false">IF($B89="","",IF(O89&lt;-0.01,"✖ رصيد سالب",IF(O89&gt;F89*2,"⚠ رصيد مرتفع (أكثر من سنتين)",IF(AND(الموظفون!$X89&lt;&gt;"",الموظفون!$X89&lt;=cfg_VAL_DATE,O89&gt;0.01),"⚠ منتهي الخدمة برصيد","✔ سليم"))))</f>
        <v/>
      </c>
    </row>
    <row r="90" customFormat="false" ht="15" hidden="false" customHeight="false" outlineLevel="0" collapsed="false">
      <c r="B90" s="74" t="str">
        <f aca="false">IF(الموظفون!$B90="","",الموظفون!$B90)</f>
        <v/>
      </c>
      <c r="C90" s="74" t="str">
        <f aca="false">IF($B90="","",الموظفون!$C90)</f>
        <v/>
      </c>
      <c r="D90" s="127" t="str">
        <f aca="false">IF($B90="","",الموظفون!$H90)</f>
        <v/>
      </c>
      <c r="E90" s="132" t="str">
        <f aca="false">IF($B90="","",MAX(0,J90-D90+1)/cfg_DAYS_Y)</f>
        <v/>
      </c>
      <c r="F90" s="51" t="str">
        <f aca="false">IF($B90="","",IF(الموظفون!$R90&lt;&gt;"",الموظفون!$R90,IF(E90&gt;=cfg_LV_TH,cfg_LV_D2,cfg_LV_D1)))</f>
        <v/>
      </c>
      <c r="G90" s="86" t="str">
        <f aca="false">IF($B90="","",الموظفون!$P90/cfg_DAYS_M)</f>
        <v/>
      </c>
      <c r="H90" s="105" t="str">
        <f aca="false">IF($B90="","",N(الموظفون!$V90))</f>
        <v/>
      </c>
      <c r="I90" s="127" t="str">
        <f aca="false">IF($B90="","",MAX(cfg_Y_START,D90))</f>
        <v/>
      </c>
      <c r="J90" s="127" t="str">
        <f aca="false">IF($B90="","",IF(OR(الموظفون!$X90="",الموظفون!$X90&gt;cfg_VAL_DATE),cfg_VAL_DATE,الموظفون!$X90))</f>
        <v/>
      </c>
      <c r="K90" s="51" t="str">
        <f aca="false">IF($B90="","",MAX(0,J90-I90+1))</f>
        <v/>
      </c>
      <c r="L90" s="105" t="str">
        <f aca="false">IF($B90="","",F90/cfg_DAYS_Y*K90)</f>
        <v/>
      </c>
      <c r="M90" s="105" t="str">
        <f aca="false">IF($B90="","",SUMIFS('الحركات الشهرية'!$K$6:$K$1005,'الحركات الشهرية'!$B$6:$B$1005,B90,'الحركات الشهرية'!$A$6:$A$1005,"&lt;="&amp;cfg_VAL_M))</f>
        <v/>
      </c>
      <c r="N90" s="105" t="str">
        <f aca="false">IF($B90="","",SUMIFS('الحركات الشهرية'!$L$6:$L$1005,'الحركات الشهرية'!$B$6:$B$1005,B90,'الحركات الشهرية'!$A$6:$A$1005,"&lt;="&amp;cfg_VAL_M))</f>
        <v/>
      </c>
      <c r="O90" s="105" t="str">
        <f aca="false">IF($B90="","",H90+L90-M90-N90)</f>
        <v/>
      </c>
      <c r="P90" s="107" t="str">
        <f aca="false">IF($B90="","",O90*G90)</f>
        <v/>
      </c>
      <c r="Q90" s="86" t="str">
        <f aca="false">IF($B90="","",H90*G90)</f>
        <v/>
      </c>
      <c r="R90" s="86" t="str">
        <f aca="false">IF($B90="","",(M90+N90)*G90)</f>
        <v/>
      </c>
      <c r="S90" s="74" t="str">
        <f aca="false">IF($B90="","",IF(O90&lt;-0.01,"✖ رصيد سالب",IF(O90&gt;F90*2,"⚠ رصيد مرتفع (أكثر من سنتين)",IF(AND(الموظفون!$X90&lt;&gt;"",الموظفون!$X90&lt;=cfg_VAL_DATE,O90&gt;0.01),"⚠ منتهي الخدمة برصيد","✔ سليم"))))</f>
        <v/>
      </c>
    </row>
    <row r="91" customFormat="false" ht="15" hidden="false" customHeight="false" outlineLevel="0" collapsed="false">
      <c r="B91" s="91" t="str">
        <f aca="false">IF(الموظفون!$B91="","",الموظفون!$B91)</f>
        <v/>
      </c>
      <c r="C91" s="91" t="str">
        <f aca="false">IF($B91="","",الموظفون!$C91)</f>
        <v/>
      </c>
      <c r="D91" s="129" t="str">
        <f aca="false">IF($B91="","",الموظفون!$H91)</f>
        <v/>
      </c>
      <c r="E91" s="133" t="str">
        <f aca="false">IF($B91="","",MAX(0,J91-D91+1)/cfg_DAYS_Y)</f>
        <v/>
      </c>
      <c r="F91" s="115" t="str">
        <f aca="false">IF($B91="","",IF(الموظفون!$R91&lt;&gt;"",الموظفون!$R91,IF(E91&gt;=cfg_LV_TH,cfg_LV_D2,cfg_LV_D1)))</f>
        <v/>
      </c>
      <c r="G91" s="90" t="str">
        <f aca="false">IF($B91="","",الموظفون!$P91/cfg_DAYS_M)</f>
        <v/>
      </c>
      <c r="H91" s="110" t="str">
        <f aca="false">IF($B91="","",N(الموظفون!$V91))</f>
        <v/>
      </c>
      <c r="I91" s="129" t="str">
        <f aca="false">IF($B91="","",MAX(cfg_Y_START,D91))</f>
        <v/>
      </c>
      <c r="J91" s="129" t="str">
        <f aca="false">IF($B91="","",IF(OR(الموظفون!$X91="",الموظفون!$X91&gt;cfg_VAL_DATE),cfg_VAL_DATE,الموظفون!$X91))</f>
        <v/>
      </c>
      <c r="K91" s="115" t="str">
        <f aca="false">IF($B91="","",MAX(0,J91-I91+1))</f>
        <v/>
      </c>
      <c r="L91" s="110" t="str">
        <f aca="false">IF($B91="","",F91/cfg_DAYS_Y*K91)</f>
        <v/>
      </c>
      <c r="M91" s="110" t="str">
        <f aca="false">IF($B91="","",SUMIFS('الحركات الشهرية'!$K$6:$K$1005,'الحركات الشهرية'!$B$6:$B$1005,B91,'الحركات الشهرية'!$A$6:$A$1005,"&lt;="&amp;cfg_VAL_M))</f>
        <v/>
      </c>
      <c r="N91" s="110" t="str">
        <f aca="false">IF($B91="","",SUMIFS('الحركات الشهرية'!$L$6:$L$1005,'الحركات الشهرية'!$B$6:$B$1005,B91,'الحركات الشهرية'!$A$6:$A$1005,"&lt;="&amp;cfg_VAL_M))</f>
        <v/>
      </c>
      <c r="O91" s="110" t="str">
        <f aca="false">IF($B91="","",H91+L91-M91-N91)</f>
        <v/>
      </c>
      <c r="P91" s="112" t="str">
        <f aca="false">IF($B91="","",O91*G91)</f>
        <v/>
      </c>
      <c r="Q91" s="90" t="str">
        <f aca="false">IF($B91="","",H91*G91)</f>
        <v/>
      </c>
      <c r="R91" s="90" t="str">
        <f aca="false">IF($B91="","",(M91+N91)*G91)</f>
        <v/>
      </c>
      <c r="S91" s="91" t="str">
        <f aca="false">IF($B91="","",IF(O91&lt;-0.01,"✖ رصيد سالب",IF(O91&gt;F91*2,"⚠ رصيد مرتفع (أكثر من سنتين)",IF(AND(الموظفون!$X91&lt;&gt;"",الموظفون!$X91&lt;=cfg_VAL_DATE,O91&gt;0.01),"⚠ منتهي الخدمة برصيد","✔ سليم"))))</f>
        <v/>
      </c>
    </row>
    <row r="92" customFormat="false" ht="15" hidden="false" customHeight="false" outlineLevel="0" collapsed="false">
      <c r="B92" s="74" t="str">
        <f aca="false">IF(الموظفون!$B92="","",الموظفون!$B92)</f>
        <v/>
      </c>
      <c r="C92" s="74" t="str">
        <f aca="false">IF($B92="","",الموظفون!$C92)</f>
        <v/>
      </c>
      <c r="D92" s="127" t="str">
        <f aca="false">IF($B92="","",الموظفون!$H92)</f>
        <v/>
      </c>
      <c r="E92" s="132" t="str">
        <f aca="false">IF($B92="","",MAX(0,J92-D92+1)/cfg_DAYS_Y)</f>
        <v/>
      </c>
      <c r="F92" s="51" t="str">
        <f aca="false">IF($B92="","",IF(الموظفون!$R92&lt;&gt;"",الموظفون!$R92,IF(E92&gt;=cfg_LV_TH,cfg_LV_D2,cfg_LV_D1)))</f>
        <v/>
      </c>
      <c r="G92" s="86" t="str">
        <f aca="false">IF($B92="","",الموظفون!$P92/cfg_DAYS_M)</f>
        <v/>
      </c>
      <c r="H92" s="105" t="str">
        <f aca="false">IF($B92="","",N(الموظفون!$V92))</f>
        <v/>
      </c>
      <c r="I92" s="127" t="str">
        <f aca="false">IF($B92="","",MAX(cfg_Y_START,D92))</f>
        <v/>
      </c>
      <c r="J92" s="127" t="str">
        <f aca="false">IF($B92="","",IF(OR(الموظفون!$X92="",الموظفون!$X92&gt;cfg_VAL_DATE),cfg_VAL_DATE,الموظفون!$X92))</f>
        <v/>
      </c>
      <c r="K92" s="51" t="str">
        <f aca="false">IF($B92="","",MAX(0,J92-I92+1))</f>
        <v/>
      </c>
      <c r="L92" s="105" t="str">
        <f aca="false">IF($B92="","",F92/cfg_DAYS_Y*K92)</f>
        <v/>
      </c>
      <c r="M92" s="105" t="str">
        <f aca="false">IF($B92="","",SUMIFS('الحركات الشهرية'!$K$6:$K$1005,'الحركات الشهرية'!$B$6:$B$1005,B92,'الحركات الشهرية'!$A$6:$A$1005,"&lt;="&amp;cfg_VAL_M))</f>
        <v/>
      </c>
      <c r="N92" s="105" t="str">
        <f aca="false">IF($B92="","",SUMIFS('الحركات الشهرية'!$L$6:$L$1005,'الحركات الشهرية'!$B$6:$B$1005,B92,'الحركات الشهرية'!$A$6:$A$1005,"&lt;="&amp;cfg_VAL_M))</f>
        <v/>
      </c>
      <c r="O92" s="105" t="str">
        <f aca="false">IF($B92="","",H92+L92-M92-N92)</f>
        <v/>
      </c>
      <c r="P92" s="107" t="str">
        <f aca="false">IF($B92="","",O92*G92)</f>
        <v/>
      </c>
      <c r="Q92" s="86" t="str">
        <f aca="false">IF($B92="","",H92*G92)</f>
        <v/>
      </c>
      <c r="R92" s="86" t="str">
        <f aca="false">IF($B92="","",(M92+N92)*G92)</f>
        <v/>
      </c>
      <c r="S92" s="74" t="str">
        <f aca="false">IF($B92="","",IF(O92&lt;-0.01,"✖ رصيد سالب",IF(O92&gt;F92*2,"⚠ رصيد مرتفع (أكثر من سنتين)",IF(AND(الموظفون!$X92&lt;&gt;"",الموظفون!$X92&lt;=cfg_VAL_DATE,O92&gt;0.01),"⚠ منتهي الخدمة برصيد","✔ سليم"))))</f>
        <v/>
      </c>
    </row>
    <row r="93" customFormat="false" ht="15" hidden="false" customHeight="false" outlineLevel="0" collapsed="false">
      <c r="B93" s="91" t="str">
        <f aca="false">IF(الموظفون!$B93="","",الموظفون!$B93)</f>
        <v/>
      </c>
      <c r="C93" s="91" t="str">
        <f aca="false">IF($B93="","",الموظفون!$C93)</f>
        <v/>
      </c>
      <c r="D93" s="129" t="str">
        <f aca="false">IF($B93="","",الموظفون!$H93)</f>
        <v/>
      </c>
      <c r="E93" s="133" t="str">
        <f aca="false">IF($B93="","",MAX(0,J93-D93+1)/cfg_DAYS_Y)</f>
        <v/>
      </c>
      <c r="F93" s="115" t="str">
        <f aca="false">IF($B93="","",IF(الموظفون!$R93&lt;&gt;"",الموظفون!$R93,IF(E93&gt;=cfg_LV_TH,cfg_LV_D2,cfg_LV_D1)))</f>
        <v/>
      </c>
      <c r="G93" s="90" t="str">
        <f aca="false">IF($B93="","",الموظفون!$P93/cfg_DAYS_M)</f>
        <v/>
      </c>
      <c r="H93" s="110" t="str">
        <f aca="false">IF($B93="","",N(الموظفون!$V93))</f>
        <v/>
      </c>
      <c r="I93" s="129" t="str">
        <f aca="false">IF($B93="","",MAX(cfg_Y_START,D93))</f>
        <v/>
      </c>
      <c r="J93" s="129" t="str">
        <f aca="false">IF($B93="","",IF(OR(الموظفون!$X93="",الموظفون!$X93&gt;cfg_VAL_DATE),cfg_VAL_DATE,الموظفون!$X93))</f>
        <v/>
      </c>
      <c r="K93" s="115" t="str">
        <f aca="false">IF($B93="","",MAX(0,J93-I93+1))</f>
        <v/>
      </c>
      <c r="L93" s="110" t="str">
        <f aca="false">IF($B93="","",F93/cfg_DAYS_Y*K93)</f>
        <v/>
      </c>
      <c r="M93" s="110" t="str">
        <f aca="false">IF($B93="","",SUMIFS('الحركات الشهرية'!$K$6:$K$1005,'الحركات الشهرية'!$B$6:$B$1005,B93,'الحركات الشهرية'!$A$6:$A$1005,"&lt;="&amp;cfg_VAL_M))</f>
        <v/>
      </c>
      <c r="N93" s="110" t="str">
        <f aca="false">IF($B93="","",SUMIFS('الحركات الشهرية'!$L$6:$L$1005,'الحركات الشهرية'!$B$6:$B$1005,B93,'الحركات الشهرية'!$A$6:$A$1005,"&lt;="&amp;cfg_VAL_M))</f>
        <v/>
      </c>
      <c r="O93" s="110" t="str">
        <f aca="false">IF($B93="","",H93+L93-M93-N93)</f>
        <v/>
      </c>
      <c r="P93" s="112" t="str">
        <f aca="false">IF($B93="","",O93*G93)</f>
        <v/>
      </c>
      <c r="Q93" s="90" t="str">
        <f aca="false">IF($B93="","",H93*G93)</f>
        <v/>
      </c>
      <c r="R93" s="90" t="str">
        <f aca="false">IF($B93="","",(M93+N93)*G93)</f>
        <v/>
      </c>
      <c r="S93" s="91" t="str">
        <f aca="false">IF($B93="","",IF(O93&lt;-0.01,"✖ رصيد سالب",IF(O93&gt;F93*2,"⚠ رصيد مرتفع (أكثر من سنتين)",IF(AND(الموظفون!$X93&lt;&gt;"",الموظفون!$X93&lt;=cfg_VAL_DATE,O93&gt;0.01),"⚠ منتهي الخدمة برصيد","✔ سليم"))))</f>
        <v/>
      </c>
    </row>
    <row r="94" customFormat="false" ht="15" hidden="false" customHeight="false" outlineLevel="0" collapsed="false">
      <c r="B94" s="74" t="str">
        <f aca="false">IF(الموظفون!$B94="","",الموظفون!$B94)</f>
        <v/>
      </c>
      <c r="C94" s="74" t="str">
        <f aca="false">IF($B94="","",الموظفون!$C94)</f>
        <v/>
      </c>
      <c r="D94" s="127" t="str">
        <f aca="false">IF($B94="","",الموظفون!$H94)</f>
        <v/>
      </c>
      <c r="E94" s="132" t="str">
        <f aca="false">IF($B94="","",MAX(0,J94-D94+1)/cfg_DAYS_Y)</f>
        <v/>
      </c>
      <c r="F94" s="51" t="str">
        <f aca="false">IF($B94="","",IF(الموظفون!$R94&lt;&gt;"",الموظفون!$R94,IF(E94&gt;=cfg_LV_TH,cfg_LV_D2,cfg_LV_D1)))</f>
        <v/>
      </c>
      <c r="G94" s="86" t="str">
        <f aca="false">IF($B94="","",الموظفون!$P94/cfg_DAYS_M)</f>
        <v/>
      </c>
      <c r="H94" s="105" t="str">
        <f aca="false">IF($B94="","",N(الموظفون!$V94))</f>
        <v/>
      </c>
      <c r="I94" s="127" t="str">
        <f aca="false">IF($B94="","",MAX(cfg_Y_START,D94))</f>
        <v/>
      </c>
      <c r="J94" s="127" t="str">
        <f aca="false">IF($B94="","",IF(OR(الموظفون!$X94="",الموظفون!$X94&gt;cfg_VAL_DATE),cfg_VAL_DATE,الموظفون!$X94))</f>
        <v/>
      </c>
      <c r="K94" s="51" t="str">
        <f aca="false">IF($B94="","",MAX(0,J94-I94+1))</f>
        <v/>
      </c>
      <c r="L94" s="105" t="str">
        <f aca="false">IF($B94="","",F94/cfg_DAYS_Y*K94)</f>
        <v/>
      </c>
      <c r="M94" s="105" t="str">
        <f aca="false">IF($B94="","",SUMIFS('الحركات الشهرية'!$K$6:$K$1005,'الحركات الشهرية'!$B$6:$B$1005,B94,'الحركات الشهرية'!$A$6:$A$1005,"&lt;="&amp;cfg_VAL_M))</f>
        <v/>
      </c>
      <c r="N94" s="105" t="str">
        <f aca="false">IF($B94="","",SUMIFS('الحركات الشهرية'!$L$6:$L$1005,'الحركات الشهرية'!$B$6:$B$1005,B94,'الحركات الشهرية'!$A$6:$A$1005,"&lt;="&amp;cfg_VAL_M))</f>
        <v/>
      </c>
      <c r="O94" s="105" t="str">
        <f aca="false">IF($B94="","",H94+L94-M94-N94)</f>
        <v/>
      </c>
      <c r="P94" s="107" t="str">
        <f aca="false">IF($B94="","",O94*G94)</f>
        <v/>
      </c>
      <c r="Q94" s="86" t="str">
        <f aca="false">IF($B94="","",H94*G94)</f>
        <v/>
      </c>
      <c r="R94" s="86" t="str">
        <f aca="false">IF($B94="","",(M94+N94)*G94)</f>
        <v/>
      </c>
      <c r="S94" s="74" t="str">
        <f aca="false">IF($B94="","",IF(O94&lt;-0.01,"✖ رصيد سالب",IF(O94&gt;F94*2,"⚠ رصيد مرتفع (أكثر من سنتين)",IF(AND(الموظفون!$X94&lt;&gt;"",الموظفون!$X94&lt;=cfg_VAL_DATE,O94&gt;0.01),"⚠ منتهي الخدمة برصيد","✔ سليم"))))</f>
        <v/>
      </c>
    </row>
    <row r="95" customFormat="false" ht="15" hidden="false" customHeight="false" outlineLevel="0" collapsed="false">
      <c r="B95" s="91" t="str">
        <f aca="false">IF(الموظفون!$B95="","",الموظفون!$B95)</f>
        <v/>
      </c>
      <c r="C95" s="91" t="str">
        <f aca="false">IF($B95="","",الموظفون!$C95)</f>
        <v/>
      </c>
      <c r="D95" s="129" t="str">
        <f aca="false">IF($B95="","",الموظفون!$H95)</f>
        <v/>
      </c>
      <c r="E95" s="133" t="str">
        <f aca="false">IF($B95="","",MAX(0,J95-D95+1)/cfg_DAYS_Y)</f>
        <v/>
      </c>
      <c r="F95" s="115" t="str">
        <f aca="false">IF($B95="","",IF(الموظفون!$R95&lt;&gt;"",الموظفون!$R95,IF(E95&gt;=cfg_LV_TH,cfg_LV_D2,cfg_LV_D1)))</f>
        <v/>
      </c>
      <c r="G95" s="90" t="str">
        <f aca="false">IF($B95="","",الموظفون!$P95/cfg_DAYS_M)</f>
        <v/>
      </c>
      <c r="H95" s="110" t="str">
        <f aca="false">IF($B95="","",N(الموظفون!$V95))</f>
        <v/>
      </c>
      <c r="I95" s="129" t="str">
        <f aca="false">IF($B95="","",MAX(cfg_Y_START,D95))</f>
        <v/>
      </c>
      <c r="J95" s="129" t="str">
        <f aca="false">IF($B95="","",IF(OR(الموظفون!$X95="",الموظفون!$X95&gt;cfg_VAL_DATE),cfg_VAL_DATE,الموظفون!$X95))</f>
        <v/>
      </c>
      <c r="K95" s="115" t="str">
        <f aca="false">IF($B95="","",MAX(0,J95-I95+1))</f>
        <v/>
      </c>
      <c r="L95" s="110" t="str">
        <f aca="false">IF($B95="","",F95/cfg_DAYS_Y*K95)</f>
        <v/>
      </c>
      <c r="M95" s="110" t="str">
        <f aca="false">IF($B95="","",SUMIFS('الحركات الشهرية'!$K$6:$K$1005,'الحركات الشهرية'!$B$6:$B$1005,B95,'الحركات الشهرية'!$A$6:$A$1005,"&lt;="&amp;cfg_VAL_M))</f>
        <v/>
      </c>
      <c r="N95" s="110" t="str">
        <f aca="false">IF($B95="","",SUMIFS('الحركات الشهرية'!$L$6:$L$1005,'الحركات الشهرية'!$B$6:$B$1005,B95,'الحركات الشهرية'!$A$6:$A$1005,"&lt;="&amp;cfg_VAL_M))</f>
        <v/>
      </c>
      <c r="O95" s="110" t="str">
        <f aca="false">IF($B95="","",H95+L95-M95-N95)</f>
        <v/>
      </c>
      <c r="P95" s="112" t="str">
        <f aca="false">IF($B95="","",O95*G95)</f>
        <v/>
      </c>
      <c r="Q95" s="90" t="str">
        <f aca="false">IF($B95="","",H95*G95)</f>
        <v/>
      </c>
      <c r="R95" s="90" t="str">
        <f aca="false">IF($B95="","",(M95+N95)*G95)</f>
        <v/>
      </c>
      <c r="S95" s="91" t="str">
        <f aca="false">IF($B95="","",IF(O95&lt;-0.01,"✖ رصيد سالب",IF(O95&gt;F95*2,"⚠ رصيد مرتفع (أكثر من سنتين)",IF(AND(الموظفون!$X95&lt;&gt;"",الموظفون!$X95&lt;=cfg_VAL_DATE,O95&gt;0.01),"⚠ منتهي الخدمة برصيد","✔ سليم"))))</f>
        <v/>
      </c>
    </row>
    <row r="96" customFormat="false" ht="15" hidden="false" customHeight="false" outlineLevel="0" collapsed="false">
      <c r="B96" s="74" t="str">
        <f aca="false">IF(الموظفون!$B96="","",الموظفون!$B96)</f>
        <v/>
      </c>
      <c r="C96" s="74" t="str">
        <f aca="false">IF($B96="","",الموظفون!$C96)</f>
        <v/>
      </c>
      <c r="D96" s="127" t="str">
        <f aca="false">IF($B96="","",الموظفون!$H96)</f>
        <v/>
      </c>
      <c r="E96" s="132" t="str">
        <f aca="false">IF($B96="","",MAX(0,J96-D96+1)/cfg_DAYS_Y)</f>
        <v/>
      </c>
      <c r="F96" s="51" t="str">
        <f aca="false">IF($B96="","",IF(الموظفون!$R96&lt;&gt;"",الموظفون!$R96,IF(E96&gt;=cfg_LV_TH,cfg_LV_D2,cfg_LV_D1)))</f>
        <v/>
      </c>
      <c r="G96" s="86" t="str">
        <f aca="false">IF($B96="","",الموظفون!$P96/cfg_DAYS_M)</f>
        <v/>
      </c>
      <c r="H96" s="105" t="str">
        <f aca="false">IF($B96="","",N(الموظفون!$V96))</f>
        <v/>
      </c>
      <c r="I96" s="127" t="str">
        <f aca="false">IF($B96="","",MAX(cfg_Y_START,D96))</f>
        <v/>
      </c>
      <c r="J96" s="127" t="str">
        <f aca="false">IF($B96="","",IF(OR(الموظفون!$X96="",الموظفون!$X96&gt;cfg_VAL_DATE),cfg_VAL_DATE,الموظفون!$X96))</f>
        <v/>
      </c>
      <c r="K96" s="51" t="str">
        <f aca="false">IF($B96="","",MAX(0,J96-I96+1))</f>
        <v/>
      </c>
      <c r="L96" s="105" t="str">
        <f aca="false">IF($B96="","",F96/cfg_DAYS_Y*K96)</f>
        <v/>
      </c>
      <c r="M96" s="105" t="str">
        <f aca="false">IF($B96="","",SUMIFS('الحركات الشهرية'!$K$6:$K$1005,'الحركات الشهرية'!$B$6:$B$1005,B96,'الحركات الشهرية'!$A$6:$A$1005,"&lt;="&amp;cfg_VAL_M))</f>
        <v/>
      </c>
      <c r="N96" s="105" t="str">
        <f aca="false">IF($B96="","",SUMIFS('الحركات الشهرية'!$L$6:$L$1005,'الحركات الشهرية'!$B$6:$B$1005,B96,'الحركات الشهرية'!$A$6:$A$1005,"&lt;="&amp;cfg_VAL_M))</f>
        <v/>
      </c>
      <c r="O96" s="105" t="str">
        <f aca="false">IF($B96="","",H96+L96-M96-N96)</f>
        <v/>
      </c>
      <c r="P96" s="107" t="str">
        <f aca="false">IF($B96="","",O96*G96)</f>
        <v/>
      </c>
      <c r="Q96" s="86" t="str">
        <f aca="false">IF($B96="","",H96*G96)</f>
        <v/>
      </c>
      <c r="R96" s="86" t="str">
        <f aca="false">IF($B96="","",(M96+N96)*G96)</f>
        <v/>
      </c>
      <c r="S96" s="74" t="str">
        <f aca="false">IF($B96="","",IF(O96&lt;-0.01,"✖ رصيد سالب",IF(O96&gt;F96*2,"⚠ رصيد مرتفع (أكثر من سنتين)",IF(AND(الموظفون!$X96&lt;&gt;"",الموظفون!$X96&lt;=cfg_VAL_DATE,O96&gt;0.01),"⚠ منتهي الخدمة برصيد","✔ سليم"))))</f>
        <v/>
      </c>
    </row>
    <row r="97" customFormat="false" ht="15" hidden="false" customHeight="false" outlineLevel="0" collapsed="false">
      <c r="B97" s="91" t="str">
        <f aca="false">IF(الموظفون!$B97="","",الموظفون!$B97)</f>
        <v/>
      </c>
      <c r="C97" s="91" t="str">
        <f aca="false">IF($B97="","",الموظفون!$C97)</f>
        <v/>
      </c>
      <c r="D97" s="129" t="str">
        <f aca="false">IF($B97="","",الموظفون!$H97)</f>
        <v/>
      </c>
      <c r="E97" s="133" t="str">
        <f aca="false">IF($B97="","",MAX(0,J97-D97+1)/cfg_DAYS_Y)</f>
        <v/>
      </c>
      <c r="F97" s="115" t="str">
        <f aca="false">IF($B97="","",IF(الموظفون!$R97&lt;&gt;"",الموظفون!$R97,IF(E97&gt;=cfg_LV_TH,cfg_LV_D2,cfg_LV_D1)))</f>
        <v/>
      </c>
      <c r="G97" s="90" t="str">
        <f aca="false">IF($B97="","",الموظفون!$P97/cfg_DAYS_M)</f>
        <v/>
      </c>
      <c r="H97" s="110" t="str">
        <f aca="false">IF($B97="","",N(الموظفون!$V97))</f>
        <v/>
      </c>
      <c r="I97" s="129" t="str">
        <f aca="false">IF($B97="","",MAX(cfg_Y_START,D97))</f>
        <v/>
      </c>
      <c r="J97" s="129" t="str">
        <f aca="false">IF($B97="","",IF(OR(الموظفون!$X97="",الموظفون!$X97&gt;cfg_VAL_DATE),cfg_VAL_DATE,الموظفون!$X97))</f>
        <v/>
      </c>
      <c r="K97" s="115" t="str">
        <f aca="false">IF($B97="","",MAX(0,J97-I97+1))</f>
        <v/>
      </c>
      <c r="L97" s="110" t="str">
        <f aca="false">IF($B97="","",F97/cfg_DAYS_Y*K97)</f>
        <v/>
      </c>
      <c r="M97" s="110" t="str">
        <f aca="false">IF($B97="","",SUMIFS('الحركات الشهرية'!$K$6:$K$1005,'الحركات الشهرية'!$B$6:$B$1005,B97,'الحركات الشهرية'!$A$6:$A$1005,"&lt;="&amp;cfg_VAL_M))</f>
        <v/>
      </c>
      <c r="N97" s="110" t="str">
        <f aca="false">IF($B97="","",SUMIFS('الحركات الشهرية'!$L$6:$L$1005,'الحركات الشهرية'!$B$6:$B$1005,B97,'الحركات الشهرية'!$A$6:$A$1005,"&lt;="&amp;cfg_VAL_M))</f>
        <v/>
      </c>
      <c r="O97" s="110" t="str">
        <f aca="false">IF($B97="","",H97+L97-M97-N97)</f>
        <v/>
      </c>
      <c r="P97" s="112" t="str">
        <f aca="false">IF($B97="","",O97*G97)</f>
        <v/>
      </c>
      <c r="Q97" s="90" t="str">
        <f aca="false">IF($B97="","",H97*G97)</f>
        <v/>
      </c>
      <c r="R97" s="90" t="str">
        <f aca="false">IF($B97="","",(M97+N97)*G97)</f>
        <v/>
      </c>
      <c r="S97" s="91" t="str">
        <f aca="false">IF($B97="","",IF(O97&lt;-0.01,"✖ رصيد سالب",IF(O97&gt;F97*2,"⚠ رصيد مرتفع (أكثر من سنتين)",IF(AND(الموظفون!$X97&lt;&gt;"",الموظفون!$X97&lt;=cfg_VAL_DATE,O97&gt;0.01),"⚠ منتهي الخدمة برصيد","✔ سليم"))))</f>
        <v/>
      </c>
    </row>
    <row r="98" customFormat="false" ht="15" hidden="false" customHeight="false" outlineLevel="0" collapsed="false">
      <c r="B98" s="74" t="str">
        <f aca="false">IF(الموظفون!$B98="","",الموظفون!$B98)</f>
        <v/>
      </c>
      <c r="C98" s="74" t="str">
        <f aca="false">IF($B98="","",الموظفون!$C98)</f>
        <v/>
      </c>
      <c r="D98" s="127" t="str">
        <f aca="false">IF($B98="","",الموظفون!$H98)</f>
        <v/>
      </c>
      <c r="E98" s="132" t="str">
        <f aca="false">IF($B98="","",MAX(0,J98-D98+1)/cfg_DAYS_Y)</f>
        <v/>
      </c>
      <c r="F98" s="51" t="str">
        <f aca="false">IF($B98="","",IF(الموظفون!$R98&lt;&gt;"",الموظفون!$R98,IF(E98&gt;=cfg_LV_TH,cfg_LV_D2,cfg_LV_D1)))</f>
        <v/>
      </c>
      <c r="G98" s="86" t="str">
        <f aca="false">IF($B98="","",الموظفون!$P98/cfg_DAYS_M)</f>
        <v/>
      </c>
      <c r="H98" s="105" t="str">
        <f aca="false">IF($B98="","",N(الموظفون!$V98))</f>
        <v/>
      </c>
      <c r="I98" s="127" t="str">
        <f aca="false">IF($B98="","",MAX(cfg_Y_START,D98))</f>
        <v/>
      </c>
      <c r="J98" s="127" t="str">
        <f aca="false">IF($B98="","",IF(OR(الموظفون!$X98="",الموظفون!$X98&gt;cfg_VAL_DATE),cfg_VAL_DATE,الموظفون!$X98))</f>
        <v/>
      </c>
      <c r="K98" s="51" t="str">
        <f aca="false">IF($B98="","",MAX(0,J98-I98+1))</f>
        <v/>
      </c>
      <c r="L98" s="105" t="str">
        <f aca="false">IF($B98="","",F98/cfg_DAYS_Y*K98)</f>
        <v/>
      </c>
      <c r="M98" s="105" t="str">
        <f aca="false">IF($B98="","",SUMIFS('الحركات الشهرية'!$K$6:$K$1005,'الحركات الشهرية'!$B$6:$B$1005,B98,'الحركات الشهرية'!$A$6:$A$1005,"&lt;="&amp;cfg_VAL_M))</f>
        <v/>
      </c>
      <c r="N98" s="105" t="str">
        <f aca="false">IF($B98="","",SUMIFS('الحركات الشهرية'!$L$6:$L$1005,'الحركات الشهرية'!$B$6:$B$1005,B98,'الحركات الشهرية'!$A$6:$A$1005,"&lt;="&amp;cfg_VAL_M))</f>
        <v/>
      </c>
      <c r="O98" s="105" t="str">
        <f aca="false">IF($B98="","",H98+L98-M98-N98)</f>
        <v/>
      </c>
      <c r="P98" s="107" t="str">
        <f aca="false">IF($B98="","",O98*G98)</f>
        <v/>
      </c>
      <c r="Q98" s="86" t="str">
        <f aca="false">IF($B98="","",H98*G98)</f>
        <v/>
      </c>
      <c r="R98" s="86" t="str">
        <f aca="false">IF($B98="","",(M98+N98)*G98)</f>
        <v/>
      </c>
      <c r="S98" s="74" t="str">
        <f aca="false">IF($B98="","",IF(O98&lt;-0.01,"✖ رصيد سالب",IF(O98&gt;F98*2,"⚠ رصيد مرتفع (أكثر من سنتين)",IF(AND(الموظفون!$X98&lt;&gt;"",الموظفون!$X98&lt;=cfg_VAL_DATE,O98&gt;0.01),"⚠ منتهي الخدمة برصيد","✔ سليم"))))</f>
        <v/>
      </c>
    </row>
    <row r="99" customFormat="false" ht="15" hidden="false" customHeight="false" outlineLevel="0" collapsed="false">
      <c r="B99" s="91" t="str">
        <f aca="false">IF(الموظفون!$B99="","",الموظفون!$B99)</f>
        <v/>
      </c>
      <c r="C99" s="91" t="str">
        <f aca="false">IF($B99="","",الموظفون!$C99)</f>
        <v/>
      </c>
      <c r="D99" s="129" t="str">
        <f aca="false">IF($B99="","",الموظفون!$H99)</f>
        <v/>
      </c>
      <c r="E99" s="133" t="str">
        <f aca="false">IF($B99="","",MAX(0,J99-D99+1)/cfg_DAYS_Y)</f>
        <v/>
      </c>
      <c r="F99" s="115" t="str">
        <f aca="false">IF($B99="","",IF(الموظفون!$R99&lt;&gt;"",الموظفون!$R99,IF(E99&gt;=cfg_LV_TH,cfg_LV_D2,cfg_LV_D1)))</f>
        <v/>
      </c>
      <c r="G99" s="90" t="str">
        <f aca="false">IF($B99="","",الموظفون!$P99/cfg_DAYS_M)</f>
        <v/>
      </c>
      <c r="H99" s="110" t="str">
        <f aca="false">IF($B99="","",N(الموظفون!$V99))</f>
        <v/>
      </c>
      <c r="I99" s="129" t="str">
        <f aca="false">IF($B99="","",MAX(cfg_Y_START,D99))</f>
        <v/>
      </c>
      <c r="J99" s="129" t="str">
        <f aca="false">IF($B99="","",IF(OR(الموظفون!$X99="",الموظفون!$X99&gt;cfg_VAL_DATE),cfg_VAL_DATE,الموظفون!$X99))</f>
        <v/>
      </c>
      <c r="K99" s="115" t="str">
        <f aca="false">IF($B99="","",MAX(0,J99-I99+1))</f>
        <v/>
      </c>
      <c r="L99" s="110" t="str">
        <f aca="false">IF($B99="","",F99/cfg_DAYS_Y*K99)</f>
        <v/>
      </c>
      <c r="M99" s="110" t="str">
        <f aca="false">IF($B99="","",SUMIFS('الحركات الشهرية'!$K$6:$K$1005,'الحركات الشهرية'!$B$6:$B$1005,B99,'الحركات الشهرية'!$A$6:$A$1005,"&lt;="&amp;cfg_VAL_M))</f>
        <v/>
      </c>
      <c r="N99" s="110" t="str">
        <f aca="false">IF($B99="","",SUMIFS('الحركات الشهرية'!$L$6:$L$1005,'الحركات الشهرية'!$B$6:$B$1005,B99,'الحركات الشهرية'!$A$6:$A$1005,"&lt;="&amp;cfg_VAL_M))</f>
        <v/>
      </c>
      <c r="O99" s="110" t="str">
        <f aca="false">IF($B99="","",H99+L99-M99-N99)</f>
        <v/>
      </c>
      <c r="P99" s="112" t="str">
        <f aca="false">IF($B99="","",O99*G99)</f>
        <v/>
      </c>
      <c r="Q99" s="90" t="str">
        <f aca="false">IF($B99="","",H99*G99)</f>
        <v/>
      </c>
      <c r="R99" s="90" t="str">
        <f aca="false">IF($B99="","",(M99+N99)*G99)</f>
        <v/>
      </c>
      <c r="S99" s="91" t="str">
        <f aca="false">IF($B99="","",IF(O99&lt;-0.01,"✖ رصيد سالب",IF(O99&gt;F99*2,"⚠ رصيد مرتفع (أكثر من سنتين)",IF(AND(الموظفون!$X99&lt;&gt;"",الموظفون!$X99&lt;=cfg_VAL_DATE,O99&gt;0.01),"⚠ منتهي الخدمة برصيد","✔ سليم"))))</f>
        <v/>
      </c>
    </row>
    <row r="100" customFormat="false" ht="15" hidden="false" customHeight="false" outlineLevel="0" collapsed="false">
      <c r="B100" s="74" t="str">
        <f aca="false">IF(الموظفون!$B100="","",الموظفون!$B100)</f>
        <v/>
      </c>
      <c r="C100" s="74" t="str">
        <f aca="false">IF($B100="","",الموظفون!$C100)</f>
        <v/>
      </c>
      <c r="D100" s="127" t="str">
        <f aca="false">IF($B100="","",الموظفون!$H100)</f>
        <v/>
      </c>
      <c r="E100" s="132" t="str">
        <f aca="false">IF($B100="","",MAX(0,J100-D100+1)/cfg_DAYS_Y)</f>
        <v/>
      </c>
      <c r="F100" s="51" t="str">
        <f aca="false">IF($B100="","",IF(الموظفون!$R100&lt;&gt;"",الموظفون!$R100,IF(E100&gt;=cfg_LV_TH,cfg_LV_D2,cfg_LV_D1)))</f>
        <v/>
      </c>
      <c r="G100" s="86" t="str">
        <f aca="false">IF($B100="","",الموظفون!$P100/cfg_DAYS_M)</f>
        <v/>
      </c>
      <c r="H100" s="105" t="str">
        <f aca="false">IF($B100="","",N(الموظفون!$V100))</f>
        <v/>
      </c>
      <c r="I100" s="127" t="str">
        <f aca="false">IF($B100="","",MAX(cfg_Y_START,D100))</f>
        <v/>
      </c>
      <c r="J100" s="127" t="str">
        <f aca="false">IF($B100="","",IF(OR(الموظفون!$X100="",الموظفون!$X100&gt;cfg_VAL_DATE),cfg_VAL_DATE,الموظفون!$X100))</f>
        <v/>
      </c>
      <c r="K100" s="51" t="str">
        <f aca="false">IF($B100="","",MAX(0,J100-I100+1))</f>
        <v/>
      </c>
      <c r="L100" s="105" t="str">
        <f aca="false">IF($B100="","",F100/cfg_DAYS_Y*K100)</f>
        <v/>
      </c>
      <c r="M100" s="105" t="str">
        <f aca="false">IF($B100="","",SUMIFS('الحركات الشهرية'!$K$6:$K$1005,'الحركات الشهرية'!$B$6:$B$1005,B100,'الحركات الشهرية'!$A$6:$A$1005,"&lt;="&amp;cfg_VAL_M))</f>
        <v/>
      </c>
      <c r="N100" s="105" t="str">
        <f aca="false">IF($B100="","",SUMIFS('الحركات الشهرية'!$L$6:$L$1005,'الحركات الشهرية'!$B$6:$B$1005,B100,'الحركات الشهرية'!$A$6:$A$1005,"&lt;="&amp;cfg_VAL_M))</f>
        <v/>
      </c>
      <c r="O100" s="105" t="str">
        <f aca="false">IF($B100="","",H100+L100-M100-N100)</f>
        <v/>
      </c>
      <c r="P100" s="107" t="str">
        <f aca="false">IF($B100="","",O100*G100)</f>
        <v/>
      </c>
      <c r="Q100" s="86" t="str">
        <f aca="false">IF($B100="","",H100*G100)</f>
        <v/>
      </c>
      <c r="R100" s="86" t="str">
        <f aca="false">IF($B100="","",(M100+N100)*G100)</f>
        <v/>
      </c>
      <c r="S100" s="74" t="str">
        <f aca="false">IF($B100="","",IF(O100&lt;-0.01,"✖ رصيد سالب",IF(O100&gt;F100*2,"⚠ رصيد مرتفع (أكثر من سنتين)",IF(AND(الموظفون!$X100&lt;&gt;"",الموظفون!$X100&lt;=cfg_VAL_DATE,O100&gt;0.01),"⚠ منتهي الخدمة برصيد","✔ سليم"))))</f>
        <v/>
      </c>
    </row>
    <row r="101" customFormat="false" ht="15" hidden="false" customHeight="false" outlineLevel="0" collapsed="false">
      <c r="B101" s="91" t="str">
        <f aca="false">IF(الموظفون!$B101="","",الموظفون!$B101)</f>
        <v/>
      </c>
      <c r="C101" s="91" t="str">
        <f aca="false">IF($B101="","",الموظفون!$C101)</f>
        <v/>
      </c>
      <c r="D101" s="129" t="str">
        <f aca="false">IF($B101="","",الموظفون!$H101)</f>
        <v/>
      </c>
      <c r="E101" s="133" t="str">
        <f aca="false">IF($B101="","",MAX(0,J101-D101+1)/cfg_DAYS_Y)</f>
        <v/>
      </c>
      <c r="F101" s="115" t="str">
        <f aca="false">IF($B101="","",IF(الموظفون!$R101&lt;&gt;"",الموظفون!$R101,IF(E101&gt;=cfg_LV_TH,cfg_LV_D2,cfg_LV_D1)))</f>
        <v/>
      </c>
      <c r="G101" s="90" t="str">
        <f aca="false">IF($B101="","",الموظفون!$P101/cfg_DAYS_M)</f>
        <v/>
      </c>
      <c r="H101" s="110" t="str">
        <f aca="false">IF($B101="","",N(الموظفون!$V101))</f>
        <v/>
      </c>
      <c r="I101" s="129" t="str">
        <f aca="false">IF($B101="","",MAX(cfg_Y_START,D101))</f>
        <v/>
      </c>
      <c r="J101" s="129" t="str">
        <f aca="false">IF($B101="","",IF(OR(الموظفون!$X101="",الموظفون!$X101&gt;cfg_VAL_DATE),cfg_VAL_DATE,الموظفون!$X101))</f>
        <v/>
      </c>
      <c r="K101" s="115" t="str">
        <f aca="false">IF($B101="","",MAX(0,J101-I101+1))</f>
        <v/>
      </c>
      <c r="L101" s="110" t="str">
        <f aca="false">IF($B101="","",F101/cfg_DAYS_Y*K101)</f>
        <v/>
      </c>
      <c r="M101" s="110" t="str">
        <f aca="false">IF($B101="","",SUMIFS('الحركات الشهرية'!$K$6:$K$1005,'الحركات الشهرية'!$B$6:$B$1005,B101,'الحركات الشهرية'!$A$6:$A$1005,"&lt;="&amp;cfg_VAL_M))</f>
        <v/>
      </c>
      <c r="N101" s="110" t="str">
        <f aca="false">IF($B101="","",SUMIFS('الحركات الشهرية'!$L$6:$L$1005,'الحركات الشهرية'!$B$6:$B$1005,B101,'الحركات الشهرية'!$A$6:$A$1005,"&lt;="&amp;cfg_VAL_M))</f>
        <v/>
      </c>
      <c r="O101" s="110" t="str">
        <f aca="false">IF($B101="","",H101+L101-M101-N101)</f>
        <v/>
      </c>
      <c r="P101" s="112" t="str">
        <f aca="false">IF($B101="","",O101*G101)</f>
        <v/>
      </c>
      <c r="Q101" s="90" t="str">
        <f aca="false">IF($B101="","",H101*G101)</f>
        <v/>
      </c>
      <c r="R101" s="90" t="str">
        <f aca="false">IF($B101="","",(M101+N101)*G101)</f>
        <v/>
      </c>
      <c r="S101" s="91" t="str">
        <f aca="false">IF($B101="","",IF(O101&lt;-0.01,"✖ رصيد سالب",IF(O101&gt;F101*2,"⚠ رصيد مرتفع (أكثر من سنتين)",IF(AND(الموظفون!$X101&lt;&gt;"",الموظفون!$X101&lt;=cfg_VAL_DATE,O101&gt;0.01),"⚠ منتهي الخدمة برصيد","✔ سليم"))))</f>
        <v/>
      </c>
    </row>
    <row r="102" customFormat="false" ht="15" hidden="false" customHeight="false" outlineLevel="0" collapsed="false">
      <c r="B102" s="74" t="str">
        <f aca="false">IF(الموظفون!$B102="","",الموظفون!$B102)</f>
        <v/>
      </c>
      <c r="C102" s="74" t="str">
        <f aca="false">IF($B102="","",الموظفون!$C102)</f>
        <v/>
      </c>
      <c r="D102" s="127" t="str">
        <f aca="false">IF($B102="","",الموظفون!$H102)</f>
        <v/>
      </c>
      <c r="E102" s="132" t="str">
        <f aca="false">IF($B102="","",MAX(0,J102-D102+1)/cfg_DAYS_Y)</f>
        <v/>
      </c>
      <c r="F102" s="51" t="str">
        <f aca="false">IF($B102="","",IF(الموظفون!$R102&lt;&gt;"",الموظفون!$R102,IF(E102&gt;=cfg_LV_TH,cfg_LV_D2,cfg_LV_D1)))</f>
        <v/>
      </c>
      <c r="G102" s="86" t="str">
        <f aca="false">IF($B102="","",الموظفون!$P102/cfg_DAYS_M)</f>
        <v/>
      </c>
      <c r="H102" s="105" t="str">
        <f aca="false">IF($B102="","",N(الموظفون!$V102))</f>
        <v/>
      </c>
      <c r="I102" s="127" t="str">
        <f aca="false">IF($B102="","",MAX(cfg_Y_START,D102))</f>
        <v/>
      </c>
      <c r="J102" s="127" t="str">
        <f aca="false">IF($B102="","",IF(OR(الموظفون!$X102="",الموظفون!$X102&gt;cfg_VAL_DATE),cfg_VAL_DATE,الموظفون!$X102))</f>
        <v/>
      </c>
      <c r="K102" s="51" t="str">
        <f aca="false">IF($B102="","",MAX(0,J102-I102+1))</f>
        <v/>
      </c>
      <c r="L102" s="105" t="str">
        <f aca="false">IF($B102="","",F102/cfg_DAYS_Y*K102)</f>
        <v/>
      </c>
      <c r="M102" s="105" t="str">
        <f aca="false">IF($B102="","",SUMIFS('الحركات الشهرية'!$K$6:$K$1005,'الحركات الشهرية'!$B$6:$B$1005,B102,'الحركات الشهرية'!$A$6:$A$1005,"&lt;="&amp;cfg_VAL_M))</f>
        <v/>
      </c>
      <c r="N102" s="105" t="str">
        <f aca="false">IF($B102="","",SUMIFS('الحركات الشهرية'!$L$6:$L$1005,'الحركات الشهرية'!$B$6:$B$1005,B102,'الحركات الشهرية'!$A$6:$A$1005,"&lt;="&amp;cfg_VAL_M))</f>
        <v/>
      </c>
      <c r="O102" s="105" t="str">
        <f aca="false">IF($B102="","",H102+L102-M102-N102)</f>
        <v/>
      </c>
      <c r="P102" s="107" t="str">
        <f aca="false">IF($B102="","",O102*G102)</f>
        <v/>
      </c>
      <c r="Q102" s="86" t="str">
        <f aca="false">IF($B102="","",H102*G102)</f>
        <v/>
      </c>
      <c r="R102" s="86" t="str">
        <f aca="false">IF($B102="","",(M102+N102)*G102)</f>
        <v/>
      </c>
      <c r="S102" s="74" t="str">
        <f aca="false">IF($B102="","",IF(O102&lt;-0.01,"✖ رصيد سالب",IF(O102&gt;F102*2,"⚠ رصيد مرتفع (أكثر من سنتين)",IF(AND(الموظفون!$X102&lt;&gt;"",الموظفون!$X102&lt;=cfg_VAL_DATE,O102&gt;0.01),"⚠ منتهي الخدمة برصيد","✔ سليم"))))</f>
        <v/>
      </c>
    </row>
    <row r="103" customFormat="false" ht="15" hidden="false" customHeight="false" outlineLevel="0" collapsed="false">
      <c r="B103" s="91" t="str">
        <f aca="false">IF(الموظفون!$B103="","",الموظفون!$B103)</f>
        <v/>
      </c>
      <c r="C103" s="91" t="str">
        <f aca="false">IF($B103="","",الموظفون!$C103)</f>
        <v/>
      </c>
      <c r="D103" s="129" t="str">
        <f aca="false">IF($B103="","",الموظفون!$H103)</f>
        <v/>
      </c>
      <c r="E103" s="133" t="str">
        <f aca="false">IF($B103="","",MAX(0,J103-D103+1)/cfg_DAYS_Y)</f>
        <v/>
      </c>
      <c r="F103" s="115" t="str">
        <f aca="false">IF($B103="","",IF(الموظفون!$R103&lt;&gt;"",الموظفون!$R103,IF(E103&gt;=cfg_LV_TH,cfg_LV_D2,cfg_LV_D1)))</f>
        <v/>
      </c>
      <c r="G103" s="90" t="str">
        <f aca="false">IF($B103="","",الموظفون!$P103/cfg_DAYS_M)</f>
        <v/>
      </c>
      <c r="H103" s="110" t="str">
        <f aca="false">IF($B103="","",N(الموظفون!$V103))</f>
        <v/>
      </c>
      <c r="I103" s="129" t="str">
        <f aca="false">IF($B103="","",MAX(cfg_Y_START,D103))</f>
        <v/>
      </c>
      <c r="J103" s="129" t="str">
        <f aca="false">IF($B103="","",IF(OR(الموظفون!$X103="",الموظفون!$X103&gt;cfg_VAL_DATE),cfg_VAL_DATE,الموظفون!$X103))</f>
        <v/>
      </c>
      <c r="K103" s="115" t="str">
        <f aca="false">IF($B103="","",MAX(0,J103-I103+1))</f>
        <v/>
      </c>
      <c r="L103" s="110" t="str">
        <f aca="false">IF($B103="","",F103/cfg_DAYS_Y*K103)</f>
        <v/>
      </c>
      <c r="M103" s="110" t="str">
        <f aca="false">IF($B103="","",SUMIFS('الحركات الشهرية'!$K$6:$K$1005,'الحركات الشهرية'!$B$6:$B$1005,B103,'الحركات الشهرية'!$A$6:$A$1005,"&lt;="&amp;cfg_VAL_M))</f>
        <v/>
      </c>
      <c r="N103" s="110" t="str">
        <f aca="false">IF($B103="","",SUMIFS('الحركات الشهرية'!$L$6:$L$1005,'الحركات الشهرية'!$B$6:$B$1005,B103,'الحركات الشهرية'!$A$6:$A$1005,"&lt;="&amp;cfg_VAL_M))</f>
        <v/>
      </c>
      <c r="O103" s="110" t="str">
        <f aca="false">IF($B103="","",H103+L103-M103-N103)</f>
        <v/>
      </c>
      <c r="P103" s="112" t="str">
        <f aca="false">IF($B103="","",O103*G103)</f>
        <v/>
      </c>
      <c r="Q103" s="90" t="str">
        <f aca="false">IF($B103="","",H103*G103)</f>
        <v/>
      </c>
      <c r="R103" s="90" t="str">
        <f aca="false">IF($B103="","",(M103+N103)*G103)</f>
        <v/>
      </c>
      <c r="S103" s="91" t="str">
        <f aca="false">IF($B103="","",IF(O103&lt;-0.01,"✖ رصيد سالب",IF(O103&gt;F103*2,"⚠ رصيد مرتفع (أكثر من سنتين)",IF(AND(الموظفون!$X103&lt;&gt;"",الموظفون!$X103&lt;=cfg_VAL_DATE,O103&gt;0.01),"⚠ منتهي الخدمة برصيد","✔ سليم"))))</f>
        <v/>
      </c>
    </row>
    <row r="104" customFormat="false" ht="15" hidden="false" customHeight="false" outlineLevel="0" collapsed="false">
      <c r="B104" s="74" t="str">
        <f aca="false">IF(الموظفون!$B104="","",الموظفون!$B104)</f>
        <v/>
      </c>
      <c r="C104" s="74" t="str">
        <f aca="false">IF($B104="","",الموظفون!$C104)</f>
        <v/>
      </c>
      <c r="D104" s="127" t="str">
        <f aca="false">IF($B104="","",الموظفون!$H104)</f>
        <v/>
      </c>
      <c r="E104" s="132" t="str">
        <f aca="false">IF($B104="","",MAX(0,J104-D104+1)/cfg_DAYS_Y)</f>
        <v/>
      </c>
      <c r="F104" s="51" t="str">
        <f aca="false">IF($B104="","",IF(الموظفون!$R104&lt;&gt;"",الموظفون!$R104,IF(E104&gt;=cfg_LV_TH,cfg_LV_D2,cfg_LV_D1)))</f>
        <v/>
      </c>
      <c r="G104" s="86" t="str">
        <f aca="false">IF($B104="","",الموظفون!$P104/cfg_DAYS_M)</f>
        <v/>
      </c>
      <c r="H104" s="105" t="str">
        <f aca="false">IF($B104="","",N(الموظفون!$V104))</f>
        <v/>
      </c>
      <c r="I104" s="127" t="str">
        <f aca="false">IF($B104="","",MAX(cfg_Y_START,D104))</f>
        <v/>
      </c>
      <c r="J104" s="127" t="str">
        <f aca="false">IF($B104="","",IF(OR(الموظفون!$X104="",الموظفون!$X104&gt;cfg_VAL_DATE),cfg_VAL_DATE,الموظفون!$X104))</f>
        <v/>
      </c>
      <c r="K104" s="51" t="str">
        <f aca="false">IF($B104="","",MAX(0,J104-I104+1))</f>
        <v/>
      </c>
      <c r="L104" s="105" t="str">
        <f aca="false">IF($B104="","",F104/cfg_DAYS_Y*K104)</f>
        <v/>
      </c>
      <c r="M104" s="105" t="str">
        <f aca="false">IF($B104="","",SUMIFS('الحركات الشهرية'!$K$6:$K$1005,'الحركات الشهرية'!$B$6:$B$1005,B104,'الحركات الشهرية'!$A$6:$A$1005,"&lt;="&amp;cfg_VAL_M))</f>
        <v/>
      </c>
      <c r="N104" s="105" t="str">
        <f aca="false">IF($B104="","",SUMIFS('الحركات الشهرية'!$L$6:$L$1005,'الحركات الشهرية'!$B$6:$B$1005,B104,'الحركات الشهرية'!$A$6:$A$1005,"&lt;="&amp;cfg_VAL_M))</f>
        <v/>
      </c>
      <c r="O104" s="105" t="str">
        <f aca="false">IF($B104="","",H104+L104-M104-N104)</f>
        <v/>
      </c>
      <c r="P104" s="107" t="str">
        <f aca="false">IF($B104="","",O104*G104)</f>
        <v/>
      </c>
      <c r="Q104" s="86" t="str">
        <f aca="false">IF($B104="","",H104*G104)</f>
        <v/>
      </c>
      <c r="R104" s="86" t="str">
        <f aca="false">IF($B104="","",(M104+N104)*G104)</f>
        <v/>
      </c>
      <c r="S104" s="74" t="str">
        <f aca="false">IF($B104="","",IF(O104&lt;-0.01,"✖ رصيد سالب",IF(O104&gt;F104*2,"⚠ رصيد مرتفع (أكثر من سنتين)",IF(AND(الموظفون!$X104&lt;&gt;"",الموظفون!$X104&lt;=cfg_VAL_DATE,O104&gt;0.01),"⚠ منتهي الخدمة برصيد","✔ سليم"))))</f>
        <v/>
      </c>
    </row>
    <row r="105" customFormat="false" ht="15" hidden="false" customHeight="false" outlineLevel="0" collapsed="false">
      <c r="B105" s="91" t="str">
        <f aca="false">IF(الموظفون!$B105="","",الموظفون!$B105)</f>
        <v/>
      </c>
      <c r="C105" s="91" t="str">
        <f aca="false">IF($B105="","",الموظفون!$C105)</f>
        <v/>
      </c>
      <c r="D105" s="129" t="str">
        <f aca="false">IF($B105="","",الموظفون!$H105)</f>
        <v/>
      </c>
      <c r="E105" s="133" t="str">
        <f aca="false">IF($B105="","",MAX(0,J105-D105+1)/cfg_DAYS_Y)</f>
        <v/>
      </c>
      <c r="F105" s="115" t="str">
        <f aca="false">IF($B105="","",IF(الموظفون!$R105&lt;&gt;"",الموظفون!$R105,IF(E105&gt;=cfg_LV_TH,cfg_LV_D2,cfg_LV_D1)))</f>
        <v/>
      </c>
      <c r="G105" s="90" t="str">
        <f aca="false">IF($B105="","",الموظفون!$P105/cfg_DAYS_M)</f>
        <v/>
      </c>
      <c r="H105" s="110" t="str">
        <f aca="false">IF($B105="","",N(الموظفون!$V105))</f>
        <v/>
      </c>
      <c r="I105" s="129" t="str">
        <f aca="false">IF($B105="","",MAX(cfg_Y_START,D105))</f>
        <v/>
      </c>
      <c r="J105" s="129" t="str">
        <f aca="false">IF($B105="","",IF(OR(الموظفون!$X105="",الموظفون!$X105&gt;cfg_VAL_DATE),cfg_VAL_DATE,الموظفون!$X105))</f>
        <v/>
      </c>
      <c r="K105" s="115" t="str">
        <f aca="false">IF($B105="","",MAX(0,J105-I105+1))</f>
        <v/>
      </c>
      <c r="L105" s="110" t="str">
        <f aca="false">IF($B105="","",F105/cfg_DAYS_Y*K105)</f>
        <v/>
      </c>
      <c r="M105" s="110" t="str">
        <f aca="false">IF($B105="","",SUMIFS('الحركات الشهرية'!$K$6:$K$1005,'الحركات الشهرية'!$B$6:$B$1005,B105,'الحركات الشهرية'!$A$6:$A$1005,"&lt;="&amp;cfg_VAL_M))</f>
        <v/>
      </c>
      <c r="N105" s="110" t="str">
        <f aca="false">IF($B105="","",SUMIFS('الحركات الشهرية'!$L$6:$L$1005,'الحركات الشهرية'!$B$6:$B$1005,B105,'الحركات الشهرية'!$A$6:$A$1005,"&lt;="&amp;cfg_VAL_M))</f>
        <v/>
      </c>
      <c r="O105" s="110" t="str">
        <f aca="false">IF($B105="","",H105+L105-M105-N105)</f>
        <v/>
      </c>
      <c r="P105" s="112" t="str">
        <f aca="false">IF($B105="","",O105*G105)</f>
        <v/>
      </c>
      <c r="Q105" s="90" t="str">
        <f aca="false">IF($B105="","",H105*G105)</f>
        <v/>
      </c>
      <c r="R105" s="90" t="str">
        <f aca="false">IF($B105="","",(M105+N105)*G105)</f>
        <v/>
      </c>
      <c r="S105" s="91" t="str">
        <f aca="false">IF($B105="","",IF(O105&lt;-0.01,"✖ رصيد سالب",IF(O105&gt;F105*2,"⚠ رصيد مرتفع (أكثر من سنتين)",IF(AND(الموظفون!$X105&lt;&gt;"",الموظفون!$X105&lt;=cfg_VAL_DATE,O105&gt;0.01),"⚠ منتهي الخدمة برصيد","✔ سليم"))))</f>
        <v/>
      </c>
    </row>
    <row r="106" customFormat="false" ht="24" hidden="false" customHeight="true" outlineLevel="0" collapsed="false">
      <c r="B106" s="92"/>
      <c r="C106" s="92" t="s">
        <v>101</v>
      </c>
      <c r="D106" s="92"/>
      <c r="E106" s="92"/>
      <c r="F106" s="92"/>
      <c r="G106" s="92"/>
      <c r="H106" s="116" t="n">
        <f aca="false">SUM(H6:H105)</f>
        <v>187</v>
      </c>
      <c r="I106" s="92"/>
      <c r="J106" s="92"/>
      <c r="K106" s="92"/>
      <c r="L106" s="116" t="n">
        <f aca="false">SUM(L6:L105)</f>
        <v>235.520547945205</v>
      </c>
      <c r="M106" s="116" t="n">
        <f aca="false">SUM(M6:M105)</f>
        <v>117</v>
      </c>
      <c r="N106" s="116" t="n">
        <f aca="false">SUM(N6:N105)</f>
        <v>36.8767123287671</v>
      </c>
      <c r="O106" s="116" t="n">
        <f aca="false">SUM(O6:O105)</f>
        <v>268.643835616438</v>
      </c>
      <c r="P106" s="92" t="n">
        <f aca="false">SUM(P6:P105)</f>
        <v>152443.602739726</v>
      </c>
      <c r="Q106" s="92" t="n">
        <f aca="false">SUM(Q6:Q105)</f>
        <v>96547.5</v>
      </c>
      <c r="R106" s="92" t="n">
        <f aca="false">SUM(R6:R105)</f>
        <v>74222.2602739726</v>
      </c>
      <c r="S106" s="92"/>
    </row>
    <row r="107" customFormat="false" ht="33.75" hidden="false" customHeight="true" outlineLevel="0" collapsed="false">
      <c r="B107" s="21" t="s">
        <v>398</v>
      </c>
      <c r="C107" s="21"/>
      <c r="D107" s="21"/>
      <c r="E107" s="21"/>
      <c r="F107" s="21"/>
      <c r="G107" s="21"/>
      <c r="H107" s="21"/>
      <c r="I107" s="21"/>
      <c r="J107" s="21"/>
      <c r="K107" s="21"/>
      <c r="L107" s="21"/>
      <c r="M107" s="21"/>
      <c r="N107" s="21"/>
      <c r="O107" s="21"/>
      <c r="P107" s="21"/>
      <c r="Q107" s="21"/>
      <c r="R107" s="21"/>
      <c r="S107" s="21"/>
    </row>
  </sheetData>
  <mergeCells count="3">
    <mergeCell ref="B1:S1"/>
    <mergeCell ref="B2:S2"/>
    <mergeCell ref="B107:S107"/>
  </mergeCells>
  <conditionalFormatting sqref="S6:S105">
    <cfRule type="expression" priority="2" aboveAverage="0" equalAverage="0" bottom="0" percent="0" rank="0" text="" dxfId="0">
      <formula>ISNUMBER(SEARCH("✔",S6))</formula>
    </cfRule>
    <cfRule type="expression" priority="3" aboveAverage="0" equalAverage="0" bottom="0" percent="0" rank="0" text="" dxfId="1">
      <formula>ISNUMBER(SEARCH("✖",S6))</formula>
    </cfRule>
    <cfRule type="expression" priority="4" aboveAverage="0" equalAverage="0" bottom="0" percent="0" rank="0" text="" dxfId="2">
      <formula>ISNUMBER(SEARCH("⚠",S6))</formula>
    </cfRule>
  </conditionalFormatting>
  <hyperlinks>
    <hyperlink ref="B3" location="'الرئيسية'!A1" display="🏠 الرئيسية"/>
    <hyperlink ref="C3" location="'لوحة التحكم'!A1" display="📊 لوحة التحكم"/>
    <hyperlink ref="D3" location="'الإعدادات'!A1" display="⚙ الإعدادات"/>
    <hyperlink ref="E3" location="'الموظفون'!A1" display="👥 الموظفون"/>
    <hyperlink ref="F3" location="'الحركات الشهرية'!A1" display="✍ الحركات"/>
    <hyperlink ref="G3" location="'الملخص الشهري'!A1" display="📅 الملخص الشهري"/>
    <hyperlink ref="H3" location="'قيود الرواتب'!A1" display="🧾 القيود"/>
    <hyperlink ref="I3" location="'قسيمة الراتب'!A1" display="💳 القسيمة"/>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73E8"/>
    <pageSetUpPr fitToPage="true"/>
  </sheetPr>
  <dimension ref="B1:P107"/>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9"/>
    <col collapsed="false" customWidth="true" hidden="false" outlineLevel="0" max="3" min="3" style="0" width="24"/>
    <col collapsed="false" customWidth="true" hidden="false" outlineLevel="0" max="4" min="4" style="0" width="9"/>
    <col collapsed="false" customWidth="true" hidden="false" outlineLevel="0" max="5" min="5" style="0" width="12"/>
    <col collapsed="false" customWidth="true" hidden="false" outlineLevel="0" max="6" min="6" style="0" width="9"/>
    <col collapsed="false" customWidth="true" hidden="false" outlineLevel="0" max="7" min="7" style="0" width="11"/>
    <col collapsed="false" customWidth="true" hidden="false" outlineLevel="0" max="9" min="8" style="0" width="12"/>
    <col collapsed="false" customWidth="true" hidden="false" outlineLevel="0" max="10" min="10" style="0" width="9"/>
    <col collapsed="false" customWidth="true" hidden="false" outlineLevel="0" max="13" min="11" style="0" width="13"/>
    <col collapsed="false" customWidth="true" hidden="false" outlineLevel="0" max="14" min="14" style="0" width="14"/>
    <col collapsed="false" customWidth="true" hidden="false" outlineLevel="0" max="15" min="15" style="0" width="10"/>
    <col collapsed="false" customWidth="true" hidden="false" outlineLevel="0" max="16" min="16" style="0" width="22"/>
  </cols>
  <sheetData>
    <row r="1" customFormat="false" ht="37.5" hidden="false" customHeight="true" outlineLevel="0" collapsed="false">
      <c r="B1" s="1" t="str">
        <f aca="false">"✈ مخصص تذاكر السفر كما في "&amp;TEXT(cfg_VAL_DATE,"yyyy/mm/dd")</f>
        <v>✈ مخصص تذاكر السفر كما في 2026/09/30</v>
      </c>
      <c r="C1" s="1"/>
      <c r="D1" s="1"/>
      <c r="E1" s="1"/>
      <c r="F1" s="1"/>
      <c r="G1" s="1"/>
      <c r="H1" s="1"/>
      <c r="I1" s="1"/>
      <c r="J1" s="1"/>
      <c r="K1" s="1"/>
      <c r="L1" s="1"/>
      <c r="M1" s="1"/>
      <c r="N1" s="1"/>
      <c r="O1" s="1"/>
      <c r="P1" s="1"/>
    </row>
    <row r="2" customFormat="false" ht="19.5" hidden="false" customHeight="true" outlineLevel="0" collapsed="false">
      <c r="B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C2" s="2"/>
      <c r="D2" s="2"/>
      <c r="E2" s="2"/>
      <c r="F2" s="2"/>
      <c r="G2" s="2"/>
      <c r="H2" s="2"/>
      <c r="I2" s="2"/>
      <c r="J2" s="2"/>
      <c r="K2" s="2"/>
      <c r="L2" s="2"/>
      <c r="M2" s="2"/>
      <c r="N2" s="2"/>
      <c r="O2" s="2"/>
      <c r="P2" s="2"/>
    </row>
    <row r="3" customFormat="false" ht="25.5" hidden="false" customHeight="true" outlineLevel="0" collapsed="false">
      <c r="B3" s="22" t="s">
        <v>61</v>
      </c>
      <c r="C3" s="12" t="s">
        <v>111</v>
      </c>
      <c r="D3" s="23" t="s">
        <v>62</v>
      </c>
      <c r="E3" s="23" t="s">
        <v>63</v>
      </c>
      <c r="F3" s="23" t="s">
        <v>64</v>
      </c>
      <c r="G3" s="23" t="s">
        <v>39</v>
      </c>
      <c r="H3" s="23" t="s">
        <v>65</v>
      </c>
      <c r="I3" s="23" t="s">
        <v>66</v>
      </c>
    </row>
    <row r="4" customFormat="false" ht="7.5" hidden="false" customHeight="true" outlineLevel="0" collapsed="false"/>
    <row r="5" customFormat="false" ht="51.75" hidden="false" customHeight="true" outlineLevel="0" collapsed="false">
      <c r="B5" s="134" t="s">
        <v>363</v>
      </c>
      <c r="C5" s="134" t="s">
        <v>209</v>
      </c>
      <c r="D5" s="134" t="s">
        <v>399</v>
      </c>
      <c r="E5" s="134" t="s">
        <v>400</v>
      </c>
      <c r="F5" s="134" t="s">
        <v>401</v>
      </c>
      <c r="G5" s="134" t="s">
        <v>402</v>
      </c>
      <c r="H5" s="134" t="s">
        <v>388</v>
      </c>
      <c r="I5" s="134" t="s">
        <v>389</v>
      </c>
      <c r="J5" s="134" t="s">
        <v>403</v>
      </c>
      <c r="K5" s="134" t="s">
        <v>380</v>
      </c>
      <c r="L5" s="134" t="s">
        <v>404</v>
      </c>
      <c r="M5" s="134" t="s">
        <v>405</v>
      </c>
      <c r="N5" s="134" t="s">
        <v>382</v>
      </c>
      <c r="O5" s="134" t="s">
        <v>406</v>
      </c>
      <c r="P5" s="134" t="s">
        <v>383</v>
      </c>
    </row>
    <row r="6" customFormat="false" ht="15" hidden="false" customHeight="false" outlineLevel="0" collapsed="false">
      <c r="B6" s="74" t="str">
        <f aca="false">IF(الموظفون!$B6="","",الموظفون!$B6)</f>
        <v>E001</v>
      </c>
      <c r="C6" s="74" t="str">
        <f aca="false">IF($B6="","",الموظفون!$C6)</f>
        <v>عبدالله محمد العتيبي</v>
      </c>
      <c r="D6" s="74" t="str">
        <f aca="false">IF($B6="","",IF(الموظفون!$S6="نعم","نعم","لا"))</f>
        <v>لا</v>
      </c>
      <c r="E6" s="86" t="n">
        <f aca="false">IF($B6="","",N(الموظفون!$T6))</f>
        <v>0</v>
      </c>
      <c r="F6" s="51" t="n">
        <f aca="false">IF($B6="","",N(الموظفون!$U6))</f>
        <v>12</v>
      </c>
      <c r="G6" s="86" t="n">
        <f aca="false">IF($B6="","",IF(AND(D6="نعم",F6&gt;0),E6/F6,0))</f>
        <v>0</v>
      </c>
      <c r="H6" s="127" t="n">
        <f aca="false">IF($B6="","",MAX(cfg_Y_START,الموظفون!$H6))</f>
        <v>46023</v>
      </c>
      <c r="I6" s="127" t="n">
        <f aca="false">IF($B6="","",IF(OR(الموظفون!$X6="",الموظفون!$X6&gt;cfg_VAL_DATE),cfg_VAL_DATE,الموظفون!$X6))</f>
        <v>46295</v>
      </c>
      <c r="J6" s="51" t="n">
        <f aca="false">IF($B6="","",MAX(0,I6-H6+1))</f>
        <v>273</v>
      </c>
      <c r="K6" s="86" t="n">
        <f aca="false">IF($B6="","",G6*12/cfg_DAYS_Y*J6)</f>
        <v>0</v>
      </c>
      <c r="L6" s="86" t="n">
        <f aca="false">IF($B6="","",N(الموظفون!$W6))</f>
        <v>0</v>
      </c>
      <c r="M6" s="86" t="n">
        <f aca="false">IF($B6="","",SUMIFS('الحركات الشهرية'!$M$6:$M$1005,'الحركات الشهرية'!$B$6:$B$1005,B6,'الحركات الشهرية'!$A$6:$A$1005,"&lt;="&amp;cfg_VAL_M))</f>
        <v>0</v>
      </c>
      <c r="N6" s="135" t="n">
        <f aca="false">IF($B6="","",L6+K6-M6)</f>
        <v>0</v>
      </c>
      <c r="O6" s="132" t="n">
        <f aca="false">IF($B6="","",IF(E6&gt;0,N6/E6,0))</f>
        <v>0</v>
      </c>
      <c r="P6" s="74" t="str">
        <f aca="false">IF($B6="","",IF(AND(D6="لا",N6&lt;&gt;0),"⚠ غير مستحق وله رصيد",IF(N6&lt;-0.01,"✖ استخدام أكثر من المكوّن",IF(AND(D6="نعم",O6&gt;=1),"⚠ تذكرة مستحقة للصرف","✔ سليم"))))</f>
        <v>✔ سليم</v>
      </c>
    </row>
    <row r="7" customFormat="false" ht="15" hidden="false" customHeight="false" outlineLevel="0" collapsed="false">
      <c r="B7" s="91" t="str">
        <f aca="false">IF(الموظفون!$B7="","",الموظفون!$B7)</f>
        <v>E002</v>
      </c>
      <c r="C7" s="91" t="str">
        <f aca="false">IF($B7="","",الموظفون!$C7)</f>
        <v>أحمد سعيد القحطاني</v>
      </c>
      <c r="D7" s="91" t="str">
        <f aca="false">IF($B7="","",IF(الموظفون!$S7="نعم","نعم","لا"))</f>
        <v>لا</v>
      </c>
      <c r="E7" s="90" t="n">
        <f aca="false">IF($B7="","",N(الموظفون!$T7))</f>
        <v>0</v>
      </c>
      <c r="F7" s="115" t="n">
        <f aca="false">IF($B7="","",N(الموظفون!$U7))</f>
        <v>12</v>
      </c>
      <c r="G7" s="90" t="n">
        <f aca="false">IF($B7="","",IF(AND(D7="نعم",F7&gt;0),E7/F7,0))</f>
        <v>0</v>
      </c>
      <c r="H7" s="129" t="n">
        <f aca="false">IF($B7="","",MAX(cfg_Y_START,الموظفون!$H7))</f>
        <v>46023</v>
      </c>
      <c r="I7" s="129" t="n">
        <f aca="false">IF($B7="","",IF(OR(الموظفون!$X7="",الموظفون!$X7&gt;cfg_VAL_DATE),cfg_VAL_DATE,الموظفون!$X7))</f>
        <v>46295</v>
      </c>
      <c r="J7" s="115" t="n">
        <f aca="false">IF($B7="","",MAX(0,I7-H7+1))</f>
        <v>273</v>
      </c>
      <c r="K7" s="90" t="n">
        <f aca="false">IF($B7="","",G7*12/cfg_DAYS_Y*J7)</f>
        <v>0</v>
      </c>
      <c r="L7" s="90" t="n">
        <f aca="false">IF($B7="","",N(الموظفون!$W7))</f>
        <v>0</v>
      </c>
      <c r="M7" s="90" t="n">
        <f aca="false">IF($B7="","",SUMIFS('الحركات الشهرية'!$M$6:$M$1005,'الحركات الشهرية'!$B$6:$B$1005,B7,'الحركات الشهرية'!$A$6:$A$1005,"&lt;="&amp;cfg_VAL_M))</f>
        <v>0</v>
      </c>
      <c r="N7" s="136" t="n">
        <f aca="false">IF($B7="","",L7+K7-M7)</f>
        <v>0</v>
      </c>
      <c r="O7" s="133" t="n">
        <f aca="false">IF($B7="","",IF(E7&gt;0,N7/E7,0))</f>
        <v>0</v>
      </c>
      <c r="P7" s="91" t="str">
        <f aca="false">IF($B7="","",IF(AND(D7="لا",N7&lt;&gt;0),"⚠ غير مستحق وله رصيد",IF(N7&lt;-0.01,"✖ استخدام أكثر من المكوّن",IF(AND(D7="نعم",O7&gt;=1),"⚠ تذكرة مستحقة للصرف","✔ سليم"))))</f>
        <v>✔ سليم</v>
      </c>
    </row>
    <row r="8" customFormat="false" ht="15" hidden="false" customHeight="false" outlineLevel="0" collapsed="false">
      <c r="B8" s="74" t="str">
        <f aca="false">IF(الموظفون!$B8="","",الموظفون!$B8)</f>
        <v>E003</v>
      </c>
      <c r="C8" s="74" t="str">
        <f aca="false">IF($B8="","",الموظفون!$C8)</f>
        <v>محمد علي حسن</v>
      </c>
      <c r="D8" s="74" t="str">
        <f aca="false">IF($B8="","",IF(الموظفون!$S8="نعم","نعم","لا"))</f>
        <v>نعم</v>
      </c>
      <c r="E8" s="86" t="n">
        <f aca="false">IF($B8="","",N(الموظفون!$T8))</f>
        <v>3200</v>
      </c>
      <c r="F8" s="51" t="n">
        <f aca="false">IF($B8="","",N(الموظفون!$U8))</f>
        <v>24</v>
      </c>
      <c r="G8" s="86" t="n">
        <f aca="false">IF($B8="","",IF(AND(D8="نعم",F8&gt;0),E8/F8,0))</f>
        <v>133.333333333333</v>
      </c>
      <c r="H8" s="127" t="n">
        <f aca="false">IF($B8="","",MAX(cfg_Y_START,الموظفون!$H8))</f>
        <v>46023</v>
      </c>
      <c r="I8" s="127" t="n">
        <f aca="false">IF($B8="","",IF(OR(الموظفون!$X8="",الموظفون!$X8&gt;cfg_VAL_DATE),cfg_VAL_DATE,الموظفون!$X8))</f>
        <v>46295</v>
      </c>
      <c r="J8" s="51" t="n">
        <f aca="false">IF($B8="","",MAX(0,I8-H8+1))</f>
        <v>273</v>
      </c>
      <c r="K8" s="86" t="n">
        <f aca="false">IF($B8="","",G8*12/cfg_DAYS_Y*J8)</f>
        <v>1196.71232876712</v>
      </c>
      <c r="L8" s="86" t="n">
        <f aca="false">IF($B8="","",N(الموظفون!$W8))</f>
        <v>1600</v>
      </c>
      <c r="M8" s="86" t="n">
        <f aca="false">IF($B8="","",SUMIFS('الحركات الشهرية'!$M$6:$M$1005,'الحركات الشهرية'!$B$6:$B$1005,B8,'الحركات الشهرية'!$A$6:$A$1005,"&lt;="&amp;cfg_VAL_M))</f>
        <v>0</v>
      </c>
      <c r="N8" s="135" t="n">
        <f aca="false">IF($B8="","",L8+K8-M8)</f>
        <v>2796.71232876712</v>
      </c>
      <c r="O8" s="132" t="n">
        <f aca="false">IF($B8="","",IF(E8&gt;0,N8/E8,0))</f>
        <v>0.873972602739726</v>
      </c>
      <c r="P8" s="74" t="str">
        <f aca="false">IF($B8="","",IF(AND(D8="لا",N8&lt;&gt;0),"⚠ غير مستحق وله رصيد",IF(N8&lt;-0.01,"✖ استخدام أكثر من المكوّن",IF(AND(D8="نعم",O8&gt;=1),"⚠ تذكرة مستحقة للصرف","✔ سليم"))))</f>
        <v>✔ سليم</v>
      </c>
    </row>
    <row r="9" customFormat="false" ht="15" hidden="false" customHeight="false" outlineLevel="0" collapsed="false">
      <c r="B9" s="91" t="str">
        <f aca="false">IF(الموظفون!$B9="","",الموظفون!$B9)</f>
        <v>E004</v>
      </c>
      <c r="C9" s="91" t="str">
        <f aca="false">IF($B9="","",الموظفون!$C9)</f>
        <v>نورة خالد الدوسري</v>
      </c>
      <c r="D9" s="91" t="str">
        <f aca="false">IF($B9="","",IF(الموظفون!$S9="نعم","نعم","لا"))</f>
        <v>لا</v>
      </c>
      <c r="E9" s="90" t="n">
        <f aca="false">IF($B9="","",N(الموظفون!$T9))</f>
        <v>0</v>
      </c>
      <c r="F9" s="115" t="n">
        <f aca="false">IF($B9="","",N(الموظفون!$U9))</f>
        <v>12</v>
      </c>
      <c r="G9" s="90" t="n">
        <f aca="false">IF($B9="","",IF(AND(D9="نعم",F9&gt;0),E9/F9,0))</f>
        <v>0</v>
      </c>
      <c r="H9" s="129" t="n">
        <f aca="false">IF($B9="","",MAX(cfg_Y_START,الموظفون!$H9))</f>
        <v>46023</v>
      </c>
      <c r="I9" s="129" t="n">
        <f aca="false">IF($B9="","",IF(OR(الموظفون!$X9="",الموظفون!$X9&gt;cfg_VAL_DATE),cfg_VAL_DATE,الموظفون!$X9))</f>
        <v>46295</v>
      </c>
      <c r="J9" s="115" t="n">
        <f aca="false">IF($B9="","",MAX(0,I9-H9+1))</f>
        <v>273</v>
      </c>
      <c r="K9" s="90" t="n">
        <f aca="false">IF($B9="","",G9*12/cfg_DAYS_Y*J9)</f>
        <v>0</v>
      </c>
      <c r="L9" s="90" t="n">
        <f aca="false">IF($B9="","",N(الموظفون!$W9))</f>
        <v>0</v>
      </c>
      <c r="M9" s="90" t="n">
        <f aca="false">IF($B9="","",SUMIFS('الحركات الشهرية'!$M$6:$M$1005,'الحركات الشهرية'!$B$6:$B$1005,B9,'الحركات الشهرية'!$A$6:$A$1005,"&lt;="&amp;cfg_VAL_M))</f>
        <v>0</v>
      </c>
      <c r="N9" s="136" t="n">
        <f aca="false">IF($B9="","",L9+K9-M9)</f>
        <v>0</v>
      </c>
      <c r="O9" s="133" t="n">
        <f aca="false">IF($B9="","",IF(E9&gt;0,N9/E9,0))</f>
        <v>0</v>
      </c>
      <c r="P9" s="91" t="str">
        <f aca="false">IF($B9="","",IF(AND(D9="لا",N9&lt;&gt;0),"⚠ غير مستحق وله رصيد",IF(N9&lt;-0.01,"✖ استخدام أكثر من المكوّن",IF(AND(D9="نعم",O9&gt;=1),"⚠ تذكرة مستحقة للصرف","✔ سليم"))))</f>
        <v>✔ سليم</v>
      </c>
    </row>
    <row r="10" customFormat="false" ht="15" hidden="false" customHeight="false" outlineLevel="0" collapsed="false">
      <c r="B10" s="74" t="str">
        <f aca="false">IF(الموظفون!$B10="","",الموظفون!$B10)</f>
        <v>E005</v>
      </c>
      <c r="C10" s="74" t="str">
        <f aca="false">IF($B10="","",الموظفون!$C10)</f>
        <v>راجيش كومار</v>
      </c>
      <c r="D10" s="74" t="str">
        <f aca="false">IF($B10="","",IF(الموظفون!$S10="نعم","نعم","لا"))</f>
        <v>نعم</v>
      </c>
      <c r="E10" s="86" t="n">
        <f aca="false">IF($B10="","",N(الموظفون!$T10))</f>
        <v>2800</v>
      </c>
      <c r="F10" s="51" t="n">
        <f aca="false">IF($B10="","",N(الموظفون!$U10))</f>
        <v>12</v>
      </c>
      <c r="G10" s="86" t="n">
        <f aca="false">IF($B10="","",IF(AND(D10="نعم",F10&gt;0),E10/F10,0))</f>
        <v>233.333333333333</v>
      </c>
      <c r="H10" s="127" t="n">
        <f aca="false">IF($B10="","",MAX(cfg_Y_START,الموظفون!$H10))</f>
        <v>46023</v>
      </c>
      <c r="I10" s="127" t="n">
        <f aca="false">IF($B10="","",IF(OR(الموظفون!$X10="",الموظفون!$X10&gt;cfg_VAL_DATE),cfg_VAL_DATE,الموظفون!$X10))</f>
        <v>46295</v>
      </c>
      <c r="J10" s="51" t="n">
        <f aca="false">IF($B10="","",MAX(0,I10-H10+1))</f>
        <v>273</v>
      </c>
      <c r="K10" s="86" t="n">
        <f aca="false">IF($B10="","",G10*12/cfg_DAYS_Y*J10)</f>
        <v>2094.24657534247</v>
      </c>
      <c r="L10" s="86" t="n">
        <f aca="false">IF($B10="","",N(الموظفون!$W10))</f>
        <v>900</v>
      </c>
      <c r="M10" s="86" t="n">
        <f aca="false">IF($B10="","",SUMIFS('الحركات الشهرية'!$M$6:$M$1005,'الحركات الشهرية'!$B$6:$B$1005,B10,'الحركات الشهرية'!$A$6:$A$1005,"&lt;="&amp;cfg_VAL_M))</f>
        <v>2800</v>
      </c>
      <c r="N10" s="135" t="n">
        <f aca="false">IF($B10="","",L10+K10-M10)</f>
        <v>194.246575342466</v>
      </c>
      <c r="O10" s="132" t="n">
        <f aca="false">IF($B10="","",IF(E10&gt;0,N10/E10,0))</f>
        <v>0.0693737769080235</v>
      </c>
      <c r="P10" s="74" t="str">
        <f aca="false">IF($B10="","",IF(AND(D10="لا",N10&lt;&gt;0),"⚠ غير مستحق وله رصيد",IF(N10&lt;-0.01,"✖ استخدام أكثر من المكوّن",IF(AND(D10="نعم",O10&gt;=1),"⚠ تذكرة مستحقة للصرف","✔ سليم"))))</f>
        <v>✔ سليم</v>
      </c>
    </row>
    <row r="11" customFormat="false" ht="15" hidden="false" customHeight="false" outlineLevel="0" collapsed="false">
      <c r="B11" s="91" t="str">
        <f aca="false">IF(الموظفون!$B11="","",الموظفون!$B11)</f>
        <v>E006</v>
      </c>
      <c r="C11" s="91" t="str">
        <f aca="false">IF($B11="","",الموظفون!$C11)</f>
        <v>فهد ناصر الشمري</v>
      </c>
      <c r="D11" s="91" t="str">
        <f aca="false">IF($B11="","",IF(الموظفون!$S11="نعم","نعم","لا"))</f>
        <v>لا</v>
      </c>
      <c r="E11" s="90" t="n">
        <f aca="false">IF($B11="","",N(الموظفون!$T11))</f>
        <v>0</v>
      </c>
      <c r="F11" s="115" t="n">
        <f aca="false">IF($B11="","",N(الموظفون!$U11))</f>
        <v>12</v>
      </c>
      <c r="G11" s="90" t="n">
        <f aca="false">IF($B11="","",IF(AND(D11="نعم",F11&gt;0),E11/F11,0))</f>
        <v>0</v>
      </c>
      <c r="H11" s="129" t="n">
        <f aca="false">IF($B11="","",MAX(cfg_Y_START,الموظفون!$H11))</f>
        <v>46023</v>
      </c>
      <c r="I11" s="129" t="n">
        <f aca="false">IF($B11="","",IF(OR(الموظفون!$X11="",الموظفون!$X11&gt;cfg_VAL_DATE),cfg_VAL_DATE,الموظفون!$X11))</f>
        <v>46295</v>
      </c>
      <c r="J11" s="115" t="n">
        <f aca="false">IF($B11="","",MAX(0,I11-H11+1))</f>
        <v>273</v>
      </c>
      <c r="K11" s="90" t="n">
        <f aca="false">IF($B11="","",G11*12/cfg_DAYS_Y*J11)</f>
        <v>0</v>
      </c>
      <c r="L11" s="90" t="n">
        <f aca="false">IF($B11="","",N(الموظفون!$W11))</f>
        <v>0</v>
      </c>
      <c r="M11" s="90" t="n">
        <f aca="false">IF($B11="","",SUMIFS('الحركات الشهرية'!$M$6:$M$1005,'الحركات الشهرية'!$B$6:$B$1005,B11,'الحركات الشهرية'!$A$6:$A$1005,"&lt;="&amp;cfg_VAL_M))</f>
        <v>0</v>
      </c>
      <c r="N11" s="136" t="n">
        <f aca="false">IF($B11="","",L11+K11-M11)</f>
        <v>0</v>
      </c>
      <c r="O11" s="133" t="n">
        <f aca="false">IF($B11="","",IF(E11&gt;0,N11/E11,0))</f>
        <v>0</v>
      </c>
      <c r="P11" s="91" t="str">
        <f aca="false">IF($B11="","",IF(AND(D11="لا",N11&lt;&gt;0),"⚠ غير مستحق وله رصيد",IF(N11&lt;-0.01,"✖ استخدام أكثر من المكوّن",IF(AND(D11="نعم",O11&gt;=1),"⚠ تذكرة مستحقة للصرف","✔ سليم"))))</f>
        <v>✔ سليم</v>
      </c>
    </row>
    <row r="12" customFormat="false" ht="15" hidden="false" customHeight="false" outlineLevel="0" collapsed="false">
      <c r="B12" s="74" t="str">
        <f aca="false">IF(الموظفون!$B12="","",الموظفون!$B12)</f>
        <v>E007</v>
      </c>
      <c r="C12" s="74" t="str">
        <f aca="false">IF($B12="","",الموظفون!$C12)</f>
        <v>خالد يوسف الأحمد</v>
      </c>
      <c r="D12" s="74" t="str">
        <f aca="false">IF($B12="","",IF(الموظفون!$S12="نعم","نعم","لا"))</f>
        <v>نعم</v>
      </c>
      <c r="E12" s="86" t="n">
        <f aca="false">IF($B12="","",N(الموظفون!$T12))</f>
        <v>4500</v>
      </c>
      <c r="F12" s="51" t="n">
        <f aca="false">IF($B12="","",N(الموظفون!$U12))</f>
        <v>12</v>
      </c>
      <c r="G12" s="86" t="n">
        <f aca="false">IF($B12="","",IF(AND(D12="نعم",F12&gt;0),E12/F12,0))</f>
        <v>375</v>
      </c>
      <c r="H12" s="127" t="n">
        <f aca="false">IF($B12="","",MAX(cfg_Y_START,الموظفون!$H12))</f>
        <v>46023</v>
      </c>
      <c r="I12" s="127" t="n">
        <f aca="false">IF($B12="","",IF(OR(الموظفون!$X12="",الموظفون!$X12&gt;cfg_VAL_DATE),cfg_VAL_DATE,الموظفون!$X12))</f>
        <v>46295</v>
      </c>
      <c r="J12" s="51" t="n">
        <f aca="false">IF($B12="","",MAX(0,I12-H12+1))</f>
        <v>273</v>
      </c>
      <c r="K12" s="86" t="n">
        <f aca="false">IF($B12="","",G12*12/cfg_DAYS_Y*J12)</f>
        <v>3365.75342465753</v>
      </c>
      <c r="L12" s="86" t="n">
        <f aca="false">IF($B12="","",N(الموظفون!$W12))</f>
        <v>2400</v>
      </c>
      <c r="M12" s="86" t="n">
        <f aca="false">IF($B12="","",SUMIFS('الحركات الشهرية'!$M$6:$M$1005,'الحركات الشهرية'!$B$6:$B$1005,B12,'الحركات الشهرية'!$A$6:$A$1005,"&lt;="&amp;cfg_VAL_M))</f>
        <v>4500</v>
      </c>
      <c r="N12" s="135" t="n">
        <f aca="false">IF($B12="","",L12+K12-M12)</f>
        <v>1265.75342465753</v>
      </c>
      <c r="O12" s="132" t="n">
        <f aca="false">IF($B12="","",IF(E12&gt;0,N12/E12,0))</f>
        <v>0.281278538812785</v>
      </c>
      <c r="P12" s="74" t="str">
        <f aca="false">IF($B12="","",IF(AND(D12="لا",N12&lt;&gt;0),"⚠ غير مستحق وله رصيد",IF(N12&lt;-0.01,"✖ استخدام أكثر من المكوّن",IF(AND(D12="نعم",O12&gt;=1),"⚠ تذكرة مستحقة للصرف","✔ سليم"))))</f>
        <v>✔ سليم</v>
      </c>
    </row>
    <row r="13" customFormat="false" ht="15" hidden="false" customHeight="false" outlineLevel="0" collapsed="false">
      <c r="B13" s="91" t="str">
        <f aca="false">IF(الموظفون!$B13="","",الموظفون!$B13)</f>
        <v>E008</v>
      </c>
      <c r="C13" s="91" t="str">
        <f aca="false">IF($B13="","",الموظفون!$C13)</f>
        <v>سارة عبدالرحمن الزهراني</v>
      </c>
      <c r="D13" s="91" t="str">
        <f aca="false">IF($B13="","",IF(الموظفون!$S13="نعم","نعم","لا"))</f>
        <v>لا</v>
      </c>
      <c r="E13" s="90" t="n">
        <f aca="false">IF($B13="","",N(الموظفون!$T13))</f>
        <v>0</v>
      </c>
      <c r="F13" s="115" t="n">
        <f aca="false">IF($B13="","",N(الموظفون!$U13))</f>
        <v>12</v>
      </c>
      <c r="G13" s="90" t="n">
        <f aca="false">IF($B13="","",IF(AND(D13="نعم",F13&gt;0),E13/F13,0))</f>
        <v>0</v>
      </c>
      <c r="H13" s="129" t="n">
        <f aca="false">IF($B13="","",MAX(cfg_Y_START,الموظفون!$H13))</f>
        <v>46023</v>
      </c>
      <c r="I13" s="129" t="n">
        <f aca="false">IF($B13="","",IF(OR(الموظفون!$X13="",الموظفون!$X13&gt;cfg_VAL_DATE),cfg_VAL_DATE,الموظفون!$X13))</f>
        <v>46295</v>
      </c>
      <c r="J13" s="115" t="n">
        <f aca="false">IF($B13="","",MAX(0,I13-H13+1))</f>
        <v>273</v>
      </c>
      <c r="K13" s="90" t="n">
        <f aca="false">IF($B13="","",G13*12/cfg_DAYS_Y*J13)</f>
        <v>0</v>
      </c>
      <c r="L13" s="90" t="n">
        <f aca="false">IF($B13="","",N(الموظفون!$W13))</f>
        <v>0</v>
      </c>
      <c r="M13" s="90" t="n">
        <f aca="false">IF($B13="","",SUMIFS('الحركات الشهرية'!$M$6:$M$1005,'الحركات الشهرية'!$B$6:$B$1005,B13,'الحركات الشهرية'!$A$6:$A$1005,"&lt;="&amp;cfg_VAL_M))</f>
        <v>0</v>
      </c>
      <c r="N13" s="136" t="n">
        <f aca="false">IF($B13="","",L13+K13-M13)</f>
        <v>0</v>
      </c>
      <c r="O13" s="133" t="n">
        <f aca="false">IF($B13="","",IF(E13&gt;0,N13/E13,0))</f>
        <v>0</v>
      </c>
      <c r="P13" s="91" t="str">
        <f aca="false">IF($B13="","",IF(AND(D13="لا",N13&lt;&gt;0),"⚠ غير مستحق وله رصيد",IF(N13&lt;-0.01,"✖ استخدام أكثر من المكوّن",IF(AND(D13="نعم",O13&gt;=1),"⚠ تذكرة مستحقة للصرف","✔ سليم"))))</f>
        <v>✔ سليم</v>
      </c>
    </row>
    <row r="14" customFormat="false" ht="15" hidden="false" customHeight="false" outlineLevel="0" collapsed="false">
      <c r="B14" s="74" t="str">
        <f aca="false">IF(الموظفون!$B14="","",الموظفون!$B14)</f>
        <v>E009</v>
      </c>
      <c r="C14" s="74" t="str">
        <f aca="false">IF($B14="","",الموظفون!$C14)</f>
        <v>محمد رفيق</v>
      </c>
      <c r="D14" s="74" t="str">
        <f aca="false">IF($B14="","",IF(الموظفون!$S14="نعم","نعم","لا"))</f>
        <v>نعم</v>
      </c>
      <c r="E14" s="86" t="n">
        <f aca="false">IF($B14="","",N(الموظفون!$T14))</f>
        <v>2200</v>
      </c>
      <c r="F14" s="51" t="n">
        <f aca="false">IF($B14="","",N(الموظفون!$U14))</f>
        <v>24</v>
      </c>
      <c r="G14" s="86" t="n">
        <f aca="false">IF($B14="","",IF(AND(D14="نعم",F14&gt;0),E14/F14,0))</f>
        <v>91.6666666666667</v>
      </c>
      <c r="H14" s="127" t="n">
        <f aca="false">IF($B14="","",MAX(cfg_Y_START,الموظفون!$H14))</f>
        <v>46023</v>
      </c>
      <c r="I14" s="127" t="n">
        <f aca="false">IF($B14="","",IF(OR(الموظفون!$X14="",الموظفون!$X14&gt;cfg_VAL_DATE),cfg_VAL_DATE,الموظفون!$X14))</f>
        <v>46295</v>
      </c>
      <c r="J14" s="51" t="n">
        <f aca="false">IF($B14="","",MAX(0,I14-H14+1))</f>
        <v>273</v>
      </c>
      <c r="K14" s="86" t="n">
        <f aca="false">IF($B14="","",G14*12/cfg_DAYS_Y*J14)</f>
        <v>822.739726027397</v>
      </c>
      <c r="L14" s="86" t="n">
        <f aca="false">IF($B14="","",N(الموظفون!$W14))</f>
        <v>2000</v>
      </c>
      <c r="M14" s="86" t="n">
        <f aca="false">IF($B14="","",SUMIFS('الحركات الشهرية'!$M$6:$M$1005,'الحركات الشهرية'!$B$6:$B$1005,B14,'الحركات الشهرية'!$A$6:$A$1005,"&lt;="&amp;cfg_VAL_M))</f>
        <v>2200</v>
      </c>
      <c r="N14" s="135" t="n">
        <f aca="false">IF($B14="","",L14+K14-M14)</f>
        <v>622.739726027397</v>
      </c>
      <c r="O14" s="132" t="n">
        <f aca="false">IF($B14="","",IF(E14&gt;0,N14/E14,0))</f>
        <v>0.283063511830635</v>
      </c>
      <c r="P14" s="74" t="str">
        <f aca="false">IF($B14="","",IF(AND(D14="لا",N14&lt;&gt;0),"⚠ غير مستحق وله رصيد",IF(N14&lt;-0.01,"✖ استخدام أكثر من المكوّن",IF(AND(D14="نعم",O14&gt;=1),"⚠ تذكرة مستحقة للصرف","✔ سليم"))))</f>
        <v>✔ سليم</v>
      </c>
    </row>
    <row r="15" customFormat="false" ht="15" hidden="false" customHeight="false" outlineLevel="0" collapsed="false">
      <c r="B15" s="91" t="str">
        <f aca="false">IF(الموظفون!$B15="","",الموظفون!$B15)</f>
        <v>E010</v>
      </c>
      <c r="C15" s="91" t="str">
        <f aca="false">IF($B15="","",الموظفون!$C15)</f>
        <v>ريم سلطان المطيري</v>
      </c>
      <c r="D15" s="91" t="str">
        <f aca="false">IF($B15="","",IF(الموظفون!$S15="نعم","نعم","لا"))</f>
        <v>لا</v>
      </c>
      <c r="E15" s="90" t="n">
        <f aca="false">IF($B15="","",N(الموظفون!$T15))</f>
        <v>0</v>
      </c>
      <c r="F15" s="115" t="n">
        <f aca="false">IF($B15="","",N(الموظفون!$U15))</f>
        <v>12</v>
      </c>
      <c r="G15" s="90" t="n">
        <f aca="false">IF($B15="","",IF(AND(D15="نعم",F15&gt;0),E15/F15,0))</f>
        <v>0</v>
      </c>
      <c r="H15" s="129" t="n">
        <f aca="false">IF($B15="","",MAX(cfg_Y_START,الموظفون!$H15))</f>
        <v>46127</v>
      </c>
      <c r="I15" s="129" t="n">
        <f aca="false">IF($B15="","",IF(OR(الموظفون!$X15="",الموظفون!$X15&gt;cfg_VAL_DATE),cfg_VAL_DATE,الموظفون!$X15))</f>
        <v>46295</v>
      </c>
      <c r="J15" s="115" t="n">
        <f aca="false">IF($B15="","",MAX(0,I15-H15+1))</f>
        <v>169</v>
      </c>
      <c r="K15" s="90" t="n">
        <f aca="false">IF($B15="","",G15*12/cfg_DAYS_Y*J15)</f>
        <v>0</v>
      </c>
      <c r="L15" s="90" t="n">
        <f aca="false">IF($B15="","",N(الموظفون!$W15))</f>
        <v>0</v>
      </c>
      <c r="M15" s="90" t="n">
        <f aca="false">IF($B15="","",SUMIFS('الحركات الشهرية'!$M$6:$M$1005,'الحركات الشهرية'!$B$6:$B$1005,B15,'الحركات الشهرية'!$A$6:$A$1005,"&lt;="&amp;cfg_VAL_M))</f>
        <v>0</v>
      </c>
      <c r="N15" s="136" t="n">
        <f aca="false">IF($B15="","",L15+K15-M15)</f>
        <v>0</v>
      </c>
      <c r="O15" s="133" t="n">
        <f aca="false">IF($B15="","",IF(E15&gt;0,N15/E15,0))</f>
        <v>0</v>
      </c>
      <c r="P15" s="91" t="str">
        <f aca="false">IF($B15="","",IF(AND(D15="لا",N15&lt;&gt;0),"⚠ غير مستحق وله رصيد",IF(N15&lt;-0.01,"✖ استخدام أكثر من المكوّن",IF(AND(D15="نعم",O15&gt;=1),"⚠ تذكرة مستحقة للصرف","✔ سليم"))))</f>
        <v>✔ سليم</v>
      </c>
    </row>
    <row r="16" customFormat="false" ht="15" hidden="false" customHeight="false" outlineLevel="0" collapsed="false">
      <c r="B16" s="74" t="str">
        <f aca="false">IF(الموظفون!$B16="","",الموظفون!$B16)</f>
        <v>E011</v>
      </c>
      <c r="C16" s="74" t="str">
        <f aca="false">IF($B16="","",الموظفون!$C16)</f>
        <v>جون ماتيو</v>
      </c>
      <c r="D16" s="74" t="str">
        <f aca="false">IF($B16="","",IF(الموظفون!$S16="نعم","نعم","لا"))</f>
        <v>نعم</v>
      </c>
      <c r="E16" s="86" t="n">
        <f aca="false">IF($B16="","",N(الموظفون!$T16))</f>
        <v>2600</v>
      </c>
      <c r="F16" s="51" t="n">
        <f aca="false">IF($B16="","",N(الموظفون!$U16))</f>
        <v>24</v>
      </c>
      <c r="G16" s="86" t="n">
        <f aca="false">IF($B16="","",IF(AND(D16="نعم",F16&gt;0),E16/F16,0))</f>
        <v>108.333333333333</v>
      </c>
      <c r="H16" s="127" t="n">
        <f aca="false">IF($B16="","",MAX(cfg_Y_START,الموظفون!$H16))</f>
        <v>46023</v>
      </c>
      <c r="I16" s="127" t="n">
        <f aca="false">IF($B16="","",IF(OR(الموظفون!$X16="",الموظفون!$X16&gt;cfg_VAL_DATE),cfg_VAL_DATE,الموظفون!$X16))</f>
        <v>46203</v>
      </c>
      <c r="J16" s="51" t="n">
        <f aca="false">IF($B16="","",MAX(0,I16-H16+1))</f>
        <v>181</v>
      </c>
      <c r="K16" s="86" t="n">
        <f aca="false">IF($B16="","",G16*12/cfg_DAYS_Y*J16)</f>
        <v>644.657534246575</v>
      </c>
      <c r="L16" s="86" t="n">
        <f aca="false">IF($B16="","",N(الموظفون!$W16))</f>
        <v>1800</v>
      </c>
      <c r="M16" s="86" t="n">
        <f aca="false">IF($B16="","",SUMIFS('الحركات الشهرية'!$M$6:$M$1005,'الحركات الشهرية'!$B$6:$B$1005,B16,'الحركات الشهرية'!$A$6:$A$1005,"&lt;="&amp;cfg_VAL_M))</f>
        <v>0</v>
      </c>
      <c r="N16" s="135" t="n">
        <f aca="false">IF($B16="","",L16+K16-M16)</f>
        <v>2444.65753424658</v>
      </c>
      <c r="O16" s="132" t="n">
        <f aca="false">IF($B16="","",IF(E16&gt;0,N16/E16,0))</f>
        <v>0.940252897787144</v>
      </c>
      <c r="P16" s="74" t="str">
        <f aca="false">IF($B16="","",IF(AND(D16="لا",N16&lt;&gt;0),"⚠ غير مستحق وله رصيد",IF(N16&lt;-0.01,"✖ استخدام أكثر من المكوّن",IF(AND(D16="نعم",O16&gt;=1),"⚠ تذكرة مستحقة للصرف","✔ سليم"))))</f>
        <v>✔ سليم</v>
      </c>
    </row>
    <row r="17" customFormat="false" ht="15" hidden="false" customHeight="false" outlineLevel="0" collapsed="false">
      <c r="B17" s="91" t="str">
        <f aca="false">IF(الموظفون!$B17="","",الموظفون!$B17)</f>
        <v>E012</v>
      </c>
      <c r="C17" s="91" t="str">
        <f aca="false">IF($B17="","",الموظفون!$C17)</f>
        <v>عمر حسين البيشي</v>
      </c>
      <c r="D17" s="91" t="str">
        <f aca="false">IF($B17="","",IF(الموظفون!$S17="نعم","نعم","لا"))</f>
        <v>لا</v>
      </c>
      <c r="E17" s="90" t="n">
        <f aca="false">IF($B17="","",N(الموظفون!$T17))</f>
        <v>0</v>
      </c>
      <c r="F17" s="115" t="n">
        <f aca="false">IF($B17="","",N(الموظفون!$U17))</f>
        <v>12</v>
      </c>
      <c r="G17" s="90" t="n">
        <f aca="false">IF($B17="","",IF(AND(D17="نعم",F17&gt;0),E17/F17,0))</f>
        <v>0</v>
      </c>
      <c r="H17" s="129" t="n">
        <f aca="false">IF($B17="","",MAX(cfg_Y_START,الموظفون!$H17))</f>
        <v>46023</v>
      </c>
      <c r="I17" s="129" t="n">
        <f aca="false">IF($B17="","",IF(OR(الموظفون!$X17="",الموظفون!$X17&gt;cfg_VAL_DATE),cfg_VAL_DATE,الموظفون!$X17))</f>
        <v>46295</v>
      </c>
      <c r="J17" s="115" t="n">
        <f aca="false">IF($B17="","",MAX(0,I17-H17+1))</f>
        <v>273</v>
      </c>
      <c r="K17" s="90" t="n">
        <f aca="false">IF($B17="","",G17*12/cfg_DAYS_Y*J17)</f>
        <v>0</v>
      </c>
      <c r="L17" s="90" t="n">
        <f aca="false">IF($B17="","",N(الموظفون!$W17))</f>
        <v>0</v>
      </c>
      <c r="M17" s="90" t="n">
        <f aca="false">IF($B17="","",SUMIFS('الحركات الشهرية'!$M$6:$M$1005,'الحركات الشهرية'!$B$6:$B$1005,B17,'الحركات الشهرية'!$A$6:$A$1005,"&lt;="&amp;cfg_VAL_M))</f>
        <v>0</v>
      </c>
      <c r="N17" s="136" t="n">
        <f aca="false">IF($B17="","",L17+K17-M17)</f>
        <v>0</v>
      </c>
      <c r="O17" s="133" t="n">
        <f aca="false">IF($B17="","",IF(E17&gt;0,N17/E17,0))</f>
        <v>0</v>
      </c>
      <c r="P17" s="91" t="str">
        <f aca="false">IF($B17="","",IF(AND(D17="لا",N17&lt;&gt;0),"⚠ غير مستحق وله رصيد",IF(N17&lt;-0.01,"✖ استخدام أكثر من المكوّن",IF(AND(D17="نعم",O17&gt;=1),"⚠ تذكرة مستحقة للصرف","✔ سليم"))))</f>
        <v>✔ سليم</v>
      </c>
    </row>
    <row r="18" customFormat="false" ht="15" hidden="false" customHeight="false" outlineLevel="0" collapsed="false">
      <c r="B18" s="74" t="str">
        <f aca="false">IF(الموظفون!$B18="","",الموظفون!$B18)</f>
        <v/>
      </c>
      <c r="C18" s="74" t="str">
        <f aca="false">IF($B18="","",الموظفون!$C18)</f>
        <v/>
      </c>
      <c r="D18" s="74" t="str">
        <f aca="false">IF($B18="","",IF(الموظفون!$S18="نعم","نعم","لا"))</f>
        <v/>
      </c>
      <c r="E18" s="86" t="str">
        <f aca="false">IF($B18="","",N(الموظفون!$T18))</f>
        <v/>
      </c>
      <c r="F18" s="51" t="str">
        <f aca="false">IF($B18="","",N(الموظفون!$U18))</f>
        <v/>
      </c>
      <c r="G18" s="86" t="str">
        <f aca="false">IF($B18="","",IF(AND(D18="نعم",F18&gt;0),E18/F18,0))</f>
        <v/>
      </c>
      <c r="H18" s="127" t="str">
        <f aca="false">IF($B18="","",MAX(cfg_Y_START,الموظفون!$H18))</f>
        <v/>
      </c>
      <c r="I18" s="127" t="str">
        <f aca="false">IF($B18="","",IF(OR(الموظفون!$X18="",الموظفون!$X18&gt;cfg_VAL_DATE),cfg_VAL_DATE,الموظفون!$X18))</f>
        <v/>
      </c>
      <c r="J18" s="51" t="str">
        <f aca="false">IF($B18="","",MAX(0,I18-H18+1))</f>
        <v/>
      </c>
      <c r="K18" s="86" t="str">
        <f aca="false">IF($B18="","",G18*12/cfg_DAYS_Y*J18)</f>
        <v/>
      </c>
      <c r="L18" s="86" t="str">
        <f aca="false">IF($B18="","",N(الموظفون!$W18))</f>
        <v/>
      </c>
      <c r="M18" s="86" t="str">
        <f aca="false">IF($B18="","",SUMIFS('الحركات الشهرية'!$M$6:$M$1005,'الحركات الشهرية'!$B$6:$B$1005,B18,'الحركات الشهرية'!$A$6:$A$1005,"&lt;="&amp;cfg_VAL_M))</f>
        <v/>
      </c>
      <c r="N18" s="135" t="str">
        <f aca="false">IF($B18="","",L18+K18-M18)</f>
        <v/>
      </c>
      <c r="O18" s="132" t="str">
        <f aca="false">IF($B18="","",IF(E18&gt;0,N18/E18,0))</f>
        <v/>
      </c>
      <c r="P18" s="74" t="str">
        <f aca="false">IF($B18="","",IF(AND(D18="لا",N18&lt;&gt;0),"⚠ غير مستحق وله رصيد",IF(N18&lt;-0.01,"✖ استخدام أكثر من المكوّن",IF(AND(D18="نعم",O18&gt;=1),"⚠ تذكرة مستحقة للصرف","✔ سليم"))))</f>
        <v/>
      </c>
    </row>
    <row r="19" customFormat="false" ht="15" hidden="false" customHeight="false" outlineLevel="0" collapsed="false">
      <c r="B19" s="91" t="str">
        <f aca="false">IF(الموظفون!$B19="","",الموظفون!$B19)</f>
        <v/>
      </c>
      <c r="C19" s="91" t="str">
        <f aca="false">IF($B19="","",الموظفون!$C19)</f>
        <v/>
      </c>
      <c r="D19" s="91" t="str">
        <f aca="false">IF($B19="","",IF(الموظفون!$S19="نعم","نعم","لا"))</f>
        <v/>
      </c>
      <c r="E19" s="90" t="str">
        <f aca="false">IF($B19="","",N(الموظفون!$T19))</f>
        <v/>
      </c>
      <c r="F19" s="115" t="str">
        <f aca="false">IF($B19="","",N(الموظفون!$U19))</f>
        <v/>
      </c>
      <c r="G19" s="90" t="str">
        <f aca="false">IF($B19="","",IF(AND(D19="نعم",F19&gt;0),E19/F19,0))</f>
        <v/>
      </c>
      <c r="H19" s="129" t="str">
        <f aca="false">IF($B19="","",MAX(cfg_Y_START,الموظفون!$H19))</f>
        <v/>
      </c>
      <c r="I19" s="129" t="str">
        <f aca="false">IF($B19="","",IF(OR(الموظفون!$X19="",الموظفون!$X19&gt;cfg_VAL_DATE),cfg_VAL_DATE,الموظفون!$X19))</f>
        <v/>
      </c>
      <c r="J19" s="115" t="str">
        <f aca="false">IF($B19="","",MAX(0,I19-H19+1))</f>
        <v/>
      </c>
      <c r="K19" s="90" t="str">
        <f aca="false">IF($B19="","",G19*12/cfg_DAYS_Y*J19)</f>
        <v/>
      </c>
      <c r="L19" s="90" t="str">
        <f aca="false">IF($B19="","",N(الموظفون!$W19))</f>
        <v/>
      </c>
      <c r="M19" s="90" t="str">
        <f aca="false">IF($B19="","",SUMIFS('الحركات الشهرية'!$M$6:$M$1005,'الحركات الشهرية'!$B$6:$B$1005,B19,'الحركات الشهرية'!$A$6:$A$1005,"&lt;="&amp;cfg_VAL_M))</f>
        <v/>
      </c>
      <c r="N19" s="136" t="str">
        <f aca="false">IF($B19="","",L19+K19-M19)</f>
        <v/>
      </c>
      <c r="O19" s="133" t="str">
        <f aca="false">IF($B19="","",IF(E19&gt;0,N19/E19,0))</f>
        <v/>
      </c>
      <c r="P19" s="91" t="str">
        <f aca="false">IF($B19="","",IF(AND(D19="لا",N19&lt;&gt;0),"⚠ غير مستحق وله رصيد",IF(N19&lt;-0.01,"✖ استخدام أكثر من المكوّن",IF(AND(D19="نعم",O19&gt;=1),"⚠ تذكرة مستحقة للصرف","✔ سليم"))))</f>
        <v/>
      </c>
    </row>
    <row r="20" customFormat="false" ht="15" hidden="false" customHeight="false" outlineLevel="0" collapsed="false">
      <c r="B20" s="74" t="str">
        <f aca="false">IF(الموظفون!$B20="","",الموظفون!$B20)</f>
        <v/>
      </c>
      <c r="C20" s="74" t="str">
        <f aca="false">IF($B20="","",الموظفون!$C20)</f>
        <v/>
      </c>
      <c r="D20" s="74" t="str">
        <f aca="false">IF($B20="","",IF(الموظفون!$S20="نعم","نعم","لا"))</f>
        <v/>
      </c>
      <c r="E20" s="86" t="str">
        <f aca="false">IF($B20="","",N(الموظفون!$T20))</f>
        <v/>
      </c>
      <c r="F20" s="51" t="str">
        <f aca="false">IF($B20="","",N(الموظفون!$U20))</f>
        <v/>
      </c>
      <c r="G20" s="86" t="str">
        <f aca="false">IF($B20="","",IF(AND(D20="نعم",F20&gt;0),E20/F20,0))</f>
        <v/>
      </c>
      <c r="H20" s="127" t="str">
        <f aca="false">IF($B20="","",MAX(cfg_Y_START,الموظفون!$H20))</f>
        <v/>
      </c>
      <c r="I20" s="127" t="str">
        <f aca="false">IF($B20="","",IF(OR(الموظفون!$X20="",الموظفون!$X20&gt;cfg_VAL_DATE),cfg_VAL_DATE,الموظفون!$X20))</f>
        <v/>
      </c>
      <c r="J20" s="51" t="str">
        <f aca="false">IF($B20="","",MAX(0,I20-H20+1))</f>
        <v/>
      </c>
      <c r="K20" s="86" t="str">
        <f aca="false">IF($B20="","",G20*12/cfg_DAYS_Y*J20)</f>
        <v/>
      </c>
      <c r="L20" s="86" t="str">
        <f aca="false">IF($B20="","",N(الموظفون!$W20))</f>
        <v/>
      </c>
      <c r="M20" s="86" t="str">
        <f aca="false">IF($B20="","",SUMIFS('الحركات الشهرية'!$M$6:$M$1005,'الحركات الشهرية'!$B$6:$B$1005,B20,'الحركات الشهرية'!$A$6:$A$1005,"&lt;="&amp;cfg_VAL_M))</f>
        <v/>
      </c>
      <c r="N20" s="135" t="str">
        <f aca="false">IF($B20="","",L20+K20-M20)</f>
        <v/>
      </c>
      <c r="O20" s="132" t="str">
        <f aca="false">IF($B20="","",IF(E20&gt;0,N20/E20,0))</f>
        <v/>
      </c>
      <c r="P20" s="74" t="str">
        <f aca="false">IF($B20="","",IF(AND(D20="لا",N20&lt;&gt;0),"⚠ غير مستحق وله رصيد",IF(N20&lt;-0.01,"✖ استخدام أكثر من المكوّن",IF(AND(D20="نعم",O20&gt;=1),"⚠ تذكرة مستحقة للصرف","✔ سليم"))))</f>
        <v/>
      </c>
    </row>
    <row r="21" customFormat="false" ht="15" hidden="false" customHeight="false" outlineLevel="0" collapsed="false">
      <c r="B21" s="91" t="str">
        <f aca="false">IF(الموظفون!$B21="","",الموظفون!$B21)</f>
        <v/>
      </c>
      <c r="C21" s="91" t="str">
        <f aca="false">IF($B21="","",الموظفون!$C21)</f>
        <v/>
      </c>
      <c r="D21" s="91" t="str">
        <f aca="false">IF($B21="","",IF(الموظفون!$S21="نعم","نعم","لا"))</f>
        <v/>
      </c>
      <c r="E21" s="90" t="str">
        <f aca="false">IF($B21="","",N(الموظفون!$T21))</f>
        <v/>
      </c>
      <c r="F21" s="115" t="str">
        <f aca="false">IF($B21="","",N(الموظفون!$U21))</f>
        <v/>
      </c>
      <c r="G21" s="90" t="str">
        <f aca="false">IF($B21="","",IF(AND(D21="نعم",F21&gt;0),E21/F21,0))</f>
        <v/>
      </c>
      <c r="H21" s="129" t="str">
        <f aca="false">IF($B21="","",MAX(cfg_Y_START,الموظفون!$H21))</f>
        <v/>
      </c>
      <c r="I21" s="129" t="str">
        <f aca="false">IF($B21="","",IF(OR(الموظفون!$X21="",الموظفون!$X21&gt;cfg_VAL_DATE),cfg_VAL_DATE,الموظفون!$X21))</f>
        <v/>
      </c>
      <c r="J21" s="115" t="str">
        <f aca="false">IF($B21="","",MAX(0,I21-H21+1))</f>
        <v/>
      </c>
      <c r="K21" s="90" t="str">
        <f aca="false">IF($B21="","",G21*12/cfg_DAYS_Y*J21)</f>
        <v/>
      </c>
      <c r="L21" s="90" t="str">
        <f aca="false">IF($B21="","",N(الموظفون!$W21))</f>
        <v/>
      </c>
      <c r="M21" s="90" t="str">
        <f aca="false">IF($B21="","",SUMIFS('الحركات الشهرية'!$M$6:$M$1005,'الحركات الشهرية'!$B$6:$B$1005,B21,'الحركات الشهرية'!$A$6:$A$1005,"&lt;="&amp;cfg_VAL_M))</f>
        <v/>
      </c>
      <c r="N21" s="136" t="str">
        <f aca="false">IF($B21="","",L21+K21-M21)</f>
        <v/>
      </c>
      <c r="O21" s="133" t="str">
        <f aca="false">IF($B21="","",IF(E21&gt;0,N21/E21,0))</f>
        <v/>
      </c>
      <c r="P21" s="91" t="str">
        <f aca="false">IF($B21="","",IF(AND(D21="لا",N21&lt;&gt;0),"⚠ غير مستحق وله رصيد",IF(N21&lt;-0.01,"✖ استخدام أكثر من المكوّن",IF(AND(D21="نعم",O21&gt;=1),"⚠ تذكرة مستحقة للصرف","✔ سليم"))))</f>
        <v/>
      </c>
    </row>
    <row r="22" customFormat="false" ht="15" hidden="false" customHeight="false" outlineLevel="0" collapsed="false">
      <c r="B22" s="74" t="str">
        <f aca="false">IF(الموظفون!$B22="","",الموظفون!$B22)</f>
        <v/>
      </c>
      <c r="C22" s="74" t="str">
        <f aca="false">IF($B22="","",الموظفون!$C22)</f>
        <v/>
      </c>
      <c r="D22" s="74" t="str">
        <f aca="false">IF($B22="","",IF(الموظفون!$S22="نعم","نعم","لا"))</f>
        <v/>
      </c>
      <c r="E22" s="86" t="str">
        <f aca="false">IF($B22="","",N(الموظفون!$T22))</f>
        <v/>
      </c>
      <c r="F22" s="51" t="str">
        <f aca="false">IF($B22="","",N(الموظفون!$U22))</f>
        <v/>
      </c>
      <c r="G22" s="86" t="str">
        <f aca="false">IF($B22="","",IF(AND(D22="نعم",F22&gt;0),E22/F22,0))</f>
        <v/>
      </c>
      <c r="H22" s="127" t="str">
        <f aca="false">IF($B22="","",MAX(cfg_Y_START,الموظفون!$H22))</f>
        <v/>
      </c>
      <c r="I22" s="127" t="str">
        <f aca="false">IF($B22="","",IF(OR(الموظفون!$X22="",الموظفون!$X22&gt;cfg_VAL_DATE),cfg_VAL_DATE,الموظفون!$X22))</f>
        <v/>
      </c>
      <c r="J22" s="51" t="str">
        <f aca="false">IF($B22="","",MAX(0,I22-H22+1))</f>
        <v/>
      </c>
      <c r="K22" s="86" t="str">
        <f aca="false">IF($B22="","",G22*12/cfg_DAYS_Y*J22)</f>
        <v/>
      </c>
      <c r="L22" s="86" t="str">
        <f aca="false">IF($B22="","",N(الموظفون!$W22))</f>
        <v/>
      </c>
      <c r="M22" s="86" t="str">
        <f aca="false">IF($B22="","",SUMIFS('الحركات الشهرية'!$M$6:$M$1005,'الحركات الشهرية'!$B$6:$B$1005,B22,'الحركات الشهرية'!$A$6:$A$1005,"&lt;="&amp;cfg_VAL_M))</f>
        <v/>
      </c>
      <c r="N22" s="135" t="str">
        <f aca="false">IF($B22="","",L22+K22-M22)</f>
        <v/>
      </c>
      <c r="O22" s="132" t="str">
        <f aca="false">IF($B22="","",IF(E22&gt;0,N22/E22,0))</f>
        <v/>
      </c>
      <c r="P22" s="74" t="str">
        <f aca="false">IF($B22="","",IF(AND(D22="لا",N22&lt;&gt;0),"⚠ غير مستحق وله رصيد",IF(N22&lt;-0.01,"✖ استخدام أكثر من المكوّن",IF(AND(D22="نعم",O22&gt;=1),"⚠ تذكرة مستحقة للصرف","✔ سليم"))))</f>
        <v/>
      </c>
    </row>
    <row r="23" customFormat="false" ht="15" hidden="false" customHeight="false" outlineLevel="0" collapsed="false">
      <c r="B23" s="91" t="str">
        <f aca="false">IF(الموظفون!$B23="","",الموظفون!$B23)</f>
        <v/>
      </c>
      <c r="C23" s="91" t="str">
        <f aca="false">IF($B23="","",الموظفون!$C23)</f>
        <v/>
      </c>
      <c r="D23" s="91" t="str">
        <f aca="false">IF($B23="","",IF(الموظفون!$S23="نعم","نعم","لا"))</f>
        <v/>
      </c>
      <c r="E23" s="90" t="str">
        <f aca="false">IF($B23="","",N(الموظفون!$T23))</f>
        <v/>
      </c>
      <c r="F23" s="115" t="str">
        <f aca="false">IF($B23="","",N(الموظفون!$U23))</f>
        <v/>
      </c>
      <c r="G23" s="90" t="str">
        <f aca="false">IF($B23="","",IF(AND(D23="نعم",F23&gt;0),E23/F23,0))</f>
        <v/>
      </c>
      <c r="H23" s="129" t="str">
        <f aca="false">IF($B23="","",MAX(cfg_Y_START,الموظفون!$H23))</f>
        <v/>
      </c>
      <c r="I23" s="129" t="str">
        <f aca="false">IF($B23="","",IF(OR(الموظفون!$X23="",الموظفون!$X23&gt;cfg_VAL_DATE),cfg_VAL_DATE,الموظفون!$X23))</f>
        <v/>
      </c>
      <c r="J23" s="115" t="str">
        <f aca="false">IF($B23="","",MAX(0,I23-H23+1))</f>
        <v/>
      </c>
      <c r="K23" s="90" t="str">
        <f aca="false">IF($B23="","",G23*12/cfg_DAYS_Y*J23)</f>
        <v/>
      </c>
      <c r="L23" s="90" t="str">
        <f aca="false">IF($B23="","",N(الموظفون!$W23))</f>
        <v/>
      </c>
      <c r="M23" s="90" t="str">
        <f aca="false">IF($B23="","",SUMIFS('الحركات الشهرية'!$M$6:$M$1005,'الحركات الشهرية'!$B$6:$B$1005,B23,'الحركات الشهرية'!$A$6:$A$1005,"&lt;="&amp;cfg_VAL_M))</f>
        <v/>
      </c>
      <c r="N23" s="136" t="str">
        <f aca="false">IF($B23="","",L23+K23-M23)</f>
        <v/>
      </c>
      <c r="O23" s="133" t="str">
        <f aca="false">IF($B23="","",IF(E23&gt;0,N23/E23,0))</f>
        <v/>
      </c>
      <c r="P23" s="91" t="str">
        <f aca="false">IF($B23="","",IF(AND(D23="لا",N23&lt;&gt;0),"⚠ غير مستحق وله رصيد",IF(N23&lt;-0.01,"✖ استخدام أكثر من المكوّن",IF(AND(D23="نعم",O23&gt;=1),"⚠ تذكرة مستحقة للصرف","✔ سليم"))))</f>
        <v/>
      </c>
    </row>
    <row r="24" customFormat="false" ht="15" hidden="false" customHeight="false" outlineLevel="0" collapsed="false">
      <c r="B24" s="74" t="str">
        <f aca="false">IF(الموظفون!$B24="","",الموظفون!$B24)</f>
        <v/>
      </c>
      <c r="C24" s="74" t="str">
        <f aca="false">IF($B24="","",الموظفون!$C24)</f>
        <v/>
      </c>
      <c r="D24" s="74" t="str">
        <f aca="false">IF($B24="","",IF(الموظفون!$S24="نعم","نعم","لا"))</f>
        <v/>
      </c>
      <c r="E24" s="86" t="str">
        <f aca="false">IF($B24="","",N(الموظفون!$T24))</f>
        <v/>
      </c>
      <c r="F24" s="51" t="str">
        <f aca="false">IF($B24="","",N(الموظفون!$U24))</f>
        <v/>
      </c>
      <c r="G24" s="86" t="str">
        <f aca="false">IF($B24="","",IF(AND(D24="نعم",F24&gt;0),E24/F24,0))</f>
        <v/>
      </c>
      <c r="H24" s="127" t="str">
        <f aca="false">IF($B24="","",MAX(cfg_Y_START,الموظفون!$H24))</f>
        <v/>
      </c>
      <c r="I24" s="127" t="str">
        <f aca="false">IF($B24="","",IF(OR(الموظفون!$X24="",الموظفون!$X24&gt;cfg_VAL_DATE),cfg_VAL_DATE,الموظفون!$X24))</f>
        <v/>
      </c>
      <c r="J24" s="51" t="str">
        <f aca="false">IF($B24="","",MAX(0,I24-H24+1))</f>
        <v/>
      </c>
      <c r="K24" s="86" t="str">
        <f aca="false">IF($B24="","",G24*12/cfg_DAYS_Y*J24)</f>
        <v/>
      </c>
      <c r="L24" s="86" t="str">
        <f aca="false">IF($B24="","",N(الموظفون!$W24))</f>
        <v/>
      </c>
      <c r="M24" s="86" t="str">
        <f aca="false">IF($B24="","",SUMIFS('الحركات الشهرية'!$M$6:$M$1005,'الحركات الشهرية'!$B$6:$B$1005,B24,'الحركات الشهرية'!$A$6:$A$1005,"&lt;="&amp;cfg_VAL_M))</f>
        <v/>
      </c>
      <c r="N24" s="135" t="str">
        <f aca="false">IF($B24="","",L24+K24-M24)</f>
        <v/>
      </c>
      <c r="O24" s="132" t="str">
        <f aca="false">IF($B24="","",IF(E24&gt;0,N24/E24,0))</f>
        <v/>
      </c>
      <c r="P24" s="74" t="str">
        <f aca="false">IF($B24="","",IF(AND(D24="لا",N24&lt;&gt;0),"⚠ غير مستحق وله رصيد",IF(N24&lt;-0.01,"✖ استخدام أكثر من المكوّن",IF(AND(D24="نعم",O24&gt;=1),"⚠ تذكرة مستحقة للصرف","✔ سليم"))))</f>
        <v/>
      </c>
    </row>
    <row r="25" customFormat="false" ht="15" hidden="false" customHeight="false" outlineLevel="0" collapsed="false">
      <c r="B25" s="91" t="str">
        <f aca="false">IF(الموظفون!$B25="","",الموظفون!$B25)</f>
        <v/>
      </c>
      <c r="C25" s="91" t="str">
        <f aca="false">IF($B25="","",الموظفون!$C25)</f>
        <v/>
      </c>
      <c r="D25" s="91" t="str">
        <f aca="false">IF($B25="","",IF(الموظفون!$S25="نعم","نعم","لا"))</f>
        <v/>
      </c>
      <c r="E25" s="90" t="str">
        <f aca="false">IF($B25="","",N(الموظفون!$T25))</f>
        <v/>
      </c>
      <c r="F25" s="115" t="str">
        <f aca="false">IF($B25="","",N(الموظفون!$U25))</f>
        <v/>
      </c>
      <c r="G25" s="90" t="str">
        <f aca="false">IF($B25="","",IF(AND(D25="نعم",F25&gt;0),E25/F25,0))</f>
        <v/>
      </c>
      <c r="H25" s="129" t="str">
        <f aca="false">IF($B25="","",MAX(cfg_Y_START,الموظفون!$H25))</f>
        <v/>
      </c>
      <c r="I25" s="129" t="str">
        <f aca="false">IF($B25="","",IF(OR(الموظفون!$X25="",الموظفون!$X25&gt;cfg_VAL_DATE),cfg_VAL_DATE,الموظفون!$X25))</f>
        <v/>
      </c>
      <c r="J25" s="115" t="str">
        <f aca="false">IF($B25="","",MAX(0,I25-H25+1))</f>
        <v/>
      </c>
      <c r="K25" s="90" t="str">
        <f aca="false">IF($B25="","",G25*12/cfg_DAYS_Y*J25)</f>
        <v/>
      </c>
      <c r="L25" s="90" t="str">
        <f aca="false">IF($B25="","",N(الموظفون!$W25))</f>
        <v/>
      </c>
      <c r="M25" s="90" t="str">
        <f aca="false">IF($B25="","",SUMIFS('الحركات الشهرية'!$M$6:$M$1005,'الحركات الشهرية'!$B$6:$B$1005,B25,'الحركات الشهرية'!$A$6:$A$1005,"&lt;="&amp;cfg_VAL_M))</f>
        <v/>
      </c>
      <c r="N25" s="136" t="str">
        <f aca="false">IF($B25="","",L25+K25-M25)</f>
        <v/>
      </c>
      <c r="O25" s="133" t="str">
        <f aca="false">IF($B25="","",IF(E25&gt;0,N25/E25,0))</f>
        <v/>
      </c>
      <c r="P25" s="91" t="str">
        <f aca="false">IF($B25="","",IF(AND(D25="لا",N25&lt;&gt;0),"⚠ غير مستحق وله رصيد",IF(N25&lt;-0.01,"✖ استخدام أكثر من المكوّن",IF(AND(D25="نعم",O25&gt;=1),"⚠ تذكرة مستحقة للصرف","✔ سليم"))))</f>
        <v/>
      </c>
    </row>
    <row r="26" customFormat="false" ht="15" hidden="false" customHeight="false" outlineLevel="0" collapsed="false">
      <c r="B26" s="74" t="str">
        <f aca="false">IF(الموظفون!$B26="","",الموظفون!$B26)</f>
        <v/>
      </c>
      <c r="C26" s="74" t="str">
        <f aca="false">IF($B26="","",الموظفون!$C26)</f>
        <v/>
      </c>
      <c r="D26" s="74" t="str">
        <f aca="false">IF($B26="","",IF(الموظفون!$S26="نعم","نعم","لا"))</f>
        <v/>
      </c>
      <c r="E26" s="86" t="str">
        <f aca="false">IF($B26="","",N(الموظفون!$T26))</f>
        <v/>
      </c>
      <c r="F26" s="51" t="str">
        <f aca="false">IF($B26="","",N(الموظفون!$U26))</f>
        <v/>
      </c>
      <c r="G26" s="86" t="str">
        <f aca="false">IF($B26="","",IF(AND(D26="نعم",F26&gt;0),E26/F26,0))</f>
        <v/>
      </c>
      <c r="H26" s="127" t="str">
        <f aca="false">IF($B26="","",MAX(cfg_Y_START,الموظفون!$H26))</f>
        <v/>
      </c>
      <c r="I26" s="127" t="str">
        <f aca="false">IF($B26="","",IF(OR(الموظفون!$X26="",الموظفون!$X26&gt;cfg_VAL_DATE),cfg_VAL_DATE,الموظفون!$X26))</f>
        <v/>
      </c>
      <c r="J26" s="51" t="str">
        <f aca="false">IF($B26="","",MAX(0,I26-H26+1))</f>
        <v/>
      </c>
      <c r="K26" s="86" t="str">
        <f aca="false">IF($B26="","",G26*12/cfg_DAYS_Y*J26)</f>
        <v/>
      </c>
      <c r="L26" s="86" t="str">
        <f aca="false">IF($B26="","",N(الموظفون!$W26))</f>
        <v/>
      </c>
      <c r="M26" s="86" t="str">
        <f aca="false">IF($B26="","",SUMIFS('الحركات الشهرية'!$M$6:$M$1005,'الحركات الشهرية'!$B$6:$B$1005,B26,'الحركات الشهرية'!$A$6:$A$1005,"&lt;="&amp;cfg_VAL_M))</f>
        <v/>
      </c>
      <c r="N26" s="135" t="str">
        <f aca="false">IF($B26="","",L26+K26-M26)</f>
        <v/>
      </c>
      <c r="O26" s="132" t="str">
        <f aca="false">IF($B26="","",IF(E26&gt;0,N26/E26,0))</f>
        <v/>
      </c>
      <c r="P26" s="74" t="str">
        <f aca="false">IF($B26="","",IF(AND(D26="لا",N26&lt;&gt;0),"⚠ غير مستحق وله رصيد",IF(N26&lt;-0.01,"✖ استخدام أكثر من المكوّن",IF(AND(D26="نعم",O26&gt;=1),"⚠ تذكرة مستحقة للصرف","✔ سليم"))))</f>
        <v/>
      </c>
    </row>
    <row r="27" customFormat="false" ht="15" hidden="false" customHeight="false" outlineLevel="0" collapsed="false">
      <c r="B27" s="91" t="str">
        <f aca="false">IF(الموظفون!$B27="","",الموظفون!$B27)</f>
        <v/>
      </c>
      <c r="C27" s="91" t="str">
        <f aca="false">IF($B27="","",الموظفون!$C27)</f>
        <v/>
      </c>
      <c r="D27" s="91" t="str">
        <f aca="false">IF($B27="","",IF(الموظفون!$S27="نعم","نعم","لا"))</f>
        <v/>
      </c>
      <c r="E27" s="90" t="str">
        <f aca="false">IF($B27="","",N(الموظفون!$T27))</f>
        <v/>
      </c>
      <c r="F27" s="115" t="str">
        <f aca="false">IF($B27="","",N(الموظفون!$U27))</f>
        <v/>
      </c>
      <c r="G27" s="90" t="str">
        <f aca="false">IF($B27="","",IF(AND(D27="نعم",F27&gt;0),E27/F27,0))</f>
        <v/>
      </c>
      <c r="H27" s="129" t="str">
        <f aca="false">IF($B27="","",MAX(cfg_Y_START,الموظفون!$H27))</f>
        <v/>
      </c>
      <c r="I27" s="129" t="str">
        <f aca="false">IF($B27="","",IF(OR(الموظفون!$X27="",الموظفون!$X27&gt;cfg_VAL_DATE),cfg_VAL_DATE,الموظفون!$X27))</f>
        <v/>
      </c>
      <c r="J27" s="115" t="str">
        <f aca="false">IF($B27="","",MAX(0,I27-H27+1))</f>
        <v/>
      </c>
      <c r="K27" s="90" t="str">
        <f aca="false">IF($B27="","",G27*12/cfg_DAYS_Y*J27)</f>
        <v/>
      </c>
      <c r="L27" s="90" t="str">
        <f aca="false">IF($B27="","",N(الموظفون!$W27))</f>
        <v/>
      </c>
      <c r="M27" s="90" t="str">
        <f aca="false">IF($B27="","",SUMIFS('الحركات الشهرية'!$M$6:$M$1005,'الحركات الشهرية'!$B$6:$B$1005,B27,'الحركات الشهرية'!$A$6:$A$1005,"&lt;="&amp;cfg_VAL_M))</f>
        <v/>
      </c>
      <c r="N27" s="136" t="str">
        <f aca="false">IF($B27="","",L27+K27-M27)</f>
        <v/>
      </c>
      <c r="O27" s="133" t="str">
        <f aca="false">IF($B27="","",IF(E27&gt;0,N27/E27,0))</f>
        <v/>
      </c>
      <c r="P27" s="91" t="str">
        <f aca="false">IF($B27="","",IF(AND(D27="لا",N27&lt;&gt;0),"⚠ غير مستحق وله رصيد",IF(N27&lt;-0.01,"✖ استخدام أكثر من المكوّن",IF(AND(D27="نعم",O27&gt;=1),"⚠ تذكرة مستحقة للصرف","✔ سليم"))))</f>
        <v/>
      </c>
    </row>
    <row r="28" customFormat="false" ht="15" hidden="false" customHeight="false" outlineLevel="0" collapsed="false">
      <c r="B28" s="74" t="str">
        <f aca="false">IF(الموظفون!$B28="","",الموظفون!$B28)</f>
        <v/>
      </c>
      <c r="C28" s="74" t="str">
        <f aca="false">IF($B28="","",الموظفون!$C28)</f>
        <v/>
      </c>
      <c r="D28" s="74" t="str">
        <f aca="false">IF($B28="","",IF(الموظفون!$S28="نعم","نعم","لا"))</f>
        <v/>
      </c>
      <c r="E28" s="86" t="str">
        <f aca="false">IF($B28="","",N(الموظفون!$T28))</f>
        <v/>
      </c>
      <c r="F28" s="51" t="str">
        <f aca="false">IF($B28="","",N(الموظفون!$U28))</f>
        <v/>
      </c>
      <c r="G28" s="86" t="str">
        <f aca="false">IF($B28="","",IF(AND(D28="نعم",F28&gt;0),E28/F28,0))</f>
        <v/>
      </c>
      <c r="H28" s="127" t="str">
        <f aca="false">IF($B28="","",MAX(cfg_Y_START,الموظفون!$H28))</f>
        <v/>
      </c>
      <c r="I28" s="127" t="str">
        <f aca="false">IF($B28="","",IF(OR(الموظفون!$X28="",الموظفون!$X28&gt;cfg_VAL_DATE),cfg_VAL_DATE,الموظفون!$X28))</f>
        <v/>
      </c>
      <c r="J28" s="51" t="str">
        <f aca="false">IF($B28="","",MAX(0,I28-H28+1))</f>
        <v/>
      </c>
      <c r="K28" s="86" t="str">
        <f aca="false">IF($B28="","",G28*12/cfg_DAYS_Y*J28)</f>
        <v/>
      </c>
      <c r="L28" s="86" t="str">
        <f aca="false">IF($B28="","",N(الموظفون!$W28))</f>
        <v/>
      </c>
      <c r="M28" s="86" t="str">
        <f aca="false">IF($B28="","",SUMIFS('الحركات الشهرية'!$M$6:$M$1005,'الحركات الشهرية'!$B$6:$B$1005,B28,'الحركات الشهرية'!$A$6:$A$1005,"&lt;="&amp;cfg_VAL_M))</f>
        <v/>
      </c>
      <c r="N28" s="135" t="str">
        <f aca="false">IF($B28="","",L28+K28-M28)</f>
        <v/>
      </c>
      <c r="O28" s="132" t="str">
        <f aca="false">IF($B28="","",IF(E28&gt;0,N28/E28,0))</f>
        <v/>
      </c>
      <c r="P28" s="74" t="str">
        <f aca="false">IF($B28="","",IF(AND(D28="لا",N28&lt;&gt;0),"⚠ غير مستحق وله رصيد",IF(N28&lt;-0.01,"✖ استخدام أكثر من المكوّن",IF(AND(D28="نعم",O28&gt;=1),"⚠ تذكرة مستحقة للصرف","✔ سليم"))))</f>
        <v/>
      </c>
    </row>
    <row r="29" customFormat="false" ht="15" hidden="false" customHeight="false" outlineLevel="0" collapsed="false">
      <c r="B29" s="91" t="str">
        <f aca="false">IF(الموظفون!$B29="","",الموظفون!$B29)</f>
        <v/>
      </c>
      <c r="C29" s="91" t="str">
        <f aca="false">IF($B29="","",الموظفون!$C29)</f>
        <v/>
      </c>
      <c r="D29" s="91" t="str">
        <f aca="false">IF($B29="","",IF(الموظفون!$S29="نعم","نعم","لا"))</f>
        <v/>
      </c>
      <c r="E29" s="90" t="str">
        <f aca="false">IF($B29="","",N(الموظفون!$T29))</f>
        <v/>
      </c>
      <c r="F29" s="115" t="str">
        <f aca="false">IF($B29="","",N(الموظفون!$U29))</f>
        <v/>
      </c>
      <c r="G29" s="90" t="str">
        <f aca="false">IF($B29="","",IF(AND(D29="نعم",F29&gt;0),E29/F29,0))</f>
        <v/>
      </c>
      <c r="H29" s="129" t="str">
        <f aca="false">IF($B29="","",MAX(cfg_Y_START,الموظفون!$H29))</f>
        <v/>
      </c>
      <c r="I29" s="129" t="str">
        <f aca="false">IF($B29="","",IF(OR(الموظفون!$X29="",الموظفون!$X29&gt;cfg_VAL_DATE),cfg_VAL_DATE,الموظفون!$X29))</f>
        <v/>
      </c>
      <c r="J29" s="115" t="str">
        <f aca="false">IF($B29="","",MAX(0,I29-H29+1))</f>
        <v/>
      </c>
      <c r="K29" s="90" t="str">
        <f aca="false">IF($B29="","",G29*12/cfg_DAYS_Y*J29)</f>
        <v/>
      </c>
      <c r="L29" s="90" t="str">
        <f aca="false">IF($B29="","",N(الموظفون!$W29))</f>
        <v/>
      </c>
      <c r="M29" s="90" t="str">
        <f aca="false">IF($B29="","",SUMIFS('الحركات الشهرية'!$M$6:$M$1005,'الحركات الشهرية'!$B$6:$B$1005,B29,'الحركات الشهرية'!$A$6:$A$1005,"&lt;="&amp;cfg_VAL_M))</f>
        <v/>
      </c>
      <c r="N29" s="136" t="str">
        <f aca="false">IF($B29="","",L29+K29-M29)</f>
        <v/>
      </c>
      <c r="O29" s="133" t="str">
        <f aca="false">IF($B29="","",IF(E29&gt;0,N29/E29,0))</f>
        <v/>
      </c>
      <c r="P29" s="91" t="str">
        <f aca="false">IF($B29="","",IF(AND(D29="لا",N29&lt;&gt;0),"⚠ غير مستحق وله رصيد",IF(N29&lt;-0.01,"✖ استخدام أكثر من المكوّن",IF(AND(D29="نعم",O29&gt;=1),"⚠ تذكرة مستحقة للصرف","✔ سليم"))))</f>
        <v/>
      </c>
    </row>
    <row r="30" customFormat="false" ht="15" hidden="false" customHeight="false" outlineLevel="0" collapsed="false">
      <c r="B30" s="74" t="str">
        <f aca="false">IF(الموظفون!$B30="","",الموظفون!$B30)</f>
        <v/>
      </c>
      <c r="C30" s="74" t="str">
        <f aca="false">IF($B30="","",الموظفون!$C30)</f>
        <v/>
      </c>
      <c r="D30" s="74" t="str">
        <f aca="false">IF($B30="","",IF(الموظفون!$S30="نعم","نعم","لا"))</f>
        <v/>
      </c>
      <c r="E30" s="86" t="str">
        <f aca="false">IF($B30="","",N(الموظفون!$T30))</f>
        <v/>
      </c>
      <c r="F30" s="51" t="str">
        <f aca="false">IF($B30="","",N(الموظفون!$U30))</f>
        <v/>
      </c>
      <c r="G30" s="86" t="str">
        <f aca="false">IF($B30="","",IF(AND(D30="نعم",F30&gt;0),E30/F30,0))</f>
        <v/>
      </c>
      <c r="H30" s="127" t="str">
        <f aca="false">IF($B30="","",MAX(cfg_Y_START,الموظفون!$H30))</f>
        <v/>
      </c>
      <c r="I30" s="127" t="str">
        <f aca="false">IF($B30="","",IF(OR(الموظفون!$X30="",الموظفون!$X30&gt;cfg_VAL_DATE),cfg_VAL_DATE,الموظفون!$X30))</f>
        <v/>
      </c>
      <c r="J30" s="51" t="str">
        <f aca="false">IF($B30="","",MAX(0,I30-H30+1))</f>
        <v/>
      </c>
      <c r="K30" s="86" t="str">
        <f aca="false">IF($B30="","",G30*12/cfg_DAYS_Y*J30)</f>
        <v/>
      </c>
      <c r="L30" s="86" t="str">
        <f aca="false">IF($B30="","",N(الموظفون!$W30))</f>
        <v/>
      </c>
      <c r="M30" s="86" t="str">
        <f aca="false">IF($B30="","",SUMIFS('الحركات الشهرية'!$M$6:$M$1005,'الحركات الشهرية'!$B$6:$B$1005,B30,'الحركات الشهرية'!$A$6:$A$1005,"&lt;="&amp;cfg_VAL_M))</f>
        <v/>
      </c>
      <c r="N30" s="135" t="str">
        <f aca="false">IF($B30="","",L30+K30-M30)</f>
        <v/>
      </c>
      <c r="O30" s="132" t="str">
        <f aca="false">IF($B30="","",IF(E30&gt;0,N30/E30,0))</f>
        <v/>
      </c>
      <c r="P30" s="74" t="str">
        <f aca="false">IF($B30="","",IF(AND(D30="لا",N30&lt;&gt;0),"⚠ غير مستحق وله رصيد",IF(N30&lt;-0.01,"✖ استخدام أكثر من المكوّن",IF(AND(D30="نعم",O30&gt;=1),"⚠ تذكرة مستحقة للصرف","✔ سليم"))))</f>
        <v/>
      </c>
    </row>
    <row r="31" customFormat="false" ht="15" hidden="false" customHeight="false" outlineLevel="0" collapsed="false">
      <c r="B31" s="91" t="str">
        <f aca="false">IF(الموظفون!$B31="","",الموظفون!$B31)</f>
        <v/>
      </c>
      <c r="C31" s="91" t="str">
        <f aca="false">IF($B31="","",الموظفون!$C31)</f>
        <v/>
      </c>
      <c r="D31" s="91" t="str">
        <f aca="false">IF($B31="","",IF(الموظفون!$S31="نعم","نعم","لا"))</f>
        <v/>
      </c>
      <c r="E31" s="90" t="str">
        <f aca="false">IF($B31="","",N(الموظفون!$T31))</f>
        <v/>
      </c>
      <c r="F31" s="115" t="str">
        <f aca="false">IF($B31="","",N(الموظفون!$U31))</f>
        <v/>
      </c>
      <c r="G31" s="90" t="str">
        <f aca="false">IF($B31="","",IF(AND(D31="نعم",F31&gt;0),E31/F31,0))</f>
        <v/>
      </c>
      <c r="H31" s="129" t="str">
        <f aca="false">IF($B31="","",MAX(cfg_Y_START,الموظفون!$H31))</f>
        <v/>
      </c>
      <c r="I31" s="129" t="str">
        <f aca="false">IF($B31="","",IF(OR(الموظفون!$X31="",الموظفون!$X31&gt;cfg_VAL_DATE),cfg_VAL_DATE,الموظفون!$X31))</f>
        <v/>
      </c>
      <c r="J31" s="115" t="str">
        <f aca="false">IF($B31="","",MAX(0,I31-H31+1))</f>
        <v/>
      </c>
      <c r="K31" s="90" t="str">
        <f aca="false">IF($B31="","",G31*12/cfg_DAYS_Y*J31)</f>
        <v/>
      </c>
      <c r="L31" s="90" t="str">
        <f aca="false">IF($B31="","",N(الموظفون!$W31))</f>
        <v/>
      </c>
      <c r="M31" s="90" t="str">
        <f aca="false">IF($B31="","",SUMIFS('الحركات الشهرية'!$M$6:$M$1005,'الحركات الشهرية'!$B$6:$B$1005,B31,'الحركات الشهرية'!$A$6:$A$1005,"&lt;="&amp;cfg_VAL_M))</f>
        <v/>
      </c>
      <c r="N31" s="136" t="str">
        <f aca="false">IF($B31="","",L31+K31-M31)</f>
        <v/>
      </c>
      <c r="O31" s="133" t="str">
        <f aca="false">IF($B31="","",IF(E31&gt;0,N31/E31,0))</f>
        <v/>
      </c>
      <c r="P31" s="91" t="str">
        <f aca="false">IF($B31="","",IF(AND(D31="لا",N31&lt;&gt;0),"⚠ غير مستحق وله رصيد",IF(N31&lt;-0.01,"✖ استخدام أكثر من المكوّن",IF(AND(D31="نعم",O31&gt;=1),"⚠ تذكرة مستحقة للصرف","✔ سليم"))))</f>
        <v/>
      </c>
    </row>
    <row r="32" customFormat="false" ht="15" hidden="false" customHeight="false" outlineLevel="0" collapsed="false">
      <c r="B32" s="74" t="str">
        <f aca="false">IF(الموظفون!$B32="","",الموظفون!$B32)</f>
        <v/>
      </c>
      <c r="C32" s="74" t="str">
        <f aca="false">IF($B32="","",الموظفون!$C32)</f>
        <v/>
      </c>
      <c r="D32" s="74" t="str">
        <f aca="false">IF($B32="","",IF(الموظفون!$S32="نعم","نعم","لا"))</f>
        <v/>
      </c>
      <c r="E32" s="86" t="str">
        <f aca="false">IF($B32="","",N(الموظفون!$T32))</f>
        <v/>
      </c>
      <c r="F32" s="51" t="str">
        <f aca="false">IF($B32="","",N(الموظفون!$U32))</f>
        <v/>
      </c>
      <c r="G32" s="86" t="str">
        <f aca="false">IF($B32="","",IF(AND(D32="نعم",F32&gt;0),E32/F32,0))</f>
        <v/>
      </c>
      <c r="H32" s="127" t="str">
        <f aca="false">IF($B32="","",MAX(cfg_Y_START,الموظفون!$H32))</f>
        <v/>
      </c>
      <c r="I32" s="127" t="str">
        <f aca="false">IF($B32="","",IF(OR(الموظفون!$X32="",الموظفون!$X32&gt;cfg_VAL_DATE),cfg_VAL_DATE,الموظفون!$X32))</f>
        <v/>
      </c>
      <c r="J32" s="51" t="str">
        <f aca="false">IF($B32="","",MAX(0,I32-H32+1))</f>
        <v/>
      </c>
      <c r="K32" s="86" t="str">
        <f aca="false">IF($B32="","",G32*12/cfg_DAYS_Y*J32)</f>
        <v/>
      </c>
      <c r="L32" s="86" t="str">
        <f aca="false">IF($B32="","",N(الموظفون!$W32))</f>
        <v/>
      </c>
      <c r="M32" s="86" t="str">
        <f aca="false">IF($B32="","",SUMIFS('الحركات الشهرية'!$M$6:$M$1005,'الحركات الشهرية'!$B$6:$B$1005,B32,'الحركات الشهرية'!$A$6:$A$1005,"&lt;="&amp;cfg_VAL_M))</f>
        <v/>
      </c>
      <c r="N32" s="135" t="str">
        <f aca="false">IF($B32="","",L32+K32-M32)</f>
        <v/>
      </c>
      <c r="O32" s="132" t="str">
        <f aca="false">IF($B32="","",IF(E32&gt;0,N32/E32,0))</f>
        <v/>
      </c>
      <c r="P32" s="74" t="str">
        <f aca="false">IF($B32="","",IF(AND(D32="لا",N32&lt;&gt;0),"⚠ غير مستحق وله رصيد",IF(N32&lt;-0.01,"✖ استخدام أكثر من المكوّن",IF(AND(D32="نعم",O32&gt;=1),"⚠ تذكرة مستحقة للصرف","✔ سليم"))))</f>
        <v/>
      </c>
    </row>
    <row r="33" customFormat="false" ht="15" hidden="false" customHeight="false" outlineLevel="0" collapsed="false">
      <c r="B33" s="91" t="str">
        <f aca="false">IF(الموظفون!$B33="","",الموظفون!$B33)</f>
        <v/>
      </c>
      <c r="C33" s="91" t="str">
        <f aca="false">IF($B33="","",الموظفون!$C33)</f>
        <v/>
      </c>
      <c r="D33" s="91" t="str">
        <f aca="false">IF($B33="","",IF(الموظفون!$S33="نعم","نعم","لا"))</f>
        <v/>
      </c>
      <c r="E33" s="90" t="str">
        <f aca="false">IF($B33="","",N(الموظفون!$T33))</f>
        <v/>
      </c>
      <c r="F33" s="115" t="str">
        <f aca="false">IF($B33="","",N(الموظفون!$U33))</f>
        <v/>
      </c>
      <c r="G33" s="90" t="str">
        <f aca="false">IF($B33="","",IF(AND(D33="نعم",F33&gt;0),E33/F33,0))</f>
        <v/>
      </c>
      <c r="H33" s="129" t="str">
        <f aca="false">IF($B33="","",MAX(cfg_Y_START,الموظفون!$H33))</f>
        <v/>
      </c>
      <c r="I33" s="129" t="str">
        <f aca="false">IF($B33="","",IF(OR(الموظفون!$X33="",الموظفون!$X33&gt;cfg_VAL_DATE),cfg_VAL_DATE,الموظفون!$X33))</f>
        <v/>
      </c>
      <c r="J33" s="115" t="str">
        <f aca="false">IF($B33="","",MAX(0,I33-H33+1))</f>
        <v/>
      </c>
      <c r="K33" s="90" t="str">
        <f aca="false">IF($B33="","",G33*12/cfg_DAYS_Y*J33)</f>
        <v/>
      </c>
      <c r="L33" s="90" t="str">
        <f aca="false">IF($B33="","",N(الموظفون!$W33))</f>
        <v/>
      </c>
      <c r="M33" s="90" t="str">
        <f aca="false">IF($B33="","",SUMIFS('الحركات الشهرية'!$M$6:$M$1005,'الحركات الشهرية'!$B$6:$B$1005,B33,'الحركات الشهرية'!$A$6:$A$1005,"&lt;="&amp;cfg_VAL_M))</f>
        <v/>
      </c>
      <c r="N33" s="136" t="str">
        <f aca="false">IF($B33="","",L33+K33-M33)</f>
        <v/>
      </c>
      <c r="O33" s="133" t="str">
        <f aca="false">IF($B33="","",IF(E33&gt;0,N33/E33,0))</f>
        <v/>
      </c>
      <c r="P33" s="91" t="str">
        <f aca="false">IF($B33="","",IF(AND(D33="لا",N33&lt;&gt;0),"⚠ غير مستحق وله رصيد",IF(N33&lt;-0.01,"✖ استخدام أكثر من المكوّن",IF(AND(D33="نعم",O33&gt;=1),"⚠ تذكرة مستحقة للصرف","✔ سليم"))))</f>
        <v/>
      </c>
    </row>
    <row r="34" customFormat="false" ht="15" hidden="false" customHeight="false" outlineLevel="0" collapsed="false">
      <c r="B34" s="74" t="str">
        <f aca="false">IF(الموظفون!$B34="","",الموظفون!$B34)</f>
        <v/>
      </c>
      <c r="C34" s="74" t="str">
        <f aca="false">IF($B34="","",الموظفون!$C34)</f>
        <v/>
      </c>
      <c r="D34" s="74" t="str">
        <f aca="false">IF($B34="","",IF(الموظفون!$S34="نعم","نعم","لا"))</f>
        <v/>
      </c>
      <c r="E34" s="86" t="str">
        <f aca="false">IF($B34="","",N(الموظفون!$T34))</f>
        <v/>
      </c>
      <c r="F34" s="51" t="str">
        <f aca="false">IF($B34="","",N(الموظفون!$U34))</f>
        <v/>
      </c>
      <c r="G34" s="86" t="str">
        <f aca="false">IF($B34="","",IF(AND(D34="نعم",F34&gt;0),E34/F34,0))</f>
        <v/>
      </c>
      <c r="H34" s="127" t="str">
        <f aca="false">IF($B34="","",MAX(cfg_Y_START,الموظفون!$H34))</f>
        <v/>
      </c>
      <c r="I34" s="127" t="str">
        <f aca="false">IF($B34="","",IF(OR(الموظفون!$X34="",الموظفون!$X34&gt;cfg_VAL_DATE),cfg_VAL_DATE,الموظفون!$X34))</f>
        <v/>
      </c>
      <c r="J34" s="51" t="str">
        <f aca="false">IF($B34="","",MAX(0,I34-H34+1))</f>
        <v/>
      </c>
      <c r="K34" s="86" t="str">
        <f aca="false">IF($B34="","",G34*12/cfg_DAYS_Y*J34)</f>
        <v/>
      </c>
      <c r="L34" s="86" t="str">
        <f aca="false">IF($B34="","",N(الموظفون!$W34))</f>
        <v/>
      </c>
      <c r="M34" s="86" t="str">
        <f aca="false">IF($B34="","",SUMIFS('الحركات الشهرية'!$M$6:$M$1005,'الحركات الشهرية'!$B$6:$B$1005,B34,'الحركات الشهرية'!$A$6:$A$1005,"&lt;="&amp;cfg_VAL_M))</f>
        <v/>
      </c>
      <c r="N34" s="135" t="str">
        <f aca="false">IF($B34="","",L34+K34-M34)</f>
        <v/>
      </c>
      <c r="O34" s="132" t="str">
        <f aca="false">IF($B34="","",IF(E34&gt;0,N34/E34,0))</f>
        <v/>
      </c>
      <c r="P34" s="74" t="str">
        <f aca="false">IF($B34="","",IF(AND(D34="لا",N34&lt;&gt;0),"⚠ غير مستحق وله رصيد",IF(N34&lt;-0.01,"✖ استخدام أكثر من المكوّن",IF(AND(D34="نعم",O34&gt;=1),"⚠ تذكرة مستحقة للصرف","✔ سليم"))))</f>
        <v/>
      </c>
    </row>
    <row r="35" customFormat="false" ht="15" hidden="false" customHeight="false" outlineLevel="0" collapsed="false">
      <c r="B35" s="91" t="str">
        <f aca="false">IF(الموظفون!$B35="","",الموظفون!$B35)</f>
        <v/>
      </c>
      <c r="C35" s="91" t="str">
        <f aca="false">IF($B35="","",الموظفون!$C35)</f>
        <v/>
      </c>
      <c r="D35" s="91" t="str">
        <f aca="false">IF($B35="","",IF(الموظفون!$S35="نعم","نعم","لا"))</f>
        <v/>
      </c>
      <c r="E35" s="90" t="str">
        <f aca="false">IF($B35="","",N(الموظفون!$T35))</f>
        <v/>
      </c>
      <c r="F35" s="115" t="str">
        <f aca="false">IF($B35="","",N(الموظفون!$U35))</f>
        <v/>
      </c>
      <c r="G35" s="90" t="str">
        <f aca="false">IF($B35="","",IF(AND(D35="نعم",F35&gt;0),E35/F35,0))</f>
        <v/>
      </c>
      <c r="H35" s="129" t="str">
        <f aca="false">IF($B35="","",MAX(cfg_Y_START,الموظفون!$H35))</f>
        <v/>
      </c>
      <c r="I35" s="129" t="str">
        <f aca="false">IF($B35="","",IF(OR(الموظفون!$X35="",الموظفون!$X35&gt;cfg_VAL_DATE),cfg_VAL_DATE,الموظفون!$X35))</f>
        <v/>
      </c>
      <c r="J35" s="115" t="str">
        <f aca="false">IF($B35="","",MAX(0,I35-H35+1))</f>
        <v/>
      </c>
      <c r="K35" s="90" t="str">
        <f aca="false">IF($B35="","",G35*12/cfg_DAYS_Y*J35)</f>
        <v/>
      </c>
      <c r="L35" s="90" t="str">
        <f aca="false">IF($B35="","",N(الموظفون!$W35))</f>
        <v/>
      </c>
      <c r="M35" s="90" t="str">
        <f aca="false">IF($B35="","",SUMIFS('الحركات الشهرية'!$M$6:$M$1005,'الحركات الشهرية'!$B$6:$B$1005,B35,'الحركات الشهرية'!$A$6:$A$1005,"&lt;="&amp;cfg_VAL_M))</f>
        <v/>
      </c>
      <c r="N35" s="136" t="str">
        <f aca="false">IF($B35="","",L35+K35-M35)</f>
        <v/>
      </c>
      <c r="O35" s="133" t="str">
        <f aca="false">IF($B35="","",IF(E35&gt;0,N35/E35,0))</f>
        <v/>
      </c>
      <c r="P35" s="91" t="str">
        <f aca="false">IF($B35="","",IF(AND(D35="لا",N35&lt;&gt;0),"⚠ غير مستحق وله رصيد",IF(N35&lt;-0.01,"✖ استخدام أكثر من المكوّن",IF(AND(D35="نعم",O35&gt;=1),"⚠ تذكرة مستحقة للصرف","✔ سليم"))))</f>
        <v/>
      </c>
    </row>
    <row r="36" customFormat="false" ht="15" hidden="false" customHeight="false" outlineLevel="0" collapsed="false">
      <c r="B36" s="74" t="str">
        <f aca="false">IF(الموظفون!$B36="","",الموظفون!$B36)</f>
        <v/>
      </c>
      <c r="C36" s="74" t="str">
        <f aca="false">IF($B36="","",الموظفون!$C36)</f>
        <v/>
      </c>
      <c r="D36" s="74" t="str">
        <f aca="false">IF($B36="","",IF(الموظفون!$S36="نعم","نعم","لا"))</f>
        <v/>
      </c>
      <c r="E36" s="86" t="str">
        <f aca="false">IF($B36="","",N(الموظفون!$T36))</f>
        <v/>
      </c>
      <c r="F36" s="51" t="str">
        <f aca="false">IF($B36="","",N(الموظفون!$U36))</f>
        <v/>
      </c>
      <c r="G36" s="86" t="str">
        <f aca="false">IF($B36="","",IF(AND(D36="نعم",F36&gt;0),E36/F36,0))</f>
        <v/>
      </c>
      <c r="H36" s="127" t="str">
        <f aca="false">IF($B36="","",MAX(cfg_Y_START,الموظفون!$H36))</f>
        <v/>
      </c>
      <c r="I36" s="127" t="str">
        <f aca="false">IF($B36="","",IF(OR(الموظفون!$X36="",الموظفون!$X36&gt;cfg_VAL_DATE),cfg_VAL_DATE,الموظفون!$X36))</f>
        <v/>
      </c>
      <c r="J36" s="51" t="str">
        <f aca="false">IF($B36="","",MAX(0,I36-H36+1))</f>
        <v/>
      </c>
      <c r="K36" s="86" t="str">
        <f aca="false">IF($B36="","",G36*12/cfg_DAYS_Y*J36)</f>
        <v/>
      </c>
      <c r="L36" s="86" t="str">
        <f aca="false">IF($B36="","",N(الموظفون!$W36))</f>
        <v/>
      </c>
      <c r="M36" s="86" t="str">
        <f aca="false">IF($B36="","",SUMIFS('الحركات الشهرية'!$M$6:$M$1005,'الحركات الشهرية'!$B$6:$B$1005,B36,'الحركات الشهرية'!$A$6:$A$1005,"&lt;="&amp;cfg_VAL_M))</f>
        <v/>
      </c>
      <c r="N36" s="135" t="str">
        <f aca="false">IF($B36="","",L36+K36-M36)</f>
        <v/>
      </c>
      <c r="O36" s="132" t="str">
        <f aca="false">IF($B36="","",IF(E36&gt;0,N36/E36,0))</f>
        <v/>
      </c>
      <c r="P36" s="74" t="str">
        <f aca="false">IF($B36="","",IF(AND(D36="لا",N36&lt;&gt;0),"⚠ غير مستحق وله رصيد",IF(N36&lt;-0.01,"✖ استخدام أكثر من المكوّن",IF(AND(D36="نعم",O36&gt;=1),"⚠ تذكرة مستحقة للصرف","✔ سليم"))))</f>
        <v/>
      </c>
    </row>
    <row r="37" customFormat="false" ht="15" hidden="false" customHeight="false" outlineLevel="0" collapsed="false">
      <c r="B37" s="91" t="str">
        <f aca="false">IF(الموظفون!$B37="","",الموظفون!$B37)</f>
        <v/>
      </c>
      <c r="C37" s="91" t="str">
        <f aca="false">IF($B37="","",الموظفون!$C37)</f>
        <v/>
      </c>
      <c r="D37" s="91" t="str">
        <f aca="false">IF($B37="","",IF(الموظفون!$S37="نعم","نعم","لا"))</f>
        <v/>
      </c>
      <c r="E37" s="90" t="str">
        <f aca="false">IF($B37="","",N(الموظفون!$T37))</f>
        <v/>
      </c>
      <c r="F37" s="115" t="str">
        <f aca="false">IF($B37="","",N(الموظفون!$U37))</f>
        <v/>
      </c>
      <c r="G37" s="90" t="str">
        <f aca="false">IF($B37="","",IF(AND(D37="نعم",F37&gt;0),E37/F37,0))</f>
        <v/>
      </c>
      <c r="H37" s="129" t="str">
        <f aca="false">IF($B37="","",MAX(cfg_Y_START,الموظفون!$H37))</f>
        <v/>
      </c>
      <c r="I37" s="129" t="str">
        <f aca="false">IF($B37="","",IF(OR(الموظفون!$X37="",الموظفون!$X37&gt;cfg_VAL_DATE),cfg_VAL_DATE,الموظفون!$X37))</f>
        <v/>
      </c>
      <c r="J37" s="115" t="str">
        <f aca="false">IF($B37="","",MAX(0,I37-H37+1))</f>
        <v/>
      </c>
      <c r="K37" s="90" t="str">
        <f aca="false">IF($B37="","",G37*12/cfg_DAYS_Y*J37)</f>
        <v/>
      </c>
      <c r="L37" s="90" t="str">
        <f aca="false">IF($B37="","",N(الموظفون!$W37))</f>
        <v/>
      </c>
      <c r="M37" s="90" t="str">
        <f aca="false">IF($B37="","",SUMIFS('الحركات الشهرية'!$M$6:$M$1005,'الحركات الشهرية'!$B$6:$B$1005,B37,'الحركات الشهرية'!$A$6:$A$1005,"&lt;="&amp;cfg_VAL_M))</f>
        <v/>
      </c>
      <c r="N37" s="136" t="str">
        <f aca="false">IF($B37="","",L37+K37-M37)</f>
        <v/>
      </c>
      <c r="O37" s="133" t="str">
        <f aca="false">IF($B37="","",IF(E37&gt;0,N37/E37,0))</f>
        <v/>
      </c>
      <c r="P37" s="91" t="str">
        <f aca="false">IF($B37="","",IF(AND(D37="لا",N37&lt;&gt;0),"⚠ غير مستحق وله رصيد",IF(N37&lt;-0.01,"✖ استخدام أكثر من المكوّن",IF(AND(D37="نعم",O37&gt;=1),"⚠ تذكرة مستحقة للصرف","✔ سليم"))))</f>
        <v/>
      </c>
    </row>
    <row r="38" customFormat="false" ht="15" hidden="false" customHeight="false" outlineLevel="0" collapsed="false">
      <c r="B38" s="74" t="str">
        <f aca="false">IF(الموظفون!$B38="","",الموظفون!$B38)</f>
        <v/>
      </c>
      <c r="C38" s="74" t="str">
        <f aca="false">IF($B38="","",الموظفون!$C38)</f>
        <v/>
      </c>
      <c r="D38" s="74" t="str">
        <f aca="false">IF($B38="","",IF(الموظفون!$S38="نعم","نعم","لا"))</f>
        <v/>
      </c>
      <c r="E38" s="86" t="str">
        <f aca="false">IF($B38="","",N(الموظفون!$T38))</f>
        <v/>
      </c>
      <c r="F38" s="51" t="str">
        <f aca="false">IF($B38="","",N(الموظفون!$U38))</f>
        <v/>
      </c>
      <c r="G38" s="86" t="str">
        <f aca="false">IF($B38="","",IF(AND(D38="نعم",F38&gt;0),E38/F38,0))</f>
        <v/>
      </c>
      <c r="H38" s="127" t="str">
        <f aca="false">IF($B38="","",MAX(cfg_Y_START,الموظفون!$H38))</f>
        <v/>
      </c>
      <c r="I38" s="127" t="str">
        <f aca="false">IF($B38="","",IF(OR(الموظفون!$X38="",الموظفون!$X38&gt;cfg_VAL_DATE),cfg_VAL_DATE,الموظفون!$X38))</f>
        <v/>
      </c>
      <c r="J38" s="51" t="str">
        <f aca="false">IF($B38="","",MAX(0,I38-H38+1))</f>
        <v/>
      </c>
      <c r="K38" s="86" t="str">
        <f aca="false">IF($B38="","",G38*12/cfg_DAYS_Y*J38)</f>
        <v/>
      </c>
      <c r="L38" s="86" t="str">
        <f aca="false">IF($B38="","",N(الموظفون!$W38))</f>
        <v/>
      </c>
      <c r="M38" s="86" t="str">
        <f aca="false">IF($B38="","",SUMIFS('الحركات الشهرية'!$M$6:$M$1005,'الحركات الشهرية'!$B$6:$B$1005,B38,'الحركات الشهرية'!$A$6:$A$1005,"&lt;="&amp;cfg_VAL_M))</f>
        <v/>
      </c>
      <c r="N38" s="135" t="str">
        <f aca="false">IF($B38="","",L38+K38-M38)</f>
        <v/>
      </c>
      <c r="O38" s="132" t="str">
        <f aca="false">IF($B38="","",IF(E38&gt;0,N38/E38,0))</f>
        <v/>
      </c>
      <c r="P38" s="74" t="str">
        <f aca="false">IF($B38="","",IF(AND(D38="لا",N38&lt;&gt;0),"⚠ غير مستحق وله رصيد",IF(N38&lt;-0.01,"✖ استخدام أكثر من المكوّن",IF(AND(D38="نعم",O38&gt;=1),"⚠ تذكرة مستحقة للصرف","✔ سليم"))))</f>
        <v/>
      </c>
    </row>
    <row r="39" customFormat="false" ht="15" hidden="false" customHeight="false" outlineLevel="0" collapsed="false">
      <c r="B39" s="91" t="str">
        <f aca="false">IF(الموظفون!$B39="","",الموظفون!$B39)</f>
        <v/>
      </c>
      <c r="C39" s="91" t="str">
        <f aca="false">IF($B39="","",الموظفون!$C39)</f>
        <v/>
      </c>
      <c r="D39" s="91" t="str">
        <f aca="false">IF($B39="","",IF(الموظفون!$S39="نعم","نعم","لا"))</f>
        <v/>
      </c>
      <c r="E39" s="90" t="str">
        <f aca="false">IF($B39="","",N(الموظفون!$T39))</f>
        <v/>
      </c>
      <c r="F39" s="115" t="str">
        <f aca="false">IF($B39="","",N(الموظفون!$U39))</f>
        <v/>
      </c>
      <c r="G39" s="90" t="str">
        <f aca="false">IF($B39="","",IF(AND(D39="نعم",F39&gt;0),E39/F39,0))</f>
        <v/>
      </c>
      <c r="H39" s="129" t="str">
        <f aca="false">IF($B39="","",MAX(cfg_Y_START,الموظفون!$H39))</f>
        <v/>
      </c>
      <c r="I39" s="129" t="str">
        <f aca="false">IF($B39="","",IF(OR(الموظفون!$X39="",الموظفون!$X39&gt;cfg_VAL_DATE),cfg_VAL_DATE,الموظفون!$X39))</f>
        <v/>
      </c>
      <c r="J39" s="115" t="str">
        <f aca="false">IF($B39="","",MAX(0,I39-H39+1))</f>
        <v/>
      </c>
      <c r="K39" s="90" t="str">
        <f aca="false">IF($B39="","",G39*12/cfg_DAYS_Y*J39)</f>
        <v/>
      </c>
      <c r="L39" s="90" t="str">
        <f aca="false">IF($B39="","",N(الموظفون!$W39))</f>
        <v/>
      </c>
      <c r="M39" s="90" t="str">
        <f aca="false">IF($B39="","",SUMIFS('الحركات الشهرية'!$M$6:$M$1005,'الحركات الشهرية'!$B$6:$B$1005,B39,'الحركات الشهرية'!$A$6:$A$1005,"&lt;="&amp;cfg_VAL_M))</f>
        <v/>
      </c>
      <c r="N39" s="136" t="str">
        <f aca="false">IF($B39="","",L39+K39-M39)</f>
        <v/>
      </c>
      <c r="O39" s="133" t="str">
        <f aca="false">IF($B39="","",IF(E39&gt;0,N39/E39,0))</f>
        <v/>
      </c>
      <c r="P39" s="91" t="str">
        <f aca="false">IF($B39="","",IF(AND(D39="لا",N39&lt;&gt;0),"⚠ غير مستحق وله رصيد",IF(N39&lt;-0.01,"✖ استخدام أكثر من المكوّن",IF(AND(D39="نعم",O39&gt;=1),"⚠ تذكرة مستحقة للصرف","✔ سليم"))))</f>
        <v/>
      </c>
    </row>
    <row r="40" customFormat="false" ht="15" hidden="false" customHeight="false" outlineLevel="0" collapsed="false">
      <c r="B40" s="74" t="str">
        <f aca="false">IF(الموظفون!$B40="","",الموظفون!$B40)</f>
        <v/>
      </c>
      <c r="C40" s="74" t="str">
        <f aca="false">IF($B40="","",الموظفون!$C40)</f>
        <v/>
      </c>
      <c r="D40" s="74" t="str">
        <f aca="false">IF($B40="","",IF(الموظفون!$S40="نعم","نعم","لا"))</f>
        <v/>
      </c>
      <c r="E40" s="86" t="str">
        <f aca="false">IF($B40="","",N(الموظفون!$T40))</f>
        <v/>
      </c>
      <c r="F40" s="51" t="str">
        <f aca="false">IF($B40="","",N(الموظفون!$U40))</f>
        <v/>
      </c>
      <c r="G40" s="86" t="str">
        <f aca="false">IF($B40="","",IF(AND(D40="نعم",F40&gt;0),E40/F40,0))</f>
        <v/>
      </c>
      <c r="H40" s="127" t="str">
        <f aca="false">IF($B40="","",MAX(cfg_Y_START,الموظفون!$H40))</f>
        <v/>
      </c>
      <c r="I40" s="127" t="str">
        <f aca="false">IF($B40="","",IF(OR(الموظفون!$X40="",الموظفون!$X40&gt;cfg_VAL_DATE),cfg_VAL_DATE,الموظفون!$X40))</f>
        <v/>
      </c>
      <c r="J40" s="51" t="str">
        <f aca="false">IF($B40="","",MAX(0,I40-H40+1))</f>
        <v/>
      </c>
      <c r="K40" s="86" t="str">
        <f aca="false">IF($B40="","",G40*12/cfg_DAYS_Y*J40)</f>
        <v/>
      </c>
      <c r="L40" s="86" t="str">
        <f aca="false">IF($B40="","",N(الموظفون!$W40))</f>
        <v/>
      </c>
      <c r="M40" s="86" t="str">
        <f aca="false">IF($B40="","",SUMIFS('الحركات الشهرية'!$M$6:$M$1005,'الحركات الشهرية'!$B$6:$B$1005,B40,'الحركات الشهرية'!$A$6:$A$1005,"&lt;="&amp;cfg_VAL_M))</f>
        <v/>
      </c>
      <c r="N40" s="135" t="str">
        <f aca="false">IF($B40="","",L40+K40-M40)</f>
        <v/>
      </c>
      <c r="O40" s="132" t="str">
        <f aca="false">IF($B40="","",IF(E40&gt;0,N40/E40,0))</f>
        <v/>
      </c>
      <c r="P40" s="74" t="str">
        <f aca="false">IF($B40="","",IF(AND(D40="لا",N40&lt;&gt;0),"⚠ غير مستحق وله رصيد",IF(N40&lt;-0.01,"✖ استخدام أكثر من المكوّن",IF(AND(D40="نعم",O40&gt;=1),"⚠ تذكرة مستحقة للصرف","✔ سليم"))))</f>
        <v/>
      </c>
    </row>
    <row r="41" customFormat="false" ht="15" hidden="false" customHeight="false" outlineLevel="0" collapsed="false">
      <c r="B41" s="91" t="str">
        <f aca="false">IF(الموظفون!$B41="","",الموظفون!$B41)</f>
        <v/>
      </c>
      <c r="C41" s="91" t="str">
        <f aca="false">IF($B41="","",الموظفون!$C41)</f>
        <v/>
      </c>
      <c r="D41" s="91" t="str">
        <f aca="false">IF($B41="","",IF(الموظفون!$S41="نعم","نعم","لا"))</f>
        <v/>
      </c>
      <c r="E41" s="90" t="str">
        <f aca="false">IF($B41="","",N(الموظفون!$T41))</f>
        <v/>
      </c>
      <c r="F41" s="115" t="str">
        <f aca="false">IF($B41="","",N(الموظفون!$U41))</f>
        <v/>
      </c>
      <c r="G41" s="90" t="str">
        <f aca="false">IF($B41="","",IF(AND(D41="نعم",F41&gt;0),E41/F41,0))</f>
        <v/>
      </c>
      <c r="H41" s="129" t="str">
        <f aca="false">IF($B41="","",MAX(cfg_Y_START,الموظفون!$H41))</f>
        <v/>
      </c>
      <c r="I41" s="129" t="str">
        <f aca="false">IF($B41="","",IF(OR(الموظفون!$X41="",الموظفون!$X41&gt;cfg_VAL_DATE),cfg_VAL_DATE,الموظفون!$X41))</f>
        <v/>
      </c>
      <c r="J41" s="115" t="str">
        <f aca="false">IF($B41="","",MAX(0,I41-H41+1))</f>
        <v/>
      </c>
      <c r="K41" s="90" t="str">
        <f aca="false">IF($B41="","",G41*12/cfg_DAYS_Y*J41)</f>
        <v/>
      </c>
      <c r="L41" s="90" t="str">
        <f aca="false">IF($B41="","",N(الموظفون!$W41))</f>
        <v/>
      </c>
      <c r="M41" s="90" t="str">
        <f aca="false">IF($B41="","",SUMIFS('الحركات الشهرية'!$M$6:$M$1005,'الحركات الشهرية'!$B$6:$B$1005,B41,'الحركات الشهرية'!$A$6:$A$1005,"&lt;="&amp;cfg_VAL_M))</f>
        <v/>
      </c>
      <c r="N41" s="136" t="str">
        <f aca="false">IF($B41="","",L41+K41-M41)</f>
        <v/>
      </c>
      <c r="O41" s="133" t="str">
        <f aca="false">IF($B41="","",IF(E41&gt;0,N41/E41,0))</f>
        <v/>
      </c>
      <c r="P41" s="91" t="str">
        <f aca="false">IF($B41="","",IF(AND(D41="لا",N41&lt;&gt;0),"⚠ غير مستحق وله رصيد",IF(N41&lt;-0.01,"✖ استخدام أكثر من المكوّن",IF(AND(D41="نعم",O41&gt;=1),"⚠ تذكرة مستحقة للصرف","✔ سليم"))))</f>
        <v/>
      </c>
    </row>
    <row r="42" customFormat="false" ht="15" hidden="false" customHeight="false" outlineLevel="0" collapsed="false">
      <c r="B42" s="74" t="str">
        <f aca="false">IF(الموظفون!$B42="","",الموظفون!$B42)</f>
        <v/>
      </c>
      <c r="C42" s="74" t="str">
        <f aca="false">IF($B42="","",الموظفون!$C42)</f>
        <v/>
      </c>
      <c r="D42" s="74" t="str">
        <f aca="false">IF($B42="","",IF(الموظفون!$S42="نعم","نعم","لا"))</f>
        <v/>
      </c>
      <c r="E42" s="86" t="str">
        <f aca="false">IF($B42="","",N(الموظفون!$T42))</f>
        <v/>
      </c>
      <c r="F42" s="51" t="str">
        <f aca="false">IF($B42="","",N(الموظفون!$U42))</f>
        <v/>
      </c>
      <c r="G42" s="86" t="str">
        <f aca="false">IF($B42="","",IF(AND(D42="نعم",F42&gt;0),E42/F42,0))</f>
        <v/>
      </c>
      <c r="H42" s="127" t="str">
        <f aca="false">IF($B42="","",MAX(cfg_Y_START,الموظفون!$H42))</f>
        <v/>
      </c>
      <c r="I42" s="127" t="str">
        <f aca="false">IF($B42="","",IF(OR(الموظفون!$X42="",الموظفون!$X42&gt;cfg_VAL_DATE),cfg_VAL_DATE,الموظفون!$X42))</f>
        <v/>
      </c>
      <c r="J42" s="51" t="str">
        <f aca="false">IF($B42="","",MAX(0,I42-H42+1))</f>
        <v/>
      </c>
      <c r="K42" s="86" t="str">
        <f aca="false">IF($B42="","",G42*12/cfg_DAYS_Y*J42)</f>
        <v/>
      </c>
      <c r="L42" s="86" t="str">
        <f aca="false">IF($B42="","",N(الموظفون!$W42))</f>
        <v/>
      </c>
      <c r="M42" s="86" t="str">
        <f aca="false">IF($B42="","",SUMIFS('الحركات الشهرية'!$M$6:$M$1005,'الحركات الشهرية'!$B$6:$B$1005,B42,'الحركات الشهرية'!$A$6:$A$1005,"&lt;="&amp;cfg_VAL_M))</f>
        <v/>
      </c>
      <c r="N42" s="135" t="str">
        <f aca="false">IF($B42="","",L42+K42-M42)</f>
        <v/>
      </c>
      <c r="O42" s="132" t="str">
        <f aca="false">IF($B42="","",IF(E42&gt;0,N42/E42,0))</f>
        <v/>
      </c>
      <c r="P42" s="74" t="str">
        <f aca="false">IF($B42="","",IF(AND(D42="لا",N42&lt;&gt;0),"⚠ غير مستحق وله رصيد",IF(N42&lt;-0.01,"✖ استخدام أكثر من المكوّن",IF(AND(D42="نعم",O42&gt;=1),"⚠ تذكرة مستحقة للصرف","✔ سليم"))))</f>
        <v/>
      </c>
    </row>
    <row r="43" customFormat="false" ht="15" hidden="false" customHeight="false" outlineLevel="0" collapsed="false">
      <c r="B43" s="91" t="str">
        <f aca="false">IF(الموظفون!$B43="","",الموظفون!$B43)</f>
        <v/>
      </c>
      <c r="C43" s="91" t="str">
        <f aca="false">IF($B43="","",الموظفون!$C43)</f>
        <v/>
      </c>
      <c r="D43" s="91" t="str">
        <f aca="false">IF($B43="","",IF(الموظفون!$S43="نعم","نعم","لا"))</f>
        <v/>
      </c>
      <c r="E43" s="90" t="str">
        <f aca="false">IF($B43="","",N(الموظفون!$T43))</f>
        <v/>
      </c>
      <c r="F43" s="115" t="str">
        <f aca="false">IF($B43="","",N(الموظفون!$U43))</f>
        <v/>
      </c>
      <c r="G43" s="90" t="str">
        <f aca="false">IF($B43="","",IF(AND(D43="نعم",F43&gt;0),E43/F43,0))</f>
        <v/>
      </c>
      <c r="H43" s="129" t="str">
        <f aca="false">IF($B43="","",MAX(cfg_Y_START,الموظفون!$H43))</f>
        <v/>
      </c>
      <c r="I43" s="129" t="str">
        <f aca="false">IF($B43="","",IF(OR(الموظفون!$X43="",الموظفون!$X43&gt;cfg_VAL_DATE),cfg_VAL_DATE,الموظفون!$X43))</f>
        <v/>
      </c>
      <c r="J43" s="115" t="str">
        <f aca="false">IF($B43="","",MAX(0,I43-H43+1))</f>
        <v/>
      </c>
      <c r="K43" s="90" t="str">
        <f aca="false">IF($B43="","",G43*12/cfg_DAYS_Y*J43)</f>
        <v/>
      </c>
      <c r="L43" s="90" t="str">
        <f aca="false">IF($B43="","",N(الموظفون!$W43))</f>
        <v/>
      </c>
      <c r="M43" s="90" t="str">
        <f aca="false">IF($B43="","",SUMIFS('الحركات الشهرية'!$M$6:$M$1005,'الحركات الشهرية'!$B$6:$B$1005,B43,'الحركات الشهرية'!$A$6:$A$1005,"&lt;="&amp;cfg_VAL_M))</f>
        <v/>
      </c>
      <c r="N43" s="136" t="str">
        <f aca="false">IF($B43="","",L43+K43-M43)</f>
        <v/>
      </c>
      <c r="O43" s="133" t="str">
        <f aca="false">IF($B43="","",IF(E43&gt;0,N43/E43,0))</f>
        <v/>
      </c>
      <c r="P43" s="91" t="str">
        <f aca="false">IF($B43="","",IF(AND(D43="لا",N43&lt;&gt;0),"⚠ غير مستحق وله رصيد",IF(N43&lt;-0.01,"✖ استخدام أكثر من المكوّن",IF(AND(D43="نعم",O43&gt;=1),"⚠ تذكرة مستحقة للصرف","✔ سليم"))))</f>
        <v/>
      </c>
    </row>
    <row r="44" customFormat="false" ht="15" hidden="false" customHeight="false" outlineLevel="0" collapsed="false">
      <c r="B44" s="74" t="str">
        <f aca="false">IF(الموظفون!$B44="","",الموظفون!$B44)</f>
        <v/>
      </c>
      <c r="C44" s="74" t="str">
        <f aca="false">IF($B44="","",الموظفون!$C44)</f>
        <v/>
      </c>
      <c r="D44" s="74" t="str">
        <f aca="false">IF($B44="","",IF(الموظفون!$S44="نعم","نعم","لا"))</f>
        <v/>
      </c>
      <c r="E44" s="86" t="str">
        <f aca="false">IF($B44="","",N(الموظفون!$T44))</f>
        <v/>
      </c>
      <c r="F44" s="51" t="str">
        <f aca="false">IF($B44="","",N(الموظفون!$U44))</f>
        <v/>
      </c>
      <c r="G44" s="86" t="str">
        <f aca="false">IF($B44="","",IF(AND(D44="نعم",F44&gt;0),E44/F44,0))</f>
        <v/>
      </c>
      <c r="H44" s="127" t="str">
        <f aca="false">IF($B44="","",MAX(cfg_Y_START,الموظفون!$H44))</f>
        <v/>
      </c>
      <c r="I44" s="127" t="str">
        <f aca="false">IF($B44="","",IF(OR(الموظفون!$X44="",الموظفون!$X44&gt;cfg_VAL_DATE),cfg_VAL_DATE,الموظفون!$X44))</f>
        <v/>
      </c>
      <c r="J44" s="51" t="str">
        <f aca="false">IF($B44="","",MAX(0,I44-H44+1))</f>
        <v/>
      </c>
      <c r="K44" s="86" t="str">
        <f aca="false">IF($B44="","",G44*12/cfg_DAYS_Y*J44)</f>
        <v/>
      </c>
      <c r="L44" s="86" t="str">
        <f aca="false">IF($B44="","",N(الموظفون!$W44))</f>
        <v/>
      </c>
      <c r="M44" s="86" t="str">
        <f aca="false">IF($B44="","",SUMIFS('الحركات الشهرية'!$M$6:$M$1005,'الحركات الشهرية'!$B$6:$B$1005,B44,'الحركات الشهرية'!$A$6:$A$1005,"&lt;="&amp;cfg_VAL_M))</f>
        <v/>
      </c>
      <c r="N44" s="135" t="str">
        <f aca="false">IF($B44="","",L44+K44-M44)</f>
        <v/>
      </c>
      <c r="O44" s="132" t="str">
        <f aca="false">IF($B44="","",IF(E44&gt;0,N44/E44,0))</f>
        <v/>
      </c>
      <c r="P44" s="74" t="str">
        <f aca="false">IF($B44="","",IF(AND(D44="لا",N44&lt;&gt;0),"⚠ غير مستحق وله رصيد",IF(N44&lt;-0.01,"✖ استخدام أكثر من المكوّن",IF(AND(D44="نعم",O44&gt;=1),"⚠ تذكرة مستحقة للصرف","✔ سليم"))))</f>
        <v/>
      </c>
    </row>
    <row r="45" customFormat="false" ht="15" hidden="false" customHeight="false" outlineLevel="0" collapsed="false">
      <c r="B45" s="91" t="str">
        <f aca="false">IF(الموظفون!$B45="","",الموظفون!$B45)</f>
        <v/>
      </c>
      <c r="C45" s="91" t="str">
        <f aca="false">IF($B45="","",الموظفون!$C45)</f>
        <v/>
      </c>
      <c r="D45" s="91" t="str">
        <f aca="false">IF($B45="","",IF(الموظفون!$S45="نعم","نعم","لا"))</f>
        <v/>
      </c>
      <c r="E45" s="90" t="str">
        <f aca="false">IF($B45="","",N(الموظفون!$T45))</f>
        <v/>
      </c>
      <c r="F45" s="115" t="str">
        <f aca="false">IF($B45="","",N(الموظفون!$U45))</f>
        <v/>
      </c>
      <c r="G45" s="90" t="str">
        <f aca="false">IF($B45="","",IF(AND(D45="نعم",F45&gt;0),E45/F45,0))</f>
        <v/>
      </c>
      <c r="H45" s="129" t="str">
        <f aca="false">IF($B45="","",MAX(cfg_Y_START,الموظفون!$H45))</f>
        <v/>
      </c>
      <c r="I45" s="129" t="str">
        <f aca="false">IF($B45="","",IF(OR(الموظفون!$X45="",الموظفون!$X45&gt;cfg_VAL_DATE),cfg_VAL_DATE,الموظفون!$X45))</f>
        <v/>
      </c>
      <c r="J45" s="115" t="str">
        <f aca="false">IF($B45="","",MAX(0,I45-H45+1))</f>
        <v/>
      </c>
      <c r="K45" s="90" t="str">
        <f aca="false">IF($B45="","",G45*12/cfg_DAYS_Y*J45)</f>
        <v/>
      </c>
      <c r="L45" s="90" t="str">
        <f aca="false">IF($B45="","",N(الموظفون!$W45))</f>
        <v/>
      </c>
      <c r="M45" s="90" t="str">
        <f aca="false">IF($B45="","",SUMIFS('الحركات الشهرية'!$M$6:$M$1005,'الحركات الشهرية'!$B$6:$B$1005,B45,'الحركات الشهرية'!$A$6:$A$1005,"&lt;="&amp;cfg_VAL_M))</f>
        <v/>
      </c>
      <c r="N45" s="136" t="str">
        <f aca="false">IF($B45="","",L45+K45-M45)</f>
        <v/>
      </c>
      <c r="O45" s="133" t="str">
        <f aca="false">IF($B45="","",IF(E45&gt;0,N45/E45,0))</f>
        <v/>
      </c>
      <c r="P45" s="91" t="str">
        <f aca="false">IF($B45="","",IF(AND(D45="لا",N45&lt;&gt;0),"⚠ غير مستحق وله رصيد",IF(N45&lt;-0.01,"✖ استخدام أكثر من المكوّن",IF(AND(D45="نعم",O45&gt;=1),"⚠ تذكرة مستحقة للصرف","✔ سليم"))))</f>
        <v/>
      </c>
    </row>
    <row r="46" customFormat="false" ht="15" hidden="false" customHeight="false" outlineLevel="0" collapsed="false">
      <c r="B46" s="74" t="str">
        <f aca="false">IF(الموظفون!$B46="","",الموظفون!$B46)</f>
        <v/>
      </c>
      <c r="C46" s="74" t="str">
        <f aca="false">IF($B46="","",الموظفون!$C46)</f>
        <v/>
      </c>
      <c r="D46" s="74" t="str">
        <f aca="false">IF($B46="","",IF(الموظفون!$S46="نعم","نعم","لا"))</f>
        <v/>
      </c>
      <c r="E46" s="86" t="str">
        <f aca="false">IF($B46="","",N(الموظفون!$T46))</f>
        <v/>
      </c>
      <c r="F46" s="51" t="str">
        <f aca="false">IF($B46="","",N(الموظفون!$U46))</f>
        <v/>
      </c>
      <c r="G46" s="86" t="str">
        <f aca="false">IF($B46="","",IF(AND(D46="نعم",F46&gt;0),E46/F46,0))</f>
        <v/>
      </c>
      <c r="H46" s="127" t="str">
        <f aca="false">IF($B46="","",MAX(cfg_Y_START,الموظفون!$H46))</f>
        <v/>
      </c>
      <c r="I46" s="127" t="str">
        <f aca="false">IF($B46="","",IF(OR(الموظفون!$X46="",الموظفون!$X46&gt;cfg_VAL_DATE),cfg_VAL_DATE,الموظفون!$X46))</f>
        <v/>
      </c>
      <c r="J46" s="51" t="str">
        <f aca="false">IF($B46="","",MAX(0,I46-H46+1))</f>
        <v/>
      </c>
      <c r="K46" s="86" t="str">
        <f aca="false">IF($B46="","",G46*12/cfg_DAYS_Y*J46)</f>
        <v/>
      </c>
      <c r="L46" s="86" t="str">
        <f aca="false">IF($B46="","",N(الموظفون!$W46))</f>
        <v/>
      </c>
      <c r="M46" s="86" t="str">
        <f aca="false">IF($B46="","",SUMIFS('الحركات الشهرية'!$M$6:$M$1005,'الحركات الشهرية'!$B$6:$B$1005,B46,'الحركات الشهرية'!$A$6:$A$1005,"&lt;="&amp;cfg_VAL_M))</f>
        <v/>
      </c>
      <c r="N46" s="135" t="str">
        <f aca="false">IF($B46="","",L46+K46-M46)</f>
        <v/>
      </c>
      <c r="O46" s="132" t="str">
        <f aca="false">IF($B46="","",IF(E46&gt;0,N46/E46,0))</f>
        <v/>
      </c>
      <c r="P46" s="74" t="str">
        <f aca="false">IF($B46="","",IF(AND(D46="لا",N46&lt;&gt;0),"⚠ غير مستحق وله رصيد",IF(N46&lt;-0.01,"✖ استخدام أكثر من المكوّن",IF(AND(D46="نعم",O46&gt;=1),"⚠ تذكرة مستحقة للصرف","✔ سليم"))))</f>
        <v/>
      </c>
    </row>
    <row r="47" customFormat="false" ht="15" hidden="false" customHeight="false" outlineLevel="0" collapsed="false">
      <c r="B47" s="91" t="str">
        <f aca="false">IF(الموظفون!$B47="","",الموظفون!$B47)</f>
        <v/>
      </c>
      <c r="C47" s="91" t="str">
        <f aca="false">IF($B47="","",الموظفون!$C47)</f>
        <v/>
      </c>
      <c r="D47" s="91" t="str">
        <f aca="false">IF($B47="","",IF(الموظفون!$S47="نعم","نعم","لا"))</f>
        <v/>
      </c>
      <c r="E47" s="90" t="str">
        <f aca="false">IF($B47="","",N(الموظفون!$T47))</f>
        <v/>
      </c>
      <c r="F47" s="115" t="str">
        <f aca="false">IF($B47="","",N(الموظفون!$U47))</f>
        <v/>
      </c>
      <c r="G47" s="90" t="str">
        <f aca="false">IF($B47="","",IF(AND(D47="نعم",F47&gt;0),E47/F47,0))</f>
        <v/>
      </c>
      <c r="H47" s="129" t="str">
        <f aca="false">IF($B47="","",MAX(cfg_Y_START,الموظفون!$H47))</f>
        <v/>
      </c>
      <c r="I47" s="129" t="str">
        <f aca="false">IF($B47="","",IF(OR(الموظفون!$X47="",الموظفون!$X47&gt;cfg_VAL_DATE),cfg_VAL_DATE,الموظفون!$X47))</f>
        <v/>
      </c>
      <c r="J47" s="115" t="str">
        <f aca="false">IF($B47="","",MAX(0,I47-H47+1))</f>
        <v/>
      </c>
      <c r="K47" s="90" t="str">
        <f aca="false">IF($B47="","",G47*12/cfg_DAYS_Y*J47)</f>
        <v/>
      </c>
      <c r="L47" s="90" t="str">
        <f aca="false">IF($B47="","",N(الموظفون!$W47))</f>
        <v/>
      </c>
      <c r="M47" s="90" t="str">
        <f aca="false">IF($B47="","",SUMIFS('الحركات الشهرية'!$M$6:$M$1005,'الحركات الشهرية'!$B$6:$B$1005,B47,'الحركات الشهرية'!$A$6:$A$1005,"&lt;="&amp;cfg_VAL_M))</f>
        <v/>
      </c>
      <c r="N47" s="136" t="str">
        <f aca="false">IF($B47="","",L47+K47-M47)</f>
        <v/>
      </c>
      <c r="O47" s="133" t="str">
        <f aca="false">IF($B47="","",IF(E47&gt;0,N47/E47,0))</f>
        <v/>
      </c>
      <c r="P47" s="91" t="str">
        <f aca="false">IF($B47="","",IF(AND(D47="لا",N47&lt;&gt;0),"⚠ غير مستحق وله رصيد",IF(N47&lt;-0.01,"✖ استخدام أكثر من المكوّن",IF(AND(D47="نعم",O47&gt;=1),"⚠ تذكرة مستحقة للصرف","✔ سليم"))))</f>
        <v/>
      </c>
    </row>
    <row r="48" customFormat="false" ht="15" hidden="false" customHeight="false" outlineLevel="0" collapsed="false">
      <c r="B48" s="74" t="str">
        <f aca="false">IF(الموظفون!$B48="","",الموظفون!$B48)</f>
        <v/>
      </c>
      <c r="C48" s="74" t="str">
        <f aca="false">IF($B48="","",الموظفون!$C48)</f>
        <v/>
      </c>
      <c r="D48" s="74" t="str">
        <f aca="false">IF($B48="","",IF(الموظفون!$S48="نعم","نعم","لا"))</f>
        <v/>
      </c>
      <c r="E48" s="86" t="str">
        <f aca="false">IF($B48="","",N(الموظفون!$T48))</f>
        <v/>
      </c>
      <c r="F48" s="51" t="str">
        <f aca="false">IF($B48="","",N(الموظفون!$U48))</f>
        <v/>
      </c>
      <c r="G48" s="86" t="str">
        <f aca="false">IF($B48="","",IF(AND(D48="نعم",F48&gt;0),E48/F48,0))</f>
        <v/>
      </c>
      <c r="H48" s="127" t="str">
        <f aca="false">IF($B48="","",MAX(cfg_Y_START,الموظفون!$H48))</f>
        <v/>
      </c>
      <c r="I48" s="127" t="str">
        <f aca="false">IF($B48="","",IF(OR(الموظفون!$X48="",الموظفون!$X48&gt;cfg_VAL_DATE),cfg_VAL_DATE,الموظفون!$X48))</f>
        <v/>
      </c>
      <c r="J48" s="51" t="str">
        <f aca="false">IF($B48="","",MAX(0,I48-H48+1))</f>
        <v/>
      </c>
      <c r="K48" s="86" t="str">
        <f aca="false">IF($B48="","",G48*12/cfg_DAYS_Y*J48)</f>
        <v/>
      </c>
      <c r="L48" s="86" t="str">
        <f aca="false">IF($B48="","",N(الموظفون!$W48))</f>
        <v/>
      </c>
      <c r="M48" s="86" t="str">
        <f aca="false">IF($B48="","",SUMIFS('الحركات الشهرية'!$M$6:$M$1005,'الحركات الشهرية'!$B$6:$B$1005,B48,'الحركات الشهرية'!$A$6:$A$1005,"&lt;="&amp;cfg_VAL_M))</f>
        <v/>
      </c>
      <c r="N48" s="135" t="str">
        <f aca="false">IF($B48="","",L48+K48-M48)</f>
        <v/>
      </c>
      <c r="O48" s="132" t="str">
        <f aca="false">IF($B48="","",IF(E48&gt;0,N48/E48,0))</f>
        <v/>
      </c>
      <c r="P48" s="74" t="str">
        <f aca="false">IF($B48="","",IF(AND(D48="لا",N48&lt;&gt;0),"⚠ غير مستحق وله رصيد",IF(N48&lt;-0.01,"✖ استخدام أكثر من المكوّن",IF(AND(D48="نعم",O48&gt;=1),"⚠ تذكرة مستحقة للصرف","✔ سليم"))))</f>
        <v/>
      </c>
    </row>
    <row r="49" customFormat="false" ht="15" hidden="false" customHeight="false" outlineLevel="0" collapsed="false">
      <c r="B49" s="91" t="str">
        <f aca="false">IF(الموظفون!$B49="","",الموظفون!$B49)</f>
        <v/>
      </c>
      <c r="C49" s="91" t="str">
        <f aca="false">IF($B49="","",الموظفون!$C49)</f>
        <v/>
      </c>
      <c r="D49" s="91" t="str">
        <f aca="false">IF($B49="","",IF(الموظفون!$S49="نعم","نعم","لا"))</f>
        <v/>
      </c>
      <c r="E49" s="90" t="str">
        <f aca="false">IF($B49="","",N(الموظفون!$T49))</f>
        <v/>
      </c>
      <c r="F49" s="115" t="str">
        <f aca="false">IF($B49="","",N(الموظفون!$U49))</f>
        <v/>
      </c>
      <c r="G49" s="90" t="str">
        <f aca="false">IF($B49="","",IF(AND(D49="نعم",F49&gt;0),E49/F49,0))</f>
        <v/>
      </c>
      <c r="H49" s="129" t="str">
        <f aca="false">IF($B49="","",MAX(cfg_Y_START,الموظفون!$H49))</f>
        <v/>
      </c>
      <c r="I49" s="129" t="str">
        <f aca="false">IF($B49="","",IF(OR(الموظفون!$X49="",الموظفون!$X49&gt;cfg_VAL_DATE),cfg_VAL_DATE,الموظفون!$X49))</f>
        <v/>
      </c>
      <c r="J49" s="115" t="str">
        <f aca="false">IF($B49="","",MAX(0,I49-H49+1))</f>
        <v/>
      </c>
      <c r="K49" s="90" t="str">
        <f aca="false">IF($B49="","",G49*12/cfg_DAYS_Y*J49)</f>
        <v/>
      </c>
      <c r="L49" s="90" t="str">
        <f aca="false">IF($B49="","",N(الموظفون!$W49))</f>
        <v/>
      </c>
      <c r="M49" s="90" t="str">
        <f aca="false">IF($B49="","",SUMIFS('الحركات الشهرية'!$M$6:$M$1005,'الحركات الشهرية'!$B$6:$B$1005,B49,'الحركات الشهرية'!$A$6:$A$1005,"&lt;="&amp;cfg_VAL_M))</f>
        <v/>
      </c>
      <c r="N49" s="136" t="str">
        <f aca="false">IF($B49="","",L49+K49-M49)</f>
        <v/>
      </c>
      <c r="O49" s="133" t="str">
        <f aca="false">IF($B49="","",IF(E49&gt;0,N49/E49,0))</f>
        <v/>
      </c>
      <c r="P49" s="91" t="str">
        <f aca="false">IF($B49="","",IF(AND(D49="لا",N49&lt;&gt;0),"⚠ غير مستحق وله رصيد",IF(N49&lt;-0.01,"✖ استخدام أكثر من المكوّن",IF(AND(D49="نعم",O49&gt;=1),"⚠ تذكرة مستحقة للصرف","✔ سليم"))))</f>
        <v/>
      </c>
    </row>
    <row r="50" customFormat="false" ht="15" hidden="false" customHeight="false" outlineLevel="0" collapsed="false">
      <c r="B50" s="74" t="str">
        <f aca="false">IF(الموظفون!$B50="","",الموظفون!$B50)</f>
        <v/>
      </c>
      <c r="C50" s="74" t="str">
        <f aca="false">IF($B50="","",الموظفون!$C50)</f>
        <v/>
      </c>
      <c r="D50" s="74" t="str">
        <f aca="false">IF($B50="","",IF(الموظفون!$S50="نعم","نعم","لا"))</f>
        <v/>
      </c>
      <c r="E50" s="86" t="str">
        <f aca="false">IF($B50="","",N(الموظفون!$T50))</f>
        <v/>
      </c>
      <c r="F50" s="51" t="str">
        <f aca="false">IF($B50="","",N(الموظفون!$U50))</f>
        <v/>
      </c>
      <c r="G50" s="86" t="str">
        <f aca="false">IF($B50="","",IF(AND(D50="نعم",F50&gt;0),E50/F50,0))</f>
        <v/>
      </c>
      <c r="H50" s="127" t="str">
        <f aca="false">IF($B50="","",MAX(cfg_Y_START,الموظفون!$H50))</f>
        <v/>
      </c>
      <c r="I50" s="127" t="str">
        <f aca="false">IF($B50="","",IF(OR(الموظفون!$X50="",الموظفون!$X50&gt;cfg_VAL_DATE),cfg_VAL_DATE,الموظفون!$X50))</f>
        <v/>
      </c>
      <c r="J50" s="51" t="str">
        <f aca="false">IF($B50="","",MAX(0,I50-H50+1))</f>
        <v/>
      </c>
      <c r="K50" s="86" t="str">
        <f aca="false">IF($B50="","",G50*12/cfg_DAYS_Y*J50)</f>
        <v/>
      </c>
      <c r="L50" s="86" t="str">
        <f aca="false">IF($B50="","",N(الموظفون!$W50))</f>
        <v/>
      </c>
      <c r="M50" s="86" t="str">
        <f aca="false">IF($B50="","",SUMIFS('الحركات الشهرية'!$M$6:$M$1005,'الحركات الشهرية'!$B$6:$B$1005,B50,'الحركات الشهرية'!$A$6:$A$1005,"&lt;="&amp;cfg_VAL_M))</f>
        <v/>
      </c>
      <c r="N50" s="135" t="str">
        <f aca="false">IF($B50="","",L50+K50-M50)</f>
        <v/>
      </c>
      <c r="O50" s="132" t="str">
        <f aca="false">IF($B50="","",IF(E50&gt;0,N50/E50,0))</f>
        <v/>
      </c>
      <c r="P50" s="74" t="str">
        <f aca="false">IF($B50="","",IF(AND(D50="لا",N50&lt;&gt;0),"⚠ غير مستحق وله رصيد",IF(N50&lt;-0.01,"✖ استخدام أكثر من المكوّن",IF(AND(D50="نعم",O50&gt;=1),"⚠ تذكرة مستحقة للصرف","✔ سليم"))))</f>
        <v/>
      </c>
    </row>
    <row r="51" customFormat="false" ht="15" hidden="false" customHeight="false" outlineLevel="0" collapsed="false">
      <c r="B51" s="91" t="str">
        <f aca="false">IF(الموظفون!$B51="","",الموظفون!$B51)</f>
        <v/>
      </c>
      <c r="C51" s="91" t="str">
        <f aca="false">IF($B51="","",الموظفون!$C51)</f>
        <v/>
      </c>
      <c r="D51" s="91" t="str">
        <f aca="false">IF($B51="","",IF(الموظفون!$S51="نعم","نعم","لا"))</f>
        <v/>
      </c>
      <c r="E51" s="90" t="str">
        <f aca="false">IF($B51="","",N(الموظفون!$T51))</f>
        <v/>
      </c>
      <c r="F51" s="115" t="str">
        <f aca="false">IF($B51="","",N(الموظفون!$U51))</f>
        <v/>
      </c>
      <c r="G51" s="90" t="str">
        <f aca="false">IF($B51="","",IF(AND(D51="نعم",F51&gt;0),E51/F51,0))</f>
        <v/>
      </c>
      <c r="H51" s="129" t="str">
        <f aca="false">IF($B51="","",MAX(cfg_Y_START,الموظفون!$H51))</f>
        <v/>
      </c>
      <c r="I51" s="129" t="str">
        <f aca="false">IF($B51="","",IF(OR(الموظفون!$X51="",الموظفون!$X51&gt;cfg_VAL_DATE),cfg_VAL_DATE,الموظفون!$X51))</f>
        <v/>
      </c>
      <c r="J51" s="115" t="str">
        <f aca="false">IF($B51="","",MAX(0,I51-H51+1))</f>
        <v/>
      </c>
      <c r="K51" s="90" t="str">
        <f aca="false">IF($B51="","",G51*12/cfg_DAYS_Y*J51)</f>
        <v/>
      </c>
      <c r="L51" s="90" t="str">
        <f aca="false">IF($B51="","",N(الموظفون!$W51))</f>
        <v/>
      </c>
      <c r="M51" s="90" t="str">
        <f aca="false">IF($B51="","",SUMIFS('الحركات الشهرية'!$M$6:$M$1005,'الحركات الشهرية'!$B$6:$B$1005,B51,'الحركات الشهرية'!$A$6:$A$1005,"&lt;="&amp;cfg_VAL_M))</f>
        <v/>
      </c>
      <c r="N51" s="136" t="str">
        <f aca="false">IF($B51="","",L51+K51-M51)</f>
        <v/>
      </c>
      <c r="O51" s="133" t="str">
        <f aca="false">IF($B51="","",IF(E51&gt;0,N51/E51,0))</f>
        <v/>
      </c>
      <c r="P51" s="91" t="str">
        <f aca="false">IF($B51="","",IF(AND(D51="لا",N51&lt;&gt;0),"⚠ غير مستحق وله رصيد",IF(N51&lt;-0.01,"✖ استخدام أكثر من المكوّن",IF(AND(D51="نعم",O51&gt;=1),"⚠ تذكرة مستحقة للصرف","✔ سليم"))))</f>
        <v/>
      </c>
    </row>
    <row r="52" customFormat="false" ht="15" hidden="false" customHeight="false" outlineLevel="0" collapsed="false">
      <c r="B52" s="74" t="str">
        <f aca="false">IF(الموظفون!$B52="","",الموظفون!$B52)</f>
        <v/>
      </c>
      <c r="C52" s="74" t="str">
        <f aca="false">IF($B52="","",الموظفون!$C52)</f>
        <v/>
      </c>
      <c r="D52" s="74" t="str">
        <f aca="false">IF($B52="","",IF(الموظفون!$S52="نعم","نعم","لا"))</f>
        <v/>
      </c>
      <c r="E52" s="86" t="str">
        <f aca="false">IF($B52="","",N(الموظفون!$T52))</f>
        <v/>
      </c>
      <c r="F52" s="51" t="str">
        <f aca="false">IF($B52="","",N(الموظفون!$U52))</f>
        <v/>
      </c>
      <c r="G52" s="86" t="str">
        <f aca="false">IF($B52="","",IF(AND(D52="نعم",F52&gt;0),E52/F52,0))</f>
        <v/>
      </c>
      <c r="H52" s="127" t="str">
        <f aca="false">IF($B52="","",MAX(cfg_Y_START,الموظفون!$H52))</f>
        <v/>
      </c>
      <c r="I52" s="127" t="str">
        <f aca="false">IF($B52="","",IF(OR(الموظفون!$X52="",الموظفون!$X52&gt;cfg_VAL_DATE),cfg_VAL_DATE,الموظفون!$X52))</f>
        <v/>
      </c>
      <c r="J52" s="51" t="str">
        <f aca="false">IF($B52="","",MAX(0,I52-H52+1))</f>
        <v/>
      </c>
      <c r="K52" s="86" t="str">
        <f aca="false">IF($B52="","",G52*12/cfg_DAYS_Y*J52)</f>
        <v/>
      </c>
      <c r="L52" s="86" t="str">
        <f aca="false">IF($B52="","",N(الموظفون!$W52))</f>
        <v/>
      </c>
      <c r="M52" s="86" t="str">
        <f aca="false">IF($B52="","",SUMIFS('الحركات الشهرية'!$M$6:$M$1005,'الحركات الشهرية'!$B$6:$B$1005,B52,'الحركات الشهرية'!$A$6:$A$1005,"&lt;="&amp;cfg_VAL_M))</f>
        <v/>
      </c>
      <c r="N52" s="135" t="str">
        <f aca="false">IF($B52="","",L52+K52-M52)</f>
        <v/>
      </c>
      <c r="O52" s="132" t="str">
        <f aca="false">IF($B52="","",IF(E52&gt;0,N52/E52,0))</f>
        <v/>
      </c>
      <c r="P52" s="74" t="str">
        <f aca="false">IF($B52="","",IF(AND(D52="لا",N52&lt;&gt;0),"⚠ غير مستحق وله رصيد",IF(N52&lt;-0.01,"✖ استخدام أكثر من المكوّن",IF(AND(D52="نعم",O52&gt;=1),"⚠ تذكرة مستحقة للصرف","✔ سليم"))))</f>
        <v/>
      </c>
    </row>
    <row r="53" customFormat="false" ht="15" hidden="false" customHeight="false" outlineLevel="0" collapsed="false">
      <c r="B53" s="91" t="str">
        <f aca="false">IF(الموظفون!$B53="","",الموظفون!$B53)</f>
        <v/>
      </c>
      <c r="C53" s="91" t="str">
        <f aca="false">IF($B53="","",الموظفون!$C53)</f>
        <v/>
      </c>
      <c r="D53" s="91" t="str">
        <f aca="false">IF($B53="","",IF(الموظفون!$S53="نعم","نعم","لا"))</f>
        <v/>
      </c>
      <c r="E53" s="90" t="str">
        <f aca="false">IF($B53="","",N(الموظفون!$T53))</f>
        <v/>
      </c>
      <c r="F53" s="115" t="str">
        <f aca="false">IF($B53="","",N(الموظفون!$U53))</f>
        <v/>
      </c>
      <c r="G53" s="90" t="str">
        <f aca="false">IF($B53="","",IF(AND(D53="نعم",F53&gt;0),E53/F53,0))</f>
        <v/>
      </c>
      <c r="H53" s="129" t="str">
        <f aca="false">IF($B53="","",MAX(cfg_Y_START,الموظفون!$H53))</f>
        <v/>
      </c>
      <c r="I53" s="129" t="str">
        <f aca="false">IF($B53="","",IF(OR(الموظفون!$X53="",الموظفون!$X53&gt;cfg_VAL_DATE),cfg_VAL_DATE,الموظفون!$X53))</f>
        <v/>
      </c>
      <c r="J53" s="115" t="str">
        <f aca="false">IF($B53="","",MAX(0,I53-H53+1))</f>
        <v/>
      </c>
      <c r="K53" s="90" t="str">
        <f aca="false">IF($B53="","",G53*12/cfg_DAYS_Y*J53)</f>
        <v/>
      </c>
      <c r="L53" s="90" t="str">
        <f aca="false">IF($B53="","",N(الموظفون!$W53))</f>
        <v/>
      </c>
      <c r="M53" s="90" t="str">
        <f aca="false">IF($B53="","",SUMIFS('الحركات الشهرية'!$M$6:$M$1005,'الحركات الشهرية'!$B$6:$B$1005,B53,'الحركات الشهرية'!$A$6:$A$1005,"&lt;="&amp;cfg_VAL_M))</f>
        <v/>
      </c>
      <c r="N53" s="136" t="str">
        <f aca="false">IF($B53="","",L53+K53-M53)</f>
        <v/>
      </c>
      <c r="O53" s="133" t="str">
        <f aca="false">IF($B53="","",IF(E53&gt;0,N53/E53,0))</f>
        <v/>
      </c>
      <c r="P53" s="91" t="str">
        <f aca="false">IF($B53="","",IF(AND(D53="لا",N53&lt;&gt;0),"⚠ غير مستحق وله رصيد",IF(N53&lt;-0.01,"✖ استخدام أكثر من المكوّن",IF(AND(D53="نعم",O53&gt;=1),"⚠ تذكرة مستحقة للصرف","✔ سليم"))))</f>
        <v/>
      </c>
    </row>
    <row r="54" customFormat="false" ht="15" hidden="false" customHeight="false" outlineLevel="0" collapsed="false">
      <c r="B54" s="74" t="str">
        <f aca="false">IF(الموظفون!$B54="","",الموظفون!$B54)</f>
        <v/>
      </c>
      <c r="C54" s="74" t="str">
        <f aca="false">IF($B54="","",الموظفون!$C54)</f>
        <v/>
      </c>
      <c r="D54" s="74" t="str">
        <f aca="false">IF($B54="","",IF(الموظفون!$S54="نعم","نعم","لا"))</f>
        <v/>
      </c>
      <c r="E54" s="86" t="str">
        <f aca="false">IF($B54="","",N(الموظفون!$T54))</f>
        <v/>
      </c>
      <c r="F54" s="51" t="str">
        <f aca="false">IF($B54="","",N(الموظفون!$U54))</f>
        <v/>
      </c>
      <c r="G54" s="86" t="str">
        <f aca="false">IF($B54="","",IF(AND(D54="نعم",F54&gt;0),E54/F54,0))</f>
        <v/>
      </c>
      <c r="H54" s="127" t="str">
        <f aca="false">IF($B54="","",MAX(cfg_Y_START,الموظفون!$H54))</f>
        <v/>
      </c>
      <c r="I54" s="127" t="str">
        <f aca="false">IF($B54="","",IF(OR(الموظفون!$X54="",الموظفون!$X54&gt;cfg_VAL_DATE),cfg_VAL_DATE,الموظفون!$X54))</f>
        <v/>
      </c>
      <c r="J54" s="51" t="str">
        <f aca="false">IF($B54="","",MAX(0,I54-H54+1))</f>
        <v/>
      </c>
      <c r="K54" s="86" t="str">
        <f aca="false">IF($B54="","",G54*12/cfg_DAYS_Y*J54)</f>
        <v/>
      </c>
      <c r="L54" s="86" t="str">
        <f aca="false">IF($B54="","",N(الموظفون!$W54))</f>
        <v/>
      </c>
      <c r="M54" s="86" t="str">
        <f aca="false">IF($B54="","",SUMIFS('الحركات الشهرية'!$M$6:$M$1005,'الحركات الشهرية'!$B$6:$B$1005,B54,'الحركات الشهرية'!$A$6:$A$1005,"&lt;="&amp;cfg_VAL_M))</f>
        <v/>
      </c>
      <c r="N54" s="135" t="str">
        <f aca="false">IF($B54="","",L54+K54-M54)</f>
        <v/>
      </c>
      <c r="O54" s="132" t="str">
        <f aca="false">IF($B54="","",IF(E54&gt;0,N54/E54,0))</f>
        <v/>
      </c>
      <c r="P54" s="74" t="str">
        <f aca="false">IF($B54="","",IF(AND(D54="لا",N54&lt;&gt;0),"⚠ غير مستحق وله رصيد",IF(N54&lt;-0.01,"✖ استخدام أكثر من المكوّن",IF(AND(D54="نعم",O54&gt;=1),"⚠ تذكرة مستحقة للصرف","✔ سليم"))))</f>
        <v/>
      </c>
    </row>
    <row r="55" customFormat="false" ht="15" hidden="false" customHeight="false" outlineLevel="0" collapsed="false">
      <c r="B55" s="91" t="str">
        <f aca="false">IF(الموظفون!$B55="","",الموظفون!$B55)</f>
        <v/>
      </c>
      <c r="C55" s="91" t="str">
        <f aca="false">IF($B55="","",الموظفون!$C55)</f>
        <v/>
      </c>
      <c r="D55" s="91" t="str">
        <f aca="false">IF($B55="","",IF(الموظفون!$S55="نعم","نعم","لا"))</f>
        <v/>
      </c>
      <c r="E55" s="90" t="str">
        <f aca="false">IF($B55="","",N(الموظفون!$T55))</f>
        <v/>
      </c>
      <c r="F55" s="115" t="str">
        <f aca="false">IF($B55="","",N(الموظفون!$U55))</f>
        <v/>
      </c>
      <c r="G55" s="90" t="str">
        <f aca="false">IF($B55="","",IF(AND(D55="نعم",F55&gt;0),E55/F55,0))</f>
        <v/>
      </c>
      <c r="H55" s="129" t="str">
        <f aca="false">IF($B55="","",MAX(cfg_Y_START,الموظفون!$H55))</f>
        <v/>
      </c>
      <c r="I55" s="129" t="str">
        <f aca="false">IF($B55="","",IF(OR(الموظفون!$X55="",الموظفون!$X55&gt;cfg_VAL_DATE),cfg_VAL_DATE,الموظفون!$X55))</f>
        <v/>
      </c>
      <c r="J55" s="115" t="str">
        <f aca="false">IF($B55="","",MAX(0,I55-H55+1))</f>
        <v/>
      </c>
      <c r="K55" s="90" t="str">
        <f aca="false">IF($B55="","",G55*12/cfg_DAYS_Y*J55)</f>
        <v/>
      </c>
      <c r="L55" s="90" t="str">
        <f aca="false">IF($B55="","",N(الموظفون!$W55))</f>
        <v/>
      </c>
      <c r="M55" s="90" t="str">
        <f aca="false">IF($B55="","",SUMIFS('الحركات الشهرية'!$M$6:$M$1005,'الحركات الشهرية'!$B$6:$B$1005,B55,'الحركات الشهرية'!$A$6:$A$1005,"&lt;="&amp;cfg_VAL_M))</f>
        <v/>
      </c>
      <c r="N55" s="136" t="str">
        <f aca="false">IF($B55="","",L55+K55-M55)</f>
        <v/>
      </c>
      <c r="O55" s="133" t="str">
        <f aca="false">IF($B55="","",IF(E55&gt;0,N55/E55,0))</f>
        <v/>
      </c>
      <c r="P55" s="91" t="str">
        <f aca="false">IF($B55="","",IF(AND(D55="لا",N55&lt;&gt;0),"⚠ غير مستحق وله رصيد",IF(N55&lt;-0.01,"✖ استخدام أكثر من المكوّن",IF(AND(D55="نعم",O55&gt;=1),"⚠ تذكرة مستحقة للصرف","✔ سليم"))))</f>
        <v/>
      </c>
    </row>
    <row r="56" customFormat="false" ht="15" hidden="false" customHeight="false" outlineLevel="0" collapsed="false">
      <c r="B56" s="74" t="str">
        <f aca="false">IF(الموظفون!$B56="","",الموظفون!$B56)</f>
        <v/>
      </c>
      <c r="C56" s="74" t="str">
        <f aca="false">IF($B56="","",الموظفون!$C56)</f>
        <v/>
      </c>
      <c r="D56" s="74" t="str">
        <f aca="false">IF($B56="","",IF(الموظفون!$S56="نعم","نعم","لا"))</f>
        <v/>
      </c>
      <c r="E56" s="86" t="str">
        <f aca="false">IF($B56="","",N(الموظفون!$T56))</f>
        <v/>
      </c>
      <c r="F56" s="51" t="str">
        <f aca="false">IF($B56="","",N(الموظفون!$U56))</f>
        <v/>
      </c>
      <c r="G56" s="86" t="str">
        <f aca="false">IF($B56="","",IF(AND(D56="نعم",F56&gt;0),E56/F56,0))</f>
        <v/>
      </c>
      <c r="H56" s="127" t="str">
        <f aca="false">IF($B56="","",MAX(cfg_Y_START,الموظفون!$H56))</f>
        <v/>
      </c>
      <c r="I56" s="127" t="str">
        <f aca="false">IF($B56="","",IF(OR(الموظفون!$X56="",الموظفون!$X56&gt;cfg_VAL_DATE),cfg_VAL_DATE,الموظفون!$X56))</f>
        <v/>
      </c>
      <c r="J56" s="51" t="str">
        <f aca="false">IF($B56="","",MAX(0,I56-H56+1))</f>
        <v/>
      </c>
      <c r="K56" s="86" t="str">
        <f aca="false">IF($B56="","",G56*12/cfg_DAYS_Y*J56)</f>
        <v/>
      </c>
      <c r="L56" s="86" t="str">
        <f aca="false">IF($B56="","",N(الموظفون!$W56))</f>
        <v/>
      </c>
      <c r="M56" s="86" t="str">
        <f aca="false">IF($B56="","",SUMIFS('الحركات الشهرية'!$M$6:$M$1005,'الحركات الشهرية'!$B$6:$B$1005,B56,'الحركات الشهرية'!$A$6:$A$1005,"&lt;="&amp;cfg_VAL_M))</f>
        <v/>
      </c>
      <c r="N56" s="135" t="str">
        <f aca="false">IF($B56="","",L56+K56-M56)</f>
        <v/>
      </c>
      <c r="O56" s="132" t="str">
        <f aca="false">IF($B56="","",IF(E56&gt;0,N56/E56,0))</f>
        <v/>
      </c>
      <c r="P56" s="74" t="str">
        <f aca="false">IF($B56="","",IF(AND(D56="لا",N56&lt;&gt;0),"⚠ غير مستحق وله رصيد",IF(N56&lt;-0.01,"✖ استخدام أكثر من المكوّن",IF(AND(D56="نعم",O56&gt;=1),"⚠ تذكرة مستحقة للصرف","✔ سليم"))))</f>
        <v/>
      </c>
    </row>
    <row r="57" customFormat="false" ht="15" hidden="false" customHeight="false" outlineLevel="0" collapsed="false">
      <c r="B57" s="91" t="str">
        <f aca="false">IF(الموظفون!$B57="","",الموظفون!$B57)</f>
        <v/>
      </c>
      <c r="C57" s="91" t="str">
        <f aca="false">IF($B57="","",الموظفون!$C57)</f>
        <v/>
      </c>
      <c r="D57" s="91" t="str">
        <f aca="false">IF($B57="","",IF(الموظفون!$S57="نعم","نعم","لا"))</f>
        <v/>
      </c>
      <c r="E57" s="90" t="str">
        <f aca="false">IF($B57="","",N(الموظفون!$T57))</f>
        <v/>
      </c>
      <c r="F57" s="115" t="str">
        <f aca="false">IF($B57="","",N(الموظفون!$U57))</f>
        <v/>
      </c>
      <c r="G57" s="90" t="str">
        <f aca="false">IF($B57="","",IF(AND(D57="نعم",F57&gt;0),E57/F57,0))</f>
        <v/>
      </c>
      <c r="H57" s="129" t="str">
        <f aca="false">IF($B57="","",MAX(cfg_Y_START,الموظفون!$H57))</f>
        <v/>
      </c>
      <c r="I57" s="129" t="str">
        <f aca="false">IF($B57="","",IF(OR(الموظفون!$X57="",الموظفون!$X57&gt;cfg_VAL_DATE),cfg_VAL_DATE,الموظفون!$X57))</f>
        <v/>
      </c>
      <c r="J57" s="115" t="str">
        <f aca="false">IF($B57="","",MAX(0,I57-H57+1))</f>
        <v/>
      </c>
      <c r="K57" s="90" t="str">
        <f aca="false">IF($B57="","",G57*12/cfg_DAYS_Y*J57)</f>
        <v/>
      </c>
      <c r="L57" s="90" t="str">
        <f aca="false">IF($B57="","",N(الموظفون!$W57))</f>
        <v/>
      </c>
      <c r="M57" s="90" t="str">
        <f aca="false">IF($B57="","",SUMIFS('الحركات الشهرية'!$M$6:$M$1005,'الحركات الشهرية'!$B$6:$B$1005,B57,'الحركات الشهرية'!$A$6:$A$1005,"&lt;="&amp;cfg_VAL_M))</f>
        <v/>
      </c>
      <c r="N57" s="136" t="str">
        <f aca="false">IF($B57="","",L57+K57-M57)</f>
        <v/>
      </c>
      <c r="O57" s="133" t="str">
        <f aca="false">IF($B57="","",IF(E57&gt;0,N57/E57,0))</f>
        <v/>
      </c>
      <c r="P57" s="91" t="str">
        <f aca="false">IF($B57="","",IF(AND(D57="لا",N57&lt;&gt;0),"⚠ غير مستحق وله رصيد",IF(N57&lt;-0.01,"✖ استخدام أكثر من المكوّن",IF(AND(D57="نعم",O57&gt;=1),"⚠ تذكرة مستحقة للصرف","✔ سليم"))))</f>
        <v/>
      </c>
    </row>
    <row r="58" customFormat="false" ht="15" hidden="false" customHeight="false" outlineLevel="0" collapsed="false">
      <c r="B58" s="74" t="str">
        <f aca="false">IF(الموظفون!$B58="","",الموظفون!$B58)</f>
        <v/>
      </c>
      <c r="C58" s="74" t="str">
        <f aca="false">IF($B58="","",الموظفون!$C58)</f>
        <v/>
      </c>
      <c r="D58" s="74" t="str">
        <f aca="false">IF($B58="","",IF(الموظفون!$S58="نعم","نعم","لا"))</f>
        <v/>
      </c>
      <c r="E58" s="86" t="str">
        <f aca="false">IF($B58="","",N(الموظفون!$T58))</f>
        <v/>
      </c>
      <c r="F58" s="51" t="str">
        <f aca="false">IF($B58="","",N(الموظفون!$U58))</f>
        <v/>
      </c>
      <c r="G58" s="86" t="str">
        <f aca="false">IF($B58="","",IF(AND(D58="نعم",F58&gt;0),E58/F58,0))</f>
        <v/>
      </c>
      <c r="H58" s="127" t="str">
        <f aca="false">IF($B58="","",MAX(cfg_Y_START,الموظفون!$H58))</f>
        <v/>
      </c>
      <c r="I58" s="127" t="str">
        <f aca="false">IF($B58="","",IF(OR(الموظفون!$X58="",الموظفون!$X58&gt;cfg_VAL_DATE),cfg_VAL_DATE,الموظفون!$X58))</f>
        <v/>
      </c>
      <c r="J58" s="51" t="str">
        <f aca="false">IF($B58="","",MAX(0,I58-H58+1))</f>
        <v/>
      </c>
      <c r="K58" s="86" t="str">
        <f aca="false">IF($B58="","",G58*12/cfg_DAYS_Y*J58)</f>
        <v/>
      </c>
      <c r="L58" s="86" t="str">
        <f aca="false">IF($B58="","",N(الموظفون!$W58))</f>
        <v/>
      </c>
      <c r="M58" s="86" t="str">
        <f aca="false">IF($B58="","",SUMIFS('الحركات الشهرية'!$M$6:$M$1005,'الحركات الشهرية'!$B$6:$B$1005,B58,'الحركات الشهرية'!$A$6:$A$1005,"&lt;="&amp;cfg_VAL_M))</f>
        <v/>
      </c>
      <c r="N58" s="135" t="str">
        <f aca="false">IF($B58="","",L58+K58-M58)</f>
        <v/>
      </c>
      <c r="O58" s="132" t="str">
        <f aca="false">IF($B58="","",IF(E58&gt;0,N58/E58,0))</f>
        <v/>
      </c>
      <c r="P58" s="74" t="str">
        <f aca="false">IF($B58="","",IF(AND(D58="لا",N58&lt;&gt;0),"⚠ غير مستحق وله رصيد",IF(N58&lt;-0.01,"✖ استخدام أكثر من المكوّن",IF(AND(D58="نعم",O58&gt;=1),"⚠ تذكرة مستحقة للصرف","✔ سليم"))))</f>
        <v/>
      </c>
    </row>
    <row r="59" customFormat="false" ht="15" hidden="false" customHeight="false" outlineLevel="0" collapsed="false">
      <c r="B59" s="91" t="str">
        <f aca="false">IF(الموظفون!$B59="","",الموظفون!$B59)</f>
        <v/>
      </c>
      <c r="C59" s="91" t="str">
        <f aca="false">IF($B59="","",الموظفون!$C59)</f>
        <v/>
      </c>
      <c r="D59" s="91" t="str">
        <f aca="false">IF($B59="","",IF(الموظفون!$S59="نعم","نعم","لا"))</f>
        <v/>
      </c>
      <c r="E59" s="90" t="str">
        <f aca="false">IF($B59="","",N(الموظفون!$T59))</f>
        <v/>
      </c>
      <c r="F59" s="115" t="str">
        <f aca="false">IF($B59="","",N(الموظفون!$U59))</f>
        <v/>
      </c>
      <c r="G59" s="90" t="str">
        <f aca="false">IF($B59="","",IF(AND(D59="نعم",F59&gt;0),E59/F59,0))</f>
        <v/>
      </c>
      <c r="H59" s="129" t="str">
        <f aca="false">IF($B59="","",MAX(cfg_Y_START,الموظفون!$H59))</f>
        <v/>
      </c>
      <c r="I59" s="129" t="str">
        <f aca="false">IF($B59="","",IF(OR(الموظفون!$X59="",الموظفون!$X59&gt;cfg_VAL_DATE),cfg_VAL_DATE,الموظفون!$X59))</f>
        <v/>
      </c>
      <c r="J59" s="115" t="str">
        <f aca="false">IF($B59="","",MAX(0,I59-H59+1))</f>
        <v/>
      </c>
      <c r="K59" s="90" t="str">
        <f aca="false">IF($B59="","",G59*12/cfg_DAYS_Y*J59)</f>
        <v/>
      </c>
      <c r="L59" s="90" t="str">
        <f aca="false">IF($B59="","",N(الموظفون!$W59))</f>
        <v/>
      </c>
      <c r="M59" s="90" t="str">
        <f aca="false">IF($B59="","",SUMIFS('الحركات الشهرية'!$M$6:$M$1005,'الحركات الشهرية'!$B$6:$B$1005,B59,'الحركات الشهرية'!$A$6:$A$1005,"&lt;="&amp;cfg_VAL_M))</f>
        <v/>
      </c>
      <c r="N59" s="136" t="str">
        <f aca="false">IF($B59="","",L59+K59-M59)</f>
        <v/>
      </c>
      <c r="O59" s="133" t="str">
        <f aca="false">IF($B59="","",IF(E59&gt;0,N59/E59,0))</f>
        <v/>
      </c>
      <c r="P59" s="91" t="str">
        <f aca="false">IF($B59="","",IF(AND(D59="لا",N59&lt;&gt;0),"⚠ غير مستحق وله رصيد",IF(N59&lt;-0.01,"✖ استخدام أكثر من المكوّن",IF(AND(D59="نعم",O59&gt;=1),"⚠ تذكرة مستحقة للصرف","✔ سليم"))))</f>
        <v/>
      </c>
    </row>
    <row r="60" customFormat="false" ht="15" hidden="false" customHeight="false" outlineLevel="0" collapsed="false">
      <c r="B60" s="74" t="str">
        <f aca="false">IF(الموظفون!$B60="","",الموظفون!$B60)</f>
        <v/>
      </c>
      <c r="C60" s="74" t="str">
        <f aca="false">IF($B60="","",الموظفون!$C60)</f>
        <v/>
      </c>
      <c r="D60" s="74" t="str">
        <f aca="false">IF($B60="","",IF(الموظفون!$S60="نعم","نعم","لا"))</f>
        <v/>
      </c>
      <c r="E60" s="86" t="str">
        <f aca="false">IF($B60="","",N(الموظفون!$T60))</f>
        <v/>
      </c>
      <c r="F60" s="51" t="str">
        <f aca="false">IF($B60="","",N(الموظفون!$U60))</f>
        <v/>
      </c>
      <c r="G60" s="86" t="str">
        <f aca="false">IF($B60="","",IF(AND(D60="نعم",F60&gt;0),E60/F60,0))</f>
        <v/>
      </c>
      <c r="H60" s="127" t="str">
        <f aca="false">IF($B60="","",MAX(cfg_Y_START,الموظفون!$H60))</f>
        <v/>
      </c>
      <c r="I60" s="127" t="str">
        <f aca="false">IF($B60="","",IF(OR(الموظفون!$X60="",الموظفون!$X60&gt;cfg_VAL_DATE),cfg_VAL_DATE,الموظفون!$X60))</f>
        <v/>
      </c>
      <c r="J60" s="51" t="str">
        <f aca="false">IF($B60="","",MAX(0,I60-H60+1))</f>
        <v/>
      </c>
      <c r="K60" s="86" t="str">
        <f aca="false">IF($B60="","",G60*12/cfg_DAYS_Y*J60)</f>
        <v/>
      </c>
      <c r="L60" s="86" t="str">
        <f aca="false">IF($B60="","",N(الموظفون!$W60))</f>
        <v/>
      </c>
      <c r="M60" s="86" t="str">
        <f aca="false">IF($B60="","",SUMIFS('الحركات الشهرية'!$M$6:$M$1005,'الحركات الشهرية'!$B$6:$B$1005,B60,'الحركات الشهرية'!$A$6:$A$1005,"&lt;="&amp;cfg_VAL_M))</f>
        <v/>
      </c>
      <c r="N60" s="135" t="str">
        <f aca="false">IF($B60="","",L60+K60-M60)</f>
        <v/>
      </c>
      <c r="O60" s="132" t="str">
        <f aca="false">IF($B60="","",IF(E60&gt;0,N60/E60,0))</f>
        <v/>
      </c>
      <c r="P60" s="74" t="str">
        <f aca="false">IF($B60="","",IF(AND(D60="لا",N60&lt;&gt;0),"⚠ غير مستحق وله رصيد",IF(N60&lt;-0.01,"✖ استخدام أكثر من المكوّن",IF(AND(D60="نعم",O60&gt;=1),"⚠ تذكرة مستحقة للصرف","✔ سليم"))))</f>
        <v/>
      </c>
    </row>
    <row r="61" customFormat="false" ht="15" hidden="false" customHeight="false" outlineLevel="0" collapsed="false">
      <c r="B61" s="91" t="str">
        <f aca="false">IF(الموظفون!$B61="","",الموظفون!$B61)</f>
        <v/>
      </c>
      <c r="C61" s="91" t="str">
        <f aca="false">IF($B61="","",الموظفون!$C61)</f>
        <v/>
      </c>
      <c r="D61" s="91" t="str">
        <f aca="false">IF($B61="","",IF(الموظفون!$S61="نعم","نعم","لا"))</f>
        <v/>
      </c>
      <c r="E61" s="90" t="str">
        <f aca="false">IF($B61="","",N(الموظفون!$T61))</f>
        <v/>
      </c>
      <c r="F61" s="115" t="str">
        <f aca="false">IF($B61="","",N(الموظفون!$U61))</f>
        <v/>
      </c>
      <c r="G61" s="90" t="str">
        <f aca="false">IF($B61="","",IF(AND(D61="نعم",F61&gt;0),E61/F61,0))</f>
        <v/>
      </c>
      <c r="H61" s="129" t="str">
        <f aca="false">IF($B61="","",MAX(cfg_Y_START,الموظفون!$H61))</f>
        <v/>
      </c>
      <c r="I61" s="129" t="str">
        <f aca="false">IF($B61="","",IF(OR(الموظفون!$X61="",الموظفون!$X61&gt;cfg_VAL_DATE),cfg_VAL_DATE,الموظفون!$X61))</f>
        <v/>
      </c>
      <c r="J61" s="115" t="str">
        <f aca="false">IF($B61="","",MAX(0,I61-H61+1))</f>
        <v/>
      </c>
      <c r="K61" s="90" t="str">
        <f aca="false">IF($B61="","",G61*12/cfg_DAYS_Y*J61)</f>
        <v/>
      </c>
      <c r="L61" s="90" t="str">
        <f aca="false">IF($B61="","",N(الموظفون!$W61))</f>
        <v/>
      </c>
      <c r="M61" s="90" t="str">
        <f aca="false">IF($B61="","",SUMIFS('الحركات الشهرية'!$M$6:$M$1005,'الحركات الشهرية'!$B$6:$B$1005,B61,'الحركات الشهرية'!$A$6:$A$1005,"&lt;="&amp;cfg_VAL_M))</f>
        <v/>
      </c>
      <c r="N61" s="136" t="str">
        <f aca="false">IF($B61="","",L61+K61-M61)</f>
        <v/>
      </c>
      <c r="O61" s="133" t="str">
        <f aca="false">IF($B61="","",IF(E61&gt;0,N61/E61,0))</f>
        <v/>
      </c>
      <c r="P61" s="91" t="str">
        <f aca="false">IF($B61="","",IF(AND(D61="لا",N61&lt;&gt;0),"⚠ غير مستحق وله رصيد",IF(N61&lt;-0.01,"✖ استخدام أكثر من المكوّن",IF(AND(D61="نعم",O61&gt;=1),"⚠ تذكرة مستحقة للصرف","✔ سليم"))))</f>
        <v/>
      </c>
    </row>
    <row r="62" customFormat="false" ht="15" hidden="false" customHeight="false" outlineLevel="0" collapsed="false">
      <c r="B62" s="74" t="str">
        <f aca="false">IF(الموظفون!$B62="","",الموظفون!$B62)</f>
        <v/>
      </c>
      <c r="C62" s="74" t="str">
        <f aca="false">IF($B62="","",الموظفون!$C62)</f>
        <v/>
      </c>
      <c r="D62" s="74" t="str">
        <f aca="false">IF($B62="","",IF(الموظفون!$S62="نعم","نعم","لا"))</f>
        <v/>
      </c>
      <c r="E62" s="86" t="str">
        <f aca="false">IF($B62="","",N(الموظفون!$T62))</f>
        <v/>
      </c>
      <c r="F62" s="51" t="str">
        <f aca="false">IF($B62="","",N(الموظفون!$U62))</f>
        <v/>
      </c>
      <c r="G62" s="86" t="str">
        <f aca="false">IF($B62="","",IF(AND(D62="نعم",F62&gt;0),E62/F62,0))</f>
        <v/>
      </c>
      <c r="H62" s="127" t="str">
        <f aca="false">IF($B62="","",MAX(cfg_Y_START,الموظفون!$H62))</f>
        <v/>
      </c>
      <c r="I62" s="127" t="str">
        <f aca="false">IF($B62="","",IF(OR(الموظفون!$X62="",الموظفون!$X62&gt;cfg_VAL_DATE),cfg_VAL_DATE,الموظفون!$X62))</f>
        <v/>
      </c>
      <c r="J62" s="51" t="str">
        <f aca="false">IF($B62="","",MAX(0,I62-H62+1))</f>
        <v/>
      </c>
      <c r="K62" s="86" t="str">
        <f aca="false">IF($B62="","",G62*12/cfg_DAYS_Y*J62)</f>
        <v/>
      </c>
      <c r="L62" s="86" t="str">
        <f aca="false">IF($B62="","",N(الموظفون!$W62))</f>
        <v/>
      </c>
      <c r="M62" s="86" t="str">
        <f aca="false">IF($B62="","",SUMIFS('الحركات الشهرية'!$M$6:$M$1005,'الحركات الشهرية'!$B$6:$B$1005,B62,'الحركات الشهرية'!$A$6:$A$1005,"&lt;="&amp;cfg_VAL_M))</f>
        <v/>
      </c>
      <c r="N62" s="135" t="str">
        <f aca="false">IF($B62="","",L62+K62-M62)</f>
        <v/>
      </c>
      <c r="O62" s="132" t="str">
        <f aca="false">IF($B62="","",IF(E62&gt;0,N62/E62,0))</f>
        <v/>
      </c>
      <c r="P62" s="74" t="str">
        <f aca="false">IF($B62="","",IF(AND(D62="لا",N62&lt;&gt;0),"⚠ غير مستحق وله رصيد",IF(N62&lt;-0.01,"✖ استخدام أكثر من المكوّن",IF(AND(D62="نعم",O62&gt;=1),"⚠ تذكرة مستحقة للصرف","✔ سليم"))))</f>
        <v/>
      </c>
    </row>
    <row r="63" customFormat="false" ht="15" hidden="false" customHeight="false" outlineLevel="0" collapsed="false">
      <c r="B63" s="91" t="str">
        <f aca="false">IF(الموظفون!$B63="","",الموظفون!$B63)</f>
        <v/>
      </c>
      <c r="C63" s="91" t="str">
        <f aca="false">IF($B63="","",الموظفون!$C63)</f>
        <v/>
      </c>
      <c r="D63" s="91" t="str">
        <f aca="false">IF($B63="","",IF(الموظفون!$S63="نعم","نعم","لا"))</f>
        <v/>
      </c>
      <c r="E63" s="90" t="str">
        <f aca="false">IF($B63="","",N(الموظفون!$T63))</f>
        <v/>
      </c>
      <c r="F63" s="115" t="str">
        <f aca="false">IF($B63="","",N(الموظفون!$U63))</f>
        <v/>
      </c>
      <c r="G63" s="90" t="str">
        <f aca="false">IF($B63="","",IF(AND(D63="نعم",F63&gt;0),E63/F63,0))</f>
        <v/>
      </c>
      <c r="H63" s="129" t="str">
        <f aca="false">IF($B63="","",MAX(cfg_Y_START,الموظفون!$H63))</f>
        <v/>
      </c>
      <c r="I63" s="129" t="str">
        <f aca="false">IF($B63="","",IF(OR(الموظفون!$X63="",الموظفون!$X63&gt;cfg_VAL_DATE),cfg_VAL_DATE,الموظفون!$X63))</f>
        <v/>
      </c>
      <c r="J63" s="115" t="str">
        <f aca="false">IF($B63="","",MAX(0,I63-H63+1))</f>
        <v/>
      </c>
      <c r="K63" s="90" t="str">
        <f aca="false">IF($B63="","",G63*12/cfg_DAYS_Y*J63)</f>
        <v/>
      </c>
      <c r="L63" s="90" t="str">
        <f aca="false">IF($B63="","",N(الموظفون!$W63))</f>
        <v/>
      </c>
      <c r="M63" s="90" t="str">
        <f aca="false">IF($B63="","",SUMIFS('الحركات الشهرية'!$M$6:$M$1005,'الحركات الشهرية'!$B$6:$B$1005,B63,'الحركات الشهرية'!$A$6:$A$1005,"&lt;="&amp;cfg_VAL_M))</f>
        <v/>
      </c>
      <c r="N63" s="136" t="str">
        <f aca="false">IF($B63="","",L63+K63-M63)</f>
        <v/>
      </c>
      <c r="O63" s="133" t="str">
        <f aca="false">IF($B63="","",IF(E63&gt;0,N63/E63,0))</f>
        <v/>
      </c>
      <c r="P63" s="91" t="str">
        <f aca="false">IF($B63="","",IF(AND(D63="لا",N63&lt;&gt;0),"⚠ غير مستحق وله رصيد",IF(N63&lt;-0.01,"✖ استخدام أكثر من المكوّن",IF(AND(D63="نعم",O63&gt;=1),"⚠ تذكرة مستحقة للصرف","✔ سليم"))))</f>
        <v/>
      </c>
    </row>
    <row r="64" customFormat="false" ht="15" hidden="false" customHeight="false" outlineLevel="0" collapsed="false">
      <c r="B64" s="74" t="str">
        <f aca="false">IF(الموظفون!$B64="","",الموظفون!$B64)</f>
        <v/>
      </c>
      <c r="C64" s="74" t="str">
        <f aca="false">IF($B64="","",الموظفون!$C64)</f>
        <v/>
      </c>
      <c r="D64" s="74" t="str">
        <f aca="false">IF($B64="","",IF(الموظفون!$S64="نعم","نعم","لا"))</f>
        <v/>
      </c>
      <c r="E64" s="86" t="str">
        <f aca="false">IF($B64="","",N(الموظفون!$T64))</f>
        <v/>
      </c>
      <c r="F64" s="51" t="str">
        <f aca="false">IF($B64="","",N(الموظفون!$U64))</f>
        <v/>
      </c>
      <c r="G64" s="86" t="str">
        <f aca="false">IF($B64="","",IF(AND(D64="نعم",F64&gt;0),E64/F64,0))</f>
        <v/>
      </c>
      <c r="H64" s="127" t="str">
        <f aca="false">IF($B64="","",MAX(cfg_Y_START,الموظفون!$H64))</f>
        <v/>
      </c>
      <c r="I64" s="127" t="str">
        <f aca="false">IF($B64="","",IF(OR(الموظفون!$X64="",الموظفون!$X64&gt;cfg_VAL_DATE),cfg_VAL_DATE,الموظفون!$X64))</f>
        <v/>
      </c>
      <c r="J64" s="51" t="str">
        <f aca="false">IF($B64="","",MAX(0,I64-H64+1))</f>
        <v/>
      </c>
      <c r="K64" s="86" t="str">
        <f aca="false">IF($B64="","",G64*12/cfg_DAYS_Y*J64)</f>
        <v/>
      </c>
      <c r="L64" s="86" t="str">
        <f aca="false">IF($B64="","",N(الموظفون!$W64))</f>
        <v/>
      </c>
      <c r="M64" s="86" t="str">
        <f aca="false">IF($B64="","",SUMIFS('الحركات الشهرية'!$M$6:$M$1005,'الحركات الشهرية'!$B$6:$B$1005,B64,'الحركات الشهرية'!$A$6:$A$1005,"&lt;="&amp;cfg_VAL_M))</f>
        <v/>
      </c>
      <c r="N64" s="135" t="str">
        <f aca="false">IF($B64="","",L64+K64-M64)</f>
        <v/>
      </c>
      <c r="O64" s="132" t="str">
        <f aca="false">IF($B64="","",IF(E64&gt;0,N64/E64,0))</f>
        <v/>
      </c>
      <c r="P64" s="74" t="str">
        <f aca="false">IF($B64="","",IF(AND(D64="لا",N64&lt;&gt;0),"⚠ غير مستحق وله رصيد",IF(N64&lt;-0.01,"✖ استخدام أكثر من المكوّن",IF(AND(D64="نعم",O64&gt;=1),"⚠ تذكرة مستحقة للصرف","✔ سليم"))))</f>
        <v/>
      </c>
    </row>
    <row r="65" customFormat="false" ht="15" hidden="false" customHeight="false" outlineLevel="0" collapsed="false">
      <c r="B65" s="91" t="str">
        <f aca="false">IF(الموظفون!$B65="","",الموظفون!$B65)</f>
        <v/>
      </c>
      <c r="C65" s="91" t="str">
        <f aca="false">IF($B65="","",الموظفون!$C65)</f>
        <v/>
      </c>
      <c r="D65" s="91" t="str">
        <f aca="false">IF($B65="","",IF(الموظفون!$S65="نعم","نعم","لا"))</f>
        <v/>
      </c>
      <c r="E65" s="90" t="str">
        <f aca="false">IF($B65="","",N(الموظفون!$T65))</f>
        <v/>
      </c>
      <c r="F65" s="115" t="str">
        <f aca="false">IF($B65="","",N(الموظفون!$U65))</f>
        <v/>
      </c>
      <c r="G65" s="90" t="str">
        <f aca="false">IF($B65="","",IF(AND(D65="نعم",F65&gt;0),E65/F65,0))</f>
        <v/>
      </c>
      <c r="H65" s="129" t="str">
        <f aca="false">IF($B65="","",MAX(cfg_Y_START,الموظفون!$H65))</f>
        <v/>
      </c>
      <c r="I65" s="129" t="str">
        <f aca="false">IF($B65="","",IF(OR(الموظفون!$X65="",الموظفون!$X65&gt;cfg_VAL_DATE),cfg_VAL_DATE,الموظفون!$X65))</f>
        <v/>
      </c>
      <c r="J65" s="115" t="str">
        <f aca="false">IF($B65="","",MAX(0,I65-H65+1))</f>
        <v/>
      </c>
      <c r="K65" s="90" t="str">
        <f aca="false">IF($B65="","",G65*12/cfg_DAYS_Y*J65)</f>
        <v/>
      </c>
      <c r="L65" s="90" t="str">
        <f aca="false">IF($B65="","",N(الموظفون!$W65))</f>
        <v/>
      </c>
      <c r="M65" s="90" t="str">
        <f aca="false">IF($B65="","",SUMIFS('الحركات الشهرية'!$M$6:$M$1005,'الحركات الشهرية'!$B$6:$B$1005,B65,'الحركات الشهرية'!$A$6:$A$1005,"&lt;="&amp;cfg_VAL_M))</f>
        <v/>
      </c>
      <c r="N65" s="136" t="str">
        <f aca="false">IF($B65="","",L65+K65-M65)</f>
        <v/>
      </c>
      <c r="O65" s="133" t="str">
        <f aca="false">IF($B65="","",IF(E65&gt;0,N65/E65,0))</f>
        <v/>
      </c>
      <c r="P65" s="91" t="str">
        <f aca="false">IF($B65="","",IF(AND(D65="لا",N65&lt;&gt;0),"⚠ غير مستحق وله رصيد",IF(N65&lt;-0.01,"✖ استخدام أكثر من المكوّن",IF(AND(D65="نعم",O65&gt;=1),"⚠ تذكرة مستحقة للصرف","✔ سليم"))))</f>
        <v/>
      </c>
    </row>
    <row r="66" customFormat="false" ht="15" hidden="false" customHeight="false" outlineLevel="0" collapsed="false">
      <c r="B66" s="74" t="str">
        <f aca="false">IF(الموظفون!$B66="","",الموظفون!$B66)</f>
        <v/>
      </c>
      <c r="C66" s="74" t="str">
        <f aca="false">IF($B66="","",الموظفون!$C66)</f>
        <v/>
      </c>
      <c r="D66" s="74" t="str">
        <f aca="false">IF($B66="","",IF(الموظفون!$S66="نعم","نعم","لا"))</f>
        <v/>
      </c>
      <c r="E66" s="86" t="str">
        <f aca="false">IF($B66="","",N(الموظفون!$T66))</f>
        <v/>
      </c>
      <c r="F66" s="51" t="str">
        <f aca="false">IF($B66="","",N(الموظفون!$U66))</f>
        <v/>
      </c>
      <c r="G66" s="86" t="str">
        <f aca="false">IF($B66="","",IF(AND(D66="نعم",F66&gt;0),E66/F66,0))</f>
        <v/>
      </c>
      <c r="H66" s="127" t="str">
        <f aca="false">IF($B66="","",MAX(cfg_Y_START,الموظفون!$H66))</f>
        <v/>
      </c>
      <c r="I66" s="127" t="str">
        <f aca="false">IF($B66="","",IF(OR(الموظفون!$X66="",الموظفون!$X66&gt;cfg_VAL_DATE),cfg_VAL_DATE,الموظفون!$X66))</f>
        <v/>
      </c>
      <c r="J66" s="51" t="str">
        <f aca="false">IF($B66="","",MAX(0,I66-H66+1))</f>
        <v/>
      </c>
      <c r="K66" s="86" t="str">
        <f aca="false">IF($B66="","",G66*12/cfg_DAYS_Y*J66)</f>
        <v/>
      </c>
      <c r="L66" s="86" t="str">
        <f aca="false">IF($B66="","",N(الموظفون!$W66))</f>
        <v/>
      </c>
      <c r="M66" s="86" t="str">
        <f aca="false">IF($B66="","",SUMIFS('الحركات الشهرية'!$M$6:$M$1005,'الحركات الشهرية'!$B$6:$B$1005,B66,'الحركات الشهرية'!$A$6:$A$1005,"&lt;="&amp;cfg_VAL_M))</f>
        <v/>
      </c>
      <c r="N66" s="135" t="str">
        <f aca="false">IF($B66="","",L66+K66-M66)</f>
        <v/>
      </c>
      <c r="O66" s="132" t="str">
        <f aca="false">IF($B66="","",IF(E66&gt;0,N66/E66,0))</f>
        <v/>
      </c>
      <c r="P66" s="74" t="str">
        <f aca="false">IF($B66="","",IF(AND(D66="لا",N66&lt;&gt;0),"⚠ غير مستحق وله رصيد",IF(N66&lt;-0.01,"✖ استخدام أكثر من المكوّن",IF(AND(D66="نعم",O66&gt;=1),"⚠ تذكرة مستحقة للصرف","✔ سليم"))))</f>
        <v/>
      </c>
    </row>
    <row r="67" customFormat="false" ht="15" hidden="false" customHeight="false" outlineLevel="0" collapsed="false">
      <c r="B67" s="91" t="str">
        <f aca="false">IF(الموظفون!$B67="","",الموظفون!$B67)</f>
        <v/>
      </c>
      <c r="C67" s="91" t="str">
        <f aca="false">IF($B67="","",الموظفون!$C67)</f>
        <v/>
      </c>
      <c r="D67" s="91" t="str">
        <f aca="false">IF($B67="","",IF(الموظفون!$S67="نعم","نعم","لا"))</f>
        <v/>
      </c>
      <c r="E67" s="90" t="str">
        <f aca="false">IF($B67="","",N(الموظفون!$T67))</f>
        <v/>
      </c>
      <c r="F67" s="115" t="str">
        <f aca="false">IF($B67="","",N(الموظفون!$U67))</f>
        <v/>
      </c>
      <c r="G67" s="90" t="str">
        <f aca="false">IF($B67="","",IF(AND(D67="نعم",F67&gt;0),E67/F67,0))</f>
        <v/>
      </c>
      <c r="H67" s="129" t="str">
        <f aca="false">IF($B67="","",MAX(cfg_Y_START,الموظفون!$H67))</f>
        <v/>
      </c>
      <c r="I67" s="129" t="str">
        <f aca="false">IF($B67="","",IF(OR(الموظفون!$X67="",الموظفون!$X67&gt;cfg_VAL_DATE),cfg_VAL_DATE,الموظفون!$X67))</f>
        <v/>
      </c>
      <c r="J67" s="115" t="str">
        <f aca="false">IF($B67="","",MAX(0,I67-H67+1))</f>
        <v/>
      </c>
      <c r="K67" s="90" t="str">
        <f aca="false">IF($B67="","",G67*12/cfg_DAYS_Y*J67)</f>
        <v/>
      </c>
      <c r="L67" s="90" t="str">
        <f aca="false">IF($B67="","",N(الموظفون!$W67))</f>
        <v/>
      </c>
      <c r="M67" s="90" t="str">
        <f aca="false">IF($B67="","",SUMIFS('الحركات الشهرية'!$M$6:$M$1005,'الحركات الشهرية'!$B$6:$B$1005,B67,'الحركات الشهرية'!$A$6:$A$1005,"&lt;="&amp;cfg_VAL_M))</f>
        <v/>
      </c>
      <c r="N67" s="136" t="str">
        <f aca="false">IF($B67="","",L67+K67-M67)</f>
        <v/>
      </c>
      <c r="O67" s="133" t="str">
        <f aca="false">IF($B67="","",IF(E67&gt;0,N67/E67,0))</f>
        <v/>
      </c>
      <c r="P67" s="91" t="str">
        <f aca="false">IF($B67="","",IF(AND(D67="لا",N67&lt;&gt;0),"⚠ غير مستحق وله رصيد",IF(N67&lt;-0.01,"✖ استخدام أكثر من المكوّن",IF(AND(D67="نعم",O67&gt;=1),"⚠ تذكرة مستحقة للصرف","✔ سليم"))))</f>
        <v/>
      </c>
    </row>
    <row r="68" customFormat="false" ht="15" hidden="false" customHeight="false" outlineLevel="0" collapsed="false">
      <c r="B68" s="74" t="str">
        <f aca="false">IF(الموظفون!$B68="","",الموظفون!$B68)</f>
        <v/>
      </c>
      <c r="C68" s="74" t="str">
        <f aca="false">IF($B68="","",الموظفون!$C68)</f>
        <v/>
      </c>
      <c r="D68" s="74" t="str">
        <f aca="false">IF($B68="","",IF(الموظفون!$S68="نعم","نعم","لا"))</f>
        <v/>
      </c>
      <c r="E68" s="86" t="str">
        <f aca="false">IF($B68="","",N(الموظفون!$T68))</f>
        <v/>
      </c>
      <c r="F68" s="51" t="str">
        <f aca="false">IF($B68="","",N(الموظفون!$U68))</f>
        <v/>
      </c>
      <c r="G68" s="86" t="str">
        <f aca="false">IF($B68="","",IF(AND(D68="نعم",F68&gt;0),E68/F68,0))</f>
        <v/>
      </c>
      <c r="H68" s="127" t="str">
        <f aca="false">IF($B68="","",MAX(cfg_Y_START,الموظفون!$H68))</f>
        <v/>
      </c>
      <c r="I68" s="127" t="str">
        <f aca="false">IF($B68="","",IF(OR(الموظفون!$X68="",الموظفون!$X68&gt;cfg_VAL_DATE),cfg_VAL_DATE,الموظفون!$X68))</f>
        <v/>
      </c>
      <c r="J68" s="51" t="str">
        <f aca="false">IF($B68="","",MAX(0,I68-H68+1))</f>
        <v/>
      </c>
      <c r="K68" s="86" t="str">
        <f aca="false">IF($B68="","",G68*12/cfg_DAYS_Y*J68)</f>
        <v/>
      </c>
      <c r="L68" s="86" t="str">
        <f aca="false">IF($B68="","",N(الموظفون!$W68))</f>
        <v/>
      </c>
      <c r="M68" s="86" t="str">
        <f aca="false">IF($B68="","",SUMIFS('الحركات الشهرية'!$M$6:$M$1005,'الحركات الشهرية'!$B$6:$B$1005,B68,'الحركات الشهرية'!$A$6:$A$1005,"&lt;="&amp;cfg_VAL_M))</f>
        <v/>
      </c>
      <c r="N68" s="135" t="str">
        <f aca="false">IF($B68="","",L68+K68-M68)</f>
        <v/>
      </c>
      <c r="O68" s="132" t="str">
        <f aca="false">IF($B68="","",IF(E68&gt;0,N68/E68,0))</f>
        <v/>
      </c>
      <c r="P68" s="74" t="str">
        <f aca="false">IF($B68="","",IF(AND(D68="لا",N68&lt;&gt;0),"⚠ غير مستحق وله رصيد",IF(N68&lt;-0.01,"✖ استخدام أكثر من المكوّن",IF(AND(D68="نعم",O68&gt;=1),"⚠ تذكرة مستحقة للصرف","✔ سليم"))))</f>
        <v/>
      </c>
    </row>
    <row r="69" customFormat="false" ht="15" hidden="false" customHeight="false" outlineLevel="0" collapsed="false">
      <c r="B69" s="91" t="str">
        <f aca="false">IF(الموظفون!$B69="","",الموظفون!$B69)</f>
        <v/>
      </c>
      <c r="C69" s="91" t="str">
        <f aca="false">IF($B69="","",الموظفون!$C69)</f>
        <v/>
      </c>
      <c r="D69" s="91" t="str">
        <f aca="false">IF($B69="","",IF(الموظفون!$S69="نعم","نعم","لا"))</f>
        <v/>
      </c>
      <c r="E69" s="90" t="str">
        <f aca="false">IF($B69="","",N(الموظفون!$T69))</f>
        <v/>
      </c>
      <c r="F69" s="115" t="str">
        <f aca="false">IF($B69="","",N(الموظفون!$U69))</f>
        <v/>
      </c>
      <c r="G69" s="90" t="str">
        <f aca="false">IF($B69="","",IF(AND(D69="نعم",F69&gt;0),E69/F69,0))</f>
        <v/>
      </c>
      <c r="H69" s="129" t="str">
        <f aca="false">IF($B69="","",MAX(cfg_Y_START,الموظفون!$H69))</f>
        <v/>
      </c>
      <c r="I69" s="129" t="str">
        <f aca="false">IF($B69="","",IF(OR(الموظفون!$X69="",الموظفون!$X69&gt;cfg_VAL_DATE),cfg_VAL_DATE,الموظفون!$X69))</f>
        <v/>
      </c>
      <c r="J69" s="115" t="str">
        <f aca="false">IF($B69="","",MAX(0,I69-H69+1))</f>
        <v/>
      </c>
      <c r="K69" s="90" t="str">
        <f aca="false">IF($B69="","",G69*12/cfg_DAYS_Y*J69)</f>
        <v/>
      </c>
      <c r="L69" s="90" t="str">
        <f aca="false">IF($B69="","",N(الموظفون!$W69))</f>
        <v/>
      </c>
      <c r="M69" s="90" t="str">
        <f aca="false">IF($B69="","",SUMIFS('الحركات الشهرية'!$M$6:$M$1005,'الحركات الشهرية'!$B$6:$B$1005,B69,'الحركات الشهرية'!$A$6:$A$1005,"&lt;="&amp;cfg_VAL_M))</f>
        <v/>
      </c>
      <c r="N69" s="136" t="str">
        <f aca="false">IF($B69="","",L69+K69-M69)</f>
        <v/>
      </c>
      <c r="O69" s="133" t="str">
        <f aca="false">IF($B69="","",IF(E69&gt;0,N69/E69,0))</f>
        <v/>
      </c>
      <c r="P69" s="91" t="str">
        <f aca="false">IF($B69="","",IF(AND(D69="لا",N69&lt;&gt;0),"⚠ غير مستحق وله رصيد",IF(N69&lt;-0.01,"✖ استخدام أكثر من المكوّن",IF(AND(D69="نعم",O69&gt;=1),"⚠ تذكرة مستحقة للصرف","✔ سليم"))))</f>
        <v/>
      </c>
    </row>
    <row r="70" customFormat="false" ht="15" hidden="false" customHeight="false" outlineLevel="0" collapsed="false">
      <c r="B70" s="74" t="str">
        <f aca="false">IF(الموظفون!$B70="","",الموظفون!$B70)</f>
        <v/>
      </c>
      <c r="C70" s="74" t="str">
        <f aca="false">IF($B70="","",الموظفون!$C70)</f>
        <v/>
      </c>
      <c r="D70" s="74" t="str">
        <f aca="false">IF($B70="","",IF(الموظفون!$S70="نعم","نعم","لا"))</f>
        <v/>
      </c>
      <c r="E70" s="86" t="str">
        <f aca="false">IF($B70="","",N(الموظفون!$T70))</f>
        <v/>
      </c>
      <c r="F70" s="51" t="str">
        <f aca="false">IF($B70="","",N(الموظفون!$U70))</f>
        <v/>
      </c>
      <c r="G70" s="86" t="str">
        <f aca="false">IF($B70="","",IF(AND(D70="نعم",F70&gt;0),E70/F70,0))</f>
        <v/>
      </c>
      <c r="H70" s="127" t="str">
        <f aca="false">IF($B70="","",MAX(cfg_Y_START,الموظفون!$H70))</f>
        <v/>
      </c>
      <c r="I70" s="127" t="str">
        <f aca="false">IF($B70="","",IF(OR(الموظفون!$X70="",الموظفون!$X70&gt;cfg_VAL_DATE),cfg_VAL_DATE,الموظفون!$X70))</f>
        <v/>
      </c>
      <c r="J70" s="51" t="str">
        <f aca="false">IF($B70="","",MAX(0,I70-H70+1))</f>
        <v/>
      </c>
      <c r="K70" s="86" t="str">
        <f aca="false">IF($B70="","",G70*12/cfg_DAYS_Y*J70)</f>
        <v/>
      </c>
      <c r="L70" s="86" t="str">
        <f aca="false">IF($B70="","",N(الموظفون!$W70))</f>
        <v/>
      </c>
      <c r="M70" s="86" t="str">
        <f aca="false">IF($B70="","",SUMIFS('الحركات الشهرية'!$M$6:$M$1005,'الحركات الشهرية'!$B$6:$B$1005,B70,'الحركات الشهرية'!$A$6:$A$1005,"&lt;="&amp;cfg_VAL_M))</f>
        <v/>
      </c>
      <c r="N70" s="135" t="str">
        <f aca="false">IF($B70="","",L70+K70-M70)</f>
        <v/>
      </c>
      <c r="O70" s="132" t="str">
        <f aca="false">IF($B70="","",IF(E70&gt;0,N70/E70,0))</f>
        <v/>
      </c>
      <c r="P70" s="74" t="str">
        <f aca="false">IF($B70="","",IF(AND(D70="لا",N70&lt;&gt;0),"⚠ غير مستحق وله رصيد",IF(N70&lt;-0.01,"✖ استخدام أكثر من المكوّن",IF(AND(D70="نعم",O70&gt;=1),"⚠ تذكرة مستحقة للصرف","✔ سليم"))))</f>
        <v/>
      </c>
    </row>
    <row r="71" customFormat="false" ht="15" hidden="false" customHeight="false" outlineLevel="0" collapsed="false">
      <c r="B71" s="91" t="str">
        <f aca="false">IF(الموظفون!$B71="","",الموظفون!$B71)</f>
        <v/>
      </c>
      <c r="C71" s="91" t="str">
        <f aca="false">IF($B71="","",الموظفون!$C71)</f>
        <v/>
      </c>
      <c r="D71" s="91" t="str">
        <f aca="false">IF($B71="","",IF(الموظفون!$S71="نعم","نعم","لا"))</f>
        <v/>
      </c>
      <c r="E71" s="90" t="str">
        <f aca="false">IF($B71="","",N(الموظفون!$T71))</f>
        <v/>
      </c>
      <c r="F71" s="115" t="str">
        <f aca="false">IF($B71="","",N(الموظفون!$U71))</f>
        <v/>
      </c>
      <c r="G71" s="90" t="str">
        <f aca="false">IF($B71="","",IF(AND(D71="نعم",F71&gt;0),E71/F71,0))</f>
        <v/>
      </c>
      <c r="H71" s="129" t="str">
        <f aca="false">IF($B71="","",MAX(cfg_Y_START,الموظفون!$H71))</f>
        <v/>
      </c>
      <c r="I71" s="129" t="str">
        <f aca="false">IF($B71="","",IF(OR(الموظفون!$X71="",الموظفون!$X71&gt;cfg_VAL_DATE),cfg_VAL_DATE,الموظفون!$X71))</f>
        <v/>
      </c>
      <c r="J71" s="115" t="str">
        <f aca="false">IF($B71="","",MAX(0,I71-H71+1))</f>
        <v/>
      </c>
      <c r="K71" s="90" t="str">
        <f aca="false">IF($B71="","",G71*12/cfg_DAYS_Y*J71)</f>
        <v/>
      </c>
      <c r="L71" s="90" t="str">
        <f aca="false">IF($B71="","",N(الموظفون!$W71))</f>
        <v/>
      </c>
      <c r="M71" s="90" t="str">
        <f aca="false">IF($B71="","",SUMIFS('الحركات الشهرية'!$M$6:$M$1005,'الحركات الشهرية'!$B$6:$B$1005,B71,'الحركات الشهرية'!$A$6:$A$1005,"&lt;="&amp;cfg_VAL_M))</f>
        <v/>
      </c>
      <c r="N71" s="136" t="str">
        <f aca="false">IF($B71="","",L71+K71-M71)</f>
        <v/>
      </c>
      <c r="O71" s="133" t="str">
        <f aca="false">IF($B71="","",IF(E71&gt;0,N71/E71,0))</f>
        <v/>
      </c>
      <c r="P71" s="91" t="str">
        <f aca="false">IF($B71="","",IF(AND(D71="لا",N71&lt;&gt;0),"⚠ غير مستحق وله رصيد",IF(N71&lt;-0.01,"✖ استخدام أكثر من المكوّن",IF(AND(D71="نعم",O71&gt;=1),"⚠ تذكرة مستحقة للصرف","✔ سليم"))))</f>
        <v/>
      </c>
    </row>
    <row r="72" customFormat="false" ht="15" hidden="false" customHeight="false" outlineLevel="0" collapsed="false">
      <c r="B72" s="74" t="str">
        <f aca="false">IF(الموظفون!$B72="","",الموظفون!$B72)</f>
        <v/>
      </c>
      <c r="C72" s="74" t="str">
        <f aca="false">IF($B72="","",الموظفون!$C72)</f>
        <v/>
      </c>
      <c r="D72" s="74" t="str">
        <f aca="false">IF($B72="","",IF(الموظفون!$S72="نعم","نعم","لا"))</f>
        <v/>
      </c>
      <c r="E72" s="86" t="str">
        <f aca="false">IF($B72="","",N(الموظفون!$T72))</f>
        <v/>
      </c>
      <c r="F72" s="51" t="str">
        <f aca="false">IF($B72="","",N(الموظفون!$U72))</f>
        <v/>
      </c>
      <c r="G72" s="86" t="str">
        <f aca="false">IF($B72="","",IF(AND(D72="نعم",F72&gt;0),E72/F72,0))</f>
        <v/>
      </c>
      <c r="H72" s="127" t="str">
        <f aca="false">IF($B72="","",MAX(cfg_Y_START,الموظفون!$H72))</f>
        <v/>
      </c>
      <c r="I72" s="127" t="str">
        <f aca="false">IF($B72="","",IF(OR(الموظفون!$X72="",الموظفون!$X72&gt;cfg_VAL_DATE),cfg_VAL_DATE,الموظفون!$X72))</f>
        <v/>
      </c>
      <c r="J72" s="51" t="str">
        <f aca="false">IF($B72="","",MAX(0,I72-H72+1))</f>
        <v/>
      </c>
      <c r="K72" s="86" t="str">
        <f aca="false">IF($B72="","",G72*12/cfg_DAYS_Y*J72)</f>
        <v/>
      </c>
      <c r="L72" s="86" t="str">
        <f aca="false">IF($B72="","",N(الموظفون!$W72))</f>
        <v/>
      </c>
      <c r="M72" s="86" t="str">
        <f aca="false">IF($B72="","",SUMIFS('الحركات الشهرية'!$M$6:$M$1005,'الحركات الشهرية'!$B$6:$B$1005,B72,'الحركات الشهرية'!$A$6:$A$1005,"&lt;="&amp;cfg_VAL_M))</f>
        <v/>
      </c>
      <c r="N72" s="135" t="str">
        <f aca="false">IF($B72="","",L72+K72-M72)</f>
        <v/>
      </c>
      <c r="O72" s="132" t="str">
        <f aca="false">IF($B72="","",IF(E72&gt;0,N72/E72,0))</f>
        <v/>
      </c>
      <c r="P72" s="74" t="str">
        <f aca="false">IF($B72="","",IF(AND(D72="لا",N72&lt;&gt;0),"⚠ غير مستحق وله رصيد",IF(N72&lt;-0.01,"✖ استخدام أكثر من المكوّن",IF(AND(D72="نعم",O72&gt;=1),"⚠ تذكرة مستحقة للصرف","✔ سليم"))))</f>
        <v/>
      </c>
    </row>
    <row r="73" customFormat="false" ht="15" hidden="false" customHeight="false" outlineLevel="0" collapsed="false">
      <c r="B73" s="91" t="str">
        <f aca="false">IF(الموظفون!$B73="","",الموظفون!$B73)</f>
        <v/>
      </c>
      <c r="C73" s="91" t="str">
        <f aca="false">IF($B73="","",الموظفون!$C73)</f>
        <v/>
      </c>
      <c r="D73" s="91" t="str">
        <f aca="false">IF($B73="","",IF(الموظفون!$S73="نعم","نعم","لا"))</f>
        <v/>
      </c>
      <c r="E73" s="90" t="str">
        <f aca="false">IF($B73="","",N(الموظفون!$T73))</f>
        <v/>
      </c>
      <c r="F73" s="115" t="str">
        <f aca="false">IF($B73="","",N(الموظفون!$U73))</f>
        <v/>
      </c>
      <c r="G73" s="90" t="str">
        <f aca="false">IF($B73="","",IF(AND(D73="نعم",F73&gt;0),E73/F73,0))</f>
        <v/>
      </c>
      <c r="H73" s="129" t="str">
        <f aca="false">IF($B73="","",MAX(cfg_Y_START,الموظفون!$H73))</f>
        <v/>
      </c>
      <c r="I73" s="129" t="str">
        <f aca="false">IF($B73="","",IF(OR(الموظفون!$X73="",الموظفون!$X73&gt;cfg_VAL_DATE),cfg_VAL_DATE,الموظفون!$X73))</f>
        <v/>
      </c>
      <c r="J73" s="115" t="str">
        <f aca="false">IF($B73="","",MAX(0,I73-H73+1))</f>
        <v/>
      </c>
      <c r="K73" s="90" t="str">
        <f aca="false">IF($B73="","",G73*12/cfg_DAYS_Y*J73)</f>
        <v/>
      </c>
      <c r="L73" s="90" t="str">
        <f aca="false">IF($B73="","",N(الموظفون!$W73))</f>
        <v/>
      </c>
      <c r="M73" s="90" t="str">
        <f aca="false">IF($B73="","",SUMIFS('الحركات الشهرية'!$M$6:$M$1005,'الحركات الشهرية'!$B$6:$B$1005,B73,'الحركات الشهرية'!$A$6:$A$1005,"&lt;="&amp;cfg_VAL_M))</f>
        <v/>
      </c>
      <c r="N73" s="136" t="str">
        <f aca="false">IF($B73="","",L73+K73-M73)</f>
        <v/>
      </c>
      <c r="O73" s="133" t="str">
        <f aca="false">IF($B73="","",IF(E73&gt;0,N73/E73,0))</f>
        <v/>
      </c>
      <c r="P73" s="91" t="str">
        <f aca="false">IF($B73="","",IF(AND(D73="لا",N73&lt;&gt;0),"⚠ غير مستحق وله رصيد",IF(N73&lt;-0.01,"✖ استخدام أكثر من المكوّن",IF(AND(D73="نعم",O73&gt;=1),"⚠ تذكرة مستحقة للصرف","✔ سليم"))))</f>
        <v/>
      </c>
    </row>
    <row r="74" customFormat="false" ht="15" hidden="false" customHeight="false" outlineLevel="0" collapsed="false">
      <c r="B74" s="74" t="str">
        <f aca="false">IF(الموظفون!$B74="","",الموظفون!$B74)</f>
        <v/>
      </c>
      <c r="C74" s="74" t="str">
        <f aca="false">IF($B74="","",الموظفون!$C74)</f>
        <v/>
      </c>
      <c r="D74" s="74" t="str">
        <f aca="false">IF($B74="","",IF(الموظفون!$S74="نعم","نعم","لا"))</f>
        <v/>
      </c>
      <c r="E74" s="86" t="str">
        <f aca="false">IF($B74="","",N(الموظفون!$T74))</f>
        <v/>
      </c>
      <c r="F74" s="51" t="str">
        <f aca="false">IF($B74="","",N(الموظفون!$U74))</f>
        <v/>
      </c>
      <c r="G74" s="86" t="str">
        <f aca="false">IF($B74="","",IF(AND(D74="نعم",F74&gt;0),E74/F74,0))</f>
        <v/>
      </c>
      <c r="H74" s="127" t="str">
        <f aca="false">IF($B74="","",MAX(cfg_Y_START,الموظفون!$H74))</f>
        <v/>
      </c>
      <c r="I74" s="127" t="str">
        <f aca="false">IF($B74="","",IF(OR(الموظفون!$X74="",الموظفون!$X74&gt;cfg_VAL_DATE),cfg_VAL_DATE,الموظفون!$X74))</f>
        <v/>
      </c>
      <c r="J74" s="51" t="str">
        <f aca="false">IF($B74="","",MAX(0,I74-H74+1))</f>
        <v/>
      </c>
      <c r="K74" s="86" t="str">
        <f aca="false">IF($B74="","",G74*12/cfg_DAYS_Y*J74)</f>
        <v/>
      </c>
      <c r="L74" s="86" t="str">
        <f aca="false">IF($B74="","",N(الموظفون!$W74))</f>
        <v/>
      </c>
      <c r="M74" s="86" t="str">
        <f aca="false">IF($B74="","",SUMIFS('الحركات الشهرية'!$M$6:$M$1005,'الحركات الشهرية'!$B$6:$B$1005,B74,'الحركات الشهرية'!$A$6:$A$1005,"&lt;="&amp;cfg_VAL_M))</f>
        <v/>
      </c>
      <c r="N74" s="135" t="str">
        <f aca="false">IF($B74="","",L74+K74-M74)</f>
        <v/>
      </c>
      <c r="O74" s="132" t="str">
        <f aca="false">IF($B74="","",IF(E74&gt;0,N74/E74,0))</f>
        <v/>
      </c>
      <c r="P74" s="74" t="str">
        <f aca="false">IF($B74="","",IF(AND(D74="لا",N74&lt;&gt;0),"⚠ غير مستحق وله رصيد",IF(N74&lt;-0.01,"✖ استخدام أكثر من المكوّن",IF(AND(D74="نعم",O74&gt;=1),"⚠ تذكرة مستحقة للصرف","✔ سليم"))))</f>
        <v/>
      </c>
    </row>
    <row r="75" customFormat="false" ht="15" hidden="false" customHeight="false" outlineLevel="0" collapsed="false">
      <c r="B75" s="91" t="str">
        <f aca="false">IF(الموظفون!$B75="","",الموظفون!$B75)</f>
        <v/>
      </c>
      <c r="C75" s="91" t="str">
        <f aca="false">IF($B75="","",الموظفون!$C75)</f>
        <v/>
      </c>
      <c r="D75" s="91" t="str">
        <f aca="false">IF($B75="","",IF(الموظفون!$S75="نعم","نعم","لا"))</f>
        <v/>
      </c>
      <c r="E75" s="90" t="str">
        <f aca="false">IF($B75="","",N(الموظفون!$T75))</f>
        <v/>
      </c>
      <c r="F75" s="115" t="str">
        <f aca="false">IF($B75="","",N(الموظفون!$U75))</f>
        <v/>
      </c>
      <c r="G75" s="90" t="str">
        <f aca="false">IF($B75="","",IF(AND(D75="نعم",F75&gt;0),E75/F75,0))</f>
        <v/>
      </c>
      <c r="H75" s="129" t="str">
        <f aca="false">IF($B75="","",MAX(cfg_Y_START,الموظفون!$H75))</f>
        <v/>
      </c>
      <c r="I75" s="129" t="str">
        <f aca="false">IF($B75="","",IF(OR(الموظفون!$X75="",الموظفون!$X75&gt;cfg_VAL_DATE),cfg_VAL_DATE,الموظفون!$X75))</f>
        <v/>
      </c>
      <c r="J75" s="115" t="str">
        <f aca="false">IF($B75="","",MAX(0,I75-H75+1))</f>
        <v/>
      </c>
      <c r="K75" s="90" t="str">
        <f aca="false">IF($B75="","",G75*12/cfg_DAYS_Y*J75)</f>
        <v/>
      </c>
      <c r="L75" s="90" t="str">
        <f aca="false">IF($B75="","",N(الموظفون!$W75))</f>
        <v/>
      </c>
      <c r="M75" s="90" t="str">
        <f aca="false">IF($B75="","",SUMIFS('الحركات الشهرية'!$M$6:$M$1005,'الحركات الشهرية'!$B$6:$B$1005,B75,'الحركات الشهرية'!$A$6:$A$1005,"&lt;="&amp;cfg_VAL_M))</f>
        <v/>
      </c>
      <c r="N75" s="136" t="str">
        <f aca="false">IF($B75="","",L75+K75-M75)</f>
        <v/>
      </c>
      <c r="O75" s="133" t="str">
        <f aca="false">IF($B75="","",IF(E75&gt;0,N75/E75,0))</f>
        <v/>
      </c>
      <c r="P75" s="91" t="str">
        <f aca="false">IF($B75="","",IF(AND(D75="لا",N75&lt;&gt;0),"⚠ غير مستحق وله رصيد",IF(N75&lt;-0.01,"✖ استخدام أكثر من المكوّن",IF(AND(D75="نعم",O75&gt;=1),"⚠ تذكرة مستحقة للصرف","✔ سليم"))))</f>
        <v/>
      </c>
    </row>
    <row r="76" customFormat="false" ht="15" hidden="false" customHeight="false" outlineLevel="0" collapsed="false">
      <c r="B76" s="74" t="str">
        <f aca="false">IF(الموظفون!$B76="","",الموظفون!$B76)</f>
        <v/>
      </c>
      <c r="C76" s="74" t="str">
        <f aca="false">IF($B76="","",الموظفون!$C76)</f>
        <v/>
      </c>
      <c r="D76" s="74" t="str">
        <f aca="false">IF($B76="","",IF(الموظفون!$S76="نعم","نعم","لا"))</f>
        <v/>
      </c>
      <c r="E76" s="86" t="str">
        <f aca="false">IF($B76="","",N(الموظفون!$T76))</f>
        <v/>
      </c>
      <c r="F76" s="51" t="str">
        <f aca="false">IF($B76="","",N(الموظفون!$U76))</f>
        <v/>
      </c>
      <c r="G76" s="86" t="str">
        <f aca="false">IF($B76="","",IF(AND(D76="نعم",F76&gt;0),E76/F76,0))</f>
        <v/>
      </c>
      <c r="H76" s="127" t="str">
        <f aca="false">IF($B76="","",MAX(cfg_Y_START,الموظفون!$H76))</f>
        <v/>
      </c>
      <c r="I76" s="127" t="str">
        <f aca="false">IF($B76="","",IF(OR(الموظفون!$X76="",الموظفون!$X76&gt;cfg_VAL_DATE),cfg_VAL_DATE,الموظفون!$X76))</f>
        <v/>
      </c>
      <c r="J76" s="51" t="str">
        <f aca="false">IF($B76="","",MAX(0,I76-H76+1))</f>
        <v/>
      </c>
      <c r="K76" s="86" t="str">
        <f aca="false">IF($B76="","",G76*12/cfg_DAYS_Y*J76)</f>
        <v/>
      </c>
      <c r="L76" s="86" t="str">
        <f aca="false">IF($B76="","",N(الموظفون!$W76))</f>
        <v/>
      </c>
      <c r="M76" s="86" t="str">
        <f aca="false">IF($B76="","",SUMIFS('الحركات الشهرية'!$M$6:$M$1005,'الحركات الشهرية'!$B$6:$B$1005,B76,'الحركات الشهرية'!$A$6:$A$1005,"&lt;="&amp;cfg_VAL_M))</f>
        <v/>
      </c>
      <c r="N76" s="135" t="str">
        <f aca="false">IF($B76="","",L76+K76-M76)</f>
        <v/>
      </c>
      <c r="O76" s="132" t="str">
        <f aca="false">IF($B76="","",IF(E76&gt;0,N76/E76,0))</f>
        <v/>
      </c>
      <c r="P76" s="74" t="str">
        <f aca="false">IF($B76="","",IF(AND(D76="لا",N76&lt;&gt;0),"⚠ غير مستحق وله رصيد",IF(N76&lt;-0.01,"✖ استخدام أكثر من المكوّن",IF(AND(D76="نعم",O76&gt;=1),"⚠ تذكرة مستحقة للصرف","✔ سليم"))))</f>
        <v/>
      </c>
    </row>
    <row r="77" customFormat="false" ht="15" hidden="false" customHeight="false" outlineLevel="0" collapsed="false">
      <c r="B77" s="91" t="str">
        <f aca="false">IF(الموظفون!$B77="","",الموظفون!$B77)</f>
        <v/>
      </c>
      <c r="C77" s="91" t="str">
        <f aca="false">IF($B77="","",الموظفون!$C77)</f>
        <v/>
      </c>
      <c r="D77" s="91" t="str">
        <f aca="false">IF($B77="","",IF(الموظفون!$S77="نعم","نعم","لا"))</f>
        <v/>
      </c>
      <c r="E77" s="90" t="str">
        <f aca="false">IF($B77="","",N(الموظفون!$T77))</f>
        <v/>
      </c>
      <c r="F77" s="115" t="str">
        <f aca="false">IF($B77="","",N(الموظفون!$U77))</f>
        <v/>
      </c>
      <c r="G77" s="90" t="str">
        <f aca="false">IF($B77="","",IF(AND(D77="نعم",F77&gt;0),E77/F77,0))</f>
        <v/>
      </c>
      <c r="H77" s="129" t="str">
        <f aca="false">IF($B77="","",MAX(cfg_Y_START,الموظفون!$H77))</f>
        <v/>
      </c>
      <c r="I77" s="129" t="str">
        <f aca="false">IF($B77="","",IF(OR(الموظفون!$X77="",الموظفون!$X77&gt;cfg_VAL_DATE),cfg_VAL_DATE,الموظفون!$X77))</f>
        <v/>
      </c>
      <c r="J77" s="115" t="str">
        <f aca="false">IF($B77="","",MAX(0,I77-H77+1))</f>
        <v/>
      </c>
      <c r="K77" s="90" t="str">
        <f aca="false">IF($B77="","",G77*12/cfg_DAYS_Y*J77)</f>
        <v/>
      </c>
      <c r="L77" s="90" t="str">
        <f aca="false">IF($B77="","",N(الموظفون!$W77))</f>
        <v/>
      </c>
      <c r="M77" s="90" t="str">
        <f aca="false">IF($B77="","",SUMIFS('الحركات الشهرية'!$M$6:$M$1005,'الحركات الشهرية'!$B$6:$B$1005,B77,'الحركات الشهرية'!$A$6:$A$1005,"&lt;="&amp;cfg_VAL_M))</f>
        <v/>
      </c>
      <c r="N77" s="136" t="str">
        <f aca="false">IF($B77="","",L77+K77-M77)</f>
        <v/>
      </c>
      <c r="O77" s="133" t="str">
        <f aca="false">IF($B77="","",IF(E77&gt;0,N77/E77,0))</f>
        <v/>
      </c>
      <c r="P77" s="91" t="str">
        <f aca="false">IF($B77="","",IF(AND(D77="لا",N77&lt;&gt;0),"⚠ غير مستحق وله رصيد",IF(N77&lt;-0.01,"✖ استخدام أكثر من المكوّن",IF(AND(D77="نعم",O77&gt;=1),"⚠ تذكرة مستحقة للصرف","✔ سليم"))))</f>
        <v/>
      </c>
    </row>
    <row r="78" customFormat="false" ht="15" hidden="false" customHeight="false" outlineLevel="0" collapsed="false">
      <c r="B78" s="74" t="str">
        <f aca="false">IF(الموظفون!$B78="","",الموظفون!$B78)</f>
        <v/>
      </c>
      <c r="C78" s="74" t="str">
        <f aca="false">IF($B78="","",الموظفون!$C78)</f>
        <v/>
      </c>
      <c r="D78" s="74" t="str">
        <f aca="false">IF($B78="","",IF(الموظفون!$S78="نعم","نعم","لا"))</f>
        <v/>
      </c>
      <c r="E78" s="86" t="str">
        <f aca="false">IF($B78="","",N(الموظفون!$T78))</f>
        <v/>
      </c>
      <c r="F78" s="51" t="str">
        <f aca="false">IF($B78="","",N(الموظفون!$U78))</f>
        <v/>
      </c>
      <c r="G78" s="86" t="str">
        <f aca="false">IF($B78="","",IF(AND(D78="نعم",F78&gt;0),E78/F78,0))</f>
        <v/>
      </c>
      <c r="H78" s="127" t="str">
        <f aca="false">IF($B78="","",MAX(cfg_Y_START,الموظفون!$H78))</f>
        <v/>
      </c>
      <c r="I78" s="127" t="str">
        <f aca="false">IF($B78="","",IF(OR(الموظفون!$X78="",الموظفون!$X78&gt;cfg_VAL_DATE),cfg_VAL_DATE,الموظفون!$X78))</f>
        <v/>
      </c>
      <c r="J78" s="51" t="str">
        <f aca="false">IF($B78="","",MAX(0,I78-H78+1))</f>
        <v/>
      </c>
      <c r="K78" s="86" t="str">
        <f aca="false">IF($B78="","",G78*12/cfg_DAYS_Y*J78)</f>
        <v/>
      </c>
      <c r="L78" s="86" t="str">
        <f aca="false">IF($B78="","",N(الموظفون!$W78))</f>
        <v/>
      </c>
      <c r="M78" s="86" t="str">
        <f aca="false">IF($B78="","",SUMIFS('الحركات الشهرية'!$M$6:$M$1005,'الحركات الشهرية'!$B$6:$B$1005,B78,'الحركات الشهرية'!$A$6:$A$1005,"&lt;="&amp;cfg_VAL_M))</f>
        <v/>
      </c>
      <c r="N78" s="135" t="str">
        <f aca="false">IF($B78="","",L78+K78-M78)</f>
        <v/>
      </c>
      <c r="O78" s="132" t="str">
        <f aca="false">IF($B78="","",IF(E78&gt;0,N78/E78,0))</f>
        <v/>
      </c>
      <c r="P78" s="74" t="str">
        <f aca="false">IF($B78="","",IF(AND(D78="لا",N78&lt;&gt;0),"⚠ غير مستحق وله رصيد",IF(N78&lt;-0.01,"✖ استخدام أكثر من المكوّن",IF(AND(D78="نعم",O78&gt;=1),"⚠ تذكرة مستحقة للصرف","✔ سليم"))))</f>
        <v/>
      </c>
    </row>
    <row r="79" customFormat="false" ht="15" hidden="false" customHeight="false" outlineLevel="0" collapsed="false">
      <c r="B79" s="91" t="str">
        <f aca="false">IF(الموظفون!$B79="","",الموظفون!$B79)</f>
        <v/>
      </c>
      <c r="C79" s="91" t="str">
        <f aca="false">IF($B79="","",الموظفون!$C79)</f>
        <v/>
      </c>
      <c r="D79" s="91" t="str">
        <f aca="false">IF($B79="","",IF(الموظفون!$S79="نعم","نعم","لا"))</f>
        <v/>
      </c>
      <c r="E79" s="90" t="str">
        <f aca="false">IF($B79="","",N(الموظفون!$T79))</f>
        <v/>
      </c>
      <c r="F79" s="115" t="str">
        <f aca="false">IF($B79="","",N(الموظفون!$U79))</f>
        <v/>
      </c>
      <c r="G79" s="90" t="str">
        <f aca="false">IF($B79="","",IF(AND(D79="نعم",F79&gt;0),E79/F79,0))</f>
        <v/>
      </c>
      <c r="H79" s="129" t="str">
        <f aca="false">IF($B79="","",MAX(cfg_Y_START,الموظفون!$H79))</f>
        <v/>
      </c>
      <c r="I79" s="129" t="str">
        <f aca="false">IF($B79="","",IF(OR(الموظفون!$X79="",الموظفون!$X79&gt;cfg_VAL_DATE),cfg_VAL_DATE,الموظفون!$X79))</f>
        <v/>
      </c>
      <c r="J79" s="115" t="str">
        <f aca="false">IF($B79="","",MAX(0,I79-H79+1))</f>
        <v/>
      </c>
      <c r="K79" s="90" t="str">
        <f aca="false">IF($B79="","",G79*12/cfg_DAYS_Y*J79)</f>
        <v/>
      </c>
      <c r="L79" s="90" t="str">
        <f aca="false">IF($B79="","",N(الموظفون!$W79))</f>
        <v/>
      </c>
      <c r="M79" s="90" t="str">
        <f aca="false">IF($B79="","",SUMIFS('الحركات الشهرية'!$M$6:$M$1005,'الحركات الشهرية'!$B$6:$B$1005,B79,'الحركات الشهرية'!$A$6:$A$1005,"&lt;="&amp;cfg_VAL_M))</f>
        <v/>
      </c>
      <c r="N79" s="136" t="str">
        <f aca="false">IF($B79="","",L79+K79-M79)</f>
        <v/>
      </c>
      <c r="O79" s="133" t="str">
        <f aca="false">IF($B79="","",IF(E79&gt;0,N79/E79,0))</f>
        <v/>
      </c>
      <c r="P79" s="91" t="str">
        <f aca="false">IF($B79="","",IF(AND(D79="لا",N79&lt;&gt;0),"⚠ غير مستحق وله رصيد",IF(N79&lt;-0.01,"✖ استخدام أكثر من المكوّن",IF(AND(D79="نعم",O79&gt;=1),"⚠ تذكرة مستحقة للصرف","✔ سليم"))))</f>
        <v/>
      </c>
    </row>
    <row r="80" customFormat="false" ht="15" hidden="false" customHeight="false" outlineLevel="0" collapsed="false">
      <c r="B80" s="74" t="str">
        <f aca="false">IF(الموظفون!$B80="","",الموظفون!$B80)</f>
        <v/>
      </c>
      <c r="C80" s="74" t="str">
        <f aca="false">IF($B80="","",الموظفون!$C80)</f>
        <v/>
      </c>
      <c r="D80" s="74" t="str">
        <f aca="false">IF($B80="","",IF(الموظفون!$S80="نعم","نعم","لا"))</f>
        <v/>
      </c>
      <c r="E80" s="86" t="str">
        <f aca="false">IF($B80="","",N(الموظفون!$T80))</f>
        <v/>
      </c>
      <c r="F80" s="51" t="str">
        <f aca="false">IF($B80="","",N(الموظفون!$U80))</f>
        <v/>
      </c>
      <c r="G80" s="86" t="str">
        <f aca="false">IF($B80="","",IF(AND(D80="نعم",F80&gt;0),E80/F80,0))</f>
        <v/>
      </c>
      <c r="H80" s="127" t="str">
        <f aca="false">IF($B80="","",MAX(cfg_Y_START,الموظفون!$H80))</f>
        <v/>
      </c>
      <c r="I80" s="127" t="str">
        <f aca="false">IF($B80="","",IF(OR(الموظفون!$X80="",الموظفون!$X80&gt;cfg_VAL_DATE),cfg_VAL_DATE,الموظفون!$X80))</f>
        <v/>
      </c>
      <c r="J80" s="51" t="str">
        <f aca="false">IF($B80="","",MAX(0,I80-H80+1))</f>
        <v/>
      </c>
      <c r="K80" s="86" t="str">
        <f aca="false">IF($B80="","",G80*12/cfg_DAYS_Y*J80)</f>
        <v/>
      </c>
      <c r="L80" s="86" t="str">
        <f aca="false">IF($B80="","",N(الموظفون!$W80))</f>
        <v/>
      </c>
      <c r="M80" s="86" t="str">
        <f aca="false">IF($B80="","",SUMIFS('الحركات الشهرية'!$M$6:$M$1005,'الحركات الشهرية'!$B$6:$B$1005,B80,'الحركات الشهرية'!$A$6:$A$1005,"&lt;="&amp;cfg_VAL_M))</f>
        <v/>
      </c>
      <c r="N80" s="135" t="str">
        <f aca="false">IF($B80="","",L80+K80-M80)</f>
        <v/>
      </c>
      <c r="O80" s="132" t="str">
        <f aca="false">IF($B80="","",IF(E80&gt;0,N80/E80,0))</f>
        <v/>
      </c>
      <c r="P80" s="74" t="str">
        <f aca="false">IF($B80="","",IF(AND(D80="لا",N80&lt;&gt;0),"⚠ غير مستحق وله رصيد",IF(N80&lt;-0.01,"✖ استخدام أكثر من المكوّن",IF(AND(D80="نعم",O80&gt;=1),"⚠ تذكرة مستحقة للصرف","✔ سليم"))))</f>
        <v/>
      </c>
    </row>
    <row r="81" customFormat="false" ht="15" hidden="false" customHeight="false" outlineLevel="0" collapsed="false">
      <c r="B81" s="91" t="str">
        <f aca="false">IF(الموظفون!$B81="","",الموظفون!$B81)</f>
        <v/>
      </c>
      <c r="C81" s="91" t="str">
        <f aca="false">IF($B81="","",الموظفون!$C81)</f>
        <v/>
      </c>
      <c r="D81" s="91" t="str">
        <f aca="false">IF($B81="","",IF(الموظفون!$S81="نعم","نعم","لا"))</f>
        <v/>
      </c>
      <c r="E81" s="90" t="str">
        <f aca="false">IF($B81="","",N(الموظفون!$T81))</f>
        <v/>
      </c>
      <c r="F81" s="115" t="str">
        <f aca="false">IF($B81="","",N(الموظفون!$U81))</f>
        <v/>
      </c>
      <c r="G81" s="90" t="str">
        <f aca="false">IF($B81="","",IF(AND(D81="نعم",F81&gt;0),E81/F81,0))</f>
        <v/>
      </c>
      <c r="H81" s="129" t="str">
        <f aca="false">IF($B81="","",MAX(cfg_Y_START,الموظفون!$H81))</f>
        <v/>
      </c>
      <c r="I81" s="129" t="str">
        <f aca="false">IF($B81="","",IF(OR(الموظفون!$X81="",الموظفون!$X81&gt;cfg_VAL_DATE),cfg_VAL_DATE,الموظفون!$X81))</f>
        <v/>
      </c>
      <c r="J81" s="115" t="str">
        <f aca="false">IF($B81="","",MAX(0,I81-H81+1))</f>
        <v/>
      </c>
      <c r="K81" s="90" t="str">
        <f aca="false">IF($B81="","",G81*12/cfg_DAYS_Y*J81)</f>
        <v/>
      </c>
      <c r="L81" s="90" t="str">
        <f aca="false">IF($B81="","",N(الموظفون!$W81))</f>
        <v/>
      </c>
      <c r="M81" s="90" t="str">
        <f aca="false">IF($B81="","",SUMIFS('الحركات الشهرية'!$M$6:$M$1005,'الحركات الشهرية'!$B$6:$B$1005,B81,'الحركات الشهرية'!$A$6:$A$1005,"&lt;="&amp;cfg_VAL_M))</f>
        <v/>
      </c>
      <c r="N81" s="136" t="str">
        <f aca="false">IF($B81="","",L81+K81-M81)</f>
        <v/>
      </c>
      <c r="O81" s="133" t="str">
        <f aca="false">IF($B81="","",IF(E81&gt;0,N81/E81,0))</f>
        <v/>
      </c>
      <c r="P81" s="91" t="str">
        <f aca="false">IF($B81="","",IF(AND(D81="لا",N81&lt;&gt;0),"⚠ غير مستحق وله رصيد",IF(N81&lt;-0.01,"✖ استخدام أكثر من المكوّن",IF(AND(D81="نعم",O81&gt;=1),"⚠ تذكرة مستحقة للصرف","✔ سليم"))))</f>
        <v/>
      </c>
    </row>
    <row r="82" customFormat="false" ht="15" hidden="false" customHeight="false" outlineLevel="0" collapsed="false">
      <c r="B82" s="74" t="str">
        <f aca="false">IF(الموظفون!$B82="","",الموظفون!$B82)</f>
        <v/>
      </c>
      <c r="C82" s="74" t="str">
        <f aca="false">IF($B82="","",الموظفون!$C82)</f>
        <v/>
      </c>
      <c r="D82" s="74" t="str">
        <f aca="false">IF($B82="","",IF(الموظفون!$S82="نعم","نعم","لا"))</f>
        <v/>
      </c>
      <c r="E82" s="86" t="str">
        <f aca="false">IF($B82="","",N(الموظفون!$T82))</f>
        <v/>
      </c>
      <c r="F82" s="51" t="str">
        <f aca="false">IF($B82="","",N(الموظفون!$U82))</f>
        <v/>
      </c>
      <c r="G82" s="86" t="str">
        <f aca="false">IF($B82="","",IF(AND(D82="نعم",F82&gt;0),E82/F82,0))</f>
        <v/>
      </c>
      <c r="H82" s="127" t="str">
        <f aca="false">IF($B82="","",MAX(cfg_Y_START,الموظفون!$H82))</f>
        <v/>
      </c>
      <c r="I82" s="127" t="str">
        <f aca="false">IF($B82="","",IF(OR(الموظفون!$X82="",الموظفون!$X82&gt;cfg_VAL_DATE),cfg_VAL_DATE,الموظفون!$X82))</f>
        <v/>
      </c>
      <c r="J82" s="51" t="str">
        <f aca="false">IF($B82="","",MAX(0,I82-H82+1))</f>
        <v/>
      </c>
      <c r="K82" s="86" t="str">
        <f aca="false">IF($B82="","",G82*12/cfg_DAYS_Y*J82)</f>
        <v/>
      </c>
      <c r="L82" s="86" t="str">
        <f aca="false">IF($B82="","",N(الموظفون!$W82))</f>
        <v/>
      </c>
      <c r="M82" s="86" t="str">
        <f aca="false">IF($B82="","",SUMIFS('الحركات الشهرية'!$M$6:$M$1005,'الحركات الشهرية'!$B$6:$B$1005,B82,'الحركات الشهرية'!$A$6:$A$1005,"&lt;="&amp;cfg_VAL_M))</f>
        <v/>
      </c>
      <c r="N82" s="135" t="str">
        <f aca="false">IF($B82="","",L82+K82-M82)</f>
        <v/>
      </c>
      <c r="O82" s="132" t="str">
        <f aca="false">IF($B82="","",IF(E82&gt;0,N82/E82,0))</f>
        <v/>
      </c>
      <c r="P82" s="74" t="str">
        <f aca="false">IF($B82="","",IF(AND(D82="لا",N82&lt;&gt;0),"⚠ غير مستحق وله رصيد",IF(N82&lt;-0.01,"✖ استخدام أكثر من المكوّن",IF(AND(D82="نعم",O82&gt;=1),"⚠ تذكرة مستحقة للصرف","✔ سليم"))))</f>
        <v/>
      </c>
    </row>
    <row r="83" customFormat="false" ht="15" hidden="false" customHeight="false" outlineLevel="0" collapsed="false">
      <c r="B83" s="91" t="str">
        <f aca="false">IF(الموظفون!$B83="","",الموظفون!$B83)</f>
        <v/>
      </c>
      <c r="C83" s="91" t="str">
        <f aca="false">IF($B83="","",الموظفون!$C83)</f>
        <v/>
      </c>
      <c r="D83" s="91" t="str">
        <f aca="false">IF($B83="","",IF(الموظفون!$S83="نعم","نعم","لا"))</f>
        <v/>
      </c>
      <c r="E83" s="90" t="str">
        <f aca="false">IF($B83="","",N(الموظفون!$T83))</f>
        <v/>
      </c>
      <c r="F83" s="115" t="str">
        <f aca="false">IF($B83="","",N(الموظفون!$U83))</f>
        <v/>
      </c>
      <c r="G83" s="90" t="str">
        <f aca="false">IF($B83="","",IF(AND(D83="نعم",F83&gt;0),E83/F83,0))</f>
        <v/>
      </c>
      <c r="H83" s="129" t="str">
        <f aca="false">IF($B83="","",MAX(cfg_Y_START,الموظفون!$H83))</f>
        <v/>
      </c>
      <c r="I83" s="129" t="str">
        <f aca="false">IF($B83="","",IF(OR(الموظفون!$X83="",الموظفون!$X83&gt;cfg_VAL_DATE),cfg_VAL_DATE,الموظفون!$X83))</f>
        <v/>
      </c>
      <c r="J83" s="115" t="str">
        <f aca="false">IF($B83="","",MAX(0,I83-H83+1))</f>
        <v/>
      </c>
      <c r="K83" s="90" t="str">
        <f aca="false">IF($B83="","",G83*12/cfg_DAYS_Y*J83)</f>
        <v/>
      </c>
      <c r="L83" s="90" t="str">
        <f aca="false">IF($B83="","",N(الموظفون!$W83))</f>
        <v/>
      </c>
      <c r="M83" s="90" t="str">
        <f aca="false">IF($B83="","",SUMIFS('الحركات الشهرية'!$M$6:$M$1005,'الحركات الشهرية'!$B$6:$B$1005,B83,'الحركات الشهرية'!$A$6:$A$1005,"&lt;="&amp;cfg_VAL_M))</f>
        <v/>
      </c>
      <c r="N83" s="136" t="str">
        <f aca="false">IF($B83="","",L83+K83-M83)</f>
        <v/>
      </c>
      <c r="O83" s="133" t="str">
        <f aca="false">IF($B83="","",IF(E83&gt;0,N83/E83,0))</f>
        <v/>
      </c>
      <c r="P83" s="91" t="str">
        <f aca="false">IF($B83="","",IF(AND(D83="لا",N83&lt;&gt;0),"⚠ غير مستحق وله رصيد",IF(N83&lt;-0.01,"✖ استخدام أكثر من المكوّن",IF(AND(D83="نعم",O83&gt;=1),"⚠ تذكرة مستحقة للصرف","✔ سليم"))))</f>
        <v/>
      </c>
    </row>
    <row r="84" customFormat="false" ht="15" hidden="false" customHeight="false" outlineLevel="0" collapsed="false">
      <c r="B84" s="74" t="str">
        <f aca="false">IF(الموظفون!$B84="","",الموظفون!$B84)</f>
        <v/>
      </c>
      <c r="C84" s="74" t="str">
        <f aca="false">IF($B84="","",الموظفون!$C84)</f>
        <v/>
      </c>
      <c r="D84" s="74" t="str">
        <f aca="false">IF($B84="","",IF(الموظفون!$S84="نعم","نعم","لا"))</f>
        <v/>
      </c>
      <c r="E84" s="86" t="str">
        <f aca="false">IF($B84="","",N(الموظفون!$T84))</f>
        <v/>
      </c>
      <c r="F84" s="51" t="str">
        <f aca="false">IF($B84="","",N(الموظفون!$U84))</f>
        <v/>
      </c>
      <c r="G84" s="86" t="str">
        <f aca="false">IF($B84="","",IF(AND(D84="نعم",F84&gt;0),E84/F84,0))</f>
        <v/>
      </c>
      <c r="H84" s="127" t="str">
        <f aca="false">IF($B84="","",MAX(cfg_Y_START,الموظفون!$H84))</f>
        <v/>
      </c>
      <c r="I84" s="127" t="str">
        <f aca="false">IF($B84="","",IF(OR(الموظفون!$X84="",الموظفون!$X84&gt;cfg_VAL_DATE),cfg_VAL_DATE,الموظفون!$X84))</f>
        <v/>
      </c>
      <c r="J84" s="51" t="str">
        <f aca="false">IF($B84="","",MAX(0,I84-H84+1))</f>
        <v/>
      </c>
      <c r="K84" s="86" t="str">
        <f aca="false">IF($B84="","",G84*12/cfg_DAYS_Y*J84)</f>
        <v/>
      </c>
      <c r="L84" s="86" t="str">
        <f aca="false">IF($B84="","",N(الموظفون!$W84))</f>
        <v/>
      </c>
      <c r="M84" s="86" t="str">
        <f aca="false">IF($B84="","",SUMIFS('الحركات الشهرية'!$M$6:$M$1005,'الحركات الشهرية'!$B$6:$B$1005,B84,'الحركات الشهرية'!$A$6:$A$1005,"&lt;="&amp;cfg_VAL_M))</f>
        <v/>
      </c>
      <c r="N84" s="135" t="str">
        <f aca="false">IF($B84="","",L84+K84-M84)</f>
        <v/>
      </c>
      <c r="O84" s="132" t="str">
        <f aca="false">IF($B84="","",IF(E84&gt;0,N84/E84,0))</f>
        <v/>
      </c>
      <c r="P84" s="74" t="str">
        <f aca="false">IF($B84="","",IF(AND(D84="لا",N84&lt;&gt;0),"⚠ غير مستحق وله رصيد",IF(N84&lt;-0.01,"✖ استخدام أكثر من المكوّن",IF(AND(D84="نعم",O84&gt;=1),"⚠ تذكرة مستحقة للصرف","✔ سليم"))))</f>
        <v/>
      </c>
    </row>
    <row r="85" customFormat="false" ht="15" hidden="false" customHeight="false" outlineLevel="0" collapsed="false">
      <c r="B85" s="91" t="str">
        <f aca="false">IF(الموظفون!$B85="","",الموظفون!$B85)</f>
        <v/>
      </c>
      <c r="C85" s="91" t="str">
        <f aca="false">IF($B85="","",الموظفون!$C85)</f>
        <v/>
      </c>
      <c r="D85" s="91" t="str">
        <f aca="false">IF($B85="","",IF(الموظفون!$S85="نعم","نعم","لا"))</f>
        <v/>
      </c>
      <c r="E85" s="90" t="str">
        <f aca="false">IF($B85="","",N(الموظفون!$T85))</f>
        <v/>
      </c>
      <c r="F85" s="115" t="str">
        <f aca="false">IF($B85="","",N(الموظفون!$U85))</f>
        <v/>
      </c>
      <c r="G85" s="90" t="str">
        <f aca="false">IF($B85="","",IF(AND(D85="نعم",F85&gt;0),E85/F85,0))</f>
        <v/>
      </c>
      <c r="H85" s="129" t="str">
        <f aca="false">IF($B85="","",MAX(cfg_Y_START,الموظفون!$H85))</f>
        <v/>
      </c>
      <c r="I85" s="129" t="str">
        <f aca="false">IF($B85="","",IF(OR(الموظفون!$X85="",الموظفون!$X85&gt;cfg_VAL_DATE),cfg_VAL_DATE,الموظفون!$X85))</f>
        <v/>
      </c>
      <c r="J85" s="115" t="str">
        <f aca="false">IF($B85="","",MAX(0,I85-H85+1))</f>
        <v/>
      </c>
      <c r="K85" s="90" t="str">
        <f aca="false">IF($B85="","",G85*12/cfg_DAYS_Y*J85)</f>
        <v/>
      </c>
      <c r="L85" s="90" t="str">
        <f aca="false">IF($B85="","",N(الموظفون!$W85))</f>
        <v/>
      </c>
      <c r="M85" s="90" t="str">
        <f aca="false">IF($B85="","",SUMIFS('الحركات الشهرية'!$M$6:$M$1005,'الحركات الشهرية'!$B$6:$B$1005,B85,'الحركات الشهرية'!$A$6:$A$1005,"&lt;="&amp;cfg_VAL_M))</f>
        <v/>
      </c>
      <c r="N85" s="136" t="str">
        <f aca="false">IF($B85="","",L85+K85-M85)</f>
        <v/>
      </c>
      <c r="O85" s="133" t="str">
        <f aca="false">IF($B85="","",IF(E85&gt;0,N85/E85,0))</f>
        <v/>
      </c>
      <c r="P85" s="91" t="str">
        <f aca="false">IF($B85="","",IF(AND(D85="لا",N85&lt;&gt;0),"⚠ غير مستحق وله رصيد",IF(N85&lt;-0.01,"✖ استخدام أكثر من المكوّن",IF(AND(D85="نعم",O85&gt;=1),"⚠ تذكرة مستحقة للصرف","✔ سليم"))))</f>
        <v/>
      </c>
    </row>
    <row r="86" customFormat="false" ht="15" hidden="false" customHeight="false" outlineLevel="0" collapsed="false">
      <c r="B86" s="74" t="str">
        <f aca="false">IF(الموظفون!$B86="","",الموظفون!$B86)</f>
        <v/>
      </c>
      <c r="C86" s="74" t="str">
        <f aca="false">IF($B86="","",الموظفون!$C86)</f>
        <v/>
      </c>
      <c r="D86" s="74" t="str">
        <f aca="false">IF($B86="","",IF(الموظفون!$S86="نعم","نعم","لا"))</f>
        <v/>
      </c>
      <c r="E86" s="86" t="str">
        <f aca="false">IF($B86="","",N(الموظفون!$T86))</f>
        <v/>
      </c>
      <c r="F86" s="51" t="str">
        <f aca="false">IF($B86="","",N(الموظفون!$U86))</f>
        <v/>
      </c>
      <c r="G86" s="86" t="str">
        <f aca="false">IF($B86="","",IF(AND(D86="نعم",F86&gt;0),E86/F86,0))</f>
        <v/>
      </c>
      <c r="H86" s="127" t="str">
        <f aca="false">IF($B86="","",MAX(cfg_Y_START,الموظفون!$H86))</f>
        <v/>
      </c>
      <c r="I86" s="127" t="str">
        <f aca="false">IF($B86="","",IF(OR(الموظفون!$X86="",الموظفون!$X86&gt;cfg_VAL_DATE),cfg_VAL_DATE,الموظفون!$X86))</f>
        <v/>
      </c>
      <c r="J86" s="51" t="str">
        <f aca="false">IF($B86="","",MAX(0,I86-H86+1))</f>
        <v/>
      </c>
      <c r="K86" s="86" t="str">
        <f aca="false">IF($B86="","",G86*12/cfg_DAYS_Y*J86)</f>
        <v/>
      </c>
      <c r="L86" s="86" t="str">
        <f aca="false">IF($B86="","",N(الموظفون!$W86))</f>
        <v/>
      </c>
      <c r="M86" s="86" t="str">
        <f aca="false">IF($B86="","",SUMIFS('الحركات الشهرية'!$M$6:$M$1005,'الحركات الشهرية'!$B$6:$B$1005,B86,'الحركات الشهرية'!$A$6:$A$1005,"&lt;="&amp;cfg_VAL_M))</f>
        <v/>
      </c>
      <c r="N86" s="135" t="str">
        <f aca="false">IF($B86="","",L86+K86-M86)</f>
        <v/>
      </c>
      <c r="O86" s="132" t="str">
        <f aca="false">IF($B86="","",IF(E86&gt;0,N86/E86,0))</f>
        <v/>
      </c>
      <c r="P86" s="74" t="str">
        <f aca="false">IF($B86="","",IF(AND(D86="لا",N86&lt;&gt;0),"⚠ غير مستحق وله رصيد",IF(N86&lt;-0.01,"✖ استخدام أكثر من المكوّن",IF(AND(D86="نعم",O86&gt;=1),"⚠ تذكرة مستحقة للصرف","✔ سليم"))))</f>
        <v/>
      </c>
    </row>
    <row r="87" customFormat="false" ht="15" hidden="false" customHeight="false" outlineLevel="0" collapsed="false">
      <c r="B87" s="91" t="str">
        <f aca="false">IF(الموظفون!$B87="","",الموظفون!$B87)</f>
        <v/>
      </c>
      <c r="C87" s="91" t="str">
        <f aca="false">IF($B87="","",الموظفون!$C87)</f>
        <v/>
      </c>
      <c r="D87" s="91" t="str">
        <f aca="false">IF($B87="","",IF(الموظفون!$S87="نعم","نعم","لا"))</f>
        <v/>
      </c>
      <c r="E87" s="90" t="str">
        <f aca="false">IF($B87="","",N(الموظفون!$T87))</f>
        <v/>
      </c>
      <c r="F87" s="115" t="str">
        <f aca="false">IF($B87="","",N(الموظفون!$U87))</f>
        <v/>
      </c>
      <c r="G87" s="90" t="str">
        <f aca="false">IF($B87="","",IF(AND(D87="نعم",F87&gt;0),E87/F87,0))</f>
        <v/>
      </c>
      <c r="H87" s="129" t="str">
        <f aca="false">IF($B87="","",MAX(cfg_Y_START,الموظفون!$H87))</f>
        <v/>
      </c>
      <c r="I87" s="129" t="str">
        <f aca="false">IF($B87="","",IF(OR(الموظفون!$X87="",الموظفون!$X87&gt;cfg_VAL_DATE),cfg_VAL_DATE,الموظفون!$X87))</f>
        <v/>
      </c>
      <c r="J87" s="115" t="str">
        <f aca="false">IF($B87="","",MAX(0,I87-H87+1))</f>
        <v/>
      </c>
      <c r="K87" s="90" t="str">
        <f aca="false">IF($B87="","",G87*12/cfg_DAYS_Y*J87)</f>
        <v/>
      </c>
      <c r="L87" s="90" t="str">
        <f aca="false">IF($B87="","",N(الموظفون!$W87))</f>
        <v/>
      </c>
      <c r="M87" s="90" t="str">
        <f aca="false">IF($B87="","",SUMIFS('الحركات الشهرية'!$M$6:$M$1005,'الحركات الشهرية'!$B$6:$B$1005,B87,'الحركات الشهرية'!$A$6:$A$1005,"&lt;="&amp;cfg_VAL_M))</f>
        <v/>
      </c>
      <c r="N87" s="136" t="str">
        <f aca="false">IF($B87="","",L87+K87-M87)</f>
        <v/>
      </c>
      <c r="O87" s="133" t="str">
        <f aca="false">IF($B87="","",IF(E87&gt;0,N87/E87,0))</f>
        <v/>
      </c>
      <c r="P87" s="91" t="str">
        <f aca="false">IF($B87="","",IF(AND(D87="لا",N87&lt;&gt;0),"⚠ غير مستحق وله رصيد",IF(N87&lt;-0.01,"✖ استخدام أكثر من المكوّن",IF(AND(D87="نعم",O87&gt;=1),"⚠ تذكرة مستحقة للصرف","✔ سليم"))))</f>
        <v/>
      </c>
    </row>
    <row r="88" customFormat="false" ht="15" hidden="false" customHeight="false" outlineLevel="0" collapsed="false">
      <c r="B88" s="74" t="str">
        <f aca="false">IF(الموظفون!$B88="","",الموظفون!$B88)</f>
        <v/>
      </c>
      <c r="C88" s="74" t="str">
        <f aca="false">IF($B88="","",الموظفون!$C88)</f>
        <v/>
      </c>
      <c r="D88" s="74" t="str">
        <f aca="false">IF($B88="","",IF(الموظفون!$S88="نعم","نعم","لا"))</f>
        <v/>
      </c>
      <c r="E88" s="86" t="str">
        <f aca="false">IF($B88="","",N(الموظفون!$T88))</f>
        <v/>
      </c>
      <c r="F88" s="51" t="str">
        <f aca="false">IF($B88="","",N(الموظفون!$U88))</f>
        <v/>
      </c>
      <c r="G88" s="86" t="str">
        <f aca="false">IF($B88="","",IF(AND(D88="نعم",F88&gt;0),E88/F88,0))</f>
        <v/>
      </c>
      <c r="H88" s="127" t="str">
        <f aca="false">IF($B88="","",MAX(cfg_Y_START,الموظفون!$H88))</f>
        <v/>
      </c>
      <c r="I88" s="127" t="str">
        <f aca="false">IF($B88="","",IF(OR(الموظفون!$X88="",الموظفون!$X88&gt;cfg_VAL_DATE),cfg_VAL_DATE,الموظفون!$X88))</f>
        <v/>
      </c>
      <c r="J88" s="51" t="str">
        <f aca="false">IF($B88="","",MAX(0,I88-H88+1))</f>
        <v/>
      </c>
      <c r="K88" s="86" t="str">
        <f aca="false">IF($B88="","",G88*12/cfg_DAYS_Y*J88)</f>
        <v/>
      </c>
      <c r="L88" s="86" t="str">
        <f aca="false">IF($B88="","",N(الموظفون!$W88))</f>
        <v/>
      </c>
      <c r="M88" s="86" t="str">
        <f aca="false">IF($B88="","",SUMIFS('الحركات الشهرية'!$M$6:$M$1005,'الحركات الشهرية'!$B$6:$B$1005,B88,'الحركات الشهرية'!$A$6:$A$1005,"&lt;="&amp;cfg_VAL_M))</f>
        <v/>
      </c>
      <c r="N88" s="135" t="str">
        <f aca="false">IF($B88="","",L88+K88-M88)</f>
        <v/>
      </c>
      <c r="O88" s="132" t="str">
        <f aca="false">IF($B88="","",IF(E88&gt;0,N88/E88,0))</f>
        <v/>
      </c>
      <c r="P88" s="74" t="str">
        <f aca="false">IF($B88="","",IF(AND(D88="لا",N88&lt;&gt;0),"⚠ غير مستحق وله رصيد",IF(N88&lt;-0.01,"✖ استخدام أكثر من المكوّن",IF(AND(D88="نعم",O88&gt;=1),"⚠ تذكرة مستحقة للصرف","✔ سليم"))))</f>
        <v/>
      </c>
    </row>
    <row r="89" customFormat="false" ht="15" hidden="false" customHeight="false" outlineLevel="0" collapsed="false">
      <c r="B89" s="91" t="str">
        <f aca="false">IF(الموظفون!$B89="","",الموظفون!$B89)</f>
        <v/>
      </c>
      <c r="C89" s="91" t="str">
        <f aca="false">IF($B89="","",الموظفون!$C89)</f>
        <v/>
      </c>
      <c r="D89" s="91" t="str">
        <f aca="false">IF($B89="","",IF(الموظفون!$S89="نعم","نعم","لا"))</f>
        <v/>
      </c>
      <c r="E89" s="90" t="str">
        <f aca="false">IF($B89="","",N(الموظفون!$T89))</f>
        <v/>
      </c>
      <c r="F89" s="115" t="str">
        <f aca="false">IF($B89="","",N(الموظفون!$U89))</f>
        <v/>
      </c>
      <c r="G89" s="90" t="str">
        <f aca="false">IF($B89="","",IF(AND(D89="نعم",F89&gt;0),E89/F89,0))</f>
        <v/>
      </c>
      <c r="H89" s="129" t="str">
        <f aca="false">IF($B89="","",MAX(cfg_Y_START,الموظفون!$H89))</f>
        <v/>
      </c>
      <c r="I89" s="129" t="str">
        <f aca="false">IF($B89="","",IF(OR(الموظفون!$X89="",الموظفون!$X89&gt;cfg_VAL_DATE),cfg_VAL_DATE,الموظفون!$X89))</f>
        <v/>
      </c>
      <c r="J89" s="115" t="str">
        <f aca="false">IF($B89="","",MAX(0,I89-H89+1))</f>
        <v/>
      </c>
      <c r="K89" s="90" t="str">
        <f aca="false">IF($B89="","",G89*12/cfg_DAYS_Y*J89)</f>
        <v/>
      </c>
      <c r="L89" s="90" t="str">
        <f aca="false">IF($B89="","",N(الموظفون!$W89))</f>
        <v/>
      </c>
      <c r="M89" s="90" t="str">
        <f aca="false">IF($B89="","",SUMIFS('الحركات الشهرية'!$M$6:$M$1005,'الحركات الشهرية'!$B$6:$B$1005,B89,'الحركات الشهرية'!$A$6:$A$1005,"&lt;="&amp;cfg_VAL_M))</f>
        <v/>
      </c>
      <c r="N89" s="136" t="str">
        <f aca="false">IF($B89="","",L89+K89-M89)</f>
        <v/>
      </c>
      <c r="O89" s="133" t="str">
        <f aca="false">IF($B89="","",IF(E89&gt;0,N89/E89,0))</f>
        <v/>
      </c>
      <c r="P89" s="91" t="str">
        <f aca="false">IF($B89="","",IF(AND(D89="لا",N89&lt;&gt;0),"⚠ غير مستحق وله رصيد",IF(N89&lt;-0.01,"✖ استخدام أكثر من المكوّن",IF(AND(D89="نعم",O89&gt;=1),"⚠ تذكرة مستحقة للصرف","✔ سليم"))))</f>
        <v/>
      </c>
    </row>
    <row r="90" customFormat="false" ht="15" hidden="false" customHeight="false" outlineLevel="0" collapsed="false">
      <c r="B90" s="74" t="str">
        <f aca="false">IF(الموظفون!$B90="","",الموظفون!$B90)</f>
        <v/>
      </c>
      <c r="C90" s="74" t="str">
        <f aca="false">IF($B90="","",الموظفون!$C90)</f>
        <v/>
      </c>
      <c r="D90" s="74" t="str">
        <f aca="false">IF($B90="","",IF(الموظفون!$S90="نعم","نعم","لا"))</f>
        <v/>
      </c>
      <c r="E90" s="86" t="str">
        <f aca="false">IF($B90="","",N(الموظفون!$T90))</f>
        <v/>
      </c>
      <c r="F90" s="51" t="str">
        <f aca="false">IF($B90="","",N(الموظفون!$U90))</f>
        <v/>
      </c>
      <c r="G90" s="86" t="str">
        <f aca="false">IF($B90="","",IF(AND(D90="نعم",F90&gt;0),E90/F90,0))</f>
        <v/>
      </c>
      <c r="H90" s="127" t="str">
        <f aca="false">IF($B90="","",MAX(cfg_Y_START,الموظفون!$H90))</f>
        <v/>
      </c>
      <c r="I90" s="127" t="str">
        <f aca="false">IF($B90="","",IF(OR(الموظفون!$X90="",الموظفون!$X90&gt;cfg_VAL_DATE),cfg_VAL_DATE,الموظفون!$X90))</f>
        <v/>
      </c>
      <c r="J90" s="51" t="str">
        <f aca="false">IF($B90="","",MAX(0,I90-H90+1))</f>
        <v/>
      </c>
      <c r="K90" s="86" t="str">
        <f aca="false">IF($B90="","",G90*12/cfg_DAYS_Y*J90)</f>
        <v/>
      </c>
      <c r="L90" s="86" t="str">
        <f aca="false">IF($B90="","",N(الموظفون!$W90))</f>
        <v/>
      </c>
      <c r="M90" s="86" t="str">
        <f aca="false">IF($B90="","",SUMIFS('الحركات الشهرية'!$M$6:$M$1005,'الحركات الشهرية'!$B$6:$B$1005,B90,'الحركات الشهرية'!$A$6:$A$1005,"&lt;="&amp;cfg_VAL_M))</f>
        <v/>
      </c>
      <c r="N90" s="135" t="str">
        <f aca="false">IF($B90="","",L90+K90-M90)</f>
        <v/>
      </c>
      <c r="O90" s="132" t="str">
        <f aca="false">IF($B90="","",IF(E90&gt;0,N90/E90,0))</f>
        <v/>
      </c>
      <c r="P90" s="74" t="str">
        <f aca="false">IF($B90="","",IF(AND(D90="لا",N90&lt;&gt;0),"⚠ غير مستحق وله رصيد",IF(N90&lt;-0.01,"✖ استخدام أكثر من المكوّن",IF(AND(D90="نعم",O90&gt;=1),"⚠ تذكرة مستحقة للصرف","✔ سليم"))))</f>
        <v/>
      </c>
    </row>
    <row r="91" customFormat="false" ht="15" hidden="false" customHeight="false" outlineLevel="0" collapsed="false">
      <c r="B91" s="91" t="str">
        <f aca="false">IF(الموظفون!$B91="","",الموظفون!$B91)</f>
        <v/>
      </c>
      <c r="C91" s="91" t="str">
        <f aca="false">IF($B91="","",الموظفون!$C91)</f>
        <v/>
      </c>
      <c r="D91" s="91" t="str">
        <f aca="false">IF($B91="","",IF(الموظفون!$S91="نعم","نعم","لا"))</f>
        <v/>
      </c>
      <c r="E91" s="90" t="str">
        <f aca="false">IF($B91="","",N(الموظفون!$T91))</f>
        <v/>
      </c>
      <c r="F91" s="115" t="str">
        <f aca="false">IF($B91="","",N(الموظفون!$U91))</f>
        <v/>
      </c>
      <c r="G91" s="90" t="str">
        <f aca="false">IF($B91="","",IF(AND(D91="نعم",F91&gt;0),E91/F91,0))</f>
        <v/>
      </c>
      <c r="H91" s="129" t="str">
        <f aca="false">IF($B91="","",MAX(cfg_Y_START,الموظفون!$H91))</f>
        <v/>
      </c>
      <c r="I91" s="129" t="str">
        <f aca="false">IF($B91="","",IF(OR(الموظفون!$X91="",الموظفون!$X91&gt;cfg_VAL_DATE),cfg_VAL_DATE,الموظفون!$X91))</f>
        <v/>
      </c>
      <c r="J91" s="115" t="str">
        <f aca="false">IF($B91="","",MAX(0,I91-H91+1))</f>
        <v/>
      </c>
      <c r="K91" s="90" t="str">
        <f aca="false">IF($B91="","",G91*12/cfg_DAYS_Y*J91)</f>
        <v/>
      </c>
      <c r="L91" s="90" t="str">
        <f aca="false">IF($B91="","",N(الموظفون!$W91))</f>
        <v/>
      </c>
      <c r="M91" s="90" t="str">
        <f aca="false">IF($B91="","",SUMIFS('الحركات الشهرية'!$M$6:$M$1005,'الحركات الشهرية'!$B$6:$B$1005,B91,'الحركات الشهرية'!$A$6:$A$1005,"&lt;="&amp;cfg_VAL_M))</f>
        <v/>
      </c>
      <c r="N91" s="136" t="str">
        <f aca="false">IF($B91="","",L91+K91-M91)</f>
        <v/>
      </c>
      <c r="O91" s="133" t="str">
        <f aca="false">IF($B91="","",IF(E91&gt;0,N91/E91,0))</f>
        <v/>
      </c>
      <c r="P91" s="91" t="str">
        <f aca="false">IF($B91="","",IF(AND(D91="لا",N91&lt;&gt;0),"⚠ غير مستحق وله رصيد",IF(N91&lt;-0.01,"✖ استخدام أكثر من المكوّن",IF(AND(D91="نعم",O91&gt;=1),"⚠ تذكرة مستحقة للصرف","✔ سليم"))))</f>
        <v/>
      </c>
    </row>
    <row r="92" customFormat="false" ht="15" hidden="false" customHeight="false" outlineLevel="0" collapsed="false">
      <c r="B92" s="74" t="str">
        <f aca="false">IF(الموظفون!$B92="","",الموظفون!$B92)</f>
        <v/>
      </c>
      <c r="C92" s="74" t="str">
        <f aca="false">IF($B92="","",الموظفون!$C92)</f>
        <v/>
      </c>
      <c r="D92" s="74" t="str">
        <f aca="false">IF($B92="","",IF(الموظفون!$S92="نعم","نعم","لا"))</f>
        <v/>
      </c>
      <c r="E92" s="86" t="str">
        <f aca="false">IF($B92="","",N(الموظفون!$T92))</f>
        <v/>
      </c>
      <c r="F92" s="51" t="str">
        <f aca="false">IF($B92="","",N(الموظفون!$U92))</f>
        <v/>
      </c>
      <c r="G92" s="86" t="str">
        <f aca="false">IF($B92="","",IF(AND(D92="نعم",F92&gt;0),E92/F92,0))</f>
        <v/>
      </c>
      <c r="H92" s="127" t="str">
        <f aca="false">IF($B92="","",MAX(cfg_Y_START,الموظفون!$H92))</f>
        <v/>
      </c>
      <c r="I92" s="127" t="str">
        <f aca="false">IF($B92="","",IF(OR(الموظفون!$X92="",الموظفون!$X92&gt;cfg_VAL_DATE),cfg_VAL_DATE,الموظفون!$X92))</f>
        <v/>
      </c>
      <c r="J92" s="51" t="str">
        <f aca="false">IF($B92="","",MAX(0,I92-H92+1))</f>
        <v/>
      </c>
      <c r="K92" s="86" t="str">
        <f aca="false">IF($B92="","",G92*12/cfg_DAYS_Y*J92)</f>
        <v/>
      </c>
      <c r="L92" s="86" t="str">
        <f aca="false">IF($B92="","",N(الموظفون!$W92))</f>
        <v/>
      </c>
      <c r="M92" s="86" t="str">
        <f aca="false">IF($B92="","",SUMIFS('الحركات الشهرية'!$M$6:$M$1005,'الحركات الشهرية'!$B$6:$B$1005,B92,'الحركات الشهرية'!$A$6:$A$1005,"&lt;="&amp;cfg_VAL_M))</f>
        <v/>
      </c>
      <c r="N92" s="135" t="str">
        <f aca="false">IF($B92="","",L92+K92-M92)</f>
        <v/>
      </c>
      <c r="O92" s="132" t="str">
        <f aca="false">IF($B92="","",IF(E92&gt;0,N92/E92,0))</f>
        <v/>
      </c>
      <c r="P92" s="74" t="str">
        <f aca="false">IF($B92="","",IF(AND(D92="لا",N92&lt;&gt;0),"⚠ غير مستحق وله رصيد",IF(N92&lt;-0.01,"✖ استخدام أكثر من المكوّن",IF(AND(D92="نعم",O92&gt;=1),"⚠ تذكرة مستحقة للصرف","✔ سليم"))))</f>
        <v/>
      </c>
    </row>
    <row r="93" customFormat="false" ht="15" hidden="false" customHeight="false" outlineLevel="0" collapsed="false">
      <c r="B93" s="91" t="str">
        <f aca="false">IF(الموظفون!$B93="","",الموظفون!$B93)</f>
        <v/>
      </c>
      <c r="C93" s="91" t="str">
        <f aca="false">IF($B93="","",الموظفون!$C93)</f>
        <v/>
      </c>
      <c r="D93" s="91" t="str">
        <f aca="false">IF($B93="","",IF(الموظفون!$S93="نعم","نعم","لا"))</f>
        <v/>
      </c>
      <c r="E93" s="90" t="str">
        <f aca="false">IF($B93="","",N(الموظفون!$T93))</f>
        <v/>
      </c>
      <c r="F93" s="115" t="str">
        <f aca="false">IF($B93="","",N(الموظفون!$U93))</f>
        <v/>
      </c>
      <c r="G93" s="90" t="str">
        <f aca="false">IF($B93="","",IF(AND(D93="نعم",F93&gt;0),E93/F93,0))</f>
        <v/>
      </c>
      <c r="H93" s="129" t="str">
        <f aca="false">IF($B93="","",MAX(cfg_Y_START,الموظفون!$H93))</f>
        <v/>
      </c>
      <c r="I93" s="129" t="str">
        <f aca="false">IF($B93="","",IF(OR(الموظفون!$X93="",الموظفون!$X93&gt;cfg_VAL_DATE),cfg_VAL_DATE,الموظفون!$X93))</f>
        <v/>
      </c>
      <c r="J93" s="115" t="str">
        <f aca="false">IF($B93="","",MAX(0,I93-H93+1))</f>
        <v/>
      </c>
      <c r="K93" s="90" t="str">
        <f aca="false">IF($B93="","",G93*12/cfg_DAYS_Y*J93)</f>
        <v/>
      </c>
      <c r="L93" s="90" t="str">
        <f aca="false">IF($B93="","",N(الموظفون!$W93))</f>
        <v/>
      </c>
      <c r="M93" s="90" t="str">
        <f aca="false">IF($B93="","",SUMIFS('الحركات الشهرية'!$M$6:$M$1005,'الحركات الشهرية'!$B$6:$B$1005,B93,'الحركات الشهرية'!$A$6:$A$1005,"&lt;="&amp;cfg_VAL_M))</f>
        <v/>
      </c>
      <c r="N93" s="136" t="str">
        <f aca="false">IF($B93="","",L93+K93-M93)</f>
        <v/>
      </c>
      <c r="O93" s="133" t="str">
        <f aca="false">IF($B93="","",IF(E93&gt;0,N93/E93,0))</f>
        <v/>
      </c>
      <c r="P93" s="91" t="str">
        <f aca="false">IF($B93="","",IF(AND(D93="لا",N93&lt;&gt;0),"⚠ غير مستحق وله رصيد",IF(N93&lt;-0.01,"✖ استخدام أكثر من المكوّن",IF(AND(D93="نعم",O93&gt;=1),"⚠ تذكرة مستحقة للصرف","✔ سليم"))))</f>
        <v/>
      </c>
    </row>
    <row r="94" customFormat="false" ht="15" hidden="false" customHeight="false" outlineLevel="0" collapsed="false">
      <c r="B94" s="74" t="str">
        <f aca="false">IF(الموظفون!$B94="","",الموظفون!$B94)</f>
        <v/>
      </c>
      <c r="C94" s="74" t="str">
        <f aca="false">IF($B94="","",الموظفون!$C94)</f>
        <v/>
      </c>
      <c r="D94" s="74" t="str">
        <f aca="false">IF($B94="","",IF(الموظفون!$S94="نعم","نعم","لا"))</f>
        <v/>
      </c>
      <c r="E94" s="86" t="str">
        <f aca="false">IF($B94="","",N(الموظفون!$T94))</f>
        <v/>
      </c>
      <c r="F94" s="51" t="str">
        <f aca="false">IF($B94="","",N(الموظفون!$U94))</f>
        <v/>
      </c>
      <c r="G94" s="86" t="str">
        <f aca="false">IF($B94="","",IF(AND(D94="نعم",F94&gt;0),E94/F94,0))</f>
        <v/>
      </c>
      <c r="H94" s="127" t="str">
        <f aca="false">IF($B94="","",MAX(cfg_Y_START,الموظفون!$H94))</f>
        <v/>
      </c>
      <c r="I94" s="127" t="str">
        <f aca="false">IF($B94="","",IF(OR(الموظفون!$X94="",الموظفون!$X94&gt;cfg_VAL_DATE),cfg_VAL_DATE,الموظفون!$X94))</f>
        <v/>
      </c>
      <c r="J94" s="51" t="str">
        <f aca="false">IF($B94="","",MAX(0,I94-H94+1))</f>
        <v/>
      </c>
      <c r="K94" s="86" t="str">
        <f aca="false">IF($B94="","",G94*12/cfg_DAYS_Y*J94)</f>
        <v/>
      </c>
      <c r="L94" s="86" t="str">
        <f aca="false">IF($B94="","",N(الموظفون!$W94))</f>
        <v/>
      </c>
      <c r="M94" s="86" t="str">
        <f aca="false">IF($B94="","",SUMIFS('الحركات الشهرية'!$M$6:$M$1005,'الحركات الشهرية'!$B$6:$B$1005,B94,'الحركات الشهرية'!$A$6:$A$1005,"&lt;="&amp;cfg_VAL_M))</f>
        <v/>
      </c>
      <c r="N94" s="135" t="str">
        <f aca="false">IF($B94="","",L94+K94-M94)</f>
        <v/>
      </c>
      <c r="O94" s="132" t="str">
        <f aca="false">IF($B94="","",IF(E94&gt;0,N94/E94,0))</f>
        <v/>
      </c>
      <c r="P94" s="74" t="str">
        <f aca="false">IF($B94="","",IF(AND(D94="لا",N94&lt;&gt;0),"⚠ غير مستحق وله رصيد",IF(N94&lt;-0.01,"✖ استخدام أكثر من المكوّن",IF(AND(D94="نعم",O94&gt;=1),"⚠ تذكرة مستحقة للصرف","✔ سليم"))))</f>
        <v/>
      </c>
    </row>
    <row r="95" customFormat="false" ht="15" hidden="false" customHeight="false" outlineLevel="0" collapsed="false">
      <c r="B95" s="91" t="str">
        <f aca="false">IF(الموظفون!$B95="","",الموظفون!$B95)</f>
        <v/>
      </c>
      <c r="C95" s="91" t="str">
        <f aca="false">IF($B95="","",الموظفون!$C95)</f>
        <v/>
      </c>
      <c r="D95" s="91" t="str">
        <f aca="false">IF($B95="","",IF(الموظفون!$S95="نعم","نعم","لا"))</f>
        <v/>
      </c>
      <c r="E95" s="90" t="str">
        <f aca="false">IF($B95="","",N(الموظفون!$T95))</f>
        <v/>
      </c>
      <c r="F95" s="115" t="str">
        <f aca="false">IF($B95="","",N(الموظفون!$U95))</f>
        <v/>
      </c>
      <c r="G95" s="90" t="str">
        <f aca="false">IF($B95="","",IF(AND(D95="نعم",F95&gt;0),E95/F95,0))</f>
        <v/>
      </c>
      <c r="H95" s="129" t="str">
        <f aca="false">IF($B95="","",MAX(cfg_Y_START,الموظفون!$H95))</f>
        <v/>
      </c>
      <c r="I95" s="129" t="str">
        <f aca="false">IF($B95="","",IF(OR(الموظفون!$X95="",الموظفون!$X95&gt;cfg_VAL_DATE),cfg_VAL_DATE,الموظفون!$X95))</f>
        <v/>
      </c>
      <c r="J95" s="115" t="str">
        <f aca="false">IF($B95="","",MAX(0,I95-H95+1))</f>
        <v/>
      </c>
      <c r="K95" s="90" t="str">
        <f aca="false">IF($B95="","",G95*12/cfg_DAYS_Y*J95)</f>
        <v/>
      </c>
      <c r="L95" s="90" t="str">
        <f aca="false">IF($B95="","",N(الموظفون!$W95))</f>
        <v/>
      </c>
      <c r="M95" s="90" t="str">
        <f aca="false">IF($B95="","",SUMIFS('الحركات الشهرية'!$M$6:$M$1005,'الحركات الشهرية'!$B$6:$B$1005,B95,'الحركات الشهرية'!$A$6:$A$1005,"&lt;="&amp;cfg_VAL_M))</f>
        <v/>
      </c>
      <c r="N95" s="136" t="str">
        <f aca="false">IF($B95="","",L95+K95-M95)</f>
        <v/>
      </c>
      <c r="O95" s="133" t="str">
        <f aca="false">IF($B95="","",IF(E95&gt;0,N95/E95,0))</f>
        <v/>
      </c>
      <c r="P95" s="91" t="str">
        <f aca="false">IF($B95="","",IF(AND(D95="لا",N95&lt;&gt;0),"⚠ غير مستحق وله رصيد",IF(N95&lt;-0.01,"✖ استخدام أكثر من المكوّن",IF(AND(D95="نعم",O95&gt;=1),"⚠ تذكرة مستحقة للصرف","✔ سليم"))))</f>
        <v/>
      </c>
    </row>
    <row r="96" customFormat="false" ht="15" hidden="false" customHeight="false" outlineLevel="0" collapsed="false">
      <c r="B96" s="74" t="str">
        <f aca="false">IF(الموظفون!$B96="","",الموظفون!$B96)</f>
        <v/>
      </c>
      <c r="C96" s="74" t="str">
        <f aca="false">IF($B96="","",الموظفون!$C96)</f>
        <v/>
      </c>
      <c r="D96" s="74" t="str">
        <f aca="false">IF($B96="","",IF(الموظفون!$S96="نعم","نعم","لا"))</f>
        <v/>
      </c>
      <c r="E96" s="86" t="str">
        <f aca="false">IF($B96="","",N(الموظفون!$T96))</f>
        <v/>
      </c>
      <c r="F96" s="51" t="str">
        <f aca="false">IF($B96="","",N(الموظفون!$U96))</f>
        <v/>
      </c>
      <c r="G96" s="86" t="str">
        <f aca="false">IF($B96="","",IF(AND(D96="نعم",F96&gt;0),E96/F96,0))</f>
        <v/>
      </c>
      <c r="H96" s="127" t="str">
        <f aca="false">IF($B96="","",MAX(cfg_Y_START,الموظفون!$H96))</f>
        <v/>
      </c>
      <c r="I96" s="127" t="str">
        <f aca="false">IF($B96="","",IF(OR(الموظفون!$X96="",الموظفون!$X96&gt;cfg_VAL_DATE),cfg_VAL_DATE,الموظفون!$X96))</f>
        <v/>
      </c>
      <c r="J96" s="51" t="str">
        <f aca="false">IF($B96="","",MAX(0,I96-H96+1))</f>
        <v/>
      </c>
      <c r="K96" s="86" t="str">
        <f aca="false">IF($B96="","",G96*12/cfg_DAYS_Y*J96)</f>
        <v/>
      </c>
      <c r="L96" s="86" t="str">
        <f aca="false">IF($B96="","",N(الموظفون!$W96))</f>
        <v/>
      </c>
      <c r="M96" s="86" t="str">
        <f aca="false">IF($B96="","",SUMIFS('الحركات الشهرية'!$M$6:$M$1005,'الحركات الشهرية'!$B$6:$B$1005,B96,'الحركات الشهرية'!$A$6:$A$1005,"&lt;="&amp;cfg_VAL_M))</f>
        <v/>
      </c>
      <c r="N96" s="135" t="str">
        <f aca="false">IF($B96="","",L96+K96-M96)</f>
        <v/>
      </c>
      <c r="O96" s="132" t="str">
        <f aca="false">IF($B96="","",IF(E96&gt;0,N96/E96,0))</f>
        <v/>
      </c>
      <c r="P96" s="74" t="str">
        <f aca="false">IF($B96="","",IF(AND(D96="لا",N96&lt;&gt;0),"⚠ غير مستحق وله رصيد",IF(N96&lt;-0.01,"✖ استخدام أكثر من المكوّن",IF(AND(D96="نعم",O96&gt;=1),"⚠ تذكرة مستحقة للصرف","✔ سليم"))))</f>
        <v/>
      </c>
    </row>
    <row r="97" customFormat="false" ht="15" hidden="false" customHeight="false" outlineLevel="0" collapsed="false">
      <c r="B97" s="91" t="str">
        <f aca="false">IF(الموظفون!$B97="","",الموظفون!$B97)</f>
        <v/>
      </c>
      <c r="C97" s="91" t="str">
        <f aca="false">IF($B97="","",الموظفون!$C97)</f>
        <v/>
      </c>
      <c r="D97" s="91" t="str">
        <f aca="false">IF($B97="","",IF(الموظفون!$S97="نعم","نعم","لا"))</f>
        <v/>
      </c>
      <c r="E97" s="90" t="str">
        <f aca="false">IF($B97="","",N(الموظفون!$T97))</f>
        <v/>
      </c>
      <c r="F97" s="115" t="str">
        <f aca="false">IF($B97="","",N(الموظفون!$U97))</f>
        <v/>
      </c>
      <c r="G97" s="90" t="str">
        <f aca="false">IF($B97="","",IF(AND(D97="نعم",F97&gt;0),E97/F97,0))</f>
        <v/>
      </c>
      <c r="H97" s="129" t="str">
        <f aca="false">IF($B97="","",MAX(cfg_Y_START,الموظفون!$H97))</f>
        <v/>
      </c>
      <c r="I97" s="129" t="str">
        <f aca="false">IF($B97="","",IF(OR(الموظفون!$X97="",الموظفون!$X97&gt;cfg_VAL_DATE),cfg_VAL_DATE,الموظفون!$X97))</f>
        <v/>
      </c>
      <c r="J97" s="115" t="str">
        <f aca="false">IF($B97="","",MAX(0,I97-H97+1))</f>
        <v/>
      </c>
      <c r="K97" s="90" t="str">
        <f aca="false">IF($B97="","",G97*12/cfg_DAYS_Y*J97)</f>
        <v/>
      </c>
      <c r="L97" s="90" t="str">
        <f aca="false">IF($B97="","",N(الموظفون!$W97))</f>
        <v/>
      </c>
      <c r="M97" s="90" t="str">
        <f aca="false">IF($B97="","",SUMIFS('الحركات الشهرية'!$M$6:$M$1005,'الحركات الشهرية'!$B$6:$B$1005,B97,'الحركات الشهرية'!$A$6:$A$1005,"&lt;="&amp;cfg_VAL_M))</f>
        <v/>
      </c>
      <c r="N97" s="136" t="str">
        <f aca="false">IF($B97="","",L97+K97-M97)</f>
        <v/>
      </c>
      <c r="O97" s="133" t="str">
        <f aca="false">IF($B97="","",IF(E97&gt;0,N97/E97,0))</f>
        <v/>
      </c>
      <c r="P97" s="91" t="str">
        <f aca="false">IF($B97="","",IF(AND(D97="لا",N97&lt;&gt;0),"⚠ غير مستحق وله رصيد",IF(N97&lt;-0.01,"✖ استخدام أكثر من المكوّن",IF(AND(D97="نعم",O97&gt;=1),"⚠ تذكرة مستحقة للصرف","✔ سليم"))))</f>
        <v/>
      </c>
    </row>
    <row r="98" customFormat="false" ht="15" hidden="false" customHeight="false" outlineLevel="0" collapsed="false">
      <c r="B98" s="74" t="str">
        <f aca="false">IF(الموظفون!$B98="","",الموظفون!$B98)</f>
        <v/>
      </c>
      <c r="C98" s="74" t="str">
        <f aca="false">IF($B98="","",الموظفون!$C98)</f>
        <v/>
      </c>
      <c r="D98" s="74" t="str">
        <f aca="false">IF($B98="","",IF(الموظفون!$S98="نعم","نعم","لا"))</f>
        <v/>
      </c>
      <c r="E98" s="86" t="str">
        <f aca="false">IF($B98="","",N(الموظفون!$T98))</f>
        <v/>
      </c>
      <c r="F98" s="51" t="str">
        <f aca="false">IF($B98="","",N(الموظفون!$U98))</f>
        <v/>
      </c>
      <c r="G98" s="86" t="str">
        <f aca="false">IF($B98="","",IF(AND(D98="نعم",F98&gt;0),E98/F98,0))</f>
        <v/>
      </c>
      <c r="H98" s="127" t="str">
        <f aca="false">IF($B98="","",MAX(cfg_Y_START,الموظفون!$H98))</f>
        <v/>
      </c>
      <c r="I98" s="127" t="str">
        <f aca="false">IF($B98="","",IF(OR(الموظفون!$X98="",الموظفون!$X98&gt;cfg_VAL_DATE),cfg_VAL_DATE,الموظفون!$X98))</f>
        <v/>
      </c>
      <c r="J98" s="51" t="str">
        <f aca="false">IF($B98="","",MAX(0,I98-H98+1))</f>
        <v/>
      </c>
      <c r="K98" s="86" t="str">
        <f aca="false">IF($B98="","",G98*12/cfg_DAYS_Y*J98)</f>
        <v/>
      </c>
      <c r="L98" s="86" t="str">
        <f aca="false">IF($B98="","",N(الموظفون!$W98))</f>
        <v/>
      </c>
      <c r="M98" s="86" t="str">
        <f aca="false">IF($B98="","",SUMIFS('الحركات الشهرية'!$M$6:$M$1005,'الحركات الشهرية'!$B$6:$B$1005,B98,'الحركات الشهرية'!$A$6:$A$1005,"&lt;="&amp;cfg_VAL_M))</f>
        <v/>
      </c>
      <c r="N98" s="135" t="str">
        <f aca="false">IF($B98="","",L98+K98-M98)</f>
        <v/>
      </c>
      <c r="O98" s="132" t="str">
        <f aca="false">IF($B98="","",IF(E98&gt;0,N98/E98,0))</f>
        <v/>
      </c>
      <c r="P98" s="74" t="str">
        <f aca="false">IF($B98="","",IF(AND(D98="لا",N98&lt;&gt;0),"⚠ غير مستحق وله رصيد",IF(N98&lt;-0.01,"✖ استخدام أكثر من المكوّن",IF(AND(D98="نعم",O98&gt;=1),"⚠ تذكرة مستحقة للصرف","✔ سليم"))))</f>
        <v/>
      </c>
    </row>
    <row r="99" customFormat="false" ht="15" hidden="false" customHeight="false" outlineLevel="0" collapsed="false">
      <c r="B99" s="91" t="str">
        <f aca="false">IF(الموظفون!$B99="","",الموظفون!$B99)</f>
        <v/>
      </c>
      <c r="C99" s="91" t="str">
        <f aca="false">IF($B99="","",الموظفون!$C99)</f>
        <v/>
      </c>
      <c r="D99" s="91" t="str">
        <f aca="false">IF($B99="","",IF(الموظفون!$S99="نعم","نعم","لا"))</f>
        <v/>
      </c>
      <c r="E99" s="90" t="str">
        <f aca="false">IF($B99="","",N(الموظفون!$T99))</f>
        <v/>
      </c>
      <c r="F99" s="115" t="str">
        <f aca="false">IF($B99="","",N(الموظفون!$U99))</f>
        <v/>
      </c>
      <c r="G99" s="90" t="str">
        <f aca="false">IF($B99="","",IF(AND(D99="نعم",F99&gt;0),E99/F99,0))</f>
        <v/>
      </c>
      <c r="H99" s="129" t="str">
        <f aca="false">IF($B99="","",MAX(cfg_Y_START,الموظفون!$H99))</f>
        <v/>
      </c>
      <c r="I99" s="129" t="str">
        <f aca="false">IF($B99="","",IF(OR(الموظفون!$X99="",الموظفون!$X99&gt;cfg_VAL_DATE),cfg_VAL_DATE,الموظفون!$X99))</f>
        <v/>
      </c>
      <c r="J99" s="115" t="str">
        <f aca="false">IF($B99="","",MAX(0,I99-H99+1))</f>
        <v/>
      </c>
      <c r="K99" s="90" t="str">
        <f aca="false">IF($B99="","",G99*12/cfg_DAYS_Y*J99)</f>
        <v/>
      </c>
      <c r="L99" s="90" t="str">
        <f aca="false">IF($B99="","",N(الموظفون!$W99))</f>
        <v/>
      </c>
      <c r="M99" s="90" t="str">
        <f aca="false">IF($B99="","",SUMIFS('الحركات الشهرية'!$M$6:$M$1005,'الحركات الشهرية'!$B$6:$B$1005,B99,'الحركات الشهرية'!$A$6:$A$1005,"&lt;="&amp;cfg_VAL_M))</f>
        <v/>
      </c>
      <c r="N99" s="136" t="str">
        <f aca="false">IF($B99="","",L99+K99-M99)</f>
        <v/>
      </c>
      <c r="O99" s="133" t="str">
        <f aca="false">IF($B99="","",IF(E99&gt;0,N99/E99,0))</f>
        <v/>
      </c>
      <c r="P99" s="91" t="str">
        <f aca="false">IF($B99="","",IF(AND(D99="لا",N99&lt;&gt;0),"⚠ غير مستحق وله رصيد",IF(N99&lt;-0.01,"✖ استخدام أكثر من المكوّن",IF(AND(D99="نعم",O99&gt;=1),"⚠ تذكرة مستحقة للصرف","✔ سليم"))))</f>
        <v/>
      </c>
    </row>
    <row r="100" customFormat="false" ht="15" hidden="false" customHeight="false" outlineLevel="0" collapsed="false">
      <c r="B100" s="74" t="str">
        <f aca="false">IF(الموظفون!$B100="","",الموظفون!$B100)</f>
        <v/>
      </c>
      <c r="C100" s="74" t="str">
        <f aca="false">IF($B100="","",الموظفون!$C100)</f>
        <v/>
      </c>
      <c r="D100" s="74" t="str">
        <f aca="false">IF($B100="","",IF(الموظفون!$S100="نعم","نعم","لا"))</f>
        <v/>
      </c>
      <c r="E100" s="86" t="str">
        <f aca="false">IF($B100="","",N(الموظفون!$T100))</f>
        <v/>
      </c>
      <c r="F100" s="51" t="str">
        <f aca="false">IF($B100="","",N(الموظفون!$U100))</f>
        <v/>
      </c>
      <c r="G100" s="86" t="str">
        <f aca="false">IF($B100="","",IF(AND(D100="نعم",F100&gt;0),E100/F100,0))</f>
        <v/>
      </c>
      <c r="H100" s="127" t="str">
        <f aca="false">IF($B100="","",MAX(cfg_Y_START,الموظفون!$H100))</f>
        <v/>
      </c>
      <c r="I100" s="127" t="str">
        <f aca="false">IF($B100="","",IF(OR(الموظفون!$X100="",الموظفون!$X100&gt;cfg_VAL_DATE),cfg_VAL_DATE,الموظفون!$X100))</f>
        <v/>
      </c>
      <c r="J100" s="51" t="str">
        <f aca="false">IF($B100="","",MAX(0,I100-H100+1))</f>
        <v/>
      </c>
      <c r="K100" s="86" t="str">
        <f aca="false">IF($B100="","",G100*12/cfg_DAYS_Y*J100)</f>
        <v/>
      </c>
      <c r="L100" s="86" t="str">
        <f aca="false">IF($B100="","",N(الموظفون!$W100))</f>
        <v/>
      </c>
      <c r="M100" s="86" t="str">
        <f aca="false">IF($B100="","",SUMIFS('الحركات الشهرية'!$M$6:$M$1005,'الحركات الشهرية'!$B$6:$B$1005,B100,'الحركات الشهرية'!$A$6:$A$1005,"&lt;="&amp;cfg_VAL_M))</f>
        <v/>
      </c>
      <c r="N100" s="135" t="str">
        <f aca="false">IF($B100="","",L100+K100-M100)</f>
        <v/>
      </c>
      <c r="O100" s="132" t="str">
        <f aca="false">IF($B100="","",IF(E100&gt;0,N100/E100,0))</f>
        <v/>
      </c>
      <c r="P100" s="74" t="str">
        <f aca="false">IF($B100="","",IF(AND(D100="لا",N100&lt;&gt;0),"⚠ غير مستحق وله رصيد",IF(N100&lt;-0.01,"✖ استخدام أكثر من المكوّن",IF(AND(D100="نعم",O100&gt;=1),"⚠ تذكرة مستحقة للصرف","✔ سليم"))))</f>
        <v/>
      </c>
    </row>
    <row r="101" customFormat="false" ht="15" hidden="false" customHeight="false" outlineLevel="0" collapsed="false">
      <c r="B101" s="91" t="str">
        <f aca="false">IF(الموظفون!$B101="","",الموظفون!$B101)</f>
        <v/>
      </c>
      <c r="C101" s="91" t="str">
        <f aca="false">IF($B101="","",الموظفون!$C101)</f>
        <v/>
      </c>
      <c r="D101" s="91" t="str">
        <f aca="false">IF($B101="","",IF(الموظفون!$S101="نعم","نعم","لا"))</f>
        <v/>
      </c>
      <c r="E101" s="90" t="str">
        <f aca="false">IF($B101="","",N(الموظفون!$T101))</f>
        <v/>
      </c>
      <c r="F101" s="115" t="str">
        <f aca="false">IF($B101="","",N(الموظفون!$U101))</f>
        <v/>
      </c>
      <c r="G101" s="90" t="str">
        <f aca="false">IF($B101="","",IF(AND(D101="نعم",F101&gt;0),E101/F101,0))</f>
        <v/>
      </c>
      <c r="H101" s="129" t="str">
        <f aca="false">IF($B101="","",MAX(cfg_Y_START,الموظفون!$H101))</f>
        <v/>
      </c>
      <c r="I101" s="129" t="str">
        <f aca="false">IF($B101="","",IF(OR(الموظفون!$X101="",الموظفون!$X101&gt;cfg_VAL_DATE),cfg_VAL_DATE,الموظفون!$X101))</f>
        <v/>
      </c>
      <c r="J101" s="115" t="str">
        <f aca="false">IF($B101="","",MAX(0,I101-H101+1))</f>
        <v/>
      </c>
      <c r="K101" s="90" t="str">
        <f aca="false">IF($B101="","",G101*12/cfg_DAYS_Y*J101)</f>
        <v/>
      </c>
      <c r="L101" s="90" t="str">
        <f aca="false">IF($B101="","",N(الموظفون!$W101))</f>
        <v/>
      </c>
      <c r="M101" s="90" t="str">
        <f aca="false">IF($B101="","",SUMIFS('الحركات الشهرية'!$M$6:$M$1005,'الحركات الشهرية'!$B$6:$B$1005,B101,'الحركات الشهرية'!$A$6:$A$1005,"&lt;="&amp;cfg_VAL_M))</f>
        <v/>
      </c>
      <c r="N101" s="136" t="str">
        <f aca="false">IF($B101="","",L101+K101-M101)</f>
        <v/>
      </c>
      <c r="O101" s="133" t="str">
        <f aca="false">IF($B101="","",IF(E101&gt;0,N101/E101,0))</f>
        <v/>
      </c>
      <c r="P101" s="91" t="str">
        <f aca="false">IF($B101="","",IF(AND(D101="لا",N101&lt;&gt;0),"⚠ غير مستحق وله رصيد",IF(N101&lt;-0.01,"✖ استخدام أكثر من المكوّن",IF(AND(D101="نعم",O101&gt;=1),"⚠ تذكرة مستحقة للصرف","✔ سليم"))))</f>
        <v/>
      </c>
    </row>
    <row r="102" customFormat="false" ht="15" hidden="false" customHeight="false" outlineLevel="0" collapsed="false">
      <c r="B102" s="74" t="str">
        <f aca="false">IF(الموظفون!$B102="","",الموظفون!$B102)</f>
        <v/>
      </c>
      <c r="C102" s="74" t="str">
        <f aca="false">IF($B102="","",الموظفون!$C102)</f>
        <v/>
      </c>
      <c r="D102" s="74" t="str">
        <f aca="false">IF($B102="","",IF(الموظفون!$S102="نعم","نعم","لا"))</f>
        <v/>
      </c>
      <c r="E102" s="86" t="str">
        <f aca="false">IF($B102="","",N(الموظفون!$T102))</f>
        <v/>
      </c>
      <c r="F102" s="51" t="str">
        <f aca="false">IF($B102="","",N(الموظفون!$U102))</f>
        <v/>
      </c>
      <c r="G102" s="86" t="str">
        <f aca="false">IF($B102="","",IF(AND(D102="نعم",F102&gt;0),E102/F102,0))</f>
        <v/>
      </c>
      <c r="H102" s="127" t="str">
        <f aca="false">IF($B102="","",MAX(cfg_Y_START,الموظفون!$H102))</f>
        <v/>
      </c>
      <c r="I102" s="127" t="str">
        <f aca="false">IF($B102="","",IF(OR(الموظفون!$X102="",الموظفون!$X102&gt;cfg_VAL_DATE),cfg_VAL_DATE,الموظفون!$X102))</f>
        <v/>
      </c>
      <c r="J102" s="51" t="str">
        <f aca="false">IF($B102="","",MAX(0,I102-H102+1))</f>
        <v/>
      </c>
      <c r="K102" s="86" t="str">
        <f aca="false">IF($B102="","",G102*12/cfg_DAYS_Y*J102)</f>
        <v/>
      </c>
      <c r="L102" s="86" t="str">
        <f aca="false">IF($B102="","",N(الموظفون!$W102))</f>
        <v/>
      </c>
      <c r="M102" s="86" t="str">
        <f aca="false">IF($B102="","",SUMIFS('الحركات الشهرية'!$M$6:$M$1005,'الحركات الشهرية'!$B$6:$B$1005,B102,'الحركات الشهرية'!$A$6:$A$1005,"&lt;="&amp;cfg_VAL_M))</f>
        <v/>
      </c>
      <c r="N102" s="135" t="str">
        <f aca="false">IF($B102="","",L102+K102-M102)</f>
        <v/>
      </c>
      <c r="O102" s="132" t="str">
        <f aca="false">IF($B102="","",IF(E102&gt;0,N102/E102,0))</f>
        <v/>
      </c>
      <c r="P102" s="74" t="str">
        <f aca="false">IF($B102="","",IF(AND(D102="لا",N102&lt;&gt;0),"⚠ غير مستحق وله رصيد",IF(N102&lt;-0.01,"✖ استخدام أكثر من المكوّن",IF(AND(D102="نعم",O102&gt;=1),"⚠ تذكرة مستحقة للصرف","✔ سليم"))))</f>
        <v/>
      </c>
    </row>
    <row r="103" customFormat="false" ht="15" hidden="false" customHeight="false" outlineLevel="0" collapsed="false">
      <c r="B103" s="91" t="str">
        <f aca="false">IF(الموظفون!$B103="","",الموظفون!$B103)</f>
        <v/>
      </c>
      <c r="C103" s="91" t="str">
        <f aca="false">IF($B103="","",الموظفون!$C103)</f>
        <v/>
      </c>
      <c r="D103" s="91" t="str">
        <f aca="false">IF($B103="","",IF(الموظفون!$S103="نعم","نعم","لا"))</f>
        <v/>
      </c>
      <c r="E103" s="90" t="str">
        <f aca="false">IF($B103="","",N(الموظفون!$T103))</f>
        <v/>
      </c>
      <c r="F103" s="115" t="str">
        <f aca="false">IF($B103="","",N(الموظفون!$U103))</f>
        <v/>
      </c>
      <c r="G103" s="90" t="str">
        <f aca="false">IF($B103="","",IF(AND(D103="نعم",F103&gt;0),E103/F103,0))</f>
        <v/>
      </c>
      <c r="H103" s="129" t="str">
        <f aca="false">IF($B103="","",MAX(cfg_Y_START,الموظفون!$H103))</f>
        <v/>
      </c>
      <c r="I103" s="129" t="str">
        <f aca="false">IF($B103="","",IF(OR(الموظفون!$X103="",الموظفون!$X103&gt;cfg_VAL_DATE),cfg_VAL_DATE,الموظفون!$X103))</f>
        <v/>
      </c>
      <c r="J103" s="115" t="str">
        <f aca="false">IF($B103="","",MAX(0,I103-H103+1))</f>
        <v/>
      </c>
      <c r="K103" s="90" t="str">
        <f aca="false">IF($B103="","",G103*12/cfg_DAYS_Y*J103)</f>
        <v/>
      </c>
      <c r="L103" s="90" t="str">
        <f aca="false">IF($B103="","",N(الموظفون!$W103))</f>
        <v/>
      </c>
      <c r="M103" s="90" t="str">
        <f aca="false">IF($B103="","",SUMIFS('الحركات الشهرية'!$M$6:$M$1005,'الحركات الشهرية'!$B$6:$B$1005,B103,'الحركات الشهرية'!$A$6:$A$1005,"&lt;="&amp;cfg_VAL_M))</f>
        <v/>
      </c>
      <c r="N103" s="136" t="str">
        <f aca="false">IF($B103="","",L103+K103-M103)</f>
        <v/>
      </c>
      <c r="O103" s="133" t="str">
        <f aca="false">IF($B103="","",IF(E103&gt;0,N103/E103,0))</f>
        <v/>
      </c>
      <c r="P103" s="91" t="str">
        <f aca="false">IF($B103="","",IF(AND(D103="لا",N103&lt;&gt;0),"⚠ غير مستحق وله رصيد",IF(N103&lt;-0.01,"✖ استخدام أكثر من المكوّن",IF(AND(D103="نعم",O103&gt;=1),"⚠ تذكرة مستحقة للصرف","✔ سليم"))))</f>
        <v/>
      </c>
    </row>
    <row r="104" customFormat="false" ht="15" hidden="false" customHeight="false" outlineLevel="0" collapsed="false">
      <c r="B104" s="74" t="str">
        <f aca="false">IF(الموظفون!$B104="","",الموظفون!$B104)</f>
        <v/>
      </c>
      <c r="C104" s="74" t="str">
        <f aca="false">IF($B104="","",الموظفون!$C104)</f>
        <v/>
      </c>
      <c r="D104" s="74" t="str">
        <f aca="false">IF($B104="","",IF(الموظفون!$S104="نعم","نعم","لا"))</f>
        <v/>
      </c>
      <c r="E104" s="86" t="str">
        <f aca="false">IF($B104="","",N(الموظفون!$T104))</f>
        <v/>
      </c>
      <c r="F104" s="51" t="str">
        <f aca="false">IF($B104="","",N(الموظفون!$U104))</f>
        <v/>
      </c>
      <c r="G104" s="86" t="str">
        <f aca="false">IF($B104="","",IF(AND(D104="نعم",F104&gt;0),E104/F104,0))</f>
        <v/>
      </c>
      <c r="H104" s="127" t="str">
        <f aca="false">IF($B104="","",MAX(cfg_Y_START,الموظفون!$H104))</f>
        <v/>
      </c>
      <c r="I104" s="127" t="str">
        <f aca="false">IF($B104="","",IF(OR(الموظفون!$X104="",الموظفون!$X104&gt;cfg_VAL_DATE),cfg_VAL_DATE,الموظفون!$X104))</f>
        <v/>
      </c>
      <c r="J104" s="51" t="str">
        <f aca="false">IF($B104="","",MAX(0,I104-H104+1))</f>
        <v/>
      </c>
      <c r="K104" s="86" t="str">
        <f aca="false">IF($B104="","",G104*12/cfg_DAYS_Y*J104)</f>
        <v/>
      </c>
      <c r="L104" s="86" t="str">
        <f aca="false">IF($B104="","",N(الموظفون!$W104))</f>
        <v/>
      </c>
      <c r="M104" s="86" t="str">
        <f aca="false">IF($B104="","",SUMIFS('الحركات الشهرية'!$M$6:$M$1005,'الحركات الشهرية'!$B$6:$B$1005,B104,'الحركات الشهرية'!$A$6:$A$1005,"&lt;="&amp;cfg_VAL_M))</f>
        <v/>
      </c>
      <c r="N104" s="135" t="str">
        <f aca="false">IF($B104="","",L104+K104-M104)</f>
        <v/>
      </c>
      <c r="O104" s="132" t="str">
        <f aca="false">IF($B104="","",IF(E104&gt;0,N104/E104,0))</f>
        <v/>
      </c>
      <c r="P104" s="74" t="str">
        <f aca="false">IF($B104="","",IF(AND(D104="لا",N104&lt;&gt;0),"⚠ غير مستحق وله رصيد",IF(N104&lt;-0.01,"✖ استخدام أكثر من المكوّن",IF(AND(D104="نعم",O104&gt;=1),"⚠ تذكرة مستحقة للصرف","✔ سليم"))))</f>
        <v/>
      </c>
    </row>
    <row r="105" customFormat="false" ht="15" hidden="false" customHeight="false" outlineLevel="0" collapsed="false">
      <c r="B105" s="91" t="str">
        <f aca="false">IF(الموظفون!$B105="","",الموظفون!$B105)</f>
        <v/>
      </c>
      <c r="C105" s="91" t="str">
        <f aca="false">IF($B105="","",الموظفون!$C105)</f>
        <v/>
      </c>
      <c r="D105" s="91" t="str">
        <f aca="false">IF($B105="","",IF(الموظفون!$S105="نعم","نعم","لا"))</f>
        <v/>
      </c>
      <c r="E105" s="90" t="str">
        <f aca="false">IF($B105="","",N(الموظفون!$T105))</f>
        <v/>
      </c>
      <c r="F105" s="115" t="str">
        <f aca="false">IF($B105="","",N(الموظفون!$U105))</f>
        <v/>
      </c>
      <c r="G105" s="90" t="str">
        <f aca="false">IF($B105="","",IF(AND(D105="نعم",F105&gt;0),E105/F105,0))</f>
        <v/>
      </c>
      <c r="H105" s="129" t="str">
        <f aca="false">IF($B105="","",MAX(cfg_Y_START,الموظفون!$H105))</f>
        <v/>
      </c>
      <c r="I105" s="129" t="str">
        <f aca="false">IF($B105="","",IF(OR(الموظفون!$X105="",الموظفون!$X105&gt;cfg_VAL_DATE),cfg_VAL_DATE,الموظفون!$X105))</f>
        <v/>
      </c>
      <c r="J105" s="115" t="str">
        <f aca="false">IF($B105="","",MAX(0,I105-H105+1))</f>
        <v/>
      </c>
      <c r="K105" s="90" t="str">
        <f aca="false">IF($B105="","",G105*12/cfg_DAYS_Y*J105)</f>
        <v/>
      </c>
      <c r="L105" s="90" t="str">
        <f aca="false">IF($B105="","",N(الموظفون!$W105))</f>
        <v/>
      </c>
      <c r="M105" s="90" t="str">
        <f aca="false">IF($B105="","",SUMIFS('الحركات الشهرية'!$M$6:$M$1005,'الحركات الشهرية'!$B$6:$B$1005,B105,'الحركات الشهرية'!$A$6:$A$1005,"&lt;="&amp;cfg_VAL_M))</f>
        <v/>
      </c>
      <c r="N105" s="136" t="str">
        <f aca="false">IF($B105="","",L105+K105-M105)</f>
        <v/>
      </c>
      <c r="O105" s="133" t="str">
        <f aca="false">IF($B105="","",IF(E105&gt;0,N105/E105,0))</f>
        <v/>
      </c>
      <c r="P105" s="91" t="str">
        <f aca="false">IF($B105="","",IF(AND(D105="لا",N105&lt;&gt;0),"⚠ غير مستحق وله رصيد",IF(N105&lt;-0.01,"✖ استخدام أكثر من المكوّن",IF(AND(D105="نعم",O105&gt;=1),"⚠ تذكرة مستحقة للصرف","✔ سليم"))))</f>
        <v/>
      </c>
    </row>
    <row r="106" customFormat="false" ht="24" hidden="false" customHeight="true" outlineLevel="0" collapsed="false">
      <c r="B106" s="92"/>
      <c r="C106" s="92" t="s">
        <v>101</v>
      </c>
      <c r="D106" s="92"/>
      <c r="E106" s="92"/>
      <c r="F106" s="92"/>
      <c r="G106" s="92" t="n">
        <f aca="false">SUM(G6:G105)</f>
        <v>941.666666666667</v>
      </c>
      <c r="H106" s="92"/>
      <c r="I106" s="92"/>
      <c r="J106" s="92"/>
      <c r="K106" s="92" t="n">
        <f aca="false">SUM(K6:K105)</f>
        <v>8124.1095890411</v>
      </c>
      <c r="L106" s="92" t="n">
        <f aca="false">SUM(L6:L105)</f>
        <v>8700</v>
      </c>
      <c r="M106" s="92" t="n">
        <f aca="false">SUM(M6:M105)</f>
        <v>9500</v>
      </c>
      <c r="N106" s="92" t="n">
        <f aca="false">SUM(N6:N105)</f>
        <v>7324.1095890411</v>
      </c>
      <c r="O106" s="92"/>
      <c r="P106" s="92"/>
    </row>
    <row r="107" customFormat="false" ht="33.75" hidden="false" customHeight="true" outlineLevel="0" collapsed="false">
      <c r="B107" s="21" t="s">
        <v>407</v>
      </c>
      <c r="C107" s="21"/>
      <c r="D107" s="21"/>
      <c r="E107" s="21"/>
      <c r="F107" s="21"/>
      <c r="G107" s="21"/>
      <c r="H107" s="21"/>
      <c r="I107" s="21"/>
      <c r="J107" s="21"/>
      <c r="K107" s="21"/>
      <c r="L107" s="21"/>
      <c r="M107" s="21"/>
      <c r="N107" s="21"/>
      <c r="O107" s="21"/>
      <c r="P107" s="21"/>
    </row>
  </sheetData>
  <mergeCells count="3">
    <mergeCell ref="B1:P1"/>
    <mergeCell ref="B2:P2"/>
    <mergeCell ref="B107:P107"/>
  </mergeCells>
  <conditionalFormatting sqref="P6:P105">
    <cfRule type="expression" priority="2" aboveAverage="0" equalAverage="0" bottom="0" percent="0" rank="0" text="" dxfId="0">
      <formula>ISNUMBER(SEARCH("✔",P6))</formula>
    </cfRule>
    <cfRule type="expression" priority="3" aboveAverage="0" equalAverage="0" bottom="0" percent="0" rank="0" text="" dxfId="1">
      <formula>ISNUMBER(SEARCH("✖",P6))</formula>
    </cfRule>
    <cfRule type="expression" priority="4" aboveAverage="0" equalAverage="0" bottom="0" percent="0" rank="0" text="" dxfId="2">
      <formula>ISNUMBER(SEARCH("⚠",P6))</formula>
    </cfRule>
  </conditionalFormatting>
  <hyperlinks>
    <hyperlink ref="B3" location="'الرئيسية'!A1" display="🏠 الرئيسية"/>
    <hyperlink ref="C3" location="'لوحة التحكم'!A1" display="📊 لوحة التحكم"/>
    <hyperlink ref="D3" location="'الإعدادات'!A1" display="⚙ الإعدادات"/>
    <hyperlink ref="E3" location="'الموظفون'!A1" display="👥 الموظفون"/>
    <hyperlink ref="F3" location="'الحركات الشهرية'!A1" display="✍ الحركات"/>
    <hyperlink ref="G3" location="'الملخص الشهري'!A1" display="📅 الملخص الشهري"/>
    <hyperlink ref="H3" location="'قيود الرواتب'!A1" display="🧾 القيود"/>
    <hyperlink ref="I3" location="'قسيمة الراتب'!A1" display="💳 القسيمة"/>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5568"/>
    <pageSetUpPr fitToPage="true"/>
  </sheetPr>
  <dimension ref="B1:R33"/>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36"/>
    <col collapsed="false" customWidth="true" hidden="false" outlineLevel="0" max="4" min="4" style="0" width="7"/>
    <col collapsed="false" customWidth="true" hidden="false" outlineLevel="0" max="16" min="5" style="0" width="12.5"/>
    <col collapsed="false" customWidth="true" hidden="false" outlineLevel="0" max="18" min="17" style="0" width="15"/>
  </cols>
  <sheetData>
    <row r="1" customFormat="false" ht="37.5" hidden="false" customHeight="true" outlineLevel="0" collapsed="false">
      <c r="B1" s="1" t="s">
        <v>408</v>
      </c>
      <c r="C1" s="1"/>
      <c r="D1" s="1"/>
      <c r="E1" s="1"/>
      <c r="F1" s="1"/>
      <c r="G1" s="1"/>
      <c r="H1" s="1"/>
      <c r="I1" s="1"/>
      <c r="J1" s="1"/>
      <c r="K1" s="1"/>
      <c r="L1" s="1"/>
      <c r="M1" s="1"/>
      <c r="N1" s="1"/>
      <c r="O1" s="1"/>
      <c r="P1" s="1"/>
      <c r="Q1" s="1"/>
      <c r="R1" s="1"/>
    </row>
    <row r="2" customFormat="false" ht="19.5" hidden="false" customHeight="true" outlineLevel="0" collapsed="false">
      <c r="B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C2" s="2"/>
      <c r="D2" s="2"/>
      <c r="E2" s="2"/>
      <c r="F2" s="2"/>
      <c r="G2" s="2"/>
      <c r="H2" s="2"/>
      <c r="I2" s="2"/>
      <c r="J2" s="2"/>
      <c r="K2" s="2"/>
      <c r="L2" s="2"/>
      <c r="M2" s="2"/>
      <c r="N2" s="2"/>
      <c r="O2" s="2"/>
      <c r="P2" s="2"/>
      <c r="Q2" s="2"/>
      <c r="R2" s="2"/>
    </row>
    <row r="3" customFormat="false" ht="25.5" hidden="false" customHeight="true" outlineLevel="0" collapsed="false">
      <c r="B3" s="22" t="s">
        <v>61</v>
      </c>
      <c r="C3" s="12" t="s">
        <v>111</v>
      </c>
      <c r="D3" s="23" t="s">
        <v>62</v>
      </c>
      <c r="E3" s="23" t="s">
        <v>63</v>
      </c>
      <c r="F3" s="23" t="s">
        <v>64</v>
      </c>
      <c r="G3" s="23" t="s">
        <v>39</v>
      </c>
      <c r="H3" s="23" t="s">
        <v>66</v>
      </c>
    </row>
    <row r="4" customFormat="false" ht="13.5" hidden="false" customHeight="true" outlineLevel="0" collapsed="false">
      <c r="C4" s="137" t="s">
        <v>409</v>
      </c>
      <c r="E4" s="138" t="n">
        <v>1</v>
      </c>
      <c r="F4" s="138" t="n">
        <v>2</v>
      </c>
      <c r="G4" s="138" t="n">
        <v>3</v>
      </c>
      <c r="H4" s="138" t="n">
        <v>4</v>
      </c>
      <c r="I4" s="138" t="n">
        <v>5</v>
      </c>
      <c r="J4" s="138" t="n">
        <v>6</v>
      </c>
      <c r="K4" s="138" t="n">
        <v>7</v>
      </c>
      <c r="L4" s="138" t="n">
        <v>8</v>
      </c>
      <c r="M4" s="138" t="n">
        <v>9</v>
      </c>
      <c r="N4" s="138" t="n">
        <v>10</v>
      </c>
      <c r="O4" s="138" t="n">
        <v>11</v>
      </c>
      <c r="P4" s="138" t="n">
        <v>12</v>
      </c>
    </row>
    <row r="5" customFormat="false" ht="30" hidden="false" customHeight="true" outlineLevel="0" collapsed="false">
      <c r="B5" s="6" t="s">
        <v>410</v>
      </c>
      <c r="C5" s="6" t="s">
        <v>411</v>
      </c>
      <c r="D5" s="6" t="s">
        <v>412</v>
      </c>
      <c r="E5" s="6" t="s">
        <v>127</v>
      </c>
      <c r="F5" s="6" t="s">
        <v>133</v>
      </c>
      <c r="G5" s="6" t="s">
        <v>138</v>
      </c>
      <c r="H5" s="6" t="s">
        <v>143</v>
      </c>
      <c r="I5" s="6" t="s">
        <v>148</v>
      </c>
      <c r="J5" s="6" t="s">
        <v>151</v>
      </c>
      <c r="K5" s="6" t="s">
        <v>154</v>
      </c>
      <c r="L5" s="6" t="s">
        <v>157</v>
      </c>
      <c r="M5" s="6" t="s">
        <v>160</v>
      </c>
      <c r="N5" s="6" t="s">
        <v>163</v>
      </c>
      <c r="O5" s="6" t="s">
        <v>165</v>
      </c>
      <c r="P5" s="6" t="s">
        <v>168</v>
      </c>
      <c r="Q5" s="6" t="s">
        <v>108</v>
      </c>
      <c r="R5" s="6" t="s">
        <v>413</v>
      </c>
    </row>
    <row r="6" customFormat="false" ht="21.75" hidden="false" customHeight="true" outlineLevel="0" collapsed="false">
      <c r="B6" s="54" t="s">
        <v>414</v>
      </c>
      <c r="C6" s="54"/>
      <c r="D6" s="54"/>
      <c r="E6" s="54"/>
      <c r="F6" s="54"/>
      <c r="G6" s="54"/>
      <c r="H6" s="54"/>
      <c r="I6" s="54"/>
      <c r="J6" s="54"/>
      <c r="K6" s="54"/>
      <c r="L6" s="54"/>
      <c r="M6" s="54"/>
      <c r="N6" s="54"/>
      <c r="O6" s="54"/>
      <c r="P6" s="54"/>
      <c r="Q6" s="54"/>
      <c r="R6" s="54"/>
    </row>
    <row r="7" customFormat="false" ht="15" hidden="false" customHeight="false" outlineLevel="0" collapsed="false">
      <c r="B7" s="50" t="s">
        <v>415</v>
      </c>
      <c r="C7" s="56" t="s">
        <v>416</v>
      </c>
      <c r="D7" s="139" t="s">
        <v>417</v>
      </c>
      <c r="E7" s="86" t="n">
        <f aca="false">'مسير يناير'!J106</f>
        <v>132283.333333333</v>
      </c>
      <c r="F7" s="86" t="n">
        <f aca="false">'مسير فبراير'!J106</f>
        <v>132500</v>
      </c>
      <c r="G7" s="86" t="n">
        <f aca="false">'مسير مارس'!J106</f>
        <v>132500</v>
      </c>
      <c r="H7" s="86" t="n">
        <f aca="false">'مسير أبريل'!J106</f>
        <v>136500</v>
      </c>
      <c r="I7" s="86" t="n">
        <f aca="false">'مسير مايو'!J106</f>
        <v>141500</v>
      </c>
      <c r="J7" s="86" t="n">
        <f aca="false">'مسير يونيو'!J106</f>
        <v>141500</v>
      </c>
      <c r="K7" s="86" t="n">
        <f aca="false">'مسير يوليو'!J106</f>
        <v>136500</v>
      </c>
      <c r="L7" s="86" t="n">
        <f aca="false">'مسير أغسطس'!J106</f>
        <v>135750</v>
      </c>
      <c r="M7" s="86" t="n">
        <f aca="false">'مسير سبتمبر'!J106</f>
        <v>136500</v>
      </c>
      <c r="N7" s="86" t="n">
        <f aca="false">'مسير أكتوبر'!J106</f>
        <v>136500</v>
      </c>
      <c r="O7" s="86" t="n">
        <f aca="false">'مسير نوفمبر'!J106</f>
        <v>136500</v>
      </c>
      <c r="P7" s="86" t="n">
        <f aca="false">'مسير ديسمبر'!J106</f>
        <v>136500</v>
      </c>
      <c r="Q7" s="140" t="n">
        <f aca="false">SUM(E7:P7)</f>
        <v>1635033.33333333</v>
      </c>
      <c r="R7" s="141" t="n">
        <f aca="false">SUMPRODUCT(($E$4:$P$4&lt;=cfg_VAL_M)*E7:P7)</f>
        <v>1225533.33333333</v>
      </c>
    </row>
    <row r="8" customFormat="false" ht="15" hidden="false" customHeight="false" outlineLevel="0" collapsed="false">
      <c r="B8" s="50" t="s">
        <v>418</v>
      </c>
      <c r="C8" s="56" t="s">
        <v>419</v>
      </c>
      <c r="D8" s="139" t="s">
        <v>417</v>
      </c>
      <c r="E8" s="86" t="n">
        <f aca="false">'مسير يناير'!K106</f>
        <v>33070.8333333333</v>
      </c>
      <c r="F8" s="86" t="n">
        <f aca="false">'مسير فبراير'!K106</f>
        <v>33125</v>
      </c>
      <c r="G8" s="86" t="n">
        <f aca="false">'مسير مارس'!K106</f>
        <v>33125</v>
      </c>
      <c r="H8" s="86" t="n">
        <f aca="false">'مسير أبريل'!K106</f>
        <v>34125</v>
      </c>
      <c r="I8" s="86" t="n">
        <f aca="false">'مسير مايو'!K106</f>
        <v>35375</v>
      </c>
      <c r="J8" s="86" t="n">
        <f aca="false">'مسير يونيو'!K106</f>
        <v>35375</v>
      </c>
      <c r="K8" s="86" t="n">
        <f aca="false">'مسير يوليو'!K106</f>
        <v>34125</v>
      </c>
      <c r="L8" s="86" t="n">
        <f aca="false">'مسير أغسطس'!K106</f>
        <v>33937.5</v>
      </c>
      <c r="M8" s="86" t="n">
        <f aca="false">'مسير سبتمبر'!K106</f>
        <v>34125</v>
      </c>
      <c r="N8" s="86" t="n">
        <f aca="false">'مسير أكتوبر'!K106</f>
        <v>34125</v>
      </c>
      <c r="O8" s="86" t="n">
        <f aca="false">'مسير نوفمبر'!K106</f>
        <v>34125</v>
      </c>
      <c r="P8" s="86" t="n">
        <f aca="false">'مسير ديسمبر'!K106</f>
        <v>34125</v>
      </c>
      <c r="Q8" s="140" t="n">
        <f aca="false">SUM(E8:P8)</f>
        <v>408758.333333333</v>
      </c>
      <c r="R8" s="141" t="n">
        <f aca="false">SUMPRODUCT(($E$4:$P$4&lt;=cfg_VAL_M)*E8:P8)</f>
        <v>306383.333333333</v>
      </c>
    </row>
    <row r="9" customFormat="false" ht="15" hidden="false" customHeight="false" outlineLevel="0" collapsed="false">
      <c r="B9" s="50" t="s">
        <v>420</v>
      </c>
      <c r="C9" s="56" t="s">
        <v>421</v>
      </c>
      <c r="D9" s="139" t="s">
        <v>417</v>
      </c>
      <c r="E9" s="86" t="n">
        <f aca="false">'مسير يناير'!L106</f>
        <v>13228.3333333333</v>
      </c>
      <c r="F9" s="86" t="n">
        <f aca="false">'مسير فبراير'!L106</f>
        <v>13250</v>
      </c>
      <c r="G9" s="86" t="n">
        <f aca="false">'مسير مارس'!L106</f>
        <v>13250</v>
      </c>
      <c r="H9" s="86" t="n">
        <f aca="false">'مسير أبريل'!L106</f>
        <v>13650</v>
      </c>
      <c r="I9" s="86" t="n">
        <f aca="false">'مسير مايو'!L106</f>
        <v>14150</v>
      </c>
      <c r="J9" s="86" t="n">
        <f aca="false">'مسير يونيو'!L106</f>
        <v>14150</v>
      </c>
      <c r="K9" s="86" t="n">
        <f aca="false">'مسير يوليو'!L106</f>
        <v>13650</v>
      </c>
      <c r="L9" s="86" t="n">
        <f aca="false">'مسير أغسطس'!L106</f>
        <v>13575</v>
      </c>
      <c r="M9" s="86" t="n">
        <f aca="false">'مسير سبتمبر'!L106</f>
        <v>13650</v>
      </c>
      <c r="N9" s="86" t="n">
        <f aca="false">'مسير أكتوبر'!L106</f>
        <v>13650</v>
      </c>
      <c r="O9" s="86" t="n">
        <f aca="false">'مسير نوفمبر'!L106</f>
        <v>13650</v>
      </c>
      <c r="P9" s="86" t="n">
        <f aca="false">'مسير ديسمبر'!L106</f>
        <v>13650</v>
      </c>
      <c r="Q9" s="140" t="n">
        <f aca="false">SUM(E9:P9)</f>
        <v>163503.333333333</v>
      </c>
      <c r="R9" s="141" t="n">
        <f aca="false">SUMPRODUCT(($E$4:$P$4&lt;=cfg_VAL_M)*E9:P9)</f>
        <v>122553.333333333</v>
      </c>
    </row>
    <row r="10" customFormat="false" ht="15" hidden="false" customHeight="false" outlineLevel="0" collapsed="false">
      <c r="B10" s="50" t="s">
        <v>422</v>
      </c>
      <c r="C10" s="56" t="s">
        <v>423</v>
      </c>
      <c r="D10" s="139" t="s">
        <v>417</v>
      </c>
      <c r="E10" s="86" t="n">
        <f aca="false">'مسير يناير'!M106</f>
        <v>10290</v>
      </c>
      <c r="F10" s="86" t="n">
        <f aca="false">'مسير فبراير'!M106</f>
        <v>10300</v>
      </c>
      <c r="G10" s="86" t="n">
        <f aca="false">'مسير مارس'!M106</f>
        <v>10300</v>
      </c>
      <c r="H10" s="86" t="n">
        <f aca="false">'مسير أبريل'!M106</f>
        <v>10200</v>
      </c>
      <c r="I10" s="86" t="n">
        <f aca="false">'مسير مايو'!M106</f>
        <v>10300</v>
      </c>
      <c r="J10" s="86" t="n">
        <f aca="false">'مسير يونيو'!M106</f>
        <v>10300</v>
      </c>
      <c r="K10" s="86" t="n">
        <f aca="false">'مسير يوليو'!M106</f>
        <v>10300</v>
      </c>
      <c r="L10" s="86" t="n">
        <f aca="false">'مسير أغسطس'!M106</f>
        <v>10300</v>
      </c>
      <c r="M10" s="86" t="n">
        <f aca="false">'مسير سبتمبر'!M106</f>
        <v>10300</v>
      </c>
      <c r="N10" s="86" t="n">
        <f aca="false">'مسير أكتوبر'!M106</f>
        <v>10300</v>
      </c>
      <c r="O10" s="86" t="n">
        <f aca="false">'مسير نوفمبر'!M106</f>
        <v>10300</v>
      </c>
      <c r="P10" s="86" t="n">
        <f aca="false">'مسير ديسمبر'!M106</f>
        <v>10300</v>
      </c>
      <c r="Q10" s="140" t="n">
        <f aca="false">SUM(E10:P10)</f>
        <v>123490</v>
      </c>
      <c r="R10" s="141" t="n">
        <f aca="false">SUMPRODUCT(($E$4:$P$4&lt;=cfg_VAL_M)*E10:P10)</f>
        <v>92590</v>
      </c>
    </row>
    <row r="11" customFormat="false" ht="15" hidden="false" customHeight="false" outlineLevel="0" collapsed="false">
      <c r="B11" s="50" t="s">
        <v>424</v>
      </c>
      <c r="C11" s="56" t="s">
        <v>425</v>
      </c>
      <c r="D11" s="139" t="s">
        <v>417</v>
      </c>
      <c r="E11" s="86" t="n">
        <f aca="false">'مسير يناير'!O106</f>
        <v>1838.33333333333</v>
      </c>
      <c r="F11" s="86" t="n">
        <f aca="false">'مسير فبراير'!O106</f>
        <v>540.833333333333</v>
      </c>
      <c r="G11" s="86" t="n">
        <f aca="false">'مسير مارس'!O106</f>
        <v>881.25</v>
      </c>
      <c r="H11" s="86" t="n">
        <f aca="false">'مسير أبريل'!O106</f>
        <v>0</v>
      </c>
      <c r="I11" s="86" t="n">
        <f aca="false">'مسير مايو'!O106</f>
        <v>1156.66666666667</v>
      </c>
      <c r="J11" s="86" t="n">
        <f aca="false">'مسير يونيو'!O106</f>
        <v>0</v>
      </c>
      <c r="K11" s="86" t="n">
        <f aca="false">'مسير يوليو'!O106</f>
        <v>0</v>
      </c>
      <c r="L11" s="86" t="n">
        <f aca="false">'مسير أغسطس'!O106</f>
        <v>0</v>
      </c>
      <c r="M11" s="86" t="n">
        <f aca="false">'مسير سبتمبر'!O106</f>
        <v>416.25</v>
      </c>
      <c r="N11" s="86" t="n">
        <f aca="false">'مسير أكتوبر'!O106</f>
        <v>0</v>
      </c>
      <c r="O11" s="86" t="n">
        <f aca="false">'مسير نوفمبر'!O106</f>
        <v>0</v>
      </c>
      <c r="P11" s="86" t="n">
        <f aca="false">'مسير ديسمبر'!O106</f>
        <v>0</v>
      </c>
      <c r="Q11" s="140" t="n">
        <f aca="false">SUM(E11:P11)</f>
        <v>4833.33333333333</v>
      </c>
      <c r="R11" s="141" t="n">
        <f aca="false">SUMPRODUCT(($E$4:$P$4&lt;=cfg_VAL_M)*E11:P11)</f>
        <v>4833.33333333333</v>
      </c>
    </row>
    <row r="12" customFormat="false" ht="15" hidden="false" customHeight="false" outlineLevel="0" collapsed="false">
      <c r="B12" s="50" t="s">
        <v>426</v>
      </c>
      <c r="C12" s="56" t="s">
        <v>427</v>
      </c>
      <c r="D12" s="139" t="s">
        <v>417</v>
      </c>
      <c r="E12" s="86" t="n">
        <f aca="false">'مسير يناير'!P106+'مسير يناير'!Q106</f>
        <v>0</v>
      </c>
      <c r="F12" s="86" t="n">
        <f aca="false">'مسير فبراير'!P106+'مسير فبراير'!Q106</f>
        <v>5000</v>
      </c>
      <c r="G12" s="86" t="n">
        <f aca="false">'مسير مارس'!P106+'مسير مارس'!Q106</f>
        <v>0</v>
      </c>
      <c r="H12" s="86" t="n">
        <f aca="false">'مسير أبريل'!P106+'مسير أبريل'!Q106</f>
        <v>0</v>
      </c>
      <c r="I12" s="86" t="n">
        <f aca="false">'مسير مايو'!P106+'مسير مايو'!Q106</f>
        <v>0</v>
      </c>
      <c r="J12" s="86" t="n">
        <f aca="false">'مسير يونيو'!P106+'مسير يونيو'!Q106</f>
        <v>6500</v>
      </c>
      <c r="K12" s="86" t="n">
        <f aca="false">'مسير يوليو'!P106+'مسير يوليو'!Q106</f>
        <v>8297.2602739726</v>
      </c>
      <c r="L12" s="86" t="n">
        <f aca="false">'مسير أغسطس'!P106+'مسير أغسطس'!Q106</f>
        <v>0</v>
      </c>
      <c r="M12" s="86" t="n">
        <f aca="false">'مسير سبتمبر'!P106+'مسير سبتمبر'!Q106</f>
        <v>1500</v>
      </c>
      <c r="N12" s="86" t="n">
        <f aca="false">'مسير أكتوبر'!P106+'مسير أكتوبر'!Q106</f>
        <v>0</v>
      </c>
      <c r="O12" s="86" t="n">
        <f aca="false">'مسير نوفمبر'!P106+'مسير نوفمبر'!Q106</f>
        <v>0</v>
      </c>
      <c r="P12" s="86" t="n">
        <f aca="false">'مسير ديسمبر'!P106+'مسير ديسمبر'!Q106</f>
        <v>0</v>
      </c>
      <c r="Q12" s="140" t="n">
        <f aca="false">SUM(E12:P12)</f>
        <v>21297.2602739726</v>
      </c>
      <c r="R12" s="141" t="n">
        <f aca="false">SUMPRODUCT(($E$4:$P$4&lt;=cfg_VAL_M)*E12:P12)</f>
        <v>21297.2602739726</v>
      </c>
    </row>
    <row r="13" customFormat="false" ht="15" hidden="false" customHeight="false" outlineLevel="0" collapsed="false">
      <c r="B13" s="50" t="s">
        <v>428</v>
      </c>
      <c r="C13" s="56" t="s">
        <v>429</v>
      </c>
      <c r="D13" s="139" t="s">
        <v>417</v>
      </c>
      <c r="E13" s="86" t="n">
        <f aca="false">'مسير يناير'!X106</f>
        <v>14585.9375</v>
      </c>
      <c r="F13" s="86" t="n">
        <f aca="false">'مسير فبراير'!X106</f>
        <v>14585.9375</v>
      </c>
      <c r="G13" s="86" t="n">
        <f aca="false">'مسير مارس'!X106</f>
        <v>14585.9375</v>
      </c>
      <c r="H13" s="86" t="n">
        <f aca="false">'مسير أبريل'!X106</f>
        <v>15290.9375</v>
      </c>
      <c r="I13" s="86" t="n">
        <f aca="false">'مسير مايو'!X106</f>
        <v>15907.8125</v>
      </c>
      <c r="J13" s="86" t="n">
        <f aca="false">'مسير يونيو'!X106</f>
        <v>15907.8125</v>
      </c>
      <c r="K13" s="86" t="n">
        <f aca="false">'مسير يوليو'!X106</f>
        <v>15782.8125</v>
      </c>
      <c r="L13" s="86" t="n">
        <f aca="false">'مسير أغسطس'!X106</f>
        <v>15782.8125</v>
      </c>
      <c r="M13" s="86" t="n">
        <f aca="false">'مسير سبتمبر'!X106</f>
        <v>15782.8125</v>
      </c>
      <c r="N13" s="86" t="n">
        <f aca="false">'مسير أكتوبر'!X106</f>
        <v>15782.8125</v>
      </c>
      <c r="O13" s="86" t="n">
        <f aca="false">'مسير نوفمبر'!X106</f>
        <v>15782.8125</v>
      </c>
      <c r="P13" s="86" t="n">
        <f aca="false">'مسير ديسمبر'!X106</f>
        <v>15782.8125</v>
      </c>
      <c r="Q13" s="140" t="n">
        <f aca="false">SUM(E13:P13)</f>
        <v>185561.25</v>
      </c>
      <c r="R13" s="141" t="n">
        <f aca="false">SUMPRODUCT(($E$4:$P$4&lt;=cfg_VAL_M)*E13:P13)</f>
        <v>138212.8125</v>
      </c>
    </row>
    <row r="14" customFormat="false" ht="15" hidden="false" customHeight="false" outlineLevel="0" collapsed="false">
      <c r="B14" s="50" t="s">
        <v>430</v>
      </c>
      <c r="C14" s="142" t="s">
        <v>431</v>
      </c>
      <c r="D14" s="143" t="s">
        <v>432</v>
      </c>
      <c r="E14" s="86" t="n">
        <f aca="false">'مسير يناير'!S106+'مسير يناير'!X106</f>
        <v>25859.375</v>
      </c>
      <c r="F14" s="86" t="n">
        <f aca="false">'مسير فبراير'!S106+'مسير فبراير'!X106</f>
        <v>25859.375</v>
      </c>
      <c r="G14" s="86" t="n">
        <f aca="false">'مسير مارس'!S106+'مسير مارس'!X106</f>
        <v>25859.375</v>
      </c>
      <c r="H14" s="86" t="n">
        <f aca="false">'مسير أبريل'!S106+'مسير أبريل'!X106</f>
        <v>27149.375</v>
      </c>
      <c r="I14" s="86" t="n">
        <f aca="false">'مسير مايو'!S106+'مسير مايو'!X106</f>
        <v>28278.125</v>
      </c>
      <c r="J14" s="86" t="n">
        <f aca="false">'مسير يونيو'!S106+'مسير يونيو'!X106</f>
        <v>28278.125</v>
      </c>
      <c r="K14" s="86" t="n">
        <f aca="false">'مسير يوليو'!S106+'مسير يوليو'!X106</f>
        <v>28153.125</v>
      </c>
      <c r="L14" s="86" t="n">
        <f aca="false">'مسير أغسطس'!S106+'مسير أغسطس'!X106</f>
        <v>28153.125</v>
      </c>
      <c r="M14" s="86" t="n">
        <f aca="false">'مسير سبتمبر'!S106+'مسير سبتمبر'!X106</f>
        <v>28153.125</v>
      </c>
      <c r="N14" s="86" t="n">
        <f aca="false">'مسير أكتوبر'!S106+'مسير أكتوبر'!X106</f>
        <v>28153.125</v>
      </c>
      <c r="O14" s="86" t="n">
        <f aca="false">'مسير نوفمبر'!S106+'مسير نوفمبر'!X106</f>
        <v>28153.125</v>
      </c>
      <c r="P14" s="86" t="n">
        <f aca="false">'مسير ديسمبر'!S106+'مسير ديسمبر'!X106</f>
        <v>28153.125</v>
      </c>
      <c r="Q14" s="140" t="n">
        <f aca="false">SUM(E14:P14)</f>
        <v>330202.5</v>
      </c>
      <c r="R14" s="141" t="n">
        <f aca="false">SUMPRODUCT(($E$4:$P$4&lt;=cfg_VAL_M)*E14:P14)</f>
        <v>245743.125</v>
      </c>
    </row>
    <row r="15" customFormat="false" ht="15" hidden="false" customHeight="false" outlineLevel="0" collapsed="false">
      <c r="B15" s="50" t="s">
        <v>433</v>
      </c>
      <c r="C15" s="142" t="s">
        <v>434</v>
      </c>
      <c r="D15" s="143" t="s">
        <v>432</v>
      </c>
      <c r="E15" s="86" t="n">
        <f aca="false">'مسير يناير'!T106</f>
        <v>1000</v>
      </c>
      <c r="F15" s="86" t="n">
        <f aca="false">'مسير فبراير'!T106</f>
        <v>1000</v>
      </c>
      <c r="G15" s="86" t="n">
        <f aca="false">'مسير مارس'!T106</f>
        <v>1000</v>
      </c>
      <c r="H15" s="86" t="n">
        <f aca="false">'مسير أبريل'!T106</f>
        <v>1000</v>
      </c>
      <c r="I15" s="86" t="n">
        <f aca="false">'مسير مايو'!T106</f>
        <v>1000</v>
      </c>
      <c r="J15" s="86" t="n">
        <f aca="false">'مسير يونيو'!T106</f>
        <v>0</v>
      </c>
      <c r="K15" s="86" t="n">
        <f aca="false">'مسير يوليو'!T106</f>
        <v>0</v>
      </c>
      <c r="L15" s="86" t="n">
        <f aca="false">'مسير أغسطس'!T106</f>
        <v>0</v>
      </c>
      <c r="M15" s="86" t="n">
        <f aca="false">'مسير سبتمبر'!T106</f>
        <v>0</v>
      </c>
      <c r="N15" s="86" t="n">
        <f aca="false">'مسير أكتوبر'!T106</f>
        <v>0</v>
      </c>
      <c r="O15" s="86" t="n">
        <f aca="false">'مسير نوفمبر'!T106</f>
        <v>0</v>
      </c>
      <c r="P15" s="86" t="n">
        <f aca="false">'مسير ديسمبر'!T106</f>
        <v>0</v>
      </c>
      <c r="Q15" s="140" t="n">
        <f aca="false">SUM(E15:P15)</f>
        <v>5000</v>
      </c>
      <c r="R15" s="141" t="n">
        <f aca="false">SUMPRODUCT(($E$4:$P$4&lt;=cfg_VAL_M)*E15:P15)</f>
        <v>5000</v>
      </c>
    </row>
    <row r="16" customFormat="false" ht="15" hidden="false" customHeight="false" outlineLevel="0" collapsed="false">
      <c r="B16" s="50" t="s">
        <v>435</v>
      </c>
      <c r="C16" s="142" t="s">
        <v>436</v>
      </c>
      <c r="D16" s="143" t="s">
        <v>432</v>
      </c>
      <c r="E16" s="86" t="n">
        <f aca="false">'مسير يناير'!U106</f>
        <v>100</v>
      </c>
      <c r="F16" s="86" t="n">
        <f aca="false">'مسير فبراير'!U106</f>
        <v>0</v>
      </c>
      <c r="G16" s="86" t="n">
        <f aca="false">'مسير مارس'!U106</f>
        <v>0</v>
      </c>
      <c r="H16" s="86" t="n">
        <f aca="false">'مسير أبريل'!U106</f>
        <v>0</v>
      </c>
      <c r="I16" s="86" t="n">
        <f aca="false">'مسير مايو'!U106</f>
        <v>0</v>
      </c>
      <c r="J16" s="86" t="n">
        <f aca="false">'مسير يونيو'!U106</f>
        <v>0</v>
      </c>
      <c r="K16" s="86" t="n">
        <f aca="false">'مسير يوليو'!U106</f>
        <v>0</v>
      </c>
      <c r="L16" s="86" t="n">
        <f aca="false">'مسير أغسطس'!U106</f>
        <v>0</v>
      </c>
      <c r="M16" s="86" t="n">
        <f aca="false">'مسير سبتمبر'!U106</f>
        <v>250</v>
      </c>
      <c r="N16" s="86" t="n">
        <f aca="false">'مسير أكتوبر'!U106</f>
        <v>0</v>
      </c>
      <c r="O16" s="86" t="n">
        <f aca="false">'مسير نوفمبر'!U106</f>
        <v>0</v>
      </c>
      <c r="P16" s="86" t="n">
        <f aca="false">'مسير ديسمبر'!U106</f>
        <v>0</v>
      </c>
      <c r="Q16" s="140" t="n">
        <f aca="false">SUM(E16:P16)</f>
        <v>350</v>
      </c>
      <c r="R16" s="141" t="n">
        <f aca="false">SUMPRODUCT(($E$4:$P$4&lt;=cfg_VAL_M)*E16:P16)</f>
        <v>350</v>
      </c>
    </row>
    <row r="17" customFormat="false" ht="15" hidden="false" customHeight="false" outlineLevel="0" collapsed="false">
      <c r="B17" s="50" t="s">
        <v>437</v>
      </c>
      <c r="C17" s="142" t="s">
        <v>438</v>
      </c>
      <c r="D17" s="143" t="s">
        <v>432</v>
      </c>
      <c r="E17" s="86" t="n">
        <f aca="false">'مسير يناير'!W106</f>
        <v>178337.395833333</v>
      </c>
      <c r="F17" s="86" t="n">
        <f aca="false">'مسير فبراير'!W106</f>
        <v>182442.395833333</v>
      </c>
      <c r="G17" s="86" t="n">
        <f aca="false">'مسير مارس'!W106</f>
        <v>177782.8125</v>
      </c>
      <c r="H17" s="86" t="n">
        <f aca="false">'مسير أبريل'!W106</f>
        <v>181616.5625</v>
      </c>
      <c r="I17" s="86" t="n">
        <f aca="false">'مسير مايو'!W106</f>
        <v>189111.354166667</v>
      </c>
      <c r="J17" s="86" t="n">
        <f aca="false">'مسير يونيو'!W106</f>
        <v>195454.6875</v>
      </c>
      <c r="K17" s="86" t="n">
        <f aca="false">'مسير يوليو'!W106</f>
        <v>190501.947773973</v>
      </c>
      <c r="L17" s="86" t="n">
        <f aca="false">'مسير أغسطس'!W106</f>
        <v>181192.1875</v>
      </c>
      <c r="M17" s="86" t="n">
        <f aca="false">'مسير سبتمبر'!W106</f>
        <v>183870.9375</v>
      </c>
      <c r="N17" s="86" t="n">
        <f aca="false">'مسير أكتوبر'!W106</f>
        <v>182204.6875</v>
      </c>
      <c r="O17" s="86" t="n">
        <f aca="false">'مسير نوفمبر'!W106</f>
        <v>182204.6875</v>
      </c>
      <c r="P17" s="86" t="n">
        <f aca="false">'مسير ديسمبر'!W106</f>
        <v>182204.6875</v>
      </c>
      <c r="Q17" s="140" t="n">
        <f aca="false">SUM(E17:P17)</f>
        <v>2206924.34360731</v>
      </c>
      <c r="R17" s="141" t="n">
        <f aca="false">SUMPRODUCT(($E$4:$P$4&lt;=cfg_VAL_M)*E17:P17)</f>
        <v>1660310.28110731</v>
      </c>
    </row>
    <row r="18" customFormat="false" ht="21.75" hidden="false" customHeight="true" outlineLevel="0" collapsed="false">
      <c r="B18" s="54" t="s">
        <v>439</v>
      </c>
      <c r="C18" s="54"/>
      <c r="D18" s="54"/>
      <c r="E18" s="54"/>
      <c r="F18" s="54"/>
      <c r="G18" s="54"/>
      <c r="H18" s="54"/>
      <c r="I18" s="54"/>
      <c r="J18" s="54"/>
      <c r="K18" s="54"/>
      <c r="L18" s="54"/>
      <c r="M18" s="54"/>
      <c r="N18" s="54"/>
      <c r="O18" s="54"/>
      <c r="P18" s="54"/>
      <c r="Q18" s="54"/>
      <c r="R18" s="54"/>
    </row>
    <row r="19" customFormat="false" ht="15" hidden="false" customHeight="false" outlineLevel="0" collapsed="false">
      <c r="B19" s="50" t="s">
        <v>440</v>
      </c>
      <c r="C19" s="56" t="s">
        <v>441</v>
      </c>
      <c r="D19" s="139" t="s">
        <v>417</v>
      </c>
      <c r="E19" s="86" t="n">
        <f aca="false">'مسير يناير'!Y106</f>
        <v>13708.0479452055</v>
      </c>
      <c r="F19" s="86" t="n">
        <f aca="false">'مسير فبراير'!Y106</f>
        <v>12712.1917808219</v>
      </c>
      <c r="G19" s="86" t="n">
        <f aca="false">'مسير مارس'!Y106</f>
        <v>14074.2123287672</v>
      </c>
      <c r="H19" s="86" t="n">
        <f aca="false">'مسير أبريل'!Y106</f>
        <v>13886.506849315</v>
      </c>
      <c r="I19" s="86" t="n">
        <f aca="false">'مسير مايو'!Y106</f>
        <v>14590.1712328767</v>
      </c>
      <c r="J19" s="86" t="n">
        <f aca="false">'مسير يونيو'!Y106</f>
        <v>14119.5205479452</v>
      </c>
      <c r="K19" s="86" t="n">
        <f aca="false">'مسير يوليو'!Y106</f>
        <v>14016.8835616438</v>
      </c>
      <c r="L19" s="86" t="n">
        <f aca="false">'مسير أغسطس'!Y106</f>
        <v>14016.8835616438</v>
      </c>
      <c r="M19" s="86" t="n">
        <f aca="false">'مسير سبتمبر'!Y106</f>
        <v>13564.7260273973</v>
      </c>
      <c r="N19" s="86" t="n">
        <f aca="false">'مسير أكتوبر'!Y106</f>
        <v>14016.8835616438</v>
      </c>
      <c r="O19" s="86" t="n">
        <f aca="false">'مسير نوفمبر'!Y106</f>
        <v>13564.7260273973</v>
      </c>
      <c r="P19" s="86" t="n">
        <f aca="false">'مسير ديسمبر'!Y106</f>
        <v>14016.8835616439</v>
      </c>
      <c r="Q19" s="140" t="n">
        <f aca="false">SUM(E19:P19)</f>
        <v>166287.636986301</v>
      </c>
      <c r="R19" s="141" t="n">
        <f aca="false">SUMPRODUCT(($E$4:$P$4&lt;=cfg_VAL_M)*E19:P19)</f>
        <v>124689.143835616</v>
      </c>
    </row>
    <row r="20" customFormat="false" ht="15" hidden="false" customHeight="false" outlineLevel="0" collapsed="false">
      <c r="B20" s="50" t="s">
        <v>442</v>
      </c>
      <c r="C20" s="142" t="s">
        <v>443</v>
      </c>
      <c r="D20" s="143" t="s">
        <v>432</v>
      </c>
      <c r="E20" s="86" t="n">
        <f aca="false">'مسير يناير'!Y106</f>
        <v>13708.0479452055</v>
      </c>
      <c r="F20" s="86" t="n">
        <f aca="false">'مسير فبراير'!Y106</f>
        <v>12712.1917808219</v>
      </c>
      <c r="G20" s="86" t="n">
        <f aca="false">'مسير مارس'!Y106</f>
        <v>14074.2123287672</v>
      </c>
      <c r="H20" s="86" t="n">
        <f aca="false">'مسير أبريل'!Y106</f>
        <v>13886.506849315</v>
      </c>
      <c r="I20" s="86" t="n">
        <f aca="false">'مسير مايو'!Y106</f>
        <v>14590.1712328767</v>
      </c>
      <c r="J20" s="86" t="n">
        <f aca="false">'مسير يونيو'!Y106</f>
        <v>14119.5205479452</v>
      </c>
      <c r="K20" s="86" t="n">
        <f aca="false">'مسير يوليو'!Y106</f>
        <v>14016.8835616438</v>
      </c>
      <c r="L20" s="86" t="n">
        <f aca="false">'مسير أغسطس'!Y106</f>
        <v>14016.8835616438</v>
      </c>
      <c r="M20" s="86" t="n">
        <f aca="false">'مسير سبتمبر'!Y106</f>
        <v>13564.7260273973</v>
      </c>
      <c r="N20" s="86" t="n">
        <f aca="false">'مسير أكتوبر'!Y106</f>
        <v>14016.8835616438</v>
      </c>
      <c r="O20" s="86" t="n">
        <f aca="false">'مسير نوفمبر'!Y106</f>
        <v>13564.7260273973</v>
      </c>
      <c r="P20" s="86" t="n">
        <f aca="false">'مسير ديسمبر'!Y106</f>
        <v>14016.8835616439</v>
      </c>
      <c r="Q20" s="140" t="n">
        <f aca="false">SUM(E20:P20)</f>
        <v>166287.636986301</v>
      </c>
      <c r="R20" s="141" t="n">
        <f aca="false">SUMPRODUCT(($E$4:$P$4&lt;=cfg_VAL_M)*E20:P20)</f>
        <v>124689.143835616</v>
      </c>
    </row>
    <row r="21" customFormat="false" ht="15" hidden="false" customHeight="false" outlineLevel="0" collapsed="false">
      <c r="B21" s="50" t="s">
        <v>444</v>
      </c>
      <c r="C21" s="56" t="s">
        <v>445</v>
      </c>
      <c r="D21" s="139" t="s">
        <v>417</v>
      </c>
      <c r="E21" s="86" t="n">
        <f aca="false">'مسير يناير'!Z106</f>
        <v>14521.3767123288</v>
      </c>
      <c r="F21" s="86" t="n">
        <f aca="false">'مسير فبراير'!Z106</f>
        <v>13116.0821917808</v>
      </c>
      <c r="G21" s="86" t="n">
        <f aca="false">'مسير مارس'!Z106</f>
        <v>14521.3767123288</v>
      </c>
      <c r="H21" s="86" t="n">
        <f aca="false">'مسير أبريل'!Z106</f>
        <v>14425.7671232877</v>
      </c>
      <c r="I21" s="86" t="n">
        <f aca="false">'مسير مايو'!Z106</f>
        <v>15243.7191780822</v>
      </c>
      <c r="J21" s="86" t="n">
        <f aca="false">'مسير يونيو'!Z106</f>
        <v>14751.9863013699</v>
      </c>
      <c r="K21" s="86" t="n">
        <f aca="false">'مسير يوليو'!Z106</f>
        <v>14670.4315068493</v>
      </c>
      <c r="L21" s="86" t="n">
        <f aca="false">'مسير أغسطس'!Z106</f>
        <v>14670.4315068493</v>
      </c>
      <c r="M21" s="86" t="n">
        <f aca="false">'مسير سبتمبر'!Z106</f>
        <v>14197.1917808219</v>
      </c>
      <c r="N21" s="86" t="n">
        <f aca="false">'مسير أكتوبر'!Z106</f>
        <v>14670.4315068493</v>
      </c>
      <c r="O21" s="86" t="n">
        <f aca="false">'مسير نوفمبر'!Z106</f>
        <v>14197.1917808219</v>
      </c>
      <c r="P21" s="86" t="n">
        <f aca="false">'مسير ديسمبر'!Z106</f>
        <v>14670.4315068493</v>
      </c>
      <c r="Q21" s="140" t="n">
        <f aca="false">SUM(E21:P21)</f>
        <v>173656.417808219</v>
      </c>
      <c r="R21" s="141" t="n">
        <f aca="false">SUMPRODUCT(($E$4:$P$4&lt;=cfg_VAL_M)*E21:P21)</f>
        <v>130118.363013699</v>
      </c>
    </row>
    <row r="22" customFormat="false" ht="15" hidden="false" customHeight="false" outlineLevel="0" collapsed="false">
      <c r="B22" s="50" t="s">
        <v>446</v>
      </c>
      <c r="C22" s="142" t="s">
        <v>447</v>
      </c>
      <c r="D22" s="143" t="s">
        <v>432</v>
      </c>
      <c r="E22" s="86" t="n">
        <f aca="false">'مسير يناير'!Z106</f>
        <v>14521.3767123288</v>
      </c>
      <c r="F22" s="86" t="n">
        <f aca="false">'مسير فبراير'!Z106</f>
        <v>13116.0821917808</v>
      </c>
      <c r="G22" s="86" t="n">
        <f aca="false">'مسير مارس'!Z106</f>
        <v>14521.3767123288</v>
      </c>
      <c r="H22" s="86" t="n">
        <f aca="false">'مسير أبريل'!Z106</f>
        <v>14425.7671232877</v>
      </c>
      <c r="I22" s="86" t="n">
        <f aca="false">'مسير مايو'!Z106</f>
        <v>15243.7191780822</v>
      </c>
      <c r="J22" s="86" t="n">
        <f aca="false">'مسير يونيو'!Z106</f>
        <v>14751.9863013699</v>
      </c>
      <c r="K22" s="86" t="n">
        <f aca="false">'مسير يوليو'!Z106</f>
        <v>14670.4315068493</v>
      </c>
      <c r="L22" s="86" t="n">
        <f aca="false">'مسير أغسطس'!Z106</f>
        <v>14670.4315068493</v>
      </c>
      <c r="M22" s="86" t="n">
        <f aca="false">'مسير سبتمبر'!Z106</f>
        <v>14197.1917808219</v>
      </c>
      <c r="N22" s="86" t="n">
        <f aca="false">'مسير أكتوبر'!Z106</f>
        <v>14670.4315068493</v>
      </c>
      <c r="O22" s="86" t="n">
        <f aca="false">'مسير نوفمبر'!Z106</f>
        <v>14197.1917808219</v>
      </c>
      <c r="P22" s="86" t="n">
        <f aca="false">'مسير ديسمبر'!Z106</f>
        <v>14670.4315068493</v>
      </c>
      <c r="Q22" s="140" t="n">
        <f aca="false">SUM(E22:P22)</f>
        <v>173656.417808219</v>
      </c>
      <c r="R22" s="141" t="n">
        <f aca="false">SUMPRODUCT(($E$4:$P$4&lt;=cfg_VAL_M)*E22:P22)</f>
        <v>130118.363013699</v>
      </c>
    </row>
    <row r="23" customFormat="false" ht="15" hidden="false" customHeight="false" outlineLevel="0" collapsed="false">
      <c r="B23" s="50" t="s">
        <v>448</v>
      </c>
      <c r="C23" s="56" t="s">
        <v>449</v>
      </c>
      <c r="D23" s="139" t="s">
        <v>417</v>
      </c>
      <c r="E23" s="86" t="n">
        <f aca="false">'مسير يناير'!AA106</f>
        <v>959.72602739726</v>
      </c>
      <c r="F23" s="86" t="n">
        <f aca="false">'مسير فبراير'!AA106</f>
        <v>866.849315068493</v>
      </c>
      <c r="G23" s="86" t="n">
        <f aca="false">'مسير مارس'!AA106</f>
        <v>959.72602739726</v>
      </c>
      <c r="H23" s="86" t="n">
        <f aca="false">'مسير أبريل'!AA106</f>
        <v>928.767123287671</v>
      </c>
      <c r="I23" s="86" t="n">
        <f aca="false">'مسير مايو'!AA106</f>
        <v>959.72602739726</v>
      </c>
      <c r="J23" s="86" t="n">
        <f aca="false">'مسير يونيو'!AA106</f>
        <v>928.767123287671</v>
      </c>
      <c r="K23" s="86" t="n">
        <f aca="false">'مسير يوليو'!AA106</f>
        <v>849.315068493151</v>
      </c>
      <c r="L23" s="86" t="n">
        <f aca="false">'مسير أغسطس'!AA106</f>
        <v>849.315068493151</v>
      </c>
      <c r="M23" s="86" t="n">
        <f aca="false">'مسير سبتمبر'!AA106</f>
        <v>821.917808219178</v>
      </c>
      <c r="N23" s="86" t="n">
        <f aca="false">'مسير أكتوبر'!AA106</f>
        <v>849.315068493151</v>
      </c>
      <c r="O23" s="86" t="n">
        <f aca="false">'مسير نوفمبر'!AA106</f>
        <v>821.917808219178</v>
      </c>
      <c r="P23" s="86" t="n">
        <f aca="false">'مسير ديسمبر'!AA106</f>
        <v>849.315068493151</v>
      </c>
      <c r="Q23" s="140" t="n">
        <f aca="false">SUM(E23:P23)</f>
        <v>10644.6575342466</v>
      </c>
      <c r="R23" s="141" t="n">
        <f aca="false">SUMPRODUCT(($E$4:$P$4&lt;=cfg_VAL_M)*E23:P23)</f>
        <v>8124.1095890411</v>
      </c>
    </row>
    <row r="24" customFormat="false" ht="15" hidden="false" customHeight="false" outlineLevel="0" collapsed="false">
      <c r="B24" s="50" t="s">
        <v>450</v>
      </c>
      <c r="C24" s="142" t="s">
        <v>451</v>
      </c>
      <c r="D24" s="143" t="s">
        <v>432</v>
      </c>
      <c r="E24" s="86" t="n">
        <f aca="false">'مسير يناير'!AA106</f>
        <v>959.72602739726</v>
      </c>
      <c r="F24" s="86" t="n">
        <f aca="false">'مسير فبراير'!AA106</f>
        <v>866.849315068493</v>
      </c>
      <c r="G24" s="86" t="n">
        <f aca="false">'مسير مارس'!AA106</f>
        <v>959.72602739726</v>
      </c>
      <c r="H24" s="86" t="n">
        <f aca="false">'مسير أبريل'!AA106</f>
        <v>928.767123287671</v>
      </c>
      <c r="I24" s="86" t="n">
        <f aca="false">'مسير مايو'!AA106</f>
        <v>959.72602739726</v>
      </c>
      <c r="J24" s="86" t="n">
        <f aca="false">'مسير يونيو'!AA106</f>
        <v>928.767123287671</v>
      </c>
      <c r="K24" s="86" t="n">
        <f aca="false">'مسير يوليو'!AA106</f>
        <v>849.315068493151</v>
      </c>
      <c r="L24" s="86" t="n">
        <f aca="false">'مسير أغسطس'!AA106</f>
        <v>849.315068493151</v>
      </c>
      <c r="M24" s="86" t="n">
        <f aca="false">'مسير سبتمبر'!AA106</f>
        <v>821.917808219178</v>
      </c>
      <c r="N24" s="86" t="n">
        <f aca="false">'مسير أكتوبر'!AA106</f>
        <v>849.315068493151</v>
      </c>
      <c r="O24" s="86" t="n">
        <f aca="false">'مسير نوفمبر'!AA106</f>
        <v>821.917808219178</v>
      </c>
      <c r="P24" s="86" t="n">
        <f aca="false">'مسير ديسمبر'!AA106</f>
        <v>849.315068493151</v>
      </c>
      <c r="Q24" s="140" t="n">
        <f aca="false">SUM(E24:P24)</f>
        <v>10644.6575342466</v>
      </c>
      <c r="R24" s="141" t="n">
        <f aca="false">SUMPRODUCT(($E$4:$P$4&lt;=cfg_VAL_M)*E24:P24)</f>
        <v>8124.1095890411</v>
      </c>
    </row>
    <row r="25" customFormat="false" ht="21.75" hidden="false" customHeight="true" outlineLevel="0" collapsed="false">
      <c r="B25" s="54" t="s">
        <v>452</v>
      </c>
      <c r="C25" s="54"/>
      <c r="D25" s="54"/>
      <c r="E25" s="54"/>
      <c r="F25" s="54"/>
      <c r="G25" s="54"/>
      <c r="H25" s="54"/>
      <c r="I25" s="54"/>
      <c r="J25" s="54"/>
      <c r="K25" s="54"/>
      <c r="L25" s="54"/>
      <c r="M25" s="54"/>
      <c r="N25" s="54"/>
      <c r="O25" s="54"/>
      <c r="P25" s="54"/>
      <c r="Q25" s="54"/>
      <c r="R25" s="54"/>
    </row>
    <row r="26" customFormat="false" ht="15" hidden="false" customHeight="false" outlineLevel="0" collapsed="false">
      <c r="B26" s="50" t="s">
        <v>437</v>
      </c>
      <c r="C26" s="56" t="s">
        <v>453</v>
      </c>
      <c r="D26" s="139" t="s">
        <v>417</v>
      </c>
      <c r="E26" s="86" t="n">
        <f aca="false">'مسير يناير'!W106</f>
        <v>178337.395833333</v>
      </c>
      <c r="F26" s="86" t="n">
        <f aca="false">'مسير فبراير'!W106</f>
        <v>182442.395833333</v>
      </c>
      <c r="G26" s="86" t="n">
        <f aca="false">'مسير مارس'!W106</f>
        <v>177782.8125</v>
      </c>
      <c r="H26" s="86" t="n">
        <f aca="false">'مسير أبريل'!W106</f>
        <v>181616.5625</v>
      </c>
      <c r="I26" s="86" t="n">
        <f aca="false">'مسير مايو'!W106</f>
        <v>189111.354166667</v>
      </c>
      <c r="J26" s="86" t="n">
        <f aca="false">'مسير يونيو'!W106</f>
        <v>195454.6875</v>
      </c>
      <c r="K26" s="86" t="n">
        <f aca="false">'مسير يوليو'!W106</f>
        <v>190501.947773973</v>
      </c>
      <c r="L26" s="86" t="n">
        <f aca="false">'مسير أغسطس'!W106</f>
        <v>181192.1875</v>
      </c>
      <c r="M26" s="86" t="n">
        <f aca="false">'مسير سبتمبر'!W106</f>
        <v>183870.9375</v>
      </c>
      <c r="N26" s="86" t="n">
        <f aca="false">'مسير أكتوبر'!W106</f>
        <v>182204.6875</v>
      </c>
      <c r="O26" s="86" t="n">
        <f aca="false">'مسير نوفمبر'!W106</f>
        <v>182204.6875</v>
      </c>
      <c r="P26" s="86" t="n">
        <f aca="false">'مسير ديسمبر'!W106</f>
        <v>182204.6875</v>
      </c>
      <c r="Q26" s="140" t="n">
        <f aca="false">SUM(E26:P26)</f>
        <v>2206924.34360731</v>
      </c>
      <c r="R26" s="141" t="n">
        <f aca="false">SUMPRODUCT(($E$4:$P$4&lt;=cfg_VAL_M)*E26:P26)</f>
        <v>1660310.28110731</v>
      </c>
    </row>
    <row r="27" customFormat="false" ht="15" hidden="false" customHeight="false" outlineLevel="0" collapsed="false">
      <c r="B27" s="50" t="s">
        <v>454</v>
      </c>
      <c r="C27" s="142" t="s">
        <v>455</v>
      </c>
      <c r="D27" s="143" t="s">
        <v>432</v>
      </c>
      <c r="E27" s="86" t="n">
        <f aca="false">'مسير يناير'!W106</f>
        <v>178337.395833333</v>
      </c>
      <c r="F27" s="86" t="n">
        <f aca="false">'مسير فبراير'!W106</f>
        <v>182442.395833333</v>
      </c>
      <c r="G27" s="86" t="n">
        <f aca="false">'مسير مارس'!W106</f>
        <v>177782.8125</v>
      </c>
      <c r="H27" s="86" t="n">
        <f aca="false">'مسير أبريل'!W106</f>
        <v>181616.5625</v>
      </c>
      <c r="I27" s="86" t="n">
        <f aca="false">'مسير مايو'!W106</f>
        <v>189111.354166667</v>
      </c>
      <c r="J27" s="86" t="n">
        <f aca="false">'مسير يونيو'!W106</f>
        <v>195454.6875</v>
      </c>
      <c r="K27" s="86" t="n">
        <f aca="false">'مسير يوليو'!W106</f>
        <v>190501.947773973</v>
      </c>
      <c r="L27" s="86" t="n">
        <f aca="false">'مسير أغسطس'!W106</f>
        <v>181192.1875</v>
      </c>
      <c r="M27" s="86" t="n">
        <f aca="false">'مسير سبتمبر'!W106</f>
        <v>183870.9375</v>
      </c>
      <c r="N27" s="86" t="n">
        <f aca="false">'مسير أكتوبر'!W106</f>
        <v>182204.6875</v>
      </c>
      <c r="O27" s="86" t="n">
        <f aca="false">'مسير نوفمبر'!W106</f>
        <v>182204.6875</v>
      </c>
      <c r="P27" s="86" t="n">
        <f aca="false">'مسير ديسمبر'!W106</f>
        <v>182204.6875</v>
      </c>
      <c r="Q27" s="140" t="n">
        <f aca="false">SUM(E27:P27)</f>
        <v>2206924.34360731</v>
      </c>
      <c r="R27" s="141" t="n">
        <f aca="false">SUMPRODUCT(($E$4:$P$4&lt;=cfg_VAL_M)*E27:P27)</f>
        <v>1660310.28110731</v>
      </c>
    </row>
    <row r="29" customFormat="false" ht="15" hidden="false" customHeight="false" outlineLevel="0" collapsed="false">
      <c r="B29" s="144" t="s">
        <v>456</v>
      </c>
      <c r="C29" s="144"/>
      <c r="D29" s="144"/>
      <c r="E29" s="92" t="n">
        <f aca="false">SUMIF($D$7:$D$27,"مدين",E7:E27)</f>
        <v>412823.317351598</v>
      </c>
      <c r="F29" s="92" t="n">
        <f aca="false">SUMIF($D$7:$D$27,"مدين",F7:F27)</f>
        <v>418439.289954338</v>
      </c>
      <c r="G29" s="92" t="n">
        <f aca="false">SUMIF($D$7:$D$27,"مدين",G7:G27)</f>
        <v>411980.315068493</v>
      </c>
      <c r="H29" s="92" t="n">
        <f aca="false">SUMIF($D$7:$D$27,"مدين",H7:H27)</f>
        <v>420623.54109589</v>
      </c>
      <c r="I29" s="92" t="n">
        <f aca="false">SUMIF($D$7:$D$27,"مدين",I7:I27)</f>
        <v>438294.44977169</v>
      </c>
      <c r="J29" s="92" t="n">
        <f aca="false">SUMIF($D$7:$D$27,"مدين",J7:J27)</f>
        <v>448987.773972603</v>
      </c>
      <c r="K29" s="92" t="n">
        <f aca="false">SUMIF($D$7:$D$27,"مدين",K7:K27)</f>
        <v>438693.650684932</v>
      </c>
      <c r="L29" s="92" t="n">
        <f aca="false">SUMIF($D$7:$D$27,"مدين",L7:L27)</f>
        <v>420074.130136986</v>
      </c>
      <c r="M29" s="92" t="n">
        <f aca="false">SUMIF($D$7:$D$27,"مدين",M7:M27)</f>
        <v>424728.835616438</v>
      </c>
      <c r="N29" s="92" t="n">
        <f aca="false">SUMIF($D$7:$D$27,"مدين",N7:N27)</f>
        <v>422099.130136986</v>
      </c>
      <c r="O29" s="92" t="n">
        <f aca="false">SUMIF($D$7:$D$27,"مدين",O7:O27)</f>
        <v>421146.335616438</v>
      </c>
      <c r="P29" s="92" t="n">
        <f aca="false">SUMIF($D$7:$D$27,"مدين",P7:P27)</f>
        <v>422099.130136986</v>
      </c>
      <c r="Q29" s="92" t="n">
        <f aca="false">SUMIF($D$7:$D$27,"مدين",Q7:Q27)</f>
        <v>5099989.89954338</v>
      </c>
      <c r="R29" s="92" t="n">
        <f aca="false">SUMIF($D$7:$D$27,"مدين",R7:R27)</f>
        <v>3834645.30365297</v>
      </c>
    </row>
    <row r="30" customFormat="false" ht="15" hidden="false" customHeight="false" outlineLevel="0" collapsed="false">
      <c r="B30" s="145" t="s">
        <v>457</v>
      </c>
      <c r="C30" s="145"/>
      <c r="D30" s="145"/>
      <c r="E30" s="146" t="n">
        <f aca="false">SUMIF($D$7:$D$27,"دائن",E7:E27)</f>
        <v>412823.317351598</v>
      </c>
      <c r="F30" s="146" t="n">
        <f aca="false">SUMIF($D$7:$D$27,"دائن",F7:F27)</f>
        <v>418439.289954338</v>
      </c>
      <c r="G30" s="146" t="n">
        <f aca="false">SUMIF($D$7:$D$27,"دائن",G7:G27)</f>
        <v>411980.315068493</v>
      </c>
      <c r="H30" s="146" t="n">
        <f aca="false">SUMIF($D$7:$D$27,"دائن",H7:H27)</f>
        <v>420623.54109589</v>
      </c>
      <c r="I30" s="146" t="n">
        <f aca="false">SUMIF($D$7:$D$27,"دائن",I7:I27)</f>
        <v>438294.44977169</v>
      </c>
      <c r="J30" s="146" t="n">
        <f aca="false">SUMIF($D$7:$D$27,"دائن",J7:J27)</f>
        <v>448987.773972603</v>
      </c>
      <c r="K30" s="146" t="n">
        <f aca="false">SUMIF($D$7:$D$27,"دائن",K7:K27)</f>
        <v>438693.650684932</v>
      </c>
      <c r="L30" s="146" t="n">
        <f aca="false">SUMIF($D$7:$D$27,"دائن",L7:L27)</f>
        <v>420074.130136986</v>
      </c>
      <c r="M30" s="146" t="n">
        <f aca="false">SUMIF($D$7:$D$27,"دائن",M7:M27)</f>
        <v>424728.835616438</v>
      </c>
      <c r="N30" s="146" t="n">
        <f aca="false">SUMIF($D$7:$D$27,"دائن",N7:N27)</f>
        <v>422099.130136986</v>
      </c>
      <c r="O30" s="146" t="n">
        <f aca="false">SUMIF($D$7:$D$27,"دائن",O7:O27)</f>
        <v>421146.335616438</v>
      </c>
      <c r="P30" s="146" t="n">
        <f aca="false">SUMIF($D$7:$D$27,"دائن",P7:P27)</f>
        <v>422099.130136986</v>
      </c>
      <c r="Q30" s="146" t="n">
        <f aca="false">SUMIF($D$7:$D$27,"دائن",Q7:Q27)</f>
        <v>5099989.89954338</v>
      </c>
      <c r="R30" s="146" t="n">
        <f aca="false">SUMIF($D$7:$D$27,"دائن",R7:R27)</f>
        <v>3834645.30365297</v>
      </c>
    </row>
    <row r="31" customFormat="false" ht="15" hidden="false" customHeight="false" outlineLevel="0" collapsed="false">
      <c r="B31" s="15" t="s">
        <v>458</v>
      </c>
      <c r="C31" s="15"/>
      <c r="D31" s="15"/>
      <c r="E31" s="15" t="str">
        <f aca="false">IF(ROUND(E29-E30,2)=0,"✔ متوازن","✖ "&amp;TEXT(E29-E30,"#,##0.00"))</f>
        <v>✔ متوازن</v>
      </c>
      <c r="F31" s="15" t="str">
        <f aca="false">IF(ROUND(F29-F30,2)=0,"✔ متوازن","✖ "&amp;TEXT(F29-F30,"#,##0.00"))</f>
        <v>✔ متوازن</v>
      </c>
      <c r="G31" s="15" t="str">
        <f aca="false">IF(ROUND(G29-G30,2)=0,"✔ متوازن","✖ "&amp;TEXT(G29-G30,"#,##0.00"))</f>
        <v>✔ متوازن</v>
      </c>
      <c r="H31" s="15" t="str">
        <f aca="false">IF(ROUND(H29-H30,2)=0,"✔ متوازن","✖ "&amp;TEXT(H29-H30,"#,##0.00"))</f>
        <v>✔ متوازن</v>
      </c>
      <c r="I31" s="15" t="str">
        <f aca="false">IF(ROUND(I29-I30,2)=0,"✔ متوازن","✖ "&amp;TEXT(I29-I30,"#,##0.00"))</f>
        <v>✔ متوازن</v>
      </c>
      <c r="J31" s="15" t="str">
        <f aca="false">IF(ROUND(J29-J30,2)=0,"✔ متوازن","✖ "&amp;TEXT(J29-J30,"#,##0.00"))</f>
        <v>✔ متوازن</v>
      </c>
      <c r="K31" s="15" t="str">
        <f aca="false">IF(ROUND(K29-K30,2)=0,"✔ متوازن","✖ "&amp;TEXT(K29-K30,"#,##0.00"))</f>
        <v>✔ متوازن</v>
      </c>
      <c r="L31" s="15" t="str">
        <f aca="false">IF(ROUND(L29-L30,2)=0,"✔ متوازن","✖ "&amp;TEXT(L29-L30,"#,##0.00"))</f>
        <v>✔ متوازن</v>
      </c>
      <c r="M31" s="15" t="str">
        <f aca="false">IF(ROUND(M29-M30,2)=0,"✔ متوازن","✖ "&amp;TEXT(M29-M30,"#,##0.00"))</f>
        <v>✔ متوازن</v>
      </c>
      <c r="N31" s="15" t="str">
        <f aca="false">IF(ROUND(N29-N30,2)=0,"✔ متوازن","✖ "&amp;TEXT(N29-N30,"#,##0.00"))</f>
        <v>✔ متوازن</v>
      </c>
      <c r="O31" s="15" t="str">
        <f aca="false">IF(ROUND(O29-O30,2)=0,"✔ متوازن","✖ "&amp;TEXT(O29-O30,"#,##0.00"))</f>
        <v>✔ متوازن</v>
      </c>
      <c r="P31" s="15" t="str">
        <f aca="false">IF(ROUND(P29-P30,2)=0,"✔ متوازن","✖ "&amp;TEXT(P29-P30,"#,##0.00"))</f>
        <v>✔ متوازن</v>
      </c>
      <c r="Q31" s="15" t="str">
        <f aca="false">IF(ROUND(Q29-Q30,2)=0,"✔ متوازن","✖ "&amp;TEXT(Q29-Q30,"#,##0.00"))</f>
        <v>✔ متوازن</v>
      </c>
      <c r="R31" s="15" t="str">
        <f aca="false">IF(ROUND(R29-R30,2)=0,"✔ متوازن","✖ "&amp;TEXT(R29-R30,"#,##0.00"))</f>
        <v>✔ متوازن</v>
      </c>
    </row>
    <row r="33" customFormat="false" ht="30" hidden="false" customHeight="true" outlineLevel="0" collapsed="false">
      <c r="B33" s="21" t="s">
        <v>459</v>
      </c>
      <c r="C33" s="21"/>
      <c r="D33" s="21"/>
      <c r="E33" s="21"/>
      <c r="F33" s="21"/>
      <c r="G33" s="21"/>
      <c r="H33" s="21"/>
      <c r="I33" s="21"/>
      <c r="J33" s="21"/>
      <c r="K33" s="21"/>
      <c r="L33" s="21"/>
      <c r="M33" s="21"/>
      <c r="N33" s="21"/>
      <c r="O33" s="21"/>
      <c r="P33" s="21"/>
      <c r="Q33" s="21"/>
      <c r="R33" s="21"/>
    </row>
  </sheetData>
  <mergeCells count="9">
    <mergeCell ref="B1:R1"/>
    <mergeCell ref="B2:R2"/>
    <mergeCell ref="B6:R6"/>
    <mergeCell ref="B18:R18"/>
    <mergeCell ref="B25:R25"/>
    <mergeCell ref="B29:D29"/>
    <mergeCell ref="B30:D30"/>
    <mergeCell ref="B31:D31"/>
    <mergeCell ref="B33:R33"/>
  </mergeCells>
  <conditionalFormatting sqref="E31:R31">
    <cfRule type="expression" priority="2" aboveAverage="0" equalAverage="0" bottom="0" percent="0" rank="0" text="" dxfId="0">
      <formula>ISNUMBER(SEARCH("✔",E31))</formula>
    </cfRule>
    <cfRule type="expression" priority="3" aboveAverage="0" equalAverage="0" bottom="0" percent="0" rank="0" text="" dxfId="1">
      <formula>ISNUMBER(SEARCH("✖",E31))</formula>
    </cfRule>
    <cfRule type="expression" priority="4" aboveAverage="0" equalAverage="0" bottom="0" percent="0" rank="0" text="" dxfId="2">
      <formula>ISNUMBER(SEARCH("⚠",E31))</formula>
    </cfRule>
  </conditionalFormatting>
  <hyperlinks>
    <hyperlink ref="B3" location="'الرئيسية'!A1" display="🏠 الرئيسية"/>
    <hyperlink ref="C3" location="'لوحة التحكم'!A1" display="📊 لوحة التحكم"/>
    <hyperlink ref="D3" location="'الإعدادات'!A1" display="⚙ الإعدادات"/>
    <hyperlink ref="E3" location="'الموظفون'!A1" display="👥 الموظفون"/>
    <hyperlink ref="F3" location="'الحركات الشهرية'!A1" display="✍ الحركات"/>
    <hyperlink ref="G3" location="'الملخص الشهري'!A1" display="📅 الملخص الشهري"/>
    <hyperlink ref="H3" location="'قسيمة الراتب'!A1" display="💳 القسيمة"/>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5621"/>
    <pageSetUpPr fitToPage="true"/>
  </sheetPr>
  <dimension ref="B1:I35"/>
  <sheetViews>
    <sheetView showFormulas="false" showGridLines="false" showRowColHeaders="true" showZeros="true" rightToLeft="tru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3" min="3" style="0" width="16"/>
    <col collapsed="false" customWidth="true" hidden="false" outlineLevel="0" max="4" min="4" style="0" width="4"/>
    <col collapsed="false" customWidth="true" hidden="false" outlineLevel="0" max="5" min="5" style="0" width="24"/>
    <col collapsed="false" customWidth="true" hidden="false" outlineLevel="0" max="6" min="6" style="0" width="16"/>
    <col collapsed="false" customWidth="true" hidden="false" outlineLevel="0" max="7" min="7" style="0" width="3"/>
    <col collapsed="false" customWidth="true" hidden="true" outlineLevel="0" max="8" min="8" style="0" width="12"/>
    <col collapsed="false" customWidth="true" hidden="true" outlineLevel="0" max="9" min="9" style="0" width="30"/>
  </cols>
  <sheetData>
    <row r="1" customFormat="false" ht="37.5" hidden="false" customHeight="true" outlineLevel="0" collapsed="false">
      <c r="B1" s="1" t="str">
        <f aca="false">"💳 قسيمة راتب — "&amp;cfg_CO</f>
        <v>💳 قسيمة راتب — شركة النخبة للتجارة والمقاولات</v>
      </c>
      <c r="C1" s="1"/>
      <c r="D1" s="1"/>
      <c r="E1" s="1"/>
      <c r="F1" s="1"/>
    </row>
    <row r="2" customFormat="false" ht="19.5" hidden="false" customHeight="true" outlineLevel="0" collapsed="false">
      <c r="B2" s="2" t="str">
        <f aca="false">cfg_CO&amp;"   |   السنة المالية "&amp;cfg_FY&amp;"   |   شهر التقرير: "&amp;INDEX(L_MONTH,cfg_VAL_M)&amp;"   |   المبالغ بـ "&amp;cfg_CUR</f>
        <v>شركة النخبة للتجارة والمقاولات   |   السنة المالية 2026   |   شهر التقرير: سبتمبر   |   المبالغ بـ ريال سعودي</v>
      </c>
      <c r="C2" s="2"/>
      <c r="D2" s="2"/>
      <c r="E2" s="2"/>
      <c r="F2" s="2"/>
    </row>
    <row r="3" customFormat="false" ht="25.5" hidden="false" customHeight="true" outlineLevel="0" collapsed="false">
      <c r="B3" s="22" t="s">
        <v>61</v>
      </c>
      <c r="C3" s="12" t="s">
        <v>111</v>
      </c>
      <c r="E3" s="23" t="s">
        <v>62</v>
      </c>
      <c r="F3" s="23" t="s">
        <v>63</v>
      </c>
    </row>
    <row r="4" customFormat="false" ht="7.5" hidden="false" customHeight="true" outlineLevel="0" collapsed="false"/>
    <row r="5" customFormat="false" ht="15" hidden="false" customHeight="false" outlineLevel="0" collapsed="false">
      <c r="B5" s="56" t="s">
        <v>460</v>
      </c>
      <c r="C5" s="147" t="n">
        <v>9</v>
      </c>
      <c r="E5" s="56" t="s">
        <v>461</v>
      </c>
      <c r="F5" s="148" t="s">
        <v>244</v>
      </c>
      <c r="H5" s="149" t="s">
        <v>462</v>
      </c>
      <c r="I5" s="150" t="n">
        <f aca="false">IFERROR(MATCH(F5,الموظفون!$B$6:$B$105,0)+5,"")</f>
        <v>8</v>
      </c>
    </row>
    <row r="6" customFormat="false" ht="15" hidden="false" customHeight="false" outlineLevel="0" collapsed="false">
      <c r="H6" s="149" t="s">
        <v>463</v>
      </c>
      <c r="I6" s="150" t="str">
        <f aca="false">INDEX(L_MSHEET,C5)</f>
        <v>مسير سبتمبر</v>
      </c>
    </row>
    <row r="7" customFormat="false" ht="27.75" hidden="false" customHeight="true" outlineLevel="0" collapsed="false">
      <c r="B7" s="151" t="str">
        <f aca="false">"قسيمة راتب شهر "&amp;INDEX(L_MONTH,C5)&amp;" "&amp;cfg_FY&amp;IF(I5="","   ✖ الرقم الوظيفي غير موجود","")</f>
        <v>قسيمة راتب شهر سبتمبر 2026</v>
      </c>
      <c r="C7" s="151"/>
      <c r="D7" s="151"/>
      <c r="E7" s="151"/>
      <c r="F7" s="151"/>
    </row>
    <row r="9" customFormat="false" ht="15" hidden="false" customHeight="false" outlineLevel="0" collapsed="false">
      <c r="B9" s="152" t="s">
        <v>209</v>
      </c>
      <c r="C9" s="50" t="str">
        <f aca="false">IF($I$5="","",INDEX(الموظفون!$C$6:$C$105,$I$5-5))</f>
        <v>محمد علي حسن</v>
      </c>
      <c r="E9" s="152" t="s">
        <v>208</v>
      </c>
      <c r="F9" s="50" t="str">
        <f aca="false">F5</f>
        <v>E003</v>
      </c>
    </row>
    <row r="10" customFormat="false" ht="15" hidden="false" customHeight="false" outlineLevel="0" collapsed="false">
      <c r="B10" s="152" t="s">
        <v>96</v>
      </c>
      <c r="C10" s="50" t="str">
        <f aca="false">IF($I$5="","",INDEX(الموظفون!$F$6:$F$105,$I$5-5))</f>
        <v>المالية</v>
      </c>
      <c r="E10" s="152" t="s">
        <v>211</v>
      </c>
      <c r="F10" s="50" t="str">
        <f aca="false">IF($I$5="","",INDEX(الموظفون!$G$6:$G$105,$I$5-5))</f>
        <v>محاسب أول</v>
      </c>
    </row>
    <row r="11" customFormat="false" ht="15" hidden="false" customHeight="false" outlineLevel="0" collapsed="false">
      <c r="B11" s="152" t="s">
        <v>210</v>
      </c>
      <c r="C11" s="50" t="str">
        <f aca="false">IF($I$5="","",INDEX(الموظفون!$D$6:$D$105,$I$5-5))</f>
        <v>مصري</v>
      </c>
      <c r="E11" s="152" t="s">
        <v>212</v>
      </c>
      <c r="F11" s="153" t="n">
        <f aca="false">IF($I$5="","",INDEX(الموظفون!$H$6:$H$105,$I$5-5))</f>
        <v>43353</v>
      </c>
    </row>
    <row r="12" customFormat="false" ht="15" hidden="false" customHeight="false" outlineLevel="0" collapsed="false">
      <c r="B12" s="152" t="s">
        <v>231</v>
      </c>
      <c r="C12" s="50" t="str">
        <f aca="false">IF($I$5="","",INDEX(الموظفون!$AA$6:$AA$105,$I$5-5))</f>
        <v>الراجحي</v>
      </c>
      <c r="E12" s="152" t="s">
        <v>464</v>
      </c>
      <c r="F12" s="154" t="str">
        <f aca="false">IF($I$5="","",INDEX(الموظفون!$AB$6:$AB$105,$I$5-5))</f>
        <v>SA0380000000608010167520</v>
      </c>
    </row>
    <row r="13" customFormat="false" ht="15" hidden="false" customHeight="false" outlineLevel="0" collapsed="false">
      <c r="B13" s="152" t="s">
        <v>325</v>
      </c>
      <c r="C13" s="155" t="n">
        <f aca="true">IF($I$5="",0,N(INDIRECT("'"&amp;$I$6&amp;"'!F"&amp;$I$5)))</f>
        <v>30</v>
      </c>
      <c r="E13" s="152" t="s">
        <v>465</v>
      </c>
      <c r="F13" s="155" t="n">
        <f aca="true">IF($I$5="",0,N(INDIRECT("'"&amp;$I$6&amp;"'!G"&amp;$I$5)))+IF($I$5="",0,N(INDIRECT("'"&amp;$I$6&amp;"'!H"&amp;$I$5)))</f>
        <v>0</v>
      </c>
    </row>
    <row r="15" customFormat="false" ht="21.75" hidden="false" customHeight="true" outlineLevel="0" collapsed="false">
      <c r="B15" s="19" t="s">
        <v>466</v>
      </c>
      <c r="C15" s="19"/>
      <c r="E15" s="45" t="s">
        <v>467</v>
      </c>
      <c r="F15" s="45"/>
    </row>
    <row r="16" customFormat="false" ht="15" hidden="false" customHeight="false" outlineLevel="0" collapsed="false">
      <c r="B16" s="14" t="s">
        <v>214</v>
      </c>
      <c r="C16" s="86" t="n">
        <f aca="true">IF($I$5="",0,N(INDIRECT("'"&amp;$I$6&amp;"'!J"&amp;$I$5)))</f>
        <v>8500</v>
      </c>
      <c r="E16" s="14" t="s">
        <v>468</v>
      </c>
      <c r="F16" s="86" t="n">
        <f aca="true">IF($I$5="",0,N(INDIRECT("'"&amp;$I$6&amp;"'!S"&amp;$I$5)))</f>
        <v>0</v>
      </c>
    </row>
    <row r="17" customFormat="false" ht="15" hidden="false" customHeight="false" outlineLevel="0" collapsed="false">
      <c r="B17" s="14" t="s">
        <v>215</v>
      </c>
      <c r="C17" s="86" t="n">
        <f aca="true">IF($I$5="",0,N(INDIRECT("'"&amp;$I$6&amp;"'!K"&amp;$I$5)))</f>
        <v>2125</v>
      </c>
      <c r="E17" s="14" t="s">
        <v>469</v>
      </c>
      <c r="F17" s="86" t="n">
        <f aca="true">IF($I$5="",0,N(INDIRECT("'"&amp;$I$6&amp;"'!T"&amp;$I$5)))</f>
        <v>0</v>
      </c>
    </row>
    <row r="18" customFormat="false" ht="15" hidden="false" customHeight="false" outlineLevel="0" collapsed="false">
      <c r="B18" s="14" t="s">
        <v>216</v>
      </c>
      <c r="C18" s="86" t="n">
        <f aca="true">IF($I$5="",0,N(INDIRECT("'"&amp;$I$6&amp;"'!L"&amp;$I$5)))</f>
        <v>850</v>
      </c>
      <c r="E18" s="14" t="s">
        <v>301</v>
      </c>
      <c r="F18" s="86" t="n">
        <f aca="true">IF($I$5="",0,N(INDIRECT("'"&amp;$I$6&amp;"'!U"&amp;$I$5)))</f>
        <v>0</v>
      </c>
    </row>
    <row r="19" customFormat="false" ht="15" hidden="false" customHeight="false" outlineLevel="0" collapsed="false">
      <c r="B19" s="14" t="s">
        <v>217</v>
      </c>
      <c r="C19" s="86" t="n">
        <f aca="true">IF($I$5="",0,N(INDIRECT("'"&amp;$I$6&amp;"'!M"&amp;$I$5)))</f>
        <v>500</v>
      </c>
      <c r="E19" s="14"/>
      <c r="F19" s="86"/>
    </row>
    <row r="20" customFormat="false" ht="15" hidden="false" customHeight="false" outlineLevel="0" collapsed="false">
      <c r="B20" s="14" t="s">
        <v>353</v>
      </c>
      <c r="C20" s="86" t="n">
        <f aca="true">IF($I$5="",0,N(INDIRECT("'"&amp;$I$6&amp;"'!O"&amp;$I$5)))</f>
        <v>0</v>
      </c>
      <c r="E20" s="14"/>
      <c r="F20" s="86"/>
    </row>
    <row r="21" customFormat="false" ht="15" hidden="false" customHeight="false" outlineLevel="0" collapsed="false">
      <c r="B21" s="14" t="s">
        <v>298</v>
      </c>
      <c r="C21" s="86" t="n">
        <f aca="true">IF($I$5="",0,N(INDIRECT("'"&amp;$I$6&amp;"'!P"&amp;$I$5)))</f>
        <v>0</v>
      </c>
      <c r="E21" s="14"/>
      <c r="F21" s="86"/>
    </row>
    <row r="22" customFormat="false" ht="15" hidden="false" customHeight="false" outlineLevel="0" collapsed="false">
      <c r="B22" s="14" t="s">
        <v>335</v>
      </c>
      <c r="C22" s="86" t="n">
        <f aca="true">IF($I$5="",0,N(INDIRECT("'"&amp;$I$6&amp;"'!Q"&amp;$I$5)))</f>
        <v>0</v>
      </c>
      <c r="E22" s="14"/>
      <c r="F22" s="86"/>
    </row>
    <row r="23" customFormat="false" ht="15" hidden="false" customHeight="false" outlineLevel="0" collapsed="false">
      <c r="B23" s="156" t="s">
        <v>74</v>
      </c>
      <c r="C23" s="157" t="n">
        <f aca="false">SUM(C16:C22)</f>
        <v>11975</v>
      </c>
      <c r="E23" s="158" t="s">
        <v>337</v>
      </c>
      <c r="F23" s="159" t="n">
        <f aca="false">SUM(F16:F22)</f>
        <v>0</v>
      </c>
    </row>
    <row r="25" customFormat="false" ht="33.75" hidden="false" customHeight="true" outlineLevel="0" collapsed="false">
      <c r="B25" s="160" t="s">
        <v>470</v>
      </c>
      <c r="C25" s="160"/>
      <c r="E25" s="161" t="n">
        <f aca="false">C23-F23</f>
        <v>11975</v>
      </c>
      <c r="F25" s="161"/>
    </row>
    <row r="26" customFormat="false" ht="15" hidden="false" customHeight="false" outlineLevel="0" collapsed="false">
      <c r="B26" s="162" t="str">
        <f aca="true">IF(ROUND(E25-IF($I$5="",0,N(INDIRECT("'"&amp;$I$6&amp;"'!W"&amp;$I$5))),2)=0,"✔ مطابق لمسير الشهر","✖ غير مطابق للمسير")</f>
        <v>✔ مطابق لمسير الشهر</v>
      </c>
      <c r="C26" s="162"/>
      <c r="D26" s="162"/>
      <c r="E26" s="162"/>
      <c r="F26" s="162"/>
    </row>
    <row r="28" customFormat="false" ht="21.75" hidden="false" customHeight="true" outlineLevel="0" collapsed="false">
      <c r="B28" s="63" t="s">
        <v>471</v>
      </c>
      <c r="C28" s="63"/>
      <c r="D28" s="63"/>
      <c r="E28" s="63"/>
      <c r="F28" s="63"/>
    </row>
    <row r="29" customFormat="false" ht="15" hidden="false" customHeight="false" outlineLevel="0" collapsed="false">
      <c r="B29" s="152" t="s">
        <v>472</v>
      </c>
      <c r="C29" s="108" t="n">
        <f aca="true">IF($I$5="",0,N(INDIRECT("'"&amp;$I$6&amp;"'!X"&amp;$I$5)))</f>
        <v>212.5</v>
      </c>
      <c r="E29" s="152" t="s">
        <v>340</v>
      </c>
      <c r="F29" s="108" t="n">
        <f aca="true">IF($I$5="",0,N(INDIRECT("'"&amp;$I$6&amp;"'!Y"&amp;$I$5)))</f>
        <v>943.150684931501</v>
      </c>
    </row>
    <row r="30" customFormat="false" ht="15" hidden="false" customHeight="false" outlineLevel="0" collapsed="false">
      <c r="B30" s="152" t="s">
        <v>341</v>
      </c>
      <c r="C30" s="108" t="n">
        <f aca="true">IF($I$5="",0,N(INDIRECT("'"&amp;$I$6&amp;"'!Z"&amp;$I$5)))</f>
        <v>943.150684931507</v>
      </c>
      <c r="E30" s="152" t="s">
        <v>342</v>
      </c>
      <c r="F30" s="108" t="n">
        <f aca="true">IF($I$5="",0,N(INDIRECT("'"&amp;$I$6&amp;"'!AA"&amp;$I$5)))</f>
        <v>131.506849315068</v>
      </c>
    </row>
    <row r="31" customFormat="false" ht="15" hidden="false" customHeight="false" outlineLevel="0" collapsed="false">
      <c r="B31" s="152" t="s">
        <v>473</v>
      </c>
      <c r="C31" s="108" t="n">
        <f aca="true">IF($I$5="",0,N(INDIRECT("'"&amp;$I$6&amp;"'!AB"&amp;$I$5)))</f>
        <v>14205.3082191781</v>
      </c>
      <c r="E31" s="152" t="s">
        <v>474</v>
      </c>
      <c r="F31" s="163" t="n">
        <f aca="false">IF($I$5="","",INDEX('مخصص الإجازات'!$O$6:$O$105,$I$5-5))</f>
        <v>42.4383561643836</v>
      </c>
    </row>
    <row r="32" customFormat="false" ht="15" hidden="false" customHeight="false" outlineLevel="0" collapsed="false">
      <c r="B32" s="152" t="s">
        <v>475</v>
      </c>
      <c r="C32" s="108" t="n">
        <f aca="false">IF($I$5="","",INDEX('مخصص نهاية الخدمة'!$S$6:$S$105,$I$5-5))</f>
        <v>63835.5821917808</v>
      </c>
      <c r="E32" s="152" t="s">
        <v>476</v>
      </c>
      <c r="F32" s="108" t="n">
        <f aca="false">IF($I$5="","",INDEX('مخصص التذاكر'!$N$6:$N$105,$I$5-5))</f>
        <v>2796.71232876712</v>
      </c>
    </row>
    <row r="35" customFormat="false" ht="15" hidden="false" customHeight="false" outlineLevel="0" collapsed="false">
      <c r="B35" s="164" t="s">
        <v>477</v>
      </c>
      <c r="E35" s="164" t="s">
        <v>478</v>
      </c>
    </row>
  </sheetData>
  <mergeCells count="9">
    <mergeCell ref="B1:F1"/>
    <mergeCell ref="B2:F2"/>
    <mergeCell ref="B7:F7"/>
    <mergeCell ref="B15:C15"/>
    <mergeCell ref="E15:F15"/>
    <mergeCell ref="B25:C25"/>
    <mergeCell ref="E25:F25"/>
    <mergeCell ref="B26:F26"/>
    <mergeCell ref="B28:F28"/>
  </mergeCells>
  <conditionalFormatting sqref="B26">
    <cfRule type="expression" priority="2" aboveAverage="0" equalAverage="0" bottom="0" percent="0" rank="0" text="" dxfId="0">
      <formula>ISNUMBER(SEARCH("✔",B26))</formula>
    </cfRule>
    <cfRule type="expression" priority="3" aboveAverage="0" equalAverage="0" bottom="0" percent="0" rank="0" text="" dxfId="1">
      <formula>ISNUMBER(SEARCH("✖",B26))</formula>
    </cfRule>
    <cfRule type="expression" priority="4" aboveAverage="0" equalAverage="0" bottom="0" percent="0" rank="0" text="" dxfId="2">
      <formula>ISNUMBER(SEARCH("⚠",B26))</formula>
    </cfRule>
  </conditionalFormatting>
  <dataValidations count="2">
    <dataValidation allowBlank="true" error="الشهر من 1 إلى 12" errorStyle="stop" errorTitle="قيمة غير صحيحة" operator="between" showDropDown="false" showErrorMessage="true" showInputMessage="false" sqref="C5" type="whole">
      <formula1>1</formula1>
      <formula2>12</formula2>
    </dataValidation>
    <dataValidation allowBlank="true" error="من فضلك اختر قيمة من القائمة المنسدلة." errorStyle="stop" errorTitle="قيمة غير مسموحة" operator="between" prompt="اختر الموظف" promptTitle="الرقم الوظيفي" showDropDown="false" showErrorMessage="true" showInputMessage="true" sqref="F5" type="list">
      <formula1>L_EMPID</formula1>
      <formula2>0</formula2>
    </dataValidation>
  </dataValidations>
  <hyperlinks>
    <hyperlink ref="B3" location="'الرئيسية'!A1" display="🏠 الرئيسية"/>
    <hyperlink ref="C3" location="'لوحة التحكم'!A1" display="📊 لوحة التحكم"/>
    <hyperlink ref="E3" location="'الإعدادات'!A1" display="⚙ الإعدادات"/>
    <hyperlink ref="F3" location="'الموظفون'!A1" display="👥 الموظفون"/>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2026-09-29T19:09:31Z</dcterms:created>
  <dc:creator>openpyxl</dc:creator>
  <dc:description/>
  <dc:language>en-US</dc:language>
  <cp:lastModifiedBy/>
  <dcterms:modified xsi:type="dcterms:W3CDTF">2026-09-29T19:09:43Z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